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B093F63-4776-4C4A-BF30-849F8AB10D1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golose'!$A$7:$Q$467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8" i="6" l="1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7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AD446" i="6"/>
  <c r="AE446" i="6"/>
  <c r="AD447" i="6"/>
  <c r="AE447" i="6"/>
  <c r="S446" i="6"/>
  <c r="AF446" i="6"/>
  <c r="AG446" i="6"/>
  <c r="AH446" i="6"/>
  <c r="AI446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6" i="6"/>
  <c r="AE456" i="6"/>
  <c r="AD457" i="6"/>
  <c r="AE457" i="6"/>
  <c r="AD458" i="6"/>
  <c r="AE458" i="6"/>
  <c r="AD459" i="6"/>
  <c r="AE459" i="6"/>
  <c r="S457" i="6"/>
  <c r="AF457" i="6"/>
  <c r="AG457" i="6"/>
  <c r="AH457" i="6"/>
  <c r="AI457" i="6"/>
  <c r="AD460" i="6"/>
  <c r="AE460" i="6"/>
  <c r="S460" i="6"/>
  <c r="AF460" i="6"/>
  <c r="AG460" i="6"/>
  <c r="AH460" i="6"/>
  <c r="AI460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S358" i="6"/>
  <c r="S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F456" i="6"/>
  <c r="AG456" i="6"/>
  <c r="AH456" i="6"/>
  <c r="AI456" i="6"/>
  <c r="S458" i="6"/>
  <c r="AF458" i="6"/>
  <c r="AG458" i="6"/>
  <c r="AH458" i="6"/>
  <c r="AI458" i="6"/>
  <c r="S459" i="6"/>
  <c r="AF459" i="6"/>
  <c r="AG459" i="6"/>
  <c r="AH459" i="6"/>
  <c r="AI459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4" i="6" s="1"/>
  <c r="T357" i="6" l="1"/>
  <c r="T32" i="6"/>
  <c r="T86" i="6"/>
  <c r="T330" i="6"/>
  <c r="T362" i="6"/>
  <c r="T292" i="6"/>
  <c r="T184" i="6"/>
  <c r="T183" i="6"/>
  <c r="T64" i="6"/>
  <c r="T373" i="6"/>
  <c r="T372" i="6"/>
  <c r="T371" i="6"/>
  <c r="T446" i="6"/>
  <c r="T264" i="6"/>
  <c r="T235" i="6"/>
  <c r="T265" i="6"/>
  <c r="T213" i="6"/>
  <c r="T212" i="6"/>
  <c r="T350" i="6"/>
  <c r="T334" i="6"/>
  <c r="T139" i="6"/>
  <c r="T162" i="6"/>
  <c r="T102" i="6"/>
  <c r="T140" i="6"/>
  <c r="T314" i="6"/>
  <c r="T101" i="6"/>
  <c r="T93" i="6"/>
  <c r="T92" i="6"/>
  <c r="T91" i="6"/>
  <c r="T289" i="6"/>
  <c r="T236" i="6"/>
  <c r="T366" i="6"/>
  <c r="T351" i="6"/>
  <c r="T313" i="6"/>
  <c r="T285" i="6"/>
  <c r="T262" i="6"/>
  <c r="T234" i="6"/>
  <c r="T211" i="6"/>
  <c r="T181" i="6"/>
  <c r="T70" i="6"/>
  <c r="T138" i="6"/>
  <c r="T98" i="6"/>
  <c r="T370" i="6"/>
  <c r="T336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7" i="6"/>
  <c r="T68" i="6"/>
  <c r="T201" i="6"/>
  <c r="T359" i="6"/>
  <c r="T395" i="6"/>
  <c r="T324" i="6"/>
  <c r="T301" i="6"/>
  <c r="T278" i="6"/>
  <c r="T79" i="6"/>
  <c r="T227" i="6"/>
  <c r="T200" i="6"/>
  <c r="T89" i="6"/>
  <c r="T154" i="6"/>
  <c r="T122" i="6"/>
  <c r="T88" i="6"/>
  <c r="T125" i="6"/>
  <c r="T229" i="6"/>
  <c r="T340" i="6"/>
  <c r="T363" i="6"/>
  <c r="T403" i="6"/>
  <c r="T248" i="6"/>
  <c r="T300" i="6"/>
  <c r="T277" i="6"/>
  <c r="T242" i="6"/>
  <c r="T224" i="6"/>
  <c r="T199" i="6"/>
  <c r="T167" i="6"/>
  <c r="T153" i="6"/>
  <c r="T121" i="6"/>
  <c r="T49" i="6"/>
  <c r="T322" i="6"/>
  <c r="T126" i="6"/>
  <c r="T257" i="6"/>
  <c r="T323" i="6"/>
  <c r="T253" i="6"/>
  <c r="T172" i="6"/>
  <c r="T391" i="6"/>
  <c r="T299" i="6"/>
  <c r="T243" i="6"/>
  <c r="T220" i="6"/>
  <c r="T197" i="6"/>
  <c r="T160" i="6"/>
  <c r="T151" i="6"/>
  <c r="T119" i="6"/>
  <c r="T48" i="6"/>
  <c r="T375" i="6"/>
  <c r="T260" i="6"/>
  <c r="T60" i="6"/>
  <c r="T231" i="6"/>
  <c r="T281" i="6"/>
  <c r="T170" i="6"/>
  <c r="T367" i="6"/>
  <c r="T325" i="6"/>
  <c r="T276" i="6"/>
  <c r="T348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9" i="6"/>
  <c r="T282" i="6"/>
  <c r="T67" i="6"/>
  <c r="T308" i="6"/>
  <c r="T124" i="6"/>
  <c r="T123" i="6"/>
  <c r="T331" i="6"/>
  <c r="T376" i="6"/>
  <c r="T332" i="6"/>
  <c r="T342" i="6"/>
  <c r="T297" i="6"/>
  <c r="T269" i="6"/>
  <c r="T169" i="6"/>
  <c r="T218" i="6"/>
  <c r="T188" i="6"/>
  <c r="T69" i="6"/>
  <c r="T149" i="6"/>
  <c r="T114" i="6"/>
  <c r="T45" i="6"/>
  <c r="T232" i="6"/>
  <c r="T339" i="6"/>
  <c r="T176" i="6"/>
  <c r="T202" i="6"/>
  <c r="T355" i="6"/>
  <c r="T305" i="6"/>
  <c r="T228" i="6"/>
  <c r="T164" i="6"/>
  <c r="T58" i="6"/>
  <c r="T319" i="6"/>
  <c r="T296" i="6"/>
  <c r="T161" i="6"/>
  <c r="T187" i="6"/>
  <c r="T146" i="6"/>
  <c r="T388" i="6"/>
  <c r="T349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401" i="6"/>
  <c r="T156" i="6"/>
  <c r="T280" i="6"/>
  <c r="T155" i="6"/>
  <c r="T384" i="6"/>
  <c r="T250" i="6"/>
  <c r="T268" i="6"/>
  <c r="T217" i="6"/>
  <c r="T59" i="6"/>
  <c r="T110" i="6"/>
  <c r="T43" i="6"/>
  <c r="T392" i="6"/>
  <c r="T333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7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8" i="6"/>
  <c r="T13" i="6"/>
  <c r="U7" i="6"/>
  <c r="T426" i="6"/>
  <c r="T368" i="6"/>
  <c r="T460" i="6"/>
  <c r="T380" i="6"/>
  <c r="T383" i="6"/>
  <c r="T247" i="6"/>
  <c r="T341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6" i="6"/>
  <c r="T396" i="6"/>
  <c r="T399" i="6"/>
  <c r="T335" i="6"/>
  <c r="T326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61" i="6"/>
  <c r="T400" i="6"/>
  <c r="T404" i="6"/>
  <c r="T320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6" i="6"/>
  <c r="T386" i="6"/>
  <c r="T431" i="6"/>
  <c r="AD6" i="6"/>
  <c r="F3" i="6" s="1"/>
  <c r="T407" i="6"/>
  <c r="T405" i="6"/>
  <c r="T345" i="6"/>
  <c r="T337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2" i="6"/>
  <c r="T353" i="6"/>
  <c r="T328" i="6"/>
  <c r="T329" i="6"/>
  <c r="T321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3" i="6"/>
  <c r="T354" i="6"/>
  <c r="T347" i="6"/>
  <c r="T338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5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5" i="6"/>
  <c r="T438" i="6"/>
  <c r="T422" i="6"/>
  <c r="T464" i="6"/>
  <c r="T445" i="6"/>
  <c r="T429" i="6"/>
  <c r="T413" i="6"/>
  <c r="T390" i="6"/>
  <c r="T358" i="6"/>
  <c r="T453" i="6"/>
  <c r="T436" i="6"/>
  <c r="T420" i="6"/>
  <c r="T344" i="6"/>
  <c r="T462" i="6"/>
  <c r="T443" i="6"/>
  <c r="T427" i="6"/>
  <c r="T411" i="6"/>
  <c r="T394" i="6"/>
  <c r="T377" i="6"/>
  <c r="T361" i="6"/>
  <c r="T451" i="6"/>
  <c r="T434" i="6"/>
  <c r="T418" i="6"/>
  <c r="T409" i="6"/>
  <c r="T459" i="6"/>
  <c r="T441" i="6"/>
  <c r="T425" i="6"/>
  <c r="T398" i="6"/>
  <c r="T381" i="6"/>
  <c r="T365" i="6"/>
  <c r="T467" i="6"/>
  <c r="T449" i="6"/>
  <c r="T432" i="6"/>
  <c r="T416" i="6"/>
  <c r="T456" i="6"/>
  <c r="T439" i="6"/>
  <c r="T423" i="6"/>
  <c r="T385" i="6"/>
  <c r="T369" i="6"/>
  <c r="T352" i="6"/>
  <c r="T465" i="6"/>
  <c r="T447" i="6"/>
  <c r="T430" i="6"/>
  <c r="T414" i="6"/>
  <c r="T402" i="6"/>
  <c r="T454" i="6"/>
  <c r="T437" i="6"/>
  <c r="T421" i="6"/>
  <c r="T389" i="6"/>
  <c r="T374" i="6"/>
  <c r="T356" i="6"/>
  <c r="T463" i="6"/>
  <c r="T444" i="6"/>
  <c r="T428" i="6"/>
  <c r="T412" i="6"/>
  <c r="T452" i="6"/>
  <c r="T435" i="6"/>
  <c r="T419" i="6"/>
  <c r="T410" i="6"/>
  <c r="T406" i="6"/>
  <c r="T393" i="6"/>
  <c r="T378" i="6"/>
  <c r="T360" i="6"/>
  <c r="T408" i="6"/>
  <c r="T327" i="6"/>
  <c r="T450" i="6"/>
  <c r="T433" i="6"/>
  <c r="T417" i="6"/>
  <c r="T397" i="6"/>
  <c r="T382" i="6"/>
  <c r="T364" i="6"/>
  <c r="T458" i="6"/>
  <c r="T440" i="6"/>
  <c r="U13" i="6" l="1"/>
  <c r="U357" i="6"/>
  <c r="U329" i="6"/>
  <c r="U446" i="6"/>
  <c r="U371" i="6"/>
  <c r="U372" i="6"/>
  <c r="U373" i="6"/>
  <c r="U457" i="6"/>
  <c r="U91" i="6"/>
  <c r="U92" i="6"/>
  <c r="U93" i="6"/>
  <c r="U141" i="6"/>
  <c r="U106" i="6"/>
  <c r="U286" i="6"/>
  <c r="U179" i="6"/>
  <c r="U444" i="6"/>
  <c r="U409" i="6"/>
  <c r="U449" i="6"/>
  <c r="U287" i="6"/>
  <c r="U216" i="6"/>
  <c r="U226" i="6"/>
  <c r="U305" i="6"/>
  <c r="U170" i="6"/>
  <c r="U130" i="6"/>
  <c r="U269" i="6"/>
  <c r="U145" i="6"/>
  <c r="U272" i="6"/>
  <c r="U99" i="6"/>
  <c r="U327" i="6"/>
  <c r="U315" i="6"/>
  <c r="U76" i="6"/>
  <c r="U291" i="6"/>
  <c r="U160" i="6"/>
  <c r="U380" i="6"/>
  <c r="U107" i="6"/>
  <c r="U104" i="6"/>
  <c r="U326" i="6"/>
  <c r="U172" i="6"/>
  <c r="U202" i="6"/>
  <c r="U117" i="6"/>
  <c r="U320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2" i="6"/>
  <c r="U467" i="6"/>
  <c r="U452" i="6"/>
  <c r="U20" i="6"/>
  <c r="U436" i="6"/>
  <c r="U317" i="6"/>
  <c r="U70" i="6"/>
  <c r="U451" i="6"/>
  <c r="U442" i="6"/>
  <c r="U231" i="6"/>
  <c r="U150" i="6"/>
  <c r="U309" i="6"/>
  <c r="U153" i="6"/>
  <c r="U235" i="6"/>
  <c r="U225" i="6"/>
  <c r="U109" i="6"/>
  <c r="U195" i="6"/>
  <c r="U227" i="6"/>
  <c r="V7" i="6"/>
  <c r="V357" i="6" s="1"/>
  <c r="U27" i="6"/>
  <c r="U454" i="6"/>
  <c r="U242" i="6"/>
  <c r="U434" i="6"/>
  <c r="U456" i="6"/>
  <c r="U21" i="6"/>
  <c r="U108" i="6"/>
  <c r="U19" i="6"/>
  <c r="U68" i="6"/>
  <c r="U406" i="6"/>
  <c r="U136" i="6"/>
  <c r="U337" i="6"/>
  <c r="U415" i="6"/>
  <c r="U211" i="6"/>
  <c r="U345" i="6"/>
  <c r="U77" i="6"/>
  <c r="U261" i="6"/>
  <c r="U201" i="6"/>
  <c r="U277" i="6"/>
  <c r="U441" i="6"/>
  <c r="U453" i="6"/>
  <c r="U56" i="6"/>
  <c r="U35" i="6"/>
  <c r="U103" i="6"/>
  <c r="U72" i="6"/>
  <c r="U138" i="6"/>
  <c r="U129" i="6"/>
  <c r="U131" i="6"/>
  <c r="U328" i="6"/>
  <c r="U156" i="6"/>
  <c r="U173" i="6"/>
  <c r="U265" i="6"/>
  <c r="U431" i="6"/>
  <c r="U9" i="6"/>
  <c r="U67" i="6"/>
  <c r="U169" i="6"/>
  <c r="U149" i="6"/>
  <c r="U105" i="6"/>
  <c r="U11" i="6"/>
  <c r="U283" i="6"/>
  <c r="U346" i="6"/>
  <c r="U187" i="6"/>
  <c r="U429" i="6"/>
  <c r="U189" i="6"/>
  <c r="U75" i="6"/>
  <c r="U285" i="6"/>
  <c r="U422" i="6"/>
  <c r="U268" i="6"/>
  <c r="U177" i="6"/>
  <c r="U30" i="6"/>
  <c r="U435" i="6"/>
  <c r="U423" i="6"/>
  <c r="U463" i="6"/>
  <c r="U418" i="6"/>
  <c r="U410" i="6"/>
  <c r="U140" i="6"/>
  <c r="U425" i="6"/>
  <c r="U10" i="6"/>
  <c r="U110" i="6"/>
  <c r="U23" i="6"/>
  <c r="U407" i="6"/>
  <c r="U154" i="6"/>
  <c r="U461" i="6"/>
  <c r="U101" i="6"/>
  <c r="U267" i="6"/>
  <c r="U74" i="6"/>
  <c r="U233" i="6"/>
  <c r="U157" i="6"/>
  <c r="U404" i="6"/>
  <c r="U83" i="6"/>
  <c r="U133" i="6"/>
  <c r="U414" i="6"/>
  <c r="U116" i="6"/>
  <c r="U147" i="6"/>
  <c r="U25" i="6"/>
  <c r="U299" i="6"/>
  <c r="U411" i="6"/>
  <c r="U203" i="6"/>
  <c r="U205" i="6"/>
  <c r="U304" i="6"/>
  <c r="U174" i="6"/>
  <c r="U307" i="6"/>
  <c r="U204" i="6"/>
  <c r="U58" i="6"/>
  <c r="U465" i="6"/>
  <c r="U122" i="6"/>
  <c r="U61" i="6"/>
  <c r="U8" i="6"/>
  <c r="U426" i="6"/>
  <c r="U347" i="6"/>
  <c r="U40" i="6"/>
  <c r="U217" i="6"/>
  <c r="U440" i="6"/>
  <c r="U86" i="6"/>
  <c r="U84" i="6"/>
  <c r="U459" i="6"/>
  <c r="U413" i="6"/>
  <c r="U458" i="6"/>
  <c r="U51" i="6"/>
  <c r="U88" i="6"/>
  <c r="U448" i="6"/>
  <c r="U417" i="6"/>
  <c r="U405" i="6"/>
  <c r="U100" i="6"/>
  <c r="U412" i="6"/>
  <c r="U249" i="6"/>
  <c r="U182" i="6"/>
  <c r="U416" i="6"/>
  <c r="U166" i="6"/>
  <c r="U41" i="6"/>
  <c r="U162" i="6"/>
  <c r="U219" i="6"/>
  <c r="U445" i="6"/>
  <c r="U221" i="6"/>
  <c r="U251" i="6"/>
  <c r="U197" i="6"/>
  <c r="U363" i="6"/>
  <c r="U171" i="6"/>
  <c r="U402" i="6"/>
  <c r="U241" i="6"/>
  <c r="U80" i="6"/>
  <c r="U420" i="6"/>
  <c r="U439" i="6"/>
  <c r="U43" i="6"/>
  <c r="U38" i="6"/>
  <c r="U59" i="6"/>
  <c r="U54" i="6"/>
  <c r="U161" i="6"/>
  <c r="U466" i="6"/>
  <c r="U450" i="6"/>
  <c r="U125" i="6"/>
  <c r="U428" i="6"/>
  <c r="U214" i="6"/>
  <c r="U432" i="6"/>
  <c r="U184" i="6"/>
  <c r="U73" i="6"/>
  <c r="U464" i="6"/>
  <c r="U255" i="6"/>
  <c r="U393" i="6"/>
  <c r="U229" i="6"/>
  <c r="U270" i="6"/>
  <c r="U16" i="6"/>
  <c r="U206" i="6"/>
  <c r="U437" i="6"/>
  <c r="U29" i="6"/>
  <c r="U163" i="6"/>
  <c r="U424" i="6"/>
  <c r="U94" i="6"/>
  <c r="U433" i="6"/>
  <c r="U18" i="6"/>
  <c r="U430" i="6"/>
  <c r="U198" i="6"/>
  <c r="U132" i="6"/>
  <c r="U57" i="6"/>
  <c r="U427" i="6"/>
  <c r="U344" i="6"/>
  <c r="U245" i="6"/>
  <c r="U338" i="6"/>
  <c r="U224" i="6"/>
  <c r="U15" i="6"/>
  <c r="U419" i="6"/>
  <c r="U151" i="6"/>
  <c r="U421" i="6"/>
  <c r="U447" i="6"/>
  <c r="U126" i="6"/>
  <c r="U200" i="6"/>
  <c r="U89" i="6"/>
  <c r="U443" i="6"/>
  <c r="U271" i="6"/>
  <c r="U78" i="6"/>
  <c r="U266" i="6"/>
  <c r="U396" i="6"/>
  <c r="U178" i="6"/>
  <c r="U49" i="6"/>
  <c r="U87" i="6"/>
  <c r="U115" i="6"/>
  <c r="U290" i="6"/>
  <c r="U365" i="6"/>
  <c r="U118" i="6"/>
  <c r="U127" i="6"/>
  <c r="U288" i="6"/>
  <c r="U308" i="6"/>
  <c r="U382" i="6"/>
  <c r="U310" i="6"/>
  <c r="U186" i="6"/>
  <c r="U361" i="6"/>
  <c r="U306" i="6"/>
  <c r="U343" i="6"/>
  <c r="U408" i="6"/>
  <c r="U398" i="6"/>
  <c r="U276" i="6"/>
  <c r="V460" i="6"/>
  <c r="U360" i="6"/>
  <c r="U239" i="6"/>
  <c r="U378" i="6"/>
  <c r="U250" i="6"/>
  <c r="U336" i="6"/>
  <c r="U438" i="6"/>
  <c r="U455" i="6"/>
  <c r="U296" i="6"/>
  <c r="U377" i="6"/>
  <c r="U394" i="6"/>
  <c r="U321" i="6"/>
  <c r="U364" i="6"/>
  <c r="U314" i="6"/>
  <c r="U44" i="6"/>
  <c r="U332" i="6"/>
  <c r="U379" i="6"/>
  <c r="U381" i="6"/>
  <c r="U341" i="6"/>
  <c r="U42" i="6"/>
  <c r="U319" i="6"/>
  <c r="U71" i="6"/>
  <c r="U362" i="6"/>
  <c r="U47" i="6"/>
  <c r="U14" i="6"/>
  <c r="U397" i="6"/>
  <c r="U353" i="6"/>
  <c r="U69" i="6"/>
  <c r="U12" i="6"/>
  <c r="U102" i="6"/>
  <c r="U395" i="6"/>
  <c r="U176" i="6"/>
  <c r="U48" i="6"/>
  <c r="U330" i="6"/>
  <c r="U369" i="6"/>
  <c r="U167" i="6"/>
  <c r="U348" i="6"/>
  <c r="U46" i="6"/>
  <c r="U237" i="6"/>
  <c r="U79" i="6"/>
  <c r="U111" i="6"/>
  <c r="U386" i="6"/>
  <c r="U331" i="6"/>
  <c r="U34" i="6"/>
  <c r="U119" i="6"/>
  <c r="U207" i="6"/>
  <c r="U244" i="6"/>
  <c r="U280" i="6"/>
  <c r="U228" i="6"/>
  <c r="U351" i="6"/>
  <c r="U376" i="6"/>
  <c r="U247" i="6"/>
  <c r="U208" i="6"/>
  <c r="U236" i="6"/>
  <c r="U50" i="6"/>
  <c r="U97" i="6"/>
  <c r="U159" i="6"/>
  <c r="U212" i="6"/>
  <c r="U254" i="6"/>
  <c r="U284" i="6"/>
  <c r="U240" i="6"/>
  <c r="U355" i="6"/>
  <c r="U385" i="6"/>
  <c r="U112" i="6"/>
  <c r="U388" i="6"/>
  <c r="U191" i="6"/>
  <c r="U95" i="6"/>
  <c r="U143" i="6"/>
  <c r="U460" i="6"/>
  <c r="U53" i="6"/>
  <c r="U98" i="6"/>
  <c r="U164" i="6"/>
  <c r="U213" i="6"/>
  <c r="U256" i="6"/>
  <c r="U292" i="6"/>
  <c r="U252" i="6"/>
  <c r="U356" i="6"/>
  <c r="U387" i="6"/>
  <c r="U124" i="6"/>
  <c r="U258" i="6"/>
  <c r="U121" i="6"/>
  <c r="U81" i="6"/>
  <c r="U303" i="6"/>
  <c r="U90" i="6"/>
  <c r="U313" i="6"/>
  <c r="U243" i="6"/>
  <c r="U333" i="6"/>
  <c r="U39" i="6"/>
  <c r="U282" i="6"/>
  <c r="U55" i="6"/>
  <c r="U215" i="6"/>
  <c r="U294" i="6"/>
  <c r="U358" i="6"/>
  <c r="U274" i="6"/>
  <c r="U279" i="6"/>
  <c r="U209" i="6"/>
  <c r="U60" i="6"/>
  <c r="U113" i="6"/>
  <c r="U148" i="6"/>
  <c r="U218" i="6"/>
  <c r="U259" i="6"/>
  <c r="U295" i="6"/>
  <c r="U342" i="6"/>
  <c r="U389" i="6"/>
  <c r="U144" i="6"/>
  <c r="U33" i="6"/>
  <c r="U350" i="6"/>
  <c r="U384" i="6"/>
  <c r="U62" i="6"/>
  <c r="U114" i="6"/>
  <c r="U180" i="6"/>
  <c r="U220" i="6"/>
  <c r="U260" i="6"/>
  <c r="U297" i="6"/>
  <c r="U316" i="6"/>
  <c r="U359" i="6"/>
  <c r="U390" i="6"/>
  <c r="U222" i="6"/>
  <c r="U325" i="6"/>
  <c r="U366" i="6"/>
  <c r="U134" i="6"/>
  <c r="U248" i="6"/>
  <c r="U37" i="6"/>
  <c r="U63" i="6"/>
  <c r="U123" i="6"/>
  <c r="U181" i="6"/>
  <c r="U262" i="6"/>
  <c r="U298" i="6"/>
  <c r="U391" i="6"/>
  <c r="U263" i="6"/>
  <c r="U367" i="6"/>
  <c r="U135" i="6"/>
  <c r="U64" i="6"/>
  <c r="U139" i="6"/>
  <c r="U183" i="6"/>
  <c r="U300" i="6"/>
  <c r="U392" i="6"/>
  <c r="U137" i="6"/>
  <c r="U401" i="6"/>
  <c r="U238" i="6"/>
  <c r="U96" i="6"/>
  <c r="U354" i="6"/>
  <c r="U17" i="6"/>
  <c r="U65" i="6"/>
  <c r="U168" i="6"/>
  <c r="U188" i="6"/>
  <c r="U142" i="6"/>
  <c r="U264" i="6"/>
  <c r="U301" i="6"/>
  <c r="U324" i="6"/>
  <c r="U368" i="6"/>
  <c r="U399" i="6"/>
  <c r="U273" i="6"/>
  <c r="U302" i="6"/>
  <c r="U370" i="6"/>
  <c r="U400" i="6"/>
  <c r="U194" i="6"/>
  <c r="U383" i="6"/>
  <c r="U26" i="6"/>
  <c r="U66" i="6"/>
  <c r="U128" i="6"/>
  <c r="U190" i="6"/>
  <c r="U158" i="6"/>
  <c r="U340" i="6"/>
  <c r="U28" i="6"/>
  <c r="U323" i="6"/>
  <c r="U165" i="6"/>
  <c r="U335" i="6"/>
  <c r="U281" i="6"/>
  <c r="U31" i="6"/>
  <c r="U82" i="6"/>
  <c r="U152" i="6"/>
  <c r="U192" i="6"/>
  <c r="U230" i="6"/>
  <c r="U275" i="6"/>
  <c r="U311" i="6"/>
  <c r="U339" i="6"/>
  <c r="U403" i="6"/>
  <c r="U232" i="6"/>
  <c r="U253" i="6"/>
  <c r="U32" i="6"/>
  <c r="U85" i="6"/>
  <c r="U146" i="6"/>
  <c r="U193" i="6"/>
  <c r="U234" i="6"/>
  <c r="U278" i="6"/>
  <c r="U312" i="6"/>
  <c r="U322" i="6"/>
  <c r="U374" i="6"/>
  <c r="U334" i="6"/>
  <c r="U375" i="6"/>
  <c r="U352" i="6"/>
  <c r="U349" i="6"/>
  <c r="U210" i="6"/>
  <c r="U246" i="6"/>
  <c r="U257" i="6"/>
  <c r="F5" i="6"/>
  <c r="G5" i="6"/>
  <c r="E5" i="6"/>
  <c r="H4" i="6"/>
  <c r="H3" i="6"/>
  <c r="T5" i="6"/>
  <c r="V38" i="6"/>
  <c r="V303" i="6"/>
  <c r="V126" i="6"/>
  <c r="V378" i="6"/>
  <c r="V257" i="6"/>
  <c r="V94" i="6"/>
  <c r="V306" i="6"/>
  <c r="V233" i="6"/>
  <c r="V350" i="6"/>
  <c r="V456" i="6"/>
  <c r="V185" i="6"/>
  <c r="V374" i="6"/>
  <c r="V138" i="6"/>
  <c r="V311" i="6"/>
  <c r="V386" i="6" l="1"/>
  <c r="V13" i="6"/>
  <c r="V67" i="6"/>
  <c r="V134" i="6"/>
  <c r="V345" i="6"/>
  <c r="V164" i="6"/>
  <c r="V277" i="6"/>
  <c r="V282" i="6"/>
  <c r="V222" i="6"/>
  <c r="V315" i="6"/>
  <c r="V28" i="6"/>
  <c r="V18" i="6"/>
  <c r="V228" i="6"/>
  <c r="V430" i="6"/>
  <c r="V179" i="6"/>
  <c r="V446" i="6"/>
  <c r="V371" i="6"/>
  <c r="V372" i="6"/>
  <c r="V373" i="6"/>
  <c r="V457" i="6"/>
  <c r="V91" i="6"/>
  <c r="V92" i="6"/>
  <c r="V93" i="6"/>
  <c r="V151" i="6"/>
  <c r="V411" i="6"/>
  <c r="V199" i="6"/>
  <c r="V462" i="6"/>
  <c r="V348" i="6"/>
  <c r="V246" i="6"/>
  <c r="V72" i="6"/>
  <c r="V353" i="6"/>
  <c r="V102" i="6"/>
  <c r="V384" i="6"/>
  <c r="V132" i="6"/>
  <c r="V247" i="6"/>
  <c r="V448" i="6"/>
  <c r="V196" i="6"/>
  <c r="V249" i="6"/>
  <c r="V55" i="6"/>
  <c r="V274" i="6"/>
  <c r="V12" i="6"/>
  <c r="V225" i="6"/>
  <c r="V338" i="6"/>
  <c r="V51" i="6"/>
  <c r="V271" i="6"/>
  <c r="V441" i="6"/>
  <c r="V190" i="6"/>
  <c r="V285" i="6"/>
  <c r="V34" i="6"/>
  <c r="V153" i="6"/>
  <c r="V244" i="6"/>
  <c r="V32" i="6"/>
  <c r="V387" i="6"/>
  <c r="V122" i="6"/>
  <c r="V432" i="6"/>
  <c r="V352" i="6"/>
  <c r="V64" i="6"/>
  <c r="V449" i="6"/>
  <c r="V341" i="6"/>
  <c r="V35" i="6"/>
  <c r="V367" i="6"/>
  <c r="V116" i="6"/>
  <c r="V229" i="6"/>
  <c r="V431" i="6"/>
  <c r="V180" i="6"/>
  <c r="V397" i="6"/>
  <c r="V145" i="6"/>
  <c r="V258" i="6"/>
  <c r="V463" i="6"/>
  <c r="V209" i="6"/>
  <c r="V319" i="6"/>
  <c r="V19" i="6"/>
  <c r="V255" i="6"/>
  <c r="V425" i="6"/>
  <c r="V174" i="6"/>
  <c r="V269" i="6"/>
  <c r="V389" i="6"/>
  <c r="V137" i="6"/>
  <c r="V234" i="6"/>
  <c r="V261" i="6"/>
  <c r="V443" i="6"/>
  <c r="V295" i="6"/>
  <c r="V467" i="6"/>
  <c r="V9" i="6"/>
  <c r="V242" i="6"/>
  <c r="V87" i="6"/>
  <c r="V420" i="6"/>
  <c r="V312" i="6"/>
  <c r="V65" i="6"/>
  <c r="V351" i="6"/>
  <c r="V100" i="6"/>
  <c r="V213" i="6"/>
  <c r="V415" i="6"/>
  <c r="V168" i="6"/>
  <c r="V381" i="6"/>
  <c r="V129" i="6"/>
  <c r="V79" i="6"/>
  <c r="V444" i="6"/>
  <c r="V193" i="6"/>
  <c r="V304" i="6"/>
  <c r="V78" i="6"/>
  <c r="V239" i="6"/>
  <c r="W7" i="6"/>
  <c r="W353" i="6" s="1"/>
  <c r="V90" i="6"/>
  <c r="V253" i="6"/>
  <c r="V121" i="6"/>
  <c r="V218" i="6"/>
  <c r="V466" i="6"/>
  <c r="V416" i="6"/>
  <c r="V204" i="6"/>
  <c r="V436" i="6"/>
  <c r="V358" i="6"/>
  <c r="V165" i="6"/>
  <c r="V453" i="6"/>
  <c r="V405" i="6"/>
  <c r="V296" i="6"/>
  <c r="V66" i="6"/>
  <c r="V342" i="6"/>
  <c r="V31" i="6"/>
  <c r="V197" i="6"/>
  <c r="V331" i="6"/>
  <c r="V80" i="6"/>
  <c r="V364" i="6"/>
  <c r="V113" i="6"/>
  <c r="V226" i="6"/>
  <c r="V428" i="6"/>
  <c r="V177" i="6"/>
  <c r="V288" i="6"/>
  <c r="V40" i="6"/>
  <c r="V223" i="6"/>
  <c r="V408" i="6"/>
  <c r="V156" i="6"/>
  <c r="V237" i="6"/>
  <c r="V356" i="6"/>
  <c r="V105" i="6"/>
  <c r="V202" i="6"/>
  <c r="V439" i="6"/>
  <c r="V248" i="6"/>
  <c r="V400" i="6"/>
  <c r="V169" i="6"/>
  <c r="V361" i="6"/>
  <c r="V301" i="6"/>
  <c r="V401" i="6"/>
  <c r="V135" i="6"/>
  <c r="V10" i="6"/>
  <c r="V265" i="6"/>
  <c r="V43" i="6"/>
  <c r="V422" i="6"/>
  <c r="V313" i="6"/>
  <c r="V280" i="6"/>
  <c r="V24" i="6"/>
  <c r="V310" i="6"/>
  <c r="V84" i="6"/>
  <c r="V181" i="6"/>
  <c r="V398" i="6"/>
  <c r="V146" i="6"/>
  <c r="V336" i="6"/>
  <c r="V77" i="6"/>
  <c r="V210" i="6"/>
  <c r="V412" i="6"/>
  <c r="V89" i="6"/>
  <c r="V272" i="6"/>
  <c r="V461" i="6"/>
  <c r="V207" i="6"/>
  <c r="V392" i="6"/>
  <c r="V140" i="6"/>
  <c r="V221" i="6"/>
  <c r="V340" i="6"/>
  <c r="V41" i="6"/>
  <c r="V186" i="6"/>
  <c r="V75" i="6"/>
  <c r="V300" i="6"/>
  <c r="V438" i="6"/>
  <c r="V370" i="6"/>
  <c r="V183" i="6"/>
  <c r="V455" i="6"/>
  <c r="V407" i="6"/>
  <c r="V231" i="6"/>
  <c r="V264" i="6"/>
  <c r="V101" i="6"/>
  <c r="V294" i="6"/>
  <c r="V52" i="6"/>
  <c r="V167" i="6"/>
  <c r="V382" i="6"/>
  <c r="V130" i="6"/>
  <c r="V327" i="6"/>
  <c r="V25" i="6"/>
  <c r="V194" i="6"/>
  <c r="V333" i="6"/>
  <c r="V159" i="6"/>
  <c r="V256" i="6"/>
  <c r="V442" i="6"/>
  <c r="V191" i="6"/>
  <c r="V376" i="6"/>
  <c r="V124" i="6"/>
  <c r="V205" i="6"/>
  <c r="V252" i="6"/>
  <c r="V95" i="6"/>
  <c r="V59" i="6"/>
  <c r="V74" i="6"/>
  <c r="V217" i="6"/>
  <c r="V347" i="6"/>
  <c r="V279" i="6"/>
  <c r="V106" i="6"/>
  <c r="V424" i="6"/>
  <c r="V325" i="6"/>
  <c r="V154" i="6"/>
  <c r="V163" i="6"/>
  <c r="V33" i="6"/>
  <c r="V278" i="6"/>
  <c r="V20" i="6"/>
  <c r="V365" i="6"/>
  <c r="V114" i="6"/>
  <c r="V307" i="6"/>
  <c r="V58" i="6"/>
  <c r="V178" i="6"/>
  <c r="V395" i="6"/>
  <c r="V143" i="6"/>
  <c r="V240" i="6"/>
  <c r="V426" i="6"/>
  <c r="V175" i="6"/>
  <c r="V359" i="6"/>
  <c r="V108" i="6"/>
  <c r="V189" i="6"/>
  <c r="V299" i="6"/>
  <c r="V30" i="6"/>
  <c r="V70" i="6"/>
  <c r="V149" i="6"/>
  <c r="V385" i="6"/>
  <c r="V188" i="6"/>
  <c r="V458" i="6"/>
  <c r="V349" i="6"/>
  <c r="V236" i="6"/>
  <c r="V69" i="6"/>
  <c r="V232" i="6"/>
  <c r="V60" i="6"/>
  <c r="V262" i="6"/>
  <c r="V399" i="6"/>
  <c r="V147" i="6"/>
  <c r="V320" i="6"/>
  <c r="V98" i="6"/>
  <c r="V291" i="6"/>
  <c r="V46" i="6"/>
  <c r="V161" i="6"/>
  <c r="V379" i="6"/>
  <c r="V127" i="6"/>
  <c r="V224" i="6"/>
  <c r="V329" i="6"/>
  <c r="V61" i="6"/>
  <c r="V250" i="6"/>
  <c r="V47" i="6"/>
  <c r="V173" i="6"/>
  <c r="V283" i="6"/>
  <c r="V404" i="6"/>
  <c r="V152" i="6"/>
  <c r="V26" i="6"/>
  <c r="V284" i="6"/>
  <c r="V119" i="6"/>
  <c r="V429" i="6"/>
  <c r="V323" i="6"/>
  <c r="V57" i="6"/>
  <c r="V410" i="6"/>
  <c r="V216" i="6"/>
  <c r="V54" i="6"/>
  <c r="V171" i="6"/>
  <c r="V383" i="6"/>
  <c r="V131" i="6"/>
  <c r="V343" i="6"/>
  <c r="V27" i="6"/>
  <c r="V275" i="6"/>
  <c r="V14" i="6"/>
  <c r="V160" i="6"/>
  <c r="V362" i="6"/>
  <c r="V111" i="6"/>
  <c r="V208" i="6"/>
  <c r="V334" i="6"/>
  <c r="V157" i="6"/>
  <c r="V316" i="6"/>
  <c r="V15" i="6"/>
  <c r="V73" i="6"/>
  <c r="V267" i="6"/>
  <c r="V388" i="6"/>
  <c r="V136" i="6"/>
  <c r="V440" i="6"/>
  <c r="V201" i="6"/>
  <c r="V464" i="6"/>
  <c r="V11" i="6"/>
  <c r="V245" i="6"/>
  <c r="V71" i="6"/>
  <c r="V452" i="6"/>
  <c r="V200" i="6"/>
  <c r="V22" i="6"/>
  <c r="V230" i="6"/>
  <c r="V366" i="6"/>
  <c r="V115" i="6"/>
  <c r="V308" i="6"/>
  <c r="V81" i="6"/>
  <c r="V259" i="6"/>
  <c r="V396" i="6"/>
  <c r="V144" i="6"/>
  <c r="V321" i="6"/>
  <c r="V53" i="6"/>
  <c r="V192" i="6"/>
  <c r="V393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3" i="6"/>
  <c r="V133" i="6"/>
  <c r="V434" i="6"/>
  <c r="V354" i="6"/>
  <c r="V96" i="6"/>
  <c r="V451" i="6"/>
  <c r="V435" i="6"/>
  <c r="V184" i="6"/>
  <c r="V409" i="6"/>
  <c r="V214" i="6"/>
  <c r="V335" i="6"/>
  <c r="V99" i="6"/>
  <c r="V292" i="6"/>
  <c r="V48" i="6"/>
  <c r="V162" i="6"/>
  <c r="V380" i="6"/>
  <c r="V128" i="6"/>
  <c r="V328" i="6"/>
  <c r="V21" i="6"/>
  <c r="V176" i="6"/>
  <c r="V377" i="6"/>
  <c r="V125" i="6"/>
  <c r="V286" i="6"/>
  <c r="V36" i="6"/>
  <c r="V139" i="6"/>
  <c r="V235" i="6"/>
  <c r="V355" i="6"/>
  <c r="V104" i="6"/>
  <c r="V220" i="6"/>
  <c r="V427" i="6"/>
  <c r="V118" i="6"/>
  <c r="V414" i="6"/>
  <c r="V241" i="6"/>
  <c r="V459" i="6"/>
  <c r="V86" i="6"/>
  <c r="V445" i="6"/>
  <c r="V390" i="6"/>
  <c r="V346" i="6"/>
  <c r="V8" i="6"/>
  <c r="V263" i="6"/>
  <c r="V37" i="6"/>
  <c r="V421" i="6"/>
  <c r="V419" i="6"/>
  <c r="V166" i="6"/>
  <c r="V450" i="6"/>
  <c r="V198" i="6"/>
  <c r="V326" i="6"/>
  <c r="V29" i="6"/>
  <c r="V276" i="6"/>
  <c r="V16" i="6"/>
  <c r="V227" i="6"/>
  <c r="V363" i="6"/>
  <c r="V112" i="6"/>
  <c r="V305" i="6"/>
  <c r="V88" i="6"/>
  <c r="V82" i="6"/>
  <c r="V360" i="6"/>
  <c r="V109" i="6"/>
  <c r="V270" i="6"/>
  <c r="V391" i="6"/>
  <c r="V123" i="6"/>
  <c r="V219" i="6"/>
  <c r="V324" i="6"/>
  <c r="V39" i="6"/>
  <c r="V418" i="6"/>
  <c r="V297" i="6"/>
  <c r="V437" i="6"/>
  <c r="V368" i="6"/>
  <c r="V172" i="6"/>
  <c r="V454" i="6"/>
  <c r="V406" i="6"/>
  <c r="V330" i="6"/>
  <c r="V97" i="6"/>
  <c r="V433" i="6"/>
  <c r="V182" i="6"/>
  <c r="V309" i="6"/>
  <c r="V68" i="6"/>
  <c r="V260" i="6"/>
  <c r="V465" i="6"/>
  <c r="V211" i="6"/>
  <c r="V337" i="6"/>
  <c r="V62" i="6"/>
  <c r="V289" i="6"/>
  <c r="V42" i="6"/>
  <c r="V158" i="6"/>
  <c r="V322" i="6"/>
  <c r="V49" i="6"/>
  <c r="V254" i="6"/>
  <c r="V375" i="6"/>
  <c r="V107" i="6"/>
  <c r="V203" i="6"/>
  <c r="V314" i="6"/>
  <c r="V117" i="6"/>
  <c r="V369" i="6"/>
  <c r="V212" i="6"/>
  <c r="V44" i="6"/>
  <c r="V287" i="6"/>
  <c r="V206" i="6"/>
  <c r="V266" i="6"/>
  <c r="V403" i="6"/>
  <c r="V215" i="6"/>
  <c r="V332" i="6"/>
  <c r="V268" i="6"/>
  <c r="V103" i="6"/>
  <c r="V423" i="6"/>
  <c r="V251" i="6"/>
  <c r="V402" i="6"/>
  <c r="V150" i="6"/>
  <c r="V417" i="6"/>
  <c r="V76" i="6"/>
  <c r="V293" i="6"/>
  <c r="V50" i="6"/>
  <c r="V170" i="6"/>
  <c r="V447" i="6"/>
  <c r="V195" i="6"/>
  <c r="V344" i="6"/>
  <c r="V23" i="6"/>
  <c r="V273" i="6"/>
  <c r="V394" i="6"/>
  <c r="V142" i="6"/>
  <c r="V317" i="6"/>
  <c r="V17" i="6"/>
  <c r="V238" i="6"/>
  <c r="V339" i="6"/>
  <c r="V45" i="6"/>
  <c r="V187" i="6"/>
  <c r="V298" i="6"/>
  <c r="V85" i="6"/>
  <c r="U5" i="6"/>
  <c r="H5" i="6"/>
  <c r="W17" i="6"/>
  <c r="W123" i="6"/>
  <c r="W272" i="6"/>
  <c r="W182" i="6"/>
  <c r="W245" i="6"/>
  <c r="W116" i="6"/>
  <c r="W85" i="6"/>
  <c r="W60" i="6"/>
  <c r="W35" i="6"/>
  <c r="W37" i="6"/>
  <c r="W12" i="6"/>
  <c r="W404" i="6"/>
  <c r="W145" i="6" l="1"/>
  <c r="W96" i="6"/>
  <c r="W312" i="6"/>
  <c r="W357" i="6"/>
  <c r="W350" i="6"/>
  <c r="W59" i="6"/>
  <c r="W424" i="6"/>
  <c r="W194" i="6"/>
  <c r="W8" i="6"/>
  <c r="W466" i="6"/>
  <c r="W413" i="6"/>
  <c r="W397" i="6"/>
  <c r="W52" i="6"/>
  <c r="W61" i="6"/>
  <c r="W66" i="6"/>
  <c r="W32" i="6"/>
  <c r="W446" i="6"/>
  <c r="W371" i="6"/>
  <c r="W372" i="6"/>
  <c r="W373" i="6"/>
  <c r="W296" i="6"/>
  <c r="W33" i="6"/>
  <c r="W91" i="6"/>
  <c r="W92" i="6"/>
  <c r="W93" i="6"/>
  <c r="V5" i="6"/>
  <c r="W374" i="6"/>
  <c r="W399" i="6"/>
  <c r="W396" i="6"/>
  <c r="W405" i="6"/>
  <c r="W415" i="6"/>
  <c r="W462" i="6"/>
  <c r="W443" i="6"/>
  <c r="W427" i="6"/>
  <c r="W416" i="6"/>
  <c r="W31" i="6"/>
  <c r="W30" i="6"/>
  <c r="W58" i="6"/>
  <c r="W83" i="6"/>
  <c r="W115" i="6"/>
  <c r="W143" i="6"/>
  <c r="W160" i="6"/>
  <c r="W238" i="6"/>
  <c r="W176" i="6"/>
  <c r="W43" i="6"/>
  <c r="W256" i="6"/>
  <c r="W448" i="6"/>
  <c r="W165" i="6"/>
  <c r="W381" i="6"/>
  <c r="W107" i="6"/>
  <c r="W203" i="6"/>
  <c r="W36" i="6"/>
  <c r="W50" i="6"/>
  <c r="W280" i="6"/>
  <c r="W336" i="6"/>
  <c r="W394" i="6"/>
  <c r="W330" i="6"/>
  <c r="W412" i="6"/>
  <c r="W459" i="6"/>
  <c r="W425" i="6"/>
  <c r="W249" i="6"/>
  <c r="W461" i="6"/>
  <c r="W442" i="6"/>
  <c r="W29" i="6"/>
  <c r="W56" i="6"/>
  <c r="W80" i="6"/>
  <c r="W114" i="6"/>
  <c r="W141" i="6"/>
  <c r="W161" i="6"/>
  <c r="W328" i="6"/>
  <c r="W27" i="6"/>
  <c r="W217" i="6"/>
  <c r="W435" i="6"/>
  <c r="W156" i="6"/>
  <c r="W364" i="6"/>
  <c r="W86" i="6"/>
  <c r="W299" i="6"/>
  <c r="W20" i="6"/>
  <c r="W34" i="6"/>
  <c r="W264" i="6"/>
  <c r="W75" i="6"/>
  <c r="W184" i="6"/>
  <c r="W224" i="6"/>
  <c r="W337" i="6"/>
  <c r="W370" i="6"/>
  <c r="W393" i="6"/>
  <c r="W313" i="6"/>
  <c r="W406" i="6"/>
  <c r="W348" i="6"/>
  <c r="W463" i="6"/>
  <c r="W440" i="6"/>
  <c r="W454" i="6"/>
  <c r="W426" i="6"/>
  <c r="W28" i="6"/>
  <c r="W53" i="6"/>
  <c r="W79" i="6"/>
  <c r="W113" i="6"/>
  <c r="W138" i="6"/>
  <c r="W306" i="6"/>
  <c r="W450" i="6"/>
  <c r="W242" i="6"/>
  <c r="W407" i="6"/>
  <c r="W140" i="6"/>
  <c r="W314" i="6"/>
  <c r="W70" i="6"/>
  <c r="W283" i="6"/>
  <c r="W297" i="6"/>
  <c r="W18" i="6"/>
  <c r="W222" i="6"/>
  <c r="W74" i="6"/>
  <c r="W344" i="6"/>
  <c r="W345" i="6"/>
  <c r="W200" i="6"/>
  <c r="W368" i="6"/>
  <c r="W391" i="6"/>
  <c r="W390" i="6"/>
  <c r="W389" i="6"/>
  <c r="W319" i="6"/>
  <c r="W444" i="6"/>
  <c r="W455" i="6"/>
  <c r="W421" i="6"/>
  <c r="W467" i="6"/>
  <c r="W26" i="6"/>
  <c r="W51" i="6"/>
  <c r="W78" i="6"/>
  <c r="W111" i="6"/>
  <c r="W290" i="6"/>
  <c r="W458" i="6"/>
  <c r="W210" i="6"/>
  <c r="W398" i="6"/>
  <c r="W124" i="6"/>
  <c r="W341" i="6"/>
  <c r="W54" i="6"/>
  <c r="W267" i="6"/>
  <c r="W281" i="6"/>
  <c r="X7" i="6"/>
  <c r="W233" i="6"/>
  <c r="W457" i="6"/>
  <c r="W294" i="6"/>
  <c r="W293" i="6"/>
  <c r="W251" i="6"/>
  <c r="W338" i="6"/>
  <c r="W366" i="6"/>
  <c r="W363" i="6"/>
  <c r="W361" i="6"/>
  <c r="W388" i="6"/>
  <c r="W408" i="6"/>
  <c r="W401" i="6"/>
  <c r="W438" i="6"/>
  <c r="W464" i="6"/>
  <c r="W445" i="6"/>
  <c r="W24" i="6"/>
  <c r="W48" i="6"/>
  <c r="W77" i="6"/>
  <c r="W274" i="6"/>
  <c r="W423" i="6"/>
  <c r="W248" i="6"/>
  <c r="W382" i="6"/>
  <c r="W108" i="6"/>
  <c r="W219" i="6"/>
  <c r="W38" i="6"/>
  <c r="W236" i="6"/>
  <c r="W265" i="6"/>
  <c r="W414" i="6"/>
  <c r="W175" i="6"/>
  <c r="W460" i="6"/>
  <c r="W266" i="6"/>
  <c r="W263" i="6"/>
  <c r="W292" i="6"/>
  <c r="W211" i="6"/>
  <c r="W322" i="6"/>
  <c r="W315" i="6"/>
  <c r="W250" i="6"/>
  <c r="W360" i="6"/>
  <c r="W387" i="6"/>
  <c r="W385" i="6"/>
  <c r="W409" i="6"/>
  <c r="W429" i="6"/>
  <c r="W456" i="6"/>
  <c r="W436" i="6"/>
  <c r="W21" i="6"/>
  <c r="W47" i="6"/>
  <c r="W258" i="6"/>
  <c r="W453" i="6"/>
  <c r="W158" i="6"/>
  <c r="W365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9" i="6"/>
  <c r="W340" i="6"/>
  <c r="W358" i="6"/>
  <c r="W383" i="6"/>
  <c r="W346" i="6"/>
  <c r="W452" i="6"/>
  <c r="W439" i="6"/>
  <c r="W433" i="6"/>
  <c r="W19" i="6"/>
  <c r="W172" i="6"/>
  <c r="W400" i="6"/>
  <c r="W142" i="6"/>
  <c r="W320" i="6"/>
  <c r="W71" i="6"/>
  <c r="W285" i="6"/>
  <c r="W465" i="6"/>
  <c r="W199" i="6"/>
  <c r="W237" i="6"/>
  <c r="W441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5" i="6"/>
  <c r="W356" i="6"/>
  <c r="W380" i="6"/>
  <c r="W331" i="6"/>
  <c r="W9" i="6"/>
  <c r="W451" i="6"/>
  <c r="W349" i="6"/>
  <c r="W188" i="6"/>
  <c r="W334" i="6"/>
  <c r="W126" i="6"/>
  <c r="W324" i="6"/>
  <c r="W55" i="6"/>
  <c r="W269" i="6"/>
  <c r="W437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2" i="6"/>
  <c r="W355" i="6"/>
  <c r="W378" i="6"/>
  <c r="W332" i="6"/>
  <c r="W403" i="6"/>
  <c r="W411" i="6"/>
  <c r="W226" i="6"/>
  <c r="W384" i="6"/>
  <c r="W110" i="6"/>
  <c r="W227" i="6"/>
  <c r="W39" i="6"/>
  <c r="W253" i="6"/>
  <c r="W428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6" i="6"/>
  <c r="W354" i="6"/>
  <c r="W377" i="6"/>
  <c r="W239" i="6"/>
  <c r="W432" i="6"/>
  <c r="W189" i="6"/>
  <c r="W367" i="6"/>
  <c r="W89" i="6"/>
  <c r="W302" i="6"/>
  <c r="W23" i="6"/>
  <c r="W193" i="6"/>
  <c r="W231" i="6"/>
  <c r="W153" i="6"/>
  <c r="W168" i="6"/>
  <c r="W392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2" i="6"/>
  <c r="W375" i="6"/>
  <c r="W422" i="6"/>
  <c r="W351" i="6"/>
  <c r="W73" i="6"/>
  <c r="W286" i="6"/>
  <c r="W420" i="6"/>
  <c r="W215" i="6"/>
  <c r="W11" i="6"/>
  <c r="W137" i="6"/>
  <c r="W151" i="6"/>
  <c r="W376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3" i="6"/>
  <c r="W335" i="6"/>
  <c r="W317" i="6"/>
  <c r="W144" i="6"/>
  <c r="W323" i="6"/>
  <c r="W57" i="6"/>
  <c r="W270" i="6"/>
  <c r="W310" i="6"/>
  <c r="W186" i="6"/>
  <c r="W395" i="6"/>
  <c r="W121" i="6"/>
  <c r="W135" i="6"/>
  <c r="W359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7" i="6"/>
  <c r="W192" i="6"/>
  <c r="W128" i="6"/>
  <c r="W329" i="6"/>
  <c r="W41" i="6"/>
  <c r="W254" i="6"/>
  <c r="W431" i="6"/>
  <c r="W166" i="6"/>
  <c r="W379" i="6"/>
  <c r="W105" i="6"/>
  <c r="W119" i="6"/>
  <c r="W321" i="6"/>
  <c r="W65" i="6"/>
  <c r="W434" i="6"/>
  <c r="W430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6" i="6"/>
  <c r="W112" i="6"/>
  <c r="W304" i="6"/>
  <c r="W25" i="6"/>
  <c r="W201" i="6"/>
  <c r="W419" i="6"/>
  <c r="W155" i="6"/>
  <c r="W362" i="6"/>
  <c r="W84" i="6"/>
  <c r="W103" i="6"/>
  <c r="W316" i="6"/>
  <c r="W49" i="6"/>
  <c r="W402" i="6"/>
  <c r="W447" i="6"/>
  <c r="W347" i="6"/>
  <c r="W418" i="6"/>
  <c r="W410" i="6"/>
  <c r="W449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9" i="6"/>
  <c r="W94" i="6"/>
  <c r="W288" i="6"/>
  <c r="W417" i="6"/>
  <c r="W223" i="6"/>
  <c r="W333" i="6"/>
  <c r="W139" i="6"/>
  <c r="W311" i="6"/>
  <c r="W68" i="6"/>
  <c r="W82" i="6"/>
  <c r="W179" i="6"/>
  <c r="X265" i="6" l="1"/>
  <c r="X357" i="6"/>
  <c r="X380" i="6"/>
  <c r="X290" i="6"/>
  <c r="X163" i="6"/>
  <c r="X463" i="6"/>
  <c r="X315" i="6"/>
  <c r="X71" i="6"/>
  <c r="X348" i="6"/>
  <c r="X371" i="6"/>
  <c r="X372" i="6"/>
  <c r="X373" i="6"/>
  <c r="X264" i="6"/>
  <c r="X280" i="6"/>
  <c r="X436" i="6"/>
  <c r="X408" i="6"/>
  <c r="X77" i="6"/>
  <c r="X66" i="6"/>
  <c r="X13" i="6"/>
  <c r="X28" i="6"/>
  <c r="X446" i="6"/>
  <c r="X422" i="6"/>
  <c r="X79" i="6"/>
  <c r="X162" i="6"/>
  <c r="X26" i="6"/>
  <c r="X313" i="6"/>
  <c r="X244" i="6"/>
  <c r="X213" i="6"/>
  <c r="X439" i="6"/>
  <c r="X304" i="6"/>
  <c r="X80" i="6"/>
  <c r="X424" i="6"/>
  <c r="X411" i="6"/>
  <c r="X363" i="6"/>
  <c r="X220" i="6"/>
  <c r="X437" i="6"/>
  <c r="X245" i="6"/>
  <c r="X306" i="6"/>
  <c r="X320" i="6"/>
  <c r="X176" i="6"/>
  <c r="X85" i="6"/>
  <c r="X130" i="6"/>
  <c r="X389" i="6"/>
  <c r="X354" i="6"/>
  <c r="X147" i="6"/>
  <c r="X339" i="6"/>
  <c r="X284" i="6"/>
  <c r="X268" i="6"/>
  <c r="X188" i="6"/>
  <c r="X325" i="6"/>
  <c r="X347" i="6"/>
  <c r="X29" i="6"/>
  <c r="X91" i="6"/>
  <c r="X92" i="6"/>
  <c r="X93" i="6"/>
  <c r="X353" i="6"/>
  <c r="X166" i="6"/>
  <c r="X282" i="6"/>
  <c r="X90" i="6"/>
  <c r="X64" i="6"/>
  <c r="X69" i="6"/>
  <c r="X332" i="6"/>
  <c r="X150" i="6"/>
  <c r="X27" i="6"/>
  <c r="X400" i="6"/>
  <c r="X266" i="6"/>
  <c r="X82" i="6"/>
  <c r="X462" i="6"/>
  <c r="X281" i="6"/>
  <c r="X165" i="6"/>
  <c r="X87" i="6"/>
  <c r="W5" i="6"/>
  <c r="X464" i="6"/>
  <c r="X419" i="6"/>
  <c r="X99" i="6"/>
  <c r="X343" i="6"/>
  <c r="X377" i="6"/>
  <c r="X10" i="6"/>
  <c r="X427" i="6"/>
  <c r="X259" i="6"/>
  <c r="X323" i="6"/>
  <c r="X240" i="6"/>
  <c r="X174" i="6"/>
  <c r="X43" i="6"/>
  <c r="X232" i="6"/>
  <c r="X228" i="6"/>
  <c r="X222" i="6"/>
  <c r="X428" i="6"/>
  <c r="X184" i="6"/>
  <c r="X205" i="6"/>
  <c r="X392" i="6"/>
  <c r="X134" i="6"/>
  <c r="X149" i="6"/>
  <c r="X404" i="6"/>
  <c r="X146" i="6"/>
  <c r="X329" i="6"/>
  <c r="X51" i="6"/>
  <c r="X49" i="6"/>
  <c r="X48" i="6"/>
  <c r="X46" i="6"/>
  <c r="X75" i="6"/>
  <c r="X301" i="6"/>
  <c r="X412" i="6"/>
  <c r="X185" i="6"/>
  <c r="X22" i="6"/>
  <c r="X237" i="6"/>
  <c r="X133" i="6"/>
  <c r="X25" i="6"/>
  <c r="X24" i="6"/>
  <c r="X74" i="6"/>
  <c r="X453" i="6"/>
  <c r="X385" i="6"/>
  <c r="X418" i="6"/>
  <c r="X181" i="6"/>
  <c r="X344" i="6"/>
  <c r="X374" i="6"/>
  <c r="Y7" i="6"/>
  <c r="X458" i="6"/>
  <c r="X182" i="6"/>
  <c r="X207" i="6"/>
  <c r="X283" i="6"/>
  <c r="X349" i="6"/>
  <c r="X191" i="6"/>
  <c r="X183" i="6"/>
  <c r="X175" i="6"/>
  <c r="X410" i="6"/>
  <c r="X152" i="6"/>
  <c r="X167" i="6"/>
  <c r="X359" i="6"/>
  <c r="X102" i="6"/>
  <c r="X117" i="6"/>
  <c r="X114" i="6"/>
  <c r="X288" i="6"/>
  <c r="X287" i="6"/>
  <c r="X286" i="6"/>
  <c r="X285" i="6"/>
  <c r="X52" i="6"/>
  <c r="X457" i="6"/>
  <c r="X9" i="6"/>
  <c r="X360" i="6"/>
  <c r="X449" i="6"/>
  <c r="X417" i="6"/>
  <c r="X297" i="6"/>
  <c r="X252" i="6"/>
  <c r="X395" i="6"/>
  <c r="X438" i="6"/>
  <c r="X116" i="6"/>
  <c r="X178" i="6"/>
  <c r="X267" i="6"/>
  <c r="X461" i="6"/>
  <c r="X246" i="6"/>
  <c r="X247" i="6"/>
  <c r="X221" i="6"/>
  <c r="X394" i="6"/>
  <c r="X136" i="6"/>
  <c r="X151" i="6"/>
  <c r="X338" i="6"/>
  <c r="X78" i="6"/>
  <c r="X101" i="6"/>
  <c r="X355" i="6"/>
  <c r="X98" i="6"/>
  <c r="X272" i="6"/>
  <c r="X271" i="6"/>
  <c r="X270" i="6"/>
  <c r="X269" i="6"/>
  <c r="X36" i="6"/>
  <c r="X460" i="6"/>
  <c r="X406" i="6"/>
  <c r="X324" i="6"/>
  <c r="X405" i="6"/>
  <c r="X466" i="6"/>
  <c r="X73" i="6"/>
  <c r="X251" i="6"/>
  <c r="X369" i="6"/>
  <c r="X11" i="6"/>
  <c r="X456" i="6"/>
  <c r="X224" i="6"/>
  <c r="X236" i="6"/>
  <c r="X415" i="6"/>
  <c r="X208" i="6"/>
  <c r="X200" i="6"/>
  <c r="X192" i="6"/>
  <c r="X378" i="6"/>
  <c r="X120" i="6"/>
  <c r="X135" i="6"/>
  <c r="X327" i="6"/>
  <c r="X57" i="6"/>
  <c r="X56" i="6"/>
  <c r="X187" i="6"/>
  <c r="X89" i="6"/>
  <c r="X256" i="6"/>
  <c r="X255" i="6"/>
  <c r="X254" i="6"/>
  <c r="X253" i="6"/>
  <c r="X20" i="6"/>
  <c r="X393" i="6"/>
  <c r="X307" i="6"/>
  <c r="X382" i="6"/>
  <c r="X334" i="6"/>
  <c r="X414" i="6"/>
  <c r="X291" i="6"/>
  <c r="X211" i="6"/>
  <c r="X390" i="6"/>
  <c r="X420" i="6"/>
  <c r="X83" i="6"/>
  <c r="X177" i="6"/>
  <c r="X467" i="6"/>
  <c r="X171" i="6"/>
  <c r="X170" i="6"/>
  <c r="X169" i="6"/>
  <c r="X361" i="6"/>
  <c r="X104" i="6"/>
  <c r="X119" i="6"/>
  <c r="X309" i="6"/>
  <c r="X37" i="6"/>
  <c r="X35" i="6"/>
  <c r="X345" i="6"/>
  <c r="X53" i="6"/>
  <c r="X217" i="6"/>
  <c r="X209" i="6"/>
  <c r="X201" i="6"/>
  <c r="X193" i="6"/>
  <c r="X50" i="6"/>
  <c r="X425" i="6"/>
  <c r="X398" i="6"/>
  <c r="X132" i="6"/>
  <c r="X299" i="6"/>
  <c r="X233" i="6"/>
  <c r="X383" i="6"/>
  <c r="X196" i="6"/>
  <c r="X356" i="6"/>
  <c r="X401" i="6"/>
  <c r="X431" i="6"/>
  <c r="X164" i="6"/>
  <c r="X330" i="6"/>
  <c r="X366" i="6"/>
  <c r="X435" i="6"/>
  <c r="X157" i="6"/>
  <c r="X199" i="6"/>
  <c r="X333" i="6"/>
  <c r="X155" i="6"/>
  <c r="X154" i="6"/>
  <c r="X153" i="6"/>
  <c r="X321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1" i="6"/>
  <c r="X118" i="6"/>
  <c r="X368" i="6"/>
  <c r="X100" i="6"/>
  <c r="X316" i="6"/>
  <c r="X379" i="6"/>
  <c r="X350" i="6"/>
  <c r="X443" i="6"/>
  <c r="X275" i="6"/>
  <c r="X250" i="6"/>
  <c r="X179" i="6"/>
  <c r="X141" i="6"/>
  <c r="X173" i="6"/>
  <c r="X397" i="6"/>
  <c r="X139" i="6"/>
  <c r="X138" i="6"/>
  <c r="X137" i="6"/>
  <c r="X219" i="6"/>
  <c r="X59" i="6"/>
  <c r="X88" i="6"/>
  <c r="X277" i="6"/>
  <c r="X292" i="6"/>
  <c r="X55" i="6"/>
  <c r="X289" i="6"/>
  <c r="X430" i="6"/>
  <c r="X210" i="6"/>
  <c r="X202" i="6"/>
  <c r="X194" i="6"/>
  <c r="X186" i="6"/>
  <c r="X18" i="6"/>
  <c r="X409" i="6"/>
  <c r="X376" i="6"/>
  <c r="X358" i="6"/>
  <c r="X423" i="6"/>
  <c r="X302" i="6"/>
  <c r="X352" i="6"/>
  <c r="X399" i="6"/>
  <c r="X444" i="6"/>
  <c r="X148" i="6"/>
  <c r="X312" i="6"/>
  <c r="X386" i="6"/>
  <c r="X125" i="6"/>
  <c r="X216" i="6"/>
  <c r="X381" i="6"/>
  <c r="X123" i="6"/>
  <c r="X122" i="6"/>
  <c r="X121" i="6"/>
  <c r="X311" i="6"/>
  <c r="X39" i="6"/>
  <c r="X58" i="6"/>
  <c r="X261" i="6"/>
  <c r="X276" i="6"/>
  <c r="X33" i="6"/>
  <c r="X273" i="6"/>
  <c r="X434" i="6"/>
  <c r="X239" i="6"/>
  <c r="X235" i="6"/>
  <c r="X231" i="6"/>
  <c r="X227" i="6"/>
  <c r="X63" i="6"/>
  <c r="X388" i="6"/>
  <c r="X322" i="6"/>
  <c r="X421" i="6"/>
  <c r="X226" i="6"/>
  <c r="X195" i="6"/>
  <c r="X375" i="6"/>
  <c r="X8" i="6"/>
  <c r="X429" i="6"/>
  <c r="X258" i="6"/>
  <c r="X362" i="6"/>
  <c r="X109" i="6"/>
  <c r="X67" i="6"/>
  <c r="X364" i="6"/>
  <c r="X107" i="6"/>
  <c r="X106" i="6"/>
  <c r="X105" i="6"/>
  <c r="X295" i="6"/>
  <c r="X16" i="6"/>
  <c r="X38" i="6"/>
  <c r="X198" i="6"/>
  <c r="X260" i="6"/>
  <c r="X72" i="6"/>
  <c r="X257" i="6"/>
  <c r="X459" i="6"/>
  <c r="X97" i="6"/>
  <c r="X86" i="6"/>
  <c r="X70" i="6"/>
  <c r="X47" i="6"/>
  <c r="X326" i="6"/>
  <c r="X442" i="6"/>
  <c r="X450" i="6"/>
  <c r="X300" i="6"/>
  <c r="X335" i="6"/>
  <c r="X396" i="6"/>
  <c r="X455" i="6"/>
  <c r="X131" i="6"/>
  <c r="X340" i="6"/>
  <c r="X65" i="6"/>
  <c r="X156" i="6"/>
  <c r="X336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7" i="6"/>
  <c r="X445" i="6"/>
  <c r="X248" i="6"/>
  <c r="X328" i="6"/>
  <c r="X331" i="6"/>
  <c r="X440" i="6"/>
  <c r="X308" i="6"/>
  <c r="X44" i="6"/>
  <c r="X140" i="6"/>
  <c r="X342" i="6"/>
  <c r="X62" i="6"/>
  <c r="X61" i="6"/>
  <c r="X60" i="6"/>
  <c r="X263" i="6"/>
  <c r="X278" i="6"/>
  <c r="X433" i="6"/>
  <c r="X238" i="6"/>
  <c r="X204" i="6"/>
  <c r="X32" i="6"/>
  <c r="X180" i="6"/>
  <c r="X403" i="6"/>
  <c r="X145" i="6"/>
  <c r="X144" i="6"/>
  <c r="X143" i="6"/>
  <c r="X142" i="6"/>
  <c r="X15" i="6"/>
  <c r="X426" i="6"/>
  <c r="X310" i="6"/>
  <c r="X416" i="6"/>
  <c r="X413" i="6"/>
  <c r="X303" i="6"/>
  <c r="X384" i="6"/>
  <c r="X432" i="6"/>
  <c r="X447" i="6"/>
  <c r="X296" i="6"/>
  <c r="X337" i="6"/>
  <c r="X391" i="6"/>
  <c r="X452" i="6"/>
  <c r="X172" i="6"/>
  <c r="X23" i="6"/>
  <c r="X124" i="6"/>
  <c r="X314" i="6"/>
  <c r="X42" i="6"/>
  <c r="X41" i="6"/>
  <c r="X40" i="6"/>
  <c r="X214" i="6"/>
  <c r="X262" i="6"/>
  <c r="X454" i="6"/>
  <c r="X197" i="6"/>
  <c r="X234" i="6"/>
  <c r="X465" i="6"/>
  <c r="X218" i="6"/>
  <c r="X387" i="6"/>
  <c r="X129" i="6"/>
  <c r="X128" i="6"/>
  <c r="X127" i="6"/>
  <c r="X126" i="6"/>
  <c r="X45" i="6"/>
  <c r="X168" i="6"/>
  <c r="X230" i="6"/>
  <c r="X274" i="6"/>
  <c r="X341" i="6"/>
  <c r="X402" i="6"/>
  <c r="X448" i="6"/>
  <c r="X96" i="6"/>
  <c r="X346" i="6"/>
  <c r="X367" i="6"/>
  <c r="X319" i="6"/>
  <c r="X115" i="6"/>
  <c r="X365" i="6"/>
  <c r="X108" i="6"/>
  <c r="X298" i="6"/>
  <c r="X21" i="6"/>
  <c r="X19" i="6"/>
  <c r="X17" i="6"/>
  <c r="X229" i="6"/>
  <c r="X206" i="6"/>
  <c r="X441" i="6"/>
  <c r="X76" i="6"/>
  <c r="X189" i="6"/>
  <c r="X451" i="6"/>
  <c r="X249" i="6"/>
  <c r="X370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8" i="6"/>
  <c r="Y34" i="6"/>
  <c r="Y133" i="6"/>
  <c r="Y12" i="6"/>
  <c r="Y82" i="6"/>
  <c r="Y111" i="6"/>
  <c r="Y390" i="6"/>
  <c r="Y60" i="6"/>
  <c r="Y84" i="6"/>
  <c r="Y265" i="6"/>
  <c r="Y61" i="6"/>
  <c r="Y96" i="6"/>
  <c r="Y458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2" i="6"/>
  <c r="Y73" i="6"/>
  <c r="Y101" i="6"/>
  <c r="Y262" i="6"/>
  <c r="Y361" i="6"/>
  <c r="Y27" i="6"/>
  <c r="Y423" i="6"/>
  <c r="Y392" i="6"/>
  <c r="Y395" i="6"/>
  <c r="Y339" i="6"/>
  <c r="Y449" i="6"/>
  <c r="Y297" i="6"/>
  <c r="Y80" i="6"/>
  <c r="Y155" i="6"/>
  <c r="Y174" i="6"/>
  <c r="Y402" i="6"/>
  <c r="Y341" i="6"/>
  <c r="Y461" i="6"/>
  <c r="Y64" i="6"/>
  <c r="Y359" i="6"/>
  <c r="Y76" i="6"/>
  <c r="Y413" i="6"/>
  <c r="Y275" i="6"/>
  <c r="Y415" i="6"/>
  <c r="Y172" i="6"/>
  <c r="Y350" i="6"/>
  <c r="Y182" i="6"/>
  <c r="Y224" i="6" l="1"/>
  <c r="Y357" i="6"/>
  <c r="Y438" i="6"/>
  <c r="Y128" i="6"/>
  <c r="Y321" i="6"/>
  <c r="Y196" i="6"/>
  <c r="Y130" i="6"/>
  <c r="Y424" i="6"/>
  <c r="Y409" i="6"/>
  <c r="Y387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20" i="6"/>
  <c r="Y231" i="6"/>
  <c r="Y17" i="6"/>
  <c r="Y108" i="6"/>
  <c r="Y364" i="6"/>
  <c r="Y448" i="6"/>
  <c r="Y388" i="6"/>
  <c r="Y26" i="6"/>
  <c r="Y98" i="6"/>
  <c r="Y161" i="6"/>
  <c r="Y86" i="6"/>
  <c r="Y185" i="6"/>
  <c r="Y355" i="6"/>
  <c r="Y270" i="6"/>
  <c r="Y13" i="6"/>
  <c r="Y36" i="6"/>
  <c r="Y391" i="6"/>
  <c r="Y72" i="6"/>
  <c r="Y167" i="6"/>
  <c r="Y152" i="6"/>
  <c r="Y162" i="6"/>
  <c r="Y30" i="6"/>
  <c r="Y382" i="6"/>
  <c r="Y267" i="6"/>
  <c r="Y401" i="6"/>
  <c r="Y8" i="6"/>
  <c r="Y57" i="6"/>
  <c r="Y240" i="6"/>
  <c r="Y360" i="6"/>
  <c r="Y445" i="6"/>
  <c r="Y383" i="6"/>
  <c r="Y48" i="6"/>
  <c r="Y121" i="6"/>
  <c r="Y68" i="6"/>
  <c r="Y118" i="6"/>
  <c r="Y434" i="6"/>
  <c r="Y333" i="6"/>
  <c r="Y335" i="6"/>
  <c r="Y358" i="6"/>
  <c r="Y351" i="6"/>
  <c r="Y40" i="6"/>
  <c r="Y69" i="6"/>
  <c r="Y104" i="6"/>
  <c r="Y79" i="6"/>
  <c r="Y75" i="6"/>
  <c r="Y251" i="6"/>
  <c r="Y94" i="6"/>
  <c r="Y254" i="6"/>
  <c r="Y369" i="6"/>
  <c r="Y465" i="6"/>
  <c r="Y24" i="6"/>
  <c r="Y37" i="6"/>
  <c r="Y83" i="6"/>
  <c r="Y47" i="6"/>
  <c r="Y74" i="6"/>
  <c r="Y220" i="6"/>
  <c r="Y374" i="6"/>
  <c r="Y33" i="6"/>
  <c r="Y408" i="6"/>
  <c r="Y22" i="6"/>
  <c r="Y379" i="6"/>
  <c r="Y54" i="6"/>
  <c r="Y295" i="6"/>
  <c r="Y43" i="6"/>
  <c r="Y431" i="6"/>
  <c r="Y430" i="6"/>
  <c r="Y427" i="6"/>
  <c r="Y370" i="6"/>
  <c r="Y51" i="6"/>
  <c r="Y460" i="6"/>
  <c r="Y338" i="6"/>
  <c r="Y303" i="6"/>
  <c r="Y44" i="6"/>
  <c r="Y344" i="6"/>
  <c r="Y245" i="6"/>
  <c r="Y375" i="6"/>
  <c r="Y300" i="6"/>
  <c r="Y453" i="6"/>
  <c r="Y457" i="6"/>
  <c r="Y229" i="6"/>
  <c r="Y330" i="6"/>
  <c r="Y366" i="6"/>
  <c r="Y306" i="6"/>
  <c r="Y15" i="6"/>
  <c r="Y289" i="6"/>
  <c r="Y428" i="6"/>
  <c r="Y105" i="6"/>
  <c r="Y302" i="6"/>
  <c r="Y429" i="6"/>
  <c r="Y129" i="6"/>
  <c r="Y194" i="6"/>
  <c r="Y238" i="6"/>
  <c r="Y347" i="6"/>
  <c r="Y349" i="6"/>
  <c r="Y467" i="6"/>
  <c r="Y466" i="6"/>
  <c r="Y362" i="6"/>
  <c r="Y20" i="6"/>
  <c r="Y328" i="6"/>
  <c r="Y292" i="6"/>
  <c r="Y284" i="6"/>
  <c r="Y389" i="6"/>
  <c r="Y260" i="6"/>
  <c r="Y411" i="6"/>
  <c r="Y396" i="6"/>
  <c r="Y35" i="6"/>
  <c r="Y436" i="6"/>
  <c r="Y422" i="6"/>
  <c r="Y356" i="6"/>
  <c r="Y447" i="6"/>
  <c r="Y217" i="6"/>
  <c r="Y404" i="6"/>
  <c r="Y451" i="6"/>
  <c r="Y107" i="6"/>
  <c r="Y287" i="6"/>
  <c r="Y440" i="6"/>
  <c r="Y367" i="6"/>
  <c r="Y298" i="6"/>
  <c r="Y282" i="6"/>
  <c r="Y276" i="6"/>
  <c r="Y301" i="6"/>
  <c r="Y334" i="6"/>
  <c r="Y353" i="6"/>
  <c r="Y281" i="6"/>
  <c r="Y420" i="6"/>
  <c r="Y384" i="6"/>
  <c r="Y412" i="6"/>
  <c r="Y400" i="6"/>
  <c r="Y343" i="6"/>
  <c r="Y257" i="6"/>
  <c r="Y433" i="6"/>
  <c r="Y67" i="6"/>
  <c r="Y452" i="6"/>
  <c r="Y376" i="6"/>
  <c r="Y432" i="6"/>
  <c r="Y294" i="6"/>
  <c r="Y385" i="6"/>
  <c r="Y191" i="6"/>
  <c r="Y442" i="6"/>
  <c r="Y206" i="6"/>
  <c r="Y151" i="6"/>
  <c r="Y219" i="6"/>
  <c r="Y77" i="6"/>
  <c r="Y127" i="6"/>
  <c r="Y165" i="6"/>
  <c r="Y214" i="6"/>
  <c r="Y309" i="6"/>
  <c r="Y418" i="6"/>
  <c r="Y417" i="6"/>
  <c r="Y464" i="6"/>
  <c r="Y184" i="6"/>
  <c r="Y227" i="6"/>
  <c r="Y304" i="6"/>
  <c r="Y296" i="6"/>
  <c r="Y288" i="6"/>
  <c r="Y264" i="6"/>
  <c r="Y315" i="6"/>
  <c r="Y459" i="6"/>
  <c r="Y454" i="6"/>
  <c r="Y271" i="6"/>
  <c r="Y114" i="6"/>
  <c r="Y25" i="6"/>
  <c r="Y456" i="6"/>
  <c r="Y173" i="6"/>
  <c r="Y10" i="6"/>
  <c r="Y66" i="6"/>
  <c r="Y455" i="6"/>
  <c r="Y31" i="6"/>
  <c r="Y11" i="6"/>
  <c r="Y153" i="6"/>
  <c r="Y419" i="6"/>
  <c r="Y410" i="6"/>
  <c r="Y272" i="6"/>
  <c r="Y322" i="6"/>
  <c r="Y171" i="6"/>
  <c r="Y234" i="6"/>
  <c r="Y259" i="6"/>
  <c r="Y342" i="6"/>
  <c r="Y368" i="6"/>
  <c r="Y268" i="6"/>
  <c r="Y195" i="6"/>
  <c r="Y405" i="6"/>
  <c r="Y242" i="6"/>
  <c r="Y41" i="6"/>
  <c r="Y258" i="6"/>
  <c r="Y32" i="6"/>
  <c r="Y103" i="6"/>
  <c r="Y149" i="6"/>
  <c r="Y190" i="6"/>
  <c r="Y331" i="6"/>
  <c r="Y310" i="6"/>
  <c r="Y336" i="6"/>
  <c r="Y439" i="6"/>
  <c r="Y90" i="6"/>
  <c r="Y204" i="6"/>
  <c r="Y250" i="6"/>
  <c r="Y228" i="6"/>
  <c r="Y222" i="6"/>
  <c r="Y202" i="6"/>
  <c r="Y290" i="6"/>
  <c r="Y441" i="6"/>
  <c r="Y437" i="6"/>
  <c r="Y316" i="6"/>
  <c r="Y89" i="6"/>
  <c r="Y140" i="6"/>
  <c r="Y244" i="6"/>
  <c r="Y435" i="6"/>
  <c r="Y233" i="6"/>
  <c r="Y166" i="6"/>
  <c r="Y255" i="6"/>
  <c r="Y201" i="6"/>
  <c r="Y450" i="6"/>
  <c r="Y28" i="6"/>
  <c r="Y117" i="6"/>
  <c r="Y164" i="6"/>
  <c r="Y406" i="6"/>
  <c r="Y23" i="6"/>
  <c r="Y319" i="6"/>
  <c r="Y426" i="6"/>
  <c r="Y463" i="6"/>
  <c r="Y386" i="6"/>
  <c r="Y52" i="6"/>
  <c r="Y126" i="6"/>
  <c r="Y230" i="6"/>
  <c r="Y263" i="6"/>
  <c r="Y416" i="6"/>
  <c r="Y180" i="6"/>
  <c r="Y203" i="6"/>
  <c r="Y200" i="6"/>
  <c r="Y186" i="6"/>
  <c r="Y346" i="6"/>
  <c r="Y425" i="6"/>
  <c r="Y381" i="6"/>
  <c r="Y256" i="6"/>
  <c r="Y363" i="6"/>
  <c r="Y205" i="6"/>
  <c r="Y221" i="6"/>
  <c r="Y399" i="6"/>
  <c r="Y102" i="6"/>
  <c r="Y146" i="6"/>
  <c r="Y212" i="6"/>
  <c r="Y293" i="6"/>
  <c r="Y285" i="6"/>
  <c r="Y252" i="6"/>
  <c r="Y137" i="6"/>
  <c r="Y179" i="6"/>
  <c r="Y158" i="6"/>
  <c r="Y175" i="6"/>
  <c r="Y163" i="6"/>
  <c r="Y397" i="6"/>
  <c r="Y311" i="6"/>
  <c r="Y97" i="6"/>
  <c r="Y312" i="6"/>
  <c r="Y139" i="6"/>
  <c r="Y239" i="6"/>
  <c r="Y29" i="6"/>
  <c r="Y198" i="6"/>
  <c r="Y407" i="6"/>
  <c r="Y365" i="6"/>
  <c r="Y50" i="6"/>
  <c r="Y124" i="6"/>
  <c r="Y189" i="6"/>
  <c r="Y313" i="6"/>
  <c r="Y291" i="6"/>
  <c r="Y340" i="6"/>
  <c r="Y88" i="6"/>
  <c r="Y113" i="6"/>
  <c r="Y135" i="6"/>
  <c r="Y134" i="6"/>
  <c r="Y156" i="6"/>
  <c r="Y157" i="6"/>
  <c r="Y249" i="6"/>
  <c r="Y237" i="6"/>
  <c r="Y279" i="6"/>
  <c r="Y131" i="6"/>
  <c r="Y326" i="6"/>
  <c r="Y329" i="6"/>
  <c r="Y159" i="6"/>
  <c r="Y223" i="6"/>
  <c r="Y266" i="6"/>
  <c r="Y352" i="6"/>
  <c r="Y403" i="6"/>
  <c r="Y85" i="6"/>
  <c r="Y169" i="6"/>
  <c r="Y345" i="6"/>
  <c r="Y299" i="6"/>
  <c r="Y337" i="6"/>
  <c r="Y324" i="6"/>
  <c r="Y280" i="6"/>
  <c r="Y55" i="6"/>
  <c r="Y150" i="6"/>
  <c r="Y216" i="6"/>
  <c r="Y327" i="6"/>
  <c r="Y444" i="6"/>
  <c r="Y278" i="6"/>
  <c r="Y45" i="6"/>
  <c r="Y87" i="6"/>
  <c r="Y170" i="6"/>
  <c r="Y286" i="6"/>
  <c r="Y39" i="6"/>
  <c r="Y112" i="6"/>
  <c r="Y178" i="6"/>
  <c r="Y241" i="6"/>
  <c r="Y325" i="6"/>
  <c r="Y443" i="6"/>
  <c r="Y53" i="6"/>
  <c r="Y136" i="6"/>
  <c r="Y243" i="6"/>
  <c r="Y446" i="6"/>
  <c r="Y371" i="6"/>
  <c r="Y372" i="6"/>
  <c r="Y373" i="6"/>
  <c r="Y110" i="6"/>
  <c r="Y236" i="6"/>
  <c r="Y273" i="6"/>
  <c r="Y154" i="6"/>
  <c r="Y314" i="6"/>
  <c r="Y378" i="6"/>
  <c r="Y148" i="6"/>
  <c r="Y208" i="6"/>
  <c r="Y81" i="6"/>
  <c r="Y246" i="6"/>
  <c r="Y394" i="6"/>
  <c r="Y138" i="6"/>
  <c r="Y323" i="6"/>
  <c r="Y354" i="6"/>
  <c r="Y132" i="6"/>
  <c r="Y192" i="6"/>
  <c r="Y70" i="6"/>
  <c r="Y143" i="6"/>
  <c r="Y248" i="6"/>
  <c r="Y65" i="6"/>
  <c r="Y160" i="6"/>
  <c r="Y232" i="6"/>
  <c r="Y393" i="6"/>
  <c r="Z7" i="6"/>
  <c r="Y58" i="6"/>
  <c r="Y218" i="6"/>
  <c r="Y462" i="6"/>
  <c r="Y122" i="6"/>
  <c r="Y274" i="6"/>
  <c r="Y380" i="6"/>
  <c r="Y116" i="6"/>
  <c r="Y176" i="6"/>
  <c r="X5" i="6"/>
  <c r="Y62" i="6"/>
  <c r="Y91" i="6"/>
  <c r="Y92" i="6"/>
  <c r="Y93" i="6"/>
  <c r="Y414" i="6"/>
  <c r="Y95" i="6"/>
  <c r="Y277" i="6"/>
  <c r="Y21" i="6"/>
  <c r="Y181" i="6"/>
  <c r="Y421" i="6"/>
  <c r="Y63" i="6"/>
  <c r="Y147" i="6"/>
  <c r="Y261" i="6"/>
  <c r="Y19" i="6"/>
  <c r="Y225" i="6"/>
  <c r="Y377" i="6"/>
  <c r="Y78" i="6"/>
  <c r="Y317" i="6"/>
  <c r="Y398" i="6"/>
  <c r="Y209" i="6"/>
  <c r="Y308" i="6"/>
  <c r="Z32" i="6"/>
  <c r="Z131" i="6"/>
  <c r="Z163" i="6"/>
  <c r="Z178" i="6"/>
  <c r="Z194" i="6"/>
  <c r="Z156" i="6"/>
  <c r="Z360" i="6"/>
  <c r="Z12" i="6" l="1"/>
  <c r="Z357" i="6"/>
  <c r="Z74" i="6"/>
  <c r="Z337" i="6"/>
  <c r="Z302" i="6"/>
  <c r="Z377" i="6"/>
  <c r="Z438" i="6"/>
  <c r="Z295" i="6"/>
  <c r="Z13" i="6"/>
  <c r="Z457" i="6"/>
  <c r="Z338" i="6"/>
  <c r="Z440" i="6"/>
  <c r="Z420" i="6"/>
  <c r="Z265" i="6"/>
  <c r="Z432" i="6"/>
  <c r="Z140" i="6"/>
  <c r="Z460" i="6"/>
  <c r="Z133" i="6"/>
  <c r="Z42" i="6"/>
  <c r="Z150" i="6"/>
  <c r="Z124" i="6"/>
  <c r="Z60" i="6"/>
  <c r="Z378" i="6"/>
  <c r="Z23" i="6"/>
  <c r="Z81" i="6"/>
  <c r="Z8" i="6"/>
  <c r="Z451" i="6"/>
  <c r="Z350" i="6"/>
  <c r="Z418" i="6"/>
  <c r="Z310" i="6"/>
  <c r="Y5" i="6"/>
  <c r="Z385" i="6"/>
  <c r="Z241" i="6"/>
  <c r="Z50" i="6"/>
  <c r="Z112" i="6"/>
  <c r="Z341" i="6"/>
  <c r="Z155" i="6"/>
  <c r="Z64" i="6"/>
  <c r="Z285" i="6"/>
  <c r="Z62" i="6"/>
  <c r="Z85" i="6"/>
  <c r="Z339" i="6"/>
  <c r="Z291" i="6"/>
  <c r="Z123" i="6"/>
  <c r="Z143" i="6"/>
  <c r="Z275" i="6"/>
  <c r="Z244" i="6"/>
  <c r="Z343" i="6"/>
  <c r="Z86" i="6"/>
  <c r="Z459" i="6"/>
  <c r="Z236" i="6"/>
  <c r="Z227" i="6"/>
  <c r="Z274" i="6"/>
  <c r="Z251" i="6"/>
  <c r="Z300" i="6"/>
  <c r="Z403" i="6"/>
  <c r="Z255" i="6"/>
  <c r="Z400" i="6"/>
  <c r="Z204" i="6"/>
  <c r="Z387" i="6"/>
  <c r="Z344" i="6"/>
  <c r="Z250" i="6"/>
  <c r="Z266" i="6"/>
  <c r="Z336" i="6"/>
  <c r="Z231" i="6"/>
  <c r="Z405" i="6"/>
  <c r="Z130" i="6"/>
  <c r="Z369" i="6"/>
  <c r="Z114" i="6"/>
  <c r="Z268" i="6"/>
  <c r="Z83" i="6"/>
  <c r="Z320" i="6"/>
  <c r="Z323" i="6"/>
  <c r="Z329" i="6"/>
  <c r="Z243" i="6"/>
  <c r="Z247" i="6"/>
  <c r="Z464" i="6"/>
  <c r="Z422" i="6"/>
  <c r="Z117" i="6"/>
  <c r="Z37" i="6"/>
  <c r="Z139" i="6"/>
  <c r="Z443" i="6"/>
  <c r="Z230" i="6"/>
  <c r="Z361" i="6"/>
  <c r="Z327" i="6"/>
  <c r="Z237" i="6"/>
  <c r="Z348" i="6"/>
  <c r="Z353" i="6"/>
  <c r="Z305" i="6"/>
  <c r="Z110" i="6"/>
  <c r="Z61" i="6"/>
  <c r="Z287" i="6"/>
  <c r="Z391" i="6"/>
  <c r="Z467" i="6"/>
  <c r="Z43" i="6"/>
  <c r="Z334" i="6"/>
  <c r="Z370" i="6"/>
  <c r="Z196" i="6"/>
  <c r="Z333" i="6"/>
  <c r="Z449" i="6"/>
  <c r="Z25" i="6"/>
  <c r="Z254" i="6"/>
  <c r="Z51" i="6"/>
  <c r="Z354" i="6"/>
  <c r="Z435" i="6"/>
  <c r="Z278" i="6"/>
  <c r="Z206" i="6"/>
  <c r="Z425" i="6"/>
  <c r="Z55" i="6"/>
  <c r="Z342" i="6"/>
  <c r="Z359" i="6"/>
  <c r="Z173" i="6"/>
  <c r="Z393" i="6"/>
  <c r="Z303" i="6"/>
  <c r="Z31" i="6"/>
  <c r="Z220" i="6"/>
  <c r="Z416" i="6"/>
  <c r="Z108" i="6"/>
  <c r="Z107" i="6"/>
  <c r="Z280" i="6"/>
  <c r="Z272" i="6"/>
  <c r="Z314" i="6"/>
  <c r="Z215" i="6"/>
  <c r="Z214" i="6"/>
  <c r="Z211" i="6"/>
  <c r="Z456" i="6"/>
  <c r="Z147" i="6"/>
  <c r="Z281" i="6"/>
  <c r="Z72" i="6"/>
  <c r="Z307" i="6"/>
  <c r="Z105" i="6"/>
  <c r="Z52" i="6"/>
  <c r="Z376" i="6"/>
  <c r="Z429" i="6"/>
  <c r="Z69" i="6"/>
  <c r="Z306" i="6"/>
  <c r="Z392" i="6"/>
  <c r="Z189" i="6"/>
  <c r="Z411" i="6"/>
  <c r="Z29" i="6"/>
  <c r="Z269" i="6"/>
  <c r="Z328" i="6"/>
  <c r="Z362" i="6"/>
  <c r="Z188" i="6"/>
  <c r="Z311" i="6"/>
  <c r="Z90" i="6"/>
  <c r="Z79" i="6"/>
  <c r="Z316" i="6"/>
  <c r="Z315" i="6"/>
  <c r="Z404" i="6"/>
  <c r="Z183" i="6"/>
  <c r="Z182" i="6"/>
  <c r="Z179" i="6"/>
  <c r="Z423" i="6"/>
  <c r="Z115" i="6"/>
  <c r="Z282" i="6"/>
  <c r="Z34" i="6"/>
  <c r="Z240" i="6"/>
  <c r="Z82" i="6"/>
  <c r="Z92" i="6"/>
  <c r="Z94" i="6"/>
  <c r="Z199" i="6"/>
  <c r="Z195" i="6"/>
  <c r="Z276" i="6"/>
  <c r="Z384" i="6"/>
  <c r="Z172" i="6"/>
  <c r="Z45" i="6"/>
  <c r="Z44" i="6"/>
  <c r="Z233" i="6"/>
  <c r="Z232" i="6"/>
  <c r="Z363" i="6"/>
  <c r="Z168" i="6"/>
  <c r="Z167" i="6"/>
  <c r="Z164" i="6"/>
  <c r="Z389" i="6"/>
  <c r="Z98" i="6"/>
  <c r="Z253" i="6"/>
  <c r="Z15" i="6"/>
  <c r="Z224" i="6"/>
  <c r="Z49" i="6"/>
  <c r="Z91" i="6"/>
  <c r="Z71" i="6"/>
  <c r="Z242" i="6"/>
  <c r="Z228" i="6"/>
  <c r="Z271" i="6"/>
  <c r="Z409" i="6"/>
  <c r="Z159" i="6"/>
  <c r="Z340" i="6"/>
  <c r="Z406" i="6"/>
  <c r="Z197" i="6"/>
  <c r="Z419" i="6"/>
  <c r="Z47" i="6"/>
  <c r="Z293" i="6"/>
  <c r="Z351" i="6"/>
  <c r="Z165" i="6"/>
  <c r="Z248" i="6"/>
  <c r="Z262" i="6"/>
  <c r="Z157" i="6"/>
  <c r="Z312" i="6"/>
  <c r="Z27" i="6"/>
  <c r="Z26" i="6"/>
  <c r="Z217" i="6"/>
  <c r="Z216" i="6"/>
  <c r="Z463" i="6"/>
  <c r="Z152" i="6"/>
  <c r="Z151" i="6"/>
  <c r="Z148" i="6"/>
  <c r="Z289" i="6"/>
  <c r="Z89" i="6"/>
  <c r="Z313" i="6"/>
  <c r="Z386" i="6"/>
  <c r="Z208" i="6"/>
  <c r="Z33" i="6"/>
  <c r="AA7" i="6"/>
  <c r="Z87" i="6"/>
  <c r="Z330" i="6"/>
  <c r="Z461" i="6"/>
  <c r="Z134" i="6"/>
  <c r="Z257" i="6"/>
  <c r="Z181" i="6"/>
  <c r="Z238" i="6"/>
  <c r="Z441" i="6"/>
  <c r="Z100" i="6"/>
  <c r="Z239" i="6"/>
  <c r="Z450" i="6"/>
  <c r="Z141" i="6"/>
  <c r="Z296" i="6"/>
  <c r="Z288" i="6"/>
  <c r="Z270" i="6"/>
  <c r="Z201" i="6"/>
  <c r="Z200" i="6"/>
  <c r="Z444" i="6"/>
  <c r="Z136" i="6"/>
  <c r="Z135" i="6"/>
  <c r="Z132" i="6"/>
  <c r="Z322" i="6"/>
  <c r="Z53" i="6"/>
  <c r="Z246" i="6"/>
  <c r="Z379" i="6"/>
  <c r="Z192" i="6"/>
  <c r="Z17" i="6"/>
  <c r="Z126" i="6"/>
  <c r="Z366" i="6"/>
  <c r="Z221" i="6"/>
  <c r="Z426" i="6"/>
  <c r="Z258" i="6"/>
  <c r="Z174" i="6"/>
  <c r="Z397" i="6"/>
  <c r="Z19" i="6"/>
  <c r="Z223" i="6"/>
  <c r="Z433" i="6"/>
  <c r="Z125" i="6"/>
  <c r="Z267" i="6"/>
  <c r="Z259" i="6"/>
  <c r="Z358" i="6"/>
  <c r="Z185" i="6"/>
  <c r="Z184" i="6"/>
  <c r="Z428" i="6"/>
  <c r="Z120" i="6"/>
  <c r="Z119" i="6"/>
  <c r="Z116" i="6"/>
  <c r="Z290" i="6"/>
  <c r="Z35" i="6"/>
  <c r="Z73" i="6"/>
  <c r="Z407" i="6"/>
  <c r="Z176" i="6"/>
  <c r="Z14" i="6"/>
  <c r="Z395" i="6"/>
  <c r="Z466" i="6"/>
  <c r="Z212" i="6"/>
  <c r="Z57" i="6"/>
  <c r="Z118" i="6"/>
  <c r="Z448" i="6"/>
  <c r="Z158" i="6"/>
  <c r="Z149" i="6"/>
  <c r="Z335" i="6"/>
  <c r="Z398" i="6"/>
  <c r="Z249" i="6"/>
  <c r="Z38" i="6"/>
  <c r="Z111" i="6"/>
  <c r="Z260" i="6"/>
  <c r="Z382" i="6"/>
  <c r="Z207" i="6"/>
  <c r="Z417" i="6"/>
  <c r="Z109" i="6"/>
  <c r="Z319" i="6"/>
  <c r="Z317" i="6"/>
  <c r="Z286" i="6"/>
  <c r="Z170" i="6"/>
  <c r="Z169" i="6"/>
  <c r="Z412" i="6"/>
  <c r="Z103" i="6"/>
  <c r="Z102" i="6"/>
  <c r="Z99" i="6"/>
  <c r="Z261" i="6"/>
  <c r="Z16" i="6"/>
  <c r="Z225" i="6"/>
  <c r="Z408" i="6"/>
  <c r="Z161" i="6"/>
  <c r="Z446" i="6"/>
  <c r="Z371" i="6"/>
  <c r="Z372" i="6"/>
  <c r="Z373" i="6"/>
  <c r="Z222" i="6"/>
  <c r="Z445" i="6"/>
  <c r="Z190" i="6"/>
  <c r="Z277" i="6"/>
  <c r="Z66" i="6"/>
  <c r="Z235" i="6"/>
  <c r="Z234" i="6"/>
  <c r="Z465" i="6"/>
  <c r="Z154" i="6"/>
  <c r="Z153" i="6"/>
  <c r="Z402" i="6"/>
  <c r="Z65" i="6"/>
  <c r="Z331" i="6"/>
  <c r="Z209" i="6"/>
  <c r="Z454" i="6"/>
  <c r="Z145" i="6"/>
  <c r="Z67" i="6"/>
  <c r="Z349" i="6"/>
  <c r="Z77" i="6"/>
  <c r="Z413" i="6"/>
  <c r="Z375" i="6"/>
  <c r="Z88" i="6"/>
  <c r="Z431" i="6"/>
  <c r="Z10" i="6"/>
  <c r="Z458" i="6"/>
  <c r="Z292" i="6"/>
  <c r="Z399" i="6"/>
  <c r="Z229" i="6"/>
  <c r="Z396" i="6"/>
  <c r="Z175" i="6"/>
  <c r="Z321" i="6"/>
  <c r="Z46" i="6"/>
  <c r="Z219" i="6"/>
  <c r="Z218" i="6"/>
  <c r="Z447" i="6"/>
  <c r="Z138" i="6"/>
  <c r="Z137" i="6"/>
  <c r="Z284" i="6"/>
  <c r="Z59" i="6"/>
  <c r="Z58" i="6"/>
  <c r="Z54" i="6"/>
  <c r="Z245" i="6"/>
  <c r="Z383" i="6"/>
  <c r="Z193" i="6"/>
  <c r="Z437" i="6"/>
  <c r="Z129" i="6"/>
  <c r="Z56" i="6"/>
  <c r="Z93" i="6"/>
  <c r="Z367" i="6"/>
  <c r="Z452" i="6"/>
  <c r="Z78" i="6"/>
  <c r="Z30" i="6"/>
  <c r="Z191" i="6"/>
  <c r="Z95" i="6"/>
  <c r="Z48" i="6"/>
  <c r="Z160" i="6"/>
  <c r="Z28" i="6"/>
  <c r="Z202" i="6"/>
  <c r="Z430" i="6"/>
  <c r="Z122" i="6"/>
  <c r="Z121" i="6"/>
  <c r="Z324" i="6"/>
  <c r="Z41" i="6"/>
  <c r="Z39" i="6"/>
  <c r="Z36" i="6"/>
  <c r="Z97" i="6"/>
  <c r="Z9" i="6"/>
  <c r="Z177" i="6"/>
  <c r="Z421" i="6"/>
  <c r="Z113" i="6"/>
  <c r="Z40" i="6"/>
  <c r="Z332" i="6"/>
  <c r="Z198" i="6"/>
  <c r="Z439" i="6"/>
  <c r="Z299" i="6"/>
  <c r="Z325" i="6"/>
  <c r="Z368" i="6"/>
  <c r="Z346" i="6"/>
  <c r="Z462" i="6"/>
  <c r="Z142" i="6"/>
  <c r="Z297" i="6"/>
  <c r="Z374" i="6"/>
  <c r="Z70" i="6"/>
  <c r="Z442" i="6"/>
  <c r="Z101" i="6"/>
  <c r="Z453" i="6"/>
  <c r="Z144" i="6"/>
  <c r="Z326" i="6"/>
  <c r="Z365" i="6"/>
  <c r="Z187" i="6"/>
  <c r="Z186" i="6"/>
  <c r="Z414" i="6"/>
  <c r="Z106" i="6"/>
  <c r="Z104" i="6"/>
  <c r="Z301" i="6"/>
  <c r="Z22" i="6"/>
  <c r="Z21" i="6"/>
  <c r="Z18" i="6"/>
  <c r="Z226" i="6"/>
  <c r="Z252" i="6"/>
  <c r="Z162" i="6"/>
  <c r="Z381" i="6"/>
  <c r="Z80" i="6"/>
  <c r="Z24" i="6"/>
  <c r="Z345" i="6"/>
  <c r="Z294" i="6"/>
  <c r="Z364" i="6"/>
  <c r="Z390" i="6"/>
  <c r="Z356" i="6"/>
  <c r="Z283" i="6"/>
  <c r="Z127" i="6"/>
  <c r="Z415" i="6"/>
  <c r="Z263" i="6"/>
  <c r="Z11" i="6"/>
  <c r="Z205" i="6"/>
  <c r="Z424" i="6"/>
  <c r="Z309" i="6"/>
  <c r="Z355" i="6"/>
  <c r="Z166" i="6"/>
  <c r="Z401" i="6"/>
  <c r="Z279" i="6"/>
  <c r="Z203" i="6"/>
  <c r="Z434" i="6"/>
  <c r="Z308" i="6"/>
  <c r="Z213" i="6"/>
  <c r="Z427" i="6"/>
  <c r="Z96" i="6"/>
  <c r="Z298" i="6"/>
  <c r="Z388" i="6"/>
  <c r="Z180" i="6"/>
  <c r="Z410" i="6"/>
  <c r="Z20" i="6"/>
  <c r="Z436" i="6"/>
  <c r="Z128" i="6"/>
  <c r="Z304" i="6"/>
  <c r="Z380" i="6"/>
  <c r="Z171" i="6"/>
  <c r="Z76" i="6"/>
  <c r="Z352" i="6"/>
  <c r="Z84" i="6"/>
  <c r="Z68" i="6"/>
  <c r="Z264" i="6"/>
  <c r="Z256" i="6"/>
  <c r="Z347" i="6"/>
  <c r="Z394" i="6"/>
  <c r="Z210" i="6"/>
  <c r="Z455" i="6"/>
  <c r="Z146" i="6"/>
  <c r="Z273" i="6"/>
  <c r="Z63" i="6"/>
  <c r="Z75" i="6"/>
  <c r="AA389" i="6"/>
  <c r="AA262" i="6" l="1"/>
  <c r="AA357" i="6"/>
  <c r="AA458" i="6"/>
  <c r="AA337" i="6"/>
  <c r="AA135" i="6"/>
  <c r="AA54" i="6"/>
  <c r="AA397" i="6"/>
  <c r="AA425" i="6"/>
  <c r="AA39" i="6"/>
  <c r="AA374" i="6"/>
  <c r="AA128" i="6"/>
  <c r="AA358" i="6"/>
  <c r="AA286" i="6"/>
  <c r="AA116" i="6"/>
  <c r="AA23" i="6"/>
  <c r="AA321" i="6"/>
  <c r="AA11" i="6"/>
  <c r="AA95" i="6"/>
  <c r="AA106" i="6"/>
  <c r="AA211" i="6"/>
  <c r="AA313" i="6"/>
  <c r="AA137" i="6"/>
  <c r="AA160" i="6"/>
  <c r="AA89" i="6"/>
  <c r="AA270" i="6"/>
  <c r="AA280" i="6"/>
  <c r="AA245" i="6"/>
  <c r="AA301" i="6"/>
  <c r="AA339" i="6"/>
  <c r="AA349" i="6"/>
  <c r="AA65" i="6"/>
  <c r="AA305" i="6"/>
  <c r="AA180" i="6"/>
  <c r="AA398" i="6"/>
  <c r="AA193" i="6"/>
  <c r="AA150" i="6"/>
  <c r="AA230" i="6"/>
  <c r="AA263" i="6"/>
  <c r="AA281" i="6"/>
  <c r="AA173" i="6"/>
  <c r="AA79" i="6"/>
  <c r="AA104" i="6"/>
  <c r="AA274" i="6"/>
  <c r="AA49" i="6"/>
  <c r="AA86" i="6"/>
  <c r="AA401" i="6"/>
  <c r="AA327" i="6"/>
  <c r="AA29" i="6"/>
  <c r="AA451" i="6"/>
  <c r="AA129" i="6"/>
  <c r="AA198" i="6"/>
  <c r="AA101" i="6"/>
  <c r="AA13" i="6"/>
  <c r="AA355" i="6"/>
  <c r="AA127" i="6"/>
  <c r="AA188" i="6"/>
  <c r="AA385" i="6"/>
  <c r="AA366" i="6"/>
  <c r="AA378" i="6"/>
  <c r="AA246" i="6"/>
  <c r="AA148" i="6"/>
  <c r="AA391" i="6"/>
  <c r="AA98" i="6"/>
  <c r="AA145" i="6"/>
  <c r="AA417" i="6"/>
  <c r="AA437" i="6"/>
  <c r="AA353" i="6"/>
  <c r="AA146" i="6"/>
  <c r="AA396" i="6"/>
  <c r="AA402" i="6"/>
  <c r="AA117" i="6"/>
  <c r="AA28" i="6"/>
  <c r="AA69" i="6"/>
  <c r="AA354" i="6"/>
  <c r="AA220" i="6"/>
  <c r="AA91" i="6"/>
  <c r="AA177" i="6"/>
  <c r="AA73" i="6"/>
  <c r="AA448" i="6"/>
  <c r="AA196" i="6"/>
  <c r="AA264" i="6"/>
  <c r="AA426" i="6"/>
  <c r="AA352" i="6"/>
  <c r="AA178" i="6"/>
  <c r="AA307" i="6"/>
  <c r="AA201" i="6"/>
  <c r="Z5" i="6"/>
  <c r="AA415" i="6"/>
  <c r="AA33" i="6"/>
  <c r="AA446" i="6"/>
  <c r="AA371" i="6"/>
  <c r="AA372" i="6"/>
  <c r="AA373" i="6"/>
  <c r="AA233" i="6"/>
  <c r="AA322" i="6"/>
  <c r="AA328" i="6"/>
  <c r="AA381" i="6"/>
  <c r="AA300" i="6"/>
  <c r="AA383" i="6"/>
  <c r="AA64" i="6"/>
  <c r="AA63" i="6"/>
  <c r="AA175" i="6"/>
  <c r="AA272" i="6"/>
  <c r="AA340" i="6"/>
  <c r="AA435" i="6"/>
  <c r="AA284" i="6"/>
  <c r="AA53" i="6"/>
  <c r="AA157" i="6"/>
  <c r="AA17" i="6"/>
  <c r="AA387" i="6"/>
  <c r="AA213" i="6"/>
  <c r="AA271" i="6"/>
  <c r="AA57" i="6"/>
  <c r="AA153" i="6"/>
  <c r="AA210" i="6"/>
  <c r="AA434" i="6"/>
  <c r="AA139" i="6"/>
  <c r="AA450" i="6"/>
  <c r="AA44" i="6"/>
  <c r="AA268" i="6"/>
  <c r="AA363" i="6"/>
  <c r="AA132" i="6"/>
  <c r="AA275" i="6"/>
  <c r="AA323" i="6"/>
  <c r="AA447" i="6"/>
  <c r="AA392" i="6"/>
  <c r="AA38" i="6"/>
  <c r="AA37" i="6"/>
  <c r="AA251" i="6"/>
  <c r="AA302" i="6"/>
  <c r="AA293" i="6"/>
  <c r="AA414" i="6"/>
  <c r="AA351" i="6"/>
  <c r="AA22" i="6"/>
  <c r="AA171" i="6"/>
  <c r="AA30" i="6"/>
  <c r="AA311" i="6"/>
  <c r="AA200" i="6"/>
  <c r="AA228" i="6"/>
  <c r="AA41" i="6"/>
  <c r="AA218" i="6"/>
  <c r="AA235" i="6"/>
  <c r="AA418" i="6"/>
  <c r="AA118" i="6"/>
  <c r="AA208" i="6"/>
  <c r="AA248" i="6"/>
  <c r="AA282" i="6"/>
  <c r="AA58" i="6"/>
  <c r="AA182" i="6"/>
  <c r="AA244" i="6"/>
  <c r="AA179" i="6"/>
  <c r="AA362" i="6"/>
  <c r="AA8" i="6"/>
  <c r="AA110" i="6"/>
  <c r="AA149" i="6"/>
  <c r="AA164" i="6"/>
  <c r="AA258" i="6"/>
  <c r="AA424" i="6"/>
  <c r="AA10" i="6"/>
  <c r="AA379" i="6"/>
  <c r="AA365" i="6"/>
  <c r="AA119" i="6"/>
  <c r="AA242" i="6"/>
  <c r="AA346" i="6"/>
  <c r="AA319" i="6"/>
  <c r="AA456" i="6"/>
  <c r="AA297" i="6"/>
  <c r="AA78" i="6"/>
  <c r="AA14" i="6"/>
  <c r="AA273" i="6"/>
  <c r="AA166" i="6"/>
  <c r="AA240" i="6"/>
  <c r="AA25" i="6"/>
  <c r="AA239" i="6"/>
  <c r="AA156" i="6"/>
  <c r="AA368" i="6"/>
  <c r="AA82" i="6"/>
  <c r="AA215" i="6"/>
  <c r="AA462" i="6"/>
  <c r="AA452" i="6"/>
  <c r="AA138" i="6"/>
  <c r="AA76" i="6"/>
  <c r="AA189" i="6"/>
  <c r="AA267" i="6"/>
  <c r="AA342" i="6"/>
  <c r="AA423" i="6"/>
  <c r="AA467" i="6"/>
  <c r="AA369" i="6"/>
  <c r="AA90" i="6"/>
  <c r="AA224" i="6"/>
  <c r="AA229" i="6"/>
  <c r="AA285" i="6"/>
  <c r="AA413" i="6"/>
  <c r="AA292" i="6"/>
  <c r="AA21" i="6"/>
  <c r="AA216" i="6"/>
  <c r="AA443" i="6"/>
  <c r="AA136" i="6"/>
  <c r="AA333" i="6"/>
  <c r="AA409" i="6"/>
  <c r="AA107" i="6"/>
  <c r="AA125" i="6"/>
  <c r="AA341" i="6"/>
  <c r="AA50" i="6"/>
  <c r="AA350" i="6"/>
  <c r="AA241" i="6"/>
  <c r="AA364" i="6"/>
  <c r="AA444" i="6"/>
  <c r="AA375" i="6"/>
  <c r="AA62" i="6"/>
  <c r="AA154" i="6"/>
  <c r="AA226" i="6"/>
  <c r="AA347" i="6"/>
  <c r="AA308" i="6"/>
  <c r="AA455" i="6"/>
  <c r="AA194" i="6"/>
  <c r="AA109" i="6"/>
  <c r="AA427" i="6"/>
  <c r="AA172" i="6"/>
  <c r="AA121" i="6"/>
  <c r="AA453" i="6"/>
  <c r="AA133" i="6"/>
  <c r="AA147" i="6"/>
  <c r="AA316" i="6"/>
  <c r="AA34" i="6"/>
  <c r="AA265" i="6"/>
  <c r="AA439" i="6"/>
  <c r="AA303" i="6"/>
  <c r="AA32" i="6"/>
  <c r="AA222" i="6"/>
  <c r="AA325" i="6"/>
  <c r="AA411" i="6"/>
  <c r="AA59" i="6"/>
  <c r="AA204" i="6"/>
  <c r="AA436" i="6"/>
  <c r="AA155" i="6"/>
  <c r="AA126" i="6"/>
  <c r="AA304" i="6"/>
  <c r="AA18" i="6"/>
  <c r="AA12" i="6"/>
  <c r="AA219" i="6"/>
  <c r="AA332" i="6"/>
  <c r="AA433" i="6"/>
  <c r="AA105" i="6"/>
  <c r="AA165" i="6"/>
  <c r="AA338" i="6"/>
  <c r="AA66" i="6"/>
  <c r="AA221" i="6"/>
  <c r="AA47" i="6"/>
  <c r="AA329" i="6"/>
  <c r="AA405" i="6"/>
  <c r="AA404" i="6"/>
  <c r="AA169" i="6"/>
  <c r="AA422" i="6"/>
  <c r="AA170" i="6"/>
  <c r="AA432" i="6"/>
  <c r="AA406" i="6"/>
  <c r="AA393" i="6"/>
  <c r="AA394" i="6"/>
  <c r="AA181" i="6"/>
  <c r="AA360" i="6"/>
  <c r="AA382" i="6"/>
  <c r="AA122" i="6"/>
  <c r="AA277" i="6"/>
  <c r="AA412" i="6"/>
  <c r="AA140" i="6"/>
  <c r="AA152" i="6"/>
  <c r="AA9" i="6"/>
  <c r="AA238" i="6"/>
  <c r="AA420" i="6"/>
  <c r="AA134" i="6"/>
  <c r="AA83" i="6"/>
  <c r="AA291" i="6"/>
  <c r="AA75" i="6"/>
  <c r="AA430" i="6"/>
  <c r="AA315" i="6"/>
  <c r="AA187" i="6"/>
  <c r="AA330" i="6"/>
  <c r="AA257" i="6"/>
  <c r="AA192" i="6"/>
  <c r="AA56" i="6"/>
  <c r="AA299" i="6"/>
  <c r="AA16" i="6"/>
  <c r="AA207" i="6"/>
  <c r="AA384" i="6"/>
  <c r="AA176" i="6"/>
  <c r="AA227" i="6"/>
  <c r="AA309" i="6"/>
  <c r="AA429" i="6"/>
  <c r="AB7" i="6"/>
  <c r="AA454" i="6"/>
  <c r="AA142" i="6"/>
  <c r="AA225" i="6"/>
  <c r="AA326" i="6"/>
  <c r="AA466" i="6"/>
  <c r="AA88" i="6"/>
  <c r="AA243" i="6"/>
  <c r="AA43" i="6"/>
  <c r="AA464" i="6"/>
  <c r="AA234" i="6"/>
  <c r="AA344" i="6"/>
  <c r="AA283" i="6"/>
  <c r="AA314" i="6"/>
  <c r="AA431" i="6"/>
  <c r="AA399" i="6"/>
  <c r="AA71" i="6"/>
  <c r="AA159" i="6"/>
  <c r="AA199" i="6"/>
  <c r="AA296" i="6"/>
  <c r="AA295" i="6"/>
  <c r="AA442" i="6"/>
  <c r="AA370" i="6"/>
  <c r="AA60" i="6"/>
  <c r="AA115" i="6"/>
  <c r="AA247" i="6"/>
  <c r="AA331" i="6"/>
  <c r="AA289" i="6"/>
  <c r="AA167" i="6"/>
  <c r="AA174" i="6"/>
  <c r="AA287" i="6"/>
  <c r="AA27" i="6"/>
  <c r="AA197" i="6"/>
  <c r="AA377" i="6"/>
  <c r="AA84" i="6"/>
  <c r="AA67" i="6"/>
  <c r="AA254" i="6"/>
  <c r="AA74" i="6"/>
  <c r="AA416" i="6"/>
  <c r="AA388" i="6"/>
  <c r="AA48" i="6"/>
  <c r="AA256" i="6"/>
  <c r="AA403" i="6"/>
  <c r="AA26" i="6"/>
  <c r="AA100" i="6"/>
  <c r="AA259" i="6"/>
  <c r="AA130" i="6"/>
  <c r="AA255" i="6"/>
  <c r="AA87" i="6"/>
  <c r="AA205" i="6"/>
  <c r="AA46" i="6"/>
  <c r="AA190" i="6"/>
  <c r="AA410" i="6"/>
  <c r="AA335" i="6"/>
  <c r="AA42" i="6"/>
  <c r="AA161" i="6"/>
  <c r="AA111" i="6"/>
  <c r="AA348" i="6"/>
  <c r="AA312" i="6"/>
  <c r="AA421" i="6"/>
  <c r="AA376" i="6"/>
  <c r="AA31" i="6"/>
  <c r="AA85" i="6"/>
  <c r="AA102" i="6"/>
  <c r="AA214" i="6"/>
  <c r="AA306" i="6"/>
  <c r="AA103" i="6"/>
  <c r="AA94" i="6"/>
  <c r="AA266" i="6"/>
  <c r="AA407" i="6"/>
  <c r="AA184" i="6"/>
  <c r="AA320" i="6"/>
  <c r="AA68" i="6"/>
  <c r="AA51" i="6"/>
  <c r="AA185" i="6"/>
  <c r="AA457" i="6"/>
  <c r="AA445" i="6"/>
  <c r="AA380" i="6"/>
  <c r="AA463" i="6"/>
  <c r="AA336" i="6"/>
  <c r="AA97" i="6"/>
  <c r="AA217" i="6"/>
  <c r="AA288" i="6"/>
  <c r="AA356" i="6"/>
  <c r="AA334" i="6"/>
  <c r="AA55" i="6"/>
  <c r="AA112" i="6"/>
  <c r="AA212" i="6"/>
  <c r="AA269" i="6"/>
  <c r="AA131" i="6"/>
  <c r="AA77" i="6"/>
  <c r="AA261" i="6"/>
  <c r="AA203" i="6"/>
  <c r="AA151" i="6"/>
  <c r="AA324" i="6"/>
  <c r="AA52" i="6"/>
  <c r="AA35" i="6"/>
  <c r="AA223" i="6"/>
  <c r="AA460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7" i="6"/>
  <c r="AA141" i="6"/>
  <c r="AA408" i="6"/>
  <c r="AA390" i="6"/>
  <c r="AA143" i="6"/>
  <c r="AA465" i="6"/>
  <c r="AA361" i="6"/>
  <c r="AA123" i="6"/>
  <c r="AA260" i="6"/>
  <c r="AA15" i="6"/>
  <c r="AA298" i="6"/>
  <c r="AA449" i="6"/>
  <c r="AA395" i="6"/>
  <c r="AA70" i="6"/>
  <c r="AA144" i="6"/>
  <c r="AA191" i="6"/>
  <c r="AA209" i="6"/>
  <c r="AA440" i="6"/>
  <c r="AA359" i="6"/>
  <c r="AA24" i="6"/>
  <c r="AA99" i="6"/>
  <c r="AA186" i="6"/>
  <c r="AA317" i="6"/>
  <c r="AA113" i="6"/>
  <c r="AA195" i="6"/>
  <c r="AA459" i="6"/>
  <c r="AA168" i="6"/>
  <c r="AA343" i="6"/>
  <c r="AA36" i="6"/>
  <c r="AA19" i="6"/>
  <c r="AA93" i="6"/>
  <c r="AA158" i="6"/>
  <c r="AA438" i="6"/>
  <c r="AA290" i="6"/>
  <c r="AA294" i="6"/>
  <c r="AA124" i="6"/>
  <c r="AA253" i="6"/>
  <c r="AA428" i="6"/>
  <c r="AA400" i="6"/>
  <c r="AA40" i="6"/>
  <c r="AA96" i="6"/>
  <c r="AA250" i="6"/>
  <c r="AA183" i="6"/>
  <c r="AA232" i="6"/>
  <c r="AA419" i="6"/>
  <c r="AA461" i="6"/>
  <c r="AA386" i="6"/>
  <c r="AA80" i="6"/>
  <c r="AA252" i="6"/>
  <c r="AA206" i="6"/>
  <c r="AA81" i="6"/>
  <c r="AA45" i="6"/>
  <c r="AA310" i="6"/>
  <c r="AA441" i="6"/>
  <c r="AA120" i="6"/>
  <c r="AA345" i="6"/>
  <c r="AA20" i="6"/>
  <c r="AA276" i="6"/>
  <c r="AA231" i="6"/>
  <c r="AA92" i="6"/>
  <c r="AB314" i="6"/>
  <c r="AB429" i="6"/>
  <c r="AB124" i="6"/>
  <c r="AB161" i="6" l="1"/>
  <c r="AB357" i="6"/>
  <c r="AB358" i="6"/>
  <c r="AB215" i="6"/>
  <c r="AB164" i="6"/>
  <c r="AB297" i="6"/>
  <c r="AB298" i="6"/>
  <c r="AB308" i="6"/>
  <c r="AB234" i="6"/>
  <c r="AB63" i="6"/>
  <c r="AB414" i="6"/>
  <c r="AB55" i="6"/>
  <c r="AB47" i="6"/>
  <c r="AB71" i="6"/>
  <c r="AB362" i="6"/>
  <c r="AB39" i="6"/>
  <c r="AB31" i="6"/>
  <c r="AB108" i="6"/>
  <c r="AB230" i="6"/>
  <c r="AB130" i="6"/>
  <c r="AB180" i="6"/>
  <c r="AB278" i="6"/>
  <c r="AB262" i="6"/>
  <c r="AB17" i="6"/>
  <c r="AB340" i="6"/>
  <c r="AB214" i="6"/>
  <c r="AB425" i="6"/>
  <c r="AB466" i="6"/>
  <c r="AB346" i="6"/>
  <c r="AB111" i="6"/>
  <c r="AB407" i="6"/>
  <c r="AB126" i="6"/>
  <c r="AB246" i="6"/>
  <c r="AB117" i="6"/>
  <c r="AB275" i="6"/>
  <c r="AB363" i="6"/>
  <c r="AB259" i="6"/>
  <c r="AB84" i="6"/>
  <c r="AB324" i="6"/>
  <c r="AB159" i="6"/>
  <c r="AB68" i="6"/>
  <c r="AB465" i="6"/>
  <c r="AB24" i="6"/>
  <c r="AB411" i="6"/>
  <c r="AB439" i="6"/>
  <c r="AB395" i="6"/>
  <c r="AB345" i="6"/>
  <c r="AB317" i="6"/>
  <c r="AB342" i="6"/>
  <c r="AB427" i="6"/>
  <c r="AB303" i="6"/>
  <c r="AB99" i="6"/>
  <c r="AB424" i="6"/>
  <c r="AB213" i="6"/>
  <c r="AB300" i="6"/>
  <c r="AB165" i="6"/>
  <c r="AB166" i="6"/>
  <c r="AB337" i="6"/>
  <c r="AB77" i="6"/>
  <c r="AB106" i="6"/>
  <c r="AB321" i="6"/>
  <c r="AB181" i="6"/>
  <c r="AB61" i="6"/>
  <c r="AB396" i="6"/>
  <c r="AB261" i="6"/>
  <c r="AB242" i="6"/>
  <c r="AB299" i="6"/>
  <c r="AB410" i="6"/>
  <c r="AB152" i="6"/>
  <c r="AB112" i="6"/>
  <c r="AB306" i="6"/>
  <c r="AB383" i="6"/>
  <c r="AB23" i="6"/>
  <c r="AB198" i="6"/>
  <c r="AB134" i="6"/>
  <c r="AB52" i="6"/>
  <c r="AB167" i="6"/>
  <c r="AB459" i="6"/>
  <c r="AB45" i="6"/>
  <c r="AB235" i="6"/>
  <c r="AB140" i="6"/>
  <c r="AB172" i="6"/>
  <c r="AB128" i="6"/>
  <c r="AB290" i="6"/>
  <c r="AB109" i="6"/>
  <c r="AB353" i="6"/>
  <c r="AB86" i="6"/>
  <c r="AB400" i="6"/>
  <c r="AB107" i="6"/>
  <c r="AB103" i="6"/>
  <c r="AB433" i="6"/>
  <c r="AB29" i="6"/>
  <c r="AB102" i="6"/>
  <c r="AB366" i="6"/>
  <c r="AB70" i="6"/>
  <c r="AB409" i="6"/>
  <c r="AB133" i="6"/>
  <c r="AB131" i="6"/>
  <c r="AB379" i="6"/>
  <c r="AB13" i="6"/>
  <c r="AB274" i="6"/>
  <c r="AB331" i="6"/>
  <c r="AB60" i="6"/>
  <c r="AB320" i="6"/>
  <c r="AB416" i="6"/>
  <c r="AB343" i="6"/>
  <c r="AB75" i="6"/>
  <c r="AB98" i="6"/>
  <c r="AB187" i="6"/>
  <c r="AB153" i="6"/>
  <c r="AB240" i="6"/>
  <c r="AB377" i="6"/>
  <c r="AB147" i="6"/>
  <c r="AB209" i="6"/>
  <c r="AB241" i="6"/>
  <c r="AB33" i="6"/>
  <c r="AB218" i="6"/>
  <c r="AB44" i="6"/>
  <c r="AB217" i="6"/>
  <c r="AB151" i="6"/>
  <c r="AB305" i="6"/>
  <c r="AB422" i="6"/>
  <c r="AB197" i="6"/>
  <c r="AB11" i="6"/>
  <c r="AB243" i="6"/>
  <c r="AB451" i="6"/>
  <c r="AB327" i="6"/>
  <c r="AB74" i="6"/>
  <c r="AB392" i="6"/>
  <c r="AB76" i="6"/>
  <c r="AB59" i="6"/>
  <c r="AB408" i="6"/>
  <c r="AB347" i="6"/>
  <c r="AB194" i="6"/>
  <c r="AB58" i="6"/>
  <c r="AB49" i="6"/>
  <c r="AB309" i="6"/>
  <c r="AB381" i="6"/>
  <c r="AB28" i="6"/>
  <c r="AB201" i="6"/>
  <c r="AB200" i="6"/>
  <c r="AB289" i="6"/>
  <c r="AB356" i="6"/>
  <c r="AB85" i="6"/>
  <c r="AB442" i="6"/>
  <c r="AB227" i="6"/>
  <c r="AB393" i="6"/>
  <c r="AB78" i="6"/>
  <c r="AB437" i="6"/>
  <c r="AB464" i="6"/>
  <c r="AB225" i="6"/>
  <c r="AB9" i="6"/>
  <c r="AB105" i="6"/>
  <c r="AB54" i="6"/>
  <c r="AB458" i="6"/>
  <c r="AB185" i="6"/>
  <c r="AB445" i="6"/>
  <c r="AB418" i="6"/>
  <c r="AB461" i="6"/>
  <c r="AB251" i="6"/>
  <c r="AB365" i="6"/>
  <c r="AB292" i="6"/>
  <c r="AB104" i="6"/>
  <c r="AB155" i="6"/>
  <c r="AB284" i="6"/>
  <c r="AB66" i="6"/>
  <c r="AB42" i="6"/>
  <c r="AB430" i="6"/>
  <c r="AB184" i="6"/>
  <c r="AB53" i="6"/>
  <c r="AB211" i="6"/>
  <c r="AB62" i="6"/>
  <c r="AB125" i="6"/>
  <c r="AB100" i="6"/>
  <c r="AB399" i="6"/>
  <c r="AB163" i="6"/>
  <c r="AB158" i="6"/>
  <c r="AB257" i="6"/>
  <c r="AB148" i="6"/>
  <c r="AB21" i="6"/>
  <c r="AB349" i="6"/>
  <c r="AB195" i="6"/>
  <c r="AB434" i="6"/>
  <c r="AB46" i="6"/>
  <c r="AB249" i="6"/>
  <c r="AB258" i="6"/>
  <c r="AB12" i="6"/>
  <c r="AB467" i="6"/>
  <c r="AB156" i="6"/>
  <c r="AB210" i="6"/>
  <c r="AB367" i="6"/>
  <c r="AB203" i="6"/>
  <c r="AB43" i="6"/>
  <c r="AB412" i="6"/>
  <c r="AB341" i="6"/>
  <c r="AB359" i="6"/>
  <c r="AB89" i="6"/>
  <c r="AB88" i="6"/>
  <c r="AB143" i="6"/>
  <c r="AB335" i="6"/>
  <c r="AB10" i="6"/>
  <c r="AB244" i="6"/>
  <c r="AB118" i="6"/>
  <c r="AB402" i="6"/>
  <c r="AB30" i="6"/>
  <c r="AB336" i="6"/>
  <c r="AB233" i="6"/>
  <c r="AB81" i="6"/>
  <c r="AB273" i="6"/>
  <c r="AB144" i="6"/>
  <c r="AB405" i="6"/>
  <c r="AB18" i="6"/>
  <c r="AB193" i="6"/>
  <c r="AB401" i="6"/>
  <c r="AB403" i="6"/>
  <c r="AB27" i="6"/>
  <c r="AB325" i="6"/>
  <c r="AB432" i="6"/>
  <c r="AB355" i="6"/>
  <c r="AB72" i="6"/>
  <c r="AB160" i="6"/>
  <c r="AB256" i="6"/>
  <c r="AB419" i="6"/>
  <c r="AB228" i="6"/>
  <c r="AB83" i="6"/>
  <c r="AB344" i="6"/>
  <c r="AB14" i="6"/>
  <c r="AB283" i="6"/>
  <c r="AB186" i="6"/>
  <c r="AB428" i="6"/>
  <c r="AB364" i="6"/>
  <c r="AB101" i="6"/>
  <c r="AB420" i="6"/>
  <c r="AB328" i="6"/>
  <c r="AB65" i="6"/>
  <c r="AB435" i="6"/>
  <c r="AB310" i="6"/>
  <c r="AB368" i="6"/>
  <c r="AB56" i="6"/>
  <c r="AB135" i="6"/>
  <c r="AB212" i="6"/>
  <c r="AB354" i="6"/>
  <c r="AB382" i="6"/>
  <c r="AB277" i="6"/>
  <c r="AB406" i="6"/>
  <c r="AB378" i="6"/>
  <c r="AB415" i="6"/>
  <c r="AB438" i="6"/>
  <c r="AB294" i="6"/>
  <c r="AB450" i="6"/>
  <c r="AB449" i="6"/>
  <c r="AB40" i="6"/>
  <c r="AB247" i="6"/>
  <c r="AB157" i="6"/>
  <c r="AB334" i="6"/>
  <c r="AB196" i="6"/>
  <c r="AB436" i="6"/>
  <c r="AB313" i="6"/>
  <c r="AB387" i="6"/>
  <c r="AB312" i="6"/>
  <c r="AB326" i="6"/>
  <c r="AB457" i="6"/>
  <c r="AB36" i="6"/>
  <c r="AB19" i="6"/>
  <c r="AB224" i="6"/>
  <c r="AB239" i="6"/>
  <c r="AB296" i="6"/>
  <c r="AB311" i="6"/>
  <c r="AB460" i="6"/>
  <c r="AB287" i="6"/>
  <c r="AB333" i="6"/>
  <c r="AB20" i="6"/>
  <c r="AB394" i="6"/>
  <c r="AB208" i="6"/>
  <c r="AB223" i="6"/>
  <c r="AB280" i="6"/>
  <c r="AB295" i="6"/>
  <c r="AB38" i="6"/>
  <c r="AB316" i="6"/>
  <c r="AB192" i="6"/>
  <c r="AB264" i="6"/>
  <c r="AB279" i="6"/>
  <c r="AB417" i="6"/>
  <c r="AB453" i="6"/>
  <c r="AB178" i="6"/>
  <c r="AB114" i="6"/>
  <c r="AB132" i="6"/>
  <c r="AB90" i="6"/>
  <c r="AB252" i="6"/>
  <c r="AB116" i="6"/>
  <c r="AB73" i="6"/>
  <c r="AB168" i="6"/>
  <c r="AB426" i="6"/>
  <c r="AB199" i="6"/>
  <c r="AB319" i="6"/>
  <c r="AB22" i="6"/>
  <c r="AB127" i="6"/>
  <c r="AB302" i="6"/>
  <c r="AB348" i="6"/>
  <c r="AB388" i="6"/>
  <c r="AB176" i="6"/>
  <c r="AB191" i="6"/>
  <c r="AB129" i="6"/>
  <c r="AB263" i="6"/>
  <c r="AB207" i="6"/>
  <c r="AB276" i="6"/>
  <c r="AB440" i="6"/>
  <c r="AB226" i="6"/>
  <c r="AB26" i="6"/>
  <c r="AB338" i="6"/>
  <c r="AB57" i="6"/>
  <c r="AB248" i="6"/>
  <c r="AB360" i="6"/>
  <c r="AB183" i="6"/>
  <c r="AB304" i="6"/>
  <c r="AB350" i="6"/>
  <c r="AB149" i="6"/>
  <c r="AB286" i="6"/>
  <c r="AB285" i="6"/>
  <c r="AB454" i="6"/>
  <c r="AB97" i="6"/>
  <c r="AB175" i="6"/>
  <c r="AB190" i="6"/>
  <c r="AB121" i="6"/>
  <c r="AA5" i="6"/>
  <c r="AB339" i="6"/>
  <c r="AB398" i="6"/>
  <c r="AB330" i="6"/>
  <c r="AB50" i="6"/>
  <c r="AB293" i="6"/>
  <c r="AB236" i="6"/>
  <c r="AB136" i="6"/>
  <c r="AB267" i="6"/>
  <c r="AB260" i="6"/>
  <c r="AB374" i="6"/>
  <c r="AB113" i="6"/>
  <c r="AB122" i="6"/>
  <c r="AB370" i="6"/>
  <c r="AB220" i="6"/>
  <c r="AB322" i="6"/>
  <c r="AB25" i="6"/>
  <c r="AB232" i="6"/>
  <c r="AB447" i="6"/>
  <c r="AB150" i="6"/>
  <c r="AB288" i="6"/>
  <c r="AB271" i="6"/>
  <c r="AB245" i="6"/>
  <c r="AB270" i="6"/>
  <c r="AB269" i="6"/>
  <c r="AB397" i="6"/>
  <c r="AB80" i="6"/>
  <c r="AB96" i="6"/>
  <c r="AB174" i="6"/>
  <c r="AB138" i="6"/>
  <c r="AB255" i="6"/>
  <c r="AB369" i="6"/>
  <c r="AB202" i="6"/>
  <c r="AB139" i="6"/>
  <c r="AB250" i="6"/>
  <c r="AB462" i="6"/>
  <c r="AB34" i="6"/>
  <c r="AB219" i="6"/>
  <c r="AB441" i="6"/>
  <c r="AB204" i="6"/>
  <c r="AB291" i="6"/>
  <c r="AB361" i="6"/>
  <c r="AB216" i="6"/>
  <c r="AB423" i="6"/>
  <c r="AB87" i="6"/>
  <c r="AB272" i="6"/>
  <c r="AB170" i="6"/>
  <c r="AB229" i="6"/>
  <c r="AB254" i="6"/>
  <c r="AB253" i="6"/>
  <c r="AB463" i="6"/>
  <c r="AB384" i="6"/>
  <c r="AB79" i="6"/>
  <c r="AB95" i="6"/>
  <c r="AB446" i="6"/>
  <c r="AB371" i="6"/>
  <c r="AB372" i="6"/>
  <c r="AB373" i="6"/>
  <c r="AB179" i="6"/>
  <c r="AB329" i="6"/>
  <c r="AB64" i="6"/>
  <c r="AB281" i="6"/>
  <c r="AB15" i="6"/>
  <c r="AB146" i="6"/>
  <c r="AB376" i="6"/>
  <c r="AB237" i="6"/>
  <c r="AB93" i="6"/>
  <c r="AB48" i="6"/>
  <c r="AB265" i="6"/>
  <c r="AB386" i="6"/>
  <c r="AB169" i="6"/>
  <c r="AB444" i="6"/>
  <c r="AB221" i="6"/>
  <c r="AB92" i="6"/>
  <c r="AB32" i="6"/>
  <c r="AB137" i="6"/>
  <c r="AB391" i="6"/>
  <c r="AB115" i="6"/>
  <c r="AB385" i="6"/>
  <c r="AB205" i="6"/>
  <c r="AB91" i="6"/>
  <c r="AB69" i="6"/>
  <c r="AB119" i="6"/>
  <c r="AB332" i="6"/>
  <c r="AB67" i="6"/>
  <c r="AB282" i="6"/>
  <c r="AB16" i="6"/>
  <c r="AB154" i="6"/>
  <c r="AB380" i="6"/>
  <c r="AB238" i="6"/>
  <c r="AB456" i="6"/>
  <c r="AB189" i="6"/>
  <c r="AB37" i="6"/>
  <c r="AB315" i="6"/>
  <c r="AB51" i="6"/>
  <c r="AB266" i="6"/>
  <c r="AB390" i="6"/>
  <c r="AB448" i="6"/>
  <c r="AB222" i="6"/>
  <c r="AB431" i="6"/>
  <c r="AB173" i="6"/>
  <c r="AB182" i="6"/>
  <c r="AB352" i="6"/>
  <c r="AB141" i="6"/>
  <c r="AB110" i="6"/>
  <c r="AB82" i="6"/>
  <c r="AB268" i="6"/>
  <c r="AB452" i="6"/>
  <c r="AB323" i="6"/>
  <c r="AB177" i="6"/>
  <c r="AB413" i="6"/>
  <c r="AB171" i="6"/>
  <c r="AB455" i="6"/>
  <c r="AB188" i="6"/>
  <c r="AB307" i="6"/>
  <c r="AB41" i="6"/>
  <c r="AB120" i="6"/>
  <c r="AB351" i="6"/>
  <c r="AB231" i="6"/>
  <c r="AB421" i="6"/>
  <c r="AB142" i="6"/>
  <c r="AB443" i="6"/>
  <c r="AB404" i="6"/>
  <c r="AB162" i="6"/>
  <c r="AB301" i="6"/>
  <c r="AB35" i="6"/>
  <c r="AB145" i="6"/>
  <c r="AB8" i="6"/>
  <c r="AB123" i="6"/>
  <c r="AB389" i="6"/>
  <c r="AB206" i="6"/>
  <c r="AB375" i="6"/>
  <c r="AB94" i="6"/>
  <c r="AB5" i="6" l="1"/>
</calcChain>
</file>

<file path=xl/sharedStrings.xml><?xml version="1.0" encoding="utf-8"?>
<sst xmlns="http://schemas.openxmlformats.org/spreadsheetml/2006/main" count="4452" uniqueCount="1945">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</sst>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topLeftCell="B1" zoomScaleNormal="100" workbookViewId="0">
      <pane ySplit="7" topLeftCell="A328" activePane="bottomLeft" state="frozen"/>
      <selection pane="bottomLeft" activeCell="D320" sqref="D32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105</v>
      </c>
      <c r="F3" s="5">
        <f>+AD6</f>
        <v>68</v>
      </c>
      <c r="G3" s="5">
        <f>+AF6</f>
        <v>68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122</v>
      </c>
      <c r="G4" s="7">
        <f>+AG6</f>
        <v>105</v>
      </c>
      <c r="H4" s="5">
        <f>+E4-G4</f>
        <v>214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424</v>
      </c>
      <c r="F5" s="8">
        <f>+F3+F4</f>
        <v>190</v>
      </c>
      <c r="G5" s="8">
        <f>+G3+G4</f>
        <v>173</v>
      </c>
      <c r="H5" s="8">
        <f>+H3+H4</f>
        <v>251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68</v>
      </c>
      <c r="AE6" s="1">
        <f t="shared" si="1"/>
        <v>122</v>
      </c>
      <c r="AF6" s="1">
        <f t="shared" si="1"/>
        <v>68</v>
      </c>
      <c r="AG6" s="1">
        <f t="shared" si="1"/>
        <v>105</v>
      </c>
      <c r="AH6" s="1">
        <f t="shared" si="1"/>
        <v>105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16384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16384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16384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16384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16384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16384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16384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16384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16384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16384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16384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16384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16384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569</v>
      </c>
      <c r="E222" s="35" t="s">
        <v>169</v>
      </c>
      <c r="F222" s="35" t="s">
        <v>667</v>
      </c>
      <c r="G222" s="35" t="s">
        <v>204</v>
      </c>
      <c r="H222" s="35" t="s">
        <v>357</v>
      </c>
      <c r="I222" s="34" t="s">
        <v>588</v>
      </c>
      <c r="J222" s="34">
        <v>10</v>
      </c>
      <c r="K222" s="36" t="s">
        <v>969</v>
      </c>
      <c r="L222" s="36" t="s">
        <v>700</v>
      </c>
      <c r="M222" s="37" t="s">
        <v>712</v>
      </c>
      <c r="N222" s="37" t="s">
        <v>1763</v>
      </c>
      <c r="O222" s="38">
        <v>1</v>
      </c>
      <c r="P222" s="38"/>
      <c r="Q222" s="39"/>
      <c r="R222" s="34"/>
      <c r="S222" s="34">
        <f t="shared" si="79"/>
        <v>0</v>
      </c>
      <c r="T222" s="34">
        <f t="shared" si="80"/>
        <v>0</v>
      </c>
      <c r="U222" s="35">
        <f t="shared" si="81"/>
        <v>0</v>
      </c>
      <c r="V222" s="35">
        <f t="shared" si="82"/>
        <v>0</v>
      </c>
      <c r="W222" s="35">
        <f t="shared" si="83"/>
        <v>0</v>
      </c>
      <c r="X222" s="35">
        <f t="shared" si="84"/>
        <v>0</v>
      </c>
      <c r="Y222" s="35">
        <f t="shared" si="85"/>
        <v>0</v>
      </c>
      <c r="Z222" s="34">
        <f t="shared" si="86"/>
        <v>0</v>
      </c>
      <c r="AA222" s="34">
        <f t="shared" si="87"/>
        <v>0</v>
      </c>
      <c r="AB222" s="36">
        <f t="shared" si="88"/>
        <v>1</v>
      </c>
      <c r="AC222" s="36"/>
      <c r="AD222" s="37">
        <f t="shared" si="89"/>
        <v>0</v>
      </c>
      <c r="AE222" s="37">
        <f t="shared" si="90"/>
        <v>1</v>
      </c>
      <c r="AF222" s="38">
        <f t="shared" si="75"/>
        <v>0</v>
      </c>
      <c r="AG222" s="38">
        <f t="shared" si="76"/>
        <v>1</v>
      </c>
      <c r="AH222" s="39">
        <f t="shared" si="77"/>
        <v>0</v>
      </c>
      <c r="AI222" s="34">
        <f t="shared" si="78"/>
        <v>1</v>
      </c>
      <c r="AJ222" s="34"/>
      <c r="AK222" s="34"/>
      <c r="AL222" s="35"/>
      <c r="AM222" s="35"/>
      <c r="AN222" s="35"/>
      <c r="AO222" s="35"/>
      <c r="AP222" s="35"/>
      <c r="AQ222" s="34"/>
      <c r="AR222" s="34"/>
      <c r="AS222" s="36"/>
      <c r="AT222" s="36"/>
      <c r="AU222" s="37"/>
      <c r="AV222" s="37"/>
      <c r="AW222" s="38"/>
      <c r="AX222" s="38"/>
      <c r="AY222" s="39"/>
      <c r="AZ222" s="34"/>
      <c r="BA222" s="34"/>
      <c r="BB222" s="34"/>
      <c r="BC222" s="35"/>
      <c r="BD222" s="35"/>
      <c r="BE222" s="35"/>
      <c r="BF222" s="35"/>
      <c r="BG222" s="35"/>
      <c r="BH222" s="34"/>
      <c r="BI222" s="34"/>
      <c r="BJ222" s="36"/>
      <c r="BK222" s="36"/>
      <c r="BL222" s="37"/>
      <c r="BM222" s="37"/>
      <c r="BN222" s="38"/>
      <c r="BO222" s="38"/>
      <c r="BP222" s="39"/>
      <c r="BQ222" s="34"/>
      <c r="BR222" s="34"/>
      <c r="BS222" s="34"/>
      <c r="BT222" s="35"/>
      <c r="BU222" s="35"/>
      <c r="BV222" s="35"/>
      <c r="BW222" s="35"/>
      <c r="BX222" s="35"/>
      <c r="BY222" s="34"/>
      <c r="BZ222" s="34"/>
      <c r="CA222" s="36"/>
      <c r="CB222" s="36"/>
      <c r="CC222" s="37"/>
      <c r="CD222" s="37"/>
      <c r="CE222" s="38"/>
      <c r="CF222" s="38"/>
      <c r="CG222" s="39"/>
      <c r="CH222" s="34"/>
      <c r="CI222" s="34"/>
      <c r="CJ222" s="34"/>
      <c r="CK222" s="35"/>
      <c r="CL222" s="35"/>
      <c r="CM222" s="35"/>
      <c r="CN222" s="35"/>
      <c r="CO222" s="35"/>
      <c r="CP222" s="34"/>
      <c r="CQ222" s="34"/>
      <c r="CR222" s="36"/>
      <c r="CS222" s="36"/>
      <c r="CT222" s="37"/>
      <c r="CU222" s="37"/>
      <c r="CV222" s="38"/>
      <c r="CW222" s="38"/>
      <c r="CX222" s="39"/>
      <c r="CY222" s="34"/>
      <c r="CZ222" s="34"/>
      <c r="DA222" s="34"/>
      <c r="DB222" s="35"/>
      <c r="DC222" s="35"/>
      <c r="DD222" s="35"/>
      <c r="DE222" s="35"/>
      <c r="DF222" s="35"/>
      <c r="DG222" s="34"/>
      <c r="DH222" s="34"/>
      <c r="DI222" s="36"/>
      <c r="DJ222" s="36"/>
      <c r="DK222" s="37"/>
      <c r="DL222" s="37"/>
      <c r="DM222" s="38"/>
      <c r="DN222" s="38"/>
      <c r="DO222" s="39"/>
      <c r="DP222" s="34"/>
      <c r="DQ222" s="34"/>
      <c r="DR222" s="34"/>
      <c r="DS222" s="35"/>
      <c r="DT222" s="35"/>
      <c r="DU222" s="35"/>
      <c r="DV222" s="35"/>
      <c r="DW222" s="35"/>
      <c r="DX222" s="34"/>
      <c r="DY222" s="34"/>
      <c r="DZ222" s="36"/>
      <c r="EA222" s="36"/>
      <c r="EB222" s="37"/>
      <c r="EC222" s="37"/>
      <c r="ED222" s="38"/>
      <c r="EE222" s="38"/>
      <c r="EF222" s="39"/>
      <c r="EG222" s="34"/>
      <c r="EH222" s="34"/>
      <c r="EI222" s="34"/>
      <c r="EJ222" s="35"/>
      <c r="EK222" s="35"/>
      <c r="EL222" s="35"/>
      <c r="EM222" s="35"/>
      <c r="EN222" s="35"/>
      <c r="EO222" s="34"/>
      <c r="EP222" s="34"/>
      <c r="EQ222" s="36"/>
      <c r="ER222" s="36"/>
      <c r="ES222" s="37"/>
      <c r="ET222" s="37"/>
      <c r="EU222" s="38"/>
      <c r="EV222" s="38"/>
      <c r="EW222" s="39"/>
      <c r="EX222" s="34"/>
      <c r="EY222" s="34"/>
      <c r="EZ222" s="34"/>
      <c r="FA222" s="35"/>
      <c r="FB222" s="35"/>
      <c r="FC222" s="35"/>
      <c r="FD222" s="35"/>
      <c r="FE222" s="35"/>
      <c r="FF222" s="34"/>
      <c r="FG222" s="34"/>
      <c r="FH222" s="36"/>
      <c r="FI222" s="36"/>
      <c r="FJ222" s="37"/>
      <c r="FK222" s="37"/>
      <c r="FL222" s="38"/>
      <c r="FM222" s="38"/>
      <c r="FN222" s="39"/>
      <c r="FO222" s="34"/>
      <c r="FP222" s="34"/>
      <c r="FQ222" s="34"/>
      <c r="FR222" s="35"/>
      <c r="FS222" s="35"/>
      <c r="FT222" s="35"/>
      <c r="FU222" s="35"/>
      <c r="FV222" s="35"/>
      <c r="FW222" s="34"/>
      <c r="FX222" s="34"/>
      <c r="FY222" s="36"/>
      <c r="FZ222" s="36"/>
      <c r="GA222" s="37"/>
      <c r="GB222" s="37"/>
      <c r="GC222" s="38"/>
      <c r="GD222" s="38"/>
      <c r="GE222" s="39"/>
      <c r="GF222" s="34"/>
      <c r="GG222" s="34"/>
      <c r="GH222" s="34"/>
      <c r="GI222" s="35"/>
      <c r="GJ222" s="35"/>
      <c r="GK222" s="35"/>
      <c r="GL222" s="35"/>
      <c r="GM222" s="35"/>
      <c r="GN222" s="34"/>
      <c r="GO222" s="34"/>
      <c r="GP222" s="36"/>
      <c r="GQ222" s="36"/>
      <c r="GR222" s="37"/>
      <c r="GS222" s="37"/>
      <c r="GT222" s="38"/>
      <c r="GU222" s="38"/>
      <c r="GV222" s="39"/>
      <c r="GW222" s="34"/>
      <c r="GX222" s="34"/>
      <c r="GY222" s="34"/>
      <c r="GZ222" s="35"/>
      <c r="HA222" s="35"/>
      <c r="HB222" s="35"/>
      <c r="HC222" s="35"/>
      <c r="HD222" s="35"/>
      <c r="HE222" s="34"/>
      <c r="HF222" s="34"/>
      <c r="HG222" s="36"/>
      <c r="HH222" s="36"/>
      <c r="HI222" s="37"/>
      <c r="HJ222" s="37"/>
      <c r="HK222" s="38"/>
      <c r="HL222" s="38"/>
      <c r="HM222" s="39"/>
      <c r="HN222" s="34"/>
      <c r="HO222" s="34"/>
      <c r="HP222" s="34"/>
      <c r="HQ222" s="35"/>
      <c r="HR222" s="35"/>
      <c r="HS222" s="35"/>
      <c r="HT222" s="35"/>
      <c r="HU222" s="35"/>
      <c r="HV222" s="34"/>
      <c r="HW222" s="34"/>
      <c r="HX222" s="36"/>
      <c r="HY222" s="36"/>
      <c r="HZ222" s="37"/>
      <c r="IA222" s="37"/>
      <c r="IB222" s="38"/>
      <c r="IC222" s="38"/>
      <c r="ID222" s="39"/>
      <c r="IE222" s="34"/>
      <c r="IF222" s="34"/>
      <c r="IG222" s="34"/>
      <c r="IH222" s="35"/>
      <c r="II222" s="35"/>
      <c r="IJ222" s="35"/>
      <c r="IK222" s="35"/>
      <c r="IL222" s="35"/>
      <c r="IM222" s="34"/>
      <c r="IN222" s="34"/>
      <c r="IO222" s="36"/>
      <c r="IP222" s="36"/>
      <c r="IQ222" s="37"/>
      <c r="IR222" s="37"/>
      <c r="IS222" s="38"/>
      <c r="IT222" s="38"/>
      <c r="IU222" s="39"/>
      <c r="IV222" s="34"/>
      <c r="IW222" s="34"/>
      <c r="IX222" s="34"/>
      <c r="IY222" s="35"/>
      <c r="IZ222" s="35"/>
      <c r="JA222" s="35"/>
      <c r="JB222" s="35"/>
      <c r="JC222" s="35"/>
      <c r="JD222" s="34"/>
      <c r="JE222" s="34"/>
      <c r="JF222" s="36"/>
      <c r="JG222" s="36"/>
      <c r="JH222" s="37"/>
      <c r="JI222" s="37"/>
      <c r="JJ222" s="38"/>
      <c r="JK222" s="38"/>
      <c r="JL222" s="39"/>
      <c r="JM222" s="34"/>
      <c r="JN222" s="34"/>
      <c r="JO222" s="34"/>
      <c r="JP222" s="35"/>
      <c r="JQ222" s="35"/>
      <c r="JR222" s="35"/>
      <c r="JS222" s="35"/>
      <c r="JT222" s="35"/>
      <c r="JU222" s="34"/>
      <c r="JV222" s="34"/>
      <c r="JW222" s="36"/>
      <c r="JX222" s="36"/>
      <c r="JY222" s="37"/>
      <c r="JZ222" s="37"/>
      <c r="KA222" s="38"/>
      <c r="KB222" s="38"/>
      <c r="KC222" s="39"/>
      <c r="KD222" s="34"/>
      <c r="KE222" s="34"/>
      <c r="KF222" s="34"/>
      <c r="KG222" s="35"/>
      <c r="KH222" s="35"/>
      <c r="KI222" s="35"/>
      <c r="KJ222" s="35"/>
      <c r="KK222" s="35"/>
      <c r="KL222" s="34"/>
      <c r="KM222" s="34"/>
      <c r="KN222" s="36"/>
      <c r="KO222" s="36"/>
      <c r="KP222" s="37"/>
      <c r="KQ222" s="37"/>
      <c r="KR222" s="38"/>
      <c r="KS222" s="38"/>
      <c r="KT222" s="39"/>
      <c r="KU222" s="34"/>
      <c r="KV222" s="34"/>
      <c r="KW222" s="34"/>
      <c r="KX222" s="35"/>
      <c r="KY222" s="35"/>
      <c r="KZ222" s="35"/>
      <c r="LA222" s="35"/>
      <c r="LB222" s="35"/>
      <c r="LC222" s="34"/>
      <c r="LD222" s="34"/>
      <c r="LE222" s="36"/>
      <c r="LF222" s="36"/>
      <c r="LG222" s="37"/>
      <c r="LH222" s="37"/>
      <c r="LI222" s="38"/>
      <c r="LJ222" s="38"/>
      <c r="LK222" s="39"/>
      <c r="LL222" s="34"/>
      <c r="LM222" s="34"/>
      <c r="LN222" s="34"/>
      <c r="LO222" s="35"/>
      <c r="LP222" s="35"/>
      <c r="LQ222" s="35"/>
      <c r="LR222" s="35"/>
      <c r="LS222" s="35"/>
      <c r="LT222" s="34"/>
      <c r="LU222" s="34"/>
      <c r="LV222" s="36"/>
      <c r="LW222" s="36"/>
      <c r="LX222" s="37"/>
      <c r="LY222" s="37"/>
      <c r="LZ222" s="38"/>
      <c r="MA222" s="38"/>
      <c r="MB222" s="39"/>
      <c r="MC222" s="34"/>
      <c r="MD222" s="34"/>
      <c r="ME222" s="34"/>
      <c r="MF222" s="35"/>
      <c r="MG222" s="35"/>
      <c r="MH222" s="35"/>
      <c r="MI222" s="35"/>
      <c r="MJ222" s="35"/>
      <c r="MK222" s="34"/>
      <c r="ML222" s="34"/>
      <c r="MM222" s="36"/>
      <c r="MN222" s="36"/>
      <c r="MO222" s="37"/>
      <c r="MP222" s="37"/>
      <c r="MQ222" s="38"/>
      <c r="MR222" s="38"/>
      <c r="MS222" s="39"/>
      <c r="MT222" s="34"/>
      <c r="MU222" s="34"/>
      <c r="MV222" s="34"/>
      <c r="MW222" s="35"/>
      <c r="MX222" s="35"/>
      <c r="MY222" s="35"/>
      <c r="MZ222" s="35"/>
      <c r="NA222" s="35"/>
      <c r="NB222" s="34"/>
      <c r="NC222" s="34"/>
      <c r="ND222" s="36"/>
      <c r="NE222" s="36"/>
      <c r="NF222" s="37"/>
      <c r="NG222" s="37"/>
      <c r="NH222" s="38"/>
      <c r="NI222" s="38"/>
      <c r="NJ222" s="39"/>
      <c r="NK222" s="34"/>
      <c r="NL222" s="34"/>
      <c r="NM222" s="34"/>
      <c r="NN222" s="35"/>
      <c r="NO222" s="35"/>
      <c r="NP222" s="35"/>
      <c r="NQ222" s="35"/>
      <c r="NR222" s="35"/>
      <c r="NS222" s="34"/>
      <c r="NT222" s="34"/>
      <c r="NU222" s="36"/>
      <c r="NV222" s="36"/>
      <c r="NW222" s="37"/>
      <c r="NX222" s="37"/>
      <c r="NY222" s="38"/>
      <c r="NZ222" s="38"/>
      <c r="OA222" s="39"/>
      <c r="OB222" s="34"/>
      <c r="OC222" s="34"/>
      <c r="OD222" s="34"/>
      <c r="OE222" s="35"/>
      <c r="OF222" s="35"/>
      <c r="OG222" s="35"/>
      <c r="OH222" s="35"/>
      <c r="OI222" s="35"/>
      <c r="OJ222" s="34"/>
      <c r="OK222" s="34"/>
      <c r="OL222" s="36"/>
      <c r="OM222" s="36"/>
      <c r="ON222" s="37"/>
      <c r="OO222" s="37"/>
      <c r="OP222" s="38"/>
      <c r="OQ222" s="38"/>
      <c r="OR222" s="39"/>
      <c r="OS222" s="34"/>
      <c r="OT222" s="34"/>
      <c r="OU222" s="34"/>
      <c r="OV222" s="35"/>
      <c r="OW222" s="35"/>
      <c r="OX222" s="35"/>
      <c r="OY222" s="35"/>
      <c r="OZ222" s="35"/>
      <c r="PA222" s="34"/>
      <c r="PB222" s="34"/>
      <c r="PC222" s="36"/>
      <c r="PD222" s="36"/>
      <c r="PE222" s="37"/>
      <c r="PF222" s="37"/>
      <c r="PG222" s="38"/>
      <c r="PH222" s="38"/>
      <c r="PI222" s="39"/>
      <c r="PJ222" s="34"/>
      <c r="PK222" s="34"/>
      <c r="PL222" s="34"/>
      <c r="PM222" s="35"/>
      <c r="PN222" s="35"/>
      <c r="PO222" s="35"/>
      <c r="PP222" s="35"/>
      <c r="PQ222" s="35"/>
      <c r="PR222" s="34"/>
      <c r="PS222" s="34"/>
      <c r="PT222" s="36"/>
      <c r="PU222" s="36"/>
      <c r="PV222" s="37"/>
      <c r="PW222" s="37"/>
      <c r="PX222" s="38"/>
      <c r="PY222" s="38"/>
      <c r="PZ222" s="39"/>
      <c r="QA222" s="34"/>
      <c r="QB222" s="34"/>
      <c r="QC222" s="34"/>
      <c r="QD222" s="35"/>
      <c r="QE222" s="35"/>
      <c r="QF222" s="35"/>
      <c r="QG222" s="35"/>
      <c r="QH222" s="35"/>
      <c r="QI222" s="34"/>
      <c r="QJ222" s="34"/>
      <c r="QK222" s="36"/>
      <c r="QL222" s="36"/>
      <c r="QM222" s="37"/>
      <c r="QN222" s="37"/>
      <c r="QO222" s="38"/>
      <c r="QP222" s="38"/>
      <c r="QQ222" s="39"/>
      <c r="QR222" s="34"/>
      <c r="QS222" s="34"/>
      <c r="QT222" s="34"/>
      <c r="QU222" s="35"/>
      <c r="QV222" s="35"/>
      <c r="QW222" s="35"/>
      <c r="QX222" s="35"/>
      <c r="QY222" s="35"/>
      <c r="QZ222" s="34"/>
      <c r="RA222" s="34"/>
      <c r="RB222" s="36"/>
      <c r="RC222" s="36"/>
      <c r="RD222" s="37"/>
      <c r="RE222" s="37"/>
      <c r="RF222" s="38"/>
      <c r="RG222" s="38"/>
      <c r="RH222" s="39"/>
      <c r="RI222" s="34"/>
      <c r="RJ222" s="34"/>
      <c r="RK222" s="34"/>
      <c r="RL222" s="35"/>
      <c r="RM222" s="35"/>
      <c r="RN222" s="35"/>
      <c r="RO222" s="35"/>
      <c r="RP222" s="35"/>
      <c r="RQ222" s="34"/>
      <c r="RR222" s="34"/>
      <c r="RS222" s="36"/>
      <c r="RT222" s="36"/>
      <c r="RU222" s="37"/>
      <c r="RV222" s="37"/>
      <c r="RW222" s="38"/>
      <c r="RX222" s="38"/>
      <c r="RY222" s="39"/>
      <c r="RZ222" s="34"/>
      <c r="SA222" s="34"/>
      <c r="SB222" s="34"/>
      <c r="SC222" s="35"/>
      <c r="SD222" s="35"/>
      <c r="SE222" s="35"/>
      <c r="SF222" s="35"/>
      <c r="SG222" s="35"/>
      <c r="SH222" s="34"/>
      <c r="SI222" s="34"/>
      <c r="SJ222" s="36"/>
      <c r="SK222" s="36"/>
      <c r="SL222" s="37"/>
      <c r="SM222" s="37"/>
      <c r="SN222" s="38"/>
      <c r="SO222" s="38"/>
      <c r="SP222" s="39"/>
      <c r="SQ222" s="34"/>
      <c r="SR222" s="34"/>
      <c r="SS222" s="34"/>
      <c r="ST222" s="35"/>
      <c r="SU222" s="35"/>
      <c r="SV222" s="35"/>
      <c r="SW222" s="35"/>
      <c r="SX222" s="35"/>
      <c r="SY222" s="34"/>
      <c r="SZ222" s="34"/>
      <c r="TA222" s="36"/>
      <c r="TB222" s="36"/>
      <c r="TC222" s="37"/>
      <c r="TD222" s="37"/>
      <c r="TE222" s="38"/>
      <c r="TF222" s="38"/>
      <c r="TG222" s="39"/>
      <c r="TH222" s="34"/>
      <c r="TI222" s="34"/>
      <c r="TJ222" s="34"/>
      <c r="TK222" s="35"/>
      <c r="TL222" s="35"/>
      <c r="TM222" s="35"/>
      <c r="TN222" s="35"/>
      <c r="TO222" s="35"/>
      <c r="TP222" s="34"/>
      <c r="TQ222" s="34"/>
      <c r="TR222" s="36"/>
      <c r="TS222" s="36"/>
      <c r="TT222" s="37"/>
      <c r="TU222" s="37"/>
      <c r="TV222" s="38"/>
      <c r="TW222" s="38"/>
      <c r="TX222" s="39"/>
      <c r="TY222" s="34"/>
      <c r="TZ222" s="34"/>
      <c r="UA222" s="34"/>
      <c r="UB222" s="35"/>
      <c r="UC222" s="35"/>
      <c r="UD222" s="35"/>
      <c r="UE222" s="35"/>
      <c r="UF222" s="35"/>
      <c r="UG222" s="34"/>
      <c r="UH222" s="34"/>
      <c r="UI222" s="36"/>
      <c r="UJ222" s="36"/>
      <c r="UK222" s="37"/>
      <c r="UL222" s="37"/>
      <c r="UM222" s="38"/>
      <c r="UN222" s="38"/>
      <c r="UO222" s="39"/>
      <c r="UP222" s="34"/>
      <c r="UQ222" s="34"/>
      <c r="UR222" s="34"/>
      <c r="US222" s="35"/>
      <c r="UT222" s="35"/>
      <c r="UU222" s="35"/>
      <c r="UV222" s="35"/>
      <c r="UW222" s="35"/>
      <c r="UX222" s="34"/>
      <c r="UY222" s="34"/>
      <c r="UZ222" s="36"/>
      <c r="VA222" s="36"/>
      <c r="VB222" s="37"/>
      <c r="VC222" s="37"/>
      <c r="VD222" s="38"/>
      <c r="VE222" s="38"/>
      <c r="VF222" s="39"/>
      <c r="VG222" s="34"/>
      <c r="VH222" s="34"/>
      <c r="VI222" s="34"/>
      <c r="VJ222" s="35"/>
      <c r="VK222" s="35"/>
      <c r="VL222" s="35"/>
      <c r="VM222" s="35"/>
      <c r="VN222" s="35"/>
      <c r="VO222" s="34"/>
      <c r="VP222" s="34"/>
      <c r="VQ222" s="36"/>
      <c r="VR222" s="36"/>
      <c r="VS222" s="37"/>
      <c r="VT222" s="37"/>
      <c r="VU222" s="38"/>
      <c r="VV222" s="38"/>
      <c r="VW222" s="39"/>
      <c r="VX222" s="34"/>
      <c r="VY222" s="34"/>
      <c r="VZ222" s="34"/>
      <c r="WA222" s="35"/>
      <c r="WB222" s="35"/>
      <c r="WC222" s="35"/>
      <c r="WD222" s="35"/>
      <c r="WE222" s="35"/>
      <c r="WF222" s="34"/>
      <c r="WG222" s="34"/>
      <c r="WH222" s="36"/>
      <c r="WI222" s="36"/>
      <c r="WJ222" s="37"/>
      <c r="WK222" s="37"/>
      <c r="WL222" s="38"/>
      <c r="WM222" s="38"/>
      <c r="WN222" s="39"/>
      <c r="WO222" s="34"/>
      <c r="WP222" s="34"/>
      <c r="WQ222" s="34"/>
      <c r="WR222" s="35"/>
      <c r="WS222" s="35"/>
      <c r="WT222" s="35"/>
      <c r="WU222" s="35"/>
      <c r="WV222" s="35"/>
      <c r="WW222" s="34"/>
      <c r="WX222" s="34"/>
      <c r="WY222" s="36"/>
      <c r="WZ222" s="36"/>
      <c r="XA222" s="37"/>
      <c r="XB222" s="37"/>
      <c r="XC222" s="38"/>
      <c r="XD222" s="38"/>
      <c r="XE222" s="39"/>
      <c r="XF222" s="34"/>
      <c r="XG222" s="34"/>
      <c r="XH222" s="34"/>
      <c r="XI222" s="35"/>
      <c r="XJ222" s="35"/>
      <c r="XK222" s="35"/>
      <c r="XL222" s="35"/>
      <c r="XM222" s="35"/>
      <c r="XN222" s="34"/>
      <c r="XO222" s="34"/>
      <c r="XP222" s="36"/>
      <c r="XQ222" s="36"/>
      <c r="XR222" s="37"/>
      <c r="XS222" s="37"/>
      <c r="XT222" s="38"/>
      <c r="XU222" s="38"/>
      <c r="XV222" s="39"/>
      <c r="XW222" s="34"/>
      <c r="XX222" s="34"/>
      <c r="XY222" s="34"/>
      <c r="XZ222" s="35"/>
      <c r="YA222" s="35"/>
      <c r="YB222" s="35"/>
      <c r="YC222" s="35"/>
      <c r="YD222" s="35"/>
      <c r="YE222" s="34"/>
      <c r="YF222" s="34"/>
      <c r="YG222" s="36"/>
      <c r="YH222" s="36"/>
      <c r="YI222" s="37"/>
      <c r="YJ222" s="37"/>
      <c r="YK222" s="38"/>
      <c r="YL222" s="38"/>
      <c r="YM222" s="39"/>
      <c r="YN222" s="34"/>
      <c r="YO222" s="34"/>
      <c r="YP222" s="34"/>
      <c r="YQ222" s="35"/>
      <c r="YR222" s="35"/>
      <c r="YS222" s="35"/>
      <c r="YT222" s="35"/>
      <c r="YU222" s="35"/>
      <c r="YV222" s="34"/>
      <c r="YW222" s="34"/>
      <c r="YX222" s="36"/>
      <c r="YY222" s="36"/>
      <c r="YZ222" s="37"/>
      <c r="ZA222" s="37"/>
      <c r="ZB222" s="38"/>
      <c r="ZC222" s="38"/>
      <c r="ZD222" s="39"/>
      <c r="ZE222" s="34"/>
      <c r="ZF222" s="34"/>
      <c r="ZG222" s="34"/>
      <c r="ZH222" s="35"/>
      <c r="ZI222" s="35"/>
      <c r="ZJ222" s="35"/>
      <c r="ZK222" s="35"/>
      <c r="ZL222" s="35"/>
      <c r="ZM222" s="34"/>
      <c r="ZN222" s="34"/>
      <c r="ZO222" s="36"/>
      <c r="ZP222" s="36"/>
      <c r="ZQ222" s="37"/>
      <c r="ZR222" s="37"/>
      <c r="ZS222" s="38"/>
      <c r="ZT222" s="38"/>
      <c r="ZU222" s="39"/>
      <c r="ZV222" s="34"/>
      <c r="ZW222" s="34"/>
      <c r="ZX222" s="34"/>
      <c r="ZY222" s="35"/>
      <c r="ZZ222" s="35"/>
      <c r="AAA222" s="35"/>
      <c r="AAB222" s="35"/>
      <c r="AAC222" s="35"/>
      <c r="AAD222" s="34"/>
      <c r="AAE222" s="34"/>
      <c r="AAF222" s="36"/>
      <c r="AAG222" s="36"/>
      <c r="AAH222" s="37"/>
      <c r="AAI222" s="37"/>
      <c r="AAJ222" s="38"/>
      <c r="AAK222" s="38"/>
      <c r="AAL222" s="39"/>
      <c r="AAM222" s="34"/>
      <c r="AAN222" s="34"/>
      <c r="AAO222" s="34"/>
      <c r="AAP222" s="35"/>
      <c r="AAQ222" s="35"/>
      <c r="AAR222" s="35"/>
      <c r="AAS222" s="35"/>
      <c r="AAT222" s="35"/>
      <c r="AAU222" s="34"/>
      <c r="AAV222" s="34"/>
      <c r="AAW222" s="36"/>
      <c r="AAX222" s="36"/>
      <c r="AAY222" s="37"/>
      <c r="AAZ222" s="37"/>
      <c r="ABA222" s="38"/>
      <c r="ABB222" s="38"/>
      <c r="ABC222" s="39"/>
      <c r="ABD222" s="34"/>
      <c r="ABE222" s="34"/>
      <c r="ABF222" s="34"/>
      <c r="ABG222" s="35"/>
      <c r="ABH222" s="35"/>
      <c r="ABI222" s="35"/>
      <c r="ABJ222" s="35"/>
      <c r="ABK222" s="35"/>
      <c r="ABL222" s="34"/>
      <c r="ABM222" s="34"/>
      <c r="ABN222" s="36"/>
      <c r="ABO222" s="36"/>
      <c r="ABP222" s="37"/>
      <c r="ABQ222" s="37"/>
      <c r="ABR222" s="38"/>
      <c r="ABS222" s="38"/>
      <c r="ABT222" s="39"/>
      <c r="ABU222" s="34"/>
      <c r="ABV222" s="34"/>
      <c r="ABW222" s="34"/>
      <c r="ABX222" s="35"/>
      <c r="ABY222" s="35"/>
      <c r="ABZ222" s="35"/>
      <c r="ACA222" s="35"/>
      <c r="ACB222" s="35"/>
      <c r="ACC222" s="34"/>
      <c r="ACD222" s="34"/>
      <c r="ACE222" s="36"/>
      <c r="ACF222" s="36"/>
      <c r="ACG222" s="37"/>
      <c r="ACH222" s="37"/>
      <c r="ACI222" s="38"/>
      <c r="ACJ222" s="38"/>
      <c r="ACK222" s="39"/>
      <c r="ACL222" s="34"/>
      <c r="ACM222" s="34"/>
      <c r="ACN222" s="34"/>
      <c r="ACO222" s="35"/>
      <c r="ACP222" s="35"/>
      <c r="ACQ222" s="35"/>
      <c r="ACR222" s="35"/>
      <c r="ACS222" s="35"/>
      <c r="ACT222" s="34"/>
      <c r="ACU222" s="34"/>
      <c r="ACV222" s="36"/>
      <c r="ACW222" s="36"/>
      <c r="ACX222" s="37"/>
      <c r="ACY222" s="37"/>
      <c r="ACZ222" s="38"/>
      <c r="ADA222" s="38"/>
      <c r="ADB222" s="39"/>
      <c r="ADC222" s="34"/>
      <c r="ADD222" s="34"/>
      <c r="ADE222" s="34"/>
      <c r="ADF222" s="35"/>
      <c r="ADG222" s="35"/>
      <c r="ADH222" s="35"/>
      <c r="ADI222" s="35"/>
      <c r="ADJ222" s="35"/>
      <c r="ADK222" s="34"/>
      <c r="ADL222" s="34"/>
      <c r="ADM222" s="36"/>
      <c r="ADN222" s="36"/>
      <c r="ADO222" s="37"/>
      <c r="ADP222" s="37"/>
      <c r="ADQ222" s="38"/>
      <c r="ADR222" s="38"/>
      <c r="ADS222" s="39"/>
      <c r="ADT222" s="34"/>
      <c r="ADU222" s="34"/>
      <c r="ADV222" s="34"/>
      <c r="ADW222" s="35"/>
      <c r="ADX222" s="35"/>
      <c r="ADY222" s="35"/>
      <c r="ADZ222" s="35"/>
      <c r="AEA222" s="35"/>
      <c r="AEB222" s="34"/>
      <c r="AEC222" s="34"/>
      <c r="AED222" s="36"/>
      <c r="AEE222" s="36"/>
      <c r="AEF222" s="37"/>
      <c r="AEG222" s="37"/>
      <c r="AEH222" s="38"/>
      <c r="AEI222" s="38"/>
      <c r="AEJ222" s="39"/>
      <c r="AEK222" s="34"/>
      <c r="AEL222" s="34"/>
      <c r="AEM222" s="34"/>
      <c r="AEN222" s="35"/>
      <c r="AEO222" s="35"/>
      <c r="AEP222" s="35"/>
      <c r="AEQ222" s="35"/>
      <c r="AER222" s="35"/>
      <c r="AES222" s="34"/>
      <c r="AET222" s="34"/>
      <c r="AEU222" s="36"/>
      <c r="AEV222" s="36"/>
      <c r="AEW222" s="37"/>
      <c r="AEX222" s="37"/>
      <c r="AEY222" s="38"/>
      <c r="AEZ222" s="38"/>
      <c r="AFA222" s="39"/>
      <c r="AFB222" s="34"/>
      <c r="AFC222" s="34"/>
      <c r="AFD222" s="34"/>
      <c r="AFE222" s="35"/>
      <c r="AFF222" s="35"/>
      <c r="AFG222" s="35"/>
      <c r="AFH222" s="35"/>
      <c r="AFI222" s="35"/>
      <c r="AFJ222" s="34"/>
      <c r="AFK222" s="34"/>
      <c r="AFL222" s="36"/>
      <c r="AFM222" s="36"/>
      <c r="AFN222" s="37"/>
      <c r="AFO222" s="37"/>
      <c r="AFP222" s="38"/>
      <c r="AFQ222" s="38"/>
      <c r="AFR222" s="39"/>
      <c r="AFS222" s="34"/>
      <c r="AFT222" s="34"/>
      <c r="AFU222" s="34"/>
      <c r="AFV222" s="35"/>
      <c r="AFW222" s="35"/>
      <c r="AFX222" s="35"/>
      <c r="AFY222" s="35"/>
      <c r="AFZ222" s="35"/>
      <c r="AGA222" s="34"/>
      <c r="AGB222" s="34"/>
      <c r="AGC222" s="36"/>
      <c r="AGD222" s="36"/>
      <c r="AGE222" s="37"/>
      <c r="AGF222" s="37"/>
      <c r="AGG222" s="38"/>
      <c r="AGH222" s="38"/>
      <c r="AGI222" s="39"/>
      <c r="AGJ222" s="34"/>
      <c r="AGK222" s="34"/>
      <c r="AGL222" s="34"/>
      <c r="AGM222" s="35"/>
      <c r="AGN222" s="35"/>
      <c r="AGO222" s="35"/>
      <c r="AGP222" s="35"/>
      <c r="AGQ222" s="35"/>
      <c r="AGR222" s="34"/>
      <c r="AGS222" s="34"/>
      <c r="AGT222" s="36"/>
      <c r="AGU222" s="36"/>
      <c r="AGV222" s="37"/>
      <c r="AGW222" s="37"/>
      <c r="AGX222" s="38"/>
      <c r="AGY222" s="38"/>
      <c r="AGZ222" s="39"/>
      <c r="AHA222" s="34"/>
      <c r="AHB222" s="34"/>
      <c r="AHC222" s="34"/>
      <c r="AHD222" s="35"/>
      <c r="AHE222" s="35"/>
      <c r="AHF222" s="35"/>
      <c r="AHG222" s="35"/>
      <c r="AHH222" s="35"/>
      <c r="AHI222" s="34"/>
      <c r="AHJ222" s="34"/>
      <c r="AHK222" s="36"/>
      <c r="AHL222" s="36"/>
      <c r="AHM222" s="37"/>
      <c r="AHN222" s="37"/>
      <c r="AHO222" s="38"/>
      <c r="AHP222" s="38"/>
      <c r="AHQ222" s="39"/>
      <c r="AHR222" s="34"/>
      <c r="AHS222" s="34"/>
      <c r="AHT222" s="34"/>
      <c r="AHU222" s="35"/>
      <c r="AHV222" s="35"/>
      <c r="AHW222" s="35"/>
      <c r="AHX222" s="35"/>
      <c r="AHY222" s="35"/>
      <c r="AHZ222" s="34"/>
      <c r="AIA222" s="34"/>
      <c r="AIB222" s="36"/>
      <c r="AIC222" s="36"/>
      <c r="AID222" s="37"/>
      <c r="AIE222" s="37"/>
      <c r="AIF222" s="38"/>
      <c r="AIG222" s="38"/>
      <c r="AIH222" s="39"/>
      <c r="AII222" s="34"/>
      <c r="AIJ222" s="34"/>
      <c r="AIK222" s="34"/>
      <c r="AIL222" s="35"/>
      <c r="AIM222" s="35"/>
      <c r="AIN222" s="35"/>
      <c r="AIO222" s="35"/>
      <c r="AIP222" s="35"/>
      <c r="AIQ222" s="34"/>
      <c r="AIR222" s="34"/>
      <c r="AIS222" s="36"/>
      <c r="AIT222" s="36"/>
      <c r="AIU222" s="37"/>
      <c r="AIV222" s="37"/>
      <c r="AIW222" s="38"/>
      <c r="AIX222" s="38"/>
      <c r="AIY222" s="39"/>
      <c r="AIZ222" s="34"/>
      <c r="AJA222" s="34"/>
      <c r="AJB222" s="34"/>
      <c r="AJC222" s="35"/>
      <c r="AJD222" s="35"/>
      <c r="AJE222" s="35"/>
      <c r="AJF222" s="35"/>
      <c r="AJG222" s="35"/>
      <c r="AJH222" s="34"/>
      <c r="AJI222" s="34"/>
      <c r="AJJ222" s="36"/>
      <c r="AJK222" s="36"/>
      <c r="AJL222" s="37"/>
      <c r="AJM222" s="37"/>
      <c r="AJN222" s="38"/>
      <c r="AJO222" s="38"/>
      <c r="AJP222" s="39"/>
      <c r="AJQ222" s="34"/>
      <c r="AJR222" s="34"/>
      <c r="AJS222" s="34"/>
      <c r="AJT222" s="35"/>
      <c r="AJU222" s="35"/>
      <c r="AJV222" s="35"/>
      <c r="AJW222" s="35"/>
      <c r="AJX222" s="35"/>
      <c r="AJY222" s="34"/>
      <c r="AJZ222" s="34"/>
      <c r="AKA222" s="36"/>
      <c r="AKB222" s="36"/>
      <c r="AKC222" s="37"/>
      <c r="AKD222" s="37"/>
      <c r="AKE222" s="38"/>
      <c r="AKF222" s="38"/>
      <c r="AKG222" s="39"/>
      <c r="AKH222" s="34"/>
      <c r="AKI222" s="34"/>
      <c r="AKJ222" s="34"/>
      <c r="AKK222" s="35"/>
      <c r="AKL222" s="35"/>
      <c r="AKM222" s="35"/>
      <c r="AKN222" s="35"/>
      <c r="AKO222" s="35"/>
      <c r="AKP222" s="34"/>
      <c r="AKQ222" s="34"/>
      <c r="AKR222" s="36"/>
      <c r="AKS222" s="36"/>
      <c r="AKT222" s="37"/>
      <c r="AKU222" s="37"/>
      <c r="AKV222" s="38"/>
      <c r="AKW222" s="38"/>
      <c r="AKX222" s="39"/>
      <c r="AKY222" s="34"/>
      <c r="AKZ222" s="34"/>
      <c r="ALA222" s="34"/>
      <c r="ALB222" s="35"/>
      <c r="ALC222" s="35"/>
      <c r="ALD222" s="35"/>
      <c r="ALE222" s="35"/>
      <c r="ALF222" s="35"/>
      <c r="ALG222" s="34"/>
      <c r="ALH222" s="34"/>
      <c r="ALI222" s="36"/>
      <c r="ALJ222" s="36"/>
      <c r="ALK222" s="37"/>
      <c r="ALL222" s="37"/>
      <c r="ALM222" s="38"/>
      <c r="ALN222" s="38"/>
      <c r="ALO222" s="39"/>
      <c r="ALP222" s="34"/>
      <c r="ALQ222" s="34"/>
      <c r="ALR222" s="34"/>
      <c r="ALS222" s="35"/>
      <c r="ALT222" s="35"/>
      <c r="ALU222" s="35"/>
      <c r="ALV222" s="35"/>
      <c r="ALW222" s="35"/>
      <c r="ALX222" s="34"/>
      <c r="ALY222" s="34"/>
      <c r="ALZ222" s="36"/>
      <c r="AMA222" s="36"/>
      <c r="AMB222" s="37"/>
      <c r="AMC222" s="37"/>
      <c r="AMD222" s="38"/>
      <c r="AME222" s="38"/>
      <c r="AMF222" s="39"/>
      <c r="AMG222" s="34"/>
      <c r="AMH222" s="34"/>
      <c r="AMI222" s="34"/>
      <c r="AMJ222" s="35"/>
      <c r="AMK222" s="35"/>
      <c r="AML222" s="35"/>
      <c r="AMM222" s="35"/>
      <c r="AMN222" s="35"/>
      <c r="AMO222" s="34"/>
      <c r="AMP222" s="34"/>
      <c r="AMQ222" s="36"/>
      <c r="AMR222" s="36"/>
      <c r="AMS222" s="37"/>
      <c r="AMT222" s="37"/>
      <c r="AMU222" s="38"/>
      <c r="AMV222" s="38"/>
      <c r="AMW222" s="39"/>
      <c r="AMX222" s="34"/>
      <c r="AMY222" s="34"/>
      <c r="AMZ222" s="34"/>
      <c r="ANA222" s="35"/>
      <c r="ANB222" s="35"/>
      <c r="ANC222" s="35"/>
      <c r="AND222" s="35"/>
      <c r="ANE222" s="35"/>
      <c r="ANF222" s="34"/>
      <c r="ANG222" s="34"/>
      <c r="ANH222" s="36"/>
      <c r="ANI222" s="36"/>
      <c r="ANJ222" s="37"/>
      <c r="ANK222" s="37"/>
      <c r="ANL222" s="38"/>
      <c r="ANM222" s="38"/>
      <c r="ANN222" s="39"/>
      <c r="ANO222" s="34"/>
      <c r="ANP222" s="34"/>
      <c r="ANQ222" s="34"/>
      <c r="ANR222" s="35"/>
      <c r="ANS222" s="35"/>
      <c r="ANT222" s="35"/>
      <c r="ANU222" s="35"/>
      <c r="ANV222" s="35"/>
      <c r="ANW222" s="34"/>
      <c r="ANX222" s="34"/>
      <c r="ANY222" s="36"/>
      <c r="ANZ222" s="36"/>
      <c r="AOA222" s="37"/>
      <c r="AOB222" s="37"/>
      <c r="AOC222" s="38"/>
      <c r="AOD222" s="38"/>
      <c r="AOE222" s="39"/>
      <c r="AOF222" s="34"/>
      <c r="AOG222" s="34"/>
      <c r="AOH222" s="34"/>
      <c r="AOI222" s="35"/>
      <c r="AOJ222" s="35"/>
      <c r="AOK222" s="35"/>
      <c r="AOL222" s="35"/>
      <c r="AOM222" s="35"/>
      <c r="AON222" s="34"/>
      <c r="AOO222" s="34"/>
      <c r="AOP222" s="36"/>
      <c r="AOQ222" s="36"/>
      <c r="AOR222" s="37"/>
      <c r="AOS222" s="37"/>
      <c r="AOT222" s="38"/>
      <c r="AOU222" s="38"/>
      <c r="AOV222" s="39"/>
      <c r="AOW222" s="34"/>
      <c r="AOX222" s="34"/>
      <c r="AOY222" s="34"/>
      <c r="AOZ222" s="35"/>
      <c r="APA222" s="35"/>
      <c r="APB222" s="35"/>
      <c r="APC222" s="35"/>
      <c r="APD222" s="35"/>
      <c r="APE222" s="34"/>
      <c r="APF222" s="34"/>
      <c r="APG222" s="36"/>
      <c r="APH222" s="36"/>
      <c r="API222" s="37"/>
      <c r="APJ222" s="37"/>
      <c r="APK222" s="38"/>
      <c r="APL222" s="38"/>
      <c r="APM222" s="39"/>
      <c r="APN222" s="34"/>
      <c r="APO222" s="34"/>
      <c r="APP222" s="34"/>
      <c r="APQ222" s="35"/>
      <c r="APR222" s="35"/>
      <c r="APS222" s="35"/>
      <c r="APT222" s="35"/>
      <c r="APU222" s="35"/>
      <c r="APV222" s="34"/>
      <c r="APW222" s="34"/>
      <c r="APX222" s="36"/>
      <c r="APY222" s="36"/>
      <c r="APZ222" s="37"/>
      <c r="AQA222" s="37"/>
      <c r="AQB222" s="38"/>
      <c r="AQC222" s="38"/>
      <c r="AQD222" s="39"/>
      <c r="AQE222" s="34"/>
      <c r="AQF222" s="34"/>
      <c r="AQG222" s="34"/>
      <c r="AQH222" s="35"/>
      <c r="AQI222" s="35"/>
      <c r="AQJ222" s="35"/>
      <c r="AQK222" s="35"/>
      <c r="AQL222" s="35"/>
      <c r="AQM222" s="34"/>
      <c r="AQN222" s="34"/>
      <c r="AQO222" s="36"/>
      <c r="AQP222" s="36"/>
      <c r="AQQ222" s="37"/>
      <c r="AQR222" s="37"/>
      <c r="AQS222" s="38"/>
      <c r="AQT222" s="38"/>
      <c r="AQU222" s="39"/>
      <c r="AQV222" s="34"/>
      <c r="AQW222" s="34"/>
      <c r="AQX222" s="34"/>
      <c r="AQY222" s="35"/>
      <c r="AQZ222" s="35"/>
      <c r="ARA222" s="35"/>
      <c r="ARB222" s="35"/>
      <c r="ARC222" s="35"/>
      <c r="ARD222" s="34"/>
      <c r="ARE222" s="34"/>
      <c r="ARF222" s="36"/>
      <c r="ARG222" s="36"/>
      <c r="ARH222" s="37"/>
      <c r="ARI222" s="37"/>
      <c r="ARJ222" s="38"/>
      <c r="ARK222" s="38"/>
      <c r="ARL222" s="39"/>
      <c r="ARM222" s="34"/>
      <c r="ARN222" s="34"/>
      <c r="ARO222" s="34"/>
      <c r="ARP222" s="35"/>
      <c r="ARQ222" s="35"/>
      <c r="ARR222" s="35"/>
      <c r="ARS222" s="35"/>
      <c r="ART222" s="35"/>
      <c r="ARU222" s="34"/>
      <c r="ARV222" s="34"/>
      <c r="ARW222" s="36"/>
      <c r="ARX222" s="36"/>
      <c r="ARY222" s="37"/>
      <c r="ARZ222" s="37"/>
      <c r="ASA222" s="38"/>
      <c r="ASB222" s="38"/>
      <c r="ASC222" s="39"/>
      <c r="ASD222" s="34"/>
      <c r="ASE222" s="34"/>
      <c r="ASF222" s="34"/>
      <c r="ASG222" s="35"/>
      <c r="ASH222" s="35"/>
      <c r="ASI222" s="35"/>
      <c r="ASJ222" s="35"/>
      <c r="ASK222" s="35"/>
      <c r="ASL222" s="34"/>
      <c r="ASM222" s="34"/>
      <c r="ASN222" s="36"/>
      <c r="ASO222" s="36"/>
      <c r="ASP222" s="37"/>
      <c r="ASQ222" s="37"/>
      <c r="ASR222" s="38"/>
      <c r="ASS222" s="38"/>
      <c r="AST222" s="39"/>
      <c r="ASU222" s="34"/>
      <c r="ASV222" s="34"/>
      <c r="ASW222" s="34"/>
      <c r="ASX222" s="35"/>
      <c r="ASY222" s="35"/>
      <c r="ASZ222" s="35"/>
      <c r="ATA222" s="35"/>
      <c r="ATB222" s="35"/>
      <c r="ATC222" s="34"/>
      <c r="ATD222" s="34"/>
      <c r="ATE222" s="36"/>
      <c r="ATF222" s="36"/>
      <c r="ATG222" s="37"/>
      <c r="ATH222" s="37"/>
      <c r="ATI222" s="38"/>
      <c r="ATJ222" s="38"/>
      <c r="ATK222" s="39"/>
      <c r="ATL222" s="34"/>
      <c r="ATM222" s="34"/>
      <c r="ATN222" s="34"/>
      <c r="ATO222" s="35"/>
      <c r="ATP222" s="35"/>
      <c r="ATQ222" s="35"/>
      <c r="ATR222" s="35"/>
      <c r="ATS222" s="35"/>
      <c r="ATT222" s="34"/>
      <c r="ATU222" s="34"/>
      <c r="ATV222" s="36"/>
      <c r="ATW222" s="36"/>
      <c r="ATX222" s="37"/>
      <c r="ATY222" s="37"/>
      <c r="ATZ222" s="38"/>
      <c r="AUA222" s="38"/>
      <c r="AUB222" s="39"/>
      <c r="AUC222" s="34"/>
      <c r="AUD222" s="34"/>
      <c r="AUE222" s="34"/>
      <c r="AUF222" s="35"/>
      <c r="AUG222" s="35"/>
      <c r="AUH222" s="35"/>
      <c r="AUI222" s="35"/>
      <c r="AUJ222" s="35"/>
      <c r="AUK222" s="34"/>
      <c r="AUL222" s="34"/>
      <c r="AUM222" s="36"/>
      <c r="AUN222" s="36"/>
      <c r="AUO222" s="37"/>
      <c r="AUP222" s="37"/>
      <c r="AUQ222" s="38"/>
      <c r="AUR222" s="38"/>
      <c r="AUS222" s="39"/>
      <c r="AUT222" s="34"/>
      <c r="AUU222" s="34"/>
      <c r="AUV222" s="34"/>
      <c r="AUW222" s="35"/>
      <c r="AUX222" s="35"/>
      <c r="AUY222" s="35"/>
      <c r="AUZ222" s="35"/>
      <c r="AVA222" s="35"/>
      <c r="AVB222" s="34"/>
      <c r="AVC222" s="34"/>
      <c r="AVD222" s="36"/>
      <c r="AVE222" s="36"/>
      <c r="AVF222" s="37"/>
      <c r="AVG222" s="37"/>
      <c r="AVH222" s="38"/>
      <c r="AVI222" s="38"/>
      <c r="AVJ222" s="39"/>
      <c r="AVK222" s="34"/>
      <c r="AVL222" s="34"/>
      <c r="AVM222" s="34"/>
      <c r="AVN222" s="35"/>
      <c r="AVO222" s="35"/>
      <c r="AVP222" s="35"/>
      <c r="AVQ222" s="35"/>
      <c r="AVR222" s="35"/>
      <c r="AVS222" s="34"/>
      <c r="AVT222" s="34"/>
      <c r="AVU222" s="36"/>
      <c r="AVV222" s="36"/>
      <c r="AVW222" s="37"/>
      <c r="AVX222" s="37"/>
      <c r="AVY222" s="38"/>
      <c r="AVZ222" s="38"/>
      <c r="AWA222" s="39"/>
      <c r="AWB222" s="34"/>
      <c r="AWC222" s="34"/>
      <c r="AWD222" s="34"/>
      <c r="AWE222" s="35"/>
      <c r="AWF222" s="35"/>
      <c r="AWG222" s="35"/>
      <c r="AWH222" s="35"/>
      <c r="AWI222" s="35"/>
      <c r="AWJ222" s="34"/>
      <c r="AWK222" s="34"/>
      <c r="AWL222" s="36"/>
      <c r="AWM222" s="36"/>
      <c r="AWN222" s="37"/>
      <c r="AWO222" s="37"/>
      <c r="AWP222" s="38"/>
      <c r="AWQ222" s="38"/>
      <c r="AWR222" s="39"/>
      <c r="AWS222" s="34"/>
      <c r="AWT222" s="34"/>
      <c r="AWU222" s="34"/>
      <c r="AWV222" s="35"/>
      <c r="AWW222" s="35"/>
      <c r="AWX222" s="35"/>
      <c r="AWY222" s="35"/>
      <c r="AWZ222" s="35"/>
      <c r="AXA222" s="34"/>
      <c r="AXB222" s="34"/>
      <c r="AXC222" s="36"/>
      <c r="AXD222" s="36"/>
      <c r="AXE222" s="37"/>
      <c r="AXF222" s="37"/>
      <c r="AXG222" s="38"/>
      <c r="AXH222" s="38"/>
      <c r="AXI222" s="39"/>
      <c r="AXJ222" s="34"/>
      <c r="AXK222" s="34"/>
      <c r="AXL222" s="34"/>
      <c r="AXM222" s="35"/>
      <c r="AXN222" s="35"/>
      <c r="AXO222" s="35"/>
      <c r="AXP222" s="35"/>
      <c r="AXQ222" s="35"/>
      <c r="AXR222" s="34"/>
      <c r="AXS222" s="34"/>
      <c r="AXT222" s="36"/>
      <c r="AXU222" s="36"/>
      <c r="AXV222" s="37"/>
      <c r="AXW222" s="37"/>
      <c r="AXX222" s="38"/>
      <c r="AXY222" s="38"/>
      <c r="AXZ222" s="39"/>
      <c r="AYA222" s="34"/>
      <c r="AYB222" s="34"/>
      <c r="AYC222" s="34"/>
      <c r="AYD222" s="35"/>
      <c r="AYE222" s="35"/>
      <c r="AYF222" s="35"/>
      <c r="AYG222" s="35"/>
      <c r="AYH222" s="35"/>
      <c r="AYI222" s="34"/>
      <c r="AYJ222" s="34"/>
      <c r="AYK222" s="36"/>
      <c r="AYL222" s="36"/>
      <c r="AYM222" s="37"/>
      <c r="AYN222" s="37"/>
      <c r="AYO222" s="38"/>
      <c r="AYP222" s="38"/>
      <c r="AYQ222" s="39"/>
      <c r="AYR222" s="34"/>
      <c r="AYS222" s="34"/>
      <c r="AYT222" s="34"/>
      <c r="AYU222" s="35"/>
      <c r="AYV222" s="35"/>
      <c r="AYW222" s="35"/>
      <c r="AYX222" s="35"/>
      <c r="AYY222" s="35"/>
      <c r="AYZ222" s="34"/>
      <c r="AZA222" s="34"/>
      <c r="AZB222" s="36"/>
      <c r="AZC222" s="36"/>
      <c r="AZD222" s="37"/>
      <c r="AZE222" s="37"/>
      <c r="AZF222" s="38"/>
      <c r="AZG222" s="38"/>
      <c r="AZH222" s="39"/>
      <c r="AZI222" s="34"/>
      <c r="AZJ222" s="34"/>
      <c r="AZK222" s="34"/>
      <c r="AZL222" s="35"/>
      <c r="AZM222" s="35"/>
      <c r="AZN222" s="35"/>
      <c r="AZO222" s="35"/>
      <c r="AZP222" s="35"/>
      <c r="AZQ222" s="34"/>
      <c r="AZR222" s="34"/>
      <c r="AZS222" s="36"/>
      <c r="AZT222" s="36"/>
      <c r="AZU222" s="37"/>
      <c r="AZV222" s="37"/>
      <c r="AZW222" s="38"/>
      <c r="AZX222" s="38"/>
      <c r="AZY222" s="39"/>
      <c r="AZZ222" s="34"/>
      <c r="BAA222" s="34"/>
      <c r="BAB222" s="34"/>
      <c r="BAC222" s="35"/>
      <c r="BAD222" s="35"/>
      <c r="BAE222" s="35"/>
      <c r="BAF222" s="35"/>
      <c r="BAG222" s="35"/>
      <c r="BAH222" s="34"/>
      <c r="BAI222" s="34"/>
      <c r="BAJ222" s="36"/>
      <c r="BAK222" s="36"/>
      <c r="BAL222" s="37"/>
      <c r="BAM222" s="37"/>
      <c r="BAN222" s="38"/>
      <c r="BAO222" s="38"/>
      <c r="BAP222" s="39"/>
      <c r="BAQ222" s="34"/>
      <c r="BAR222" s="34"/>
      <c r="BAS222" s="34"/>
      <c r="BAT222" s="35"/>
      <c r="BAU222" s="35"/>
      <c r="BAV222" s="35"/>
      <c r="BAW222" s="35"/>
      <c r="BAX222" s="35"/>
      <c r="BAY222" s="34"/>
      <c r="BAZ222" s="34"/>
      <c r="BBA222" s="36"/>
      <c r="BBB222" s="36"/>
      <c r="BBC222" s="37"/>
      <c r="BBD222" s="37"/>
      <c r="BBE222" s="38"/>
      <c r="BBF222" s="38"/>
      <c r="BBG222" s="39"/>
      <c r="BBH222" s="34"/>
      <c r="BBI222" s="34"/>
      <c r="BBJ222" s="34"/>
      <c r="BBK222" s="35"/>
      <c r="BBL222" s="35"/>
      <c r="BBM222" s="35"/>
      <c r="BBN222" s="35"/>
      <c r="BBO222" s="35"/>
      <c r="BBP222" s="34"/>
      <c r="BBQ222" s="34"/>
      <c r="BBR222" s="36"/>
      <c r="BBS222" s="36"/>
      <c r="BBT222" s="37"/>
      <c r="BBU222" s="37"/>
      <c r="BBV222" s="38"/>
      <c r="BBW222" s="38"/>
      <c r="BBX222" s="39"/>
      <c r="BBY222" s="34"/>
      <c r="BBZ222" s="34"/>
      <c r="BCA222" s="34"/>
      <c r="BCB222" s="35"/>
      <c r="BCC222" s="35"/>
      <c r="BCD222" s="35"/>
      <c r="BCE222" s="35"/>
      <c r="BCF222" s="35"/>
      <c r="BCG222" s="34"/>
      <c r="BCH222" s="34"/>
      <c r="BCI222" s="36"/>
      <c r="BCJ222" s="36"/>
      <c r="BCK222" s="37"/>
      <c r="BCL222" s="37"/>
      <c r="BCM222" s="38"/>
      <c r="BCN222" s="38"/>
      <c r="BCO222" s="39"/>
      <c r="BCP222" s="34"/>
      <c r="BCQ222" s="34"/>
      <c r="BCR222" s="34"/>
      <c r="BCS222" s="35"/>
      <c r="BCT222" s="35"/>
      <c r="BCU222" s="35"/>
      <c r="BCV222" s="35"/>
      <c r="BCW222" s="35"/>
      <c r="BCX222" s="34"/>
      <c r="BCY222" s="34"/>
      <c r="BCZ222" s="36"/>
      <c r="BDA222" s="36"/>
      <c r="BDB222" s="37"/>
      <c r="BDC222" s="37"/>
      <c r="BDD222" s="38"/>
      <c r="BDE222" s="38"/>
      <c r="BDF222" s="39"/>
      <c r="BDG222" s="34"/>
      <c r="BDH222" s="34"/>
      <c r="BDI222" s="34"/>
      <c r="BDJ222" s="35"/>
      <c r="BDK222" s="35"/>
      <c r="BDL222" s="35"/>
      <c r="BDM222" s="35"/>
      <c r="BDN222" s="35"/>
      <c r="BDO222" s="34"/>
      <c r="BDP222" s="34"/>
      <c r="BDQ222" s="36"/>
      <c r="BDR222" s="36"/>
      <c r="BDS222" s="37"/>
      <c r="BDT222" s="37"/>
      <c r="BDU222" s="38"/>
      <c r="BDV222" s="38"/>
      <c r="BDW222" s="39"/>
      <c r="BDX222" s="34"/>
      <c r="BDY222" s="34"/>
      <c r="BDZ222" s="34"/>
      <c r="BEA222" s="35"/>
      <c r="BEB222" s="35"/>
      <c r="BEC222" s="35"/>
      <c r="BED222" s="35"/>
      <c r="BEE222" s="35"/>
      <c r="BEF222" s="34"/>
      <c r="BEG222" s="34"/>
      <c r="BEH222" s="36"/>
      <c r="BEI222" s="36"/>
      <c r="BEJ222" s="37"/>
      <c r="BEK222" s="37"/>
      <c r="BEL222" s="38"/>
      <c r="BEM222" s="38"/>
      <c r="BEN222" s="39"/>
      <c r="BEO222" s="34"/>
      <c r="BEP222" s="34"/>
      <c r="BEQ222" s="34"/>
      <c r="BER222" s="35"/>
      <c r="BES222" s="35"/>
      <c r="BET222" s="35"/>
      <c r="BEU222" s="35"/>
      <c r="BEV222" s="35"/>
      <c r="BEW222" s="34"/>
      <c r="BEX222" s="34"/>
      <c r="BEY222" s="36"/>
      <c r="BEZ222" s="36"/>
      <c r="BFA222" s="37"/>
      <c r="BFB222" s="37"/>
      <c r="BFC222" s="38"/>
      <c r="BFD222" s="38"/>
      <c r="BFE222" s="39"/>
      <c r="BFF222" s="34"/>
      <c r="BFG222" s="34"/>
      <c r="BFH222" s="34"/>
      <c r="BFI222" s="35"/>
      <c r="BFJ222" s="35"/>
      <c r="BFK222" s="35"/>
      <c r="BFL222" s="35"/>
      <c r="BFM222" s="35"/>
      <c r="BFN222" s="34"/>
      <c r="BFO222" s="34"/>
      <c r="BFP222" s="36"/>
      <c r="BFQ222" s="36"/>
      <c r="BFR222" s="37"/>
      <c r="BFS222" s="37"/>
      <c r="BFT222" s="38"/>
      <c r="BFU222" s="38"/>
      <c r="BFV222" s="39"/>
      <c r="BFW222" s="34"/>
      <c r="BFX222" s="34"/>
      <c r="BFY222" s="34"/>
      <c r="BFZ222" s="35"/>
      <c r="BGA222" s="35"/>
      <c r="BGB222" s="35"/>
      <c r="BGC222" s="35"/>
      <c r="BGD222" s="35"/>
      <c r="BGE222" s="34"/>
      <c r="BGF222" s="34"/>
      <c r="BGG222" s="36"/>
      <c r="BGH222" s="36"/>
      <c r="BGI222" s="37"/>
      <c r="BGJ222" s="37"/>
      <c r="BGK222" s="38"/>
      <c r="BGL222" s="38"/>
      <c r="BGM222" s="39"/>
      <c r="BGN222" s="34"/>
      <c r="BGO222" s="34"/>
      <c r="BGP222" s="34"/>
      <c r="BGQ222" s="35"/>
      <c r="BGR222" s="35"/>
      <c r="BGS222" s="35"/>
      <c r="BGT222" s="35"/>
      <c r="BGU222" s="35"/>
      <c r="BGV222" s="34"/>
      <c r="BGW222" s="34"/>
      <c r="BGX222" s="36"/>
      <c r="BGY222" s="36"/>
      <c r="BGZ222" s="37"/>
      <c r="BHA222" s="37"/>
      <c r="BHB222" s="38"/>
      <c r="BHC222" s="38"/>
      <c r="BHD222" s="39"/>
      <c r="BHE222" s="34"/>
      <c r="BHF222" s="34"/>
      <c r="BHG222" s="34"/>
      <c r="BHH222" s="35"/>
      <c r="BHI222" s="35"/>
      <c r="BHJ222" s="35"/>
      <c r="BHK222" s="35"/>
      <c r="BHL222" s="35"/>
      <c r="BHM222" s="34"/>
      <c r="BHN222" s="34"/>
      <c r="BHO222" s="36"/>
      <c r="BHP222" s="36"/>
      <c r="BHQ222" s="37"/>
      <c r="BHR222" s="37"/>
      <c r="BHS222" s="38"/>
      <c r="BHT222" s="38"/>
      <c r="BHU222" s="39"/>
      <c r="BHV222" s="34"/>
      <c r="BHW222" s="34"/>
      <c r="BHX222" s="34"/>
      <c r="BHY222" s="35"/>
      <c r="BHZ222" s="35"/>
      <c r="BIA222" s="35"/>
      <c r="BIB222" s="35"/>
      <c r="BIC222" s="35"/>
      <c r="BID222" s="34"/>
      <c r="BIE222" s="34"/>
      <c r="BIF222" s="36"/>
      <c r="BIG222" s="36"/>
      <c r="BIH222" s="37"/>
      <c r="BII222" s="37"/>
      <c r="BIJ222" s="38"/>
      <c r="BIK222" s="38"/>
      <c r="BIL222" s="39"/>
      <c r="BIM222" s="34"/>
      <c r="BIN222" s="34"/>
      <c r="BIO222" s="34"/>
      <c r="BIP222" s="35"/>
      <c r="BIQ222" s="35"/>
      <c r="BIR222" s="35"/>
      <c r="BIS222" s="35"/>
      <c r="BIT222" s="35"/>
      <c r="BIU222" s="34"/>
      <c r="BIV222" s="34"/>
      <c r="BIW222" s="36"/>
      <c r="BIX222" s="36"/>
      <c r="BIY222" s="37"/>
      <c r="BIZ222" s="37"/>
      <c r="BJA222" s="38"/>
      <c r="BJB222" s="38"/>
      <c r="BJC222" s="39"/>
      <c r="BJD222" s="34"/>
      <c r="BJE222" s="34"/>
      <c r="BJF222" s="34"/>
      <c r="BJG222" s="35"/>
      <c r="BJH222" s="35"/>
      <c r="BJI222" s="35"/>
      <c r="BJJ222" s="35"/>
      <c r="BJK222" s="35"/>
      <c r="BJL222" s="34"/>
      <c r="BJM222" s="34"/>
      <c r="BJN222" s="36"/>
      <c r="BJO222" s="36"/>
      <c r="BJP222" s="37"/>
      <c r="BJQ222" s="37"/>
      <c r="BJR222" s="38"/>
      <c r="BJS222" s="38"/>
      <c r="BJT222" s="39"/>
      <c r="BJU222" s="34"/>
      <c r="BJV222" s="34"/>
      <c r="BJW222" s="34"/>
      <c r="BJX222" s="35"/>
      <c r="BJY222" s="35"/>
      <c r="BJZ222" s="35"/>
      <c r="BKA222" s="35"/>
      <c r="BKB222" s="35"/>
      <c r="BKC222" s="34"/>
      <c r="BKD222" s="34"/>
      <c r="BKE222" s="36"/>
      <c r="BKF222" s="36"/>
      <c r="BKG222" s="37"/>
      <c r="BKH222" s="37"/>
      <c r="BKI222" s="38"/>
      <c r="BKJ222" s="38"/>
      <c r="BKK222" s="39"/>
      <c r="BKL222" s="34"/>
      <c r="BKM222" s="34"/>
      <c r="BKN222" s="34"/>
      <c r="BKO222" s="35"/>
      <c r="BKP222" s="35"/>
      <c r="BKQ222" s="35"/>
      <c r="BKR222" s="35"/>
      <c r="BKS222" s="35"/>
      <c r="BKT222" s="34"/>
      <c r="BKU222" s="34"/>
      <c r="BKV222" s="36"/>
      <c r="BKW222" s="36"/>
      <c r="BKX222" s="37"/>
      <c r="BKY222" s="37"/>
      <c r="BKZ222" s="38"/>
      <c r="BLA222" s="38"/>
      <c r="BLB222" s="39"/>
      <c r="BLC222" s="34"/>
      <c r="BLD222" s="34"/>
      <c r="BLE222" s="34"/>
      <c r="BLF222" s="35"/>
      <c r="BLG222" s="35"/>
      <c r="BLH222" s="35"/>
      <c r="BLI222" s="35"/>
      <c r="BLJ222" s="35"/>
      <c r="BLK222" s="34"/>
      <c r="BLL222" s="34"/>
      <c r="BLM222" s="36"/>
      <c r="BLN222" s="36"/>
      <c r="BLO222" s="37"/>
      <c r="BLP222" s="37"/>
      <c r="BLQ222" s="38"/>
      <c r="BLR222" s="38"/>
      <c r="BLS222" s="39"/>
      <c r="BLT222" s="34"/>
      <c r="BLU222" s="34"/>
      <c r="BLV222" s="34"/>
      <c r="BLW222" s="35"/>
      <c r="BLX222" s="35"/>
      <c r="BLY222" s="35"/>
      <c r="BLZ222" s="35"/>
      <c r="BMA222" s="35"/>
      <c r="BMB222" s="34"/>
      <c r="BMC222" s="34"/>
      <c r="BMD222" s="36"/>
      <c r="BME222" s="36"/>
      <c r="BMF222" s="37"/>
      <c r="BMG222" s="37"/>
      <c r="BMH222" s="38"/>
      <c r="BMI222" s="38"/>
      <c r="BMJ222" s="39"/>
      <c r="BMK222" s="34"/>
      <c r="BML222" s="34"/>
      <c r="BMM222" s="34"/>
      <c r="BMN222" s="35"/>
      <c r="BMO222" s="35"/>
      <c r="BMP222" s="35"/>
      <c r="BMQ222" s="35"/>
      <c r="BMR222" s="35"/>
      <c r="BMS222" s="34"/>
      <c r="BMT222" s="34"/>
      <c r="BMU222" s="36"/>
      <c r="BMV222" s="36"/>
      <c r="BMW222" s="37"/>
      <c r="BMX222" s="37"/>
      <c r="BMY222" s="38"/>
      <c r="BMZ222" s="38"/>
      <c r="BNA222" s="39"/>
      <c r="BNB222" s="34"/>
      <c r="BNC222" s="34"/>
      <c r="BND222" s="34"/>
      <c r="BNE222" s="35"/>
      <c r="BNF222" s="35"/>
      <c r="BNG222" s="35"/>
      <c r="BNH222" s="35"/>
      <c r="BNI222" s="35"/>
      <c r="BNJ222" s="34"/>
      <c r="BNK222" s="34"/>
      <c r="BNL222" s="36"/>
      <c r="BNM222" s="36"/>
      <c r="BNN222" s="37"/>
      <c r="BNO222" s="37"/>
      <c r="BNP222" s="38"/>
      <c r="BNQ222" s="38"/>
      <c r="BNR222" s="39"/>
      <c r="BNS222" s="34"/>
      <c r="BNT222" s="34"/>
      <c r="BNU222" s="34"/>
      <c r="BNV222" s="35"/>
      <c r="BNW222" s="35"/>
      <c r="BNX222" s="35"/>
      <c r="BNY222" s="35"/>
      <c r="BNZ222" s="35"/>
      <c r="BOA222" s="34"/>
      <c r="BOB222" s="34"/>
      <c r="BOC222" s="36"/>
      <c r="BOD222" s="36"/>
      <c r="BOE222" s="37"/>
      <c r="BOF222" s="37"/>
      <c r="BOG222" s="38"/>
      <c r="BOH222" s="38"/>
      <c r="BOI222" s="39"/>
      <c r="BOJ222" s="34"/>
      <c r="BOK222" s="34"/>
      <c r="BOL222" s="34"/>
      <c r="BOM222" s="35"/>
      <c r="BON222" s="35"/>
      <c r="BOO222" s="35"/>
      <c r="BOP222" s="35"/>
      <c r="BOQ222" s="35"/>
      <c r="BOR222" s="34"/>
      <c r="BOS222" s="34"/>
      <c r="BOT222" s="36"/>
      <c r="BOU222" s="36"/>
      <c r="BOV222" s="37"/>
      <c r="BOW222" s="37"/>
      <c r="BOX222" s="38"/>
      <c r="BOY222" s="38"/>
      <c r="BOZ222" s="39"/>
      <c r="BPA222" s="34"/>
      <c r="BPB222" s="34"/>
      <c r="BPC222" s="34"/>
      <c r="BPD222" s="35"/>
      <c r="BPE222" s="35"/>
      <c r="BPF222" s="35"/>
      <c r="BPG222" s="35"/>
      <c r="BPH222" s="35"/>
      <c r="BPI222" s="34"/>
      <c r="BPJ222" s="34"/>
      <c r="BPK222" s="36"/>
      <c r="BPL222" s="36"/>
      <c r="BPM222" s="37"/>
      <c r="BPN222" s="37"/>
      <c r="BPO222" s="38"/>
      <c r="BPP222" s="38"/>
      <c r="BPQ222" s="39"/>
      <c r="BPR222" s="34"/>
      <c r="BPS222" s="34"/>
      <c r="BPT222" s="34"/>
      <c r="BPU222" s="35"/>
      <c r="BPV222" s="35"/>
      <c r="BPW222" s="35"/>
      <c r="BPX222" s="35"/>
      <c r="BPY222" s="35"/>
      <c r="BPZ222" s="34"/>
      <c r="BQA222" s="34"/>
      <c r="BQB222" s="36"/>
      <c r="BQC222" s="36"/>
      <c r="BQD222" s="37"/>
      <c r="BQE222" s="37"/>
      <c r="BQF222" s="38"/>
      <c r="BQG222" s="38"/>
      <c r="BQH222" s="39"/>
      <c r="BQI222" s="34"/>
      <c r="BQJ222" s="34"/>
      <c r="BQK222" s="34"/>
      <c r="BQL222" s="35"/>
      <c r="BQM222" s="35"/>
      <c r="BQN222" s="35"/>
      <c r="BQO222" s="35"/>
      <c r="BQP222" s="35"/>
      <c r="BQQ222" s="34"/>
      <c r="BQR222" s="34"/>
      <c r="BQS222" s="36"/>
      <c r="BQT222" s="36"/>
      <c r="BQU222" s="37"/>
      <c r="BQV222" s="37"/>
      <c r="BQW222" s="38"/>
      <c r="BQX222" s="38"/>
      <c r="BQY222" s="39"/>
      <c r="BQZ222" s="34"/>
      <c r="BRA222" s="34"/>
      <c r="BRB222" s="34"/>
      <c r="BRC222" s="35"/>
      <c r="BRD222" s="35"/>
      <c r="BRE222" s="35"/>
      <c r="BRF222" s="35"/>
      <c r="BRG222" s="35"/>
      <c r="BRH222" s="34"/>
      <c r="BRI222" s="34"/>
      <c r="BRJ222" s="36"/>
      <c r="BRK222" s="36"/>
      <c r="BRL222" s="37"/>
      <c r="BRM222" s="37"/>
      <c r="BRN222" s="38"/>
      <c r="BRO222" s="38"/>
      <c r="BRP222" s="39"/>
      <c r="BRQ222" s="34"/>
      <c r="BRR222" s="34"/>
      <c r="BRS222" s="34"/>
      <c r="BRT222" s="35"/>
      <c r="BRU222" s="35"/>
      <c r="BRV222" s="35"/>
      <c r="BRW222" s="35"/>
      <c r="BRX222" s="35"/>
      <c r="BRY222" s="34"/>
      <c r="BRZ222" s="34"/>
      <c r="BSA222" s="36"/>
      <c r="BSB222" s="36"/>
      <c r="BSC222" s="37"/>
      <c r="BSD222" s="37"/>
      <c r="BSE222" s="38"/>
      <c r="BSF222" s="38"/>
      <c r="BSG222" s="39"/>
      <c r="BSH222" s="34"/>
      <c r="BSI222" s="34"/>
      <c r="BSJ222" s="34"/>
      <c r="BSK222" s="35"/>
      <c r="BSL222" s="35"/>
      <c r="BSM222" s="35"/>
      <c r="BSN222" s="35"/>
      <c r="BSO222" s="35"/>
      <c r="BSP222" s="34"/>
      <c r="BSQ222" s="34"/>
      <c r="BSR222" s="36"/>
      <c r="BSS222" s="36"/>
      <c r="BST222" s="37"/>
      <c r="BSU222" s="37"/>
      <c r="BSV222" s="38"/>
      <c r="BSW222" s="38"/>
      <c r="BSX222" s="39"/>
      <c r="BSY222" s="34"/>
      <c r="BSZ222" s="34"/>
      <c r="BTA222" s="34"/>
      <c r="BTB222" s="35"/>
      <c r="BTC222" s="35"/>
      <c r="BTD222" s="35"/>
      <c r="BTE222" s="35"/>
      <c r="BTF222" s="35"/>
      <c r="BTG222" s="34"/>
      <c r="BTH222" s="34"/>
      <c r="BTI222" s="36"/>
      <c r="BTJ222" s="36"/>
      <c r="BTK222" s="37"/>
      <c r="BTL222" s="37"/>
      <c r="BTM222" s="38"/>
      <c r="BTN222" s="38"/>
      <c r="BTO222" s="39"/>
      <c r="BTP222" s="34"/>
      <c r="BTQ222" s="34"/>
      <c r="BTR222" s="34"/>
      <c r="BTS222" s="35"/>
      <c r="BTT222" s="35"/>
      <c r="BTU222" s="35"/>
      <c r="BTV222" s="35"/>
      <c r="BTW222" s="35"/>
      <c r="BTX222" s="34"/>
      <c r="BTY222" s="34"/>
      <c r="BTZ222" s="36"/>
      <c r="BUA222" s="36"/>
      <c r="BUB222" s="37"/>
      <c r="BUC222" s="37"/>
      <c r="BUD222" s="38"/>
      <c r="BUE222" s="38"/>
      <c r="BUF222" s="39"/>
      <c r="BUG222" s="34"/>
      <c r="BUH222" s="34"/>
      <c r="BUI222" s="34"/>
      <c r="BUJ222" s="35"/>
      <c r="BUK222" s="35"/>
      <c r="BUL222" s="35"/>
      <c r="BUM222" s="35"/>
      <c r="BUN222" s="35"/>
      <c r="BUO222" s="34"/>
      <c r="BUP222" s="34"/>
      <c r="BUQ222" s="36"/>
      <c r="BUR222" s="36"/>
      <c r="BUS222" s="37"/>
      <c r="BUT222" s="37"/>
      <c r="BUU222" s="38"/>
      <c r="BUV222" s="38"/>
      <c r="BUW222" s="39"/>
      <c r="BUX222" s="34"/>
      <c r="BUY222" s="34"/>
      <c r="BUZ222" s="34"/>
      <c r="BVA222" s="35"/>
      <c r="BVB222" s="35"/>
      <c r="BVC222" s="35"/>
      <c r="BVD222" s="35"/>
      <c r="BVE222" s="35"/>
      <c r="BVF222" s="34"/>
      <c r="BVG222" s="34"/>
      <c r="BVH222" s="36"/>
      <c r="BVI222" s="36"/>
      <c r="BVJ222" s="37"/>
      <c r="BVK222" s="37"/>
      <c r="BVL222" s="38"/>
      <c r="BVM222" s="38"/>
      <c r="BVN222" s="39"/>
      <c r="BVO222" s="34"/>
      <c r="BVP222" s="34"/>
      <c r="BVQ222" s="34"/>
      <c r="BVR222" s="35"/>
      <c r="BVS222" s="35"/>
      <c r="BVT222" s="35"/>
      <c r="BVU222" s="35"/>
      <c r="BVV222" s="35"/>
      <c r="BVW222" s="34"/>
      <c r="BVX222" s="34"/>
      <c r="BVY222" s="36"/>
      <c r="BVZ222" s="36"/>
      <c r="BWA222" s="37"/>
      <c r="BWB222" s="37"/>
      <c r="BWC222" s="38"/>
      <c r="BWD222" s="38"/>
      <c r="BWE222" s="39"/>
      <c r="BWF222" s="34"/>
      <c r="BWG222" s="34"/>
      <c r="BWH222" s="34"/>
      <c r="BWI222" s="35"/>
      <c r="BWJ222" s="35"/>
      <c r="BWK222" s="35"/>
      <c r="BWL222" s="35"/>
      <c r="BWM222" s="35"/>
      <c r="BWN222" s="34"/>
      <c r="BWO222" s="34"/>
      <c r="BWP222" s="36"/>
      <c r="BWQ222" s="36"/>
      <c r="BWR222" s="37"/>
      <c r="BWS222" s="37"/>
      <c r="BWT222" s="38"/>
      <c r="BWU222" s="38"/>
      <c r="BWV222" s="39"/>
      <c r="BWW222" s="34"/>
      <c r="BWX222" s="34"/>
      <c r="BWY222" s="34"/>
      <c r="BWZ222" s="35"/>
      <c r="BXA222" s="35"/>
      <c r="BXB222" s="35"/>
      <c r="BXC222" s="35"/>
      <c r="BXD222" s="35"/>
      <c r="BXE222" s="34"/>
      <c r="BXF222" s="34"/>
      <c r="BXG222" s="36"/>
      <c r="BXH222" s="36"/>
      <c r="BXI222" s="37"/>
      <c r="BXJ222" s="37"/>
      <c r="BXK222" s="38"/>
      <c r="BXL222" s="38"/>
      <c r="BXM222" s="39"/>
      <c r="BXN222" s="34"/>
      <c r="BXO222" s="34"/>
      <c r="BXP222" s="34"/>
      <c r="BXQ222" s="35"/>
      <c r="BXR222" s="35"/>
      <c r="BXS222" s="35"/>
      <c r="BXT222" s="35"/>
      <c r="BXU222" s="35"/>
      <c r="BXV222" s="34"/>
      <c r="BXW222" s="34"/>
      <c r="BXX222" s="36"/>
      <c r="BXY222" s="36"/>
      <c r="BXZ222" s="37"/>
      <c r="BYA222" s="37"/>
      <c r="BYB222" s="38"/>
      <c r="BYC222" s="38"/>
      <c r="BYD222" s="39"/>
      <c r="BYE222" s="34"/>
      <c r="BYF222" s="34"/>
      <c r="BYG222" s="34"/>
      <c r="BYH222" s="35"/>
      <c r="BYI222" s="35"/>
      <c r="BYJ222" s="35"/>
      <c r="BYK222" s="35"/>
      <c r="BYL222" s="35"/>
      <c r="BYM222" s="34"/>
      <c r="BYN222" s="34"/>
      <c r="BYO222" s="36"/>
      <c r="BYP222" s="36"/>
      <c r="BYQ222" s="37"/>
      <c r="BYR222" s="37"/>
      <c r="BYS222" s="38"/>
      <c r="BYT222" s="38"/>
      <c r="BYU222" s="39"/>
      <c r="BYV222" s="34"/>
      <c r="BYW222" s="34"/>
      <c r="BYX222" s="34"/>
      <c r="BYY222" s="35"/>
      <c r="BYZ222" s="35"/>
      <c r="BZA222" s="35"/>
      <c r="BZB222" s="35"/>
      <c r="BZC222" s="35"/>
      <c r="BZD222" s="34"/>
      <c r="BZE222" s="34"/>
      <c r="BZF222" s="36"/>
      <c r="BZG222" s="36"/>
      <c r="BZH222" s="37"/>
      <c r="BZI222" s="37"/>
      <c r="BZJ222" s="38"/>
      <c r="BZK222" s="38"/>
      <c r="BZL222" s="39"/>
      <c r="BZM222" s="34"/>
      <c r="BZN222" s="34"/>
      <c r="BZO222" s="34"/>
      <c r="BZP222" s="35"/>
      <c r="BZQ222" s="35"/>
      <c r="BZR222" s="35"/>
      <c r="BZS222" s="35"/>
      <c r="BZT222" s="35"/>
      <c r="BZU222" s="34"/>
      <c r="BZV222" s="34"/>
      <c r="BZW222" s="36"/>
      <c r="BZX222" s="36"/>
      <c r="BZY222" s="37"/>
      <c r="BZZ222" s="37"/>
      <c r="CAA222" s="38"/>
      <c r="CAB222" s="38"/>
      <c r="CAC222" s="39"/>
      <c r="CAD222" s="34"/>
      <c r="CAE222" s="34"/>
      <c r="CAF222" s="34"/>
      <c r="CAG222" s="35"/>
      <c r="CAH222" s="35"/>
      <c r="CAI222" s="35"/>
      <c r="CAJ222" s="35"/>
      <c r="CAK222" s="35"/>
      <c r="CAL222" s="34"/>
      <c r="CAM222" s="34"/>
      <c r="CAN222" s="36"/>
      <c r="CAO222" s="36"/>
      <c r="CAP222" s="37"/>
      <c r="CAQ222" s="37"/>
      <c r="CAR222" s="38"/>
      <c r="CAS222" s="38"/>
      <c r="CAT222" s="39"/>
      <c r="CAU222" s="34"/>
      <c r="CAV222" s="34"/>
      <c r="CAW222" s="34"/>
      <c r="CAX222" s="35"/>
      <c r="CAY222" s="35"/>
      <c r="CAZ222" s="35"/>
      <c r="CBA222" s="35"/>
      <c r="CBB222" s="35"/>
      <c r="CBC222" s="34"/>
      <c r="CBD222" s="34"/>
      <c r="CBE222" s="36"/>
      <c r="CBF222" s="36"/>
      <c r="CBG222" s="37"/>
      <c r="CBH222" s="37"/>
      <c r="CBI222" s="38"/>
      <c r="CBJ222" s="38"/>
      <c r="CBK222" s="39"/>
      <c r="CBL222" s="34"/>
      <c r="CBM222" s="34"/>
      <c r="CBN222" s="34"/>
      <c r="CBO222" s="35"/>
      <c r="CBP222" s="35"/>
      <c r="CBQ222" s="35"/>
      <c r="CBR222" s="35"/>
      <c r="CBS222" s="35"/>
      <c r="CBT222" s="34"/>
      <c r="CBU222" s="34"/>
      <c r="CBV222" s="36"/>
      <c r="CBW222" s="36"/>
      <c r="CBX222" s="37"/>
      <c r="CBY222" s="37"/>
      <c r="CBZ222" s="38"/>
      <c r="CCA222" s="38"/>
      <c r="CCB222" s="39"/>
      <c r="CCC222" s="34"/>
      <c r="CCD222" s="34"/>
      <c r="CCE222" s="34"/>
      <c r="CCF222" s="35"/>
      <c r="CCG222" s="35"/>
      <c r="CCH222" s="35"/>
      <c r="CCI222" s="35"/>
      <c r="CCJ222" s="35"/>
      <c r="CCK222" s="34"/>
      <c r="CCL222" s="34"/>
      <c r="CCM222" s="36"/>
      <c r="CCN222" s="36"/>
      <c r="CCO222" s="37"/>
      <c r="CCP222" s="37"/>
      <c r="CCQ222" s="38"/>
      <c r="CCR222" s="38"/>
      <c r="CCS222" s="39"/>
      <c r="CCT222" s="34"/>
      <c r="CCU222" s="34"/>
      <c r="CCV222" s="34"/>
      <c r="CCW222" s="35"/>
      <c r="CCX222" s="35"/>
      <c r="CCY222" s="35"/>
      <c r="CCZ222" s="35"/>
      <c r="CDA222" s="35"/>
      <c r="CDB222" s="34"/>
      <c r="CDC222" s="34"/>
      <c r="CDD222" s="36"/>
      <c r="CDE222" s="36"/>
      <c r="CDF222" s="37"/>
      <c r="CDG222" s="37"/>
      <c r="CDH222" s="38"/>
      <c r="CDI222" s="38"/>
      <c r="CDJ222" s="39"/>
      <c r="CDK222" s="34"/>
      <c r="CDL222" s="34"/>
      <c r="CDM222" s="34"/>
      <c r="CDN222" s="35"/>
      <c r="CDO222" s="35"/>
      <c r="CDP222" s="35"/>
      <c r="CDQ222" s="35"/>
      <c r="CDR222" s="35"/>
      <c r="CDS222" s="34"/>
      <c r="CDT222" s="34"/>
      <c r="CDU222" s="36"/>
      <c r="CDV222" s="36"/>
      <c r="CDW222" s="37"/>
      <c r="CDX222" s="37"/>
      <c r="CDY222" s="38"/>
      <c r="CDZ222" s="38"/>
      <c r="CEA222" s="39"/>
      <c r="CEB222" s="34"/>
      <c r="CEC222" s="34"/>
      <c r="CED222" s="34"/>
      <c r="CEE222" s="35"/>
      <c r="CEF222" s="35"/>
      <c r="CEG222" s="35"/>
      <c r="CEH222" s="35"/>
      <c r="CEI222" s="35"/>
      <c r="CEJ222" s="34"/>
      <c r="CEK222" s="34"/>
      <c r="CEL222" s="36"/>
      <c r="CEM222" s="36"/>
      <c r="CEN222" s="37"/>
      <c r="CEO222" s="37"/>
      <c r="CEP222" s="38"/>
      <c r="CEQ222" s="38"/>
      <c r="CER222" s="39"/>
      <c r="CES222" s="34"/>
      <c r="CET222" s="34"/>
      <c r="CEU222" s="34"/>
      <c r="CEV222" s="35"/>
      <c r="CEW222" s="35"/>
      <c r="CEX222" s="35"/>
      <c r="CEY222" s="35"/>
      <c r="CEZ222" s="35"/>
      <c r="CFA222" s="34"/>
      <c r="CFB222" s="34"/>
      <c r="CFC222" s="36"/>
      <c r="CFD222" s="36"/>
      <c r="CFE222" s="37"/>
      <c r="CFF222" s="37"/>
      <c r="CFG222" s="38"/>
      <c r="CFH222" s="38"/>
      <c r="CFI222" s="39"/>
      <c r="CFJ222" s="34"/>
      <c r="CFK222" s="34"/>
      <c r="CFL222" s="34"/>
      <c r="CFM222" s="35"/>
      <c r="CFN222" s="35"/>
      <c r="CFO222" s="35"/>
      <c r="CFP222" s="35"/>
      <c r="CFQ222" s="35"/>
      <c r="CFR222" s="34"/>
      <c r="CFS222" s="34"/>
      <c r="CFT222" s="36"/>
      <c r="CFU222" s="36"/>
      <c r="CFV222" s="37"/>
      <c r="CFW222" s="37"/>
      <c r="CFX222" s="38"/>
      <c r="CFY222" s="38"/>
      <c r="CFZ222" s="39"/>
      <c r="CGA222" s="34"/>
      <c r="CGB222" s="34"/>
      <c r="CGC222" s="34"/>
      <c r="CGD222" s="35"/>
      <c r="CGE222" s="35"/>
      <c r="CGF222" s="35"/>
      <c r="CGG222" s="35"/>
      <c r="CGH222" s="35"/>
      <c r="CGI222" s="34"/>
      <c r="CGJ222" s="34"/>
      <c r="CGK222" s="36"/>
      <c r="CGL222" s="36"/>
      <c r="CGM222" s="37"/>
      <c r="CGN222" s="37"/>
      <c r="CGO222" s="38"/>
      <c r="CGP222" s="38"/>
      <c r="CGQ222" s="39"/>
      <c r="CGR222" s="34"/>
      <c r="CGS222" s="34"/>
      <c r="CGT222" s="34"/>
      <c r="CGU222" s="35"/>
      <c r="CGV222" s="35"/>
      <c r="CGW222" s="35"/>
      <c r="CGX222" s="35"/>
      <c r="CGY222" s="35"/>
      <c r="CGZ222" s="34"/>
      <c r="CHA222" s="34"/>
      <c r="CHB222" s="36"/>
      <c r="CHC222" s="36"/>
      <c r="CHD222" s="37"/>
      <c r="CHE222" s="37"/>
      <c r="CHF222" s="38"/>
      <c r="CHG222" s="38"/>
      <c r="CHH222" s="39"/>
      <c r="CHI222" s="34"/>
      <c r="CHJ222" s="34"/>
      <c r="CHK222" s="34"/>
      <c r="CHL222" s="35"/>
      <c r="CHM222" s="35"/>
      <c r="CHN222" s="35"/>
      <c r="CHO222" s="35"/>
      <c r="CHP222" s="35"/>
      <c r="CHQ222" s="34"/>
      <c r="CHR222" s="34"/>
      <c r="CHS222" s="36"/>
      <c r="CHT222" s="36"/>
      <c r="CHU222" s="37"/>
      <c r="CHV222" s="37"/>
      <c r="CHW222" s="38"/>
      <c r="CHX222" s="38"/>
      <c r="CHY222" s="39"/>
      <c r="CHZ222" s="34"/>
      <c r="CIA222" s="34"/>
      <c r="CIB222" s="34"/>
      <c r="CIC222" s="35"/>
      <c r="CID222" s="35"/>
      <c r="CIE222" s="35"/>
      <c r="CIF222" s="35"/>
      <c r="CIG222" s="35"/>
      <c r="CIH222" s="34"/>
      <c r="CII222" s="34"/>
      <c r="CIJ222" s="36"/>
      <c r="CIK222" s="36"/>
      <c r="CIL222" s="37"/>
      <c r="CIM222" s="37"/>
      <c r="CIN222" s="38"/>
      <c r="CIO222" s="38"/>
      <c r="CIP222" s="39"/>
      <c r="CIQ222" s="34"/>
      <c r="CIR222" s="34"/>
      <c r="CIS222" s="34"/>
      <c r="CIT222" s="35"/>
      <c r="CIU222" s="35"/>
      <c r="CIV222" s="35"/>
      <c r="CIW222" s="35"/>
      <c r="CIX222" s="35"/>
      <c r="CIY222" s="34"/>
      <c r="CIZ222" s="34"/>
      <c r="CJA222" s="36"/>
      <c r="CJB222" s="36"/>
      <c r="CJC222" s="37"/>
      <c r="CJD222" s="37"/>
      <c r="CJE222" s="38"/>
      <c r="CJF222" s="38"/>
      <c r="CJG222" s="39"/>
      <c r="CJH222" s="34"/>
      <c r="CJI222" s="34"/>
      <c r="CJJ222" s="34"/>
      <c r="CJK222" s="35"/>
      <c r="CJL222" s="35"/>
      <c r="CJM222" s="35"/>
      <c r="CJN222" s="35"/>
      <c r="CJO222" s="35"/>
      <c r="CJP222" s="34"/>
      <c r="CJQ222" s="34"/>
      <c r="CJR222" s="36"/>
      <c r="CJS222" s="36"/>
      <c r="CJT222" s="37"/>
      <c r="CJU222" s="37"/>
      <c r="CJV222" s="38"/>
      <c r="CJW222" s="38"/>
      <c r="CJX222" s="39"/>
      <c r="CJY222" s="34"/>
      <c r="CJZ222" s="34"/>
      <c r="CKA222" s="34"/>
      <c r="CKB222" s="35"/>
      <c r="CKC222" s="35"/>
      <c r="CKD222" s="35"/>
      <c r="CKE222" s="35"/>
      <c r="CKF222" s="35"/>
      <c r="CKG222" s="34"/>
      <c r="CKH222" s="34"/>
      <c r="CKI222" s="36"/>
      <c r="CKJ222" s="36"/>
      <c r="CKK222" s="37"/>
      <c r="CKL222" s="37"/>
      <c r="CKM222" s="38"/>
      <c r="CKN222" s="38"/>
      <c r="CKO222" s="39"/>
      <c r="CKP222" s="34"/>
      <c r="CKQ222" s="34"/>
      <c r="CKR222" s="34"/>
      <c r="CKS222" s="35"/>
      <c r="CKT222" s="35"/>
      <c r="CKU222" s="35"/>
      <c r="CKV222" s="35"/>
      <c r="CKW222" s="35"/>
      <c r="CKX222" s="34"/>
      <c r="CKY222" s="34"/>
      <c r="CKZ222" s="36"/>
      <c r="CLA222" s="36"/>
      <c r="CLB222" s="37"/>
      <c r="CLC222" s="37"/>
      <c r="CLD222" s="38"/>
      <c r="CLE222" s="38"/>
      <c r="CLF222" s="39"/>
      <c r="CLG222" s="34"/>
      <c r="CLH222" s="34"/>
      <c r="CLI222" s="34"/>
      <c r="CLJ222" s="35"/>
      <c r="CLK222" s="35"/>
      <c r="CLL222" s="35"/>
      <c r="CLM222" s="35"/>
      <c r="CLN222" s="35"/>
      <c r="CLO222" s="34"/>
      <c r="CLP222" s="34"/>
      <c r="CLQ222" s="36"/>
      <c r="CLR222" s="36"/>
      <c r="CLS222" s="37"/>
      <c r="CLT222" s="37"/>
      <c r="CLU222" s="38"/>
      <c r="CLV222" s="38"/>
      <c r="CLW222" s="39"/>
      <c r="CLX222" s="34"/>
      <c r="CLY222" s="34"/>
      <c r="CLZ222" s="34"/>
      <c r="CMA222" s="35"/>
      <c r="CMB222" s="35"/>
      <c r="CMC222" s="35"/>
      <c r="CMD222" s="35"/>
      <c r="CME222" s="35"/>
      <c r="CMF222" s="34"/>
      <c r="CMG222" s="34"/>
      <c r="CMH222" s="36"/>
      <c r="CMI222" s="36"/>
      <c r="CMJ222" s="37"/>
      <c r="CMK222" s="37"/>
      <c r="CML222" s="38"/>
      <c r="CMM222" s="38"/>
      <c r="CMN222" s="39"/>
      <c r="CMO222" s="34"/>
      <c r="CMP222" s="34"/>
      <c r="CMQ222" s="34"/>
      <c r="CMR222" s="35"/>
      <c r="CMS222" s="35"/>
      <c r="CMT222" s="35"/>
      <c r="CMU222" s="35"/>
      <c r="CMV222" s="35"/>
      <c r="CMW222" s="34"/>
      <c r="CMX222" s="34"/>
      <c r="CMY222" s="36"/>
      <c r="CMZ222" s="36"/>
      <c r="CNA222" s="37"/>
      <c r="CNB222" s="37"/>
      <c r="CNC222" s="38"/>
      <c r="CND222" s="38"/>
      <c r="CNE222" s="39"/>
      <c r="CNF222" s="34"/>
      <c r="CNG222" s="34"/>
      <c r="CNH222" s="34"/>
      <c r="CNI222" s="35"/>
      <c r="CNJ222" s="35"/>
      <c r="CNK222" s="35"/>
      <c r="CNL222" s="35"/>
      <c r="CNM222" s="35"/>
      <c r="CNN222" s="34"/>
      <c r="CNO222" s="34"/>
      <c r="CNP222" s="36"/>
      <c r="CNQ222" s="36"/>
      <c r="CNR222" s="37"/>
      <c r="CNS222" s="37"/>
      <c r="CNT222" s="38"/>
      <c r="CNU222" s="38"/>
      <c r="CNV222" s="39"/>
      <c r="CNW222" s="34"/>
      <c r="CNX222" s="34"/>
      <c r="CNY222" s="34"/>
      <c r="CNZ222" s="35"/>
      <c r="COA222" s="35"/>
      <c r="COB222" s="35"/>
      <c r="COC222" s="35"/>
      <c r="COD222" s="35"/>
      <c r="COE222" s="34"/>
      <c r="COF222" s="34"/>
      <c r="COG222" s="36"/>
      <c r="COH222" s="36"/>
      <c r="COI222" s="37"/>
      <c r="COJ222" s="37"/>
      <c r="COK222" s="38"/>
      <c r="COL222" s="38"/>
      <c r="COM222" s="39"/>
      <c r="CON222" s="34"/>
      <c r="COO222" s="34"/>
      <c r="COP222" s="34"/>
      <c r="COQ222" s="35"/>
      <c r="COR222" s="35"/>
      <c r="COS222" s="35"/>
      <c r="COT222" s="35"/>
      <c r="COU222" s="35"/>
      <c r="COV222" s="34"/>
      <c r="COW222" s="34"/>
      <c r="COX222" s="36"/>
      <c r="COY222" s="36"/>
      <c r="COZ222" s="37"/>
      <c r="CPA222" s="37"/>
      <c r="CPB222" s="38"/>
      <c r="CPC222" s="38"/>
      <c r="CPD222" s="39"/>
      <c r="CPE222" s="34"/>
      <c r="CPF222" s="34"/>
      <c r="CPG222" s="34"/>
      <c r="CPH222" s="35"/>
      <c r="CPI222" s="35"/>
      <c r="CPJ222" s="35"/>
      <c r="CPK222" s="35"/>
      <c r="CPL222" s="35"/>
      <c r="CPM222" s="34"/>
      <c r="CPN222" s="34"/>
      <c r="CPO222" s="36"/>
      <c r="CPP222" s="36"/>
      <c r="CPQ222" s="37"/>
      <c r="CPR222" s="37"/>
      <c r="CPS222" s="38"/>
      <c r="CPT222" s="38"/>
      <c r="CPU222" s="39"/>
      <c r="CPV222" s="34"/>
      <c r="CPW222" s="34"/>
      <c r="CPX222" s="34"/>
      <c r="CPY222" s="35"/>
      <c r="CPZ222" s="35"/>
      <c r="CQA222" s="35"/>
      <c r="CQB222" s="35"/>
      <c r="CQC222" s="35"/>
      <c r="CQD222" s="34"/>
      <c r="CQE222" s="34"/>
      <c r="CQF222" s="36"/>
      <c r="CQG222" s="36"/>
      <c r="CQH222" s="37"/>
      <c r="CQI222" s="37"/>
      <c r="CQJ222" s="38"/>
      <c r="CQK222" s="38"/>
      <c r="CQL222" s="39"/>
      <c r="CQM222" s="34"/>
      <c r="CQN222" s="34"/>
      <c r="CQO222" s="34"/>
      <c r="CQP222" s="35"/>
      <c r="CQQ222" s="35"/>
      <c r="CQR222" s="35"/>
      <c r="CQS222" s="35"/>
      <c r="CQT222" s="35"/>
      <c r="CQU222" s="34"/>
      <c r="CQV222" s="34"/>
      <c r="CQW222" s="36"/>
      <c r="CQX222" s="36"/>
      <c r="CQY222" s="37"/>
      <c r="CQZ222" s="37"/>
      <c r="CRA222" s="38"/>
      <c r="CRB222" s="38"/>
      <c r="CRC222" s="39"/>
      <c r="CRD222" s="34"/>
      <c r="CRE222" s="34"/>
      <c r="CRF222" s="34"/>
      <c r="CRG222" s="35"/>
      <c r="CRH222" s="35"/>
      <c r="CRI222" s="35"/>
      <c r="CRJ222" s="35"/>
      <c r="CRK222" s="35"/>
      <c r="CRL222" s="34"/>
      <c r="CRM222" s="34"/>
      <c r="CRN222" s="36"/>
      <c r="CRO222" s="36"/>
      <c r="CRP222" s="37"/>
      <c r="CRQ222" s="37"/>
      <c r="CRR222" s="38"/>
      <c r="CRS222" s="38"/>
      <c r="CRT222" s="39"/>
      <c r="CRU222" s="34"/>
      <c r="CRV222" s="34"/>
      <c r="CRW222" s="34"/>
      <c r="CRX222" s="35"/>
      <c r="CRY222" s="35"/>
      <c r="CRZ222" s="35"/>
      <c r="CSA222" s="35"/>
      <c r="CSB222" s="35"/>
      <c r="CSC222" s="34"/>
      <c r="CSD222" s="34"/>
      <c r="CSE222" s="36"/>
      <c r="CSF222" s="36"/>
      <c r="CSG222" s="37"/>
      <c r="CSH222" s="37"/>
      <c r="CSI222" s="38"/>
      <c r="CSJ222" s="38"/>
      <c r="CSK222" s="39"/>
      <c r="CSL222" s="34"/>
      <c r="CSM222" s="34"/>
      <c r="CSN222" s="34"/>
      <c r="CSO222" s="35"/>
      <c r="CSP222" s="35"/>
      <c r="CSQ222" s="35"/>
      <c r="CSR222" s="35"/>
      <c r="CSS222" s="35"/>
      <c r="CST222" s="34"/>
      <c r="CSU222" s="34"/>
      <c r="CSV222" s="36"/>
      <c r="CSW222" s="36"/>
      <c r="CSX222" s="37"/>
      <c r="CSY222" s="37"/>
      <c r="CSZ222" s="38"/>
      <c r="CTA222" s="38"/>
      <c r="CTB222" s="39"/>
      <c r="CTC222" s="34"/>
      <c r="CTD222" s="34"/>
      <c r="CTE222" s="34"/>
      <c r="CTF222" s="35"/>
      <c r="CTG222" s="35"/>
      <c r="CTH222" s="35"/>
      <c r="CTI222" s="35"/>
      <c r="CTJ222" s="35"/>
      <c r="CTK222" s="34"/>
      <c r="CTL222" s="34"/>
      <c r="CTM222" s="36"/>
      <c r="CTN222" s="36"/>
      <c r="CTO222" s="37"/>
      <c r="CTP222" s="37"/>
      <c r="CTQ222" s="38"/>
      <c r="CTR222" s="38"/>
      <c r="CTS222" s="39"/>
      <c r="CTT222" s="34"/>
      <c r="CTU222" s="34"/>
      <c r="CTV222" s="34"/>
      <c r="CTW222" s="35"/>
      <c r="CTX222" s="35"/>
      <c r="CTY222" s="35"/>
      <c r="CTZ222" s="35"/>
      <c r="CUA222" s="35"/>
      <c r="CUB222" s="34"/>
      <c r="CUC222" s="34"/>
      <c r="CUD222" s="36"/>
      <c r="CUE222" s="36"/>
      <c r="CUF222" s="37"/>
      <c r="CUG222" s="37"/>
      <c r="CUH222" s="38"/>
      <c r="CUI222" s="38"/>
      <c r="CUJ222" s="39"/>
      <c r="CUK222" s="34"/>
      <c r="CUL222" s="34"/>
      <c r="CUM222" s="34"/>
      <c r="CUN222" s="35"/>
      <c r="CUO222" s="35"/>
      <c r="CUP222" s="35"/>
      <c r="CUQ222" s="35"/>
      <c r="CUR222" s="35"/>
      <c r="CUS222" s="34"/>
      <c r="CUT222" s="34"/>
      <c r="CUU222" s="36"/>
      <c r="CUV222" s="36"/>
      <c r="CUW222" s="37"/>
      <c r="CUX222" s="37"/>
      <c r="CUY222" s="38"/>
      <c r="CUZ222" s="38"/>
      <c r="CVA222" s="39"/>
      <c r="CVB222" s="34"/>
      <c r="CVC222" s="34"/>
      <c r="CVD222" s="34"/>
      <c r="CVE222" s="35"/>
      <c r="CVF222" s="35"/>
      <c r="CVG222" s="35"/>
      <c r="CVH222" s="35"/>
      <c r="CVI222" s="35"/>
      <c r="CVJ222" s="34"/>
      <c r="CVK222" s="34"/>
      <c r="CVL222" s="36"/>
      <c r="CVM222" s="36"/>
      <c r="CVN222" s="37"/>
      <c r="CVO222" s="37"/>
      <c r="CVP222" s="38"/>
      <c r="CVQ222" s="38"/>
      <c r="CVR222" s="39"/>
      <c r="CVS222" s="34"/>
      <c r="CVT222" s="34"/>
      <c r="CVU222" s="34"/>
      <c r="CVV222" s="35"/>
      <c r="CVW222" s="35"/>
      <c r="CVX222" s="35"/>
      <c r="CVY222" s="35"/>
      <c r="CVZ222" s="35"/>
      <c r="CWA222" s="34"/>
      <c r="CWB222" s="34"/>
      <c r="CWC222" s="36"/>
      <c r="CWD222" s="36"/>
      <c r="CWE222" s="37"/>
      <c r="CWF222" s="37"/>
      <c r="CWG222" s="38"/>
      <c r="CWH222" s="38"/>
      <c r="CWI222" s="39"/>
      <c r="CWJ222" s="34"/>
      <c r="CWK222" s="34"/>
      <c r="CWL222" s="34"/>
      <c r="CWM222" s="35"/>
      <c r="CWN222" s="35"/>
      <c r="CWO222" s="35"/>
      <c r="CWP222" s="35"/>
      <c r="CWQ222" s="35"/>
      <c r="CWR222" s="34"/>
      <c r="CWS222" s="34"/>
      <c r="CWT222" s="36"/>
      <c r="CWU222" s="36"/>
      <c r="CWV222" s="37"/>
      <c r="CWW222" s="37"/>
      <c r="CWX222" s="38"/>
      <c r="CWY222" s="38"/>
      <c r="CWZ222" s="39"/>
      <c r="CXA222" s="34"/>
      <c r="CXB222" s="34"/>
      <c r="CXC222" s="34"/>
      <c r="CXD222" s="35"/>
      <c r="CXE222" s="35"/>
      <c r="CXF222" s="35"/>
      <c r="CXG222" s="35"/>
      <c r="CXH222" s="35"/>
      <c r="CXI222" s="34"/>
      <c r="CXJ222" s="34"/>
      <c r="CXK222" s="36"/>
      <c r="CXL222" s="36"/>
      <c r="CXM222" s="37"/>
      <c r="CXN222" s="37"/>
      <c r="CXO222" s="38"/>
      <c r="CXP222" s="38"/>
      <c r="CXQ222" s="39"/>
      <c r="CXR222" s="34"/>
      <c r="CXS222" s="34"/>
      <c r="CXT222" s="34"/>
      <c r="CXU222" s="35"/>
      <c r="CXV222" s="35"/>
      <c r="CXW222" s="35"/>
      <c r="CXX222" s="35"/>
      <c r="CXY222" s="35"/>
      <c r="CXZ222" s="34"/>
      <c r="CYA222" s="34"/>
      <c r="CYB222" s="36"/>
      <c r="CYC222" s="36"/>
      <c r="CYD222" s="37"/>
      <c r="CYE222" s="37"/>
      <c r="CYF222" s="38"/>
      <c r="CYG222" s="38"/>
      <c r="CYH222" s="39"/>
      <c r="CYI222" s="34"/>
      <c r="CYJ222" s="34"/>
      <c r="CYK222" s="34"/>
      <c r="CYL222" s="35"/>
      <c r="CYM222" s="35"/>
      <c r="CYN222" s="35"/>
      <c r="CYO222" s="35"/>
      <c r="CYP222" s="35"/>
      <c r="CYQ222" s="34"/>
      <c r="CYR222" s="34"/>
      <c r="CYS222" s="36"/>
      <c r="CYT222" s="36"/>
      <c r="CYU222" s="37"/>
      <c r="CYV222" s="37"/>
      <c r="CYW222" s="38"/>
      <c r="CYX222" s="38"/>
      <c r="CYY222" s="39"/>
      <c r="CYZ222" s="34"/>
      <c r="CZA222" s="34"/>
      <c r="CZB222" s="34"/>
      <c r="CZC222" s="35"/>
      <c r="CZD222" s="35"/>
      <c r="CZE222" s="35"/>
      <c r="CZF222" s="35"/>
      <c r="CZG222" s="35"/>
      <c r="CZH222" s="34"/>
      <c r="CZI222" s="34"/>
      <c r="CZJ222" s="36"/>
      <c r="CZK222" s="36"/>
      <c r="CZL222" s="37"/>
      <c r="CZM222" s="37"/>
      <c r="CZN222" s="38"/>
      <c r="CZO222" s="38"/>
      <c r="CZP222" s="39"/>
      <c r="CZQ222" s="34"/>
      <c r="CZR222" s="34"/>
      <c r="CZS222" s="34"/>
      <c r="CZT222" s="35"/>
      <c r="CZU222" s="35"/>
      <c r="CZV222" s="35"/>
      <c r="CZW222" s="35"/>
      <c r="CZX222" s="35"/>
      <c r="CZY222" s="34"/>
      <c r="CZZ222" s="34"/>
      <c r="DAA222" s="36"/>
      <c r="DAB222" s="36"/>
      <c r="DAC222" s="37"/>
      <c r="DAD222" s="37"/>
      <c r="DAE222" s="38"/>
      <c r="DAF222" s="38"/>
      <c r="DAG222" s="39"/>
      <c r="DAH222" s="34"/>
      <c r="DAI222" s="34"/>
      <c r="DAJ222" s="34"/>
      <c r="DAK222" s="35"/>
      <c r="DAL222" s="35"/>
      <c r="DAM222" s="35"/>
      <c r="DAN222" s="35"/>
      <c r="DAO222" s="35"/>
      <c r="DAP222" s="34"/>
      <c r="DAQ222" s="34"/>
      <c r="DAR222" s="36"/>
      <c r="DAS222" s="36"/>
      <c r="DAT222" s="37"/>
      <c r="DAU222" s="37"/>
      <c r="DAV222" s="38"/>
      <c r="DAW222" s="38"/>
      <c r="DAX222" s="39"/>
      <c r="DAY222" s="34"/>
      <c r="DAZ222" s="34"/>
      <c r="DBA222" s="34"/>
      <c r="DBB222" s="35"/>
      <c r="DBC222" s="35"/>
      <c r="DBD222" s="35"/>
      <c r="DBE222" s="35"/>
      <c r="DBF222" s="35"/>
      <c r="DBG222" s="34"/>
      <c r="DBH222" s="34"/>
      <c r="DBI222" s="36"/>
      <c r="DBJ222" s="36"/>
      <c r="DBK222" s="37"/>
      <c r="DBL222" s="37"/>
      <c r="DBM222" s="38"/>
      <c r="DBN222" s="38"/>
      <c r="DBO222" s="39"/>
      <c r="DBP222" s="34"/>
      <c r="DBQ222" s="34"/>
      <c r="DBR222" s="34"/>
      <c r="DBS222" s="35"/>
      <c r="DBT222" s="35"/>
      <c r="DBU222" s="35"/>
      <c r="DBV222" s="35"/>
      <c r="DBW222" s="35"/>
      <c r="DBX222" s="34"/>
      <c r="DBY222" s="34"/>
      <c r="DBZ222" s="36"/>
      <c r="DCA222" s="36"/>
      <c r="DCB222" s="37"/>
      <c r="DCC222" s="37"/>
      <c r="DCD222" s="38"/>
      <c r="DCE222" s="38"/>
      <c r="DCF222" s="39"/>
      <c r="DCG222" s="34"/>
      <c r="DCH222" s="34"/>
      <c r="DCI222" s="34"/>
      <c r="DCJ222" s="35"/>
      <c r="DCK222" s="35"/>
      <c r="DCL222" s="35"/>
      <c r="DCM222" s="35"/>
      <c r="DCN222" s="35"/>
      <c r="DCO222" s="34"/>
      <c r="DCP222" s="34"/>
      <c r="DCQ222" s="36"/>
      <c r="DCR222" s="36"/>
      <c r="DCS222" s="37"/>
      <c r="DCT222" s="37"/>
      <c r="DCU222" s="38"/>
      <c r="DCV222" s="38"/>
      <c r="DCW222" s="39"/>
      <c r="DCX222" s="34"/>
      <c r="DCY222" s="34"/>
      <c r="DCZ222" s="34"/>
      <c r="DDA222" s="35"/>
      <c r="DDB222" s="35"/>
      <c r="DDC222" s="35"/>
      <c r="DDD222" s="35"/>
      <c r="DDE222" s="35"/>
      <c r="DDF222" s="34"/>
      <c r="DDG222" s="34"/>
      <c r="DDH222" s="36"/>
      <c r="DDI222" s="36"/>
      <c r="DDJ222" s="37"/>
      <c r="DDK222" s="37"/>
      <c r="DDL222" s="38"/>
      <c r="DDM222" s="38"/>
      <c r="DDN222" s="39"/>
      <c r="DDO222" s="34"/>
      <c r="DDP222" s="34"/>
      <c r="DDQ222" s="34"/>
      <c r="DDR222" s="35"/>
      <c r="DDS222" s="35"/>
      <c r="DDT222" s="35"/>
      <c r="DDU222" s="35"/>
      <c r="DDV222" s="35"/>
      <c r="DDW222" s="34"/>
      <c r="DDX222" s="34"/>
      <c r="DDY222" s="36"/>
      <c r="DDZ222" s="36"/>
      <c r="DEA222" s="37"/>
      <c r="DEB222" s="37"/>
      <c r="DEC222" s="38"/>
      <c r="DED222" s="38"/>
      <c r="DEE222" s="39"/>
      <c r="DEF222" s="34"/>
      <c r="DEG222" s="34"/>
      <c r="DEH222" s="34"/>
      <c r="DEI222" s="35"/>
      <c r="DEJ222" s="35"/>
      <c r="DEK222" s="35"/>
      <c r="DEL222" s="35"/>
      <c r="DEM222" s="35"/>
      <c r="DEN222" s="34"/>
      <c r="DEO222" s="34"/>
      <c r="DEP222" s="36"/>
      <c r="DEQ222" s="36"/>
      <c r="DER222" s="37"/>
      <c r="DES222" s="37"/>
      <c r="DET222" s="38"/>
      <c r="DEU222" s="38"/>
      <c r="DEV222" s="39"/>
      <c r="DEW222" s="34"/>
      <c r="DEX222" s="34"/>
      <c r="DEY222" s="34"/>
      <c r="DEZ222" s="35"/>
      <c r="DFA222" s="35"/>
      <c r="DFB222" s="35"/>
      <c r="DFC222" s="35"/>
      <c r="DFD222" s="35"/>
      <c r="DFE222" s="34"/>
      <c r="DFF222" s="34"/>
      <c r="DFG222" s="36"/>
      <c r="DFH222" s="36"/>
      <c r="DFI222" s="37"/>
      <c r="DFJ222" s="37"/>
      <c r="DFK222" s="38"/>
      <c r="DFL222" s="38"/>
      <c r="DFM222" s="39"/>
      <c r="DFN222" s="34"/>
      <c r="DFO222" s="34"/>
      <c r="DFP222" s="34"/>
      <c r="DFQ222" s="35"/>
      <c r="DFR222" s="35"/>
      <c r="DFS222" s="35"/>
      <c r="DFT222" s="35"/>
      <c r="DFU222" s="35"/>
      <c r="DFV222" s="34"/>
      <c r="DFW222" s="34"/>
      <c r="DFX222" s="36"/>
      <c r="DFY222" s="36"/>
      <c r="DFZ222" s="37"/>
      <c r="DGA222" s="37"/>
      <c r="DGB222" s="38"/>
      <c r="DGC222" s="38"/>
      <c r="DGD222" s="39"/>
      <c r="DGE222" s="34"/>
      <c r="DGF222" s="34"/>
      <c r="DGG222" s="34"/>
      <c r="DGH222" s="35"/>
      <c r="DGI222" s="35"/>
      <c r="DGJ222" s="35"/>
      <c r="DGK222" s="35"/>
      <c r="DGL222" s="35"/>
      <c r="DGM222" s="34"/>
      <c r="DGN222" s="34"/>
      <c r="DGO222" s="36"/>
      <c r="DGP222" s="36"/>
      <c r="DGQ222" s="37"/>
      <c r="DGR222" s="37"/>
      <c r="DGS222" s="38"/>
      <c r="DGT222" s="38"/>
      <c r="DGU222" s="39"/>
      <c r="DGV222" s="34"/>
      <c r="DGW222" s="34"/>
      <c r="DGX222" s="34"/>
      <c r="DGY222" s="35"/>
      <c r="DGZ222" s="35"/>
      <c r="DHA222" s="35"/>
      <c r="DHB222" s="35"/>
      <c r="DHC222" s="35"/>
      <c r="DHD222" s="34"/>
      <c r="DHE222" s="34"/>
      <c r="DHF222" s="36"/>
      <c r="DHG222" s="36"/>
      <c r="DHH222" s="37"/>
      <c r="DHI222" s="37"/>
      <c r="DHJ222" s="38"/>
      <c r="DHK222" s="38"/>
      <c r="DHL222" s="39"/>
      <c r="DHM222" s="34"/>
      <c r="DHN222" s="34"/>
      <c r="DHO222" s="34"/>
      <c r="DHP222" s="35"/>
      <c r="DHQ222" s="35"/>
      <c r="DHR222" s="35"/>
      <c r="DHS222" s="35"/>
      <c r="DHT222" s="35"/>
      <c r="DHU222" s="34"/>
      <c r="DHV222" s="34"/>
      <c r="DHW222" s="36"/>
      <c r="DHX222" s="36"/>
      <c r="DHY222" s="37"/>
      <c r="DHZ222" s="37"/>
      <c r="DIA222" s="38"/>
      <c r="DIB222" s="38"/>
      <c r="DIC222" s="39"/>
      <c r="DID222" s="34"/>
      <c r="DIE222" s="34"/>
      <c r="DIF222" s="34"/>
      <c r="DIG222" s="35"/>
      <c r="DIH222" s="35"/>
      <c r="DII222" s="35"/>
      <c r="DIJ222" s="35"/>
      <c r="DIK222" s="35"/>
      <c r="DIL222" s="34"/>
      <c r="DIM222" s="34"/>
      <c r="DIN222" s="36"/>
      <c r="DIO222" s="36"/>
      <c r="DIP222" s="37"/>
      <c r="DIQ222" s="37"/>
      <c r="DIR222" s="38"/>
      <c r="DIS222" s="38"/>
      <c r="DIT222" s="39"/>
      <c r="DIU222" s="34"/>
      <c r="DIV222" s="34"/>
      <c r="DIW222" s="34"/>
      <c r="DIX222" s="35"/>
      <c r="DIY222" s="35"/>
      <c r="DIZ222" s="35"/>
      <c r="DJA222" s="35"/>
      <c r="DJB222" s="35"/>
      <c r="DJC222" s="34"/>
      <c r="DJD222" s="34"/>
      <c r="DJE222" s="36"/>
      <c r="DJF222" s="36"/>
      <c r="DJG222" s="37"/>
      <c r="DJH222" s="37"/>
      <c r="DJI222" s="38"/>
      <c r="DJJ222" s="38"/>
      <c r="DJK222" s="39"/>
      <c r="DJL222" s="34"/>
      <c r="DJM222" s="34"/>
      <c r="DJN222" s="34"/>
      <c r="DJO222" s="35"/>
      <c r="DJP222" s="35"/>
      <c r="DJQ222" s="35"/>
      <c r="DJR222" s="35"/>
      <c r="DJS222" s="35"/>
      <c r="DJT222" s="34"/>
      <c r="DJU222" s="34"/>
      <c r="DJV222" s="36"/>
      <c r="DJW222" s="36"/>
      <c r="DJX222" s="37"/>
      <c r="DJY222" s="37"/>
      <c r="DJZ222" s="38"/>
      <c r="DKA222" s="38"/>
      <c r="DKB222" s="39"/>
      <c r="DKC222" s="34"/>
      <c r="DKD222" s="34"/>
      <c r="DKE222" s="34"/>
      <c r="DKF222" s="35"/>
      <c r="DKG222" s="35"/>
      <c r="DKH222" s="35"/>
      <c r="DKI222" s="35"/>
      <c r="DKJ222" s="35"/>
      <c r="DKK222" s="34"/>
      <c r="DKL222" s="34"/>
      <c r="DKM222" s="36"/>
      <c r="DKN222" s="36"/>
      <c r="DKO222" s="37"/>
      <c r="DKP222" s="37"/>
      <c r="DKQ222" s="38"/>
      <c r="DKR222" s="38"/>
      <c r="DKS222" s="39"/>
      <c r="DKT222" s="34"/>
      <c r="DKU222" s="34"/>
      <c r="DKV222" s="34"/>
      <c r="DKW222" s="35"/>
      <c r="DKX222" s="35"/>
      <c r="DKY222" s="35"/>
      <c r="DKZ222" s="35"/>
      <c r="DLA222" s="35"/>
      <c r="DLB222" s="34"/>
      <c r="DLC222" s="34"/>
      <c r="DLD222" s="36"/>
      <c r="DLE222" s="36"/>
      <c r="DLF222" s="37"/>
      <c r="DLG222" s="37"/>
      <c r="DLH222" s="38"/>
      <c r="DLI222" s="38"/>
      <c r="DLJ222" s="39"/>
      <c r="DLK222" s="34"/>
      <c r="DLL222" s="34"/>
      <c r="DLM222" s="34"/>
      <c r="DLN222" s="35"/>
      <c r="DLO222" s="35"/>
      <c r="DLP222" s="35"/>
      <c r="DLQ222" s="35"/>
      <c r="DLR222" s="35"/>
      <c r="DLS222" s="34"/>
      <c r="DLT222" s="34"/>
      <c r="DLU222" s="36"/>
      <c r="DLV222" s="36"/>
      <c r="DLW222" s="37"/>
      <c r="DLX222" s="37"/>
      <c r="DLY222" s="38"/>
      <c r="DLZ222" s="38"/>
      <c r="DMA222" s="39"/>
      <c r="DMB222" s="34"/>
      <c r="DMC222" s="34"/>
      <c r="DMD222" s="34"/>
      <c r="DME222" s="35"/>
      <c r="DMF222" s="35"/>
      <c r="DMG222" s="35"/>
      <c r="DMH222" s="35"/>
      <c r="DMI222" s="35"/>
      <c r="DMJ222" s="34"/>
      <c r="DMK222" s="34"/>
      <c r="DML222" s="36"/>
      <c r="DMM222" s="36"/>
      <c r="DMN222" s="37"/>
      <c r="DMO222" s="37"/>
      <c r="DMP222" s="38"/>
      <c r="DMQ222" s="38"/>
      <c r="DMR222" s="39"/>
      <c r="DMS222" s="34"/>
      <c r="DMT222" s="34"/>
      <c r="DMU222" s="34"/>
      <c r="DMV222" s="35"/>
      <c r="DMW222" s="35"/>
      <c r="DMX222" s="35"/>
      <c r="DMY222" s="35"/>
      <c r="DMZ222" s="35"/>
      <c r="DNA222" s="34"/>
      <c r="DNB222" s="34"/>
      <c r="DNC222" s="36"/>
      <c r="DND222" s="36"/>
      <c r="DNE222" s="37"/>
      <c r="DNF222" s="37"/>
      <c r="DNG222" s="38"/>
      <c r="DNH222" s="38"/>
      <c r="DNI222" s="39"/>
      <c r="DNJ222" s="34"/>
      <c r="DNK222" s="34"/>
      <c r="DNL222" s="34"/>
      <c r="DNM222" s="35"/>
      <c r="DNN222" s="35"/>
      <c r="DNO222" s="35"/>
      <c r="DNP222" s="35"/>
      <c r="DNQ222" s="35"/>
      <c r="DNR222" s="34"/>
      <c r="DNS222" s="34"/>
      <c r="DNT222" s="36"/>
      <c r="DNU222" s="36"/>
      <c r="DNV222" s="37"/>
      <c r="DNW222" s="37"/>
      <c r="DNX222" s="38"/>
      <c r="DNY222" s="38"/>
      <c r="DNZ222" s="39"/>
      <c r="DOA222" s="34"/>
      <c r="DOB222" s="34"/>
      <c r="DOC222" s="34"/>
      <c r="DOD222" s="35"/>
      <c r="DOE222" s="35"/>
      <c r="DOF222" s="35"/>
      <c r="DOG222" s="35"/>
      <c r="DOH222" s="35"/>
      <c r="DOI222" s="34"/>
      <c r="DOJ222" s="34"/>
      <c r="DOK222" s="36"/>
      <c r="DOL222" s="36"/>
      <c r="DOM222" s="37"/>
      <c r="DON222" s="37"/>
      <c r="DOO222" s="38"/>
      <c r="DOP222" s="38"/>
      <c r="DOQ222" s="39"/>
      <c r="DOR222" s="34"/>
      <c r="DOS222" s="34"/>
      <c r="DOT222" s="34"/>
      <c r="DOU222" s="35"/>
      <c r="DOV222" s="35"/>
      <c r="DOW222" s="35"/>
      <c r="DOX222" s="35"/>
      <c r="DOY222" s="35"/>
      <c r="DOZ222" s="34"/>
      <c r="DPA222" s="34"/>
      <c r="DPB222" s="36"/>
      <c r="DPC222" s="36"/>
      <c r="DPD222" s="37"/>
      <c r="DPE222" s="37"/>
      <c r="DPF222" s="38"/>
      <c r="DPG222" s="38"/>
      <c r="DPH222" s="39"/>
      <c r="DPI222" s="34"/>
      <c r="DPJ222" s="34"/>
      <c r="DPK222" s="34"/>
      <c r="DPL222" s="35"/>
      <c r="DPM222" s="35"/>
      <c r="DPN222" s="35"/>
      <c r="DPO222" s="35"/>
      <c r="DPP222" s="35"/>
      <c r="DPQ222" s="34"/>
      <c r="DPR222" s="34"/>
      <c r="DPS222" s="36"/>
      <c r="DPT222" s="36"/>
      <c r="DPU222" s="37"/>
      <c r="DPV222" s="37"/>
      <c r="DPW222" s="38"/>
      <c r="DPX222" s="38"/>
      <c r="DPY222" s="39"/>
      <c r="DPZ222" s="34"/>
      <c r="DQA222" s="34"/>
      <c r="DQB222" s="34"/>
      <c r="DQC222" s="35"/>
      <c r="DQD222" s="35"/>
      <c r="DQE222" s="35"/>
      <c r="DQF222" s="35"/>
      <c r="DQG222" s="35"/>
      <c r="DQH222" s="34"/>
      <c r="DQI222" s="34"/>
      <c r="DQJ222" s="36"/>
      <c r="DQK222" s="36"/>
      <c r="DQL222" s="37"/>
      <c r="DQM222" s="37"/>
      <c r="DQN222" s="38"/>
      <c r="DQO222" s="38"/>
      <c r="DQP222" s="39"/>
      <c r="DQQ222" s="34"/>
      <c r="DQR222" s="34"/>
      <c r="DQS222" s="34"/>
      <c r="DQT222" s="35"/>
      <c r="DQU222" s="35"/>
      <c r="DQV222" s="35"/>
      <c r="DQW222" s="35"/>
      <c r="DQX222" s="35"/>
      <c r="DQY222" s="34"/>
      <c r="DQZ222" s="34"/>
      <c r="DRA222" s="36"/>
      <c r="DRB222" s="36"/>
      <c r="DRC222" s="37"/>
      <c r="DRD222" s="37"/>
      <c r="DRE222" s="38"/>
      <c r="DRF222" s="38"/>
      <c r="DRG222" s="39"/>
      <c r="DRH222" s="34"/>
      <c r="DRI222" s="34"/>
      <c r="DRJ222" s="34"/>
      <c r="DRK222" s="35"/>
      <c r="DRL222" s="35"/>
      <c r="DRM222" s="35"/>
      <c r="DRN222" s="35"/>
      <c r="DRO222" s="35"/>
      <c r="DRP222" s="34"/>
      <c r="DRQ222" s="34"/>
      <c r="DRR222" s="36"/>
      <c r="DRS222" s="36"/>
      <c r="DRT222" s="37"/>
      <c r="DRU222" s="37"/>
      <c r="DRV222" s="38"/>
      <c r="DRW222" s="38"/>
      <c r="DRX222" s="39"/>
      <c r="DRY222" s="34"/>
      <c r="DRZ222" s="34"/>
      <c r="DSA222" s="34"/>
      <c r="DSB222" s="35"/>
      <c r="DSC222" s="35"/>
      <c r="DSD222" s="35"/>
      <c r="DSE222" s="35"/>
      <c r="DSF222" s="35"/>
      <c r="DSG222" s="34"/>
      <c r="DSH222" s="34"/>
      <c r="DSI222" s="36"/>
      <c r="DSJ222" s="36"/>
      <c r="DSK222" s="37"/>
      <c r="DSL222" s="37"/>
      <c r="DSM222" s="38"/>
      <c r="DSN222" s="38"/>
      <c r="DSO222" s="39"/>
      <c r="DSP222" s="34"/>
      <c r="DSQ222" s="34"/>
      <c r="DSR222" s="34"/>
      <c r="DSS222" s="35"/>
      <c r="DST222" s="35"/>
      <c r="DSU222" s="35"/>
      <c r="DSV222" s="35"/>
      <c r="DSW222" s="35"/>
      <c r="DSX222" s="34"/>
      <c r="DSY222" s="34"/>
      <c r="DSZ222" s="36"/>
      <c r="DTA222" s="36"/>
      <c r="DTB222" s="37"/>
      <c r="DTC222" s="37"/>
      <c r="DTD222" s="38"/>
      <c r="DTE222" s="38"/>
      <c r="DTF222" s="39"/>
      <c r="DTG222" s="34"/>
      <c r="DTH222" s="34"/>
      <c r="DTI222" s="34"/>
      <c r="DTJ222" s="35"/>
      <c r="DTK222" s="35"/>
      <c r="DTL222" s="35"/>
      <c r="DTM222" s="35"/>
      <c r="DTN222" s="35"/>
      <c r="DTO222" s="34"/>
      <c r="DTP222" s="34"/>
      <c r="DTQ222" s="36"/>
      <c r="DTR222" s="36"/>
      <c r="DTS222" s="37"/>
      <c r="DTT222" s="37"/>
      <c r="DTU222" s="38"/>
      <c r="DTV222" s="38"/>
      <c r="DTW222" s="39"/>
      <c r="DTX222" s="34"/>
      <c r="DTY222" s="34"/>
      <c r="DTZ222" s="34"/>
      <c r="DUA222" s="35"/>
      <c r="DUB222" s="35"/>
      <c r="DUC222" s="35"/>
      <c r="DUD222" s="35"/>
      <c r="DUE222" s="35"/>
      <c r="DUF222" s="34"/>
      <c r="DUG222" s="34"/>
      <c r="DUH222" s="36"/>
      <c r="DUI222" s="36"/>
      <c r="DUJ222" s="37"/>
      <c r="DUK222" s="37"/>
      <c r="DUL222" s="38"/>
      <c r="DUM222" s="38"/>
      <c r="DUN222" s="39"/>
      <c r="DUO222" s="34"/>
      <c r="DUP222" s="34"/>
      <c r="DUQ222" s="34"/>
      <c r="DUR222" s="35"/>
      <c r="DUS222" s="35"/>
      <c r="DUT222" s="35"/>
      <c r="DUU222" s="35"/>
      <c r="DUV222" s="35"/>
      <c r="DUW222" s="34"/>
      <c r="DUX222" s="34"/>
      <c r="DUY222" s="36"/>
      <c r="DUZ222" s="36"/>
      <c r="DVA222" s="37"/>
      <c r="DVB222" s="37"/>
      <c r="DVC222" s="38"/>
      <c r="DVD222" s="38"/>
      <c r="DVE222" s="39"/>
      <c r="DVF222" s="34"/>
      <c r="DVG222" s="34"/>
      <c r="DVH222" s="34"/>
      <c r="DVI222" s="35"/>
      <c r="DVJ222" s="35"/>
      <c r="DVK222" s="35"/>
      <c r="DVL222" s="35"/>
      <c r="DVM222" s="35"/>
      <c r="DVN222" s="34"/>
      <c r="DVO222" s="34"/>
      <c r="DVP222" s="36"/>
      <c r="DVQ222" s="36"/>
      <c r="DVR222" s="37"/>
      <c r="DVS222" s="37"/>
      <c r="DVT222" s="38"/>
      <c r="DVU222" s="38"/>
      <c r="DVV222" s="39"/>
      <c r="DVW222" s="34"/>
      <c r="DVX222" s="34"/>
      <c r="DVY222" s="34"/>
      <c r="DVZ222" s="35"/>
      <c r="DWA222" s="35"/>
      <c r="DWB222" s="35"/>
      <c r="DWC222" s="35"/>
      <c r="DWD222" s="35"/>
      <c r="DWE222" s="34"/>
      <c r="DWF222" s="34"/>
      <c r="DWG222" s="36"/>
      <c r="DWH222" s="36"/>
      <c r="DWI222" s="37"/>
      <c r="DWJ222" s="37"/>
      <c r="DWK222" s="38"/>
      <c r="DWL222" s="38"/>
      <c r="DWM222" s="39"/>
      <c r="DWN222" s="34"/>
      <c r="DWO222" s="34"/>
      <c r="DWP222" s="34"/>
      <c r="DWQ222" s="35"/>
      <c r="DWR222" s="35"/>
      <c r="DWS222" s="35"/>
      <c r="DWT222" s="35"/>
      <c r="DWU222" s="35"/>
      <c r="DWV222" s="34"/>
      <c r="DWW222" s="34"/>
      <c r="DWX222" s="36"/>
      <c r="DWY222" s="36"/>
      <c r="DWZ222" s="37"/>
      <c r="DXA222" s="37"/>
      <c r="DXB222" s="38"/>
      <c r="DXC222" s="38"/>
      <c r="DXD222" s="39"/>
      <c r="DXE222" s="34"/>
      <c r="DXF222" s="34"/>
      <c r="DXG222" s="34"/>
      <c r="DXH222" s="35"/>
      <c r="DXI222" s="35"/>
      <c r="DXJ222" s="35"/>
      <c r="DXK222" s="35"/>
      <c r="DXL222" s="35"/>
      <c r="DXM222" s="34"/>
      <c r="DXN222" s="34"/>
      <c r="DXO222" s="36"/>
      <c r="DXP222" s="36"/>
      <c r="DXQ222" s="37"/>
      <c r="DXR222" s="37"/>
      <c r="DXS222" s="38"/>
      <c r="DXT222" s="38"/>
      <c r="DXU222" s="39"/>
      <c r="DXV222" s="34"/>
      <c r="DXW222" s="34"/>
      <c r="DXX222" s="34"/>
      <c r="DXY222" s="35"/>
      <c r="DXZ222" s="35"/>
      <c r="DYA222" s="35"/>
      <c r="DYB222" s="35"/>
      <c r="DYC222" s="35"/>
      <c r="DYD222" s="34"/>
      <c r="DYE222" s="34"/>
      <c r="DYF222" s="36"/>
      <c r="DYG222" s="36"/>
      <c r="DYH222" s="37"/>
      <c r="DYI222" s="37"/>
      <c r="DYJ222" s="38"/>
      <c r="DYK222" s="38"/>
      <c r="DYL222" s="39"/>
      <c r="DYM222" s="34"/>
      <c r="DYN222" s="34"/>
      <c r="DYO222" s="34"/>
      <c r="DYP222" s="35"/>
      <c r="DYQ222" s="35"/>
      <c r="DYR222" s="35"/>
      <c r="DYS222" s="35"/>
      <c r="DYT222" s="35"/>
      <c r="DYU222" s="34"/>
      <c r="DYV222" s="34"/>
      <c r="DYW222" s="36"/>
      <c r="DYX222" s="36"/>
      <c r="DYY222" s="37"/>
      <c r="DYZ222" s="37"/>
      <c r="DZA222" s="38"/>
      <c r="DZB222" s="38"/>
      <c r="DZC222" s="39"/>
      <c r="DZD222" s="34"/>
      <c r="DZE222" s="34"/>
      <c r="DZF222" s="34"/>
      <c r="DZG222" s="35"/>
      <c r="DZH222" s="35"/>
      <c r="DZI222" s="35"/>
      <c r="DZJ222" s="35"/>
      <c r="DZK222" s="35"/>
      <c r="DZL222" s="34"/>
      <c r="DZM222" s="34"/>
      <c r="DZN222" s="36"/>
      <c r="DZO222" s="36"/>
      <c r="DZP222" s="37"/>
      <c r="DZQ222" s="37"/>
      <c r="DZR222" s="38"/>
      <c r="DZS222" s="38"/>
      <c r="DZT222" s="39"/>
      <c r="DZU222" s="34"/>
      <c r="DZV222" s="34"/>
      <c r="DZW222" s="34"/>
      <c r="DZX222" s="35"/>
      <c r="DZY222" s="35"/>
      <c r="DZZ222" s="35"/>
      <c r="EAA222" s="35"/>
      <c r="EAB222" s="35"/>
      <c r="EAC222" s="34"/>
      <c r="EAD222" s="34"/>
      <c r="EAE222" s="36"/>
      <c r="EAF222" s="36"/>
      <c r="EAG222" s="37"/>
      <c r="EAH222" s="37"/>
      <c r="EAI222" s="38"/>
      <c r="EAJ222" s="38"/>
      <c r="EAK222" s="39"/>
      <c r="EAL222" s="34"/>
      <c r="EAM222" s="34"/>
      <c r="EAN222" s="34"/>
      <c r="EAO222" s="35"/>
      <c r="EAP222" s="35"/>
      <c r="EAQ222" s="35"/>
      <c r="EAR222" s="35"/>
      <c r="EAS222" s="35"/>
      <c r="EAT222" s="34"/>
      <c r="EAU222" s="34"/>
      <c r="EAV222" s="36"/>
      <c r="EAW222" s="36"/>
      <c r="EAX222" s="37"/>
      <c r="EAY222" s="37"/>
      <c r="EAZ222" s="38"/>
      <c r="EBA222" s="38"/>
      <c r="EBB222" s="39"/>
      <c r="EBC222" s="34"/>
      <c r="EBD222" s="34"/>
      <c r="EBE222" s="34"/>
      <c r="EBF222" s="35"/>
      <c r="EBG222" s="35"/>
      <c r="EBH222" s="35"/>
      <c r="EBI222" s="35"/>
      <c r="EBJ222" s="35"/>
      <c r="EBK222" s="34"/>
      <c r="EBL222" s="34"/>
      <c r="EBM222" s="36"/>
      <c r="EBN222" s="36"/>
      <c r="EBO222" s="37"/>
      <c r="EBP222" s="37"/>
      <c r="EBQ222" s="38"/>
      <c r="EBR222" s="38"/>
      <c r="EBS222" s="39"/>
      <c r="EBT222" s="34"/>
      <c r="EBU222" s="34"/>
      <c r="EBV222" s="34"/>
      <c r="EBW222" s="35"/>
      <c r="EBX222" s="35"/>
      <c r="EBY222" s="35"/>
      <c r="EBZ222" s="35"/>
      <c r="ECA222" s="35"/>
      <c r="ECB222" s="34"/>
      <c r="ECC222" s="34"/>
      <c r="ECD222" s="36"/>
      <c r="ECE222" s="36"/>
      <c r="ECF222" s="37"/>
      <c r="ECG222" s="37"/>
      <c r="ECH222" s="38"/>
      <c r="ECI222" s="38"/>
      <c r="ECJ222" s="39"/>
      <c r="ECK222" s="34"/>
      <c r="ECL222" s="34"/>
      <c r="ECM222" s="34"/>
      <c r="ECN222" s="35"/>
      <c r="ECO222" s="35"/>
      <c r="ECP222" s="35"/>
      <c r="ECQ222" s="35"/>
      <c r="ECR222" s="35"/>
      <c r="ECS222" s="34"/>
      <c r="ECT222" s="34"/>
      <c r="ECU222" s="36"/>
      <c r="ECV222" s="36"/>
      <c r="ECW222" s="37"/>
      <c r="ECX222" s="37"/>
      <c r="ECY222" s="38"/>
      <c r="ECZ222" s="38"/>
      <c r="EDA222" s="39"/>
      <c r="EDB222" s="34"/>
      <c r="EDC222" s="34"/>
      <c r="EDD222" s="34"/>
      <c r="EDE222" s="35"/>
      <c r="EDF222" s="35"/>
      <c r="EDG222" s="35"/>
      <c r="EDH222" s="35"/>
      <c r="EDI222" s="35"/>
      <c r="EDJ222" s="34"/>
      <c r="EDK222" s="34"/>
      <c r="EDL222" s="36"/>
      <c r="EDM222" s="36"/>
      <c r="EDN222" s="37"/>
      <c r="EDO222" s="37"/>
      <c r="EDP222" s="38"/>
      <c r="EDQ222" s="38"/>
      <c r="EDR222" s="39"/>
      <c r="EDS222" s="34"/>
      <c r="EDT222" s="34"/>
      <c r="EDU222" s="34"/>
      <c r="EDV222" s="35"/>
      <c r="EDW222" s="35"/>
      <c r="EDX222" s="35"/>
      <c r="EDY222" s="35"/>
      <c r="EDZ222" s="35"/>
      <c r="EEA222" s="34"/>
      <c r="EEB222" s="34"/>
      <c r="EEC222" s="36"/>
      <c r="EED222" s="36"/>
      <c r="EEE222" s="37"/>
      <c r="EEF222" s="37"/>
      <c r="EEG222" s="38"/>
      <c r="EEH222" s="38"/>
      <c r="EEI222" s="39"/>
      <c r="EEJ222" s="34"/>
      <c r="EEK222" s="34"/>
      <c r="EEL222" s="34"/>
      <c r="EEM222" s="35"/>
      <c r="EEN222" s="35"/>
      <c r="EEO222" s="35"/>
      <c r="EEP222" s="35"/>
      <c r="EEQ222" s="35"/>
      <c r="EER222" s="34"/>
      <c r="EES222" s="34"/>
      <c r="EET222" s="36"/>
      <c r="EEU222" s="36"/>
      <c r="EEV222" s="37"/>
      <c r="EEW222" s="37"/>
      <c r="EEX222" s="38"/>
      <c r="EEY222" s="38"/>
      <c r="EEZ222" s="39"/>
      <c r="EFA222" s="34"/>
      <c r="EFB222" s="34"/>
      <c r="EFC222" s="34"/>
      <c r="EFD222" s="35"/>
      <c r="EFE222" s="35"/>
      <c r="EFF222" s="35"/>
      <c r="EFG222" s="35"/>
      <c r="EFH222" s="35"/>
      <c r="EFI222" s="34"/>
      <c r="EFJ222" s="34"/>
      <c r="EFK222" s="36"/>
      <c r="EFL222" s="36"/>
      <c r="EFM222" s="37"/>
      <c r="EFN222" s="37"/>
      <c r="EFO222" s="38"/>
      <c r="EFP222" s="38"/>
      <c r="EFQ222" s="39"/>
      <c r="EFR222" s="34"/>
      <c r="EFS222" s="34"/>
      <c r="EFT222" s="34"/>
      <c r="EFU222" s="35"/>
      <c r="EFV222" s="35"/>
      <c r="EFW222" s="35"/>
      <c r="EFX222" s="35"/>
      <c r="EFY222" s="35"/>
      <c r="EFZ222" s="34"/>
      <c r="EGA222" s="34"/>
      <c r="EGB222" s="36"/>
      <c r="EGC222" s="36"/>
      <c r="EGD222" s="37"/>
      <c r="EGE222" s="37"/>
      <c r="EGF222" s="38"/>
      <c r="EGG222" s="38"/>
      <c r="EGH222" s="39"/>
      <c r="EGI222" s="34"/>
      <c r="EGJ222" s="34"/>
      <c r="EGK222" s="34"/>
      <c r="EGL222" s="35"/>
      <c r="EGM222" s="35"/>
      <c r="EGN222" s="35"/>
      <c r="EGO222" s="35"/>
      <c r="EGP222" s="35"/>
      <c r="EGQ222" s="34"/>
      <c r="EGR222" s="34"/>
      <c r="EGS222" s="36"/>
      <c r="EGT222" s="36"/>
      <c r="EGU222" s="37"/>
      <c r="EGV222" s="37"/>
      <c r="EGW222" s="38"/>
      <c r="EGX222" s="38"/>
      <c r="EGY222" s="39"/>
      <c r="EGZ222" s="34"/>
      <c r="EHA222" s="34"/>
      <c r="EHB222" s="34"/>
      <c r="EHC222" s="35"/>
      <c r="EHD222" s="35"/>
      <c r="EHE222" s="35"/>
      <c r="EHF222" s="35"/>
      <c r="EHG222" s="35"/>
      <c r="EHH222" s="34"/>
      <c r="EHI222" s="34"/>
      <c r="EHJ222" s="36"/>
      <c r="EHK222" s="36"/>
      <c r="EHL222" s="37"/>
      <c r="EHM222" s="37"/>
      <c r="EHN222" s="38"/>
      <c r="EHO222" s="38"/>
      <c r="EHP222" s="39"/>
      <c r="EHQ222" s="34"/>
      <c r="EHR222" s="34"/>
      <c r="EHS222" s="34"/>
      <c r="EHT222" s="35"/>
      <c r="EHU222" s="35"/>
      <c r="EHV222" s="35"/>
      <c r="EHW222" s="35"/>
      <c r="EHX222" s="35"/>
      <c r="EHY222" s="34"/>
      <c r="EHZ222" s="34"/>
      <c r="EIA222" s="36"/>
      <c r="EIB222" s="36"/>
      <c r="EIC222" s="37"/>
      <c r="EID222" s="37"/>
      <c r="EIE222" s="38"/>
      <c r="EIF222" s="38"/>
      <c r="EIG222" s="39"/>
      <c r="EIH222" s="34"/>
      <c r="EII222" s="34"/>
      <c r="EIJ222" s="34"/>
      <c r="EIK222" s="35"/>
      <c r="EIL222" s="35"/>
      <c r="EIM222" s="35"/>
      <c r="EIN222" s="35"/>
      <c r="EIO222" s="35"/>
      <c r="EIP222" s="34"/>
      <c r="EIQ222" s="34"/>
      <c r="EIR222" s="36"/>
      <c r="EIS222" s="36"/>
      <c r="EIT222" s="37"/>
      <c r="EIU222" s="37"/>
      <c r="EIV222" s="38"/>
      <c r="EIW222" s="38"/>
      <c r="EIX222" s="39"/>
      <c r="EIY222" s="34"/>
      <c r="EIZ222" s="34"/>
      <c r="EJA222" s="34"/>
      <c r="EJB222" s="35"/>
      <c r="EJC222" s="35"/>
      <c r="EJD222" s="35"/>
      <c r="EJE222" s="35"/>
      <c r="EJF222" s="35"/>
      <c r="EJG222" s="34"/>
      <c r="EJH222" s="34"/>
      <c r="EJI222" s="36"/>
      <c r="EJJ222" s="36"/>
      <c r="EJK222" s="37"/>
      <c r="EJL222" s="37"/>
      <c r="EJM222" s="38"/>
      <c r="EJN222" s="38"/>
      <c r="EJO222" s="39"/>
      <c r="EJP222" s="34"/>
      <c r="EJQ222" s="34"/>
      <c r="EJR222" s="34"/>
      <c r="EJS222" s="35"/>
      <c r="EJT222" s="35"/>
      <c r="EJU222" s="35"/>
      <c r="EJV222" s="35"/>
      <c r="EJW222" s="35"/>
      <c r="EJX222" s="34"/>
      <c r="EJY222" s="34"/>
      <c r="EJZ222" s="36"/>
      <c r="EKA222" s="36"/>
      <c r="EKB222" s="37"/>
      <c r="EKC222" s="37"/>
      <c r="EKD222" s="38"/>
      <c r="EKE222" s="38"/>
      <c r="EKF222" s="39"/>
      <c r="EKG222" s="34"/>
      <c r="EKH222" s="34"/>
      <c r="EKI222" s="34"/>
      <c r="EKJ222" s="35"/>
      <c r="EKK222" s="35"/>
      <c r="EKL222" s="35"/>
      <c r="EKM222" s="35"/>
      <c r="EKN222" s="35"/>
      <c r="EKO222" s="34"/>
      <c r="EKP222" s="34"/>
      <c r="EKQ222" s="36"/>
      <c r="EKR222" s="36"/>
      <c r="EKS222" s="37"/>
      <c r="EKT222" s="37"/>
      <c r="EKU222" s="38"/>
      <c r="EKV222" s="38"/>
      <c r="EKW222" s="39"/>
      <c r="EKX222" s="34"/>
      <c r="EKY222" s="34"/>
      <c r="EKZ222" s="34"/>
      <c r="ELA222" s="35"/>
      <c r="ELB222" s="35"/>
      <c r="ELC222" s="35"/>
      <c r="ELD222" s="35"/>
      <c r="ELE222" s="35"/>
      <c r="ELF222" s="34"/>
      <c r="ELG222" s="34"/>
      <c r="ELH222" s="36"/>
      <c r="ELI222" s="36"/>
      <c r="ELJ222" s="37"/>
      <c r="ELK222" s="37"/>
      <c r="ELL222" s="38"/>
      <c r="ELM222" s="38"/>
      <c r="ELN222" s="39"/>
      <c r="ELO222" s="34"/>
      <c r="ELP222" s="34"/>
      <c r="ELQ222" s="34"/>
      <c r="ELR222" s="35"/>
      <c r="ELS222" s="35"/>
      <c r="ELT222" s="35"/>
      <c r="ELU222" s="35"/>
      <c r="ELV222" s="35"/>
      <c r="ELW222" s="34"/>
      <c r="ELX222" s="34"/>
      <c r="ELY222" s="36"/>
      <c r="ELZ222" s="36"/>
      <c r="EMA222" s="37"/>
      <c r="EMB222" s="37"/>
      <c r="EMC222" s="38"/>
      <c r="EMD222" s="38"/>
      <c r="EME222" s="39"/>
      <c r="EMF222" s="34"/>
      <c r="EMG222" s="34"/>
      <c r="EMH222" s="34"/>
      <c r="EMI222" s="35"/>
      <c r="EMJ222" s="35"/>
      <c r="EMK222" s="35"/>
      <c r="EML222" s="35"/>
      <c r="EMM222" s="35"/>
      <c r="EMN222" s="34"/>
      <c r="EMO222" s="34"/>
      <c r="EMP222" s="36"/>
      <c r="EMQ222" s="36"/>
      <c r="EMR222" s="37"/>
      <c r="EMS222" s="37"/>
      <c r="EMT222" s="38"/>
      <c r="EMU222" s="38"/>
      <c r="EMV222" s="39"/>
      <c r="EMW222" s="34"/>
      <c r="EMX222" s="34"/>
      <c r="EMY222" s="34"/>
      <c r="EMZ222" s="35"/>
      <c r="ENA222" s="35"/>
      <c r="ENB222" s="35"/>
      <c r="ENC222" s="35"/>
      <c r="END222" s="35"/>
      <c r="ENE222" s="34"/>
      <c r="ENF222" s="34"/>
      <c r="ENG222" s="36"/>
      <c r="ENH222" s="36"/>
      <c r="ENI222" s="37"/>
      <c r="ENJ222" s="37"/>
      <c r="ENK222" s="38"/>
      <c r="ENL222" s="38"/>
      <c r="ENM222" s="39"/>
      <c r="ENN222" s="34"/>
      <c r="ENO222" s="34"/>
      <c r="ENP222" s="34"/>
      <c r="ENQ222" s="35"/>
      <c r="ENR222" s="35"/>
      <c r="ENS222" s="35"/>
      <c r="ENT222" s="35"/>
      <c r="ENU222" s="35"/>
      <c r="ENV222" s="34"/>
      <c r="ENW222" s="34"/>
      <c r="ENX222" s="36"/>
      <c r="ENY222" s="36"/>
      <c r="ENZ222" s="37"/>
      <c r="EOA222" s="37"/>
      <c r="EOB222" s="38"/>
      <c r="EOC222" s="38"/>
      <c r="EOD222" s="39"/>
      <c r="EOE222" s="34"/>
      <c r="EOF222" s="34"/>
      <c r="EOG222" s="34"/>
      <c r="EOH222" s="35"/>
      <c r="EOI222" s="35"/>
      <c r="EOJ222" s="35"/>
      <c r="EOK222" s="35"/>
      <c r="EOL222" s="35"/>
      <c r="EOM222" s="34"/>
      <c r="EON222" s="34"/>
      <c r="EOO222" s="36"/>
      <c r="EOP222" s="36"/>
      <c r="EOQ222" s="37"/>
      <c r="EOR222" s="37"/>
      <c r="EOS222" s="38"/>
      <c r="EOT222" s="38"/>
      <c r="EOU222" s="39"/>
      <c r="EOV222" s="34"/>
      <c r="EOW222" s="34"/>
      <c r="EOX222" s="34"/>
      <c r="EOY222" s="35"/>
      <c r="EOZ222" s="35"/>
      <c r="EPA222" s="35"/>
      <c r="EPB222" s="35"/>
      <c r="EPC222" s="35"/>
      <c r="EPD222" s="34"/>
      <c r="EPE222" s="34"/>
      <c r="EPF222" s="36"/>
      <c r="EPG222" s="36"/>
      <c r="EPH222" s="37"/>
      <c r="EPI222" s="37"/>
      <c r="EPJ222" s="38"/>
      <c r="EPK222" s="38"/>
      <c r="EPL222" s="39"/>
      <c r="EPM222" s="34"/>
      <c r="EPN222" s="34"/>
      <c r="EPO222" s="34"/>
      <c r="EPP222" s="35"/>
      <c r="EPQ222" s="35"/>
      <c r="EPR222" s="35"/>
      <c r="EPS222" s="35"/>
      <c r="EPT222" s="35"/>
      <c r="EPU222" s="34"/>
      <c r="EPV222" s="34"/>
      <c r="EPW222" s="36"/>
      <c r="EPX222" s="36"/>
      <c r="EPY222" s="37"/>
      <c r="EPZ222" s="37"/>
      <c r="EQA222" s="38"/>
      <c r="EQB222" s="38"/>
      <c r="EQC222" s="39"/>
      <c r="EQD222" s="34"/>
      <c r="EQE222" s="34"/>
      <c r="EQF222" s="34"/>
      <c r="EQG222" s="35"/>
      <c r="EQH222" s="35"/>
      <c r="EQI222" s="35"/>
      <c r="EQJ222" s="35"/>
      <c r="EQK222" s="35"/>
      <c r="EQL222" s="34"/>
      <c r="EQM222" s="34"/>
      <c r="EQN222" s="36"/>
      <c r="EQO222" s="36"/>
      <c r="EQP222" s="37"/>
      <c r="EQQ222" s="37"/>
      <c r="EQR222" s="38"/>
      <c r="EQS222" s="38"/>
      <c r="EQT222" s="39"/>
      <c r="EQU222" s="34"/>
      <c r="EQV222" s="34"/>
      <c r="EQW222" s="34"/>
      <c r="EQX222" s="35"/>
      <c r="EQY222" s="35"/>
      <c r="EQZ222" s="35"/>
      <c r="ERA222" s="35"/>
      <c r="ERB222" s="35"/>
      <c r="ERC222" s="34"/>
      <c r="ERD222" s="34"/>
      <c r="ERE222" s="36"/>
      <c r="ERF222" s="36"/>
      <c r="ERG222" s="37"/>
      <c r="ERH222" s="37"/>
      <c r="ERI222" s="38"/>
      <c r="ERJ222" s="38"/>
      <c r="ERK222" s="39"/>
      <c r="ERL222" s="34"/>
      <c r="ERM222" s="34"/>
      <c r="ERN222" s="34"/>
      <c r="ERO222" s="35"/>
      <c r="ERP222" s="35"/>
      <c r="ERQ222" s="35"/>
      <c r="ERR222" s="35"/>
      <c r="ERS222" s="35"/>
      <c r="ERT222" s="34"/>
      <c r="ERU222" s="34"/>
      <c r="ERV222" s="36"/>
      <c r="ERW222" s="36"/>
      <c r="ERX222" s="37"/>
      <c r="ERY222" s="37"/>
      <c r="ERZ222" s="38"/>
      <c r="ESA222" s="38"/>
      <c r="ESB222" s="39"/>
      <c r="ESC222" s="34"/>
      <c r="ESD222" s="34"/>
      <c r="ESE222" s="34"/>
      <c r="ESF222" s="35"/>
      <c r="ESG222" s="35"/>
      <c r="ESH222" s="35"/>
      <c r="ESI222" s="35"/>
      <c r="ESJ222" s="35"/>
      <c r="ESK222" s="34"/>
      <c r="ESL222" s="34"/>
      <c r="ESM222" s="36"/>
      <c r="ESN222" s="36"/>
      <c r="ESO222" s="37"/>
      <c r="ESP222" s="37"/>
      <c r="ESQ222" s="38"/>
      <c r="ESR222" s="38"/>
      <c r="ESS222" s="39"/>
      <c r="EST222" s="34"/>
      <c r="ESU222" s="34"/>
      <c r="ESV222" s="34"/>
      <c r="ESW222" s="35"/>
      <c r="ESX222" s="35"/>
      <c r="ESY222" s="35"/>
      <c r="ESZ222" s="35"/>
      <c r="ETA222" s="35"/>
      <c r="ETB222" s="34"/>
      <c r="ETC222" s="34"/>
      <c r="ETD222" s="36"/>
      <c r="ETE222" s="36"/>
      <c r="ETF222" s="37"/>
      <c r="ETG222" s="37"/>
      <c r="ETH222" s="38"/>
      <c r="ETI222" s="38"/>
      <c r="ETJ222" s="39"/>
      <c r="ETK222" s="34"/>
      <c r="ETL222" s="34"/>
      <c r="ETM222" s="34"/>
      <c r="ETN222" s="35"/>
      <c r="ETO222" s="35"/>
      <c r="ETP222" s="35"/>
      <c r="ETQ222" s="35"/>
      <c r="ETR222" s="35"/>
      <c r="ETS222" s="34"/>
      <c r="ETT222" s="34"/>
      <c r="ETU222" s="36"/>
      <c r="ETV222" s="36"/>
      <c r="ETW222" s="37"/>
      <c r="ETX222" s="37"/>
      <c r="ETY222" s="38"/>
      <c r="ETZ222" s="38"/>
      <c r="EUA222" s="39"/>
      <c r="EUB222" s="34"/>
      <c r="EUC222" s="34"/>
      <c r="EUD222" s="34"/>
      <c r="EUE222" s="35"/>
      <c r="EUF222" s="35"/>
      <c r="EUG222" s="35"/>
      <c r="EUH222" s="35"/>
      <c r="EUI222" s="35"/>
      <c r="EUJ222" s="34"/>
      <c r="EUK222" s="34"/>
      <c r="EUL222" s="36"/>
      <c r="EUM222" s="36"/>
      <c r="EUN222" s="37"/>
      <c r="EUO222" s="37"/>
      <c r="EUP222" s="38"/>
      <c r="EUQ222" s="38"/>
      <c r="EUR222" s="39"/>
      <c r="EUS222" s="34"/>
      <c r="EUT222" s="34"/>
      <c r="EUU222" s="34"/>
      <c r="EUV222" s="35"/>
      <c r="EUW222" s="35"/>
      <c r="EUX222" s="35"/>
      <c r="EUY222" s="35"/>
      <c r="EUZ222" s="35"/>
      <c r="EVA222" s="34"/>
      <c r="EVB222" s="34"/>
      <c r="EVC222" s="36"/>
      <c r="EVD222" s="36"/>
      <c r="EVE222" s="37"/>
      <c r="EVF222" s="37"/>
      <c r="EVG222" s="38"/>
      <c r="EVH222" s="38"/>
      <c r="EVI222" s="39"/>
      <c r="EVJ222" s="34"/>
      <c r="EVK222" s="34"/>
      <c r="EVL222" s="34"/>
      <c r="EVM222" s="35"/>
      <c r="EVN222" s="35"/>
      <c r="EVO222" s="35"/>
      <c r="EVP222" s="35"/>
      <c r="EVQ222" s="35"/>
      <c r="EVR222" s="34"/>
      <c r="EVS222" s="34"/>
      <c r="EVT222" s="36"/>
      <c r="EVU222" s="36"/>
      <c r="EVV222" s="37"/>
      <c r="EVW222" s="37"/>
      <c r="EVX222" s="38"/>
      <c r="EVY222" s="38"/>
      <c r="EVZ222" s="39"/>
      <c r="EWA222" s="34"/>
      <c r="EWB222" s="34"/>
      <c r="EWC222" s="34"/>
      <c r="EWD222" s="35"/>
      <c r="EWE222" s="35"/>
      <c r="EWF222" s="35"/>
      <c r="EWG222" s="35"/>
      <c r="EWH222" s="35"/>
      <c r="EWI222" s="34"/>
      <c r="EWJ222" s="34"/>
      <c r="EWK222" s="36"/>
      <c r="EWL222" s="36"/>
      <c r="EWM222" s="37"/>
      <c r="EWN222" s="37"/>
      <c r="EWO222" s="38"/>
      <c r="EWP222" s="38"/>
      <c r="EWQ222" s="39"/>
      <c r="EWR222" s="34"/>
      <c r="EWS222" s="34"/>
      <c r="EWT222" s="34"/>
      <c r="EWU222" s="35"/>
      <c r="EWV222" s="35"/>
      <c r="EWW222" s="35"/>
      <c r="EWX222" s="35"/>
      <c r="EWY222" s="35"/>
      <c r="EWZ222" s="34"/>
      <c r="EXA222" s="34"/>
      <c r="EXB222" s="36"/>
      <c r="EXC222" s="36"/>
      <c r="EXD222" s="37"/>
      <c r="EXE222" s="37"/>
      <c r="EXF222" s="38"/>
      <c r="EXG222" s="38"/>
      <c r="EXH222" s="39"/>
      <c r="EXI222" s="34"/>
      <c r="EXJ222" s="34"/>
      <c r="EXK222" s="34"/>
      <c r="EXL222" s="35"/>
      <c r="EXM222" s="35"/>
      <c r="EXN222" s="35"/>
      <c r="EXO222" s="35"/>
      <c r="EXP222" s="35"/>
      <c r="EXQ222" s="34"/>
      <c r="EXR222" s="34"/>
      <c r="EXS222" s="36"/>
      <c r="EXT222" s="36"/>
      <c r="EXU222" s="37"/>
      <c r="EXV222" s="37"/>
      <c r="EXW222" s="38"/>
      <c r="EXX222" s="38"/>
      <c r="EXY222" s="39"/>
      <c r="EXZ222" s="34"/>
      <c r="EYA222" s="34"/>
      <c r="EYB222" s="34"/>
      <c r="EYC222" s="35"/>
      <c r="EYD222" s="35"/>
      <c r="EYE222" s="35"/>
      <c r="EYF222" s="35"/>
      <c r="EYG222" s="35"/>
      <c r="EYH222" s="34"/>
      <c r="EYI222" s="34"/>
      <c r="EYJ222" s="36"/>
      <c r="EYK222" s="36"/>
      <c r="EYL222" s="37"/>
      <c r="EYM222" s="37"/>
      <c r="EYN222" s="38"/>
      <c r="EYO222" s="38"/>
      <c r="EYP222" s="39"/>
      <c r="EYQ222" s="34"/>
      <c r="EYR222" s="34"/>
      <c r="EYS222" s="34"/>
      <c r="EYT222" s="35"/>
      <c r="EYU222" s="35"/>
      <c r="EYV222" s="35"/>
      <c r="EYW222" s="35"/>
      <c r="EYX222" s="35"/>
      <c r="EYY222" s="34"/>
      <c r="EYZ222" s="34"/>
      <c r="EZA222" s="36"/>
      <c r="EZB222" s="36"/>
      <c r="EZC222" s="37"/>
      <c r="EZD222" s="37"/>
      <c r="EZE222" s="38"/>
      <c r="EZF222" s="38"/>
      <c r="EZG222" s="39"/>
      <c r="EZH222" s="34"/>
      <c r="EZI222" s="34"/>
      <c r="EZJ222" s="34"/>
      <c r="EZK222" s="35"/>
      <c r="EZL222" s="35"/>
      <c r="EZM222" s="35"/>
      <c r="EZN222" s="35"/>
      <c r="EZO222" s="35"/>
      <c r="EZP222" s="34"/>
      <c r="EZQ222" s="34"/>
      <c r="EZR222" s="36"/>
      <c r="EZS222" s="36"/>
      <c r="EZT222" s="37"/>
      <c r="EZU222" s="37"/>
      <c r="EZV222" s="38"/>
      <c r="EZW222" s="38"/>
      <c r="EZX222" s="39"/>
      <c r="EZY222" s="34"/>
      <c r="EZZ222" s="34"/>
      <c r="FAA222" s="34"/>
      <c r="FAB222" s="35"/>
      <c r="FAC222" s="35"/>
      <c r="FAD222" s="35"/>
      <c r="FAE222" s="35"/>
      <c r="FAF222" s="35"/>
      <c r="FAG222" s="34"/>
      <c r="FAH222" s="34"/>
      <c r="FAI222" s="36"/>
      <c r="FAJ222" s="36"/>
      <c r="FAK222" s="37"/>
      <c r="FAL222" s="37"/>
      <c r="FAM222" s="38"/>
      <c r="FAN222" s="38"/>
      <c r="FAO222" s="39"/>
      <c r="FAP222" s="34"/>
      <c r="FAQ222" s="34"/>
      <c r="FAR222" s="34"/>
      <c r="FAS222" s="35"/>
      <c r="FAT222" s="35"/>
      <c r="FAU222" s="35"/>
      <c r="FAV222" s="35"/>
      <c r="FAW222" s="35"/>
      <c r="FAX222" s="34"/>
      <c r="FAY222" s="34"/>
      <c r="FAZ222" s="36"/>
      <c r="FBA222" s="36"/>
      <c r="FBB222" s="37"/>
      <c r="FBC222" s="37"/>
      <c r="FBD222" s="38"/>
      <c r="FBE222" s="38"/>
      <c r="FBF222" s="39"/>
      <c r="FBG222" s="34"/>
      <c r="FBH222" s="34"/>
      <c r="FBI222" s="34"/>
      <c r="FBJ222" s="35"/>
      <c r="FBK222" s="35"/>
      <c r="FBL222" s="35"/>
      <c r="FBM222" s="35"/>
      <c r="FBN222" s="35"/>
      <c r="FBO222" s="34"/>
      <c r="FBP222" s="34"/>
      <c r="FBQ222" s="36"/>
      <c r="FBR222" s="36"/>
      <c r="FBS222" s="37"/>
      <c r="FBT222" s="37"/>
      <c r="FBU222" s="38"/>
      <c r="FBV222" s="38"/>
      <c r="FBW222" s="39"/>
      <c r="FBX222" s="34"/>
      <c r="FBY222" s="34"/>
      <c r="FBZ222" s="34"/>
      <c r="FCA222" s="35"/>
      <c r="FCB222" s="35"/>
      <c r="FCC222" s="35"/>
      <c r="FCD222" s="35"/>
      <c r="FCE222" s="35"/>
      <c r="FCF222" s="34"/>
      <c r="FCG222" s="34"/>
      <c r="FCH222" s="36"/>
      <c r="FCI222" s="36"/>
      <c r="FCJ222" s="37"/>
      <c r="FCK222" s="37"/>
      <c r="FCL222" s="38"/>
      <c r="FCM222" s="38"/>
      <c r="FCN222" s="39"/>
      <c r="FCO222" s="34"/>
      <c r="FCP222" s="34"/>
      <c r="FCQ222" s="34"/>
      <c r="FCR222" s="35"/>
      <c r="FCS222" s="35"/>
      <c r="FCT222" s="35"/>
      <c r="FCU222" s="35"/>
      <c r="FCV222" s="35"/>
      <c r="FCW222" s="34"/>
      <c r="FCX222" s="34"/>
      <c r="FCY222" s="36"/>
      <c r="FCZ222" s="36"/>
      <c r="FDA222" s="37"/>
      <c r="FDB222" s="37"/>
      <c r="FDC222" s="38"/>
      <c r="FDD222" s="38"/>
      <c r="FDE222" s="39"/>
      <c r="FDF222" s="34"/>
      <c r="FDG222" s="34"/>
      <c r="FDH222" s="34"/>
      <c r="FDI222" s="35"/>
      <c r="FDJ222" s="35"/>
      <c r="FDK222" s="35"/>
      <c r="FDL222" s="35"/>
      <c r="FDM222" s="35"/>
      <c r="FDN222" s="34"/>
      <c r="FDO222" s="34"/>
      <c r="FDP222" s="36"/>
      <c r="FDQ222" s="36"/>
      <c r="FDR222" s="37"/>
      <c r="FDS222" s="37"/>
      <c r="FDT222" s="38"/>
      <c r="FDU222" s="38"/>
      <c r="FDV222" s="39"/>
      <c r="FDW222" s="34"/>
      <c r="FDX222" s="34"/>
      <c r="FDY222" s="34"/>
      <c r="FDZ222" s="35"/>
      <c r="FEA222" s="35"/>
      <c r="FEB222" s="35"/>
      <c r="FEC222" s="35"/>
      <c r="FED222" s="35"/>
      <c r="FEE222" s="34"/>
      <c r="FEF222" s="34"/>
      <c r="FEG222" s="36"/>
      <c r="FEH222" s="36"/>
      <c r="FEI222" s="37"/>
      <c r="FEJ222" s="37"/>
      <c r="FEK222" s="38"/>
      <c r="FEL222" s="38"/>
      <c r="FEM222" s="39"/>
      <c r="FEN222" s="34"/>
      <c r="FEO222" s="34"/>
      <c r="FEP222" s="34"/>
      <c r="FEQ222" s="35"/>
      <c r="FER222" s="35"/>
      <c r="FES222" s="35"/>
      <c r="FET222" s="35"/>
      <c r="FEU222" s="35"/>
      <c r="FEV222" s="34"/>
      <c r="FEW222" s="34"/>
      <c r="FEX222" s="36"/>
      <c r="FEY222" s="36"/>
      <c r="FEZ222" s="37"/>
      <c r="FFA222" s="37"/>
      <c r="FFB222" s="38"/>
      <c r="FFC222" s="38"/>
      <c r="FFD222" s="39"/>
      <c r="FFE222" s="34"/>
      <c r="FFF222" s="34"/>
      <c r="FFG222" s="34"/>
      <c r="FFH222" s="35"/>
      <c r="FFI222" s="35"/>
      <c r="FFJ222" s="35"/>
      <c r="FFK222" s="35"/>
      <c r="FFL222" s="35"/>
      <c r="FFM222" s="34"/>
      <c r="FFN222" s="34"/>
      <c r="FFO222" s="36"/>
      <c r="FFP222" s="36"/>
      <c r="FFQ222" s="37"/>
      <c r="FFR222" s="37"/>
      <c r="FFS222" s="38"/>
      <c r="FFT222" s="38"/>
      <c r="FFU222" s="39"/>
      <c r="FFV222" s="34"/>
      <c r="FFW222" s="34"/>
      <c r="FFX222" s="34"/>
      <c r="FFY222" s="35"/>
      <c r="FFZ222" s="35"/>
      <c r="FGA222" s="35"/>
      <c r="FGB222" s="35"/>
      <c r="FGC222" s="35"/>
      <c r="FGD222" s="34"/>
      <c r="FGE222" s="34"/>
      <c r="FGF222" s="36"/>
      <c r="FGG222" s="36"/>
      <c r="FGH222" s="37"/>
      <c r="FGI222" s="37"/>
      <c r="FGJ222" s="38"/>
      <c r="FGK222" s="38"/>
      <c r="FGL222" s="39"/>
      <c r="FGM222" s="34"/>
      <c r="FGN222" s="34"/>
      <c r="FGO222" s="34"/>
      <c r="FGP222" s="35"/>
      <c r="FGQ222" s="35"/>
      <c r="FGR222" s="35"/>
      <c r="FGS222" s="35"/>
      <c r="FGT222" s="35"/>
      <c r="FGU222" s="34"/>
      <c r="FGV222" s="34"/>
      <c r="FGW222" s="36"/>
      <c r="FGX222" s="36"/>
      <c r="FGY222" s="37"/>
      <c r="FGZ222" s="37"/>
      <c r="FHA222" s="38"/>
      <c r="FHB222" s="38"/>
      <c r="FHC222" s="39"/>
      <c r="FHD222" s="34"/>
      <c r="FHE222" s="34"/>
      <c r="FHF222" s="34"/>
      <c r="FHG222" s="35"/>
      <c r="FHH222" s="35"/>
      <c r="FHI222" s="35"/>
      <c r="FHJ222" s="35"/>
      <c r="FHK222" s="35"/>
      <c r="FHL222" s="34"/>
      <c r="FHM222" s="34"/>
      <c r="FHN222" s="36"/>
      <c r="FHO222" s="36"/>
      <c r="FHP222" s="37"/>
      <c r="FHQ222" s="37"/>
      <c r="FHR222" s="38"/>
      <c r="FHS222" s="38"/>
      <c r="FHT222" s="39"/>
      <c r="FHU222" s="34"/>
      <c r="FHV222" s="34"/>
      <c r="FHW222" s="34"/>
      <c r="FHX222" s="35"/>
      <c r="FHY222" s="35"/>
      <c r="FHZ222" s="35"/>
      <c r="FIA222" s="35"/>
      <c r="FIB222" s="35"/>
      <c r="FIC222" s="34"/>
      <c r="FID222" s="34"/>
      <c r="FIE222" s="36"/>
      <c r="FIF222" s="36"/>
      <c r="FIG222" s="37"/>
      <c r="FIH222" s="37"/>
      <c r="FII222" s="38"/>
      <c r="FIJ222" s="38"/>
      <c r="FIK222" s="39"/>
      <c r="FIL222" s="34"/>
      <c r="FIM222" s="34"/>
      <c r="FIN222" s="34"/>
      <c r="FIO222" s="35"/>
      <c r="FIP222" s="35"/>
      <c r="FIQ222" s="35"/>
      <c r="FIR222" s="35"/>
      <c r="FIS222" s="35"/>
      <c r="FIT222" s="34"/>
      <c r="FIU222" s="34"/>
      <c r="FIV222" s="36"/>
      <c r="FIW222" s="36"/>
      <c r="FIX222" s="37"/>
      <c r="FIY222" s="37"/>
      <c r="FIZ222" s="38"/>
      <c r="FJA222" s="38"/>
      <c r="FJB222" s="39"/>
      <c r="FJC222" s="34"/>
      <c r="FJD222" s="34"/>
      <c r="FJE222" s="34"/>
      <c r="FJF222" s="35"/>
      <c r="FJG222" s="35"/>
      <c r="FJH222" s="35"/>
      <c r="FJI222" s="35"/>
      <c r="FJJ222" s="35"/>
      <c r="FJK222" s="34"/>
      <c r="FJL222" s="34"/>
      <c r="FJM222" s="36"/>
      <c r="FJN222" s="36"/>
      <c r="FJO222" s="37"/>
      <c r="FJP222" s="37"/>
      <c r="FJQ222" s="38"/>
      <c r="FJR222" s="38"/>
      <c r="FJS222" s="39"/>
      <c r="FJT222" s="34"/>
      <c r="FJU222" s="34"/>
      <c r="FJV222" s="34"/>
      <c r="FJW222" s="35"/>
      <c r="FJX222" s="35"/>
      <c r="FJY222" s="35"/>
      <c r="FJZ222" s="35"/>
      <c r="FKA222" s="35"/>
      <c r="FKB222" s="34"/>
      <c r="FKC222" s="34"/>
      <c r="FKD222" s="36"/>
      <c r="FKE222" s="36"/>
      <c r="FKF222" s="37"/>
      <c r="FKG222" s="37"/>
      <c r="FKH222" s="38"/>
      <c r="FKI222" s="38"/>
      <c r="FKJ222" s="39"/>
      <c r="FKK222" s="34"/>
      <c r="FKL222" s="34"/>
      <c r="FKM222" s="34"/>
      <c r="FKN222" s="35"/>
      <c r="FKO222" s="35"/>
      <c r="FKP222" s="35"/>
      <c r="FKQ222" s="35"/>
      <c r="FKR222" s="35"/>
      <c r="FKS222" s="34"/>
      <c r="FKT222" s="34"/>
      <c r="FKU222" s="36"/>
      <c r="FKV222" s="36"/>
      <c r="FKW222" s="37"/>
      <c r="FKX222" s="37"/>
      <c r="FKY222" s="38"/>
      <c r="FKZ222" s="38"/>
      <c r="FLA222" s="39"/>
      <c r="FLB222" s="34"/>
      <c r="FLC222" s="34"/>
      <c r="FLD222" s="34"/>
      <c r="FLE222" s="35"/>
      <c r="FLF222" s="35"/>
      <c r="FLG222" s="35"/>
      <c r="FLH222" s="35"/>
      <c r="FLI222" s="35"/>
      <c r="FLJ222" s="34"/>
      <c r="FLK222" s="34"/>
      <c r="FLL222" s="36"/>
      <c r="FLM222" s="36"/>
      <c r="FLN222" s="37"/>
      <c r="FLO222" s="37"/>
      <c r="FLP222" s="38"/>
      <c r="FLQ222" s="38"/>
      <c r="FLR222" s="39"/>
      <c r="FLS222" s="34"/>
      <c r="FLT222" s="34"/>
      <c r="FLU222" s="34"/>
      <c r="FLV222" s="35"/>
      <c r="FLW222" s="35"/>
      <c r="FLX222" s="35"/>
      <c r="FLY222" s="35"/>
      <c r="FLZ222" s="35"/>
      <c r="FMA222" s="34"/>
      <c r="FMB222" s="34"/>
      <c r="FMC222" s="36"/>
      <c r="FMD222" s="36"/>
      <c r="FME222" s="37"/>
      <c r="FMF222" s="37"/>
      <c r="FMG222" s="38"/>
      <c r="FMH222" s="38"/>
      <c r="FMI222" s="39"/>
      <c r="FMJ222" s="34"/>
      <c r="FMK222" s="34"/>
      <c r="FML222" s="34"/>
      <c r="FMM222" s="35"/>
      <c r="FMN222" s="35"/>
      <c r="FMO222" s="35"/>
      <c r="FMP222" s="35"/>
      <c r="FMQ222" s="35"/>
      <c r="FMR222" s="34"/>
      <c r="FMS222" s="34"/>
      <c r="FMT222" s="36"/>
      <c r="FMU222" s="36"/>
      <c r="FMV222" s="37"/>
      <c r="FMW222" s="37"/>
      <c r="FMX222" s="38"/>
      <c r="FMY222" s="38"/>
      <c r="FMZ222" s="39"/>
      <c r="FNA222" s="34"/>
      <c r="FNB222" s="34"/>
      <c r="FNC222" s="34"/>
      <c r="FND222" s="35"/>
      <c r="FNE222" s="35"/>
      <c r="FNF222" s="35"/>
      <c r="FNG222" s="35"/>
      <c r="FNH222" s="35"/>
      <c r="FNI222" s="34"/>
      <c r="FNJ222" s="34"/>
      <c r="FNK222" s="36"/>
      <c r="FNL222" s="36"/>
      <c r="FNM222" s="37"/>
      <c r="FNN222" s="37"/>
      <c r="FNO222" s="38"/>
      <c r="FNP222" s="38"/>
      <c r="FNQ222" s="39"/>
      <c r="FNR222" s="34"/>
      <c r="FNS222" s="34"/>
      <c r="FNT222" s="34"/>
      <c r="FNU222" s="35"/>
      <c r="FNV222" s="35"/>
      <c r="FNW222" s="35"/>
      <c r="FNX222" s="35"/>
      <c r="FNY222" s="35"/>
      <c r="FNZ222" s="34"/>
      <c r="FOA222" s="34"/>
      <c r="FOB222" s="36"/>
      <c r="FOC222" s="36"/>
      <c r="FOD222" s="37"/>
      <c r="FOE222" s="37"/>
      <c r="FOF222" s="38"/>
      <c r="FOG222" s="38"/>
      <c r="FOH222" s="39"/>
      <c r="FOI222" s="34"/>
      <c r="FOJ222" s="34"/>
      <c r="FOK222" s="34"/>
      <c r="FOL222" s="35"/>
      <c r="FOM222" s="35"/>
      <c r="FON222" s="35"/>
      <c r="FOO222" s="35"/>
      <c r="FOP222" s="35"/>
      <c r="FOQ222" s="34"/>
      <c r="FOR222" s="34"/>
      <c r="FOS222" s="36"/>
      <c r="FOT222" s="36"/>
      <c r="FOU222" s="37"/>
      <c r="FOV222" s="37"/>
      <c r="FOW222" s="38"/>
      <c r="FOX222" s="38"/>
      <c r="FOY222" s="39"/>
      <c r="FOZ222" s="34"/>
      <c r="FPA222" s="34"/>
      <c r="FPB222" s="34"/>
      <c r="FPC222" s="35"/>
      <c r="FPD222" s="35"/>
      <c r="FPE222" s="35"/>
      <c r="FPF222" s="35"/>
      <c r="FPG222" s="35"/>
      <c r="FPH222" s="34"/>
      <c r="FPI222" s="34"/>
      <c r="FPJ222" s="36"/>
      <c r="FPK222" s="36"/>
      <c r="FPL222" s="37"/>
      <c r="FPM222" s="37"/>
      <c r="FPN222" s="38"/>
      <c r="FPO222" s="38"/>
      <c r="FPP222" s="39"/>
      <c r="FPQ222" s="34"/>
      <c r="FPR222" s="34"/>
      <c r="FPS222" s="34"/>
      <c r="FPT222" s="35"/>
      <c r="FPU222" s="35"/>
      <c r="FPV222" s="35"/>
      <c r="FPW222" s="35"/>
      <c r="FPX222" s="35"/>
      <c r="FPY222" s="34"/>
      <c r="FPZ222" s="34"/>
      <c r="FQA222" s="36"/>
      <c r="FQB222" s="36"/>
      <c r="FQC222" s="37"/>
      <c r="FQD222" s="37"/>
      <c r="FQE222" s="38"/>
      <c r="FQF222" s="38"/>
      <c r="FQG222" s="39"/>
      <c r="FQH222" s="34"/>
      <c r="FQI222" s="34"/>
      <c r="FQJ222" s="34"/>
      <c r="FQK222" s="35"/>
      <c r="FQL222" s="35"/>
      <c r="FQM222" s="35"/>
      <c r="FQN222" s="35"/>
      <c r="FQO222" s="35"/>
      <c r="FQP222" s="34"/>
      <c r="FQQ222" s="34"/>
      <c r="FQR222" s="36"/>
      <c r="FQS222" s="36"/>
      <c r="FQT222" s="37"/>
      <c r="FQU222" s="37"/>
      <c r="FQV222" s="38"/>
      <c r="FQW222" s="38"/>
      <c r="FQX222" s="39"/>
      <c r="FQY222" s="34"/>
      <c r="FQZ222" s="34"/>
      <c r="FRA222" s="34"/>
      <c r="FRB222" s="35"/>
      <c r="FRC222" s="35"/>
      <c r="FRD222" s="35"/>
      <c r="FRE222" s="35"/>
      <c r="FRF222" s="35"/>
      <c r="FRG222" s="34"/>
      <c r="FRH222" s="34"/>
      <c r="FRI222" s="36"/>
      <c r="FRJ222" s="36"/>
      <c r="FRK222" s="37"/>
      <c r="FRL222" s="37"/>
      <c r="FRM222" s="38"/>
      <c r="FRN222" s="38"/>
      <c r="FRO222" s="39"/>
      <c r="FRP222" s="34"/>
      <c r="FRQ222" s="34"/>
      <c r="FRR222" s="34"/>
      <c r="FRS222" s="35"/>
      <c r="FRT222" s="35"/>
      <c r="FRU222" s="35"/>
      <c r="FRV222" s="35"/>
      <c r="FRW222" s="35"/>
      <c r="FRX222" s="34"/>
      <c r="FRY222" s="34"/>
      <c r="FRZ222" s="36"/>
      <c r="FSA222" s="36"/>
      <c r="FSB222" s="37"/>
      <c r="FSC222" s="37"/>
      <c r="FSD222" s="38"/>
      <c r="FSE222" s="38"/>
      <c r="FSF222" s="39"/>
      <c r="FSG222" s="34"/>
      <c r="FSH222" s="34"/>
      <c r="FSI222" s="34"/>
      <c r="FSJ222" s="35"/>
      <c r="FSK222" s="35"/>
      <c r="FSL222" s="35"/>
      <c r="FSM222" s="35"/>
      <c r="FSN222" s="35"/>
      <c r="FSO222" s="34"/>
      <c r="FSP222" s="34"/>
      <c r="FSQ222" s="36"/>
      <c r="FSR222" s="36"/>
      <c r="FSS222" s="37"/>
      <c r="FST222" s="37"/>
      <c r="FSU222" s="38"/>
      <c r="FSV222" s="38"/>
      <c r="FSW222" s="39"/>
      <c r="FSX222" s="34"/>
      <c r="FSY222" s="34"/>
      <c r="FSZ222" s="34"/>
      <c r="FTA222" s="35"/>
      <c r="FTB222" s="35"/>
      <c r="FTC222" s="35"/>
      <c r="FTD222" s="35"/>
      <c r="FTE222" s="35"/>
      <c r="FTF222" s="34"/>
      <c r="FTG222" s="34"/>
      <c r="FTH222" s="36"/>
      <c r="FTI222" s="36"/>
      <c r="FTJ222" s="37"/>
      <c r="FTK222" s="37"/>
      <c r="FTL222" s="38"/>
      <c r="FTM222" s="38"/>
      <c r="FTN222" s="39"/>
      <c r="FTO222" s="34"/>
      <c r="FTP222" s="34"/>
      <c r="FTQ222" s="34"/>
      <c r="FTR222" s="35"/>
      <c r="FTS222" s="35"/>
      <c r="FTT222" s="35"/>
      <c r="FTU222" s="35"/>
      <c r="FTV222" s="35"/>
      <c r="FTW222" s="34"/>
      <c r="FTX222" s="34"/>
      <c r="FTY222" s="36"/>
      <c r="FTZ222" s="36"/>
      <c r="FUA222" s="37"/>
      <c r="FUB222" s="37"/>
      <c r="FUC222" s="38"/>
      <c r="FUD222" s="38"/>
      <c r="FUE222" s="39"/>
      <c r="FUF222" s="34"/>
      <c r="FUG222" s="34"/>
      <c r="FUH222" s="34"/>
      <c r="FUI222" s="35"/>
      <c r="FUJ222" s="35"/>
      <c r="FUK222" s="35"/>
      <c r="FUL222" s="35"/>
      <c r="FUM222" s="35"/>
      <c r="FUN222" s="34"/>
      <c r="FUO222" s="34"/>
      <c r="FUP222" s="36"/>
      <c r="FUQ222" s="36"/>
      <c r="FUR222" s="37"/>
      <c r="FUS222" s="37"/>
      <c r="FUT222" s="38"/>
      <c r="FUU222" s="38"/>
      <c r="FUV222" s="39"/>
      <c r="FUW222" s="34"/>
      <c r="FUX222" s="34"/>
      <c r="FUY222" s="34"/>
      <c r="FUZ222" s="35"/>
      <c r="FVA222" s="35"/>
      <c r="FVB222" s="35"/>
      <c r="FVC222" s="35"/>
      <c r="FVD222" s="35"/>
      <c r="FVE222" s="34"/>
      <c r="FVF222" s="34"/>
      <c r="FVG222" s="36"/>
      <c r="FVH222" s="36"/>
      <c r="FVI222" s="37"/>
      <c r="FVJ222" s="37"/>
      <c r="FVK222" s="38"/>
      <c r="FVL222" s="38"/>
      <c r="FVM222" s="39"/>
      <c r="FVN222" s="34"/>
      <c r="FVO222" s="34"/>
      <c r="FVP222" s="34"/>
      <c r="FVQ222" s="35"/>
      <c r="FVR222" s="35"/>
      <c r="FVS222" s="35"/>
      <c r="FVT222" s="35"/>
      <c r="FVU222" s="35"/>
      <c r="FVV222" s="34"/>
      <c r="FVW222" s="34"/>
      <c r="FVX222" s="36"/>
      <c r="FVY222" s="36"/>
      <c r="FVZ222" s="37"/>
      <c r="FWA222" s="37"/>
      <c r="FWB222" s="38"/>
      <c r="FWC222" s="38"/>
      <c r="FWD222" s="39"/>
      <c r="FWE222" s="34"/>
      <c r="FWF222" s="34"/>
      <c r="FWG222" s="34"/>
      <c r="FWH222" s="35"/>
      <c r="FWI222" s="35"/>
      <c r="FWJ222" s="35"/>
      <c r="FWK222" s="35"/>
      <c r="FWL222" s="35"/>
      <c r="FWM222" s="34"/>
      <c r="FWN222" s="34"/>
      <c r="FWO222" s="36"/>
      <c r="FWP222" s="36"/>
      <c r="FWQ222" s="37"/>
      <c r="FWR222" s="37"/>
      <c r="FWS222" s="38"/>
      <c r="FWT222" s="38"/>
      <c r="FWU222" s="39"/>
      <c r="FWV222" s="34"/>
      <c r="FWW222" s="34"/>
      <c r="FWX222" s="34"/>
      <c r="FWY222" s="35"/>
      <c r="FWZ222" s="35"/>
      <c r="FXA222" s="35"/>
      <c r="FXB222" s="35"/>
      <c r="FXC222" s="35"/>
      <c r="FXD222" s="34"/>
      <c r="FXE222" s="34"/>
      <c r="FXF222" s="36"/>
      <c r="FXG222" s="36"/>
      <c r="FXH222" s="37"/>
      <c r="FXI222" s="37"/>
      <c r="FXJ222" s="38"/>
      <c r="FXK222" s="38"/>
      <c r="FXL222" s="39"/>
      <c r="FXM222" s="34"/>
      <c r="FXN222" s="34"/>
      <c r="FXO222" s="34"/>
      <c r="FXP222" s="35"/>
      <c r="FXQ222" s="35"/>
      <c r="FXR222" s="35"/>
      <c r="FXS222" s="35"/>
      <c r="FXT222" s="35"/>
      <c r="FXU222" s="34"/>
      <c r="FXV222" s="34"/>
      <c r="FXW222" s="36"/>
      <c r="FXX222" s="36"/>
      <c r="FXY222" s="37"/>
      <c r="FXZ222" s="37"/>
      <c r="FYA222" s="38"/>
      <c r="FYB222" s="38"/>
      <c r="FYC222" s="39"/>
      <c r="FYD222" s="34"/>
      <c r="FYE222" s="34"/>
      <c r="FYF222" s="34"/>
      <c r="FYG222" s="35"/>
      <c r="FYH222" s="35"/>
      <c r="FYI222" s="35"/>
      <c r="FYJ222" s="35"/>
      <c r="FYK222" s="35"/>
      <c r="FYL222" s="34"/>
      <c r="FYM222" s="34"/>
      <c r="FYN222" s="36"/>
      <c r="FYO222" s="36"/>
      <c r="FYP222" s="37"/>
      <c r="FYQ222" s="37"/>
      <c r="FYR222" s="38"/>
      <c r="FYS222" s="38"/>
      <c r="FYT222" s="39"/>
      <c r="FYU222" s="34"/>
      <c r="FYV222" s="34"/>
      <c r="FYW222" s="34"/>
      <c r="FYX222" s="35"/>
      <c r="FYY222" s="35"/>
      <c r="FYZ222" s="35"/>
      <c r="FZA222" s="35"/>
      <c r="FZB222" s="35"/>
      <c r="FZC222" s="34"/>
      <c r="FZD222" s="34"/>
      <c r="FZE222" s="36"/>
      <c r="FZF222" s="36"/>
      <c r="FZG222" s="37"/>
      <c r="FZH222" s="37"/>
      <c r="FZI222" s="38"/>
      <c r="FZJ222" s="38"/>
      <c r="FZK222" s="39"/>
      <c r="FZL222" s="34"/>
      <c r="FZM222" s="34"/>
      <c r="FZN222" s="34"/>
      <c r="FZO222" s="35"/>
      <c r="FZP222" s="35"/>
      <c r="FZQ222" s="35"/>
      <c r="FZR222" s="35"/>
      <c r="FZS222" s="35"/>
      <c r="FZT222" s="34"/>
      <c r="FZU222" s="34"/>
      <c r="FZV222" s="36"/>
      <c r="FZW222" s="36"/>
      <c r="FZX222" s="37"/>
      <c r="FZY222" s="37"/>
      <c r="FZZ222" s="38"/>
      <c r="GAA222" s="38"/>
      <c r="GAB222" s="39"/>
      <c r="GAC222" s="34"/>
      <c r="GAD222" s="34"/>
      <c r="GAE222" s="34"/>
      <c r="GAF222" s="35"/>
      <c r="GAG222" s="35"/>
      <c r="GAH222" s="35"/>
      <c r="GAI222" s="35"/>
      <c r="GAJ222" s="35"/>
      <c r="GAK222" s="34"/>
      <c r="GAL222" s="34"/>
      <c r="GAM222" s="36"/>
      <c r="GAN222" s="36"/>
      <c r="GAO222" s="37"/>
      <c r="GAP222" s="37"/>
      <c r="GAQ222" s="38"/>
      <c r="GAR222" s="38"/>
      <c r="GAS222" s="39"/>
      <c r="GAT222" s="34"/>
      <c r="GAU222" s="34"/>
      <c r="GAV222" s="34"/>
      <c r="GAW222" s="35"/>
      <c r="GAX222" s="35"/>
      <c r="GAY222" s="35"/>
      <c r="GAZ222" s="35"/>
      <c r="GBA222" s="35"/>
      <c r="GBB222" s="34"/>
      <c r="GBC222" s="34"/>
      <c r="GBD222" s="36"/>
      <c r="GBE222" s="36"/>
      <c r="GBF222" s="37"/>
      <c r="GBG222" s="37"/>
      <c r="GBH222" s="38"/>
      <c r="GBI222" s="38"/>
      <c r="GBJ222" s="39"/>
      <c r="GBK222" s="34"/>
      <c r="GBL222" s="34"/>
      <c r="GBM222" s="34"/>
      <c r="GBN222" s="35"/>
      <c r="GBO222" s="35"/>
      <c r="GBP222" s="35"/>
      <c r="GBQ222" s="35"/>
      <c r="GBR222" s="35"/>
      <c r="GBS222" s="34"/>
      <c r="GBT222" s="34"/>
      <c r="GBU222" s="36"/>
      <c r="GBV222" s="36"/>
      <c r="GBW222" s="37"/>
      <c r="GBX222" s="37"/>
      <c r="GBY222" s="38"/>
      <c r="GBZ222" s="38"/>
      <c r="GCA222" s="39"/>
      <c r="GCB222" s="34"/>
      <c r="GCC222" s="34"/>
      <c r="GCD222" s="34"/>
      <c r="GCE222" s="35"/>
      <c r="GCF222" s="35"/>
      <c r="GCG222" s="35"/>
      <c r="GCH222" s="35"/>
      <c r="GCI222" s="35"/>
      <c r="GCJ222" s="34"/>
      <c r="GCK222" s="34"/>
      <c r="GCL222" s="36"/>
      <c r="GCM222" s="36"/>
      <c r="GCN222" s="37"/>
      <c r="GCO222" s="37"/>
      <c r="GCP222" s="38"/>
      <c r="GCQ222" s="38"/>
      <c r="GCR222" s="39"/>
      <c r="GCS222" s="34"/>
      <c r="GCT222" s="34"/>
      <c r="GCU222" s="34"/>
      <c r="GCV222" s="35"/>
      <c r="GCW222" s="35"/>
      <c r="GCX222" s="35"/>
      <c r="GCY222" s="35"/>
      <c r="GCZ222" s="35"/>
      <c r="GDA222" s="34"/>
      <c r="GDB222" s="34"/>
      <c r="GDC222" s="36"/>
      <c r="GDD222" s="36"/>
      <c r="GDE222" s="37"/>
      <c r="GDF222" s="37"/>
      <c r="GDG222" s="38"/>
      <c r="GDH222" s="38"/>
      <c r="GDI222" s="39"/>
      <c r="GDJ222" s="34"/>
      <c r="GDK222" s="34"/>
      <c r="GDL222" s="34"/>
      <c r="GDM222" s="35"/>
      <c r="GDN222" s="35"/>
      <c r="GDO222" s="35"/>
      <c r="GDP222" s="35"/>
      <c r="GDQ222" s="35"/>
      <c r="GDR222" s="34"/>
      <c r="GDS222" s="34"/>
      <c r="GDT222" s="36"/>
      <c r="GDU222" s="36"/>
      <c r="GDV222" s="37"/>
      <c r="GDW222" s="37"/>
      <c r="GDX222" s="38"/>
      <c r="GDY222" s="38"/>
      <c r="GDZ222" s="39"/>
      <c r="GEA222" s="34"/>
      <c r="GEB222" s="34"/>
      <c r="GEC222" s="34"/>
      <c r="GED222" s="35"/>
      <c r="GEE222" s="35"/>
      <c r="GEF222" s="35"/>
      <c r="GEG222" s="35"/>
      <c r="GEH222" s="35"/>
      <c r="GEI222" s="34"/>
      <c r="GEJ222" s="34"/>
      <c r="GEK222" s="36"/>
      <c r="GEL222" s="36"/>
      <c r="GEM222" s="37"/>
      <c r="GEN222" s="37"/>
      <c r="GEO222" s="38"/>
      <c r="GEP222" s="38"/>
      <c r="GEQ222" s="39"/>
      <c r="GER222" s="34"/>
      <c r="GES222" s="34"/>
      <c r="GET222" s="34"/>
      <c r="GEU222" s="35"/>
      <c r="GEV222" s="35"/>
      <c r="GEW222" s="35"/>
      <c r="GEX222" s="35"/>
      <c r="GEY222" s="35"/>
      <c r="GEZ222" s="34"/>
      <c r="GFA222" s="34"/>
      <c r="GFB222" s="36"/>
      <c r="GFC222" s="36"/>
      <c r="GFD222" s="37"/>
      <c r="GFE222" s="37"/>
      <c r="GFF222" s="38"/>
      <c r="GFG222" s="38"/>
      <c r="GFH222" s="39"/>
      <c r="GFI222" s="34"/>
      <c r="GFJ222" s="34"/>
      <c r="GFK222" s="34"/>
      <c r="GFL222" s="35"/>
      <c r="GFM222" s="35"/>
      <c r="GFN222" s="35"/>
      <c r="GFO222" s="35"/>
      <c r="GFP222" s="35"/>
      <c r="GFQ222" s="34"/>
      <c r="GFR222" s="34"/>
      <c r="GFS222" s="36"/>
      <c r="GFT222" s="36"/>
      <c r="GFU222" s="37"/>
      <c r="GFV222" s="37"/>
      <c r="GFW222" s="38"/>
      <c r="GFX222" s="38"/>
      <c r="GFY222" s="39"/>
      <c r="GFZ222" s="34"/>
      <c r="GGA222" s="34"/>
      <c r="GGB222" s="34"/>
      <c r="GGC222" s="35"/>
      <c r="GGD222" s="35"/>
      <c r="GGE222" s="35"/>
      <c r="GGF222" s="35"/>
      <c r="GGG222" s="35"/>
      <c r="GGH222" s="34"/>
      <c r="GGI222" s="34"/>
      <c r="GGJ222" s="36"/>
      <c r="GGK222" s="36"/>
      <c r="GGL222" s="37"/>
      <c r="GGM222" s="37"/>
      <c r="GGN222" s="38"/>
      <c r="GGO222" s="38"/>
      <c r="GGP222" s="39"/>
      <c r="GGQ222" s="34"/>
      <c r="GGR222" s="34"/>
      <c r="GGS222" s="34"/>
      <c r="GGT222" s="35"/>
      <c r="GGU222" s="35"/>
      <c r="GGV222" s="35"/>
      <c r="GGW222" s="35"/>
      <c r="GGX222" s="35"/>
      <c r="GGY222" s="34"/>
      <c r="GGZ222" s="34"/>
      <c r="GHA222" s="36"/>
      <c r="GHB222" s="36"/>
      <c r="GHC222" s="37"/>
      <c r="GHD222" s="37"/>
      <c r="GHE222" s="38"/>
      <c r="GHF222" s="38"/>
      <c r="GHG222" s="39"/>
      <c r="GHH222" s="34"/>
      <c r="GHI222" s="34"/>
      <c r="GHJ222" s="34"/>
      <c r="GHK222" s="35"/>
      <c r="GHL222" s="35"/>
      <c r="GHM222" s="35"/>
      <c r="GHN222" s="35"/>
      <c r="GHO222" s="35"/>
      <c r="GHP222" s="34"/>
      <c r="GHQ222" s="34"/>
      <c r="GHR222" s="36"/>
      <c r="GHS222" s="36"/>
      <c r="GHT222" s="37"/>
      <c r="GHU222" s="37"/>
      <c r="GHV222" s="38"/>
      <c r="GHW222" s="38"/>
      <c r="GHX222" s="39"/>
      <c r="GHY222" s="34"/>
      <c r="GHZ222" s="34"/>
      <c r="GIA222" s="34"/>
      <c r="GIB222" s="35"/>
      <c r="GIC222" s="35"/>
      <c r="GID222" s="35"/>
      <c r="GIE222" s="35"/>
      <c r="GIF222" s="35"/>
      <c r="GIG222" s="34"/>
      <c r="GIH222" s="34"/>
      <c r="GII222" s="36"/>
      <c r="GIJ222" s="36"/>
      <c r="GIK222" s="37"/>
      <c r="GIL222" s="37"/>
      <c r="GIM222" s="38"/>
      <c r="GIN222" s="38"/>
      <c r="GIO222" s="39"/>
      <c r="GIP222" s="34"/>
      <c r="GIQ222" s="34"/>
      <c r="GIR222" s="34"/>
      <c r="GIS222" s="35"/>
      <c r="GIT222" s="35"/>
      <c r="GIU222" s="35"/>
      <c r="GIV222" s="35"/>
      <c r="GIW222" s="35"/>
      <c r="GIX222" s="34"/>
      <c r="GIY222" s="34"/>
      <c r="GIZ222" s="36"/>
      <c r="GJA222" s="36"/>
      <c r="GJB222" s="37"/>
      <c r="GJC222" s="37"/>
      <c r="GJD222" s="38"/>
      <c r="GJE222" s="38"/>
      <c r="GJF222" s="39"/>
      <c r="GJG222" s="34"/>
      <c r="GJH222" s="34"/>
      <c r="GJI222" s="34"/>
      <c r="GJJ222" s="35"/>
      <c r="GJK222" s="35"/>
      <c r="GJL222" s="35"/>
      <c r="GJM222" s="35"/>
      <c r="GJN222" s="35"/>
      <c r="GJO222" s="34"/>
      <c r="GJP222" s="34"/>
      <c r="GJQ222" s="36"/>
      <c r="GJR222" s="36"/>
      <c r="GJS222" s="37"/>
      <c r="GJT222" s="37"/>
      <c r="GJU222" s="38"/>
      <c r="GJV222" s="38"/>
      <c r="GJW222" s="39"/>
      <c r="GJX222" s="34"/>
      <c r="GJY222" s="34"/>
      <c r="GJZ222" s="34"/>
      <c r="GKA222" s="35"/>
      <c r="GKB222" s="35"/>
      <c r="GKC222" s="35"/>
      <c r="GKD222" s="35"/>
      <c r="GKE222" s="35"/>
      <c r="GKF222" s="34"/>
      <c r="GKG222" s="34"/>
      <c r="GKH222" s="36"/>
      <c r="GKI222" s="36"/>
      <c r="GKJ222" s="37"/>
      <c r="GKK222" s="37"/>
      <c r="GKL222" s="38"/>
      <c r="GKM222" s="38"/>
      <c r="GKN222" s="39"/>
      <c r="GKO222" s="34"/>
      <c r="GKP222" s="34"/>
      <c r="GKQ222" s="34"/>
      <c r="GKR222" s="35"/>
      <c r="GKS222" s="35"/>
      <c r="GKT222" s="35"/>
      <c r="GKU222" s="35"/>
      <c r="GKV222" s="35"/>
      <c r="GKW222" s="34"/>
      <c r="GKX222" s="34"/>
      <c r="GKY222" s="36"/>
      <c r="GKZ222" s="36"/>
      <c r="GLA222" s="37"/>
      <c r="GLB222" s="37"/>
      <c r="GLC222" s="38"/>
      <c r="GLD222" s="38"/>
      <c r="GLE222" s="39"/>
      <c r="GLF222" s="34"/>
      <c r="GLG222" s="34"/>
      <c r="GLH222" s="34"/>
      <c r="GLI222" s="35"/>
      <c r="GLJ222" s="35"/>
      <c r="GLK222" s="35"/>
      <c r="GLL222" s="35"/>
      <c r="GLM222" s="35"/>
      <c r="GLN222" s="34"/>
      <c r="GLO222" s="34"/>
      <c r="GLP222" s="36"/>
      <c r="GLQ222" s="36"/>
      <c r="GLR222" s="37"/>
      <c r="GLS222" s="37"/>
      <c r="GLT222" s="38"/>
      <c r="GLU222" s="38"/>
      <c r="GLV222" s="39"/>
      <c r="GLW222" s="34"/>
      <c r="GLX222" s="34"/>
      <c r="GLY222" s="34"/>
      <c r="GLZ222" s="35"/>
      <c r="GMA222" s="35"/>
      <c r="GMB222" s="35"/>
      <c r="GMC222" s="35"/>
      <c r="GMD222" s="35"/>
      <c r="GME222" s="34"/>
      <c r="GMF222" s="34"/>
      <c r="GMG222" s="36"/>
      <c r="GMH222" s="36"/>
      <c r="GMI222" s="37"/>
      <c r="GMJ222" s="37"/>
      <c r="GMK222" s="38"/>
      <c r="GML222" s="38"/>
      <c r="GMM222" s="39"/>
      <c r="GMN222" s="34"/>
      <c r="GMO222" s="34"/>
      <c r="GMP222" s="34"/>
      <c r="GMQ222" s="35"/>
      <c r="GMR222" s="35"/>
      <c r="GMS222" s="35"/>
      <c r="GMT222" s="35"/>
      <c r="GMU222" s="35"/>
      <c r="GMV222" s="34"/>
      <c r="GMW222" s="34"/>
      <c r="GMX222" s="36"/>
      <c r="GMY222" s="36"/>
      <c r="GMZ222" s="37"/>
      <c r="GNA222" s="37"/>
      <c r="GNB222" s="38"/>
      <c r="GNC222" s="38"/>
      <c r="GND222" s="39"/>
      <c r="GNE222" s="34"/>
      <c r="GNF222" s="34"/>
      <c r="GNG222" s="34"/>
      <c r="GNH222" s="35"/>
      <c r="GNI222" s="35"/>
      <c r="GNJ222" s="35"/>
      <c r="GNK222" s="35"/>
      <c r="GNL222" s="35"/>
      <c r="GNM222" s="34"/>
      <c r="GNN222" s="34"/>
      <c r="GNO222" s="36"/>
      <c r="GNP222" s="36"/>
      <c r="GNQ222" s="37"/>
      <c r="GNR222" s="37"/>
      <c r="GNS222" s="38"/>
      <c r="GNT222" s="38"/>
      <c r="GNU222" s="39"/>
      <c r="GNV222" s="34"/>
      <c r="GNW222" s="34"/>
      <c r="GNX222" s="34"/>
      <c r="GNY222" s="35"/>
      <c r="GNZ222" s="35"/>
      <c r="GOA222" s="35"/>
      <c r="GOB222" s="35"/>
      <c r="GOC222" s="35"/>
      <c r="GOD222" s="34"/>
      <c r="GOE222" s="34"/>
      <c r="GOF222" s="36"/>
      <c r="GOG222" s="36"/>
      <c r="GOH222" s="37"/>
      <c r="GOI222" s="37"/>
      <c r="GOJ222" s="38"/>
      <c r="GOK222" s="38"/>
      <c r="GOL222" s="39"/>
      <c r="GOM222" s="34"/>
      <c r="GON222" s="34"/>
      <c r="GOO222" s="34"/>
      <c r="GOP222" s="35"/>
      <c r="GOQ222" s="35"/>
      <c r="GOR222" s="35"/>
      <c r="GOS222" s="35"/>
      <c r="GOT222" s="35"/>
      <c r="GOU222" s="34"/>
      <c r="GOV222" s="34"/>
      <c r="GOW222" s="36"/>
      <c r="GOX222" s="36"/>
      <c r="GOY222" s="37"/>
      <c r="GOZ222" s="37"/>
      <c r="GPA222" s="38"/>
      <c r="GPB222" s="38"/>
      <c r="GPC222" s="39"/>
      <c r="GPD222" s="34"/>
      <c r="GPE222" s="34"/>
      <c r="GPF222" s="34"/>
      <c r="GPG222" s="35"/>
      <c r="GPH222" s="35"/>
      <c r="GPI222" s="35"/>
      <c r="GPJ222" s="35"/>
      <c r="GPK222" s="35"/>
      <c r="GPL222" s="34"/>
      <c r="GPM222" s="34"/>
      <c r="GPN222" s="36"/>
      <c r="GPO222" s="36"/>
      <c r="GPP222" s="37"/>
      <c r="GPQ222" s="37"/>
      <c r="GPR222" s="38"/>
      <c r="GPS222" s="38"/>
      <c r="GPT222" s="39"/>
      <c r="GPU222" s="34"/>
      <c r="GPV222" s="34"/>
      <c r="GPW222" s="34"/>
      <c r="GPX222" s="35"/>
      <c r="GPY222" s="35"/>
      <c r="GPZ222" s="35"/>
      <c r="GQA222" s="35"/>
      <c r="GQB222" s="35"/>
      <c r="GQC222" s="34"/>
      <c r="GQD222" s="34"/>
      <c r="GQE222" s="36"/>
      <c r="GQF222" s="36"/>
      <c r="GQG222" s="37"/>
      <c r="GQH222" s="37"/>
      <c r="GQI222" s="38"/>
      <c r="GQJ222" s="38"/>
      <c r="GQK222" s="39"/>
      <c r="GQL222" s="34"/>
      <c r="GQM222" s="34"/>
      <c r="GQN222" s="34"/>
      <c r="GQO222" s="35"/>
      <c r="GQP222" s="35"/>
      <c r="GQQ222" s="35"/>
      <c r="GQR222" s="35"/>
      <c r="GQS222" s="35"/>
      <c r="GQT222" s="34"/>
      <c r="GQU222" s="34"/>
      <c r="GQV222" s="36"/>
      <c r="GQW222" s="36"/>
      <c r="GQX222" s="37"/>
      <c r="GQY222" s="37"/>
      <c r="GQZ222" s="38"/>
      <c r="GRA222" s="38"/>
      <c r="GRB222" s="39"/>
      <c r="GRC222" s="34"/>
      <c r="GRD222" s="34"/>
      <c r="GRE222" s="34"/>
      <c r="GRF222" s="35"/>
      <c r="GRG222" s="35"/>
      <c r="GRH222" s="35"/>
      <c r="GRI222" s="35"/>
      <c r="GRJ222" s="35"/>
      <c r="GRK222" s="34"/>
      <c r="GRL222" s="34"/>
      <c r="GRM222" s="36"/>
      <c r="GRN222" s="36"/>
      <c r="GRO222" s="37"/>
      <c r="GRP222" s="37"/>
      <c r="GRQ222" s="38"/>
      <c r="GRR222" s="38"/>
      <c r="GRS222" s="39"/>
      <c r="GRT222" s="34"/>
      <c r="GRU222" s="34"/>
      <c r="GRV222" s="34"/>
      <c r="GRW222" s="35"/>
      <c r="GRX222" s="35"/>
      <c r="GRY222" s="35"/>
      <c r="GRZ222" s="35"/>
      <c r="GSA222" s="35"/>
      <c r="GSB222" s="34"/>
      <c r="GSC222" s="34"/>
      <c r="GSD222" s="36"/>
      <c r="GSE222" s="36"/>
      <c r="GSF222" s="37"/>
      <c r="GSG222" s="37"/>
      <c r="GSH222" s="38"/>
      <c r="GSI222" s="38"/>
      <c r="GSJ222" s="39"/>
      <c r="GSK222" s="34"/>
      <c r="GSL222" s="34"/>
      <c r="GSM222" s="34"/>
      <c r="GSN222" s="35"/>
      <c r="GSO222" s="35"/>
      <c r="GSP222" s="35"/>
      <c r="GSQ222" s="35"/>
      <c r="GSR222" s="35"/>
      <c r="GSS222" s="34"/>
      <c r="GST222" s="34"/>
      <c r="GSU222" s="36"/>
      <c r="GSV222" s="36"/>
      <c r="GSW222" s="37"/>
      <c r="GSX222" s="37"/>
      <c r="GSY222" s="38"/>
      <c r="GSZ222" s="38"/>
      <c r="GTA222" s="39"/>
      <c r="GTB222" s="34"/>
      <c r="GTC222" s="34"/>
      <c r="GTD222" s="34"/>
      <c r="GTE222" s="35"/>
      <c r="GTF222" s="35"/>
      <c r="GTG222" s="35"/>
      <c r="GTH222" s="35"/>
      <c r="GTI222" s="35"/>
      <c r="GTJ222" s="34"/>
      <c r="GTK222" s="34"/>
      <c r="GTL222" s="36"/>
      <c r="GTM222" s="36"/>
      <c r="GTN222" s="37"/>
      <c r="GTO222" s="37"/>
      <c r="GTP222" s="38"/>
      <c r="GTQ222" s="38"/>
      <c r="GTR222" s="39"/>
      <c r="GTS222" s="34"/>
      <c r="GTT222" s="34"/>
      <c r="GTU222" s="34"/>
      <c r="GTV222" s="35"/>
      <c r="GTW222" s="35"/>
      <c r="GTX222" s="35"/>
      <c r="GTY222" s="35"/>
      <c r="GTZ222" s="35"/>
      <c r="GUA222" s="34"/>
      <c r="GUB222" s="34"/>
      <c r="GUC222" s="36"/>
      <c r="GUD222" s="36"/>
      <c r="GUE222" s="37"/>
      <c r="GUF222" s="37"/>
      <c r="GUG222" s="38"/>
      <c r="GUH222" s="38"/>
      <c r="GUI222" s="39"/>
      <c r="GUJ222" s="34"/>
      <c r="GUK222" s="34"/>
      <c r="GUL222" s="34"/>
      <c r="GUM222" s="35"/>
      <c r="GUN222" s="35"/>
      <c r="GUO222" s="35"/>
      <c r="GUP222" s="35"/>
      <c r="GUQ222" s="35"/>
      <c r="GUR222" s="34"/>
      <c r="GUS222" s="34"/>
      <c r="GUT222" s="36"/>
      <c r="GUU222" s="36"/>
      <c r="GUV222" s="37"/>
      <c r="GUW222" s="37"/>
      <c r="GUX222" s="38"/>
      <c r="GUY222" s="38"/>
      <c r="GUZ222" s="39"/>
      <c r="GVA222" s="34"/>
      <c r="GVB222" s="34"/>
      <c r="GVC222" s="34"/>
      <c r="GVD222" s="35"/>
      <c r="GVE222" s="35"/>
      <c r="GVF222" s="35"/>
      <c r="GVG222" s="35"/>
      <c r="GVH222" s="35"/>
      <c r="GVI222" s="34"/>
      <c r="GVJ222" s="34"/>
      <c r="GVK222" s="36"/>
      <c r="GVL222" s="36"/>
      <c r="GVM222" s="37"/>
      <c r="GVN222" s="37"/>
      <c r="GVO222" s="38"/>
      <c r="GVP222" s="38"/>
      <c r="GVQ222" s="39"/>
      <c r="GVR222" s="34"/>
      <c r="GVS222" s="34"/>
      <c r="GVT222" s="34"/>
      <c r="GVU222" s="35"/>
      <c r="GVV222" s="35"/>
      <c r="GVW222" s="35"/>
      <c r="GVX222" s="35"/>
      <c r="GVY222" s="35"/>
      <c r="GVZ222" s="34"/>
      <c r="GWA222" s="34"/>
      <c r="GWB222" s="36"/>
      <c r="GWC222" s="36"/>
      <c r="GWD222" s="37"/>
      <c r="GWE222" s="37"/>
      <c r="GWF222" s="38"/>
      <c r="GWG222" s="38"/>
      <c r="GWH222" s="39"/>
      <c r="GWI222" s="34"/>
      <c r="GWJ222" s="34"/>
      <c r="GWK222" s="34"/>
      <c r="GWL222" s="35"/>
      <c r="GWM222" s="35"/>
      <c r="GWN222" s="35"/>
      <c r="GWO222" s="35"/>
      <c r="GWP222" s="35"/>
      <c r="GWQ222" s="34"/>
      <c r="GWR222" s="34"/>
      <c r="GWS222" s="36"/>
      <c r="GWT222" s="36"/>
      <c r="GWU222" s="37"/>
      <c r="GWV222" s="37"/>
      <c r="GWW222" s="38"/>
      <c r="GWX222" s="38"/>
      <c r="GWY222" s="39"/>
      <c r="GWZ222" s="34"/>
      <c r="GXA222" s="34"/>
      <c r="GXB222" s="34"/>
      <c r="GXC222" s="35"/>
      <c r="GXD222" s="35"/>
      <c r="GXE222" s="35"/>
      <c r="GXF222" s="35"/>
      <c r="GXG222" s="35"/>
      <c r="GXH222" s="34"/>
      <c r="GXI222" s="34"/>
      <c r="GXJ222" s="36"/>
      <c r="GXK222" s="36"/>
      <c r="GXL222" s="37"/>
      <c r="GXM222" s="37"/>
      <c r="GXN222" s="38"/>
      <c r="GXO222" s="38"/>
      <c r="GXP222" s="39"/>
      <c r="GXQ222" s="34"/>
      <c r="GXR222" s="34"/>
      <c r="GXS222" s="34"/>
      <c r="GXT222" s="35"/>
      <c r="GXU222" s="35"/>
      <c r="GXV222" s="35"/>
      <c r="GXW222" s="35"/>
      <c r="GXX222" s="35"/>
      <c r="GXY222" s="34"/>
      <c r="GXZ222" s="34"/>
      <c r="GYA222" s="36"/>
      <c r="GYB222" s="36"/>
      <c r="GYC222" s="37"/>
      <c r="GYD222" s="37"/>
      <c r="GYE222" s="38"/>
      <c r="GYF222" s="38"/>
      <c r="GYG222" s="39"/>
      <c r="GYH222" s="34"/>
      <c r="GYI222" s="34"/>
      <c r="GYJ222" s="34"/>
      <c r="GYK222" s="35"/>
      <c r="GYL222" s="35"/>
      <c r="GYM222" s="35"/>
      <c r="GYN222" s="35"/>
      <c r="GYO222" s="35"/>
      <c r="GYP222" s="34"/>
      <c r="GYQ222" s="34"/>
      <c r="GYR222" s="36"/>
      <c r="GYS222" s="36"/>
      <c r="GYT222" s="37"/>
      <c r="GYU222" s="37"/>
      <c r="GYV222" s="38"/>
      <c r="GYW222" s="38"/>
      <c r="GYX222" s="39"/>
      <c r="GYY222" s="34"/>
      <c r="GYZ222" s="34"/>
      <c r="GZA222" s="34"/>
      <c r="GZB222" s="35"/>
      <c r="GZC222" s="35"/>
      <c r="GZD222" s="35"/>
      <c r="GZE222" s="35"/>
      <c r="GZF222" s="35"/>
      <c r="GZG222" s="34"/>
      <c r="GZH222" s="34"/>
      <c r="GZI222" s="36"/>
      <c r="GZJ222" s="36"/>
      <c r="GZK222" s="37"/>
      <c r="GZL222" s="37"/>
      <c r="GZM222" s="38"/>
      <c r="GZN222" s="38"/>
      <c r="GZO222" s="39"/>
      <c r="GZP222" s="34"/>
      <c r="GZQ222" s="34"/>
      <c r="GZR222" s="34"/>
      <c r="GZS222" s="35"/>
      <c r="GZT222" s="35"/>
      <c r="GZU222" s="35"/>
      <c r="GZV222" s="35"/>
      <c r="GZW222" s="35"/>
      <c r="GZX222" s="34"/>
      <c r="GZY222" s="34"/>
      <c r="GZZ222" s="36"/>
      <c r="HAA222" s="36"/>
      <c r="HAB222" s="37"/>
      <c r="HAC222" s="37"/>
      <c r="HAD222" s="38"/>
      <c r="HAE222" s="38"/>
      <c r="HAF222" s="39"/>
      <c r="HAG222" s="34"/>
      <c r="HAH222" s="34"/>
      <c r="HAI222" s="34"/>
      <c r="HAJ222" s="35"/>
      <c r="HAK222" s="35"/>
      <c r="HAL222" s="35"/>
      <c r="HAM222" s="35"/>
      <c r="HAN222" s="35"/>
      <c r="HAO222" s="34"/>
      <c r="HAP222" s="34"/>
      <c r="HAQ222" s="36"/>
      <c r="HAR222" s="36"/>
      <c r="HAS222" s="37"/>
      <c r="HAT222" s="37"/>
      <c r="HAU222" s="38"/>
      <c r="HAV222" s="38"/>
      <c r="HAW222" s="39"/>
      <c r="HAX222" s="34"/>
      <c r="HAY222" s="34"/>
      <c r="HAZ222" s="34"/>
      <c r="HBA222" s="35"/>
      <c r="HBB222" s="35"/>
      <c r="HBC222" s="35"/>
      <c r="HBD222" s="35"/>
      <c r="HBE222" s="35"/>
      <c r="HBF222" s="34"/>
      <c r="HBG222" s="34"/>
      <c r="HBH222" s="36"/>
      <c r="HBI222" s="36"/>
      <c r="HBJ222" s="37"/>
      <c r="HBK222" s="37"/>
      <c r="HBL222" s="38"/>
      <c r="HBM222" s="38"/>
      <c r="HBN222" s="39"/>
      <c r="HBO222" s="34"/>
      <c r="HBP222" s="34"/>
      <c r="HBQ222" s="34"/>
      <c r="HBR222" s="35"/>
      <c r="HBS222" s="35"/>
      <c r="HBT222" s="35"/>
      <c r="HBU222" s="35"/>
      <c r="HBV222" s="35"/>
      <c r="HBW222" s="34"/>
      <c r="HBX222" s="34"/>
      <c r="HBY222" s="36"/>
      <c r="HBZ222" s="36"/>
      <c r="HCA222" s="37"/>
      <c r="HCB222" s="37"/>
      <c r="HCC222" s="38"/>
      <c r="HCD222" s="38"/>
      <c r="HCE222" s="39"/>
      <c r="HCF222" s="34"/>
      <c r="HCG222" s="34"/>
      <c r="HCH222" s="34"/>
      <c r="HCI222" s="35"/>
      <c r="HCJ222" s="35"/>
      <c r="HCK222" s="35"/>
      <c r="HCL222" s="35"/>
      <c r="HCM222" s="35"/>
      <c r="HCN222" s="34"/>
      <c r="HCO222" s="34"/>
      <c r="HCP222" s="36"/>
      <c r="HCQ222" s="36"/>
      <c r="HCR222" s="37"/>
      <c r="HCS222" s="37"/>
      <c r="HCT222" s="38"/>
      <c r="HCU222" s="38"/>
      <c r="HCV222" s="39"/>
      <c r="HCW222" s="34"/>
      <c r="HCX222" s="34"/>
      <c r="HCY222" s="34"/>
      <c r="HCZ222" s="35"/>
      <c r="HDA222" s="35"/>
      <c r="HDB222" s="35"/>
      <c r="HDC222" s="35"/>
      <c r="HDD222" s="35"/>
      <c r="HDE222" s="34"/>
      <c r="HDF222" s="34"/>
      <c r="HDG222" s="36"/>
      <c r="HDH222" s="36"/>
      <c r="HDI222" s="37"/>
      <c r="HDJ222" s="37"/>
      <c r="HDK222" s="38"/>
      <c r="HDL222" s="38"/>
      <c r="HDM222" s="39"/>
      <c r="HDN222" s="34"/>
      <c r="HDO222" s="34"/>
      <c r="HDP222" s="34"/>
      <c r="HDQ222" s="35"/>
      <c r="HDR222" s="35"/>
      <c r="HDS222" s="35"/>
      <c r="HDT222" s="35"/>
      <c r="HDU222" s="35"/>
      <c r="HDV222" s="34"/>
      <c r="HDW222" s="34"/>
      <c r="HDX222" s="36"/>
      <c r="HDY222" s="36"/>
      <c r="HDZ222" s="37"/>
      <c r="HEA222" s="37"/>
      <c r="HEB222" s="38"/>
      <c r="HEC222" s="38"/>
      <c r="HED222" s="39"/>
      <c r="HEE222" s="34"/>
      <c r="HEF222" s="34"/>
      <c r="HEG222" s="34"/>
      <c r="HEH222" s="35"/>
      <c r="HEI222" s="35"/>
      <c r="HEJ222" s="35"/>
      <c r="HEK222" s="35"/>
      <c r="HEL222" s="35"/>
      <c r="HEM222" s="34"/>
      <c r="HEN222" s="34"/>
      <c r="HEO222" s="36"/>
      <c r="HEP222" s="36"/>
      <c r="HEQ222" s="37"/>
      <c r="HER222" s="37"/>
      <c r="HES222" s="38"/>
      <c r="HET222" s="38"/>
      <c r="HEU222" s="39"/>
      <c r="HEV222" s="34"/>
      <c r="HEW222" s="34"/>
      <c r="HEX222" s="34"/>
      <c r="HEY222" s="35"/>
      <c r="HEZ222" s="35"/>
      <c r="HFA222" s="35"/>
      <c r="HFB222" s="35"/>
      <c r="HFC222" s="35"/>
      <c r="HFD222" s="34"/>
      <c r="HFE222" s="34"/>
      <c r="HFF222" s="36"/>
      <c r="HFG222" s="36"/>
      <c r="HFH222" s="37"/>
      <c r="HFI222" s="37"/>
      <c r="HFJ222" s="38"/>
      <c r="HFK222" s="38"/>
      <c r="HFL222" s="39"/>
      <c r="HFM222" s="34"/>
      <c r="HFN222" s="34"/>
      <c r="HFO222" s="34"/>
      <c r="HFP222" s="35"/>
      <c r="HFQ222" s="35"/>
      <c r="HFR222" s="35"/>
      <c r="HFS222" s="35"/>
      <c r="HFT222" s="35"/>
      <c r="HFU222" s="34"/>
      <c r="HFV222" s="34"/>
      <c r="HFW222" s="36"/>
      <c r="HFX222" s="36"/>
      <c r="HFY222" s="37"/>
      <c r="HFZ222" s="37"/>
      <c r="HGA222" s="38"/>
      <c r="HGB222" s="38"/>
      <c r="HGC222" s="39"/>
      <c r="HGD222" s="34"/>
      <c r="HGE222" s="34"/>
      <c r="HGF222" s="34"/>
      <c r="HGG222" s="35"/>
      <c r="HGH222" s="35"/>
      <c r="HGI222" s="35"/>
      <c r="HGJ222" s="35"/>
      <c r="HGK222" s="35"/>
      <c r="HGL222" s="34"/>
      <c r="HGM222" s="34"/>
      <c r="HGN222" s="36"/>
      <c r="HGO222" s="36"/>
      <c r="HGP222" s="37"/>
      <c r="HGQ222" s="37"/>
      <c r="HGR222" s="38"/>
      <c r="HGS222" s="38"/>
      <c r="HGT222" s="39"/>
      <c r="HGU222" s="34"/>
      <c r="HGV222" s="34"/>
      <c r="HGW222" s="34"/>
      <c r="HGX222" s="35"/>
      <c r="HGY222" s="35"/>
      <c r="HGZ222" s="35"/>
      <c r="HHA222" s="35"/>
      <c r="HHB222" s="35"/>
      <c r="HHC222" s="34"/>
      <c r="HHD222" s="34"/>
      <c r="HHE222" s="36"/>
      <c r="HHF222" s="36"/>
      <c r="HHG222" s="37"/>
      <c r="HHH222" s="37"/>
      <c r="HHI222" s="38"/>
      <c r="HHJ222" s="38"/>
      <c r="HHK222" s="39"/>
      <c r="HHL222" s="34"/>
      <c r="HHM222" s="34"/>
      <c r="HHN222" s="34"/>
      <c r="HHO222" s="35"/>
      <c r="HHP222" s="35"/>
      <c r="HHQ222" s="35"/>
      <c r="HHR222" s="35"/>
      <c r="HHS222" s="35"/>
      <c r="HHT222" s="34"/>
      <c r="HHU222" s="34"/>
      <c r="HHV222" s="36"/>
      <c r="HHW222" s="36"/>
      <c r="HHX222" s="37"/>
      <c r="HHY222" s="37"/>
      <c r="HHZ222" s="38"/>
      <c r="HIA222" s="38"/>
      <c r="HIB222" s="39"/>
      <c r="HIC222" s="34"/>
      <c r="HID222" s="34"/>
      <c r="HIE222" s="34"/>
      <c r="HIF222" s="35"/>
      <c r="HIG222" s="35"/>
      <c r="HIH222" s="35"/>
      <c r="HII222" s="35"/>
      <c r="HIJ222" s="35"/>
      <c r="HIK222" s="34"/>
      <c r="HIL222" s="34"/>
      <c r="HIM222" s="36"/>
      <c r="HIN222" s="36"/>
      <c r="HIO222" s="37"/>
      <c r="HIP222" s="37"/>
      <c r="HIQ222" s="38"/>
      <c r="HIR222" s="38"/>
      <c r="HIS222" s="39"/>
      <c r="HIT222" s="34"/>
      <c r="HIU222" s="34"/>
      <c r="HIV222" s="34"/>
      <c r="HIW222" s="35"/>
      <c r="HIX222" s="35"/>
      <c r="HIY222" s="35"/>
      <c r="HIZ222" s="35"/>
      <c r="HJA222" s="35"/>
      <c r="HJB222" s="34"/>
      <c r="HJC222" s="34"/>
      <c r="HJD222" s="36"/>
      <c r="HJE222" s="36"/>
      <c r="HJF222" s="37"/>
      <c r="HJG222" s="37"/>
      <c r="HJH222" s="38"/>
      <c r="HJI222" s="38"/>
      <c r="HJJ222" s="39"/>
      <c r="HJK222" s="34"/>
      <c r="HJL222" s="34"/>
      <c r="HJM222" s="34"/>
      <c r="HJN222" s="35"/>
      <c r="HJO222" s="35"/>
      <c r="HJP222" s="35"/>
      <c r="HJQ222" s="35"/>
      <c r="HJR222" s="35"/>
      <c r="HJS222" s="34"/>
      <c r="HJT222" s="34"/>
      <c r="HJU222" s="36"/>
      <c r="HJV222" s="36"/>
      <c r="HJW222" s="37"/>
      <c r="HJX222" s="37"/>
      <c r="HJY222" s="38"/>
      <c r="HJZ222" s="38"/>
      <c r="HKA222" s="39"/>
      <c r="HKB222" s="34"/>
      <c r="HKC222" s="34"/>
      <c r="HKD222" s="34"/>
      <c r="HKE222" s="35"/>
      <c r="HKF222" s="35"/>
      <c r="HKG222" s="35"/>
      <c r="HKH222" s="35"/>
      <c r="HKI222" s="35"/>
      <c r="HKJ222" s="34"/>
      <c r="HKK222" s="34"/>
      <c r="HKL222" s="36"/>
      <c r="HKM222" s="36"/>
      <c r="HKN222" s="37"/>
      <c r="HKO222" s="37"/>
      <c r="HKP222" s="38"/>
      <c r="HKQ222" s="38"/>
      <c r="HKR222" s="39"/>
      <c r="HKS222" s="34"/>
      <c r="HKT222" s="34"/>
      <c r="HKU222" s="34"/>
      <c r="HKV222" s="35"/>
      <c r="HKW222" s="35"/>
      <c r="HKX222" s="35"/>
      <c r="HKY222" s="35"/>
      <c r="HKZ222" s="35"/>
      <c r="HLA222" s="34"/>
      <c r="HLB222" s="34"/>
      <c r="HLC222" s="36"/>
      <c r="HLD222" s="36"/>
      <c r="HLE222" s="37"/>
      <c r="HLF222" s="37"/>
      <c r="HLG222" s="38"/>
      <c r="HLH222" s="38"/>
      <c r="HLI222" s="39"/>
      <c r="HLJ222" s="34"/>
      <c r="HLK222" s="34"/>
      <c r="HLL222" s="34"/>
      <c r="HLM222" s="35"/>
      <c r="HLN222" s="35"/>
      <c r="HLO222" s="35"/>
      <c r="HLP222" s="35"/>
      <c r="HLQ222" s="35"/>
      <c r="HLR222" s="34"/>
      <c r="HLS222" s="34"/>
      <c r="HLT222" s="36"/>
      <c r="HLU222" s="36"/>
      <c r="HLV222" s="37"/>
      <c r="HLW222" s="37"/>
      <c r="HLX222" s="38"/>
      <c r="HLY222" s="38"/>
      <c r="HLZ222" s="39"/>
      <c r="HMA222" s="34"/>
      <c r="HMB222" s="34"/>
      <c r="HMC222" s="34"/>
      <c r="HMD222" s="35"/>
      <c r="HME222" s="35"/>
      <c r="HMF222" s="35"/>
      <c r="HMG222" s="35"/>
      <c r="HMH222" s="35"/>
      <c r="HMI222" s="34"/>
      <c r="HMJ222" s="34"/>
      <c r="HMK222" s="36"/>
      <c r="HML222" s="36"/>
      <c r="HMM222" s="37"/>
      <c r="HMN222" s="37"/>
      <c r="HMO222" s="38"/>
      <c r="HMP222" s="38"/>
      <c r="HMQ222" s="39"/>
      <c r="HMR222" s="34"/>
      <c r="HMS222" s="34"/>
      <c r="HMT222" s="34"/>
      <c r="HMU222" s="35"/>
      <c r="HMV222" s="35"/>
      <c r="HMW222" s="35"/>
      <c r="HMX222" s="35"/>
      <c r="HMY222" s="35"/>
      <c r="HMZ222" s="34"/>
      <c r="HNA222" s="34"/>
      <c r="HNB222" s="36"/>
      <c r="HNC222" s="36"/>
      <c r="HND222" s="37"/>
      <c r="HNE222" s="37"/>
      <c r="HNF222" s="38"/>
      <c r="HNG222" s="38"/>
      <c r="HNH222" s="39"/>
      <c r="HNI222" s="34"/>
      <c r="HNJ222" s="34"/>
      <c r="HNK222" s="34"/>
      <c r="HNL222" s="35"/>
      <c r="HNM222" s="35"/>
      <c r="HNN222" s="35"/>
      <c r="HNO222" s="35"/>
      <c r="HNP222" s="35"/>
      <c r="HNQ222" s="34"/>
      <c r="HNR222" s="34"/>
      <c r="HNS222" s="36"/>
      <c r="HNT222" s="36"/>
      <c r="HNU222" s="37"/>
      <c r="HNV222" s="37"/>
      <c r="HNW222" s="38"/>
      <c r="HNX222" s="38"/>
      <c r="HNY222" s="39"/>
      <c r="HNZ222" s="34"/>
      <c r="HOA222" s="34"/>
      <c r="HOB222" s="34"/>
      <c r="HOC222" s="35"/>
      <c r="HOD222" s="35"/>
      <c r="HOE222" s="35"/>
      <c r="HOF222" s="35"/>
      <c r="HOG222" s="35"/>
      <c r="HOH222" s="34"/>
      <c r="HOI222" s="34"/>
      <c r="HOJ222" s="36"/>
      <c r="HOK222" s="36"/>
      <c r="HOL222" s="37"/>
      <c r="HOM222" s="37"/>
      <c r="HON222" s="38"/>
      <c r="HOO222" s="38"/>
      <c r="HOP222" s="39"/>
      <c r="HOQ222" s="34"/>
      <c r="HOR222" s="34"/>
      <c r="HOS222" s="34"/>
      <c r="HOT222" s="35"/>
      <c r="HOU222" s="35"/>
      <c r="HOV222" s="35"/>
      <c r="HOW222" s="35"/>
      <c r="HOX222" s="35"/>
      <c r="HOY222" s="34"/>
      <c r="HOZ222" s="34"/>
      <c r="HPA222" s="36"/>
      <c r="HPB222" s="36"/>
      <c r="HPC222" s="37"/>
      <c r="HPD222" s="37"/>
      <c r="HPE222" s="38"/>
      <c r="HPF222" s="38"/>
      <c r="HPG222" s="39"/>
      <c r="HPH222" s="34"/>
      <c r="HPI222" s="34"/>
      <c r="HPJ222" s="34"/>
      <c r="HPK222" s="35"/>
      <c r="HPL222" s="35"/>
      <c r="HPM222" s="35"/>
      <c r="HPN222" s="35"/>
      <c r="HPO222" s="35"/>
      <c r="HPP222" s="34"/>
      <c r="HPQ222" s="34"/>
      <c r="HPR222" s="36"/>
      <c r="HPS222" s="36"/>
      <c r="HPT222" s="37"/>
      <c r="HPU222" s="37"/>
      <c r="HPV222" s="38"/>
      <c r="HPW222" s="38"/>
      <c r="HPX222" s="39"/>
      <c r="HPY222" s="34"/>
      <c r="HPZ222" s="34"/>
      <c r="HQA222" s="34"/>
      <c r="HQB222" s="35"/>
      <c r="HQC222" s="35"/>
      <c r="HQD222" s="35"/>
      <c r="HQE222" s="35"/>
      <c r="HQF222" s="35"/>
      <c r="HQG222" s="34"/>
      <c r="HQH222" s="34"/>
      <c r="HQI222" s="36"/>
      <c r="HQJ222" s="36"/>
      <c r="HQK222" s="37"/>
      <c r="HQL222" s="37"/>
      <c r="HQM222" s="38"/>
      <c r="HQN222" s="38"/>
      <c r="HQO222" s="39"/>
      <c r="HQP222" s="34"/>
      <c r="HQQ222" s="34"/>
      <c r="HQR222" s="34"/>
      <c r="HQS222" s="35"/>
      <c r="HQT222" s="35"/>
      <c r="HQU222" s="35"/>
      <c r="HQV222" s="35"/>
      <c r="HQW222" s="35"/>
      <c r="HQX222" s="34"/>
      <c r="HQY222" s="34"/>
      <c r="HQZ222" s="36"/>
      <c r="HRA222" s="36"/>
      <c r="HRB222" s="37"/>
      <c r="HRC222" s="37"/>
      <c r="HRD222" s="38"/>
      <c r="HRE222" s="38"/>
      <c r="HRF222" s="39"/>
      <c r="HRG222" s="34"/>
      <c r="HRH222" s="34"/>
      <c r="HRI222" s="34"/>
      <c r="HRJ222" s="35"/>
      <c r="HRK222" s="35"/>
      <c r="HRL222" s="35"/>
      <c r="HRM222" s="35"/>
      <c r="HRN222" s="35"/>
      <c r="HRO222" s="34"/>
      <c r="HRP222" s="34"/>
      <c r="HRQ222" s="36"/>
      <c r="HRR222" s="36"/>
      <c r="HRS222" s="37"/>
      <c r="HRT222" s="37"/>
      <c r="HRU222" s="38"/>
      <c r="HRV222" s="38"/>
      <c r="HRW222" s="39"/>
      <c r="HRX222" s="34"/>
      <c r="HRY222" s="34"/>
      <c r="HRZ222" s="34"/>
      <c r="HSA222" s="35"/>
      <c r="HSB222" s="35"/>
      <c r="HSC222" s="35"/>
      <c r="HSD222" s="35"/>
      <c r="HSE222" s="35"/>
      <c r="HSF222" s="34"/>
      <c r="HSG222" s="34"/>
      <c r="HSH222" s="36"/>
      <c r="HSI222" s="36"/>
      <c r="HSJ222" s="37"/>
      <c r="HSK222" s="37"/>
      <c r="HSL222" s="38"/>
      <c r="HSM222" s="38"/>
      <c r="HSN222" s="39"/>
      <c r="HSO222" s="34"/>
      <c r="HSP222" s="34"/>
      <c r="HSQ222" s="34"/>
      <c r="HSR222" s="35"/>
      <c r="HSS222" s="35"/>
      <c r="HST222" s="35"/>
      <c r="HSU222" s="35"/>
      <c r="HSV222" s="35"/>
      <c r="HSW222" s="34"/>
      <c r="HSX222" s="34"/>
      <c r="HSY222" s="36"/>
      <c r="HSZ222" s="36"/>
      <c r="HTA222" s="37"/>
      <c r="HTB222" s="37"/>
      <c r="HTC222" s="38"/>
      <c r="HTD222" s="38"/>
      <c r="HTE222" s="39"/>
      <c r="HTF222" s="34"/>
      <c r="HTG222" s="34"/>
      <c r="HTH222" s="34"/>
      <c r="HTI222" s="35"/>
      <c r="HTJ222" s="35"/>
      <c r="HTK222" s="35"/>
      <c r="HTL222" s="35"/>
      <c r="HTM222" s="35"/>
      <c r="HTN222" s="34"/>
      <c r="HTO222" s="34"/>
      <c r="HTP222" s="36"/>
      <c r="HTQ222" s="36"/>
      <c r="HTR222" s="37"/>
      <c r="HTS222" s="37"/>
      <c r="HTT222" s="38"/>
      <c r="HTU222" s="38"/>
      <c r="HTV222" s="39"/>
      <c r="HTW222" s="34"/>
      <c r="HTX222" s="34"/>
      <c r="HTY222" s="34"/>
      <c r="HTZ222" s="35"/>
      <c r="HUA222" s="35"/>
      <c r="HUB222" s="35"/>
      <c r="HUC222" s="35"/>
      <c r="HUD222" s="35"/>
      <c r="HUE222" s="34"/>
      <c r="HUF222" s="34"/>
      <c r="HUG222" s="36"/>
      <c r="HUH222" s="36"/>
      <c r="HUI222" s="37"/>
      <c r="HUJ222" s="37"/>
      <c r="HUK222" s="38"/>
      <c r="HUL222" s="38"/>
      <c r="HUM222" s="39"/>
      <c r="HUN222" s="34"/>
      <c r="HUO222" s="34"/>
      <c r="HUP222" s="34"/>
      <c r="HUQ222" s="35"/>
      <c r="HUR222" s="35"/>
      <c r="HUS222" s="35"/>
      <c r="HUT222" s="35"/>
      <c r="HUU222" s="35"/>
      <c r="HUV222" s="34"/>
      <c r="HUW222" s="34"/>
      <c r="HUX222" s="36"/>
      <c r="HUY222" s="36"/>
      <c r="HUZ222" s="37"/>
      <c r="HVA222" s="37"/>
      <c r="HVB222" s="38"/>
      <c r="HVC222" s="38"/>
      <c r="HVD222" s="39"/>
      <c r="HVE222" s="34"/>
      <c r="HVF222" s="34"/>
      <c r="HVG222" s="34"/>
      <c r="HVH222" s="35"/>
      <c r="HVI222" s="35"/>
      <c r="HVJ222" s="35"/>
      <c r="HVK222" s="35"/>
      <c r="HVL222" s="35"/>
      <c r="HVM222" s="34"/>
      <c r="HVN222" s="34"/>
      <c r="HVO222" s="36"/>
      <c r="HVP222" s="36"/>
      <c r="HVQ222" s="37"/>
      <c r="HVR222" s="37"/>
      <c r="HVS222" s="38"/>
      <c r="HVT222" s="38"/>
      <c r="HVU222" s="39"/>
      <c r="HVV222" s="34"/>
      <c r="HVW222" s="34"/>
      <c r="HVX222" s="34"/>
      <c r="HVY222" s="35"/>
      <c r="HVZ222" s="35"/>
      <c r="HWA222" s="35"/>
      <c r="HWB222" s="35"/>
      <c r="HWC222" s="35"/>
      <c r="HWD222" s="34"/>
      <c r="HWE222" s="34"/>
      <c r="HWF222" s="36"/>
      <c r="HWG222" s="36"/>
      <c r="HWH222" s="37"/>
      <c r="HWI222" s="37"/>
      <c r="HWJ222" s="38"/>
      <c r="HWK222" s="38"/>
      <c r="HWL222" s="39"/>
      <c r="HWM222" s="34"/>
      <c r="HWN222" s="34"/>
      <c r="HWO222" s="34"/>
      <c r="HWP222" s="35"/>
      <c r="HWQ222" s="35"/>
      <c r="HWR222" s="35"/>
      <c r="HWS222" s="35"/>
      <c r="HWT222" s="35"/>
      <c r="HWU222" s="34"/>
      <c r="HWV222" s="34"/>
      <c r="HWW222" s="36"/>
      <c r="HWX222" s="36"/>
      <c r="HWY222" s="37"/>
      <c r="HWZ222" s="37"/>
      <c r="HXA222" s="38"/>
      <c r="HXB222" s="38"/>
      <c r="HXC222" s="39"/>
      <c r="HXD222" s="34"/>
      <c r="HXE222" s="34"/>
      <c r="HXF222" s="34"/>
      <c r="HXG222" s="35"/>
      <c r="HXH222" s="35"/>
      <c r="HXI222" s="35"/>
      <c r="HXJ222" s="35"/>
      <c r="HXK222" s="35"/>
      <c r="HXL222" s="34"/>
      <c r="HXM222" s="34"/>
      <c r="HXN222" s="36"/>
      <c r="HXO222" s="36"/>
      <c r="HXP222" s="37"/>
      <c r="HXQ222" s="37"/>
      <c r="HXR222" s="38"/>
      <c r="HXS222" s="38"/>
      <c r="HXT222" s="39"/>
      <c r="HXU222" s="34"/>
      <c r="HXV222" s="34"/>
      <c r="HXW222" s="34"/>
      <c r="HXX222" s="35"/>
      <c r="HXY222" s="35"/>
      <c r="HXZ222" s="35"/>
      <c r="HYA222" s="35"/>
      <c r="HYB222" s="35"/>
      <c r="HYC222" s="34"/>
      <c r="HYD222" s="34"/>
      <c r="HYE222" s="36"/>
      <c r="HYF222" s="36"/>
      <c r="HYG222" s="37"/>
      <c r="HYH222" s="37"/>
      <c r="HYI222" s="38"/>
      <c r="HYJ222" s="38"/>
      <c r="HYK222" s="39"/>
      <c r="HYL222" s="34"/>
      <c r="HYM222" s="34"/>
      <c r="HYN222" s="34"/>
      <c r="HYO222" s="35"/>
      <c r="HYP222" s="35"/>
      <c r="HYQ222" s="35"/>
      <c r="HYR222" s="35"/>
      <c r="HYS222" s="35"/>
      <c r="HYT222" s="34"/>
      <c r="HYU222" s="34"/>
      <c r="HYV222" s="36"/>
      <c r="HYW222" s="36"/>
      <c r="HYX222" s="37"/>
      <c r="HYY222" s="37"/>
      <c r="HYZ222" s="38"/>
      <c r="HZA222" s="38"/>
      <c r="HZB222" s="39"/>
      <c r="HZC222" s="34"/>
      <c r="HZD222" s="34"/>
      <c r="HZE222" s="34"/>
      <c r="HZF222" s="35"/>
      <c r="HZG222" s="35"/>
      <c r="HZH222" s="35"/>
      <c r="HZI222" s="35"/>
      <c r="HZJ222" s="35"/>
      <c r="HZK222" s="34"/>
      <c r="HZL222" s="34"/>
      <c r="HZM222" s="36"/>
      <c r="HZN222" s="36"/>
      <c r="HZO222" s="37"/>
      <c r="HZP222" s="37"/>
      <c r="HZQ222" s="38"/>
      <c r="HZR222" s="38"/>
      <c r="HZS222" s="39"/>
      <c r="HZT222" s="34"/>
      <c r="HZU222" s="34"/>
      <c r="HZV222" s="34"/>
      <c r="HZW222" s="35"/>
      <c r="HZX222" s="35"/>
      <c r="HZY222" s="35"/>
      <c r="HZZ222" s="35"/>
      <c r="IAA222" s="35"/>
      <c r="IAB222" s="34"/>
      <c r="IAC222" s="34"/>
      <c r="IAD222" s="36"/>
      <c r="IAE222" s="36"/>
      <c r="IAF222" s="37"/>
      <c r="IAG222" s="37"/>
      <c r="IAH222" s="38"/>
      <c r="IAI222" s="38"/>
      <c r="IAJ222" s="39"/>
      <c r="IAK222" s="34"/>
      <c r="IAL222" s="34"/>
      <c r="IAM222" s="34"/>
      <c r="IAN222" s="35"/>
      <c r="IAO222" s="35"/>
      <c r="IAP222" s="35"/>
      <c r="IAQ222" s="35"/>
      <c r="IAR222" s="35"/>
      <c r="IAS222" s="34"/>
      <c r="IAT222" s="34"/>
      <c r="IAU222" s="36"/>
      <c r="IAV222" s="36"/>
      <c r="IAW222" s="37"/>
      <c r="IAX222" s="37"/>
      <c r="IAY222" s="38"/>
      <c r="IAZ222" s="38"/>
      <c r="IBA222" s="39"/>
      <c r="IBB222" s="34"/>
      <c r="IBC222" s="34"/>
      <c r="IBD222" s="34"/>
      <c r="IBE222" s="35"/>
      <c r="IBF222" s="35"/>
      <c r="IBG222" s="35"/>
      <c r="IBH222" s="35"/>
      <c r="IBI222" s="35"/>
      <c r="IBJ222" s="34"/>
      <c r="IBK222" s="34"/>
      <c r="IBL222" s="36"/>
      <c r="IBM222" s="36"/>
      <c r="IBN222" s="37"/>
      <c r="IBO222" s="37"/>
      <c r="IBP222" s="38"/>
      <c r="IBQ222" s="38"/>
      <c r="IBR222" s="39"/>
      <c r="IBS222" s="34"/>
      <c r="IBT222" s="34"/>
      <c r="IBU222" s="34"/>
      <c r="IBV222" s="35"/>
      <c r="IBW222" s="35"/>
      <c r="IBX222" s="35"/>
      <c r="IBY222" s="35"/>
      <c r="IBZ222" s="35"/>
      <c r="ICA222" s="34"/>
      <c r="ICB222" s="34"/>
      <c r="ICC222" s="36"/>
      <c r="ICD222" s="36"/>
      <c r="ICE222" s="37"/>
      <c r="ICF222" s="37"/>
      <c r="ICG222" s="38"/>
      <c r="ICH222" s="38"/>
      <c r="ICI222" s="39"/>
      <c r="ICJ222" s="34"/>
      <c r="ICK222" s="34"/>
      <c r="ICL222" s="34"/>
      <c r="ICM222" s="35"/>
      <c r="ICN222" s="35"/>
      <c r="ICO222" s="35"/>
      <c r="ICP222" s="35"/>
      <c r="ICQ222" s="35"/>
      <c r="ICR222" s="34"/>
      <c r="ICS222" s="34"/>
      <c r="ICT222" s="36"/>
      <c r="ICU222" s="36"/>
      <c r="ICV222" s="37"/>
      <c r="ICW222" s="37"/>
      <c r="ICX222" s="38"/>
      <c r="ICY222" s="38"/>
      <c r="ICZ222" s="39"/>
      <c r="IDA222" s="34"/>
      <c r="IDB222" s="34"/>
      <c r="IDC222" s="34"/>
      <c r="IDD222" s="35"/>
      <c r="IDE222" s="35"/>
      <c r="IDF222" s="35"/>
      <c r="IDG222" s="35"/>
      <c r="IDH222" s="35"/>
      <c r="IDI222" s="34"/>
      <c r="IDJ222" s="34"/>
      <c r="IDK222" s="36"/>
      <c r="IDL222" s="36"/>
      <c r="IDM222" s="37"/>
      <c r="IDN222" s="37"/>
      <c r="IDO222" s="38"/>
      <c r="IDP222" s="38"/>
      <c r="IDQ222" s="39"/>
      <c r="IDR222" s="34"/>
      <c r="IDS222" s="34"/>
      <c r="IDT222" s="34"/>
      <c r="IDU222" s="35"/>
      <c r="IDV222" s="35"/>
      <c r="IDW222" s="35"/>
      <c r="IDX222" s="35"/>
      <c r="IDY222" s="35"/>
      <c r="IDZ222" s="34"/>
      <c r="IEA222" s="34"/>
      <c r="IEB222" s="36"/>
      <c r="IEC222" s="36"/>
      <c r="IED222" s="37"/>
      <c r="IEE222" s="37"/>
      <c r="IEF222" s="38"/>
      <c r="IEG222" s="38"/>
      <c r="IEH222" s="39"/>
      <c r="IEI222" s="34"/>
      <c r="IEJ222" s="34"/>
      <c r="IEK222" s="34"/>
      <c r="IEL222" s="35"/>
      <c r="IEM222" s="35"/>
      <c r="IEN222" s="35"/>
      <c r="IEO222" s="35"/>
      <c r="IEP222" s="35"/>
      <c r="IEQ222" s="34"/>
      <c r="IER222" s="34"/>
      <c r="IES222" s="36"/>
      <c r="IET222" s="36"/>
      <c r="IEU222" s="37"/>
      <c r="IEV222" s="37"/>
      <c r="IEW222" s="38"/>
      <c r="IEX222" s="38"/>
      <c r="IEY222" s="39"/>
      <c r="IEZ222" s="34"/>
      <c r="IFA222" s="34"/>
      <c r="IFB222" s="34"/>
      <c r="IFC222" s="35"/>
      <c r="IFD222" s="35"/>
      <c r="IFE222" s="35"/>
      <c r="IFF222" s="35"/>
      <c r="IFG222" s="35"/>
      <c r="IFH222" s="34"/>
      <c r="IFI222" s="34"/>
      <c r="IFJ222" s="36"/>
      <c r="IFK222" s="36"/>
      <c r="IFL222" s="37"/>
      <c r="IFM222" s="37"/>
      <c r="IFN222" s="38"/>
      <c r="IFO222" s="38"/>
      <c r="IFP222" s="39"/>
      <c r="IFQ222" s="34"/>
      <c r="IFR222" s="34"/>
      <c r="IFS222" s="34"/>
      <c r="IFT222" s="35"/>
      <c r="IFU222" s="35"/>
      <c r="IFV222" s="35"/>
      <c r="IFW222" s="35"/>
      <c r="IFX222" s="35"/>
      <c r="IFY222" s="34"/>
      <c r="IFZ222" s="34"/>
      <c r="IGA222" s="36"/>
      <c r="IGB222" s="36"/>
      <c r="IGC222" s="37"/>
      <c r="IGD222" s="37"/>
      <c r="IGE222" s="38"/>
      <c r="IGF222" s="38"/>
      <c r="IGG222" s="39"/>
      <c r="IGH222" s="34"/>
      <c r="IGI222" s="34"/>
      <c r="IGJ222" s="34"/>
      <c r="IGK222" s="35"/>
      <c r="IGL222" s="35"/>
      <c r="IGM222" s="35"/>
      <c r="IGN222" s="35"/>
      <c r="IGO222" s="35"/>
      <c r="IGP222" s="34"/>
      <c r="IGQ222" s="34"/>
      <c r="IGR222" s="36"/>
      <c r="IGS222" s="36"/>
      <c r="IGT222" s="37"/>
      <c r="IGU222" s="37"/>
      <c r="IGV222" s="38"/>
      <c r="IGW222" s="38"/>
      <c r="IGX222" s="39"/>
      <c r="IGY222" s="34"/>
      <c r="IGZ222" s="34"/>
      <c r="IHA222" s="34"/>
      <c r="IHB222" s="35"/>
      <c r="IHC222" s="35"/>
      <c r="IHD222" s="35"/>
      <c r="IHE222" s="35"/>
      <c r="IHF222" s="35"/>
      <c r="IHG222" s="34"/>
      <c r="IHH222" s="34"/>
      <c r="IHI222" s="36"/>
      <c r="IHJ222" s="36"/>
      <c r="IHK222" s="37"/>
      <c r="IHL222" s="37"/>
      <c r="IHM222" s="38"/>
      <c r="IHN222" s="38"/>
      <c r="IHO222" s="39"/>
      <c r="IHP222" s="34"/>
      <c r="IHQ222" s="34"/>
      <c r="IHR222" s="34"/>
      <c r="IHS222" s="35"/>
      <c r="IHT222" s="35"/>
      <c r="IHU222" s="35"/>
      <c r="IHV222" s="35"/>
      <c r="IHW222" s="35"/>
      <c r="IHX222" s="34"/>
      <c r="IHY222" s="34"/>
      <c r="IHZ222" s="36"/>
      <c r="IIA222" s="36"/>
      <c r="IIB222" s="37"/>
      <c r="IIC222" s="37"/>
      <c r="IID222" s="38"/>
      <c r="IIE222" s="38"/>
      <c r="IIF222" s="39"/>
      <c r="IIG222" s="34"/>
      <c r="IIH222" s="34"/>
      <c r="III222" s="34"/>
      <c r="IIJ222" s="35"/>
      <c r="IIK222" s="35"/>
      <c r="IIL222" s="35"/>
      <c r="IIM222" s="35"/>
      <c r="IIN222" s="35"/>
      <c r="IIO222" s="34"/>
      <c r="IIP222" s="34"/>
      <c r="IIQ222" s="36"/>
      <c r="IIR222" s="36"/>
      <c r="IIS222" s="37"/>
      <c r="IIT222" s="37"/>
      <c r="IIU222" s="38"/>
      <c r="IIV222" s="38"/>
      <c r="IIW222" s="39"/>
      <c r="IIX222" s="34"/>
      <c r="IIY222" s="34"/>
      <c r="IIZ222" s="34"/>
      <c r="IJA222" s="35"/>
      <c r="IJB222" s="35"/>
      <c r="IJC222" s="35"/>
      <c r="IJD222" s="35"/>
      <c r="IJE222" s="35"/>
      <c r="IJF222" s="34"/>
      <c r="IJG222" s="34"/>
      <c r="IJH222" s="36"/>
      <c r="IJI222" s="36"/>
      <c r="IJJ222" s="37"/>
      <c r="IJK222" s="37"/>
      <c r="IJL222" s="38"/>
      <c r="IJM222" s="38"/>
      <c r="IJN222" s="39"/>
      <c r="IJO222" s="34"/>
      <c r="IJP222" s="34"/>
      <c r="IJQ222" s="34"/>
      <c r="IJR222" s="35"/>
      <c r="IJS222" s="35"/>
      <c r="IJT222" s="35"/>
      <c r="IJU222" s="35"/>
      <c r="IJV222" s="35"/>
      <c r="IJW222" s="34"/>
      <c r="IJX222" s="34"/>
      <c r="IJY222" s="36"/>
      <c r="IJZ222" s="36"/>
      <c r="IKA222" s="37"/>
      <c r="IKB222" s="37"/>
      <c r="IKC222" s="38"/>
      <c r="IKD222" s="38"/>
      <c r="IKE222" s="39"/>
      <c r="IKF222" s="34"/>
      <c r="IKG222" s="34"/>
      <c r="IKH222" s="34"/>
      <c r="IKI222" s="35"/>
      <c r="IKJ222" s="35"/>
      <c r="IKK222" s="35"/>
      <c r="IKL222" s="35"/>
      <c r="IKM222" s="35"/>
      <c r="IKN222" s="34"/>
      <c r="IKO222" s="34"/>
      <c r="IKP222" s="36"/>
      <c r="IKQ222" s="36"/>
      <c r="IKR222" s="37"/>
      <c r="IKS222" s="37"/>
      <c r="IKT222" s="38"/>
      <c r="IKU222" s="38"/>
      <c r="IKV222" s="39"/>
      <c r="IKW222" s="34"/>
      <c r="IKX222" s="34"/>
      <c r="IKY222" s="34"/>
      <c r="IKZ222" s="35"/>
      <c r="ILA222" s="35"/>
      <c r="ILB222" s="35"/>
      <c r="ILC222" s="35"/>
      <c r="ILD222" s="35"/>
      <c r="ILE222" s="34"/>
      <c r="ILF222" s="34"/>
      <c r="ILG222" s="36"/>
      <c r="ILH222" s="36"/>
      <c r="ILI222" s="37"/>
      <c r="ILJ222" s="37"/>
      <c r="ILK222" s="38"/>
      <c r="ILL222" s="38"/>
      <c r="ILM222" s="39"/>
      <c r="ILN222" s="34"/>
      <c r="ILO222" s="34"/>
      <c r="ILP222" s="34"/>
      <c r="ILQ222" s="35"/>
      <c r="ILR222" s="35"/>
      <c r="ILS222" s="35"/>
      <c r="ILT222" s="35"/>
      <c r="ILU222" s="35"/>
      <c r="ILV222" s="34"/>
      <c r="ILW222" s="34"/>
      <c r="ILX222" s="36"/>
      <c r="ILY222" s="36"/>
      <c r="ILZ222" s="37"/>
      <c r="IMA222" s="37"/>
      <c r="IMB222" s="38"/>
      <c r="IMC222" s="38"/>
      <c r="IMD222" s="39"/>
      <c r="IME222" s="34"/>
      <c r="IMF222" s="34"/>
      <c r="IMG222" s="34"/>
      <c r="IMH222" s="35"/>
      <c r="IMI222" s="35"/>
      <c r="IMJ222" s="35"/>
      <c r="IMK222" s="35"/>
      <c r="IML222" s="35"/>
      <c r="IMM222" s="34"/>
      <c r="IMN222" s="34"/>
      <c r="IMO222" s="36"/>
      <c r="IMP222" s="36"/>
      <c r="IMQ222" s="37"/>
      <c r="IMR222" s="37"/>
      <c r="IMS222" s="38"/>
      <c r="IMT222" s="38"/>
      <c r="IMU222" s="39"/>
      <c r="IMV222" s="34"/>
      <c r="IMW222" s="34"/>
      <c r="IMX222" s="34"/>
      <c r="IMY222" s="35"/>
      <c r="IMZ222" s="35"/>
      <c r="INA222" s="35"/>
      <c r="INB222" s="35"/>
      <c r="INC222" s="35"/>
      <c r="IND222" s="34"/>
      <c r="INE222" s="34"/>
      <c r="INF222" s="36"/>
      <c r="ING222" s="36"/>
      <c r="INH222" s="37"/>
      <c r="INI222" s="37"/>
      <c r="INJ222" s="38"/>
      <c r="INK222" s="38"/>
      <c r="INL222" s="39"/>
      <c r="INM222" s="34"/>
      <c r="INN222" s="34"/>
      <c r="INO222" s="34"/>
      <c r="INP222" s="35"/>
      <c r="INQ222" s="35"/>
      <c r="INR222" s="35"/>
      <c r="INS222" s="35"/>
      <c r="INT222" s="35"/>
      <c r="INU222" s="34"/>
      <c r="INV222" s="34"/>
      <c r="INW222" s="36"/>
      <c r="INX222" s="36"/>
      <c r="INY222" s="37"/>
      <c r="INZ222" s="37"/>
      <c r="IOA222" s="38"/>
      <c r="IOB222" s="38"/>
      <c r="IOC222" s="39"/>
      <c r="IOD222" s="34"/>
      <c r="IOE222" s="34"/>
      <c r="IOF222" s="34"/>
      <c r="IOG222" s="35"/>
      <c r="IOH222" s="35"/>
      <c r="IOI222" s="35"/>
      <c r="IOJ222" s="35"/>
      <c r="IOK222" s="35"/>
      <c r="IOL222" s="34"/>
      <c r="IOM222" s="34"/>
      <c r="ION222" s="36"/>
      <c r="IOO222" s="36"/>
      <c r="IOP222" s="37"/>
      <c r="IOQ222" s="37"/>
      <c r="IOR222" s="38"/>
      <c r="IOS222" s="38"/>
      <c r="IOT222" s="39"/>
      <c r="IOU222" s="34"/>
      <c r="IOV222" s="34"/>
      <c r="IOW222" s="34"/>
      <c r="IOX222" s="35"/>
      <c r="IOY222" s="35"/>
      <c r="IOZ222" s="35"/>
      <c r="IPA222" s="35"/>
      <c r="IPB222" s="35"/>
      <c r="IPC222" s="34"/>
      <c r="IPD222" s="34"/>
      <c r="IPE222" s="36"/>
      <c r="IPF222" s="36"/>
      <c r="IPG222" s="37"/>
      <c r="IPH222" s="37"/>
      <c r="IPI222" s="38"/>
      <c r="IPJ222" s="38"/>
      <c r="IPK222" s="39"/>
      <c r="IPL222" s="34"/>
      <c r="IPM222" s="34"/>
      <c r="IPN222" s="34"/>
      <c r="IPO222" s="35"/>
      <c r="IPP222" s="35"/>
      <c r="IPQ222" s="35"/>
      <c r="IPR222" s="35"/>
      <c r="IPS222" s="35"/>
      <c r="IPT222" s="34"/>
      <c r="IPU222" s="34"/>
      <c r="IPV222" s="36"/>
      <c r="IPW222" s="36"/>
      <c r="IPX222" s="37"/>
      <c r="IPY222" s="37"/>
      <c r="IPZ222" s="38"/>
      <c r="IQA222" s="38"/>
      <c r="IQB222" s="39"/>
      <c r="IQC222" s="34"/>
      <c r="IQD222" s="34"/>
      <c r="IQE222" s="34"/>
      <c r="IQF222" s="35"/>
      <c r="IQG222" s="35"/>
      <c r="IQH222" s="35"/>
      <c r="IQI222" s="35"/>
      <c r="IQJ222" s="35"/>
      <c r="IQK222" s="34"/>
      <c r="IQL222" s="34"/>
      <c r="IQM222" s="36"/>
      <c r="IQN222" s="36"/>
      <c r="IQO222" s="37"/>
      <c r="IQP222" s="37"/>
      <c r="IQQ222" s="38"/>
      <c r="IQR222" s="38"/>
      <c r="IQS222" s="39"/>
      <c r="IQT222" s="34"/>
      <c r="IQU222" s="34"/>
      <c r="IQV222" s="34"/>
      <c r="IQW222" s="35"/>
      <c r="IQX222" s="35"/>
      <c r="IQY222" s="35"/>
      <c r="IQZ222" s="35"/>
      <c r="IRA222" s="35"/>
      <c r="IRB222" s="34"/>
      <c r="IRC222" s="34"/>
      <c r="IRD222" s="36"/>
      <c r="IRE222" s="36"/>
      <c r="IRF222" s="37"/>
      <c r="IRG222" s="37"/>
      <c r="IRH222" s="38"/>
      <c r="IRI222" s="38"/>
      <c r="IRJ222" s="39"/>
      <c r="IRK222" s="34"/>
      <c r="IRL222" s="34"/>
      <c r="IRM222" s="34"/>
      <c r="IRN222" s="35"/>
      <c r="IRO222" s="35"/>
      <c r="IRP222" s="35"/>
      <c r="IRQ222" s="35"/>
      <c r="IRR222" s="35"/>
      <c r="IRS222" s="34"/>
      <c r="IRT222" s="34"/>
      <c r="IRU222" s="36"/>
      <c r="IRV222" s="36"/>
      <c r="IRW222" s="37"/>
      <c r="IRX222" s="37"/>
      <c r="IRY222" s="38"/>
      <c r="IRZ222" s="38"/>
      <c r="ISA222" s="39"/>
      <c r="ISB222" s="34"/>
      <c r="ISC222" s="34"/>
      <c r="ISD222" s="34"/>
      <c r="ISE222" s="35"/>
      <c r="ISF222" s="35"/>
      <c r="ISG222" s="35"/>
      <c r="ISH222" s="35"/>
      <c r="ISI222" s="35"/>
      <c r="ISJ222" s="34"/>
      <c r="ISK222" s="34"/>
      <c r="ISL222" s="36"/>
      <c r="ISM222" s="36"/>
      <c r="ISN222" s="37"/>
      <c r="ISO222" s="37"/>
      <c r="ISP222" s="38"/>
      <c r="ISQ222" s="38"/>
      <c r="ISR222" s="39"/>
      <c r="ISS222" s="34"/>
      <c r="IST222" s="34"/>
      <c r="ISU222" s="34"/>
      <c r="ISV222" s="35"/>
      <c r="ISW222" s="35"/>
      <c r="ISX222" s="35"/>
      <c r="ISY222" s="35"/>
      <c r="ISZ222" s="35"/>
      <c r="ITA222" s="34"/>
      <c r="ITB222" s="34"/>
      <c r="ITC222" s="36"/>
      <c r="ITD222" s="36"/>
      <c r="ITE222" s="37"/>
      <c r="ITF222" s="37"/>
      <c r="ITG222" s="38"/>
      <c r="ITH222" s="38"/>
      <c r="ITI222" s="39"/>
      <c r="ITJ222" s="34"/>
      <c r="ITK222" s="34"/>
      <c r="ITL222" s="34"/>
      <c r="ITM222" s="35"/>
      <c r="ITN222" s="35"/>
      <c r="ITO222" s="35"/>
      <c r="ITP222" s="35"/>
      <c r="ITQ222" s="35"/>
      <c r="ITR222" s="34"/>
      <c r="ITS222" s="34"/>
      <c r="ITT222" s="36"/>
      <c r="ITU222" s="36"/>
      <c r="ITV222" s="37"/>
      <c r="ITW222" s="37"/>
      <c r="ITX222" s="38"/>
      <c r="ITY222" s="38"/>
      <c r="ITZ222" s="39"/>
      <c r="IUA222" s="34"/>
      <c r="IUB222" s="34"/>
      <c r="IUC222" s="34"/>
      <c r="IUD222" s="35"/>
      <c r="IUE222" s="35"/>
      <c r="IUF222" s="35"/>
      <c r="IUG222" s="35"/>
      <c r="IUH222" s="35"/>
      <c r="IUI222" s="34"/>
      <c r="IUJ222" s="34"/>
      <c r="IUK222" s="36"/>
      <c r="IUL222" s="36"/>
      <c r="IUM222" s="37"/>
      <c r="IUN222" s="37"/>
      <c r="IUO222" s="38"/>
      <c r="IUP222" s="38"/>
      <c r="IUQ222" s="39"/>
      <c r="IUR222" s="34"/>
      <c r="IUS222" s="34"/>
      <c r="IUT222" s="34"/>
      <c r="IUU222" s="35"/>
      <c r="IUV222" s="35"/>
      <c r="IUW222" s="35"/>
      <c r="IUX222" s="35"/>
      <c r="IUY222" s="35"/>
      <c r="IUZ222" s="34"/>
      <c r="IVA222" s="34"/>
      <c r="IVB222" s="36"/>
      <c r="IVC222" s="36"/>
      <c r="IVD222" s="37"/>
      <c r="IVE222" s="37"/>
      <c r="IVF222" s="38"/>
      <c r="IVG222" s="38"/>
      <c r="IVH222" s="39"/>
      <c r="IVI222" s="34"/>
      <c r="IVJ222" s="34"/>
      <c r="IVK222" s="34"/>
      <c r="IVL222" s="35"/>
      <c r="IVM222" s="35"/>
      <c r="IVN222" s="35"/>
      <c r="IVO222" s="35"/>
      <c r="IVP222" s="35"/>
      <c r="IVQ222" s="34"/>
      <c r="IVR222" s="34"/>
      <c r="IVS222" s="36"/>
      <c r="IVT222" s="36"/>
      <c r="IVU222" s="37"/>
      <c r="IVV222" s="37"/>
      <c r="IVW222" s="38"/>
      <c r="IVX222" s="38"/>
      <c r="IVY222" s="39"/>
      <c r="IVZ222" s="34"/>
      <c r="IWA222" s="34"/>
      <c r="IWB222" s="34"/>
      <c r="IWC222" s="35"/>
      <c r="IWD222" s="35"/>
      <c r="IWE222" s="35"/>
      <c r="IWF222" s="35"/>
      <c r="IWG222" s="35"/>
      <c r="IWH222" s="34"/>
      <c r="IWI222" s="34"/>
      <c r="IWJ222" s="36"/>
      <c r="IWK222" s="36"/>
      <c r="IWL222" s="37"/>
      <c r="IWM222" s="37"/>
      <c r="IWN222" s="38"/>
      <c r="IWO222" s="38"/>
      <c r="IWP222" s="39"/>
      <c r="IWQ222" s="34"/>
      <c r="IWR222" s="34"/>
      <c r="IWS222" s="34"/>
      <c r="IWT222" s="35"/>
      <c r="IWU222" s="35"/>
      <c r="IWV222" s="35"/>
      <c r="IWW222" s="35"/>
      <c r="IWX222" s="35"/>
      <c r="IWY222" s="34"/>
      <c r="IWZ222" s="34"/>
      <c r="IXA222" s="36"/>
      <c r="IXB222" s="36"/>
      <c r="IXC222" s="37"/>
      <c r="IXD222" s="37"/>
      <c r="IXE222" s="38"/>
      <c r="IXF222" s="38"/>
      <c r="IXG222" s="39"/>
      <c r="IXH222" s="34"/>
      <c r="IXI222" s="34"/>
      <c r="IXJ222" s="34"/>
      <c r="IXK222" s="35"/>
      <c r="IXL222" s="35"/>
      <c r="IXM222" s="35"/>
      <c r="IXN222" s="35"/>
      <c r="IXO222" s="35"/>
      <c r="IXP222" s="34"/>
      <c r="IXQ222" s="34"/>
      <c r="IXR222" s="36"/>
      <c r="IXS222" s="36"/>
      <c r="IXT222" s="37"/>
      <c r="IXU222" s="37"/>
      <c r="IXV222" s="38"/>
      <c r="IXW222" s="38"/>
      <c r="IXX222" s="39"/>
      <c r="IXY222" s="34"/>
      <c r="IXZ222" s="34"/>
      <c r="IYA222" s="34"/>
      <c r="IYB222" s="35"/>
      <c r="IYC222" s="35"/>
      <c r="IYD222" s="35"/>
      <c r="IYE222" s="35"/>
      <c r="IYF222" s="35"/>
      <c r="IYG222" s="34"/>
      <c r="IYH222" s="34"/>
      <c r="IYI222" s="36"/>
      <c r="IYJ222" s="36"/>
      <c r="IYK222" s="37"/>
      <c r="IYL222" s="37"/>
      <c r="IYM222" s="38"/>
      <c r="IYN222" s="38"/>
      <c r="IYO222" s="39"/>
      <c r="IYP222" s="34"/>
      <c r="IYQ222" s="34"/>
      <c r="IYR222" s="34"/>
      <c r="IYS222" s="35"/>
      <c r="IYT222" s="35"/>
      <c r="IYU222" s="35"/>
      <c r="IYV222" s="35"/>
      <c r="IYW222" s="35"/>
      <c r="IYX222" s="34"/>
      <c r="IYY222" s="34"/>
      <c r="IYZ222" s="36"/>
      <c r="IZA222" s="36"/>
      <c r="IZB222" s="37"/>
      <c r="IZC222" s="37"/>
      <c r="IZD222" s="38"/>
      <c r="IZE222" s="38"/>
      <c r="IZF222" s="39"/>
      <c r="IZG222" s="34"/>
      <c r="IZH222" s="34"/>
      <c r="IZI222" s="34"/>
      <c r="IZJ222" s="35"/>
      <c r="IZK222" s="35"/>
      <c r="IZL222" s="35"/>
      <c r="IZM222" s="35"/>
      <c r="IZN222" s="35"/>
      <c r="IZO222" s="34"/>
      <c r="IZP222" s="34"/>
      <c r="IZQ222" s="36"/>
      <c r="IZR222" s="36"/>
      <c r="IZS222" s="37"/>
      <c r="IZT222" s="37"/>
      <c r="IZU222" s="38"/>
      <c r="IZV222" s="38"/>
      <c r="IZW222" s="39"/>
      <c r="IZX222" s="34"/>
      <c r="IZY222" s="34"/>
      <c r="IZZ222" s="34"/>
      <c r="JAA222" s="35"/>
      <c r="JAB222" s="35"/>
      <c r="JAC222" s="35"/>
      <c r="JAD222" s="35"/>
      <c r="JAE222" s="35"/>
      <c r="JAF222" s="34"/>
      <c r="JAG222" s="34"/>
      <c r="JAH222" s="36"/>
      <c r="JAI222" s="36"/>
      <c r="JAJ222" s="37"/>
      <c r="JAK222" s="37"/>
      <c r="JAL222" s="38"/>
      <c r="JAM222" s="38"/>
      <c r="JAN222" s="39"/>
      <c r="JAO222" s="34"/>
      <c r="JAP222" s="34"/>
      <c r="JAQ222" s="34"/>
      <c r="JAR222" s="35"/>
      <c r="JAS222" s="35"/>
      <c r="JAT222" s="35"/>
      <c r="JAU222" s="35"/>
      <c r="JAV222" s="35"/>
      <c r="JAW222" s="34"/>
      <c r="JAX222" s="34"/>
      <c r="JAY222" s="36"/>
      <c r="JAZ222" s="36"/>
      <c r="JBA222" s="37"/>
      <c r="JBB222" s="37"/>
      <c r="JBC222" s="38"/>
      <c r="JBD222" s="38"/>
      <c r="JBE222" s="39"/>
      <c r="JBF222" s="34"/>
      <c r="JBG222" s="34"/>
      <c r="JBH222" s="34"/>
      <c r="JBI222" s="35"/>
      <c r="JBJ222" s="35"/>
      <c r="JBK222" s="35"/>
      <c r="JBL222" s="35"/>
      <c r="JBM222" s="35"/>
      <c r="JBN222" s="34"/>
      <c r="JBO222" s="34"/>
      <c r="JBP222" s="36"/>
      <c r="JBQ222" s="36"/>
      <c r="JBR222" s="37"/>
      <c r="JBS222" s="37"/>
      <c r="JBT222" s="38"/>
      <c r="JBU222" s="38"/>
      <c r="JBV222" s="39"/>
      <c r="JBW222" s="34"/>
      <c r="JBX222" s="34"/>
      <c r="JBY222" s="34"/>
      <c r="JBZ222" s="35"/>
      <c r="JCA222" s="35"/>
      <c r="JCB222" s="35"/>
      <c r="JCC222" s="35"/>
      <c r="JCD222" s="35"/>
      <c r="JCE222" s="34"/>
      <c r="JCF222" s="34"/>
      <c r="JCG222" s="36"/>
      <c r="JCH222" s="36"/>
      <c r="JCI222" s="37"/>
      <c r="JCJ222" s="37"/>
      <c r="JCK222" s="38"/>
      <c r="JCL222" s="38"/>
      <c r="JCM222" s="39"/>
      <c r="JCN222" s="34"/>
      <c r="JCO222" s="34"/>
      <c r="JCP222" s="34"/>
      <c r="JCQ222" s="35"/>
      <c r="JCR222" s="35"/>
      <c r="JCS222" s="35"/>
      <c r="JCT222" s="35"/>
      <c r="JCU222" s="35"/>
      <c r="JCV222" s="34"/>
      <c r="JCW222" s="34"/>
      <c r="JCX222" s="36"/>
      <c r="JCY222" s="36"/>
      <c r="JCZ222" s="37"/>
      <c r="JDA222" s="37"/>
      <c r="JDB222" s="38"/>
      <c r="JDC222" s="38"/>
      <c r="JDD222" s="39"/>
      <c r="JDE222" s="34"/>
      <c r="JDF222" s="34"/>
      <c r="JDG222" s="34"/>
      <c r="JDH222" s="35"/>
      <c r="JDI222" s="35"/>
      <c r="JDJ222" s="35"/>
      <c r="JDK222" s="35"/>
      <c r="JDL222" s="35"/>
      <c r="JDM222" s="34"/>
      <c r="JDN222" s="34"/>
      <c r="JDO222" s="36"/>
      <c r="JDP222" s="36"/>
      <c r="JDQ222" s="37"/>
      <c r="JDR222" s="37"/>
      <c r="JDS222" s="38"/>
      <c r="JDT222" s="38"/>
      <c r="JDU222" s="39"/>
      <c r="JDV222" s="34"/>
      <c r="JDW222" s="34"/>
      <c r="JDX222" s="34"/>
      <c r="JDY222" s="35"/>
      <c r="JDZ222" s="35"/>
      <c r="JEA222" s="35"/>
      <c r="JEB222" s="35"/>
      <c r="JEC222" s="35"/>
      <c r="JED222" s="34"/>
      <c r="JEE222" s="34"/>
      <c r="JEF222" s="36"/>
      <c r="JEG222" s="36"/>
      <c r="JEH222" s="37"/>
      <c r="JEI222" s="37"/>
      <c r="JEJ222" s="38"/>
      <c r="JEK222" s="38"/>
      <c r="JEL222" s="39"/>
      <c r="JEM222" s="34"/>
      <c r="JEN222" s="34"/>
      <c r="JEO222" s="34"/>
      <c r="JEP222" s="35"/>
      <c r="JEQ222" s="35"/>
      <c r="JER222" s="35"/>
      <c r="JES222" s="35"/>
      <c r="JET222" s="35"/>
      <c r="JEU222" s="34"/>
      <c r="JEV222" s="34"/>
      <c r="JEW222" s="36"/>
      <c r="JEX222" s="36"/>
      <c r="JEY222" s="37"/>
      <c r="JEZ222" s="37"/>
      <c r="JFA222" s="38"/>
      <c r="JFB222" s="38"/>
      <c r="JFC222" s="39"/>
      <c r="JFD222" s="34"/>
      <c r="JFE222" s="34"/>
      <c r="JFF222" s="34"/>
      <c r="JFG222" s="35"/>
      <c r="JFH222" s="35"/>
      <c r="JFI222" s="35"/>
      <c r="JFJ222" s="35"/>
      <c r="JFK222" s="35"/>
      <c r="JFL222" s="34"/>
      <c r="JFM222" s="34"/>
      <c r="JFN222" s="36"/>
      <c r="JFO222" s="36"/>
      <c r="JFP222" s="37"/>
      <c r="JFQ222" s="37"/>
      <c r="JFR222" s="38"/>
      <c r="JFS222" s="38"/>
      <c r="JFT222" s="39"/>
      <c r="JFU222" s="34"/>
      <c r="JFV222" s="34"/>
      <c r="JFW222" s="34"/>
      <c r="JFX222" s="35"/>
      <c r="JFY222" s="35"/>
      <c r="JFZ222" s="35"/>
      <c r="JGA222" s="35"/>
      <c r="JGB222" s="35"/>
      <c r="JGC222" s="34"/>
      <c r="JGD222" s="34"/>
      <c r="JGE222" s="36"/>
      <c r="JGF222" s="36"/>
      <c r="JGG222" s="37"/>
      <c r="JGH222" s="37"/>
      <c r="JGI222" s="38"/>
      <c r="JGJ222" s="38"/>
      <c r="JGK222" s="39"/>
      <c r="JGL222" s="34"/>
      <c r="JGM222" s="34"/>
      <c r="JGN222" s="34"/>
      <c r="JGO222" s="35"/>
      <c r="JGP222" s="35"/>
      <c r="JGQ222" s="35"/>
      <c r="JGR222" s="35"/>
      <c r="JGS222" s="35"/>
      <c r="JGT222" s="34"/>
      <c r="JGU222" s="34"/>
      <c r="JGV222" s="36"/>
      <c r="JGW222" s="36"/>
      <c r="JGX222" s="37"/>
      <c r="JGY222" s="37"/>
      <c r="JGZ222" s="38"/>
      <c r="JHA222" s="38"/>
      <c r="JHB222" s="39"/>
      <c r="JHC222" s="34"/>
      <c r="JHD222" s="34"/>
      <c r="JHE222" s="34"/>
      <c r="JHF222" s="35"/>
      <c r="JHG222" s="35"/>
      <c r="JHH222" s="35"/>
      <c r="JHI222" s="35"/>
      <c r="JHJ222" s="35"/>
      <c r="JHK222" s="34"/>
      <c r="JHL222" s="34"/>
      <c r="JHM222" s="36"/>
      <c r="JHN222" s="36"/>
      <c r="JHO222" s="37"/>
      <c r="JHP222" s="37"/>
      <c r="JHQ222" s="38"/>
      <c r="JHR222" s="38"/>
      <c r="JHS222" s="39"/>
      <c r="JHT222" s="34"/>
      <c r="JHU222" s="34"/>
      <c r="JHV222" s="34"/>
      <c r="JHW222" s="35"/>
      <c r="JHX222" s="35"/>
      <c r="JHY222" s="35"/>
      <c r="JHZ222" s="35"/>
      <c r="JIA222" s="35"/>
      <c r="JIB222" s="34"/>
      <c r="JIC222" s="34"/>
      <c r="JID222" s="36"/>
      <c r="JIE222" s="36"/>
      <c r="JIF222" s="37"/>
      <c r="JIG222" s="37"/>
      <c r="JIH222" s="38"/>
      <c r="JII222" s="38"/>
      <c r="JIJ222" s="39"/>
      <c r="JIK222" s="34"/>
      <c r="JIL222" s="34"/>
      <c r="JIM222" s="34"/>
      <c r="JIN222" s="35"/>
      <c r="JIO222" s="35"/>
      <c r="JIP222" s="35"/>
      <c r="JIQ222" s="35"/>
      <c r="JIR222" s="35"/>
      <c r="JIS222" s="34"/>
      <c r="JIT222" s="34"/>
      <c r="JIU222" s="36"/>
      <c r="JIV222" s="36"/>
      <c r="JIW222" s="37"/>
      <c r="JIX222" s="37"/>
      <c r="JIY222" s="38"/>
      <c r="JIZ222" s="38"/>
      <c r="JJA222" s="39"/>
      <c r="JJB222" s="34"/>
      <c r="JJC222" s="34"/>
      <c r="JJD222" s="34"/>
      <c r="JJE222" s="35"/>
      <c r="JJF222" s="35"/>
      <c r="JJG222" s="35"/>
      <c r="JJH222" s="35"/>
      <c r="JJI222" s="35"/>
      <c r="JJJ222" s="34"/>
      <c r="JJK222" s="34"/>
      <c r="JJL222" s="36"/>
      <c r="JJM222" s="36"/>
      <c r="JJN222" s="37"/>
      <c r="JJO222" s="37"/>
      <c r="JJP222" s="38"/>
      <c r="JJQ222" s="38"/>
      <c r="JJR222" s="39"/>
      <c r="JJS222" s="34"/>
      <c r="JJT222" s="34"/>
      <c r="JJU222" s="34"/>
      <c r="JJV222" s="35"/>
      <c r="JJW222" s="35"/>
      <c r="JJX222" s="35"/>
      <c r="JJY222" s="35"/>
      <c r="JJZ222" s="35"/>
      <c r="JKA222" s="34"/>
      <c r="JKB222" s="34"/>
      <c r="JKC222" s="36"/>
      <c r="JKD222" s="36"/>
      <c r="JKE222" s="37"/>
      <c r="JKF222" s="37"/>
      <c r="JKG222" s="38"/>
      <c r="JKH222" s="38"/>
      <c r="JKI222" s="39"/>
      <c r="JKJ222" s="34"/>
      <c r="JKK222" s="34"/>
      <c r="JKL222" s="34"/>
      <c r="JKM222" s="35"/>
      <c r="JKN222" s="35"/>
      <c r="JKO222" s="35"/>
      <c r="JKP222" s="35"/>
      <c r="JKQ222" s="35"/>
      <c r="JKR222" s="34"/>
      <c r="JKS222" s="34"/>
      <c r="JKT222" s="36"/>
      <c r="JKU222" s="36"/>
      <c r="JKV222" s="37"/>
      <c r="JKW222" s="37"/>
      <c r="JKX222" s="38"/>
      <c r="JKY222" s="38"/>
      <c r="JKZ222" s="39"/>
      <c r="JLA222" s="34"/>
      <c r="JLB222" s="34"/>
      <c r="JLC222" s="34"/>
      <c r="JLD222" s="35"/>
      <c r="JLE222" s="35"/>
      <c r="JLF222" s="35"/>
      <c r="JLG222" s="35"/>
      <c r="JLH222" s="35"/>
      <c r="JLI222" s="34"/>
      <c r="JLJ222" s="34"/>
      <c r="JLK222" s="36"/>
      <c r="JLL222" s="36"/>
      <c r="JLM222" s="37"/>
      <c r="JLN222" s="37"/>
      <c r="JLO222" s="38"/>
      <c r="JLP222" s="38"/>
      <c r="JLQ222" s="39"/>
      <c r="JLR222" s="34"/>
      <c r="JLS222" s="34"/>
      <c r="JLT222" s="34"/>
      <c r="JLU222" s="35"/>
      <c r="JLV222" s="35"/>
      <c r="JLW222" s="35"/>
      <c r="JLX222" s="35"/>
      <c r="JLY222" s="35"/>
      <c r="JLZ222" s="34"/>
      <c r="JMA222" s="34"/>
      <c r="JMB222" s="36"/>
      <c r="JMC222" s="36"/>
      <c r="JMD222" s="37"/>
      <c r="JME222" s="37"/>
      <c r="JMF222" s="38"/>
      <c r="JMG222" s="38"/>
      <c r="JMH222" s="39"/>
      <c r="JMI222" s="34"/>
      <c r="JMJ222" s="34"/>
      <c r="JMK222" s="34"/>
      <c r="JML222" s="35"/>
      <c r="JMM222" s="35"/>
      <c r="JMN222" s="35"/>
      <c r="JMO222" s="35"/>
      <c r="JMP222" s="35"/>
      <c r="JMQ222" s="34"/>
      <c r="JMR222" s="34"/>
      <c r="JMS222" s="36"/>
      <c r="JMT222" s="36"/>
      <c r="JMU222" s="37"/>
      <c r="JMV222" s="37"/>
      <c r="JMW222" s="38"/>
      <c r="JMX222" s="38"/>
      <c r="JMY222" s="39"/>
      <c r="JMZ222" s="34"/>
      <c r="JNA222" s="34"/>
      <c r="JNB222" s="34"/>
      <c r="JNC222" s="35"/>
      <c r="JND222" s="35"/>
      <c r="JNE222" s="35"/>
      <c r="JNF222" s="35"/>
      <c r="JNG222" s="35"/>
      <c r="JNH222" s="34"/>
      <c r="JNI222" s="34"/>
      <c r="JNJ222" s="36"/>
      <c r="JNK222" s="36"/>
      <c r="JNL222" s="37"/>
      <c r="JNM222" s="37"/>
      <c r="JNN222" s="38"/>
      <c r="JNO222" s="38"/>
      <c r="JNP222" s="39"/>
      <c r="JNQ222" s="34"/>
      <c r="JNR222" s="34"/>
      <c r="JNS222" s="34"/>
      <c r="JNT222" s="35"/>
      <c r="JNU222" s="35"/>
      <c r="JNV222" s="35"/>
      <c r="JNW222" s="35"/>
      <c r="JNX222" s="35"/>
      <c r="JNY222" s="34"/>
      <c r="JNZ222" s="34"/>
      <c r="JOA222" s="36"/>
      <c r="JOB222" s="36"/>
      <c r="JOC222" s="37"/>
      <c r="JOD222" s="37"/>
      <c r="JOE222" s="38"/>
      <c r="JOF222" s="38"/>
      <c r="JOG222" s="39"/>
      <c r="JOH222" s="34"/>
      <c r="JOI222" s="34"/>
      <c r="JOJ222" s="34"/>
      <c r="JOK222" s="35"/>
      <c r="JOL222" s="35"/>
      <c r="JOM222" s="35"/>
      <c r="JON222" s="35"/>
      <c r="JOO222" s="35"/>
      <c r="JOP222" s="34"/>
      <c r="JOQ222" s="34"/>
      <c r="JOR222" s="36"/>
      <c r="JOS222" s="36"/>
      <c r="JOT222" s="37"/>
      <c r="JOU222" s="37"/>
      <c r="JOV222" s="38"/>
      <c r="JOW222" s="38"/>
      <c r="JOX222" s="39"/>
      <c r="JOY222" s="34"/>
      <c r="JOZ222" s="34"/>
      <c r="JPA222" s="34"/>
      <c r="JPB222" s="35"/>
      <c r="JPC222" s="35"/>
      <c r="JPD222" s="35"/>
      <c r="JPE222" s="35"/>
      <c r="JPF222" s="35"/>
      <c r="JPG222" s="34"/>
      <c r="JPH222" s="34"/>
      <c r="JPI222" s="36"/>
      <c r="JPJ222" s="36"/>
      <c r="JPK222" s="37"/>
      <c r="JPL222" s="37"/>
      <c r="JPM222" s="38"/>
      <c r="JPN222" s="38"/>
      <c r="JPO222" s="39"/>
      <c r="JPP222" s="34"/>
      <c r="JPQ222" s="34"/>
      <c r="JPR222" s="34"/>
      <c r="JPS222" s="35"/>
      <c r="JPT222" s="35"/>
      <c r="JPU222" s="35"/>
      <c r="JPV222" s="35"/>
      <c r="JPW222" s="35"/>
      <c r="JPX222" s="34"/>
      <c r="JPY222" s="34"/>
      <c r="JPZ222" s="36"/>
      <c r="JQA222" s="36"/>
      <c r="JQB222" s="37"/>
      <c r="JQC222" s="37"/>
      <c r="JQD222" s="38"/>
      <c r="JQE222" s="38"/>
      <c r="JQF222" s="39"/>
      <c r="JQG222" s="34"/>
      <c r="JQH222" s="34"/>
      <c r="JQI222" s="34"/>
      <c r="JQJ222" s="35"/>
      <c r="JQK222" s="35"/>
      <c r="JQL222" s="35"/>
      <c r="JQM222" s="35"/>
      <c r="JQN222" s="35"/>
      <c r="JQO222" s="34"/>
      <c r="JQP222" s="34"/>
      <c r="JQQ222" s="36"/>
      <c r="JQR222" s="36"/>
      <c r="JQS222" s="37"/>
      <c r="JQT222" s="37"/>
      <c r="JQU222" s="38"/>
      <c r="JQV222" s="38"/>
      <c r="JQW222" s="39"/>
      <c r="JQX222" s="34"/>
      <c r="JQY222" s="34"/>
      <c r="JQZ222" s="34"/>
      <c r="JRA222" s="35"/>
      <c r="JRB222" s="35"/>
      <c r="JRC222" s="35"/>
      <c r="JRD222" s="35"/>
      <c r="JRE222" s="35"/>
      <c r="JRF222" s="34"/>
      <c r="JRG222" s="34"/>
      <c r="JRH222" s="36"/>
      <c r="JRI222" s="36"/>
      <c r="JRJ222" s="37"/>
      <c r="JRK222" s="37"/>
      <c r="JRL222" s="38"/>
      <c r="JRM222" s="38"/>
      <c r="JRN222" s="39"/>
      <c r="JRO222" s="34"/>
      <c r="JRP222" s="34"/>
      <c r="JRQ222" s="34"/>
      <c r="JRR222" s="35"/>
      <c r="JRS222" s="35"/>
      <c r="JRT222" s="35"/>
      <c r="JRU222" s="35"/>
      <c r="JRV222" s="35"/>
      <c r="JRW222" s="34"/>
      <c r="JRX222" s="34"/>
      <c r="JRY222" s="36"/>
      <c r="JRZ222" s="36"/>
      <c r="JSA222" s="37"/>
      <c r="JSB222" s="37"/>
      <c r="JSC222" s="38"/>
      <c r="JSD222" s="38"/>
      <c r="JSE222" s="39"/>
      <c r="JSF222" s="34"/>
      <c r="JSG222" s="34"/>
      <c r="JSH222" s="34"/>
      <c r="JSI222" s="35"/>
      <c r="JSJ222" s="35"/>
      <c r="JSK222" s="35"/>
      <c r="JSL222" s="35"/>
      <c r="JSM222" s="35"/>
      <c r="JSN222" s="34"/>
      <c r="JSO222" s="34"/>
      <c r="JSP222" s="36"/>
      <c r="JSQ222" s="36"/>
      <c r="JSR222" s="37"/>
      <c r="JSS222" s="37"/>
      <c r="JST222" s="38"/>
      <c r="JSU222" s="38"/>
      <c r="JSV222" s="39"/>
      <c r="JSW222" s="34"/>
      <c r="JSX222" s="34"/>
      <c r="JSY222" s="34"/>
      <c r="JSZ222" s="35"/>
      <c r="JTA222" s="35"/>
      <c r="JTB222" s="35"/>
      <c r="JTC222" s="35"/>
      <c r="JTD222" s="35"/>
      <c r="JTE222" s="34"/>
      <c r="JTF222" s="34"/>
      <c r="JTG222" s="36"/>
      <c r="JTH222" s="36"/>
      <c r="JTI222" s="37"/>
      <c r="JTJ222" s="37"/>
      <c r="JTK222" s="38"/>
      <c r="JTL222" s="38"/>
      <c r="JTM222" s="39"/>
      <c r="JTN222" s="34"/>
      <c r="JTO222" s="34"/>
      <c r="JTP222" s="34"/>
      <c r="JTQ222" s="35"/>
      <c r="JTR222" s="35"/>
      <c r="JTS222" s="35"/>
      <c r="JTT222" s="35"/>
      <c r="JTU222" s="35"/>
      <c r="JTV222" s="34"/>
      <c r="JTW222" s="34"/>
      <c r="JTX222" s="36"/>
      <c r="JTY222" s="36"/>
      <c r="JTZ222" s="37"/>
      <c r="JUA222" s="37"/>
      <c r="JUB222" s="38"/>
      <c r="JUC222" s="38"/>
      <c r="JUD222" s="39"/>
      <c r="JUE222" s="34"/>
      <c r="JUF222" s="34"/>
      <c r="JUG222" s="34"/>
      <c r="JUH222" s="35"/>
      <c r="JUI222" s="35"/>
      <c r="JUJ222" s="35"/>
      <c r="JUK222" s="35"/>
      <c r="JUL222" s="35"/>
      <c r="JUM222" s="34"/>
      <c r="JUN222" s="34"/>
      <c r="JUO222" s="36"/>
      <c r="JUP222" s="36"/>
      <c r="JUQ222" s="37"/>
      <c r="JUR222" s="37"/>
      <c r="JUS222" s="38"/>
      <c r="JUT222" s="38"/>
      <c r="JUU222" s="39"/>
      <c r="JUV222" s="34"/>
      <c r="JUW222" s="34"/>
      <c r="JUX222" s="34"/>
      <c r="JUY222" s="35"/>
      <c r="JUZ222" s="35"/>
      <c r="JVA222" s="35"/>
      <c r="JVB222" s="35"/>
      <c r="JVC222" s="35"/>
      <c r="JVD222" s="34"/>
      <c r="JVE222" s="34"/>
      <c r="JVF222" s="36"/>
      <c r="JVG222" s="36"/>
      <c r="JVH222" s="37"/>
      <c r="JVI222" s="37"/>
      <c r="JVJ222" s="38"/>
      <c r="JVK222" s="38"/>
      <c r="JVL222" s="39"/>
      <c r="JVM222" s="34"/>
      <c r="JVN222" s="34"/>
      <c r="JVO222" s="34"/>
      <c r="JVP222" s="35"/>
      <c r="JVQ222" s="35"/>
      <c r="JVR222" s="35"/>
      <c r="JVS222" s="35"/>
      <c r="JVT222" s="35"/>
      <c r="JVU222" s="34"/>
      <c r="JVV222" s="34"/>
      <c r="JVW222" s="36"/>
      <c r="JVX222" s="36"/>
      <c r="JVY222" s="37"/>
      <c r="JVZ222" s="37"/>
      <c r="JWA222" s="38"/>
      <c r="JWB222" s="38"/>
      <c r="JWC222" s="39"/>
      <c r="JWD222" s="34"/>
      <c r="JWE222" s="34"/>
      <c r="JWF222" s="34"/>
      <c r="JWG222" s="35"/>
      <c r="JWH222" s="35"/>
      <c r="JWI222" s="35"/>
      <c r="JWJ222" s="35"/>
      <c r="JWK222" s="35"/>
      <c r="JWL222" s="34"/>
      <c r="JWM222" s="34"/>
      <c r="JWN222" s="36"/>
      <c r="JWO222" s="36"/>
      <c r="JWP222" s="37"/>
      <c r="JWQ222" s="37"/>
      <c r="JWR222" s="38"/>
      <c r="JWS222" s="38"/>
      <c r="JWT222" s="39"/>
      <c r="JWU222" s="34"/>
      <c r="JWV222" s="34"/>
      <c r="JWW222" s="34"/>
      <c r="JWX222" s="35"/>
      <c r="JWY222" s="35"/>
      <c r="JWZ222" s="35"/>
      <c r="JXA222" s="35"/>
      <c r="JXB222" s="35"/>
      <c r="JXC222" s="34"/>
      <c r="JXD222" s="34"/>
      <c r="JXE222" s="36"/>
      <c r="JXF222" s="36"/>
      <c r="JXG222" s="37"/>
      <c r="JXH222" s="37"/>
      <c r="JXI222" s="38"/>
      <c r="JXJ222" s="38"/>
      <c r="JXK222" s="39"/>
      <c r="JXL222" s="34"/>
      <c r="JXM222" s="34"/>
      <c r="JXN222" s="34"/>
      <c r="JXO222" s="35"/>
      <c r="JXP222" s="35"/>
      <c r="JXQ222" s="35"/>
      <c r="JXR222" s="35"/>
      <c r="JXS222" s="35"/>
      <c r="JXT222" s="34"/>
      <c r="JXU222" s="34"/>
      <c r="JXV222" s="36"/>
      <c r="JXW222" s="36"/>
      <c r="JXX222" s="37"/>
      <c r="JXY222" s="37"/>
      <c r="JXZ222" s="38"/>
      <c r="JYA222" s="38"/>
      <c r="JYB222" s="39"/>
      <c r="JYC222" s="34"/>
      <c r="JYD222" s="34"/>
      <c r="JYE222" s="34"/>
      <c r="JYF222" s="35"/>
      <c r="JYG222" s="35"/>
      <c r="JYH222" s="35"/>
      <c r="JYI222" s="35"/>
      <c r="JYJ222" s="35"/>
      <c r="JYK222" s="34"/>
      <c r="JYL222" s="34"/>
      <c r="JYM222" s="36"/>
      <c r="JYN222" s="36"/>
      <c r="JYO222" s="37"/>
      <c r="JYP222" s="37"/>
      <c r="JYQ222" s="38"/>
      <c r="JYR222" s="38"/>
      <c r="JYS222" s="39"/>
      <c r="JYT222" s="34"/>
      <c r="JYU222" s="34"/>
      <c r="JYV222" s="34"/>
      <c r="JYW222" s="35"/>
      <c r="JYX222" s="35"/>
      <c r="JYY222" s="35"/>
      <c r="JYZ222" s="35"/>
      <c r="JZA222" s="35"/>
      <c r="JZB222" s="34"/>
      <c r="JZC222" s="34"/>
      <c r="JZD222" s="36"/>
      <c r="JZE222" s="36"/>
      <c r="JZF222" s="37"/>
      <c r="JZG222" s="37"/>
      <c r="JZH222" s="38"/>
      <c r="JZI222" s="38"/>
      <c r="JZJ222" s="39"/>
      <c r="JZK222" s="34"/>
      <c r="JZL222" s="34"/>
      <c r="JZM222" s="34"/>
      <c r="JZN222" s="35"/>
      <c r="JZO222" s="35"/>
      <c r="JZP222" s="35"/>
      <c r="JZQ222" s="35"/>
      <c r="JZR222" s="35"/>
      <c r="JZS222" s="34"/>
      <c r="JZT222" s="34"/>
      <c r="JZU222" s="36"/>
      <c r="JZV222" s="36"/>
      <c r="JZW222" s="37"/>
      <c r="JZX222" s="37"/>
      <c r="JZY222" s="38"/>
      <c r="JZZ222" s="38"/>
      <c r="KAA222" s="39"/>
      <c r="KAB222" s="34"/>
      <c r="KAC222" s="34"/>
      <c r="KAD222" s="34"/>
      <c r="KAE222" s="35"/>
      <c r="KAF222" s="35"/>
      <c r="KAG222" s="35"/>
      <c r="KAH222" s="35"/>
      <c r="KAI222" s="35"/>
      <c r="KAJ222" s="34"/>
      <c r="KAK222" s="34"/>
      <c r="KAL222" s="36"/>
      <c r="KAM222" s="36"/>
      <c r="KAN222" s="37"/>
      <c r="KAO222" s="37"/>
      <c r="KAP222" s="38"/>
      <c r="KAQ222" s="38"/>
      <c r="KAR222" s="39"/>
      <c r="KAS222" s="34"/>
      <c r="KAT222" s="34"/>
      <c r="KAU222" s="34"/>
      <c r="KAV222" s="35"/>
      <c r="KAW222" s="35"/>
      <c r="KAX222" s="35"/>
      <c r="KAY222" s="35"/>
      <c r="KAZ222" s="35"/>
      <c r="KBA222" s="34"/>
      <c r="KBB222" s="34"/>
      <c r="KBC222" s="36"/>
      <c r="KBD222" s="36"/>
      <c r="KBE222" s="37"/>
      <c r="KBF222" s="37"/>
      <c r="KBG222" s="38"/>
      <c r="KBH222" s="38"/>
      <c r="KBI222" s="39"/>
      <c r="KBJ222" s="34"/>
      <c r="KBK222" s="34"/>
      <c r="KBL222" s="34"/>
      <c r="KBM222" s="35"/>
      <c r="KBN222" s="35"/>
      <c r="KBO222" s="35"/>
      <c r="KBP222" s="35"/>
      <c r="KBQ222" s="35"/>
      <c r="KBR222" s="34"/>
      <c r="KBS222" s="34"/>
      <c r="KBT222" s="36"/>
      <c r="KBU222" s="36"/>
      <c r="KBV222" s="37"/>
      <c r="KBW222" s="37"/>
      <c r="KBX222" s="38"/>
      <c r="KBY222" s="38"/>
      <c r="KBZ222" s="39"/>
      <c r="KCA222" s="34"/>
      <c r="KCB222" s="34"/>
      <c r="KCC222" s="34"/>
      <c r="KCD222" s="35"/>
      <c r="KCE222" s="35"/>
      <c r="KCF222" s="35"/>
      <c r="KCG222" s="35"/>
      <c r="KCH222" s="35"/>
      <c r="KCI222" s="34"/>
      <c r="KCJ222" s="34"/>
      <c r="KCK222" s="36"/>
      <c r="KCL222" s="36"/>
      <c r="KCM222" s="37"/>
      <c r="KCN222" s="37"/>
      <c r="KCO222" s="38"/>
      <c r="KCP222" s="38"/>
      <c r="KCQ222" s="39"/>
      <c r="KCR222" s="34"/>
      <c r="KCS222" s="34"/>
      <c r="KCT222" s="34"/>
      <c r="KCU222" s="35"/>
      <c r="KCV222" s="35"/>
      <c r="KCW222" s="35"/>
      <c r="KCX222" s="35"/>
      <c r="KCY222" s="35"/>
      <c r="KCZ222" s="34"/>
      <c r="KDA222" s="34"/>
      <c r="KDB222" s="36"/>
      <c r="KDC222" s="36"/>
      <c r="KDD222" s="37"/>
      <c r="KDE222" s="37"/>
      <c r="KDF222" s="38"/>
      <c r="KDG222" s="38"/>
      <c r="KDH222" s="39"/>
      <c r="KDI222" s="34"/>
      <c r="KDJ222" s="34"/>
      <c r="KDK222" s="34"/>
      <c r="KDL222" s="35"/>
      <c r="KDM222" s="35"/>
      <c r="KDN222" s="35"/>
      <c r="KDO222" s="35"/>
      <c r="KDP222" s="35"/>
      <c r="KDQ222" s="34"/>
      <c r="KDR222" s="34"/>
      <c r="KDS222" s="36"/>
      <c r="KDT222" s="36"/>
      <c r="KDU222" s="37"/>
      <c r="KDV222" s="37"/>
      <c r="KDW222" s="38"/>
      <c r="KDX222" s="38"/>
      <c r="KDY222" s="39"/>
      <c r="KDZ222" s="34"/>
      <c r="KEA222" s="34"/>
      <c r="KEB222" s="34"/>
      <c r="KEC222" s="35"/>
      <c r="KED222" s="35"/>
      <c r="KEE222" s="35"/>
      <c r="KEF222" s="35"/>
      <c r="KEG222" s="35"/>
      <c r="KEH222" s="34"/>
      <c r="KEI222" s="34"/>
      <c r="KEJ222" s="36"/>
      <c r="KEK222" s="36"/>
      <c r="KEL222" s="37"/>
      <c r="KEM222" s="37"/>
      <c r="KEN222" s="38"/>
      <c r="KEO222" s="38"/>
      <c r="KEP222" s="39"/>
      <c r="KEQ222" s="34"/>
      <c r="KER222" s="34"/>
      <c r="KES222" s="34"/>
      <c r="KET222" s="35"/>
      <c r="KEU222" s="35"/>
      <c r="KEV222" s="35"/>
      <c r="KEW222" s="35"/>
      <c r="KEX222" s="35"/>
      <c r="KEY222" s="34"/>
      <c r="KEZ222" s="34"/>
      <c r="KFA222" s="36"/>
      <c r="KFB222" s="36"/>
      <c r="KFC222" s="37"/>
      <c r="KFD222" s="37"/>
      <c r="KFE222" s="38"/>
      <c r="KFF222" s="38"/>
      <c r="KFG222" s="39"/>
      <c r="KFH222" s="34"/>
      <c r="KFI222" s="34"/>
      <c r="KFJ222" s="34"/>
      <c r="KFK222" s="35"/>
      <c r="KFL222" s="35"/>
      <c r="KFM222" s="35"/>
      <c r="KFN222" s="35"/>
      <c r="KFO222" s="35"/>
      <c r="KFP222" s="34"/>
      <c r="KFQ222" s="34"/>
      <c r="KFR222" s="36"/>
      <c r="KFS222" s="36"/>
      <c r="KFT222" s="37"/>
      <c r="KFU222" s="37"/>
      <c r="KFV222" s="38"/>
      <c r="KFW222" s="38"/>
      <c r="KFX222" s="39"/>
      <c r="KFY222" s="34"/>
      <c r="KFZ222" s="34"/>
      <c r="KGA222" s="34"/>
      <c r="KGB222" s="35"/>
      <c r="KGC222" s="35"/>
      <c r="KGD222" s="35"/>
      <c r="KGE222" s="35"/>
      <c r="KGF222" s="35"/>
      <c r="KGG222" s="34"/>
      <c r="KGH222" s="34"/>
      <c r="KGI222" s="36"/>
      <c r="KGJ222" s="36"/>
      <c r="KGK222" s="37"/>
      <c r="KGL222" s="37"/>
      <c r="KGM222" s="38"/>
      <c r="KGN222" s="38"/>
      <c r="KGO222" s="39"/>
      <c r="KGP222" s="34"/>
      <c r="KGQ222" s="34"/>
      <c r="KGR222" s="34"/>
      <c r="KGS222" s="35"/>
      <c r="KGT222" s="35"/>
      <c r="KGU222" s="35"/>
      <c r="KGV222" s="35"/>
      <c r="KGW222" s="35"/>
      <c r="KGX222" s="34"/>
      <c r="KGY222" s="34"/>
      <c r="KGZ222" s="36"/>
      <c r="KHA222" s="36"/>
      <c r="KHB222" s="37"/>
      <c r="KHC222" s="37"/>
      <c r="KHD222" s="38"/>
      <c r="KHE222" s="38"/>
      <c r="KHF222" s="39"/>
      <c r="KHG222" s="34"/>
      <c r="KHH222" s="34"/>
      <c r="KHI222" s="34"/>
      <c r="KHJ222" s="35"/>
      <c r="KHK222" s="35"/>
      <c r="KHL222" s="35"/>
      <c r="KHM222" s="35"/>
      <c r="KHN222" s="35"/>
      <c r="KHO222" s="34"/>
      <c r="KHP222" s="34"/>
      <c r="KHQ222" s="36"/>
      <c r="KHR222" s="36"/>
      <c r="KHS222" s="37"/>
      <c r="KHT222" s="37"/>
      <c r="KHU222" s="38"/>
      <c r="KHV222" s="38"/>
      <c r="KHW222" s="39"/>
      <c r="KHX222" s="34"/>
      <c r="KHY222" s="34"/>
      <c r="KHZ222" s="34"/>
      <c r="KIA222" s="35"/>
      <c r="KIB222" s="35"/>
      <c r="KIC222" s="35"/>
      <c r="KID222" s="35"/>
      <c r="KIE222" s="35"/>
      <c r="KIF222" s="34"/>
      <c r="KIG222" s="34"/>
      <c r="KIH222" s="36"/>
      <c r="KII222" s="36"/>
      <c r="KIJ222" s="37"/>
      <c r="KIK222" s="37"/>
      <c r="KIL222" s="38"/>
      <c r="KIM222" s="38"/>
      <c r="KIN222" s="39"/>
      <c r="KIO222" s="34"/>
      <c r="KIP222" s="34"/>
      <c r="KIQ222" s="34"/>
      <c r="KIR222" s="35"/>
      <c r="KIS222" s="35"/>
      <c r="KIT222" s="35"/>
      <c r="KIU222" s="35"/>
      <c r="KIV222" s="35"/>
      <c r="KIW222" s="34"/>
      <c r="KIX222" s="34"/>
      <c r="KIY222" s="36"/>
      <c r="KIZ222" s="36"/>
      <c r="KJA222" s="37"/>
      <c r="KJB222" s="37"/>
      <c r="KJC222" s="38"/>
      <c r="KJD222" s="38"/>
      <c r="KJE222" s="39"/>
      <c r="KJF222" s="34"/>
      <c r="KJG222" s="34"/>
      <c r="KJH222" s="34"/>
      <c r="KJI222" s="35"/>
      <c r="KJJ222" s="35"/>
      <c r="KJK222" s="35"/>
      <c r="KJL222" s="35"/>
      <c r="KJM222" s="35"/>
      <c r="KJN222" s="34"/>
      <c r="KJO222" s="34"/>
      <c r="KJP222" s="36"/>
      <c r="KJQ222" s="36"/>
      <c r="KJR222" s="37"/>
      <c r="KJS222" s="37"/>
      <c r="KJT222" s="38"/>
      <c r="KJU222" s="38"/>
      <c r="KJV222" s="39"/>
      <c r="KJW222" s="34"/>
      <c r="KJX222" s="34"/>
      <c r="KJY222" s="34"/>
      <c r="KJZ222" s="35"/>
      <c r="KKA222" s="35"/>
      <c r="KKB222" s="35"/>
      <c r="KKC222" s="35"/>
      <c r="KKD222" s="35"/>
      <c r="KKE222" s="34"/>
      <c r="KKF222" s="34"/>
      <c r="KKG222" s="36"/>
      <c r="KKH222" s="36"/>
      <c r="KKI222" s="37"/>
      <c r="KKJ222" s="37"/>
      <c r="KKK222" s="38"/>
      <c r="KKL222" s="38"/>
      <c r="KKM222" s="39"/>
      <c r="KKN222" s="34"/>
      <c r="KKO222" s="34"/>
      <c r="KKP222" s="34"/>
      <c r="KKQ222" s="35"/>
      <c r="KKR222" s="35"/>
      <c r="KKS222" s="35"/>
      <c r="KKT222" s="35"/>
      <c r="KKU222" s="35"/>
      <c r="KKV222" s="34"/>
      <c r="KKW222" s="34"/>
      <c r="KKX222" s="36"/>
      <c r="KKY222" s="36"/>
      <c r="KKZ222" s="37"/>
      <c r="KLA222" s="37"/>
      <c r="KLB222" s="38"/>
      <c r="KLC222" s="38"/>
      <c r="KLD222" s="39"/>
      <c r="KLE222" s="34"/>
      <c r="KLF222" s="34"/>
      <c r="KLG222" s="34"/>
      <c r="KLH222" s="35"/>
      <c r="KLI222" s="35"/>
      <c r="KLJ222" s="35"/>
      <c r="KLK222" s="35"/>
      <c r="KLL222" s="35"/>
      <c r="KLM222" s="34"/>
      <c r="KLN222" s="34"/>
      <c r="KLO222" s="36"/>
      <c r="KLP222" s="36"/>
      <c r="KLQ222" s="37"/>
      <c r="KLR222" s="37"/>
      <c r="KLS222" s="38"/>
      <c r="KLT222" s="38"/>
      <c r="KLU222" s="39"/>
      <c r="KLV222" s="34"/>
      <c r="KLW222" s="34"/>
      <c r="KLX222" s="34"/>
      <c r="KLY222" s="35"/>
      <c r="KLZ222" s="35"/>
      <c r="KMA222" s="35"/>
      <c r="KMB222" s="35"/>
      <c r="KMC222" s="35"/>
      <c r="KMD222" s="34"/>
      <c r="KME222" s="34"/>
      <c r="KMF222" s="36"/>
      <c r="KMG222" s="36"/>
      <c r="KMH222" s="37"/>
      <c r="KMI222" s="37"/>
      <c r="KMJ222" s="38"/>
      <c r="KMK222" s="38"/>
      <c r="KML222" s="39"/>
      <c r="KMM222" s="34"/>
      <c r="KMN222" s="34"/>
      <c r="KMO222" s="34"/>
      <c r="KMP222" s="35"/>
      <c r="KMQ222" s="35"/>
      <c r="KMR222" s="35"/>
      <c r="KMS222" s="35"/>
      <c r="KMT222" s="35"/>
      <c r="KMU222" s="34"/>
      <c r="KMV222" s="34"/>
      <c r="KMW222" s="36"/>
      <c r="KMX222" s="36"/>
      <c r="KMY222" s="37"/>
      <c r="KMZ222" s="37"/>
      <c r="KNA222" s="38"/>
      <c r="KNB222" s="38"/>
      <c r="KNC222" s="39"/>
      <c r="KND222" s="34"/>
      <c r="KNE222" s="34"/>
      <c r="KNF222" s="34"/>
      <c r="KNG222" s="35"/>
      <c r="KNH222" s="35"/>
      <c r="KNI222" s="35"/>
      <c r="KNJ222" s="35"/>
      <c r="KNK222" s="35"/>
      <c r="KNL222" s="34"/>
      <c r="KNM222" s="34"/>
      <c r="KNN222" s="36"/>
      <c r="KNO222" s="36"/>
      <c r="KNP222" s="37"/>
      <c r="KNQ222" s="37"/>
      <c r="KNR222" s="38"/>
      <c r="KNS222" s="38"/>
      <c r="KNT222" s="39"/>
      <c r="KNU222" s="34"/>
      <c r="KNV222" s="34"/>
      <c r="KNW222" s="34"/>
      <c r="KNX222" s="35"/>
      <c r="KNY222" s="35"/>
      <c r="KNZ222" s="35"/>
      <c r="KOA222" s="35"/>
      <c r="KOB222" s="35"/>
      <c r="KOC222" s="34"/>
      <c r="KOD222" s="34"/>
      <c r="KOE222" s="36"/>
      <c r="KOF222" s="36"/>
      <c r="KOG222" s="37"/>
      <c r="KOH222" s="37"/>
      <c r="KOI222" s="38"/>
      <c r="KOJ222" s="38"/>
      <c r="KOK222" s="39"/>
      <c r="KOL222" s="34"/>
      <c r="KOM222" s="34"/>
      <c r="KON222" s="34"/>
      <c r="KOO222" s="35"/>
      <c r="KOP222" s="35"/>
      <c r="KOQ222" s="35"/>
      <c r="KOR222" s="35"/>
      <c r="KOS222" s="35"/>
      <c r="KOT222" s="34"/>
      <c r="KOU222" s="34"/>
      <c r="KOV222" s="36"/>
      <c r="KOW222" s="36"/>
      <c r="KOX222" s="37"/>
      <c r="KOY222" s="37"/>
      <c r="KOZ222" s="38"/>
      <c r="KPA222" s="38"/>
      <c r="KPB222" s="39"/>
      <c r="KPC222" s="34"/>
      <c r="KPD222" s="34"/>
      <c r="KPE222" s="34"/>
      <c r="KPF222" s="35"/>
      <c r="KPG222" s="35"/>
      <c r="KPH222" s="35"/>
      <c r="KPI222" s="35"/>
      <c r="KPJ222" s="35"/>
      <c r="KPK222" s="34"/>
      <c r="KPL222" s="34"/>
      <c r="KPM222" s="36"/>
      <c r="KPN222" s="36"/>
      <c r="KPO222" s="37"/>
      <c r="KPP222" s="37"/>
      <c r="KPQ222" s="38"/>
      <c r="KPR222" s="38"/>
      <c r="KPS222" s="39"/>
      <c r="KPT222" s="34"/>
      <c r="KPU222" s="34"/>
      <c r="KPV222" s="34"/>
      <c r="KPW222" s="35"/>
      <c r="KPX222" s="35"/>
      <c r="KPY222" s="35"/>
      <c r="KPZ222" s="35"/>
      <c r="KQA222" s="35"/>
      <c r="KQB222" s="34"/>
      <c r="KQC222" s="34"/>
      <c r="KQD222" s="36"/>
      <c r="KQE222" s="36"/>
      <c r="KQF222" s="37"/>
      <c r="KQG222" s="37"/>
      <c r="KQH222" s="38"/>
      <c r="KQI222" s="38"/>
      <c r="KQJ222" s="39"/>
      <c r="KQK222" s="34"/>
      <c r="KQL222" s="34"/>
      <c r="KQM222" s="34"/>
      <c r="KQN222" s="35"/>
      <c r="KQO222" s="35"/>
      <c r="KQP222" s="35"/>
      <c r="KQQ222" s="35"/>
      <c r="KQR222" s="35"/>
      <c r="KQS222" s="34"/>
      <c r="KQT222" s="34"/>
      <c r="KQU222" s="36"/>
      <c r="KQV222" s="36"/>
      <c r="KQW222" s="37"/>
      <c r="KQX222" s="37"/>
      <c r="KQY222" s="38"/>
      <c r="KQZ222" s="38"/>
      <c r="KRA222" s="39"/>
      <c r="KRB222" s="34"/>
      <c r="KRC222" s="34"/>
      <c r="KRD222" s="34"/>
      <c r="KRE222" s="35"/>
      <c r="KRF222" s="35"/>
      <c r="KRG222" s="35"/>
      <c r="KRH222" s="35"/>
      <c r="KRI222" s="35"/>
      <c r="KRJ222" s="34"/>
      <c r="KRK222" s="34"/>
      <c r="KRL222" s="36"/>
      <c r="KRM222" s="36"/>
      <c r="KRN222" s="37"/>
      <c r="KRO222" s="37"/>
      <c r="KRP222" s="38"/>
      <c r="KRQ222" s="38"/>
      <c r="KRR222" s="39"/>
      <c r="KRS222" s="34"/>
      <c r="KRT222" s="34"/>
      <c r="KRU222" s="34"/>
      <c r="KRV222" s="35"/>
      <c r="KRW222" s="35"/>
      <c r="KRX222" s="35"/>
      <c r="KRY222" s="35"/>
      <c r="KRZ222" s="35"/>
      <c r="KSA222" s="34"/>
      <c r="KSB222" s="34"/>
      <c r="KSC222" s="36"/>
      <c r="KSD222" s="36"/>
      <c r="KSE222" s="37"/>
      <c r="KSF222" s="37"/>
      <c r="KSG222" s="38"/>
      <c r="KSH222" s="38"/>
      <c r="KSI222" s="39"/>
      <c r="KSJ222" s="34"/>
      <c r="KSK222" s="34"/>
      <c r="KSL222" s="34"/>
      <c r="KSM222" s="35"/>
      <c r="KSN222" s="35"/>
      <c r="KSO222" s="35"/>
      <c r="KSP222" s="35"/>
      <c r="KSQ222" s="35"/>
      <c r="KSR222" s="34"/>
      <c r="KSS222" s="34"/>
      <c r="KST222" s="36"/>
      <c r="KSU222" s="36"/>
      <c r="KSV222" s="37"/>
      <c r="KSW222" s="37"/>
      <c r="KSX222" s="38"/>
      <c r="KSY222" s="38"/>
      <c r="KSZ222" s="39"/>
      <c r="KTA222" s="34"/>
      <c r="KTB222" s="34"/>
      <c r="KTC222" s="34"/>
      <c r="KTD222" s="35"/>
      <c r="KTE222" s="35"/>
      <c r="KTF222" s="35"/>
      <c r="KTG222" s="35"/>
      <c r="KTH222" s="35"/>
      <c r="KTI222" s="34"/>
      <c r="KTJ222" s="34"/>
      <c r="KTK222" s="36"/>
      <c r="KTL222" s="36"/>
      <c r="KTM222" s="37"/>
      <c r="KTN222" s="37"/>
      <c r="KTO222" s="38"/>
      <c r="KTP222" s="38"/>
      <c r="KTQ222" s="39"/>
      <c r="KTR222" s="34"/>
      <c r="KTS222" s="34"/>
      <c r="KTT222" s="34"/>
      <c r="KTU222" s="35"/>
      <c r="KTV222" s="35"/>
      <c r="KTW222" s="35"/>
      <c r="KTX222" s="35"/>
      <c r="KTY222" s="35"/>
      <c r="KTZ222" s="34"/>
      <c r="KUA222" s="34"/>
      <c r="KUB222" s="36"/>
      <c r="KUC222" s="36"/>
      <c r="KUD222" s="37"/>
      <c r="KUE222" s="37"/>
      <c r="KUF222" s="38"/>
      <c r="KUG222" s="38"/>
      <c r="KUH222" s="39"/>
      <c r="KUI222" s="34"/>
      <c r="KUJ222" s="34"/>
      <c r="KUK222" s="34"/>
      <c r="KUL222" s="35"/>
      <c r="KUM222" s="35"/>
      <c r="KUN222" s="35"/>
      <c r="KUO222" s="35"/>
      <c r="KUP222" s="35"/>
      <c r="KUQ222" s="34"/>
      <c r="KUR222" s="34"/>
      <c r="KUS222" s="36"/>
      <c r="KUT222" s="36"/>
      <c r="KUU222" s="37"/>
      <c r="KUV222" s="37"/>
      <c r="KUW222" s="38"/>
      <c r="KUX222" s="38"/>
      <c r="KUY222" s="39"/>
      <c r="KUZ222" s="34"/>
      <c r="KVA222" s="34"/>
      <c r="KVB222" s="34"/>
      <c r="KVC222" s="35"/>
      <c r="KVD222" s="35"/>
      <c r="KVE222" s="35"/>
      <c r="KVF222" s="35"/>
      <c r="KVG222" s="35"/>
      <c r="KVH222" s="34"/>
      <c r="KVI222" s="34"/>
      <c r="KVJ222" s="36"/>
      <c r="KVK222" s="36"/>
      <c r="KVL222" s="37"/>
      <c r="KVM222" s="37"/>
      <c r="KVN222" s="38"/>
      <c r="KVO222" s="38"/>
      <c r="KVP222" s="39"/>
      <c r="KVQ222" s="34"/>
      <c r="KVR222" s="34"/>
      <c r="KVS222" s="34"/>
      <c r="KVT222" s="35"/>
      <c r="KVU222" s="35"/>
      <c r="KVV222" s="35"/>
      <c r="KVW222" s="35"/>
      <c r="KVX222" s="35"/>
      <c r="KVY222" s="34"/>
      <c r="KVZ222" s="34"/>
      <c r="KWA222" s="36"/>
      <c r="KWB222" s="36"/>
      <c r="KWC222" s="37"/>
      <c r="KWD222" s="37"/>
      <c r="KWE222" s="38"/>
      <c r="KWF222" s="38"/>
      <c r="KWG222" s="39"/>
      <c r="KWH222" s="34"/>
      <c r="KWI222" s="34"/>
      <c r="KWJ222" s="34"/>
      <c r="KWK222" s="35"/>
      <c r="KWL222" s="35"/>
      <c r="KWM222" s="35"/>
      <c r="KWN222" s="35"/>
      <c r="KWO222" s="35"/>
      <c r="KWP222" s="34"/>
      <c r="KWQ222" s="34"/>
      <c r="KWR222" s="36"/>
      <c r="KWS222" s="36"/>
      <c r="KWT222" s="37"/>
      <c r="KWU222" s="37"/>
      <c r="KWV222" s="38"/>
      <c r="KWW222" s="38"/>
      <c r="KWX222" s="39"/>
      <c r="KWY222" s="34"/>
      <c r="KWZ222" s="34"/>
      <c r="KXA222" s="34"/>
      <c r="KXB222" s="35"/>
      <c r="KXC222" s="35"/>
      <c r="KXD222" s="35"/>
      <c r="KXE222" s="35"/>
      <c r="KXF222" s="35"/>
      <c r="KXG222" s="34"/>
      <c r="KXH222" s="34"/>
      <c r="KXI222" s="36"/>
      <c r="KXJ222" s="36"/>
      <c r="KXK222" s="37"/>
      <c r="KXL222" s="37"/>
      <c r="KXM222" s="38"/>
      <c r="KXN222" s="38"/>
      <c r="KXO222" s="39"/>
      <c r="KXP222" s="34"/>
      <c r="KXQ222" s="34"/>
      <c r="KXR222" s="34"/>
      <c r="KXS222" s="35"/>
      <c r="KXT222" s="35"/>
      <c r="KXU222" s="35"/>
      <c r="KXV222" s="35"/>
      <c r="KXW222" s="35"/>
      <c r="KXX222" s="34"/>
      <c r="KXY222" s="34"/>
      <c r="KXZ222" s="36"/>
      <c r="KYA222" s="36"/>
      <c r="KYB222" s="37"/>
      <c r="KYC222" s="37"/>
      <c r="KYD222" s="38"/>
      <c r="KYE222" s="38"/>
      <c r="KYF222" s="39"/>
      <c r="KYG222" s="34"/>
      <c r="KYH222" s="34"/>
      <c r="KYI222" s="34"/>
      <c r="KYJ222" s="35"/>
      <c r="KYK222" s="35"/>
      <c r="KYL222" s="35"/>
      <c r="KYM222" s="35"/>
      <c r="KYN222" s="35"/>
      <c r="KYO222" s="34"/>
      <c r="KYP222" s="34"/>
      <c r="KYQ222" s="36"/>
      <c r="KYR222" s="36"/>
      <c r="KYS222" s="37"/>
      <c r="KYT222" s="37"/>
      <c r="KYU222" s="38"/>
      <c r="KYV222" s="38"/>
      <c r="KYW222" s="39"/>
      <c r="KYX222" s="34"/>
      <c r="KYY222" s="34"/>
      <c r="KYZ222" s="34"/>
      <c r="KZA222" s="35"/>
      <c r="KZB222" s="35"/>
      <c r="KZC222" s="35"/>
      <c r="KZD222" s="35"/>
      <c r="KZE222" s="35"/>
      <c r="KZF222" s="34"/>
      <c r="KZG222" s="34"/>
      <c r="KZH222" s="36"/>
      <c r="KZI222" s="36"/>
      <c r="KZJ222" s="37"/>
      <c r="KZK222" s="37"/>
      <c r="KZL222" s="38"/>
      <c r="KZM222" s="38"/>
      <c r="KZN222" s="39"/>
      <c r="KZO222" s="34"/>
      <c r="KZP222" s="34"/>
      <c r="KZQ222" s="34"/>
      <c r="KZR222" s="35"/>
      <c r="KZS222" s="35"/>
      <c r="KZT222" s="35"/>
      <c r="KZU222" s="35"/>
      <c r="KZV222" s="35"/>
      <c r="KZW222" s="34"/>
      <c r="KZX222" s="34"/>
      <c r="KZY222" s="36"/>
      <c r="KZZ222" s="36"/>
      <c r="LAA222" s="37"/>
      <c r="LAB222" s="37"/>
      <c r="LAC222" s="38"/>
      <c r="LAD222" s="38"/>
      <c r="LAE222" s="39"/>
      <c r="LAF222" s="34"/>
      <c r="LAG222" s="34"/>
      <c r="LAH222" s="34"/>
      <c r="LAI222" s="35"/>
      <c r="LAJ222" s="35"/>
      <c r="LAK222" s="35"/>
      <c r="LAL222" s="35"/>
      <c r="LAM222" s="35"/>
      <c r="LAN222" s="34"/>
      <c r="LAO222" s="34"/>
      <c r="LAP222" s="36"/>
      <c r="LAQ222" s="36"/>
      <c r="LAR222" s="37"/>
      <c r="LAS222" s="37"/>
      <c r="LAT222" s="38"/>
      <c r="LAU222" s="38"/>
      <c r="LAV222" s="39"/>
      <c r="LAW222" s="34"/>
      <c r="LAX222" s="34"/>
      <c r="LAY222" s="34"/>
      <c r="LAZ222" s="35"/>
      <c r="LBA222" s="35"/>
      <c r="LBB222" s="35"/>
      <c r="LBC222" s="35"/>
      <c r="LBD222" s="35"/>
      <c r="LBE222" s="34"/>
      <c r="LBF222" s="34"/>
      <c r="LBG222" s="36"/>
      <c r="LBH222" s="36"/>
      <c r="LBI222" s="37"/>
      <c r="LBJ222" s="37"/>
      <c r="LBK222" s="38"/>
      <c r="LBL222" s="38"/>
      <c r="LBM222" s="39"/>
      <c r="LBN222" s="34"/>
      <c r="LBO222" s="34"/>
      <c r="LBP222" s="34"/>
      <c r="LBQ222" s="35"/>
      <c r="LBR222" s="35"/>
      <c r="LBS222" s="35"/>
      <c r="LBT222" s="35"/>
      <c r="LBU222" s="35"/>
      <c r="LBV222" s="34"/>
      <c r="LBW222" s="34"/>
      <c r="LBX222" s="36"/>
      <c r="LBY222" s="36"/>
      <c r="LBZ222" s="37"/>
      <c r="LCA222" s="37"/>
      <c r="LCB222" s="38"/>
      <c r="LCC222" s="38"/>
      <c r="LCD222" s="39"/>
      <c r="LCE222" s="34"/>
      <c r="LCF222" s="34"/>
      <c r="LCG222" s="34"/>
      <c r="LCH222" s="35"/>
      <c r="LCI222" s="35"/>
      <c r="LCJ222" s="35"/>
      <c r="LCK222" s="35"/>
      <c r="LCL222" s="35"/>
      <c r="LCM222" s="34"/>
      <c r="LCN222" s="34"/>
      <c r="LCO222" s="36"/>
      <c r="LCP222" s="36"/>
      <c r="LCQ222" s="37"/>
      <c r="LCR222" s="37"/>
      <c r="LCS222" s="38"/>
      <c r="LCT222" s="38"/>
      <c r="LCU222" s="39"/>
      <c r="LCV222" s="34"/>
      <c r="LCW222" s="34"/>
      <c r="LCX222" s="34"/>
      <c r="LCY222" s="35"/>
      <c r="LCZ222" s="35"/>
      <c r="LDA222" s="35"/>
      <c r="LDB222" s="35"/>
      <c r="LDC222" s="35"/>
      <c r="LDD222" s="34"/>
      <c r="LDE222" s="34"/>
      <c r="LDF222" s="36"/>
      <c r="LDG222" s="36"/>
      <c r="LDH222" s="37"/>
      <c r="LDI222" s="37"/>
      <c r="LDJ222" s="38"/>
      <c r="LDK222" s="38"/>
      <c r="LDL222" s="39"/>
      <c r="LDM222" s="34"/>
      <c r="LDN222" s="34"/>
      <c r="LDO222" s="34"/>
      <c r="LDP222" s="35"/>
      <c r="LDQ222" s="35"/>
      <c r="LDR222" s="35"/>
      <c r="LDS222" s="35"/>
      <c r="LDT222" s="35"/>
      <c r="LDU222" s="34"/>
      <c r="LDV222" s="34"/>
      <c r="LDW222" s="36"/>
      <c r="LDX222" s="36"/>
      <c r="LDY222" s="37"/>
      <c r="LDZ222" s="37"/>
      <c r="LEA222" s="38"/>
      <c r="LEB222" s="38"/>
      <c r="LEC222" s="39"/>
      <c r="LED222" s="34"/>
      <c r="LEE222" s="34"/>
      <c r="LEF222" s="34"/>
      <c r="LEG222" s="35"/>
      <c r="LEH222" s="35"/>
      <c r="LEI222" s="35"/>
      <c r="LEJ222" s="35"/>
      <c r="LEK222" s="35"/>
      <c r="LEL222" s="34"/>
      <c r="LEM222" s="34"/>
      <c r="LEN222" s="36"/>
      <c r="LEO222" s="36"/>
      <c r="LEP222" s="37"/>
      <c r="LEQ222" s="37"/>
      <c r="LER222" s="38"/>
      <c r="LES222" s="38"/>
      <c r="LET222" s="39"/>
      <c r="LEU222" s="34"/>
      <c r="LEV222" s="34"/>
      <c r="LEW222" s="34"/>
      <c r="LEX222" s="35"/>
      <c r="LEY222" s="35"/>
      <c r="LEZ222" s="35"/>
      <c r="LFA222" s="35"/>
      <c r="LFB222" s="35"/>
      <c r="LFC222" s="34"/>
      <c r="LFD222" s="34"/>
      <c r="LFE222" s="36"/>
      <c r="LFF222" s="36"/>
      <c r="LFG222" s="37"/>
      <c r="LFH222" s="37"/>
      <c r="LFI222" s="38"/>
      <c r="LFJ222" s="38"/>
      <c r="LFK222" s="39"/>
      <c r="LFL222" s="34"/>
      <c r="LFM222" s="34"/>
      <c r="LFN222" s="34"/>
      <c r="LFO222" s="35"/>
      <c r="LFP222" s="35"/>
      <c r="LFQ222" s="35"/>
      <c r="LFR222" s="35"/>
      <c r="LFS222" s="35"/>
      <c r="LFT222" s="34"/>
      <c r="LFU222" s="34"/>
      <c r="LFV222" s="36"/>
      <c r="LFW222" s="36"/>
      <c r="LFX222" s="37"/>
      <c r="LFY222" s="37"/>
      <c r="LFZ222" s="38"/>
      <c r="LGA222" s="38"/>
      <c r="LGB222" s="39"/>
      <c r="LGC222" s="34"/>
      <c r="LGD222" s="34"/>
      <c r="LGE222" s="34"/>
      <c r="LGF222" s="35"/>
      <c r="LGG222" s="35"/>
      <c r="LGH222" s="35"/>
      <c r="LGI222" s="35"/>
      <c r="LGJ222" s="35"/>
      <c r="LGK222" s="34"/>
      <c r="LGL222" s="34"/>
      <c r="LGM222" s="36"/>
      <c r="LGN222" s="36"/>
      <c r="LGO222" s="37"/>
      <c r="LGP222" s="37"/>
      <c r="LGQ222" s="38"/>
      <c r="LGR222" s="38"/>
      <c r="LGS222" s="39"/>
      <c r="LGT222" s="34"/>
      <c r="LGU222" s="34"/>
      <c r="LGV222" s="34"/>
      <c r="LGW222" s="35"/>
      <c r="LGX222" s="35"/>
      <c r="LGY222" s="35"/>
      <c r="LGZ222" s="35"/>
      <c r="LHA222" s="35"/>
      <c r="LHB222" s="34"/>
      <c r="LHC222" s="34"/>
      <c r="LHD222" s="36"/>
      <c r="LHE222" s="36"/>
      <c r="LHF222" s="37"/>
      <c r="LHG222" s="37"/>
      <c r="LHH222" s="38"/>
      <c r="LHI222" s="38"/>
      <c r="LHJ222" s="39"/>
      <c r="LHK222" s="34"/>
      <c r="LHL222" s="34"/>
      <c r="LHM222" s="34"/>
      <c r="LHN222" s="35"/>
      <c r="LHO222" s="35"/>
      <c r="LHP222" s="35"/>
      <c r="LHQ222" s="35"/>
      <c r="LHR222" s="35"/>
      <c r="LHS222" s="34"/>
      <c r="LHT222" s="34"/>
      <c r="LHU222" s="36"/>
      <c r="LHV222" s="36"/>
      <c r="LHW222" s="37"/>
      <c r="LHX222" s="37"/>
      <c r="LHY222" s="38"/>
      <c r="LHZ222" s="38"/>
      <c r="LIA222" s="39"/>
      <c r="LIB222" s="34"/>
      <c r="LIC222" s="34"/>
      <c r="LID222" s="34"/>
      <c r="LIE222" s="35"/>
      <c r="LIF222" s="35"/>
      <c r="LIG222" s="35"/>
      <c r="LIH222" s="35"/>
      <c r="LII222" s="35"/>
      <c r="LIJ222" s="34"/>
      <c r="LIK222" s="34"/>
      <c r="LIL222" s="36"/>
      <c r="LIM222" s="36"/>
      <c r="LIN222" s="37"/>
      <c r="LIO222" s="37"/>
      <c r="LIP222" s="38"/>
      <c r="LIQ222" s="38"/>
      <c r="LIR222" s="39"/>
      <c r="LIS222" s="34"/>
      <c r="LIT222" s="34"/>
      <c r="LIU222" s="34"/>
      <c r="LIV222" s="35"/>
      <c r="LIW222" s="35"/>
      <c r="LIX222" s="35"/>
      <c r="LIY222" s="35"/>
      <c r="LIZ222" s="35"/>
      <c r="LJA222" s="34"/>
      <c r="LJB222" s="34"/>
      <c r="LJC222" s="36"/>
      <c r="LJD222" s="36"/>
      <c r="LJE222" s="37"/>
      <c r="LJF222" s="37"/>
      <c r="LJG222" s="38"/>
      <c r="LJH222" s="38"/>
      <c r="LJI222" s="39"/>
      <c r="LJJ222" s="34"/>
      <c r="LJK222" s="34"/>
      <c r="LJL222" s="34"/>
      <c r="LJM222" s="35"/>
      <c r="LJN222" s="35"/>
      <c r="LJO222" s="35"/>
      <c r="LJP222" s="35"/>
      <c r="LJQ222" s="35"/>
      <c r="LJR222" s="34"/>
      <c r="LJS222" s="34"/>
      <c r="LJT222" s="36"/>
      <c r="LJU222" s="36"/>
      <c r="LJV222" s="37"/>
      <c r="LJW222" s="37"/>
      <c r="LJX222" s="38"/>
      <c r="LJY222" s="38"/>
      <c r="LJZ222" s="39"/>
      <c r="LKA222" s="34"/>
      <c r="LKB222" s="34"/>
      <c r="LKC222" s="34"/>
      <c r="LKD222" s="35"/>
      <c r="LKE222" s="35"/>
      <c r="LKF222" s="35"/>
      <c r="LKG222" s="35"/>
      <c r="LKH222" s="35"/>
      <c r="LKI222" s="34"/>
      <c r="LKJ222" s="34"/>
      <c r="LKK222" s="36"/>
      <c r="LKL222" s="36"/>
      <c r="LKM222" s="37"/>
      <c r="LKN222" s="37"/>
      <c r="LKO222" s="38"/>
      <c r="LKP222" s="38"/>
      <c r="LKQ222" s="39"/>
      <c r="LKR222" s="34"/>
      <c r="LKS222" s="34"/>
      <c r="LKT222" s="34"/>
      <c r="LKU222" s="35"/>
      <c r="LKV222" s="35"/>
      <c r="LKW222" s="35"/>
      <c r="LKX222" s="35"/>
      <c r="LKY222" s="35"/>
      <c r="LKZ222" s="34"/>
      <c r="LLA222" s="34"/>
      <c r="LLB222" s="36"/>
      <c r="LLC222" s="36"/>
      <c r="LLD222" s="37"/>
      <c r="LLE222" s="37"/>
      <c r="LLF222" s="38"/>
      <c r="LLG222" s="38"/>
      <c r="LLH222" s="39"/>
      <c r="LLI222" s="34"/>
      <c r="LLJ222" s="34"/>
      <c r="LLK222" s="34"/>
      <c r="LLL222" s="35"/>
      <c r="LLM222" s="35"/>
      <c r="LLN222" s="35"/>
      <c r="LLO222" s="35"/>
      <c r="LLP222" s="35"/>
      <c r="LLQ222" s="34"/>
      <c r="LLR222" s="34"/>
      <c r="LLS222" s="36"/>
      <c r="LLT222" s="36"/>
      <c r="LLU222" s="37"/>
      <c r="LLV222" s="37"/>
      <c r="LLW222" s="38"/>
      <c r="LLX222" s="38"/>
      <c r="LLY222" s="39"/>
      <c r="LLZ222" s="34"/>
      <c r="LMA222" s="34"/>
      <c r="LMB222" s="34"/>
      <c r="LMC222" s="35"/>
      <c r="LMD222" s="35"/>
      <c r="LME222" s="35"/>
      <c r="LMF222" s="35"/>
      <c r="LMG222" s="35"/>
      <c r="LMH222" s="34"/>
      <c r="LMI222" s="34"/>
      <c r="LMJ222" s="36"/>
      <c r="LMK222" s="36"/>
      <c r="LML222" s="37"/>
      <c r="LMM222" s="37"/>
      <c r="LMN222" s="38"/>
      <c r="LMO222" s="38"/>
      <c r="LMP222" s="39"/>
      <c r="LMQ222" s="34"/>
      <c r="LMR222" s="34"/>
      <c r="LMS222" s="34"/>
      <c r="LMT222" s="35"/>
      <c r="LMU222" s="35"/>
      <c r="LMV222" s="35"/>
      <c r="LMW222" s="35"/>
      <c r="LMX222" s="35"/>
      <c r="LMY222" s="34"/>
      <c r="LMZ222" s="34"/>
      <c r="LNA222" s="36"/>
      <c r="LNB222" s="36"/>
      <c r="LNC222" s="37"/>
      <c r="LND222" s="37"/>
      <c r="LNE222" s="38"/>
      <c r="LNF222" s="38"/>
      <c r="LNG222" s="39"/>
      <c r="LNH222" s="34"/>
      <c r="LNI222" s="34"/>
      <c r="LNJ222" s="34"/>
      <c r="LNK222" s="35"/>
      <c r="LNL222" s="35"/>
      <c r="LNM222" s="35"/>
      <c r="LNN222" s="35"/>
      <c r="LNO222" s="35"/>
      <c r="LNP222" s="34"/>
      <c r="LNQ222" s="34"/>
      <c r="LNR222" s="36"/>
      <c r="LNS222" s="36"/>
      <c r="LNT222" s="37"/>
      <c r="LNU222" s="37"/>
      <c r="LNV222" s="38"/>
      <c r="LNW222" s="38"/>
      <c r="LNX222" s="39"/>
      <c r="LNY222" s="34"/>
      <c r="LNZ222" s="34"/>
      <c r="LOA222" s="34"/>
      <c r="LOB222" s="35"/>
      <c r="LOC222" s="35"/>
      <c r="LOD222" s="35"/>
      <c r="LOE222" s="35"/>
      <c r="LOF222" s="35"/>
      <c r="LOG222" s="34"/>
      <c r="LOH222" s="34"/>
      <c r="LOI222" s="36"/>
      <c r="LOJ222" s="36"/>
      <c r="LOK222" s="37"/>
      <c r="LOL222" s="37"/>
      <c r="LOM222" s="38"/>
      <c r="LON222" s="38"/>
      <c r="LOO222" s="39"/>
      <c r="LOP222" s="34"/>
      <c r="LOQ222" s="34"/>
      <c r="LOR222" s="34"/>
      <c r="LOS222" s="35"/>
      <c r="LOT222" s="35"/>
      <c r="LOU222" s="35"/>
      <c r="LOV222" s="35"/>
      <c r="LOW222" s="35"/>
      <c r="LOX222" s="34"/>
      <c r="LOY222" s="34"/>
      <c r="LOZ222" s="36"/>
      <c r="LPA222" s="36"/>
      <c r="LPB222" s="37"/>
      <c r="LPC222" s="37"/>
      <c r="LPD222" s="38"/>
      <c r="LPE222" s="38"/>
      <c r="LPF222" s="39"/>
      <c r="LPG222" s="34"/>
      <c r="LPH222" s="34"/>
      <c r="LPI222" s="34"/>
      <c r="LPJ222" s="35"/>
      <c r="LPK222" s="35"/>
      <c r="LPL222" s="35"/>
      <c r="LPM222" s="35"/>
      <c r="LPN222" s="35"/>
      <c r="LPO222" s="34"/>
      <c r="LPP222" s="34"/>
      <c r="LPQ222" s="36"/>
      <c r="LPR222" s="36"/>
      <c r="LPS222" s="37"/>
      <c r="LPT222" s="37"/>
      <c r="LPU222" s="38"/>
      <c r="LPV222" s="38"/>
      <c r="LPW222" s="39"/>
      <c r="LPX222" s="34"/>
      <c r="LPY222" s="34"/>
      <c r="LPZ222" s="34"/>
      <c r="LQA222" s="35"/>
      <c r="LQB222" s="35"/>
      <c r="LQC222" s="35"/>
      <c r="LQD222" s="35"/>
      <c r="LQE222" s="35"/>
      <c r="LQF222" s="34"/>
      <c r="LQG222" s="34"/>
      <c r="LQH222" s="36"/>
      <c r="LQI222" s="36"/>
      <c r="LQJ222" s="37"/>
      <c r="LQK222" s="37"/>
      <c r="LQL222" s="38"/>
      <c r="LQM222" s="38"/>
      <c r="LQN222" s="39"/>
      <c r="LQO222" s="34"/>
      <c r="LQP222" s="34"/>
      <c r="LQQ222" s="34"/>
      <c r="LQR222" s="35"/>
      <c r="LQS222" s="35"/>
      <c r="LQT222" s="35"/>
      <c r="LQU222" s="35"/>
      <c r="LQV222" s="35"/>
      <c r="LQW222" s="34"/>
      <c r="LQX222" s="34"/>
      <c r="LQY222" s="36"/>
      <c r="LQZ222" s="36"/>
      <c r="LRA222" s="37"/>
      <c r="LRB222" s="37"/>
      <c r="LRC222" s="38"/>
      <c r="LRD222" s="38"/>
      <c r="LRE222" s="39"/>
      <c r="LRF222" s="34"/>
      <c r="LRG222" s="34"/>
      <c r="LRH222" s="34"/>
      <c r="LRI222" s="35"/>
      <c r="LRJ222" s="35"/>
      <c r="LRK222" s="35"/>
      <c r="LRL222" s="35"/>
      <c r="LRM222" s="35"/>
      <c r="LRN222" s="34"/>
      <c r="LRO222" s="34"/>
      <c r="LRP222" s="36"/>
      <c r="LRQ222" s="36"/>
      <c r="LRR222" s="37"/>
      <c r="LRS222" s="37"/>
      <c r="LRT222" s="38"/>
      <c r="LRU222" s="38"/>
      <c r="LRV222" s="39"/>
      <c r="LRW222" s="34"/>
      <c r="LRX222" s="34"/>
      <c r="LRY222" s="34"/>
      <c r="LRZ222" s="35"/>
      <c r="LSA222" s="35"/>
      <c r="LSB222" s="35"/>
      <c r="LSC222" s="35"/>
      <c r="LSD222" s="35"/>
      <c r="LSE222" s="34"/>
      <c r="LSF222" s="34"/>
      <c r="LSG222" s="36"/>
      <c r="LSH222" s="36"/>
      <c r="LSI222" s="37"/>
      <c r="LSJ222" s="37"/>
      <c r="LSK222" s="38"/>
      <c r="LSL222" s="38"/>
      <c r="LSM222" s="39"/>
      <c r="LSN222" s="34"/>
      <c r="LSO222" s="34"/>
      <c r="LSP222" s="34"/>
      <c r="LSQ222" s="35"/>
      <c r="LSR222" s="35"/>
      <c r="LSS222" s="35"/>
      <c r="LST222" s="35"/>
      <c r="LSU222" s="35"/>
      <c r="LSV222" s="34"/>
      <c r="LSW222" s="34"/>
      <c r="LSX222" s="36"/>
      <c r="LSY222" s="36"/>
      <c r="LSZ222" s="37"/>
      <c r="LTA222" s="37"/>
      <c r="LTB222" s="38"/>
      <c r="LTC222" s="38"/>
      <c r="LTD222" s="39"/>
      <c r="LTE222" s="34"/>
      <c r="LTF222" s="34"/>
      <c r="LTG222" s="34"/>
      <c r="LTH222" s="35"/>
      <c r="LTI222" s="35"/>
      <c r="LTJ222" s="35"/>
      <c r="LTK222" s="35"/>
      <c r="LTL222" s="35"/>
      <c r="LTM222" s="34"/>
      <c r="LTN222" s="34"/>
      <c r="LTO222" s="36"/>
      <c r="LTP222" s="36"/>
      <c r="LTQ222" s="37"/>
      <c r="LTR222" s="37"/>
      <c r="LTS222" s="38"/>
      <c r="LTT222" s="38"/>
      <c r="LTU222" s="39"/>
      <c r="LTV222" s="34"/>
      <c r="LTW222" s="34"/>
      <c r="LTX222" s="34"/>
      <c r="LTY222" s="35"/>
      <c r="LTZ222" s="35"/>
      <c r="LUA222" s="35"/>
      <c r="LUB222" s="35"/>
      <c r="LUC222" s="35"/>
      <c r="LUD222" s="34"/>
      <c r="LUE222" s="34"/>
      <c r="LUF222" s="36"/>
      <c r="LUG222" s="36"/>
      <c r="LUH222" s="37"/>
      <c r="LUI222" s="37"/>
      <c r="LUJ222" s="38"/>
      <c r="LUK222" s="38"/>
      <c r="LUL222" s="39"/>
      <c r="LUM222" s="34"/>
      <c r="LUN222" s="34"/>
      <c r="LUO222" s="34"/>
      <c r="LUP222" s="35"/>
      <c r="LUQ222" s="35"/>
      <c r="LUR222" s="35"/>
      <c r="LUS222" s="35"/>
      <c r="LUT222" s="35"/>
      <c r="LUU222" s="34"/>
      <c r="LUV222" s="34"/>
      <c r="LUW222" s="36"/>
      <c r="LUX222" s="36"/>
      <c r="LUY222" s="37"/>
      <c r="LUZ222" s="37"/>
      <c r="LVA222" s="38"/>
      <c r="LVB222" s="38"/>
      <c r="LVC222" s="39"/>
      <c r="LVD222" s="34"/>
      <c r="LVE222" s="34"/>
      <c r="LVF222" s="34"/>
      <c r="LVG222" s="35"/>
      <c r="LVH222" s="35"/>
      <c r="LVI222" s="35"/>
      <c r="LVJ222" s="35"/>
      <c r="LVK222" s="35"/>
      <c r="LVL222" s="34"/>
      <c r="LVM222" s="34"/>
      <c r="LVN222" s="36"/>
      <c r="LVO222" s="36"/>
      <c r="LVP222" s="37"/>
      <c r="LVQ222" s="37"/>
      <c r="LVR222" s="38"/>
      <c r="LVS222" s="38"/>
      <c r="LVT222" s="39"/>
      <c r="LVU222" s="34"/>
      <c r="LVV222" s="34"/>
      <c r="LVW222" s="34"/>
      <c r="LVX222" s="35"/>
      <c r="LVY222" s="35"/>
      <c r="LVZ222" s="35"/>
      <c r="LWA222" s="35"/>
      <c r="LWB222" s="35"/>
      <c r="LWC222" s="34"/>
      <c r="LWD222" s="34"/>
      <c r="LWE222" s="36"/>
      <c r="LWF222" s="36"/>
      <c r="LWG222" s="37"/>
      <c r="LWH222" s="37"/>
      <c r="LWI222" s="38"/>
      <c r="LWJ222" s="38"/>
      <c r="LWK222" s="39"/>
      <c r="LWL222" s="34"/>
      <c r="LWM222" s="34"/>
      <c r="LWN222" s="34"/>
      <c r="LWO222" s="35"/>
      <c r="LWP222" s="35"/>
      <c r="LWQ222" s="35"/>
      <c r="LWR222" s="35"/>
      <c r="LWS222" s="35"/>
      <c r="LWT222" s="34"/>
      <c r="LWU222" s="34"/>
      <c r="LWV222" s="36"/>
      <c r="LWW222" s="36"/>
      <c r="LWX222" s="37"/>
      <c r="LWY222" s="37"/>
      <c r="LWZ222" s="38"/>
      <c r="LXA222" s="38"/>
      <c r="LXB222" s="39"/>
      <c r="LXC222" s="34"/>
      <c r="LXD222" s="34"/>
      <c r="LXE222" s="34"/>
      <c r="LXF222" s="35"/>
      <c r="LXG222" s="35"/>
      <c r="LXH222" s="35"/>
      <c r="LXI222" s="35"/>
      <c r="LXJ222" s="35"/>
      <c r="LXK222" s="34"/>
      <c r="LXL222" s="34"/>
      <c r="LXM222" s="36"/>
      <c r="LXN222" s="36"/>
      <c r="LXO222" s="37"/>
      <c r="LXP222" s="37"/>
      <c r="LXQ222" s="38"/>
      <c r="LXR222" s="38"/>
      <c r="LXS222" s="39"/>
      <c r="LXT222" s="34"/>
      <c r="LXU222" s="34"/>
      <c r="LXV222" s="34"/>
      <c r="LXW222" s="35"/>
      <c r="LXX222" s="35"/>
      <c r="LXY222" s="35"/>
      <c r="LXZ222" s="35"/>
      <c r="LYA222" s="35"/>
      <c r="LYB222" s="34"/>
      <c r="LYC222" s="34"/>
      <c r="LYD222" s="36"/>
      <c r="LYE222" s="36"/>
      <c r="LYF222" s="37"/>
      <c r="LYG222" s="37"/>
      <c r="LYH222" s="38"/>
      <c r="LYI222" s="38"/>
      <c r="LYJ222" s="39"/>
      <c r="LYK222" s="34"/>
      <c r="LYL222" s="34"/>
      <c r="LYM222" s="34"/>
      <c r="LYN222" s="35"/>
      <c r="LYO222" s="35"/>
      <c r="LYP222" s="35"/>
      <c r="LYQ222" s="35"/>
      <c r="LYR222" s="35"/>
      <c r="LYS222" s="34"/>
      <c r="LYT222" s="34"/>
      <c r="LYU222" s="36"/>
      <c r="LYV222" s="36"/>
      <c r="LYW222" s="37"/>
      <c r="LYX222" s="37"/>
      <c r="LYY222" s="38"/>
      <c r="LYZ222" s="38"/>
      <c r="LZA222" s="39"/>
      <c r="LZB222" s="34"/>
      <c r="LZC222" s="34"/>
      <c r="LZD222" s="34"/>
      <c r="LZE222" s="35"/>
      <c r="LZF222" s="35"/>
      <c r="LZG222" s="35"/>
      <c r="LZH222" s="35"/>
      <c r="LZI222" s="35"/>
      <c r="LZJ222" s="34"/>
      <c r="LZK222" s="34"/>
      <c r="LZL222" s="36"/>
      <c r="LZM222" s="36"/>
      <c r="LZN222" s="37"/>
      <c r="LZO222" s="37"/>
      <c r="LZP222" s="38"/>
      <c r="LZQ222" s="38"/>
      <c r="LZR222" s="39"/>
      <c r="LZS222" s="34"/>
      <c r="LZT222" s="34"/>
      <c r="LZU222" s="34"/>
      <c r="LZV222" s="35"/>
      <c r="LZW222" s="35"/>
      <c r="LZX222" s="35"/>
      <c r="LZY222" s="35"/>
      <c r="LZZ222" s="35"/>
      <c r="MAA222" s="34"/>
      <c r="MAB222" s="34"/>
      <c r="MAC222" s="36"/>
      <c r="MAD222" s="36"/>
      <c r="MAE222" s="37"/>
      <c r="MAF222" s="37"/>
      <c r="MAG222" s="38"/>
      <c r="MAH222" s="38"/>
      <c r="MAI222" s="39"/>
      <c r="MAJ222" s="34"/>
      <c r="MAK222" s="34"/>
      <c r="MAL222" s="34"/>
      <c r="MAM222" s="35"/>
      <c r="MAN222" s="35"/>
      <c r="MAO222" s="35"/>
      <c r="MAP222" s="35"/>
      <c r="MAQ222" s="35"/>
      <c r="MAR222" s="34"/>
      <c r="MAS222" s="34"/>
      <c r="MAT222" s="36"/>
      <c r="MAU222" s="36"/>
      <c r="MAV222" s="37"/>
      <c r="MAW222" s="37"/>
      <c r="MAX222" s="38"/>
      <c r="MAY222" s="38"/>
      <c r="MAZ222" s="39"/>
      <c r="MBA222" s="34"/>
      <c r="MBB222" s="34"/>
      <c r="MBC222" s="34"/>
      <c r="MBD222" s="35"/>
      <c r="MBE222" s="35"/>
      <c r="MBF222" s="35"/>
      <c r="MBG222" s="35"/>
      <c r="MBH222" s="35"/>
      <c r="MBI222" s="34"/>
      <c r="MBJ222" s="34"/>
      <c r="MBK222" s="36"/>
      <c r="MBL222" s="36"/>
      <c r="MBM222" s="37"/>
      <c r="MBN222" s="37"/>
      <c r="MBO222" s="38"/>
      <c r="MBP222" s="38"/>
      <c r="MBQ222" s="39"/>
      <c r="MBR222" s="34"/>
      <c r="MBS222" s="34"/>
      <c r="MBT222" s="34"/>
      <c r="MBU222" s="35"/>
      <c r="MBV222" s="35"/>
      <c r="MBW222" s="35"/>
      <c r="MBX222" s="35"/>
      <c r="MBY222" s="35"/>
      <c r="MBZ222" s="34"/>
      <c r="MCA222" s="34"/>
      <c r="MCB222" s="36"/>
      <c r="MCC222" s="36"/>
      <c r="MCD222" s="37"/>
      <c r="MCE222" s="37"/>
      <c r="MCF222" s="38"/>
      <c r="MCG222" s="38"/>
      <c r="MCH222" s="39"/>
      <c r="MCI222" s="34"/>
      <c r="MCJ222" s="34"/>
      <c r="MCK222" s="34"/>
      <c r="MCL222" s="35"/>
      <c r="MCM222" s="35"/>
      <c r="MCN222" s="35"/>
      <c r="MCO222" s="35"/>
      <c r="MCP222" s="35"/>
      <c r="MCQ222" s="34"/>
      <c r="MCR222" s="34"/>
      <c r="MCS222" s="36"/>
      <c r="MCT222" s="36"/>
      <c r="MCU222" s="37"/>
      <c r="MCV222" s="37"/>
      <c r="MCW222" s="38"/>
      <c r="MCX222" s="38"/>
      <c r="MCY222" s="39"/>
      <c r="MCZ222" s="34"/>
      <c r="MDA222" s="34"/>
      <c r="MDB222" s="34"/>
      <c r="MDC222" s="35"/>
      <c r="MDD222" s="35"/>
      <c r="MDE222" s="35"/>
      <c r="MDF222" s="35"/>
      <c r="MDG222" s="35"/>
      <c r="MDH222" s="34"/>
      <c r="MDI222" s="34"/>
      <c r="MDJ222" s="36"/>
      <c r="MDK222" s="36"/>
      <c r="MDL222" s="37"/>
      <c r="MDM222" s="37"/>
      <c r="MDN222" s="38"/>
      <c r="MDO222" s="38"/>
      <c r="MDP222" s="39"/>
      <c r="MDQ222" s="34"/>
      <c r="MDR222" s="34"/>
      <c r="MDS222" s="34"/>
      <c r="MDT222" s="35"/>
      <c r="MDU222" s="35"/>
      <c r="MDV222" s="35"/>
      <c r="MDW222" s="35"/>
      <c r="MDX222" s="35"/>
      <c r="MDY222" s="34"/>
      <c r="MDZ222" s="34"/>
      <c r="MEA222" s="36"/>
      <c r="MEB222" s="36"/>
      <c r="MEC222" s="37"/>
      <c r="MED222" s="37"/>
      <c r="MEE222" s="38"/>
      <c r="MEF222" s="38"/>
      <c r="MEG222" s="39"/>
      <c r="MEH222" s="34"/>
      <c r="MEI222" s="34"/>
      <c r="MEJ222" s="34"/>
      <c r="MEK222" s="35"/>
      <c r="MEL222" s="35"/>
      <c r="MEM222" s="35"/>
      <c r="MEN222" s="35"/>
      <c r="MEO222" s="35"/>
      <c r="MEP222" s="34"/>
      <c r="MEQ222" s="34"/>
      <c r="MER222" s="36"/>
      <c r="MES222" s="36"/>
      <c r="MET222" s="37"/>
      <c r="MEU222" s="37"/>
      <c r="MEV222" s="38"/>
      <c r="MEW222" s="38"/>
      <c r="MEX222" s="39"/>
      <c r="MEY222" s="34"/>
      <c r="MEZ222" s="34"/>
      <c r="MFA222" s="34"/>
      <c r="MFB222" s="35"/>
      <c r="MFC222" s="35"/>
      <c r="MFD222" s="35"/>
      <c r="MFE222" s="35"/>
      <c r="MFF222" s="35"/>
      <c r="MFG222" s="34"/>
      <c r="MFH222" s="34"/>
      <c r="MFI222" s="36"/>
      <c r="MFJ222" s="36"/>
      <c r="MFK222" s="37"/>
      <c r="MFL222" s="37"/>
      <c r="MFM222" s="38"/>
      <c r="MFN222" s="38"/>
      <c r="MFO222" s="39"/>
      <c r="MFP222" s="34"/>
      <c r="MFQ222" s="34"/>
      <c r="MFR222" s="34"/>
      <c r="MFS222" s="35"/>
      <c r="MFT222" s="35"/>
      <c r="MFU222" s="35"/>
      <c r="MFV222" s="35"/>
      <c r="MFW222" s="35"/>
      <c r="MFX222" s="34"/>
      <c r="MFY222" s="34"/>
      <c r="MFZ222" s="36"/>
      <c r="MGA222" s="36"/>
      <c r="MGB222" s="37"/>
      <c r="MGC222" s="37"/>
      <c r="MGD222" s="38"/>
      <c r="MGE222" s="38"/>
      <c r="MGF222" s="39"/>
      <c r="MGG222" s="34"/>
      <c r="MGH222" s="34"/>
      <c r="MGI222" s="34"/>
      <c r="MGJ222" s="35"/>
      <c r="MGK222" s="35"/>
      <c r="MGL222" s="35"/>
      <c r="MGM222" s="35"/>
      <c r="MGN222" s="35"/>
      <c r="MGO222" s="34"/>
      <c r="MGP222" s="34"/>
      <c r="MGQ222" s="36"/>
      <c r="MGR222" s="36"/>
      <c r="MGS222" s="37"/>
      <c r="MGT222" s="37"/>
      <c r="MGU222" s="38"/>
      <c r="MGV222" s="38"/>
      <c r="MGW222" s="39"/>
      <c r="MGX222" s="34"/>
      <c r="MGY222" s="34"/>
      <c r="MGZ222" s="34"/>
      <c r="MHA222" s="35"/>
      <c r="MHB222" s="35"/>
      <c r="MHC222" s="35"/>
      <c r="MHD222" s="35"/>
      <c r="MHE222" s="35"/>
      <c r="MHF222" s="34"/>
      <c r="MHG222" s="34"/>
      <c r="MHH222" s="36"/>
      <c r="MHI222" s="36"/>
      <c r="MHJ222" s="37"/>
      <c r="MHK222" s="37"/>
      <c r="MHL222" s="38"/>
      <c r="MHM222" s="38"/>
      <c r="MHN222" s="39"/>
      <c r="MHO222" s="34"/>
      <c r="MHP222" s="34"/>
      <c r="MHQ222" s="34"/>
      <c r="MHR222" s="35"/>
      <c r="MHS222" s="35"/>
      <c r="MHT222" s="35"/>
      <c r="MHU222" s="35"/>
      <c r="MHV222" s="35"/>
      <c r="MHW222" s="34"/>
      <c r="MHX222" s="34"/>
      <c r="MHY222" s="36"/>
      <c r="MHZ222" s="36"/>
      <c r="MIA222" s="37"/>
      <c r="MIB222" s="37"/>
      <c r="MIC222" s="38"/>
      <c r="MID222" s="38"/>
      <c r="MIE222" s="39"/>
      <c r="MIF222" s="34"/>
      <c r="MIG222" s="34"/>
      <c r="MIH222" s="34"/>
      <c r="MII222" s="35"/>
      <c r="MIJ222" s="35"/>
      <c r="MIK222" s="35"/>
      <c r="MIL222" s="35"/>
      <c r="MIM222" s="35"/>
      <c r="MIN222" s="34"/>
      <c r="MIO222" s="34"/>
      <c r="MIP222" s="36"/>
      <c r="MIQ222" s="36"/>
      <c r="MIR222" s="37"/>
      <c r="MIS222" s="37"/>
      <c r="MIT222" s="38"/>
      <c r="MIU222" s="38"/>
      <c r="MIV222" s="39"/>
      <c r="MIW222" s="34"/>
      <c r="MIX222" s="34"/>
      <c r="MIY222" s="34"/>
      <c r="MIZ222" s="35"/>
      <c r="MJA222" s="35"/>
      <c r="MJB222" s="35"/>
      <c r="MJC222" s="35"/>
      <c r="MJD222" s="35"/>
      <c r="MJE222" s="34"/>
      <c r="MJF222" s="34"/>
      <c r="MJG222" s="36"/>
      <c r="MJH222" s="36"/>
      <c r="MJI222" s="37"/>
      <c r="MJJ222" s="37"/>
      <c r="MJK222" s="38"/>
      <c r="MJL222" s="38"/>
      <c r="MJM222" s="39"/>
      <c r="MJN222" s="34"/>
      <c r="MJO222" s="34"/>
      <c r="MJP222" s="34"/>
      <c r="MJQ222" s="35"/>
      <c r="MJR222" s="35"/>
      <c r="MJS222" s="35"/>
      <c r="MJT222" s="35"/>
      <c r="MJU222" s="35"/>
      <c r="MJV222" s="34"/>
      <c r="MJW222" s="34"/>
      <c r="MJX222" s="36"/>
      <c r="MJY222" s="36"/>
      <c r="MJZ222" s="37"/>
      <c r="MKA222" s="37"/>
      <c r="MKB222" s="38"/>
      <c r="MKC222" s="38"/>
      <c r="MKD222" s="39"/>
      <c r="MKE222" s="34"/>
      <c r="MKF222" s="34"/>
      <c r="MKG222" s="34"/>
      <c r="MKH222" s="35"/>
      <c r="MKI222" s="35"/>
      <c r="MKJ222" s="35"/>
      <c r="MKK222" s="35"/>
      <c r="MKL222" s="35"/>
      <c r="MKM222" s="34"/>
      <c r="MKN222" s="34"/>
      <c r="MKO222" s="36"/>
      <c r="MKP222" s="36"/>
      <c r="MKQ222" s="37"/>
      <c r="MKR222" s="37"/>
      <c r="MKS222" s="38"/>
      <c r="MKT222" s="38"/>
      <c r="MKU222" s="39"/>
      <c r="MKV222" s="34"/>
      <c r="MKW222" s="34"/>
      <c r="MKX222" s="34"/>
      <c r="MKY222" s="35"/>
      <c r="MKZ222" s="35"/>
      <c r="MLA222" s="35"/>
      <c r="MLB222" s="35"/>
      <c r="MLC222" s="35"/>
      <c r="MLD222" s="34"/>
      <c r="MLE222" s="34"/>
      <c r="MLF222" s="36"/>
      <c r="MLG222" s="36"/>
      <c r="MLH222" s="37"/>
      <c r="MLI222" s="37"/>
      <c r="MLJ222" s="38"/>
      <c r="MLK222" s="38"/>
      <c r="MLL222" s="39"/>
      <c r="MLM222" s="34"/>
      <c r="MLN222" s="34"/>
      <c r="MLO222" s="34"/>
      <c r="MLP222" s="35"/>
      <c r="MLQ222" s="35"/>
      <c r="MLR222" s="35"/>
      <c r="MLS222" s="35"/>
      <c r="MLT222" s="35"/>
      <c r="MLU222" s="34"/>
      <c r="MLV222" s="34"/>
      <c r="MLW222" s="36"/>
      <c r="MLX222" s="36"/>
      <c r="MLY222" s="37"/>
      <c r="MLZ222" s="37"/>
      <c r="MMA222" s="38"/>
      <c r="MMB222" s="38"/>
      <c r="MMC222" s="39"/>
      <c r="MMD222" s="34"/>
      <c r="MME222" s="34"/>
      <c r="MMF222" s="34"/>
      <c r="MMG222" s="35"/>
      <c r="MMH222" s="35"/>
      <c r="MMI222" s="35"/>
      <c r="MMJ222" s="35"/>
      <c r="MMK222" s="35"/>
      <c r="MML222" s="34"/>
      <c r="MMM222" s="34"/>
      <c r="MMN222" s="36"/>
      <c r="MMO222" s="36"/>
      <c r="MMP222" s="37"/>
      <c r="MMQ222" s="37"/>
      <c r="MMR222" s="38"/>
      <c r="MMS222" s="38"/>
      <c r="MMT222" s="39"/>
      <c r="MMU222" s="34"/>
      <c r="MMV222" s="34"/>
      <c r="MMW222" s="34"/>
      <c r="MMX222" s="35"/>
      <c r="MMY222" s="35"/>
      <c r="MMZ222" s="35"/>
      <c r="MNA222" s="35"/>
      <c r="MNB222" s="35"/>
      <c r="MNC222" s="34"/>
      <c r="MND222" s="34"/>
      <c r="MNE222" s="36"/>
      <c r="MNF222" s="36"/>
      <c r="MNG222" s="37"/>
      <c r="MNH222" s="37"/>
      <c r="MNI222" s="38"/>
      <c r="MNJ222" s="38"/>
      <c r="MNK222" s="39"/>
      <c r="MNL222" s="34"/>
      <c r="MNM222" s="34"/>
      <c r="MNN222" s="34"/>
      <c r="MNO222" s="35"/>
      <c r="MNP222" s="35"/>
      <c r="MNQ222" s="35"/>
      <c r="MNR222" s="35"/>
      <c r="MNS222" s="35"/>
      <c r="MNT222" s="34"/>
      <c r="MNU222" s="34"/>
      <c r="MNV222" s="36"/>
      <c r="MNW222" s="36"/>
      <c r="MNX222" s="37"/>
      <c r="MNY222" s="37"/>
      <c r="MNZ222" s="38"/>
      <c r="MOA222" s="38"/>
      <c r="MOB222" s="39"/>
      <c r="MOC222" s="34"/>
      <c r="MOD222" s="34"/>
      <c r="MOE222" s="34"/>
      <c r="MOF222" s="35"/>
      <c r="MOG222" s="35"/>
      <c r="MOH222" s="35"/>
      <c r="MOI222" s="35"/>
      <c r="MOJ222" s="35"/>
      <c r="MOK222" s="34"/>
      <c r="MOL222" s="34"/>
      <c r="MOM222" s="36"/>
      <c r="MON222" s="36"/>
      <c r="MOO222" s="37"/>
      <c r="MOP222" s="37"/>
      <c r="MOQ222" s="38"/>
      <c r="MOR222" s="38"/>
      <c r="MOS222" s="39"/>
      <c r="MOT222" s="34"/>
      <c r="MOU222" s="34"/>
      <c r="MOV222" s="34"/>
      <c r="MOW222" s="35"/>
      <c r="MOX222" s="35"/>
      <c r="MOY222" s="35"/>
      <c r="MOZ222" s="35"/>
      <c r="MPA222" s="35"/>
      <c r="MPB222" s="34"/>
      <c r="MPC222" s="34"/>
      <c r="MPD222" s="36"/>
      <c r="MPE222" s="36"/>
      <c r="MPF222" s="37"/>
      <c r="MPG222" s="37"/>
      <c r="MPH222" s="38"/>
      <c r="MPI222" s="38"/>
      <c r="MPJ222" s="39"/>
      <c r="MPK222" s="34"/>
      <c r="MPL222" s="34"/>
      <c r="MPM222" s="34"/>
      <c r="MPN222" s="35"/>
      <c r="MPO222" s="35"/>
      <c r="MPP222" s="35"/>
      <c r="MPQ222" s="35"/>
      <c r="MPR222" s="35"/>
      <c r="MPS222" s="34"/>
      <c r="MPT222" s="34"/>
      <c r="MPU222" s="36"/>
      <c r="MPV222" s="36"/>
      <c r="MPW222" s="37"/>
      <c r="MPX222" s="37"/>
      <c r="MPY222" s="38"/>
      <c r="MPZ222" s="38"/>
      <c r="MQA222" s="39"/>
      <c r="MQB222" s="34"/>
      <c r="MQC222" s="34"/>
      <c r="MQD222" s="34"/>
      <c r="MQE222" s="35"/>
      <c r="MQF222" s="35"/>
      <c r="MQG222" s="35"/>
      <c r="MQH222" s="35"/>
      <c r="MQI222" s="35"/>
      <c r="MQJ222" s="34"/>
      <c r="MQK222" s="34"/>
      <c r="MQL222" s="36"/>
      <c r="MQM222" s="36"/>
      <c r="MQN222" s="37"/>
      <c r="MQO222" s="37"/>
      <c r="MQP222" s="38"/>
      <c r="MQQ222" s="38"/>
      <c r="MQR222" s="39"/>
      <c r="MQS222" s="34"/>
      <c r="MQT222" s="34"/>
      <c r="MQU222" s="34"/>
      <c r="MQV222" s="35"/>
      <c r="MQW222" s="35"/>
      <c r="MQX222" s="35"/>
      <c r="MQY222" s="35"/>
      <c r="MQZ222" s="35"/>
      <c r="MRA222" s="34"/>
      <c r="MRB222" s="34"/>
      <c r="MRC222" s="36"/>
      <c r="MRD222" s="36"/>
      <c r="MRE222" s="37"/>
      <c r="MRF222" s="37"/>
      <c r="MRG222" s="38"/>
      <c r="MRH222" s="38"/>
      <c r="MRI222" s="39"/>
      <c r="MRJ222" s="34"/>
      <c r="MRK222" s="34"/>
      <c r="MRL222" s="34"/>
      <c r="MRM222" s="35"/>
      <c r="MRN222" s="35"/>
      <c r="MRO222" s="35"/>
      <c r="MRP222" s="35"/>
      <c r="MRQ222" s="35"/>
      <c r="MRR222" s="34"/>
      <c r="MRS222" s="34"/>
      <c r="MRT222" s="36"/>
      <c r="MRU222" s="36"/>
      <c r="MRV222" s="37"/>
      <c r="MRW222" s="37"/>
      <c r="MRX222" s="38"/>
      <c r="MRY222" s="38"/>
      <c r="MRZ222" s="39"/>
      <c r="MSA222" s="34"/>
      <c r="MSB222" s="34"/>
      <c r="MSC222" s="34"/>
      <c r="MSD222" s="35"/>
      <c r="MSE222" s="35"/>
      <c r="MSF222" s="35"/>
      <c r="MSG222" s="35"/>
      <c r="MSH222" s="35"/>
      <c r="MSI222" s="34"/>
      <c r="MSJ222" s="34"/>
      <c r="MSK222" s="36"/>
      <c r="MSL222" s="36"/>
      <c r="MSM222" s="37"/>
      <c r="MSN222" s="37"/>
      <c r="MSO222" s="38"/>
      <c r="MSP222" s="38"/>
      <c r="MSQ222" s="39"/>
      <c r="MSR222" s="34"/>
      <c r="MSS222" s="34"/>
      <c r="MST222" s="34"/>
      <c r="MSU222" s="35"/>
      <c r="MSV222" s="35"/>
      <c r="MSW222" s="35"/>
      <c r="MSX222" s="35"/>
      <c r="MSY222" s="35"/>
      <c r="MSZ222" s="34"/>
      <c r="MTA222" s="34"/>
      <c r="MTB222" s="36"/>
      <c r="MTC222" s="36"/>
      <c r="MTD222" s="37"/>
      <c r="MTE222" s="37"/>
      <c r="MTF222" s="38"/>
      <c r="MTG222" s="38"/>
      <c r="MTH222" s="39"/>
      <c r="MTI222" s="34"/>
      <c r="MTJ222" s="34"/>
      <c r="MTK222" s="34"/>
      <c r="MTL222" s="35"/>
      <c r="MTM222" s="35"/>
      <c r="MTN222" s="35"/>
      <c r="MTO222" s="35"/>
      <c r="MTP222" s="35"/>
      <c r="MTQ222" s="34"/>
      <c r="MTR222" s="34"/>
      <c r="MTS222" s="36"/>
      <c r="MTT222" s="36"/>
      <c r="MTU222" s="37"/>
      <c r="MTV222" s="37"/>
      <c r="MTW222" s="38"/>
      <c r="MTX222" s="38"/>
      <c r="MTY222" s="39"/>
      <c r="MTZ222" s="34"/>
      <c r="MUA222" s="34"/>
      <c r="MUB222" s="34"/>
      <c r="MUC222" s="35"/>
      <c r="MUD222" s="35"/>
      <c r="MUE222" s="35"/>
      <c r="MUF222" s="35"/>
      <c r="MUG222" s="35"/>
      <c r="MUH222" s="34"/>
      <c r="MUI222" s="34"/>
      <c r="MUJ222" s="36"/>
      <c r="MUK222" s="36"/>
      <c r="MUL222" s="37"/>
      <c r="MUM222" s="37"/>
      <c r="MUN222" s="38"/>
      <c r="MUO222" s="38"/>
      <c r="MUP222" s="39"/>
      <c r="MUQ222" s="34"/>
      <c r="MUR222" s="34"/>
      <c r="MUS222" s="34"/>
      <c r="MUT222" s="35"/>
      <c r="MUU222" s="35"/>
      <c r="MUV222" s="35"/>
      <c r="MUW222" s="35"/>
      <c r="MUX222" s="35"/>
      <c r="MUY222" s="34"/>
      <c r="MUZ222" s="34"/>
      <c r="MVA222" s="36"/>
      <c r="MVB222" s="36"/>
      <c r="MVC222" s="37"/>
      <c r="MVD222" s="37"/>
      <c r="MVE222" s="38"/>
      <c r="MVF222" s="38"/>
      <c r="MVG222" s="39"/>
      <c r="MVH222" s="34"/>
      <c r="MVI222" s="34"/>
      <c r="MVJ222" s="34"/>
      <c r="MVK222" s="35"/>
      <c r="MVL222" s="35"/>
      <c r="MVM222" s="35"/>
      <c r="MVN222" s="35"/>
      <c r="MVO222" s="35"/>
      <c r="MVP222" s="34"/>
      <c r="MVQ222" s="34"/>
      <c r="MVR222" s="36"/>
      <c r="MVS222" s="36"/>
      <c r="MVT222" s="37"/>
      <c r="MVU222" s="37"/>
      <c r="MVV222" s="38"/>
      <c r="MVW222" s="38"/>
      <c r="MVX222" s="39"/>
      <c r="MVY222" s="34"/>
      <c r="MVZ222" s="34"/>
      <c r="MWA222" s="34"/>
      <c r="MWB222" s="35"/>
      <c r="MWC222" s="35"/>
      <c r="MWD222" s="35"/>
      <c r="MWE222" s="35"/>
      <c r="MWF222" s="35"/>
      <c r="MWG222" s="34"/>
      <c r="MWH222" s="34"/>
      <c r="MWI222" s="36"/>
      <c r="MWJ222" s="36"/>
      <c r="MWK222" s="37"/>
      <c r="MWL222" s="37"/>
      <c r="MWM222" s="38"/>
      <c r="MWN222" s="38"/>
      <c r="MWO222" s="39"/>
      <c r="MWP222" s="34"/>
      <c r="MWQ222" s="34"/>
      <c r="MWR222" s="34"/>
      <c r="MWS222" s="35"/>
      <c r="MWT222" s="35"/>
      <c r="MWU222" s="35"/>
      <c r="MWV222" s="35"/>
      <c r="MWW222" s="35"/>
      <c r="MWX222" s="34"/>
      <c r="MWY222" s="34"/>
      <c r="MWZ222" s="36"/>
      <c r="MXA222" s="36"/>
      <c r="MXB222" s="37"/>
      <c r="MXC222" s="37"/>
      <c r="MXD222" s="38"/>
      <c r="MXE222" s="38"/>
      <c r="MXF222" s="39"/>
      <c r="MXG222" s="34"/>
      <c r="MXH222" s="34"/>
      <c r="MXI222" s="34"/>
      <c r="MXJ222" s="35"/>
      <c r="MXK222" s="35"/>
      <c r="MXL222" s="35"/>
      <c r="MXM222" s="35"/>
      <c r="MXN222" s="35"/>
      <c r="MXO222" s="34"/>
      <c r="MXP222" s="34"/>
      <c r="MXQ222" s="36"/>
      <c r="MXR222" s="36"/>
      <c r="MXS222" s="37"/>
      <c r="MXT222" s="37"/>
      <c r="MXU222" s="38"/>
      <c r="MXV222" s="38"/>
      <c r="MXW222" s="39"/>
      <c r="MXX222" s="34"/>
      <c r="MXY222" s="34"/>
      <c r="MXZ222" s="34"/>
      <c r="MYA222" s="35"/>
      <c r="MYB222" s="35"/>
      <c r="MYC222" s="35"/>
      <c r="MYD222" s="35"/>
      <c r="MYE222" s="35"/>
      <c r="MYF222" s="34"/>
      <c r="MYG222" s="34"/>
      <c r="MYH222" s="36"/>
      <c r="MYI222" s="36"/>
      <c r="MYJ222" s="37"/>
      <c r="MYK222" s="37"/>
      <c r="MYL222" s="38"/>
      <c r="MYM222" s="38"/>
      <c r="MYN222" s="39"/>
      <c r="MYO222" s="34"/>
      <c r="MYP222" s="34"/>
      <c r="MYQ222" s="34"/>
      <c r="MYR222" s="35"/>
      <c r="MYS222" s="35"/>
      <c r="MYT222" s="35"/>
      <c r="MYU222" s="35"/>
      <c r="MYV222" s="35"/>
      <c r="MYW222" s="34"/>
      <c r="MYX222" s="34"/>
      <c r="MYY222" s="36"/>
      <c r="MYZ222" s="36"/>
      <c r="MZA222" s="37"/>
      <c r="MZB222" s="37"/>
      <c r="MZC222" s="38"/>
      <c r="MZD222" s="38"/>
      <c r="MZE222" s="39"/>
      <c r="MZF222" s="34"/>
      <c r="MZG222" s="34"/>
      <c r="MZH222" s="34"/>
      <c r="MZI222" s="35"/>
      <c r="MZJ222" s="35"/>
      <c r="MZK222" s="35"/>
      <c r="MZL222" s="35"/>
      <c r="MZM222" s="35"/>
      <c r="MZN222" s="34"/>
      <c r="MZO222" s="34"/>
      <c r="MZP222" s="36"/>
      <c r="MZQ222" s="36"/>
      <c r="MZR222" s="37"/>
      <c r="MZS222" s="37"/>
      <c r="MZT222" s="38"/>
      <c r="MZU222" s="38"/>
      <c r="MZV222" s="39"/>
      <c r="MZW222" s="34"/>
      <c r="MZX222" s="34"/>
      <c r="MZY222" s="34"/>
      <c r="MZZ222" s="35"/>
      <c r="NAA222" s="35"/>
      <c r="NAB222" s="35"/>
      <c r="NAC222" s="35"/>
      <c r="NAD222" s="35"/>
      <c r="NAE222" s="34"/>
      <c r="NAF222" s="34"/>
      <c r="NAG222" s="36"/>
      <c r="NAH222" s="36"/>
      <c r="NAI222" s="37"/>
      <c r="NAJ222" s="37"/>
      <c r="NAK222" s="38"/>
      <c r="NAL222" s="38"/>
      <c r="NAM222" s="39"/>
      <c r="NAN222" s="34"/>
      <c r="NAO222" s="34"/>
      <c r="NAP222" s="34"/>
      <c r="NAQ222" s="35"/>
      <c r="NAR222" s="35"/>
      <c r="NAS222" s="35"/>
      <c r="NAT222" s="35"/>
      <c r="NAU222" s="35"/>
      <c r="NAV222" s="34"/>
      <c r="NAW222" s="34"/>
      <c r="NAX222" s="36"/>
      <c r="NAY222" s="36"/>
      <c r="NAZ222" s="37"/>
      <c r="NBA222" s="37"/>
      <c r="NBB222" s="38"/>
      <c r="NBC222" s="38"/>
      <c r="NBD222" s="39"/>
      <c r="NBE222" s="34"/>
      <c r="NBF222" s="34"/>
      <c r="NBG222" s="34"/>
      <c r="NBH222" s="35"/>
      <c r="NBI222" s="35"/>
      <c r="NBJ222" s="35"/>
      <c r="NBK222" s="35"/>
      <c r="NBL222" s="35"/>
      <c r="NBM222" s="34"/>
      <c r="NBN222" s="34"/>
      <c r="NBO222" s="36"/>
      <c r="NBP222" s="36"/>
      <c r="NBQ222" s="37"/>
      <c r="NBR222" s="37"/>
      <c r="NBS222" s="38"/>
      <c r="NBT222" s="38"/>
      <c r="NBU222" s="39"/>
      <c r="NBV222" s="34"/>
      <c r="NBW222" s="34"/>
      <c r="NBX222" s="34"/>
      <c r="NBY222" s="35"/>
      <c r="NBZ222" s="35"/>
      <c r="NCA222" s="35"/>
      <c r="NCB222" s="35"/>
      <c r="NCC222" s="35"/>
      <c r="NCD222" s="34"/>
      <c r="NCE222" s="34"/>
      <c r="NCF222" s="36"/>
      <c r="NCG222" s="36"/>
      <c r="NCH222" s="37"/>
      <c r="NCI222" s="37"/>
      <c r="NCJ222" s="38"/>
      <c r="NCK222" s="38"/>
      <c r="NCL222" s="39"/>
      <c r="NCM222" s="34"/>
      <c r="NCN222" s="34"/>
      <c r="NCO222" s="34"/>
      <c r="NCP222" s="35"/>
      <c r="NCQ222" s="35"/>
      <c r="NCR222" s="35"/>
      <c r="NCS222" s="35"/>
      <c r="NCT222" s="35"/>
      <c r="NCU222" s="34"/>
      <c r="NCV222" s="34"/>
      <c r="NCW222" s="36"/>
      <c r="NCX222" s="36"/>
      <c r="NCY222" s="37"/>
      <c r="NCZ222" s="37"/>
      <c r="NDA222" s="38"/>
      <c r="NDB222" s="38"/>
      <c r="NDC222" s="39"/>
      <c r="NDD222" s="34"/>
      <c r="NDE222" s="34"/>
      <c r="NDF222" s="34"/>
      <c r="NDG222" s="35"/>
      <c r="NDH222" s="35"/>
      <c r="NDI222" s="35"/>
      <c r="NDJ222" s="35"/>
      <c r="NDK222" s="35"/>
      <c r="NDL222" s="34"/>
      <c r="NDM222" s="34"/>
      <c r="NDN222" s="36"/>
      <c r="NDO222" s="36"/>
      <c r="NDP222" s="37"/>
      <c r="NDQ222" s="37"/>
      <c r="NDR222" s="38"/>
      <c r="NDS222" s="38"/>
      <c r="NDT222" s="39"/>
      <c r="NDU222" s="34"/>
      <c r="NDV222" s="34"/>
      <c r="NDW222" s="34"/>
      <c r="NDX222" s="35"/>
      <c r="NDY222" s="35"/>
      <c r="NDZ222" s="35"/>
      <c r="NEA222" s="35"/>
      <c r="NEB222" s="35"/>
      <c r="NEC222" s="34"/>
      <c r="NED222" s="34"/>
      <c r="NEE222" s="36"/>
      <c r="NEF222" s="36"/>
      <c r="NEG222" s="37"/>
      <c r="NEH222" s="37"/>
      <c r="NEI222" s="38"/>
      <c r="NEJ222" s="38"/>
      <c r="NEK222" s="39"/>
      <c r="NEL222" s="34"/>
      <c r="NEM222" s="34"/>
      <c r="NEN222" s="34"/>
      <c r="NEO222" s="35"/>
      <c r="NEP222" s="35"/>
      <c r="NEQ222" s="35"/>
      <c r="NER222" s="35"/>
      <c r="NES222" s="35"/>
      <c r="NET222" s="34"/>
      <c r="NEU222" s="34"/>
      <c r="NEV222" s="36"/>
      <c r="NEW222" s="36"/>
      <c r="NEX222" s="37"/>
      <c r="NEY222" s="37"/>
      <c r="NEZ222" s="38"/>
      <c r="NFA222" s="38"/>
      <c r="NFB222" s="39"/>
      <c r="NFC222" s="34"/>
      <c r="NFD222" s="34"/>
      <c r="NFE222" s="34"/>
      <c r="NFF222" s="35"/>
      <c r="NFG222" s="35"/>
      <c r="NFH222" s="35"/>
      <c r="NFI222" s="35"/>
      <c r="NFJ222" s="35"/>
      <c r="NFK222" s="34"/>
      <c r="NFL222" s="34"/>
      <c r="NFM222" s="36"/>
      <c r="NFN222" s="36"/>
      <c r="NFO222" s="37"/>
      <c r="NFP222" s="37"/>
      <c r="NFQ222" s="38"/>
      <c r="NFR222" s="38"/>
      <c r="NFS222" s="39"/>
      <c r="NFT222" s="34"/>
      <c r="NFU222" s="34"/>
      <c r="NFV222" s="34"/>
      <c r="NFW222" s="35"/>
      <c r="NFX222" s="35"/>
      <c r="NFY222" s="35"/>
      <c r="NFZ222" s="35"/>
      <c r="NGA222" s="35"/>
      <c r="NGB222" s="34"/>
      <c r="NGC222" s="34"/>
      <c r="NGD222" s="36"/>
      <c r="NGE222" s="36"/>
      <c r="NGF222" s="37"/>
      <c r="NGG222" s="37"/>
      <c r="NGH222" s="38"/>
      <c r="NGI222" s="38"/>
      <c r="NGJ222" s="39"/>
      <c r="NGK222" s="34"/>
      <c r="NGL222" s="34"/>
      <c r="NGM222" s="34"/>
      <c r="NGN222" s="35"/>
      <c r="NGO222" s="35"/>
      <c r="NGP222" s="35"/>
      <c r="NGQ222" s="35"/>
      <c r="NGR222" s="35"/>
      <c r="NGS222" s="34"/>
      <c r="NGT222" s="34"/>
      <c r="NGU222" s="36"/>
      <c r="NGV222" s="36"/>
      <c r="NGW222" s="37"/>
      <c r="NGX222" s="37"/>
      <c r="NGY222" s="38"/>
      <c r="NGZ222" s="38"/>
      <c r="NHA222" s="39"/>
      <c r="NHB222" s="34"/>
      <c r="NHC222" s="34"/>
      <c r="NHD222" s="34"/>
      <c r="NHE222" s="35"/>
      <c r="NHF222" s="35"/>
      <c r="NHG222" s="35"/>
      <c r="NHH222" s="35"/>
      <c r="NHI222" s="35"/>
      <c r="NHJ222" s="34"/>
      <c r="NHK222" s="34"/>
      <c r="NHL222" s="36"/>
      <c r="NHM222" s="36"/>
      <c r="NHN222" s="37"/>
      <c r="NHO222" s="37"/>
      <c r="NHP222" s="38"/>
      <c r="NHQ222" s="38"/>
      <c r="NHR222" s="39"/>
      <c r="NHS222" s="34"/>
      <c r="NHT222" s="34"/>
      <c r="NHU222" s="34"/>
      <c r="NHV222" s="35"/>
      <c r="NHW222" s="35"/>
      <c r="NHX222" s="35"/>
      <c r="NHY222" s="35"/>
      <c r="NHZ222" s="35"/>
      <c r="NIA222" s="34"/>
      <c r="NIB222" s="34"/>
      <c r="NIC222" s="36"/>
      <c r="NID222" s="36"/>
      <c r="NIE222" s="37"/>
      <c r="NIF222" s="37"/>
      <c r="NIG222" s="38"/>
      <c r="NIH222" s="38"/>
      <c r="NII222" s="39"/>
      <c r="NIJ222" s="34"/>
      <c r="NIK222" s="34"/>
      <c r="NIL222" s="34"/>
      <c r="NIM222" s="35"/>
      <c r="NIN222" s="35"/>
      <c r="NIO222" s="35"/>
      <c r="NIP222" s="35"/>
      <c r="NIQ222" s="35"/>
      <c r="NIR222" s="34"/>
      <c r="NIS222" s="34"/>
      <c r="NIT222" s="36"/>
      <c r="NIU222" s="36"/>
      <c r="NIV222" s="37"/>
      <c r="NIW222" s="37"/>
      <c r="NIX222" s="38"/>
      <c r="NIY222" s="38"/>
      <c r="NIZ222" s="39"/>
      <c r="NJA222" s="34"/>
      <c r="NJB222" s="34"/>
      <c r="NJC222" s="34"/>
      <c r="NJD222" s="35"/>
      <c r="NJE222" s="35"/>
      <c r="NJF222" s="35"/>
      <c r="NJG222" s="35"/>
      <c r="NJH222" s="35"/>
      <c r="NJI222" s="34"/>
      <c r="NJJ222" s="34"/>
      <c r="NJK222" s="36"/>
      <c r="NJL222" s="36"/>
      <c r="NJM222" s="37"/>
      <c r="NJN222" s="37"/>
      <c r="NJO222" s="38"/>
      <c r="NJP222" s="38"/>
      <c r="NJQ222" s="39"/>
      <c r="NJR222" s="34"/>
      <c r="NJS222" s="34"/>
      <c r="NJT222" s="34"/>
      <c r="NJU222" s="35"/>
      <c r="NJV222" s="35"/>
      <c r="NJW222" s="35"/>
      <c r="NJX222" s="35"/>
      <c r="NJY222" s="35"/>
      <c r="NJZ222" s="34"/>
      <c r="NKA222" s="34"/>
      <c r="NKB222" s="36"/>
      <c r="NKC222" s="36"/>
      <c r="NKD222" s="37"/>
      <c r="NKE222" s="37"/>
      <c r="NKF222" s="38"/>
      <c r="NKG222" s="38"/>
      <c r="NKH222" s="39"/>
      <c r="NKI222" s="34"/>
      <c r="NKJ222" s="34"/>
      <c r="NKK222" s="34"/>
      <c r="NKL222" s="35"/>
      <c r="NKM222" s="35"/>
      <c r="NKN222" s="35"/>
      <c r="NKO222" s="35"/>
      <c r="NKP222" s="35"/>
      <c r="NKQ222" s="34"/>
      <c r="NKR222" s="34"/>
      <c r="NKS222" s="36"/>
      <c r="NKT222" s="36"/>
      <c r="NKU222" s="37"/>
      <c r="NKV222" s="37"/>
      <c r="NKW222" s="38"/>
      <c r="NKX222" s="38"/>
      <c r="NKY222" s="39"/>
      <c r="NKZ222" s="34"/>
      <c r="NLA222" s="34"/>
      <c r="NLB222" s="34"/>
      <c r="NLC222" s="35"/>
      <c r="NLD222" s="35"/>
      <c r="NLE222" s="35"/>
      <c r="NLF222" s="35"/>
      <c r="NLG222" s="35"/>
      <c r="NLH222" s="34"/>
      <c r="NLI222" s="34"/>
      <c r="NLJ222" s="36"/>
      <c r="NLK222" s="36"/>
      <c r="NLL222" s="37"/>
      <c r="NLM222" s="37"/>
      <c r="NLN222" s="38"/>
      <c r="NLO222" s="38"/>
      <c r="NLP222" s="39"/>
      <c r="NLQ222" s="34"/>
      <c r="NLR222" s="34"/>
      <c r="NLS222" s="34"/>
      <c r="NLT222" s="35"/>
      <c r="NLU222" s="35"/>
      <c r="NLV222" s="35"/>
      <c r="NLW222" s="35"/>
      <c r="NLX222" s="35"/>
      <c r="NLY222" s="34"/>
      <c r="NLZ222" s="34"/>
      <c r="NMA222" s="36"/>
      <c r="NMB222" s="36"/>
      <c r="NMC222" s="37"/>
      <c r="NMD222" s="37"/>
      <c r="NME222" s="38"/>
      <c r="NMF222" s="38"/>
      <c r="NMG222" s="39"/>
      <c r="NMH222" s="34"/>
      <c r="NMI222" s="34"/>
      <c r="NMJ222" s="34"/>
      <c r="NMK222" s="35"/>
      <c r="NML222" s="35"/>
      <c r="NMM222" s="35"/>
      <c r="NMN222" s="35"/>
      <c r="NMO222" s="35"/>
      <c r="NMP222" s="34"/>
      <c r="NMQ222" s="34"/>
      <c r="NMR222" s="36"/>
      <c r="NMS222" s="36"/>
      <c r="NMT222" s="37"/>
      <c r="NMU222" s="37"/>
      <c r="NMV222" s="38"/>
      <c r="NMW222" s="38"/>
      <c r="NMX222" s="39"/>
      <c r="NMY222" s="34"/>
      <c r="NMZ222" s="34"/>
      <c r="NNA222" s="34"/>
      <c r="NNB222" s="35"/>
      <c r="NNC222" s="35"/>
      <c r="NND222" s="35"/>
      <c r="NNE222" s="35"/>
      <c r="NNF222" s="35"/>
      <c r="NNG222" s="34"/>
      <c r="NNH222" s="34"/>
      <c r="NNI222" s="36"/>
      <c r="NNJ222" s="36"/>
      <c r="NNK222" s="37"/>
      <c r="NNL222" s="37"/>
      <c r="NNM222" s="38"/>
      <c r="NNN222" s="38"/>
      <c r="NNO222" s="39"/>
      <c r="NNP222" s="34"/>
      <c r="NNQ222" s="34"/>
      <c r="NNR222" s="34"/>
      <c r="NNS222" s="35"/>
      <c r="NNT222" s="35"/>
      <c r="NNU222" s="35"/>
      <c r="NNV222" s="35"/>
      <c r="NNW222" s="35"/>
      <c r="NNX222" s="34"/>
      <c r="NNY222" s="34"/>
      <c r="NNZ222" s="36"/>
      <c r="NOA222" s="36"/>
      <c r="NOB222" s="37"/>
      <c r="NOC222" s="37"/>
      <c r="NOD222" s="38"/>
      <c r="NOE222" s="38"/>
      <c r="NOF222" s="39"/>
      <c r="NOG222" s="34"/>
      <c r="NOH222" s="34"/>
      <c r="NOI222" s="34"/>
      <c r="NOJ222" s="35"/>
      <c r="NOK222" s="35"/>
      <c r="NOL222" s="35"/>
      <c r="NOM222" s="35"/>
      <c r="NON222" s="35"/>
      <c r="NOO222" s="34"/>
      <c r="NOP222" s="34"/>
      <c r="NOQ222" s="36"/>
      <c r="NOR222" s="36"/>
      <c r="NOS222" s="37"/>
      <c r="NOT222" s="37"/>
      <c r="NOU222" s="38"/>
      <c r="NOV222" s="38"/>
      <c r="NOW222" s="39"/>
      <c r="NOX222" s="34"/>
      <c r="NOY222" s="34"/>
      <c r="NOZ222" s="34"/>
      <c r="NPA222" s="35"/>
      <c r="NPB222" s="35"/>
      <c r="NPC222" s="35"/>
      <c r="NPD222" s="35"/>
      <c r="NPE222" s="35"/>
      <c r="NPF222" s="34"/>
      <c r="NPG222" s="34"/>
      <c r="NPH222" s="36"/>
      <c r="NPI222" s="36"/>
      <c r="NPJ222" s="37"/>
      <c r="NPK222" s="37"/>
      <c r="NPL222" s="38"/>
      <c r="NPM222" s="38"/>
      <c r="NPN222" s="39"/>
      <c r="NPO222" s="34"/>
      <c r="NPP222" s="34"/>
      <c r="NPQ222" s="34"/>
      <c r="NPR222" s="35"/>
      <c r="NPS222" s="35"/>
      <c r="NPT222" s="35"/>
      <c r="NPU222" s="35"/>
      <c r="NPV222" s="35"/>
      <c r="NPW222" s="34"/>
      <c r="NPX222" s="34"/>
      <c r="NPY222" s="36"/>
      <c r="NPZ222" s="36"/>
      <c r="NQA222" s="37"/>
      <c r="NQB222" s="37"/>
      <c r="NQC222" s="38"/>
      <c r="NQD222" s="38"/>
      <c r="NQE222" s="39"/>
      <c r="NQF222" s="34"/>
      <c r="NQG222" s="34"/>
      <c r="NQH222" s="34"/>
      <c r="NQI222" s="35"/>
      <c r="NQJ222" s="35"/>
      <c r="NQK222" s="35"/>
      <c r="NQL222" s="35"/>
      <c r="NQM222" s="35"/>
      <c r="NQN222" s="34"/>
      <c r="NQO222" s="34"/>
      <c r="NQP222" s="36"/>
      <c r="NQQ222" s="36"/>
      <c r="NQR222" s="37"/>
      <c r="NQS222" s="37"/>
      <c r="NQT222" s="38"/>
      <c r="NQU222" s="38"/>
      <c r="NQV222" s="39"/>
      <c r="NQW222" s="34"/>
      <c r="NQX222" s="34"/>
      <c r="NQY222" s="34"/>
      <c r="NQZ222" s="35"/>
      <c r="NRA222" s="35"/>
      <c r="NRB222" s="35"/>
      <c r="NRC222" s="35"/>
      <c r="NRD222" s="35"/>
      <c r="NRE222" s="34"/>
      <c r="NRF222" s="34"/>
      <c r="NRG222" s="36"/>
      <c r="NRH222" s="36"/>
      <c r="NRI222" s="37"/>
      <c r="NRJ222" s="37"/>
      <c r="NRK222" s="38"/>
      <c r="NRL222" s="38"/>
      <c r="NRM222" s="39"/>
      <c r="NRN222" s="34"/>
      <c r="NRO222" s="34"/>
      <c r="NRP222" s="34"/>
      <c r="NRQ222" s="35"/>
      <c r="NRR222" s="35"/>
      <c r="NRS222" s="35"/>
      <c r="NRT222" s="35"/>
      <c r="NRU222" s="35"/>
      <c r="NRV222" s="34"/>
      <c r="NRW222" s="34"/>
      <c r="NRX222" s="36"/>
      <c r="NRY222" s="36"/>
      <c r="NRZ222" s="37"/>
      <c r="NSA222" s="37"/>
      <c r="NSB222" s="38"/>
      <c r="NSC222" s="38"/>
      <c r="NSD222" s="39"/>
      <c r="NSE222" s="34"/>
      <c r="NSF222" s="34"/>
      <c r="NSG222" s="34"/>
      <c r="NSH222" s="35"/>
      <c r="NSI222" s="35"/>
      <c r="NSJ222" s="35"/>
      <c r="NSK222" s="35"/>
      <c r="NSL222" s="35"/>
      <c r="NSM222" s="34"/>
      <c r="NSN222" s="34"/>
      <c r="NSO222" s="36"/>
      <c r="NSP222" s="36"/>
      <c r="NSQ222" s="37"/>
      <c r="NSR222" s="37"/>
      <c r="NSS222" s="38"/>
      <c r="NST222" s="38"/>
      <c r="NSU222" s="39"/>
      <c r="NSV222" s="34"/>
      <c r="NSW222" s="34"/>
      <c r="NSX222" s="34"/>
      <c r="NSY222" s="35"/>
      <c r="NSZ222" s="35"/>
      <c r="NTA222" s="35"/>
      <c r="NTB222" s="35"/>
      <c r="NTC222" s="35"/>
      <c r="NTD222" s="34"/>
      <c r="NTE222" s="34"/>
      <c r="NTF222" s="36"/>
      <c r="NTG222" s="36"/>
      <c r="NTH222" s="37"/>
      <c r="NTI222" s="37"/>
      <c r="NTJ222" s="38"/>
      <c r="NTK222" s="38"/>
      <c r="NTL222" s="39"/>
      <c r="NTM222" s="34"/>
      <c r="NTN222" s="34"/>
      <c r="NTO222" s="34"/>
      <c r="NTP222" s="35"/>
      <c r="NTQ222" s="35"/>
      <c r="NTR222" s="35"/>
      <c r="NTS222" s="35"/>
      <c r="NTT222" s="35"/>
      <c r="NTU222" s="34"/>
      <c r="NTV222" s="34"/>
      <c r="NTW222" s="36"/>
      <c r="NTX222" s="36"/>
      <c r="NTY222" s="37"/>
      <c r="NTZ222" s="37"/>
      <c r="NUA222" s="38"/>
      <c r="NUB222" s="38"/>
      <c r="NUC222" s="39"/>
      <c r="NUD222" s="34"/>
      <c r="NUE222" s="34"/>
      <c r="NUF222" s="34"/>
      <c r="NUG222" s="35"/>
      <c r="NUH222" s="35"/>
      <c r="NUI222" s="35"/>
      <c r="NUJ222" s="35"/>
      <c r="NUK222" s="35"/>
      <c r="NUL222" s="34"/>
      <c r="NUM222" s="34"/>
      <c r="NUN222" s="36"/>
      <c r="NUO222" s="36"/>
      <c r="NUP222" s="37"/>
      <c r="NUQ222" s="37"/>
      <c r="NUR222" s="38"/>
      <c r="NUS222" s="38"/>
      <c r="NUT222" s="39"/>
      <c r="NUU222" s="34"/>
      <c r="NUV222" s="34"/>
      <c r="NUW222" s="34"/>
      <c r="NUX222" s="35"/>
      <c r="NUY222" s="35"/>
      <c r="NUZ222" s="35"/>
      <c r="NVA222" s="35"/>
      <c r="NVB222" s="35"/>
      <c r="NVC222" s="34"/>
      <c r="NVD222" s="34"/>
      <c r="NVE222" s="36"/>
      <c r="NVF222" s="36"/>
      <c r="NVG222" s="37"/>
      <c r="NVH222" s="37"/>
      <c r="NVI222" s="38"/>
      <c r="NVJ222" s="38"/>
      <c r="NVK222" s="39"/>
      <c r="NVL222" s="34"/>
      <c r="NVM222" s="34"/>
      <c r="NVN222" s="34"/>
      <c r="NVO222" s="35"/>
      <c r="NVP222" s="35"/>
      <c r="NVQ222" s="35"/>
      <c r="NVR222" s="35"/>
      <c r="NVS222" s="35"/>
      <c r="NVT222" s="34"/>
      <c r="NVU222" s="34"/>
      <c r="NVV222" s="36"/>
      <c r="NVW222" s="36"/>
      <c r="NVX222" s="37"/>
      <c r="NVY222" s="37"/>
      <c r="NVZ222" s="38"/>
      <c r="NWA222" s="38"/>
      <c r="NWB222" s="39"/>
      <c r="NWC222" s="34"/>
      <c r="NWD222" s="34"/>
      <c r="NWE222" s="34"/>
      <c r="NWF222" s="35"/>
      <c r="NWG222" s="35"/>
      <c r="NWH222" s="35"/>
      <c r="NWI222" s="35"/>
      <c r="NWJ222" s="35"/>
      <c r="NWK222" s="34"/>
      <c r="NWL222" s="34"/>
      <c r="NWM222" s="36"/>
      <c r="NWN222" s="36"/>
      <c r="NWO222" s="37"/>
      <c r="NWP222" s="37"/>
      <c r="NWQ222" s="38"/>
      <c r="NWR222" s="38"/>
      <c r="NWS222" s="39"/>
      <c r="NWT222" s="34"/>
      <c r="NWU222" s="34"/>
      <c r="NWV222" s="34"/>
      <c r="NWW222" s="35"/>
      <c r="NWX222" s="35"/>
      <c r="NWY222" s="35"/>
      <c r="NWZ222" s="35"/>
      <c r="NXA222" s="35"/>
      <c r="NXB222" s="34"/>
      <c r="NXC222" s="34"/>
      <c r="NXD222" s="36"/>
      <c r="NXE222" s="36"/>
      <c r="NXF222" s="37"/>
      <c r="NXG222" s="37"/>
      <c r="NXH222" s="38"/>
      <c r="NXI222" s="38"/>
      <c r="NXJ222" s="39"/>
      <c r="NXK222" s="34"/>
      <c r="NXL222" s="34"/>
      <c r="NXM222" s="34"/>
      <c r="NXN222" s="35"/>
      <c r="NXO222" s="35"/>
      <c r="NXP222" s="35"/>
      <c r="NXQ222" s="35"/>
      <c r="NXR222" s="35"/>
      <c r="NXS222" s="34"/>
      <c r="NXT222" s="34"/>
      <c r="NXU222" s="36"/>
      <c r="NXV222" s="36"/>
      <c r="NXW222" s="37"/>
      <c r="NXX222" s="37"/>
      <c r="NXY222" s="38"/>
      <c r="NXZ222" s="38"/>
      <c r="NYA222" s="39"/>
      <c r="NYB222" s="34"/>
      <c r="NYC222" s="34"/>
      <c r="NYD222" s="34"/>
      <c r="NYE222" s="35"/>
      <c r="NYF222" s="35"/>
      <c r="NYG222" s="35"/>
      <c r="NYH222" s="35"/>
      <c r="NYI222" s="35"/>
      <c r="NYJ222" s="34"/>
      <c r="NYK222" s="34"/>
      <c r="NYL222" s="36"/>
      <c r="NYM222" s="36"/>
      <c r="NYN222" s="37"/>
      <c r="NYO222" s="37"/>
      <c r="NYP222" s="38"/>
      <c r="NYQ222" s="38"/>
      <c r="NYR222" s="39"/>
      <c r="NYS222" s="34"/>
      <c r="NYT222" s="34"/>
      <c r="NYU222" s="34"/>
      <c r="NYV222" s="35"/>
      <c r="NYW222" s="35"/>
      <c r="NYX222" s="35"/>
      <c r="NYY222" s="35"/>
      <c r="NYZ222" s="35"/>
      <c r="NZA222" s="34"/>
      <c r="NZB222" s="34"/>
      <c r="NZC222" s="36"/>
      <c r="NZD222" s="36"/>
      <c r="NZE222" s="37"/>
      <c r="NZF222" s="37"/>
      <c r="NZG222" s="38"/>
      <c r="NZH222" s="38"/>
      <c r="NZI222" s="39"/>
      <c r="NZJ222" s="34"/>
      <c r="NZK222" s="34"/>
      <c r="NZL222" s="34"/>
      <c r="NZM222" s="35"/>
      <c r="NZN222" s="35"/>
      <c r="NZO222" s="35"/>
      <c r="NZP222" s="35"/>
      <c r="NZQ222" s="35"/>
      <c r="NZR222" s="34"/>
      <c r="NZS222" s="34"/>
      <c r="NZT222" s="36"/>
      <c r="NZU222" s="36"/>
      <c r="NZV222" s="37"/>
      <c r="NZW222" s="37"/>
      <c r="NZX222" s="38"/>
      <c r="NZY222" s="38"/>
      <c r="NZZ222" s="39"/>
      <c r="OAA222" s="34"/>
      <c r="OAB222" s="34"/>
      <c r="OAC222" s="34"/>
      <c r="OAD222" s="35"/>
      <c r="OAE222" s="35"/>
      <c r="OAF222" s="35"/>
      <c r="OAG222" s="35"/>
      <c r="OAH222" s="35"/>
      <c r="OAI222" s="34"/>
      <c r="OAJ222" s="34"/>
      <c r="OAK222" s="36"/>
      <c r="OAL222" s="36"/>
      <c r="OAM222" s="37"/>
      <c r="OAN222" s="37"/>
      <c r="OAO222" s="38"/>
      <c r="OAP222" s="38"/>
      <c r="OAQ222" s="39"/>
      <c r="OAR222" s="34"/>
      <c r="OAS222" s="34"/>
      <c r="OAT222" s="34"/>
      <c r="OAU222" s="35"/>
      <c r="OAV222" s="35"/>
      <c r="OAW222" s="35"/>
      <c r="OAX222" s="35"/>
      <c r="OAY222" s="35"/>
      <c r="OAZ222" s="34"/>
      <c r="OBA222" s="34"/>
      <c r="OBB222" s="36"/>
      <c r="OBC222" s="36"/>
      <c r="OBD222" s="37"/>
      <c r="OBE222" s="37"/>
      <c r="OBF222" s="38"/>
      <c r="OBG222" s="38"/>
      <c r="OBH222" s="39"/>
      <c r="OBI222" s="34"/>
      <c r="OBJ222" s="34"/>
      <c r="OBK222" s="34"/>
      <c r="OBL222" s="35"/>
      <c r="OBM222" s="35"/>
      <c r="OBN222" s="35"/>
      <c r="OBO222" s="35"/>
      <c r="OBP222" s="35"/>
      <c r="OBQ222" s="34"/>
      <c r="OBR222" s="34"/>
      <c r="OBS222" s="36"/>
      <c r="OBT222" s="36"/>
      <c r="OBU222" s="37"/>
      <c r="OBV222" s="37"/>
      <c r="OBW222" s="38"/>
      <c r="OBX222" s="38"/>
      <c r="OBY222" s="39"/>
      <c r="OBZ222" s="34"/>
      <c r="OCA222" s="34"/>
      <c r="OCB222" s="34"/>
      <c r="OCC222" s="35"/>
      <c r="OCD222" s="35"/>
      <c r="OCE222" s="35"/>
      <c r="OCF222" s="35"/>
      <c r="OCG222" s="35"/>
      <c r="OCH222" s="34"/>
      <c r="OCI222" s="34"/>
      <c r="OCJ222" s="36"/>
      <c r="OCK222" s="36"/>
      <c r="OCL222" s="37"/>
      <c r="OCM222" s="37"/>
      <c r="OCN222" s="38"/>
      <c r="OCO222" s="38"/>
      <c r="OCP222" s="39"/>
      <c r="OCQ222" s="34"/>
      <c r="OCR222" s="34"/>
      <c r="OCS222" s="34"/>
      <c r="OCT222" s="35"/>
      <c r="OCU222" s="35"/>
      <c r="OCV222" s="35"/>
      <c r="OCW222" s="35"/>
      <c r="OCX222" s="35"/>
      <c r="OCY222" s="34"/>
      <c r="OCZ222" s="34"/>
      <c r="ODA222" s="36"/>
      <c r="ODB222" s="36"/>
      <c r="ODC222" s="37"/>
      <c r="ODD222" s="37"/>
      <c r="ODE222" s="38"/>
      <c r="ODF222" s="38"/>
      <c r="ODG222" s="39"/>
      <c r="ODH222" s="34"/>
      <c r="ODI222" s="34"/>
      <c r="ODJ222" s="34"/>
      <c r="ODK222" s="35"/>
      <c r="ODL222" s="35"/>
      <c r="ODM222" s="35"/>
      <c r="ODN222" s="35"/>
      <c r="ODO222" s="35"/>
      <c r="ODP222" s="34"/>
      <c r="ODQ222" s="34"/>
      <c r="ODR222" s="36"/>
      <c r="ODS222" s="36"/>
      <c r="ODT222" s="37"/>
      <c r="ODU222" s="37"/>
      <c r="ODV222" s="38"/>
      <c r="ODW222" s="38"/>
      <c r="ODX222" s="39"/>
      <c r="ODY222" s="34"/>
      <c r="ODZ222" s="34"/>
      <c r="OEA222" s="34"/>
      <c r="OEB222" s="35"/>
      <c r="OEC222" s="35"/>
      <c r="OED222" s="35"/>
      <c r="OEE222" s="35"/>
      <c r="OEF222" s="35"/>
      <c r="OEG222" s="34"/>
      <c r="OEH222" s="34"/>
      <c r="OEI222" s="36"/>
      <c r="OEJ222" s="36"/>
      <c r="OEK222" s="37"/>
      <c r="OEL222" s="37"/>
      <c r="OEM222" s="38"/>
      <c r="OEN222" s="38"/>
      <c r="OEO222" s="39"/>
      <c r="OEP222" s="34"/>
      <c r="OEQ222" s="34"/>
      <c r="OER222" s="34"/>
      <c r="OES222" s="35"/>
      <c r="OET222" s="35"/>
      <c r="OEU222" s="35"/>
      <c r="OEV222" s="35"/>
      <c r="OEW222" s="35"/>
      <c r="OEX222" s="34"/>
      <c r="OEY222" s="34"/>
      <c r="OEZ222" s="36"/>
      <c r="OFA222" s="36"/>
      <c r="OFB222" s="37"/>
      <c r="OFC222" s="37"/>
      <c r="OFD222" s="38"/>
      <c r="OFE222" s="38"/>
      <c r="OFF222" s="39"/>
      <c r="OFG222" s="34"/>
      <c r="OFH222" s="34"/>
      <c r="OFI222" s="34"/>
      <c r="OFJ222" s="35"/>
      <c r="OFK222" s="35"/>
      <c r="OFL222" s="35"/>
      <c r="OFM222" s="35"/>
      <c r="OFN222" s="35"/>
      <c r="OFO222" s="34"/>
      <c r="OFP222" s="34"/>
      <c r="OFQ222" s="36"/>
      <c r="OFR222" s="36"/>
      <c r="OFS222" s="37"/>
      <c r="OFT222" s="37"/>
      <c r="OFU222" s="38"/>
      <c r="OFV222" s="38"/>
      <c r="OFW222" s="39"/>
      <c r="OFX222" s="34"/>
      <c r="OFY222" s="34"/>
      <c r="OFZ222" s="34"/>
      <c r="OGA222" s="35"/>
      <c r="OGB222" s="35"/>
      <c r="OGC222" s="35"/>
      <c r="OGD222" s="35"/>
      <c r="OGE222" s="35"/>
      <c r="OGF222" s="34"/>
      <c r="OGG222" s="34"/>
      <c r="OGH222" s="36"/>
      <c r="OGI222" s="36"/>
      <c r="OGJ222" s="37"/>
      <c r="OGK222" s="37"/>
      <c r="OGL222" s="38"/>
      <c r="OGM222" s="38"/>
      <c r="OGN222" s="39"/>
      <c r="OGO222" s="34"/>
      <c r="OGP222" s="34"/>
      <c r="OGQ222" s="34"/>
      <c r="OGR222" s="35"/>
      <c r="OGS222" s="35"/>
      <c r="OGT222" s="35"/>
      <c r="OGU222" s="35"/>
      <c r="OGV222" s="35"/>
      <c r="OGW222" s="34"/>
      <c r="OGX222" s="34"/>
      <c r="OGY222" s="36"/>
      <c r="OGZ222" s="36"/>
      <c r="OHA222" s="37"/>
      <c r="OHB222" s="37"/>
      <c r="OHC222" s="38"/>
      <c r="OHD222" s="38"/>
      <c r="OHE222" s="39"/>
      <c r="OHF222" s="34"/>
      <c r="OHG222" s="34"/>
      <c r="OHH222" s="34"/>
      <c r="OHI222" s="35"/>
      <c r="OHJ222" s="35"/>
      <c r="OHK222" s="35"/>
      <c r="OHL222" s="35"/>
      <c r="OHM222" s="35"/>
      <c r="OHN222" s="34"/>
      <c r="OHO222" s="34"/>
      <c r="OHP222" s="36"/>
      <c r="OHQ222" s="36"/>
      <c r="OHR222" s="37"/>
      <c r="OHS222" s="37"/>
      <c r="OHT222" s="38"/>
      <c r="OHU222" s="38"/>
      <c r="OHV222" s="39"/>
      <c r="OHW222" s="34"/>
      <c r="OHX222" s="34"/>
      <c r="OHY222" s="34"/>
      <c r="OHZ222" s="35"/>
      <c r="OIA222" s="35"/>
      <c r="OIB222" s="35"/>
      <c r="OIC222" s="35"/>
      <c r="OID222" s="35"/>
      <c r="OIE222" s="34"/>
      <c r="OIF222" s="34"/>
      <c r="OIG222" s="36"/>
      <c r="OIH222" s="36"/>
      <c r="OII222" s="37"/>
      <c r="OIJ222" s="37"/>
      <c r="OIK222" s="38"/>
      <c r="OIL222" s="38"/>
      <c r="OIM222" s="39"/>
      <c r="OIN222" s="34"/>
      <c r="OIO222" s="34"/>
      <c r="OIP222" s="34"/>
      <c r="OIQ222" s="35"/>
      <c r="OIR222" s="35"/>
      <c r="OIS222" s="35"/>
      <c r="OIT222" s="35"/>
      <c r="OIU222" s="35"/>
      <c r="OIV222" s="34"/>
      <c r="OIW222" s="34"/>
      <c r="OIX222" s="36"/>
      <c r="OIY222" s="36"/>
      <c r="OIZ222" s="37"/>
      <c r="OJA222" s="37"/>
      <c r="OJB222" s="38"/>
      <c r="OJC222" s="38"/>
      <c r="OJD222" s="39"/>
      <c r="OJE222" s="34"/>
      <c r="OJF222" s="34"/>
      <c r="OJG222" s="34"/>
      <c r="OJH222" s="35"/>
      <c r="OJI222" s="35"/>
      <c r="OJJ222" s="35"/>
      <c r="OJK222" s="35"/>
      <c r="OJL222" s="35"/>
      <c r="OJM222" s="34"/>
      <c r="OJN222" s="34"/>
      <c r="OJO222" s="36"/>
      <c r="OJP222" s="36"/>
      <c r="OJQ222" s="37"/>
      <c r="OJR222" s="37"/>
      <c r="OJS222" s="38"/>
      <c r="OJT222" s="38"/>
      <c r="OJU222" s="39"/>
      <c r="OJV222" s="34"/>
      <c r="OJW222" s="34"/>
      <c r="OJX222" s="34"/>
      <c r="OJY222" s="35"/>
      <c r="OJZ222" s="35"/>
      <c r="OKA222" s="35"/>
      <c r="OKB222" s="35"/>
      <c r="OKC222" s="35"/>
      <c r="OKD222" s="34"/>
      <c r="OKE222" s="34"/>
      <c r="OKF222" s="36"/>
      <c r="OKG222" s="36"/>
      <c r="OKH222" s="37"/>
      <c r="OKI222" s="37"/>
      <c r="OKJ222" s="38"/>
      <c r="OKK222" s="38"/>
      <c r="OKL222" s="39"/>
      <c r="OKM222" s="34"/>
      <c r="OKN222" s="34"/>
      <c r="OKO222" s="34"/>
      <c r="OKP222" s="35"/>
      <c r="OKQ222" s="35"/>
      <c r="OKR222" s="35"/>
      <c r="OKS222" s="35"/>
      <c r="OKT222" s="35"/>
      <c r="OKU222" s="34"/>
      <c r="OKV222" s="34"/>
      <c r="OKW222" s="36"/>
      <c r="OKX222" s="36"/>
      <c r="OKY222" s="37"/>
      <c r="OKZ222" s="37"/>
      <c r="OLA222" s="38"/>
      <c r="OLB222" s="38"/>
      <c r="OLC222" s="39"/>
      <c r="OLD222" s="34"/>
      <c r="OLE222" s="34"/>
      <c r="OLF222" s="34"/>
      <c r="OLG222" s="35"/>
      <c r="OLH222" s="35"/>
      <c r="OLI222" s="35"/>
      <c r="OLJ222" s="35"/>
      <c r="OLK222" s="35"/>
      <c r="OLL222" s="34"/>
      <c r="OLM222" s="34"/>
      <c r="OLN222" s="36"/>
      <c r="OLO222" s="36"/>
      <c r="OLP222" s="37"/>
      <c r="OLQ222" s="37"/>
      <c r="OLR222" s="38"/>
      <c r="OLS222" s="38"/>
      <c r="OLT222" s="39"/>
      <c r="OLU222" s="34"/>
      <c r="OLV222" s="34"/>
      <c r="OLW222" s="34"/>
      <c r="OLX222" s="35"/>
      <c r="OLY222" s="35"/>
      <c r="OLZ222" s="35"/>
      <c r="OMA222" s="35"/>
      <c r="OMB222" s="35"/>
      <c r="OMC222" s="34"/>
      <c r="OMD222" s="34"/>
      <c r="OME222" s="36"/>
      <c r="OMF222" s="36"/>
      <c r="OMG222" s="37"/>
      <c r="OMH222" s="37"/>
      <c r="OMI222" s="38"/>
      <c r="OMJ222" s="38"/>
      <c r="OMK222" s="39"/>
      <c r="OML222" s="34"/>
      <c r="OMM222" s="34"/>
      <c r="OMN222" s="34"/>
      <c r="OMO222" s="35"/>
      <c r="OMP222" s="35"/>
      <c r="OMQ222" s="35"/>
      <c r="OMR222" s="35"/>
      <c r="OMS222" s="35"/>
      <c r="OMT222" s="34"/>
      <c r="OMU222" s="34"/>
      <c r="OMV222" s="36"/>
      <c r="OMW222" s="36"/>
      <c r="OMX222" s="37"/>
      <c r="OMY222" s="37"/>
      <c r="OMZ222" s="38"/>
      <c r="ONA222" s="38"/>
      <c r="ONB222" s="39"/>
      <c r="ONC222" s="34"/>
      <c r="OND222" s="34"/>
      <c r="ONE222" s="34"/>
      <c r="ONF222" s="35"/>
      <c r="ONG222" s="35"/>
      <c r="ONH222" s="35"/>
      <c r="ONI222" s="35"/>
      <c r="ONJ222" s="35"/>
      <c r="ONK222" s="34"/>
      <c r="ONL222" s="34"/>
      <c r="ONM222" s="36"/>
      <c r="ONN222" s="36"/>
      <c r="ONO222" s="37"/>
      <c r="ONP222" s="37"/>
      <c r="ONQ222" s="38"/>
      <c r="ONR222" s="38"/>
      <c r="ONS222" s="39"/>
      <c r="ONT222" s="34"/>
      <c r="ONU222" s="34"/>
      <c r="ONV222" s="34"/>
      <c r="ONW222" s="35"/>
      <c r="ONX222" s="35"/>
      <c r="ONY222" s="35"/>
      <c r="ONZ222" s="35"/>
      <c r="OOA222" s="35"/>
      <c r="OOB222" s="34"/>
      <c r="OOC222" s="34"/>
      <c r="OOD222" s="36"/>
      <c r="OOE222" s="36"/>
      <c r="OOF222" s="37"/>
      <c r="OOG222" s="37"/>
      <c r="OOH222" s="38"/>
      <c r="OOI222" s="38"/>
      <c r="OOJ222" s="39"/>
      <c r="OOK222" s="34"/>
      <c r="OOL222" s="34"/>
      <c r="OOM222" s="34"/>
      <c r="OON222" s="35"/>
      <c r="OOO222" s="35"/>
      <c r="OOP222" s="35"/>
      <c r="OOQ222" s="35"/>
      <c r="OOR222" s="35"/>
      <c r="OOS222" s="34"/>
      <c r="OOT222" s="34"/>
      <c r="OOU222" s="36"/>
      <c r="OOV222" s="36"/>
      <c r="OOW222" s="37"/>
      <c r="OOX222" s="37"/>
      <c r="OOY222" s="38"/>
      <c r="OOZ222" s="38"/>
      <c r="OPA222" s="39"/>
      <c r="OPB222" s="34"/>
      <c r="OPC222" s="34"/>
      <c r="OPD222" s="34"/>
      <c r="OPE222" s="35"/>
      <c r="OPF222" s="35"/>
      <c r="OPG222" s="35"/>
      <c r="OPH222" s="35"/>
      <c r="OPI222" s="35"/>
      <c r="OPJ222" s="34"/>
      <c r="OPK222" s="34"/>
      <c r="OPL222" s="36"/>
      <c r="OPM222" s="36"/>
      <c r="OPN222" s="37"/>
      <c r="OPO222" s="37"/>
      <c r="OPP222" s="38"/>
      <c r="OPQ222" s="38"/>
      <c r="OPR222" s="39"/>
      <c r="OPS222" s="34"/>
      <c r="OPT222" s="34"/>
      <c r="OPU222" s="34"/>
      <c r="OPV222" s="35"/>
      <c r="OPW222" s="35"/>
      <c r="OPX222" s="35"/>
      <c r="OPY222" s="35"/>
      <c r="OPZ222" s="35"/>
      <c r="OQA222" s="34"/>
      <c r="OQB222" s="34"/>
      <c r="OQC222" s="36"/>
      <c r="OQD222" s="36"/>
      <c r="OQE222" s="37"/>
      <c r="OQF222" s="37"/>
      <c r="OQG222" s="38"/>
      <c r="OQH222" s="38"/>
      <c r="OQI222" s="39"/>
      <c r="OQJ222" s="34"/>
      <c r="OQK222" s="34"/>
      <c r="OQL222" s="34"/>
      <c r="OQM222" s="35"/>
      <c r="OQN222" s="35"/>
      <c r="OQO222" s="35"/>
      <c r="OQP222" s="35"/>
      <c r="OQQ222" s="35"/>
      <c r="OQR222" s="34"/>
      <c r="OQS222" s="34"/>
      <c r="OQT222" s="36"/>
      <c r="OQU222" s="36"/>
      <c r="OQV222" s="37"/>
      <c r="OQW222" s="37"/>
      <c r="OQX222" s="38"/>
      <c r="OQY222" s="38"/>
      <c r="OQZ222" s="39"/>
      <c r="ORA222" s="34"/>
      <c r="ORB222" s="34"/>
      <c r="ORC222" s="34"/>
      <c r="ORD222" s="35"/>
      <c r="ORE222" s="35"/>
      <c r="ORF222" s="35"/>
      <c r="ORG222" s="35"/>
      <c r="ORH222" s="35"/>
      <c r="ORI222" s="34"/>
      <c r="ORJ222" s="34"/>
      <c r="ORK222" s="36"/>
      <c r="ORL222" s="36"/>
      <c r="ORM222" s="37"/>
      <c r="ORN222" s="37"/>
      <c r="ORO222" s="38"/>
      <c r="ORP222" s="38"/>
      <c r="ORQ222" s="39"/>
      <c r="ORR222" s="34"/>
      <c r="ORS222" s="34"/>
      <c r="ORT222" s="34"/>
      <c r="ORU222" s="35"/>
      <c r="ORV222" s="35"/>
      <c r="ORW222" s="35"/>
      <c r="ORX222" s="35"/>
      <c r="ORY222" s="35"/>
      <c r="ORZ222" s="34"/>
      <c r="OSA222" s="34"/>
      <c r="OSB222" s="36"/>
      <c r="OSC222" s="36"/>
      <c r="OSD222" s="37"/>
      <c r="OSE222" s="37"/>
      <c r="OSF222" s="38"/>
      <c r="OSG222" s="38"/>
      <c r="OSH222" s="39"/>
      <c r="OSI222" s="34"/>
      <c r="OSJ222" s="34"/>
      <c r="OSK222" s="34"/>
      <c r="OSL222" s="35"/>
      <c r="OSM222" s="35"/>
      <c r="OSN222" s="35"/>
      <c r="OSO222" s="35"/>
      <c r="OSP222" s="35"/>
      <c r="OSQ222" s="34"/>
      <c r="OSR222" s="34"/>
      <c r="OSS222" s="36"/>
      <c r="OST222" s="36"/>
      <c r="OSU222" s="37"/>
      <c r="OSV222" s="37"/>
      <c r="OSW222" s="38"/>
      <c r="OSX222" s="38"/>
      <c r="OSY222" s="39"/>
      <c r="OSZ222" s="34"/>
      <c r="OTA222" s="34"/>
      <c r="OTB222" s="34"/>
      <c r="OTC222" s="35"/>
      <c r="OTD222" s="35"/>
      <c r="OTE222" s="35"/>
      <c r="OTF222" s="35"/>
      <c r="OTG222" s="35"/>
      <c r="OTH222" s="34"/>
      <c r="OTI222" s="34"/>
      <c r="OTJ222" s="36"/>
      <c r="OTK222" s="36"/>
      <c r="OTL222" s="37"/>
      <c r="OTM222" s="37"/>
      <c r="OTN222" s="38"/>
      <c r="OTO222" s="38"/>
      <c r="OTP222" s="39"/>
      <c r="OTQ222" s="34"/>
      <c r="OTR222" s="34"/>
      <c r="OTS222" s="34"/>
      <c r="OTT222" s="35"/>
      <c r="OTU222" s="35"/>
      <c r="OTV222" s="35"/>
      <c r="OTW222" s="35"/>
      <c r="OTX222" s="35"/>
      <c r="OTY222" s="34"/>
      <c r="OTZ222" s="34"/>
      <c r="OUA222" s="36"/>
      <c r="OUB222" s="36"/>
      <c r="OUC222" s="37"/>
      <c r="OUD222" s="37"/>
      <c r="OUE222" s="38"/>
      <c r="OUF222" s="38"/>
      <c r="OUG222" s="39"/>
      <c r="OUH222" s="34"/>
      <c r="OUI222" s="34"/>
      <c r="OUJ222" s="34"/>
      <c r="OUK222" s="35"/>
      <c r="OUL222" s="35"/>
      <c r="OUM222" s="35"/>
      <c r="OUN222" s="35"/>
      <c r="OUO222" s="35"/>
      <c r="OUP222" s="34"/>
      <c r="OUQ222" s="34"/>
      <c r="OUR222" s="36"/>
      <c r="OUS222" s="36"/>
      <c r="OUT222" s="37"/>
      <c r="OUU222" s="37"/>
      <c r="OUV222" s="38"/>
      <c r="OUW222" s="38"/>
      <c r="OUX222" s="39"/>
      <c r="OUY222" s="34"/>
      <c r="OUZ222" s="34"/>
      <c r="OVA222" s="34"/>
      <c r="OVB222" s="35"/>
      <c r="OVC222" s="35"/>
      <c r="OVD222" s="35"/>
      <c r="OVE222" s="35"/>
      <c r="OVF222" s="35"/>
      <c r="OVG222" s="34"/>
      <c r="OVH222" s="34"/>
      <c r="OVI222" s="36"/>
      <c r="OVJ222" s="36"/>
      <c r="OVK222" s="37"/>
      <c r="OVL222" s="37"/>
      <c r="OVM222" s="38"/>
      <c r="OVN222" s="38"/>
      <c r="OVO222" s="39"/>
      <c r="OVP222" s="34"/>
      <c r="OVQ222" s="34"/>
      <c r="OVR222" s="34"/>
      <c r="OVS222" s="35"/>
      <c r="OVT222" s="35"/>
      <c r="OVU222" s="35"/>
      <c r="OVV222" s="35"/>
      <c r="OVW222" s="35"/>
      <c r="OVX222" s="34"/>
      <c r="OVY222" s="34"/>
      <c r="OVZ222" s="36"/>
      <c r="OWA222" s="36"/>
      <c r="OWB222" s="37"/>
      <c r="OWC222" s="37"/>
      <c r="OWD222" s="38"/>
      <c r="OWE222" s="38"/>
      <c r="OWF222" s="39"/>
      <c r="OWG222" s="34"/>
      <c r="OWH222" s="34"/>
      <c r="OWI222" s="34"/>
      <c r="OWJ222" s="35"/>
      <c r="OWK222" s="35"/>
      <c r="OWL222" s="35"/>
      <c r="OWM222" s="35"/>
      <c r="OWN222" s="35"/>
      <c r="OWO222" s="34"/>
      <c r="OWP222" s="34"/>
      <c r="OWQ222" s="36"/>
      <c r="OWR222" s="36"/>
      <c r="OWS222" s="37"/>
      <c r="OWT222" s="37"/>
      <c r="OWU222" s="38"/>
      <c r="OWV222" s="38"/>
      <c r="OWW222" s="39"/>
      <c r="OWX222" s="34"/>
      <c r="OWY222" s="34"/>
      <c r="OWZ222" s="34"/>
      <c r="OXA222" s="35"/>
      <c r="OXB222" s="35"/>
      <c r="OXC222" s="35"/>
      <c r="OXD222" s="35"/>
      <c r="OXE222" s="35"/>
      <c r="OXF222" s="34"/>
      <c r="OXG222" s="34"/>
      <c r="OXH222" s="36"/>
      <c r="OXI222" s="36"/>
      <c r="OXJ222" s="37"/>
      <c r="OXK222" s="37"/>
      <c r="OXL222" s="38"/>
      <c r="OXM222" s="38"/>
      <c r="OXN222" s="39"/>
      <c r="OXO222" s="34"/>
      <c r="OXP222" s="34"/>
      <c r="OXQ222" s="34"/>
      <c r="OXR222" s="35"/>
      <c r="OXS222" s="35"/>
      <c r="OXT222" s="35"/>
      <c r="OXU222" s="35"/>
      <c r="OXV222" s="35"/>
      <c r="OXW222" s="34"/>
      <c r="OXX222" s="34"/>
      <c r="OXY222" s="36"/>
      <c r="OXZ222" s="36"/>
      <c r="OYA222" s="37"/>
      <c r="OYB222" s="37"/>
      <c r="OYC222" s="38"/>
      <c r="OYD222" s="38"/>
      <c r="OYE222" s="39"/>
      <c r="OYF222" s="34"/>
      <c r="OYG222" s="34"/>
      <c r="OYH222" s="34"/>
      <c r="OYI222" s="35"/>
      <c r="OYJ222" s="35"/>
      <c r="OYK222" s="35"/>
      <c r="OYL222" s="35"/>
      <c r="OYM222" s="35"/>
      <c r="OYN222" s="34"/>
      <c r="OYO222" s="34"/>
      <c r="OYP222" s="36"/>
      <c r="OYQ222" s="36"/>
      <c r="OYR222" s="37"/>
      <c r="OYS222" s="37"/>
      <c r="OYT222" s="38"/>
      <c r="OYU222" s="38"/>
      <c r="OYV222" s="39"/>
      <c r="OYW222" s="34"/>
      <c r="OYX222" s="34"/>
      <c r="OYY222" s="34"/>
      <c r="OYZ222" s="35"/>
      <c r="OZA222" s="35"/>
      <c r="OZB222" s="35"/>
      <c r="OZC222" s="35"/>
      <c r="OZD222" s="35"/>
      <c r="OZE222" s="34"/>
      <c r="OZF222" s="34"/>
      <c r="OZG222" s="36"/>
      <c r="OZH222" s="36"/>
      <c r="OZI222" s="37"/>
      <c r="OZJ222" s="37"/>
      <c r="OZK222" s="38"/>
      <c r="OZL222" s="38"/>
      <c r="OZM222" s="39"/>
      <c r="OZN222" s="34"/>
      <c r="OZO222" s="34"/>
      <c r="OZP222" s="34"/>
      <c r="OZQ222" s="35"/>
      <c r="OZR222" s="35"/>
      <c r="OZS222" s="35"/>
      <c r="OZT222" s="35"/>
      <c r="OZU222" s="35"/>
      <c r="OZV222" s="34"/>
      <c r="OZW222" s="34"/>
      <c r="OZX222" s="36"/>
      <c r="OZY222" s="36"/>
      <c r="OZZ222" s="37"/>
      <c r="PAA222" s="37"/>
      <c r="PAB222" s="38"/>
      <c r="PAC222" s="38"/>
      <c r="PAD222" s="39"/>
      <c r="PAE222" s="34"/>
      <c r="PAF222" s="34"/>
      <c r="PAG222" s="34"/>
      <c r="PAH222" s="35"/>
      <c r="PAI222" s="35"/>
      <c r="PAJ222" s="35"/>
      <c r="PAK222" s="35"/>
      <c r="PAL222" s="35"/>
      <c r="PAM222" s="34"/>
      <c r="PAN222" s="34"/>
      <c r="PAO222" s="36"/>
      <c r="PAP222" s="36"/>
      <c r="PAQ222" s="37"/>
      <c r="PAR222" s="37"/>
      <c r="PAS222" s="38"/>
      <c r="PAT222" s="38"/>
      <c r="PAU222" s="39"/>
      <c r="PAV222" s="34"/>
      <c r="PAW222" s="34"/>
      <c r="PAX222" s="34"/>
      <c r="PAY222" s="35"/>
      <c r="PAZ222" s="35"/>
      <c r="PBA222" s="35"/>
      <c r="PBB222" s="35"/>
      <c r="PBC222" s="35"/>
      <c r="PBD222" s="34"/>
      <c r="PBE222" s="34"/>
      <c r="PBF222" s="36"/>
      <c r="PBG222" s="36"/>
      <c r="PBH222" s="37"/>
      <c r="PBI222" s="37"/>
      <c r="PBJ222" s="38"/>
      <c r="PBK222" s="38"/>
      <c r="PBL222" s="39"/>
      <c r="PBM222" s="34"/>
      <c r="PBN222" s="34"/>
      <c r="PBO222" s="34"/>
      <c r="PBP222" s="35"/>
      <c r="PBQ222" s="35"/>
      <c r="PBR222" s="35"/>
      <c r="PBS222" s="35"/>
      <c r="PBT222" s="35"/>
      <c r="PBU222" s="34"/>
      <c r="PBV222" s="34"/>
      <c r="PBW222" s="36"/>
      <c r="PBX222" s="36"/>
      <c r="PBY222" s="37"/>
      <c r="PBZ222" s="37"/>
      <c r="PCA222" s="38"/>
      <c r="PCB222" s="38"/>
      <c r="PCC222" s="39"/>
      <c r="PCD222" s="34"/>
      <c r="PCE222" s="34"/>
      <c r="PCF222" s="34"/>
      <c r="PCG222" s="35"/>
      <c r="PCH222" s="35"/>
      <c r="PCI222" s="35"/>
      <c r="PCJ222" s="35"/>
      <c r="PCK222" s="35"/>
      <c r="PCL222" s="34"/>
      <c r="PCM222" s="34"/>
      <c r="PCN222" s="36"/>
      <c r="PCO222" s="36"/>
      <c r="PCP222" s="37"/>
      <c r="PCQ222" s="37"/>
      <c r="PCR222" s="38"/>
      <c r="PCS222" s="38"/>
      <c r="PCT222" s="39"/>
      <c r="PCU222" s="34"/>
      <c r="PCV222" s="34"/>
      <c r="PCW222" s="34"/>
      <c r="PCX222" s="35"/>
      <c r="PCY222" s="35"/>
      <c r="PCZ222" s="35"/>
      <c r="PDA222" s="35"/>
      <c r="PDB222" s="35"/>
      <c r="PDC222" s="34"/>
      <c r="PDD222" s="34"/>
      <c r="PDE222" s="36"/>
      <c r="PDF222" s="36"/>
      <c r="PDG222" s="37"/>
      <c r="PDH222" s="37"/>
      <c r="PDI222" s="38"/>
      <c r="PDJ222" s="38"/>
      <c r="PDK222" s="39"/>
      <c r="PDL222" s="34"/>
      <c r="PDM222" s="34"/>
      <c r="PDN222" s="34"/>
      <c r="PDO222" s="35"/>
      <c r="PDP222" s="35"/>
      <c r="PDQ222" s="35"/>
      <c r="PDR222" s="35"/>
      <c r="PDS222" s="35"/>
      <c r="PDT222" s="34"/>
      <c r="PDU222" s="34"/>
      <c r="PDV222" s="36"/>
      <c r="PDW222" s="36"/>
      <c r="PDX222" s="37"/>
      <c r="PDY222" s="37"/>
      <c r="PDZ222" s="38"/>
      <c r="PEA222" s="38"/>
      <c r="PEB222" s="39"/>
      <c r="PEC222" s="34"/>
      <c r="PED222" s="34"/>
      <c r="PEE222" s="34"/>
      <c r="PEF222" s="35"/>
      <c r="PEG222" s="35"/>
      <c r="PEH222" s="35"/>
      <c r="PEI222" s="35"/>
      <c r="PEJ222" s="35"/>
      <c r="PEK222" s="34"/>
      <c r="PEL222" s="34"/>
      <c r="PEM222" s="36"/>
      <c r="PEN222" s="36"/>
      <c r="PEO222" s="37"/>
      <c r="PEP222" s="37"/>
      <c r="PEQ222" s="38"/>
      <c r="PER222" s="38"/>
      <c r="PES222" s="39"/>
      <c r="PET222" s="34"/>
      <c r="PEU222" s="34"/>
      <c r="PEV222" s="34"/>
      <c r="PEW222" s="35"/>
      <c r="PEX222" s="35"/>
      <c r="PEY222" s="35"/>
      <c r="PEZ222" s="35"/>
      <c r="PFA222" s="35"/>
      <c r="PFB222" s="34"/>
      <c r="PFC222" s="34"/>
      <c r="PFD222" s="36"/>
      <c r="PFE222" s="36"/>
      <c r="PFF222" s="37"/>
      <c r="PFG222" s="37"/>
      <c r="PFH222" s="38"/>
      <c r="PFI222" s="38"/>
      <c r="PFJ222" s="39"/>
      <c r="PFK222" s="34"/>
      <c r="PFL222" s="34"/>
      <c r="PFM222" s="34"/>
      <c r="PFN222" s="35"/>
      <c r="PFO222" s="35"/>
      <c r="PFP222" s="35"/>
      <c r="PFQ222" s="35"/>
      <c r="PFR222" s="35"/>
      <c r="PFS222" s="34"/>
      <c r="PFT222" s="34"/>
      <c r="PFU222" s="36"/>
      <c r="PFV222" s="36"/>
      <c r="PFW222" s="37"/>
      <c r="PFX222" s="37"/>
      <c r="PFY222" s="38"/>
      <c r="PFZ222" s="38"/>
      <c r="PGA222" s="39"/>
      <c r="PGB222" s="34"/>
      <c r="PGC222" s="34"/>
      <c r="PGD222" s="34"/>
      <c r="PGE222" s="35"/>
      <c r="PGF222" s="35"/>
      <c r="PGG222" s="35"/>
      <c r="PGH222" s="35"/>
      <c r="PGI222" s="35"/>
      <c r="PGJ222" s="34"/>
      <c r="PGK222" s="34"/>
      <c r="PGL222" s="36"/>
      <c r="PGM222" s="36"/>
      <c r="PGN222" s="37"/>
      <c r="PGO222" s="37"/>
      <c r="PGP222" s="38"/>
      <c r="PGQ222" s="38"/>
      <c r="PGR222" s="39"/>
      <c r="PGS222" s="34"/>
      <c r="PGT222" s="34"/>
      <c r="PGU222" s="34"/>
      <c r="PGV222" s="35"/>
      <c r="PGW222" s="35"/>
      <c r="PGX222" s="35"/>
      <c r="PGY222" s="35"/>
      <c r="PGZ222" s="35"/>
      <c r="PHA222" s="34"/>
      <c r="PHB222" s="34"/>
      <c r="PHC222" s="36"/>
      <c r="PHD222" s="36"/>
      <c r="PHE222" s="37"/>
      <c r="PHF222" s="37"/>
      <c r="PHG222" s="38"/>
      <c r="PHH222" s="38"/>
      <c r="PHI222" s="39"/>
      <c r="PHJ222" s="34"/>
      <c r="PHK222" s="34"/>
      <c r="PHL222" s="34"/>
      <c r="PHM222" s="35"/>
      <c r="PHN222" s="35"/>
      <c r="PHO222" s="35"/>
      <c r="PHP222" s="35"/>
      <c r="PHQ222" s="35"/>
      <c r="PHR222" s="34"/>
      <c r="PHS222" s="34"/>
      <c r="PHT222" s="36"/>
      <c r="PHU222" s="36"/>
      <c r="PHV222" s="37"/>
      <c r="PHW222" s="37"/>
      <c r="PHX222" s="38"/>
      <c r="PHY222" s="38"/>
      <c r="PHZ222" s="39"/>
      <c r="PIA222" s="34"/>
      <c r="PIB222" s="34"/>
      <c r="PIC222" s="34"/>
      <c r="PID222" s="35"/>
      <c r="PIE222" s="35"/>
      <c r="PIF222" s="35"/>
      <c r="PIG222" s="35"/>
      <c r="PIH222" s="35"/>
      <c r="PII222" s="34"/>
      <c r="PIJ222" s="34"/>
      <c r="PIK222" s="36"/>
      <c r="PIL222" s="36"/>
      <c r="PIM222" s="37"/>
      <c r="PIN222" s="37"/>
      <c r="PIO222" s="38"/>
      <c r="PIP222" s="38"/>
      <c r="PIQ222" s="39"/>
      <c r="PIR222" s="34"/>
      <c r="PIS222" s="34"/>
      <c r="PIT222" s="34"/>
      <c r="PIU222" s="35"/>
      <c r="PIV222" s="35"/>
      <c r="PIW222" s="35"/>
      <c r="PIX222" s="35"/>
      <c r="PIY222" s="35"/>
      <c r="PIZ222" s="34"/>
      <c r="PJA222" s="34"/>
      <c r="PJB222" s="36"/>
      <c r="PJC222" s="36"/>
      <c r="PJD222" s="37"/>
      <c r="PJE222" s="37"/>
      <c r="PJF222" s="38"/>
      <c r="PJG222" s="38"/>
      <c r="PJH222" s="39"/>
      <c r="PJI222" s="34"/>
      <c r="PJJ222" s="34"/>
      <c r="PJK222" s="34"/>
      <c r="PJL222" s="35"/>
      <c r="PJM222" s="35"/>
      <c r="PJN222" s="35"/>
      <c r="PJO222" s="35"/>
      <c r="PJP222" s="35"/>
      <c r="PJQ222" s="34"/>
      <c r="PJR222" s="34"/>
      <c r="PJS222" s="36"/>
      <c r="PJT222" s="36"/>
      <c r="PJU222" s="37"/>
      <c r="PJV222" s="37"/>
      <c r="PJW222" s="38"/>
      <c r="PJX222" s="38"/>
      <c r="PJY222" s="39"/>
      <c r="PJZ222" s="34"/>
      <c r="PKA222" s="34"/>
      <c r="PKB222" s="34"/>
      <c r="PKC222" s="35"/>
      <c r="PKD222" s="35"/>
      <c r="PKE222" s="35"/>
      <c r="PKF222" s="35"/>
      <c r="PKG222" s="35"/>
      <c r="PKH222" s="34"/>
      <c r="PKI222" s="34"/>
      <c r="PKJ222" s="36"/>
      <c r="PKK222" s="36"/>
      <c r="PKL222" s="37"/>
      <c r="PKM222" s="37"/>
      <c r="PKN222" s="38"/>
      <c r="PKO222" s="38"/>
      <c r="PKP222" s="39"/>
      <c r="PKQ222" s="34"/>
      <c r="PKR222" s="34"/>
      <c r="PKS222" s="34"/>
      <c r="PKT222" s="35"/>
      <c r="PKU222" s="35"/>
      <c r="PKV222" s="35"/>
      <c r="PKW222" s="35"/>
      <c r="PKX222" s="35"/>
      <c r="PKY222" s="34"/>
      <c r="PKZ222" s="34"/>
      <c r="PLA222" s="36"/>
      <c r="PLB222" s="36"/>
      <c r="PLC222" s="37"/>
      <c r="PLD222" s="37"/>
      <c r="PLE222" s="38"/>
      <c r="PLF222" s="38"/>
      <c r="PLG222" s="39"/>
      <c r="PLH222" s="34"/>
      <c r="PLI222" s="34"/>
      <c r="PLJ222" s="34"/>
      <c r="PLK222" s="35"/>
      <c r="PLL222" s="35"/>
      <c r="PLM222" s="35"/>
      <c r="PLN222" s="35"/>
      <c r="PLO222" s="35"/>
      <c r="PLP222" s="34"/>
      <c r="PLQ222" s="34"/>
      <c r="PLR222" s="36"/>
      <c r="PLS222" s="36"/>
      <c r="PLT222" s="37"/>
      <c r="PLU222" s="37"/>
      <c r="PLV222" s="38"/>
      <c r="PLW222" s="38"/>
      <c r="PLX222" s="39"/>
      <c r="PLY222" s="34"/>
      <c r="PLZ222" s="34"/>
      <c r="PMA222" s="34"/>
      <c r="PMB222" s="35"/>
      <c r="PMC222" s="35"/>
      <c r="PMD222" s="35"/>
      <c r="PME222" s="35"/>
      <c r="PMF222" s="35"/>
      <c r="PMG222" s="34"/>
      <c r="PMH222" s="34"/>
      <c r="PMI222" s="36"/>
      <c r="PMJ222" s="36"/>
      <c r="PMK222" s="37"/>
      <c r="PML222" s="37"/>
      <c r="PMM222" s="38"/>
      <c r="PMN222" s="38"/>
      <c r="PMO222" s="39"/>
      <c r="PMP222" s="34"/>
      <c r="PMQ222" s="34"/>
      <c r="PMR222" s="34"/>
      <c r="PMS222" s="35"/>
      <c r="PMT222" s="35"/>
      <c r="PMU222" s="35"/>
      <c r="PMV222" s="35"/>
      <c r="PMW222" s="35"/>
      <c r="PMX222" s="34"/>
      <c r="PMY222" s="34"/>
      <c r="PMZ222" s="36"/>
      <c r="PNA222" s="36"/>
      <c r="PNB222" s="37"/>
      <c r="PNC222" s="37"/>
      <c r="PND222" s="38"/>
      <c r="PNE222" s="38"/>
      <c r="PNF222" s="39"/>
      <c r="PNG222" s="34"/>
      <c r="PNH222" s="34"/>
      <c r="PNI222" s="34"/>
      <c r="PNJ222" s="35"/>
      <c r="PNK222" s="35"/>
      <c r="PNL222" s="35"/>
      <c r="PNM222" s="35"/>
      <c r="PNN222" s="35"/>
      <c r="PNO222" s="34"/>
      <c r="PNP222" s="34"/>
      <c r="PNQ222" s="36"/>
      <c r="PNR222" s="36"/>
      <c r="PNS222" s="37"/>
      <c r="PNT222" s="37"/>
      <c r="PNU222" s="38"/>
      <c r="PNV222" s="38"/>
      <c r="PNW222" s="39"/>
      <c r="PNX222" s="34"/>
      <c r="PNY222" s="34"/>
      <c r="PNZ222" s="34"/>
      <c r="POA222" s="35"/>
      <c r="POB222" s="35"/>
      <c r="POC222" s="35"/>
      <c r="POD222" s="35"/>
      <c r="POE222" s="35"/>
      <c r="POF222" s="34"/>
      <c r="POG222" s="34"/>
      <c r="POH222" s="36"/>
      <c r="POI222" s="36"/>
      <c r="POJ222" s="37"/>
      <c r="POK222" s="37"/>
      <c r="POL222" s="38"/>
      <c r="POM222" s="38"/>
      <c r="PON222" s="39"/>
      <c r="POO222" s="34"/>
      <c r="POP222" s="34"/>
      <c r="POQ222" s="34"/>
      <c r="POR222" s="35"/>
      <c r="POS222" s="35"/>
      <c r="POT222" s="35"/>
      <c r="POU222" s="35"/>
      <c r="POV222" s="35"/>
      <c r="POW222" s="34"/>
      <c r="POX222" s="34"/>
      <c r="POY222" s="36"/>
      <c r="POZ222" s="36"/>
      <c r="PPA222" s="37"/>
      <c r="PPB222" s="37"/>
      <c r="PPC222" s="38"/>
      <c r="PPD222" s="38"/>
      <c r="PPE222" s="39"/>
      <c r="PPF222" s="34"/>
      <c r="PPG222" s="34"/>
      <c r="PPH222" s="34"/>
      <c r="PPI222" s="35"/>
      <c r="PPJ222" s="35"/>
      <c r="PPK222" s="35"/>
      <c r="PPL222" s="35"/>
      <c r="PPM222" s="35"/>
      <c r="PPN222" s="34"/>
      <c r="PPO222" s="34"/>
      <c r="PPP222" s="36"/>
      <c r="PPQ222" s="36"/>
      <c r="PPR222" s="37"/>
      <c r="PPS222" s="37"/>
      <c r="PPT222" s="38"/>
      <c r="PPU222" s="38"/>
      <c r="PPV222" s="39"/>
      <c r="PPW222" s="34"/>
      <c r="PPX222" s="34"/>
      <c r="PPY222" s="34"/>
      <c r="PPZ222" s="35"/>
      <c r="PQA222" s="35"/>
      <c r="PQB222" s="35"/>
      <c r="PQC222" s="35"/>
      <c r="PQD222" s="35"/>
      <c r="PQE222" s="34"/>
      <c r="PQF222" s="34"/>
      <c r="PQG222" s="36"/>
      <c r="PQH222" s="36"/>
      <c r="PQI222" s="37"/>
      <c r="PQJ222" s="37"/>
      <c r="PQK222" s="38"/>
      <c r="PQL222" s="38"/>
      <c r="PQM222" s="39"/>
      <c r="PQN222" s="34"/>
      <c r="PQO222" s="34"/>
      <c r="PQP222" s="34"/>
      <c r="PQQ222" s="35"/>
      <c r="PQR222" s="35"/>
      <c r="PQS222" s="35"/>
      <c r="PQT222" s="35"/>
      <c r="PQU222" s="35"/>
      <c r="PQV222" s="34"/>
      <c r="PQW222" s="34"/>
      <c r="PQX222" s="36"/>
      <c r="PQY222" s="36"/>
      <c r="PQZ222" s="37"/>
      <c r="PRA222" s="37"/>
      <c r="PRB222" s="38"/>
      <c r="PRC222" s="38"/>
      <c r="PRD222" s="39"/>
      <c r="PRE222" s="34"/>
      <c r="PRF222" s="34"/>
      <c r="PRG222" s="34"/>
      <c r="PRH222" s="35"/>
      <c r="PRI222" s="35"/>
      <c r="PRJ222" s="35"/>
      <c r="PRK222" s="35"/>
      <c r="PRL222" s="35"/>
      <c r="PRM222" s="34"/>
      <c r="PRN222" s="34"/>
      <c r="PRO222" s="36"/>
      <c r="PRP222" s="36"/>
      <c r="PRQ222" s="37"/>
      <c r="PRR222" s="37"/>
      <c r="PRS222" s="38"/>
      <c r="PRT222" s="38"/>
      <c r="PRU222" s="39"/>
      <c r="PRV222" s="34"/>
      <c r="PRW222" s="34"/>
      <c r="PRX222" s="34"/>
      <c r="PRY222" s="35"/>
      <c r="PRZ222" s="35"/>
      <c r="PSA222" s="35"/>
      <c r="PSB222" s="35"/>
      <c r="PSC222" s="35"/>
      <c r="PSD222" s="34"/>
      <c r="PSE222" s="34"/>
      <c r="PSF222" s="36"/>
      <c r="PSG222" s="36"/>
      <c r="PSH222" s="37"/>
      <c r="PSI222" s="37"/>
      <c r="PSJ222" s="38"/>
      <c r="PSK222" s="38"/>
      <c r="PSL222" s="39"/>
      <c r="PSM222" s="34"/>
      <c r="PSN222" s="34"/>
      <c r="PSO222" s="34"/>
      <c r="PSP222" s="35"/>
      <c r="PSQ222" s="35"/>
      <c r="PSR222" s="35"/>
      <c r="PSS222" s="35"/>
      <c r="PST222" s="35"/>
      <c r="PSU222" s="34"/>
      <c r="PSV222" s="34"/>
      <c r="PSW222" s="36"/>
      <c r="PSX222" s="36"/>
      <c r="PSY222" s="37"/>
      <c r="PSZ222" s="37"/>
      <c r="PTA222" s="38"/>
      <c r="PTB222" s="38"/>
      <c r="PTC222" s="39"/>
      <c r="PTD222" s="34"/>
      <c r="PTE222" s="34"/>
      <c r="PTF222" s="34"/>
      <c r="PTG222" s="35"/>
      <c r="PTH222" s="35"/>
      <c r="PTI222" s="35"/>
      <c r="PTJ222" s="35"/>
      <c r="PTK222" s="35"/>
      <c r="PTL222" s="34"/>
      <c r="PTM222" s="34"/>
      <c r="PTN222" s="36"/>
      <c r="PTO222" s="36"/>
      <c r="PTP222" s="37"/>
      <c r="PTQ222" s="37"/>
      <c r="PTR222" s="38"/>
      <c r="PTS222" s="38"/>
      <c r="PTT222" s="39"/>
      <c r="PTU222" s="34"/>
      <c r="PTV222" s="34"/>
      <c r="PTW222" s="34"/>
      <c r="PTX222" s="35"/>
      <c r="PTY222" s="35"/>
      <c r="PTZ222" s="35"/>
      <c r="PUA222" s="35"/>
      <c r="PUB222" s="35"/>
      <c r="PUC222" s="34"/>
      <c r="PUD222" s="34"/>
      <c r="PUE222" s="36"/>
      <c r="PUF222" s="36"/>
      <c r="PUG222" s="37"/>
      <c r="PUH222" s="37"/>
      <c r="PUI222" s="38"/>
      <c r="PUJ222" s="38"/>
      <c r="PUK222" s="39"/>
      <c r="PUL222" s="34"/>
      <c r="PUM222" s="34"/>
      <c r="PUN222" s="34"/>
      <c r="PUO222" s="35"/>
      <c r="PUP222" s="35"/>
      <c r="PUQ222" s="35"/>
      <c r="PUR222" s="35"/>
      <c r="PUS222" s="35"/>
      <c r="PUT222" s="34"/>
      <c r="PUU222" s="34"/>
      <c r="PUV222" s="36"/>
      <c r="PUW222" s="36"/>
      <c r="PUX222" s="37"/>
      <c r="PUY222" s="37"/>
      <c r="PUZ222" s="38"/>
      <c r="PVA222" s="38"/>
      <c r="PVB222" s="39"/>
      <c r="PVC222" s="34"/>
      <c r="PVD222" s="34"/>
      <c r="PVE222" s="34"/>
      <c r="PVF222" s="35"/>
      <c r="PVG222" s="35"/>
      <c r="PVH222" s="35"/>
      <c r="PVI222" s="35"/>
      <c r="PVJ222" s="35"/>
      <c r="PVK222" s="34"/>
      <c r="PVL222" s="34"/>
      <c r="PVM222" s="36"/>
      <c r="PVN222" s="36"/>
      <c r="PVO222" s="37"/>
      <c r="PVP222" s="37"/>
      <c r="PVQ222" s="38"/>
      <c r="PVR222" s="38"/>
      <c r="PVS222" s="39"/>
      <c r="PVT222" s="34"/>
      <c r="PVU222" s="34"/>
      <c r="PVV222" s="34"/>
      <c r="PVW222" s="35"/>
      <c r="PVX222" s="35"/>
      <c r="PVY222" s="35"/>
      <c r="PVZ222" s="35"/>
      <c r="PWA222" s="35"/>
      <c r="PWB222" s="34"/>
      <c r="PWC222" s="34"/>
      <c r="PWD222" s="36"/>
      <c r="PWE222" s="36"/>
      <c r="PWF222" s="37"/>
      <c r="PWG222" s="37"/>
      <c r="PWH222" s="38"/>
      <c r="PWI222" s="38"/>
      <c r="PWJ222" s="39"/>
      <c r="PWK222" s="34"/>
      <c r="PWL222" s="34"/>
      <c r="PWM222" s="34"/>
      <c r="PWN222" s="35"/>
      <c r="PWO222" s="35"/>
      <c r="PWP222" s="35"/>
      <c r="PWQ222" s="35"/>
      <c r="PWR222" s="35"/>
      <c r="PWS222" s="34"/>
      <c r="PWT222" s="34"/>
      <c r="PWU222" s="36"/>
      <c r="PWV222" s="36"/>
      <c r="PWW222" s="37"/>
      <c r="PWX222" s="37"/>
      <c r="PWY222" s="38"/>
      <c r="PWZ222" s="38"/>
      <c r="PXA222" s="39"/>
      <c r="PXB222" s="34"/>
      <c r="PXC222" s="34"/>
      <c r="PXD222" s="34"/>
      <c r="PXE222" s="35"/>
      <c r="PXF222" s="35"/>
      <c r="PXG222" s="35"/>
      <c r="PXH222" s="35"/>
      <c r="PXI222" s="35"/>
      <c r="PXJ222" s="34"/>
      <c r="PXK222" s="34"/>
      <c r="PXL222" s="36"/>
      <c r="PXM222" s="36"/>
      <c r="PXN222" s="37"/>
      <c r="PXO222" s="37"/>
      <c r="PXP222" s="38"/>
      <c r="PXQ222" s="38"/>
      <c r="PXR222" s="39"/>
      <c r="PXS222" s="34"/>
      <c r="PXT222" s="34"/>
      <c r="PXU222" s="34"/>
      <c r="PXV222" s="35"/>
      <c r="PXW222" s="35"/>
      <c r="PXX222" s="35"/>
      <c r="PXY222" s="35"/>
      <c r="PXZ222" s="35"/>
      <c r="PYA222" s="34"/>
      <c r="PYB222" s="34"/>
      <c r="PYC222" s="36"/>
      <c r="PYD222" s="36"/>
      <c r="PYE222" s="37"/>
      <c r="PYF222" s="37"/>
      <c r="PYG222" s="38"/>
      <c r="PYH222" s="38"/>
      <c r="PYI222" s="39"/>
      <c r="PYJ222" s="34"/>
      <c r="PYK222" s="34"/>
      <c r="PYL222" s="34"/>
      <c r="PYM222" s="35"/>
      <c r="PYN222" s="35"/>
      <c r="PYO222" s="35"/>
      <c r="PYP222" s="35"/>
      <c r="PYQ222" s="35"/>
      <c r="PYR222" s="34"/>
      <c r="PYS222" s="34"/>
      <c r="PYT222" s="36"/>
      <c r="PYU222" s="36"/>
      <c r="PYV222" s="37"/>
      <c r="PYW222" s="37"/>
      <c r="PYX222" s="38"/>
      <c r="PYY222" s="38"/>
      <c r="PYZ222" s="39"/>
      <c r="PZA222" s="34"/>
      <c r="PZB222" s="34"/>
      <c r="PZC222" s="34"/>
      <c r="PZD222" s="35"/>
      <c r="PZE222" s="35"/>
      <c r="PZF222" s="35"/>
      <c r="PZG222" s="35"/>
      <c r="PZH222" s="35"/>
      <c r="PZI222" s="34"/>
      <c r="PZJ222" s="34"/>
      <c r="PZK222" s="36"/>
      <c r="PZL222" s="36"/>
      <c r="PZM222" s="37"/>
      <c r="PZN222" s="37"/>
      <c r="PZO222" s="38"/>
      <c r="PZP222" s="38"/>
      <c r="PZQ222" s="39"/>
      <c r="PZR222" s="34"/>
      <c r="PZS222" s="34"/>
      <c r="PZT222" s="34"/>
      <c r="PZU222" s="35"/>
      <c r="PZV222" s="35"/>
      <c r="PZW222" s="35"/>
      <c r="PZX222" s="35"/>
      <c r="PZY222" s="35"/>
      <c r="PZZ222" s="34"/>
      <c r="QAA222" s="34"/>
      <c r="QAB222" s="36"/>
      <c r="QAC222" s="36"/>
      <c r="QAD222" s="37"/>
      <c r="QAE222" s="37"/>
      <c r="QAF222" s="38"/>
      <c r="QAG222" s="38"/>
      <c r="QAH222" s="39"/>
      <c r="QAI222" s="34"/>
      <c r="QAJ222" s="34"/>
      <c r="QAK222" s="34"/>
      <c r="QAL222" s="35"/>
      <c r="QAM222" s="35"/>
      <c r="QAN222" s="35"/>
      <c r="QAO222" s="35"/>
      <c r="QAP222" s="35"/>
      <c r="QAQ222" s="34"/>
      <c r="QAR222" s="34"/>
      <c r="QAS222" s="36"/>
      <c r="QAT222" s="36"/>
      <c r="QAU222" s="37"/>
      <c r="QAV222" s="37"/>
      <c r="QAW222" s="38"/>
      <c r="QAX222" s="38"/>
      <c r="QAY222" s="39"/>
      <c r="QAZ222" s="34"/>
      <c r="QBA222" s="34"/>
      <c r="QBB222" s="34"/>
      <c r="QBC222" s="35"/>
      <c r="QBD222" s="35"/>
      <c r="QBE222" s="35"/>
      <c r="QBF222" s="35"/>
      <c r="QBG222" s="35"/>
      <c r="QBH222" s="34"/>
      <c r="QBI222" s="34"/>
      <c r="QBJ222" s="36"/>
      <c r="QBK222" s="36"/>
      <c r="QBL222" s="37"/>
      <c r="QBM222" s="37"/>
      <c r="QBN222" s="38"/>
      <c r="QBO222" s="38"/>
      <c r="QBP222" s="39"/>
      <c r="QBQ222" s="34"/>
      <c r="QBR222" s="34"/>
      <c r="QBS222" s="34"/>
      <c r="QBT222" s="35"/>
      <c r="QBU222" s="35"/>
      <c r="QBV222" s="35"/>
      <c r="QBW222" s="35"/>
      <c r="QBX222" s="35"/>
      <c r="QBY222" s="34"/>
      <c r="QBZ222" s="34"/>
      <c r="QCA222" s="36"/>
      <c r="QCB222" s="36"/>
      <c r="QCC222" s="37"/>
      <c r="QCD222" s="37"/>
      <c r="QCE222" s="38"/>
      <c r="QCF222" s="38"/>
      <c r="QCG222" s="39"/>
      <c r="QCH222" s="34"/>
      <c r="QCI222" s="34"/>
      <c r="QCJ222" s="34"/>
      <c r="QCK222" s="35"/>
      <c r="QCL222" s="35"/>
      <c r="QCM222" s="35"/>
      <c r="QCN222" s="35"/>
      <c r="QCO222" s="35"/>
      <c r="QCP222" s="34"/>
      <c r="QCQ222" s="34"/>
      <c r="QCR222" s="36"/>
      <c r="QCS222" s="36"/>
      <c r="QCT222" s="37"/>
      <c r="QCU222" s="37"/>
      <c r="QCV222" s="38"/>
      <c r="QCW222" s="38"/>
      <c r="QCX222" s="39"/>
      <c r="QCY222" s="34"/>
      <c r="QCZ222" s="34"/>
      <c r="QDA222" s="34"/>
      <c r="QDB222" s="35"/>
      <c r="QDC222" s="35"/>
      <c r="QDD222" s="35"/>
      <c r="QDE222" s="35"/>
      <c r="QDF222" s="35"/>
      <c r="QDG222" s="34"/>
      <c r="QDH222" s="34"/>
      <c r="QDI222" s="36"/>
      <c r="QDJ222" s="36"/>
      <c r="QDK222" s="37"/>
      <c r="QDL222" s="37"/>
      <c r="QDM222" s="38"/>
      <c r="QDN222" s="38"/>
      <c r="QDO222" s="39"/>
      <c r="QDP222" s="34"/>
      <c r="QDQ222" s="34"/>
      <c r="QDR222" s="34"/>
      <c r="QDS222" s="35"/>
      <c r="QDT222" s="35"/>
      <c r="QDU222" s="35"/>
      <c r="QDV222" s="35"/>
      <c r="QDW222" s="35"/>
      <c r="QDX222" s="34"/>
      <c r="QDY222" s="34"/>
      <c r="QDZ222" s="36"/>
      <c r="QEA222" s="36"/>
      <c r="QEB222" s="37"/>
      <c r="QEC222" s="37"/>
      <c r="QED222" s="38"/>
      <c r="QEE222" s="38"/>
      <c r="QEF222" s="39"/>
      <c r="QEG222" s="34"/>
      <c r="QEH222" s="34"/>
      <c r="QEI222" s="34"/>
      <c r="QEJ222" s="35"/>
      <c r="QEK222" s="35"/>
      <c r="QEL222" s="35"/>
      <c r="QEM222" s="35"/>
      <c r="QEN222" s="35"/>
      <c r="QEO222" s="34"/>
      <c r="QEP222" s="34"/>
      <c r="QEQ222" s="36"/>
      <c r="QER222" s="36"/>
      <c r="QES222" s="37"/>
      <c r="QET222" s="37"/>
      <c r="QEU222" s="38"/>
      <c r="QEV222" s="38"/>
      <c r="QEW222" s="39"/>
      <c r="QEX222" s="34"/>
      <c r="QEY222" s="34"/>
      <c r="QEZ222" s="34"/>
      <c r="QFA222" s="35"/>
      <c r="QFB222" s="35"/>
      <c r="QFC222" s="35"/>
      <c r="QFD222" s="35"/>
      <c r="QFE222" s="35"/>
      <c r="QFF222" s="34"/>
      <c r="QFG222" s="34"/>
      <c r="QFH222" s="36"/>
      <c r="QFI222" s="36"/>
      <c r="QFJ222" s="37"/>
      <c r="QFK222" s="37"/>
      <c r="QFL222" s="38"/>
      <c r="QFM222" s="38"/>
      <c r="QFN222" s="39"/>
      <c r="QFO222" s="34"/>
      <c r="QFP222" s="34"/>
      <c r="QFQ222" s="34"/>
      <c r="QFR222" s="35"/>
      <c r="QFS222" s="35"/>
      <c r="QFT222" s="35"/>
      <c r="QFU222" s="35"/>
      <c r="QFV222" s="35"/>
      <c r="QFW222" s="34"/>
      <c r="QFX222" s="34"/>
      <c r="QFY222" s="36"/>
      <c r="QFZ222" s="36"/>
      <c r="QGA222" s="37"/>
      <c r="QGB222" s="37"/>
      <c r="QGC222" s="38"/>
      <c r="QGD222" s="38"/>
      <c r="QGE222" s="39"/>
      <c r="QGF222" s="34"/>
      <c r="QGG222" s="34"/>
      <c r="QGH222" s="34"/>
      <c r="QGI222" s="35"/>
      <c r="QGJ222" s="35"/>
      <c r="QGK222" s="35"/>
      <c r="QGL222" s="35"/>
      <c r="QGM222" s="35"/>
      <c r="QGN222" s="34"/>
      <c r="QGO222" s="34"/>
      <c r="QGP222" s="36"/>
      <c r="QGQ222" s="36"/>
      <c r="QGR222" s="37"/>
      <c r="QGS222" s="37"/>
      <c r="QGT222" s="38"/>
      <c r="QGU222" s="38"/>
      <c r="QGV222" s="39"/>
      <c r="QGW222" s="34"/>
      <c r="QGX222" s="34"/>
      <c r="QGY222" s="34"/>
      <c r="QGZ222" s="35"/>
      <c r="QHA222" s="35"/>
      <c r="QHB222" s="35"/>
      <c r="QHC222" s="35"/>
      <c r="QHD222" s="35"/>
      <c r="QHE222" s="34"/>
      <c r="QHF222" s="34"/>
      <c r="QHG222" s="36"/>
      <c r="QHH222" s="36"/>
      <c r="QHI222" s="37"/>
      <c r="QHJ222" s="37"/>
      <c r="QHK222" s="38"/>
      <c r="QHL222" s="38"/>
      <c r="QHM222" s="39"/>
      <c r="QHN222" s="34"/>
      <c r="QHO222" s="34"/>
      <c r="QHP222" s="34"/>
      <c r="QHQ222" s="35"/>
      <c r="QHR222" s="35"/>
      <c r="QHS222" s="35"/>
      <c r="QHT222" s="35"/>
      <c r="QHU222" s="35"/>
      <c r="QHV222" s="34"/>
      <c r="QHW222" s="34"/>
      <c r="QHX222" s="36"/>
      <c r="QHY222" s="36"/>
      <c r="QHZ222" s="37"/>
      <c r="QIA222" s="37"/>
      <c r="QIB222" s="38"/>
      <c r="QIC222" s="38"/>
      <c r="QID222" s="39"/>
      <c r="QIE222" s="34"/>
      <c r="QIF222" s="34"/>
      <c r="QIG222" s="34"/>
      <c r="QIH222" s="35"/>
      <c r="QII222" s="35"/>
      <c r="QIJ222" s="35"/>
      <c r="QIK222" s="35"/>
      <c r="QIL222" s="35"/>
      <c r="QIM222" s="34"/>
      <c r="QIN222" s="34"/>
      <c r="QIO222" s="36"/>
      <c r="QIP222" s="36"/>
      <c r="QIQ222" s="37"/>
      <c r="QIR222" s="37"/>
      <c r="QIS222" s="38"/>
      <c r="QIT222" s="38"/>
      <c r="QIU222" s="39"/>
      <c r="QIV222" s="34"/>
      <c r="QIW222" s="34"/>
      <c r="QIX222" s="34"/>
      <c r="QIY222" s="35"/>
      <c r="QIZ222" s="35"/>
      <c r="QJA222" s="35"/>
      <c r="QJB222" s="35"/>
      <c r="QJC222" s="35"/>
      <c r="QJD222" s="34"/>
      <c r="QJE222" s="34"/>
      <c r="QJF222" s="36"/>
      <c r="QJG222" s="36"/>
      <c r="QJH222" s="37"/>
      <c r="QJI222" s="37"/>
      <c r="QJJ222" s="38"/>
      <c r="QJK222" s="38"/>
      <c r="QJL222" s="39"/>
      <c r="QJM222" s="34"/>
      <c r="QJN222" s="34"/>
      <c r="QJO222" s="34"/>
      <c r="QJP222" s="35"/>
      <c r="QJQ222" s="35"/>
      <c r="QJR222" s="35"/>
      <c r="QJS222" s="35"/>
      <c r="QJT222" s="35"/>
      <c r="QJU222" s="34"/>
      <c r="QJV222" s="34"/>
      <c r="QJW222" s="36"/>
      <c r="QJX222" s="36"/>
      <c r="QJY222" s="37"/>
      <c r="QJZ222" s="37"/>
      <c r="QKA222" s="38"/>
      <c r="QKB222" s="38"/>
      <c r="QKC222" s="39"/>
      <c r="QKD222" s="34"/>
      <c r="QKE222" s="34"/>
      <c r="QKF222" s="34"/>
      <c r="QKG222" s="35"/>
      <c r="QKH222" s="35"/>
      <c r="QKI222" s="35"/>
      <c r="QKJ222" s="35"/>
      <c r="QKK222" s="35"/>
      <c r="QKL222" s="34"/>
      <c r="QKM222" s="34"/>
      <c r="QKN222" s="36"/>
      <c r="QKO222" s="36"/>
      <c r="QKP222" s="37"/>
      <c r="QKQ222" s="37"/>
      <c r="QKR222" s="38"/>
      <c r="QKS222" s="38"/>
      <c r="QKT222" s="39"/>
      <c r="QKU222" s="34"/>
      <c r="QKV222" s="34"/>
      <c r="QKW222" s="34"/>
      <c r="QKX222" s="35"/>
      <c r="QKY222" s="35"/>
      <c r="QKZ222" s="35"/>
      <c r="QLA222" s="35"/>
      <c r="QLB222" s="35"/>
      <c r="QLC222" s="34"/>
      <c r="QLD222" s="34"/>
      <c r="QLE222" s="36"/>
      <c r="QLF222" s="36"/>
      <c r="QLG222" s="37"/>
      <c r="QLH222" s="37"/>
      <c r="QLI222" s="38"/>
      <c r="QLJ222" s="38"/>
      <c r="QLK222" s="39"/>
      <c r="QLL222" s="34"/>
      <c r="QLM222" s="34"/>
      <c r="QLN222" s="34"/>
      <c r="QLO222" s="35"/>
      <c r="QLP222" s="35"/>
      <c r="QLQ222" s="35"/>
      <c r="QLR222" s="35"/>
      <c r="QLS222" s="35"/>
      <c r="QLT222" s="34"/>
      <c r="QLU222" s="34"/>
      <c r="QLV222" s="36"/>
      <c r="QLW222" s="36"/>
      <c r="QLX222" s="37"/>
      <c r="QLY222" s="37"/>
      <c r="QLZ222" s="38"/>
      <c r="QMA222" s="38"/>
      <c r="QMB222" s="39"/>
      <c r="QMC222" s="34"/>
      <c r="QMD222" s="34"/>
      <c r="QME222" s="34"/>
      <c r="QMF222" s="35"/>
      <c r="QMG222" s="35"/>
      <c r="QMH222" s="35"/>
      <c r="QMI222" s="35"/>
      <c r="QMJ222" s="35"/>
      <c r="QMK222" s="34"/>
      <c r="QML222" s="34"/>
      <c r="QMM222" s="36"/>
      <c r="QMN222" s="36"/>
      <c r="QMO222" s="37"/>
      <c r="QMP222" s="37"/>
      <c r="QMQ222" s="38"/>
      <c r="QMR222" s="38"/>
      <c r="QMS222" s="39"/>
      <c r="QMT222" s="34"/>
      <c r="QMU222" s="34"/>
      <c r="QMV222" s="34"/>
      <c r="QMW222" s="35"/>
      <c r="QMX222" s="35"/>
      <c r="QMY222" s="35"/>
      <c r="QMZ222" s="35"/>
      <c r="QNA222" s="35"/>
      <c r="QNB222" s="34"/>
      <c r="QNC222" s="34"/>
      <c r="QND222" s="36"/>
      <c r="QNE222" s="36"/>
      <c r="QNF222" s="37"/>
      <c r="QNG222" s="37"/>
      <c r="QNH222" s="38"/>
      <c r="QNI222" s="38"/>
      <c r="QNJ222" s="39"/>
      <c r="QNK222" s="34"/>
      <c r="QNL222" s="34"/>
      <c r="QNM222" s="34"/>
      <c r="QNN222" s="35"/>
      <c r="QNO222" s="35"/>
      <c r="QNP222" s="35"/>
      <c r="QNQ222" s="35"/>
      <c r="QNR222" s="35"/>
      <c r="QNS222" s="34"/>
      <c r="QNT222" s="34"/>
      <c r="QNU222" s="36"/>
      <c r="QNV222" s="36"/>
      <c r="QNW222" s="37"/>
      <c r="QNX222" s="37"/>
      <c r="QNY222" s="38"/>
      <c r="QNZ222" s="38"/>
      <c r="QOA222" s="39"/>
      <c r="QOB222" s="34"/>
      <c r="QOC222" s="34"/>
      <c r="QOD222" s="34"/>
      <c r="QOE222" s="35"/>
      <c r="QOF222" s="35"/>
      <c r="QOG222" s="35"/>
      <c r="QOH222" s="35"/>
      <c r="QOI222" s="35"/>
      <c r="QOJ222" s="34"/>
      <c r="QOK222" s="34"/>
      <c r="QOL222" s="36"/>
      <c r="QOM222" s="36"/>
      <c r="QON222" s="37"/>
      <c r="QOO222" s="37"/>
      <c r="QOP222" s="38"/>
      <c r="QOQ222" s="38"/>
      <c r="QOR222" s="39"/>
      <c r="QOS222" s="34"/>
      <c r="QOT222" s="34"/>
      <c r="QOU222" s="34"/>
      <c r="QOV222" s="35"/>
      <c r="QOW222" s="35"/>
      <c r="QOX222" s="35"/>
      <c r="QOY222" s="35"/>
      <c r="QOZ222" s="35"/>
      <c r="QPA222" s="34"/>
      <c r="QPB222" s="34"/>
      <c r="QPC222" s="36"/>
      <c r="QPD222" s="36"/>
      <c r="QPE222" s="37"/>
      <c r="QPF222" s="37"/>
      <c r="QPG222" s="38"/>
      <c r="QPH222" s="38"/>
      <c r="QPI222" s="39"/>
      <c r="QPJ222" s="34"/>
      <c r="QPK222" s="34"/>
      <c r="QPL222" s="34"/>
      <c r="QPM222" s="35"/>
      <c r="QPN222" s="35"/>
      <c r="QPO222" s="35"/>
      <c r="QPP222" s="35"/>
      <c r="QPQ222" s="35"/>
      <c r="QPR222" s="34"/>
      <c r="QPS222" s="34"/>
      <c r="QPT222" s="36"/>
      <c r="QPU222" s="36"/>
      <c r="QPV222" s="37"/>
      <c r="QPW222" s="37"/>
      <c r="QPX222" s="38"/>
      <c r="QPY222" s="38"/>
      <c r="QPZ222" s="39"/>
      <c r="QQA222" s="34"/>
      <c r="QQB222" s="34"/>
      <c r="QQC222" s="34"/>
      <c r="QQD222" s="35"/>
      <c r="QQE222" s="35"/>
      <c r="QQF222" s="35"/>
      <c r="QQG222" s="35"/>
      <c r="QQH222" s="35"/>
      <c r="QQI222" s="34"/>
      <c r="QQJ222" s="34"/>
      <c r="QQK222" s="36"/>
      <c r="QQL222" s="36"/>
      <c r="QQM222" s="37"/>
      <c r="QQN222" s="37"/>
      <c r="QQO222" s="38"/>
      <c r="QQP222" s="38"/>
      <c r="QQQ222" s="39"/>
      <c r="QQR222" s="34"/>
      <c r="QQS222" s="34"/>
      <c r="QQT222" s="34"/>
      <c r="QQU222" s="35"/>
      <c r="QQV222" s="35"/>
      <c r="QQW222" s="35"/>
      <c r="QQX222" s="35"/>
      <c r="QQY222" s="35"/>
      <c r="QQZ222" s="34"/>
      <c r="QRA222" s="34"/>
      <c r="QRB222" s="36"/>
      <c r="QRC222" s="36"/>
      <c r="QRD222" s="37"/>
      <c r="QRE222" s="37"/>
      <c r="QRF222" s="38"/>
      <c r="QRG222" s="38"/>
      <c r="QRH222" s="39"/>
      <c r="QRI222" s="34"/>
      <c r="QRJ222" s="34"/>
      <c r="QRK222" s="34"/>
      <c r="QRL222" s="35"/>
      <c r="QRM222" s="35"/>
      <c r="QRN222" s="35"/>
      <c r="QRO222" s="35"/>
      <c r="QRP222" s="35"/>
      <c r="QRQ222" s="34"/>
      <c r="QRR222" s="34"/>
      <c r="QRS222" s="36"/>
      <c r="QRT222" s="36"/>
      <c r="QRU222" s="37"/>
      <c r="QRV222" s="37"/>
      <c r="QRW222" s="38"/>
      <c r="QRX222" s="38"/>
      <c r="QRY222" s="39"/>
      <c r="QRZ222" s="34"/>
      <c r="QSA222" s="34"/>
      <c r="QSB222" s="34"/>
      <c r="QSC222" s="35"/>
      <c r="QSD222" s="35"/>
      <c r="QSE222" s="35"/>
      <c r="QSF222" s="35"/>
      <c r="QSG222" s="35"/>
      <c r="QSH222" s="34"/>
      <c r="QSI222" s="34"/>
      <c r="QSJ222" s="36"/>
      <c r="QSK222" s="36"/>
      <c r="QSL222" s="37"/>
      <c r="QSM222" s="37"/>
      <c r="QSN222" s="38"/>
      <c r="QSO222" s="38"/>
      <c r="QSP222" s="39"/>
      <c r="QSQ222" s="34"/>
      <c r="QSR222" s="34"/>
      <c r="QSS222" s="34"/>
      <c r="QST222" s="35"/>
      <c r="QSU222" s="35"/>
      <c r="QSV222" s="35"/>
      <c r="QSW222" s="35"/>
      <c r="QSX222" s="35"/>
      <c r="QSY222" s="34"/>
      <c r="QSZ222" s="34"/>
      <c r="QTA222" s="36"/>
      <c r="QTB222" s="36"/>
      <c r="QTC222" s="37"/>
      <c r="QTD222" s="37"/>
      <c r="QTE222" s="38"/>
      <c r="QTF222" s="38"/>
      <c r="QTG222" s="39"/>
      <c r="QTH222" s="34"/>
      <c r="QTI222" s="34"/>
      <c r="QTJ222" s="34"/>
      <c r="QTK222" s="35"/>
      <c r="QTL222" s="35"/>
      <c r="QTM222" s="35"/>
      <c r="QTN222" s="35"/>
      <c r="QTO222" s="35"/>
      <c r="QTP222" s="34"/>
      <c r="QTQ222" s="34"/>
      <c r="QTR222" s="36"/>
      <c r="QTS222" s="36"/>
      <c r="QTT222" s="37"/>
      <c r="QTU222" s="37"/>
      <c r="QTV222" s="38"/>
      <c r="QTW222" s="38"/>
      <c r="QTX222" s="39"/>
      <c r="QTY222" s="34"/>
      <c r="QTZ222" s="34"/>
      <c r="QUA222" s="34"/>
      <c r="QUB222" s="35"/>
      <c r="QUC222" s="35"/>
      <c r="QUD222" s="35"/>
      <c r="QUE222" s="35"/>
      <c r="QUF222" s="35"/>
      <c r="QUG222" s="34"/>
      <c r="QUH222" s="34"/>
      <c r="QUI222" s="36"/>
      <c r="QUJ222" s="36"/>
      <c r="QUK222" s="37"/>
      <c r="QUL222" s="37"/>
      <c r="QUM222" s="38"/>
      <c r="QUN222" s="38"/>
      <c r="QUO222" s="39"/>
      <c r="QUP222" s="34"/>
      <c r="QUQ222" s="34"/>
      <c r="QUR222" s="34"/>
      <c r="QUS222" s="35"/>
      <c r="QUT222" s="35"/>
      <c r="QUU222" s="35"/>
      <c r="QUV222" s="35"/>
      <c r="QUW222" s="35"/>
      <c r="QUX222" s="34"/>
      <c r="QUY222" s="34"/>
      <c r="QUZ222" s="36"/>
      <c r="QVA222" s="36"/>
      <c r="QVB222" s="37"/>
      <c r="QVC222" s="37"/>
      <c r="QVD222" s="38"/>
      <c r="QVE222" s="38"/>
      <c r="QVF222" s="39"/>
      <c r="QVG222" s="34"/>
      <c r="QVH222" s="34"/>
      <c r="QVI222" s="34"/>
      <c r="QVJ222" s="35"/>
      <c r="QVK222" s="35"/>
      <c r="QVL222" s="35"/>
      <c r="QVM222" s="35"/>
      <c r="QVN222" s="35"/>
      <c r="QVO222" s="34"/>
      <c r="QVP222" s="34"/>
      <c r="QVQ222" s="36"/>
      <c r="QVR222" s="36"/>
      <c r="QVS222" s="37"/>
      <c r="QVT222" s="37"/>
      <c r="QVU222" s="38"/>
      <c r="QVV222" s="38"/>
      <c r="QVW222" s="39"/>
      <c r="QVX222" s="34"/>
      <c r="QVY222" s="34"/>
      <c r="QVZ222" s="34"/>
      <c r="QWA222" s="35"/>
      <c r="QWB222" s="35"/>
      <c r="QWC222" s="35"/>
      <c r="QWD222" s="35"/>
      <c r="QWE222" s="35"/>
      <c r="QWF222" s="34"/>
      <c r="QWG222" s="34"/>
      <c r="QWH222" s="36"/>
      <c r="QWI222" s="36"/>
      <c r="QWJ222" s="37"/>
      <c r="QWK222" s="37"/>
      <c r="QWL222" s="38"/>
      <c r="QWM222" s="38"/>
      <c r="QWN222" s="39"/>
      <c r="QWO222" s="34"/>
      <c r="QWP222" s="34"/>
      <c r="QWQ222" s="34"/>
      <c r="QWR222" s="35"/>
      <c r="QWS222" s="35"/>
      <c r="QWT222" s="35"/>
      <c r="QWU222" s="35"/>
      <c r="QWV222" s="35"/>
      <c r="QWW222" s="34"/>
      <c r="QWX222" s="34"/>
      <c r="QWY222" s="36"/>
      <c r="QWZ222" s="36"/>
      <c r="QXA222" s="37"/>
      <c r="QXB222" s="37"/>
      <c r="QXC222" s="38"/>
      <c r="QXD222" s="38"/>
      <c r="QXE222" s="39"/>
      <c r="QXF222" s="34"/>
      <c r="QXG222" s="34"/>
      <c r="QXH222" s="34"/>
      <c r="QXI222" s="35"/>
      <c r="QXJ222" s="35"/>
      <c r="QXK222" s="35"/>
      <c r="QXL222" s="35"/>
      <c r="QXM222" s="35"/>
      <c r="QXN222" s="34"/>
      <c r="QXO222" s="34"/>
      <c r="QXP222" s="36"/>
      <c r="QXQ222" s="36"/>
      <c r="QXR222" s="37"/>
      <c r="QXS222" s="37"/>
      <c r="QXT222" s="38"/>
      <c r="QXU222" s="38"/>
      <c r="QXV222" s="39"/>
      <c r="QXW222" s="34"/>
      <c r="QXX222" s="34"/>
      <c r="QXY222" s="34"/>
      <c r="QXZ222" s="35"/>
      <c r="QYA222" s="35"/>
      <c r="QYB222" s="35"/>
      <c r="QYC222" s="35"/>
      <c r="QYD222" s="35"/>
      <c r="QYE222" s="34"/>
      <c r="QYF222" s="34"/>
      <c r="QYG222" s="36"/>
      <c r="QYH222" s="36"/>
      <c r="QYI222" s="37"/>
      <c r="QYJ222" s="37"/>
      <c r="QYK222" s="38"/>
      <c r="QYL222" s="38"/>
      <c r="QYM222" s="39"/>
      <c r="QYN222" s="34"/>
      <c r="QYO222" s="34"/>
      <c r="QYP222" s="34"/>
      <c r="QYQ222" s="35"/>
      <c r="QYR222" s="35"/>
      <c r="QYS222" s="35"/>
      <c r="QYT222" s="35"/>
      <c r="QYU222" s="35"/>
      <c r="QYV222" s="34"/>
      <c r="QYW222" s="34"/>
      <c r="QYX222" s="36"/>
      <c r="QYY222" s="36"/>
      <c r="QYZ222" s="37"/>
      <c r="QZA222" s="37"/>
      <c r="QZB222" s="38"/>
      <c r="QZC222" s="38"/>
      <c r="QZD222" s="39"/>
      <c r="QZE222" s="34"/>
      <c r="QZF222" s="34"/>
      <c r="QZG222" s="34"/>
      <c r="QZH222" s="35"/>
      <c r="QZI222" s="35"/>
      <c r="QZJ222" s="35"/>
      <c r="QZK222" s="35"/>
      <c r="QZL222" s="35"/>
      <c r="QZM222" s="34"/>
      <c r="QZN222" s="34"/>
      <c r="QZO222" s="36"/>
      <c r="QZP222" s="36"/>
      <c r="QZQ222" s="37"/>
      <c r="QZR222" s="37"/>
      <c r="QZS222" s="38"/>
      <c r="QZT222" s="38"/>
      <c r="QZU222" s="39"/>
      <c r="QZV222" s="34"/>
      <c r="QZW222" s="34"/>
      <c r="QZX222" s="34"/>
      <c r="QZY222" s="35"/>
      <c r="QZZ222" s="35"/>
      <c r="RAA222" s="35"/>
      <c r="RAB222" s="35"/>
      <c r="RAC222" s="35"/>
      <c r="RAD222" s="34"/>
      <c r="RAE222" s="34"/>
      <c r="RAF222" s="36"/>
      <c r="RAG222" s="36"/>
      <c r="RAH222" s="37"/>
      <c r="RAI222" s="37"/>
      <c r="RAJ222" s="38"/>
      <c r="RAK222" s="38"/>
      <c r="RAL222" s="39"/>
      <c r="RAM222" s="34"/>
      <c r="RAN222" s="34"/>
      <c r="RAO222" s="34"/>
      <c r="RAP222" s="35"/>
      <c r="RAQ222" s="35"/>
      <c r="RAR222" s="35"/>
      <c r="RAS222" s="35"/>
      <c r="RAT222" s="35"/>
      <c r="RAU222" s="34"/>
      <c r="RAV222" s="34"/>
      <c r="RAW222" s="36"/>
      <c r="RAX222" s="36"/>
      <c r="RAY222" s="37"/>
      <c r="RAZ222" s="37"/>
      <c r="RBA222" s="38"/>
      <c r="RBB222" s="38"/>
      <c r="RBC222" s="39"/>
      <c r="RBD222" s="34"/>
      <c r="RBE222" s="34"/>
      <c r="RBF222" s="34"/>
      <c r="RBG222" s="35"/>
      <c r="RBH222" s="35"/>
      <c r="RBI222" s="35"/>
      <c r="RBJ222" s="35"/>
      <c r="RBK222" s="35"/>
      <c r="RBL222" s="34"/>
      <c r="RBM222" s="34"/>
      <c r="RBN222" s="36"/>
      <c r="RBO222" s="36"/>
      <c r="RBP222" s="37"/>
      <c r="RBQ222" s="37"/>
      <c r="RBR222" s="38"/>
      <c r="RBS222" s="38"/>
      <c r="RBT222" s="39"/>
      <c r="RBU222" s="34"/>
      <c r="RBV222" s="34"/>
      <c r="RBW222" s="34"/>
      <c r="RBX222" s="35"/>
      <c r="RBY222" s="35"/>
      <c r="RBZ222" s="35"/>
      <c r="RCA222" s="35"/>
      <c r="RCB222" s="35"/>
      <c r="RCC222" s="34"/>
      <c r="RCD222" s="34"/>
      <c r="RCE222" s="36"/>
      <c r="RCF222" s="36"/>
      <c r="RCG222" s="37"/>
      <c r="RCH222" s="37"/>
      <c r="RCI222" s="38"/>
      <c r="RCJ222" s="38"/>
      <c r="RCK222" s="39"/>
      <c r="RCL222" s="34"/>
      <c r="RCM222" s="34"/>
      <c r="RCN222" s="34"/>
      <c r="RCO222" s="35"/>
      <c r="RCP222" s="35"/>
      <c r="RCQ222" s="35"/>
      <c r="RCR222" s="35"/>
      <c r="RCS222" s="35"/>
      <c r="RCT222" s="34"/>
      <c r="RCU222" s="34"/>
      <c r="RCV222" s="36"/>
      <c r="RCW222" s="36"/>
      <c r="RCX222" s="37"/>
      <c r="RCY222" s="37"/>
      <c r="RCZ222" s="38"/>
      <c r="RDA222" s="38"/>
      <c r="RDB222" s="39"/>
      <c r="RDC222" s="34"/>
      <c r="RDD222" s="34"/>
      <c r="RDE222" s="34"/>
      <c r="RDF222" s="35"/>
      <c r="RDG222" s="35"/>
      <c r="RDH222" s="35"/>
      <c r="RDI222" s="35"/>
      <c r="RDJ222" s="35"/>
      <c r="RDK222" s="34"/>
      <c r="RDL222" s="34"/>
      <c r="RDM222" s="36"/>
      <c r="RDN222" s="36"/>
      <c r="RDO222" s="37"/>
      <c r="RDP222" s="37"/>
      <c r="RDQ222" s="38"/>
      <c r="RDR222" s="38"/>
      <c r="RDS222" s="39"/>
      <c r="RDT222" s="34"/>
      <c r="RDU222" s="34"/>
      <c r="RDV222" s="34"/>
      <c r="RDW222" s="35"/>
      <c r="RDX222" s="35"/>
      <c r="RDY222" s="35"/>
      <c r="RDZ222" s="35"/>
      <c r="REA222" s="35"/>
      <c r="REB222" s="34"/>
      <c r="REC222" s="34"/>
      <c r="RED222" s="36"/>
      <c r="REE222" s="36"/>
      <c r="REF222" s="37"/>
      <c r="REG222" s="37"/>
      <c r="REH222" s="38"/>
      <c r="REI222" s="38"/>
      <c r="REJ222" s="39"/>
      <c r="REK222" s="34"/>
      <c r="REL222" s="34"/>
      <c r="REM222" s="34"/>
      <c r="REN222" s="35"/>
      <c r="REO222" s="35"/>
      <c r="REP222" s="35"/>
      <c r="REQ222" s="35"/>
      <c r="RER222" s="35"/>
      <c r="RES222" s="34"/>
      <c r="RET222" s="34"/>
      <c r="REU222" s="36"/>
      <c r="REV222" s="36"/>
      <c r="REW222" s="37"/>
      <c r="REX222" s="37"/>
      <c r="REY222" s="38"/>
      <c r="REZ222" s="38"/>
      <c r="RFA222" s="39"/>
      <c r="RFB222" s="34"/>
      <c r="RFC222" s="34"/>
      <c r="RFD222" s="34"/>
      <c r="RFE222" s="35"/>
      <c r="RFF222" s="35"/>
      <c r="RFG222" s="35"/>
      <c r="RFH222" s="35"/>
      <c r="RFI222" s="35"/>
      <c r="RFJ222" s="34"/>
      <c r="RFK222" s="34"/>
      <c r="RFL222" s="36"/>
      <c r="RFM222" s="36"/>
      <c r="RFN222" s="37"/>
      <c r="RFO222" s="37"/>
      <c r="RFP222" s="38"/>
      <c r="RFQ222" s="38"/>
      <c r="RFR222" s="39"/>
      <c r="RFS222" s="34"/>
      <c r="RFT222" s="34"/>
      <c r="RFU222" s="34"/>
      <c r="RFV222" s="35"/>
      <c r="RFW222" s="35"/>
      <c r="RFX222" s="35"/>
      <c r="RFY222" s="35"/>
      <c r="RFZ222" s="35"/>
      <c r="RGA222" s="34"/>
      <c r="RGB222" s="34"/>
      <c r="RGC222" s="36"/>
      <c r="RGD222" s="36"/>
      <c r="RGE222" s="37"/>
      <c r="RGF222" s="37"/>
      <c r="RGG222" s="38"/>
      <c r="RGH222" s="38"/>
      <c r="RGI222" s="39"/>
      <c r="RGJ222" s="34"/>
      <c r="RGK222" s="34"/>
      <c r="RGL222" s="34"/>
      <c r="RGM222" s="35"/>
      <c r="RGN222" s="35"/>
      <c r="RGO222" s="35"/>
      <c r="RGP222" s="35"/>
      <c r="RGQ222" s="35"/>
      <c r="RGR222" s="34"/>
      <c r="RGS222" s="34"/>
      <c r="RGT222" s="36"/>
      <c r="RGU222" s="36"/>
      <c r="RGV222" s="37"/>
      <c r="RGW222" s="37"/>
      <c r="RGX222" s="38"/>
      <c r="RGY222" s="38"/>
      <c r="RGZ222" s="39"/>
      <c r="RHA222" s="34"/>
      <c r="RHB222" s="34"/>
      <c r="RHC222" s="34"/>
      <c r="RHD222" s="35"/>
      <c r="RHE222" s="35"/>
      <c r="RHF222" s="35"/>
      <c r="RHG222" s="35"/>
      <c r="RHH222" s="35"/>
      <c r="RHI222" s="34"/>
      <c r="RHJ222" s="34"/>
      <c r="RHK222" s="36"/>
      <c r="RHL222" s="36"/>
      <c r="RHM222" s="37"/>
      <c r="RHN222" s="37"/>
      <c r="RHO222" s="38"/>
      <c r="RHP222" s="38"/>
      <c r="RHQ222" s="39"/>
      <c r="RHR222" s="34"/>
      <c r="RHS222" s="34"/>
      <c r="RHT222" s="34"/>
      <c r="RHU222" s="35"/>
      <c r="RHV222" s="35"/>
      <c r="RHW222" s="35"/>
      <c r="RHX222" s="35"/>
      <c r="RHY222" s="35"/>
      <c r="RHZ222" s="34"/>
      <c r="RIA222" s="34"/>
      <c r="RIB222" s="36"/>
      <c r="RIC222" s="36"/>
      <c r="RID222" s="37"/>
      <c r="RIE222" s="37"/>
      <c r="RIF222" s="38"/>
      <c r="RIG222" s="38"/>
      <c r="RIH222" s="39"/>
      <c r="RII222" s="34"/>
      <c r="RIJ222" s="34"/>
      <c r="RIK222" s="34"/>
      <c r="RIL222" s="35"/>
      <c r="RIM222" s="35"/>
      <c r="RIN222" s="35"/>
      <c r="RIO222" s="35"/>
      <c r="RIP222" s="35"/>
      <c r="RIQ222" s="34"/>
      <c r="RIR222" s="34"/>
      <c r="RIS222" s="36"/>
      <c r="RIT222" s="36"/>
      <c r="RIU222" s="37"/>
      <c r="RIV222" s="37"/>
      <c r="RIW222" s="38"/>
      <c r="RIX222" s="38"/>
      <c r="RIY222" s="39"/>
      <c r="RIZ222" s="34"/>
      <c r="RJA222" s="34"/>
      <c r="RJB222" s="34"/>
      <c r="RJC222" s="35"/>
      <c r="RJD222" s="35"/>
      <c r="RJE222" s="35"/>
      <c r="RJF222" s="35"/>
      <c r="RJG222" s="35"/>
      <c r="RJH222" s="34"/>
      <c r="RJI222" s="34"/>
      <c r="RJJ222" s="36"/>
      <c r="RJK222" s="36"/>
      <c r="RJL222" s="37"/>
      <c r="RJM222" s="37"/>
      <c r="RJN222" s="38"/>
      <c r="RJO222" s="38"/>
      <c r="RJP222" s="39"/>
      <c r="RJQ222" s="34"/>
      <c r="RJR222" s="34"/>
      <c r="RJS222" s="34"/>
      <c r="RJT222" s="35"/>
      <c r="RJU222" s="35"/>
      <c r="RJV222" s="35"/>
      <c r="RJW222" s="35"/>
      <c r="RJX222" s="35"/>
      <c r="RJY222" s="34"/>
      <c r="RJZ222" s="34"/>
      <c r="RKA222" s="36"/>
      <c r="RKB222" s="36"/>
      <c r="RKC222" s="37"/>
      <c r="RKD222" s="37"/>
      <c r="RKE222" s="38"/>
      <c r="RKF222" s="38"/>
      <c r="RKG222" s="39"/>
      <c r="RKH222" s="34"/>
      <c r="RKI222" s="34"/>
      <c r="RKJ222" s="34"/>
      <c r="RKK222" s="35"/>
      <c r="RKL222" s="35"/>
      <c r="RKM222" s="35"/>
      <c r="RKN222" s="35"/>
      <c r="RKO222" s="35"/>
      <c r="RKP222" s="34"/>
      <c r="RKQ222" s="34"/>
      <c r="RKR222" s="36"/>
      <c r="RKS222" s="36"/>
      <c r="RKT222" s="37"/>
      <c r="RKU222" s="37"/>
      <c r="RKV222" s="38"/>
      <c r="RKW222" s="38"/>
      <c r="RKX222" s="39"/>
      <c r="RKY222" s="34"/>
      <c r="RKZ222" s="34"/>
      <c r="RLA222" s="34"/>
      <c r="RLB222" s="35"/>
      <c r="RLC222" s="35"/>
      <c r="RLD222" s="35"/>
      <c r="RLE222" s="35"/>
      <c r="RLF222" s="35"/>
      <c r="RLG222" s="34"/>
      <c r="RLH222" s="34"/>
      <c r="RLI222" s="36"/>
      <c r="RLJ222" s="36"/>
      <c r="RLK222" s="37"/>
      <c r="RLL222" s="37"/>
      <c r="RLM222" s="38"/>
      <c r="RLN222" s="38"/>
      <c r="RLO222" s="39"/>
      <c r="RLP222" s="34"/>
      <c r="RLQ222" s="34"/>
      <c r="RLR222" s="34"/>
      <c r="RLS222" s="35"/>
      <c r="RLT222" s="35"/>
      <c r="RLU222" s="35"/>
      <c r="RLV222" s="35"/>
      <c r="RLW222" s="35"/>
      <c r="RLX222" s="34"/>
      <c r="RLY222" s="34"/>
      <c r="RLZ222" s="36"/>
      <c r="RMA222" s="36"/>
      <c r="RMB222" s="37"/>
      <c r="RMC222" s="37"/>
      <c r="RMD222" s="38"/>
      <c r="RME222" s="38"/>
      <c r="RMF222" s="39"/>
      <c r="RMG222" s="34"/>
      <c r="RMH222" s="34"/>
      <c r="RMI222" s="34"/>
      <c r="RMJ222" s="35"/>
      <c r="RMK222" s="35"/>
      <c r="RML222" s="35"/>
      <c r="RMM222" s="35"/>
      <c r="RMN222" s="35"/>
      <c r="RMO222" s="34"/>
      <c r="RMP222" s="34"/>
      <c r="RMQ222" s="36"/>
      <c r="RMR222" s="36"/>
      <c r="RMS222" s="37"/>
      <c r="RMT222" s="37"/>
      <c r="RMU222" s="38"/>
      <c r="RMV222" s="38"/>
      <c r="RMW222" s="39"/>
      <c r="RMX222" s="34"/>
      <c r="RMY222" s="34"/>
      <c r="RMZ222" s="34"/>
      <c r="RNA222" s="35"/>
      <c r="RNB222" s="35"/>
      <c r="RNC222" s="35"/>
      <c r="RND222" s="35"/>
      <c r="RNE222" s="35"/>
      <c r="RNF222" s="34"/>
      <c r="RNG222" s="34"/>
      <c r="RNH222" s="36"/>
      <c r="RNI222" s="36"/>
      <c r="RNJ222" s="37"/>
      <c r="RNK222" s="37"/>
      <c r="RNL222" s="38"/>
      <c r="RNM222" s="38"/>
      <c r="RNN222" s="39"/>
      <c r="RNO222" s="34"/>
      <c r="RNP222" s="34"/>
      <c r="RNQ222" s="34"/>
      <c r="RNR222" s="35"/>
      <c r="RNS222" s="35"/>
      <c r="RNT222" s="35"/>
      <c r="RNU222" s="35"/>
      <c r="RNV222" s="35"/>
      <c r="RNW222" s="34"/>
      <c r="RNX222" s="34"/>
      <c r="RNY222" s="36"/>
      <c r="RNZ222" s="36"/>
      <c r="ROA222" s="37"/>
      <c r="ROB222" s="37"/>
      <c r="ROC222" s="38"/>
      <c r="ROD222" s="38"/>
      <c r="ROE222" s="39"/>
      <c r="ROF222" s="34"/>
      <c r="ROG222" s="34"/>
      <c r="ROH222" s="34"/>
      <c r="ROI222" s="35"/>
      <c r="ROJ222" s="35"/>
      <c r="ROK222" s="35"/>
      <c r="ROL222" s="35"/>
      <c r="ROM222" s="35"/>
      <c r="RON222" s="34"/>
      <c r="ROO222" s="34"/>
      <c r="ROP222" s="36"/>
      <c r="ROQ222" s="36"/>
      <c r="ROR222" s="37"/>
      <c r="ROS222" s="37"/>
      <c r="ROT222" s="38"/>
      <c r="ROU222" s="38"/>
      <c r="ROV222" s="39"/>
      <c r="ROW222" s="34"/>
      <c r="ROX222" s="34"/>
      <c r="ROY222" s="34"/>
      <c r="ROZ222" s="35"/>
      <c r="RPA222" s="35"/>
      <c r="RPB222" s="35"/>
      <c r="RPC222" s="35"/>
      <c r="RPD222" s="35"/>
      <c r="RPE222" s="34"/>
      <c r="RPF222" s="34"/>
      <c r="RPG222" s="36"/>
      <c r="RPH222" s="36"/>
      <c r="RPI222" s="37"/>
      <c r="RPJ222" s="37"/>
      <c r="RPK222" s="38"/>
      <c r="RPL222" s="38"/>
      <c r="RPM222" s="39"/>
      <c r="RPN222" s="34"/>
      <c r="RPO222" s="34"/>
      <c r="RPP222" s="34"/>
      <c r="RPQ222" s="35"/>
      <c r="RPR222" s="35"/>
      <c r="RPS222" s="35"/>
      <c r="RPT222" s="35"/>
      <c r="RPU222" s="35"/>
      <c r="RPV222" s="34"/>
      <c r="RPW222" s="34"/>
      <c r="RPX222" s="36"/>
      <c r="RPY222" s="36"/>
      <c r="RPZ222" s="37"/>
      <c r="RQA222" s="37"/>
      <c r="RQB222" s="38"/>
      <c r="RQC222" s="38"/>
      <c r="RQD222" s="39"/>
      <c r="RQE222" s="34"/>
      <c r="RQF222" s="34"/>
      <c r="RQG222" s="34"/>
      <c r="RQH222" s="35"/>
      <c r="RQI222" s="35"/>
      <c r="RQJ222" s="35"/>
      <c r="RQK222" s="35"/>
      <c r="RQL222" s="35"/>
      <c r="RQM222" s="34"/>
      <c r="RQN222" s="34"/>
      <c r="RQO222" s="36"/>
      <c r="RQP222" s="36"/>
      <c r="RQQ222" s="37"/>
      <c r="RQR222" s="37"/>
      <c r="RQS222" s="38"/>
      <c r="RQT222" s="38"/>
      <c r="RQU222" s="39"/>
      <c r="RQV222" s="34"/>
      <c r="RQW222" s="34"/>
      <c r="RQX222" s="34"/>
      <c r="RQY222" s="35"/>
      <c r="RQZ222" s="35"/>
      <c r="RRA222" s="35"/>
      <c r="RRB222" s="35"/>
      <c r="RRC222" s="35"/>
      <c r="RRD222" s="34"/>
      <c r="RRE222" s="34"/>
      <c r="RRF222" s="36"/>
      <c r="RRG222" s="36"/>
      <c r="RRH222" s="37"/>
      <c r="RRI222" s="37"/>
      <c r="RRJ222" s="38"/>
      <c r="RRK222" s="38"/>
      <c r="RRL222" s="39"/>
      <c r="RRM222" s="34"/>
      <c r="RRN222" s="34"/>
      <c r="RRO222" s="34"/>
      <c r="RRP222" s="35"/>
      <c r="RRQ222" s="35"/>
      <c r="RRR222" s="35"/>
      <c r="RRS222" s="35"/>
      <c r="RRT222" s="35"/>
      <c r="RRU222" s="34"/>
      <c r="RRV222" s="34"/>
      <c r="RRW222" s="36"/>
      <c r="RRX222" s="36"/>
      <c r="RRY222" s="37"/>
      <c r="RRZ222" s="37"/>
      <c r="RSA222" s="38"/>
      <c r="RSB222" s="38"/>
      <c r="RSC222" s="39"/>
      <c r="RSD222" s="34"/>
      <c r="RSE222" s="34"/>
      <c r="RSF222" s="34"/>
      <c r="RSG222" s="35"/>
      <c r="RSH222" s="35"/>
      <c r="RSI222" s="35"/>
      <c r="RSJ222" s="35"/>
      <c r="RSK222" s="35"/>
      <c r="RSL222" s="34"/>
      <c r="RSM222" s="34"/>
      <c r="RSN222" s="36"/>
      <c r="RSO222" s="36"/>
      <c r="RSP222" s="37"/>
      <c r="RSQ222" s="37"/>
      <c r="RSR222" s="38"/>
      <c r="RSS222" s="38"/>
      <c r="RST222" s="39"/>
      <c r="RSU222" s="34"/>
      <c r="RSV222" s="34"/>
      <c r="RSW222" s="34"/>
      <c r="RSX222" s="35"/>
      <c r="RSY222" s="35"/>
      <c r="RSZ222" s="35"/>
      <c r="RTA222" s="35"/>
      <c r="RTB222" s="35"/>
      <c r="RTC222" s="34"/>
      <c r="RTD222" s="34"/>
      <c r="RTE222" s="36"/>
      <c r="RTF222" s="36"/>
      <c r="RTG222" s="37"/>
      <c r="RTH222" s="37"/>
      <c r="RTI222" s="38"/>
      <c r="RTJ222" s="38"/>
      <c r="RTK222" s="39"/>
      <c r="RTL222" s="34"/>
      <c r="RTM222" s="34"/>
      <c r="RTN222" s="34"/>
      <c r="RTO222" s="35"/>
      <c r="RTP222" s="35"/>
      <c r="RTQ222" s="35"/>
      <c r="RTR222" s="35"/>
      <c r="RTS222" s="35"/>
      <c r="RTT222" s="34"/>
      <c r="RTU222" s="34"/>
      <c r="RTV222" s="36"/>
      <c r="RTW222" s="36"/>
      <c r="RTX222" s="37"/>
      <c r="RTY222" s="37"/>
      <c r="RTZ222" s="38"/>
      <c r="RUA222" s="38"/>
      <c r="RUB222" s="39"/>
      <c r="RUC222" s="34"/>
      <c r="RUD222" s="34"/>
      <c r="RUE222" s="34"/>
      <c r="RUF222" s="35"/>
      <c r="RUG222" s="35"/>
      <c r="RUH222" s="35"/>
      <c r="RUI222" s="35"/>
      <c r="RUJ222" s="35"/>
      <c r="RUK222" s="34"/>
      <c r="RUL222" s="34"/>
      <c r="RUM222" s="36"/>
      <c r="RUN222" s="36"/>
      <c r="RUO222" s="37"/>
      <c r="RUP222" s="37"/>
      <c r="RUQ222" s="38"/>
      <c r="RUR222" s="38"/>
      <c r="RUS222" s="39"/>
      <c r="RUT222" s="34"/>
      <c r="RUU222" s="34"/>
      <c r="RUV222" s="34"/>
      <c r="RUW222" s="35"/>
      <c r="RUX222" s="35"/>
      <c r="RUY222" s="35"/>
      <c r="RUZ222" s="35"/>
      <c r="RVA222" s="35"/>
      <c r="RVB222" s="34"/>
      <c r="RVC222" s="34"/>
      <c r="RVD222" s="36"/>
      <c r="RVE222" s="36"/>
      <c r="RVF222" s="37"/>
      <c r="RVG222" s="37"/>
      <c r="RVH222" s="38"/>
      <c r="RVI222" s="38"/>
      <c r="RVJ222" s="39"/>
      <c r="RVK222" s="34"/>
      <c r="RVL222" s="34"/>
      <c r="RVM222" s="34"/>
      <c r="RVN222" s="35"/>
      <c r="RVO222" s="35"/>
      <c r="RVP222" s="35"/>
      <c r="RVQ222" s="35"/>
      <c r="RVR222" s="35"/>
      <c r="RVS222" s="34"/>
      <c r="RVT222" s="34"/>
      <c r="RVU222" s="36"/>
      <c r="RVV222" s="36"/>
      <c r="RVW222" s="37"/>
      <c r="RVX222" s="37"/>
      <c r="RVY222" s="38"/>
      <c r="RVZ222" s="38"/>
      <c r="RWA222" s="39"/>
      <c r="RWB222" s="34"/>
      <c r="RWC222" s="34"/>
      <c r="RWD222" s="34"/>
      <c r="RWE222" s="35"/>
      <c r="RWF222" s="35"/>
      <c r="RWG222" s="35"/>
      <c r="RWH222" s="35"/>
      <c r="RWI222" s="35"/>
      <c r="RWJ222" s="34"/>
      <c r="RWK222" s="34"/>
      <c r="RWL222" s="36"/>
      <c r="RWM222" s="36"/>
      <c r="RWN222" s="37"/>
      <c r="RWO222" s="37"/>
      <c r="RWP222" s="38"/>
      <c r="RWQ222" s="38"/>
      <c r="RWR222" s="39"/>
      <c r="RWS222" s="34"/>
      <c r="RWT222" s="34"/>
      <c r="RWU222" s="34"/>
      <c r="RWV222" s="35"/>
      <c r="RWW222" s="35"/>
      <c r="RWX222" s="35"/>
      <c r="RWY222" s="35"/>
      <c r="RWZ222" s="35"/>
      <c r="RXA222" s="34"/>
      <c r="RXB222" s="34"/>
      <c r="RXC222" s="36"/>
      <c r="RXD222" s="36"/>
      <c r="RXE222" s="37"/>
      <c r="RXF222" s="37"/>
      <c r="RXG222" s="38"/>
      <c r="RXH222" s="38"/>
      <c r="RXI222" s="39"/>
      <c r="RXJ222" s="34"/>
      <c r="RXK222" s="34"/>
      <c r="RXL222" s="34"/>
      <c r="RXM222" s="35"/>
      <c r="RXN222" s="35"/>
      <c r="RXO222" s="35"/>
      <c r="RXP222" s="35"/>
      <c r="RXQ222" s="35"/>
      <c r="RXR222" s="34"/>
      <c r="RXS222" s="34"/>
      <c r="RXT222" s="36"/>
      <c r="RXU222" s="36"/>
      <c r="RXV222" s="37"/>
      <c r="RXW222" s="37"/>
      <c r="RXX222" s="38"/>
      <c r="RXY222" s="38"/>
      <c r="RXZ222" s="39"/>
      <c r="RYA222" s="34"/>
      <c r="RYB222" s="34"/>
      <c r="RYC222" s="34"/>
      <c r="RYD222" s="35"/>
      <c r="RYE222" s="35"/>
      <c r="RYF222" s="35"/>
      <c r="RYG222" s="35"/>
      <c r="RYH222" s="35"/>
      <c r="RYI222" s="34"/>
      <c r="RYJ222" s="34"/>
      <c r="RYK222" s="36"/>
      <c r="RYL222" s="36"/>
      <c r="RYM222" s="37"/>
      <c r="RYN222" s="37"/>
      <c r="RYO222" s="38"/>
      <c r="RYP222" s="38"/>
      <c r="RYQ222" s="39"/>
      <c r="RYR222" s="34"/>
      <c r="RYS222" s="34"/>
      <c r="RYT222" s="34"/>
      <c r="RYU222" s="35"/>
      <c r="RYV222" s="35"/>
      <c r="RYW222" s="35"/>
      <c r="RYX222" s="35"/>
      <c r="RYY222" s="35"/>
      <c r="RYZ222" s="34"/>
      <c r="RZA222" s="34"/>
      <c r="RZB222" s="36"/>
      <c r="RZC222" s="36"/>
      <c r="RZD222" s="37"/>
      <c r="RZE222" s="37"/>
      <c r="RZF222" s="38"/>
      <c r="RZG222" s="38"/>
      <c r="RZH222" s="39"/>
      <c r="RZI222" s="34"/>
      <c r="RZJ222" s="34"/>
      <c r="RZK222" s="34"/>
      <c r="RZL222" s="35"/>
      <c r="RZM222" s="35"/>
      <c r="RZN222" s="35"/>
      <c r="RZO222" s="35"/>
      <c r="RZP222" s="35"/>
      <c r="RZQ222" s="34"/>
      <c r="RZR222" s="34"/>
      <c r="RZS222" s="36"/>
      <c r="RZT222" s="36"/>
      <c r="RZU222" s="37"/>
      <c r="RZV222" s="37"/>
      <c r="RZW222" s="38"/>
      <c r="RZX222" s="38"/>
      <c r="RZY222" s="39"/>
      <c r="RZZ222" s="34"/>
      <c r="SAA222" s="34"/>
      <c r="SAB222" s="34"/>
      <c r="SAC222" s="35"/>
      <c r="SAD222" s="35"/>
      <c r="SAE222" s="35"/>
      <c r="SAF222" s="35"/>
      <c r="SAG222" s="35"/>
      <c r="SAH222" s="34"/>
      <c r="SAI222" s="34"/>
      <c r="SAJ222" s="36"/>
      <c r="SAK222" s="36"/>
      <c r="SAL222" s="37"/>
      <c r="SAM222" s="37"/>
      <c r="SAN222" s="38"/>
      <c r="SAO222" s="38"/>
      <c r="SAP222" s="39"/>
      <c r="SAQ222" s="34"/>
      <c r="SAR222" s="34"/>
      <c r="SAS222" s="34"/>
      <c r="SAT222" s="35"/>
      <c r="SAU222" s="35"/>
      <c r="SAV222" s="35"/>
      <c r="SAW222" s="35"/>
      <c r="SAX222" s="35"/>
      <c r="SAY222" s="34"/>
      <c r="SAZ222" s="34"/>
      <c r="SBA222" s="36"/>
      <c r="SBB222" s="36"/>
      <c r="SBC222" s="37"/>
      <c r="SBD222" s="37"/>
      <c r="SBE222" s="38"/>
      <c r="SBF222" s="38"/>
      <c r="SBG222" s="39"/>
      <c r="SBH222" s="34"/>
      <c r="SBI222" s="34"/>
      <c r="SBJ222" s="34"/>
      <c r="SBK222" s="35"/>
      <c r="SBL222" s="35"/>
      <c r="SBM222" s="35"/>
      <c r="SBN222" s="35"/>
      <c r="SBO222" s="35"/>
      <c r="SBP222" s="34"/>
      <c r="SBQ222" s="34"/>
      <c r="SBR222" s="36"/>
      <c r="SBS222" s="36"/>
      <c r="SBT222" s="37"/>
      <c r="SBU222" s="37"/>
      <c r="SBV222" s="38"/>
      <c r="SBW222" s="38"/>
      <c r="SBX222" s="39"/>
      <c r="SBY222" s="34"/>
      <c r="SBZ222" s="34"/>
      <c r="SCA222" s="34"/>
      <c r="SCB222" s="35"/>
      <c r="SCC222" s="35"/>
      <c r="SCD222" s="35"/>
      <c r="SCE222" s="35"/>
      <c r="SCF222" s="35"/>
      <c r="SCG222" s="34"/>
      <c r="SCH222" s="34"/>
      <c r="SCI222" s="36"/>
      <c r="SCJ222" s="36"/>
      <c r="SCK222" s="37"/>
      <c r="SCL222" s="37"/>
      <c r="SCM222" s="38"/>
      <c r="SCN222" s="38"/>
      <c r="SCO222" s="39"/>
      <c r="SCP222" s="34"/>
      <c r="SCQ222" s="34"/>
      <c r="SCR222" s="34"/>
      <c r="SCS222" s="35"/>
      <c r="SCT222" s="35"/>
      <c r="SCU222" s="35"/>
      <c r="SCV222" s="35"/>
      <c r="SCW222" s="35"/>
      <c r="SCX222" s="34"/>
      <c r="SCY222" s="34"/>
      <c r="SCZ222" s="36"/>
      <c r="SDA222" s="36"/>
      <c r="SDB222" s="37"/>
      <c r="SDC222" s="37"/>
      <c r="SDD222" s="38"/>
      <c r="SDE222" s="38"/>
      <c r="SDF222" s="39"/>
      <c r="SDG222" s="34"/>
      <c r="SDH222" s="34"/>
      <c r="SDI222" s="34"/>
      <c r="SDJ222" s="35"/>
      <c r="SDK222" s="35"/>
      <c r="SDL222" s="35"/>
      <c r="SDM222" s="35"/>
      <c r="SDN222" s="35"/>
      <c r="SDO222" s="34"/>
      <c r="SDP222" s="34"/>
      <c r="SDQ222" s="36"/>
      <c r="SDR222" s="36"/>
      <c r="SDS222" s="37"/>
      <c r="SDT222" s="37"/>
      <c r="SDU222" s="38"/>
      <c r="SDV222" s="38"/>
      <c r="SDW222" s="39"/>
      <c r="SDX222" s="34"/>
      <c r="SDY222" s="34"/>
      <c r="SDZ222" s="34"/>
      <c r="SEA222" s="35"/>
      <c r="SEB222" s="35"/>
      <c r="SEC222" s="35"/>
      <c r="SED222" s="35"/>
      <c r="SEE222" s="35"/>
      <c r="SEF222" s="34"/>
      <c r="SEG222" s="34"/>
      <c r="SEH222" s="36"/>
      <c r="SEI222" s="36"/>
      <c r="SEJ222" s="37"/>
      <c r="SEK222" s="37"/>
      <c r="SEL222" s="38"/>
      <c r="SEM222" s="38"/>
      <c r="SEN222" s="39"/>
      <c r="SEO222" s="34"/>
      <c r="SEP222" s="34"/>
      <c r="SEQ222" s="34"/>
      <c r="SER222" s="35"/>
      <c r="SES222" s="35"/>
      <c r="SET222" s="35"/>
      <c r="SEU222" s="35"/>
      <c r="SEV222" s="35"/>
      <c r="SEW222" s="34"/>
      <c r="SEX222" s="34"/>
      <c r="SEY222" s="36"/>
      <c r="SEZ222" s="36"/>
      <c r="SFA222" s="37"/>
      <c r="SFB222" s="37"/>
      <c r="SFC222" s="38"/>
      <c r="SFD222" s="38"/>
      <c r="SFE222" s="39"/>
      <c r="SFF222" s="34"/>
      <c r="SFG222" s="34"/>
      <c r="SFH222" s="34"/>
      <c r="SFI222" s="35"/>
      <c r="SFJ222" s="35"/>
      <c r="SFK222" s="35"/>
      <c r="SFL222" s="35"/>
      <c r="SFM222" s="35"/>
      <c r="SFN222" s="34"/>
      <c r="SFO222" s="34"/>
      <c r="SFP222" s="36"/>
      <c r="SFQ222" s="36"/>
      <c r="SFR222" s="37"/>
      <c r="SFS222" s="37"/>
      <c r="SFT222" s="38"/>
      <c r="SFU222" s="38"/>
      <c r="SFV222" s="39"/>
      <c r="SFW222" s="34"/>
      <c r="SFX222" s="34"/>
      <c r="SFY222" s="34"/>
      <c r="SFZ222" s="35"/>
      <c r="SGA222" s="35"/>
      <c r="SGB222" s="35"/>
      <c r="SGC222" s="35"/>
      <c r="SGD222" s="35"/>
      <c r="SGE222" s="34"/>
      <c r="SGF222" s="34"/>
      <c r="SGG222" s="36"/>
      <c r="SGH222" s="36"/>
      <c r="SGI222" s="37"/>
      <c r="SGJ222" s="37"/>
      <c r="SGK222" s="38"/>
      <c r="SGL222" s="38"/>
      <c r="SGM222" s="39"/>
      <c r="SGN222" s="34"/>
      <c r="SGO222" s="34"/>
      <c r="SGP222" s="34"/>
      <c r="SGQ222" s="35"/>
      <c r="SGR222" s="35"/>
      <c r="SGS222" s="35"/>
      <c r="SGT222" s="35"/>
      <c r="SGU222" s="35"/>
      <c r="SGV222" s="34"/>
      <c r="SGW222" s="34"/>
      <c r="SGX222" s="36"/>
      <c r="SGY222" s="36"/>
      <c r="SGZ222" s="37"/>
      <c r="SHA222" s="37"/>
      <c r="SHB222" s="38"/>
      <c r="SHC222" s="38"/>
      <c r="SHD222" s="39"/>
      <c r="SHE222" s="34"/>
      <c r="SHF222" s="34"/>
      <c r="SHG222" s="34"/>
      <c r="SHH222" s="35"/>
      <c r="SHI222" s="35"/>
      <c r="SHJ222" s="35"/>
      <c r="SHK222" s="35"/>
      <c r="SHL222" s="35"/>
      <c r="SHM222" s="34"/>
      <c r="SHN222" s="34"/>
      <c r="SHO222" s="36"/>
      <c r="SHP222" s="36"/>
      <c r="SHQ222" s="37"/>
      <c r="SHR222" s="37"/>
      <c r="SHS222" s="38"/>
      <c r="SHT222" s="38"/>
      <c r="SHU222" s="39"/>
      <c r="SHV222" s="34"/>
      <c r="SHW222" s="34"/>
      <c r="SHX222" s="34"/>
      <c r="SHY222" s="35"/>
      <c r="SHZ222" s="35"/>
      <c r="SIA222" s="35"/>
      <c r="SIB222" s="35"/>
      <c r="SIC222" s="35"/>
      <c r="SID222" s="34"/>
      <c r="SIE222" s="34"/>
      <c r="SIF222" s="36"/>
      <c r="SIG222" s="36"/>
      <c r="SIH222" s="37"/>
      <c r="SII222" s="37"/>
      <c r="SIJ222" s="38"/>
      <c r="SIK222" s="38"/>
      <c r="SIL222" s="39"/>
      <c r="SIM222" s="34"/>
      <c r="SIN222" s="34"/>
      <c r="SIO222" s="34"/>
      <c r="SIP222" s="35"/>
      <c r="SIQ222" s="35"/>
      <c r="SIR222" s="35"/>
      <c r="SIS222" s="35"/>
      <c r="SIT222" s="35"/>
      <c r="SIU222" s="34"/>
      <c r="SIV222" s="34"/>
      <c r="SIW222" s="36"/>
      <c r="SIX222" s="36"/>
      <c r="SIY222" s="37"/>
      <c r="SIZ222" s="37"/>
      <c r="SJA222" s="38"/>
      <c r="SJB222" s="38"/>
      <c r="SJC222" s="39"/>
      <c r="SJD222" s="34"/>
      <c r="SJE222" s="34"/>
      <c r="SJF222" s="34"/>
      <c r="SJG222" s="35"/>
      <c r="SJH222" s="35"/>
      <c r="SJI222" s="35"/>
      <c r="SJJ222" s="35"/>
      <c r="SJK222" s="35"/>
      <c r="SJL222" s="34"/>
      <c r="SJM222" s="34"/>
      <c r="SJN222" s="36"/>
      <c r="SJO222" s="36"/>
      <c r="SJP222" s="37"/>
      <c r="SJQ222" s="37"/>
      <c r="SJR222" s="38"/>
      <c r="SJS222" s="38"/>
      <c r="SJT222" s="39"/>
      <c r="SJU222" s="34"/>
      <c r="SJV222" s="34"/>
      <c r="SJW222" s="34"/>
      <c r="SJX222" s="35"/>
      <c r="SJY222" s="35"/>
      <c r="SJZ222" s="35"/>
      <c r="SKA222" s="35"/>
      <c r="SKB222" s="35"/>
      <c r="SKC222" s="34"/>
      <c r="SKD222" s="34"/>
      <c r="SKE222" s="36"/>
      <c r="SKF222" s="36"/>
      <c r="SKG222" s="37"/>
      <c r="SKH222" s="37"/>
      <c r="SKI222" s="38"/>
      <c r="SKJ222" s="38"/>
      <c r="SKK222" s="39"/>
      <c r="SKL222" s="34"/>
      <c r="SKM222" s="34"/>
      <c r="SKN222" s="34"/>
      <c r="SKO222" s="35"/>
      <c r="SKP222" s="35"/>
      <c r="SKQ222" s="35"/>
      <c r="SKR222" s="35"/>
      <c r="SKS222" s="35"/>
      <c r="SKT222" s="34"/>
      <c r="SKU222" s="34"/>
      <c r="SKV222" s="36"/>
      <c r="SKW222" s="36"/>
      <c r="SKX222" s="37"/>
      <c r="SKY222" s="37"/>
      <c r="SKZ222" s="38"/>
      <c r="SLA222" s="38"/>
      <c r="SLB222" s="39"/>
      <c r="SLC222" s="34"/>
      <c r="SLD222" s="34"/>
      <c r="SLE222" s="34"/>
      <c r="SLF222" s="35"/>
      <c r="SLG222" s="35"/>
      <c r="SLH222" s="35"/>
      <c r="SLI222" s="35"/>
      <c r="SLJ222" s="35"/>
      <c r="SLK222" s="34"/>
      <c r="SLL222" s="34"/>
      <c r="SLM222" s="36"/>
      <c r="SLN222" s="36"/>
      <c r="SLO222" s="37"/>
      <c r="SLP222" s="37"/>
      <c r="SLQ222" s="38"/>
      <c r="SLR222" s="38"/>
      <c r="SLS222" s="39"/>
      <c r="SLT222" s="34"/>
      <c r="SLU222" s="34"/>
      <c r="SLV222" s="34"/>
      <c r="SLW222" s="35"/>
      <c r="SLX222" s="35"/>
      <c r="SLY222" s="35"/>
      <c r="SLZ222" s="35"/>
      <c r="SMA222" s="35"/>
      <c r="SMB222" s="34"/>
      <c r="SMC222" s="34"/>
      <c r="SMD222" s="36"/>
      <c r="SME222" s="36"/>
      <c r="SMF222" s="37"/>
      <c r="SMG222" s="37"/>
      <c r="SMH222" s="38"/>
      <c r="SMI222" s="38"/>
      <c r="SMJ222" s="39"/>
      <c r="SMK222" s="34"/>
      <c r="SML222" s="34"/>
      <c r="SMM222" s="34"/>
      <c r="SMN222" s="35"/>
      <c r="SMO222" s="35"/>
      <c r="SMP222" s="35"/>
      <c r="SMQ222" s="35"/>
      <c r="SMR222" s="35"/>
      <c r="SMS222" s="34"/>
      <c r="SMT222" s="34"/>
      <c r="SMU222" s="36"/>
      <c r="SMV222" s="36"/>
      <c r="SMW222" s="37"/>
      <c r="SMX222" s="37"/>
      <c r="SMY222" s="38"/>
      <c r="SMZ222" s="38"/>
      <c r="SNA222" s="39"/>
      <c r="SNB222" s="34"/>
      <c r="SNC222" s="34"/>
      <c r="SND222" s="34"/>
      <c r="SNE222" s="35"/>
      <c r="SNF222" s="35"/>
      <c r="SNG222" s="35"/>
      <c r="SNH222" s="35"/>
      <c r="SNI222" s="35"/>
      <c r="SNJ222" s="34"/>
      <c r="SNK222" s="34"/>
      <c r="SNL222" s="36"/>
      <c r="SNM222" s="36"/>
      <c r="SNN222" s="37"/>
      <c r="SNO222" s="37"/>
      <c r="SNP222" s="38"/>
      <c r="SNQ222" s="38"/>
      <c r="SNR222" s="39"/>
      <c r="SNS222" s="34"/>
      <c r="SNT222" s="34"/>
      <c r="SNU222" s="34"/>
      <c r="SNV222" s="35"/>
      <c r="SNW222" s="35"/>
      <c r="SNX222" s="35"/>
      <c r="SNY222" s="35"/>
      <c r="SNZ222" s="35"/>
      <c r="SOA222" s="34"/>
      <c r="SOB222" s="34"/>
      <c r="SOC222" s="36"/>
      <c r="SOD222" s="36"/>
      <c r="SOE222" s="37"/>
      <c r="SOF222" s="37"/>
      <c r="SOG222" s="38"/>
      <c r="SOH222" s="38"/>
      <c r="SOI222" s="39"/>
      <c r="SOJ222" s="34"/>
      <c r="SOK222" s="34"/>
      <c r="SOL222" s="34"/>
      <c r="SOM222" s="35"/>
      <c r="SON222" s="35"/>
      <c r="SOO222" s="35"/>
      <c r="SOP222" s="35"/>
      <c r="SOQ222" s="35"/>
      <c r="SOR222" s="34"/>
      <c r="SOS222" s="34"/>
      <c r="SOT222" s="36"/>
      <c r="SOU222" s="36"/>
      <c r="SOV222" s="37"/>
      <c r="SOW222" s="37"/>
      <c r="SOX222" s="38"/>
      <c r="SOY222" s="38"/>
      <c r="SOZ222" s="39"/>
      <c r="SPA222" s="34"/>
      <c r="SPB222" s="34"/>
      <c r="SPC222" s="34"/>
      <c r="SPD222" s="35"/>
      <c r="SPE222" s="35"/>
      <c r="SPF222" s="35"/>
      <c r="SPG222" s="35"/>
      <c r="SPH222" s="35"/>
      <c r="SPI222" s="34"/>
      <c r="SPJ222" s="34"/>
      <c r="SPK222" s="36"/>
      <c r="SPL222" s="36"/>
      <c r="SPM222" s="37"/>
      <c r="SPN222" s="37"/>
      <c r="SPO222" s="38"/>
      <c r="SPP222" s="38"/>
      <c r="SPQ222" s="39"/>
      <c r="SPR222" s="34"/>
      <c r="SPS222" s="34"/>
      <c r="SPT222" s="34"/>
      <c r="SPU222" s="35"/>
      <c r="SPV222" s="35"/>
      <c r="SPW222" s="35"/>
      <c r="SPX222" s="35"/>
      <c r="SPY222" s="35"/>
      <c r="SPZ222" s="34"/>
      <c r="SQA222" s="34"/>
      <c r="SQB222" s="36"/>
      <c r="SQC222" s="36"/>
      <c r="SQD222" s="37"/>
      <c r="SQE222" s="37"/>
      <c r="SQF222" s="38"/>
      <c r="SQG222" s="38"/>
      <c r="SQH222" s="39"/>
      <c r="SQI222" s="34"/>
      <c r="SQJ222" s="34"/>
      <c r="SQK222" s="34"/>
      <c r="SQL222" s="35"/>
      <c r="SQM222" s="35"/>
      <c r="SQN222" s="35"/>
      <c r="SQO222" s="35"/>
      <c r="SQP222" s="35"/>
      <c r="SQQ222" s="34"/>
      <c r="SQR222" s="34"/>
      <c r="SQS222" s="36"/>
      <c r="SQT222" s="36"/>
      <c r="SQU222" s="37"/>
      <c r="SQV222" s="37"/>
      <c r="SQW222" s="38"/>
      <c r="SQX222" s="38"/>
      <c r="SQY222" s="39"/>
      <c r="SQZ222" s="34"/>
      <c r="SRA222" s="34"/>
      <c r="SRB222" s="34"/>
      <c r="SRC222" s="35"/>
      <c r="SRD222" s="35"/>
      <c r="SRE222" s="35"/>
      <c r="SRF222" s="35"/>
      <c r="SRG222" s="35"/>
      <c r="SRH222" s="34"/>
      <c r="SRI222" s="34"/>
      <c r="SRJ222" s="36"/>
      <c r="SRK222" s="36"/>
      <c r="SRL222" s="37"/>
      <c r="SRM222" s="37"/>
      <c r="SRN222" s="38"/>
      <c r="SRO222" s="38"/>
      <c r="SRP222" s="39"/>
      <c r="SRQ222" s="34"/>
      <c r="SRR222" s="34"/>
      <c r="SRS222" s="34"/>
      <c r="SRT222" s="35"/>
      <c r="SRU222" s="35"/>
      <c r="SRV222" s="35"/>
      <c r="SRW222" s="35"/>
      <c r="SRX222" s="35"/>
      <c r="SRY222" s="34"/>
      <c r="SRZ222" s="34"/>
      <c r="SSA222" s="36"/>
      <c r="SSB222" s="36"/>
      <c r="SSC222" s="37"/>
      <c r="SSD222" s="37"/>
      <c r="SSE222" s="38"/>
      <c r="SSF222" s="38"/>
      <c r="SSG222" s="39"/>
      <c r="SSH222" s="34"/>
      <c r="SSI222" s="34"/>
      <c r="SSJ222" s="34"/>
      <c r="SSK222" s="35"/>
      <c r="SSL222" s="35"/>
      <c r="SSM222" s="35"/>
      <c r="SSN222" s="35"/>
      <c r="SSO222" s="35"/>
      <c r="SSP222" s="34"/>
      <c r="SSQ222" s="34"/>
      <c r="SSR222" s="36"/>
      <c r="SSS222" s="36"/>
      <c r="SST222" s="37"/>
      <c r="SSU222" s="37"/>
      <c r="SSV222" s="38"/>
      <c r="SSW222" s="38"/>
      <c r="SSX222" s="39"/>
      <c r="SSY222" s="34"/>
      <c r="SSZ222" s="34"/>
      <c r="STA222" s="34"/>
      <c r="STB222" s="35"/>
      <c r="STC222" s="35"/>
      <c r="STD222" s="35"/>
      <c r="STE222" s="35"/>
      <c r="STF222" s="35"/>
      <c r="STG222" s="34"/>
      <c r="STH222" s="34"/>
      <c r="STI222" s="36"/>
      <c r="STJ222" s="36"/>
      <c r="STK222" s="37"/>
      <c r="STL222" s="37"/>
      <c r="STM222" s="38"/>
      <c r="STN222" s="38"/>
      <c r="STO222" s="39"/>
      <c r="STP222" s="34"/>
      <c r="STQ222" s="34"/>
      <c r="STR222" s="34"/>
      <c r="STS222" s="35"/>
      <c r="STT222" s="35"/>
      <c r="STU222" s="35"/>
      <c r="STV222" s="35"/>
      <c r="STW222" s="35"/>
      <c r="STX222" s="34"/>
      <c r="STY222" s="34"/>
      <c r="STZ222" s="36"/>
      <c r="SUA222" s="36"/>
      <c r="SUB222" s="37"/>
      <c r="SUC222" s="37"/>
      <c r="SUD222" s="38"/>
      <c r="SUE222" s="38"/>
      <c r="SUF222" s="39"/>
      <c r="SUG222" s="34"/>
      <c r="SUH222" s="34"/>
      <c r="SUI222" s="34"/>
      <c r="SUJ222" s="35"/>
      <c r="SUK222" s="35"/>
      <c r="SUL222" s="35"/>
      <c r="SUM222" s="35"/>
      <c r="SUN222" s="35"/>
      <c r="SUO222" s="34"/>
      <c r="SUP222" s="34"/>
      <c r="SUQ222" s="36"/>
      <c r="SUR222" s="36"/>
      <c r="SUS222" s="37"/>
      <c r="SUT222" s="37"/>
      <c r="SUU222" s="38"/>
      <c r="SUV222" s="38"/>
      <c r="SUW222" s="39"/>
      <c r="SUX222" s="34"/>
      <c r="SUY222" s="34"/>
      <c r="SUZ222" s="34"/>
      <c r="SVA222" s="35"/>
      <c r="SVB222" s="35"/>
      <c r="SVC222" s="35"/>
      <c r="SVD222" s="35"/>
      <c r="SVE222" s="35"/>
      <c r="SVF222" s="34"/>
      <c r="SVG222" s="34"/>
      <c r="SVH222" s="36"/>
      <c r="SVI222" s="36"/>
      <c r="SVJ222" s="37"/>
      <c r="SVK222" s="37"/>
      <c r="SVL222" s="38"/>
      <c r="SVM222" s="38"/>
      <c r="SVN222" s="39"/>
      <c r="SVO222" s="34"/>
      <c r="SVP222" s="34"/>
      <c r="SVQ222" s="34"/>
      <c r="SVR222" s="35"/>
      <c r="SVS222" s="35"/>
      <c r="SVT222" s="35"/>
      <c r="SVU222" s="35"/>
      <c r="SVV222" s="35"/>
      <c r="SVW222" s="34"/>
      <c r="SVX222" s="34"/>
      <c r="SVY222" s="36"/>
      <c r="SVZ222" s="36"/>
      <c r="SWA222" s="37"/>
      <c r="SWB222" s="37"/>
      <c r="SWC222" s="38"/>
      <c r="SWD222" s="38"/>
      <c r="SWE222" s="39"/>
      <c r="SWF222" s="34"/>
      <c r="SWG222" s="34"/>
      <c r="SWH222" s="34"/>
      <c r="SWI222" s="35"/>
      <c r="SWJ222" s="35"/>
      <c r="SWK222" s="35"/>
      <c r="SWL222" s="35"/>
      <c r="SWM222" s="35"/>
      <c r="SWN222" s="34"/>
      <c r="SWO222" s="34"/>
      <c r="SWP222" s="36"/>
      <c r="SWQ222" s="36"/>
      <c r="SWR222" s="37"/>
      <c r="SWS222" s="37"/>
      <c r="SWT222" s="38"/>
      <c r="SWU222" s="38"/>
      <c r="SWV222" s="39"/>
      <c r="SWW222" s="34"/>
      <c r="SWX222" s="34"/>
      <c r="SWY222" s="34"/>
      <c r="SWZ222" s="35"/>
      <c r="SXA222" s="35"/>
      <c r="SXB222" s="35"/>
      <c r="SXC222" s="35"/>
      <c r="SXD222" s="35"/>
      <c r="SXE222" s="34"/>
      <c r="SXF222" s="34"/>
      <c r="SXG222" s="36"/>
      <c r="SXH222" s="36"/>
      <c r="SXI222" s="37"/>
      <c r="SXJ222" s="37"/>
      <c r="SXK222" s="38"/>
      <c r="SXL222" s="38"/>
      <c r="SXM222" s="39"/>
      <c r="SXN222" s="34"/>
      <c r="SXO222" s="34"/>
      <c r="SXP222" s="34"/>
      <c r="SXQ222" s="35"/>
      <c r="SXR222" s="35"/>
      <c r="SXS222" s="35"/>
      <c r="SXT222" s="35"/>
      <c r="SXU222" s="35"/>
      <c r="SXV222" s="34"/>
      <c r="SXW222" s="34"/>
      <c r="SXX222" s="36"/>
      <c r="SXY222" s="36"/>
      <c r="SXZ222" s="37"/>
      <c r="SYA222" s="37"/>
      <c r="SYB222" s="38"/>
      <c r="SYC222" s="38"/>
      <c r="SYD222" s="39"/>
      <c r="SYE222" s="34"/>
      <c r="SYF222" s="34"/>
      <c r="SYG222" s="34"/>
      <c r="SYH222" s="35"/>
      <c r="SYI222" s="35"/>
      <c r="SYJ222" s="35"/>
      <c r="SYK222" s="35"/>
      <c r="SYL222" s="35"/>
      <c r="SYM222" s="34"/>
      <c r="SYN222" s="34"/>
      <c r="SYO222" s="36"/>
      <c r="SYP222" s="36"/>
      <c r="SYQ222" s="37"/>
      <c r="SYR222" s="37"/>
      <c r="SYS222" s="38"/>
      <c r="SYT222" s="38"/>
      <c r="SYU222" s="39"/>
      <c r="SYV222" s="34"/>
      <c r="SYW222" s="34"/>
      <c r="SYX222" s="34"/>
      <c r="SYY222" s="35"/>
      <c r="SYZ222" s="35"/>
      <c r="SZA222" s="35"/>
      <c r="SZB222" s="35"/>
      <c r="SZC222" s="35"/>
      <c r="SZD222" s="34"/>
      <c r="SZE222" s="34"/>
      <c r="SZF222" s="36"/>
      <c r="SZG222" s="36"/>
      <c r="SZH222" s="37"/>
      <c r="SZI222" s="37"/>
      <c r="SZJ222" s="38"/>
      <c r="SZK222" s="38"/>
      <c r="SZL222" s="39"/>
      <c r="SZM222" s="34"/>
      <c r="SZN222" s="34"/>
      <c r="SZO222" s="34"/>
      <c r="SZP222" s="35"/>
      <c r="SZQ222" s="35"/>
      <c r="SZR222" s="35"/>
      <c r="SZS222" s="35"/>
      <c r="SZT222" s="35"/>
      <c r="SZU222" s="34"/>
      <c r="SZV222" s="34"/>
      <c r="SZW222" s="36"/>
      <c r="SZX222" s="36"/>
      <c r="SZY222" s="37"/>
      <c r="SZZ222" s="37"/>
      <c r="TAA222" s="38"/>
      <c r="TAB222" s="38"/>
      <c r="TAC222" s="39"/>
      <c r="TAD222" s="34"/>
      <c r="TAE222" s="34"/>
      <c r="TAF222" s="34"/>
      <c r="TAG222" s="35"/>
      <c r="TAH222" s="35"/>
      <c r="TAI222" s="35"/>
      <c r="TAJ222" s="35"/>
      <c r="TAK222" s="35"/>
      <c r="TAL222" s="34"/>
      <c r="TAM222" s="34"/>
      <c r="TAN222" s="36"/>
      <c r="TAO222" s="36"/>
      <c r="TAP222" s="37"/>
      <c r="TAQ222" s="37"/>
      <c r="TAR222" s="38"/>
      <c r="TAS222" s="38"/>
      <c r="TAT222" s="39"/>
      <c r="TAU222" s="34"/>
      <c r="TAV222" s="34"/>
      <c r="TAW222" s="34"/>
      <c r="TAX222" s="35"/>
      <c r="TAY222" s="35"/>
      <c r="TAZ222" s="35"/>
      <c r="TBA222" s="35"/>
      <c r="TBB222" s="35"/>
      <c r="TBC222" s="34"/>
      <c r="TBD222" s="34"/>
      <c r="TBE222" s="36"/>
      <c r="TBF222" s="36"/>
      <c r="TBG222" s="37"/>
      <c r="TBH222" s="37"/>
      <c r="TBI222" s="38"/>
      <c r="TBJ222" s="38"/>
      <c r="TBK222" s="39"/>
      <c r="TBL222" s="34"/>
      <c r="TBM222" s="34"/>
      <c r="TBN222" s="34"/>
      <c r="TBO222" s="35"/>
      <c r="TBP222" s="35"/>
      <c r="TBQ222" s="35"/>
      <c r="TBR222" s="35"/>
      <c r="TBS222" s="35"/>
      <c r="TBT222" s="34"/>
      <c r="TBU222" s="34"/>
      <c r="TBV222" s="36"/>
      <c r="TBW222" s="36"/>
      <c r="TBX222" s="37"/>
      <c r="TBY222" s="37"/>
      <c r="TBZ222" s="38"/>
      <c r="TCA222" s="38"/>
      <c r="TCB222" s="39"/>
      <c r="TCC222" s="34"/>
      <c r="TCD222" s="34"/>
      <c r="TCE222" s="34"/>
      <c r="TCF222" s="35"/>
      <c r="TCG222" s="35"/>
      <c r="TCH222" s="35"/>
      <c r="TCI222" s="35"/>
      <c r="TCJ222" s="35"/>
      <c r="TCK222" s="34"/>
      <c r="TCL222" s="34"/>
      <c r="TCM222" s="36"/>
      <c r="TCN222" s="36"/>
      <c r="TCO222" s="37"/>
      <c r="TCP222" s="37"/>
      <c r="TCQ222" s="38"/>
      <c r="TCR222" s="38"/>
      <c r="TCS222" s="39"/>
      <c r="TCT222" s="34"/>
      <c r="TCU222" s="34"/>
      <c r="TCV222" s="34"/>
      <c r="TCW222" s="35"/>
      <c r="TCX222" s="35"/>
      <c r="TCY222" s="35"/>
      <c r="TCZ222" s="35"/>
      <c r="TDA222" s="35"/>
      <c r="TDB222" s="34"/>
      <c r="TDC222" s="34"/>
      <c r="TDD222" s="36"/>
      <c r="TDE222" s="36"/>
      <c r="TDF222" s="37"/>
      <c r="TDG222" s="37"/>
      <c r="TDH222" s="38"/>
      <c r="TDI222" s="38"/>
      <c r="TDJ222" s="39"/>
      <c r="TDK222" s="34"/>
      <c r="TDL222" s="34"/>
      <c r="TDM222" s="34"/>
      <c r="TDN222" s="35"/>
      <c r="TDO222" s="35"/>
      <c r="TDP222" s="35"/>
      <c r="TDQ222" s="35"/>
      <c r="TDR222" s="35"/>
      <c r="TDS222" s="34"/>
      <c r="TDT222" s="34"/>
      <c r="TDU222" s="36"/>
      <c r="TDV222" s="36"/>
      <c r="TDW222" s="37"/>
      <c r="TDX222" s="37"/>
      <c r="TDY222" s="38"/>
      <c r="TDZ222" s="38"/>
      <c r="TEA222" s="39"/>
      <c r="TEB222" s="34"/>
      <c r="TEC222" s="34"/>
      <c r="TED222" s="34"/>
      <c r="TEE222" s="35"/>
      <c r="TEF222" s="35"/>
      <c r="TEG222" s="35"/>
      <c r="TEH222" s="35"/>
      <c r="TEI222" s="35"/>
      <c r="TEJ222" s="34"/>
      <c r="TEK222" s="34"/>
      <c r="TEL222" s="36"/>
      <c r="TEM222" s="36"/>
      <c r="TEN222" s="37"/>
      <c r="TEO222" s="37"/>
      <c r="TEP222" s="38"/>
      <c r="TEQ222" s="38"/>
      <c r="TER222" s="39"/>
      <c r="TES222" s="34"/>
      <c r="TET222" s="34"/>
      <c r="TEU222" s="34"/>
      <c r="TEV222" s="35"/>
      <c r="TEW222" s="35"/>
      <c r="TEX222" s="35"/>
      <c r="TEY222" s="35"/>
      <c r="TEZ222" s="35"/>
      <c r="TFA222" s="34"/>
      <c r="TFB222" s="34"/>
      <c r="TFC222" s="36"/>
      <c r="TFD222" s="36"/>
      <c r="TFE222" s="37"/>
      <c r="TFF222" s="37"/>
      <c r="TFG222" s="38"/>
      <c r="TFH222" s="38"/>
      <c r="TFI222" s="39"/>
      <c r="TFJ222" s="34"/>
      <c r="TFK222" s="34"/>
      <c r="TFL222" s="34"/>
      <c r="TFM222" s="35"/>
      <c r="TFN222" s="35"/>
      <c r="TFO222" s="35"/>
      <c r="TFP222" s="35"/>
      <c r="TFQ222" s="35"/>
      <c r="TFR222" s="34"/>
      <c r="TFS222" s="34"/>
      <c r="TFT222" s="36"/>
      <c r="TFU222" s="36"/>
      <c r="TFV222" s="37"/>
      <c r="TFW222" s="37"/>
      <c r="TFX222" s="38"/>
      <c r="TFY222" s="38"/>
      <c r="TFZ222" s="39"/>
      <c r="TGA222" s="34"/>
      <c r="TGB222" s="34"/>
      <c r="TGC222" s="34"/>
      <c r="TGD222" s="35"/>
      <c r="TGE222" s="35"/>
      <c r="TGF222" s="35"/>
      <c r="TGG222" s="35"/>
      <c r="TGH222" s="35"/>
      <c r="TGI222" s="34"/>
      <c r="TGJ222" s="34"/>
      <c r="TGK222" s="36"/>
      <c r="TGL222" s="36"/>
      <c r="TGM222" s="37"/>
      <c r="TGN222" s="37"/>
      <c r="TGO222" s="38"/>
      <c r="TGP222" s="38"/>
      <c r="TGQ222" s="39"/>
      <c r="TGR222" s="34"/>
      <c r="TGS222" s="34"/>
      <c r="TGT222" s="34"/>
      <c r="TGU222" s="35"/>
      <c r="TGV222" s="35"/>
      <c r="TGW222" s="35"/>
      <c r="TGX222" s="35"/>
      <c r="TGY222" s="35"/>
      <c r="TGZ222" s="34"/>
      <c r="THA222" s="34"/>
      <c r="THB222" s="36"/>
      <c r="THC222" s="36"/>
      <c r="THD222" s="37"/>
      <c r="THE222" s="37"/>
      <c r="THF222" s="38"/>
      <c r="THG222" s="38"/>
      <c r="THH222" s="39"/>
      <c r="THI222" s="34"/>
      <c r="THJ222" s="34"/>
      <c r="THK222" s="34"/>
      <c r="THL222" s="35"/>
      <c r="THM222" s="35"/>
      <c r="THN222" s="35"/>
      <c r="THO222" s="35"/>
      <c r="THP222" s="35"/>
      <c r="THQ222" s="34"/>
      <c r="THR222" s="34"/>
      <c r="THS222" s="36"/>
      <c r="THT222" s="36"/>
      <c r="THU222" s="37"/>
      <c r="THV222" s="37"/>
      <c r="THW222" s="38"/>
      <c r="THX222" s="38"/>
      <c r="THY222" s="39"/>
      <c r="THZ222" s="34"/>
      <c r="TIA222" s="34"/>
      <c r="TIB222" s="34"/>
      <c r="TIC222" s="35"/>
      <c r="TID222" s="35"/>
      <c r="TIE222" s="35"/>
      <c r="TIF222" s="35"/>
      <c r="TIG222" s="35"/>
      <c r="TIH222" s="34"/>
      <c r="TII222" s="34"/>
      <c r="TIJ222" s="36"/>
      <c r="TIK222" s="36"/>
      <c r="TIL222" s="37"/>
      <c r="TIM222" s="37"/>
      <c r="TIN222" s="38"/>
      <c r="TIO222" s="38"/>
      <c r="TIP222" s="39"/>
      <c r="TIQ222" s="34"/>
      <c r="TIR222" s="34"/>
      <c r="TIS222" s="34"/>
      <c r="TIT222" s="35"/>
      <c r="TIU222" s="35"/>
      <c r="TIV222" s="35"/>
      <c r="TIW222" s="35"/>
      <c r="TIX222" s="35"/>
      <c r="TIY222" s="34"/>
      <c r="TIZ222" s="34"/>
      <c r="TJA222" s="36"/>
      <c r="TJB222" s="36"/>
      <c r="TJC222" s="37"/>
      <c r="TJD222" s="37"/>
      <c r="TJE222" s="38"/>
      <c r="TJF222" s="38"/>
      <c r="TJG222" s="39"/>
      <c r="TJH222" s="34"/>
      <c r="TJI222" s="34"/>
      <c r="TJJ222" s="34"/>
      <c r="TJK222" s="35"/>
      <c r="TJL222" s="35"/>
      <c r="TJM222" s="35"/>
      <c r="TJN222" s="35"/>
      <c r="TJO222" s="35"/>
      <c r="TJP222" s="34"/>
      <c r="TJQ222" s="34"/>
      <c r="TJR222" s="36"/>
      <c r="TJS222" s="36"/>
      <c r="TJT222" s="37"/>
      <c r="TJU222" s="37"/>
      <c r="TJV222" s="38"/>
      <c r="TJW222" s="38"/>
      <c r="TJX222" s="39"/>
      <c r="TJY222" s="34"/>
      <c r="TJZ222" s="34"/>
      <c r="TKA222" s="34"/>
      <c r="TKB222" s="35"/>
      <c r="TKC222" s="35"/>
      <c r="TKD222" s="35"/>
      <c r="TKE222" s="35"/>
      <c r="TKF222" s="35"/>
      <c r="TKG222" s="34"/>
      <c r="TKH222" s="34"/>
      <c r="TKI222" s="36"/>
      <c r="TKJ222" s="36"/>
      <c r="TKK222" s="37"/>
      <c r="TKL222" s="37"/>
      <c r="TKM222" s="38"/>
      <c r="TKN222" s="38"/>
      <c r="TKO222" s="39"/>
      <c r="TKP222" s="34"/>
      <c r="TKQ222" s="34"/>
      <c r="TKR222" s="34"/>
      <c r="TKS222" s="35"/>
      <c r="TKT222" s="35"/>
      <c r="TKU222" s="35"/>
      <c r="TKV222" s="35"/>
      <c r="TKW222" s="35"/>
      <c r="TKX222" s="34"/>
      <c r="TKY222" s="34"/>
      <c r="TKZ222" s="36"/>
      <c r="TLA222" s="36"/>
      <c r="TLB222" s="37"/>
      <c r="TLC222" s="37"/>
      <c r="TLD222" s="38"/>
      <c r="TLE222" s="38"/>
      <c r="TLF222" s="39"/>
      <c r="TLG222" s="34"/>
      <c r="TLH222" s="34"/>
      <c r="TLI222" s="34"/>
      <c r="TLJ222" s="35"/>
      <c r="TLK222" s="35"/>
      <c r="TLL222" s="35"/>
      <c r="TLM222" s="35"/>
      <c r="TLN222" s="35"/>
      <c r="TLO222" s="34"/>
      <c r="TLP222" s="34"/>
      <c r="TLQ222" s="36"/>
      <c r="TLR222" s="36"/>
      <c r="TLS222" s="37"/>
      <c r="TLT222" s="37"/>
      <c r="TLU222" s="38"/>
      <c r="TLV222" s="38"/>
      <c r="TLW222" s="39"/>
      <c r="TLX222" s="34"/>
      <c r="TLY222" s="34"/>
      <c r="TLZ222" s="34"/>
      <c r="TMA222" s="35"/>
      <c r="TMB222" s="35"/>
      <c r="TMC222" s="35"/>
      <c r="TMD222" s="35"/>
      <c r="TME222" s="35"/>
      <c r="TMF222" s="34"/>
      <c r="TMG222" s="34"/>
      <c r="TMH222" s="36"/>
      <c r="TMI222" s="36"/>
      <c r="TMJ222" s="37"/>
      <c r="TMK222" s="37"/>
      <c r="TML222" s="38"/>
      <c r="TMM222" s="38"/>
      <c r="TMN222" s="39"/>
      <c r="TMO222" s="34"/>
      <c r="TMP222" s="34"/>
      <c r="TMQ222" s="34"/>
      <c r="TMR222" s="35"/>
      <c r="TMS222" s="35"/>
      <c r="TMT222" s="35"/>
      <c r="TMU222" s="35"/>
      <c r="TMV222" s="35"/>
      <c r="TMW222" s="34"/>
      <c r="TMX222" s="34"/>
      <c r="TMY222" s="36"/>
      <c r="TMZ222" s="36"/>
      <c r="TNA222" s="37"/>
      <c r="TNB222" s="37"/>
      <c r="TNC222" s="38"/>
      <c r="TND222" s="38"/>
      <c r="TNE222" s="39"/>
      <c r="TNF222" s="34"/>
      <c r="TNG222" s="34"/>
      <c r="TNH222" s="34"/>
      <c r="TNI222" s="35"/>
      <c r="TNJ222" s="35"/>
      <c r="TNK222" s="35"/>
      <c r="TNL222" s="35"/>
      <c r="TNM222" s="35"/>
      <c r="TNN222" s="34"/>
      <c r="TNO222" s="34"/>
      <c r="TNP222" s="36"/>
      <c r="TNQ222" s="36"/>
      <c r="TNR222" s="37"/>
      <c r="TNS222" s="37"/>
      <c r="TNT222" s="38"/>
      <c r="TNU222" s="38"/>
      <c r="TNV222" s="39"/>
      <c r="TNW222" s="34"/>
      <c r="TNX222" s="34"/>
      <c r="TNY222" s="34"/>
      <c r="TNZ222" s="35"/>
      <c r="TOA222" s="35"/>
      <c r="TOB222" s="35"/>
      <c r="TOC222" s="35"/>
      <c r="TOD222" s="35"/>
      <c r="TOE222" s="34"/>
      <c r="TOF222" s="34"/>
      <c r="TOG222" s="36"/>
      <c r="TOH222" s="36"/>
      <c r="TOI222" s="37"/>
      <c r="TOJ222" s="37"/>
      <c r="TOK222" s="38"/>
      <c r="TOL222" s="38"/>
      <c r="TOM222" s="39"/>
      <c r="TON222" s="34"/>
      <c r="TOO222" s="34"/>
      <c r="TOP222" s="34"/>
      <c r="TOQ222" s="35"/>
      <c r="TOR222" s="35"/>
      <c r="TOS222" s="35"/>
      <c r="TOT222" s="35"/>
      <c r="TOU222" s="35"/>
      <c r="TOV222" s="34"/>
      <c r="TOW222" s="34"/>
      <c r="TOX222" s="36"/>
      <c r="TOY222" s="36"/>
      <c r="TOZ222" s="37"/>
      <c r="TPA222" s="37"/>
      <c r="TPB222" s="38"/>
      <c r="TPC222" s="38"/>
      <c r="TPD222" s="39"/>
      <c r="TPE222" s="34"/>
      <c r="TPF222" s="34"/>
      <c r="TPG222" s="34"/>
      <c r="TPH222" s="35"/>
      <c r="TPI222" s="35"/>
      <c r="TPJ222" s="35"/>
      <c r="TPK222" s="35"/>
      <c r="TPL222" s="35"/>
      <c r="TPM222" s="34"/>
      <c r="TPN222" s="34"/>
      <c r="TPO222" s="36"/>
      <c r="TPP222" s="36"/>
      <c r="TPQ222" s="37"/>
      <c r="TPR222" s="37"/>
      <c r="TPS222" s="38"/>
      <c r="TPT222" s="38"/>
      <c r="TPU222" s="39"/>
      <c r="TPV222" s="34"/>
      <c r="TPW222" s="34"/>
      <c r="TPX222" s="34"/>
      <c r="TPY222" s="35"/>
      <c r="TPZ222" s="35"/>
      <c r="TQA222" s="35"/>
      <c r="TQB222" s="35"/>
      <c r="TQC222" s="35"/>
      <c r="TQD222" s="34"/>
      <c r="TQE222" s="34"/>
      <c r="TQF222" s="36"/>
      <c r="TQG222" s="36"/>
      <c r="TQH222" s="37"/>
      <c r="TQI222" s="37"/>
      <c r="TQJ222" s="38"/>
      <c r="TQK222" s="38"/>
      <c r="TQL222" s="39"/>
      <c r="TQM222" s="34"/>
      <c r="TQN222" s="34"/>
      <c r="TQO222" s="34"/>
      <c r="TQP222" s="35"/>
      <c r="TQQ222" s="35"/>
      <c r="TQR222" s="35"/>
      <c r="TQS222" s="35"/>
      <c r="TQT222" s="35"/>
      <c r="TQU222" s="34"/>
      <c r="TQV222" s="34"/>
      <c r="TQW222" s="36"/>
      <c r="TQX222" s="36"/>
      <c r="TQY222" s="37"/>
      <c r="TQZ222" s="37"/>
      <c r="TRA222" s="38"/>
      <c r="TRB222" s="38"/>
      <c r="TRC222" s="39"/>
      <c r="TRD222" s="34"/>
      <c r="TRE222" s="34"/>
      <c r="TRF222" s="34"/>
      <c r="TRG222" s="35"/>
      <c r="TRH222" s="35"/>
      <c r="TRI222" s="35"/>
      <c r="TRJ222" s="35"/>
      <c r="TRK222" s="35"/>
      <c r="TRL222" s="34"/>
      <c r="TRM222" s="34"/>
      <c r="TRN222" s="36"/>
      <c r="TRO222" s="36"/>
      <c r="TRP222" s="37"/>
      <c r="TRQ222" s="37"/>
      <c r="TRR222" s="38"/>
      <c r="TRS222" s="38"/>
      <c r="TRT222" s="39"/>
      <c r="TRU222" s="34"/>
      <c r="TRV222" s="34"/>
      <c r="TRW222" s="34"/>
      <c r="TRX222" s="35"/>
      <c r="TRY222" s="35"/>
      <c r="TRZ222" s="35"/>
      <c r="TSA222" s="35"/>
      <c r="TSB222" s="35"/>
      <c r="TSC222" s="34"/>
      <c r="TSD222" s="34"/>
      <c r="TSE222" s="36"/>
      <c r="TSF222" s="36"/>
      <c r="TSG222" s="37"/>
      <c r="TSH222" s="37"/>
      <c r="TSI222" s="38"/>
      <c r="TSJ222" s="38"/>
      <c r="TSK222" s="39"/>
      <c r="TSL222" s="34"/>
      <c r="TSM222" s="34"/>
      <c r="TSN222" s="34"/>
      <c r="TSO222" s="35"/>
      <c r="TSP222" s="35"/>
      <c r="TSQ222" s="35"/>
      <c r="TSR222" s="35"/>
      <c r="TSS222" s="35"/>
      <c r="TST222" s="34"/>
      <c r="TSU222" s="34"/>
      <c r="TSV222" s="36"/>
      <c r="TSW222" s="36"/>
      <c r="TSX222" s="37"/>
      <c r="TSY222" s="37"/>
      <c r="TSZ222" s="38"/>
      <c r="TTA222" s="38"/>
      <c r="TTB222" s="39"/>
      <c r="TTC222" s="34"/>
      <c r="TTD222" s="34"/>
      <c r="TTE222" s="34"/>
      <c r="TTF222" s="35"/>
      <c r="TTG222" s="35"/>
      <c r="TTH222" s="35"/>
      <c r="TTI222" s="35"/>
      <c r="TTJ222" s="35"/>
      <c r="TTK222" s="34"/>
      <c r="TTL222" s="34"/>
      <c r="TTM222" s="36"/>
      <c r="TTN222" s="36"/>
      <c r="TTO222" s="37"/>
      <c r="TTP222" s="37"/>
      <c r="TTQ222" s="38"/>
      <c r="TTR222" s="38"/>
      <c r="TTS222" s="39"/>
      <c r="TTT222" s="34"/>
      <c r="TTU222" s="34"/>
      <c r="TTV222" s="34"/>
      <c r="TTW222" s="35"/>
      <c r="TTX222" s="35"/>
      <c r="TTY222" s="35"/>
      <c r="TTZ222" s="35"/>
      <c r="TUA222" s="35"/>
      <c r="TUB222" s="34"/>
      <c r="TUC222" s="34"/>
      <c r="TUD222" s="36"/>
      <c r="TUE222" s="36"/>
      <c r="TUF222" s="37"/>
      <c r="TUG222" s="37"/>
      <c r="TUH222" s="38"/>
      <c r="TUI222" s="38"/>
      <c r="TUJ222" s="39"/>
      <c r="TUK222" s="34"/>
      <c r="TUL222" s="34"/>
      <c r="TUM222" s="34"/>
      <c r="TUN222" s="35"/>
      <c r="TUO222" s="35"/>
      <c r="TUP222" s="35"/>
      <c r="TUQ222" s="35"/>
      <c r="TUR222" s="35"/>
      <c r="TUS222" s="34"/>
      <c r="TUT222" s="34"/>
      <c r="TUU222" s="36"/>
      <c r="TUV222" s="36"/>
      <c r="TUW222" s="37"/>
      <c r="TUX222" s="37"/>
      <c r="TUY222" s="38"/>
      <c r="TUZ222" s="38"/>
      <c r="TVA222" s="39"/>
      <c r="TVB222" s="34"/>
      <c r="TVC222" s="34"/>
      <c r="TVD222" s="34"/>
      <c r="TVE222" s="35"/>
      <c r="TVF222" s="35"/>
      <c r="TVG222" s="35"/>
      <c r="TVH222" s="35"/>
      <c r="TVI222" s="35"/>
      <c r="TVJ222" s="34"/>
      <c r="TVK222" s="34"/>
      <c r="TVL222" s="36"/>
      <c r="TVM222" s="36"/>
      <c r="TVN222" s="37"/>
      <c r="TVO222" s="37"/>
      <c r="TVP222" s="38"/>
      <c r="TVQ222" s="38"/>
      <c r="TVR222" s="39"/>
      <c r="TVS222" s="34"/>
      <c r="TVT222" s="34"/>
      <c r="TVU222" s="34"/>
      <c r="TVV222" s="35"/>
      <c r="TVW222" s="35"/>
      <c r="TVX222" s="35"/>
      <c r="TVY222" s="35"/>
      <c r="TVZ222" s="35"/>
      <c r="TWA222" s="34"/>
      <c r="TWB222" s="34"/>
      <c r="TWC222" s="36"/>
      <c r="TWD222" s="36"/>
      <c r="TWE222" s="37"/>
      <c r="TWF222" s="37"/>
      <c r="TWG222" s="38"/>
      <c r="TWH222" s="38"/>
      <c r="TWI222" s="39"/>
      <c r="TWJ222" s="34"/>
      <c r="TWK222" s="34"/>
      <c r="TWL222" s="34"/>
      <c r="TWM222" s="35"/>
      <c r="TWN222" s="35"/>
      <c r="TWO222" s="35"/>
      <c r="TWP222" s="35"/>
      <c r="TWQ222" s="35"/>
      <c r="TWR222" s="34"/>
      <c r="TWS222" s="34"/>
      <c r="TWT222" s="36"/>
      <c r="TWU222" s="36"/>
      <c r="TWV222" s="37"/>
      <c r="TWW222" s="37"/>
      <c r="TWX222" s="38"/>
      <c r="TWY222" s="38"/>
      <c r="TWZ222" s="39"/>
      <c r="TXA222" s="34"/>
      <c r="TXB222" s="34"/>
      <c r="TXC222" s="34"/>
      <c r="TXD222" s="35"/>
      <c r="TXE222" s="35"/>
      <c r="TXF222" s="35"/>
      <c r="TXG222" s="35"/>
      <c r="TXH222" s="35"/>
      <c r="TXI222" s="34"/>
      <c r="TXJ222" s="34"/>
      <c r="TXK222" s="36"/>
      <c r="TXL222" s="36"/>
      <c r="TXM222" s="37"/>
      <c r="TXN222" s="37"/>
      <c r="TXO222" s="38"/>
      <c r="TXP222" s="38"/>
      <c r="TXQ222" s="39"/>
      <c r="TXR222" s="34"/>
      <c r="TXS222" s="34"/>
      <c r="TXT222" s="34"/>
      <c r="TXU222" s="35"/>
      <c r="TXV222" s="35"/>
      <c r="TXW222" s="35"/>
      <c r="TXX222" s="35"/>
      <c r="TXY222" s="35"/>
      <c r="TXZ222" s="34"/>
      <c r="TYA222" s="34"/>
      <c r="TYB222" s="36"/>
      <c r="TYC222" s="36"/>
      <c r="TYD222" s="37"/>
      <c r="TYE222" s="37"/>
      <c r="TYF222" s="38"/>
      <c r="TYG222" s="38"/>
      <c r="TYH222" s="39"/>
      <c r="TYI222" s="34"/>
      <c r="TYJ222" s="34"/>
      <c r="TYK222" s="34"/>
      <c r="TYL222" s="35"/>
      <c r="TYM222" s="35"/>
      <c r="TYN222" s="35"/>
      <c r="TYO222" s="35"/>
      <c r="TYP222" s="35"/>
      <c r="TYQ222" s="34"/>
      <c r="TYR222" s="34"/>
      <c r="TYS222" s="36"/>
      <c r="TYT222" s="36"/>
      <c r="TYU222" s="37"/>
      <c r="TYV222" s="37"/>
      <c r="TYW222" s="38"/>
      <c r="TYX222" s="38"/>
      <c r="TYY222" s="39"/>
      <c r="TYZ222" s="34"/>
      <c r="TZA222" s="34"/>
      <c r="TZB222" s="34"/>
      <c r="TZC222" s="35"/>
      <c r="TZD222" s="35"/>
      <c r="TZE222" s="35"/>
      <c r="TZF222" s="35"/>
      <c r="TZG222" s="35"/>
      <c r="TZH222" s="34"/>
      <c r="TZI222" s="34"/>
      <c r="TZJ222" s="36"/>
      <c r="TZK222" s="36"/>
      <c r="TZL222" s="37"/>
      <c r="TZM222" s="37"/>
      <c r="TZN222" s="38"/>
      <c r="TZO222" s="38"/>
      <c r="TZP222" s="39"/>
      <c r="TZQ222" s="34"/>
      <c r="TZR222" s="34"/>
      <c r="TZS222" s="34"/>
      <c r="TZT222" s="35"/>
      <c r="TZU222" s="35"/>
      <c r="TZV222" s="35"/>
      <c r="TZW222" s="35"/>
      <c r="TZX222" s="35"/>
      <c r="TZY222" s="34"/>
      <c r="TZZ222" s="34"/>
      <c r="UAA222" s="36"/>
      <c r="UAB222" s="36"/>
      <c r="UAC222" s="37"/>
      <c r="UAD222" s="37"/>
      <c r="UAE222" s="38"/>
      <c r="UAF222" s="38"/>
      <c r="UAG222" s="39"/>
      <c r="UAH222" s="34"/>
      <c r="UAI222" s="34"/>
      <c r="UAJ222" s="34"/>
      <c r="UAK222" s="35"/>
      <c r="UAL222" s="35"/>
      <c r="UAM222" s="35"/>
      <c r="UAN222" s="35"/>
      <c r="UAO222" s="35"/>
      <c r="UAP222" s="34"/>
      <c r="UAQ222" s="34"/>
      <c r="UAR222" s="36"/>
      <c r="UAS222" s="36"/>
      <c r="UAT222" s="37"/>
      <c r="UAU222" s="37"/>
      <c r="UAV222" s="38"/>
      <c r="UAW222" s="38"/>
      <c r="UAX222" s="39"/>
      <c r="UAY222" s="34"/>
      <c r="UAZ222" s="34"/>
      <c r="UBA222" s="34"/>
      <c r="UBB222" s="35"/>
      <c r="UBC222" s="35"/>
      <c r="UBD222" s="35"/>
      <c r="UBE222" s="35"/>
      <c r="UBF222" s="35"/>
      <c r="UBG222" s="34"/>
      <c r="UBH222" s="34"/>
      <c r="UBI222" s="36"/>
      <c r="UBJ222" s="36"/>
      <c r="UBK222" s="37"/>
      <c r="UBL222" s="37"/>
      <c r="UBM222" s="38"/>
      <c r="UBN222" s="38"/>
      <c r="UBO222" s="39"/>
      <c r="UBP222" s="34"/>
      <c r="UBQ222" s="34"/>
      <c r="UBR222" s="34"/>
      <c r="UBS222" s="35"/>
      <c r="UBT222" s="35"/>
      <c r="UBU222" s="35"/>
      <c r="UBV222" s="35"/>
      <c r="UBW222" s="35"/>
      <c r="UBX222" s="34"/>
      <c r="UBY222" s="34"/>
      <c r="UBZ222" s="36"/>
      <c r="UCA222" s="36"/>
      <c r="UCB222" s="37"/>
      <c r="UCC222" s="37"/>
      <c r="UCD222" s="38"/>
      <c r="UCE222" s="38"/>
      <c r="UCF222" s="39"/>
      <c r="UCG222" s="34"/>
      <c r="UCH222" s="34"/>
      <c r="UCI222" s="34"/>
      <c r="UCJ222" s="35"/>
      <c r="UCK222" s="35"/>
      <c r="UCL222" s="35"/>
      <c r="UCM222" s="35"/>
      <c r="UCN222" s="35"/>
      <c r="UCO222" s="34"/>
      <c r="UCP222" s="34"/>
      <c r="UCQ222" s="36"/>
      <c r="UCR222" s="36"/>
      <c r="UCS222" s="37"/>
      <c r="UCT222" s="37"/>
      <c r="UCU222" s="38"/>
      <c r="UCV222" s="38"/>
      <c r="UCW222" s="39"/>
      <c r="UCX222" s="34"/>
      <c r="UCY222" s="34"/>
      <c r="UCZ222" s="34"/>
      <c r="UDA222" s="35"/>
      <c r="UDB222" s="35"/>
      <c r="UDC222" s="35"/>
      <c r="UDD222" s="35"/>
      <c r="UDE222" s="35"/>
      <c r="UDF222" s="34"/>
      <c r="UDG222" s="34"/>
      <c r="UDH222" s="36"/>
      <c r="UDI222" s="36"/>
      <c r="UDJ222" s="37"/>
      <c r="UDK222" s="37"/>
      <c r="UDL222" s="38"/>
      <c r="UDM222" s="38"/>
      <c r="UDN222" s="39"/>
      <c r="UDO222" s="34"/>
      <c r="UDP222" s="34"/>
      <c r="UDQ222" s="34"/>
      <c r="UDR222" s="35"/>
      <c r="UDS222" s="35"/>
      <c r="UDT222" s="35"/>
      <c r="UDU222" s="35"/>
      <c r="UDV222" s="35"/>
      <c r="UDW222" s="34"/>
      <c r="UDX222" s="34"/>
      <c r="UDY222" s="36"/>
      <c r="UDZ222" s="36"/>
      <c r="UEA222" s="37"/>
      <c r="UEB222" s="37"/>
      <c r="UEC222" s="38"/>
      <c r="UED222" s="38"/>
      <c r="UEE222" s="39"/>
      <c r="UEF222" s="34"/>
      <c r="UEG222" s="34"/>
      <c r="UEH222" s="34"/>
      <c r="UEI222" s="35"/>
      <c r="UEJ222" s="35"/>
      <c r="UEK222" s="35"/>
      <c r="UEL222" s="35"/>
      <c r="UEM222" s="35"/>
      <c r="UEN222" s="34"/>
      <c r="UEO222" s="34"/>
      <c r="UEP222" s="36"/>
      <c r="UEQ222" s="36"/>
      <c r="UER222" s="37"/>
      <c r="UES222" s="37"/>
      <c r="UET222" s="38"/>
      <c r="UEU222" s="38"/>
      <c r="UEV222" s="39"/>
      <c r="UEW222" s="34"/>
      <c r="UEX222" s="34"/>
      <c r="UEY222" s="34"/>
      <c r="UEZ222" s="35"/>
      <c r="UFA222" s="35"/>
      <c r="UFB222" s="35"/>
      <c r="UFC222" s="35"/>
      <c r="UFD222" s="35"/>
      <c r="UFE222" s="34"/>
      <c r="UFF222" s="34"/>
      <c r="UFG222" s="36"/>
      <c r="UFH222" s="36"/>
      <c r="UFI222" s="37"/>
      <c r="UFJ222" s="37"/>
      <c r="UFK222" s="38"/>
      <c r="UFL222" s="38"/>
      <c r="UFM222" s="39"/>
      <c r="UFN222" s="34"/>
      <c r="UFO222" s="34"/>
      <c r="UFP222" s="34"/>
      <c r="UFQ222" s="35"/>
      <c r="UFR222" s="35"/>
      <c r="UFS222" s="35"/>
      <c r="UFT222" s="35"/>
      <c r="UFU222" s="35"/>
      <c r="UFV222" s="34"/>
      <c r="UFW222" s="34"/>
      <c r="UFX222" s="36"/>
      <c r="UFY222" s="36"/>
      <c r="UFZ222" s="37"/>
      <c r="UGA222" s="37"/>
      <c r="UGB222" s="38"/>
      <c r="UGC222" s="38"/>
      <c r="UGD222" s="39"/>
      <c r="UGE222" s="34"/>
      <c r="UGF222" s="34"/>
      <c r="UGG222" s="34"/>
      <c r="UGH222" s="35"/>
      <c r="UGI222" s="35"/>
      <c r="UGJ222" s="35"/>
      <c r="UGK222" s="35"/>
      <c r="UGL222" s="35"/>
      <c r="UGM222" s="34"/>
      <c r="UGN222" s="34"/>
      <c r="UGO222" s="36"/>
      <c r="UGP222" s="36"/>
      <c r="UGQ222" s="37"/>
      <c r="UGR222" s="37"/>
      <c r="UGS222" s="38"/>
      <c r="UGT222" s="38"/>
      <c r="UGU222" s="39"/>
      <c r="UGV222" s="34"/>
      <c r="UGW222" s="34"/>
      <c r="UGX222" s="34"/>
      <c r="UGY222" s="35"/>
      <c r="UGZ222" s="35"/>
      <c r="UHA222" s="35"/>
      <c r="UHB222" s="35"/>
      <c r="UHC222" s="35"/>
      <c r="UHD222" s="34"/>
      <c r="UHE222" s="34"/>
      <c r="UHF222" s="36"/>
      <c r="UHG222" s="36"/>
      <c r="UHH222" s="37"/>
      <c r="UHI222" s="37"/>
      <c r="UHJ222" s="38"/>
      <c r="UHK222" s="38"/>
      <c r="UHL222" s="39"/>
      <c r="UHM222" s="34"/>
      <c r="UHN222" s="34"/>
      <c r="UHO222" s="34"/>
      <c r="UHP222" s="35"/>
      <c r="UHQ222" s="35"/>
      <c r="UHR222" s="35"/>
      <c r="UHS222" s="35"/>
      <c r="UHT222" s="35"/>
      <c r="UHU222" s="34"/>
      <c r="UHV222" s="34"/>
      <c r="UHW222" s="36"/>
      <c r="UHX222" s="36"/>
      <c r="UHY222" s="37"/>
      <c r="UHZ222" s="37"/>
      <c r="UIA222" s="38"/>
      <c r="UIB222" s="38"/>
      <c r="UIC222" s="39"/>
      <c r="UID222" s="34"/>
      <c r="UIE222" s="34"/>
      <c r="UIF222" s="34"/>
      <c r="UIG222" s="35"/>
      <c r="UIH222" s="35"/>
      <c r="UII222" s="35"/>
      <c r="UIJ222" s="35"/>
      <c r="UIK222" s="35"/>
      <c r="UIL222" s="34"/>
      <c r="UIM222" s="34"/>
      <c r="UIN222" s="36"/>
      <c r="UIO222" s="36"/>
      <c r="UIP222" s="37"/>
      <c r="UIQ222" s="37"/>
      <c r="UIR222" s="38"/>
      <c r="UIS222" s="38"/>
      <c r="UIT222" s="39"/>
      <c r="UIU222" s="34"/>
      <c r="UIV222" s="34"/>
      <c r="UIW222" s="34"/>
      <c r="UIX222" s="35"/>
      <c r="UIY222" s="35"/>
      <c r="UIZ222" s="35"/>
      <c r="UJA222" s="35"/>
      <c r="UJB222" s="35"/>
      <c r="UJC222" s="34"/>
      <c r="UJD222" s="34"/>
      <c r="UJE222" s="36"/>
      <c r="UJF222" s="36"/>
      <c r="UJG222" s="37"/>
      <c r="UJH222" s="37"/>
      <c r="UJI222" s="38"/>
      <c r="UJJ222" s="38"/>
      <c r="UJK222" s="39"/>
      <c r="UJL222" s="34"/>
      <c r="UJM222" s="34"/>
      <c r="UJN222" s="34"/>
      <c r="UJO222" s="35"/>
      <c r="UJP222" s="35"/>
      <c r="UJQ222" s="35"/>
      <c r="UJR222" s="35"/>
      <c r="UJS222" s="35"/>
      <c r="UJT222" s="34"/>
      <c r="UJU222" s="34"/>
      <c r="UJV222" s="36"/>
      <c r="UJW222" s="36"/>
      <c r="UJX222" s="37"/>
      <c r="UJY222" s="37"/>
      <c r="UJZ222" s="38"/>
      <c r="UKA222" s="38"/>
      <c r="UKB222" s="39"/>
      <c r="UKC222" s="34"/>
      <c r="UKD222" s="34"/>
      <c r="UKE222" s="34"/>
      <c r="UKF222" s="35"/>
      <c r="UKG222" s="35"/>
      <c r="UKH222" s="35"/>
      <c r="UKI222" s="35"/>
      <c r="UKJ222" s="35"/>
      <c r="UKK222" s="34"/>
      <c r="UKL222" s="34"/>
      <c r="UKM222" s="36"/>
      <c r="UKN222" s="36"/>
      <c r="UKO222" s="37"/>
      <c r="UKP222" s="37"/>
      <c r="UKQ222" s="38"/>
      <c r="UKR222" s="38"/>
      <c r="UKS222" s="39"/>
      <c r="UKT222" s="34"/>
      <c r="UKU222" s="34"/>
      <c r="UKV222" s="34"/>
      <c r="UKW222" s="35"/>
      <c r="UKX222" s="35"/>
      <c r="UKY222" s="35"/>
      <c r="UKZ222" s="35"/>
      <c r="ULA222" s="35"/>
      <c r="ULB222" s="34"/>
      <c r="ULC222" s="34"/>
      <c r="ULD222" s="36"/>
      <c r="ULE222" s="36"/>
      <c r="ULF222" s="37"/>
      <c r="ULG222" s="37"/>
      <c r="ULH222" s="38"/>
      <c r="ULI222" s="38"/>
      <c r="ULJ222" s="39"/>
      <c r="ULK222" s="34"/>
      <c r="ULL222" s="34"/>
      <c r="ULM222" s="34"/>
      <c r="ULN222" s="35"/>
      <c r="ULO222" s="35"/>
      <c r="ULP222" s="35"/>
      <c r="ULQ222" s="35"/>
      <c r="ULR222" s="35"/>
      <c r="ULS222" s="34"/>
      <c r="ULT222" s="34"/>
      <c r="ULU222" s="36"/>
      <c r="ULV222" s="36"/>
      <c r="ULW222" s="37"/>
      <c r="ULX222" s="37"/>
      <c r="ULY222" s="38"/>
      <c r="ULZ222" s="38"/>
      <c r="UMA222" s="39"/>
      <c r="UMB222" s="34"/>
      <c r="UMC222" s="34"/>
      <c r="UMD222" s="34"/>
      <c r="UME222" s="35"/>
      <c r="UMF222" s="35"/>
      <c r="UMG222" s="35"/>
      <c r="UMH222" s="35"/>
      <c r="UMI222" s="35"/>
      <c r="UMJ222" s="34"/>
      <c r="UMK222" s="34"/>
      <c r="UML222" s="36"/>
      <c r="UMM222" s="36"/>
      <c r="UMN222" s="37"/>
      <c r="UMO222" s="37"/>
      <c r="UMP222" s="38"/>
      <c r="UMQ222" s="38"/>
      <c r="UMR222" s="39"/>
      <c r="UMS222" s="34"/>
      <c r="UMT222" s="34"/>
      <c r="UMU222" s="34"/>
      <c r="UMV222" s="35"/>
      <c r="UMW222" s="35"/>
      <c r="UMX222" s="35"/>
      <c r="UMY222" s="35"/>
      <c r="UMZ222" s="35"/>
      <c r="UNA222" s="34"/>
      <c r="UNB222" s="34"/>
      <c r="UNC222" s="36"/>
      <c r="UND222" s="36"/>
      <c r="UNE222" s="37"/>
      <c r="UNF222" s="37"/>
      <c r="UNG222" s="38"/>
      <c r="UNH222" s="38"/>
      <c r="UNI222" s="39"/>
      <c r="UNJ222" s="34"/>
      <c r="UNK222" s="34"/>
      <c r="UNL222" s="34"/>
      <c r="UNM222" s="35"/>
      <c r="UNN222" s="35"/>
      <c r="UNO222" s="35"/>
      <c r="UNP222" s="35"/>
      <c r="UNQ222" s="35"/>
      <c r="UNR222" s="34"/>
      <c r="UNS222" s="34"/>
      <c r="UNT222" s="36"/>
      <c r="UNU222" s="36"/>
      <c r="UNV222" s="37"/>
      <c r="UNW222" s="37"/>
      <c r="UNX222" s="38"/>
      <c r="UNY222" s="38"/>
      <c r="UNZ222" s="39"/>
      <c r="UOA222" s="34"/>
      <c r="UOB222" s="34"/>
      <c r="UOC222" s="34"/>
      <c r="UOD222" s="35"/>
      <c r="UOE222" s="35"/>
      <c r="UOF222" s="35"/>
      <c r="UOG222" s="35"/>
      <c r="UOH222" s="35"/>
      <c r="UOI222" s="34"/>
      <c r="UOJ222" s="34"/>
      <c r="UOK222" s="36"/>
      <c r="UOL222" s="36"/>
      <c r="UOM222" s="37"/>
      <c r="UON222" s="37"/>
      <c r="UOO222" s="38"/>
      <c r="UOP222" s="38"/>
      <c r="UOQ222" s="39"/>
      <c r="UOR222" s="34"/>
      <c r="UOS222" s="34"/>
      <c r="UOT222" s="34"/>
      <c r="UOU222" s="35"/>
      <c r="UOV222" s="35"/>
      <c r="UOW222" s="35"/>
      <c r="UOX222" s="35"/>
      <c r="UOY222" s="35"/>
      <c r="UOZ222" s="34"/>
      <c r="UPA222" s="34"/>
      <c r="UPB222" s="36"/>
      <c r="UPC222" s="36"/>
      <c r="UPD222" s="37"/>
      <c r="UPE222" s="37"/>
      <c r="UPF222" s="38"/>
      <c r="UPG222" s="38"/>
      <c r="UPH222" s="39"/>
      <c r="UPI222" s="34"/>
      <c r="UPJ222" s="34"/>
      <c r="UPK222" s="34"/>
      <c r="UPL222" s="35"/>
      <c r="UPM222" s="35"/>
      <c r="UPN222" s="35"/>
      <c r="UPO222" s="35"/>
      <c r="UPP222" s="35"/>
      <c r="UPQ222" s="34"/>
      <c r="UPR222" s="34"/>
      <c r="UPS222" s="36"/>
      <c r="UPT222" s="36"/>
      <c r="UPU222" s="37"/>
      <c r="UPV222" s="37"/>
      <c r="UPW222" s="38"/>
      <c r="UPX222" s="38"/>
      <c r="UPY222" s="39"/>
      <c r="UPZ222" s="34"/>
      <c r="UQA222" s="34"/>
      <c r="UQB222" s="34"/>
      <c r="UQC222" s="35"/>
      <c r="UQD222" s="35"/>
      <c r="UQE222" s="35"/>
      <c r="UQF222" s="35"/>
      <c r="UQG222" s="35"/>
      <c r="UQH222" s="34"/>
      <c r="UQI222" s="34"/>
      <c r="UQJ222" s="36"/>
      <c r="UQK222" s="36"/>
      <c r="UQL222" s="37"/>
      <c r="UQM222" s="37"/>
      <c r="UQN222" s="38"/>
      <c r="UQO222" s="38"/>
      <c r="UQP222" s="39"/>
      <c r="UQQ222" s="34"/>
      <c r="UQR222" s="34"/>
      <c r="UQS222" s="34"/>
      <c r="UQT222" s="35"/>
      <c r="UQU222" s="35"/>
      <c r="UQV222" s="35"/>
      <c r="UQW222" s="35"/>
      <c r="UQX222" s="35"/>
      <c r="UQY222" s="34"/>
      <c r="UQZ222" s="34"/>
      <c r="URA222" s="36"/>
      <c r="URB222" s="36"/>
      <c r="URC222" s="37"/>
      <c r="URD222" s="37"/>
      <c r="URE222" s="38"/>
      <c r="URF222" s="38"/>
      <c r="URG222" s="39"/>
      <c r="URH222" s="34"/>
      <c r="URI222" s="34"/>
      <c r="URJ222" s="34"/>
      <c r="URK222" s="35"/>
      <c r="URL222" s="35"/>
      <c r="URM222" s="35"/>
      <c r="URN222" s="35"/>
      <c r="URO222" s="35"/>
      <c r="URP222" s="34"/>
      <c r="URQ222" s="34"/>
      <c r="URR222" s="36"/>
      <c r="URS222" s="36"/>
      <c r="URT222" s="37"/>
      <c r="URU222" s="37"/>
      <c r="URV222" s="38"/>
      <c r="URW222" s="38"/>
      <c r="URX222" s="39"/>
      <c r="URY222" s="34"/>
      <c r="URZ222" s="34"/>
      <c r="USA222" s="34"/>
      <c r="USB222" s="35"/>
      <c r="USC222" s="35"/>
      <c r="USD222" s="35"/>
      <c r="USE222" s="35"/>
      <c r="USF222" s="35"/>
      <c r="USG222" s="34"/>
      <c r="USH222" s="34"/>
      <c r="USI222" s="36"/>
      <c r="USJ222" s="36"/>
      <c r="USK222" s="37"/>
      <c r="USL222" s="37"/>
      <c r="USM222" s="38"/>
      <c r="USN222" s="38"/>
      <c r="USO222" s="39"/>
      <c r="USP222" s="34"/>
      <c r="USQ222" s="34"/>
      <c r="USR222" s="34"/>
      <c r="USS222" s="35"/>
      <c r="UST222" s="35"/>
      <c r="USU222" s="35"/>
      <c r="USV222" s="35"/>
      <c r="USW222" s="35"/>
      <c r="USX222" s="34"/>
      <c r="USY222" s="34"/>
      <c r="USZ222" s="36"/>
      <c r="UTA222" s="36"/>
      <c r="UTB222" s="37"/>
      <c r="UTC222" s="37"/>
      <c r="UTD222" s="38"/>
      <c r="UTE222" s="38"/>
      <c r="UTF222" s="39"/>
      <c r="UTG222" s="34"/>
      <c r="UTH222" s="34"/>
      <c r="UTI222" s="34"/>
      <c r="UTJ222" s="35"/>
      <c r="UTK222" s="35"/>
      <c r="UTL222" s="35"/>
      <c r="UTM222" s="35"/>
      <c r="UTN222" s="35"/>
      <c r="UTO222" s="34"/>
      <c r="UTP222" s="34"/>
      <c r="UTQ222" s="36"/>
      <c r="UTR222" s="36"/>
      <c r="UTS222" s="37"/>
      <c r="UTT222" s="37"/>
      <c r="UTU222" s="38"/>
      <c r="UTV222" s="38"/>
      <c r="UTW222" s="39"/>
      <c r="UTX222" s="34"/>
      <c r="UTY222" s="34"/>
      <c r="UTZ222" s="34"/>
      <c r="UUA222" s="35"/>
      <c r="UUB222" s="35"/>
      <c r="UUC222" s="35"/>
      <c r="UUD222" s="35"/>
      <c r="UUE222" s="35"/>
      <c r="UUF222" s="34"/>
      <c r="UUG222" s="34"/>
      <c r="UUH222" s="36"/>
      <c r="UUI222" s="36"/>
      <c r="UUJ222" s="37"/>
      <c r="UUK222" s="37"/>
      <c r="UUL222" s="38"/>
      <c r="UUM222" s="38"/>
      <c r="UUN222" s="39"/>
      <c r="UUO222" s="34"/>
      <c r="UUP222" s="34"/>
      <c r="UUQ222" s="34"/>
      <c r="UUR222" s="35"/>
      <c r="UUS222" s="35"/>
      <c r="UUT222" s="35"/>
      <c r="UUU222" s="35"/>
      <c r="UUV222" s="35"/>
      <c r="UUW222" s="34"/>
      <c r="UUX222" s="34"/>
      <c r="UUY222" s="36"/>
      <c r="UUZ222" s="36"/>
      <c r="UVA222" s="37"/>
      <c r="UVB222" s="37"/>
      <c r="UVC222" s="38"/>
      <c r="UVD222" s="38"/>
      <c r="UVE222" s="39"/>
      <c r="UVF222" s="34"/>
      <c r="UVG222" s="34"/>
      <c r="UVH222" s="34"/>
      <c r="UVI222" s="35"/>
      <c r="UVJ222" s="35"/>
      <c r="UVK222" s="35"/>
      <c r="UVL222" s="35"/>
      <c r="UVM222" s="35"/>
      <c r="UVN222" s="34"/>
      <c r="UVO222" s="34"/>
      <c r="UVP222" s="36"/>
      <c r="UVQ222" s="36"/>
      <c r="UVR222" s="37"/>
      <c r="UVS222" s="37"/>
      <c r="UVT222" s="38"/>
      <c r="UVU222" s="38"/>
      <c r="UVV222" s="39"/>
      <c r="UVW222" s="34"/>
      <c r="UVX222" s="34"/>
      <c r="UVY222" s="34"/>
      <c r="UVZ222" s="35"/>
      <c r="UWA222" s="35"/>
      <c r="UWB222" s="35"/>
      <c r="UWC222" s="35"/>
      <c r="UWD222" s="35"/>
      <c r="UWE222" s="34"/>
      <c r="UWF222" s="34"/>
      <c r="UWG222" s="36"/>
      <c r="UWH222" s="36"/>
      <c r="UWI222" s="37"/>
      <c r="UWJ222" s="37"/>
      <c r="UWK222" s="38"/>
      <c r="UWL222" s="38"/>
      <c r="UWM222" s="39"/>
      <c r="UWN222" s="34"/>
      <c r="UWO222" s="34"/>
      <c r="UWP222" s="34"/>
      <c r="UWQ222" s="35"/>
      <c r="UWR222" s="35"/>
      <c r="UWS222" s="35"/>
      <c r="UWT222" s="35"/>
      <c r="UWU222" s="35"/>
      <c r="UWV222" s="34"/>
      <c r="UWW222" s="34"/>
      <c r="UWX222" s="36"/>
      <c r="UWY222" s="36"/>
      <c r="UWZ222" s="37"/>
      <c r="UXA222" s="37"/>
      <c r="UXB222" s="38"/>
      <c r="UXC222" s="38"/>
      <c r="UXD222" s="39"/>
      <c r="UXE222" s="34"/>
      <c r="UXF222" s="34"/>
      <c r="UXG222" s="34"/>
      <c r="UXH222" s="35"/>
      <c r="UXI222" s="35"/>
      <c r="UXJ222" s="35"/>
      <c r="UXK222" s="35"/>
      <c r="UXL222" s="35"/>
      <c r="UXM222" s="34"/>
      <c r="UXN222" s="34"/>
      <c r="UXO222" s="36"/>
      <c r="UXP222" s="36"/>
      <c r="UXQ222" s="37"/>
      <c r="UXR222" s="37"/>
      <c r="UXS222" s="38"/>
      <c r="UXT222" s="38"/>
      <c r="UXU222" s="39"/>
      <c r="UXV222" s="34"/>
      <c r="UXW222" s="34"/>
      <c r="UXX222" s="34"/>
      <c r="UXY222" s="35"/>
      <c r="UXZ222" s="35"/>
      <c r="UYA222" s="35"/>
      <c r="UYB222" s="35"/>
      <c r="UYC222" s="35"/>
      <c r="UYD222" s="34"/>
      <c r="UYE222" s="34"/>
      <c r="UYF222" s="36"/>
      <c r="UYG222" s="36"/>
      <c r="UYH222" s="37"/>
      <c r="UYI222" s="37"/>
      <c r="UYJ222" s="38"/>
      <c r="UYK222" s="38"/>
      <c r="UYL222" s="39"/>
      <c r="UYM222" s="34"/>
      <c r="UYN222" s="34"/>
      <c r="UYO222" s="34"/>
      <c r="UYP222" s="35"/>
      <c r="UYQ222" s="35"/>
      <c r="UYR222" s="35"/>
      <c r="UYS222" s="35"/>
      <c r="UYT222" s="35"/>
      <c r="UYU222" s="34"/>
      <c r="UYV222" s="34"/>
      <c r="UYW222" s="36"/>
      <c r="UYX222" s="36"/>
      <c r="UYY222" s="37"/>
      <c r="UYZ222" s="37"/>
      <c r="UZA222" s="38"/>
      <c r="UZB222" s="38"/>
      <c r="UZC222" s="39"/>
      <c r="UZD222" s="34"/>
      <c r="UZE222" s="34"/>
      <c r="UZF222" s="34"/>
      <c r="UZG222" s="35"/>
      <c r="UZH222" s="35"/>
      <c r="UZI222" s="35"/>
      <c r="UZJ222" s="35"/>
      <c r="UZK222" s="35"/>
      <c r="UZL222" s="34"/>
      <c r="UZM222" s="34"/>
      <c r="UZN222" s="36"/>
      <c r="UZO222" s="36"/>
      <c r="UZP222" s="37"/>
      <c r="UZQ222" s="37"/>
      <c r="UZR222" s="38"/>
      <c r="UZS222" s="38"/>
      <c r="UZT222" s="39"/>
      <c r="UZU222" s="34"/>
      <c r="UZV222" s="34"/>
      <c r="UZW222" s="34"/>
      <c r="UZX222" s="35"/>
      <c r="UZY222" s="35"/>
      <c r="UZZ222" s="35"/>
      <c r="VAA222" s="35"/>
      <c r="VAB222" s="35"/>
      <c r="VAC222" s="34"/>
      <c r="VAD222" s="34"/>
      <c r="VAE222" s="36"/>
      <c r="VAF222" s="36"/>
      <c r="VAG222" s="37"/>
      <c r="VAH222" s="37"/>
      <c r="VAI222" s="38"/>
      <c r="VAJ222" s="38"/>
      <c r="VAK222" s="39"/>
      <c r="VAL222" s="34"/>
      <c r="VAM222" s="34"/>
      <c r="VAN222" s="34"/>
      <c r="VAO222" s="35"/>
      <c r="VAP222" s="35"/>
      <c r="VAQ222" s="35"/>
      <c r="VAR222" s="35"/>
      <c r="VAS222" s="35"/>
      <c r="VAT222" s="34"/>
      <c r="VAU222" s="34"/>
      <c r="VAV222" s="36"/>
      <c r="VAW222" s="36"/>
      <c r="VAX222" s="37"/>
      <c r="VAY222" s="37"/>
      <c r="VAZ222" s="38"/>
      <c r="VBA222" s="38"/>
      <c r="VBB222" s="39"/>
      <c r="VBC222" s="34"/>
      <c r="VBD222" s="34"/>
      <c r="VBE222" s="34"/>
      <c r="VBF222" s="35"/>
      <c r="VBG222" s="35"/>
      <c r="VBH222" s="35"/>
      <c r="VBI222" s="35"/>
      <c r="VBJ222" s="35"/>
      <c r="VBK222" s="34"/>
      <c r="VBL222" s="34"/>
      <c r="VBM222" s="36"/>
      <c r="VBN222" s="36"/>
      <c r="VBO222" s="37"/>
      <c r="VBP222" s="37"/>
      <c r="VBQ222" s="38"/>
      <c r="VBR222" s="38"/>
      <c r="VBS222" s="39"/>
      <c r="VBT222" s="34"/>
      <c r="VBU222" s="34"/>
      <c r="VBV222" s="34"/>
      <c r="VBW222" s="35"/>
      <c r="VBX222" s="35"/>
      <c r="VBY222" s="35"/>
      <c r="VBZ222" s="35"/>
      <c r="VCA222" s="35"/>
      <c r="VCB222" s="34"/>
      <c r="VCC222" s="34"/>
      <c r="VCD222" s="36"/>
      <c r="VCE222" s="36"/>
      <c r="VCF222" s="37"/>
      <c r="VCG222" s="37"/>
      <c r="VCH222" s="38"/>
      <c r="VCI222" s="38"/>
      <c r="VCJ222" s="39"/>
      <c r="VCK222" s="34"/>
      <c r="VCL222" s="34"/>
      <c r="VCM222" s="34"/>
      <c r="VCN222" s="35"/>
      <c r="VCO222" s="35"/>
      <c r="VCP222" s="35"/>
      <c r="VCQ222" s="35"/>
      <c r="VCR222" s="35"/>
      <c r="VCS222" s="34"/>
      <c r="VCT222" s="34"/>
      <c r="VCU222" s="36"/>
      <c r="VCV222" s="36"/>
      <c r="VCW222" s="37"/>
      <c r="VCX222" s="37"/>
      <c r="VCY222" s="38"/>
      <c r="VCZ222" s="38"/>
      <c r="VDA222" s="39"/>
      <c r="VDB222" s="34"/>
      <c r="VDC222" s="34"/>
      <c r="VDD222" s="34"/>
      <c r="VDE222" s="35"/>
      <c r="VDF222" s="35"/>
      <c r="VDG222" s="35"/>
      <c r="VDH222" s="35"/>
      <c r="VDI222" s="35"/>
      <c r="VDJ222" s="34"/>
      <c r="VDK222" s="34"/>
      <c r="VDL222" s="36"/>
      <c r="VDM222" s="36"/>
      <c r="VDN222" s="37"/>
      <c r="VDO222" s="37"/>
      <c r="VDP222" s="38"/>
      <c r="VDQ222" s="38"/>
      <c r="VDR222" s="39"/>
      <c r="VDS222" s="34"/>
      <c r="VDT222" s="34"/>
      <c r="VDU222" s="34"/>
      <c r="VDV222" s="35"/>
      <c r="VDW222" s="35"/>
      <c r="VDX222" s="35"/>
      <c r="VDY222" s="35"/>
      <c r="VDZ222" s="35"/>
      <c r="VEA222" s="34"/>
      <c r="VEB222" s="34"/>
      <c r="VEC222" s="36"/>
      <c r="VED222" s="36"/>
      <c r="VEE222" s="37"/>
      <c r="VEF222" s="37"/>
      <c r="VEG222" s="38"/>
      <c r="VEH222" s="38"/>
      <c r="VEI222" s="39"/>
      <c r="VEJ222" s="34"/>
      <c r="VEK222" s="34"/>
      <c r="VEL222" s="34"/>
      <c r="VEM222" s="35"/>
      <c r="VEN222" s="35"/>
      <c r="VEO222" s="35"/>
      <c r="VEP222" s="35"/>
      <c r="VEQ222" s="35"/>
      <c r="VER222" s="34"/>
      <c r="VES222" s="34"/>
      <c r="VET222" s="36"/>
      <c r="VEU222" s="36"/>
      <c r="VEV222" s="37"/>
      <c r="VEW222" s="37"/>
      <c r="VEX222" s="38"/>
      <c r="VEY222" s="38"/>
      <c r="VEZ222" s="39"/>
      <c r="VFA222" s="34"/>
      <c r="VFB222" s="34"/>
      <c r="VFC222" s="34"/>
      <c r="VFD222" s="35"/>
      <c r="VFE222" s="35"/>
      <c r="VFF222" s="35"/>
      <c r="VFG222" s="35"/>
      <c r="VFH222" s="35"/>
      <c r="VFI222" s="34"/>
      <c r="VFJ222" s="34"/>
      <c r="VFK222" s="36"/>
      <c r="VFL222" s="36"/>
      <c r="VFM222" s="37"/>
      <c r="VFN222" s="37"/>
      <c r="VFO222" s="38"/>
      <c r="VFP222" s="38"/>
      <c r="VFQ222" s="39"/>
      <c r="VFR222" s="34"/>
      <c r="VFS222" s="34"/>
      <c r="VFT222" s="34"/>
      <c r="VFU222" s="35"/>
      <c r="VFV222" s="35"/>
      <c r="VFW222" s="35"/>
      <c r="VFX222" s="35"/>
      <c r="VFY222" s="35"/>
      <c r="VFZ222" s="34"/>
      <c r="VGA222" s="34"/>
      <c r="VGB222" s="36"/>
      <c r="VGC222" s="36"/>
      <c r="VGD222" s="37"/>
      <c r="VGE222" s="37"/>
      <c r="VGF222" s="38"/>
      <c r="VGG222" s="38"/>
      <c r="VGH222" s="39"/>
      <c r="VGI222" s="34"/>
      <c r="VGJ222" s="34"/>
      <c r="VGK222" s="34"/>
      <c r="VGL222" s="35"/>
      <c r="VGM222" s="35"/>
      <c r="VGN222" s="35"/>
      <c r="VGO222" s="35"/>
      <c r="VGP222" s="35"/>
      <c r="VGQ222" s="34"/>
      <c r="VGR222" s="34"/>
      <c r="VGS222" s="36"/>
      <c r="VGT222" s="36"/>
      <c r="VGU222" s="37"/>
      <c r="VGV222" s="37"/>
      <c r="VGW222" s="38"/>
      <c r="VGX222" s="38"/>
      <c r="VGY222" s="39"/>
      <c r="VGZ222" s="34"/>
      <c r="VHA222" s="34"/>
      <c r="VHB222" s="34"/>
      <c r="VHC222" s="35"/>
      <c r="VHD222" s="35"/>
      <c r="VHE222" s="35"/>
      <c r="VHF222" s="35"/>
      <c r="VHG222" s="35"/>
      <c r="VHH222" s="34"/>
      <c r="VHI222" s="34"/>
      <c r="VHJ222" s="36"/>
      <c r="VHK222" s="36"/>
      <c r="VHL222" s="37"/>
      <c r="VHM222" s="37"/>
      <c r="VHN222" s="38"/>
      <c r="VHO222" s="38"/>
      <c r="VHP222" s="39"/>
      <c r="VHQ222" s="34"/>
      <c r="VHR222" s="34"/>
      <c r="VHS222" s="34"/>
      <c r="VHT222" s="35"/>
      <c r="VHU222" s="35"/>
      <c r="VHV222" s="35"/>
      <c r="VHW222" s="35"/>
      <c r="VHX222" s="35"/>
      <c r="VHY222" s="34"/>
      <c r="VHZ222" s="34"/>
      <c r="VIA222" s="36"/>
      <c r="VIB222" s="36"/>
      <c r="VIC222" s="37"/>
      <c r="VID222" s="37"/>
      <c r="VIE222" s="38"/>
      <c r="VIF222" s="38"/>
      <c r="VIG222" s="39"/>
      <c r="VIH222" s="34"/>
      <c r="VII222" s="34"/>
      <c r="VIJ222" s="34"/>
      <c r="VIK222" s="35"/>
      <c r="VIL222" s="35"/>
      <c r="VIM222" s="35"/>
      <c r="VIN222" s="35"/>
      <c r="VIO222" s="35"/>
      <c r="VIP222" s="34"/>
      <c r="VIQ222" s="34"/>
      <c r="VIR222" s="36"/>
      <c r="VIS222" s="36"/>
      <c r="VIT222" s="37"/>
      <c r="VIU222" s="37"/>
      <c r="VIV222" s="38"/>
      <c r="VIW222" s="38"/>
      <c r="VIX222" s="39"/>
      <c r="VIY222" s="34"/>
      <c r="VIZ222" s="34"/>
      <c r="VJA222" s="34"/>
      <c r="VJB222" s="35"/>
      <c r="VJC222" s="35"/>
      <c r="VJD222" s="35"/>
      <c r="VJE222" s="35"/>
      <c r="VJF222" s="35"/>
      <c r="VJG222" s="34"/>
      <c r="VJH222" s="34"/>
      <c r="VJI222" s="36"/>
      <c r="VJJ222" s="36"/>
      <c r="VJK222" s="37"/>
      <c r="VJL222" s="37"/>
      <c r="VJM222" s="38"/>
      <c r="VJN222" s="38"/>
      <c r="VJO222" s="39"/>
      <c r="VJP222" s="34"/>
      <c r="VJQ222" s="34"/>
      <c r="VJR222" s="34"/>
      <c r="VJS222" s="35"/>
      <c r="VJT222" s="35"/>
      <c r="VJU222" s="35"/>
      <c r="VJV222" s="35"/>
      <c r="VJW222" s="35"/>
      <c r="VJX222" s="34"/>
      <c r="VJY222" s="34"/>
      <c r="VJZ222" s="36"/>
      <c r="VKA222" s="36"/>
      <c r="VKB222" s="37"/>
      <c r="VKC222" s="37"/>
      <c r="VKD222" s="38"/>
      <c r="VKE222" s="38"/>
      <c r="VKF222" s="39"/>
      <c r="VKG222" s="34"/>
      <c r="VKH222" s="34"/>
      <c r="VKI222" s="34"/>
      <c r="VKJ222" s="35"/>
      <c r="VKK222" s="35"/>
      <c r="VKL222" s="35"/>
      <c r="VKM222" s="35"/>
      <c r="VKN222" s="35"/>
      <c r="VKO222" s="34"/>
      <c r="VKP222" s="34"/>
      <c r="VKQ222" s="36"/>
      <c r="VKR222" s="36"/>
      <c r="VKS222" s="37"/>
      <c r="VKT222" s="37"/>
      <c r="VKU222" s="38"/>
      <c r="VKV222" s="38"/>
      <c r="VKW222" s="39"/>
      <c r="VKX222" s="34"/>
      <c r="VKY222" s="34"/>
      <c r="VKZ222" s="34"/>
      <c r="VLA222" s="35"/>
      <c r="VLB222" s="35"/>
      <c r="VLC222" s="35"/>
      <c r="VLD222" s="35"/>
      <c r="VLE222" s="35"/>
      <c r="VLF222" s="34"/>
      <c r="VLG222" s="34"/>
      <c r="VLH222" s="36"/>
      <c r="VLI222" s="36"/>
      <c r="VLJ222" s="37"/>
      <c r="VLK222" s="37"/>
      <c r="VLL222" s="38"/>
      <c r="VLM222" s="38"/>
      <c r="VLN222" s="39"/>
      <c r="VLO222" s="34"/>
      <c r="VLP222" s="34"/>
      <c r="VLQ222" s="34"/>
      <c r="VLR222" s="35"/>
      <c r="VLS222" s="35"/>
      <c r="VLT222" s="35"/>
      <c r="VLU222" s="35"/>
      <c r="VLV222" s="35"/>
      <c r="VLW222" s="34"/>
      <c r="VLX222" s="34"/>
      <c r="VLY222" s="36"/>
      <c r="VLZ222" s="36"/>
      <c r="VMA222" s="37"/>
      <c r="VMB222" s="37"/>
      <c r="VMC222" s="38"/>
      <c r="VMD222" s="38"/>
      <c r="VME222" s="39"/>
      <c r="VMF222" s="34"/>
      <c r="VMG222" s="34"/>
      <c r="VMH222" s="34"/>
      <c r="VMI222" s="35"/>
      <c r="VMJ222" s="35"/>
      <c r="VMK222" s="35"/>
      <c r="VML222" s="35"/>
      <c r="VMM222" s="35"/>
      <c r="VMN222" s="34"/>
      <c r="VMO222" s="34"/>
      <c r="VMP222" s="36"/>
      <c r="VMQ222" s="36"/>
      <c r="VMR222" s="37"/>
      <c r="VMS222" s="37"/>
      <c r="VMT222" s="38"/>
      <c r="VMU222" s="38"/>
      <c r="VMV222" s="39"/>
      <c r="VMW222" s="34"/>
      <c r="VMX222" s="34"/>
      <c r="VMY222" s="34"/>
      <c r="VMZ222" s="35"/>
      <c r="VNA222" s="35"/>
      <c r="VNB222" s="35"/>
      <c r="VNC222" s="35"/>
      <c r="VND222" s="35"/>
      <c r="VNE222" s="34"/>
      <c r="VNF222" s="34"/>
      <c r="VNG222" s="36"/>
      <c r="VNH222" s="36"/>
      <c r="VNI222" s="37"/>
      <c r="VNJ222" s="37"/>
      <c r="VNK222" s="38"/>
      <c r="VNL222" s="38"/>
      <c r="VNM222" s="39"/>
      <c r="VNN222" s="34"/>
      <c r="VNO222" s="34"/>
      <c r="VNP222" s="34"/>
      <c r="VNQ222" s="35"/>
      <c r="VNR222" s="35"/>
      <c r="VNS222" s="35"/>
      <c r="VNT222" s="35"/>
      <c r="VNU222" s="35"/>
      <c r="VNV222" s="34"/>
      <c r="VNW222" s="34"/>
      <c r="VNX222" s="36"/>
      <c r="VNY222" s="36"/>
      <c r="VNZ222" s="37"/>
      <c r="VOA222" s="37"/>
      <c r="VOB222" s="38"/>
      <c r="VOC222" s="38"/>
      <c r="VOD222" s="39"/>
      <c r="VOE222" s="34"/>
      <c r="VOF222" s="34"/>
      <c r="VOG222" s="34"/>
      <c r="VOH222" s="35"/>
      <c r="VOI222" s="35"/>
      <c r="VOJ222" s="35"/>
      <c r="VOK222" s="35"/>
      <c r="VOL222" s="35"/>
      <c r="VOM222" s="34"/>
      <c r="VON222" s="34"/>
      <c r="VOO222" s="36"/>
      <c r="VOP222" s="36"/>
      <c r="VOQ222" s="37"/>
      <c r="VOR222" s="37"/>
      <c r="VOS222" s="38"/>
      <c r="VOT222" s="38"/>
      <c r="VOU222" s="39"/>
      <c r="VOV222" s="34"/>
      <c r="VOW222" s="34"/>
      <c r="VOX222" s="34"/>
      <c r="VOY222" s="35"/>
      <c r="VOZ222" s="35"/>
      <c r="VPA222" s="35"/>
      <c r="VPB222" s="35"/>
      <c r="VPC222" s="35"/>
      <c r="VPD222" s="34"/>
      <c r="VPE222" s="34"/>
      <c r="VPF222" s="36"/>
      <c r="VPG222" s="36"/>
      <c r="VPH222" s="37"/>
      <c r="VPI222" s="37"/>
      <c r="VPJ222" s="38"/>
      <c r="VPK222" s="38"/>
      <c r="VPL222" s="39"/>
      <c r="VPM222" s="34"/>
      <c r="VPN222" s="34"/>
      <c r="VPO222" s="34"/>
      <c r="VPP222" s="35"/>
      <c r="VPQ222" s="35"/>
      <c r="VPR222" s="35"/>
      <c r="VPS222" s="35"/>
      <c r="VPT222" s="35"/>
      <c r="VPU222" s="34"/>
      <c r="VPV222" s="34"/>
      <c r="VPW222" s="36"/>
      <c r="VPX222" s="36"/>
      <c r="VPY222" s="37"/>
      <c r="VPZ222" s="37"/>
      <c r="VQA222" s="38"/>
      <c r="VQB222" s="38"/>
      <c r="VQC222" s="39"/>
      <c r="VQD222" s="34"/>
      <c r="VQE222" s="34"/>
      <c r="VQF222" s="34"/>
      <c r="VQG222" s="35"/>
      <c r="VQH222" s="35"/>
      <c r="VQI222" s="35"/>
      <c r="VQJ222" s="35"/>
      <c r="VQK222" s="35"/>
      <c r="VQL222" s="34"/>
      <c r="VQM222" s="34"/>
      <c r="VQN222" s="36"/>
      <c r="VQO222" s="36"/>
      <c r="VQP222" s="37"/>
      <c r="VQQ222" s="37"/>
      <c r="VQR222" s="38"/>
      <c r="VQS222" s="38"/>
      <c r="VQT222" s="39"/>
      <c r="VQU222" s="34"/>
      <c r="VQV222" s="34"/>
      <c r="VQW222" s="34"/>
      <c r="VQX222" s="35"/>
      <c r="VQY222" s="35"/>
      <c r="VQZ222" s="35"/>
      <c r="VRA222" s="35"/>
      <c r="VRB222" s="35"/>
      <c r="VRC222" s="34"/>
      <c r="VRD222" s="34"/>
      <c r="VRE222" s="36"/>
      <c r="VRF222" s="36"/>
      <c r="VRG222" s="37"/>
      <c r="VRH222" s="37"/>
      <c r="VRI222" s="38"/>
      <c r="VRJ222" s="38"/>
      <c r="VRK222" s="39"/>
      <c r="VRL222" s="34"/>
      <c r="VRM222" s="34"/>
      <c r="VRN222" s="34"/>
      <c r="VRO222" s="35"/>
      <c r="VRP222" s="35"/>
      <c r="VRQ222" s="35"/>
      <c r="VRR222" s="35"/>
      <c r="VRS222" s="35"/>
      <c r="VRT222" s="34"/>
      <c r="VRU222" s="34"/>
      <c r="VRV222" s="36"/>
      <c r="VRW222" s="36"/>
      <c r="VRX222" s="37"/>
      <c r="VRY222" s="37"/>
      <c r="VRZ222" s="38"/>
      <c r="VSA222" s="38"/>
      <c r="VSB222" s="39"/>
      <c r="VSC222" s="34"/>
      <c r="VSD222" s="34"/>
      <c r="VSE222" s="34"/>
      <c r="VSF222" s="35"/>
      <c r="VSG222" s="35"/>
      <c r="VSH222" s="35"/>
      <c r="VSI222" s="35"/>
      <c r="VSJ222" s="35"/>
      <c r="VSK222" s="34"/>
      <c r="VSL222" s="34"/>
      <c r="VSM222" s="36"/>
      <c r="VSN222" s="36"/>
      <c r="VSO222" s="37"/>
      <c r="VSP222" s="37"/>
      <c r="VSQ222" s="38"/>
      <c r="VSR222" s="38"/>
      <c r="VSS222" s="39"/>
      <c r="VST222" s="34"/>
      <c r="VSU222" s="34"/>
      <c r="VSV222" s="34"/>
      <c r="VSW222" s="35"/>
      <c r="VSX222" s="35"/>
      <c r="VSY222" s="35"/>
      <c r="VSZ222" s="35"/>
      <c r="VTA222" s="35"/>
      <c r="VTB222" s="34"/>
      <c r="VTC222" s="34"/>
      <c r="VTD222" s="36"/>
      <c r="VTE222" s="36"/>
      <c r="VTF222" s="37"/>
      <c r="VTG222" s="37"/>
      <c r="VTH222" s="38"/>
      <c r="VTI222" s="38"/>
      <c r="VTJ222" s="39"/>
      <c r="VTK222" s="34"/>
      <c r="VTL222" s="34"/>
      <c r="VTM222" s="34"/>
      <c r="VTN222" s="35"/>
      <c r="VTO222" s="35"/>
      <c r="VTP222" s="35"/>
      <c r="VTQ222" s="35"/>
      <c r="VTR222" s="35"/>
      <c r="VTS222" s="34"/>
      <c r="VTT222" s="34"/>
      <c r="VTU222" s="36"/>
      <c r="VTV222" s="36"/>
      <c r="VTW222" s="37"/>
      <c r="VTX222" s="37"/>
      <c r="VTY222" s="38"/>
      <c r="VTZ222" s="38"/>
      <c r="VUA222" s="39"/>
      <c r="VUB222" s="34"/>
      <c r="VUC222" s="34"/>
      <c r="VUD222" s="34"/>
      <c r="VUE222" s="35"/>
      <c r="VUF222" s="35"/>
      <c r="VUG222" s="35"/>
      <c r="VUH222" s="35"/>
      <c r="VUI222" s="35"/>
      <c r="VUJ222" s="34"/>
      <c r="VUK222" s="34"/>
      <c r="VUL222" s="36"/>
      <c r="VUM222" s="36"/>
      <c r="VUN222" s="37"/>
      <c r="VUO222" s="37"/>
      <c r="VUP222" s="38"/>
      <c r="VUQ222" s="38"/>
      <c r="VUR222" s="39"/>
      <c r="VUS222" s="34"/>
      <c r="VUT222" s="34"/>
      <c r="VUU222" s="34"/>
      <c r="VUV222" s="35"/>
      <c r="VUW222" s="35"/>
      <c r="VUX222" s="35"/>
      <c r="VUY222" s="35"/>
      <c r="VUZ222" s="35"/>
      <c r="VVA222" s="34"/>
      <c r="VVB222" s="34"/>
      <c r="VVC222" s="36"/>
      <c r="VVD222" s="36"/>
      <c r="VVE222" s="37"/>
      <c r="VVF222" s="37"/>
      <c r="VVG222" s="38"/>
      <c r="VVH222" s="38"/>
      <c r="VVI222" s="39"/>
      <c r="VVJ222" s="34"/>
      <c r="VVK222" s="34"/>
      <c r="VVL222" s="34"/>
      <c r="VVM222" s="35"/>
      <c r="VVN222" s="35"/>
      <c r="VVO222" s="35"/>
      <c r="VVP222" s="35"/>
      <c r="VVQ222" s="35"/>
      <c r="VVR222" s="34"/>
      <c r="VVS222" s="34"/>
      <c r="VVT222" s="36"/>
      <c r="VVU222" s="36"/>
      <c r="VVV222" s="37"/>
      <c r="VVW222" s="37"/>
      <c r="VVX222" s="38"/>
      <c r="VVY222" s="38"/>
      <c r="VVZ222" s="39"/>
      <c r="VWA222" s="34"/>
      <c r="VWB222" s="34"/>
      <c r="VWC222" s="34"/>
      <c r="VWD222" s="35"/>
      <c r="VWE222" s="35"/>
      <c r="VWF222" s="35"/>
      <c r="VWG222" s="35"/>
      <c r="VWH222" s="35"/>
      <c r="VWI222" s="34"/>
      <c r="VWJ222" s="34"/>
      <c r="VWK222" s="36"/>
      <c r="VWL222" s="36"/>
      <c r="VWM222" s="37"/>
      <c r="VWN222" s="37"/>
      <c r="VWO222" s="38"/>
      <c r="VWP222" s="38"/>
      <c r="VWQ222" s="39"/>
      <c r="VWR222" s="34"/>
      <c r="VWS222" s="34"/>
      <c r="VWT222" s="34"/>
      <c r="VWU222" s="35"/>
      <c r="VWV222" s="35"/>
      <c r="VWW222" s="35"/>
      <c r="VWX222" s="35"/>
      <c r="VWY222" s="35"/>
      <c r="VWZ222" s="34"/>
      <c r="VXA222" s="34"/>
      <c r="VXB222" s="36"/>
      <c r="VXC222" s="36"/>
      <c r="VXD222" s="37"/>
      <c r="VXE222" s="37"/>
      <c r="VXF222" s="38"/>
      <c r="VXG222" s="38"/>
      <c r="VXH222" s="39"/>
      <c r="VXI222" s="34"/>
      <c r="VXJ222" s="34"/>
      <c r="VXK222" s="34"/>
      <c r="VXL222" s="35"/>
      <c r="VXM222" s="35"/>
      <c r="VXN222" s="35"/>
      <c r="VXO222" s="35"/>
      <c r="VXP222" s="35"/>
      <c r="VXQ222" s="34"/>
      <c r="VXR222" s="34"/>
      <c r="VXS222" s="36"/>
      <c r="VXT222" s="36"/>
      <c r="VXU222" s="37"/>
      <c r="VXV222" s="37"/>
      <c r="VXW222" s="38"/>
      <c r="VXX222" s="38"/>
      <c r="VXY222" s="39"/>
      <c r="VXZ222" s="34"/>
      <c r="VYA222" s="34"/>
      <c r="VYB222" s="34"/>
      <c r="VYC222" s="35"/>
      <c r="VYD222" s="35"/>
      <c r="VYE222" s="35"/>
      <c r="VYF222" s="35"/>
      <c r="VYG222" s="35"/>
      <c r="VYH222" s="34"/>
      <c r="VYI222" s="34"/>
      <c r="VYJ222" s="36"/>
      <c r="VYK222" s="36"/>
      <c r="VYL222" s="37"/>
      <c r="VYM222" s="37"/>
      <c r="VYN222" s="38"/>
      <c r="VYO222" s="38"/>
      <c r="VYP222" s="39"/>
      <c r="VYQ222" s="34"/>
      <c r="VYR222" s="34"/>
      <c r="VYS222" s="34"/>
      <c r="VYT222" s="35"/>
      <c r="VYU222" s="35"/>
      <c r="VYV222" s="35"/>
      <c r="VYW222" s="35"/>
      <c r="VYX222" s="35"/>
      <c r="VYY222" s="34"/>
      <c r="VYZ222" s="34"/>
      <c r="VZA222" s="36"/>
      <c r="VZB222" s="36"/>
      <c r="VZC222" s="37"/>
      <c r="VZD222" s="37"/>
      <c r="VZE222" s="38"/>
      <c r="VZF222" s="38"/>
      <c r="VZG222" s="39"/>
      <c r="VZH222" s="34"/>
      <c r="VZI222" s="34"/>
      <c r="VZJ222" s="34"/>
      <c r="VZK222" s="35"/>
      <c r="VZL222" s="35"/>
      <c r="VZM222" s="35"/>
      <c r="VZN222" s="35"/>
      <c r="VZO222" s="35"/>
      <c r="VZP222" s="34"/>
      <c r="VZQ222" s="34"/>
      <c r="VZR222" s="36"/>
      <c r="VZS222" s="36"/>
      <c r="VZT222" s="37"/>
      <c r="VZU222" s="37"/>
      <c r="VZV222" s="38"/>
      <c r="VZW222" s="38"/>
      <c r="VZX222" s="39"/>
      <c r="VZY222" s="34"/>
      <c r="VZZ222" s="34"/>
      <c r="WAA222" s="34"/>
      <c r="WAB222" s="35"/>
      <c r="WAC222" s="35"/>
      <c r="WAD222" s="35"/>
      <c r="WAE222" s="35"/>
      <c r="WAF222" s="35"/>
      <c r="WAG222" s="34"/>
      <c r="WAH222" s="34"/>
      <c r="WAI222" s="36"/>
      <c r="WAJ222" s="36"/>
      <c r="WAK222" s="37"/>
      <c r="WAL222" s="37"/>
      <c r="WAM222" s="38"/>
      <c r="WAN222" s="38"/>
      <c r="WAO222" s="39"/>
      <c r="WAP222" s="34"/>
      <c r="WAQ222" s="34"/>
      <c r="WAR222" s="34"/>
      <c r="WAS222" s="35"/>
      <c r="WAT222" s="35"/>
      <c r="WAU222" s="35"/>
      <c r="WAV222" s="35"/>
      <c r="WAW222" s="35"/>
      <c r="WAX222" s="34"/>
      <c r="WAY222" s="34"/>
      <c r="WAZ222" s="36"/>
      <c r="WBA222" s="36"/>
      <c r="WBB222" s="37"/>
      <c r="WBC222" s="37"/>
      <c r="WBD222" s="38"/>
      <c r="WBE222" s="38"/>
      <c r="WBF222" s="39"/>
      <c r="WBG222" s="34"/>
      <c r="WBH222" s="34"/>
      <c r="WBI222" s="34"/>
      <c r="WBJ222" s="35"/>
      <c r="WBK222" s="35"/>
      <c r="WBL222" s="35"/>
      <c r="WBM222" s="35"/>
      <c r="WBN222" s="35"/>
      <c r="WBO222" s="34"/>
      <c r="WBP222" s="34"/>
      <c r="WBQ222" s="36"/>
      <c r="WBR222" s="36"/>
      <c r="WBS222" s="37"/>
      <c r="WBT222" s="37"/>
      <c r="WBU222" s="38"/>
      <c r="WBV222" s="38"/>
      <c r="WBW222" s="39"/>
      <c r="WBX222" s="34"/>
      <c r="WBY222" s="34"/>
      <c r="WBZ222" s="34"/>
      <c r="WCA222" s="35"/>
      <c r="WCB222" s="35"/>
      <c r="WCC222" s="35"/>
      <c r="WCD222" s="35"/>
      <c r="WCE222" s="35"/>
      <c r="WCF222" s="34"/>
      <c r="WCG222" s="34"/>
      <c r="WCH222" s="36"/>
      <c r="WCI222" s="36"/>
      <c r="WCJ222" s="37"/>
      <c r="WCK222" s="37"/>
      <c r="WCL222" s="38"/>
      <c r="WCM222" s="38"/>
      <c r="WCN222" s="39"/>
      <c r="WCO222" s="34"/>
      <c r="WCP222" s="34"/>
      <c r="WCQ222" s="34"/>
      <c r="WCR222" s="35"/>
      <c r="WCS222" s="35"/>
      <c r="WCT222" s="35"/>
      <c r="WCU222" s="35"/>
      <c r="WCV222" s="35"/>
      <c r="WCW222" s="34"/>
      <c r="WCX222" s="34"/>
      <c r="WCY222" s="36"/>
      <c r="WCZ222" s="36"/>
      <c r="WDA222" s="37"/>
      <c r="WDB222" s="37"/>
      <c r="WDC222" s="38"/>
      <c r="WDD222" s="38"/>
      <c r="WDE222" s="39"/>
      <c r="WDF222" s="34"/>
      <c r="WDG222" s="34"/>
      <c r="WDH222" s="34"/>
      <c r="WDI222" s="35"/>
      <c r="WDJ222" s="35"/>
      <c r="WDK222" s="35"/>
      <c r="WDL222" s="35"/>
      <c r="WDM222" s="35"/>
      <c r="WDN222" s="34"/>
      <c r="WDO222" s="34"/>
      <c r="WDP222" s="36"/>
      <c r="WDQ222" s="36"/>
      <c r="WDR222" s="37"/>
      <c r="WDS222" s="37"/>
      <c r="WDT222" s="38"/>
      <c r="WDU222" s="38"/>
      <c r="WDV222" s="39"/>
      <c r="WDW222" s="34"/>
      <c r="WDX222" s="34"/>
      <c r="WDY222" s="34"/>
      <c r="WDZ222" s="35"/>
      <c r="WEA222" s="35"/>
      <c r="WEB222" s="35"/>
      <c r="WEC222" s="35"/>
      <c r="WED222" s="35"/>
      <c r="WEE222" s="34"/>
      <c r="WEF222" s="34"/>
      <c r="WEG222" s="36"/>
      <c r="WEH222" s="36"/>
      <c r="WEI222" s="37"/>
      <c r="WEJ222" s="37"/>
      <c r="WEK222" s="38"/>
      <c r="WEL222" s="38"/>
      <c r="WEM222" s="39"/>
      <c r="WEN222" s="34"/>
      <c r="WEO222" s="34"/>
      <c r="WEP222" s="34"/>
      <c r="WEQ222" s="35"/>
      <c r="WER222" s="35"/>
      <c r="WES222" s="35"/>
      <c r="WET222" s="35"/>
      <c r="WEU222" s="35"/>
      <c r="WEV222" s="34"/>
      <c r="WEW222" s="34"/>
      <c r="WEX222" s="36"/>
      <c r="WEY222" s="36"/>
      <c r="WEZ222" s="37"/>
      <c r="WFA222" s="37"/>
      <c r="WFB222" s="38"/>
      <c r="WFC222" s="38"/>
      <c r="WFD222" s="39"/>
      <c r="WFE222" s="34"/>
      <c r="WFF222" s="34"/>
      <c r="WFG222" s="34"/>
      <c r="WFH222" s="35"/>
      <c r="WFI222" s="35"/>
      <c r="WFJ222" s="35"/>
      <c r="WFK222" s="35"/>
      <c r="WFL222" s="35"/>
      <c r="WFM222" s="34"/>
      <c r="WFN222" s="34"/>
      <c r="WFO222" s="36"/>
      <c r="WFP222" s="36"/>
      <c r="WFQ222" s="37"/>
      <c r="WFR222" s="37"/>
      <c r="WFS222" s="38"/>
      <c r="WFT222" s="38"/>
      <c r="WFU222" s="39"/>
      <c r="WFV222" s="34"/>
      <c r="WFW222" s="34"/>
      <c r="WFX222" s="34"/>
      <c r="WFY222" s="35"/>
      <c r="WFZ222" s="35"/>
      <c r="WGA222" s="35"/>
      <c r="WGB222" s="35"/>
      <c r="WGC222" s="35"/>
      <c r="WGD222" s="34"/>
      <c r="WGE222" s="34"/>
      <c r="WGF222" s="36"/>
      <c r="WGG222" s="36"/>
      <c r="WGH222" s="37"/>
      <c r="WGI222" s="37"/>
      <c r="WGJ222" s="38"/>
      <c r="WGK222" s="38"/>
      <c r="WGL222" s="39"/>
      <c r="WGM222" s="34"/>
      <c r="WGN222" s="34"/>
      <c r="WGO222" s="34"/>
      <c r="WGP222" s="35"/>
      <c r="WGQ222" s="35"/>
      <c r="WGR222" s="35"/>
      <c r="WGS222" s="35"/>
      <c r="WGT222" s="35"/>
      <c r="WGU222" s="34"/>
      <c r="WGV222" s="34"/>
      <c r="WGW222" s="36"/>
      <c r="WGX222" s="36"/>
      <c r="WGY222" s="37"/>
      <c r="WGZ222" s="37"/>
      <c r="WHA222" s="38"/>
      <c r="WHB222" s="38"/>
      <c r="WHC222" s="39"/>
      <c r="WHD222" s="34"/>
      <c r="WHE222" s="34"/>
      <c r="WHF222" s="34"/>
      <c r="WHG222" s="35"/>
      <c r="WHH222" s="35"/>
      <c r="WHI222" s="35"/>
      <c r="WHJ222" s="35"/>
      <c r="WHK222" s="35"/>
      <c r="WHL222" s="34"/>
      <c r="WHM222" s="34"/>
      <c r="WHN222" s="36"/>
      <c r="WHO222" s="36"/>
      <c r="WHP222" s="37"/>
      <c r="WHQ222" s="37"/>
      <c r="WHR222" s="38"/>
      <c r="WHS222" s="38"/>
      <c r="WHT222" s="39"/>
      <c r="WHU222" s="34"/>
      <c r="WHV222" s="34"/>
      <c r="WHW222" s="34"/>
      <c r="WHX222" s="35"/>
      <c r="WHY222" s="35"/>
      <c r="WHZ222" s="35"/>
      <c r="WIA222" s="35"/>
      <c r="WIB222" s="35"/>
      <c r="WIC222" s="34"/>
      <c r="WID222" s="34"/>
      <c r="WIE222" s="36"/>
      <c r="WIF222" s="36"/>
      <c r="WIG222" s="37"/>
      <c r="WIH222" s="37"/>
      <c r="WII222" s="38"/>
      <c r="WIJ222" s="38"/>
      <c r="WIK222" s="39"/>
      <c r="WIL222" s="34"/>
      <c r="WIM222" s="34"/>
      <c r="WIN222" s="34"/>
      <c r="WIO222" s="35"/>
      <c r="WIP222" s="35"/>
      <c r="WIQ222" s="35"/>
      <c r="WIR222" s="35"/>
      <c r="WIS222" s="35"/>
      <c r="WIT222" s="34"/>
      <c r="WIU222" s="34"/>
      <c r="WIV222" s="36"/>
      <c r="WIW222" s="36"/>
      <c r="WIX222" s="37"/>
      <c r="WIY222" s="37"/>
      <c r="WIZ222" s="38"/>
      <c r="WJA222" s="38"/>
      <c r="WJB222" s="39"/>
      <c r="WJC222" s="34"/>
      <c r="WJD222" s="34"/>
      <c r="WJE222" s="34"/>
      <c r="WJF222" s="35"/>
      <c r="WJG222" s="35"/>
      <c r="WJH222" s="35"/>
      <c r="WJI222" s="35"/>
      <c r="WJJ222" s="35"/>
      <c r="WJK222" s="34"/>
      <c r="WJL222" s="34"/>
      <c r="WJM222" s="36"/>
      <c r="WJN222" s="36"/>
      <c r="WJO222" s="37"/>
      <c r="WJP222" s="37"/>
      <c r="WJQ222" s="38"/>
      <c r="WJR222" s="38"/>
      <c r="WJS222" s="39"/>
      <c r="WJT222" s="34"/>
      <c r="WJU222" s="34"/>
      <c r="WJV222" s="34"/>
      <c r="WJW222" s="35"/>
      <c r="WJX222" s="35"/>
      <c r="WJY222" s="35"/>
      <c r="WJZ222" s="35"/>
      <c r="WKA222" s="35"/>
      <c r="WKB222" s="34"/>
      <c r="WKC222" s="34"/>
      <c r="WKD222" s="36"/>
      <c r="WKE222" s="36"/>
      <c r="WKF222" s="37"/>
      <c r="WKG222" s="37"/>
      <c r="WKH222" s="38"/>
      <c r="WKI222" s="38"/>
      <c r="WKJ222" s="39"/>
      <c r="WKK222" s="34"/>
      <c r="WKL222" s="34"/>
      <c r="WKM222" s="34"/>
      <c r="WKN222" s="35"/>
      <c r="WKO222" s="35"/>
      <c r="WKP222" s="35"/>
      <c r="WKQ222" s="35"/>
      <c r="WKR222" s="35"/>
      <c r="WKS222" s="34"/>
      <c r="WKT222" s="34"/>
      <c r="WKU222" s="36"/>
      <c r="WKV222" s="36"/>
      <c r="WKW222" s="37"/>
      <c r="WKX222" s="37"/>
      <c r="WKY222" s="38"/>
      <c r="WKZ222" s="38"/>
      <c r="WLA222" s="39"/>
      <c r="WLB222" s="34"/>
      <c r="WLC222" s="34"/>
      <c r="WLD222" s="34"/>
      <c r="WLE222" s="35"/>
      <c r="WLF222" s="35"/>
      <c r="WLG222" s="35"/>
      <c r="WLH222" s="35"/>
      <c r="WLI222" s="35"/>
      <c r="WLJ222" s="34"/>
      <c r="WLK222" s="34"/>
      <c r="WLL222" s="36"/>
      <c r="WLM222" s="36"/>
      <c r="WLN222" s="37"/>
      <c r="WLO222" s="37"/>
      <c r="WLP222" s="38"/>
      <c r="WLQ222" s="38"/>
      <c r="WLR222" s="39"/>
      <c r="WLS222" s="34"/>
      <c r="WLT222" s="34"/>
      <c r="WLU222" s="34"/>
      <c r="WLV222" s="35"/>
      <c r="WLW222" s="35"/>
      <c r="WLX222" s="35"/>
      <c r="WLY222" s="35"/>
      <c r="WLZ222" s="35"/>
      <c r="WMA222" s="34"/>
      <c r="WMB222" s="34"/>
      <c r="WMC222" s="36"/>
      <c r="WMD222" s="36"/>
      <c r="WME222" s="37"/>
      <c r="WMF222" s="37"/>
      <c r="WMG222" s="38"/>
      <c r="WMH222" s="38"/>
      <c r="WMI222" s="39"/>
      <c r="WMJ222" s="34"/>
      <c r="WMK222" s="34"/>
      <c r="WML222" s="34"/>
      <c r="WMM222" s="35"/>
      <c r="WMN222" s="35"/>
      <c r="WMO222" s="35"/>
      <c r="WMP222" s="35"/>
      <c r="WMQ222" s="35"/>
      <c r="WMR222" s="34"/>
      <c r="WMS222" s="34"/>
      <c r="WMT222" s="36"/>
      <c r="WMU222" s="36"/>
      <c r="WMV222" s="37"/>
      <c r="WMW222" s="37"/>
      <c r="WMX222" s="38"/>
      <c r="WMY222" s="38"/>
      <c r="WMZ222" s="39"/>
      <c r="WNA222" s="34"/>
      <c r="WNB222" s="34"/>
      <c r="WNC222" s="34"/>
      <c r="WND222" s="35"/>
      <c r="WNE222" s="35"/>
      <c r="WNF222" s="35"/>
      <c r="WNG222" s="35"/>
      <c r="WNH222" s="35"/>
      <c r="WNI222" s="34"/>
      <c r="WNJ222" s="34"/>
      <c r="WNK222" s="36"/>
      <c r="WNL222" s="36"/>
      <c r="WNM222" s="37"/>
      <c r="WNN222" s="37"/>
      <c r="WNO222" s="38"/>
      <c r="WNP222" s="38"/>
      <c r="WNQ222" s="39"/>
      <c r="WNR222" s="34"/>
      <c r="WNS222" s="34"/>
      <c r="WNT222" s="34"/>
      <c r="WNU222" s="35"/>
      <c r="WNV222" s="35"/>
      <c r="WNW222" s="35"/>
      <c r="WNX222" s="35"/>
      <c r="WNY222" s="35"/>
      <c r="WNZ222" s="34"/>
      <c r="WOA222" s="34"/>
      <c r="WOB222" s="36"/>
      <c r="WOC222" s="36"/>
      <c r="WOD222" s="37"/>
      <c r="WOE222" s="37"/>
      <c r="WOF222" s="38"/>
      <c r="WOG222" s="38"/>
      <c r="WOH222" s="39"/>
      <c r="WOI222" s="34"/>
      <c r="WOJ222" s="34"/>
      <c r="WOK222" s="34"/>
      <c r="WOL222" s="35"/>
      <c r="WOM222" s="35"/>
      <c r="WON222" s="35"/>
      <c r="WOO222" s="35"/>
      <c r="WOP222" s="35"/>
      <c r="WOQ222" s="34"/>
      <c r="WOR222" s="34"/>
      <c r="WOS222" s="36"/>
      <c r="WOT222" s="36"/>
      <c r="WOU222" s="37"/>
      <c r="WOV222" s="37"/>
      <c r="WOW222" s="38"/>
      <c r="WOX222" s="38"/>
      <c r="WOY222" s="39"/>
      <c r="WOZ222" s="34"/>
      <c r="WPA222" s="34"/>
      <c r="WPB222" s="34"/>
      <c r="WPC222" s="35"/>
      <c r="WPD222" s="35"/>
      <c r="WPE222" s="35"/>
      <c r="WPF222" s="35"/>
      <c r="WPG222" s="35"/>
      <c r="WPH222" s="34"/>
      <c r="WPI222" s="34"/>
      <c r="WPJ222" s="36"/>
      <c r="WPK222" s="36"/>
      <c r="WPL222" s="37"/>
      <c r="WPM222" s="37"/>
      <c r="WPN222" s="38"/>
      <c r="WPO222" s="38"/>
      <c r="WPP222" s="39"/>
      <c r="WPQ222" s="34"/>
      <c r="WPR222" s="34"/>
      <c r="WPS222" s="34"/>
      <c r="WPT222" s="35"/>
      <c r="WPU222" s="35"/>
      <c r="WPV222" s="35"/>
      <c r="WPW222" s="35"/>
      <c r="WPX222" s="35"/>
      <c r="WPY222" s="34"/>
      <c r="WPZ222" s="34"/>
      <c r="WQA222" s="36"/>
      <c r="WQB222" s="36"/>
      <c r="WQC222" s="37"/>
      <c r="WQD222" s="37"/>
      <c r="WQE222" s="38"/>
      <c r="WQF222" s="38"/>
      <c r="WQG222" s="39"/>
      <c r="WQH222" s="34"/>
      <c r="WQI222" s="34"/>
      <c r="WQJ222" s="34"/>
      <c r="WQK222" s="35"/>
      <c r="WQL222" s="35"/>
      <c r="WQM222" s="35"/>
      <c r="WQN222" s="35"/>
      <c r="WQO222" s="35"/>
      <c r="WQP222" s="34"/>
      <c r="WQQ222" s="34"/>
      <c r="WQR222" s="36"/>
      <c r="WQS222" s="36"/>
      <c r="WQT222" s="37"/>
      <c r="WQU222" s="37"/>
      <c r="WQV222" s="38"/>
      <c r="WQW222" s="38"/>
      <c r="WQX222" s="39"/>
      <c r="WQY222" s="34"/>
      <c r="WQZ222" s="34"/>
      <c r="WRA222" s="34"/>
      <c r="WRB222" s="35"/>
      <c r="WRC222" s="35"/>
      <c r="WRD222" s="35"/>
      <c r="WRE222" s="35"/>
      <c r="WRF222" s="35"/>
      <c r="WRG222" s="34"/>
      <c r="WRH222" s="34"/>
      <c r="WRI222" s="36"/>
      <c r="WRJ222" s="36"/>
      <c r="WRK222" s="37"/>
      <c r="WRL222" s="37"/>
      <c r="WRM222" s="38"/>
      <c r="WRN222" s="38"/>
      <c r="WRO222" s="39"/>
      <c r="WRP222" s="34"/>
      <c r="WRQ222" s="34"/>
      <c r="WRR222" s="34"/>
      <c r="WRS222" s="35"/>
      <c r="WRT222" s="35"/>
      <c r="WRU222" s="35"/>
      <c r="WRV222" s="35"/>
      <c r="WRW222" s="35"/>
      <c r="WRX222" s="34"/>
      <c r="WRY222" s="34"/>
      <c r="WRZ222" s="36"/>
      <c r="WSA222" s="36"/>
      <c r="WSB222" s="37"/>
      <c r="WSC222" s="37"/>
      <c r="WSD222" s="38"/>
      <c r="WSE222" s="38"/>
      <c r="WSF222" s="39"/>
      <c r="WSG222" s="34"/>
      <c r="WSH222" s="34"/>
      <c r="WSI222" s="34"/>
      <c r="WSJ222" s="35"/>
      <c r="WSK222" s="35"/>
      <c r="WSL222" s="35"/>
      <c r="WSM222" s="35"/>
      <c r="WSN222" s="35"/>
      <c r="WSO222" s="34"/>
      <c r="WSP222" s="34"/>
      <c r="WSQ222" s="36"/>
      <c r="WSR222" s="36"/>
      <c r="WSS222" s="37"/>
      <c r="WST222" s="37"/>
      <c r="WSU222" s="38"/>
      <c r="WSV222" s="38"/>
      <c r="WSW222" s="39"/>
      <c r="WSX222" s="34"/>
      <c r="WSY222" s="34"/>
      <c r="WSZ222" s="34"/>
      <c r="WTA222" s="35"/>
      <c r="WTB222" s="35"/>
      <c r="WTC222" s="35"/>
      <c r="WTD222" s="35"/>
      <c r="WTE222" s="35"/>
      <c r="WTF222" s="34"/>
      <c r="WTG222" s="34"/>
      <c r="WTH222" s="36"/>
      <c r="WTI222" s="36"/>
      <c r="WTJ222" s="37"/>
      <c r="WTK222" s="37"/>
      <c r="WTL222" s="38"/>
      <c r="WTM222" s="38"/>
      <c r="WTN222" s="39"/>
      <c r="WTO222" s="34"/>
      <c r="WTP222" s="34"/>
      <c r="WTQ222" s="34"/>
      <c r="WTR222" s="35"/>
      <c r="WTS222" s="35"/>
      <c r="WTT222" s="35"/>
      <c r="WTU222" s="35"/>
      <c r="WTV222" s="35"/>
      <c r="WTW222" s="34"/>
      <c r="WTX222" s="34"/>
      <c r="WTY222" s="36"/>
      <c r="WTZ222" s="36"/>
      <c r="WUA222" s="37"/>
      <c r="WUB222" s="37"/>
      <c r="WUC222" s="38"/>
      <c r="WUD222" s="38"/>
      <c r="WUE222" s="39"/>
      <c r="WUF222" s="34"/>
      <c r="WUG222" s="34"/>
      <c r="WUH222" s="34"/>
      <c r="WUI222" s="35"/>
      <c r="WUJ222" s="35"/>
      <c r="WUK222" s="35"/>
      <c r="WUL222" s="35"/>
      <c r="WUM222" s="35"/>
      <c r="WUN222" s="34"/>
      <c r="WUO222" s="34"/>
      <c r="WUP222" s="36"/>
      <c r="WUQ222" s="36"/>
      <c r="WUR222" s="37"/>
      <c r="WUS222" s="37"/>
      <c r="WUT222" s="38"/>
      <c r="WUU222" s="38"/>
      <c r="WUV222" s="39"/>
      <c r="WUW222" s="34"/>
      <c r="WUX222" s="34"/>
      <c r="WUY222" s="34"/>
      <c r="WUZ222" s="35"/>
      <c r="WVA222" s="35"/>
      <c r="WVB222" s="35"/>
      <c r="WVC222" s="35"/>
      <c r="WVD222" s="35"/>
      <c r="WVE222" s="34"/>
      <c r="WVF222" s="34"/>
      <c r="WVG222" s="36"/>
      <c r="WVH222" s="36"/>
      <c r="WVI222" s="37"/>
      <c r="WVJ222" s="37"/>
      <c r="WVK222" s="38"/>
      <c r="WVL222" s="38"/>
      <c r="WVM222" s="39"/>
      <c r="WVN222" s="34"/>
      <c r="WVO222" s="34"/>
      <c r="WVP222" s="34"/>
      <c r="WVQ222" s="35"/>
      <c r="WVR222" s="35"/>
      <c r="WVS222" s="35"/>
      <c r="WVT222" s="35"/>
      <c r="WVU222" s="35"/>
      <c r="WVV222" s="34"/>
      <c r="WVW222" s="34"/>
      <c r="WVX222" s="36"/>
      <c r="WVY222" s="36"/>
      <c r="WVZ222" s="37"/>
      <c r="WWA222" s="37"/>
      <c r="WWB222" s="38"/>
      <c r="WWC222" s="38"/>
      <c r="WWD222" s="39"/>
      <c r="WWE222" s="34"/>
      <c r="WWF222" s="34"/>
      <c r="WWG222" s="34"/>
      <c r="WWH222" s="35"/>
      <c r="WWI222" s="35"/>
      <c r="WWJ222" s="35"/>
      <c r="WWK222" s="35"/>
      <c r="WWL222" s="35"/>
      <c r="WWM222" s="34"/>
      <c r="WWN222" s="34"/>
      <c r="WWO222" s="36"/>
      <c r="WWP222" s="36"/>
      <c r="WWQ222" s="37"/>
      <c r="WWR222" s="37"/>
      <c r="WWS222" s="38"/>
      <c r="WWT222" s="38"/>
      <c r="WWU222" s="39"/>
      <c r="WWV222" s="34"/>
      <c r="WWW222" s="34"/>
      <c r="WWX222" s="34"/>
      <c r="WWY222" s="35"/>
      <c r="WWZ222" s="35"/>
      <c r="WXA222" s="35"/>
      <c r="WXB222" s="35"/>
      <c r="WXC222" s="35"/>
      <c r="WXD222" s="34"/>
      <c r="WXE222" s="34"/>
      <c r="WXF222" s="36"/>
      <c r="WXG222" s="36"/>
      <c r="WXH222" s="37"/>
      <c r="WXI222" s="37"/>
      <c r="WXJ222" s="38"/>
      <c r="WXK222" s="38"/>
      <c r="WXL222" s="39"/>
      <c r="WXM222" s="34"/>
      <c r="WXN222" s="34"/>
      <c r="WXO222" s="34"/>
      <c r="WXP222" s="35"/>
      <c r="WXQ222" s="35"/>
      <c r="WXR222" s="35"/>
      <c r="WXS222" s="35"/>
      <c r="WXT222" s="35"/>
      <c r="WXU222" s="34"/>
      <c r="WXV222" s="34"/>
      <c r="WXW222" s="36"/>
      <c r="WXX222" s="36"/>
      <c r="WXY222" s="37"/>
      <c r="WXZ222" s="37"/>
      <c r="WYA222" s="38"/>
      <c r="WYB222" s="38"/>
      <c r="WYC222" s="39"/>
      <c r="WYD222" s="34"/>
      <c r="WYE222" s="34"/>
      <c r="WYF222" s="34"/>
      <c r="WYG222" s="35"/>
      <c r="WYH222" s="35"/>
      <c r="WYI222" s="35"/>
      <c r="WYJ222" s="35"/>
      <c r="WYK222" s="35"/>
      <c r="WYL222" s="34"/>
      <c r="WYM222" s="34"/>
      <c r="WYN222" s="36"/>
      <c r="WYO222" s="36"/>
      <c r="WYP222" s="37"/>
      <c r="WYQ222" s="37"/>
      <c r="WYR222" s="38"/>
      <c r="WYS222" s="38"/>
      <c r="WYT222" s="39"/>
      <c r="WYU222" s="34"/>
      <c r="WYV222" s="34"/>
      <c r="WYW222" s="34"/>
      <c r="WYX222" s="35"/>
      <c r="WYY222" s="35"/>
      <c r="WYZ222" s="35"/>
      <c r="WZA222" s="35"/>
      <c r="WZB222" s="35"/>
      <c r="WZC222" s="34"/>
      <c r="WZD222" s="34"/>
      <c r="WZE222" s="36"/>
      <c r="WZF222" s="36"/>
      <c r="WZG222" s="37"/>
      <c r="WZH222" s="37"/>
      <c r="WZI222" s="38"/>
      <c r="WZJ222" s="38"/>
      <c r="WZK222" s="39"/>
      <c r="WZL222" s="34"/>
      <c r="WZM222" s="34"/>
      <c r="WZN222" s="34"/>
      <c r="WZO222" s="35"/>
      <c r="WZP222" s="35"/>
      <c r="WZQ222" s="35"/>
      <c r="WZR222" s="35"/>
      <c r="WZS222" s="35"/>
      <c r="WZT222" s="34"/>
      <c r="WZU222" s="34"/>
      <c r="WZV222" s="36"/>
      <c r="WZW222" s="36"/>
      <c r="WZX222" s="37"/>
      <c r="WZY222" s="37"/>
      <c r="WZZ222" s="38"/>
      <c r="XAA222" s="38"/>
      <c r="XAB222" s="39"/>
      <c r="XAC222" s="34"/>
      <c r="XAD222" s="34"/>
      <c r="XAE222" s="34"/>
      <c r="XAF222" s="35"/>
      <c r="XAG222" s="35"/>
      <c r="XAH222" s="35"/>
      <c r="XAI222" s="35"/>
      <c r="XAJ222" s="35"/>
      <c r="XAK222" s="34"/>
      <c r="XAL222" s="34"/>
      <c r="XAM222" s="36"/>
      <c r="XAN222" s="36"/>
      <c r="XAO222" s="37"/>
      <c r="XAP222" s="37"/>
      <c r="XAQ222" s="38"/>
      <c r="XAR222" s="38"/>
      <c r="XAS222" s="39"/>
      <c r="XAT222" s="34"/>
      <c r="XAU222" s="34"/>
      <c r="XAV222" s="34"/>
      <c r="XAW222" s="35"/>
      <c r="XAX222" s="35"/>
      <c r="XAY222" s="35"/>
      <c r="XAZ222" s="35"/>
      <c r="XBA222" s="35"/>
      <c r="XBB222" s="34"/>
      <c r="XBC222" s="34"/>
      <c r="XBD222" s="36"/>
      <c r="XBE222" s="36"/>
      <c r="XBF222" s="37"/>
      <c r="XBG222" s="37"/>
      <c r="XBH222" s="38"/>
      <c r="XBI222" s="38"/>
      <c r="XBJ222" s="39"/>
      <c r="XBK222" s="34"/>
      <c r="XBL222" s="34"/>
      <c r="XBM222" s="34"/>
      <c r="XBN222" s="35"/>
      <c r="XBO222" s="35"/>
      <c r="XBP222" s="35"/>
      <c r="XBQ222" s="35"/>
      <c r="XBR222" s="35"/>
      <c r="XBS222" s="34"/>
      <c r="XBT222" s="34"/>
      <c r="XBU222" s="36"/>
      <c r="XBV222" s="36"/>
      <c r="XBW222" s="37"/>
      <c r="XBX222" s="37"/>
      <c r="XBY222" s="38"/>
      <c r="XBZ222" s="38"/>
      <c r="XCA222" s="39"/>
      <c r="XCB222" s="34"/>
      <c r="XCC222" s="34"/>
      <c r="XCD222" s="34"/>
      <c r="XCE222" s="35"/>
      <c r="XCF222" s="35"/>
      <c r="XCG222" s="35"/>
      <c r="XCH222" s="35"/>
      <c r="XCI222" s="35"/>
      <c r="XCJ222" s="34"/>
      <c r="XCK222" s="34"/>
      <c r="XCL222" s="36"/>
      <c r="XCM222" s="36"/>
      <c r="XCN222" s="37"/>
      <c r="XCO222" s="37"/>
      <c r="XCP222" s="38"/>
      <c r="XCQ222" s="38"/>
      <c r="XCR222" s="39"/>
      <c r="XCS222" s="34"/>
      <c r="XCT222" s="34"/>
      <c r="XCU222" s="34"/>
      <c r="XCV222" s="35"/>
      <c r="XCW222" s="35"/>
      <c r="XCX222" s="35"/>
      <c r="XCY222" s="35"/>
      <c r="XCZ222" s="35"/>
      <c r="XDA222" s="34"/>
      <c r="XDB222" s="34"/>
      <c r="XDC222" s="36"/>
      <c r="XDD222" s="36"/>
      <c r="XDE222" s="37"/>
      <c r="XDF222" s="37"/>
      <c r="XDG222" s="38"/>
      <c r="XDH222" s="38"/>
      <c r="XDI222" s="39"/>
      <c r="XDJ222" s="34"/>
      <c r="XDK222" s="34"/>
      <c r="XDL222" s="34"/>
      <c r="XDM222" s="35"/>
      <c r="XDN222" s="35"/>
      <c r="XDO222" s="35"/>
      <c r="XDP222" s="35"/>
      <c r="XDQ222" s="35"/>
      <c r="XDR222" s="34"/>
      <c r="XDS222" s="34"/>
      <c r="XDT222" s="36"/>
      <c r="XDU222" s="36"/>
      <c r="XDV222" s="37"/>
      <c r="XDW222" s="37"/>
      <c r="XDX222" s="38"/>
      <c r="XDY222" s="38"/>
      <c r="XDZ222" s="39"/>
      <c r="XEA222" s="34"/>
      <c r="XEB222" s="34"/>
      <c r="XEC222" s="34"/>
      <c r="XED222" s="35"/>
      <c r="XEE222" s="35"/>
      <c r="XEF222" s="35"/>
      <c r="XEG222" s="35"/>
      <c r="XEH222" s="35"/>
      <c r="XEI222" s="34"/>
      <c r="XEJ222" s="34"/>
      <c r="XEK222" s="36"/>
      <c r="XEL222" s="36"/>
      <c r="XEM222" s="37"/>
      <c r="XEN222" s="37"/>
      <c r="XEO222" s="38"/>
      <c r="XEP222" s="38"/>
      <c r="XEQ222" s="39"/>
      <c r="XER222" s="34"/>
      <c r="XES222" s="34"/>
      <c r="XET222" s="34"/>
      <c r="XEU222" s="35"/>
      <c r="XEV222" s="35"/>
      <c r="XEW222" s="35"/>
      <c r="XEX222" s="35"/>
      <c r="XEY222" s="35"/>
      <c r="XEZ222" s="34"/>
      <c r="XFA222" s="34"/>
      <c r="XFB222" s="36"/>
      <c r="XFC222" s="36"/>
      <c r="XFD222" s="37"/>
    </row>
    <row r="223" spans="1:16384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16384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34">
        <v>0</v>
      </c>
      <c r="B234" s="34">
        <v>1</v>
      </c>
      <c r="C234" s="34">
        <v>7</v>
      </c>
      <c r="D234" s="39" t="s">
        <v>1500</v>
      </c>
      <c r="E234" s="35" t="s">
        <v>29</v>
      </c>
      <c r="F234" s="39" t="s">
        <v>1009</v>
      </c>
      <c r="G234" s="39" t="s">
        <v>242</v>
      </c>
      <c r="H234" s="39" t="s">
        <v>357</v>
      </c>
      <c r="I234" s="40" t="s">
        <v>1010</v>
      </c>
      <c r="J234" s="34">
        <v>1</v>
      </c>
      <c r="K234" s="36" t="s">
        <v>968</v>
      </c>
      <c r="L234" s="36" t="s">
        <v>701</v>
      </c>
      <c r="M234" s="37" t="s">
        <v>980</v>
      </c>
      <c r="N234" s="37" t="s">
        <v>1816</v>
      </c>
      <c r="O234" s="38">
        <v>1</v>
      </c>
      <c r="P234" s="38"/>
      <c r="Q234" s="39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1</v>
      </c>
      <c r="AF234" s="1">
        <f t="shared" si="75"/>
        <v>0</v>
      </c>
      <c r="AG234" s="1">
        <f t="shared" si="76"/>
        <v>1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8" si="91">+O264*P264*(1-A264)</f>
        <v>1</v>
      </c>
      <c r="AG264" s="1">
        <f t="shared" ref="AG264:AG328" si="92">O264*(1-P264)*(1-A264)</f>
        <v>0</v>
      </c>
      <c r="AH264" s="1">
        <f t="shared" ref="AH264:AH328" si="93">+P264*(1-A264)</f>
        <v>1</v>
      </c>
      <c r="AI264" s="1">
        <f t="shared" ref="AI264:AI328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2" si="95">IF(J268=$S$7,1,0)</f>
        <v>0</v>
      </c>
      <c r="T268" s="1">
        <f t="shared" ref="T268:T332" si="96">IF(J268=$T$7,1,0)</f>
        <v>0</v>
      </c>
      <c r="U268" s="1">
        <f t="shared" ref="U268:U332" si="97">IF(J268=$U$7,1,0)</f>
        <v>0</v>
      </c>
      <c r="V268" s="1">
        <f t="shared" ref="V268:V332" si="98">IF(J268=$V$7,1,0)</f>
        <v>0</v>
      </c>
      <c r="W268" s="1">
        <f t="shared" ref="W268:W332" si="99">IF(J268=$W$7,1,0)</f>
        <v>0</v>
      </c>
      <c r="X268" s="1">
        <f t="shared" ref="X268:X332" si="100">IF(J268=$X$7,1,0)</f>
        <v>0</v>
      </c>
      <c r="Y268" s="1">
        <f t="shared" ref="Y268:Y332" si="101">IF(J268=$Y$7,1,0)</f>
        <v>0</v>
      </c>
      <c r="Z268" s="1">
        <f t="shared" ref="Z268:Z332" si="102">IF(J268=$Z$7,1,0)</f>
        <v>0</v>
      </c>
      <c r="AA268" s="1">
        <f t="shared" ref="AA268:AA332" si="103">IF(J268=$AA$7,1,0)</f>
        <v>0</v>
      </c>
      <c r="AB268" s="1">
        <f t="shared" ref="AB268:AB332" si="104">IF(J268=$AB$7,1,0)</f>
        <v>1</v>
      </c>
      <c r="AD268" s="1">
        <f t="shared" ref="AD268:AD332" si="105">+O268*P268</f>
        <v>0</v>
      </c>
      <c r="AE268" s="1">
        <f t="shared" ref="AE268:AE332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6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6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6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6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6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6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6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6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6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6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6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6" s="2" customFormat="1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R316" s="1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C316" s="1"/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  <c r="AJ316" s="1"/>
    </row>
    <row r="317" spans="1:36" s="2" customFormat="1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R317" s="1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C317" s="1"/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  <c r="AJ317" s="1"/>
    </row>
    <row r="318" spans="1:36" s="2" customFormat="1" ht="14.25" customHeight="1" x14ac:dyDescent="0.25">
      <c r="A318" s="34">
        <v>0</v>
      </c>
      <c r="B318" s="34">
        <v>2</v>
      </c>
      <c r="C318" s="34">
        <v>2</v>
      </c>
      <c r="D318" s="35" t="s">
        <v>1940</v>
      </c>
      <c r="E318" s="35" t="s">
        <v>1941</v>
      </c>
      <c r="F318" s="35" t="s">
        <v>1942</v>
      </c>
      <c r="G318" s="35" t="s">
        <v>186</v>
      </c>
      <c r="H318" s="35" t="s">
        <v>357</v>
      </c>
      <c r="I318" s="34" t="s">
        <v>1944</v>
      </c>
      <c r="J318" s="34">
        <v>99</v>
      </c>
      <c r="K318" s="36" t="s">
        <v>710</v>
      </c>
      <c r="L318" s="36"/>
      <c r="M318" s="37"/>
      <c r="N318" s="37" t="s">
        <v>1742</v>
      </c>
      <c r="O318" s="38">
        <v>1</v>
      </c>
      <c r="P318" s="38">
        <v>1</v>
      </c>
      <c r="Q318" s="35" t="s">
        <v>1943</v>
      </c>
      <c r="R318" s="1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0</v>
      </c>
      <c r="AC318" s="1"/>
      <c r="AD318" s="1">
        <f t="shared" si="105"/>
        <v>1</v>
      </c>
      <c r="AE318" s="1">
        <f t="shared" si="106"/>
        <v>0</v>
      </c>
      <c r="AF318" s="1">
        <f t="shared" si="91"/>
        <v>1</v>
      </c>
      <c r="AG318" s="1">
        <f t="shared" si="92"/>
        <v>0</v>
      </c>
      <c r="AH318" s="1">
        <f t="shared" si="93"/>
        <v>1</v>
      </c>
      <c r="AI318" s="1">
        <f t="shared" si="94"/>
        <v>0</v>
      </c>
      <c r="AJ318" s="1"/>
    </row>
    <row r="319" spans="1:36" s="2" customFormat="1" ht="14.25" customHeight="1" x14ac:dyDescent="0.25">
      <c r="A319" s="47">
        <v>0</v>
      </c>
      <c r="B319" s="47">
        <v>2</v>
      </c>
      <c r="C319" s="47">
        <v>2</v>
      </c>
      <c r="D319" s="48" t="s">
        <v>1658</v>
      </c>
      <c r="E319" s="48" t="s">
        <v>1182</v>
      </c>
      <c r="F319" s="48" t="s">
        <v>1689</v>
      </c>
      <c r="G319" s="48" t="s">
        <v>182</v>
      </c>
      <c r="H319" s="48" t="s">
        <v>357</v>
      </c>
      <c r="I319" s="47" t="s">
        <v>1509</v>
      </c>
      <c r="J319" s="47">
        <v>10</v>
      </c>
      <c r="K319" s="49" t="s">
        <v>719</v>
      </c>
      <c r="L319" s="49">
        <v>15</v>
      </c>
      <c r="M319" s="50" t="s">
        <v>39</v>
      </c>
      <c r="N319" s="50" t="s">
        <v>1755</v>
      </c>
      <c r="O319" s="51"/>
      <c r="P319" s="51"/>
      <c r="Q319" s="48"/>
      <c r="R319" s="1"/>
      <c r="S319" s="1">
        <f t="shared" si="95"/>
        <v>0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1</v>
      </c>
      <c r="AC319" s="1"/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  <c r="AJ319" s="1"/>
    </row>
    <row r="320" spans="1:36" s="2" customFormat="1" ht="14.25" customHeight="1" x14ac:dyDescent="0.25">
      <c r="A320" s="47">
        <v>0</v>
      </c>
      <c r="B320" s="47">
        <v>2</v>
      </c>
      <c r="C320" s="47">
        <v>2</v>
      </c>
      <c r="D320" s="48" t="s">
        <v>869</v>
      </c>
      <c r="E320" s="48" t="s">
        <v>549</v>
      </c>
      <c r="F320" s="48" t="s">
        <v>870</v>
      </c>
      <c r="G320" s="48" t="s">
        <v>317</v>
      </c>
      <c r="H320" s="48" t="s">
        <v>357</v>
      </c>
      <c r="I320" s="47" t="s">
        <v>871</v>
      </c>
      <c r="J320" s="47">
        <v>1</v>
      </c>
      <c r="K320" s="49" t="s">
        <v>719</v>
      </c>
      <c r="L320" s="49">
        <v>25</v>
      </c>
      <c r="M320" s="50" t="s">
        <v>39</v>
      </c>
      <c r="N320" s="50" t="s">
        <v>1750</v>
      </c>
      <c r="O320" s="51"/>
      <c r="P320" s="51"/>
      <c r="Q320" s="48"/>
      <c r="R320" s="1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C320" s="1"/>
      <c r="AD320" s="1">
        <f t="shared" si="105"/>
        <v>0</v>
      </c>
      <c r="AE320" s="1">
        <f t="shared" si="106"/>
        <v>0</v>
      </c>
      <c r="AF320" s="1">
        <f t="shared" si="91"/>
        <v>0</v>
      </c>
      <c r="AG320" s="1">
        <f t="shared" si="92"/>
        <v>0</v>
      </c>
      <c r="AH320" s="1">
        <f t="shared" si="93"/>
        <v>0</v>
      </c>
      <c r="AI320" s="1">
        <f t="shared" si="94"/>
        <v>1</v>
      </c>
      <c r="AJ320" s="1"/>
    </row>
    <row r="321" spans="1:36" s="2" customFormat="1" ht="14.25" customHeight="1" x14ac:dyDescent="0.25">
      <c r="A321" s="34">
        <v>0</v>
      </c>
      <c r="B321" s="34">
        <v>2</v>
      </c>
      <c r="C321" s="34">
        <v>3</v>
      </c>
      <c r="D321" s="35" t="s">
        <v>573</v>
      </c>
      <c r="E321" s="35" t="s">
        <v>38</v>
      </c>
      <c r="F321" s="35" t="s">
        <v>239</v>
      </c>
      <c r="G321" s="35" t="s">
        <v>544</v>
      </c>
      <c r="H321" s="35" t="s">
        <v>357</v>
      </c>
      <c r="I321" s="34" t="s">
        <v>406</v>
      </c>
      <c r="J321" s="34">
        <v>1</v>
      </c>
      <c r="K321" s="36" t="s">
        <v>719</v>
      </c>
      <c r="L321" s="36" t="s">
        <v>731</v>
      </c>
      <c r="M321" s="37" t="s">
        <v>732</v>
      </c>
      <c r="N321" s="37" t="s">
        <v>1742</v>
      </c>
      <c r="O321" s="38">
        <v>1</v>
      </c>
      <c r="P321" s="38">
        <v>1</v>
      </c>
      <c r="Q321" s="35"/>
      <c r="R321" s="1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C321" s="1"/>
      <c r="AD321" s="1">
        <f t="shared" si="105"/>
        <v>1</v>
      </c>
      <c r="AE321" s="1">
        <f t="shared" si="106"/>
        <v>0</v>
      </c>
      <c r="AF321" s="1">
        <f t="shared" si="91"/>
        <v>1</v>
      </c>
      <c r="AG321" s="1">
        <f t="shared" si="92"/>
        <v>0</v>
      </c>
      <c r="AH321" s="1">
        <f t="shared" si="93"/>
        <v>1</v>
      </c>
      <c r="AI321" s="1">
        <f t="shared" si="94"/>
        <v>0</v>
      </c>
      <c r="AJ321" s="1"/>
    </row>
    <row r="322" spans="1:36" s="2" customFormat="1" ht="14.25" customHeight="1" x14ac:dyDescent="0.25">
      <c r="A322" s="47">
        <v>0</v>
      </c>
      <c r="B322" s="47">
        <v>2</v>
      </c>
      <c r="C322" s="47">
        <v>3</v>
      </c>
      <c r="D322" s="48" t="s">
        <v>857</v>
      </c>
      <c r="E322" s="48" t="s">
        <v>34</v>
      </c>
      <c r="F322" s="48" t="s">
        <v>933</v>
      </c>
      <c r="G322" s="48" t="s">
        <v>643</v>
      </c>
      <c r="H322" s="48" t="s">
        <v>357</v>
      </c>
      <c r="I322" s="47" t="s">
        <v>858</v>
      </c>
      <c r="J322" s="47">
        <v>1</v>
      </c>
      <c r="K322" s="49" t="s">
        <v>961</v>
      </c>
      <c r="L322" s="49" t="s">
        <v>736</v>
      </c>
      <c r="M322" s="50" t="s">
        <v>730</v>
      </c>
      <c r="N322" s="50" t="s">
        <v>1750</v>
      </c>
      <c r="O322" s="51"/>
      <c r="P322" s="51"/>
      <c r="Q322" s="48"/>
      <c r="R322" s="1"/>
      <c r="S322" s="1">
        <f t="shared" si="95"/>
        <v>1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C322" s="1"/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  <c r="AJ322" s="1"/>
    </row>
    <row r="323" spans="1:36" s="2" customFormat="1" ht="14.25" customHeight="1" x14ac:dyDescent="0.25">
      <c r="A323" s="47">
        <v>0</v>
      </c>
      <c r="B323" s="47">
        <v>2</v>
      </c>
      <c r="C323" s="47">
        <v>3</v>
      </c>
      <c r="D323" s="48" t="s">
        <v>800</v>
      </c>
      <c r="E323" s="48" t="s">
        <v>32</v>
      </c>
      <c r="F323" s="48" t="s">
        <v>801</v>
      </c>
      <c r="G323" s="48" t="s">
        <v>253</v>
      </c>
      <c r="H323" s="48" t="s">
        <v>357</v>
      </c>
      <c r="I323" s="47" t="s">
        <v>802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1752</v>
      </c>
      <c r="O323" s="51"/>
      <c r="P323" s="51"/>
      <c r="Q323" s="48"/>
      <c r="R323" s="1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C323" s="1"/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3</v>
      </c>
      <c r="D324" s="48" t="s">
        <v>56</v>
      </c>
      <c r="E324" s="48" t="s">
        <v>163</v>
      </c>
      <c r="F324" s="48" t="s">
        <v>221</v>
      </c>
      <c r="G324" s="48" t="s">
        <v>198</v>
      </c>
      <c r="H324" s="48" t="s">
        <v>357</v>
      </c>
      <c r="I324" s="47" t="s">
        <v>556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1817</v>
      </c>
      <c r="O324" s="51"/>
      <c r="P324" s="51"/>
      <c r="Q324" s="48"/>
      <c r="R324" s="1"/>
      <c r="S324" s="1">
        <f t="shared" si="95"/>
        <v>0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C324" s="1"/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  <c r="AJ324" s="1"/>
    </row>
    <row r="325" spans="1:36" s="2" customFormat="1" ht="14.25" customHeight="1" x14ac:dyDescent="0.25">
      <c r="A325" s="47">
        <v>0</v>
      </c>
      <c r="B325" s="47">
        <v>2</v>
      </c>
      <c r="C325" s="47">
        <v>3</v>
      </c>
      <c r="D325" s="48" t="s">
        <v>1189</v>
      </c>
      <c r="E325" s="48" t="s">
        <v>1349</v>
      </c>
      <c r="F325" s="48" t="s">
        <v>1190</v>
      </c>
      <c r="G325" s="48" t="s">
        <v>305</v>
      </c>
      <c r="H325" s="48" t="s">
        <v>357</v>
      </c>
      <c r="I325" s="47" t="s">
        <v>1191</v>
      </c>
      <c r="J325" s="47">
        <v>1</v>
      </c>
      <c r="K325" s="49" t="s">
        <v>962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R325" s="1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C325" s="1"/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  <c r="AJ325" s="1"/>
    </row>
    <row r="326" spans="1:36" s="2" customFormat="1" ht="14.25" customHeight="1" x14ac:dyDescent="0.25">
      <c r="A326" s="47">
        <v>0</v>
      </c>
      <c r="B326" s="47">
        <v>2</v>
      </c>
      <c r="C326" s="47">
        <v>3</v>
      </c>
      <c r="D326" s="48" t="s">
        <v>1186</v>
      </c>
      <c r="E326" s="48" t="s">
        <v>1349</v>
      </c>
      <c r="F326" s="48" t="s">
        <v>1187</v>
      </c>
      <c r="G326" s="48" t="s">
        <v>1066</v>
      </c>
      <c r="H326" s="48" t="s">
        <v>357</v>
      </c>
      <c r="I326" s="47" t="s">
        <v>1188</v>
      </c>
      <c r="J326" s="47">
        <v>1</v>
      </c>
      <c r="K326" s="49" t="s">
        <v>720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R326" s="1"/>
      <c r="S326" s="1">
        <f t="shared" si="95"/>
        <v>1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C326" s="1"/>
      <c r="AD326" s="1">
        <f t="shared" si="105"/>
        <v>0</v>
      </c>
      <c r="AE326" s="1">
        <f t="shared" si="106"/>
        <v>0</v>
      </c>
      <c r="AF326" s="1">
        <f t="shared" si="91"/>
        <v>0</v>
      </c>
      <c r="AG326" s="1">
        <f t="shared" si="92"/>
        <v>0</v>
      </c>
      <c r="AH326" s="1">
        <f t="shared" si="93"/>
        <v>0</v>
      </c>
      <c r="AI326" s="1">
        <f t="shared" si="94"/>
        <v>1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3</v>
      </c>
      <c r="D327" s="35" t="s">
        <v>1308</v>
      </c>
      <c r="E327" s="35" t="s">
        <v>32</v>
      </c>
      <c r="F327" s="35" t="s">
        <v>1309</v>
      </c>
      <c r="G327" s="35" t="s">
        <v>224</v>
      </c>
      <c r="H327" s="35" t="s">
        <v>357</v>
      </c>
      <c r="I327" s="34" t="s">
        <v>1704</v>
      </c>
      <c r="J327" s="34">
        <v>99</v>
      </c>
      <c r="K327" s="36" t="s">
        <v>720</v>
      </c>
      <c r="L327" s="36" t="s">
        <v>723</v>
      </c>
      <c r="M327" s="37" t="s">
        <v>1310</v>
      </c>
      <c r="N327" s="37" t="s">
        <v>1742</v>
      </c>
      <c r="O327" s="38">
        <v>1</v>
      </c>
      <c r="P327" s="38">
        <v>1</v>
      </c>
      <c r="Q327" s="35"/>
      <c r="R327" s="1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0</v>
      </c>
      <c r="AA327" s="1">
        <f t="shared" si="103"/>
        <v>0</v>
      </c>
      <c r="AB327" s="1">
        <f t="shared" si="104"/>
        <v>0</v>
      </c>
      <c r="AC327" s="1"/>
      <c r="AD327" s="1">
        <f t="shared" si="105"/>
        <v>1</v>
      </c>
      <c r="AE327" s="1">
        <f t="shared" si="106"/>
        <v>0</v>
      </c>
      <c r="AF327" s="1">
        <f t="shared" si="91"/>
        <v>1</v>
      </c>
      <c r="AG327" s="1">
        <f t="shared" si="92"/>
        <v>0</v>
      </c>
      <c r="AH327" s="1">
        <f t="shared" si="93"/>
        <v>1</v>
      </c>
      <c r="AI327" s="1">
        <f t="shared" si="94"/>
        <v>0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3</v>
      </c>
      <c r="D328" s="35" t="s">
        <v>768</v>
      </c>
      <c r="E328" s="35" t="s">
        <v>920</v>
      </c>
      <c r="F328" s="35" t="s">
        <v>769</v>
      </c>
      <c r="G328" s="35" t="s">
        <v>222</v>
      </c>
      <c r="H328" s="35" t="s">
        <v>357</v>
      </c>
      <c r="I328" s="34" t="s">
        <v>770</v>
      </c>
      <c r="J328" s="34">
        <v>8</v>
      </c>
      <c r="K328" s="36" t="s">
        <v>962</v>
      </c>
      <c r="L328" s="36" t="s">
        <v>736</v>
      </c>
      <c r="M328" s="37" t="s">
        <v>730</v>
      </c>
      <c r="N328" s="37" t="s">
        <v>1763</v>
      </c>
      <c r="O328" s="38">
        <v>1</v>
      </c>
      <c r="P328" s="38"/>
      <c r="Q328" s="35"/>
      <c r="R328" s="1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0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1</v>
      </c>
      <c r="AA328" s="1">
        <f t="shared" si="103"/>
        <v>0</v>
      </c>
      <c r="AB328" s="1">
        <f t="shared" si="104"/>
        <v>0</v>
      </c>
      <c r="AC328" s="1"/>
      <c r="AD328" s="1">
        <f t="shared" si="105"/>
        <v>0</v>
      </c>
      <c r="AE328" s="1">
        <f t="shared" si="106"/>
        <v>1</v>
      </c>
      <c r="AF328" s="1">
        <f t="shared" si="91"/>
        <v>0</v>
      </c>
      <c r="AG328" s="1">
        <f t="shared" si="92"/>
        <v>1</v>
      </c>
      <c r="AH328" s="1">
        <f t="shared" si="93"/>
        <v>0</v>
      </c>
      <c r="AI328" s="1">
        <f t="shared" si="94"/>
        <v>1</v>
      </c>
      <c r="AJ328" s="1"/>
    </row>
    <row r="329" spans="1:36" s="2" customFormat="1" ht="14.25" customHeight="1" x14ac:dyDescent="0.25">
      <c r="A329" s="47">
        <v>0</v>
      </c>
      <c r="B329" s="47">
        <v>2</v>
      </c>
      <c r="C329" s="47">
        <v>3</v>
      </c>
      <c r="D329" s="48" t="s">
        <v>1510</v>
      </c>
      <c r="E329" s="48" t="s">
        <v>1511</v>
      </c>
      <c r="F329" s="48" t="s">
        <v>1512</v>
      </c>
      <c r="G329" s="48" t="s">
        <v>240</v>
      </c>
      <c r="H329" s="48" t="s">
        <v>357</v>
      </c>
      <c r="I329" s="47" t="s">
        <v>1513</v>
      </c>
      <c r="J329" s="47">
        <v>4</v>
      </c>
      <c r="K329" s="49" t="s">
        <v>719</v>
      </c>
      <c r="L329" s="49">
        <v>15</v>
      </c>
      <c r="M329" s="50" t="s">
        <v>39</v>
      </c>
      <c r="N329" s="50" t="s">
        <v>1817</v>
      </c>
      <c r="O329" s="51"/>
      <c r="P329" s="51"/>
      <c r="Q329" s="48"/>
      <c r="R329" s="1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1</v>
      </c>
      <c r="W329" s="1">
        <f t="shared" si="99"/>
        <v>0</v>
      </c>
      <c r="X329" s="1">
        <f t="shared" si="100"/>
        <v>0</v>
      </c>
      <c r="Y329" s="1">
        <f t="shared" si="101"/>
        <v>0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C329" s="1"/>
      <c r="AD329" s="1">
        <f t="shared" si="105"/>
        <v>0</v>
      </c>
      <c r="AE329" s="1">
        <f t="shared" si="106"/>
        <v>0</v>
      </c>
      <c r="AF329" s="1">
        <f t="shared" ref="AF329:AF393" si="107">+O329*P329*(1-A329)</f>
        <v>0</v>
      </c>
      <c r="AG329" s="1">
        <f t="shared" ref="AG329:AG393" si="108">O329*(1-P329)*(1-A329)</f>
        <v>0</v>
      </c>
      <c r="AH329" s="1">
        <f t="shared" ref="AH329:AH393" si="109">+P329*(1-A329)</f>
        <v>0</v>
      </c>
      <c r="AI329" s="1">
        <f t="shared" ref="AI329:AI393" si="110">+(1-A329)*(1-P329)</f>
        <v>1</v>
      </c>
      <c r="AJ329" s="1"/>
    </row>
    <row r="330" spans="1:36" s="2" customFormat="1" ht="14.25" customHeight="1" x14ac:dyDescent="0.25">
      <c r="A330" s="34">
        <v>0</v>
      </c>
      <c r="B330" s="34">
        <v>2</v>
      </c>
      <c r="C330" s="34">
        <v>3</v>
      </c>
      <c r="D330" s="35" t="s">
        <v>1568</v>
      </c>
      <c r="E330" s="35" t="s">
        <v>1569</v>
      </c>
      <c r="F330" s="35" t="s">
        <v>1570</v>
      </c>
      <c r="G330" s="35" t="s">
        <v>1571</v>
      </c>
      <c r="H330" s="35" t="s">
        <v>357</v>
      </c>
      <c r="I330" s="34" t="s">
        <v>1572</v>
      </c>
      <c r="J330" s="34">
        <v>7</v>
      </c>
      <c r="K330" s="36" t="s">
        <v>962</v>
      </c>
      <c r="L330" s="36">
        <v>10</v>
      </c>
      <c r="M330" s="37" t="s">
        <v>39</v>
      </c>
      <c r="N330" s="37" t="s">
        <v>1758</v>
      </c>
      <c r="O330" s="38">
        <v>1</v>
      </c>
      <c r="P330" s="38"/>
      <c r="Q330" s="35"/>
      <c r="R330" s="1"/>
      <c r="S330" s="1">
        <f t="shared" si="95"/>
        <v>0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1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C330" s="1"/>
      <c r="AD330" s="1">
        <f t="shared" si="105"/>
        <v>0</v>
      </c>
      <c r="AE330" s="1">
        <f t="shared" si="106"/>
        <v>1</v>
      </c>
      <c r="AF330" s="1">
        <f t="shared" si="107"/>
        <v>0</v>
      </c>
      <c r="AG330" s="1">
        <f t="shared" si="108"/>
        <v>1</v>
      </c>
      <c r="AH330" s="1">
        <f t="shared" si="109"/>
        <v>0</v>
      </c>
      <c r="AI330" s="1">
        <f t="shared" si="110"/>
        <v>1</v>
      </c>
      <c r="AJ330" s="1"/>
    </row>
    <row r="331" spans="1:36" s="2" customFormat="1" ht="14.25" customHeight="1" x14ac:dyDescent="0.25">
      <c r="A331" s="47">
        <v>0</v>
      </c>
      <c r="B331" s="47">
        <v>2</v>
      </c>
      <c r="C331" s="47">
        <v>3</v>
      </c>
      <c r="D331" s="48" t="s">
        <v>848</v>
      </c>
      <c r="E331" s="48" t="s">
        <v>32</v>
      </c>
      <c r="F331" s="48" t="s">
        <v>850</v>
      </c>
      <c r="G331" s="48" t="s">
        <v>39</v>
      </c>
      <c r="H331" s="48" t="s">
        <v>357</v>
      </c>
      <c r="I331" s="47" t="s">
        <v>849</v>
      </c>
      <c r="J331" s="47">
        <v>1</v>
      </c>
      <c r="K331" s="49" t="s">
        <v>720</v>
      </c>
      <c r="L331" s="49" t="s">
        <v>701</v>
      </c>
      <c r="M331" s="50" t="s">
        <v>1429</v>
      </c>
      <c r="N331" s="50" t="s">
        <v>1750</v>
      </c>
      <c r="O331" s="51"/>
      <c r="P331" s="51"/>
      <c r="Q331" s="48"/>
      <c r="R331" s="1"/>
      <c r="S331" s="1">
        <f t="shared" si="95"/>
        <v>1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C331" s="1"/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  <c r="AJ331" s="1"/>
    </row>
    <row r="332" spans="1:36" s="2" customFormat="1" ht="14.25" customHeight="1" x14ac:dyDescent="0.25">
      <c r="A332" s="15">
        <v>0</v>
      </c>
      <c r="B332" s="15">
        <v>2</v>
      </c>
      <c r="C332" s="15">
        <v>4</v>
      </c>
      <c r="D332" s="16" t="s">
        <v>771</v>
      </c>
      <c r="E332" s="16" t="s">
        <v>772</v>
      </c>
      <c r="F332" s="16" t="s">
        <v>773</v>
      </c>
      <c r="G332" s="16" t="s">
        <v>774</v>
      </c>
      <c r="H332" s="16" t="s">
        <v>357</v>
      </c>
      <c r="I332" s="15" t="s">
        <v>775</v>
      </c>
      <c r="J332" s="15">
        <v>99</v>
      </c>
      <c r="K332" s="10" t="s">
        <v>710</v>
      </c>
      <c r="L332" s="10">
        <v>15</v>
      </c>
      <c r="M332" s="19" t="s">
        <v>776</v>
      </c>
      <c r="N332" s="19"/>
      <c r="O332" s="1"/>
      <c r="P332" s="1"/>
      <c r="Q332" s="16"/>
      <c r="R332" s="1"/>
      <c r="S332" s="1">
        <f t="shared" si="95"/>
        <v>0</v>
      </c>
      <c r="T332" s="1">
        <f t="shared" si="96"/>
        <v>0</v>
      </c>
      <c r="U332" s="1">
        <f t="shared" si="97"/>
        <v>0</v>
      </c>
      <c r="V332" s="1">
        <f t="shared" si="98"/>
        <v>0</v>
      </c>
      <c r="W332" s="1">
        <f t="shared" si="99"/>
        <v>0</v>
      </c>
      <c r="X332" s="1">
        <f t="shared" si="100"/>
        <v>0</v>
      </c>
      <c r="Y332" s="1">
        <f t="shared" si="101"/>
        <v>0</v>
      </c>
      <c r="Z332" s="1">
        <f t="shared" si="102"/>
        <v>0</v>
      </c>
      <c r="AA332" s="1">
        <f t="shared" si="103"/>
        <v>0</v>
      </c>
      <c r="AB332" s="1">
        <f t="shared" si="104"/>
        <v>0</v>
      </c>
      <c r="AC332" s="1"/>
      <c r="AD332" s="1">
        <f t="shared" si="105"/>
        <v>0</v>
      </c>
      <c r="AE332" s="1">
        <f t="shared" si="106"/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4</v>
      </c>
      <c r="D333" s="48" t="s">
        <v>805</v>
      </c>
      <c r="E333" s="48" t="s">
        <v>915</v>
      </c>
      <c r="F333" s="48" t="s">
        <v>932</v>
      </c>
      <c r="G333" s="48" t="s">
        <v>210</v>
      </c>
      <c r="H333" s="48" t="s">
        <v>357</v>
      </c>
      <c r="I333" s="47" t="s">
        <v>1377</v>
      </c>
      <c r="J333" s="47">
        <v>3</v>
      </c>
      <c r="K333" s="49" t="s">
        <v>710</v>
      </c>
      <c r="L333" s="49">
        <v>20</v>
      </c>
      <c r="M333" s="50" t="s">
        <v>1431</v>
      </c>
      <c r="N333" s="50" t="s">
        <v>1817</v>
      </c>
      <c r="O333" s="51"/>
      <c r="P333" s="51"/>
      <c r="Q333" s="48"/>
      <c r="R333" s="1"/>
      <c r="S333" s="1">
        <f t="shared" ref="S333:S397" si="111">IF(J333=$S$7,1,0)</f>
        <v>0</v>
      </c>
      <c r="T333" s="1">
        <f t="shared" ref="T333:T397" si="112">IF(J333=$T$7,1,0)</f>
        <v>0</v>
      </c>
      <c r="U333" s="1">
        <f t="shared" ref="U333:U397" si="113">IF(J333=$U$7,1,0)</f>
        <v>1</v>
      </c>
      <c r="V333" s="1">
        <f t="shared" ref="V333:V397" si="114">IF(J333=$V$7,1,0)</f>
        <v>0</v>
      </c>
      <c r="W333" s="1">
        <f t="shared" ref="W333:W397" si="115">IF(J333=$W$7,1,0)</f>
        <v>0</v>
      </c>
      <c r="X333" s="1">
        <f t="shared" ref="X333:X397" si="116">IF(J333=$X$7,1,0)</f>
        <v>0</v>
      </c>
      <c r="Y333" s="1">
        <f t="shared" ref="Y333:Y397" si="117">IF(J333=$Y$7,1,0)</f>
        <v>0</v>
      </c>
      <c r="Z333" s="1">
        <f t="shared" ref="Z333:Z397" si="118">IF(J333=$Z$7,1,0)</f>
        <v>0</v>
      </c>
      <c r="AA333" s="1">
        <f t="shared" ref="AA333:AA397" si="119">IF(J333=$AA$7,1,0)</f>
        <v>0</v>
      </c>
      <c r="AB333" s="1">
        <f t="shared" ref="AB333:AB397" si="120">IF(J333=$AB$7,1,0)</f>
        <v>0</v>
      </c>
      <c r="AC333" s="1"/>
      <c r="AD333" s="1">
        <f t="shared" ref="AD333:AD397" si="121">+O333*P333</f>
        <v>0</v>
      </c>
      <c r="AE333" s="1">
        <f t="shared" ref="AE333:AE397" si="122">O333*(1-P333)</f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  <c r="AJ333" s="1"/>
    </row>
    <row r="334" spans="1:36" s="2" customFormat="1" ht="14.25" customHeight="1" x14ac:dyDescent="0.25">
      <c r="A334" s="60">
        <v>0</v>
      </c>
      <c r="B334" s="60">
        <v>2</v>
      </c>
      <c r="C334" s="60">
        <v>4</v>
      </c>
      <c r="D334" s="61" t="s">
        <v>572</v>
      </c>
      <c r="E334" s="61" t="s">
        <v>37</v>
      </c>
      <c r="F334" s="61" t="s">
        <v>207</v>
      </c>
      <c r="G334" s="61" t="s">
        <v>39</v>
      </c>
      <c r="H334" s="61" t="s">
        <v>357</v>
      </c>
      <c r="I334" s="60" t="s">
        <v>392</v>
      </c>
      <c r="J334" s="60">
        <v>6</v>
      </c>
      <c r="K334" s="62" t="s">
        <v>710</v>
      </c>
      <c r="L334" s="62" t="s">
        <v>39</v>
      </c>
      <c r="M334" s="63" t="s">
        <v>39</v>
      </c>
      <c r="N334" s="64"/>
      <c r="O334" s="65"/>
      <c r="P334" s="65"/>
      <c r="Q334" s="61"/>
      <c r="R334" s="1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1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0</v>
      </c>
      <c r="AC334" s="1"/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  <c r="AJ334" s="1"/>
    </row>
    <row r="335" spans="1:36" s="2" customFormat="1" ht="14.25" customHeight="1" x14ac:dyDescent="0.25">
      <c r="A335" s="47">
        <v>0</v>
      </c>
      <c r="B335" s="47">
        <v>2</v>
      </c>
      <c r="C335" s="47">
        <v>4</v>
      </c>
      <c r="D335" s="48" t="s">
        <v>658</v>
      </c>
      <c r="E335" s="48" t="s">
        <v>917</v>
      </c>
      <c r="F335" s="48" t="s">
        <v>629</v>
      </c>
      <c r="G335" s="48" t="s">
        <v>344</v>
      </c>
      <c r="H335" s="48" t="s">
        <v>357</v>
      </c>
      <c r="I335" s="47" t="s">
        <v>630</v>
      </c>
      <c r="J335" s="47">
        <v>10</v>
      </c>
      <c r="K335" s="49" t="s">
        <v>961</v>
      </c>
      <c r="L335" s="49" t="s">
        <v>711</v>
      </c>
      <c r="M335" s="50" t="s">
        <v>1433</v>
      </c>
      <c r="N335" s="50" t="s">
        <v>1749</v>
      </c>
      <c r="O335" s="51"/>
      <c r="P335" s="51"/>
      <c r="Q335" s="48"/>
      <c r="R335" s="1"/>
      <c r="S335" s="1">
        <f t="shared" si="111"/>
        <v>0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1</v>
      </c>
      <c r="AC335" s="1"/>
      <c r="AD335" s="1">
        <f t="shared" si="121"/>
        <v>0</v>
      </c>
      <c r="AE335" s="1">
        <f t="shared" si="122"/>
        <v>0</v>
      </c>
      <c r="AF335" s="1">
        <f t="shared" si="107"/>
        <v>0</v>
      </c>
      <c r="AG335" s="1">
        <f t="shared" si="108"/>
        <v>0</v>
      </c>
      <c r="AH335" s="1">
        <f t="shared" si="109"/>
        <v>0</v>
      </c>
      <c r="AI335" s="1">
        <f t="shared" si="110"/>
        <v>1</v>
      </c>
      <c r="AJ335" s="1"/>
    </row>
    <row r="336" spans="1:36" s="2" customFormat="1" ht="14.25" customHeight="1" x14ac:dyDescent="0.25">
      <c r="A336" s="34">
        <v>0</v>
      </c>
      <c r="B336" s="34">
        <v>2</v>
      </c>
      <c r="C336" s="34">
        <v>4</v>
      </c>
      <c r="D336" s="35" t="s">
        <v>76</v>
      </c>
      <c r="E336" s="35" t="s">
        <v>35</v>
      </c>
      <c r="F336" s="35" t="s">
        <v>269</v>
      </c>
      <c r="G336" s="35" t="s">
        <v>215</v>
      </c>
      <c r="H336" s="35" t="s">
        <v>357</v>
      </c>
      <c r="I336" s="34" t="s">
        <v>952</v>
      </c>
      <c r="J336" s="34">
        <v>1</v>
      </c>
      <c r="K336" s="36" t="s">
        <v>720</v>
      </c>
      <c r="L336" s="36" t="s">
        <v>711</v>
      </c>
      <c r="M336" s="37" t="s">
        <v>1434</v>
      </c>
      <c r="N336" s="37" t="s">
        <v>1758</v>
      </c>
      <c r="O336" s="38">
        <v>1</v>
      </c>
      <c r="P336" s="38"/>
      <c r="Q336" s="35"/>
      <c r="R336" s="1"/>
      <c r="S336" s="1">
        <f t="shared" si="111"/>
        <v>1</v>
      </c>
      <c r="T336" s="1">
        <f t="shared" si="112"/>
        <v>0</v>
      </c>
      <c r="U336" s="1">
        <f t="shared" si="113"/>
        <v>0</v>
      </c>
      <c r="V336" s="1">
        <f t="shared" si="114"/>
        <v>0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C336" s="1"/>
      <c r="AD336" s="1">
        <f t="shared" si="121"/>
        <v>0</v>
      </c>
      <c r="AE336" s="1">
        <f t="shared" si="122"/>
        <v>1</v>
      </c>
      <c r="AF336" s="1">
        <f t="shared" si="107"/>
        <v>0</v>
      </c>
      <c r="AG336" s="1">
        <f t="shared" si="108"/>
        <v>1</v>
      </c>
      <c r="AH336" s="1">
        <f t="shared" si="109"/>
        <v>0</v>
      </c>
      <c r="AI336" s="1">
        <f t="shared" si="110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4</v>
      </c>
      <c r="D337" s="48" t="s">
        <v>926</v>
      </c>
      <c r="E337" s="48" t="s">
        <v>919</v>
      </c>
      <c r="F337" s="48" t="s">
        <v>789</v>
      </c>
      <c r="G337" s="48" t="s">
        <v>288</v>
      </c>
      <c r="H337" s="48" t="s">
        <v>357</v>
      </c>
      <c r="I337" s="47" t="s">
        <v>953</v>
      </c>
      <c r="J337" s="47">
        <v>4</v>
      </c>
      <c r="K337" s="49" t="s">
        <v>720</v>
      </c>
      <c r="L337" s="49" t="s">
        <v>703</v>
      </c>
      <c r="M337" s="50" t="s">
        <v>1435</v>
      </c>
      <c r="N337" s="50" t="s">
        <v>1749</v>
      </c>
      <c r="O337" s="51"/>
      <c r="P337" s="51"/>
      <c r="Q337" s="48"/>
      <c r="R337" s="1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1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C337" s="1"/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0</v>
      </c>
      <c r="AI337" s="1">
        <f t="shared" si="110"/>
        <v>1</v>
      </c>
      <c r="AJ337" s="1"/>
    </row>
    <row r="338" spans="1:36" s="2" customFormat="1" ht="14.25" customHeight="1" x14ac:dyDescent="0.25">
      <c r="A338" s="41">
        <v>0</v>
      </c>
      <c r="B338" s="41">
        <v>2</v>
      </c>
      <c r="C338" s="41">
        <v>4</v>
      </c>
      <c r="D338" s="42" t="s">
        <v>1151</v>
      </c>
      <c r="E338" s="42" t="s">
        <v>779</v>
      </c>
      <c r="F338" s="42" t="s">
        <v>1152</v>
      </c>
      <c r="G338" s="42" t="s">
        <v>187</v>
      </c>
      <c r="H338" s="42" t="s">
        <v>357</v>
      </c>
      <c r="I338" s="41" t="s">
        <v>1180</v>
      </c>
      <c r="J338" s="41">
        <v>99</v>
      </c>
      <c r="K338" s="43" t="s">
        <v>720</v>
      </c>
      <c r="L338" s="43" t="s">
        <v>39</v>
      </c>
      <c r="M338" s="44" t="s">
        <v>39</v>
      </c>
      <c r="N338" s="45"/>
      <c r="O338" s="46"/>
      <c r="P338" s="46">
        <v>1</v>
      </c>
      <c r="Q338" s="42"/>
      <c r="R338" s="1"/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C338" s="1"/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1</v>
      </c>
      <c r="AI338" s="1">
        <f t="shared" si="110"/>
        <v>0</v>
      </c>
      <c r="AJ338" s="1"/>
    </row>
    <row r="339" spans="1:36" s="2" customFormat="1" ht="14.25" customHeight="1" x14ac:dyDescent="0.25">
      <c r="A339" s="15">
        <v>0</v>
      </c>
      <c r="B339" s="15">
        <v>2</v>
      </c>
      <c r="C339" s="15">
        <v>4</v>
      </c>
      <c r="D339" s="16" t="s">
        <v>634</v>
      </c>
      <c r="E339" s="16" t="s">
        <v>691</v>
      </c>
      <c r="F339" s="16" t="s">
        <v>676</v>
      </c>
      <c r="G339" s="16" t="s">
        <v>633</v>
      </c>
      <c r="H339" s="16" t="s">
        <v>357</v>
      </c>
      <c r="I339" s="15" t="s">
        <v>635</v>
      </c>
      <c r="J339" s="15">
        <v>99</v>
      </c>
      <c r="K339" s="10" t="s">
        <v>962</v>
      </c>
      <c r="L339" s="10" t="s">
        <v>39</v>
      </c>
      <c r="M339" s="19" t="s">
        <v>39</v>
      </c>
      <c r="N339" s="17"/>
      <c r="O339" s="1"/>
      <c r="P339" s="1"/>
      <c r="Q339" s="20" t="s">
        <v>1912</v>
      </c>
      <c r="R339" s="1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C339" s="1"/>
      <c r="AD339" s="1">
        <f t="shared" si="121"/>
        <v>0</v>
      </c>
      <c r="AE339" s="1">
        <f t="shared" si="122"/>
        <v>0</v>
      </c>
      <c r="AF339" s="1">
        <f t="shared" si="107"/>
        <v>0</v>
      </c>
      <c r="AG339" s="1">
        <f t="shared" si="108"/>
        <v>0</v>
      </c>
      <c r="AH339" s="1">
        <f t="shared" si="109"/>
        <v>0</v>
      </c>
      <c r="AI339" s="1">
        <f t="shared" si="110"/>
        <v>1</v>
      </c>
      <c r="AJ339" s="1"/>
    </row>
    <row r="340" spans="1:36" s="2" customFormat="1" ht="14.25" customHeight="1" x14ac:dyDescent="0.25">
      <c r="A340" s="34">
        <v>0</v>
      </c>
      <c r="B340" s="34">
        <v>2</v>
      </c>
      <c r="C340" s="34">
        <v>4</v>
      </c>
      <c r="D340" s="35" t="s">
        <v>85</v>
      </c>
      <c r="E340" s="35" t="s">
        <v>35</v>
      </c>
      <c r="F340" s="35" t="s">
        <v>280</v>
      </c>
      <c r="G340" s="35" t="s">
        <v>226</v>
      </c>
      <c r="H340" s="35" t="s">
        <v>357</v>
      </c>
      <c r="I340" s="34" t="s">
        <v>437</v>
      </c>
      <c r="J340" s="34">
        <v>99</v>
      </c>
      <c r="K340" s="36" t="s">
        <v>961</v>
      </c>
      <c r="L340" s="36" t="s">
        <v>711</v>
      </c>
      <c r="M340" s="37" t="s">
        <v>733</v>
      </c>
      <c r="N340" s="37" t="s">
        <v>1776</v>
      </c>
      <c r="O340" s="38">
        <v>1</v>
      </c>
      <c r="P340" s="38"/>
      <c r="Q340" s="35"/>
      <c r="R340" s="1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C340" s="1"/>
      <c r="AD340" s="1">
        <f t="shared" si="121"/>
        <v>0</v>
      </c>
      <c r="AE340" s="1">
        <f t="shared" si="122"/>
        <v>1</v>
      </c>
      <c r="AF340" s="1">
        <f t="shared" si="107"/>
        <v>0</v>
      </c>
      <c r="AG340" s="1">
        <f t="shared" si="108"/>
        <v>1</v>
      </c>
      <c r="AH340" s="1">
        <f t="shared" si="109"/>
        <v>0</v>
      </c>
      <c r="AI340" s="1">
        <f t="shared" si="110"/>
        <v>1</v>
      </c>
      <c r="AJ340" s="1"/>
    </row>
    <row r="341" spans="1:36" s="2" customFormat="1" ht="14.25" customHeight="1" x14ac:dyDescent="0.25">
      <c r="A341" s="15">
        <v>0</v>
      </c>
      <c r="B341" s="15">
        <v>2</v>
      </c>
      <c r="C341" s="15">
        <v>4</v>
      </c>
      <c r="D341" s="16" t="s">
        <v>886</v>
      </c>
      <c r="E341" s="16" t="s">
        <v>779</v>
      </c>
      <c r="F341" s="16" t="s">
        <v>884</v>
      </c>
      <c r="G341" s="16" t="s">
        <v>282</v>
      </c>
      <c r="H341" s="16" t="s">
        <v>357</v>
      </c>
      <c r="I341" s="15" t="s">
        <v>885</v>
      </c>
      <c r="J341" s="15">
        <v>99</v>
      </c>
      <c r="K341" s="10" t="s">
        <v>710</v>
      </c>
      <c r="L341" s="10">
        <v>25</v>
      </c>
      <c r="M341" s="19" t="s">
        <v>1436</v>
      </c>
      <c r="N341" s="19"/>
      <c r="O341" s="1"/>
      <c r="P341" s="1"/>
      <c r="Q341" s="16"/>
      <c r="R341" s="1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C341" s="1"/>
      <c r="AD341" s="1">
        <f t="shared" si="121"/>
        <v>0</v>
      </c>
      <c r="AE341" s="1">
        <f t="shared" si="122"/>
        <v>0</v>
      </c>
      <c r="AF341" s="1">
        <f t="shared" si="107"/>
        <v>0</v>
      </c>
      <c r="AG341" s="1">
        <f t="shared" si="108"/>
        <v>0</v>
      </c>
      <c r="AH341" s="1">
        <f t="shared" si="109"/>
        <v>0</v>
      </c>
      <c r="AI341" s="1">
        <f t="shared" si="110"/>
        <v>1</v>
      </c>
      <c r="AJ341" s="1"/>
    </row>
    <row r="342" spans="1:36" s="2" customFormat="1" ht="14.25" customHeight="1" x14ac:dyDescent="0.25">
      <c r="A342" s="34">
        <v>0</v>
      </c>
      <c r="B342" s="34">
        <v>2</v>
      </c>
      <c r="C342" s="34">
        <v>4</v>
      </c>
      <c r="D342" s="35" t="s">
        <v>929</v>
      </c>
      <c r="E342" s="35" t="s">
        <v>779</v>
      </c>
      <c r="F342" s="35" t="s">
        <v>851</v>
      </c>
      <c r="G342" s="35" t="s">
        <v>211</v>
      </c>
      <c r="H342" s="35" t="s">
        <v>357</v>
      </c>
      <c r="I342" s="34" t="s">
        <v>852</v>
      </c>
      <c r="J342" s="34">
        <v>99</v>
      </c>
      <c r="K342" s="36" t="s">
        <v>719</v>
      </c>
      <c r="L342" s="36" t="s">
        <v>711</v>
      </c>
      <c r="M342" s="37" t="s">
        <v>733</v>
      </c>
      <c r="N342" s="37" t="s">
        <v>1771</v>
      </c>
      <c r="O342" s="38">
        <v>1</v>
      </c>
      <c r="P342" s="38"/>
      <c r="Q342" s="35"/>
      <c r="R342" s="1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C342" s="1"/>
      <c r="AD342" s="1">
        <f t="shared" si="121"/>
        <v>0</v>
      </c>
      <c r="AE342" s="1">
        <f t="shared" si="122"/>
        <v>1</v>
      </c>
      <c r="AF342" s="1">
        <f t="shared" si="107"/>
        <v>0</v>
      </c>
      <c r="AG342" s="1">
        <f t="shared" si="108"/>
        <v>1</v>
      </c>
      <c r="AH342" s="1">
        <f t="shared" si="109"/>
        <v>0</v>
      </c>
      <c r="AI342" s="1">
        <f t="shared" si="110"/>
        <v>1</v>
      </c>
      <c r="AJ342" s="1"/>
    </row>
    <row r="343" spans="1:36" s="2" customFormat="1" ht="14.25" customHeight="1" x14ac:dyDescent="0.25">
      <c r="A343" s="47">
        <v>0</v>
      </c>
      <c r="B343" s="47">
        <v>2</v>
      </c>
      <c r="C343" s="47">
        <v>4</v>
      </c>
      <c r="D343" s="48" t="s">
        <v>1237</v>
      </c>
      <c r="E343" s="48" t="s">
        <v>1236</v>
      </c>
      <c r="F343" s="48" t="s">
        <v>1238</v>
      </c>
      <c r="G343" s="48" t="s">
        <v>540</v>
      </c>
      <c r="H343" s="48" t="s">
        <v>357</v>
      </c>
      <c r="I343" s="47" t="s">
        <v>1239</v>
      </c>
      <c r="J343" s="47">
        <v>99</v>
      </c>
      <c r="K343" s="49" t="s">
        <v>720</v>
      </c>
      <c r="L343" s="49" t="s">
        <v>701</v>
      </c>
      <c r="M343" s="50" t="s">
        <v>1437</v>
      </c>
      <c r="N343" s="50" t="s">
        <v>1762</v>
      </c>
      <c r="O343" s="51"/>
      <c r="P343" s="51"/>
      <c r="Q343" s="48"/>
      <c r="R343" s="1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0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C343" s="1"/>
      <c r="AD343" s="1">
        <f t="shared" si="121"/>
        <v>0</v>
      </c>
      <c r="AE343" s="1">
        <f t="shared" si="122"/>
        <v>0</v>
      </c>
      <c r="AF343" s="1">
        <f t="shared" si="107"/>
        <v>0</v>
      </c>
      <c r="AG343" s="1">
        <f t="shared" si="108"/>
        <v>0</v>
      </c>
      <c r="AH343" s="1">
        <f t="shared" si="109"/>
        <v>0</v>
      </c>
      <c r="AI343" s="1">
        <f t="shared" si="110"/>
        <v>1</v>
      </c>
      <c r="AJ343" s="1"/>
    </row>
    <row r="344" spans="1:36" s="2" customFormat="1" ht="14.25" customHeight="1" x14ac:dyDescent="0.25">
      <c r="A344" s="34">
        <v>0</v>
      </c>
      <c r="B344" s="34">
        <v>2</v>
      </c>
      <c r="C344" s="34">
        <v>4</v>
      </c>
      <c r="D344" s="35" t="s">
        <v>830</v>
      </c>
      <c r="E344" s="35" t="s">
        <v>595</v>
      </c>
      <c r="F344" s="35" t="s">
        <v>831</v>
      </c>
      <c r="G344" s="35" t="s">
        <v>944</v>
      </c>
      <c r="H344" s="35" t="s">
        <v>357</v>
      </c>
      <c r="I344" s="34" t="s">
        <v>958</v>
      </c>
      <c r="J344" s="34">
        <v>7</v>
      </c>
      <c r="K344" s="36" t="s">
        <v>719</v>
      </c>
      <c r="L344" s="36" t="s">
        <v>39</v>
      </c>
      <c r="M344" s="37" t="s">
        <v>39</v>
      </c>
      <c r="N344" s="37" t="s">
        <v>1742</v>
      </c>
      <c r="O344" s="38">
        <v>1</v>
      </c>
      <c r="P344" s="38">
        <v>1</v>
      </c>
      <c r="Q344" s="35"/>
      <c r="R344" s="1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1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C344" s="1"/>
      <c r="AD344" s="1">
        <f t="shared" si="121"/>
        <v>1</v>
      </c>
      <c r="AE344" s="1">
        <f t="shared" si="122"/>
        <v>0</v>
      </c>
      <c r="AF344" s="1">
        <f t="shared" si="107"/>
        <v>1</v>
      </c>
      <c r="AG344" s="1">
        <f t="shared" si="108"/>
        <v>0</v>
      </c>
      <c r="AH344" s="1">
        <f t="shared" si="109"/>
        <v>1</v>
      </c>
      <c r="AI344" s="1">
        <f t="shared" si="110"/>
        <v>0</v>
      </c>
      <c r="AJ344" s="1"/>
    </row>
    <row r="345" spans="1:36" s="2" customFormat="1" ht="14.25" customHeight="1" x14ac:dyDescent="0.25">
      <c r="A345" s="47">
        <v>0</v>
      </c>
      <c r="B345" s="47">
        <v>2</v>
      </c>
      <c r="C345" s="47">
        <v>4</v>
      </c>
      <c r="D345" s="48" t="s">
        <v>1620</v>
      </c>
      <c r="E345" s="48" t="s">
        <v>1670</v>
      </c>
      <c r="F345" s="48" t="s">
        <v>1621</v>
      </c>
      <c r="G345" s="48" t="s">
        <v>336</v>
      </c>
      <c r="H345" s="48" t="s">
        <v>357</v>
      </c>
      <c r="I345" s="47" t="s">
        <v>30</v>
      </c>
      <c r="J345" s="47">
        <v>99</v>
      </c>
      <c r="K345" s="49" t="s">
        <v>720</v>
      </c>
      <c r="L345" s="49">
        <v>20</v>
      </c>
      <c r="M345" s="50" t="s">
        <v>39</v>
      </c>
      <c r="N345" s="50" t="s">
        <v>1756</v>
      </c>
      <c r="O345" s="51"/>
      <c r="P345" s="51"/>
      <c r="Q345" s="48"/>
      <c r="R345" s="1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0</v>
      </c>
      <c r="AA345" s="1">
        <f t="shared" si="119"/>
        <v>0</v>
      </c>
      <c r="AB345" s="1">
        <f t="shared" si="120"/>
        <v>0</v>
      </c>
      <c r="AC345" s="1"/>
      <c r="AD345" s="1">
        <f t="shared" si="121"/>
        <v>0</v>
      </c>
      <c r="AE345" s="1">
        <f t="shared" si="122"/>
        <v>0</v>
      </c>
      <c r="AF345" s="1">
        <f t="shared" si="107"/>
        <v>0</v>
      </c>
      <c r="AG345" s="1">
        <f t="shared" si="108"/>
        <v>0</v>
      </c>
      <c r="AH345" s="1">
        <f t="shared" si="109"/>
        <v>0</v>
      </c>
      <c r="AI345" s="1">
        <f t="shared" si="110"/>
        <v>1</v>
      </c>
      <c r="AJ345" s="1"/>
    </row>
    <row r="346" spans="1:36" s="2" customFormat="1" ht="14.25" customHeight="1" x14ac:dyDescent="0.25">
      <c r="A346" s="34">
        <v>0</v>
      </c>
      <c r="B346" s="34">
        <v>2</v>
      </c>
      <c r="C346" s="34">
        <v>5</v>
      </c>
      <c r="D346" s="35" t="s">
        <v>58</v>
      </c>
      <c r="E346" s="35" t="s">
        <v>44</v>
      </c>
      <c r="F346" s="35" t="s">
        <v>677</v>
      </c>
      <c r="G346" s="35" t="s">
        <v>225</v>
      </c>
      <c r="H346" s="35" t="s">
        <v>357</v>
      </c>
      <c r="I346" s="34" t="s">
        <v>400</v>
      </c>
      <c r="J346" s="34">
        <v>8</v>
      </c>
      <c r="K346" s="36" t="s">
        <v>720</v>
      </c>
      <c r="L346" s="36" t="s">
        <v>723</v>
      </c>
      <c r="M346" s="37" t="s">
        <v>1438</v>
      </c>
      <c r="N346" s="37" t="s">
        <v>1763</v>
      </c>
      <c r="O346" s="38">
        <v>1</v>
      </c>
      <c r="P346" s="38"/>
      <c r="Q346" s="35"/>
      <c r="R346" s="1"/>
      <c r="S346" s="1">
        <f t="shared" si="111"/>
        <v>0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1</v>
      </c>
      <c r="AA346" s="1">
        <f t="shared" si="119"/>
        <v>0</v>
      </c>
      <c r="AB346" s="1">
        <f t="shared" si="120"/>
        <v>0</v>
      </c>
      <c r="AC346" s="1"/>
      <c r="AD346" s="1">
        <f t="shared" si="121"/>
        <v>0</v>
      </c>
      <c r="AE346" s="1">
        <f t="shared" si="122"/>
        <v>1</v>
      </c>
      <c r="AF346" s="1">
        <f t="shared" si="107"/>
        <v>0</v>
      </c>
      <c r="AG346" s="1">
        <f t="shared" si="108"/>
        <v>1</v>
      </c>
      <c r="AH346" s="1">
        <f t="shared" si="109"/>
        <v>0</v>
      </c>
      <c r="AI346" s="1">
        <f t="shared" si="110"/>
        <v>1</v>
      </c>
      <c r="AJ346" s="1"/>
    </row>
    <row r="347" spans="1:36" s="2" customFormat="1" ht="14.25" customHeight="1" x14ac:dyDescent="0.25">
      <c r="A347" s="47">
        <v>0</v>
      </c>
      <c r="B347" s="47">
        <v>2</v>
      </c>
      <c r="C347" s="47">
        <v>5</v>
      </c>
      <c r="D347" s="48" t="s">
        <v>839</v>
      </c>
      <c r="E347" s="48" t="s">
        <v>838</v>
      </c>
      <c r="F347" s="48" t="s">
        <v>931</v>
      </c>
      <c r="G347" s="48" t="s">
        <v>215</v>
      </c>
      <c r="H347" s="48" t="s">
        <v>357</v>
      </c>
      <c r="I347" s="47" t="s">
        <v>840</v>
      </c>
      <c r="J347" s="47">
        <v>1</v>
      </c>
      <c r="K347" s="49" t="s">
        <v>719</v>
      </c>
      <c r="L347" s="49" t="s">
        <v>700</v>
      </c>
      <c r="M347" s="50" t="s">
        <v>1439</v>
      </c>
      <c r="N347" s="50" t="s">
        <v>1750</v>
      </c>
      <c r="O347" s="51"/>
      <c r="P347" s="51"/>
      <c r="Q347" s="48"/>
      <c r="R347" s="1"/>
      <c r="S347" s="1">
        <f t="shared" si="111"/>
        <v>1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0</v>
      </c>
      <c r="AB347" s="1">
        <f t="shared" si="120"/>
        <v>0</v>
      </c>
      <c r="AC347" s="1"/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  <c r="AJ347" s="1"/>
    </row>
    <row r="348" spans="1:36" s="2" customFormat="1" ht="14.25" customHeight="1" x14ac:dyDescent="0.25">
      <c r="A348" s="47">
        <v>0</v>
      </c>
      <c r="B348" s="47">
        <v>2</v>
      </c>
      <c r="C348" s="47">
        <v>5</v>
      </c>
      <c r="D348" s="48" t="s">
        <v>65</v>
      </c>
      <c r="E348" s="48" t="s">
        <v>166</v>
      </c>
      <c r="F348" s="48" t="s">
        <v>552</v>
      </c>
      <c r="G348" s="48" t="s">
        <v>196</v>
      </c>
      <c r="H348" s="48" t="s">
        <v>357</v>
      </c>
      <c r="I348" s="47" t="s">
        <v>557</v>
      </c>
      <c r="J348" s="47">
        <v>9</v>
      </c>
      <c r="K348" s="49" t="s">
        <v>720</v>
      </c>
      <c r="L348" s="49" t="s">
        <v>693</v>
      </c>
      <c r="M348" s="50" t="s">
        <v>1458</v>
      </c>
      <c r="N348" s="50" t="s">
        <v>1753</v>
      </c>
      <c r="O348" s="51"/>
      <c r="P348" s="51"/>
      <c r="Q348" s="48"/>
      <c r="R348" s="1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1</v>
      </c>
      <c r="AB348" s="1">
        <f t="shared" si="120"/>
        <v>0</v>
      </c>
      <c r="AC348" s="1"/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  <c r="AJ348" s="1"/>
    </row>
    <row r="349" spans="1:36" s="2" customFormat="1" ht="14.25" customHeight="1" x14ac:dyDescent="0.25">
      <c r="A349" s="47">
        <v>0</v>
      </c>
      <c r="B349" s="47">
        <v>2</v>
      </c>
      <c r="C349" s="47">
        <v>5</v>
      </c>
      <c r="D349" s="48" t="s">
        <v>1047</v>
      </c>
      <c r="E349" s="48" t="s">
        <v>779</v>
      </c>
      <c r="F349" s="48" t="s">
        <v>1048</v>
      </c>
      <c r="G349" s="48" t="s">
        <v>224</v>
      </c>
      <c r="H349" s="48" t="s">
        <v>357</v>
      </c>
      <c r="I349" s="47" t="s">
        <v>1049</v>
      </c>
      <c r="J349" s="47">
        <v>99</v>
      </c>
      <c r="K349" s="49" t="s">
        <v>720</v>
      </c>
      <c r="L349" s="49" t="s">
        <v>700</v>
      </c>
      <c r="M349" s="50" t="s">
        <v>1432</v>
      </c>
      <c r="N349" s="50" t="s">
        <v>1753</v>
      </c>
      <c r="O349" s="51"/>
      <c r="P349" s="51"/>
      <c r="Q349" s="48"/>
      <c r="R349" s="1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C349" s="1"/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  <c r="AJ349" s="1"/>
    </row>
    <row r="350" spans="1:36" s="2" customFormat="1" ht="14.25" customHeight="1" x14ac:dyDescent="0.25">
      <c r="A350" s="47">
        <v>0</v>
      </c>
      <c r="B350" s="47">
        <v>2</v>
      </c>
      <c r="C350" s="47">
        <v>5</v>
      </c>
      <c r="D350" s="48" t="s">
        <v>1501</v>
      </c>
      <c r="E350" s="48" t="s">
        <v>35</v>
      </c>
      <c r="F350" s="68" t="s">
        <v>1888</v>
      </c>
      <c r="G350" s="48" t="s">
        <v>224</v>
      </c>
      <c r="H350" s="48" t="s">
        <v>357</v>
      </c>
      <c r="I350" s="47" t="s">
        <v>1701</v>
      </c>
      <c r="J350" s="47">
        <v>99</v>
      </c>
      <c r="K350" s="49" t="s">
        <v>720</v>
      </c>
      <c r="L350" s="49">
        <v>25</v>
      </c>
      <c r="M350" s="50" t="s">
        <v>39</v>
      </c>
      <c r="N350" s="50" t="s">
        <v>1752</v>
      </c>
      <c r="O350" s="51"/>
      <c r="P350" s="51"/>
      <c r="Q350" s="48"/>
      <c r="R350" s="1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C350" s="1"/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  <c r="AJ350" s="1"/>
    </row>
    <row r="351" spans="1:36" s="2" customFormat="1" ht="14.25" customHeight="1" x14ac:dyDescent="0.25">
      <c r="A351" s="47">
        <v>0</v>
      </c>
      <c r="B351" s="47">
        <v>2</v>
      </c>
      <c r="C351" s="47">
        <v>5</v>
      </c>
      <c r="D351" s="48" t="s">
        <v>1834</v>
      </c>
      <c r="E351" s="48" t="s">
        <v>779</v>
      </c>
      <c r="F351" s="48" t="s">
        <v>1835</v>
      </c>
      <c r="G351" s="48" t="s">
        <v>226</v>
      </c>
      <c r="H351" s="48" t="s">
        <v>357</v>
      </c>
      <c r="I351" s="47" t="s">
        <v>1836</v>
      </c>
      <c r="J351" s="47">
        <v>99</v>
      </c>
      <c r="K351" s="49" t="s">
        <v>1837</v>
      </c>
      <c r="L351" s="49">
        <v>40</v>
      </c>
      <c r="M351" s="50" t="s">
        <v>1838</v>
      </c>
      <c r="N351" s="50" t="s">
        <v>1824</v>
      </c>
      <c r="O351" s="51"/>
      <c r="P351" s="51"/>
      <c r="Q351" s="48"/>
      <c r="R351" s="1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C351" s="1"/>
      <c r="AD351" s="1">
        <f t="shared" si="121"/>
        <v>0</v>
      </c>
      <c r="AE351" s="1">
        <f t="shared" si="122"/>
        <v>0</v>
      </c>
      <c r="AF351" s="1">
        <f t="shared" si="107"/>
        <v>0</v>
      </c>
      <c r="AG351" s="1">
        <f t="shared" si="108"/>
        <v>0</v>
      </c>
      <c r="AH351" s="1">
        <f t="shared" si="109"/>
        <v>0</v>
      </c>
      <c r="AI351" s="1">
        <f t="shared" si="110"/>
        <v>1</v>
      </c>
      <c r="AJ351" s="1"/>
    </row>
    <row r="352" spans="1:36" s="2" customFormat="1" ht="14.25" customHeight="1" x14ac:dyDescent="0.25">
      <c r="A352" s="34">
        <v>0</v>
      </c>
      <c r="B352" s="34">
        <v>2</v>
      </c>
      <c r="C352" s="34">
        <v>5</v>
      </c>
      <c r="D352" s="35" t="s">
        <v>621</v>
      </c>
      <c r="E352" s="35" t="s">
        <v>692</v>
      </c>
      <c r="F352" s="35" t="s">
        <v>622</v>
      </c>
      <c r="G352" s="35" t="s">
        <v>290</v>
      </c>
      <c r="H352" s="35" t="s">
        <v>357</v>
      </c>
      <c r="I352" s="34" t="s">
        <v>623</v>
      </c>
      <c r="J352" s="34">
        <v>99</v>
      </c>
      <c r="K352" s="36" t="s">
        <v>719</v>
      </c>
      <c r="L352" s="36" t="s">
        <v>711</v>
      </c>
      <c r="M352" s="37" t="s">
        <v>1440</v>
      </c>
      <c r="N352" s="37" t="s">
        <v>1758</v>
      </c>
      <c r="O352" s="38">
        <v>1</v>
      </c>
      <c r="P352" s="38"/>
      <c r="Q352" s="35"/>
      <c r="R352" s="1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C352" s="1"/>
      <c r="AD352" s="1">
        <f t="shared" si="121"/>
        <v>0</v>
      </c>
      <c r="AE352" s="1">
        <f t="shared" si="122"/>
        <v>1</v>
      </c>
      <c r="AF352" s="1">
        <f t="shared" si="107"/>
        <v>0</v>
      </c>
      <c r="AG352" s="1">
        <f t="shared" si="108"/>
        <v>1</v>
      </c>
      <c r="AH352" s="1">
        <f t="shared" si="109"/>
        <v>0</v>
      </c>
      <c r="AI352" s="1">
        <f t="shared" si="110"/>
        <v>1</v>
      </c>
      <c r="AJ352" s="1"/>
    </row>
    <row r="353" spans="1:16384" s="2" customFormat="1" ht="14.25" customHeight="1" x14ac:dyDescent="0.25">
      <c r="A353" s="47">
        <v>0</v>
      </c>
      <c r="B353" s="47">
        <v>2</v>
      </c>
      <c r="C353" s="47">
        <v>5</v>
      </c>
      <c r="D353" s="48" t="s">
        <v>1503</v>
      </c>
      <c r="E353" s="48" t="s">
        <v>779</v>
      </c>
      <c r="F353" s="48" t="s">
        <v>1504</v>
      </c>
      <c r="G353" s="48" t="s">
        <v>198</v>
      </c>
      <c r="H353" s="48" t="s">
        <v>357</v>
      </c>
      <c r="I353" s="47" t="s">
        <v>1505</v>
      </c>
      <c r="J353" s="47">
        <v>99</v>
      </c>
      <c r="K353" s="49" t="s">
        <v>961</v>
      </c>
      <c r="L353" s="49" t="s">
        <v>700</v>
      </c>
      <c r="M353" s="50" t="s">
        <v>1430</v>
      </c>
      <c r="N353" s="50" t="s">
        <v>1750</v>
      </c>
      <c r="O353" s="51"/>
      <c r="P353" s="51"/>
      <c r="Q353" s="48"/>
      <c r="R353" s="1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C353" s="1"/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784</v>
      </c>
      <c r="G354" s="48" t="s">
        <v>209</v>
      </c>
      <c r="H354" s="48" t="s">
        <v>357</v>
      </c>
      <c r="I354" s="47" t="s">
        <v>783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R354" s="1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C354" s="1"/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1</v>
      </c>
      <c r="AJ354" s="1"/>
    </row>
    <row r="355" spans="1:16384" s="2" customFormat="1" ht="14.25" customHeight="1" x14ac:dyDescent="0.25">
      <c r="A355" s="47">
        <v>1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1013</v>
      </c>
      <c r="G355" s="48" t="s">
        <v>192</v>
      </c>
      <c r="H355" s="48" t="s">
        <v>357</v>
      </c>
      <c r="I355" s="47" t="s">
        <v>1014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C355" s="1"/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0</v>
      </c>
      <c r="AJ355" s="1"/>
    </row>
    <row r="356" spans="1:16384" s="2" customFormat="1" ht="14.25" customHeight="1" x14ac:dyDescent="0.25">
      <c r="A356" s="15">
        <v>0</v>
      </c>
      <c r="B356" s="15">
        <v>2</v>
      </c>
      <c r="C356" s="15">
        <v>5</v>
      </c>
      <c r="D356" s="16" t="s">
        <v>923</v>
      </c>
      <c r="E356" s="16" t="s">
        <v>918</v>
      </c>
      <c r="F356" s="16" t="s">
        <v>936</v>
      </c>
      <c r="G356" s="16" t="s">
        <v>1364</v>
      </c>
      <c r="H356" s="16" t="s">
        <v>357</v>
      </c>
      <c r="I356" s="15" t="s">
        <v>777</v>
      </c>
      <c r="J356" s="15">
        <v>99</v>
      </c>
      <c r="K356" s="10" t="s">
        <v>710</v>
      </c>
      <c r="L356" s="10">
        <v>20</v>
      </c>
      <c r="M356" s="19" t="s">
        <v>1442</v>
      </c>
      <c r="N356" s="19"/>
      <c r="O356" s="1"/>
      <c r="P356" s="1"/>
      <c r="Q356" s="16"/>
      <c r="R356" s="1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C356" s="1"/>
      <c r="AD356" s="1">
        <f t="shared" ref="AD356:AD359" si="123">+O356*P356</f>
        <v>0</v>
      </c>
      <c r="AE356" s="1">
        <f t="shared" ref="AE356:AE359" si="124">O356*(1-P356)</f>
        <v>0</v>
      </c>
      <c r="AF356" s="1">
        <f t="shared" ref="AF356:AF359" si="125">+O356*P356*(1-A356)</f>
        <v>0</v>
      </c>
      <c r="AG356" s="1">
        <f t="shared" ref="AG356:AG359" si="126">O356*(1-P356)*(1-A356)</f>
        <v>0</v>
      </c>
      <c r="AH356" s="1">
        <f t="shared" ref="AH356:AH359" si="127">+P356*(1-A356)</f>
        <v>0</v>
      </c>
      <c r="AI356" s="1">
        <f t="shared" ref="AI356:AI359" si="128">+(1-A356)*(1-P356)</f>
        <v>1</v>
      </c>
      <c r="AJ356" s="1"/>
    </row>
    <row r="357" spans="1:16384" s="2" customFormat="1" ht="14.25" customHeight="1" x14ac:dyDescent="0.25">
      <c r="A357" s="34"/>
      <c r="B357" s="34">
        <v>2</v>
      </c>
      <c r="C357" s="34">
        <v>5</v>
      </c>
      <c r="D357" s="35" t="s">
        <v>1936</v>
      </c>
      <c r="E357" s="35"/>
      <c r="F357" s="35" t="s">
        <v>1937</v>
      </c>
      <c r="G357" s="35" t="s">
        <v>210</v>
      </c>
      <c r="H357" s="35" t="s">
        <v>357</v>
      </c>
      <c r="I357" s="34" t="s">
        <v>1938</v>
      </c>
      <c r="J357" s="34">
        <v>3</v>
      </c>
      <c r="K357" s="36" t="s">
        <v>710</v>
      </c>
      <c r="L357" s="36"/>
      <c r="M357" s="37"/>
      <c r="N357" s="37" t="s">
        <v>1742</v>
      </c>
      <c r="O357" s="38">
        <v>1</v>
      </c>
      <c r="P357" s="38">
        <v>1</v>
      </c>
      <c r="Q357" s="35" t="s">
        <v>1939</v>
      </c>
      <c r="R357" s="1"/>
      <c r="S357" s="1">
        <f t="shared" si="111"/>
        <v>0</v>
      </c>
      <c r="T357" s="1">
        <f t="shared" si="112"/>
        <v>0</v>
      </c>
      <c r="U357" s="1">
        <f t="shared" si="113"/>
        <v>1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0</v>
      </c>
      <c r="AA357" s="1">
        <f t="shared" si="119"/>
        <v>0</v>
      </c>
      <c r="AB357" s="1">
        <f t="shared" si="120"/>
        <v>0</v>
      </c>
      <c r="AC357" s="1"/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  <c r="AJ357" s="1"/>
    </row>
    <row r="358" spans="1:16384" s="2" customFormat="1" ht="14.25" customHeight="1" x14ac:dyDescent="0.25">
      <c r="A358" s="52">
        <v>0</v>
      </c>
      <c r="B358" s="52">
        <v>2</v>
      </c>
      <c r="C358" s="52">
        <v>5</v>
      </c>
      <c r="D358" s="58" t="s">
        <v>1805</v>
      </c>
      <c r="E358" s="53" t="s">
        <v>169</v>
      </c>
      <c r="F358" s="53" t="s">
        <v>1783</v>
      </c>
      <c r="G358" s="53"/>
      <c r="H358" s="53" t="s">
        <v>357</v>
      </c>
      <c r="I358" s="52" t="s">
        <v>1784</v>
      </c>
      <c r="J358" s="52"/>
      <c r="K358" s="54" t="s">
        <v>710</v>
      </c>
      <c r="L358" s="54">
        <v>30</v>
      </c>
      <c r="M358" s="55" t="s">
        <v>1785</v>
      </c>
      <c r="N358" s="55" t="s">
        <v>1763</v>
      </c>
      <c r="O358" s="56">
        <v>1</v>
      </c>
      <c r="P358" s="56"/>
      <c r="Q358" s="53"/>
      <c r="R358" s="1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C358" s="1"/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1284</v>
      </c>
      <c r="E359" s="35" t="s">
        <v>1285</v>
      </c>
      <c r="F359" s="35" t="s">
        <v>1286</v>
      </c>
      <c r="G359" s="35" t="s">
        <v>222</v>
      </c>
      <c r="H359" s="35" t="s">
        <v>357</v>
      </c>
      <c r="I359" s="34" t="s">
        <v>1738</v>
      </c>
      <c r="J359" s="34">
        <v>8</v>
      </c>
      <c r="K359" s="36" t="s">
        <v>720</v>
      </c>
      <c r="L359" s="36" t="s">
        <v>39</v>
      </c>
      <c r="M359" s="37" t="s">
        <v>39</v>
      </c>
      <c r="N359" s="37" t="s">
        <v>1742</v>
      </c>
      <c r="O359" s="38">
        <v>1</v>
      </c>
      <c r="P359" s="38">
        <v>1</v>
      </c>
      <c r="Q359" s="35"/>
      <c r="R359" s="1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C359" s="1"/>
      <c r="AD359" s="1">
        <f t="shared" si="123"/>
        <v>1</v>
      </c>
      <c r="AE359" s="1">
        <f t="shared" si="124"/>
        <v>0</v>
      </c>
      <c r="AF359" s="1">
        <f t="shared" si="125"/>
        <v>1</v>
      </c>
      <c r="AG359" s="1">
        <f t="shared" si="126"/>
        <v>0</v>
      </c>
      <c r="AH359" s="1">
        <f t="shared" si="127"/>
        <v>1</v>
      </c>
      <c r="AI359" s="1">
        <f t="shared" si="128"/>
        <v>0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1092</v>
      </c>
      <c r="E360" s="35" t="s">
        <v>157</v>
      </c>
      <c r="F360" s="35" t="s">
        <v>1076</v>
      </c>
      <c r="G360" s="35" t="s">
        <v>324</v>
      </c>
      <c r="H360" s="35" t="s">
        <v>357</v>
      </c>
      <c r="I360" s="34" t="s">
        <v>1077</v>
      </c>
      <c r="J360" s="34">
        <v>99</v>
      </c>
      <c r="K360" s="36" t="s">
        <v>720</v>
      </c>
      <c r="L360" s="36" t="s">
        <v>701</v>
      </c>
      <c r="M360" s="37" t="s">
        <v>1443</v>
      </c>
      <c r="N360" s="37" t="s">
        <v>1771</v>
      </c>
      <c r="O360" s="38">
        <v>1</v>
      </c>
      <c r="P360" s="38"/>
      <c r="Q360" s="35"/>
      <c r="R360" s="1"/>
      <c r="S360" s="1">
        <f t="shared" si="111"/>
        <v>0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C360" s="1"/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803</v>
      </c>
      <c r="E361" s="35" t="s">
        <v>779</v>
      </c>
      <c r="F361" s="35" t="s">
        <v>939</v>
      </c>
      <c r="G361" s="35" t="s">
        <v>222</v>
      </c>
      <c r="H361" s="35" t="s">
        <v>357</v>
      </c>
      <c r="I361" s="34" t="s">
        <v>804</v>
      </c>
      <c r="J361" s="34">
        <v>8</v>
      </c>
      <c r="K361" s="36" t="s">
        <v>710</v>
      </c>
      <c r="L361" s="36">
        <v>20</v>
      </c>
      <c r="M361" s="37" t="s">
        <v>1434</v>
      </c>
      <c r="N361" s="37" t="s">
        <v>1840</v>
      </c>
      <c r="O361" s="38">
        <v>1</v>
      </c>
      <c r="P361" s="38"/>
      <c r="Q361" s="35"/>
      <c r="R361" s="1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1</v>
      </c>
      <c r="AA361" s="1">
        <f t="shared" si="119"/>
        <v>0</v>
      </c>
      <c r="AB361" s="1">
        <f t="shared" si="120"/>
        <v>0</v>
      </c>
      <c r="AC361" s="1"/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  <c r="AJ361" s="1"/>
    </row>
    <row r="362" spans="1:16384" s="2" customFormat="1" ht="14.25" customHeight="1" x14ac:dyDescent="0.25">
      <c r="A362" s="52">
        <v>0</v>
      </c>
      <c r="B362" s="52">
        <v>2</v>
      </c>
      <c r="C362" s="52">
        <v>5</v>
      </c>
      <c r="D362" s="53" t="s">
        <v>80</v>
      </c>
      <c r="E362" s="53" t="s">
        <v>161</v>
      </c>
      <c r="F362" s="53" t="s">
        <v>271</v>
      </c>
      <c r="G362" s="53" t="s">
        <v>215</v>
      </c>
      <c r="H362" s="53" t="s">
        <v>357</v>
      </c>
      <c r="I362" s="52" t="s">
        <v>429</v>
      </c>
      <c r="J362" s="52">
        <v>1</v>
      </c>
      <c r="K362" s="54" t="s">
        <v>962</v>
      </c>
      <c r="L362" s="54" t="s">
        <v>711</v>
      </c>
      <c r="M362" s="55" t="s">
        <v>734</v>
      </c>
      <c r="N362" s="55" t="s">
        <v>1758</v>
      </c>
      <c r="O362" s="56">
        <v>1</v>
      </c>
      <c r="P362" s="56"/>
      <c r="Q362" s="53"/>
      <c r="R362" s="1"/>
      <c r="S362" s="1">
        <f t="shared" si="111"/>
        <v>1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C362" s="1"/>
      <c r="AD362" s="1">
        <f t="shared" si="121"/>
        <v>0</v>
      </c>
      <c r="AE362" s="1">
        <f t="shared" si="122"/>
        <v>1</v>
      </c>
      <c r="AF362" s="1">
        <f t="shared" si="107"/>
        <v>0</v>
      </c>
      <c r="AG362" s="1">
        <f t="shared" si="108"/>
        <v>1</v>
      </c>
      <c r="AH362" s="1">
        <f t="shared" si="109"/>
        <v>0</v>
      </c>
      <c r="AI362" s="1">
        <f t="shared" si="110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1657</v>
      </c>
      <c r="E363" s="35" t="s">
        <v>1669</v>
      </c>
      <c r="F363" s="35" t="s">
        <v>1566</v>
      </c>
      <c r="G363" s="35" t="s">
        <v>265</v>
      </c>
      <c r="H363" s="35" t="s">
        <v>357</v>
      </c>
      <c r="I363" s="34" t="s">
        <v>1567</v>
      </c>
      <c r="J363" s="34">
        <v>99</v>
      </c>
      <c r="K363" s="36" t="s">
        <v>962</v>
      </c>
      <c r="L363" s="36">
        <v>40</v>
      </c>
      <c r="M363" s="37" t="s">
        <v>39</v>
      </c>
      <c r="N363" s="37" t="s">
        <v>1840</v>
      </c>
      <c r="O363" s="38">
        <v>1</v>
      </c>
      <c r="P363" s="38"/>
      <c r="Q363" s="35"/>
      <c r="R363" s="1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C363" s="1"/>
      <c r="AD363" s="1">
        <f t="shared" si="121"/>
        <v>0</v>
      </c>
      <c r="AE363" s="1">
        <f t="shared" si="122"/>
        <v>1</v>
      </c>
      <c r="AF363" s="1">
        <f t="shared" si="107"/>
        <v>0</v>
      </c>
      <c r="AG363" s="1">
        <f t="shared" si="108"/>
        <v>1</v>
      </c>
      <c r="AH363" s="1">
        <f t="shared" si="109"/>
        <v>0</v>
      </c>
      <c r="AI363" s="1">
        <f t="shared" si="11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1311</v>
      </c>
      <c r="E364" s="35" t="s">
        <v>27</v>
      </c>
      <c r="F364" s="35" t="s">
        <v>1312</v>
      </c>
      <c r="G364" s="35" t="s">
        <v>1313</v>
      </c>
      <c r="H364" s="35" t="s">
        <v>357</v>
      </c>
      <c r="I364" s="34" t="s">
        <v>1314</v>
      </c>
      <c r="J364" s="34">
        <v>99</v>
      </c>
      <c r="K364" s="36" t="s">
        <v>962</v>
      </c>
      <c r="L364" s="36" t="s">
        <v>39</v>
      </c>
      <c r="M364" s="37" t="s">
        <v>39</v>
      </c>
      <c r="N364" s="37" t="s">
        <v>1742</v>
      </c>
      <c r="O364" s="38">
        <v>1</v>
      </c>
      <c r="P364" s="38">
        <v>1</v>
      </c>
      <c r="Q364" s="39"/>
      <c r="R364" s="34"/>
      <c r="S364" s="34">
        <f t="shared" si="111"/>
        <v>0</v>
      </c>
      <c r="T364" s="34">
        <f t="shared" si="112"/>
        <v>0</v>
      </c>
      <c r="U364" s="35">
        <f t="shared" si="113"/>
        <v>0</v>
      </c>
      <c r="V364" s="35">
        <f t="shared" si="114"/>
        <v>0</v>
      </c>
      <c r="W364" s="35">
        <f t="shared" si="115"/>
        <v>0</v>
      </c>
      <c r="X364" s="35">
        <f t="shared" si="116"/>
        <v>0</v>
      </c>
      <c r="Y364" s="35">
        <f t="shared" si="117"/>
        <v>0</v>
      </c>
      <c r="Z364" s="34">
        <f t="shared" si="118"/>
        <v>0</v>
      </c>
      <c r="AA364" s="34">
        <f t="shared" si="119"/>
        <v>0</v>
      </c>
      <c r="AB364" s="36">
        <f t="shared" si="120"/>
        <v>0</v>
      </c>
      <c r="AC364" s="36"/>
      <c r="AD364" s="37">
        <f t="shared" si="121"/>
        <v>1</v>
      </c>
      <c r="AE364" s="37">
        <f t="shared" si="122"/>
        <v>0</v>
      </c>
      <c r="AF364" s="38">
        <f t="shared" si="107"/>
        <v>1</v>
      </c>
      <c r="AG364" s="38">
        <f t="shared" si="108"/>
        <v>0</v>
      </c>
      <c r="AH364" s="39">
        <f t="shared" si="109"/>
        <v>1</v>
      </c>
      <c r="AI364" s="34">
        <f t="shared" si="110"/>
        <v>0</v>
      </c>
      <c r="AJ364" s="34"/>
      <c r="AK364" s="34"/>
      <c r="AL364" s="35"/>
      <c r="AM364" s="35"/>
      <c r="AN364" s="35"/>
      <c r="AO364" s="35"/>
      <c r="AP364" s="35"/>
      <c r="AQ364" s="34"/>
      <c r="AR364" s="34"/>
      <c r="AS364" s="36"/>
      <c r="AT364" s="36"/>
      <c r="AU364" s="37"/>
      <c r="AV364" s="37"/>
      <c r="AW364" s="38"/>
      <c r="AX364" s="38"/>
      <c r="AY364" s="39"/>
      <c r="AZ364" s="34"/>
      <c r="BA364" s="34"/>
      <c r="BB364" s="34"/>
      <c r="BC364" s="35"/>
      <c r="BD364" s="35"/>
      <c r="BE364" s="35"/>
      <c r="BF364" s="35"/>
      <c r="BG364" s="35"/>
      <c r="BH364" s="34"/>
      <c r="BI364" s="34"/>
      <c r="BJ364" s="36"/>
      <c r="BK364" s="36"/>
      <c r="BL364" s="37"/>
      <c r="BM364" s="37"/>
      <c r="BN364" s="38"/>
      <c r="BO364" s="38"/>
      <c r="BP364" s="39"/>
      <c r="BQ364" s="34"/>
      <c r="BR364" s="34"/>
      <c r="BS364" s="34"/>
      <c r="BT364" s="35"/>
      <c r="BU364" s="35"/>
      <c r="BV364" s="35"/>
      <c r="BW364" s="35"/>
      <c r="BX364" s="35"/>
      <c r="BY364" s="34"/>
      <c r="BZ364" s="34"/>
      <c r="CA364" s="36"/>
      <c r="CB364" s="36"/>
      <c r="CC364" s="37"/>
      <c r="CD364" s="37"/>
      <c r="CE364" s="38"/>
      <c r="CF364" s="38"/>
      <c r="CG364" s="39"/>
      <c r="CH364" s="34"/>
      <c r="CI364" s="34"/>
      <c r="CJ364" s="34"/>
      <c r="CK364" s="35"/>
      <c r="CL364" s="35"/>
      <c r="CM364" s="35"/>
      <c r="CN364" s="35"/>
      <c r="CO364" s="35"/>
      <c r="CP364" s="34"/>
      <c r="CQ364" s="34"/>
      <c r="CR364" s="36"/>
      <c r="CS364" s="36"/>
      <c r="CT364" s="37"/>
      <c r="CU364" s="37"/>
      <c r="CV364" s="38"/>
      <c r="CW364" s="38"/>
      <c r="CX364" s="39"/>
      <c r="CY364" s="34"/>
      <c r="CZ364" s="34"/>
      <c r="DA364" s="34"/>
      <c r="DB364" s="35"/>
      <c r="DC364" s="35"/>
      <c r="DD364" s="35"/>
      <c r="DE364" s="35"/>
      <c r="DF364" s="35"/>
      <c r="DG364" s="34"/>
      <c r="DH364" s="34"/>
      <c r="DI364" s="36"/>
      <c r="DJ364" s="36"/>
      <c r="DK364" s="37"/>
      <c r="DL364" s="37"/>
      <c r="DM364" s="38"/>
      <c r="DN364" s="38"/>
      <c r="DO364" s="39"/>
      <c r="DP364" s="34"/>
      <c r="DQ364" s="34"/>
      <c r="DR364" s="34"/>
      <c r="DS364" s="35"/>
      <c r="DT364" s="35"/>
      <c r="DU364" s="35"/>
      <c r="DV364" s="35"/>
      <c r="DW364" s="35"/>
      <c r="DX364" s="34"/>
      <c r="DY364" s="34"/>
      <c r="DZ364" s="36"/>
      <c r="EA364" s="36"/>
      <c r="EB364" s="37"/>
      <c r="EC364" s="37"/>
      <c r="ED364" s="38"/>
      <c r="EE364" s="38"/>
      <c r="EF364" s="39"/>
      <c r="EG364" s="34"/>
      <c r="EH364" s="34"/>
      <c r="EI364" s="34"/>
      <c r="EJ364" s="35"/>
      <c r="EK364" s="35"/>
      <c r="EL364" s="35"/>
      <c r="EM364" s="35"/>
      <c r="EN364" s="35"/>
      <c r="EO364" s="34"/>
      <c r="EP364" s="34"/>
      <c r="EQ364" s="36"/>
      <c r="ER364" s="36"/>
      <c r="ES364" s="37"/>
      <c r="ET364" s="37"/>
      <c r="EU364" s="38"/>
      <c r="EV364" s="38"/>
      <c r="EW364" s="39"/>
      <c r="EX364" s="34"/>
      <c r="EY364" s="34"/>
      <c r="EZ364" s="34"/>
      <c r="FA364" s="35"/>
      <c r="FB364" s="35"/>
      <c r="FC364" s="35"/>
      <c r="FD364" s="35"/>
      <c r="FE364" s="35"/>
      <c r="FF364" s="34"/>
      <c r="FG364" s="34"/>
      <c r="FH364" s="36"/>
      <c r="FI364" s="36"/>
      <c r="FJ364" s="37"/>
      <c r="FK364" s="37"/>
      <c r="FL364" s="38"/>
      <c r="FM364" s="38"/>
      <c r="FN364" s="39"/>
      <c r="FO364" s="34"/>
      <c r="FP364" s="34"/>
      <c r="FQ364" s="34"/>
      <c r="FR364" s="35"/>
      <c r="FS364" s="35"/>
      <c r="FT364" s="35"/>
      <c r="FU364" s="35"/>
      <c r="FV364" s="35"/>
      <c r="FW364" s="34"/>
      <c r="FX364" s="34"/>
      <c r="FY364" s="36"/>
      <c r="FZ364" s="36"/>
      <c r="GA364" s="37"/>
      <c r="GB364" s="37"/>
      <c r="GC364" s="38"/>
      <c r="GD364" s="38"/>
      <c r="GE364" s="39"/>
      <c r="GF364" s="34"/>
      <c r="GG364" s="34"/>
      <c r="GH364" s="34"/>
      <c r="GI364" s="35"/>
      <c r="GJ364" s="35"/>
      <c r="GK364" s="35"/>
      <c r="GL364" s="35"/>
      <c r="GM364" s="35"/>
      <c r="GN364" s="34"/>
      <c r="GO364" s="34"/>
      <c r="GP364" s="36"/>
      <c r="GQ364" s="36"/>
      <c r="GR364" s="37"/>
      <c r="GS364" s="37"/>
      <c r="GT364" s="38"/>
      <c r="GU364" s="38"/>
      <c r="GV364" s="39"/>
      <c r="GW364" s="34"/>
      <c r="GX364" s="34"/>
      <c r="GY364" s="34"/>
      <c r="GZ364" s="35"/>
      <c r="HA364" s="35"/>
      <c r="HB364" s="35"/>
      <c r="HC364" s="35"/>
      <c r="HD364" s="35"/>
      <c r="HE364" s="34"/>
      <c r="HF364" s="34"/>
      <c r="HG364" s="36"/>
      <c r="HH364" s="36"/>
      <c r="HI364" s="37"/>
      <c r="HJ364" s="37"/>
      <c r="HK364" s="38"/>
      <c r="HL364" s="38"/>
      <c r="HM364" s="39"/>
      <c r="HN364" s="34"/>
      <c r="HO364" s="34"/>
      <c r="HP364" s="34"/>
      <c r="HQ364" s="35"/>
      <c r="HR364" s="35"/>
      <c r="HS364" s="35"/>
      <c r="HT364" s="35"/>
      <c r="HU364" s="35"/>
      <c r="HV364" s="34"/>
      <c r="HW364" s="34"/>
      <c r="HX364" s="36"/>
      <c r="HY364" s="36"/>
      <c r="HZ364" s="37"/>
      <c r="IA364" s="37"/>
      <c r="IB364" s="38"/>
      <c r="IC364" s="38"/>
      <c r="ID364" s="39"/>
      <c r="IE364" s="34"/>
      <c r="IF364" s="34"/>
      <c r="IG364" s="34"/>
      <c r="IH364" s="35"/>
      <c r="II364" s="35"/>
      <c r="IJ364" s="35"/>
      <c r="IK364" s="35"/>
      <c r="IL364" s="35"/>
      <c r="IM364" s="34"/>
      <c r="IN364" s="34"/>
      <c r="IO364" s="36"/>
      <c r="IP364" s="36"/>
      <c r="IQ364" s="37"/>
      <c r="IR364" s="37"/>
      <c r="IS364" s="38"/>
      <c r="IT364" s="38"/>
      <c r="IU364" s="39"/>
      <c r="IV364" s="34"/>
      <c r="IW364" s="34"/>
      <c r="IX364" s="34"/>
      <c r="IY364" s="35"/>
      <c r="IZ364" s="35"/>
      <c r="JA364" s="35"/>
      <c r="JB364" s="35"/>
      <c r="JC364" s="35"/>
      <c r="JD364" s="34"/>
      <c r="JE364" s="34"/>
      <c r="JF364" s="36"/>
      <c r="JG364" s="36"/>
      <c r="JH364" s="37"/>
      <c r="JI364" s="37"/>
      <c r="JJ364" s="38"/>
      <c r="JK364" s="38"/>
      <c r="JL364" s="39"/>
      <c r="JM364" s="34"/>
      <c r="JN364" s="34"/>
      <c r="JO364" s="34"/>
      <c r="JP364" s="35"/>
      <c r="JQ364" s="35"/>
      <c r="JR364" s="35"/>
      <c r="JS364" s="35"/>
      <c r="JT364" s="35"/>
      <c r="JU364" s="34"/>
      <c r="JV364" s="34"/>
      <c r="JW364" s="36"/>
      <c r="JX364" s="36"/>
      <c r="JY364" s="37"/>
      <c r="JZ364" s="37"/>
      <c r="KA364" s="38"/>
      <c r="KB364" s="38"/>
      <c r="KC364" s="39"/>
      <c r="KD364" s="34"/>
      <c r="KE364" s="34"/>
      <c r="KF364" s="34"/>
      <c r="KG364" s="35"/>
      <c r="KH364" s="35"/>
      <c r="KI364" s="35"/>
      <c r="KJ364" s="35"/>
      <c r="KK364" s="35"/>
      <c r="KL364" s="34"/>
      <c r="KM364" s="34"/>
      <c r="KN364" s="36"/>
      <c r="KO364" s="36"/>
      <c r="KP364" s="37"/>
      <c r="KQ364" s="37"/>
      <c r="KR364" s="38"/>
      <c r="KS364" s="38"/>
      <c r="KT364" s="39"/>
      <c r="KU364" s="34"/>
      <c r="KV364" s="34"/>
      <c r="KW364" s="34"/>
      <c r="KX364" s="35"/>
      <c r="KY364" s="35"/>
      <c r="KZ364" s="35"/>
      <c r="LA364" s="35"/>
      <c r="LB364" s="35"/>
      <c r="LC364" s="34"/>
      <c r="LD364" s="34"/>
      <c r="LE364" s="36"/>
      <c r="LF364" s="36"/>
      <c r="LG364" s="37"/>
      <c r="LH364" s="37"/>
      <c r="LI364" s="38"/>
      <c r="LJ364" s="38"/>
      <c r="LK364" s="39"/>
      <c r="LL364" s="34"/>
      <c r="LM364" s="34"/>
      <c r="LN364" s="34"/>
      <c r="LO364" s="35"/>
      <c r="LP364" s="35"/>
      <c r="LQ364" s="35"/>
      <c r="LR364" s="35"/>
      <c r="LS364" s="35"/>
      <c r="LT364" s="34"/>
      <c r="LU364" s="34"/>
      <c r="LV364" s="36"/>
      <c r="LW364" s="36"/>
      <c r="LX364" s="37"/>
      <c r="LY364" s="37"/>
      <c r="LZ364" s="38"/>
      <c r="MA364" s="38"/>
      <c r="MB364" s="39"/>
      <c r="MC364" s="34"/>
      <c r="MD364" s="34"/>
      <c r="ME364" s="34"/>
      <c r="MF364" s="35"/>
      <c r="MG364" s="35"/>
      <c r="MH364" s="35"/>
      <c r="MI364" s="35"/>
      <c r="MJ364" s="35"/>
      <c r="MK364" s="34"/>
      <c r="ML364" s="34"/>
      <c r="MM364" s="36"/>
      <c r="MN364" s="36"/>
      <c r="MO364" s="37"/>
      <c r="MP364" s="37"/>
      <c r="MQ364" s="38"/>
      <c r="MR364" s="38"/>
      <c r="MS364" s="39"/>
      <c r="MT364" s="34"/>
      <c r="MU364" s="34"/>
      <c r="MV364" s="34"/>
      <c r="MW364" s="35"/>
      <c r="MX364" s="35"/>
      <c r="MY364" s="35"/>
      <c r="MZ364" s="35"/>
      <c r="NA364" s="35"/>
      <c r="NB364" s="34"/>
      <c r="NC364" s="34"/>
      <c r="ND364" s="36"/>
      <c r="NE364" s="36"/>
      <c r="NF364" s="37"/>
      <c r="NG364" s="37"/>
      <c r="NH364" s="38"/>
      <c r="NI364" s="38"/>
      <c r="NJ364" s="39"/>
      <c r="NK364" s="34"/>
      <c r="NL364" s="34"/>
      <c r="NM364" s="34"/>
      <c r="NN364" s="35"/>
      <c r="NO364" s="35"/>
      <c r="NP364" s="35"/>
      <c r="NQ364" s="35"/>
      <c r="NR364" s="35"/>
      <c r="NS364" s="34"/>
      <c r="NT364" s="34"/>
      <c r="NU364" s="36"/>
      <c r="NV364" s="36"/>
      <c r="NW364" s="37"/>
      <c r="NX364" s="37"/>
      <c r="NY364" s="38"/>
      <c r="NZ364" s="38"/>
      <c r="OA364" s="39"/>
      <c r="OB364" s="34"/>
      <c r="OC364" s="34"/>
      <c r="OD364" s="34"/>
      <c r="OE364" s="35"/>
      <c r="OF364" s="35"/>
      <c r="OG364" s="35"/>
      <c r="OH364" s="35"/>
      <c r="OI364" s="35"/>
      <c r="OJ364" s="34"/>
      <c r="OK364" s="34"/>
      <c r="OL364" s="36"/>
      <c r="OM364" s="36"/>
      <c r="ON364" s="37"/>
      <c r="OO364" s="37"/>
      <c r="OP364" s="38"/>
      <c r="OQ364" s="38"/>
      <c r="OR364" s="39"/>
      <c r="OS364" s="34"/>
      <c r="OT364" s="34"/>
      <c r="OU364" s="34"/>
      <c r="OV364" s="35"/>
      <c r="OW364" s="35"/>
      <c r="OX364" s="35"/>
      <c r="OY364" s="35"/>
      <c r="OZ364" s="35"/>
      <c r="PA364" s="34"/>
      <c r="PB364" s="34"/>
      <c r="PC364" s="36"/>
      <c r="PD364" s="36"/>
      <c r="PE364" s="37"/>
      <c r="PF364" s="37"/>
      <c r="PG364" s="38"/>
      <c r="PH364" s="38"/>
      <c r="PI364" s="39"/>
      <c r="PJ364" s="34"/>
      <c r="PK364" s="34"/>
      <c r="PL364" s="34"/>
      <c r="PM364" s="35"/>
      <c r="PN364" s="35"/>
      <c r="PO364" s="35"/>
      <c r="PP364" s="35"/>
      <c r="PQ364" s="35"/>
      <c r="PR364" s="34"/>
      <c r="PS364" s="34"/>
      <c r="PT364" s="36"/>
      <c r="PU364" s="36"/>
      <c r="PV364" s="37"/>
      <c r="PW364" s="37"/>
      <c r="PX364" s="38"/>
      <c r="PY364" s="38"/>
      <c r="PZ364" s="39"/>
      <c r="QA364" s="34"/>
      <c r="QB364" s="34"/>
      <c r="QC364" s="34"/>
      <c r="QD364" s="35"/>
      <c r="QE364" s="35"/>
      <c r="QF364" s="35"/>
      <c r="QG364" s="35"/>
      <c r="QH364" s="35"/>
      <c r="QI364" s="34"/>
      <c r="QJ364" s="34"/>
      <c r="QK364" s="36"/>
      <c r="QL364" s="36"/>
      <c r="QM364" s="37"/>
      <c r="QN364" s="37"/>
      <c r="QO364" s="38"/>
      <c r="QP364" s="38"/>
      <c r="QQ364" s="39"/>
      <c r="QR364" s="34"/>
      <c r="QS364" s="34"/>
      <c r="QT364" s="34"/>
      <c r="QU364" s="35"/>
      <c r="QV364" s="35"/>
      <c r="QW364" s="35"/>
      <c r="QX364" s="35"/>
      <c r="QY364" s="35"/>
      <c r="QZ364" s="34"/>
      <c r="RA364" s="34"/>
      <c r="RB364" s="36"/>
      <c r="RC364" s="36"/>
      <c r="RD364" s="37"/>
      <c r="RE364" s="37"/>
      <c r="RF364" s="38"/>
      <c r="RG364" s="38"/>
      <c r="RH364" s="39"/>
      <c r="RI364" s="34"/>
      <c r="RJ364" s="34"/>
      <c r="RK364" s="34"/>
      <c r="RL364" s="35"/>
      <c r="RM364" s="35"/>
      <c r="RN364" s="35"/>
      <c r="RO364" s="35"/>
      <c r="RP364" s="35"/>
      <c r="RQ364" s="34"/>
      <c r="RR364" s="34"/>
      <c r="RS364" s="36"/>
      <c r="RT364" s="36"/>
      <c r="RU364" s="37"/>
      <c r="RV364" s="37"/>
      <c r="RW364" s="38"/>
      <c r="RX364" s="38"/>
      <c r="RY364" s="39"/>
      <c r="RZ364" s="34"/>
      <c r="SA364" s="34"/>
      <c r="SB364" s="34"/>
      <c r="SC364" s="35"/>
      <c r="SD364" s="35"/>
      <c r="SE364" s="35"/>
      <c r="SF364" s="35"/>
      <c r="SG364" s="35"/>
      <c r="SH364" s="34"/>
      <c r="SI364" s="34"/>
      <c r="SJ364" s="36"/>
      <c r="SK364" s="36"/>
      <c r="SL364" s="37"/>
      <c r="SM364" s="37"/>
      <c r="SN364" s="38"/>
      <c r="SO364" s="38"/>
      <c r="SP364" s="39"/>
      <c r="SQ364" s="34"/>
      <c r="SR364" s="34"/>
      <c r="SS364" s="34"/>
      <c r="ST364" s="35"/>
      <c r="SU364" s="35"/>
      <c r="SV364" s="35"/>
      <c r="SW364" s="35"/>
      <c r="SX364" s="35"/>
      <c r="SY364" s="34"/>
      <c r="SZ364" s="34"/>
      <c r="TA364" s="36"/>
      <c r="TB364" s="36"/>
      <c r="TC364" s="37"/>
      <c r="TD364" s="37"/>
      <c r="TE364" s="38"/>
      <c r="TF364" s="38"/>
      <c r="TG364" s="39"/>
      <c r="TH364" s="34"/>
      <c r="TI364" s="34"/>
      <c r="TJ364" s="34"/>
      <c r="TK364" s="35"/>
      <c r="TL364" s="35"/>
      <c r="TM364" s="35"/>
      <c r="TN364" s="35"/>
      <c r="TO364" s="35"/>
      <c r="TP364" s="34"/>
      <c r="TQ364" s="34"/>
      <c r="TR364" s="36"/>
      <c r="TS364" s="36"/>
      <c r="TT364" s="37"/>
      <c r="TU364" s="37"/>
      <c r="TV364" s="38"/>
      <c r="TW364" s="38"/>
      <c r="TX364" s="39"/>
      <c r="TY364" s="34"/>
      <c r="TZ364" s="34"/>
      <c r="UA364" s="34"/>
      <c r="UB364" s="35"/>
      <c r="UC364" s="35"/>
      <c r="UD364" s="35"/>
      <c r="UE364" s="35"/>
      <c r="UF364" s="35"/>
      <c r="UG364" s="34"/>
      <c r="UH364" s="34"/>
      <c r="UI364" s="36"/>
      <c r="UJ364" s="36"/>
      <c r="UK364" s="37"/>
      <c r="UL364" s="37"/>
      <c r="UM364" s="38"/>
      <c r="UN364" s="38"/>
      <c r="UO364" s="39"/>
      <c r="UP364" s="34"/>
      <c r="UQ364" s="34"/>
      <c r="UR364" s="34"/>
      <c r="US364" s="35"/>
      <c r="UT364" s="35"/>
      <c r="UU364" s="35"/>
      <c r="UV364" s="35"/>
      <c r="UW364" s="35"/>
      <c r="UX364" s="34"/>
      <c r="UY364" s="34"/>
      <c r="UZ364" s="36"/>
      <c r="VA364" s="36"/>
      <c r="VB364" s="37"/>
      <c r="VC364" s="37"/>
      <c r="VD364" s="38"/>
      <c r="VE364" s="38"/>
      <c r="VF364" s="39"/>
      <c r="VG364" s="34"/>
      <c r="VH364" s="34"/>
      <c r="VI364" s="34"/>
      <c r="VJ364" s="35"/>
      <c r="VK364" s="35"/>
      <c r="VL364" s="35"/>
      <c r="VM364" s="35"/>
      <c r="VN364" s="35"/>
      <c r="VO364" s="34"/>
      <c r="VP364" s="34"/>
      <c r="VQ364" s="36"/>
      <c r="VR364" s="36"/>
      <c r="VS364" s="37"/>
      <c r="VT364" s="37"/>
      <c r="VU364" s="38"/>
      <c r="VV364" s="38"/>
      <c r="VW364" s="39"/>
      <c r="VX364" s="34"/>
      <c r="VY364" s="34"/>
      <c r="VZ364" s="34"/>
      <c r="WA364" s="35"/>
      <c r="WB364" s="35"/>
      <c r="WC364" s="35"/>
      <c r="WD364" s="35"/>
      <c r="WE364" s="35"/>
      <c r="WF364" s="34"/>
      <c r="WG364" s="34"/>
      <c r="WH364" s="36"/>
      <c r="WI364" s="36"/>
      <c r="WJ364" s="37"/>
      <c r="WK364" s="37"/>
      <c r="WL364" s="38"/>
      <c r="WM364" s="38"/>
      <c r="WN364" s="39"/>
      <c r="WO364" s="34"/>
      <c r="WP364" s="34"/>
      <c r="WQ364" s="34"/>
      <c r="WR364" s="35"/>
      <c r="WS364" s="35"/>
      <c r="WT364" s="35"/>
      <c r="WU364" s="35"/>
      <c r="WV364" s="35"/>
      <c r="WW364" s="34"/>
      <c r="WX364" s="34"/>
      <c r="WY364" s="36"/>
      <c r="WZ364" s="36"/>
      <c r="XA364" s="37"/>
      <c r="XB364" s="37"/>
      <c r="XC364" s="38"/>
      <c r="XD364" s="38"/>
      <c r="XE364" s="39"/>
      <c r="XF364" s="34"/>
      <c r="XG364" s="34"/>
      <c r="XH364" s="34"/>
      <c r="XI364" s="35"/>
      <c r="XJ364" s="35"/>
      <c r="XK364" s="35"/>
      <c r="XL364" s="35"/>
      <c r="XM364" s="35"/>
      <c r="XN364" s="34"/>
      <c r="XO364" s="34"/>
      <c r="XP364" s="36"/>
      <c r="XQ364" s="36"/>
      <c r="XR364" s="37"/>
      <c r="XS364" s="37"/>
      <c r="XT364" s="38"/>
      <c r="XU364" s="38"/>
      <c r="XV364" s="39"/>
      <c r="XW364" s="34"/>
      <c r="XX364" s="34"/>
      <c r="XY364" s="34"/>
      <c r="XZ364" s="35"/>
      <c r="YA364" s="35"/>
      <c r="YB364" s="35"/>
      <c r="YC364" s="35"/>
      <c r="YD364" s="35"/>
      <c r="YE364" s="34"/>
      <c r="YF364" s="34"/>
      <c r="YG364" s="36"/>
      <c r="YH364" s="36"/>
      <c r="YI364" s="37"/>
      <c r="YJ364" s="37"/>
      <c r="YK364" s="38"/>
      <c r="YL364" s="38"/>
      <c r="YM364" s="39"/>
      <c r="YN364" s="34"/>
      <c r="YO364" s="34"/>
      <c r="YP364" s="34"/>
      <c r="YQ364" s="35"/>
      <c r="YR364" s="35"/>
      <c r="YS364" s="35"/>
      <c r="YT364" s="35"/>
      <c r="YU364" s="35"/>
      <c r="YV364" s="34"/>
      <c r="YW364" s="34"/>
      <c r="YX364" s="36"/>
      <c r="YY364" s="36"/>
      <c r="YZ364" s="37"/>
      <c r="ZA364" s="37"/>
      <c r="ZB364" s="38"/>
      <c r="ZC364" s="38"/>
      <c r="ZD364" s="39"/>
      <c r="ZE364" s="34"/>
      <c r="ZF364" s="34"/>
      <c r="ZG364" s="34"/>
      <c r="ZH364" s="35"/>
      <c r="ZI364" s="35"/>
      <c r="ZJ364" s="35"/>
      <c r="ZK364" s="35"/>
      <c r="ZL364" s="35"/>
      <c r="ZM364" s="34"/>
      <c r="ZN364" s="34"/>
      <c r="ZO364" s="36"/>
      <c r="ZP364" s="36"/>
      <c r="ZQ364" s="37"/>
      <c r="ZR364" s="37"/>
      <c r="ZS364" s="38"/>
      <c r="ZT364" s="38"/>
      <c r="ZU364" s="39"/>
      <c r="ZV364" s="34"/>
      <c r="ZW364" s="34"/>
      <c r="ZX364" s="34"/>
      <c r="ZY364" s="35"/>
      <c r="ZZ364" s="35"/>
      <c r="AAA364" s="35"/>
      <c r="AAB364" s="35"/>
      <c r="AAC364" s="35"/>
      <c r="AAD364" s="34"/>
      <c r="AAE364" s="34"/>
      <c r="AAF364" s="36"/>
      <c r="AAG364" s="36"/>
      <c r="AAH364" s="37"/>
      <c r="AAI364" s="37"/>
      <c r="AAJ364" s="38"/>
      <c r="AAK364" s="38"/>
      <c r="AAL364" s="39"/>
      <c r="AAM364" s="34"/>
      <c r="AAN364" s="34"/>
      <c r="AAO364" s="34"/>
      <c r="AAP364" s="35"/>
      <c r="AAQ364" s="35"/>
      <c r="AAR364" s="35"/>
      <c r="AAS364" s="35"/>
      <c r="AAT364" s="35"/>
      <c r="AAU364" s="34"/>
      <c r="AAV364" s="34"/>
      <c r="AAW364" s="36"/>
      <c r="AAX364" s="36"/>
      <c r="AAY364" s="37"/>
      <c r="AAZ364" s="37"/>
      <c r="ABA364" s="38"/>
      <c r="ABB364" s="38"/>
      <c r="ABC364" s="39"/>
      <c r="ABD364" s="34"/>
      <c r="ABE364" s="34"/>
      <c r="ABF364" s="34"/>
      <c r="ABG364" s="35"/>
      <c r="ABH364" s="35"/>
      <c r="ABI364" s="35"/>
      <c r="ABJ364" s="35"/>
      <c r="ABK364" s="35"/>
      <c r="ABL364" s="34"/>
      <c r="ABM364" s="34"/>
      <c r="ABN364" s="36"/>
      <c r="ABO364" s="36"/>
      <c r="ABP364" s="37"/>
      <c r="ABQ364" s="37"/>
      <c r="ABR364" s="38"/>
      <c r="ABS364" s="38"/>
      <c r="ABT364" s="39"/>
      <c r="ABU364" s="34"/>
      <c r="ABV364" s="34"/>
      <c r="ABW364" s="34"/>
      <c r="ABX364" s="35"/>
      <c r="ABY364" s="35"/>
      <c r="ABZ364" s="35"/>
      <c r="ACA364" s="35"/>
      <c r="ACB364" s="35"/>
      <c r="ACC364" s="34"/>
      <c r="ACD364" s="34"/>
      <c r="ACE364" s="36"/>
      <c r="ACF364" s="36"/>
      <c r="ACG364" s="37"/>
      <c r="ACH364" s="37"/>
      <c r="ACI364" s="38"/>
      <c r="ACJ364" s="38"/>
      <c r="ACK364" s="39"/>
      <c r="ACL364" s="34"/>
      <c r="ACM364" s="34"/>
      <c r="ACN364" s="34"/>
      <c r="ACO364" s="35"/>
      <c r="ACP364" s="35"/>
      <c r="ACQ364" s="35"/>
      <c r="ACR364" s="35"/>
      <c r="ACS364" s="35"/>
      <c r="ACT364" s="34"/>
      <c r="ACU364" s="34"/>
      <c r="ACV364" s="36"/>
      <c r="ACW364" s="36"/>
      <c r="ACX364" s="37"/>
      <c r="ACY364" s="37"/>
      <c r="ACZ364" s="38"/>
      <c r="ADA364" s="38"/>
      <c r="ADB364" s="39"/>
      <c r="ADC364" s="34"/>
      <c r="ADD364" s="34"/>
      <c r="ADE364" s="34"/>
      <c r="ADF364" s="35"/>
      <c r="ADG364" s="35"/>
      <c r="ADH364" s="35"/>
      <c r="ADI364" s="35"/>
      <c r="ADJ364" s="35"/>
      <c r="ADK364" s="34"/>
      <c r="ADL364" s="34"/>
      <c r="ADM364" s="36"/>
      <c r="ADN364" s="36"/>
      <c r="ADO364" s="37"/>
      <c r="ADP364" s="37"/>
      <c r="ADQ364" s="38"/>
      <c r="ADR364" s="38"/>
      <c r="ADS364" s="39"/>
      <c r="ADT364" s="34"/>
      <c r="ADU364" s="34"/>
      <c r="ADV364" s="34"/>
      <c r="ADW364" s="35"/>
      <c r="ADX364" s="35"/>
      <c r="ADY364" s="35"/>
      <c r="ADZ364" s="35"/>
      <c r="AEA364" s="35"/>
      <c r="AEB364" s="34"/>
      <c r="AEC364" s="34"/>
      <c r="AED364" s="36"/>
      <c r="AEE364" s="36"/>
      <c r="AEF364" s="37"/>
      <c r="AEG364" s="37"/>
      <c r="AEH364" s="38"/>
      <c r="AEI364" s="38"/>
      <c r="AEJ364" s="39"/>
      <c r="AEK364" s="34"/>
      <c r="AEL364" s="34"/>
      <c r="AEM364" s="34"/>
      <c r="AEN364" s="35"/>
      <c r="AEO364" s="35"/>
      <c r="AEP364" s="35"/>
      <c r="AEQ364" s="35"/>
      <c r="AER364" s="35"/>
      <c r="AES364" s="34"/>
      <c r="AET364" s="34"/>
      <c r="AEU364" s="36"/>
      <c r="AEV364" s="36"/>
      <c r="AEW364" s="37"/>
      <c r="AEX364" s="37"/>
      <c r="AEY364" s="38"/>
      <c r="AEZ364" s="38"/>
      <c r="AFA364" s="39"/>
      <c r="AFB364" s="34"/>
      <c r="AFC364" s="34"/>
      <c r="AFD364" s="34"/>
      <c r="AFE364" s="35"/>
      <c r="AFF364" s="35"/>
      <c r="AFG364" s="35"/>
      <c r="AFH364" s="35"/>
      <c r="AFI364" s="35"/>
      <c r="AFJ364" s="34"/>
      <c r="AFK364" s="34"/>
      <c r="AFL364" s="36"/>
      <c r="AFM364" s="36"/>
      <c r="AFN364" s="37"/>
      <c r="AFO364" s="37"/>
      <c r="AFP364" s="38"/>
      <c r="AFQ364" s="38"/>
      <c r="AFR364" s="39"/>
      <c r="AFS364" s="34"/>
      <c r="AFT364" s="34"/>
      <c r="AFU364" s="34"/>
      <c r="AFV364" s="35"/>
      <c r="AFW364" s="35"/>
      <c r="AFX364" s="35"/>
      <c r="AFY364" s="35"/>
      <c r="AFZ364" s="35"/>
      <c r="AGA364" s="34"/>
      <c r="AGB364" s="34"/>
      <c r="AGC364" s="36"/>
      <c r="AGD364" s="36"/>
      <c r="AGE364" s="37"/>
      <c r="AGF364" s="37"/>
      <c r="AGG364" s="38"/>
      <c r="AGH364" s="38"/>
      <c r="AGI364" s="39"/>
      <c r="AGJ364" s="34"/>
      <c r="AGK364" s="34"/>
      <c r="AGL364" s="34"/>
      <c r="AGM364" s="35"/>
      <c r="AGN364" s="35"/>
      <c r="AGO364" s="35"/>
      <c r="AGP364" s="35"/>
      <c r="AGQ364" s="35"/>
      <c r="AGR364" s="34"/>
      <c r="AGS364" s="34"/>
      <c r="AGT364" s="36"/>
      <c r="AGU364" s="36"/>
      <c r="AGV364" s="37"/>
      <c r="AGW364" s="37"/>
      <c r="AGX364" s="38"/>
      <c r="AGY364" s="38"/>
      <c r="AGZ364" s="39"/>
      <c r="AHA364" s="34"/>
      <c r="AHB364" s="34"/>
      <c r="AHC364" s="34"/>
      <c r="AHD364" s="35"/>
      <c r="AHE364" s="35"/>
      <c r="AHF364" s="35"/>
      <c r="AHG364" s="35"/>
      <c r="AHH364" s="35"/>
      <c r="AHI364" s="34"/>
      <c r="AHJ364" s="34"/>
      <c r="AHK364" s="36"/>
      <c r="AHL364" s="36"/>
      <c r="AHM364" s="37"/>
      <c r="AHN364" s="37"/>
      <c r="AHO364" s="38"/>
      <c r="AHP364" s="38"/>
      <c r="AHQ364" s="39"/>
      <c r="AHR364" s="34"/>
      <c r="AHS364" s="34"/>
      <c r="AHT364" s="34"/>
      <c r="AHU364" s="35"/>
      <c r="AHV364" s="35"/>
      <c r="AHW364" s="35"/>
      <c r="AHX364" s="35"/>
      <c r="AHY364" s="35"/>
      <c r="AHZ364" s="34"/>
      <c r="AIA364" s="34"/>
      <c r="AIB364" s="36"/>
      <c r="AIC364" s="36"/>
      <c r="AID364" s="37"/>
      <c r="AIE364" s="37"/>
      <c r="AIF364" s="38"/>
      <c r="AIG364" s="38"/>
      <c r="AIH364" s="39"/>
      <c r="AII364" s="34"/>
      <c r="AIJ364" s="34"/>
      <c r="AIK364" s="34"/>
      <c r="AIL364" s="35"/>
      <c r="AIM364" s="35"/>
      <c r="AIN364" s="35"/>
      <c r="AIO364" s="35"/>
      <c r="AIP364" s="35"/>
      <c r="AIQ364" s="34"/>
      <c r="AIR364" s="34"/>
      <c r="AIS364" s="36"/>
      <c r="AIT364" s="36"/>
      <c r="AIU364" s="37"/>
      <c r="AIV364" s="37"/>
      <c r="AIW364" s="38"/>
      <c r="AIX364" s="38"/>
      <c r="AIY364" s="39"/>
      <c r="AIZ364" s="34"/>
      <c r="AJA364" s="34"/>
      <c r="AJB364" s="34"/>
      <c r="AJC364" s="35"/>
      <c r="AJD364" s="35"/>
      <c r="AJE364" s="35"/>
      <c r="AJF364" s="35"/>
      <c r="AJG364" s="35"/>
      <c r="AJH364" s="34"/>
      <c r="AJI364" s="34"/>
      <c r="AJJ364" s="36"/>
      <c r="AJK364" s="36"/>
      <c r="AJL364" s="37"/>
      <c r="AJM364" s="37"/>
      <c r="AJN364" s="38"/>
      <c r="AJO364" s="38"/>
      <c r="AJP364" s="39"/>
      <c r="AJQ364" s="34"/>
      <c r="AJR364" s="34"/>
      <c r="AJS364" s="34"/>
      <c r="AJT364" s="35"/>
      <c r="AJU364" s="35"/>
      <c r="AJV364" s="35"/>
      <c r="AJW364" s="35"/>
      <c r="AJX364" s="35"/>
      <c r="AJY364" s="34"/>
      <c r="AJZ364" s="34"/>
      <c r="AKA364" s="36"/>
      <c r="AKB364" s="36"/>
      <c r="AKC364" s="37"/>
      <c r="AKD364" s="37"/>
      <c r="AKE364" s="38"/>
      <c r="AKF364" s="38"/>
      <c r="AKG364" s="39"/>
      <c r="AKH364" s="34"/>
      <c r="AKI364" s="34"/>
      <c r="AKJ364" s="34"/>
      <c r="AKK364" s="35"/>
      <c r="AKL364" s="35"/>
      <c r="AKM364" s="35"/>
      <c r="AKN364" s="35"/>
      <c r="AKO364" s="35"/>
      <c r="AKP364" s="34"/>
      <c r="AKQ364" s="34"/>
      <c r="AKR364" s="36"/>
      <c r="AKS364" s="36"/>
      <c r="AKT364" s="37"/>
      <c r="AKU364" s="37"/>
      <c r="AKV364" s="38"/>
      <c r="AKW364" s="38"/>
      <c r="AKX364" s="39"/>
      <c r="AKY364" s="34"/>
      <c r="AKZ364" s="34"/>
      <c r="ALA364" s="34"/>
      <c r="ALB364" s="35"/>
      <c r="ALC364" s="35"/>
      <c r="ALD364" s="35"/>
      <c r="ALE364" s="35"/>
      <c r="ALF364" s="35"/>
      <c r="ALG364" s="34"/>
      <c r="ALH364" s="34"/>
      <c r="ALI364" s="36"/>
      <c r="ALJ364" s="36"/>
      <c r="ALK364" s="37"/>
      <c r="ALL364" s="37"/>
      <c r="ALM364" s="38"/>
      <c r="ALN364" s="38"/>
      <c r="ALO364" s="39"/>
      <c r="ALP364" s="34"/>
      <c r="ALQ364" s="34"/>
      <c r="ALR364" s="34"/>
      <c r="ALS364" s="35"/>
      <c r="ALT364" s="35"/>
      <c r="ALU364" s="35"/>
      <c r="ALV364" s="35"/>
      <c r="ALW364" s="35"/>
      <c r="ALX364" s="34"/>
      <c r="ALY364" s="34"/>
      <c r="ALZ364" s="36"/>
      <c r="AMA364" s="36"/>
      <c r="AMB364" s="37"/>
      <c r="AMC364" s="37"/>
      <c r="AMD364" s="38"/>
      <c r="AME364" s="38"/>
      <c r="AMF364" s="39"/>
      <c r="AMG364" s="34"/>
      <c r="AMH364" s="34"/>
      <c r="AMI364" s="34"/>
      <c r="AMJ364" s="35"/>
      <c r="AMK364" s="35"/>
      <c r="AML364" s="35"/>
      <c r="AMM364" s="35"/>
      <c r="AMN364" s="35"/>
      <c r="AMO364" s="34"/>
      <c r="AMP364" s="34"/>
      <c r="AMQ364" s="36"/>
      <c r="AMR364" s="36"/>
      <c r="AMS364" s="37"/>
      <c r="AMT364" s="37"/>
      <c r="AMU364" s="38"/>
      <c r="AMV364" s="38"/>
      <c r="AMW364" s="39"/>
      <c r="AMX364" s="34"/>
      <c r="AMY364" s="34"/>
      <c r="AMZ364" s="34"/>
      <c r="ANA364" s="35"/>
      <c r="ANB364" s="35"/>
      <c r="ANC364" s="35"/>
      <c r="AND364" s="35"/>
      <c r="ANE364" s="35"/>
      <c r="ANF364" s="34"/>
      <c r="ANG364" s="34"/>
      <c r="ANH364" s="36"/>
      <c r="ANI364" s="36"/>
      <c r="ANJ364" s="37"/>
      <c r="ANK364" s="37"/>
      <c r="ANL364" s="38"/>
      <c r="ANM364" s="38"/>
      <c r="ANN364" s="39"/>
      <c r="ANO364" s="34"/>
      <c r="ANP364" s="34"/>
      <c r="ANQ364" s="34"/>
      <c r="ANR364" s="35"/>
      <c r="ANS364" s="35"/>
      <c r="ANT364" s="35"/>
      <c r="ANU364" s="35"/>
      <c r="ANV364" s="35"/>
      <c r="ANW364" s="34"/>
      <c r="ANX364" s="34"/>
      <c r="ANY364" s="36"/>
      <c r="ANZ364" s="36"/>
      <c r="AOA364" s="37"/>
      <c r="AOB364" s="37"/>
      <c r="AOC364" s="38"/>
      <c r="AOD364" s="38"/>
      <c r="AOE364" s="39"/>
      <c r="AOF364" s="34"/>
      <c r="AOG364" s="34"/>
      <c r="AOH364" s="34"/>
      <c r="AOI364" s="35"/>
      <c r="AOJ364" s="35"/>
      <c r="AOK364" s="35"/>
      <c r="AOL364" s="35"/>
      <c r="AOM364" s="35"/>
      <c r="AON364" s="34"/>
      <c r="AOO364" s="34"/>
      <c r="AOP364" s="36"/>
      <c r="AOQ364" s="36"/>
      <c r="AOR364" s="37"/>
      <c r="AOS364" s="37"/>
      <c r="AOT364" s="38"/>
      <c r="AOU364" s="38"/>
      <c r="AOV364" s="39"/>
      <c r="AOW364" s="34"/>
      <c r="AOX364" s="34"/>
      <c r="AOY364" s="34"/>
      <c r="AOZ364" s="35"/>
      <c r="APA364" s="35"/>
      <c r="APB364" s="35"/>
      <c r="APC364" s="35"/>
      <c r="APD364" s="35"/>
      <c r="APE364" s="34"/>
      <c r="APF364" s="34"/>
      <c r="APG364" s="36"/>
      <c r="APH364" s="36"/>
      <c r="API364" s="37"/>
      <c r="APJ364" s="37"/>
      <c r="APK364" s="38"/>
      <c r="APL364" s="38"/>
      <c r="APM364" s="39"/>
      <c r="APN364" s="34"/>
      <c r="APO364" s="34"/>
      <c r="APP364" s="34"/>
      <c r="APQ364" s="35"/>
      <c r="APR364" s="35"/>
      <c r="APS364" s="35"/>
      <c r="APT364" s="35"/>
      <c r="APU364" s="35"/>
      <c r="APV364" s="34"/>
      <c r="APW364" s="34"/>
      <c r="APX364" s="36"/>
      <c r="APY364" s="36"/>
      <c r="APZ364" s="37"/>
      <c r="AQA364" s="37"/>
      <c r="AQB364" s="38"/>
      <c r="AQC364" s="38"/>
      <c r="AQD364" s="39"/>
      <c r="AQE364" s="34"/>
      <c r="AQF364" s="34"/>
      <c r="AQG364" s="34"/>
      <c r="AQH364" s="35"/>
      <c r="AQI364" s="35"/>
      <c r="AQJ364" s="35"/>
      <c r="AQK364" s="35"/>
      <c r="AQL364" s="35"/>
      <c r="AQM364" s="34"/>
      <c r="AQN364" s="34"/>
      <c r="AQO364" s="36"/>
      <c r="AQP364" s="36"/>
      <c r="AQQ364" s="37"/>
      <c r="AQR364" s="37"/>
      <c r="AQS364" s="38"/>
      <c r="AQT364" s="38"/>
      <c r="AQU364" s="39"/>
      <c r="AQV364" s="34"/>
      <c r="AQW364" s="34"/>
      <c r="AQX364" s="34"/>
      <c r="AQY364" s="35"/>
      <c r="AQZ364" s="35"/>
      <c r="ARA364" s="35"/>
      <c r="ARB364" s="35"/>
      <c r="ARC364" s="35"/>
      <c r="ARD364" s="34"/>
      <c r="ARE364" s="34"/>
      <c r="ARF364" s="36"/>
      <c r="ARG364" s="36"/>
      <c r="ARH364" s="37"/>
      <c r="ARI364" s="37"/>
      <c r="ARJ364" s="38"/>
      <c r="ARK364" s="38"/>
      <c r="ARL364" s="39"/>
      <c r="ARM364" s="34"/>
      <c r="ARN364" s="34"/>
      <c r="ARO364" s="34"/>
      <c r="ARP364" s="35"/>
      <c r="ARQ364" s="35"/>
      <c r="ARR364" s="35"/>
      <c r="ARS364" s="35"/>
      <c r="ART364" s="35"/>
      <c r="ARU364" s="34"/>
      <c r="ARV364" s="34"/>
      <c r="ARW364" s="36"/>
      <c r="ARX364" s="36"/>
      <c r="ARY364" s="37"/>
      <c r="ARZ364" s="37"/>
      <c r="ASA364" s="38"/>
      <c r="ASB364" s="38"/>
      <c r="ASC364" s="39"/>
      <c r="ASD364" s="34"/>
      <c r="ASE364" s="34"/>
      <c r="ASF364" s="34"/>
      <c r="ASG364" s="35"/>
      <c r="ASH364" s="35"/>
      <c r="ASI364" s="35"/>
      <c r="ASJ364" s="35"/>
      <c r="ASK364" s="35"/>
      <c r="ASL364" s="34"/>
      <c r="ASM364" s="34"/>
      <c r="ASN364" s="36"/>
      <c r="ASO364" s="36"/>
      <c r="ASP364" s="37"/>
      <c r="ASQ364" s="37"/>
      <c r="ASR364" s="38"/>
      <c r="ASS364" s="38"/>
      <c r="AST364" s="39"/>
      <c r="ASU364" s="34"/>
      <c r="ASV364" s="34"/>
      <c r="ASW364" s="34"/>
      <c r="ASX364" s="35"/>
      <c r="ASY364" s="35"/>
      <c r="ASZ364" s="35"/>
      <c r="ATA364" s="35"/>
      <c r="ATB364" s="35"/>
      <c r="ATC364" s="34"/>
      <c r="ATD364" s="34"/>
      <c r="ATE364" s="36"/>
      <c r="ATF364" s="36"/>
      <c r="ATG364" s="37"/>
      <c r="ATH364" s="37"/>
      <c r="ATI364" s="38"/>
      <c r="ATJ364" s="38"/>
      <c r="ATK364" s="39"/>
      <c r="ATL364" s="34"/>
      <c r="ATM364" s="34"/>
      <c r="ATN364" s="34"/>
      <c r="ATO364" s="35"/>
      <c r="ATP364" s="35"/>
      <c r="ATQ364" s="35"/>
      <c r="ATR364" s="35"/>
      <c r="ATS364" s="35"/>
      <c r="ATT364" s="34"/>
      <c r="ATU364" s="34"/>
      <c r="ATV364" s="36"/>
      <c r="ATW364" s="36"/>
      <c r="ATX364" s="37"/>
      <c r="ATY364" s="37"/>
      <c r="ATZ364" s="38"/>
      <c r="AUA364" s="38"/>
      <c r="AUB364" s="39"/>
      <c r="AUC364" s="34"/>
      <c r="AUD364" s="34"/>
      <c r="AUE364" s="34"/>
      <c r="AUF364" s="35"/>
      <c r="AUG364" s="35"/>
      <c r="AUH364" s="35"/>
      <c r="AUI364" s="35"/>
      <c r="AUJ364" s="35"/>
      <c r="AUK364" s="34"/>
      <c r="AUL364" s="34"/>
      <c r="AUM364" s="36"/>
      <c r="AUN364" s="36"/>
      <c r="AUO364" s="37"/>
      <c r="AUP364" s="37"/>
      <c r="AUQ364" s="38"/>
      <c r="AUR364" s="38"/>
      <c r="AUS364" s="39"/>
      <c r="AUT364" s="34"/>
      <c r="AUU364" s="34"/>
      <c r="AUV364" s="34"/>
      <c r="AUW364" s="35"/>
      <c r="AUX364" s="35"/>
      <c r="AUY364" s="35"/>
      <c r="AUZ364" s="35"/>
      <c r="AVA364" s="35"/>
      <c r="AVB364" s="34"/>
      <c r="AVC364" s="34"/>
      <c r="AVD364" s="36"/>
      <c r="AVE364" s="36"/>
      <c r="AVF364" s="37"/>
      <c r="AVG364" s="37"/>
      <c r="AVH364" s="38"/>
      <c r="AVI364" s="38"/>
      <c r="AVJ364" s="39"/>
      <c r="AVK364" s="34"/>
      <c r="AVL364" s="34"/>
      <c r="AVM364" s="34"/>
      <c r="AVN364" s="35"/>
      <c r="AVO364" s="35"/>
      <c r="AVP364" s="35"/>
      <c r="AVQ364" s="35"/>
      <c r="AVR364" s="35"/>
      <c r="AVS364" s="34"/>
      <c r="AVT364" s="34"/>
      <c r="AVU364" s="36"/>
      <c r="AVV364" s="36"/>
      <c r="AVW364" s="37"/>
      <c r="AVX364" s="37"/>
      <c r="AVY364" s="38"/>
      <c r="AVZ364" s="38"/>
      <c r="AWA364" s="39"/>
      <c r="AWB364" s="34"/>
      <c r="AWC364" s="34"/>
      <c r="AWD364" s="34"/>
      <c r="AWE364" s="35"/>
      <c r="AWF364" s="35"/>
      <c r="AWG364" s="35"/>
      <c r="AWH364" s="35"/>
      <c r="AWI364" s="35"/>
      <c r="AWJ364" s="34"/>
      <c r="AWK364" s="34"/>
      <c r="AWL364" s="36"/>
      <c r="AWM364" s="36"/>
      <c r="AWN364" s="37"/>
      <c r="AWO364" s="37"/>
      <c r="AWP364" s="38"/>
      <c r="AWQ364" s="38"/>
      <c r="AWR364" s="39"/>
      <c r="AWS364" s="34"/>
      <c r="AWT364" s="34"/>
      <c r="AWU364" s="34"/>
      <c r="AWV364" s="35"/>
      <c r="AWW364" s="35"/>
      <c r="AWX364" s="35"/>
      <c r="AWY364" s="35"/>
      <c r="AWZ364" s="35"/>
      <c r="AXA364" s="34"/>
      <c r="AXB364" s="34"/>
      <c r="AXC364" s="36"/>
      <c r="AXD364" s="36"/>
      <c r="AXE364" s="37"/>
      <c r="AXF364" s="37"/>
      <c r="AXG364" s="38"/>
      <c r="AXH364" s="38"/>
      <c r="AXI364" s="39"/>
      <c r="AXJ364" s="34"/>
      <c r="AXK364" s="34"/>
      <c r="AXL364" s="34"/>
      <c r="AXM364" s="35"/>
      <c r="AXN364" s="35"/>
      <c r="AXO364" s="35"/>
      <c r="AXP364" s="35"/>
      <c r="AXQ364" s="35"/>
      <c r="AXR364" s="34"/>
      <c r="AXS364" s="34"/>
      <c r="AXT364" s="36"/>
      <c r="AXU364" s="36"/>
      <c r="AXV364" s="37"/>
      <c r="AXW364" s="37"/>
      <c r="AXX364" s="38"/>
      <c r="AXY364" s="38"/>
      <c r="AXZ364" s="39"/>
      <c r="AYA364" s="34"/>
      <c r="AYB364" s="34"/>
      <c r="AYC364" s="34"/>
      <c r="AYD364" s="35"/>
      <c r="AYE364" s="35"/>
      <c r="AYF364" s="35"/>
      <c r="AYG364" s="35"/>
      <c r="AYH364" s="35"/>
      <c r="AYI364" s="34"/>
      <c r="AYJ364" s="34"/>
      <c r="AYK364" s="36"/>
      <c r="AYL364" s="36"/>
      <c r="AYM364" s="37"/>
      <c r="AYN364" s="37"/>
      <c r="AYO364" s="38"/>
      <c r="AYP364" s="38"/>
      <c r="AYQ364" s="39"/>
      <c r="AYR364" s="34"/>
      <c r="AYS364" s="34"/>
      <c r="AYT364" s="34"/>
      <c r="AYU364" s="35"/>
      <c r="AYV364" s="35"/>
      <c r="AYW364" s="35"/>
      <c r="AYX364" s="35"/>
      <c r="AYY364" s="35"/>
      <c r="AYZ364" s="34"/>
      <c r="AZA364" s="34"/>
      <c r="AZB364" s="36"/>
      <c r="AZC364" s="36"/>
      <c r="AZD364" s="37"/>
      <c r="AZE364" s="37"/>
      <c r="AZF364" s="38"/>
      <c r="AZG364" s="38"/>
      <c r="AZH364" s="39"/>
      <c r="AZI364" s="34"/>
      <c r="AZJ364" s="34"/>
      <c r="AZK364" s="34"/>
      <c r="AZL364" s="35"/>
      <c r="AZM364" s="35"/>
      <c r="AZN364" s="35"/>
      <c r="AZO364" s="35"/>
      <c r="AZP364" s="35"/>
      <c r="AZQ364" s="34"/>
      <c r="AZR364" s="34"/>
      <c r="AZS364" s="36"/>
      <c r="AZT364" s="36"/>
      <c r="AZU364" s="37"/>
      <c r="AZV364" s="37"/>
      <c r="AZW364" s="38"/>
      <c r="AZX364" s="38"/>
      <c r="AZY364" s="39"/>
      <c r="AZZ364" s="34"/>
      <c r="BAA364" s="34"/>
      <c r="BAB364" s="34"/>
      <c r="BAC364" s="35"/>
      <c r="BAD364" s="35"/>
      <c r="BAE364" s="35"/>
      <c r="BAF364" s="35"/>
      <c r="BAG364" s="35"/>
      <c r="BAH364" s="34"/>
      <c r="BAI364" s="34"/>
      <c r="BAJ364" s="36"/>
      <c r="BAK364" s="36"/>
      <c r="BAL364" s="37"/>
      <c r="BAM364" s="37"/>
      <c r="BAN364" s="38"/>
      <c r="BAO364" s="38"/>
      <c r="BAP364" s="39"/>
      <c r="BAQ364" s="34"/>
      <c r="BAR364" s="34"/>
      <c r="BAS364" s="34"/>
      <c r="BAT364" s="35"/>
      <c r="BAU364" s="35"/>
      <c r="BAV364" s="35"/>
      <c r="BAW364" s="35"/>
      <c r="BAX364" s="35"/>
      <c r="BAY364" s="34"/>
      <c r="BAZ364" s="34"/>
      <c r="BBA364" s="36"/>
      <c r="BBB364" s="36"/>
      <c r="BBC364" s="37"/>
      <c r="BBD364" s="37"/>
      <c r="BBE364" s="38"/>
      <c r="BBF364" s="38"/>
      <c r="BBG364" s="39"/>
      <c r="BBH364" s="34"/>
      <c r="BBI364" s="34"/>
      <c r="BBJ364" s="34"/>
      <c r="BBK364" s="35"/>
      <c r="BBL364" s="35"/>
      <c r="BBM364" s="35"/>
      <c r="BBN364" s="35"/>
      <c r="BBO364" s="35"/>
      <c r="BBP364" s="34"/>
      <c r="BBQ364" s="34"/>
      <c r="BBR364" s="36"/>
      <c r="BBS364" s="36"/>
      <c r="BBT364" s="37"/>
      <c r="BBU364" s="37"/>
      <c r="BBV364" s="38"/>
      <c r="BBW364" s="38"/>
      <c r="BBX364" s="39"/>
      <c r="BBY364" s="34"/>
      <c r="BBZ364" s="34"/>
      <c r="BCA364" s="34"/>
      <c r="BCB364" s="35"/>
      <c r="BCC364" s="35"/>
      <c r="BCD364" s="35"/>
      <c r="BCE364" s="35"/>
      <c r="BCF364" s="35"/>
      <c r="BCG364" s="34"/>
      <c r="BCH364" s="34"/>
      <c r="BCI364" s="36"/>
      <c r="BCJ364" s="36"/>
      <c r="BCK364" s="37"/>
      <c r="BCL364" s="37"/>
      <c r="BCM364" s="38"/>
      <c r="BCN364" s="38"/>
      <c r="BCO364" s="39"/>
      <c r="BCP364" s="34"/>
      <c r="BCQ364" s="34"/>
      <c r="BCR364" s="34"/>
      <c r="BCS364" s="35"/>
      <c r="BCT364" s="35"/>
      <c r="BCU364" s="35"/>
      <c r="BCV364" s="35"/>
      <c r="BCW364" s="35"/>
      <c r="BCX364" s="34"/>
      <c r="BCY364" s="34"/>
      <c r="BCZ364" s="36"/>
      <c r="BDA364" s="36"/>
      <c r="BDB364" s="37"/>
      <c r="BDC364" s="37"/>
      <c r="BDD364" s="38"/>
      <c r="BDE364" s="38"/>
      <c r="BDF364" s="39"/>
      <c r="BDG364" s="34"/>
      <c r="BDH364" s="34"/>
      <c r="BDI364" s="34"/>
      <c r="BDJ364" s="35"/>
      <c r="BDK364" s="35"/>
      <c r="BDL364" s="35"/>
      <c r="BDM364" s="35"/>
      <c r="BDN364" s="35"/>
      <c r="BDO364" s="34"/>
      <c r="BDP364" s="34"/>
      <c r="BDQ364" s="36"/>
      <c r="BDR364" s="36"/>
      <c r="BDS364" s="37"/>
      <c r="BDT364" s="37"/>
      <c r="BDU364" s="38"/>
      <c r="BDV364" s="38"/>
      <c r="BDW364" s="39"/>
      <c r="BDX364" s="34"/>
      <c r="BDY364" s="34"/>
      <c r="BDZ364" s="34"/>
      <c r="BEA364" s="35"/>
      <c r="BEB364" s="35"/>
      <c r="BEC364" s="35"/>
      <c r="BED364" s="35"/>
      <c r="BEE364" s="35"/>
      <c r="BEF364" s="34"/>
      <c r="BEG364" s="34"/>
      <c r="BEH364" s="36"/>
      <c r="BEI364" s="36"/>
      <c r="BEJ364" s="37"/>
      <c r="BEK364" s="37"/>
      <c r="BEL364" s="38"/>
      <c r="BEM364" s="38"/>
      <c r="BEN364" s="39"/>
      <c r="BEO364" s="34"/>
      <c r="BEP364" s="34"/>
      <c r="BEQ364" s="34"/>
      <c r="BER364" s="35"/>
      <c r="BES364" s="35"/>
      <c r="BET364" s="35"/>
      <c r="BEU364" s="35"/>
      <c r="BEV364" s="35"/>
      <c r="BEW364" s="34"/>
      <c r="BEX364" s="34"/>
      <c r="BEY364" s="36"/>
      <c r="BEZ364" s="36"/>
      <c r="BFA364" s="37"/>
      <c r="BFB364" s="37"/>
      <c r="BFC364" s="38"/>
      <c r="BFD364" s="38"/>
      <c r="BFE364" s="39"/>
      <c r="BFF364" s="34"/>
      <c r="BFG364" s="34"/>
      <c r="BFH364" s="34"/>
      <c r="BFI364" s="35"/>
      <c r="BFJ364" s="35"/>
      <c r="BFK364" s="35"/>
      <c r="BFL364" s="35"/>
      <c r="BFM364" s="35"/>
      <c r="BFN364" s="34"/>
      <c r="BFO364" s="34"/>
      <c r="BFP364" s="36"/>
      <c r="BFQ364" s="36"/>
      <c r="BFR364" s="37"/>
      <c r="BFS364" s="37"/>
      <c r="BFT364" s="38"/>
      <c r="BFU364" s="38"/>
      <c r="BFV364" s="39"/>
      <c r="BFW364" s="34"/>
      <c r="BFX364" s="34"/>
      <c r="BFY364" s="34"/>
      <c r="BFZ364" s="35"/>
      <c r="BGA364" s="35"/>
      <c r="BGB364" s="35"/>
      <c r="BGC364" s="35"/>
      <c r="BGD364" s="35"/>
      <c r="BGE364" s="34"/>
      <c r="BGF364" s="34"/>
      <c r="BGG364" s="36"/>
      <c r="BGH364" s="36"/>
      <c r="BGI364" s="37"/>
      <c r="BGJ364" s="37"/>
      <c r="BGK364" s="38"/>
      <c r="BGL364" s="38"/>
      <c r="BGM364" s="39"/>
      <c r="BGN364" s="34"/>
      <c r="BGO364" s="34"/>
      <c r="BGP364" s="34"/>
      <c r="BGQ364" s="35"/>
      <c r="BGR364" s="35"/>
      <c r="BGS364" s="35"/>
      <c r="BGT364" s="35"/>
      <c r="BGU364" s="35"/>
      <c r="BGV364" s="34"/>
      <c r="BGW364" s="34"/>
      <c r="BGX364" s="36"/>
      <c r="BGY364" s="36"/>
      <c r="BGZ364" s="37"/>
      <c r="BHA364" s="37"/>
      <c r="BHB364" s="38"/>
      <c r="BHC364" s="38"/>
      <c r="BHD364" s="39"/>
      <c r="BHE364" s="34"/>
      <c r="BHF364" s="34"/>
      <c r="BHG364" s="34"/>
      <c r="BHH364" s="35"/>
      <c r="BHI364" s="35"/>
      <c r="BHJ364" s="35"/>
      <c r="BHK364" s="35"/>
      <c r="BHL364" s="35"/>
      <c r="BHM364" s="34"/>
      <c r="BHN364" s="34"/>
      <c r="BHO364" s="36"/>
      <c r="BHP364" s="36"/>
      <c r="BHQ364" s="37"/>
      <c r="BHR364" s="37"/>
      <c r="BHS364" s="38"/>
      <c r="BHT364" s="38"/>
      <c r="BHU364" s="39"/>
      <c r="BHV364" s="34"/>
      <c r="BHW364" s="34"/>
      <c r="BHX364" s="34"/>
      <c r="BHY364" s="35"/>
      <c r="BHZ364" s="35"/>
      <c r="BIA364" s="35"/>
      <c r="BIB364" s="35"/>
      <c r="BIC364" s="35"/>
      <c r="BID364" s="34"/>
      <c r="BIE364" s="34"/>
      <c r="BIF364" s="36"/>
      <c r="BIG364" s="36"/>
      <c r="BIH364" s="37"/>
      <c r="BII364" s="37"/>
      <c r="BIJ364" s="38"/>
      <c r="BIK364" s="38"/>
      <c r="BIL364" s="39"/>
      <c r="BIM364" s="34"/>
      <c r="BIN364" s="34"/>
      <c r="BIO364" s="34"/>
      <c r="BIP364" s="35"/>
      <c r="BIQ364" s="35"/>
      <c r="BIR364" s="35"/>
      <c r="BIS364" s="35"/>
      <c r="BIT364" s="35"/>
      <c r="BIU364" s="34"/>
      <c r="BIV364" s="34"/>
      <c r="BIW364" s="36"/>
      <c r="BIX364" s="36"/>
      <c r="BIY364" s="37"/>
      <c r="BIZ364" s="37"/>
      <c r="BJA364" s="38"/>
      <c r="BJB364" s="38"/>
      <c r="BJC364" s="39"/>
      <c r="BJD364" s="34"/>
      <c r="BJE364" s="34"/>
      <c r="BJF364" s="34"/>
      <c r="BJG364" s="35"/>
      <c r="BJH364" s="35"/>
      <c r="BJI364" s="35"/>
      <c r="BJJ364" s="35"/>
      <c r="BJK364" s="35"/>
      <c r="BJL364" s="34"/>
      <c r="BJM364" s="34"/>
      <c r="BJN364" s="36"/>
      <c r="BJO364" s="36"/>
      <c r="BJP364" s="37"/>
      <c r="BJQ364" s="37"/>
      <c r="BJR364" s="38"/>
      <c r="BJS364" s="38"/>
      <c r="BJT364" s="39"/>
      <c r="BJU364" s="34"/>
      <c r="BJV364" s="34"/>
      <c r="BJW364" s="34"/>
      <c r="BJX364" s="35"/>
      <c r="BJY364" s="35"/>
      <c r="BJZ364" s="35"/>
      <c r="BKA364" s="35"/>
      <c r="BKB364" s="35"/>
      <c r="BKC364" s="34"/>
      <c r="BKD364" s="34"/>
      <c r="BKE364" s="36"/>
      <c r="BKF364" s="36"/>
      <c r="BKG364" s="37"/>
      <c r="BKH364" s="37"/>
      <c r="BKI364" s="38"/>
      <c r="BKJ364" s="38"/>
      <c r="BKK364" s="39"/>
      <c r="BKL364" s="34"/>
      <c r="BKM364" s="34"/>
      <c r="BKN364" s="34"/>
      <c r="BKO364" s="35"/>
      <c r="BKP364" s="35"/>
      <c r="BKQ364" s="35"/>
      <c r="BKR364" s="35"/>
      <c r="BKS364" s="35"/>
      <c r="BKT364" s="34"/>
      <c r="BKU364" s="34"/>
      <c r="BKV364" s="36"/>
      <c r="BKW364" s="36"/>
      <c r="BKX364" s="37"/>
      <c r="BKY364" s="37"/>
      <c r="BKZ364" s="38"/>
      <c r="BLA364" s="38"/>
      <c r="BLB364" s="39"/>
      <c r="BLC364" s="34"/>
      <c r="BLD364" s="34"/>
      <c r="BLE364" s="34"/>
      <c r="BLF364" s="35"/>
      <c r="BLG364" s="35"/>
      <c r="BLH364" s="35"/>
      <c r="BLI364" s="35"/>
      <c r="BLJ364" s="35"/>
      <c r="BLK364" s="34"/>
      <c r="BLL364" s="34"/>
      <c r="BLM364" s="36"/>
      <c r="BLN364" s="36"/>
      <c r="BLO364" s="37"/>
      <c r="BLP364" s="37"/>
      <c r="BLQ364" s="38"/>
      <c r="BLR364" s="38"/>
      <c r="BLS364" s="39"/>
      <c r="BLT364" s="34"/>
      <c r="BLU364" s="34"/>
      <c r="BLV364" s="34"/>
      <c r="BLW364" s="35"/>
      <c r="BLX364" s="35"/>
      <c r="BLY364" s="35"/>
      <c r="BLZ364" s="35"/>
      <c r="BMA364" s="35"/>
      <c r="BMB364" s="34"/>
      <c r="BMC364" s="34"/>
      <c r="BMD364" s="36"/>
      <c r="BME364" s="36"/>
      <c r="BMF364" s="37"/>
      <c r="BMG364" s="37"/>
      <c r="BMH364" s="38"/>
      <c r="BMI364" s="38"/>
      <c r="BMJ364" s="39"/>
      <c r="BMK364" s="34"/>
      <c r="BML364" s="34"/>
      <c r="BMM364" s="34"/>
      <c r="BMN364" s="35"/>
      <c r="BMO364" s="35"/>
      <c r="BMP364" s="35"/>
      <c r="BMQ364" s="35"/>
      <c r="BMR364" s="35"/>
      <c r="BMS364" s="34"/>
      <c r="BMT364" s="34"/>
      <c r="BMU364" s="36"/>
      <c r="BMV364" s="36"/>
      <c r="BMW364" s="37"/>
      <c r="BMX364" s="37"/>
      <c r="BMY364" s="38"/>
      <c r="BMZ364" s="38"/>
      <c r="BNA364" s="39"/>
      <c r="BNB364" s="34"/>
      <c r="BNC364" s="34"/>
      <c r="BND364" s="34"/>
      <c r="BNE364" s="35"/>
      <c r="BNF364" s="35"/>
      <c r="BNG364" s="35"/>
      <c r="BNH364" s="35"/>
      <c r="BNI364" s="35"/>
      <c r="BNJ364" s="34"/>
      <c r="BNK364" s="34"/>
      <c r="BNL364" s="36"/>
      <c r="BNM364" s="36"/>
      <c r="BNN364" s="37"/>
      <c r="BNO364" s="37"/>
      <c r="BNP364" s="38"/>
      <c r="BNQ364" s="38"/>
      <c r="BNR364" s="39"/>
      <c r="BNS364" s="34"/>
      <c r="BNT364" s="34"/>
      <c r="BNU364" s="34"/>
      <c r="BNV364" s="35"/>
      <c r="BNW364" s="35"/>
      <c r="BNX364" s="35"/>
      <c r="BNY364" s="35"/>
      <c r="BNZ364" s="35"/>
      <c r="BOA364" s="34"/>
      <c r="BOB364" s="34"/>
      <c r="BOC364" s="36"/>
      <c r="BOD364" s="36"/>
      <c r="BOE364" s="37"/>
      <c r="BOF364" s="37"/>
      <c r="BOG364" s="38"/>
      <c r="BOH364" s="38"/>
      <c r="BOI364" s="39"/>
      <c r="BOJ364" s="34"/>
      <c r="BOK364" s="34"/>
      <c r="BOL364" s="34"/>
      <c r="BOM364" s="35"/>
      <c r="BON364" s="35"/>
      <c r="BOO364" s="35"/>
      <c r="BOP364" s="35"/>
      <c r="BOQ364" s="35"/>
      <c r="BOR364" s="34"/>
      <c r="BOS364" s="34"/>
      <c r="BOT364" s="36"/>
      <c r="BOU364" s="36"/>
      <c r="BOV364" s="37"/>
      <c r="BOW364" s="37"/>
      <c r="BOX364" s="38"/>
      <c r="BOY364" s="38"/>
      <c r="BOZ364" s="39"/>
      <c r="BPA364" s="34"/>
      <c r="BPB364" s="34"/>
      <c r="BPC364" s="34"/>
      <c r="BPD364" s="35"/>
      <c r="BPE364" s="35"/>
      <c r="BPF364" s="35"/>
      <c r="BPG364" s="35"/>
      <c r="BPH364" s="35"/>
      <c r="BPI364" s="34"/>
      <c r="BPJ364" s="34"/>
      <c r="BPK364" s="36"/>
      <c r="BPL364" s="36"/>
      <c r="BPM364" s="37"/>
      <c r="BPN364" s="37"/>
      <c r="BPO364" s="38"/>
      <c r="BPP364" s="38"/>
      <c r="BPQ364" s="39"/>
      <c r="BPR364" s="34"/>
      <c r="BPS364" s="34"/>
      <c r="BPT364" s="34"/>
      <c r="BPU364" s="35"/>
      <c r="BPV364" s="35"/>
      <c r="BPW364" s="35"/>
      <c r="BPX364" s="35"/>
      <c r="BPY364" s="35"/>
      <c r="BPZ364" s="34"/>
      <c r="BQA364" s="34"/>
      <c r="BQB364" s="36"/>
      <c r="BQC364" s="36"/>
      <c r="BQD364" s="37"/>
      <c r="BQE364" s="37"/>
      <c r="BQF364" s="38"/>
      <c r="BQG364" s="38"/>
      <c r="BQH364" s="39"/>
      <c r="BQI364" s="34"/>
      <c r="BQJ364" s="34"/>
      <c r="BQK364" s="34"/>
      <c r="BQL364" s="35"/>
      <c r="BQM364" s="35"/>
      <c r="BQN364" s="35"/>
      <c r="BQO364" s="35"/>
      <c r="BQP364" s="35"/>
      <c r="BQQ364" s="34"/>
      <c r="BQR364" s="34"/>
      <c r="BQS364" s="36"/>
      <c r="BQT364" s="36"/>
      <c r="BQU364" s="37"/>
      <c r="BQV364" s="37"/>
      <c r="BQW364" s="38"/>
      <c r="BQX364" s="38"/>
      <c r="BQY364" s="39"/>
      <c r="BQZ364" s="34"/>
      <c r="BRA364" s="34"/>
      <c r="BRB364" s="34"/>
      <c r="BRC364" s="35"/>
      <c r="BRD364" s="35"/>
      <c r="BRE364" s="35"/>
      <c r="BRF364" s="35"/>
      <c r="BRG364" s="35"/>
      <c r="BRH364" s="34"/>
      <c r="BRI364" s="34"/>
      <c r="BRJ364" s="36"/>
      <c r="BRK364" s="36"/>
      <c r="BRL364" s="37"/>
      <c r="BRM364" s="37"/>
      <c r="BRN364" s="38"/>
      <c r="BRO364" s="38"/>
      <c r="BRP364" s="39"/>
      <c r="BRQ364" s="34"/>
      <c r="BRR364" s="34"/>
      <c r="BRS364" s="34"/>
      <c r="BRT364" s="35"/>
      <c r="BRU364" s="35"/>
      <c r="BRV364" s="35"/>
      <c r="BRW364" s="35"/>
      <c r="BRX364" s="35"/>
      <c r="BRY364" s="34"/>
      <c r="BRZ364" s="34"/>
      <c r="BSA364" s="36"/>
      <c r="BSB364" s="36"/>
      <c r="BSC364" s="37"/>
      <c r="BSD364" s="37"/>
      <c r="BSE364" s="38"/>
      <c r="BSF364" s="38"/>
      <c r="BSG364" s="39"/>
      <c r="BSH364" s="34"/>
      <c r="BSI364" s="34"/>
      <c r="BSJ364" s="34"/>
      <c r="BSK364" s="35"/>
      <c r="BSL364" s="35"/>
      <c r="BSM364" s="35"/>
      <c r="BSN364" s="35"/>
      <c r="BSO364" s="35"/>
      <c r="BSP364" s="34"/>
      <c r="BSQ364" s="34"/>
      <c r="BSR364" s="36"/>
      <c r="BSS364" s="36"/>
      <c r="BST364" s="37"/>
      <c r="BSU364" s="37"/>
      <c r="BSV364" s="38"/>
      <c r="BSW364" s="38"/>
      <c r="BSX364" s="39"/>
      <c r="BSY364" s="34"/>
      <c r="BSZ364" s="34"/>
      <c r="BTA364" s="34"/>
      <c r="BTB364" s="35"/>
      <c r="BTC364" s="35"/>
      <c r="BTD364" s="35"/>
      <c r="BTE364" s="35"/>
      <c r="BTF364" s="35"/>
      <c r="BTG364" s="34"/>
      <c r="BTH364" s="34"/>
      <c r="BTI364" s="36"/>
      <c r="BTJ364" s="36"/>
      <c r="BTK364" s="37"/>
      <c r="BTL364" s="37"/>
      <c r="BTM364" s="38"/>
      <c r="BTN364" s="38"/>
      <c r="BTO364" s="39"/>
      <c r="BTP364" s="34"/>
      <c r="BTQ364" s="34"/>
      <c r="BTR364" s="34"/>
      <c r="BTS364" s="35"/>
      <c r="BTT364" s="35"/>
      <c r="BTU364" s="35"/>
      <c r="BTV364" s="35"/>
      <c r="BTW364" s="35"/>
      <c r="BTX364" s="34"/>
      <c r="BTY364" s="34"/>
      <c r="BTZ364" s="36"/>
      <c r="BUA364" s="36"/>
      <c r="BUB364" s="37"/>
      <c r="BUC364" s="37"/>
      <c r="BUD364" s="38"/>
      <c r="BUE364" s="38"/>
      <c r="BUF364" s="39"/>
      <c r="BUG364" s="34"/>
      <c r="BUH364" s="34"/>
      <c r="BUI364" s="34"/>
      <c r="BUJ364" s="35"/>
      <c r="BUK364" s="35"/>
      <c r="BUL364" s="35"/>
      <c r="BUM364" s="35"/>
      <c r="BUN364" s="35"/>
      <c r="BUO364" s="34"/>
      <c r="BUP364" s="34"/>
      <c r="BUQ364" s="36"/>
      <c r="BUR364" s="36"/>
      <c r="BUS364" s="37"/>
      <c r="BUT364" s="37"/>
      <c r="BUU364" s="38"/>
      <c r="BUV364" s="38"/>
      <c r="BUW364" s="39"/>
      <c r="BUX364" s="34"/>
      <c r="BUY364" s="34"/>
      <c r="BUZ364" s="34"/>
      <c r="BVA364" s="35"/>
      <c r="BVB364" s="35"/>
      <c r="BVC364" s="35"/>
      <c r="BVD364" s="35"/>
      <c r="BVE364" s="35"/>
      <c r="BVF364" s="34"/>
      <c r="BVG364" s="34"/>
      <c r="BVH364" s="36"/>
      <c r="BVI364" s="36"/>
      <c r="BVJ364" s="37"/>
      <c r="BVK364" s="37"/>
      <c r="BVL364" s="38"/>
      <c r="BVM364" s="38"/>
      <c r="BVN364" s="39"/>
      <c r="BVO364" s="34"/>
      <c r="BVP364" s="34"/>
      <c r="BVQ364" s="34"/>
      <c r="BVR364" s="35"/>
      <c r="BVS364" s="35"/>
      <c r="BVT364" s="35"/>
      <c r="BVU364" s="35"/>
      <c r="BVV364" s="35"/>
      <c r="BVW364" s="34"/>
      <c r="BVX364" s="34"/>
      <c r="BVY364" s="36"/>
      <c r="BVZ364" s="36"/>
      <c r="BWA364" s="37"/>
      <c r="BWB364" s="37"/>
      <c r="BWC364" s="38"/>
      <c r="BWD364" s="38"/>
      <c r="BWE364" s="39"/>
      <c r="BWF364" s="34"/>
      <c r="BWG364" s="34"/>
      <c r="BWH364" s="34"/>
      <c r="BWI364" s="35"/>
      <c r="BWJ364" s="35"/>
      <c r="BWK364" s="35"/>
      <c r="BWL364" s="35"/>
      <c r="BWM364" s="35"/>
      <c r="BWN364" s="34"/>
      <c r="BWO364" s="34"/>
      <c r="BWP364" s="36"/>
      <c r="BWQ364" s="36"/>
      <c r="BWR364" s="37"/>
      <c r="BWS364" s="37"/>
      <c r="BWT364" s="38"/>
      <c r="BWU364" s="38"/>
      <c r="BWV364" s="39"/>
      <c r="BWW364" s="34"/>
      <c r="BWX364" s="34"/>
      <c r="BWY364" s="34"/>
      <c r="BWZ364" s="35"/>
      <c r="BXA364" s="35"/>
      <c r="BXB364" s="35"/>
      <c r="BXC364" s="35"/>
      <c r="BXD364" s="35"/>
      <c r="BXE364" s="34"/>
      <c r="BXF364" s="34"/>
      <c r="BXG364" s="36"/>
      <c r="BXH364" s="36"/>
      <c r="BXI364" s="37"/>
      <c r="BXJ364" s="37"/>
      <c r="BXK364" s="38"/>
      <c r="BXL364" s="38"/>
      <c r="BXM364" s="39"/>
      <c r="BXN364" s="34"/>
      <c r="BXO364" s="34"/>
      <c r="BXP364" s="34"/>
      <c r="BXQ364" s="35"/>
      <c r="BXR364" s="35"/>
      <c r="BXS364" s="35"/>
      <c r="BXT364" s="35"/>
      <c r="BXU364" s="35"/>
      <c r="BXV364" s="34"/>
      <c r="BXW364" s="34"/>
      <c r="BXX364" s="36"/>
      <c r="BXY364" s="36"/>
      <c r="BXZ364" s="37"/>
      <c r="BYA364" s="37"/>
      <c r="BYB364" s="38"/>
      <c r="BYC364" s="38"/>
      <c r="BYD364" s="39"/>
      <c r="BYE364" s="34"/>
      <c r="BYF364" s="34"/>
      <c r="BYG364" s="34"/>
      <c r="BYH364" s="35"/>
      <c r="BYI364" s="35"/>
      <c r="BYJ364" s="35"/>
      <c r="BYK364" s="35"/>
      <c r="BYL364" s="35"/>
      <c r="BYM364" s="34"/>
      <c r="BYN364" s="34"/>
      <c r="BYO364" s="36"/>
      <c r="BYP364" s="36"/>
      <c r="BYQ364" s="37"/>
      <c r="BYR364" s="37"/>
      <c r="BYS364" s="38"/>
      <c r="BYT364" s="38"/>
      <c r="BYU364" s="39"/>
      <c r="BYV364" s="34"/>
      <c r="BYW364" s="34"/>
      <c r="BYX364" s="34"/>
      <c r="BYY364" s="35"/>
      <c r="BYZ364" s="35"/>
      <c r="BZA364" s="35"/>
      <c r="BZB364" s="35"/>
      <c r="BZC364" s="35"/>
      <c r="BZD364" s="34"/>
      <c r="BZE364" s="34"/>
      <c r="BZF364" s="36"/>
      <c r="BZG364" s="36"/>
      <c r="BZH364" s="37"/>
      <c r="BZI364" s="37"/>
      <c r="BZJ364" s="38"/>
      <c r="BZK364" s="38"/>
      <c r="BZL364" s="39"/>
      <c r="BZM364" s="34"/>
      <c r="BZN364" s="34"/>
      <c r="BZO364" s="34"/>
      <c r="BZP364" s="35"/>
      <c r="BZQ364" s="35"/>
      <c r="BZR364" s="35"/>
      <c r="BZS364" s="35"/>
      <c r="BZT364" s="35"/>
      <c r="BZU364" s="34"/>
      <c r="BZV364" s="34"/>
      <c r="BZW364" s="36"/>
      <c r="BZX364" s="36"/>
      <c r="BZY364" s="37"/>
      <c r="BZZ364" s="37"/>
      <c r="CAA364" s="38"/>
      <c r="CAB364" s="38"/>
      <c r="CAC364" s="39"/>
      <c r="CAD364" s="34"/>
      <c r="CAE364" s="34"/>
      <c r="CAF364" s="34"/>
      <c r="CAG364" s="35"/>
      <c r="CAH364" s="35"/>
      <c r="CAI364" s="35"/>
      <c r="CAJ364" s="35"/>
      <c r="CAK364" s="35"/>
      <c r="CAL364" s="34"/>
      <c r="CAM364" s="34"/>
      <c r="CAN364" s="36"/>
      <c r="CAO364" s="36"/>
      <c r="CAP364" s="37"/>
      <c r="CAQ364" s="37"/>
      <c r="CAR364" s="38"/>
      <c r="CAS364" s="38"/>
      <c r="CAT364" s="39"/>
      <c r="CAU364" s="34"/>
      <c r="CAV364" s="34"/>
      <c r="CAW364" s="34"/>
      <c r="CAX364" s="35"/>
      <c r="CAY364" s="35"/>
      <c r="CAZ364" s="35"/>
      <c r="CBA364" s="35"/>
      <c r="CBB364" s="35"/>
      <c r="CBC364" s="34"/>
      <c r="CBD364" s="34"/>
      <c r="CBE364" s="36"/>
      <c r="CBF364" s="36"/>
      <c r="CBG364" s="37"/>
      <c r="CBH364" s="37"/>
      <c r="CBI364" s="38"/>
      <c r="CBJ364" s="38"/>
      <c r="CBK364" s="39"/>
      <c r="CBL364" s="34"/>
      <c r="CBM364" s="34"/>
      <c r="CBN364" s="34"/>
      <c r="CBO364" s="35"/>
      <c r="CBP364" s="35"/>
      <c r="CBQ364" s="35"/>
      <c r="CBR364" s="35"/>
      <c r="CBS364" s="35"/>
      <c r="CBT364" s="34"/>
      <c r="CBU364" s="34"/>
      <c r="CBV364" s="36"/>
      <c r="CBW364" s="36"/>
      <c r="CBX364" s="37"/>
      <c r="CBY364" s="37"/>
      <c r="CBZ364" s="38"/>
      <c r="CCA364" s="38"/>
      <c r="CCB364" s="39"/>
      <c r="CCC364" s="34"/>
      <c r="CCD364" s="34"/>
      <c r="CCE364" s="34"/>
      <c r="CCF364" s="35"/>
      <c r="CCG364" s="35"/>
      <c r="CCH364" s="35"/>
      <c r="CCI364" s="35"/>
      <c r="CCJ364" s="35"/>
      <c r="CCK364" s="34"/>
      <c r="CCL364" s="34"/>
      <c r="CCM364" s="36"/>
      <c r="CCN364" s="36"/>
      <c r="CCO364" s="37"/>
      <c r="CCP364" s="37"/>
      <c r="CCQ364" s="38"/>
      <c r="CCR364" s="38"/>
      <c r="CCS364" s="39"/>
      <c r="CCT364" s="34"/>
      <c r="CCU364" s="34"/>
      <c r="CCV364" s="34"/>
      <c r="CCW364" s="35"/>
      <c r="CCX364" s="35"/>
      <c r="CCY364" s="35"/>
      <c r="CCZ364" s="35"/>
      <c r="CDA364" s="35"/>
      <c r="CDB364" s="34"/>
      <c r="CDC364" s="34"/>
      <c r="CDD364" s="36"/>
      <c r="CDE364" s="36"/>
      <c r="CDF364" s="37"/>
      <c r="CDG364" s="37"/>
      <c r="CDH364" s="38"/>
      <c r="CDI364" s="38"/>
      <c r="CDJ364" s="39"/>
      <c r="CDK364" s="34"/>
      <c r="CDL364" s="34"/>
      <c r="CDM364" s="34"/>
      <c r="CDN364" s="35"/>
      <c r="CDO364" s="35"/>
      <c r="CDP364" s="35"/>
      <c r="CDQ364" s="35"/>
      <c r="CDR364" s="35"/>
      <c r="CDS364" s="34"/>
      <c r="CDT364" s="34"/>
      <c r="CDU364" s="36"/>
      <c r="CDV364" s="36"/>
      <c r="CDW364" s="37"/>
      <c r="CDX364" s="37"/>
      <c r="CDY364" s="38"/>
      <c r="CDZ364" s="38"/>
      <c r="CEA364" s="39"/>
      <c r="CEB364" s="34"/>
      <c r="CEC364" s="34"/>
      <c r="CED364" s="34"/>
      <c r="CEE364" s="35"/>
      <c r="CEF364" s="35"/>
      <c r="CEG364" s="35"/>
      <c r="CEH364" s="35"/>
      <c r="CEI364" s="35"/>
      <c r="CEJ364" s="34"/>
      <c r="CEK364" s="34"/>
      <c r="CEL364" s="36"/>
      <c r="CEM364" s="36"/>
      <c r="CEN364" s="37"/>
      <c r="CEO364" s="37"/>
      <c r="CEP364" s="38"/>
      <c r="CEQ364" s="38"/>
      <c r="CER364" s="39"/>
      <c r="CES364" s="34"/>
      <c r="CET364" s="34"/>
      <c r="CEU364" s="34"/>
      <c r="CEV364" s="35"/>
      <c r="CEW364" s="35"/>
      <c r="CEX364" s="35"/>
      <c r="CEY364" s="35"/>
      <c r="CEZ364" s="35"/>
      <c r="CFA364" s="34"/>
      <c r="CFB364" s="34"/>
      <c r="CFC364" s="36"/>
      <c r="CFD364" s="36"/>
      <c r="CFE364" s="37"/>
      <c r="CFF364" s="37"/>
      <c r="CFG364" s="38"/>
      <c r="CFH364" s="38"/>
      <c r="CFI364" s="39"/>
      <c r="CFJ364" s="34"/>
      <c r="CFK364" s="34"/>
      <c r="CFL364" s="34"/>
      <c r="CFM364" s="35"/>
      <c r="CFN364" s="35"/>
      <c r="CFO364" s="35"/>
      <c r="CFP364" s="35"/>
      <c r="CFQ364" s="35"/>
      <c r="CFR364" s="34"/>
      <c r="CFS364" s="34"/>
      <c r="CFT364" s="36"/>
      <c r="CFU364" s="36"/>
      <c r="CFV364" s="37"/>
      <c r="CFW364" s="37"/>
      <c r="CFX364" s="38"/>
      <c r="CFY364" s="38"/>
      <c r="CFZ364" s="39"/>
      <c r="CGA364" s="34"/>
      <c r="CGB364" s="34"/>
      <c r="CGC364" s="34"/>
      <c r="CGD364" s="35"/>
      <c r="CGE364" s="35"/>
      <c r="CGF364" s="35"/>
      <c r="CGG364" s="35"/>
      <c r="CGH364" s="35"/>
      <c r="CGI364" s="34"/>
      <c r="CGJ364" s="34"/>
      <c r="CGK364" s="36"/>
      <c r="CGL364" s="36"/>
      <c r="CGM364" s="37"/>
      <c r="CGN364" s="37"/>
      <c r="CGO364" s="38"/>
      <c r="CGP364" s="38"/>
      <c r="CGQ364" s="39"/>
      <c r="CGR364" s="34"/>
      <c r="CGS364" s="34"/>
      <c r="CGT364" s="34"/>
      <c r="CGU364" s="35"/>
      <c r="CGV364" s="35"/>
      <c r="CGW364" s="35"/>
      <c r="CGX364" s="35"/>
      <c r="CGY364" s="35"/>
      <c r="CGZ364" s="34"/>
      <c r="CHA364" s="34"/>
      <c r="CHB364" s="36"/>
      <c r="CHC364" s="36"/>
      <c r="CHD364" s="37"/>
      <c r="CHE364" s="37"/>
      <c r="CHF364" s="38"/>
      <c r="CHG364" s="38"/>
      <c r="CHH364" s="39"/>
      <c r="CHI364" s="34"/>
      <c r="CHJ364" s="34"/>
      <c r="CHK364" s="34"/>
      <c r="CHL364" s="35"/>
      <c r="CHM364" s="35"/>
      <c r="CHN364" s="35"/>
      <c r="CHO364" s="35"/>
      <c r="CHP364" s="35"/>
      <c r="CHQ364" s="34"/>
      <c r="CHR364" s="34"/>
      <c r="CHS364" s="36"/>
      <c r="CHT364" s="36"/>
      <c r="CHU364" s="37"/>
      <c r="CHV364" s="37"/>
      <c r="CHW364" s="38"/>
      <c r="CHX364" s="38"/>
      <c r="CHY364" s="39"/>
      <c r="CHZ364" s="34"/>
      <c r="CIA364" s="34"/>
      <c r="CIB364" s="34"/>
      <c r="CIC364" s="35"/>
      <c r="CID364" s="35"/>
      <c r="CIE364" s="35"/>
      <c r="CIF364" s="35"/>
      <c r="CIG364" s="35"/>
      <c r="CIH364" s="34"/>
      <c r="CII364" s="34"/>
      <c r="CIJ364" s="36"/>
      <c r="CIK364" s="36"/>
      <c r="CIL364" s="37"/>
      <c r="CIM364" s="37"/>
      <c r="CIN364" s="38"/>
      <c r="CIO364" s="38"/>
      <c r="CIP364" s="39"/>
      <c r="CIQ364" s="34"/>
      <c r="CIR364" s="34"/>
      <c r="CIS364" s="34"/>
      <c r="CIT364" s="35"/>
      <c r="CIU364" s="35"/>
      <c r="CIV364" s="35"/>
      <c r="CIW364" s="35"/>
      <c r="CIX364" s="35"/>
      <c r="CIY364" s="34"/>
      <c r="CIZ364" s="34"/>
      <c r="CJA364" s="36"/>
      <c r="CJB364" s="36"/>
      <c r="CJC364" s="37"/>
      <c r="CJD364" s="37"/>
      <c r="CJE364" s="38"/>
      <c r="CJF364" s="38"/>
      <c r="CJG364" s="39"/>
      <c r="CJH364" s="34"/>
      <c r="CJI364" s="34"/>
      <c r="CJJ364" s="34"/>
      <c r="CJK364" s="35"/>
      <c r="CJL364" s="35"/>
      <c r="CJM364" s="35"/>
      <c r="CJN364" s="35"/>
      <c r="CJO364" s="35"/>
      <c r="CJP364" s="34"/>
      <c r="CJQ364" s="34"/>
      <c r="CJR364" s="36"/>
      <c r="CJS364" s="36"/>
      <c r="CJT364" s="37"/>
      <c r="CJU364" s="37"/>
      <c r="CJV364" s="38"/>
      <c r="CJW364" s="38"/>
      <c r="CJX364" s="39"/>
      <c r="CJY364" s="34"/>
      <c r="CJZ364" s="34"/>
      <c r="CKA364" s="34"/>
      <c r="CKB364" s="35"/>
      <c r="CKC364" s="35"/>
      <c r="CKD364" s="35"/>
      <c r="CKE364" s="35"/>
      <c r="CKF364" s="35"/>
      <c r="CKG364" s="34"/>
      <c r="CKH364" s="34"/>
      <c r="CKI364" s="36"/>
      <c r="CKJ364" s="36"/>
      <c r="CKK364" s="37"/>
      <c r="CKL364" s="37"/>
      <c r="CKM364" s="38"/>
      <c r="CKN364" s="38"/>
      <c r="CKO364" s="39"/>
      <c r="CKP364" s="34"/>
      <c r="CKQ364" s="34"/>
      <c r="CKR364" s="34"/>
      <c r="CKS364" s="35"/>
      <c r="CKT364" s="35"/>
      <c r="CKU364" s="35"/>
      <c r="CKV364" s="35"/>
      <c r="CKW364" s="35"/>
      <c r="CKX364" s="34"/>
      <c r="CKY364" s="34"/>
      <c r="CKZ364" s="36"/>
      <c r="CLA364" s="36"/>
      <c r="CLB364" s="37"/>
      <c r="CLC364" s="37"/>
      <c r="CLD364" s="38"/>
      <c r="CLE364" s="38"/>
      <c r="CLF364" s="39"/>
      <c r="CLG364" s="34"/>
      <c r="CLH364" s="34"/>
      <c r="CLI364" s="34"/>
      <c r="CLJ364" s="35"/>
      <c r="CLK364" s="35"/>
      <c r="CLL364" s="35"/>
      <c r="CLM364" s="35"/>
      <c r="CLN364" s="35"/>
      <c r="CLO364" s="34"/>
      <c r="CLP364" s="34"/>
      <c r="CLQ364" s="36"/>
      <c r="CLR364" s="36"/>
      <c r="CLS364" s="37"/>
      <c r="CLT364" s="37"/>
      <c r="CLU364" s="38"/>
      <c r="CLV364" s="38"/>
      <c r="CLW364" s="39"/>
      <c r="CLX364" s="34"/>
      <c r="CLY364" s="34"/>
      <c r="CLZ364" s="34"/>
      <c r="CMA364" s="35"/>
      <c r="CMB364" s="35"/>
      <c r="CMC364" s="35"/>
      <c r="CMD364" s="35"/>
      <c r="CME364" s="35"/>
      <c r="CMF364" s="34"/>
      <c r="CMG364" s="34"/>
      <c r="CMH364" s="36"/>
      <c r="CMI364" s="36"/>
      <c r="CMJ364" s="37"/>
      <c r="CMK364" s="37"/>
      <c r="CML364" s="38"/>
      <c r="CMM364" s="38"/>
      <c r="CMN364" s="39"/>
      <c r="CMO364" s="34"/>
      <c r="CMP364" s="34"/>
      <c r="CMQ364" s="34"/>
      <c r="CMR364" s="35"/>
      <c r="CMS364" s="35"/>
      <c r="CMT364" s="35"/>
      <c r="CMU364" s="35"/>
      <c r="CMV364" s="35"/>
      <c r="CMW364" s="34"/>
      <c r="CMX364" s="34"/>
      <c r="CMY364" s="36"/>
      <c r="CMZ364" s="36"/>
      <c r="CNA364" s="37"/>
      <c r="CNB364" s="37"/>
      <c r="CNC364" s="38"/>
      <c r="CND364" s="38"/>
      <c r="CNE364" s="39"/>
      <c r="CNF364" s="34"/>
      <c r="CNG364" s="34"/>
      <c r="CNH364" s="34"/>
      <c r="CNI364" s="35"/>
      <c r="CNJ364" s="35"/>
      <c r="CNK364" s="35"/>
      <c r="CNL364" s="35"/>
      <c r="CNM364" s="35"/>
      <c r="CNN364" s="34"/>
      <c r="CNO364" s="34"/>
      <c r="CNP364" s="36"/>
      <c r="CNQ364" s="36"/>
      <c r="CNR364" s="37"/>
      <c r="CNS364" s="37"/>
      <c r="CNT364" s="38"/>
      <c r="CNU364" s="38"/>
      <c r="CNV364" s="39"/>
      <c r="CNW364" s="34"/>
      <c r="CNX364" s="34"/>
      <c r="CNY364" s="34"/>
      <c r="CNZ364" s="35"/>
      <c r="COA364" s="35"/>
      <c r="COB364" s="35"/>
      <c r="COC364" s="35"/>
      <c r="COD364" s="35"/>
      <c r="COE364" s="34"/>
      <c r="COF364" s="34"/>
      <c r="COG364" s="36"/>
      <c r="COH364" s="36"/>
      <c r="COI364" s="37"/>
      <c r="COJ364" s="37"/>
      <c r="COK364" s="38"/>
      <c r="COL364" s="38"/>
      <c r="COM364" s="39"/>
      <c r="CON364" s="34"/>
      <c r="COO364" s="34"/>
      <c r="COP364" s="34"/>
      <c r="COQ364" s="35"/>
      <c r="COR364" s="35"/>
      <c r="COS364" s="35"/>
      <c r="COT364" s="35"/>
      <c r="COU364" s="35"/>
      <c r="COV364" s="34"/>
      <c r="COW364" s="34"/>
      <c r="COX364" s="36"/>
      <c r="COY364" s="36"/>
      <c r="COZ364" s="37"/>
      <c r="CPA364" s="37"/>
      <c r="CPB364" s="38"/>
      <c r="CPC364" s="38"/>
      <c r="CPD364" s="39"/>
      <c r="CPE364" s="34"/>
      <c r="CPF364" s="34"/>
      <c r="CPG364" s="34"/>
      <c r="CPH364" s="35"/>
      <c r="CPI364" s="35"/>
      <c r="CPJ364" s="35"/>
      <c r="CPK364" s="35"/>
      <c r="CPL364" s="35"/>
      <c r="CPM364" s="34"/>
      <c r="CPN364" s="34"/>
      <c r="CPO364" s="36"/>
      <c r="CPP364" s="36"/>
      <c r="CPQ364" s="37"/>
      <c r="CPR364" s="37"/>
      <c r="CPS364" s="38"/>
      <c r="CPT364" s="38"/>
      <c r="CPU364" s="39"/>
      <c r="CPV364" s="34"/>
      <c r="CPW364" s="34"/>
      <c r="CPX364" s="34"/>
      <c r="CPY364" s="35"/>
      <c r="CPZ364" s="35"/>
      <c r="CQA364" s="35"/>
      <c r="CQB364" s="35"/>
      <c r="CQC364" s="35"/>
      <c r="CQD364" s="34"/>
      <c r="CQE364" s="34"/>
      <c r="CQF364" s="36"/>
      <c r="CQG364" s="36"/>
      <c r="CQH364" s="37"/>
      <c r="CQI364" s="37"/>
      <c r="CQJ364" s="38"/>
      <c r="CQK364" s="38"/>
      <c r="CQL364" s="39"/>
      <c r="CQM364" s="34"/>
      <c r="CQN364" s="34"/>
      <c r="CQO364" s="34"/>
      <c r="CQP364" s="35"/>
      <c r="CQQ364" s="35"/>
      <c r="CQR364" s="35"/>
      <c r="CQS364" s="35"/>
      <c r="CQT364" s="35"/>
      <c r="CQU364" s="34"/>
      <c r="CQV364" s="34"/>
      <c r="CQW364" s="36"/>
      <c r="CQX364" s="36"/>
      <c r="CQY364" s="37"/>
      <c r="CQZ364" s="37"/>
      <c r="CRA364" s="38"/>
      <c r="CRB364" s="38"/>
      <c r="CRC364" s="39"/>
      <c r="CRD364" s="34"/>
      <c r="CRE364" s="34"/>
      <c r="CRF364" s="34"/>
      <c r="CRG364" s="35"/>
      <c r="CRH364" s="35"/>
      <c r="CRI364" s="35"/>
      <c r="CRJ364" s="35"/>
      <c r="CRK364" s="35"/>
      <c r="CRL364" s="34"/>
      <c r="CRM364" s="34"/>
      <c r="CRN364" s="36"/>
      <c r="CRO364" s="36"/>
      <c r="CRP364" s="37"/>
      <c r="CRQ364" s="37"/>
      <c r="CRR364" s="38"/>
      <c r="CRS364" s="38"/>
      <c r="CRT364" s="39"/>
      <c r="CRU364" s="34"/>
      <c r="CRV364" s="34"/>
      <c r="CRW364" s="34"/>
      <c r="CRX364" s="35"/>
      <c r="CRY364" s="35"/>
      <c r="CRZ364" s="35"/>
      <c r="CSA364" s="35"/>
      <c r="CSB364" s="35"/>
      <c r="CSC364" s="34"/>
      <c r="CSD364" s="34"/>
      <c r="CSE364" s="36"/>
      <c r="CSF364" s="36"/>
      <c r="CSG364" s="37"/>
      <c r="CSH364" s="37"/>
      <c r="CSI364" s="38"/>
      <c r="CSJ364" s="38"/>
      <c r="CSK364" s="39"/>
      <c r="CSL364" s="34"/>
      <c r="CSM364" s="34"/>
      <c r="CSN364" s="34"/>
      <c r="CSO364" s="35"/>
      <c r="CSP364" s="35"/>
      <c r="CSQ364" s="35"/>
      <c r="CSR364" s="35"/>
      <c r="CSS364" s="35"/>
      <c r="CST364" s="34"/>
      <c r="CSU364" s="34"/>
      <c r="CSV364" s="36"/>
      <c r="CSW364" s="36"/>
      <c r="CSX364" s="37"/>
      <c r="CSY364" s="37"/>
      <c r="CSZ364" s="38"/>
      <c r="CTA364" s="38"/>
      <c r="CTB364" s="39"/>
      <c r="CTC364" s="34"/>
      <c r="CTD364" s="34"/>
      <c r="CTE364" s="34"/>
      <c r="CTF364" s="35"/>
      <c r="CTG364" s="35"/>
      <c r="CTH364" s="35"/>
      <c r="CTI364" s="35"/>
      <c r="CTJ364" s="35"/>
      <c r="CTK364" s="34"/>
      <c r="CTL364" s="34"/>
      <c r="CTM364" s="36"/>
      <c r="CTN364" s="36"/>
      <c r="CTO364" s="37"/>
      <c r="CTP364" s="37"/>
      <c r="CTQ364" s="38"/>
      <c r="CTR364" s="38"/>
      <c r="CTS364" s="39"/>
      <c r="CTT364" s="34"/>
      <c r="CTU364" s="34"/>
      <c r="CTV364" s="34"/>
      <c r="CTW364" s="35"/>
      <c r="CTX364" s="35"/>
      <c r="CTY364" s="35"/>
      <c r="CTZ364" s="35"/>
      <c r="CUA364" s="35"/>
      <c r="CUB364" s="34"/>
      <c r="CUC364" s="34"/>
      <c r="CUD364" s="36"/>
      <c r="CUE364" s="36"/>
      <c r="CUF364" s="37"/>
      <c r="CUG364" s="37"/>
      <c r="CUH364" s="38"/>
      <c r="CUI364" s="38"/>
      <c r="CUJ364" s="39"/>
      <c r="CUK364" s="34"/>
      <c r="CUL364" s="34"/>
      <c r="CUM364" s="34"/>
      <c r="CUN364" s="35"/>
      <c r="CUO364" s="35"/>
      <c r="CUP364" s="35"/>
      <c r="CUQ364" s="35"/>
      <c r="CUR364" s="35"/>
      <c r="CUS364" s="34"/>
      <c r="CUT364" s="34"/>
      <c r="CUU364" s="36"/>
      <c r="CUV364" s="36"/>
      <c r="CUW364" s="37"/>
      <c r="CUX364" s="37"/>
      <c r="CUY364" s="38"/>
      <c r="CUZ364" s="38"/>
      <c r="CVA364" s="39"/>
      <c r="CVB364" s="34"/>
      <c r="CVC364" s="34"/>
      <c r="CVD364" s="34"/>
      <c r="CVE364" s="35"/>
      <c r="CVF364" s="35"/>
      <c r="CVG364" s="35"/>
      <c r="CVH364" s="35"/>
      <c r="CVI364" s="35"/>
      <c r="CVJ364" s="34"/>
      <c r="CVK364" s="34"/>
      <c r="CVL364" s="36"/>
      <c r="CVM364" s="36"/>
      <c r="CVN364" s="37"/>
      <c r="CVO364" s="37"/>
      <c r="CVP364" s="38"/>
      <c r="CVQ364" s="38"/>
      <c r="CVR364" s="39"/>
      <c r="CVS364" s="34"/>
      <c r="CVT364" s="34"/>
      <c r="CVU364" s="34"/>
      <c r="CVV364" s="35"/>
      <c r="CVW364" s="35"/>
      <c r="CVX364" s="35"/>
      <c r="CVY364" s="35"/>
      <c r="CVZ364" s="35"/>
      <c r="CWA364" s="34"/>
      <c r="CWB364" s="34"/>
      <c r="CWC364" s="36"/>
      <c r="CWD364" s="36"/>
      <c r="CWE364" s="37"/>
      <c r="CWF364" s="37"/>
      <c r="CWG364" s="38"/>
      <c r="CWH364" s="38"/>
      <c r="CWI364" s="39"/>
      <c r="CWJ364" s="34"/>
      <c r="CWK364" s="34"/>
      <c r="CWL364" s="34"/>
      <c r="CWM364" s="35"/>
      <c r="CWN364" s="35"/>
      <c r="CWO364" s="35"/>
      <c r="CWP364" s="35"/>
      <c r="CWQ364" s="35"/>
      <c r="CWR364" s="34"/>
      <c r="CWS364" s="34"/>
      <c r="CWT364" s="36"/>
      <c r="CWU364" s="36"/>
      <c r="CWV364" s="37"/>
      <c r="CWW364" s="37"/>
      <c r="CWX364" s="38"/>
      <c r="CWY364" s="38"/>
      <c r="CWZ364" s="39"/>
      <c r="CXA364" s="34"/>
      <c r="CXB364" s="34"/>
      <c r="CXC364" s="34"/>
      <c r="CXD364" s="35"/>
      <c r="CXE364" s="35"/>
      <c r="CXF364" s="35"/>
      <c r="CXG364" s="35"/>
      <c r="CXH364" s="35"/>
      <c r="CXI364" s="34"/>
      <c r="CXJ364" s="34"/>
      <c r="CXK364" s="36"/>
      <c r="CXL364" s="36"/>
      <c r="CXM364" s="37"/>
      <c r="CXN364" s="37"/>
      <c r="CXO364" s="38"/>
      <c r="CXP364" s="38"/>
      <c r="CXQ364" s="39"/>
      <c r="CXR364" s="34"/>
      <c r="CXS364" s="34"/>
      <c r="CXT364" s="34"/>
      <c r="CXU364" s="35"/>
      <c r="CXV364" s="35"/>
      <c r="CXW364" s="35"/>
      <c r="CXX364" s="35"/>
      <c r="CXY364" s="35"/>
      <c r="CXZ364" s="34"/>
      <c r="CYA364" s="34"/>
      <c r="CYB364" s="36"/>
      <c r="CYC364" s="36"/>
      <c r="CYD364" s="37"/>
      <c r="CYE364" s="37"/>
      <c r="CYF364" s="38"/>
      <c r="CYG364" s="38"/>
      <c r="CYH364" s="39"/>
      <c r="CYI364" s="34"/>
      <c r="CYJ364" s="34"/>
      <c r="CYK364" s="34"/>
      <c r="CYL364" s="35"/>
      <c r="CYM364" s="35"/>
      <c r="CYN364" s="35"/>
      <c r="CYO364" s="35"/>
      <c r="CYP364" s="35"/>
      <c r="CYQ364" s="34"/>
      <c r="CYR364" s="34"/>
      <c r="CYS364" s="36"/>
      <c r="CYT364" s="36"/>
      <c r="CYU364" s="37"/>
      <c r="CYV364" s="37"/>
      <c r="CYW364" s="38"/>
      <c r="CYX364" s="38"/>
      <c r="CYY364" s="39"/>
      <c r="CYZ364" s="34"/>
      <c r="CZA364" s="34"/>
      <c r="CZB364" s="34"/>
      <c r="CZC364" s="35"/>
      <c r="CZD364" s="35"/>
      <c r="CZE364" s="35"/>
      <c r="CZF364" s="35"/>
      <c r="CZG364" s="35"/>
      <c r="CZH364" s="34"/>
      <c r="CZI364" s="34"/>
      <c r="CZJ364" s="36"/>
      <c r="CZK364" s="36"/>
      <c r="CZL364" s="37"/>
      <c r="CZM364" s="37"/>
      <c r="CZN364" s="38"/>
      <c r="CZO364" s="38"/>
      <c r="CZP364" s="39"/>
      <c r="CZQ364" s="34"/>
      <c r="CZR364" s="34"/>
      <c r="CZS364" s="34"/>
      <c r="CZT364" s="35"/>
      <c r="CZU364" s="35"/>
      <c r="CZV364" s="35"/>
      <c r="CZW364" s="35"/>
      <c r="CZX364" s="35"/>
      <c r="CZY364" s="34"/>
      <c r="CZZ364" s="34"/>
      <c r="DAA364" s="36"/>
      <c r="DAB364" s="36"/>
      <c r="DAC364" s="37"/>
      <c r="DAD364" s="37"/>
      <c r="DAE364" s="38"/>
      <c r="DAF364" s="38"/>
      <c r="DAG364" s="39"/>
      <c r="DAH364" s="34"/>
      <c r="DAI364" s="34"/>
      <c r="DAJ364" s="34"/>
      <c r="DAK364" s="35"/>
      <c r="DAL364" s="35"/>
      <c r="DAM364" s="35"/>
      <c r="DAN364" s="35"/>
      <c r="DAO364" s="35"/>
      <c r="DAP364" s="34"/>
      <c r="DAQ364" s="34"/>
      <c r="DAR364" s="36"/>
      <c r="DAS364" s="36"/>
      <c r="DAT364" s="37"/>
      <c r="DAU364" s="37"/>
      <c r="DAV364" s="38"/>
      <c r="DAW364" s="38"/>
      <c r="DAX364" s="39"/>
      <c r="DAY364" s="34"/>
      <c r="DAZ364" s="34"/>
      <c r="DBA364" s="34"/>
      <c r="DBB364" s="35"/>
      <c r="DBC364" s="35"/>
      <c r="DBD364" s="35"/>
      <c r="DBE364" s="35"/>
      <c r="DBF364" s="35"/>
      <c r="DBG364" s="34"/>
      <c r="DBH364" s="34"/>
      <c r="DBI364" s="36"/>
      <c r="DBJ364" s="36"/>
      <c r="DBK364" s="37"/>
      <c r="DBL364" s="37"/>
      <c r="DBM364" s="38"/>
      <c r="DBN364" s="38"/>
      <c r="DBO364" s="39"/>
      <c r="DBP364" s="34"/>
      <c r="DBQ364" s="34"/>
      <c r="DBR364" s="34"/>
      <c r="DBS364" s="35"/>
      <c r="DBT364" s="35"/>
      <c r="DBU364" s="35"/>
      <c r="DBV364" s="35"/>
      <c r="DBW364" s="35"/>
      <c r="DBX364" s="34"/>
      <c r="DBY364" s="34"/>
      <c r="DBZ364" s="36"/>
      <c r="DCA364" s="36"/>
      <c r="DCB364" s="37"/>
      <c r="DCC364" s="37"/>
      <c r="DCD364" s="38"/>
      <c r="DCE364" s="38"/>
      <c r="DCF364" s="39"/>
      <c r="DCG364" s="34"/>
      <c r="DCH364" s="34"/>
      <c r="DCI364" s="34"/>
      <c r="DCJ364" s="35"/>
      <c r="DCK364" s="35"/>
      <c r="DCL364" s="35"/>
      <c r="DCM364" s="35"/>
      <c r="DCN364" s="35"/>
      <c r="DCO364" s="34"/>
      <c r="DCP364" s="34"/>
      <c r="DCQ364" s="36"/>
      <c r="DCR364" s="36"/>
      <c r="DCS364" s="37"/>
      <c r="DCT364" s="37"/>
      <c r="DCU364" s="38"/>
      <c r="DCV364" s="38"/>
      <c r="DCW364" s="39"/>
      <c r="DCX364" s="34"/>
      <c r="DCY364" s="34"/>
      <c r="DCZ364" s="34"/>
      <c r="DDA364" s="35"/>
      <c r="DDB364" s="35"/>
      <c r="DDC364" s="35"/>
      <c r="DDD364" s="35"/>
      <c r="DDE364" s="35"/>
      <c r="DDF364" s="34"/>
      <c r="DDG364" s="34"/>
      <c r="DDH364" s="36"/>
      <c r="DDI364" s="36"/>
      <c r="DDJ364" s="37"/>
      <c r="DDK364" s="37"/>
      <c r="DDL364" s="38"/>
      <c r="DDM364" s="38"/>
      <c r="DDN364" s="39"/>
      <c r="DDO364" s="34"/>
      <c r="DDP364" s="34"/>
      <c r="DDQ364" s="34"/>
      <c r="DDR364" s="35"/>
      <c r="DDS364" s="35"/>
      <c r="DDT364" s="35"/>
      <c r="DDU364" s="35"/>
      <c r="DDV364" s="35"/>
      <c r="DDW364" s="34"/>
      <c r="DDX364" s="34"/>
      <c r="DDY364" s="36"/>
      <c r="DDZ364" s="36"/>
      <c r="DEA364" s="37"/>
      <c r="DEB364" s="37"/>
      <c r="DEC364" s="38"/>
      <c r="DED364" s="38"/>
      <c r="DEE364" s="39"/>
      <c r="DEF364" s="34"/>
      <c r="DEG364" s="34"/>
      <c r="DEH364" s="34"/>
      <c r="DEI364" s="35"/>
      <c r="DEJ364" s="35"/>
      <c r="DEK364" s="35"/>
      <c r="DEL364" s="35"/>
      <c r="DEM364" s="35"/>
      <c r="DEN364" s="34"/>
      <c r="DEO364" s="34"/>
      <c r="DEP364" s="36"/>
      <c r="DEQ364" s="36"/>
      <c r="DER364" s="37"/>
      <c r="DES364" s="37"/>
      <c r="DET364" s="38"/>
      <c r="DEU364" s="38"/>
      <c r="DEV364" s="39"/>
      <c r="DEW364" s="34"/>
      <c r="DEX364" s="34"/>
      <c r="DEY364" s="34"/>
      <c r="DEZ364" s="35"/>
      <c r="DFA364" s="35"/>
      <c r="DFB364" s="35"/>
      <c r="DFC364" s="35"/>
      <c r="DFD364" s="35"/>
      <c r="DFE364" s="34"/>
      <c r="DFF364" s="34"/>
      <c r="DFG364" s="36"/>
      <c r="DFH364" s="36"/>
      <c r="DFI364" s="37"/>
      <c r="DFJ364" s="37"/>
      <c r="DFK364" s="38"/>
      <c r="DFL364" s="38"/>
      <c r="DFM364" s="39"/>
      <c r="DFN364" s="34"/>
      <c r="DFO364" s="34"/>
      <c r="DFP364" s="34"/>
      <c r="DFQ364" s="35"/>
      <c r="DFR364" s="35"/>
      <c r="DFS364" s="35"/>
      <c r="DFT364" s="35"/>
      <c r="DFU364" s="35"/>
      <c r="DFV364" s="34"/>
      <c r="DFW364" s="34"/>
      <c r="DFX364" s="36"/>
      <c r="DFY364" s="36"/>
      <c r="DFZ364" s="37"/>
      <c r="DGA364" s="37"/>
      <c r="DGB364" s="38"/>
      <c r="DGC364" s="38"/>
      <c r="DGD364" s="39"/>
      <c r="DGE364" s="34"/>
      <c r="DGF364" s="34"/>
      <c r="DGG364" s="34"/>
      <c r="DGH364" s="35"/>
      <c r="DGI364" s="35"/>
      <c r="DGJ364" s="35"/>
      <c r="DGK364" s="35"/>
      <c r="DGL364" s="35"/>
      <c r="DGM364" s="34"/>
      <c r="DGN364" s="34"/>
      <c r="DGO364" s="36"/>
      <c r="DGP364" s="36"/>
      <c r="DGQ364" s="37"/>
      <c r="DGR364" s="37"/>
      <c r="DGS364" s="38"/>
      <c r="DGT364" s="38"/>
      <c r="DGU364" s="39"/>
      <c r="DGV364" s="34"/>
      <c r="DGW364" s="34"/>
      <c r="DGX364" s="34"/>
      <c r="DGY364" s="35"/>
      <c r="DGZ364" s="35"/>
      <c r="DHA364" s="35"/>
      <c r="DHB364" s="35"/>
      <c r="DHC364" s="35"/>
      <c r="DHD364" s="34"/>
      <c r="DHE364" s="34"/>
      <c r="DHF364" s="36"/>
      <c r="DHG364" s="36"/>
      <c r="DHH364" s="37"/>
      <c r="DHI364" s="37"/>
      <c r="DHJ364" s="38"/>
      <c r="DHK364" s="38"/>
      <c r="DHL364" s="39"/>
      <c r="DHM364" s="34"/>
      <c r="DHN364" s="34"/>
      <c r="DHO364" s="34"/>
      <c r="DHP364" s="35"/>
      <c r="DHQ364" s="35"/>
      <c r="DHR364" s="35"/>
      <c r="DHS364" s="35"/>
      <c r="DHT364" s="35"/>
      <c r="DHU364" s="34"/>
      <c r="DHV364" s="34"/>
      <c r="DHW364" s="36"/>
      <c r="DHX364" s="36"/>
      <c r="DHY364" s="37"/>
      <c r="DHZ364" s="37"/>
      <c r="DIA364" s="38"/>
      <c r="DIB364" s="38"/>
      <c r="DIC364" s="39"/>
      <c r="DID364" s="34"/>
      <c r="DIE364" s="34"/>
      <c r="DIF364" s="34"/>
      <c r="DIG364" s="35"/>
      <c r="DIH364" s="35"/>
      <c r="DII364" s="35"/>
      <c r="DIJ364" s="35"/>
      <c r="DIK364" s="35"/>
      <c r="DIL364" s="34"/>
      <c r="DIM364" s="34"/>
      <c r="DIN364" s="36"/>
      <c r="DIO364" s="36"/>
      <c r="DIP364" s="37"/>
      <c r="DIQ364" s="37"/>
      <c r="DIR364" s="38"/>
      <c r="DIS364" s="38"/>
      <c r="DIT364" s="39"/>
      <c r="DIU364" s="34"/>
      <c r="DIV364" s="34"/>
      <c r="DIW364" s="34"/>
      <c r="DIX364" s="35"/>
      <c r="DIY364" s="35"/>
      <c r="DIZ364" s="35"/>
      <c r="DJA364" s="35"/>
      <c r="DJB364" s="35"/>
      <c r="DJC364" s="34"/>
      <c r="DJD364" s="34"/>
      <c r="DJE364" s="36"/>
      <c r="DJF364" s="36"/>
      <c r="DJG364" s="37"/>
      <c r="DJH364" s="37"/>
      <c r="DJI364" s="38"/>
      <c r="DJJ364" s="38"/>
      <c r="DJK364" s="39"/>
      <c r="DJL364" s="34"/>
      <c r="DJM364" s="34"/>
      <c r="DJN364" s="34"/>
      <c r="DJO364" s="35"/>
      <c r="DJP364" s="35"/>
      <c r="DJQ364" s="35"/>
      <c r="DJR364" s="35"/>
      <c r="DJS364" s="35"/>
      <c r="DJT364" s="34"/>
      <c r="DJU364" s="34"/>
      <c r="DJV364" s="36"/>
      <c r="DJW364" s="36"/>
      <c r="DJX364" s="37"/>
      <c r="DJY364" s="37"/>
      <c r="DJZ364" s="38"/>
      <c r="DKA364" s="38"/>
      <c r="DKB364" s="39"/>
      <c r="DKC364" s="34"/>
      <c r="DKD364" s="34"/>
      <c r="DKE364" s="34"/>
      <c r="DKF364" s="35"/>
      <c r="DKG364" s="35"/>
      <c r="DKH364" s="35"/>
      <c r="DKI364" s="35"/>
      <c r="DKJ364" s="35"/>
      <c r="DKK364" s="34"/>
      <c r="DKL364" s="34"/>
      <c r="DKM364" s="36"/>
      <c r="DKN364" s="36"/>
      <c r="DKO364" s="37"/>
      <c r="DKP364" s="37"/>
      <c r="DKQ364" s="38"/>
      <c r="DKR364" s="38"/>
      <c r="DKS364" s="39"/>
      <c r="DKT364" s="34"/>
      <c r="DKU364" s="34"/>
      <c r="DKV364" s="34"/>
      <c r="DKW364" s="35"/>
      <c r="DKX364" s="35"/>
      <c r="DKY364" s="35"/>
      <c r="DKZ364" s="35"/>
      <c r="DLA364" s="35"/>
      <c r="DLB364" s="34"/>
      <c r="DLC364" s="34"/>
      <c r="DLD364" s="36"/>
      <c r="DLE364" s="36"/>
      <c r="DLF364" s="37"/>
      <c r="DLG364" s="37"/>
      <c r="DLH364" s="38"/>
      <c r="DLI364" s="38"/>
      <c r="DLJ364" s="39"/>
      <c r="DLK364" s="34"/>
      <c r="DLL364" s="34"/>
      <c r="DLM364" s="34"/>
      <c r="DLN364" s="35"/>
      <c r="DLO364" s="35"/>
      <c r="DLP364" s="35"/>
      <c r="DLQ364" s="35"/>
      <c r="DLR364" s="35"/>
      <c r="DLS364" s="34"/>
      <c r="DLT364" s="34"/>
      <c r="DLU364" s="36"/>
      <c r="DLV364" s="36"/>
      <c r="DLW364" s="37"/>
      <c r="DLX364" s="37"/>
      <c r="DLY364" s="38"/>
      <c r="DLZ364" s="38"/>
      <c r="DMA364" s="39"/>
      <c r="DMB364" s="34"/>
      <c r="DMC364" s="34"/>
      <c r="DMD364" s="34"/>
      <c r="DME364" s="35"/>
      <c r="DMF364" s="35"/>
      <c r="DMG364" s="35"/>
      <c r="DMH364" s="35"/>
      <c r="DMI364" s="35"/>
      <c r="DMJ364" s="34"/>
      <c r="DMK364" s="34"/>
      <c r="DML364" s="36"/>
      <c r="DMM364" s="36"/>
      <c r="DMN364" s="37"/>
      <c r="DMO364" s="37"/>
      <c r="DMP364" s="38"/>
      <c r="DMQ364" s="38"/>
      <c r="DMR364" s="39"/>
      <c r="DMS364" s="34"/>
      <c r="DMT364" s="34"/>
      <c r="DMU364" s="34"/>
      <c r="DMV364" s="35"/>
      <c r="DMW364" s="35"/>
      <c r="DMX364" s="35"/>
      <c r="DMY364" s="35"/>
      <c r="DMZ364" s="35"/>
      <c r="DNA364" s="34"/>
      <c r="DNB364" s="34"/>
      <c r="DNC364" s="36"/>
      <c r="DND364" s="36"/>
      <c r="DNE364" s="37"/>
      <c r="DNF364" s="37"/>
      <c r="DNG364" s="38"/>
      <c r="DNH364" s="38"/>
      <c r="DNI364" s="39"/>
      <c r="DNJ364" s="34"/>
      <c r="DNK364" s="34"/>
      <c r="DNL364" s="34"/>
      <c r="DNM364" s="35"/>
      <c r="DNN364" s="35"/>
      <c r="DNO364" s="35"/>
      <c r="DNP364" s="35"/>
      <c r="DNQ364" s="35"/>
      <c r="DNR364" s="34"/>
      <c r="DNS364" s="34"/>
      <c r="DNT364" s="36"/>
      <c r="DNU364" s="36"/>
      <c r="DNV364" s="37"/>
      <c r="DNW364" s="37"/>
      <c r="DNX364" s="38"/>
      <c r="DNY364" s="38"/>
      <c r="DNZ364" s="39"/>
      <c r="DOA364" s="34"/>
      <c r="DOB364" s="34"/>
      <c r="DOC364" s="34"/>
      <c r="DOD364" s="35"/>
      <c r="DOE364" s="35"/>
      <c r="DOF364" s="35"/>
      <c r="DOG364" s="35"/>
      <c r="DOH364" s="35"/>
      <c r="DOI364" s="34"/>
      <c r="DOJ364" s="34"/>
      <c r="DOK364" s="36"/>
      <c r="DOL364" s="36"/>
      <c r="DOM364" s="37"/>
      <c r="DON364" s="37"/>
      <c r="DOO364" s="38"/>
      <c r="DOP364" s="38"/>
      <c r="DOQ364" s="39"/>
      <c r="DOR364" s="34"/>
      <c r="DOS364" s="34"/>
      <c r="DOT364" s="34"/>
      <c r="DOU364" s="35"/>
      <c r="DOV364" s="35"/>
      <c r="DOW364" s="35"/>
      <c r="DOX364" s="35"/>
      <c r="DOY364" s="35"/>
      <c r="DOZ364" s="34"/>
      <c r="DPA364" s="34"/>
      <c r="DPB364" s="36"/>
      <c r="DPC364" s="36"/>
      <c r="DPD364" s="37"/>
      <c r="DPE364" s="37"/>
      <c r="DPF364" s="38"/>
      <c r="DPG364" s="38"/>
      <c r="DPH364" s="39"/>
      <c r="DPI364" s="34"/>
      <c r="DPJ364" s="34"/>
      <c r="DPK364" s="34"/>
      <c r="DPL364" s="35"/>
      <c r="DPM364" s="35"/>
      <c r="DPN364" s="35"/>
      <c r="DPO364" s="35"/>
      <c r="DPP364" s="35"/>
      <c r="DPQ364" s="34"/>
      <c r="DPR364" s="34"/>
      <c r="DPS364" s="36"/>
      <c r="DPT364" s="36"/>
      <c r="DPU364" s="37"/>
      <c r="DPV364" s="37"/>
      <c r="DPW364" s="38"/>
      <c r="DPX364" s="38"/>
      <c r="DPY364" s="39"/>
      <c r="DPZ364" s="34"/>
      <c r="DQA364" s="34"/>
      <c r="DQB364" s="34"/>
      <c r="DQC364" s="35"/>
      <c r="DQD364" s="35"/>
      <c r="DQE364" s="35"/>
      <c r="DQF364" s="35"/>
      <c r="DQG364" s="35"/>
      <c r="DQH364" s="34"/>
      <c r="DQI364" s="34"/>
      <c r="DQJ364" s="36"/>
      <c r="DQK364" s="36"/>
      <c r="DQL364" s="37"/>
      <c r="DQM364" s="37"/>
      <c r="DQN364" s="38"/>
      <c r="DQO364" s="38"/>
      <c r="DQP364" s="39"/>
      <c r="DQQ364" s="34"/>
      <c r="DQR364" s="34"/>
      <c r="DQS364" s="34"/>
      <c r="DQT364" s="35"/>
      <c r="DQU364" s="35"/>
      <c r="DQV364" s="35"/>
      <c r="DQW364" s="35"/>
      <c r="DQX364" s="35"/>
      <c r="DQY364" s="34"/>
      <c r="DQZ364" s="34"/>
      <c r="DRA364" s="36"/>
      <c r="DRB364" s="36"/>
      <c r="DRC364" s="37"/>
      <c r="DRD364" s="37"/>
      <c r="DRE364" s="38"/>
      <c r="DRF364" s="38"/>
      <c r="DRG364" s="39"/>
      <c r="DRH364" s="34"/>
      <c r="DRI364" s="34"/>
      <c r="DRJ364" s="34"/>
      <c r="DRK364" s="35"/>
      <c r="DRL364" s="35"/>
      <c r="DRM364" s="35"/>
      <c r="DRN364" s="35"/>
      <c r="DRO364" s="35"/>
      <c r="DRP364" s="34"/>
      <c r="DRQ364" s="34"/>
      <c r="DRR364" s="36"/>
      <c r="DRS364" s="36"/>
      <c r="DRT364" s="37"/>
      <c r="DRU364" s="37"/>
      <c r="DRV364" s="38"/>
      <c r="DRW364" s="38"/>
      <c r="DRX364" s="39"/>
      <c r="DRY364" s="34"/>
      <c r="DRZ364" s="34"/>
      <c r="DSA364" s="34"/>
      <c r="DSB364" s="35"/>
      <c r="DSC364" s="35"/>
      <c r="DSD364" s="35"/>
      <c r="DSE364" s="35"/>
      <c r="DSF364" s="35"/>
      <c r="DSG364" s="34"/>
      <c r="DSH364" s="34"/>
      <c r="DSI364" s="36"/>
      <c r="DSJ364" s="36"/>
      <c r="DSK364" s="37"/>
      <c r="DSL364" s="37"/>
      <c r="DSM364" s="38"/>
      <c r="DSN364" s="38"/>
      <c r="DSO364" s="39"/>
      <c r="DSP364" s="34"/>
      <c r="DSQ364" s="34"/>
      <c r="DSR364" s="34"/>
      <c r="DSS364" s="35"/>
      <c r="DST364" s="35"/>
      <c r="DSU364" s="35"/>
      <c r="DSV364" s="35"/>
      <c r="DSW364" s="35"/>
      <c r="DSX364" s="34"/>
      <c r="DSY364" s="34"/>
      <c r="DSZ364" s="36"/>
      <c r="DTA364" s="36"/>
      <c r="DTB364" s="37"/>
      <c r="DTC364" s="37"/>
      <c r="DTD364" s="38"/>
      <c r="DTE364" s="38"/>
      <c r="DTF364" s="39"/>
      <c r="DTG364" s="34"/>
      <c r="DTH364" s="34"/>
      <c r="DTI364" s="34"/>
      <c r="DTJ364" s="35"/>
      <c r="DTK364" s="35"/>
      <c r="DTL364" s="35"/>
      <c r="DTM364" s="35"/>
      <c r="DTN364" s="35"/>
      <c r="DTO364" s="34"/>
      <c r="DTP364" s="34"/>
      <c r="DTQ364" s="36"/>
      <c r="DTR364" s="36"/>
      <c r="DTS364" s="37"/>
      <c r="DTT364" s="37"/>
      <c r="DTU364" s="38"/>
      <c r="DTV364" s="38"/>
      <c r="DTW364" s="39"/>
      <c r="DTX364" s="34"/>
      <c r="DTY364" s="34"/>
      <c r="DTZ364" s="34"/>
      <c r="DUA364" s="35"/>
      <c r="DUB364" s="35"/>
      <c r="DUC364" s="35"/>
      <c r="DUD364" s="35"/>
      <c r="DUE364" s="35"/>
      <c r="DUF364" s="34"/>
      <c r="DUG364" s="34"/>
      <c r="DUH364" s="36"/>
      <c r="DUI364" s="36"/>
      <c r="DUJ364" s="37"/>
      <c r="DUK364" s="37"/>
      <c r="DUL364" s="38"/>
      <c r="DUM364" s="38"/>
      <c r="DUN364" s="39"/>
      <c r="DUO364" s="34"/>
      <c r="DUP364" s="34"/>
      <c r="DUQ364" s="34"/>
      <c r="DUR364" s="35"/>
      <c r="DUS364" s="35"/>
      <c r="DUT364" s="35"/>
      <c r="DUU364" s="35"/>
      <c r="DUV364" s="35"/>
      <c r="DUW364" s="34"/>
      <c r="DUX364" s="34"/>
      <c r="DUY364" s="36"/>
      <c r="DUZ364" s="36"/>
      <c r="DVA364" s="37"/>
      <c r="DVB364" s="37"/>
      <c r="DVC364" s="38"/>
      <c r="DVD364" s="38"/>
      <c r="DVE364" s="39"/>
      <c r="DVF364" s="34"/>
      <c r="DVG364" s="34"/>
      <c r="DVH364" s="34"/>
      <c r="DVI364" s="35"/>
      <c r="DVJ364" s="35"/>
      <c r="DVK364" s="35"/>
      <c r="DVL364" s="35"/>
      <c r="DVM364" s="35"/>
      <c r="DVN364" s="34"/>
      <c r="DVO364" s="34"/>
      <c r="DVP364" s="36"/>
      <c r="DVQ364" s="36"/>
      <c r="DVR364" s="37"/>
      <c r="DVS364" s="37"/>
      <c r="DVT364" s="38"/>
      <c r="DVU364" s="38"/>
      <c r="DVV364" s="39"/>
      <c r="DVW364" s="34"/>
      <c r="DVX364" s="34"/>
      <c r="DVY364" s="34"/>
      <c r="DVZ364" s="35"/>
      <c r="DWA364" s="35"/>
      <c r="DWB364" s="35"/>
      <c r="DWC364" s="35"/>
      <c r="DWD364" s="35"/>
      <c r="DWE364" s="34"/>
      <c r="DWF364" s="34"/>
      <c r="DWG364" s="36"/>
      <c r="DWH364" s="36"/>
      <c r="DWI364" s="37"/>
      <c r="DWJ364" s="37"/>
      <c r="DWK364" s="38"/>
      <c r="DWL364" s="38"/>
      <c r="DWM364" s="39"/>
      <c r="DWN364" s="34"/>
      <c r="DWO364" s="34"/>
      <c r="DWP364" s="34"/>
      <c r="DWQ364" s="35"/>
      <c r="DWR364" s="35"/>
      <c r="DWS364" s="35"/>
      <c r="DWT364" s="35"/>
      <c r="DWU364" s="35"/>
      <c r="DWV364" s="34"/>
      <c r="DWW364" s="34"/>
      <c r="DWX364" s="36"/>
      <c r="DWY364" s="36"/>
      <c r="DWZ364" s="37"/>
      <c r="DXA364" s="37"/>
      <c r="DXB364" s="38"/>
      <c r="DXC364" s="38"/>
      <c r="DXD364" s="39"/>
      <c r="DXE364" s="34"/>
      <c r="DXF364" s="34"/>
      <c r="DXG364" s="34"/>
      <c r="DXH364" s="35"/>
      <c r="DXI364" s="35"/>
      <c r="DXJ364" s="35"/>
      <c r="DXK364" s="35"/>
      <c r="DXL364" s="35"/>
      <c r="DXM364" s="34"/>
      <c r="DXN364" s="34"/>
      <c r="DXO364" s="36"/>
      <c r="DXP364" s="36"/>
      <c r="DXQ364" s="37"/>
      <c r="DXR364" s="37"/>
      <c r="DXS364" s="38"/>
      <c r="DXT364" s="38"/>
      <c r="DXU364" s="39"/>
      <c r="DXV364" s="34"/>
      <c r="DXW364" s="34"/>
      <c r="DXX364" s="34"/>
      <c r="DXY364" s="35"/>
      <c r="DXZ364" s="35"/>
      <c r="DYA364" s="35"/>
      <c r="DYB364" s="35"/>
      <c r="DYC364" s="35"/>
      <c r="DYD364" s="34"/>
      <c r="DYE364" s="34"/>
      <c r="DYF364" s="36"/>
      <c r="DYG364" s="36"/>
      <c r="DYH364" s="37"/>
      <c r="DYI364" s="37"/>
      <c r="DYJ364" s="38"/>
      <c r="DYK364" s="38"/>
      <c r="DYL364" s="39"/>
      <c r="DYM364" s="34"/>
      <c r="DYN364" s="34"/>
      <c r="DYO364" s="34"/>
      <c r="DYP364" s="35"/>
      <c r="DYQ364" s="35"/>
      <c r="DYR364" s="35"/>
      <c r="DYS364" s="35"/>
      <c r="DYT364" s="35"/>
      <c r="DYU364" s="34"/>
      <c r="DYV364" s="34"/>
      <c r="DYW364" s="36"/>
      <c r="DYX364" s="36"/>
      <c r="DYY364" s="37"/>
      <c r="DYZ364" s="37"/>
      <c r="DZA364" s="38"/>
      <c r="DZB364" s="38"/>
      <c r="DZC364" s="39"/>
      <c r="DZD364" s="34"/>
      <c r="DZE364" s="34"/>
      <c r="DZF364" s="34"/>
      <c r="DZG364" s="35"/>
      <c r="DZH364" s="35"/>
      <c r="DZI364" s="35"/>
      <c r="DZJ364" s="35"/>
      <c r="DZK364" s="35"/>
      <c r="DZL364" s="34"/>
      <c r="DZM364" s="34"/>
      <c r="DZN364" s="36"/>
      <c r="DZO364" s="36"/>
      <c r="DZP364" s="37"/>
      <c r="DZQ364" s="37"/>
      <c r="DZR364" s="38"/>
      <c r="DZS364" s="38"/>
      <c r="DZT364" s="39"/>
      <c r="DZU364" s="34"/>
      <c r="DZV364" s="34"/>
      <c r="DZW364" s="34"/>
      <c r="DZX364" s="35"/>
      <c r="DZY364" s="35"/>
      <c r="DZZ364" s="35"/>
      <c r="EAA364" s="35"/>
      <c r="EAB364" s="35"/>
      <c r="EAC364" s="34"/>
      <c r="EAD364" s="34"/>
      <c r="EAE364" s="36"/>
      <c r="EAF364" s="36"/>
      <c r="EAG364" s="37"/>
      <c r="EAH364" s="37"/>
      <c r="EAI364" s="38"/>
      <c r="EAJ364" s="38"/>
      <c r="EAK364" s="39"/>
      <c r="EAL364" s="34"/>
      <c r="EAM364" s="34"/>
      <c r="EAN364" s="34"/>
      <c r="EAO364" s="35"/>
      <c r="EAP364" s="35"/>
      <c r="EAQ364" s="35"/>
      <c r="EAR364" s="35"/>
      <c r="EAS364" s="35"/>
      <c r="EAT364" s="34"/>
      <c r="EAU364" s="34"/>
      <c r="EAV364" s="36"/>
      <c r="EAW364" s="36"/>
      <c r="EAX364" s="37"/>
      <c r="EAY364" s="37"/>
      <c r="EAZ364" s="38"/>
      <c r="EBA364" s="38"/>
      <c r="EBB364" s="39"/>
      <c r="EBC364" s="34"/>
      <c r="EBD364" s="34"/>
      <c r="EBE364" s="34"/>
      <c r="EBF364" s="35"/>
      <c r="EBG364" s="35"/>
      <c r="EBH364" s="35"/>
      <c r="EBI364" s="35"/>
      <c r="EBJ364" s="35"/>
      <c r="EBK364" s="34"/>
      <c r="EBL364" s="34"/>
      <c r="EBM364" s="36"/>
      <c r="EBN364" s="36"/>
      <c r="EBO364" s="37"/>
      <c r="EBP364" s="37"/>
      <c r="EBQ364" s="38"/>
      <c r="EBR364" s="38"/>
      <c r="EBS364" s="39"/>
      <c r="EBT364" s="34"/>
      <c r="EBU364" s="34"/>
      <c r="EBV364" s="34"/>
      <c r="EBW364" s="35"/>
      <c r="EBX364" s="35"/>
      <c r="EBY364" s="35"/>
      <c r="EBZ364" s="35"/>
      <c r="ECA364" s="35"/>
      <c r="ECB364" s="34"/>
      <c r="ECC364" s="34"/>
      <c r="ECD364" s="36"/>
      <c r="ECE364" s="36"/>
      <c r="ECF364" s="37"/>
      <c r="ECG364" s="37"/>
      <c r="ECH364" s="38"/>
      <c r="ECI364" s="38"/>
      <c r="ECJ364" s="39"/>
      <c r="ECK364" s="34"/>
      <c r="ECL364" s="34"/>
      <c r="ECM364" s="34"/>
      <c r="ECN364" s="35"/>
      <c r="ECO364" s="35"/>
      <c r="ECP364" s="35"/>
      <c r="ECQ364" s="35"/>
      <c r="ECR364" s="35"/>
      <c r="ECS364" s="34"/>
      <c r="ECT364" s="34"/>
      <c r="ECU364" s="36"/>
      <c r="ECV364" s="36"/>
      <c r="ECW364" s="37"/>
      <c r="ECX364" s="37"/>
      <c r="ECY364" s="38"/>
      <c r="ECZ364" s="38"/>
      <c r="EDA364" s="39"/>
      <c r="EDB364" s="34"/>
      <c r="EDC364" s="34"/>
      <c r="EDD364" s="34"/>
      <c r="EDE364" s="35"/>
      <c r="EDF364" s="35"/>
      <c r="EDG364" s="35"/>
      <c r="EDH364" s="35"/>
      <c r="EDI364" s="35"/>
      <c r="EDJ364" s="34"/>
      <c r="EDK364" s="34"/>
      <c r="EDL364" s="36"/>
      <c r="EDM364" s="36"/>
      <c r="EDN364" s="37"/>
      <c r="EDO364" s="37"/>
      <c r="EDP364" s="38"/>
      <c r="EDQ364" s="38"/>
      <c r="EDR364" s="39"/>
      <c r="EDS364" s="34"/>
      <c r="EDT364" s="34"/>
      <c r="EDU364" s="34"/>
      <c r="EDV364" s="35"/>
      <c r="EDW364" s="35"/>
      <c r="EDX364" s="35"/>
      <c r="EDY364" s="35"/>
      <c r="EDZ364" s="35"/>
      <c r="EEA364" s="34"/>
      <c r="EEB364" s="34"/>
      <c r="EEC364" s="36"/>
      <c r="EED364" s="36"/>
      <c r="EEE364" s="37"/>
      <c r="EEF364" s="37"/>
      <c r="EEG364" s="38"/>
      <c r="EEH364" s="38"/>
      <c r="EEI364" s="39"/>
      <c r="EEJ364" s="34"/>
      <c r="EEK364" s="34"/>
      <c r="EEL364" s="34"/>
      <c r="EEM364" s="35"/>
      <c r="EEN364" s="35"/>
      <c r="EEO364" s="35"/>
      <c r="EEP364" s="35"/>
      <c r="EEQ364" s="35"/>
      <c r="EER364" s="34"/>
      <c r="EES364" s="34"/>
      <c r="EET364" s="36"/>
      <c r="EEU364" s="36"/>
      <c r="EEV364" s="37"/>
      <c r="EEW364" s="37"/>
      <c r="EEX364" s="38"/>
      <c r="EEY364" s="38"/>
      <c r="EEZ364" s="39"/>
      <c r="EFA364" s="34"/>
      <c r="EFB364" s="34"/>
      <c r="EFC364" s="34"/>
      <c r="EFD364" s="35"/>
      <c r="EFE364" s="35"/>
      <c r="EFF364" s="35"/>
      <c r="EFG364" s="35"/>
      <c r="EFH364" s="35"/>
      <c r="EFI364" s="34"/>
      <c r="EFJ364" s="34"/>
      <c r="EFK364" s="36"/>
      <c r="EFL364" s="36"/>
      <c r="EFM364" s="37"/>
      <c r="EFN364" s="37"/>
      <c r="EFO364" s="38"/>
      <c r="EFP364" s="38"/>
      <c r="EFQ364" s="39"/>
      <c r="EFR364" s="34"/>
      <c r="EFS364" s="34"/>
      <c r="EFT364" s="34"/>
      <c r="EFU364" s="35"/>
      <c r="EFV364" s="35"/>
      <c r="EFW364" s="35"/>
      <c r="EFX364" s="35"/>
      <c r="EFY364" s="35"/>
      <c r="EFZ364" s="34"/>
      <c r="EGA364" s="34"/>
      <c r="EGB364" s="36"/>
      <c r="EGC364" s="36"/>
      <c r="EGD364" s="37"/>
      <c r="EGE364" s="37"/>
      <c r="EGF364" s="38"/>
      <c r="EGG364" s="38"/>
      <c r="EGH364" s="39"/>
      <c r="EGI364" s="34"/>
      <c r="EGJ364" s="34"/>
      <c r="EGK364" s="34"/>
      <c r="EGL364" s="35"/>
      <c r="EGM364" s="35"/>
      <c r="EGN364" s="35"/>
      <c r="EGO364" s="35"/>
      <c r="EGP364" s="35"/>
      <c r="EGQ364" s="34"/>
      <c r="EGR364" s="34"/>
      <c r="EGS364" s="36"/>
      <c r="EGT364" s="36"/>
      <c r="EGU364" s="37"/>
      <c r="EGV364" s="37"/>
      <c r="EGW364" s="38"/>
      <c r="EGX364" s="38"/>
      <c r="EGY364" s="39"/>
      <c r="EGZ364" s="34"/>
      <c r="EHA364" s="34"/>
      <c r="EHB364" s="34"/>
      <c r="EHC364" s="35"/>
      <c r="EHD364" s="35"/>
      <c r="EHE364" s="35"/>
      <c r="EHF364" s="35"/>
      <c r="EHG364" s="35"/>
      <c r="EHH364" s="34"/>
      <c r="EHI364" s="34"/>
      <c r="EHJ364" s="36"/>
      <c r="EHK364" s="36"/>
      <c r="EHL364" s="37"/>
      <c r="EHM364" s="37"/>
      <c r="EHN364" s="38"/>
      <c r="EHO364" s="38"/>
      <c r="EHP364" s="39"/>
      <c r="EHQ364" s="34"/>
      <c r="EHR364" s="34"/>
      <c r="EHS364" s="34"/>
      <c r="EHT364" s="35"/>
      <c r="EHU364" s="35"/>
      <c r="EHV364" s="35"/>
      <c r="EHW364" s="35"/>
      <c r="EHX364" s="35"/>
      <c r="EHY364" s="34"/>
      <c r="EHZ364" s="34"/>
      <c r="EIA364" s="36"/>
      <c r="EIB364" s="36"/>
      <c r="EIC364" s="37"/>
      <c r="EID364" s="37"/>
      <c r="EIE364" s="38"/>
      <c r="EIF364" s="38"/>
      <c r="EIG364" s="39"/>
      <c r="EIH364" s="34"/>
      <c r="EII364" s="34"/>
      <c r="EIJ364" s="34"/>
      <c r="EIK364" s="35"/>
      <c r="EIL364" s="35"/>
      <c r="EIM364" s="35"/>
      <c r="EIN364" s="35"/>
      <c r="EIO364" s="35"/>
      <c r="EIP364" s="34"/>
      <c r="EIQ364" s="34"/>
      <c r="EIR364" s="36"/>
      <c r="EIS364" s="36"/>
      <c r="EIT364" s="37"/>
      <c r="EIU364" s="37"/>
      <c r="EIV364" s="38"/>
      <c r="EIW364" s="38"/>
      <c r="EIX364" s="39"/>
      <c r="EIY364" s="34"/>
      <c r="EIZ364" s="34"/>
      <c r="EJA364" s="34"/>
      <c r="EJB364" s="35"/>
      <c r="EJC364" s="35"/>
      <c r="EJD364" s="35"/>
      <c r="EJE364" s="35"/>
      <c r="EJF364" s="35"/>
      <c r="EJG364" s="34"/>
      <c r="EJH364" s="34"/>
      <c r="EJI364" s="36"/>
      <c r="EJJ364" s="36"/>
      <c r="EJK364" s="37"/>
      <c r="EJL364" s="37"/>
      <c r="EJM364" s="38"/>
      <c r="EJN364" s="38"/>
      <c r="EJO364" s="39"/>
      <c r="EJP364" s="34"/>
      <c r="EJQ364" s="34"/>
      <c r="EJR364" s="34"/>
      <c r="EJS364" s="35"/>
      <c r="EJT364" s="35"/>
      <c r="EJU364" s="35"/>
      <c r="EJV364" s="35"/>
      <c r="EJW364" s="35"/>
      <c r="EJX364" s="34"/>
      <c r="EJY364" s="34"/>
      <c r="EJZ364" s="36"/>
      <c r="EKA364" s="36"/>
      <c r="EKB364" s="37"/>
      <c r="EKC364" s="37"/>
      <c r="EKD364" s="38"/>
      <c r="EKE364" s="38"/>
      <c r="EKF364" s="39"/>
      <c r="EKG364" s="34"/>
      <c r="EKH364" s="34"/>
      <c r="EKI364" s="34"/>
      <c r="EKJ364" s="35"/>
      <c r="EKK364" s="35"/>
      <c r="EKL364" s="35"/>
      <c r="EKM364" s="35"/>
      <c r="EKN364" s="35"/>
      <c r="EKO364" s="34"/>
      <c r="EKP364" s="34"/>
      <c r="EKQ364" s="36"/>
      <c r="EKR364" s="36"/>
      <c r="EKS364" s="37"/>
      <c r="EKT364" s="37"/>
      <c r="EKU364" s="38"/>
      <c r="EKV364" s="38"/>
      <c r="EKW364" s="39"/>
      <c r="EKX364" s="34"/>
      <c r="EKY364" s="34"/>
      <c r="EKZ364" s="34"/>
      <c r="ELA364" s="35"/>
      <c r="ELB364" s="35"/>
      <c r="ELC364" s="35"/>
      <c r="ELD364" s="35"/>
      <c r="ELE364" s="35"/>
      <c r="ELF364" s="34"/>
      <c r="ELG364" s="34"/>
      <c r="ELH364" s="36"/>
      <c r="ELI364" s="36"/>
      <c r="ELJ364" s="37"/>
      <c r="ELK364" s="37"/>
      <c r="ELL364" s="38"/>
      <c r="ELM364" s="38"/>
      <c r="ELN364" s="39"/>
      <c r="ELO364" s="34"/>
      <c r="ELP364" s="34"/>
      <c r="ELQ364" s="34"/>
      <c r="ELR364" s="35"/>
      <c r="ELS364" s="35"/>
      <c r="ELT364" s="35"/>
      <c r="ELU364" s="35"/>
      <c r="ELV364" s="35"/>
      <c r="ELW364" s="34"/>
      <c r="ELX364" s="34"/>
      <c r="ELY364" s="36"/>
      <c r="ELZ364" s="36"/>
      <c r="EMA364" s="37"/>
      <c r="EMB364" s="37"/>
      <c r="EMC364" s="38"/>
      <c r="EMD364" s="38"/>
      <c r="EME364" s="39"/>
      <c r="EMF364" s="34"/>
      <c r="EMG364" s="34"/>
      <c r="EMH364" s="34"/>
      <c r="EMI364" s="35"/>
      <c r="EMJ364" s="35"/>
      <c r="EMK364" s="35"/>
      <c r="EML364" s="35"/>
      <c r="EMM364" s="35"/>
      <c r="EMN364" s="34"/>
      <c r="EMO364" s="34"/>
      <c r="EMP364" s="36"/>
      <c r="EMQ364" s="36"/>
      <c r="EMR364" s="37"/>
      <c r="EMS364" s="37"/>
      <c r="EMT364" s="38"/>
      <c r="EMU364" s="38"/>
      <c r="EMV364" s="39"/>
      <c r="EMW364" s="34"/>
      <c r="EMX364" s="34"/>
      <c r="EMY364" s="34"/>
      <c r="EMZ364" s="35"/>
      <c r="ENA364" s="35"/>
      <c r="ENB364" s="35"/>
      <c r="ENC364" s="35"/>
      <c r="END364" s="35"/>
      <c r="ENE364" s="34"/>
      <c r="ENF364" s="34"/>
      <c r="ENG364" s="36"/>
      <c r="ENH364" s="36"/>
      <c r="ENI364" s="37"/>
      <c r="ENJ364" s="37"/>
      <c r="ENK364" s="38"/>
      <c r="ENL364" s="38"/>
      <c r="ENM364" s="39"/>
      <c r="ENN364" s="34"/>
      <c r="ENO364" s="34"/>
      <c r="ENP364" s="34"/>
      <c r="ENQ364" s="35"/>
      <c r="ENR364" s="35"/>
      <c r="ENS364" s="35"/>
      <c r="ENT364" s="35"/>
      <c r="ENU364" s="35"/>
      <c r="ENV364" s="34"/>
      <c r="ENW364" s="34"/>
      <c r="ENX364" s="36"/>
      <c r="ENY364" s="36"/>
      <c r="ENZ364" s="37"/>
      <c r="EOA364" s="37"/>
      <c r="EOB364" s="38"/>
      <c r="EOC364" s="38"/>
      <c r="EOD364" s="39"/>
      <c r="EOE364" s="34"/>
      <c r="EOF364" s="34"/>
      <c r="EOG364" s="34"/>
      <c r="EOH364" s="35"/>
      <c r="EOI364" s="35"/>
      <c r="EOJ364" s="35"/>
      <c r="EOK364" s="35"/>
      <c r="EOL364" s="35"/>
      <c r="EOM364" s="34"/>
      <c r="EON364" s="34"/>
      <c r="EOO364" s="36"/>
      <c r="EOP364" s="36"/>
      <c r="EOQ364" s="37"/>
      <c r="EOR364" s="37"/>
      <c r="EOS364" s="38"/>
      <c r="EOT364" s="38"/>
      <c r="EOU364" s="39"/>
      <c r="EOV364" s="34"/>
      <c r="EOW364" s="34"/>
      <c r="EOX364" s="34"/>
      <c r="EOY364" s="35"/>
      <c r="EOZ364" s="35"/>
      <c r="EPA364" s="35"/>
      <c r="EPB364" s="35"/>
      <c r="EPC364" s="35"/>
      <c r="EPD364" s="34"/>
      <c r="EPE364" s="34"/>
      <c r="EPF364" s="36"/>
      <c r="EPG364" s="36"/>
      <c r="EPH364" s="37"/>
      <c r="EPI364" s="37"/>
      <c r="EPJ364" s="38"/>
      <c r="EPK364" s="38"/>
      <c r="EPL364" s="39"/>
      <c r="EPM364" s="34"/>
      <c r="EPN364" s="34"/>
      <c r="EPO364" s="34"/>
      <c r="EPP364" s="35"/>
      <c r="EPQ364" s="35"/>
      <c r="EPR364" s="35"/>
      <c r="EPS364" s="35"/>
      <c r="EPT364" s="35"/>
      <c r="EPU364" s="34"/>
      <c r="EPV364" s="34"/>
      <c r="EPW364" s="36"/>
      <c r="EPX364" s="36"/>
      <c r="EPY364" s="37"/>
      <c r="EPZ364" s="37"/>
      <c r="EQA364" s="38"/>
      <c r="EQB364" s="38"/>
      <c r="EQC364" s="39"/>
      <c r="EQD364" s="34"/>
      <c r="EQE364" s="34"/>
      <c r="EQF364" s="34"/>
      <c r="EQG364" s="35"/>
      <c r="EQH364" s="35"/>
      <c r="EQI364" s="35"/>
      <c r="EQJ364" s="35"/>
      <c r="EQK364" s="35"/>
      <c r="EQL364" s="34"/>
      <c r="EQM364" s="34"/>
      <c r="EQN364" s="36"/>
      <c r="EQO364" s="36"/>
      <c r="EQP364" s="37"/>
      <c r="EQQ364" s="37"/>
      <c r="EQR364" s="38"/>
      <c r="EQS364" s="38"/>
      <c r="EQT364" s="39"/>
      <c r="EQU364" s="34"/>
      <c r="EQV364" s="34"/>
      <c r="EQW364" s="34"/>
      <c r="EQX364" s="35"/>
      <c r="EQY364" s="35"/>
      <c r="EQZ364" s="35"/>
      <c r="ERA364" s="35"/>
      <c r="ERB364" s="35"/>
      <c r="ERC364" s="34"/>
      <c r="ERD364" s="34"/>
      <c r="ERE364" s="36"/>
      <c r="ERF364" s="36"/>
      <c r="ERG364" s="37"/>
      <c r="ERH364" s="37"/>
      <c r="ERI364" s="38"/>
      <c r="ERJ364" s="38"/>
      <c r="ERK364" s="39"/>
      <c r="ERL364" s="34"/>
      <c r="ERM364" s="34"/>
      <c r="ERN364" s="34"/>
      <c r="ERO364" s="35"/>
      <c r="ERP364" s="35"/>
      <c r="ERQ364" s="35"/>
      <c r="ERR364" s="35"/>
      <c r="ERS364" s="35"/>
      <c r="ERT364" s="34"/>
      <c r="ERU364" s="34"/>
      <c r="ERV364" s="36"/>
      <c r="ERW364" s="36"/>
      <c r="ERX364" s="37"/>
      <c r="ERY364" s="37"/>
      <c r="ERZ364" s="38"/>
      <c r="ESA364" s="38"/>
      <c r="ESB364" s="39"/>
      <c r="ESC364" s="34"/>
      <c r="ESD364" s="34"/>
      <c r="ESE364" s="34"/>
      <c r="ESF364" s="35"/>
      <c r="ESG364" s="35"/>
      <c r="ESH364" s="35"/>
      <c r="ESI364" s="35"/>
      <c r="ESJ364" s="35"/>
      <c r="ESK364" s="34"/>
      <c r="ESL364" s="34"/>
      <c r="ESM364" s="36"/>
      <c r="ESN364" s="36"/>
      <c r="ESO364" s="37"/>
      <c r="ESP364" s="37"/>
      <c r="ESQ364" s="38"/>
      <c r="ESR364" s="38"/>
      <c r="ESS364" s="39"/>
      <c r="EST364" s="34"/>
      <c r="ESU364" s="34"/>
      <c r="ESV364" s="34"/>
      <c r="ESW364" s="35"/>
      <c r="ESX364" s="35"/>
      <c r="ESY364" s="35"/>
      <c r="ESZ364" s="35"/>
      <c r="ETA364" s="35"/>
      <c r="ETB364" s="34"/>
      <c r="ETC364" s="34"/>
      <c r="ETD364" s="36"/>
      <c r="ETE364" s="36"/>
      <c r="ETF364" s="37"/>
      <c r="ETG364" s="37"/>
      <c r="ETH364" s="38"/>
      <c r="ETI364" s="38"/>
      <c r="ETJ364" s="39"/>
      <c r="ETK364" s="34"/>
      <c r="ETL364" s="34"/>
      <c r="ETM364" s="34"/>
      <c r="ETN364" s="35"/>
      <c r="ETO364" s="35"/>
      <c r="ETP364" s="35"/>
      <c r="ETQ364" s="35"/>
      <c r="ETR364" s="35"/>
      <c r="ETS364" s="34"/>
      <c r="ETT364" s="34"/>
      <c r="ETU364" s="36"/>
      <c r="ETV364" s="36"/>
      <c r="ETW364" s="37"/>
      <c r="ETX364" s="37"/>
      <c r="ETY364" s="38"/>
      <c r="ETZ364" s="38"/>
      <c r="EUA364" s="39"/>
      <c r="EUB364" s="34"/>
      <c r="EUC364" s="34"/>
      <c r="EUD364" s="34"/>
      <c r="EUE364" s="35"/>
      <c r="EUF364" s="35"/>
      <c r="EUG364" s="35"/>
      <c r="EUH364" s="35"/>
      <c r="EUI364" s="35"/>
      <c r="EUJ364" s="34"/>
      <c r="EUK364" s="34"/>
      <c r="EUL364" s="36"/>
      <c r="EUM364" s="36"/>
      <c r="EUN364" s="37"/>
      <c r="EUO364" s="37"/>
      <c r="EUP364" s="38"/>
      <c r="EUQ364" s="38"/>
      <c r="EUR364" s="39"/>
      <c r="EUS364" s="34"/>
      <c r="EUT364" s="34"/>
      <c r="EUU364" s="34"/>
      <c r="EUV364" s="35"/>
      <c r="EUW364" s="35"/>
      <c r="EUX364" s="35"/>
      <c r="EUY364" s="35"/>
      <c r="EUZ364" s="35"/>
      <c r="EVA364" s="34"/>
      <c r="EVB364" s="34"/>
      <c r="EVC364" s="36"/>
      <c r="EVD364" s="36"/>
      <c r="EVE364" s="37"/>
      <c r="EVF364" s="37"/>
      <c r="EVG364" s="38"/>
      <c r="EVH364" s="38"/>
      <c r="EVI364" s="39"/>
      <c r="EVJ364" s="34"/>
      <c r="EVK364" s="34"/>
      <c r="EVL364" s="34"/>
      <c r="EVM364" s="35"/>
      <c r="EVN364" s="35"/>
      <c r="EVO364" s="35"/>
      <c r="EVP364" s="35"/>
      <c r="EVQ364" s="35"/>
      <c r="EVR364" s="34"/>
      <c r="EVS364" s="34"/>
      <c r="EVT364" s="36"/>
      <c r="EVU364" s="36"/>
      <c r="EVV364" s="37"/>
      <c r="EVW364" s="37"/>
      <c r="EVX364" s="38"/>
      <c r="EVY364" s="38"/>
      <c r="EVZ364" s="39"/>
      <c r="EWA364" s="34"/>
      <c r="EWB364" s="34"/>
      <c r="EWC364" s="34"/>
      <c r="EWD364" s="35"/>
      <c r="EWE364" s="35"/>
      <c r="EWF364" s="35"/>
      <c r="EWG364" s="35"/>
      <c r="EWH364" s="35"/>
      <c r="EWI364" s="34"/>
      <c r="EWJ364" s="34"/>
      <c r="EWK364" s="36"/>
      <c r="EWL364" s="36"/>
      <c r="EWM364" s="37"/>
      <c r="EWN364" s="37"/>
      <c r="EWO364" s="38"/>
      <c r="EWP364" s="38"/>
      <c r="EWQ364" s="39"/>
      <c r="EWR364" s="34"/>
      <c r="EWS364" s="34"/>
      <c r="EWT364" s="34"/>
      <c r="EWU364" s="35"/>
      <c r="EWV364" s="35"/>
      <c r="EWW364" s="35"/>
      <c r="EWX364" s="35"/>
      <c r="EWY364" s="35"/>
      <c r="EWZ364" s="34"/>
      <c r="EXA364" s="34"/>
      <c r="EXB364" s="36"/>
      <c r="EXC364" s="36"/>
      <c r="EXD364" s="37"/>
      <c r="EXE364" s="37"/>
      <c r="EXF364" s="38"/>
      <c r="EXG364" s="38"/>
      <c r="EXH364" s="39"/>
      <c r="EXI364" s="34"/>
      <c r="EXJ364" s="34"/>
      <c r="EXK364" s="34"/>
      <c r="EXL364" s="35"/>
      <c r="EXM364" s="35"/>
      <c r="EXN364" s="35"/>
      <c r="EXO364" s="35"/>
      <c r="EXP364" s="35"/>
      <c r="EXQ364" s="34"/>
      <c r="EXR364" s="34"/>
      <c r="EXS364" s="36"/>
      <c r="EXT364" s="36"/>
      <c r="EXU364" s="37"/>
      <c r="EXV364" s="37"/>
      <c r="EXW364" s="38"/>
      <c r="EXX364" s="38"/>
      <c r="EXY364" s="39"/>
      <c r="EXZ364" s="34"/>
      <c r="EYA364" s="34"/>
      <c r="EYB364" s="34"/>
      <c r="EYC364" s="35"/>
      <c r="EYD364" s="35"/>
      <c r="EYE364" s="35"/>
      <c r="EYF364" s="35"/>
      <c r="EYG364" s="35"/>
      <c r="EYH364" s="34"/>
      <c r="EYI364" s="34"/>
      <c r="EYJ364" s="36"/>
      <c r="EYK364" s="36"/>
      <c r="EYL364" s="37"/>
      <c r="EYM364" s="37"/>
      <c r="EYN364" s="38"/>
      <c r="EYO364" s="38"/>
      <c r="EYP364" s="39"/>
      <c r="EYQ364" s="34"/>
      <c r="EYR364" s="34"/>
      <c r="EYS364" s="34"/>
      <c r="EYT364" s="35"/>
      <c r="EYU364" s="35"/>
      <c r="EYV364" s="35"/>
      <c r="EYW364" s="35"/>
      <c r="EYX364" s="35"/>
      <c r="EYY364" s="34"/>
      <c r="EYZ364" s="34"/>
      <c r="EZA364" s="36"/>
      <c r="EZB364" s="36"/>
      <c r="EZC364" s="37"/>
      <c r="EZD364" s="37"/>
      <c r="EZE364" s="38"/>
      <c r="EZF364" s="38"/>
      <c r="EZG364" s="39"/>
      <c r="EZH364" s="34"/>
      <c r="EZI364" s="34"/>
      <c r="EZJ364" s="34"/>
      <c r="EZK364" s="35"/>
      <c r="EZL364" s="35"/>
      <c r="EZM364" s="35"/>
      <c r="EZN364" s="35"/>
      <c r="EZO364" s="35"/>
      <c r="EZP364" s="34"/>
      <c r="EZQ364" s="34"/>
      <c r="EZR364" s="36"/>
      <c r="EZS364" s="36"/>
      <c r="EZT364" s="37"/>
      <c r="EZU364" s="37"/>
      <c r="EZV364" s="38"/>
      <c r="EZW364" s="38"/>
      <c r="EZX364" s="39"/>
      <c r="EZY364" s="34"/>
      <c r="EZZ364" s="34"/>
      <c r="FAA364" s="34"/>
      <c r="FAB364" s="35"/>
      <c r="FAC364" s="35"/>
      <c r="FAD364" s="35"/>
      <c r="FAE364" s="35"/>
      <c r="FAF364" s="35"/>
      <c r="FAG364" s="34"/>
      <c r="FAH364" s="34"/>
      <c r="FAI364" s="36"/>
      <c r="FAJ364" s="36"/>
      <c r="FAK364" s="37"/>
      <c r="FAL364" s="37"/>
      <c r="FAM364" s="38"/>
      <c r="FAN364" s="38"/>
      <c r="FAO364" s="39"/>
      <c r="FAP364" s="34"/>
      <c r="FAQ364" s="34"/>
      <c r="FAR364" s="34"/>
      <c r="FAS364" s="35"/>
      <c r="FAT364" s="35"/>
      <c r="FAU364" s="35"/>
      <c r="FAV364" s="35"/>
      <c r="FAW364" s="35"/>
      <c r="FAX364" s="34"/>
      <c r="FAY364" s="34"/>
      <c r="FAZ364" s="36"/>
      <c r="FBA364" s="36"/>
      <c r="FBB364" s="37"/>
      <c r="FBC364" s="37"/>
      <c r="FBD364" s="38"/>
      <c r="FBE364" s="38"/>
      <c r="FBF364" s="39"/>
      <c r="FBG364" s="34"/>
      <c r="FBH364" s="34"/>
      <c r="FBI364" s="34"/>
      <c r="FBJ364" s="35"/>
      <c r="FBK364" s="35"/>
      <c r="FBL364" s="35"/>
      <c r="FBM364" s="35"/>
      <c r="FBN364" s="35"/>
      <c r="FBO364" s="34"/>
      <c r="FBP364" s="34"/>
      <c r="FBQ364" s="36"/>
      <c r="FBR364" s="36"/>
      <c r="FBS364" s="37"/>
      <c r="FBT364" s="37"/>
      <c r="FBU364" s="38"/>
      <c r="FBV364" s="38"/>
      <c r="FBW364" s="39"/>
      <c r="FBX364" s="34"/>
      <c r="FBY364" s="34"/>
      <c r="FBZ364" s="34"/>
      <c r="FCA364" s="35"/>
      <c r="FCB364" s="35"/>
      <c r="FCC364" s="35"/>
      <c r="FCD364" s="35"/>
      <c r="FCE364" s="35"/>
      <c r="FCF364" s="34"/>
      <c r="FCG364" s="34"/>
      <c r="FCH364" s="36"/>
      <c r="FCI364" s="36"/>
      <c r="FCJ364" s="37"/>
      <c r="FCK364" s="37"/>
      <c r="FCL364" s="38"/>
      <c r="FCM364" s="38"/>
      <c r="FCN364" s="39"/>
      <c r="FCO364" s="34"/>
      <c r="FCP364" s="34"/>
      <c r="FCQ364" s="34"/>
      <c r="FCR364" s="35"/>
      <c r="FCS364" s="35"/>
      <c r="FCT364" s="35"/>
      <c r="FCU364" s="35"/>
      <c r="FCV364" s="35"/>
      <c r="FCW364" s="34"/>
      <c r="FCX364" s="34"/>
      <c r="FCY364" s="36"/>
      <c r="FCZ364" s="36"/>
      <c r="FDA364" s="37"/>
      <c r="FDB364" s="37"/>
      <c r="FDC364" s="38"/>
      <c r="FDD364" s="38"/>
      <c r="FDE364" s="39"/>
      <c r="FDF364" s="34"/>
      <c r="FDG364" s="34"/>
      <c r="FDH364" s="34"/>
      <c r="FDI364" s="35"/>
      <c r="FDJ364" s="35"/>
      <c r="FDK364" s="35"/>
      <c r="FDL364" s="35"/>
      <c r="FDM364" s="35"/>
      <c r="FDN364" s="34"/>
      <c r="FDO364" s="34"/>
      <c r="FDP364" s="36"/>
      <c r="FDQ364" s="36"/>
      <c r="FDR364" s="37"/>
      <c r="FDS364" s="37"/>
      <c r="FDT364" s="38"/>
      <c r="FDU364" s="38"/>
      <c r="FDV364" s="39"/>
      <c r="FDW364" s="34"/>
      <c r="FDX364" s="34"/>
      <c r="FDY364" s="34"/>
      <c r="FDZ364" s="35"/>
      <c r="FEA364" s="35"/>
      <c r="FEB364" s="35"/>
      <c r="FEC364" s="35"/>
      <c r="FED364" s="35"/>
      <c r="FEE364" s="34"/>
      <c r="FEF364" s="34"/>
      <c r="FEG364" s="36"/>
      <c r="FEH364" s="36"/>
      <c r="FEI364" s="37"/>
      <c r="FEJ364" s="37"/>
      <c r="FEK364" s="38"/>
      <c r="FEL364" s="38"/>
      <c r="FEM364" s="39"/>
      <c r="FEN364" s="34"/>
      <c r="FEO364" s="34"/>
      <c r="FEP364" s="34"/>
      <c r="FEQ364" s="35"/>
      <c r="FER364" s="35"/>
      <c r="FES364" s="35"/>
      <c r="FET364" s="35"/>
      <c r="FEU364" s="35"/>
      <c r="FEV364" s="34"/>
      <c r="FEW364" s="34"/>
      <c r="FEX364" s="36"/>
      <c r="FEY364" s="36"/>
      <c r="FEZ364" s="37"/>
      <c r="FFA364" s="37"/>
      <c r="FFB364" s="38"/>
      <c r="FFC364" s="38"/>
      <c r="FFD364" s="39"/>
      <c r="FFE364" s="34"/>
      <c r="FFF364" s="34"/>
      <c r="FFG364" s="34"/>
      <c r="FFH364" s="35"/>
      <c r="FFI364" s="35"/>
      <c r="FFJ364" s="35"/>
      <c r="FFK364" s="35"/>
      <c r="FFL364" s="35"/>
      <c r="FFM364" s="34"/>
      <c r="FFN364" s="34"/>
      <c r="FFO364" s="36"/>
      <c r="FFP364" s="36"/>
      <c r="FFQ364" s="37"/>
      <c r="FFR364" s="37"/>
      <c r="FFS364" s="38"/>
      <c r="FFT364" s="38"/>
      <c r="FFU364" s="39"/>
      <c r="FFV364" s="34"/>
      <c r="FFW364" s="34"/>
      <c r="FFX364" s="34"/>
      <c r="FFY364" s="35"/>
      <c r="FFZ364" s="35"/>
      <c r="FGA364" s="35"/>
      <c r="FGB364" s="35"/>
      <c r="FGC364" s="35"/>
      <c r="FGD364" s="34"/>
      <c r="FGE364" s="34"/>
      <c r="FGF364" s="36"/>
      <c r="FGG364" s="36"/>
      <c r="FGH364" s="37"/>
      <c r="FGI364" s="37"/>
      <c r="FGJ364" s="38"/>
      <c r="FGK364" s="38"/>
      <c r="FGL364" s="39"/>
      <c r="FGM364" s="34"/>
      <c r="FGN364" s="34"/>
      <c r="FGO364" s="34"/>
      <c r="FGP364" s="35"/>
      <c r="FGQ364" s="35"/>
      <c r="FGR364" s="35"/>
      <c r="FGS364" s="35"/>
      <c r="FGT364" s="35"/>
      <c r="FGU364" s="34"/>
      <c r="FGV364" s="34"/>
      <c r="FGW364" s="36"/>
      <c r="FGX364" s="36"/>
      <c r="FGY364" s="37"/>
      <c r="FGZ364" s="37"/>
      <c r="FHA364" s="38"/>
      <c r="FHB364" s="38"/>
      <c r="FHC364" s="39"/>
      <c r="FHD364" s="34"/>
      <c r="FHE364" s="34"/>
      <c r="FHF364" s="34"/>
      <c r="FHG364" s="35"/>
      <c r="FHH364" s="35"/>
      <c r="FHI364" s="35"/>
      <c r="FHJ364" s="35"/>
      <c r="FHK364" s="35"/>
      <c r="FHL364" s="34"/>
      <c r="FHM364" s="34"/>
      <c r="FHN364" s="36"/>
      <c r="FHO364" s="36"/>
      <c r="FHP364" s="37"/>
      <c r="FHQ364" s="37"/>
      <c r="FHR364" s="38"/>
      <c r="FHS364" s="38"/>
      <c r="FHT364" s="39"/>
      <c r="FHU364" s="34"/>
      <c r="FHV364" s="34"/>
      <c r="FHW364" s="34"/>
      <c r="FHX364" s="35"/>
      <c r="FHY364" s="35"/>
      <c r="FHZ364" s="35"/>
      <c r="FIA364" s="35"/>
      <c r="FIB364" s="35"/>
      <c r="FIC364" s="34"/>
      <c r="FID364" s="34"/>
      <c r="FIE364" s="36"/>
      <c r="FIF364" s="36"/>
      <c r="FIG364" s="37"/>
      <c r="FIH364" s="37"/>
      <c r="FII364" s="38"/>
      <c r="FIJ364" s="38"/>
      <c r="FIK364" s="39"/>
      <c r="FIL364" s="34"/>
      <c r="FIM364" s="34"/>
      <c r="FIN364" s="34"/>
      <c r="FIO364" s="35"/>
      <c r="FIP364" s="35"/>
      <c r="FIQ364" s="35"/>
      <c r="FIR364" s="35"/>
      <c r="FIS364" s="35"/>
      <c r="FIT364" s="34"/>
      <c r="FIU364" s="34"/>
      <c r="FIV364" s="36"/>
      <c r="FIW364" s="36"/>
      <c r="FIX364" s="37"/>
      <c r="FIY364" s="37"/>
      <c r="FIZ364" s="38"/>
      <c r="FJA364" s="38"/>
      <c r="FJB364" s="39"/>
      <c r="FJC364" s="34"/>
      <c r="FJD364" s="34"/>
      <c r="FJE364" s="34"/>
      <c r="FJF364" s="35"/>
      <c r="FJG364" s="35"/>
      <c r="FJH364" s="35"/>
      <c r="FJI364" s="35"/>
      <c r="FJJ364" s="35"/>
      <c r="FJK364" s="34"/>
      <c r="FJL364" s="34"/>
      <c r="FJM364" s="36"/>
      <c r="FJN364" s="36"/>
      <c r="FJO364" s="37"/>
      <c r="FJP364" s="37"/>
      <c r="FJQ364" s="38"/>
      <c r="FJR364" s="38"/>
      <c r="FJS364" s="39"/>
      <c r="FJT364" s="34"/>
      <c r="FJU364" s="34"/>
      <c r="FJV364" s="34"/>
      <c r="FJW364" s="35"/>
      <c r="FJX364" s="35"/>
      <c r="FJY364" s="35"/>
      <c r="FJZ364" s="35"/>
      <c r="FKA364" s="35"/>
      <c r="FKB364" s="34"/>
      <c r="FKC364" s="34"/>
      <c r="FKD364" s="36"/>
      <c r="FKE364" s="36"/>
      <c r="FKF364" s="37"/>
      <c r="FKG364" s="37"/>
      <c r="FKH364" s="38"/>
      <c r="FKI364" s="38"/>
      <c r="FKJ364" s="39"/>
      <c r="FKK364" s="34"/>
      <c r="FKL364" s="34"/>
      <c r="FKM364" s="34"/>
      <c r="FKN364" s="35"/>
      <c r="FKO364" s="35"/>
      <c r="FKP364" s="35"/>
      <c r="FKQ364" s="35"/>
      <c r="FKR364" s="35"/>
      <c r="FKS364" s="34"/>
      <c r="FKT364" s="34"/>
      <c r="FKU364" s="36"/>
      <c r="FKV364" s="36"/>
      <c r="FKW364" s="37"/>
      <c r="FKX364" s="37"/>
      <c r="FKY364" s="38"/>
      <c r="FKZ364" s="38"/>
      <c r="FLA364" s="39"/>
      <c r="FLB364" s="34"/>
      <c r="FLC364" s="34"/>
      <c r="FLD364" s="34"/>
      <c r="FLE364" s="35"/>
      <c r="FLF364" s="35"/>
      <c r="FLG364" s="35"/>
      <c r="FLH364" s="35"/>
      <c r="FLI364" s="35"/>
      <c r="FLJ364" s="34"/>
      <c r="FLK364" s="34"/>
      <c r="FLL364" s="36"/>
      <c r="FLM364" s="36"/>
      <c r="FLN364" s="37"/>
      <c r="FLO364" s="37"/>
      <c r="FLP364" s="38"/>
      <c r="FLQ364" s="38"/>
      <c r="FLR364" s="39"/>
      <c r="FLS364" s="34"/>
      <c r="FLT364" s="34"/>
      <c r="FLU364" s="34"/>
      <c r="FLV364" s="35"/>
      <c r="FLW364" s="35"/>
      <c r="FLX364" s="35"/>
      <c r="FLY364" s="35"/>
      <c r="FLZ364" s="35"/>
      <c r="FMA364" s="34"/>
      <c r="FMB364" s="34"/>
      <c r="FMC364" s="36"/>
      <c r="FMD364" s="36"/>
      <c r="FME364" s="37"/>
      <c r="FMF364" s="37"/>
      <c r="FMG364" s="38"/>
      <c r="FMH364" s="38"/>
      <c r="FMI364" s="39"/>
      <c r="FMJ364" s="34"/>
      <c r="FMK364" s="34"/>
      <c r="FML364" s="34"/>
      <c r="FMM364" s="35"/>
      <c r="FMN364" s="35"/>
      <c r="FMO364" s="35"/>
      <c r="FMP364" s="35"/>
      <c r="FMQ364" s="35"/>
      <c r="FMR364" s="34"/>
      <c r="FMS364" s="34"/>
      <c r="FMT364" s="36"/>
      <c r="FMU364" s="36"/>
      <c r="FMV364" s="37"/>
      <c r="FMW364" s="37"/>
      <c r="FMX364" s="38"/>
      <c r="FMY364" s="38"/>
      <c r="FMZ364" s="39"/>
      <c r="FNA364" s="34"/>
      <c r="FNB364" s="34"/>
      <c r="FNC364" s="34"/>
      <c r="FND364" s="35"/>
      <c r="FNE364" s="35"/>
      <c r="FNF364" s="35"/>
      <c r="FNG364" s="35"/>
      <c r="FNH364" s="35"/>
      <c r="FNI364" s="34"/>
      <c r="FNJ364" s="34"/>
      <c r="FNK364" s="36"/>
      <c r="FNL364" s="36"/>
      <c r="FNM364" s="37"/>
      <c r="FNN364" s="37"/>
      <c r="FNO364" s="38"/>
      <c r="FNP364" s="38"/>
      <c r="FNQ364" s="39"/>
      <c r="FNR364" s="34"/>
      <c r="FNS364" s="34"/>
      <c r="FNT364" s="34"/>
      <c r="FNU364" s="35"/>
      <c r="FNV364" s="35"/>
      <c r="FNW364" s="35"/>
      <c r="FNX364" s="35"/>
      <c r="FNY364" s="35"/>
      <c r="FNZ364" s="34"/>
      <c r="FOA364" s="34"/>
      <c r="FOB364" s="36"/>
      <c r="FOC364" s="36"/>
      <c r="FOD364" s="37"/>
      <c r="FOE364" s="37"/>
      <c r="FOF364" s="38"/>
      <c r="FOG364" s="38"/>
      <c r="FOH364" s="39"/>
      <c r="FOI364" s="34"/>
      <c r="FOJ364" s="34"/>
      <c r="FOK364" s="34"/>
      <c r="FOL364" s="35"/>
      <c r="FOM364" s="35"/>
      <c r="FON364" s="35"/>
      <c r="FOO364" s="35"/>
      <c r="FOP364" s="35"/>
      <c r="FOQ364" s="34"/>
      <c r="FOR364" s="34"/>
      <c r="FOS364" s="36"/>
      <c r="FOT364" s="36"/>
      <c r="FOU364" s="37"/>
      <c r="FOV364" s="37"/>
      <c r="FOW364" s="38"/>
      <c r="FOX364" s="38"/>
      <c r="FOY364" s="39"/>
      <c r="FOZ364" s="34"/>
      <c r="FPA364" s="34"/>
      <c r="FPB364" s="34"/>
      <c r="FPC364" s="35"/>
      <c r="FPD364" s="35"/>
      <c r="FPE364" s="35"/>
      <c r="FPF364" s="35"/>
      <c r="FPG364" s="35"/>
      <c r="FPH364" s="34"/>
      <c r="FPI364" s="34"/>
      <c r="FPJ364" s="36"/>
      <c r="FPK364" s="36"/>
      <c r="FPL364" s="37"/>
      <c r="FPM364" s="37"/>
      <c r="FPN364" s="38"/>
      <c r="FPO364" s="38"/>
      <c r="FPP364" s="39"/>
      <c r="FPQ364" s="34"/>
      <c r="FPR364" s="34"/>
      <c r="FPS364" s="34"/>
      <c r="FPT364" s="35"/>
      <c r="FPU364" s="35"/>
      <c r="FPV364" s="35"/>
      <c r="FPW364" s="35"/>
      <c r="FPX364" s="35"/>
      <c r="FPY364" s="34"/>
      <c r="FPZ364" s="34"/>
      <c r="FQA364" s="36"/>
      <c r="FQB364" s="36"/>
      <c r="FQC364" s="37"/>
      <c r="FQD364" s="37"/>
      <c r="FQE364" s="38"/>
      <c r="FQF364" s="38"/>
      <c r="FQG364" s="39"/>
      <c r="FQH364" s="34"/>
      <c r="FQI364" s="34"/>
      <c r="FQJ364" s="34"/>
      <c r="FQK364" s="35"/>
      <c r="FQL364" s="35"/>
      <c r="FQM364" s="35"/>
      <c r="FQN364" s="35"/>
      <c r="FQO364" s="35"/>
      <c r="FQP364" s="34"/>
      <c r="FQQ364" s="34"/>
      <c r="FQR364" s="36"/>
      <c r="FQS364" s="36"/>
      <c r="FQT364" s="37"/>
      <c r="FQU364" s="37"/>
      <c r="FQV364" s="38"/>
      <c r="FQW364" s="38"/>
      <c r="FQX364" s="39"/>
      <c r="FQY364" s="34"/>
      <c r="FQZ364" s="34"/>
      <c r="FRA364" s="34"/>
      <c r="FRB364" s="35"/>
      <c r="FRC364" s="35"/>
      <c r="FRD364" s="35"/>
      <c r="FRE364" s="35"/>
      <c r="FRF364" s="35"/>
      <c r="FRG364" s="34"/>
      <c r="FRH364" s="34"/>
      <c r="FRI364" s="36"/>
      <c r="FRJ364" s="36"/>
      <c r="FRK364" s="37"/>
      <c r="FRL364" s="37"/>
      <c r="FRM364" s="38"/>
      <c r="FRN364" s="38"/>
      <c r="FRO364" s="39"/>
      <c r="FRP364" s="34"/>
      <c r="FRQ364" s="34"/>
      <c r="FRR364" s="34"/>
      <c r="FRS364" s="35"/>
      <c r="FRT364" s="35"/>
      <c r="FRU364" s="35"/>
      <c r="FRV364" s="35"/>
      <c r="FRW364" s="35"/>
      <c r="FRX364" s="34"/>
      <c r="FRY364" s="34"/>
      <c r="FRZ364" s="36"/>
      <c r="FSA364" s="36"/>
      <c r="FSB364" s="37"/>
      <c r="FSC364" s="37"/>
      <c r="FSD364" s="38"/>
      <c r="FSE364" s="38"/>
      <c r="FSF364" s="39"/>
      <c r="FSG364" s="34"/>
      <c r="FSH364" s="34"/>
      <c r="FSI364" s="34"/>
      <c r="FSJ364" s="35"/>
      <c r="FSK364" s="35"/>
      <c r="FSL364" s="35"/>
      <c r="FSM364" s="35"/>
      <c r="FSN364" s="35"/>
      <c r="FSO364" s="34"/>
      <c r="FSP364" s="34"/>
      <c r="FSQ364" s="36"/>
      <c r="FSR364" s="36"/>
      <c r="FSS364" s="37"/>
      <c r="FST364" s="37"/>
      <c r="FSU364" s="38"/>
      <c r="FSV364" s="38"/>
      <c r="FSW364" s="39"/>
      <c r="FSX364" s="34"/>
      <c r="FSY364" s="34"/>
      <c r="FSZ364" s="34"/>
      <c r="FTA364" s="35"/>
      <c r="FTB364" s="35"/>
      <c r="FTC364" s="35"/>
      <c r="FTD364" s="35"/>
      <c r="FTE364" s="35"/>
      <c r="FTF364" s="34"/>
      <c r="FTG364" s="34"/>
      <c r="FTH364" s="36"/>
      <c r="FTI364" s="36"/>
      <c r="FTJ364" s="37"/>
      <c r="FTK364" s="37"/>
      <c r="FTL364" s="38"/>
      <c r="FTM364" s="38"/>
      <c r="FTN364" s="39"/>
      <c r="FTO364" s="34"/>
      <c r="FTP364" s="34"/>
      <c r="FTQ364" s="34"/>
      <c r="FTR364" s="35"/>
      <c r="FTS364" s="35"/>
      <c r="FTT364" s="35"/>
      <c r="FTU364" s="35"/>
      <c r="FTV364" s="35"/>
      <c r="FTW364" s="34"/>
      <c r="FTX364" s="34"/>
      <c r="FTY364" s="36"/>
      <c r="FTZ364" s="36"/>
      <c r="FUA364" s="37"/>
      <c r="FUB364" s="37"/>
      <c r="FUC364" s="38"/>
      <c r="FUD364" s="38"/>
      <c r="FUE364" s="39"/>
      <c r="FUF364" s="34"/>
      <c r="FUG364" s="34"/>
      <c r="FUH364" s="34"/>
      <c r="FUI364" s="35"/>
      <c r="FUJ364" s="35"/>
      <c r="FUK364" s="35"/>
      <c r="FUL364" s="35"/>
      <c r="FUM364" s="35"/>
      <c r="FUN364" s="34"/>
      <c r="FUO364" s="34"/>
      <c r="FUP364" s="36"/>
      <c r="FUQ364" s="36"/>
      <c r="FUR364" s="37"/>
      <c r="FUS364" s="37"/>
      <c r="FUT364" s="38"/>
      <c r="FUU364" s="38"/>
      <c r="FUV364" s="39"/>
      <c r="FUW364" s="34"/>
      <c r="FUX364" s="34"/>
      <c r="FUY364" s="34"/>
      <c r="FUZ364" s="35"/>
      <c r="FVA364" s="35"/>
      <c r="FVB364" s="35"/>
      <c r="FVC364" s="35"/>
      <c r="FVD364" s="35"/>
      <c r="FVE364" s="34"/>
      <c r="FVF364" s="34"/>
      <c r="FVG364" s="36"/>
      <c r="FVH364" s="36"/>
      <c r="FVI364" s="37"/>
      <c r="FVJ364" s="37"/>
      <c r="FVK364" s="38"/>
      <c r="FVL364" s="38"/>
      <c r="FVM364" s="39"/>
      <c r="FVN364" s="34"/>
      <c r="FVO364" s="34"/>
      <c r="FVP364" s="34"/>
      <c r="FVQ364" s="35"/>
      <c r="FVR364" s="35"/>
      <c r="FVS364" s="35"/>
      <c r="FVT364" s="35"/>
      <c r="FVU364" s="35"/>
      <c r="FVV364" s="34"/>
      <c r="FVW364" s="34"/>
      <c r="FVX364" s="36"/>
      <c r="FVY364" s="36"/>
      <c r="FVZ364" s="37"/>
      <c r="FWA364" s="37"/>
      <c r="FWB364" s="38"/>
      <c r="FWC364" s="38"/>
      <c r="FWD364" s="39"/>
      <c r="FWE364" s="34"/>
      <c r="FWF364" s="34"/>
      <c r="FWG364" s="34"/>
      <c r="FWH364" s="35"/>
      <c r="FWI364" s="35"/>
      <c r="FWJ364" s="35"/>
      <c r="FWK364" s="35"/>
      <c r="FWL364" s="35"/>
      <c r="FWM364" s="34"/>
      <c r="FWN364" s="34"/>
      <c r="FWO364" s="36"/>
      <c r="FWP364" s="36"/>
      <c r="FWQ364" s="37"/>
      <c r="FWR364" s="37"/>
      <c r="FWS364" s="38"/>
      <c r="FWT364" s="38"/>
      <c r="FWU364" s="39"/>
      <c r="FWV364" s="34"/>
      <c r="FWW364" s="34"/>
      <c r="FWX364" s="34"/>
      <c r="FWY364" s="35"/>
      <c r="FWZ364" s="35"/>
      <c r="FXA364" s="35"/>
      <c r="FXB364" s="35"/>
      <c r="FXC364" s="35"/>
      <c r="FXD364" s="34"/>
      <c r="FXE364" s="34"/>
      <c r="FXF364" s="36"/>
      <c r="FXG364" s="36"/>
      <c r="FXH364" s="37"/>
      <c r="FXI364" s="37"/>
      <c r="FXJ364" s="38"/>
      <c r="FXK364" s="38"/>
      <c r="FXL364" s="39"/>
      <c r="FXM364" s="34"/>
      <c r="FXN364" s="34"/>
      <c r="FXO364" s="34"/>
      <c r="FXP364" s="35"/>
      <c r="FXQ364" s="35"/>
      <c r="FXR364" s="35"/>
      <c r="FXS364" s="35"/>
      <c r="FXT364" s="35"/>
      <c r="FXU364" s="34"/>
      <c r="FXV364" s="34"/>
      <c r="FXW364" s="36"/>
      <c r="FXX364" s="36"/>
      <c r="FXY364" s="37"/>
      <c r="FXZ364" s="37"/>
      <c r="FYA364" s="38"/>
      <c r="FYB364" s="38"/>
      <c r="FYC364" s="39"/>
      <c r="FYD364" s="34"/>
      <c r="FYE364" s="34"/>
      <c r="FYF364" s="34"/>
      <c r="FYG364" s="35"/>
      <c r="FYH364" s="35"/>
      <c r="FYI364" s="35"/>
      <c r="FYJ364" s="35"/>
      <c r="FYK364" s="35"/>
      <c r="FYL364" s="34"/>
      <c r="FYM364" s="34"/>
      <c r="FYN364" s="36"/>
      <c r="FYO364" s="36"/>
      <c r="FYP364" s="37"/>
      <c r="FYQ364" s="37"/>
      <c r="FYR364" s="38"/>
      <c r="FYS364" s="38"/>
      <c r="FYT364" s="39"/>
      <c r="FYU364" s="34"/>
      <c r="FYV364" s="34"/>
      <c r="FYW364" s="34"/>
      <c r="FYX364" s="35"/>
      <c r="FYY364" s="35"/>
      <c r="FYZ364" s="35"/>
      <c r="FZA364" s="35"/>
      <c r="FZB364" s="35"/>
      <c r="FZC364" s="34"/>
      <c r="FZD364" s="34"/>
      <c r="FZE364" s="36"/>
      <c r="FZF364" s="36"/>
      <c r="FZG364" s="37"/>
      <c r="FZH364" s="37"/>
      <c r="FZI364" s="38"/>
      <c r="FZJ364" s="38"/>
      <c r="FZK364" s="39"/>
      <c r="FZL364" s="34"/>
      <c r="FZM364" s="34"/>
      <c r="FZN364" s="34"/>
      <c r="FZO364" s="35"/>
      <c r="FZP364" s="35"/>
      <c r="FZQ364" s="35"/>
      <c r="FZR364" s="35"/>
      <c r="FZS364" s="35"/>
      <c r="FZT364" s="34"/>
      <c r="FZU364" s="34"/>
      <c r="FZV364" s="36"/>
      <c r="FZW364" s="36"/>
      <c r="FZX364" s="37"/>
      <c r="FZY364" s="37"/>
      <c r="FZZ364" s="38"/>
      <c r="GAA364" s="38"/>
      <c r="GAB364" s="39"/>
      <c r="GAC364" s="34"/>
      <c r="GAD364" s="34"/>
      <c r="GAE364" s="34"/>
      <c r="GAF364" s="35"/>
      <c r="GAG364" s="35"/>
      <c r="GAH364" s="35"/>
      <c r="GAI364" s="35"/>
      <c r="GAJ364" s="35"/>
      <c r="GAK364" s="34"/>
      <c r="GAL364" s="34"/>
      <c r="GAM364" s="36"/>
      <c r="GAN364" s="36"/>
      <c r="GAO364" s="37"/>
      <c r="GAP364" s="37"/>
      <c r="GAQ364" s="38"/>
      <c r="GAR364" s="38"/>
      <c r="GAS364" s="39"/>
      <c r="GAT364" s="34"/>
      <c r="GAU364" s="34"/>
      <c r="GAV364" s="34"/>
      <c r="GAW364" s="35"/>
      <c r="GAX364" s="35"/>
      <c r="GAY364" s="35"/>
      <c r="GAZ364" s="35"/>
      <c r="GBA364" s="35"/>
      <c r="GBB364" s="34"/>
      <c r="GBC364" s="34"/>
      <c r="GBD364" s="36"/>
      <c r="GBE364" s="36"/>
      <c r="GBF364" s="37"/>
      <c r="GBG364" s="37"/>
      <c r="GBH364" s="38"/>
      <c r="GBI364" s="38"/>
      <c r="GBJ364" s="39"/>
      <c r="GBK364" s="34"/>
      <c r="GBL364" s="34"/>
      <c r="GBM364" s="34"/>
      <c r="GBN364" s="35"/>
      <c r="GBO364" s="35"/>
      <c r="GBP364" s="35"/>
      <c r="GBQ364" s="35"/>
      <c r="GBR364" s="35"/>
      <c r="GBS364" s="34"/>
      <c r="GBT364" s="34"/>
      <c r="GBU364" s="36"/>
      <c r="GBV364" s="36"/>
      <c r="GBW364" s="37"/>
      <c r="GBX364" s="37"/>
      <c r="GBY364" s="38"/>
      <c r="GBZ364" s="38"/>
      <c r="GCA364" s="39"/>
      <c r="GCB364" s="34"/>
      <c r="GCC364" s="34"/>
      <c r="GCD364" s="34"/>
      <c r="GCE364" s="35"/>
      <c r="GCF364" s="35"/>
      <c r="GCG364" s="35"/>
      <c r="GCH364" s="35"/>
      <c r="GCI364" s="35"/>
      <c r="GCJ364" s="34"/>
      <c r="GCK364" s="34"/>
      <c r="GCL364" s="36"/>
      <c r="GCM364" s="36"/>
      <c r="GCN364" s="37"/>
      <c r="GCO364" s="37"/>
      <c r="GCP364" s="38"/>
      <c r="GCQ364" s="38"/>
      <c r="GCR364" s="39"/>
      <c r="GCS364" s="34"/>
      <c r="GCT364" s="34"/>
      <c r="GCU364" s="34"/>
      <c r="GCV364" s="35"/>
      <c r="GCW364" s="35"/>
      <c r="GCX364" s="35"/>
      <c r="GCY364" s="35"/>
      <c r="GCZ364" s="35"/>
      <c r="GDA364" s="34"/>
      <c r="GDB364" s="34"/>
      <c r="GDC364" s="36"/>
      <c r="GDD364" s="36"/>
      <c r="GDE364" s="37"/>
      <c r="GDF364" s="37"/>
      <c r="GDG364" s="38"/>
      <c r="GDH364" s="38"/>
      <c r="GDI364" s="39"/>
      <c r="GDJ364" s="34"/>
      <c r="GDK364" s="34"/>
      <c r="GDL364" s="34"/>
      <c r="GDM364" s="35"/>
      <c r="GDN364" s="35"/>
      <c r="GDO364" s="35"/>
      <c r="GDP364" s="35"/>
      <c r="GDQ364" s="35"/>
      <c r="GDR364" s="34"/>
      <c r="GDS364" s="34"/>
      <c r="GDT364" s="36"/>
      <c r="GDU364" s="36"/>
      <c r="GDV364" s="37"/>
      <c r="GDW364" s="37"/>
      <c r="GDX364" s="38"/>
      <c r="GDY364" s="38"/>
      <c r="GDZ364" s="39"/>
      <c r="GEA364" s="34"/>
      <c r="GEB364" s="34"/>
      <c r="GEC364" s="34"/>
      <c r="GED364" s="35"/>
      <c r="GEE364" s="35"/>
      <c r="GEF364" s="35"/>
      <c r="GEG364" s="35"/>
      <c r="GEH364" s="35"/>
      <c r="GEI364" s="34"/>
      <c r="GEJ364" s="34"/>
      <c r="GEK364" s="36"/>
      <c r="GEL364" s="36"/>
      <c r="GEM364" s="37"/>
      <c r="GEN364" s="37"/>
      <c r="GEO364" s="38"/>
      <c r="GEP364" s="38"/>
      <c r="GEQ364" s="39"/>
      <c r="GER364" s="34"/>
      <c r="GES364" s="34"/>
      <c r="GET364" s="34"/>
      <c r="GEU364" s="35"/>
      <c r="GEV364" s="35"/>
      <c r="GEW364" s="35"/>
      <c r="GEX364" s="35"/>
      <c r="GEY364" s="35"/>
      <c r="GEZ364" s="34"/>
      <c r="GFA364" s="34"/>
      <c r="GFB364" s="36"/>
      <c r="GFC364" s="36"/>
      <c r="GFD364" s="37"/>
      <c r="GFE364" s="37"/>
      <c r="GFF364" s="38"/>
      <c r="GFG364" s="38"/>
      <c r="GFH364" s="39"/>
      <c r="GFI364" s="34"/>
      <c r="GFJ364" s="34"/>
      <c r="GFK364" s="34"/>
      <c r="GFL364" s="35"/>
      <c r="GFM364" s="35"/>
      <c r="GFN364" s="35"/>
      <c r="GFO364" s="35"/>
      <c r="GFP364" s="35"/>
      <c r="GFQ364" s="34"/>
      <c r="GFR364" s="34"/>
      <c r="GFS364" s="36"/>
      <c r="GFT364" s="36"/>
      <c r="GFU364" s="37"/>
      <c r="GFV364" s="37"/>
      <c r="GFW364" s="38"/>
      <c r="GFX364" s="38"/>
      <c r="GFY364" s="39"/>
      <c r="GFZ364" s="34"/>
      <c r="GGA364" s="34"/>
      <c r="GGB364" s="34"/>
      <c r="GGC364" s="35"/>
      <c r="GGD364" s="35"/>
      <c r="GGE364" s="35"/>
      <c r="GGF364" s="35"/>
      <c r="GGG364" s="35"/>
      <c r="GGH364" s="34"/>
      <c r="GGI364" s="34"/>
      <c r="GGJ364" s="36"/>
      <c r="GGK364" s="36"/>
      <c r="GGL364" s="37"/>
      <c r="GGM364" s="37"/>
      <c r="GGN364" s="38"/>
      <c r="GGO364" s="38"/>
      <c r="GGP364" s="39"/>
      <c r="GGQ364" s="34"/>
      <c r="GGR364" s="34"/>
      <c r="GGS364" s="34"/>
      <c r="GGT364" s="35"/>
      <c r="GGU364" s="35"/>
      <c r="GGV364" s="35"/>
      <c r="GGW364" s="35"/>
      <c r="GGX364" s="35"/>
      <c r="GGY364" s="34"/>
      <c r="GGZ364" s="34"/>
      <c r="GHA364" s="36"/>
      <c r="GHB364" s="36"/>
      <c r="GHC364" s="37"/>
      <c r="GHD364" s="37"/>
      <c r="GHE364" s="38"/>
      <c r="GHF364" s="38"/>
      <c r="GHG364" s="39"/>
      <c r="GHH364" s="34"/>
      <c r="GHI364" s="34"/>
      <c r="GHJ364" s="34"/>
      <c r="GHK364" s="35"/>
      <c r="GHL364" s="35"/>
      <c r="GHM364" s="35"/>
      <c r="GHN364" s="35"/>
      <c r="GHO364" s="35"/>
      <c r="GHP364" s="34"/>
      <c r="GHQ364" s="34"/>
      <c r="GHR364" s="36"/>
      <c r="GHS364" s="36"/>
      <c r="GHT364" s="37"/>
      <c r="GHU364" s="37"/>
      <c r="GHV364" s="38"/>
      <c r="GHW364" s="38"/>
      <c r="GHX364" s="39"/>
      <c r="GHY364" s="34"/>
      <c r="GHZ364" s="34"/>
      <c r="GIA364" s="34"/>
      <c r="GIB364" s="35"/>
      <c r="GIC364" s="35"/>
      <c r="GID364" s="35"/>
      <c r="GIE364" s="35"/>
      <c r="GIF364" s="35"/>
      <c r="GIG364" s="34"/>
      <c r="GIH364" s="34"/>
      <c r="GII364" s="36"/>
      <c r="GIJ364" s="36"/>
      <c r="GIK364" s="37"/>
      <c r="GIL364" s="37"/>
      <c r="GIM364" s="38"/>
      <c r="GIN364" s="38"/>
      <c r="GIO364" s="39"/>
      <c r="GIP364" s="34"/>
      <c r="GIQ364" s="34"/>
      <c r="GIR364" s="34"/>
      <c r="GIS364" s="35"/>
      <c r="GIT364" s="35"/>
      <c r="GIU364" s="35"/>
      <c r="GIV364" s="35"/>
      <c r="GIW364" s="35"/>
      <c r="GIX364" s="34"/>
      <c r="GIY364" s="34"/>
      <c r="GIZ364" s="36"/>
      <c r="GJA364" s="36"/>
      <c r="GJB364" s="37"/>
      <c r="GJC364" s="37"/>
      <c r="GJD364" s="38"/>
      <c r="GJE364" s="38"/>
      <c r="GJF364" s="39"/>
      <c r="GJG364" s="34"/>
      <c r="GJH364" s="34"/>
      <c r="GJI364" s="34"/>
      <c r="GJJ364" s="35"/>
      <c r="GJK364" s="35"/>
      <c r="GJL364" s="35"/>
      <c r="GJM364" s="35"/>
      <c r="GJN364" s="35"/>
      <c r="GJO364" s="34"/>
      <c r="GJP364" s="34"/>
      <c r="GJQ364" s="36"/>
      <c r="GJR364" s="36"/>
      <c r="GJS364" s="37"/>
      <c r="GJT364" s="37"/>
      <c r="GJU364" s="38"/>
      <c r="GJV364" s="38"/>
      <c r="GJW364" s="39"/>
      <c r="GJX364" s="34"/>
      <c r="GJY364" s="34"/>
      <c r="GJZ364" s="34"/>
      <c r="GKA364" s="35"/>
      <c r="GKB364" s="35"/>
      <c r="GKC364" s="35"/>
      <c r="GKD364" s="35"/>
      <c r="GKE364" s="35"/>
      <c r="GKF364" s="34"/>
      <c r="GKG364" s="34"/>
      <c r="GKH364" s="36"/>
      <c r="GKI364" s="36"/>
      <c r="GKJ364" s="37"/>
      <c r="GKK364" s="37"/>
      <c r="GKL364" s="38"/>
      <c r="GKM364" s="38"/>
      <c r="GKN364" s="39"/>
      <c r="GKO364" s="34"/>
      <c r="GKP364" s="34"/>
      <c r="GKQ364" s="34"/>
      <c r="GKR364" s="35"/>
      <c r="GKS364" s="35"/>
      <c r="GKT364" s="35"/>
      <c r="GKU364" s="35"/>
      <c r="GKV364" s="35"/>
      <c r="GKW364" s="34"/>
      <c r="GKX364" s="34"/>
      <c r="GKY364" s="36"/>
      <c r="GKZ364" s="36"/>
      <c r="GLA364" s="37"/>
      <c r="GLB364" s="37"/>
      <c r="GLC364" s="38"/>
      <c r="GLD364" s="38"/>
      <c r="GLE364" s="39"/>
      <c r="GLF364" s="34"/>
      <c r="GLG364" s="34"/>
      <c r="GLH364" s="34"/>
      <c r="GLI364" s="35"/>
      <c r="GLJ364" s="35"/>
      <c r="GLK364" s="35"/>
      <c r="GLL364" s="35"/>
      <c r="GLM364" s="35"/>
      <c r="GLN364" s="34"/>
      <c r="GLO364" s="34"/>
      <c r="GLP364" s="36"/>
      <c r="GLQ364" s="36"/>
      <c r="GLR364" s="37"/>
      <c r="GLS364" s="37"/>
      <c r="GLT364" s="38"/>
      <c r="GLU364" s="38"/>
      <c r="GLV364" s="39"/>
      <c r="GLW364" s="34"/>
      <c r="GLX364" s="34"/>
      <c r="GLY364" s="34"/>
      <c r="GLZ364" s="35"/>
      <c r="GMA364" s="35"/>
      <c r="GMB364" s="35"/>
      <c r="GMC364" s="35"/>
      <c r="GMD364" s="35"/>
      <c r="GME364" s="34"/>
      <c r="GMF364" s="34"/>
      <c r="GMG364" s="36"/>
      <c r="GMH364" s="36"/>
      <c r="GMI364" s="37"/>
      <c r="GMJ364" s="37"/>
      <c r="GMK364" s="38"/>
      <c r="GML364" s="38"/>
      <c r="GMM364" s="39"/>
      <c r="GMN364" s="34"/>
      <c r="GMO364" s="34"/>
      <c r="GMP364" s="34"/>
      <c r="GMQ364" s="35"/>
      <c r="GMR364" s="35"/>
      <c r="GMS364" s="35"/>
      <c r="GMT364" s="35"/>
      <c r="GMU364" s="35"/>
      <c r="GMV364" s="34"/>
      <c r="GMW364" s="34"/>
      <c r="GMX364" s="36"/>
      <c r="GMY364" s="36"/>
      <c r="GMZ364" s="37"/>
      <c r="GNA364" s="37"/>
      <c r="GNB364" s="38"/>
      <c r="GNC364" s="38"/>
      <c r="GND364" s="39"/>
      <c r="GNE364" s="34"/>
      <c r="GNF364" s="34"/>
      <c r="GNG364" s="34"/>
      <c r="GNH364" s="35"/>
      <c r="GNI364" s="35"/>
      <c r="GNJ364" s="35"/>
      <c r="GNK364" s="35"/>
      <c r="GNL364" s="35"/>
      <c r="GNM364" s="34"/>
      <c r="GNN364" s="34"/>
      <c r="GNO364" s="36"/>
      <c r="GNP364" s="36"/>
      <c r="GNQ364" s="37"/>
      <c r="GNR364" s="37"/>
      <c r="GNS364" s="38"/>
      <c r="GNT364" s="38"/>
      <c r="GNU364" s="39"/>
      <c r="GNV364" s="34"/>
      <c r="GNW364" s="34"/>
      <c r="GNX364" s="34"/>
      <c r="GNY364" s="35"/>
      <c r="GNZ364" s="35"/>
      <c r="GOA364" s="35"/>
      <c r="GOB364" s="35"/>
      <c r="GOC364" s="35"/>
      <c r="GOD364" s="34"/>
      <c r="GOE364" s="34"/>
      <c r="GOF364" s="36"/>
      <c r="GOG364" s="36"/>
      <c r="GOH364" s="37"/>
      <c r="GOI364" s="37"/>
      <c r="GOJ364" s="38"/>
      <c r="GOK364" s="38"/>
      <c r="GOL364" s="39"/>
      <c r="GOM364" s="34"/>
      <c r="GON364" s="34"/>
      <c r="GOO364" s="34"/>
      <c r="GOP364" s="35"/>
      <c r="GOQ364" s="35"/>
      <c r="GOR364" s="35"/>
      <c r="GOS364" s="35"/>
      <c r="GOT364" s="35"/>
      <c r="GOU364" s="34"/>
      <c r="GOV364" s="34"/>
      <c r="GOW364" s="36"/>
      <c r="GOX364" s="36"/>
      <c r="GOY364" s="37"/>
      <c r="GOZ364" s="37"/>
      <c r="GPA364" s="38"/>
      <c r="GPB364" s="38"/>
      <c r="GPC364" s="39"/>
      <c r="GPD364" s="34"/>
      <c r="GPE364" s="34"/>
      <c r="GPF364" s="34"/>
      <c r="GPG364" s="35"/>
      <c r="GPH364" s="35"/>
      <c r="GPI364" s="35"/>
      <c r="GPJ364" s="35"/>
      <c r="GPK364" s="35"/>
      <c r="GPL364" s="34"/>
      <c r="GPM364" s="34"/>
      <c r="GPN364" s="36"/>
      <c r="GPO364" s="36"/>
      <c r="GPP364" s="37"/>
      <c r="GPQ364" s="37"/>
      <c r="GPR364" s="38"/>
      <c r="GPS364" s="38"/>
      <c r="GPT364" s="39"/>
      <c r="GPU364" s="34"/>
      <c r="GPV364" s="34"/>
      <c r="GPW364" s="34"/>
      <c r="GPX364" s="35"/>
      <c r="GPY364" s="35"/>
      <c r="GPZ364" s="35"/>
      <c r="GQA364" s="35"/>
      <c r="GQB364" s="35"/>
      <c r="GQC364" s="34"/>
      <c r="GQD364" s="34"/>
      <c r="GQE364" s="36"/>
      <c r="GQF364" s="36"/>
      <c r="GQG364" s="37"/>
      <c r="GQH364" s="37"/>
      <c r="GQI364" s="38"/>
      <c r="GQJ364" s="38"/>
      <c r="GQK364" s="39"/>
      <c r="GQL364" s="34"/>
      <c r="GQM364" s="34"/>
      <c r="GQN364" s="34"/>
      <c r="GQO364" s="35"/>
      <c r="GQP364" s="35"/>
      <c r="GQQ364" s="35"/>
      <c r="GQR364" s="35"/>
      <c r="GQS364" s="35"/>
      <c r="GQT364" s="34"/>
      <c r="GQU364" s="34"/>
      <c r="GQV364" s="36"/>
      <c r="GQW364" s="36"/>
      <c r="GQX364" s="37"/>
      <c r="GQY364" s="37"/>
      <c r="GQZ364" s="38"/>
      <c r="GRA364" s="38"/>
      <c r="GRB364" s="39"/>
      <c r="GRC364" s="34"/>
      <c r="GRD364" s="34"/>
      <c r="GRE364" s="34"/>
      <c r="GRF364" s="35"/>
      <c r="GRG364" s="35"/>
      <c r="GRH364" s="35"/>
      <c r="GRI364" s="35"/>
      <c r="GRJ364" s="35"/>
      <c r="GRK364" s="34"/>
      <c r="GRL364" s="34"/>
      <c r="GRM364" s="36"/>
      <c r="GRN364" s="36"/>
      <c r="GRO364" s="37"/>
      <c r="GRP364" s="37"/>
      <c r="GRQ364" s="38"/>
      <c r="GRR364" s="38"/>
      <c r="GRS364" s="39"/>
      <c r="GRT364" s="34"/>
      <c r="GRU364" s="34"/>
      <c r="GRV364" s="34"/>
      <c r="GRW364" s="35"/>
      <c r="GRX364" s="35"/>
      <c r="GRY364" s="35"/>
      <c r="GRZ364" s="35"/>
      <c r="GSA364" s="35"/>
      <c r="GSB364" s="34"/>
      <c r="GSC364" s="34"/>
      <c r="GSD364" s="36"/>
      <c r="GSE364" s="36"/>
      <c r="GSF364" s="37"/>
      <c r="GSG364" s="37"/>
      <c r="GSH364" s="38"/>
      <c r="GSI364" s="38"/>
      <c r="GSJ364" s="39"/>
      <c r="GSK364" s="34"/>
      <c r="GSL364" s="34"/>
      <c r="GSM364" s="34"/>
      <c r="GSN364" s="35"/>
      <c r="GSO364" s="35"/>
      <c r="GSP364" s="35"/>
      <c r="GSQ364" s="35"/>
      <c r="GSR364" s="35"/>
      <c r="GSS364" s="34"/>
      <c r="GST364" s="34"/>
      <c r="GSU364" s="36"/>
      <c r="GSV364" s="36"/>
      <c r="GSW364" s="37"/>
      <c r="GSX364" s="37"/>
      <c r="GSY364" s="38"/>
      <c r="GSZ364" s="38"/>
      <c r="GTA364" s="39"/>
      <c r="GTB364" s="34"/>
      <c r="GTC364" s="34"/>
      <c r="GTD364" s="34"/>
      <c r="GTE364" s="35"/>
      <c r="GTF364" s="35"/>
      <c r="GTG364" s="35"/>
      <c r="GTH364" s="35"/>
      <c r="GTI364" s="35"/>
      <c r="GTJ364" s="34"/>
      <c r="GTK364" s="34"/>
      <c r="GTL364" s="36"/>
      <c r="GTM364" s="36"/>
      <c r="GTN364" s="37"/>
      <c r="GTO364" s="37"/>
      <c r="GTP364" s="38"/>
      <c r="GTQ364" s="38"/>
      <c r="GTR364" s="39"/>
      <c r="GTS364" s="34"/>
      <c r="GTT364" s="34"/>
      <c r="GTU364" s="34"/>
      <c r="GTV364" s="35"/>
      <c r="GTW364" s="35"/>
      <c r="GTX364" s="35"/>
      <c r="GTY364" s="35"/>
      <c r="GTZ364" s="35"/>
      <c r="GUA364" s="34"/>
      <c r="GUB364" s="34"/>
      <c r="GUC364" s="36"/>
      <c r="GUD364" s="36"/>
      <c r="GUE364" s="37"/>
      <c r="GUF364" s="37"/>
      <c r="GUG364" s="38"/>
      <c r="GUH364" s="38"/>
      <c r="GUI364" s="39"/>
      <c r="GUJ364" s="34"/>
      <c r="GUK364" s="34"/>
      <c r="GUL364" s="34"/>
      <c r="GUM364" s="35"/>
      <c r="GUN364" s="35"/>
      <c r="GUO364" s="35"/>
      <c r="GUP364" s="35"/>
      <c r="GUQ364" s="35"/>
      <c r="GUR364" s="34"/>
      <c r="GUS364" s="34"/>
      <c r="GUT364" s="36"/>
      <c r="GUU364" s="36"/>
      <c r="GUV364" s="37"/>
      <c r="GUW364" s="37"/>
      <c r="GUX364" s="38"/>
      <c r="GUY364" s="38"/>
      <c r="GUZ364" s="39"/>
      <c r="GVA364" s="34"/>
      <c r="GVB364" s="34"/>
      <c r="GVC364" s="34"/>
      <c r="GVD364" s="35"/>
      <c r="GVE364" s="35"/>
      <c r="GVF364" s="35"/>
      <c r="GVG364" s="35"/>
      <c r="GVH364" s="35"/>
      <c r="GVI364" s="34"/>
      <c r="GVJ364" s="34"/>
      <c r="GVK364" s="36"/>
      <c r="GVL364" s="36"/>
      <c r="GVM364" s="37"/>
      <c r="GVN364" s="37"/>
      <c r="GVO364" s="38"/>
      <c r="GVP364" s="38"/>
      <c r="GVQ364" s="39"/>
      <c r="GVR364" s="34"/>
      <c r="GVS364" s="34"/>
      <c r="GVT364" s="34"/>
      <c r="GVU364" s="35"/>
      <c r="GVV364" s="35"/>
      <c r="GVW364" s="35"/>
      <c r="GVX364" s="35"/>
      <c r="GVY364" s="35"/>
      <c r="GVZ364" s="34"/>
      <c r="GWA364" s="34"/>
      <c r="GWB364" s="36"/>
      <c r="GWC364" s="36"/>
      <c r="GWD364" s="37"/>
      <c r="GWE364" s="37"/>
      <c r="GWF364" s="38"/>
      <c r="GWG364" s="38"/>
      <c r="GWH364" s="39"/>
      <c r="GWI364" s="34"/>
      <c r="GWJ364" s="34"/>
      <c r="GWK364" s="34"/>
      <c r="GWL364" s="35"/>
      <c r="GWM364" s="35"/>
      <c r="GWN364" s="35"/>
      <c r="GWO364" s="35"/>
      <c r="GWP364" s="35"/>
      <c r="GWQ364" s="34"/>
      <c r="GWR364" s="34"/>
      <c r="GWS364" s="36"/>
      <c r="GWT364" s="36"/>
      <c r="GWU364" s="37"/>
      <c r="GWV364" s="37"/>
      <c r="GWW364" s="38"/>
      <c r="GWX364" s="38"/>
      <c r="GWY364" s="39"/>
      <c r="GWZ364" s="34"/>
      <c r="GXA364" s="34"/>
      <c r="GXB364" s="34"/>
      <c r="GXC364" s="35"/>
      <c r="GXD364" s="35"/>
      <c r="GXE364" s="35"/>
      <c r="GXF364" s="35"/>
      <c r="GXG364" s="35"/>
      <c r="GXH364" s="34"/>
      <c r="GXI364" s="34"/>
      <c r="GXJ364" s="36"/>
      <c r="GXK364" s="36"/>
      <c r="GXL364" s="37"/>
      <c r="GXM364" s="37"/>
      <c r="GXN364" s="38"/>
      <c r="GXO364" s="38"/>
      <c r="GXP364" s="39"/>
      <c r="GXQ364" s="34"/>
      <c r="GXR364" s="34"/>
      <c r="GXS364" s="34"/>
      <c r="GXT364" s="35"/>
      <c r="GXU364" s="35"/>
      <c r="GXV364" s="35"/>
      <c r="GXW364" s="35"/>
      <c r="GXX364" s="35"/>
      <c r="GXY364" s="34"/>
      <c r="GXZ364" s="34"/>
      <c r="GYA364" s="36"/>
      <c r="GYB364" s="36"/>
      <c r="GYC364" s="37"/>
      <c r="GYD364" s="37"/>
      <c r="GYE364" s="38"/>
      <c r="GYF364" s="38"/>
      <c r="GYG364" s="39"/>
      <c r="GYH364" s="34"/>
      <c r="GYI364" s="34"/>
      <c r="GYJ364" s="34"/>
      <c r="GYK364" s="35"/>
      <c r="GYL364" s="35"/>
      <c r="GYM364" s="35"/>
      <c r="GYN364" s="35"/>
      <c r="GYO364" s="35"/>
      <c r="GYP364" s="34"/>
      <c r="GYQ364" s="34"/>
      <c r="GYR364" s="36"/>
      <c r="GYS364" s="36"/>
      <c r="GYT364" s="37"/>
      <c r="GYU364" s="37"/>
      <c r="GYV364" s="38"/>
      <c r="GYW364" s="38"/>
      <c r="GYX364" s="39"/>
      <c r="GYY364" s="34"/>
      <c r="GYZ364" s="34"/>
      <c r="GZA364" s="34"/>
      <c r="GZB364" s="35"/>
      <c r="GZC364" s="35"/>
      <c r="GZD364" s="35"/>
      <c r="GZE364" s="35"/>
      <c r="GZF364" s="35"/>
      <c r="GZG364" s="34"/>
      <c r="GZH364" s="34"/>
      <c r="GZI364" s="36"/>
      <c r="GZJ364" s="36"/>
      <c r="GZK364" s="37"/>
      <c r="GZL364" s="37"/>
      <c r="GZM364" s="38"/>
      <c r="GZN364" s="38"/>
      <c r="GZO364" s="39"/>
      <c r="GZP364" s="34"/>
      <c r="GZQ364" s="34"/>
      <c r="GZR364" s="34"/>
      <c r="GZS364" s="35"/>
      <c r="GZT364" s="35"/>
      <c r="GZU364" s="35"/>
      <c r="GZV364" s="35"/>
      <c r="GZW364" s="35"/>
      <c r="GZX364" s="34"/>
      <c r="GZY364" s="34"/>
      <c r="GZZ364" s="36"/>
      <c r="HAA364" s="36"/>
      <c r="HAB364" s="37"/>
      <c r="HAC364" s="37"/>
      <c r="HAD364" s="38"/>
      <c r="HAE364" s="38"/>
      <c r="HAF364" s="39"/>
      <c r="HAG364" s="34"/>
      <c r="HAH364" s="34"/>
      <c r="HAI364" s="34"/>
      <c r="HAJ364" s="35"/>
      <c r="HAK364" s="35"/>
      <c r="HAL364" s="35"/>
      <c r="HAM364" s="35"/>
      <c r="HAN364" s="35"/>
      <c r="HAO364" s="34"/>
      <c r="HAP364" s="34"/>
      <c r="HAQ364" s="36"/>
      <c r="HAR364" s="36"/>
      <c r="HAS364" s="37"/>
      <c r="HAT364" s="37"/>
      <c r="HAU364" s="38"/>
      <c r="HAV364" s="38"/>
      <c r="HAW364" s="39"/>
      <c r="HAX364" s="34"/>
      <c r="HAY364" s="34"/>
      <c r="HAZ364" s="34"/>
      <c r="HBA364" s="35"/>
      <c r="HBB364" s="35"/>
      <c r="HBC364" s="35"/>
      <c r="HBD364" s="35"/>
      <c r="HBE364" s="35"/>
      <c r="HBF364" s="34"/>
      <c r="HBG364" s="34"/>
      <c r="HBH364" s="36"/>
      <c r="HBI364" s="36"/>
      <c r="HBJ364" s="37"/>
      <c r="HBK364" s="37"/>
      <c r="HBL364" s="38"/>
      <c r="HBM364" s="38"/>
      <c r="HBN364" s="39"/>
      <c r="HBO364" s="34"/>
      <c r="HBP364" s="34"/>
      <c r="HBQ364" s="34"/>
      <c r="HBR364" s="35"/>
      <c r="HBS364" s="35"/>
      <c r="HBT364" s="35"/>
      <c r="HBU364" s="35"/>
      <c r="HBV364" s="35"/>
      <c r="HBW364" s="34"/>
      <c r="HBX364" s="34"/>
      <c r="HBY364" s="36"/>
      <c r="HBZ364" s="36"/>
      <c r="HCA364" s="37"/>
      <c r="HCB364" s="37"/>
      <c r="HCC364" s="38"/>
      <c r="HCD364" s="38"/>
      <c r="HCE364" s="39"/>
      <c r="HCF364" s="34"/>
      <c r="HCG364" s="34"/>
      <c r="HCH364" s="34"/>
      <c r="HCI364" s="35"/>
      <c r="HCJ364" s="35"/>
      <c r="HCK364" s="35"/>
      <c r="HCL364" s="35"/>
      <c r="HCM364" s="35"/>
      <c r="HCN364" s="34"/>
      <c r="HCO364" s="34"/>
      <c r="HCP364" s="36"/>
      <c r="HCQ364" s="36"/>
      <c r="HCR364" s="37"/>
      <c r="HCS364" s="37"/>
      <c r="HCT364" s="38"/>
      <c r="HCU364" s="38"/>
      <c r="HCV364" s="39"/>
      <c r="HCW364" s="34"/>
      <c r="HCX364" s="34"/>
      <c r="HCY364" s="34"/>
      <c r="HCZ364" s="35"/>
      <c r="HDA364" s="35"/>
      <c r="HDB364" s="35"/>
      <c r="HDC364" s="35"/>
      <c r="HDD364" s="35"/>
      <c r="HDE364" s="34"/>
      <c r="HDF364" s="34"/>
      <c r="HDG364" s="36"/>
      <c r="HDH364" s="36"/>
      <c r="HDI364" s="37"/>
      <c r="HDJ364" s="37"/>
      <c r="HDK364" s="38"/>
      <c r="HDL364" s="38"/>
      <c r="HDM364" s="39"/>
      <c r="HDN364" s="34"/>
      <c r="HDO364" s="34"/>
      <c r="HDP364" s="34"/>
      <c r="HDQ364" s="35"/>
      <c r="HDR364" s="35"/>
      <c r="HDS364" s="35"/>
      <c r="HDT364" s="35"/>
      <c r="HDU364" s="35"/>
      <c r="HDV364" s="34"/>
      <c r="HDW364" s="34"/>
      <c r="HDX364" s="36"/>
      <c r="HDY364" s="36"/>
      <c r="HDZ364" s="37"/>
      <c r="HEA364" s="37"/>
      <c r="HEB364" s="38"/>
      <c r="HEC364" s="38"/>
      <c r="HED364" s="39"/>
      <c r="HEE364" s="34"/>
      <c r="HEF364" s="34"/>
      <c r="HEG364" s="34"/>
      <c r="HEH364" s="35"/>
      <c r="HEI364" s="35"/>
      <c r="HEJ364" s="35"/>
      <c r="HEK364" s="35"/>
      <c r="HEL364" s="35"/>
      <c r="HEM364" s="34"/>
      <c r="HEN364" s="34"/>
      <c r="HEO364" s="36"/>
      <c r="HEP364" s="36"/>
      <c r="HEQ364" s="37"/>
      <c r="HER364" s="37"/>
      <c r="HES364" s="38"/>
      <c r="HET364" s="38"/>
      <c r="HEU364" s="39"/>
      <c r="HEV364" s="34"/>
      <c r="HEW364" s="34"/>
      <c r="HEX364" s="34"/>
      <c r="HEY364" s="35"/>
      <c r="HEZ364" s="35"/>
      <c r="HFA364" s="35"/>
      <c r="HFB364" s="35"/>
      <c r="HFC364" s="35"/>
      <c r="HFD364" s="34"/>
      <c r="HFE364" s="34"/>
      <c r="HFF364" s="36"/>
      <c r="HFG364" s="36"/>
      <c r="HFH364" s="37"/>
      <c r="HFI364" s="37"/>
      <c r="HFJ364" s="38"/>
      <c r="HFK364" s="38"/>
      <c r="HFL364" s="39"/>
      <c r="HFM364" s="34"/>
      <c r="HFN364" s="34"/>
      <c r="HFO364" s="34"/>
      <c r="HFP364" s="35"/>
      <c r="HFQ364" s="35"/>
      <c r="HFR364" s="35"/>
      <c r="HFS364" s="35"/>
      <c r="HFT364" s="35"/>
      <c r="HFU364" s="34"/>
      <c r="HFV364" s="34"/>
      <c r="HFW364" s="36"/>
      <c r="HFX364" s="36"/>
      <c r="HFY364" s="37"/>
      <c r="HFZ364" s="37"/>
      <c r="HGA364" s="38"/>
      <c r="HGB364" s="38"/>
      <c r="HGC364" s="39"/>
      <c r="HGD364" s="34"/>
      <c r="HGE364" s="34"/>
      <c r="HGF364" s="34"/>
      <c r="HGG364" s="35"/>
      <c r="HGH364" s="35"/>
      <c r="HGI364" s="35"/>
      <c r="HGJ364" s="35"/>
      <c r="HGK364" s="35"/>
      <c r="HGL364" s="34"/>
      <c r="HGM364" s="34"/>
      <c r="HGN364" s="36"/>
      <c r="HGO364" s="36"/>
      <c r="HGP364" s="37"/>
      <c r="HGQ364" s="37"/>
      <c r="HGR364" s="38"/>
      <c r="HGS364" s="38"/>
      <c r="HGT364" s="39"/>
      <c r="HGU364" s="34"/>
      <c r="HGV364" s="34"/>
      <c r="HGW364" s="34"/>
      <c r="HGX364" s="35"/>
      <c r="HGY364" s="35"/>
      <c r="HGZ364" s="35"/>
      <c r="HHA364" s="35"/>
      <c r="HHB364" s="35"/>
      <c r="HHC364" s="34"/>
      <c r="HHD364" s="34"/>
      <c r="HHE364" s="36"/>
      <c r="HHF364" s="36"/>
      <c r="HHG364" s="37"/>
      <c r="HHH364" s="37"/>
      <c r="HHI364" s="38"/>
      <c r="HHJ364" s="38"/>
      <c r="HHK364" s="39"/>
      <c r="HHL364" s="34"/>
      <c r="HHM364" s="34"/>
      <c r="HHN364" s="34"/>
      <c r="HHO364" s="35"/>
      <c r="HHP364" s="35"/>
      <c r="HHQ364" s="35"/>
      <c r="HHR364" s="35"/>
      <c r="HHS364" s="35"/>
      <c r="HHT364" s="34"/>
      <c r="HHU364" s="34"/>
      <c r="HHV364" s="36"/>
      <c r="HHW364" s="36"/>
      <c r="HHX364" s="37"/>
      <c r="HHY364" s="37"/>
      <c r="HHZ364" s="38"/>
      <c r="HIA364" s="38"/>
      <c r="HIB364" s="39"/>
      <c r="HIC364" s="34"/>
      <c r="HID364" s="34"/>
      <c r="HIE364" s="34"/>
      <c r="HIF364" s="35"/>
      <c r="HIG364" s="35"/>
      <c r="HIH364" s="35"/>
      <c r="HII364" s="35"/>
      <c r="HIJ364" s="35"/>
      <c r="HIK364" s="34"/>
      <c r="HIL364" s="34"/>
      <c r="HIM364" s="36"/>
      <c r="HIN364" s="36"/>
      <c r="HIO364" s="37"/>
      <c r="HIP364" s="37"/>
      <c r="HIQ364" s="38"/>
      <c r="HIR364" s="38"/>
      <c r="HIS364" s="39"/>
      <c r="HIT364" s="34"/>
      <c r="HIU364" s="34"/>
      <c r="HIV364" s="34"/>
      <c r="HIW364" s="35"/>
      <c r="HIX364" s="35"/>
      <c r="HIY364" s="35"/>
      <c r="HIZ364" s="35"/>
      <c r="HJA364" s="35"/>
      <c r="HJB364" s="34"/>
      <c r="HJC364" s="34"/>
      <c r="HJD364" s="36"/>
      <c r="HJE364" s="36"/>
      <c r="HJF364" s="37"/>
      <c r="HJG364" s="37"/>
      <c r="HJH364" s="38"/>
      <c r="HJI364" s="38"/>
      <c r="HJJ364" s="39"/>
      <c r="HJK364" s="34"/>
      <c r="HJL364" s="34"/>
      <c r="HJM364" s="34"/>
      <c r="HJN364" s="35"/>
      <c r="HJO364" s="35"/>
      <c r="HJP364" s="35"/>
      <c r="HJQ364" s="35"/>
      <c r="HJR364" s="35"/>
      <c r="HJS364" s="34"/>
      <c r="HJT364" s="34"/>
      <c r="HJU364" s="36"/>
      <c r="HJV364" s="36"/>
      <c r="HJW364" s="37"/>
      <c r="HJX364" s="37"/>
      <c r="HJY364" s="38"/>
      <c r="HJZ364" s="38"/>
      <c r="HKA364" s="39"/>
      <c r="HKB364" s="34"/>
      <c r="HKC364" s="34"/>
      <c r="HKD364" s="34"/>
      <c r="HKE364" s="35"/>
      <c r="HKF364" s="35"/>
      <c r="HKG364" s="35"/>
      <c r="HKH364" s="35"/>
      <c r="HKI364" s="35"/>
      <c r="HKJ364" s="34"/>
      <c r="HKK364" s="34"/>
      <c r="HKL364" s="36"/>
      <c r="HKM364" s="36"/>
      <c r="HKN364" s="37"/>
      <c r="HKO364" s="37"/>
      <c r="HKP364" s="38"/>
      <c r="HKQ364" s="38"/>
      <c r="HKR364" s="39"/>
      <c r="HKS364" s="34"/>
      <c r="HKT364" s="34"/>
      <c r="HKU364" s="34"/>
      <c r="HKV364" s="35"/>
      <c r="HKW364" s="35"/>
      <c r="HKX364" s="35"/>
      <c r="HKY364" s="35"/>
      <c r="HKZ364" s="35"/>
      <c r="HLA364" s="34"/>
      <c r="HLB364" s="34"/>
      <c r="HLC364" s="36"/>
      <c r="HLD364" s="36"/>
      <c r="HLE364" s="37"/>
      <c r="HLF364" s="37"/>
      <c r="HLG364" s="38"/>
      <c r="HLH364" s="38"/>
      <c r="HLI364" s="39"/>
      <c r="HLJ364" s="34"/>
      <c r="HLK364" s="34"/>
      <c r="HLL364" s="34"/>
      <c r="HLM364" s="35"/>
      <c r="HLN364" s="35"/>
      <c r="HLO364" s="35"/>
      <c r="HLP364" s="35"/>
      <c r="HLQ364" s="35"/>
      <c r="HLR364" s="34"/>
      <c r="HLS364" s="34"/>
      <c r="HLT364" s="36"/>
      <c r="HLU364" s="36"/>
      <c r="HLV364" s="37"/>
      <c r="HLW364" s="37"/>
      <c r="HLX364" s="38"/>
      <c r="HLY364" s="38"/>
      <c r="HLZ364" s="39"/>
      <c r="HMA364" s="34"/>
      <c r="HMB364" s="34"/>
      <c r="HMC364" s="34"/>
      <c r="HMD364" s="35"/>
      <c r="HME364" s="35"/>
      <c r="HMF364" s="35"/>
      <c r="HMG364" s="35"/>
      <c r="HMH364" s="35"/>
      <c r="HMI364" s="34"/>
      <c r="HMJ364" s="34"/>
      <c r="HMK364" s="36"/>
      <c r="HML364" s="36"/>
      <c r="HMM364" s="37"/>
      <c r="HMN364" s="37"/>
      <c r="HMO364" s="38"/>
      <c r="HMP364" s="38"/>
      <c r="HMQ364" s="39"/>
      <c r="HMR364" s="34"/>
      <c r="HMS364" s="34"/>
      <c r="HMT364" s="34"/>
      <c r="HMU364" s="35"/>
      <c r="HMV364" s="35"/>
      <c r="HMW364" s="35"/>
      <c r="HMX364" s="35"/>
      <c r="HMY364" s="35"/>
      <c r="HMZ364" s="34"/>
      <c r="HNA364" s="34"/>
      <c r="HNB364" s="36"/>
      <c r="HNC364" s="36"/>
      <c r="HND364" s="37"/>
      <c r="HNE364" s="37"/>
      <c r="HNF364" s="38"/>
      <c r="HNG364" s="38"/>
      <c r="HNH364" s="39"/>
      <c r="HNI364" s="34"/>
      <c r="HNJ364" s="34"/>
      <c r="HNK364" s="34"/>
      <c r="HNL364" s="35"/>
      <c r="HNM364" s="35"/>
      <c r="HNN364" s="35"/>
      <c r="HNO364" s="35"/>
      <c r="HNP364" s="35"/>
      <c r="HNQ364" s="34"/>
      <c r="HNR364" s="34"/>
      <c r="HNS364" s="36"/>
      <c r="HNT364" s="36"/>
      <c r="HNU364" s="37"/>
      <c r="HNV364" s="37"/>
      <c r="HNW364" s="38"/>
      <c r="HNX364" s="38"/>
      <c r="HNY364" s="39"/>
      <c r="HNZ364" s="34"/>
      <c r="HOA364" s="34"/>
      <c r="HOB364" s="34"/>
      <c r="HOC364" s="35"/>
      <c r="HOD364" s="35"/>
      <c r="HOE364" s="35"/>
      <c r="HOF364" s="35"/>
      <c r="HOG364" s="35"/>
      <c r="HOH364" s="34"/>
      <c r="HOI364" s="34"/>
      <c r="HOJ364" s="36"/>
      <c r="HOK364" s="36"/>
      <c r="HOL364" s="37"/>
      <c r="HOM364" s="37"/>
      <c r="HON364" s="38"/>
      <c r="HOO364" s="38"/>
      <c r="HOP364" s="39"/>
      <c r="HOQ364" s="34"/>
      <c r="HOR364" s="34"/>
      <c r="HOS364" s="34"/>
      <c r="HOT364" s="35"/>
      <c r="HOU364" s="35"/>
      <c r="HOV364" s="35"/>
      <c r="HOW364" s="35"/>
      <c r="HOX364" s="35"/>
      <c r="HOY364" s="34"/>
      <c r="HOZ364" s="34"/>
      <c r="HPA364" s="36"/>
      <c r="HPB364" s="36"/>
      <c r="HPC364" s="37"/>
      <c r="HPD364" s="37"/>
      <c r="HPE364" s="38"/>
      <c r="HPF364" s="38"/>
      <c r="HPG364" s="39"/>
      <c r="HPH364" s="34"/>
      <c r="HPI364" s="34"/>
      <c r="HPJ364" s="34"/>
      <c r="HPK364" s="35"/>
      <c r="HPL364" s="35"/>
      <c r="HPM364" s="35"/>
      <c r="HPN364" s="35"/>
      <c r="HPO364" s="35"/>
      <c r="HPP364" s="34"/>
      <c r="HPQ364" s="34"/>
      <c r="HPR364" s="36"/>
      <c r="HPS364" s="36"/>
      <c r="HPT364" s="37"/>
      <c r="HPU364" s="37"/>
      <c r="HPV364" s="38"/>
      <c r="HPW364" s="38"/>
      <c r="HPX364" s="39"/>
      <c r="HPY364" s="34"/>
      <c r="HPZ364" s="34"/>
      <c r="HQA364" s="34"/>
      <c r="HQB364" s="35"/>
      <c r="HQC364" s="35"/>
      <c r="HQD364" s="35"/>
      <c r="HQE364" s="35"/>
      <c r="HQF364" s="35"/>
      <c r="HQG364" s="34"/>
      <c r="HQH364" s="34"/>
      <c r="HQI364" s="36"/>
      <c r="HQJ364" s="36"/>
      <c r="HQK364" s="37"/>
      <c r="HQL364" s="37"/>
      <c r="HQM364" s="38"/>
      <c r="HQN364" s="38"/>
      <c r="HQO364" s="39"/>
      <c r="HQP364" s="34"/>
      <c r="HQQ364" s="34"/>
      <c r="HQR364" s="34"/>
      <c r="HQS364" s="35"/>
      <c r="HQT364" s="35"/>
      <c r="HQU364" s="35"/>
      <c r="HQV364" s="35"/>
      <c r="HQW364" s="35"/>
      <c r="HQX364" s="34"/>
      <c r="HQY364" s="34"/>
      <c r="HQZ364" s="36"/>
      <c r="HRA364" s="36"/>
      <c r="HRB364" s="37"/>
      <c r="HRC364" s="37"/>
      <c r="HRD364" s="38"/>
      <c r="HRE364" s="38"/>
      <c r="HRF364" s="39"/>
      <c r="HRG364" s="34"/>
      <c r="HRH364" s="34"/>
      <c r="HRI364" s="34"/>
      <c r="HRJ364" s="35"/>
      <c r="HRK364" s="35"/>
      <c r="HRL364" s="35"/>
      <c r="HRM364" s="35"/>
      <c r="HRN364" s="35"/>
      <c r="HRO364" s="34"/>
      <c r="HRP364" s="34"/>
      <c r="HRQ364" s="36"/>
      <c r="HRR364" s="36"/>
      <c r="HRS364" s="37"/>
      <c r="HRT364" s="37"/>
      <c r="HRU364" s="38"/>
      <c r="HRV364" s="38"/>
      <c r="HRW364" s="39"/>
      <c r="HRX364" s="34"/>
      <c r="HRY364" s="34"/>
      <c r="HRZ364" s="34"/>
      <c r="HSA364" s="35"/>
      <c r="HSB364" s="35"/>
      <c r="HSC364" s="35"/>
      <c r="HSD364" s="35"/>
      <c r="HSE364" s="35"/>
      <c r="HSF364" s="34"/>
      <c r="HSG364" s="34"/>
      <c r="HSH364" s="36"/>
      <c r="HSI364" s="36"/>
      <c r="HSJ364" s="37"/>
      <c r="HSK364" s="37"/>
      <c r="HSL364" s="38"/>
      <c r="HSM364" s="38"/>
      <c r="HSN364" s="39"/>
      <c r="HSO364" s="34"/>
      <c r="HSP364" s="34"/>
      <c r="HSQ364" s="34"/>
      <c r="HSR364" s="35"/>
      <c r="HSS364" s="35"/>
      <c r="HST364" s="35"/>
      <c r="HSU364" s="35"/>
      <c r="HSV364" s="35"/>
      <c r="HSW364" s="34"/>
      <c r="HSX364" s="34"/>
      <c r="HSY364" s="36"/>
      <c r="HSZ364" s="36"/>
      <c r="HTA364" s="37"/>
      <c r="HTB364" s="37"/>
      <c r="HTC364" s="38"/>
      <c r="HTD364" s="38"/>
      <c r="HTE364" s="39"/>
      <c r="HTF364" s="34"/>
      <c r="HTG364" s="34"/>
      <c r="HTH364" s="34"/>
      <c r="HTI364" s="35"/>
      <c r="HTJ364" s="35"/>
      <c r="HTK364" s="35"/>
      <c r="HTL364" s="35"/>
      <c r="HTM364" s="35"/>
      <c r="HTN364" s="34"/>
      <c r="HTO364" s="34"/>
      <c r="HTP364" s="36"/>
      <c r="HTQ364" s="36"/>
      <c r="HTR364" s="37"/>
      <c r="HTS364" s="37"/>
      <c r="HTT364" s="38"/>
      <c r="HTU364" s="38"/>
      <c r="HTV364" s="39"/>
      <c r="HTW364" s="34"/>
      <c r="HTX364" s="34"/>
      <c r="HTY364" s="34"/>
      <c r="HTZ364" s="35"/>
      <c r="HUA364" s="35"/>
      <c r="HUB364" s="35"/>
      <c r="HUC364" s="35"/>
      <c r="HUD364" s="35"/>
      <c r="HUE364" s="34"/>
      <c r="HUF364" s="34"/>
      <c r="HUG364" s="36"/>
      <c r="HUH364" s="36"/>
      <c r="HUI364" s="37"/>
      <c r="HUJ364" s="37"/>
      <c r="HUK364" s="38"/>
      <c r="HUL364" s="38"/>
      <c r="HUM364" s="39"/>
      <c r="HUN364" s="34"/>
      <c r="HUO364" s="34"/>
      <c r="HUP364" s="34"/>
      <c r="HUQ364" s="35"/>
      <c r="HUR364" s="35"/>
      <c r="HUS364" s="35"/>
      <c r="HUT364" s="35"/>
      <c r="HUU364" s="35"/>
      <c r="HUV364" s="34"/>
      <c r="HUW364" s="34"/>
      <c r="HUX364" s="36"/>
      <c r="HUY364" s="36"/>
      <c r="HUZ364" s="37"/>
      <c r="HVA364" s="37"/>
      <c r="HVB364" s="38"/>
      <c r="HVC364" s="38"/>
      <c r="HVD364" s="39"/>
      <c r="HVE364" s="34"/>
      <c r="HVF364" s="34"/>
      <c r="HVG364" s="34"/>
      <c r="HVH364" s="35"/>
      <c r="HVI364" s="35"/>
      <c r="HVJ364" s="35"/>
      <c r="HVK364" s="35"/>
      <c r="HVL364" s="35"/>
      <c r="HVM364" s="34"/>
      <c r="HVN364" s="34"/>
      <c r="HVO364" s="36"/>
      <c r="HVP364" s="36"/>
      <c r="HVQ364" s="37"/>
      <c r="HVR364" s="37"/>
      <c r="HVS364" s="38"/>
      <c r="HVT364" s="38"/>
      <c r="HVU364" s="39"/>
      <c r="HVV364" s="34"/>
      <c r="HVW364" s="34"/>
      <c r="HVX364" s="34"/>
      <c r="HVY364" s="35"/>
      <c r="HVZ364" s="35"/>
      <c r="HWA364" s="35"/>
      <c r="HWB364" s="35"/>
      <c r="HWC364" s="35"/>
      <c r="HWD364" s="34"/>
      <c r="HWE364" s="34"/>
      <c r="HWF364" s="36"/>
      <c r="HWG364" s="36"/>
      <c r="HWH364" s="37"/>
      <c r="HWI364" s="37"/>
      <c r="HWJ364" s="38"/>
      <c r="HWK364" s="38"/>
      <c r="HWL364" s="39"/>
      <c r="HWM364" s="34"/>
      <c r="HWN364" s="34"/>
      <c r="HWO364" s="34"/>
      <c r="HWP364" s="35"/>
      <c r="HWQ364" s="35"/>
      <c r="HWR364" s="35"/>
      <c r="HWS364" s="35"/>
      <c r="HWT364" s="35"/>
      <c r="HWU364" s="34"/>
      <c r="HWV364" s="34"/>
      <c r="HWW364" s="36"/>
      <c r="HWX364" s="36"/>
      <c r="HWY364" s="37"/>
      <c r="HWZ364" s="37"/>
      <c r="HXA364" s="38"/>
      <c r="HXB364" s="38"/>
      <c r="HXC364" s="39"/>
      <c r="HXD364" s="34"/>
      <c r="HXE364" s="34"/>
      <c r="HXF364" s="34"/>
      <c r="HXG364" s="35"/>
      <c r="HXH364" s="35"/>
      <c r="HXI364" s="35"/>
      <c r="HXJ364" s="35"/>
      <c r="HXK364" s="35"/>
      <c r="HXL364" s="34"/>
      <c r="HXM364" s="34"/>
      <c r="HXN364" s="36"/>
      <c r="HXO364" s="36"/>
      <c r="HXP364" s="37"/>
      <c r="HXQ364" s="37"/>
      <c r="HXR364" s="38"/>
      <c r="HXS364" s="38"/>
      <c r="HXT364" s="39"/>
      <c r="HXU364" s="34"/>
      <c r="HXV364" s="34"/>
      <c r="HXW364" s="34"/>
      <c r="HXX364" s="35"/>
      <c r="HXY364" s="35"/>
      <c r="HXZ364" s="35"/>
      <c r="HYA364" s="35"/>
      <c r="HYB364" s="35"/>
      <c r="HYC364" s="34"/>
      <c r="HYD364" s="34"/>
      <c r="HYE364" s="36"/>
      <c r="HYF364" s="36"/>
      <c r="HYG364" s="37"/>
      <c r="HYH364" s="37"/>
      <c r="HYI364" s="38"/>
      <c r="HYJ364" s="38"/>
      <c r="HYK364" s="39"/>
      <c r="HYL364" s="34"/>
      <c r="HYM364" s="34"/>
      <c r="HYN364" s="34"/>
      <c r="HYO364" s="35"/>
      <c r="HYP364" s="35"/>
      <c r="HYQ364" s="35"/>
      <c r="HYR364" s="35"/>
      <c r="HYS364" s="35"/>
      <c r="HYT364" s="34"/>
      <c r="HYU364" s="34"/>
      <c r="HYV364" s="36"/>
      <c r="HYW364" s="36"/>
      <c r="HYX364" s="37"/>
      <c r="HYY364" s="37"/>
      <c r="HYZ364" s="38"/>
      <c r="HZA364" s="38"/>
      <c r="HZB364" s="39"/>
      <c r="HZC364" s="34"/>
      <c r="HZD364" s="34"/>
      <c r="HZE364" s="34"/>
      <c r="HZF364" s="35"/>
      <c r="HZG364" s="35"/>
      <c r="HZH364" s="35"/>
      <c r="HZI364" s="35"/>
      <c r="HZJ364" s="35"/>
      <c r="HZK364" s="34"/>
      <c r="HZL364" s="34"/>
      <c r="HZM364" s="36"/>
      <c r="HZN364" s="36"/>
      <c r="HZO364" s="37"/>
      <c r="HZP364" s="37"/>
      <c r="HZQ364" s="38"/>
      <c r="HZR364" s="38"/>
      <c r="HZS364" s="39"/>
      <c r="HZT364" s="34"/>
      <c r="HZU364" s="34"/>
      <c r="HZV364" s="34"/>
      <c r="HZW364" s="35"/>
      <c r="HZX364" s="35"/>
      <c r="HZY364" s="35"/>
      <c r="HZZ364" s="35"/>
      <c r="IAA364" s="35"/>
      <c r="IAB364" s="34"/>
      <c r="IAC364" s="34"/>
      <c r="IAD364" s="36"/>
      <c r="IAE364" s="36"/>
      <c r="IAF364" s="37"/>
      <c r="IAG364" s="37"/>
      <c r="IAH364" s="38"/>
      <c r="IAI364" s="38"/>
      <c r="IAJ364" s="39"/>
      <c r="IAK364" s="34"/>
      <c r="IAL364" s="34"/>
      <c r="IAM364" s="34"/>
      <c r="IAN364" s="35"/>
      <c r="IAO364" s="35"/>
      <c r="IAP364" s="35"/>
      <c r="IAQ364" s="35"/>
      <c r="IAR364" s="35"/>
      <c r="IAS364" s="34"/>
      <c r="IAT364" s="34"/>
      <c r="IAU364" s="36"/>
      <c r="IAV364" s="36"/>
      <c r="IAW364" s="37"/>
      <c r="IAX364" s="37"/>
      <c r="IAY364" s="38"/>
      <c r="IAZ364" s="38"/>
      <c r="IBA364" s="39"/>
      <c r="IBB364" s="34"/>
      <c r="IBC364" s="34"/>
      <c r="IBD364" s="34"/>
      <c r="IBE364" s="35"/>
      <c r="IBF364" s="35"/>
      <c r="IBG364" s="35"/>
      <c r="IBH364" s="35"/>
      <c r="IBI364" s="35"/>
      <c r="IBJ364" s="34"/>
      <c r="IBK364" s="34"/>
      <c r="IBL364" s="36"/>
      <c r="IBM364" s="36"/>
      <c r="IBN364" s="37"/>
      <c r="IBO364" s="37"/>
      <c r="IBP364" s="38"/>
      <c r="IBQ364" s="38"/>
      <c r="IBR364" s="39"/>
      <c r="IBS364" s="34"/>
      <c r="IBT364" s="34"/>
      <c r="IBU364" s="34"/>
      <c r="IBV364" s="35"/>
      <c r="IBW364" s="35"/>
      <c r="IBX364" s="35"/>
      <c r="IBY364" s="35"/>
      <c r="IBZ364" s="35"/>
      <c r="ICA364" s="34"/>
      <c r="ICB364" s="34"/>
      <c r="ICC364" s="36"/>
      <c r="ICD364" s="36"/>
      <c r="ICE364" s="37"/>
      <c r="ICF364" s="37"/>
      <c r="ICG364" s="38"/>
      <c r="ICH364" s="38"/>
      <c r="ICI364" s="39"/>
      <c r="ICJ364" s="34"/>
      <c r="ICK364" s="34"/>
      <c r="ICL364" s="34"/>
      <c r="ICM364" s="35"/>
      <c r="ICN364" s="35"/>
      <c r="ICO364" s="35"/>
      <c r="ICP364" s="35"/>
      <c r="ICQ364" s="35"/>
      <c r="ICR364" s="34"/>
      <c r="ICS364" s="34"/>
      <c r="ICT364" s="36"/>
      <c r="ICU364" s="36"/>
      <c r="ICV364" s="37"/>
      <c r="ICW364" s="37"/>
      <c r="ICX364" s="38"/>
      <c r="ICY364" s="38"/>
      <c r="ICZ364" s="39"/>
      <c r="IDA364" s="34"/>
      <c r="IDB364" s="34"/>
      <c r="IDC364" s="34"/>
      <c r="IDD364" s="35"/>
      <c r="IDE364" s="35"/>
      <c r="IDF364" s="35"/>
      <c r="IDG364" s="35"/>
      <c r="IDH364" s="35"/>
      <c r="IDI364" s="34"/>
      <c r="IDJ364" s="34"/>
      <c r="IDK364" s="36"/>
      <c r="IDL364" s="36"/>
      <c r="IDM364" s="37"/>
      <c r="IDN364" s="37"/>
      <c r="IDO364" s="38"/>
      <c r="IDP364" s="38"/>
      <c r="IDQ364" s="39"/>
      <c r="IDR364" s="34"/>
      <c r="IDS364" s="34"/>
      <c r="IDT364" s="34"/>
      <c r="IDU364" s="35"/>
      <c r="IDV364" s="35"/>
      <c r="IDW364" s="35"/>
      <c r="IDX364" s="35"/>
      <c r="IDY364" s="35"/>
      <c r="IDZ364" s="34"/>
      <c r="IEA364" s="34"/>
      <c r="IEB364" s="36"/>
      <c r="IEC364" s="36"/>
      <c r="IED364" s="37"/>
      <c r="IEE364" s="37"/>
      <c r="IEF364" s="38"/>
      <c r="IEG364" s="38"/>
      <c r="IEH364" s="39"/>
      <c r="IEI364" s="34"/>
      <c r="IEJ364" s="34"/>
      <c r="IEK364" s="34"/>
      <c r="IEL364" s="35"/>
      <c r="IEM364" s="35"/>
      <c r="IEN364" s="35"/>
      <c r="IEO364" s="35"/>
      <c r="IEP364" s="35"/>
      <c r="IEQ364" s="34"/>
      <c r="IER364" s="34"/>
      <c r="IES364" s="36"/>
      <c r="IET364" s="36"/>
      <c r="IEU364" s="37"/>
      <c r="IEV364" s="37"/>
      <c r="IEW364" s="38"/>
      <c r="IEX364" s="38"/>
      <c r="IEY364" s="39"/>
      <c r="IEZ364" s="34"/>
      <c r="IFA364" s="34"/>
      <c r="IFB364" s="34"/>
      <c r="IFC364" s="35"/>
      <c r="IFD364" s="35"/>
      <c r="IFE364" s="35"/>
      <c r="IFF364" s="35"/>
      <c r="IFG364" s="35"/>
      <c r="IFH364" s="34"/>
      <c r="IFI364" s="34"/>
      <c r="IFJ364" s="36"/>
      <c r="IFK364" s="36"/>
      <c r="IFL364" s="37"/>
      <c r="IFM364" s="37"/>
      <c r="IFN364" s="38"/>
      <c r="IFO364" s="38"/>
      <c r="IFP364" s="39"/>
      <c r="IFQ364" s="34"/>
      <c r="IFR364" s="34"/>
      <c r="IFS364" s="34"/>
      <c r="IFT364" s="35"/>
      <c r="IFU364" s="35"/>
      <c r="IFV364" s="35"/>
      <c r="IFW364" s="35"/>
      <c r="IFX364" s="35"/>
      <c r="IFY364" s="34"/>
      <c r="IFZ364" s="34"/>
      <c r="IGA364" s="36"/>
      <c r="IGB364" s="36"/>
      <c r="IGC364" s="37"/>
      <c r="IGD364" s="37"/>
      <c r="IGE364" s="38"/>
      <c r="IGF364" s="38"/>
      <c r="IGG364" s="39"/>
      <c r="IGH364" s="34"/>
      <c r="IGI364" s="34"/>
      <c r="IGJ364" s="34"/>
      <c r="IGK364" s="35"/>
      <c r="IGL364" s="35"/>
      <c r="IGM364" s="35"/>
      <c r="IGN364" s="35"/>
      <c r="IGO364" s="35"/>
      <c r="IGP364" s="34"/>
      <c r="IGQ364" s="34"/>
      <c r="IGR364" s="36"/>
      <c r="IGS364" s="36"/>
      <c r="IGT364" s="37"/>
      <c r="IGU364" s="37"/>
      <c r="IGV364" s="38"/>
      <c r="IGW364" s="38"/>
      <c r="IGX364" s="39"/>
      <c r="IGY364" s="34"/>
      <c r="IGZ364" s="34"/>
      <c r="IHA364" s="34"/>
      <c r="IHB364" s="35"/>
      <c r="IHC364" s="35"/>
      <c r="IHD364" s="35"/>
      <c r="IHE364" s="35"/>
      <c r="IHF364" s="35"/>
      <c r="IHG364" s="34"/>
      <c r="IHH364" s="34"/>
      <c r="IHI364" s="36"/>
      <c r="IHJ364" s="36"/>
      <c r="IHK364" s="37"/>
      <c r="IHL364" s="37"/>
      <c r="IHM364" s="38"/>
      <c r="IHN364" s="38"/>
      <c r="IHO364" s="39"/>
      <c r="IHP364" s="34"/>
      <c r="IHQ364" s="34"/>
      <c r="IHR364" s="34"/>
      <c r="IHS364" s="35"/>
      <c r="IHT364" s="35"/>
      <c r="IHU364" s="35"/>
      <c r="IHV364" s="35"/>
      <c r="IHW364" s="35"/>
      <c r="IHX364" s="34"/>
      <c r="IHY364" s="34"/>
      <c r="IHZ364" s="36"/>
      <c r="IIA364" s="36"/>
      <c r="IIB364" s="37"/>
      <c r="IIC364" s="37"/>
      <c r="IID364" s="38"/>
      <c r="IIE364" s="38"/>
      <c r="IIF364" s="39"/>
      <c r="IIG364" s="34"/>
      <c r="IIH364" s="34"/>
      <c r="III364" s="34"/>
      <c r="IIJ364" s="35"/>
      <c r="IIK364" s="35"/>
      <c r="IIL364" s="35"/>
      <c r="IIM364" s="35"/>
      <c r="IIN364" s="35"/>
      <c r="IIO364" s="34"/>
      <c r="IIP364" s="34"/>
      <c r="IIQ364" s="36"/>
      <c r="IIR364" s="36"/>
      <c r="IIS364" s="37"/>
      <c r="IIT364" s="37"/>
      <c r="IIU364" s="38"/>
      <c r="IIV364" s="38"/>
      <c r="IIW364" s="39"/>
      <c r="IIX364" s="34"/>
      <c r="IIY364" s="34"/>
      <c r="IIZ364" s="34"/>
      <c r="IJA364" s="35"/>
      <c r="IJB364" s="35"/>
      <c r="IJC364" s="35"/>
      <c r="IJD364" s="35"/>
      <c r="IJE364" s="35"/>
      <c r="IJF364" s="34"/>
      <c r="IJG364" s="34"/>
      <c r="IJH364" s="36"/>
      <c r="IJI364" s="36"/>
      <c r="IJJ364" s="37"/>
      <c r="IJK364" s="37"/>
      <c r="IJL364" s="38"/>
      <c r="IJM364" s="38"/>
      <c r="IJN364" s="39"/>
      <c r="IJO364" s="34"/>
      <c r="IJP364" s="34"/>
      <c r="IJQ364" s="34"/>
      <c r="IJR364" s="35"/>
      <c r="IJS364" s="35"/>
      <c r="IJT364" s="35"/>
      <c r="IJU364" s="35"/>
      <c r="IJV364" s="35"/>
      <c r="IJW364" s="34"/>
      <c r="IJX364" s="34"/>
      <c r="IJY364" s="36"/>
      <c r="IJZ364" s="36"/>
      <c r="IKA364" s="37"/>
      <c r="IKB364" s="37"/>
      <c r="IKC364" s="38"/>
      <c r="IKD364" s="38"/>
      <c r="IKE364" s="39"/>
      <c r="IKF364" s="34"/>
      <c r="IKG364" s="34"/>
      <c r="IKH364" s="34"/>
      <c r="IKI364" s="35"/>
      <c r="IKJ364" s="35"/>
      <c r="IKK364" s="35"/>
      <c r="IKL364" s="35"/>
      <c r="IKM364" s="35"/>
      <c r="IKN364" s="34"/>
      <c r="IKO364" s="34"/>
      <c r="IKP364" s="36"/>
      <c r="IKQ364" s="36"/>
      <c r="IKR364" s="37"/>
      <c r="IKS364" s="37"/>
      <c r="IKT364" s="38"/>
      <c r="IKU364" s="38"/>
      <c r="IKV364" s="39"/>
      <c r="IKW364" s="34"/>
      <c r="IKX364" s="34"/>
      <c r="IKY364" s="34"/>
      <c r="IKZ364" s="35"/>
      <c r="ILA364" s="35"/>
      <c r="ILB364" s="35"/>
      <c r="ILC364" s="35"/>
      <c r="ILD364" s="35"/>
      <c r="ILE364" s="34"/>
      <c r="ILF364" s="34"/>
      <c r="ILG364" s="36"/>
      <c r="ILH364" s="36"/>
      <c r="ILI364" s="37"/>
      <c r="ILJ364" s="37"/>
      <c r="ILK364" s="38"/>
      <c r="ILL364" s="38"/>
      <c r="ILM364" s="39"/>
      <c r="ILN364" s="34"/>
      <c r="ILO364" s="34"/>
      <c r="ILP364" s="34"/>
      <c r="ILQ364" s="35"/>
      <c r="ILR364" s="35"/>
      <c r="ILS364" s="35"/>
      <c r="ILT364" s="35"/>
      <c r="ILU364" s="35"/>
      <c r="ILV364" s="34"/>
      <c r="ILW364" s="34"/>
      <c r="ILX364" s="36"/>
      <c r="ILY364" s="36"/>
      <c r="ILZ364" s="37"/>
      <c r="IMA364" s="37"/>
      <c r="IMB364" s="38"/>
      <c r="IMC364" s="38"/>
      <c r="IMD364" s="39"/>
      <c r="IME364" s="34"/>
      <c r="IMF364" s="34"/>
      <c r="IMG364" s="34"/>
      <c r="IMH364" s="35"/>
      <c r="IMI364" s="35"/>
      <c r="IMJ364" s="35"/>
      <c r="IMK364" s="35"/>
      <c r="IML364" s="35"/>
      <c r="IMM364" s="34"/>
      <c r="IMN364" s="34"/>
      <c r="IMO364" s="36"/>
      <c r="IMP364" s="36"/>
      <c r="IMQ364" s="37"/>
      <c r="IMR364" s="37"/>
      <c r="IMS364" s="38"/>
      <c r="IMT364" s="38"/>
      <c r="IMU364" s="39"/>
      <c r="IMV364" s="34"/>
      <c r="IMW364" s="34"/>
      <c r="IMX364" s="34"/>
      <c r="IMY364" s="35"/>
      <c r="IMZ364" s="35"/>
      <c r="INA364" s="35"/>
      <c r="INB364" s="35"/>
      <c r="INC364" s="35"/>
      <c r="IND364" s="34"/>
      <c r="INE364" s="34"/>
      <c r="INF364" s="36"/>
      <c r="ING364" s="36"/>
      <c r="INH364" s="37"/>
      <c r="INI364" s="37"/>
      <c r="INJ364" s="38"/>
      <c r="INK364" s="38"/>
      <c r="INL364" s="39"/>
      <c r="INM364" s="34"/>
      <c r="INN364" s="34"/>
      <c r="INO364" s="34"/>
      <c r="INP364" s="35"/>
      <c r="INQ364" s="35"/>
      <c r="INR364" s="35"/>
      <c r="INS364" s="35"/>
      <c r="INT364" s="35"/>
      <c r="INU364" s="34"/>
      <c r="INV364" s="34"/>
      <c r="INW364" s="36"/>
      <c r="INX364" s="36"/>
      <c r="INY364" s="37"/>
      <c r="INZ364" s="37"/>
      <c r="IOA364" s="38"/>
      <c r="IOB364" s="38"/>
      <c r="IOC364" s="39"/>
      <c r="IOD364" s="34"/>
      <c r="IOE364" s="34"/>
      <c r="IOF364" s="34"/>
      <c r="IOG364" s="35"/>
      <c r="IOH364" s="35"/>
      <c r="IOI364" s="35"/>
      <c r="IOJ364" s="35"/>
      <c r="IOK364" s="35"/>
      <c r="IOL364" s="34"/>
      <c r="IOM364" s="34"/>
      <c r="ION364" s="36"/>
      <c r="IOO364" s="36"/>
      <c r="IOP364" s="37"/>
      <c r="IOQ364" s="37"/>
      <c r="IOR364" s="38"/>
      <c r="IOS364" s="38"/>
      <c r="IOT364" s="39"/>
      <c r="IOU364" s="34"/>
      <c r="IOV364" s="34"/>
      <c r="IOW364" s="34"/>
      <c r="IOX364" s="35"/>
      <c r="IOY364" s="35"/>
      <c r="IOZ364" s="35"/>
      <c r="IPA364" s="35"/>
      <c r="IPB364" s="35"/>
      <c r="IPC364" s="34"/>
      <c r="IPD364" s="34"/>
      <c r="IPE364" s="36"/>
      <c r="IPF364" s="36"/>
      <c r="IPG364" s="37"/>
      <c r="IPH364" s="37"/>
      <c r="IPI364" s="38"/>
      <c r="IPJ364" s="38"/>
      <c r="IPK364" s="39"/>
      <c r="IPL364" s="34"/>
      <c r="IPM364" s="34"/>
      <c r="IPN364" s="34"/>
      <c r="IPO364" s="35"/>
      <c r="IPP364" s="35"/>
      <c r="IPQ364" s="35"/>
      <c r="IPR364" s="35"/>
      <c r="IPS364" s="35"/>
      <c r="IPT364" s="34"/>
      <c r="IPU364" s="34"/>
      <c r="IPV364" s="36"/>
      <c r="IPW364" s="36"/>
      <c r="IPX364" s="37"/>
      <c r="IPY364" s="37"/>
      <c r="IPZ364" s="38"/>
      <c r="IQA364" s="38"/>
      <c r="IQB364" s="39"/>
      <c r="IQC364" s="34"/>
      <c r="IQD364" s="34"/>
      <c r="IQE364" s="34"/>
      <c r="IQF364" s="35"/>
      <c r="IQG364" s="35"/>
      <c r="IQH364" s="35"/>
      <c r="IQI364" s="35"/>
      <c r="IQJ364" s="35"/>
      <c r="IQK364" s="34"/>
      <c r="IQL364" s="34"/>
      <c r="IQM364" s="36"/>
      <c r="IQN364" s="36"/>
      <c r="IQO364" s="37"/>
      <c r="IQP364" s="37"/>
      <c r="IQQ364" s="38"/>
      <c r="IQR364" s="38"/>
      <c r="IQS364" s="39"/>
      <c r="IQT364" s="34"/>
      <c r="IQU364" s="34"/>
      <c r="IQV364" s="34"/>
      <c r="IQW364" s="35"/>
      <c r="IQX364" s="35"/>
      <c r="IQY364" s="35"/>
      <c r="IQZ364" s="35"/>
      <c r="IRA364" s="35"/>
      <c r="IRB364" s="34"/>
      <c r="IRC364" s="34"/>
      <c r="IRD364" s="36"/>
      <c r="IRE364" s="36"/>
      <c r="IRF364" s="37"/>
      <c r="IRG364" s="37"/>
      <c r="IRH364" s="38"/>
      <c r="IRI364" s="38"/>
      <c r="IRJ364" s="39"/>
      <c r="IRK364" s="34"/>
      <c r="IRL364" s="34"/>
      <c r="IRM364" s="34"/>
      <c r="IRN364" s="35"/>
      <c r="IRO364" s="35"/>
      <c r="IRP364" s="35"/>
      <c r="IRQ364" s="35"/>
      <c r="IRR364" s="35"/>
      <c r="IRS364" s="34"/>
      <c r="IRT364" s="34"/>
      <c r="IRU364" s="36"/>
      <c r="IRV364" s="36"/>
      <c r="IRW364" s="37"/>
      <c r="IRX364" s="37"/>
      <c r="IRY364" s="38"/>
      <c r="IRZ364" s="38"/>
      <c r="ISA364" s="39"/>
      <c r="ISB364" s="34"/>
      <c r="ISC364" s="34"/>
      <c r="ISD364" s="34"/>
      <c r="ISE364" s="35"/>
      <c r="ISF364" s="35"/>
      <c r="ISG364" s="35"/>
      <c r="ISH364" s="35"/>
      <c r="ISI364" s="35"/>
      <c r="ISJ364" s="34"/>
      <c r="ISK364" s="34"/>
      <c r="ISL364" s="36"/>
      <c r="ISM364" s="36"/>
      <c r="ISN364" s="37"/>
      <c r="ISO364" s="37"/>
      <c r="ISP364" s="38"/>
      <c r="ISQ364" s="38"/>
      <c r="ISR364" s="39"/>
      <c r="ISS364" s="34"/>
      <c r="IST364" s="34"/>
      <c r="ISU364" s="34"/>
      <c r="ISV364" s="35"/>
      <c r="ISW364" s="35"/>
      <c r="ISX364" s="35"/>
      <c r="ISY364" s="35"/>
      <c r="ISZ364" s="35"/>
      <c r="ITA364" s="34"/>
      <c r="ITB364" s="34"/>
      <c r="ITC364" s="36"/>
      <c r="ITD364" s="36"/>
      <c r="ITE364" s="37"/>
      <c r="ITF364" s="37"/>
      <c r="ITG364" s="38"/>
      <c r="ITH364" s="38"/>
      <c r="ITI364" s="39"/>
      <c r="ITJ364" s="34"/>
      <c r="ITK364" s="34"/>
      <c r="ITL364" s="34"/>
      <c r="ITM364" s="35"/>
      <c r="ITN364" s="35"/>
      <c r="ITO364" s="35"/>
      <c r="ITP364" s="35"/>
      <c r="ITQ364" s="35"/>
      <c r="ITR364" s="34"/>
      <c r="ITS364" s="34"/>
      <c r="ITT364" s="36"/>
      <c r="ITU364" s="36"/>
      <c r="ITV364" s="37"/>
      <c r="ITW364" s="37"/>
      <c r="ITX364" s="38"/>
      <c r="ITY364" s="38"/>
      <c r="ITZ364" s="39"/>
      <c r="IUA364" s="34"/>
      <c r="IUB364" s="34"/>
      <c r="IUC364" s="34"/>
      <c r="IUD364" s="35"/>
      <c r="IUE364" s="35"/>
      <c r="IUF364" s="35"/>
      <c r="IUG364" s="35"/>
      <c r="IUH364" s="35"/>
      <c r="IUI364" s="34"/>
      <c r="IUJ364" s="34"/>
      <c r="IUK364" s="36"/>
      <c r="IUL364" s="36"/>
      <c r="IUM364" s="37"/>
      <c r="IUN364" s="37"/>
      <c r="IUO364" s="38"/>
      <c r="IUP364" s="38"/>
      <c r="IUQ364" s="39"/>
      <c r="IUR364" s="34"/>
      <c r="IUS364" s="34"/>
      <c r="IUT364" s="34"/>
      <c r="IUU364" s="35"/>
      <c r="IUV364" s="35"/>
      <c r="IUW364" s="35"/>
      <c r="IUX364" s="35"/>
      <c r="IUY364" s="35"/>
      <c r="IUZ364" s="34"/>
      <c r="IVA364" s="34"/>
      <c r="IVB364" s="36"/>
      <c r="IVC364" s="36"/>
      <c r="IVD364" s="37"/>
      <c r="IVE364" s="37"/>
      <c r="IVF364" s="38"/>
      <c r="IVG364" s="38"/>
      <c r="IVH364" s="39"/>
      <c r="IVI364" s="34"/>
      <c r="IVJ364" s="34"/>
      <c r="IVK364" s="34"/>
      <c r="IVL364" s="35"/>
      <c r="IVM364" s="35"/>
      <c r="IVN364" s="35"/>
      <c r="IVO364" s="35"/>
      <c r="IVP364" s="35"/>
      <c r="IVQ364" s="34"/>
      <c r="IVR364" s="34"/>
      <c r="IVS364" s="36"/>
      <c r="IVT364" s="36"/>
      <c r="IVU364" s="37"/>
      <c r="IVV364" s="37"/>
      <c r="IVW364" s="38"/>
      <c r="IVX364" s="38"/>
      <c r="IVY364" s="39"/>
      <c r="IVZ364" s="34"/>
      <c r="IWA364" s="34"/>
      <c r="IWB364" s="34"/>
      <c r="IWC364" s="35"/>
      <c r="IWD364" s="35"/>
      <c r="IWE364" s="35"/>
      <c r="IWF364" s="35"/>
      <c r="IWG364" s="35"/>
      <c r="IWH364" s="34"/>
      <c r="IWI364" s="34"/>
      <c r="IWJ364" s="36"/>
      <c r="IWK364" s="36"/>
      <c r="IWL364" s="37"/>
      <c r="IWM364" s="37"/>
      <c r="IWN364" s="38"/>
      <c r="IWO364" s="38"/>
      <c r="IWP364" s="39"/>
      <c r="IWQ364" s="34"/>
      <c r="IWR364" s="34"/>
      <c r="IWS364" s="34"/>
      <c r="IWT364" s="35"/>
      <c r="IWU364" s="35"/>
      <c r="IWV364" s="35"/>
      <c r="IWW364" s="35"/>
      <c r="IWX364" s="35"/>
      <c r="IWY364" s="34"/>
      <c r="IWZ364" s="34"/>
      <c r="IXA364" s="36"/>
      <c r="IXB364" s="36"/>
      <c r="IXC364" s="37"/>
      <c r="IXD364" s="37"/>
      <c r="IXE364" s="38"/>
      <c r="IXF364" s="38"/>
      <c r="IXG364" s="39"/>
      <c r="IXH364" s="34"/>
      <c r="IXI364" s="34"/>
      <c r="IXJ364" s="34"/>
      <c r="IXK364" s="35"/>
      <c r="IXL364" s="35"/>
      <c r="IXM364" s="35"/>
      <c r="IXN364" s="35"/>
      <c r="IXO364" s="35"/>
      <c r="IXP364" s="34"/>
      <c r="IXQ364" s="34"/>
      <c r="IXR364" s="36"/>
      <c r="IXS364" s="36"/>
      <c r="IXT364" s="37"/>
      <c r="IXU364" s="37"/>
      <c r="IXV364" s="38"/>
      <c r="IXW364" s="38"/>
      <c r="IXX364" s="39"/>
      <c r="IXY364" s="34"/>
      <c r="IXZ364" s="34"/>
      <c r="IYA364" s="34"/>
      <c r="IYB364" s="35"/>
      <c r="IYC364" s="35"/>
      <c r="IYD364" s="35"/>
      <c r="IYE364" s="35"/>
      <c r="IYF364" s="35"/>
      <c r="IYG364" s="34"/>
      <c r="IYH364" s="34"/>
      <c r="IYI364" s="36"/>
      <c r="IYJ364" s="36"/>
      <c r="IYK364" s="37"/>
      <c r="IYL364" s="37"/>
      <c r="IYM364" s="38"/>
      <c r="IYN364" s="38"/>
      <c r="IYO364" s="39"/>
      <c r="IYP364" s="34"/>
      <c r="IYQ364" s="34"/>
      <c r="IYR364" s="34"/>
      <c r="IYS364" s="35"/>
      <c r="IYT364" s="35"/>
      <c r="IYU364" s="35"/>
      <c r="IYV364" s="35"/>
      <c r="IYW364" s="35"/>
      <c r="IYX364" s="34"/>
      <c r="IYY364" s="34"/>
      <c r="IYZ364" s="36"/>
      <c r="IZA364" s="36"/>
      <c r="IZB364" s="37"/>
      <c r="IZC364" s="37"/>
      <c r="IZD364" s="38"/>
      <c r="IZE364" s="38"/>
      <c r="IZF364" s="39"/>
      <c r="IZG364" s="34"/>
      <c r="IZH364" s="34"/>
      <c r="IZI364" s="34"/>
      <c r="IZJ364" s="35"/>
      <c r="IZK364" s="35"/>
      <c r="IZL364" s="35"/>
      <c r="IZM364" s="35"/>
      <c r="IZN364" s="35"/>
      <c r="IZO364" s="34"/>
      <c r="IZP364" s="34"/>
      <c r="IZQ364" s="36"/>
      <c r="IZR364" s="36"/>
      <c r="IZS364" s="37"/>
      <c r="IZT364" s="37"/>
      <c r="IZU364" s="38"/>
      <c r="IZV364" s="38"/>
      <c r="IZW364" s="39"/>
      <c r="IZX364" s="34"/>
      <c r="IZY364" s="34"/>
      <c r="IZZ364" s="34"/>
      <c r="JAA364" s="35"/>
      <c r="JAB364" s="35"/>
      <c r="JAC364" s="35"/>
      <c r="JAD364" s="35"/>
      <c r="JAE364" s="35"/>
      <c r="JAF364" s="34"/>
      <c r="JAG364" s="34"/>
      <c r="JAH364" s="36"/>
      <c r="JAI364" s="36"/>
      <c r="JAJ364" s="37"/>
      <c r="JAK364" s="37"/>
      <c r="JAL364" s="38"/>
      <c r="JAM364" s="38"/>
      <c r="JAN364" s="39"/>
      <c r="JAO364" s="34"/>
      <c r="JAP364" s="34"/>
      <c r="JAQ364" s="34"/>
      <c r="JAR364" s="35"/>
      <c r="JAS364" s="35"/>
      <c r="JAT364" s="35"/>
      <c r="JAU364" s="35"/>
      <c r="JAV364" s="35"/>
      <c r="JAW364" s="34"/>
      <c r="JAX364" s="34"/>
      <c r="JAY364" s="36"/>
      <c r="JAZ364" s="36"/>
      <c r="JBA364" s="37"/>
      <c r="JBB364" s="37"/>
      <c r="JBC364" s="38"/>
      <c r="JBD364" s="38"/>
      <c r="JBE364" s="39"/>
      <c r="JBF364" s="34"/>
      <c r="JBG364" s="34"/>
      <c r="JBH364" s="34"/>
      <c r="JBI364" s="35"/>
      <c r="JBJ364" s="35"/>
      <c r="JBK364" s="35"/>
      <c r="JBL364" s="35"/>
      <c r="JBM364" s="35"/>
      <c r="JBN364" s="34"/>
      <c r="JBO364" s="34"/>
      <c r="JBP364" s="36"/>
      <c r="JBQ364" s="36"/>
      <c r="JBR364" s="37"/>
      <c r="JBS364" s="37"/>
      <c r="JBT364" s="38"/>
      <c r="JBU364" s="38"/>
      <c r="JBV364" s="39"/>
      <c r="JBW364" s="34"/>
      <c r="JBX364" s="34"/>
      <c r="JBY364" s="34"/>
      <c r="JBZ364" s="35"/>
      <c r="JCA364" s="35"/>
      <c r="JCB364" s="35"/>
      <c r="JCC364" s="35"/>
      <c r="JCD364" s="35"/>
      <c r="JCE364" s="34"/>
      <c r="JCF364" s="34"/>
      <c r="JCG364" s="36"/>
      <c r="JCH364" s="36"/>
      <c r="JCI364" s="37"/>
      <c r="JCJ364" s="37"/>
      <c r="JCK364" s="38"/>
      <c r="JCL364" s="38"/>
      <c r="JCM364" s="39"/>
      <c r="JCN364" s="34"/>
      <c r="JCO364" s="34"/>
      <c r="JCP364" s="34"/>
      <c r="JCQ364" s="35"/>
      <c r="JCR364" s="35"/>
      <c r="JCS364" s="35"/>
      <c r="JCT364" s="35"/>
      <c r="JCU364" s="35"/>
      <c r="JCV364" s="34"/>
      <c r="JCW364" s="34"/>
      <c r="JCX364" s="36"/>
      <c r="JCY364" s="36"/>
      <c r="JCZ364" s="37"/>
      <c r="JDA364" s="37"/>
      <c r="JDB364" s="38"/>
      <c r="JDC364" s="38"/>
      <c r="JDD364" s="39"/>
      <c r="JDE364" s="34"/>
      <c r="JDF364" s="34"/>
      <c r="JDG364" s="34"/>
      <c r="JDH364" s="35"/>
      <c r="JDI364" s="35"/>
      <c r="JDJ364" s="35"/>
      <c r="JDK364" s="35"/>
      <c r="JDL364" s="35"/>
      <c r="JDM364" s="34"/>
      <c r="JDN364" s="34"/>
      <c r="JDO364" s="36"/>
      <c r="JDP364" s="36"/>
      <c r="JDQ364" s="37"/>
      <c r="JDR364" s="37"/>
      <c r="JDS364" s="38"/>
      <c r="JDT364" s="38"/>
      <c r="JDU364" s="39"/>
      <c r="JDV364" s="34"/>
      <c r="JDW364" s="34"/>
      <c r="JDX364" s="34"/>
      <c r="JDY364" s="35"/>
      <c r="JDZ364" s="35"/>
      <c r="JEA364" s="35"/>
      <c r="JEB364" s="35"/>
      <c r="JEC364" s="35"/>
      <c r="JED364" s="34"/>
      <c r="JEE364" s="34"/>
      <c r="JEF364" s="36"/>
      <c r="JEG364" s="36"/>
      <c r="JEH364" s="37"/>
      <c r="JEI364" s="37"/>
      <c r="JEJ364" s="38"/>
      <c r="JEK364" s="38"/>
      <c r="JEL364" s="39"/>
      <c r="JEM364" s="34"/>
      <c r="JEN364" s="34"/>
      <c r="JEO364" s="34"/>
      <c r="JEP364" s="35"/>
      <c r="JEQ364" s="35"/>
      <c r="JER364" s="35"/>
      <c r="JES364" s="35"/>
      <c r="JET364" s="35"/>
      <c r="JEU364" s="34"/>
      <c r="JEV364" s="34"/>
      <c r="JEW364" s="36"/>
      <c r="JEX364" s="36"/>
      <c r="JEY364" s="37"/>
      <c r="JEZ364" s="37"/>
      <c r="JFA364" s="38"/>
      <c r="JFB364" s="38"/>
      <c r="JFC364" s="39"/>
      <c r="JFD364" s="34"/>
      <c r="JFE364" s="34"/>
      <c r="JFF364" s="34"/>
      <c r="JFG364" s="35"/>
      <c r="JFH364" s="35"/>
      <c r="JFI364" s="35"/>
      <c r="JFJ364" s="35"/>
      <c r="JFK364" s="35"/>
      <c r="JFL364" s="34"/>
      <c r="JFM364" s="34"/>
      <c r="JFN364" s="36"/>
      <c r="JFO364" s="36"/>
      <c r="JFP364" s="37"/>
      <c r="JFQ364" s="37"/>
      <c r="JFR364" s="38"/>
      <c r="JFS364" s="38"/>
      <c r="JFT364" s="39"/>
      <c r="JFU364" s="34"/>
      <c r="JFV364" s="34"/>
      <c r="JFW364" s="34"/>
      <c r="JFX364" s="35"/>
      <c r="JFY364" s="35"/>
      <c r="JFZ364" s="35"/>
      <c r="JGA364" s="35"/>
      <c r="JGB364" s="35"/>
      <c r="JGC364" s="34"/>
      <c r="JGD364" s="34"/>
      <c r="JGE364" s="36"/>
      <c r="JGF364" s="36"/>
      <c r="JGG364" s="37"/>
      <c r="JGH364" s="37"/>
      <c r="JGI364" s="38"/>
      <c r="JGJ364" s="38"/>
      <c r="JGK364" s="39"/>
      <c r="JGL364" s="34"/>
      <c r="JGM364" s="34"/>
      <c r="JGN364" s="34"/>
      <c r="JGO364" s="35"/>
      <c r="JGP364" s="35"/>
      <c r="JGQ364" s="35"/>
      <c r="JGR364" s="35"/>
      <c r="JGS364" s="35"/>
      <c r="JGT364" s="34"/>
      <c r="JGU364" s="34"/>
      <c r="JGV364" s="36"/>
      <c r="JGW364" s="36"/>
      <c r="JGX364" s="37"/>
      <c r="JGY364" s="37"/>
      <c r="JGZ364" s="38"/>
      <c r="JHA364" s="38"/>
      <c r="JHB364" s="39"/>
      <c r="JHC364" s="34"/>
      <c r="JHD364" s="34"/>
      <c r="JHE364" s="34"/>
      <c r="JHF364" s="35"/>
      <c r="JHG364" s="35"/>
      <c r="JHH364" s="35"/>
      <c r="JHI364" s="35"/>
      <c r="JHJ364" s="35"/>
      <c r="JHK364" s="34"/>
      <c r="JHL364" s="34"/>
      <c r="JHM364" s="36"/>
      <c r="JHN364" s="36"/>
      <c r="JHO364" s="37"/>
      <c r="JHP364" s="37"/>
      <c r="JHQ364" s="38"/>
      <c r="JHR364" s="38"/>
      <c r="JHS364" s="39"/>
      <c r="JHT364" s="34"/>
      <c r="JHU364" s="34"/>
      <c r="JHV364" s="34"/>
      <c r="JHW364" s="35"/>
      <c r="JHX364" s="35"/>
      <c r="JHY364" s="35"/>
      <c r="JHZ364" s="35"/>
      <c r="JIA364" s="35"/>
      <c r="JIB364" s="34"/>
      <c r="JIC364" s="34"/>
      <c r="JID364" s="36"/>
      <c r="JIE364" s="36"/>
      <c r="JIF364" s="37"/>
      <c r="JIG364" s="37"/>
      <c r="JIH364" s="38"/>
      <c r="JII364" s="38"/>
      <c r="JIJ364" s="39"/>
      <c r="JIK364" s="34"/>
      <c r="JIL364" s="34"/>
      <c r="JIM364" s="34"/>
      <c r="JIN364" s="35"/>
      <c r="JIO364" s="35"/>
      <c r="JIP364" s="35"/>
      <c r="JIQ364" s="35"/>
      <c r="JIR364" s="35"/>
      <c r="JIS364" s="34"/>
      <c r="JIT364" s="34"/>
      <c r="JIU364" s="36"/>
      <c r="JIV364" s="36"/>
      <c r="JIW364" s="37"/>
      <c r="JIX364" s="37"/>
      <c r="JIY364" s="38"/>
      <c r="JIZ364" s="38"/>
      <c r="JJA364" s="39"/>
      <c r="JJB364" s="34"/>
      <c r="JJC364" s="34"/>
      <c r="JJD364" s="34"/>
      <c r="JJE364" s="35"/>
      <c r="JJF364" s="35"/>
      <c r="JJG364" s="35"/>
      <c r="JJH364" s="35"/>
      <c r="JJI364" s="35"/>
      <c r="JJJ364" s="34"/>
      <c r="JJK364" s="34"/>
      <c r="JJL364" s="36"/>
      <c r="JJM364" s="36"/>
      <c r="JJN364" s="37"/>
      <c r="JJO364" s="37"/>
      <c r="JJP364" s="38"/>
      <c r="JJQ364" s="38"/>
      <c r="JJR364" s="39"/>
      <c r="JJS364" s="34"/>
      <c r="JJT364" s="34"/>
      <c r="JJU364" s="34"/>
      <c r="JJV364" s="35"/>
      <c r="JJW364" s="35"/>
      <c r="JJX364" s="35"/>
      <c r="JJY364" s="35"/>
      <c r="JJZ364" s="35"/>
      <c r="JKA364" s="34"/>
      <c r="JKB364" s="34"/>
      <c r="JKC364" s="36"/>
      <c r="JKD364" s="36"/>
      <c r="JKE364" s="37"/>
      <c r="JKF364" s="37"/>
      <c r="JKG364" s="38"/>
      <c r="JKH364" s="38"/>
      <c r="JKI364" s="39"/>
      <c r="JKJ364" s="34"/>
      <c r="JKK364" s="34"/>
      <c r="JKL364" s="34"/>
      <c r="JKM364" s="35"/>
      <c r="JKN364" s="35"/>
      <c r="JKO364" s="35"/>
      <c r="JKP364" s="35"/>
      <c r="JKQ364" s="35"/>
      <c r="JKR364" s="34"/>
      <c r="JKS364" s="34"/>
      <c r="JKT364" s="36"/>
      <c r="JKU364" s="36"/>
      <c r="JKV364" s="37"/>
      <c r="JKW364" s="37"/>
      <c r="JKX364" s="38"/>
      <c r="JKY364" s="38"/>
      <c r="JKZ364" s="39"/>
      <c r="JLA364" s="34"/>
      <c r="JLB364" s="34"/>
      <c r="JLC364" s="34"/>
      <c r="JLD364" s="35"/>
      <c r="JLE364" s="35"/>
      <c r="JLF364" s="35"/>
      <c r="JLG364" s="35"/>
      <c r="JLH364" s="35"/>
      <c r="JLI364" s="34"/>
      <c r="JLJ364" s="34"/>
      <c r="JLK364" s="36"/>
      <c r="JLL364" s="36"/>
      <c r="JLM364" s="37"/>
      <c r="JLN364" s="37"/>
      <c r="JLO364" s="38"/>
      <c r="JLP364" s="38"/>
      <c r="JLQ364" s="39"/>
      <c r="JLR364" s="34"/>
      <c r="JLS364" s="34"/>
      <c r="JLT364" s="34"/>
      <c r="JLU364" s="35"/>
      <c r="JLV364" s="35"/>
      <c r="JLW364" s="35"/>
      <c r="JLX364" s="35"/>
      <c r="JLY364" s="35"/>
      <c r="JLZ364" s="34"/>
      <c r="JMA364" s="34"/>
      <c r="JMB364" s="36"/>
      <c r="JMC364" s="36"/>
      <c r="JMD364" s="37"/>
      <c r="JME364" s="37"/>
      <c r="JMF364" s="38"/>
      <c r="JMG364" s="38"/>
      <c r="JMH364" s="39"/>
      <c r="JMI364" s="34"/>
      <c r="JMJ364" s="34"/>
      <c r="JMK364" s="34"/>
      <c r="JML364" s="35"/>
      <c r="JMM364" s="35"/>
      <c r="JMN364" s="35"/>
      <c r="JMO364" s="35"/>
      <c r="JMP364" s="35"/>
      <c r="JMQ364" s="34"/>
      <c r="JMR364" s="34"/>
      <c r="JMS364" s="36"/>
      <c r="JMT364" s="36"/>
      <c r="JMU364" s="37"/>
      <c r="JMV364" s="37"/>
      <c r="JMW364" s="38"/>
      <c r="JMX364" s="38"/>
      <c r="JMY364" s="39"/>
      <c r="JMZ364" s="34"/>
      <c r="JNA364" s="34"/>
      <c r="JNB364" s="34"/>
      <c r="JNC364" s="35"/>
      <c r="JND364" s="35"/>
      <c r="JNE364" s="35"/>
      <c r="JNF364" s="35"/>
      <c r="JNG364" s="35"/>
      <c r="JNH364" s="34"/>
      <c r="JNI364" s="34"/>
      <c r="JNJ364" s="36"/>
      <c r="JNK364" s="36"/>
      <c r="JNL364" s="37"/>
      <c r="JNM364" s="37"/>
      <c r="JNN364" s="38"/>
      <c r="JNO364" s="38"/>
      <c r="JNP364" s="39"/>
      <c r="JNQ364" s="34"/>
      <c r="JNR364" s="34"/>
      <c r="JNS364" s="34"/>
      <c r="JNT364" s="35"/>
      <c r="JNU364" s="35"/>
      <c r="JNV364" s="35"/>
      <c r="JNW364" s="35"/>
      <c r="JNX364" s="35"/>
      <c r="JNY364" s="34"/>
      <c r="JNZ364" s="34"/>
      <c r="JOA364" s="36"/>
      <c r="JOB364" s="36"/>
      <c r="JOC364" s="37"/>
      <c r="JOD364" s="37"/>
      <c r="JOE364" s="38"/>
      <c r="JOF364" s="38"/>
      <c r="JOG364" s="39"/>
      <c r="JOH364" s="34"/>
      <c r="JOI364" s="34"/>
      <c r="JOJ364" s="34"/>
      <c r="JOK364" s="35"/>
      <c r="JOL364" s="35"/>
      <c r="JOM364" s="35"/>
      <c r="JON364" s="35"/>
      <c r="JOO364" s="35"/>
      <c r="JOP364" s="34"/>
      <c r="JOQ364" s="34"/>
      <c r="JOR364" s="36"/>
      <c r="JOS364" s="36"/>
      <c r="JOT364" s="37"/>
      <c r="JOU364" s="37"/>
      <c r="JOV364" s="38"/>
      <c r="JOW364" s="38"/>
      <c r="JOX364" s="39"/>
      <c r="JOY364" s="34"/>
      <c r="JOZ364" s="34"/>
      <c r="JPA364" s="34"/>
      <c r="JPB364" s="35"/>
      <c r="JPC364" s="35"/>
      <c r="JPD364" s="35"/>
      <c r="JPE364" s="35"/>
      <c r="JPF364" s="35"/>
      <c r="JPG364" s="34"/>
      <c r="JPH364" s="34"/>
      <c r="JPI364" s="36"/>
      <c r="JPJ364" s="36"/>
      <c r="JPK364" s="37"/>
      <c r="JPL364" s="37"/>
      <c r="JPM364" s="38"/>
      <c r="JPN364" s="38"/>
      <c r="JPO364" s="39"/>
      <c r="JPP364" s="34"/>
      <c r="JPQ364" s="34"/>
      <c r="JPR364" s="34"/>
      <c r="JPS364" s="35"/>
      <c r="JPT364" s="35"/>
      <c r="JPU364" s="35"/>
      <c r="JPV364" s="35"/>
      <c r="JPW364" s="35"/>
      <c r="JPX364" s="34"/>
      <c r="JPY364" s="34"/>
      <c r="JPZ364" s="36"/>
      <c r="JQA364" s="36"/>
      <c r="JQB364" s="37"/>
      <c r="JQC364" s="37"/>
      <c r="JQD364" s="38"/>
      <c r="JQE364" s="38"/>
      <c r="JQF364" s="39"/>
      <c r="JQG364" s="34"/>
      <c r="JQH364" s="34"/>
      <c r="JQI364" s="34"/>
      <c r="JQJ364" s="35"/>
      <c r="JQK364" s="35"/>
      <c r="JQL364" s="35"/>
      <c r="JQM364" s="35"/>
      <c r="JQN364" s="35"/>
      <c r="JQO364" s="34"/>
      <c r="JQP364" s="34"/>
      <c r="JQQ364" s="36"/>
      <c r="JQR364" s="36"/>
      <c r="JQS364" s="37"/>
      <c r="JQT364" s="37"/>
      <c r="JQU364" s="38"/>
      <c r="JQV364" s="38"/>
      <c r="JQW364" s="39"/>
      <c r="JQX364" s="34"/>
      <c r="JQY364" s="34"/>
      <c r="JQZ364" s="34"/>
      <c r="JRA364" s="35"/>
      <c r="JRB364" s="35"/>
      <c r="JRC364" s="35"/>
      <c r="JRD364" s="35"/>
      <c r="JRE364" s="35"/>
      <c r="JRF364" s="34"/>
      <c r="JRG364" s="34"/>
      <c r="JRH364" s="36"/>
      <c r="JRI364" s="36"/>
      <c r="JRJ364" s="37"/>
      <c r="JRK364" s="37"/>
      <c r="JRL364" s="38"/>
      <c r="JRM364" s="38"/>
      <c r="JRN364" s="39"/>
      <c r="JRO364" s="34"/>
      <c r="JRP364" s="34"/>
      <c r="JRQ364" s="34"/>
      <c r="JRR364" s="35"/>
      <c r="JRS364" s="35"/>
      <c r="JRT364" s="35"/>
      <c r="JRU364" s="35"/>
      <c r="JRV364" s="35"/>
      <c r="JRW364" s="34"/>
      <c r="JRX364" s="34"/>
      <c r="JRY364" s="36"/>
      <c r="JRZ364" s="36"/>
      <c r="JSA364" s="37"/>
      <c r="JSB364" s="37"/>
      <c r="JSC364" s="38"/>
      <c r="JSD364" s="38"/>
      <c r="JSE364" s="39"/>
      <c r="JSF364" s="34"/>
      <c r="JSG364" s="34"/>
      <c r="JSH364" s="34"/>
      <c r="JSI364" s="35"/>
      <c r="JSJ364" s="35"/>
      <c r="JSK364" s="35"/>
      <c r="JSL364" s="35"/>
      <c r="JSM364" s="35"/>
      <c r="JSN364" s="34"/>
      <c r="JSO364" s="34"/>
      <c r="JSP364" s="36"/>
      <c r="JSQ364" s="36"/>
      <c r="JSR364" s="37"/>
      <c r="JSS364" s="37"/>
      <c r="JST364" s="38"/>
      <c r="JSU364" s="38"/>
      <c r="JSV364" s="39"/>
      <c r="JSW364" s="34"/>
      <c r="JSX364" s="34"/>
      <c r="JSY364" s="34"/>
      <c r="JSZ364" s="35"/>
      <c r="JTA364" s="35"/>
      <c r="JTB364" s="35"/>
      <c r="JTC364" s="35"/>
      <c r="JTD364" s="35"/>
      <c r="JTE364" s="34"/>
      <c r="JTF364" s="34"/>
      <c r="JTG364" s="36"/>
      <c r="JTH364" s="36"/>
      <c r="JTI364" s="37"/>
      <c r="JTJ364" s="37"/>
      <c r="JTK364" s="38"/>
      <c r="JTL364" s="38"/>
      <c r="JTM364" s="39"/>
      <c r="JTN364" s="34"/>
      <c r="JTO364" s="34"/>
      <c r="JTP364" s="34"/>
      <c r="JTQ364" s="35"/>
      <c r="JTR364" s="35"/>
      <c r="JTS364" s="35"/>
      <c r="JTT364" s="35"/>
      <c r="JTU364" s="35"/>
      <c r="JTV364" s="34"/>
      <c r="JTW364" s="34"/>
      <c r="JTX364" s="36"/>
      <c r="JTY364" s="36"/>
      <c r="JTZ364" s="37"/>
      <c r="JUA364" s="37"/>
      <c r="JUB364" s="38"/>
      <c r="JUC364" s="38"/>
      <c r="JUD364" s="39"/>
      <c r="JUE364" s="34"/>
      <c r="JUF364" s="34"/>
      <c r="JUG364" s="34"/>
      <c r="JUH364" s="35"/>
      <c r="JUI364" s="35"/>
      <c r="JUJ364" s="35"/>
      <c r="JUK364" s="35"/>
      <c r="JUL364" s="35"/>
      <c r="JUM364" s="34"/>
      <c r="JUN364" s="34"/>
      <c r="JUO364" s="36"/>
      <c r="JUP364" s="36"/>
      <c r="JUQ364" s="37"/>
      <c r="JUR364" s="37"/>
      <c r="JUS364" s="38"/>
      <c r="JUT364" s="38"/>
      <c r="JUU364" s="39"/>
      <c r="JUV364" s="34"/>
      <c r="JUW364" s="34"/>
      <c r="JUX364" s="34"/>
      <c r="JUY364" s="35"/>
      <c r="JUZ364" s="35"/>
      <c r="JVA364" s="35"/>
      <c r="JVB364" s="35"/>
      <c r="JVC364" s="35"/>
      <c r="JVD364" s="34"/>
      <c r="JVE364" s="34"/>
      <c r="JVF364" s="36"/>
      <c r="JVG364" s="36"/>
      <c r="JVH364" s="37"/>
      <c r="JVI364" s="37"/>
      <c r="JVJ364" s="38"/>
      <c r="JVK364" s="38"/>
      <c r="JVL364" s="39"/>
      <c r="JVM364" s="34"/>
      <c r="JVN364" s="34"/>
      <c r="JVO364" s="34"/>
      <c r="JVP364" s="35"/>
      <c r="JVQ364" s="35"/>
      <c r="JVR364" s="35"/>
      <c r="JVS364" s="35"/>
      <c r="JVT364" s="35"/>
      <c r="JVU364" s="34"/>
      <c r="JVV364" s="34"/>
      <c r="JVW364" s="36"/>
      <c r="JVX364" s="36"/>
      <c r="JVY364" s="37"/>
      <c r="JVZ364" s="37"/>
      <c r="JWA364" s="38"/>
      <c r="JWB364" s="38"/>
      <c r="JWC364" s="39"/>
      <c r="JWD364" s="34"/>
      <c r="JWE364" s="34"/>
      <c r="JWF364" s="34"/>
      <c r="JWG364" s="35"/>
      <c r="JWH364" s="35"/>
      <c r="JWI364" s="35"/>
      <c r="JWJ364" s="35"/>
      <c r="JWK364" s="35"/>
      <c r="JWL364" s="34"/>
      <c r="JWM364" s="34"/>
      <c r="JWN364" s="36"/>
      <c r="JWO364" s="36"/>
      <c r="JWP364" s="37"/>
      <c r="JWQ364" s="37"/>
      <c r="JWR364" s="38"/>
      <c r="JWS364" s="38"/>
      <c r="JWT364" s="39"/>
      <c r="JWU364" s="34"/>
      <c r="JWV364" s="34"/>
      <c r="JWW364" s="34"/>
      <c r="JWX364" s="35"/>
      <c r="JWY364" s="35"/>
      <c r="JWZ364" s="35"/>
      <c r="JXA364" s="35"/>
      <c r="JXB364" s="35"/>
      <c r="JXC364" s="34"/>
      <c r="JXD364" s="34"/>
      <c r="JXE364" s="36"/>
      <c r="JXF364" s="36"/>
      <c r="JXG364" s="37"/>
      <c r="JXH364" s="37"/>
      <c r="JXI364" s="38"/>
      <c r="JXJ364" s="38"/>
      <c r="JXK364" s="39"/>
      <c r="JXL364" s="34"/>
      <c r="JXM364" s="34"/>
      <c r="JXN364" s="34"/>
      <c r="JXO364" s="35"/>
      <c r="JXP364" s="35"/>
      <c r="JXQ364" s="35"/>
      <c r="JXR364" s="35"/>
      <c r="JXS364" s="35"/>
      <c r="JXT364" s="34"/>
      <c r="JXU364" s="34"/>
      <c r="JXV364" s="36"/>
      <c r="JXW364" s="36"/>
      <c r="JXX364" s="37"/>
      <c r="JXY364" s="37"/>
      <c r="JXZ364" s="38"/>
      <c r="JYA364" s="38"/>
      <c r="JYB364" s="39"/>
      <c r="JYC364" s="34"/>
      <c r="JYD364" s="34"/>
      <c r="JYE364" s="34"/>
      <c r="JYF364" s="35"/>
      <c r="JYG364" s="35"/>
      <c r="JYH364" s="35"/>
      <c r="JYI364" s="35"/>
      <c r="JYJ364" s="35"/>
      <c r="JYK364" s="34"/>
      <c r="JYL364" s="34"/>
      <c r="JYM364" s="36"/>
      <c r="JYN364" s="36"/>
      <c r="JYO364" s="37"/>
      <c r="JYP364" s="37"/>
      <c r="JYQ364" s="38"/>
      <c r="JYR364" s="38"/>
      <c r="JYS364" s="39"/>
      <c r="JYT364" s="34"/>
      <c r="JYU364" s="34"/>
      <c r="JYV364" s="34"/>
      <c r="JYW364" s="35"/>
      <c r="JYX364" s="35"/>
      <c r="JYY364" s="35"/>
      <c r="JYZ364" s="35"/>
      <c r="JZA364" s="35"/>
      <c r="JZB364" s="34"/>
      <c r="JZC364" s="34"/>
      <c r="JZD364" s="36"/>
      <c r="JZE364" s="36"/>
      <c r="JZF364" s="37"/>
      <c r="JZG364" s="37"/>
      <c r="JZH364" s="38"/>
      <c r="JZI364" s="38"/>
      <c r="JZJ364" s="39"/>
      <c r="JZK364" s="34"/>
      <c r="JZL364" s="34"/>
      <c r="JZM364" s="34"/>
      <c r="JZN364" s="35"/>
      <c r="JZO364" s="35"/>
      <c r="JZP364" s="35"/>
      <c r="JZQ364" s="35"/>
      <c r="JZR364" s="35"/>
      <c r="JZS364" s="34"/>
      <c r="JZT364" s="34"/>
      <c r="JZU364" s="36"/>
      <c r="JZV364" s="36"/>
      <c r="JZW364" s="37"/>
      <c r="JZX364" s="37"/>
      <c r="JZY364" s="38"/>
      <c r="JZZ364" s="38"/>
      <c r="KAA364" s="39"/>
      <c r="KAB364" s="34"/>
      <c r="KAC364" s="34"/>
      <c r="KAD364" s="34"/>
      <c r="KAE364" s="35"/>
      <c r="KAF364" s="35"/>
      <c r="KAG364" s="35"/>
      <c r="KAH364" s="35"/>
      <c r="KAI364" s="35"/>
      <c r="KAJ364" s="34"/>
      <c r="KAK364" s="34"/>
      <c r="KAL364" s="36"/>
      <c r="KAM364" s="36"/>
      <c r="KAN364" s="37"/>
      <c r="KAO364" s="37"/>
      <c r="KAP364" s="38"/>
      <c r="KAQ364" s="38"/>
      <c r="KAR364" s="39"/>
      <c r="KAS364" s="34"/>
      <c r="KAT364" s="34"/>
      <c r="KAU364" s="34"/>
      <c r="KAV364" s="35"/>
      <c r="KAW364" s="35"/>
      <c r="KAX364" s="35"/>
      <c r="KAY364" s="35"/>
      <c r="KAZ364" s="35"/>
      <c r="KBA364" s="34"/>
      <c r="KBB364" s="34"/>
      <c r="KBC364" s="36"/>
      <c r="KBD364" s="36"/>
      <c r="KBE364" s="37"/>
      <c r="KBF364" s="37"/>
      <c r="KBG364" s="38"/>
      <c r="KBH364" s="38"/>
      <c r="KBI364" s="39"/>
      <c r="KBJ364" s="34"/>
      <c r="KBK364" s="34"/>
      <c r="KBL364" s="34"/>
      <c r="KBM364" s="35"/>
      <c r="KBN364" s="35"/>
      <c r="KBO364" s="35"/>
      <c r="KBP364" s="35"/>
      <c r="KBQ364" s="35"/>
      <c r="KBR364" s="34"/>
      <c r="KBS364" s="34"/>
      <c r="KBT364" s="36"/>
      <c r="KBU364" s="36"/>
      <c r="KBV364" s="37"/>
      <c r="KBW364" s="37"/>
      <c r="KBX364" s="38"/>
      <c r="KBY364" s="38"/>
      <c r="KBZ364" s="39"/>
      <c r="KCA364" s="34"/>
      <c r="KCB364" s="34"/>
      <c r="KCC364" s="34"/>
      <c r="KCD364" s="35"/>
      <c r="KCE364" s="35"/>
      <c r="KCF364" s="35"/>
      <c r="KCG364" s="35"/>
      <c r="KCH364" s="35"/>
      <c r="KCI364" s="34"/>
      <c r="KCJ364" s="34"/>
      <c r="KCK364" s="36"/>
      <c r="KCL364" s="36"/>
      <c r="KCM364" s="37"/>
      <c r="KCN364" s="37"/>
      <c r="KCO364" s="38"/>
      <c r="KCP364" s="38"/>
      <c r="KCQ364" s="39"/>
      <c r="KCR364" s="34"/>
      <c r="KCS364" s="34"/>
      <c r="KCT364" s="34"/>
      <c r="KCU364" s="35"/>
      <c r="KCV364" s="35"/>
      <c r="KCW364" s="35"/>
      <c r="KCX364" s="35"/>
      <c r="KCY364" s="35"/>
      <c r="KCZ364" s="34"/>
      <c r="KDA364" s="34"/>
      <c r="KDB364" s="36"/>
      <c r="KDC364" s="36"/>
      <c r="KDD364" s="37"/>
      <c r="KDE364" s="37"/>
      <c r="KDF364" s="38"/>
      <c r="KDG364" s="38"/>
      <c r="KDH364" s="39"/>
      <c r="KDI364" s="34"/>
      <c r="KDJ364" s="34"/>
      <c r="KDK364" s="34"/>
      <c r="KDL364" s="35"/>
      <c r="KDM364" s="35"/>
      <c r="KDN364" s="35"/>
      <c r="KDO364" s="35"/>
      <c r="KDP364" s="35"/>
      <c r="KDQ364" s="34"/>
      <c r="KDR364" s="34"/>
      <c r="KDS364" s="36"/>
      <c r="KDT364" s="36"/>
      <c r="KDU364" s="37"/>
      <c r="KDV364" s="37"/>
      <c r="KDW364" s="38"/>
      <c r="KDX364" s="38"/>
      <c r="KDY364" s="39"/>
      <c r="KDZ364" s="34"/>
      <c r="KEA364" s="34"/>
      <c r="KEB364" s="34"/>
      <c r="KEC364" s="35"/>
      <c r="KED364" s="35"/>
      <c r="KEE364" s="35"/>
      <c r="KEF364" s="35"/>
      <c r="KEG364" s="35"/>
      <c r="KEH364" s="34"/>
      <c r="KEI364" s="34"/>
      <c r="KEJ364" s="36"/>
      <c r="KEK364" s="36"/>
      <c r="KEL364" s="37"/>
      <c r="KEM364" s="37"/>
      <c r="KEN364" s="38"/>
      <c r="KEO364" s="38"/>
      <c r="KEP364" s="39"/>
      <c r="KEQ364" s="34"/>
      <c r="KER364" s="34"/>
      <c r="KES364" s="34"/>
      <c r="KET364" s="35"/>
      <c r="KEU364" s="35"/>
      <c r="KEV364" s="35"/>
      <c r="KEW364" s="35"/>
      <c r="KEX364" s="35"/>
      <c r="KEY364" s="34"/>
      <c r="KEZ364" s="34"/>
      <c r="KFA364" s="36"/>
      <c r="KFB364" s="36"/>
      <c r="KFC364" s="37"/>
      <c r="KFD364" s="37"/>
      <c r="KFE364" s="38"/>
      <c r="KFF364" s="38"/>
      <c r="KFG364" s="39"/>
      <c r="KFH364" s="34"/>
      <c r="KFI364" s="34"/>
      <c r="KFJ364" s="34"/>
      <c r="KFK364" s="35"/>
      <c r="KFL364" s="35"/>
      <c r="KFM364" s="35"/>
      <c r="KFN364" s="35"/>
      <c r="KFO364" s="35"/>
      <c r="KFP364" s="34"/>
      <c r="KFQ364" s="34"/>
      <c r="KFR364" s="36"/>
      <c r="KFS364" s="36"/>
      <c r="KFT364" s="37"/>
      <c r="KFU364" s="37"/>
      <c r="KFV364" s="38"/>
      <c r="KFW364" s="38"/>
      <c r="KFX364" s="39"/>
      <c r="KFY364" s="34"/>
      <c r="KFZ364" s="34"/>
      <c r="KGA364" s="34"/>
      <c r="KGB364" s="35"/>
      <c r="KGC364" s="35"/>
      <c r="KGD364" s="35"/>
      <c r="KGE364" s="35"/>
      <c r="KGF364" s="35"/>
      <c r="KGG364" s="34"/>
      <c r="KGH364" s="34"/>
      <c r="KGI364" s="36"/>
      <c r="KGJ364" s="36"/>
      <c r="KGK364" s="37"/>
      <c r="KGL364" s="37"/>
      <c r="KGM364" s="38"/>
      <c r="KGN364" s="38"/>
      <c r="KGO364" s="39"/>
      <c r="KGP364" s="34"/>
      <c r="KGQ364" s="34"/>
      <c r="KGR364" s="34"/>
      <c r="KGS364" s="35"/>
      <c r="KGT364" s="35"/>
      <c r="KGU364" s="35"/>
      <c r="KGV364" s="35"/>
      <c r="KGW364" s="35"/>
      <c r="KGX364" s="34"/>
      <c r="KGY364" s="34"/>
      <c r="KGZ364" s="36"/>
      <c r="KHA364" s="36"/>
      <c r="KHB364" s="37"/>
      <c r="KHC364" s="37"/>
      <c r="KHD364" s="38"/>
      <c r="KHE364" s="38"/>
      <c r="KHF364" s="39"/>
      <c r="KHG364" s="34"/>
      <c r="KHH364" s="34"/>
      <c r="KHI364" s="34"/>
      <c r="KHJ364" s="35"/>
      <c r="KHK364" s="35"/>
      <c r="KHL364" s="35"/>
      <c r="KHM364" s="35"/>
      <c r="KHN364" s="35"/>
      <c r="KHO364" s="34"/>
      <c r="KHP364" s="34"/>
      <c r="KHQ364" s="36"/>
      <c r="KHR364" s="36"/>
      <c r="KHS364" s="37"/>
      <c r="KHT364" s="37"/>
      <c r="KHU364" s="38"/>
      <c r="KHV364" s="38"/>
      <c r="KHW364" s="39"/>
      <c r="KHX364" s="34"/>
      <c r="KHY364" s="34"/>
      <c r="KHZ364" s="34"/>
      <c r="KIA364" s="35"/>
      <c r="KIB364" s="35"/>
      <c r="KIC364" s="35"/>
      <c r="KID364" s="35"/>
      <c r="KIE364" s="35"/>
      <c r="KIF364" s="34"/>
      <c r="KIG364" s="34"/>
      <c r="KIH364" s="36"/>
      <c r="KII364" s="36"/>
      <c r="KIJ364" s="37"/>
      <c r="KIK364" s="37"/>
      <c r="KIL364" s="38"/>
      <c r="KIM364" s="38"/>
      <c r="KIN364" s="39"/>
      <c r="KIO364" s="34"/>
      <c r="KIP364" s="34"/>
      <c r="KIQ364" s="34"/>
      <c r="KIR364" s="35"/>
      <c r="KIS364" s="35"/>
      <c r="KIT364" s="35"/>
      <c r="KIU364" s="35"/>
      <c r="KIV364" s="35"/>
      <c r="KIW364" s="34"/>
      <c r="KIX364" s="34"/>
      <c r="KIY364" s="36"/>
      <c r="KIZ364" s="36"/>
      <c r="KJA364" s="37"/>
      <c r="KJB364" s="37"/>
      <c r="KJC364" s="38"/>
      <c r="KJD364" s="38"/>
      <c r="KJE364" s="39"/>
      <c r="KJF364" s="34"/>
      <c r="KJG364" s="34"/>
      <c r="KJH364" s="34"/>
      <c r="KJI364" s="35"/>
      <c r="KJJ364" s="35"/>
      <c r="KJK364" s="35"/>
      <c r="KJL364" s="35"/>
      <c r="KJM364" s="35"/>
      <c r="KJN364" s="34"/>
      <c r="KJO364" s="34"/>
      <c r="KJP364" s="36"/>
      <c r="KJQ364" s="36"/>
      <c r="KJR364" s="37"/>
      <c r="KJS364" s="37"/>
      <c r="KJT364" s="38"/>
      <c r="KJU364" s="38"/>
      <c r="KJV364" s="39"/>
      <c r="KJW364" s="34"/>
      <c r="KJX364" s="34"/>
      <c r="KJY364" s="34"/>
      <c r="KJZ364" s="35"/>
      <c r="KKA364" s="35"/>
      <c r="KKB364" s="35"/>
      <c r="KKC364" s="35"/>
      <c r="KKD364" s="35"/>
      <c r="KKE364" s="34"/>
      <c r="KKF364" s="34"/>
      <c r="KKG364" s="36"/>
      <c r="KKH364" s="36"/>
      <c r="KKI364" s="37"/>
      <c r="KKJ364" s="37"/>
      <c r="KKK364" s="38"/>
      <c r="KKL364" s="38"/>
      <c r="KKM364" s="39"/>
      <c r="KKN364" s="34"/>
      <c r="KKO364" s="34"/>
      <c r="KKP364" s="34"/>
      <c r="KKQ364" s="35"/>
      <c r="KKR364" s="35"/>
      <c r="KKS364" s="35"/>
      <c r="KKT364" s="35"/>
      <c r="KKU364" s="35"/>
      <c r="KKV364" s="34"/>
      <c r="KKW364" s="34"/>
      <c r="KKX364" s="36"/>
      <c r="KKY364" s="36"/>
      <c r="KKZ364" s="37"/>
      <c r="KLA364" s="37"/>
      <c r="KLB364" s="38"/>
      <c r="KLC364" s="38"/>
      <c r="KLD364" s="39"/>
      <c r="KLE364" s="34"/>
      <c r="KLF364" s="34"/>
      <c r="KLG364" s="34"/>
      <c r="KLH364" s="35"/>
      <c r="KLI364" s="35"/>
      <c r="KLJ364" s="35"/>
      <c r="KLK364" s="35"/>
      <c r="KLL364" s="35"/>
      <c r="KLM364" s="34"/>
      <c r="KLN364" s="34"/>
      <c r="KLO364" s="36"/>
      <c r="KLP364" s="36"/>
      <c r="KLQ364" s="37"/>
      <c r="KLR364" s="37"/>
      <c r="KLS364" s="38"/>
      <c r="KLT364" s="38"/>
      <c r="KLU364" s="39"/>
      <c r="KLV364" s="34"/>
      <c r="KLW364" s="34"/>
      <c r="KLX364" s="34"/>
      <c r="KLY364" s="35"/>
      <c r="KLZ364" s="35"/>
      <c r="KMA364" s="35"/>
      <c r="KMB364" s="35"/>
      <c r="KMC364" s="35"/>
      <c r="KMD364" s="34"/>
      <c r="KME364" s="34"/>
      <c r="KMF364" s="36"/>
      <c r="KMG364" s="36"/>
      <c r="KMH364" s="37"/>
      <c r="KMI364" s="37"/>
      <c r="KMJ364" s="38"/>
      <c r="KMK364" s="38"/>
      <c r="KML364" s="39"/>
      <c r="KMM364" s="34"/>
      <c r="KMN364" s="34"/>
      <c r="KMO364" s="34"/>
      <c r="KMP364" s="35"/>
      <c r="KMQ364" s="35"/>
      <c r="KMR364" s="35"/>
      <c r="KMS364" s="35"/>
      <c r="KMT364" s="35"/>
      <c r="KMU364" s="34"/>
      <c r="KMV364" s="34"/>
      <c r="KMW364" s="36"/>
      <c r="KMX364" s="36"/>
      <c r="KMY364" s="37"/>
      <c r="KMZ364" s="37"/>
      <c r="KNA364" s="38"/>
      <c r="KNB364" s="38"/>
      <c r="KNC364" s="39"/>
      <c r="KND364" s="34"/>
      <c r="KNE364" s="34"/>
      <c r="KNF364" s="34"/>
      <c r="KNG364" s="35"/>
      <c r="KNH364" s="35"/>
      <c r="KNI364" s="35"/>
      <c r="KNJ364" s="35"/>
      <c r="KNK364" s="35"/>
      <c r="KNL364" s="34"/>
      <c r="KNM364" s="34"/>
      <c r="KNN364" s="36"/>
      <c r="KNO364" s="36"/>
      <c r="KNP364" s="37"/>
      <c r="KNQ364" s="37"/>
      <c r="KNR364" s="38"/>
      <c r="KNS364" s="38"/>
      <c r="KNT364" s="39"/>
      <c r="KNU364" s="34"/>
      <c r="KNV364" s="34"/>
      <c r="KNW364" s="34"/>
      <c r="KNX364" s="35"/>
      <c r="KNY364" s="35"/>
      <c r="KNZ364" s="35"/>
      <c r="KOA364" s="35"/>
      <c r="KOB364" s="35"/>
      <c r="KOC364" s="34"/>
      <c r="KOD364" s="34"/>
      <c r="KOE364" s="36"/>
      <c r="KOF364" s="36"/>
      <c r="KOG364" s="37"/>
      <c r="KOH364" s="37"/>
      <c r="KOI364" s="38"/>
      <c r="KOJ364" s="38"/>
      <c r="KOK364" s="39"/>
      <c r="KOL364" s="34"/>
      <c r="KOM364" s="34"/>
      <c r="KON364" s="34"/>
      <c r="KOO364" s="35"/>
      <c r="KOP364" s="35"/>
      <c r="KOQ364" s="35"/>
      <c r="KOR364" s="35"/>
      <c r="KOS364" s="35"/>
      <c r="KOT364" s="34"/>
      <c r="KOU364" s="34"/>
      <c r="KOV364" s="36"/>
      <c r="KOW364" s="36"/>
      <c r="KOX364" s="37"/>
      <c r="KOY364" s="37"/>
      <c r="KOZ364" s="38"/>
      <c r="KPA364" s="38"/>
      <c r="KPB364" s="39"/>
      <c r="KPC364" s="34"/>
      <c r="KPD364" s="34"/>
      <c r="KPE364" s="34"/>
      <c r="KPF364" s="35"/>
      <c r="KPG364" s="35"/>
      <c r="KPH364" s="35"/>
      <c r="KPI364" s="35"/>
      <c r="KPJ364" s="35"/>
      <c r="KPK364" s="34"/>
      <c r="KPL364" s="34"/>
      <c r="KPM364" s="36"/>
      <c r="KPN364" s="36"/>
      <c r="KPO364" s="37"/>
      <c r="KPP364" s="37"/>
      <c r="KPQ364" s="38"/>
      <c r="KPR364" s="38"/>
      <c r="KPS364" s="39"/>
      <c r="KPT364" s="34"/>
      <c r="KPU364" s="34"/>
      <c r="KPV364" s="34"/>
      <c r="KPW364" s="35"/>
      <c r="KPX364" s="35"/>
      <c r="KPY364" s="35"/>
      <c r="KPZ364" s="35"/>
      <c r="KQA364" s="35"/>
      <c r="KQB364" s="34"/>
      <c r="KQC364" s="34"/>
      <c r="KQD364" s="36"/>
      <c r="KQE364" s="36"/>
      <c r="KQF364" s="37"/>
      <c r="KQG364" s="37"/>
      <c r="KQH364" s="38"/>
      <c r="KQI364" s="38"/>
      <c r="KQJ364" s="39"/>
      <c r="KQK364" s="34"/>
      <c r="KQL364" s="34"/>
      <c r="KQM364" s="34"/>
      <c r="KQN364" s="35"/>
      <c r="KQO364" s="35"/>
      <c r="KQP364" s="35"/>
      <c r="KQQ364" s="35"/>
      <c r="KQR364" s="35"/>
      <c r="KQS364" s="34"/>
      <c r="KQT364" s="34"/>
      <c r="KQU364" s="36"/>
      <c r="KQV364" s="36"/>
      <c r="KQW364" s="37"/>
      <c r="KQX364" s="37"/>
      <c r="KQY364" s="38"/>
      <c r="KQZ364" s="38"/>
      <c r="KRA364" s="39"/>
      <c r="KRB364" s="34"/>
      <c r="KRC364" s="34"/>
      <c r="KRD364" s="34"/>
      <c r="KRE364" s="35"/>
      <c r="KRF364" s="35"/>
      <c r="KRG364" s="35"/>
      <c r="KRH364" s="35"/>
      <c r="KRI364" s="35"/>
      <c r="KRJ364" s="34"/>
      <c r="KRK364" s="34"/>
      <c r="KRL364" s="36"/>
      <c r="KRM364" s="36"/>
      <c r="KRN364" s="37"/>
      <c r="KRO364" s="37"/>
      <c r="KRP364" s="38"/>
      <c r="KRQ364" s="38"/>
      <c r="KRR364" s="39"/>
      <c r="KRS364" s="34"/>
      <c r="KRT364" s="34"/>
      <c r="KRU364" s="34"/>
      <c r="KRV364" s="35"/>
      <c r="KRW364" s="35"/>
      <c r="KRX364" s="35"/>
      <c r="KRY364" s="35"/>
      <c r="KRZ364" s="35"/>
      <c r="KSA364" s="34"/>
      <c r="KSB364" s="34"/>
      <c r="KSC364" s="36"/>
      <c r="KSD364" s="36"/>
      <c r="KSE364" s="37"/>
      <c r="KSF364" s="37"/>
      <c r="KSG364" s="38"/>
      <c r="KSH364" s="38"/>
      <c r="KSI364" s="39"/>
      <c r="KSJ364" s="34"/>
      <c r="KSK364" s="34"/>
      <c r="KSL364" s="34"/>
      <c r="KSM364" s="35"/>
      <c r="KSN364" s="35"/>
      <c r="KSO364" s="35"/>
      <c r="KSP364" s="35"/>
      <c r="KSQ364" s="35"/>
      <c r="KSR364" s="34"/>
      <c r="KSS364" s="34"/>
      <c r="KST364" s="36"/>
      <c r="KSU364" s="36"/>
      <c r="KSV364" s="37"/>
      <c r="KSW364" s="37"/>
      <c r="KSX364" s="38"/>
      <c r="KSY364" s="38"/>
      <c r="KSZ364" s="39"/>
      <c r="KTA364" s="34"/>
      <c r="KTB364" s="34"/>
      <c r="KTC364" s="34"/>
      <c r="KTD364" s="35"/>
      <c r="KTE364" s="35"/>
      <c r="KTF364" s="35"/>
      <c r="KTG364" s="35"/>
      <c r="KTH364" s="35"/>
      <c r="KTI364" s="34"/>
      <c r="KTJ364" s="34"/>
      <c r="KTK364" s="36"/>
      <c r="KTL364" s="36"/>
      <c r="KTM364" s="37"/>
      <c r="KTN364" s="37"/>
      <c r="KTO364" s="38"/>
      <c r="KTP364" s="38"/>
      <c r="KTQ364" s="39"/>
      <c r="KTR364" s="34"/>
      <c r="KTS364" s="34"/>
      <c r="KTT364" s="34"/>
      <c r="KTU364" s="35"/>
      <c r="KTV364" s="35"/>
      <c r="KTW364" s="35"/>
      <c r="KTX364" s="35"/>
      <c r="KTY364" s="35"/>
      <c r="KTZ364" s="34"/>
      <c r="KUA364" s="34"/>
      <c r="KUB364" s="36"/>
      <c r="KUC364" s="36"/>
      <c r="KUD364" s="37"/>
      <c r="KUE364" s="37"/>
      <c r="KUF364" s="38"/>
      <c r="KUG364" s="38"/>
      <c r="KUH364" s="39"/>
      <c r="KUI364" s="34"/>
      <c r="KUJ364" s="34"/>
      <c r="KUK364" s="34"/>
      <c r="KUL364" s="35"/>
      <c r="KUM364" s="35"/>
      <c r="KUN364" s="35"/>
      <c r="KUO364" s="35"/>
      <c r="KUP364" s="35"/>
      <c r="KUQ364" s="34"/>
      <c r="KUR364" s="34"/>
      <c r="KUS364" s="36"/>
      <c r="KUT364" s="36"/>
      <c r="KUU364" s="37"/>
      <c r="KUV364" s="37"/>
      <c r="KUW364" s="38"/>
      <c r="KUX364" s="38"/>
      <c r="KUY364" s="39"/>
      <c r="KUZ364" s="34"/>
      <c r="KVA364" s="34"/>
      <c r="KVB364" s="34"/>
      <c r="KVC364" s="35"/>
      <c r="KVD364" s="35"/>
      <c r="KVE364" s="35"/>
      <c r="KVF364" s="35"/>
      <c r="KVG364" s="35"/>
      <c r="KVH364" s="34"/>
      <c r="KVI364" s="34"/>
      <c r="KVJ364" s="36"/>
      <c r="KVK364" s="36"/>
      <c r="KVL364" s="37"/>
      <c r="KVM364" s="37"/>
      <c r="KVN364" s="38"/>
      <c r="KVO364" s="38"/>
      <c r="KVP364" s="39"/>
      <c r="KVQ364" s="34"/>
      <c r="KVR364" s="34"/>
      <c r="KVS364" s="34"/>
      <c r="KVT364" s="35"/>
      <c r="KVU364" s="35"/>
      <c r="KVV364" s="35"/>
      <c r="KVW364" s="35"/>
      <c r="KVX364" s="35"/>
      <c r="KVY364" s="34"/>
      <c r="KVZ364" s="34"/>
      <c r="KWA364" s="36"/>
      <c r="KWB364" s="36"/>
      <c r="KWC364" s="37"/>
      <c r="KWD364" s="37"/>
      <c r="KWE364" s="38"/>
      <c r="KWF364" s="38"/>
      <c r="KWG364" s="39"/>
      <c r="KWH364" s="34"/>
      <c r="KWI364" s="34"/>
      <c r="KWJ364" s="34"/>
      <c r="KWK364" s="35"/>
      <c r="KWL364" s="35"/>
      <c r="KWM364" s="35"/>
      <c r="KWN364" s="35"/>
      <c r="KWO364" s="35"/>
      <c r="KWP364" s="34"/>
      <c r="KWQ364" s="34"/>
      <c r="KWR364" s="36"/>
      <c r="KWS364" s="36"/>
      <c r="KWT364" s="37"/>
      <c r="KWU364" s="37"/>
      <c r="KWV364" s="38"/>
      <c r="KWW364" s="38"/>
      <c r="KWX364" s="39"/>
      <c r="KWY364" s="34"/>
      <c r="KWZ364" s="34"/>
      <c r="KXA364" s="34"/>
      <c r="KXB364" s="35"/>
      <c r="KXC364" s="35"/>
      <c r="KXD364" s="35"/>
      <c r="KXE364" s="35"/>
      <c r="KXF364" s="35"/>
      <c r="KXG364" s="34"/>
      <c r="KXH364" s="34"/>
      <c r="KXI364" s="36"/>
      <c r="KXJ364" s="36"/>
      <c r="KXK364" s="37"/>
      <c r="KXL364" s="37"/>
      <c r="KXM364" s="38"/>
      <c r="KXN364" s="38"/>
      <c r="KXO364" s="39"/>
      <c r="KXP364" s="34"/>
      <c r="KXQ364" s="34"/>
      <c r="KXR364" s="34"/>
      <c r="KXS364" s="35"/>
      <c r="KXT364" s="35"/>
      <c r="KXU364" s="35"/>
      <c r="KXV364" s="35"/>
      <c r="KXW364" s="35"/>
      <c r="KXX364" s="34"/>
      <c r="KXY364" s="34"/>
      <c r="KXZ364" s="36"/>
      <c r="KYA364" s="36"/>
      <c r="KYB364" s="37"/>
      <c r="KYC364" s="37"/>
      <c r="KYD364" s="38"/>
      <c r="KYE364" s="38"/>
      <c r="KYF364" s="39"/>
      <c r="KYG364" s="34"/>
      <c r="KYH364" s="34"/>
      <c r="KYI364" s="34"/>
      <c r="KYJ364" s="35"/>
      <c r="KYK364" s="35"/>
      <c r="KYL364" s="35"/>
      <c r="KYM364" s="35"/>
      <c r="KYN364" s="35"/>
      <c r="KYO364" s="34"/>
      <c r="KYP364" s="34"/>
      <c r="KYQ364" s="36"/>
      <c r="KYR364" s="36"/>
      <c r="KYS364" s="37"/>
      <c r="KYT364" s="37"/>
      <c r="KYU364" s="38"/>
      <c r="KYV364" s="38"/>
      <c r="KYW364" s="39"/>
      <c r="KYX364" s="34"/>
      <c r="KYY364" s="34"/>
      <c r="KYZ364" s="34"/>
      <c r="KZA364" s="35"/>
      <c r="KZB364" s="35"/>
      <c r="KZC364" s="35"/>
      <c r="KZD364" s="35"/>
      <c r="KZE364" s="35"/>
      <c r="KZF364" s="34"/>
      <c r="KZG364" s="34"/>
      <c r="KZH364" s="36"/>
      <c r="KZI364" s="36"/>
      <c r="KZJ364" s="37"/>
      <c r="KZK364" s="37"/>
      <c r="KZL364" s="38"/>
      <c r="KZM364" s="38"/>
      <c r="KZN364" s="39"/>
      <c r="KZO364" s="34"/>
      <c r="KZP364" s="34"/>
      <c r="KZQ364" s="34"/>
      <c r="KZR364" s="35"/>
      <c r="KZS364" s="35"/>
      <c r="KZT364" s="35"/>
      <c r="KZU364" s="35"/>
      <c r="KZV364" s="35"/>
      <c r="KZW364" s="34"/>
      <c r="KZX364" s="34"/>
      <c r="KZY364" s="36"/>
      <c r="KZZ364" s="36"/>
      <c r="LAA364" s="37"/>
      <c r="LAB364" s="37"/>
      <c r="LAC364" s="38"/>
      <c r="LAD364" s="38"/>
      <c r="LAE364" s="39"/>
      <c r="LAF364" s="34"/>
      <c r="LAG364" s="34"/>
      <c r="LAH364" s="34"/>
      <c r="LAI364" s="35"/>
      <c r="LAJ364" s="35"/>
      <c r="LAK364" s="35"/>
      <c r="LAL364" s="35"/>
      <c r="LAM364" s="35"/>
      <c r="LAN364" s="34"/>
      <c r="LAO364" s="34"/>
      <c r="LAP364" s="36"/>
      <c r="LAQ364" s="36"/>
      <c r="LAR364" s="37"/>
      <c r="LAS364" s="37"/>
      <c r="LAT364" s="38"/>
      <c r="LAU364" s="38"/>
      <c r="LAV364" s="39"/>
      <c r="LAW364" s="34"/>
      <c r="LAX364" s="34"/>
      <c r="LAY364" s="34"/>
      <c r="LAZ364" s="35"/>
      <c r="LBA364" s="35"/>
      <c r="LBB364" s="35"/>
      <c r="LBC364" s="35"/>
      <c r="LBD364" s="35"/>
      <c r="LBE364" s="34"/>
      <c r="LBF364" s="34"/>
      <c r="LBG364" s="36"/>
      <c r="LBH364" s="36"/>
      <c r="LBI364" s="37"/>
      <c r="LBJ364" s="37"/>
      <c r="LBK364" s="38"/>
      <c r="LBL364" s="38"/>
      <c r="LBM364" s="39"/>
      <c r="LBN364" s="34"/>
      <c r="LBO364" s="34"/>
      <c r="LBP364" s="34"/>
      <c r="LBQ364" s="35"/>
      <c r="LBR364" s="35"/>
      <c r="LBS364" s="35"/>
      <c r="LBT364" s="35"/>
      <c r="LBU364" s="35"/>
      <c r="LBV364" s="34"/>
      <c r="LBW364" s="34"/>
      <c r="LBX364" s="36"/>
      <c r="LBY364" s="36"/>
      <c r="LBZ364" s="37"/>
      <c r="LCA364" s="37"/>
      <c r="LCB364" s="38"/>
      <c r="LCC364" s="38"/>
      <c r="LCD364" s="39"/>
      <c r="LCE364" s="34"/>
      <c r="LCF364" s="34"/>
      <c r="LCG364" s="34"/>
      <c r="LCH364" s="35"/>
      <c r="LCI364" s="35"/>
      <c r="LCJ364" s="35"/>
      <c r="LCK364" s="35"/>
      <c r="LCL364" s="35"/>
      <c r="LCM364" s="34"/>
      <c r="LCN364" s="34"/>
      <c r="LCO364" s="36"/>
      <c r="LCP364" s="36"/>
      <c r="LCQ364" s="37"/>
      <c r="LCR364" s="37"/>
      <c r="LCS364" s="38"/>
      <c r="LCT364" s="38"/>
      <c r="LCU364" s="39"/>
      <c r="LCV364" s="34"/>
      <c r="LCW364" s="34"/>
      <c r="LCX364" s="34"/>
      <c r="LCY364" s="35"/>
      <c r="LCZ364" s="35"/>
      <c r="LDA364" s="35"/>
      <c r="LDB364" s="35"/>
      <c r="LDC364" s="35"/>
      <c r="LDD364" s="34"/>
      <c r="LDE364" s="34"/>
      <c r="LDF364" s="36"/>
      <c r="LDG364" s="36"/>
      <c r="LDH364" s="37"/>
      <c r="LDI364" s="37"/>
      <c r="LDJ364" s="38"/>
      <c r="LDK364" s="38"/>
      <c r="LDL364" s="39"/>
      <c r="LDM364" s="34"/>
      <c r="LDN364" s="34"/>
      <c r="LDO364" s="34"/>
      <c r="LDP364" s="35"/>
      <c r="LDQ364" s="35"/>
      <c r="LDR364" s="35"/>
      <c r="LDS364" s="35"/>
      <c r="LDT364" s="35"/>
      <c r="LDU364" s="34"/>
      <c r="LDV364" s="34"/>
      <c r="LDW364" s="36"/>
      <c r="LDX364" s="36"/>
      <c r="LDY364" s="37"/>
      <c r="LDZ364" s="37"/>
      <c r="LEA364" s="38"/>
      <c r="LEB364" s="38"/>
      <c r="LEC364" s="39"/>
      <c r="LED364" s="34"/>
      <c r="LEE364" s="34"/>
      <c r="LEF364" s="34"/>
      <c r="LEG364" s="35"/>
      <c r="LEH364" s="35"/>
      <c r="LEI364" s="35"/>
      <c r="LEJ364" s="35"/>
      <c r="LEK364" s="35"/>
      <c r="LEL364" s="34"/>
      <c r="LEM364" s="34"/>
      <c r="LEN364" s="36"/>
      <c r="LEO364" s="36"/>
      <c r="LEP364" s="37"/>
      <c r="LEQ364" s="37"/>
      <c r="LER364" s="38"/>
      <c r="LES364" s="38"/>
      <c r="LET364" s="39"/>
      <c r="LEU364" s="34"/>
      <c r="LEV364" s="34"/>
      <c r="LEW364" s="34"/>
      <c r="LEX364" s="35"/>
      <c r="LEY364" s="35"/>
      <c r="LEZ364" s="35"/>
      <c r="LFA364" s="35"/>
      <c r="LFB364" s="35"/>
      <c r="LFC364" s="34"/>
      <c r="LFD364" s="34"/>
      <c r="LFE364" s="36"/>
      <c r="LFF364" s="36"/>
      <c r="LFG364" s="37"/>
      <c r="LFH364" s="37"/>
      <c r="LFI364" s="38"/>
      <c r="LFJ364" s="38"/>
      <c r="LFK364" s="39"/>
      <c r="LFL364" s="34"/>
      <c r="LFM364" s="34"/>
      <c r="LFN364" s="34"/>
      <c r="LFO364" s="35"/>
      <c r="LFP364" s="35"/>
      <c r="LFQ364" s="35"/>
      <c r="LFR364" s="35"/>
      <c r="LFS364" s="35"/>
      <c r="LFT364" s="34"/>
      <c r="LFU364" s="34"/>
      <c r="LFV364" s="36"/>
      <c r="LFW364" s="36"/>
      <c r="LFX364" s="37"/>
      <c r="LFY364" s="37"/>
      <c r="LFZ364" s="38"/>
      <c r="LGA364" s="38"/>
      <c r="LGB364" s="39"/>
      <c r="LGC364" s="34"/>
      <c r="LGD364" s="34"/>
      <c r="LGE364" s="34"/>
      <c r="LGF364" s="35"/>
      <c r="LGG364" s="35"/>
      <c r="LGH364" s="35"/>
      <c r="LGI364" s="35"/>
      <c r="LGJ364" s="35"/>
      <c r="LGK364" s="34"/>
      <c r="LGL364" s="34"/>
      <c r="LGM364" s="36"/>
      <c r="LGN364" s="36"/>
      <c r="LGO364" s="37"/>
      <c r="LGP364" s="37"/>
      <c r="LGQ364" s="38"/>
      <c r="LGR364" s="38"/>
      <c r="LGS364" s="39"/>
      <c r="LGT364" s="34"/>
      <c r="LGU364" s="34"/>
      <c r="LGV364" s="34"/>
      <c r="LGW364" s="35"/>
      <c r="LGX364" s="35"/>
      <c r="LGY364" s="35"/>
      <c r="LGZ364" s="35"/>
      <c r="LHA364" s="35"/>
      <c r="LHB364" s="34"/>
      <c r="LHC364" s="34"/>
      <c r="LHD364" s="36"/>
      <c r="LHE364" s="36"/>
      <c r="LHF364" s="37"/>
      <c r="LHG364" s="37"/>
      <c r="LHH364" s="38"/>
      <c r="LHI364" s="38"/>
      <c r="LHJ364" s="39"/>
      <c r="LHK364" s="34"/>
      <c r="LHL364" s="34"/>
      <c r="LHM364" s="34"/>
      <c r="LHN364" s="35"/>
      <c r="LHO364" s="35"/>
      <c r="LHP364" s="35"/>
      <c r="LHQ364" s="35"/>
      <c r="LHR364" s="35"/>
      <c r="LHS364" s="34"/>
      <c r="LHT364" s="34"/>
      <c r="LHU364" s="36"/>
      <c r="LHV364" s="36"/>
      <c r="LHW364" s="37"/>
      <c r="LHX364" s="37"/>
      <c r="LHY364" s="38"/>
      <c r="LHZ364" s="38"/>
      <c r="LIA364" s="39"/>
      <c r="LIB364" s="34"/>
      <c r="LIC364" s="34"/>
      <c r="LID364" s="34"/>
      <c r="LIE364" s="35"/>
      <c r="LIF364" s="35"/>
      <c r="LIG364" s="35"/>
      <c r="LIH364" s="35"/>
      <c r="LII364" s="35"/>
      <c r="LIJ364" s="34"/>
      <c r="LIK364" s="34"/>
      <c r="LIL364" s="36"/>
      <c r="LIM364" s="36"/>
      <c r="LIN364" s="37"/>
      <c r="LIO364" s="37"/>
      <c r="LIP364" s="38"/>
      <c r="LIQ364" s="38"/>
      <c r="LIR364" s="39"/>
      <c r="LIS364" s="34"/>
      <c r="LIT364" s="34"/>
      <c r="LIU364" s="34"/>
      <c r="LIV364" s="35"/>
      <c r="LIW364" s="35"/>
      <c r="LIX364" s="35"/>
      <c r="LIY364" s="35"/>
      <c r="LIZ364" s="35"/>
      <c r="LJA364" s="34"/>
      <c r="LJB364" s="34"/>
      <c r="LJC364" s="36"/>
      <c r="LJD364" s="36"/>
      <c r="LJE364" s="37"/>
      <c r="LJF364" s="37"/>
      <c r="LJG364" s="38"/>
      <c r="LJH364" s="38"/>
      <c r="LJI364" s="39"/>
      <c r="LJJ364" s="34"/>
      <c r="LJK364" s="34"/>
      <c r="LJL364" s="34"/>
      <c r="LJM364" s="35"/>
      <c r="LJN364" s="35"/>
      <c r="LJO364" s="35"/>
      <c r="LJP364" s="35"/>
      <c r="LJQ364" s="35"/>
      <c r="LJR364" s="34"/>
      <c r="LJS364" s="34"/>
      <c r="LJT364" s="36"/>
      <c r="LJU364" s="36"/>
      <c r="LJV364" s="37"/>
      <c r="LJW364" s="37"/>
      <c r="LJX364" s="38"/>
      <c r="LJY364" s="38"/>
      <c r="LJZ364" s="39"/>
      <c r="LKA364" s="34"/>
      <c r="LKB364" s="34"/>
      <c r="LKC364" s="34"/>
      <c r="LKD364" s="35"/>
      <c r="LKE364" s="35"/>
      <c r="LKF364" s="35"/>
      <c r="LKG364" s="35"/>
      <c r="LKH364" s="35"/>
      <c r="LKI364" s="34"/>
      <c r="LKJ364" s="34"/>
      <c r="LKK364" s="36"/>
      <c r="LKL364" s="36"/>
      <c r="LKM364" s="37"/>
      <c r="LKN364" s="37"/>
      <c r="LKO364" s="38"/>
      <c r="LKP364" s="38"/>
      <c r="LKQ364" s="39"/>
      <c r="LKR364" s="34"/>
      <c r="LKS364" s="34"/>
      <c r="LKT364" s="34"/>
      <c r="LKU364" s="35"/>
      <c r="LKV364" s="35"/>
      <c r="LKW364" s="35"/>
      <c r="LKX364" s="35"/>
      <c r="LKY364" s="35"/>
      <c r="LKZ364" s="34"/>
      <c r="LLA364" s="34"/>
      <c r="LLB364" s="36"/>
      <c r="LLC364" s="36"/>
      <c r="LLD364" s="37"/>
      <c r="LLE364" s="37"/>
      <c r="LLF364" s="38"/>
      <c r="LLG364" s="38"/>
      <c r="LLH364" s="39"/>
      <c r="LLI364" s="34"/>
      <c r="LLJ364" s="34"/>
      <c r="LLK364" s="34"/>
      <c r="LLL364" s="35"/>
      <c r="LLM364" s="35"/>
      <c r="LLN364" s="35"/>
      <c r="LLO364" s="35"/>
      <c r="LLP364" s="35"/>
      <c r="LLQ364" s="34"/>
      <c r="LLR364" s="34"/>
      <c r="LLS364" s="36"/>
      <c r="LLT364" s="36"/>
      <c r="LLU364" s="37"/>
      <c r="LLV364" s="37"/>
      <c r="LLW364" s="38"/>
      <c r="LLX364" s="38"/>
      <c r="LLY364" s="39"/>
      <c r="LLZ364" s="34"/>
      <c r="LMA364" s="34"/>
      <c r="LMB364" s="34"/>
      <c r="LMC364" s="35"/>
      <c r="LMD364" s="35"/>
      <c r="LME364" s="35"/>
      <c r="LMF364" s="35"/>
      <c r="LMG364" s="35"/>
      <c r="LMH364" s="34"/>
      <c r="LMI364" s="34"/>
      <c r="LMJ364" s="36"/>
      <c r="LMK364" s="36"/>
      <c r="LML364" s="37"/>
      <c r="LMM364" s="37"/>
      <c r="LMN364" s="38"/>
      <c r="LMO364" s="38"/>
      <c r="LMP364" s="39"/>
      <c r="LMQ364" s="34"/>
      <c r="LMR364" s="34"/>
      <c r="LMS364" s="34"/>
      <c r="LMT364" s="35"/>
      <c r="LMU364" s="35"/>
      <c r="LMV364" s="35"/>
      <c r="LMW364" s="35"/>
      <c r="LMX364" s="35"/>
      <c r="LMY364" s="34"/>
      <c r="LMZ364" s="34"/>
      <c r="LNA364" s="36"/>
      <c r="LNB364" s="36"/>
      <c r="LNC364" s="37"/>
      <c r="LND364" s="37"/>
      <c r="LNE364" s="38"/>
      <c r="LNF364" s="38"/>
      <c r="LNG364" s="39"/>
      <c r="LNH364" s="34"/>
      <c r="LNI364" s="34"/>
      <c r="LNJ364" s="34"/>
      <c r="LNK364" s="35"/>
      <c r="LNL364" s="35"/>
      <c r="LNM364" s="35"/>
      <c r="LNN364" s="35"/>
      <c r="LNO364" s="35"/>
      <c r="LNP364" s="34"/>
      <c r="LNQ364" s="34"/>
      <c r="LNR364" s="36"/>
      <c r="LNS364" s="36"/>
      <c r="LNT364" s="37"/>
      <c r="LNU364" s="37"/>
      <c r="LNV364" s="38"/>
      <c r="LNW364" s="38"/>
      <c r="LNX364" s="39"/>
      <c r="LNY364" s="34"/>
      <c r="LNZ364" s="34"/>
      <c r="LOA364" s="34"/>
      <c r="LOB364" s="35"/>
      <c r="LOC364" s="35"/>
      <c r="LOD364" s="35"/>
      <c r="LOE364" s="35"/>
      <c r="LOF364" s="35"/>
      <c r="LOG364" s="34"/>
      <c r="LOH364" s="34"/>
      <c r="LOI364" s="36"/>
      <c r="LOJ364" s="36"/>
      <c r="LOK364" s="37"/>
      <c r="LOL364" s="37"/>
      <c r="LOM364" s="38"/>
      <c r="LON364" s="38"/>
      <c r="LOO364" s="39"/>
      <c r="LOP364" s="34"/>
      <c r="LOQ364" s="34"/>
      <c r="LOR364" s="34"/>
      <c r="LOS364" s="35"/>
      <c r="LOT364" s="35"/>
      <c r="LOU364" s="35"/>
      <c r="LOV364" s="35"/>
      <c r="LOW364" s="35"/>
      <c r="LOX364" s="34"/>
      <c r="LOY364" s="34"/>
      <c r="LOZ364" s="36"/>
      <c r="LPA364" s="36"/>
      <c r="LPB364" s="37"/>
      <c r="LPC364" s="37"/>
      <c r="LPD364" s="38"/>
      <c r="LPE364" s="38"/>
      <c r="LPF364" s="39"/>
      <c r="LPG364" s="34"/>
      <c r="LPH364" s="34"/>
      <c r="LPI364" s="34"/>
      <c r="LPJ364" s="35"/>
      <c r="LPK364" s="35"/>
      <c r="LPL364" s="35"/>
      <c r="LPM364" s="35"/>
      <c r="LPN364" s="35"/>
      <c r="LPO364" s="34"/>
      <c r="LPP364" s="34"/>
      <c r="LPQ364" s="36"/>
      <c r="LPR364" s="36"/>
      <c r="LPS364" s="37"/>
      <c r="LPT364" s="37"/>
      <c r="LPU364" s="38"/>
      <c r="LPV364" s="38"/>
      <c r="LPW364" s="39"/>
      <c r="LPX364" s="34"/>
      <c r="LPY364" s="34"/>
      <c r="LPZ364" s="34"/>
      <c r="LQA364" s="35"/>
      <c r="LQB364" s="35"/>
      <c r="LQC364" s="35"/>
      <c r="LQD364" s="35"/>
      <c r="LQE364" s="35"/>
      <c r="LQF364" s="34"/>
      <c r="LQG364" s="34"/>
      <c r="LQH364" s="36"/>
      <c r="LQI364" s="36"/>
      <c r="LQJ364" s="37"/>
      <c r="LQK364" s="37"/>
      <c r="LQL364" s="38"/>
      <c r="LQM364" s="38"/>
      <c r="LQN364" s="39"/>
      <c r="LQO364" s="34"/>
      <c r="LQP364" s="34"/>
      <c r="LQQ364" s="34"/>
      <c r="LQR364" s="35"/>
      <c r="LQS364" s="35"/>
      <c r="LQT364" s="35"/>
      <c r="LQU364" s="35"/>
      <c r="LQV364" s="35"/>
      <c r="LQW364" s="34"/>
      <c r="LQX364" s="34"/>
      <c r="LQY364" s="36"/>
      <c r="LQZ364" s="36"/>
      <c r="LRA364" s="37"/>
      <c r="LRB364" s="37"/>
      <c r="LRC364" s="38"/>
      <c r="LRD364" s="38"/>
      <c r="LRE364" s="39"/>
      <c r="LRF364" s="34"/>
      <c r="LRG364" s="34"/>
      <c r="LRH364" s="34"/>
      <c r="LRI364" s="35"/>
      <c r="LRJ364" s="35"/>
      <c r="LRK364" s="35"/>
      <c r="LRL364" s="35"/>
      <c r="LRM364" s="35"/>
      <c r="LRN364" s="34"/>
      <c r="LRO364" s="34"/>
      <c r="LRP364" s="36"/>
      <c r="LRQ364" s="36"/>
      <c r="LRR364" s="37"/>
      <c r="LRS364" s="37"/>
      <c r="LRT364" s="38"/>
      <c r="LRU364" s="38"/>
      <c r="LRV364" s="39"/>
      <c r="LRW364" s="34"/>
      <c r="LRX364" s="34"/>
      <c r="LRY364" s="34"/>
      <c r="LRZ364" s="35"/>
      <c r="LSA364" s="35"/>
      <c r="LSB364" s="35"/>
      <c r="LSC364" s="35"/>
      <c r="LSD364" s="35"/>
      <c r="LSE364" s="34"/>
      <c r="LSF364" s="34"/>
      <c r="LSG364" s="36"/>
      <c r="LSH364" s="36"/>
      <c r="LSI364" s="37"/>
      <c r="LSJ364" s="37"/>
      <c r="LSK364" s="38"/>
      <c r="LSL364" s="38"/>
      <c r="LSM364" s="39"/>
      <c r="LSN364" s="34"/>
      <c r="LSO364" s="34"/>
      <c r="LSP364" s="34"/>
      <c r="LSQ364" s="35"/>
      <c r="LSR364" s="35"/>
      <c r="LSS364" s="35"/>
      <c r="LST364" s="35"/>
      <c r="LSU364" s="35"/>
      <c r="LSV364" s="34"/>
      <c r="LSW364" s="34"/>
      <c r="LSX364" s="36"/>
      <c r="LSY364" s="36"/>
      <c r="LSZ364" s="37"/>
      <c r="LTA364" s="37"/>
      <c r="LTB364" s="38"/>
      <c r="LTC364" s="38"/>
      <c r="LTD364" s="39"/>
      <c r="LTE364" s="34"/>
      <c r="LTF364" s="34"/>
      <c r="LTG364" s="34"/>
      <c r="LTH364" s="35"/>
      <c r="LTI364" s="35"/>
      <c r="LTJ364" s="35"/>
      <c r="LTK364" s="35"/>
      <c r="LTL364" s="35"/>
      <c r="LTM364" s="34"/>
      <c r="LTN364" s="34"/>
      <c r="LTO364" s="36"/>
      <c r="LTP364" s="36"/>
      <c r="LTQ364" s="37"/>
      <c r="LTR364" s="37"/>
      <c r="LTS364" s="38"/>
      <c r="LTT364" s="38"/>
      <c r="LTU364" s="39"/>
      <c r="LTV364" s="34"/>
      <c r="LTW364" s="34"/>
      <c r="LTX364" s="34"/>
      <c r="LTY364" s="35"/>
      <c r="LTZ364" s="35"/>
      <c r="LUA364" s="35"/>
      <c r="LUB364" s="35"/>
      <c r="LUC364" s="35"/>
      <c r="LUD364" s="34"/>
      <c r="LUE364" s="34"/>
      <c r="LUF364" s="36"/>
      <c r="LUG364" s="36"/>
      <c r="LUH364" s="37"/>
      <c r="LUI364" s="37"/>
      <c r="LUJ364" s="38"/>
      <c r="LUK364" s="38"/>
      <c r="LUL364" s="39"/>
      <c r="LUM364" s="34"/>
      <c r="LUN364" s="34"/>
      <c r="LUO364" s="34"/>
      <c r="LUP364" s="35"/>
      <c r="LUQ364" s="35"/>
      <c r="LUR364" s="35"/>
      <c r="LUS364" s="35"/>
      <c r="LUT364" s="35"/>
      <c r="LUU364" s="34"/>
      <c r="LUV364" s="34"/>
      <c r="LUW364" s="36"/>
      <c r="LUX364" s="36"/>
      <c r="LUY364" s="37"/>
      <c r="LUZ364" s="37"/>
      <c r="LVA364" s="38"/>
      <c r="LVB364" s="38"/>
      <c r="LVC364" s="39"/>
      <c r="LVD364" s="34"/>
      <c r="LVE364" s="34"/>
      <c r="LVF364" s="34"/>
      <c r="LVG364" s="35"/>
      <c r="LVH364" s="35"/>
      <c r="LVI364" s="35"/>
      <c r="LVJ364" s="35"/>
      <c r="LVK364" s="35"/>
      <c r="LVL364" s="34"/>
      <c r="LVM364" s="34"/>
      <c r="LVN364" s="36"/>
      <c r="LVO364" s="36"/>
      <c r="LVP364" s="37"/>
      <c r="LVQ364" s="37"/>
      <c r="LVR364" s="38"/>
      <c r="LVS364" s="38"/>
      <c r="LVT364" s="39"/>
      <c r="LVU364" s="34"/>
      <c r="LVV364" s="34"/>
      <c r="LVW364" s="34"/>
      <c r="LVX364" s="35"/>
      <c r="LVY364" s="35"/>
      <c r="LVZ364" s="35"/>
      <c r="LWA364" s="35"/>
      <c r="LWB364" s="35"/>
      <c r="LWC364" s="34"/>
      <c r="LWD364" s="34"/>
      <c r="LWE364" s="36"/>
      <c r="LWF364" s="36"/>
      <c r="LWG364" s="37"/>
      <c r="LWH364" s="37"/>
      <c r="LWI364" s="38"/>
      <c r="LWJ364" s="38"/>
      <c r="LWK364" s="39"/>
      <c r="LWL364" s="34"/>
      <c r="LWM364" s="34"/>
      <c r="LWN364" s="34"/>
      <c r="LWO364" s="35"/>
      <c r="LWP364" s="35"/>
      <c r="LWQ364" s="35"/>
      <c r="LWR364" s="35"/>
      <c r="LWS364" s="35"/>
      <c r="LWT364" s="34"/>
      <c r="LWU364" s="34"/>
      <c r="LWV364" s="36"/>
      <c r="LWW364" s="36"/>
      <c r="LWX364" s="37"/>
      <c r="LWY364" s="37"/>
      <c r="LWZ364" s="38"/>
      <c r="LXA364" s="38"/>
      <c r="LXB364" s="39"/>
      <c r="LXC364" s="34"/>
      <c r="LXD364" s="34"/>
      <c r="LXE364" s="34"/>
      <c r="LXF364" s="35"/>
      <c r="LXG364" s="35"/>
      <c r="LXH364" s="35"/>
      <c r="LXI364" s="35"/>
      <c r="LXJ364" s="35"/>
      <c r="LXK364" s="34"/>
      <c r="LXL364" s="34"/>
      <c r="LXM364" s="36"/>
      <c r="LXN364" s="36"/>
      <c r="LXO364" s="37"/>
      <c r="LXP364" s="37"/>
      <c r="LXQ364" s="38"/>
      <c r="LXR364" s="38"/>
      <c r="LXS364" s="39"/>
      <c r="LXT364" s="34"/>
      <c r="LXU364" s="34"/>
      <c r="LXV364" s="34"/>
      <c r="LXW364" s="35"/>
      <c r="LXX364" s="35"/>
      <c r="LXY364" s="35"/>
      <c r="LXZ364" s="35"/>
      <c r="LYA364" s="35"/>
      <c r="LYB364" s="34"/>
      <c r="LYC364" s="34"/>
      <c r="LYD364" s="36"/>
      <c r="LYE364" s="36"/>
      <c r="LYF364" s="37"/>
      <c r="LYG364" s="37"/>
      <c r="LYH364" s="38"/>
      <c r="LYI364" s="38"/>
      <c r="LYJ364" s="39"/>
      <c r="LYK364" s="34"/>
      <c r="LYL364" s="34"/>
      <c r="LYM364" s="34"/>
      <c r="LYN364" s="35"/>
      <c r="LYO364" s="35"/>
      <c r="LYP364" s="35"/>
      <c r="LYQ364" s="35"/>
      <c r="LYR364" s="35"/>
      <c r="LYS364" s="34"/>
      <c r="LYT364" s="34"/>
      <c r="LYU364" s="36"/>
      <c r="LYV364" s="36"/>
      <c r="LYW364" s="37"/>
      <c r="LYX364" s="37"/>
      <c r="LYY364" s="38"/>
      <c r="LYZ364" s="38"/>
      <c r="LZA364" s="39"/>
      <c r="LZB364" s="34"/>
      <c r="LZC364" s="34"/>
      <c r="LZD364" s="34"/>
      <c r="LZE364" s="35"/>
      <c r="LZF364" s="35"/>
      <c r="LZG364" s="35"/>
      <c r="LZH364" s="35"/>
      <c r="LZI364" s="35"/>
      <c r="LZJ364" s="34"/>
      <c r="LZK364" s="34"/>
      <c r="LZL364" s="36"/>
      <c r="LZM364" s="36"/>
      <c r="LZN364" s="37"/>
      <c r="LZO364" s="37"/>
      <c r="LZP364" s="38"/>
      <c r="LZQ364" s="38"/>
      <c r="LZR364" s="39"/>
      <c r="LZS364" s="34"/>
      <c r="LZT364" s="34"/>
      <c r="LZU364" s="34"/>
      <c r="LZV364" s="35"/>
      <c r="LZW364" s="35"/>
      <c r="LZX364" s="35"/>
      <c r="LZY364" s="35"/>
      <c r="LZZ364" s="35"/>
      <c r="MAA364" s="34"/>
      <c r="MAB364" s="34"/>
      <c r="MAC364" s="36"/>
      <c r="MAD364" s="36"/>
      <c r="MAE364" s="37"/>
      <c r="MAF364" s="37"/>
      <c r="MAG364" s="38"/>
      <c r="MAH364" s="38"/>
      <c r="MAI364" s="39"/>
      <c r="MAJ364" s="34"/>
      <c r="MAK364" s="34"/>
      <c r="MAL364" s="34"/>
      <c r="MAM364" s="35"/>
      <c r="MAN364" s="35"/>
      <c r="MAO364" s="35"/>
      <c r="MAP364" s="35"/>
      <c r="MAQ364" s="35"/>
      <c r="MAR364" s="34"/>
      <c r="MAS364" s="34"/>
      <c r="MAT364" s="36"/>
      <c r="MAU364" s="36"/>
      <c r="MAV364" s="37"/>
      <c r="MAW364" s="37"/>
      <c r="MAX364" s="38"/>
      <c r="MAY364" s="38"/>
      <c r="MAZ364" s="39"/>
      <c r="MBA364" s="34"/>
      <c r="MBB364" s="34"/>
      <c r="MBC364" s="34"/>
      <c r="MBD364" s="35"/>
      <c r="MBE364" s="35"/>
      <c r="MBF364" s="35"/>
      <c r="MBG364" s="35"/>
      <c r="MBH364" s="35"/>
      <c r="MBI364" s="34"/>
      <c r="MBJ364" s="34"/>
      <c r="MBK364" s="36"/>
      <c r="MBL364" s="36"/>
      <c r="MBM364" s="37"/>
      <c r="MBN364" s="37"/>
      <c r="MBO364" s="38"/>
      <c r="MBP364" s="38"/>
      <c r="MBQ364" s="39"/>
      <c r="MBR364" s="34"/>
      <c r="MBS364" s="34"/>
      <c r="MBT364" s="34"/>
      <c r="MBU364" s="35"/>
      <c r="MBV364" s="35"/>
      <c r="MBW364" s="35"/>
      <c r="MBX364" s="35"/>
      <c r="MBY364" s="35"/>
      <c r="MBZ364" s="34"/>
      <c r="MCA364" s="34"/>
      <c r="MCB364" s="36"/>
      <c r="MCC364" s="36"/>
      <c r="MCD364" s="37"/>
      <c r="MCE364" s="37"/>
      <c r="MCF364" s="38"/>
      <c r="MCG364" s="38"/>
      <c r="MCH364" s="39"/>
      <c r="MCI364" s="34"/>
      <c r="MCJ364" s="34"/>
      <c r="MCK364" s="34"/>
      <c r="MCL364" s="35"/>
      <c r="MCM364" s="35"/>
      <c r="MCN364" s="35"/>
      <c r="MCO364" s="35"/>
      <c r="MCP364" s="35"/>
      <c r="MCQ364" s="34"/>
      <c r="MCR364" s="34"/>
      <c r="MCS364" s="36"/>
      <c r="MCT364" s="36"/>
      <c r="MCU364" s="37"/>
      <c r="MCV364" s="37"/>
      <c r="MCW364" s="38"/>
      <c r="MCX364" s="38"/>
      <c r="MCY364" s="39"/>
      <c r="MCZ364" s="34"/>
      <c r="MDA364" s="34"/>
      <c r="MDB364" s="34"/>
      <c r="MDC364" s="35"/>
      <c r="MDD364" s="35"/>
      <c r="MDE364" s="35"/>
      <c r="MDF364" s="35"/>
      <c r="MDG364" s="35"/>
      <c r="MDH364" s="34"/>
      <c r="MDI364" s="34"/>
      <c r="MDJ364" s="36"/>
      <c r="MDK364" s="36"/>
      <c r="MDL364" s="37"/>
      <c r="MDM364" s="37"/>
      <c r="MDN364" s="38"/>
      <c r="MDO364" s="38"/>
      <c r="MDP364" s="39"/>
      <c r="MDQ364" s="34"/>
      <c r="MDR364" s="34"/>
      <c r="MDS364" s="34"/>
      <c r="MDT364" s="35"/>
      <c r="MDU364" s="35"/>
      <c r="MDV364" s="35"/>
      <c r="MDW364" s="35"/>
      <c r="MDX364" s="35"/>
      <c r="MDY364" s="34"/>
      <c r="MDZ364" s="34"/>
      <c r="MEA364" s="36"/>
      <c r="MEB364" s="36"/>
      <c r="MEC364" s="37"/>
      <c r="MED364" s="37"/>
      <c r="MEE364" s="38"/>
      <c r="MEF364" s="38"/>
      <c r="MEG364" s="39"/>
      <c r="MEH364" s="34"/>
      <c r="MEI364" s="34"/>
      <c r="MEJ364" s="34"/>
      <c r="MEK364" s="35"/>
      <c r="MEL364" s="35"/>
      <c r="MEM364" s="35"/>
      <c r="MEN364" s="35"/>
      <c r="MEO364" s="35"/>
      <c r="MEP364" s="34"/>
      <c r="MEQ364" s="34"/>
      <c r="MER364" s="36"/>
      <c r="MES364" s="36"/>
      <c r="MET364" s="37"/>
      <c r="MEU364" s="37"/>
      <c r="MEV364" s="38"/>
      <c r="MEW364" s="38"/>
      <c r="MEX364" s="39"/>
      <c r="MEY364" s="34"/>
      <c r="MEZ364" s="34"/>
      <c r="MFA364" s="34"/>
      <c r="MFB364" s="35"/>
      <c r="MFC364" s="35"/>
      <c r="MFD364" s="35"/>
      <c r="MFE364" s="35"/>
      <c r="MFF364" s="35"/>
      <c r="MFG364" s="34"/>
      <c r="MFH364" s="34"/>
      <c r="MFI364" s="36"/>
      <c r="MFJ364" s="36"/>
      <c r="MFK364" s="37"/>
      <c r="MFL364" s="37"/>
      <c r="MFM364" s="38"/>
      <c r="MFN364" s="38"/>
      <c r="MFO364" s="39"/>
      <c r="MFP364" s="34"/>
      <c r="MFQ364" s="34"/>
      <c r="MFR364" s="34"/>
      <c r="MFS364" s="35"/>
      <c r="MFT364" s="35"/>
      <c r="MFU364" s="35"/>
      <c r="MFV364" s="35"/>
      <c r="MFW364" s="35"/>
      <c r="MFX364" s="34"/>
      <c r="MFY364" s="34"/>
      <c r="MFZ364" s="36"/>
      <c r="MGA364" s="36"/>
      <c r="MGB364" s="37"/>
      <c r="MGC364" s="37"/>
      <c r="MGD364" s="38"/>
      <c r="MGE364" s="38"/>
      <c r="MGF364" s="39"/>
      <c r="MGG364" s="34"/>
      <c r="MGH364" s="34"/>
      <c r="MGI364" s="34"/>
      <c r="MGJ364" s="35"/>
      <c r="MGK364" s="35"/>
      <c r="MGL364" s="35"/>
      <c r="MGM364" s="35"/>
      <c r="MGN364" s="35"/>
      <c r="MGO364" s="34"/>
      <c r="MGP364" s="34"/>
      <c r="MGQ364" s="36"/>
      <c r="MGR364" s="36"/>
      <c r="MGS364" s="37"/>
      <c r="MGT364" s="37"/>
      <c r="MGU364" s="38"/>
      <c r="MGV364" s="38"/>
      <c r="MGW364" s="39"/>
      <c r="MGX364" s="34"/>
      <c r="MGY364" s="34"/>
      <c r="MGZ364" s="34"/>
      <c r="MHA364" s="35"/>
      <c r="MHB364" s="35"/>
      <c r="MHC364" s="35"/>
      <c r="MHD364" s="35"/>
      <c r="MHE364" s="35"/>
      <c r="MHF364" s="34"/>
      <c r="MHG364" s="34"/>
      <c r="MHH364" s="36"/>
      <c r="MHI364" s="36"/>
      <c r="MHJ364" s="37"/>
      <c r="MHK364" s="37"/>
      <c r="MHL364" s="38"/>
      <c r="MHM364" s="38"/>
      <c r="MHN364" s="39"/>
      <c r="MHO364" s="34"/>
      <c r="MHP364" s="34"/>
      <c r="MHQ364" s="34"/>
      <c r="MHR364" s="35"/>
      <c r="MHS364" s="35"/>
      <c r="MHT364" s="35"/>
      <c r="MHU364" s="35"/>
      <c r="MHV364" s="35"/>
      <c r="MHW364" s="34"/>
      <c r="MHX364" s="34"/>
      <c r="MHY364" s="36"/>
      <c r="MHZ364" s="36"/>
      <c r="MIA364" s="37"/>
      <c r="MIB364" s="37"/>
      <c r="MIC364" s="38"/>
      <c r="MID364" s="38"/>
      <c r="MIE364" s="39"/>
      <c r="MIF364" s="34"/>
      <c r="MIG364" s="34"/>
      <c r="MIH364" s="34"/>
      <c r="MII364" s="35"/>
      <c r="MIJ364" s="35"/>
      <c r="MIK364" s="35"/>
      <c r="MIL364" s="35"/>
      <c r="MIM364" s="35"/>
      <c r="MIN364" s="34"/>
      <c r="MIO364" s="34"/>
      <c r="MIP364" s="36"/>
      <c r="MIQ364" s="36"/>
      <c r="MIR364" s="37"/>
      <c r="MIS364" s="37"/>
      <c r="MIT364" s="38"/>
      <c r="MIU364" s="38"/>
      <c r="MIV364" s="39"/>
      <c r="MIW364" s="34"/>
      <c r="MIX364" s="34"/>
      <c r="MIY364" s="34"/>
      <c r="MIZ364" s="35"/>
      <c r="MJA364" s="35"/>
      <c r="MJB364" s="35"/>
      <c r="MJC364" s="35"/>
      <c r="MJD364" s="35"/>
      <c r="MJE364" s="34"/>
      <c r="MJF364" s="34"/>
      <c r="MJG364" s="36"/>
      <c r="MJH364" s="36"/>
      <c r="MJI364" s="37"/>
      <c r="MJJ364" s="37"/>
      <c r="MJK364" s="38"/>
      <c r="MJL364" s="38"/>
      <c r="MJM364" s="39"/>
      <c r="MJN364" s="34"/>
      <c r="MJO364" s="34"/>
      <c r="MJP364" s="34"/>
      <c r="MJQ364" s="35"/>
      <c r="MJR364" s="35"/>
      <c r="MJS364" s="35"/>
      <c r="MJT364" s="35"/>
      <c r="MJU364" s="35"/>
      <c r="MJV364" s="34"/>
      <c r="MJW364" s="34"/>
      <c r="MJX364" s="36"/>
      <c r="MJY364" s="36"/>
      <c r="MJZ364" s="37"/>
      <c r="MKA364" s="37"/>
      <c r="MKB364" s="38"/>
      <c r="MKC364" s="38"/>
      <c r="MKD364" s="39"/>
      <c r="MKE364" s="34"/>
      <c r="MKF364" s="34"/>
      <c r="MKG364" s="34"/>
      <c r="MKH364" s="35"/>
      <c r="MKI364" s="35"/>
      <c r="MKJ364" s="35"/>
      <c r="MKK364" s="35"/>
      <c r="MKL364" s="35"/>
      <c r="MKM364" s="34"/>
      <c r="MKN364" s="34"/>
      <c r="MKO364" s="36"/>
      <c r="MKP364" s="36"/>
      <c r="MKQ364" s="37"/>
      <c r="MKR364" s="37"/>
      <c r="MKS364" s="38"/>
      <c r="MKT364" s="38"/>
      <c r="MKU364" s="39"/>
      <c r="MKV364" s="34"/>
      <c r="MKW364" s="34"/>
      <c r="MKX364" s="34"/>
      <c r="MKY364" s="35"/>
      <c r="MKZ364" s="35"/>
      <c r="MLA364" s="35"/>
      <c r="MLB364" s="35"/>
      <c r="MLC364" s="35"/>
      <c r="MLD364" s="34"/>
      <c r="MLE364" s="34"/>
      <c r="MLF364" s="36"/>
      <c r="MLG364" s="36"/>
      <c r="MLH364" s="37"/>
      <c r="MLI364" s="37"/>
      <c r="MLJ364" s="38"/>
      <c r="MLK364" s="38"/>
      <c r="MLL364" s="39"/>
      <c r="MLM364" s="34"/>
      <c r="MLN364" s="34"/>
      <c r="MLO364" s="34"/>
      <c r="MLP364" s="35"/>
      <c r="MLQ364" s="35"/>
      <c r="MLR364" s="35"/>
      <c r="MLS364" s="35"/>
      <c r="MLT364" s="35"/>
      <c r="MLU364" s="34"/>
      <c r="MLV364" s="34"/>
      <c r="MLW364" s="36"/>
      <c r="MLX364" s="36"/>
      <c r="MLY364" s="37"/>
      <c r="MLZ364" s="37"/>
      <c r="MMA364" s="38"/>
      <c r="MMB364" s="38"/>
      <c r="MMC364" s="39"/>
      <c r="MMD364" s="34"/>
      <c r="MME364" s="34"/>
      <c r="MMF364" s="34"/>
      <c r="MMG364" s="35"/>
      <c r="MMH364" s="35"/>
      <c r="MMI364" s="35"/>
      <c r="MMJ364" s="35"/>
      <c r="MMK364" s="35"/>
      <c r="MML364" s="34"/>
      <c r="MMM364" s="34"/>
      <c r="MMN364" s="36"/>
      <c r="MMO364" s="36"/>
      <c r="MMP364" s="37"/>
      <c r="MMQ364" s="37"/>
      <c r="MMR364" s="38"/>
      <c r="MMS364" s="38"/>
      <c r="MMT364" s="39"/>
      <c r="MMU364" s="34"/>
      <c r="MMV364" s="34"/>
      <c r="MMW364" s="34"/>
      <c r="MMX364" s="35"/>
      <c r="MMY364" s="35"/>
      <c r="MMZ364" s="35"/>
      <c r="MNA364" s="35"/>
      <c r="MNB364" s="35"/>
      <c r="MNC364" s="34"/>
      <c r="MND364" s="34"/>
      <c r="MNE364" s="36"/>
      <c r="MNF364" s="36"/>
      <c r="MNG364" s="37"/>
      <c r="MNH364" s="37"/>
      <c r="MNI364" s="38"/>
      <c r="MNJ364" s="38"/>
      <c r="MNK364" s="39"/>
      <c r="MNL364" s="34"/>
      <c r="MNM364" s="34"/>
      <c r="MNN364" s="34"/>
      <c r="MNO364" s="35"/>
      <c r="MNP364" s="35"/>
      <c r="MNQ364" s="35"/>
      <c r="MNR364" s="35"/>
      <c r="MNS364" s="35"/>
      <c r="MNT364" s="34"/>
      <c r="MNU364" s="34"/>
      <c r="MNV364" s="36"/>
      <c r="MNW364" s="36"/>
      <c r="MNX364" s="37"/>
      <c r="MNY364" s="37"/>
      <c r="MNZ364" s="38"/>
      <c r="MOA364" s="38"/>
      <c r="MOB364" s="39"/>
      <c r="MOC364" s="34"/>
      <c r="MOD364" s="34"/>
      <c r="MOE364" s="34"/>
      <c r="MOF364" s="35"/>
      <c r="MOG364" s="35"/>
      <c r="MOH364" s="35"/>
      <c r="MOI364" s="35"/>
      <c r="MOJ364" s="35"/>
      <c r="MOK364" s="34"/>
      <c r="MOL364" s="34"/>
      <c r="MOM364" s="36"/>
      <c r="MON364" s="36"/>
      <c r="MOO364" s="37"/>
      <c r="MOP364" s="37"/>
      <c r="MOQ364" s="38"/>
      <c r="MOR364" s="38"/>
      <c r="MOS364" s="39"/>
      <c r="MOT364" s="34"/>
      <c r="MOU364" s="34"/>
      <c r="MOV364" s="34"/>
      <c r="MOW364" s="35"/>
      <c r="MOX364" s="35"/>
      <c r="MOY364" s="35"/>
      <c r="MOZ364" s="35"/>
      <c r="MPA364" s="35"/>
      <c r="MPB364" s="34"/>
      <c r="MPC364" s="34"/>
      <c r="MPD364" s="36"/>
      <c r="MPE364" s="36"/>
      <c r="MPF364" s="37"/>
      <c r="MPG364" s="37"/>
      <c r="MPH364" s="38"/>
      <c r="MPI364" s="38"/>
      <c r="MPJ364" s="39"/>
      <c r="MPK364" s="34"/>
      <c r="MPL364" s="34"/>
      <c r="MPM364" s="34"/>
      <c r="MPN364" s="35"/>
      <c r="MPO364" s="35"/>
      <c r="MPP364" s="35"/>
      <c r="MPQ364" s="35"/>
      <c r="MPR364" s="35"/>
      <c r="MPS364" s="34"/>
      <c r="MPT364" s="34"/>
      <c r="MPU364" s="36"/>
      <c r="MPV364" s="36"/>
      <c r="MPW364" s="37"/>
      <c r="MPX364" s="37"/>
      <c r="MPY364" s="38"/>
      <c r="MPZ364" s="38"/>
      <c r="MQA364" s="39"/>
      <c r="MQB364" s="34"/>
      <c r="MQC364" s="34"/>
      <c r="MQD364" s="34"/>
      <c r="MQE364" s="35"/>
      <c r="MQF364" s="35"/>
      <c r="MQG364" s="35"/>
      <c r="MQH364" s="35"/>
      <c r="MQI364" s="35"/>
      <c r="MQJ364" s="34"/>
      <c r="MQK364" s="34"/>
      <c r="MQL364" s="36"/>
      <c r="MQM364" s="36"/>
      <c r="MQN364" s="37"/>
      <c r="MQO364" s="37"/>
      <c r="MQP364" s="38"/>
      <c r="MQQ364" s="38"/>
      <c r="MQR364" s="39"/>
      <c r="MQS364" s="34"/>
      <c r="MQT364" s="34"/>
      <c r="MQU364" s="34"/>
      <c r="MQV364" s="35"/>
      <c r="MQW364" s="35"/>
      <c r="MQX364" s="35"/>
      <c r="MQY364" s="35"/>
      <c r="MQZ364" s="35"/>
      <c r="MRA364" s="34"/>
      <c r="MRB364" s="34"/>
      <c r="MRC364" s="36"/>
      <c r="MRD364" s="36"/>
      <c r="MRE364" s="37"/>
      <c r="MRF364" s="37"/>
      <c r="MRG364" s="38"/>
      <c r="MRH364" s="38"/>
      <c r="MRI364" s="39"/>
      <c r="MRJ364" s="34"/>
      <c r="MRK364" s="34"/>
      <c r="MRL364" s="34"/>
      <c r="MRM364" s="35"/>
      <c r="MRN364" s="35"/>
      <c r="MRO364" s="35"/>
      <c r="MRP364" s="35"/>
      <c r="MRQ364" s="35"/>
      <c r="MRR364" s="34"/>
      <c r="MRS364" s="34"/>
      <c r="MRT364" s="36"/>
      <c r="MRU364" s="36"/>
      <c r="MRV364" s="37"/>
      <c r="MRW364" s="37"/>
      <c r="MRX364" s="38"/>
      <c r="MRY364" s="38"/>
      <c r="MRZ364" s="39"/>
      <c r="MSA364" s="34"/>
      <c r="MSB364" s="34"/>
      <c r="MSC364" s="34"/>
      <c r="MSD364" s="35"/>
      <c r="MSE364" s="35"/>
      <c r="MSF364" s="35"/>
      <c r="MSG364" s="35"/>
      <c r="MSH364" s="35"/>
      <c r="MSI364" s="34"/>
      <c r="MSJ364" s="34"/>
      <c r="MSK364" s="36"/>
      <c r="MSL364" s="36"/>
      <c r="MSM364" s="37"/>
      <c r="MSN364" s="37"/>
      <c r="MSO364" s="38"/>
      <c r="MSP364" s="38"/>
      <c r="MSQ364" s="39"/>
      <c r="MSR364" s="34"/>
      <c r="MSS364" s="34"/>
      <c r="MST364" s="34"/>
      <c r="MSU364" s="35"/>
      <c r="MSV364" s="35"/>
      <c r="MSW364" s="35"/>
      <c r="MSX364" s="35"/>
      <c r="MSY364" s="35"/>
      <c r="MSZ364" s="34"/>
      <c r="MTA364" s="34"/>
      <c r="MTB364" s="36"/>
      <c r="MTC364" s="36"/>
      <c r="MTD364" s="37"/>
      <c r="MTE364" s="37"/>
      <c r="MTF364" s="38"/>
      <c r="MTG364" s="38"/>
      <c r="MTH364" s="39"/>
      <c r="MTI364" s="34"/>
      <c r="MTJ364" s="34"/>
      <c r="MTK364" s="34"/>
      <c r="MTL364" s="35"/>
      <c r="MTM364" s="35"/>
      <c r="MTN364" s="35"/>
      <c r="MTO364" s="35"/>
      <c r="MTP364" s="35"/>
      <c r="MTQ364" s="34"/>
      <c r="MTR364" s="34"/>
      <c r="MTS364" s="36"/>
      <c r="MTT364" s="36"/>
      <c r="MTU364" s="37"/>
      <c r="MTV364" s="37"/>
      <c r="MTW364" s="38"/>
      <c r="MTX364" s="38"/>
      <c r="MTY364" s="39"/>
      <c r="MTZ364" s="34"/>
      <c r="MUA364" s="34"/>
      <c r="MUB364" s="34"/>
      <c r="MUC364" s="35"/>
      <c r="MUD364" s="35"/>
      <c r="MUE364" s="35"/>
      <c r="MUF364" s="35"/>
      <c r="MUG364" s="35"/>
      <c r="MUH364" s="34"/>
      <c r="MUI364" s="34"/>
      <c r="MUJ364" s="36"/>
      <c r="MUK364" s="36"/>
      <c r="MUL364" s="37"/>
      <c r="MUM364" s="37"/>
      <c r="MUN364" s="38"/>
      <c r="MUO364" s="38"/>
      <c r="MUP364" s="39"/>
      <c r="MUQ364" s="34"/>
      <c r="MUR364" s="34"/>
      <c r="MUS364" s="34"/>
      <c r="MUT364" s="35"/>
      <c r="MUU364" s="35"/>
      <c r="MUV364" s="35"/>
      <c r="MUW364" s="35"/>
      <c r="MUX364" s="35"/>
      <c r="MUY364" s="34"/>
      <c r="MUZ364" s="34"/>
      <c r="MVA364" s="36"/>
      <c r="MVB364" s="36"/>
      <c r="MVC364" s="37"/>
      <c r="MVD364" s="37"/>
      <c r="MVE364" s="38"/>
      <c r="MVF364" s="38"/>
      <c r="MVG364" s="39"/>
      <c r="MVH364" s="34"/>
      <c r="MVI364" s="34"/>
      <c r="MVJ364" s="34"/>
      <c r="MVK364" s="35"/>
      <c r="MVL364" s="35"/>
      <c r="MVM364" s="35"/>
      <c r="MVN364" s="35"/>
      <c r="MVO364" s="35"/>
      <c r="MVP364" s="34"/>
      <c r="MVQ364" s="34"/>
      <c r="MVR364" s="36"/>
      <c r="MVS364" s="36"/>
      <c r="MVT364" s="37"/>
      <c r="MVU364" s="37"/>
      <c r="MVV364" s="38"/>
      <c r="MVW364" s="38"/>
      <c r="MVX364" s="39"/>
      <c r="MVY364" s="34"/>
      <c r="MVZ364" s="34"/>
      <c r="MWA364" s="34"/>
      <c r="MWB364" s="35"/>
      <c r="MWC364" s="35"/>
      <c r="MWD364" s="35"/>
      <c r="MWE364" s="35"/>
      <c r="MWF364" s="35"/>
      <c r="MWG364" s="34"/>
      <c r="MWH364" s="34"/>
      <c r="MWI364" s="36"/>
      <c r="MWJ364" s="36"/>
      <c r="MWK364" s="37"/>
      <c r="MWL364" s="37"/>
      <c r="MWM364" s="38"/>
      <c r="MWN364" s="38"/>
      <c r="MWO364" s="39"/>
      <c r="MWP364" s="34"/>
      <c r="MWQ364" s="34"/>
      <c r="MWR364" s="34"/>
      <c r="MWS364" s="35"/>
      <c r="MWT364" s="35"/>
      <c r="MWU364" s="35"/>
      <c r="MWV364" s="35"/>
      <c r="MWW364" s="35"/>
      <c r="MWX364" s="34"/>
      <c r="MWY364" s="34"/>
      <c r="MWZ364" s="36"/>
      <c r="MXA364" s="36"/>
      <c r="MXB364" s="37"/>
      <c r="MXC364" s="37"/>
      <c r="MXD364" s="38"/>
      <c r="MXE364" s="38"/>
      <c r="MXF364" s="39"/>
      <c r="MXG364" s="34"/>
      <c r="MXH364" s="34"/>
      <c r="MXI364" s="34"/>
      <c r="MXJ364" s="35"/>
      <c r="MXK364" s="35"/>
      <c r="MXL364" s="35"/>
      <c r="MXM364" s="35"/>
      <c r="MXN364" s="35"/>
      <c r="MXO364" s="34"/>
      <c r="MXP364" s="34"/>
      <c r="MXQ364" s="36"/>
      <c r="MXR364" s="36"/>
      <c r="MXS364" s="37"/>
      <c r="MXT364" s="37"/>
      <c r="MXU364" s="38"/>
      <c r="MXV364" s="38"/>
      <c r="MXW364" s="39"/>
      <c r="MXX364" s="34"/>
      <c r="MXY364" s="34"/>
      <c r="MXZ364" s="34"/>
      <c r="MYA364" s="35"/>
      <c r="MYB364" s="35"/>
      <c r="MYC364" s="35"/>
      <c r="MYD364" s="35"/>
      <c r="MYE364" s="35"/>
      <c r="MYF364" s="34"/>
      <c r="MYG364" s="34"/>
      <c r="MYH364" s="36"/>
      <c r="MYI364" s="36"/>
      <c r="MYJ364" s="37"/>
      <c r="MYK364" s="37"/>
      <c r="MYL364" s="38"/>
      <c r="MYM364" s="38"/>
      <c r="MYN364" s="39"/>
      <c r="MYO364" s="34"/>
      <c r="MYP364" s="34"/>
      <c r="MYQ364" s="34"/>
      <c r="MYR364" s="35"/>
      <c r="MYS364" s="35"/>
      <c r="MYT364" s="35"/>
      <c r="MYU364" s="35"/>
      <c r="MYV364" s="35"/>
      <c r="MYW364" s="34"/>
      <c r="MYX364" s="34"/>
      <c r="MYY364" s="36"/>
      <c r="MYZ364" s="36"/>
      <c r="MZA364" s="37"/>
      <c r="MZB364" s="37"/>
      <c r="MZC364" s="38"/>
      <c r="MZD364" s="38"/>
      <c r="MZE364" s="39"/>
      <c r="MZF364" s="34"/>
      <c r="MZG364" s="34"/>
      <c r="MZH364" s="34"/>
      <c r="MZI364" s="35"/>
      <c r="MZJ364" s="35"/>
      <c r="MZK364" s="35"/>
      <c r="MZL364" s="35"/>
      <c r="MZM364" s="35"/>
      <c r="MZN364" s="34"/>
      <c r="MZO364" s="34"/>
      <c r="MZP364" s="36"/>
      <c r="MZQ364" s="36"/>
      <c r="MZR364" s="37"/>
      <c r="MZS364" s="37"/>
      <c r="MZT364" s="38"/>
      <c r="MZU364" s="38"/>
      <c r="MZV364" s="39"/>
      <c r="MZW364" s="34"/>
      <c r="MZX364" s="34"/>
      <c r="MZY364" s="34"/>
      <c r="MZZ364" s="35"/>
      <c r="NAA364" s="35"/>
      <c r="NAB364" s="35"/>
      <c r="NAC364" s="35"/>
      <c r="NAD364" s="35"/>
      <c r="NAE364" s="34"/>
      <c r="NAF364" s="34"/>
      <c r="NAG364" s="36"/>
      <c r="NAH364" s="36"/>
      <c r="NAI364" s="37"/>
      <c r="NAJ364" s="37"/>
      <c r="NAK364" s="38"/>
      <c r="NAL364" s="38"/>
      <c r="NAM364" s="39"/>
      <c r="NAN364" s="34"/>
      <c r="NAO364" s="34"/>
      <c r="NAP364" s="34"/>
      <c r="NAQ364" s="35"/>
      <c r="NAR364" s="35"/>
      <c r="NAS364" s="35"/>
      <c r="NAT364" s="35"/>
      <c r="NAU364" s="35"/>
      <c r="NAV364" s="34"/>
      <c r="NAW364" s="34"/>
      <c r="NAX364" s="36"/>
      <c r="NAY364" s="36"/>
      <c r="NAZ364" s="37"/>
      <c r="NBA364" s="37"/>
      <c r="NBB364" s="38"/>
      <c r="NBC364" s="38"/>
      <c r="NBD364" s="39"/>
      <c r="NBE364" s="34"/>
      <c r="NBF364" s="34"/>
      <c r="NBG364" s="34"/>
      <c r="NBH364" s="35"/>
      <c r="NBI364" s="35"/>
      <c r="NBJ364" s="35"/>
      <c r="NBK364" s="35"/>
      <c r="NBL364" s="35"/>
      <c r="NBM364" s="34"/>
      <c r="NBN364" s="34"/>
      <c r="NBO364" s="36"/>
      <c r="NBP364" s="36"/>
      <c r="NBQ364" s="37"/>
      <c r="NBR364" s="37"/>
      <c r="NBS364" s="38"/>
      <c r="NBT364" s="38"/>
      <c r="NBU364" s="39"/>
      <c r="NBV364" s="34"/>
      <c r="NBW364" s="34"/>
      <c r="NBX364" s="34"/>
      <c r="NBY364" s="35"/>
      <c r="NBZ364" s="35"/>
      <c r="NCA364" s="35"/>
      <c r="NCB364" s="35"/>
      <c r="NCC364" s="35"/>
      <c r="NCD364" s="34"/>
      <c r="NCE364" s="34"/>
      <c r="NCF364" s="36"/>
      <c r="NCG364" s="36"/>
      <c r="NCH364" s="37"/>
      <c r="NCI364" s="37"/>
      <c r="NCJ364" s="38"/>
      <c r="NCK364" s="38"/>
      <c r="NCL364" s="39"/>
      <c r="NCM364" s="34"/>
      <c r="NCN364" s="34"/>
      <c r="NCO364" s="34"/>
      <c r="NCP364" s="35"/>
      <c r="NCQ364" s="35"/>
      <c r="NCR364" s="35"/>
      <c r="NCS364" s="35"/>
      <c r="NCT364" s="35"/>
      <c r="NCU364" s="34"/>
      <c r="NCV364" s="34"/>
      <c r="NCW364" s="36"/>
      <c r="NCX364" s="36"/>
      <c r="NCY364" s="37"/>
      <c r="NCZ364" s="37"/>
      <c r="NDA364" s="38"/>
      <c r="NDB364" s="38"/>
      <c r="NDC364" s="39"/>
      <c r="NDD364" s="34"/>
      <c r="NDE364" s="34"/>
      <c r="NDF364" s="34"/>
      <c r="NDG364" s="35"/>
      <c r="NDH364" s="35"/>
      <c r="NDI364" s="35"/>
      <c r="NDJ364" s="35"/>
      <c r="NDK364" s="35"/>
      <c r="NDL364" s="34"/>
      <c r="NDM364" s="34"/>
      <c r="NDN364" s="36"/>
      <c r="NDO364" s="36"/>
      <c r="NDP364" s="37"/>
      <c r="NDQ364" s="37"/>
      <c r="NDR364" s="38"/>
      <c r="NDS364" s="38"/>
      <c r="NDT364" s="39"/>
      <c r="NDU364" s="34"/>
      <c r="NDV364" s="34"/>
      <c r="NDW364" s="34"/>
      <c r="NDX364" s="35"/>
      <c r="NDY364" s="35"/>
      <c r="NDZ364" s="35"/>
      <c r="NEA364" s="35"/>
      <c r="NEB364" s="35"/>
      <c r="NEC364" s="34"/>
      <c r="NED364" s="34"/>
      <c r="NEE364" s="36"/>
      <c r="NEF364" s="36"/>
      <c r="NEG364" s="37"/>
      <c r="NEH364" s="37"/>
      <c r="NEI364" s="38"/>
      <c r="NEJ364" s="38"/>
      <c r="NEK364" s="39"/>
      <c r="NEL364" s="34"/>
      <c r="NEM364" s="34"/>
      <c r="NEN364" s="34"/>
      <c r="NEO364" s="35"/>
      <c r="NEP364" s="35"/>
      <c r="NEQ364" s="35"/>
      <c r="NER364" s="35"/>
      <c r="NES364" s="35"/>
      <c r="NET364" s="34"/>
      <c r="NEU364" s="34"/>
      <c r="NEV364" s="36"/>
      <c r="NEW364" s="36"/>
      <c r="NEX364" s="37"/>
      <c r="NEY364" s="37"/>
      <c r="NEZ364" s="38"/>
      <c r="NFA364" s="38"/>
      <c r="NFB364" s="39"/>
      <c r="NFC364" s="34"/>
      <c r="NFD364" s="34"/>
      <c r="NFE364" s="34"/>
      <c r="NFF364" s="35"/>
      <c r="NFG364" s="35"/>
      <c r="NFH364" s="35"/>
      <c r="NFI364" s="35"/>
      <c r="NFJ364" s="35"/>
      <c r="NFK364" s="34"/>
      <c r="NFL364" s="34"/>
      <c r="NFM364" s="36"/>
      <c r="NFN364" s="36"/>
      <c r="NFO364" s="37"/>
      <c r="NFP364" s="37"/>
      <c r="NFQ364" s="38"/>
      <c r="NFR364" s="38"/>
      <c r="NFS364" s="39"/>
      <c r="NFT364" s="34"/>
      <c r="NFU364" s="34"/>
      <c r="NFV364" s="34"/>
      <c r="NFW364" s="35"/>
      <c r="NFX364" s="35"/>
      <c r="NFY364" s="35"/>
      <c r="NFZ364" s="35"/>
      <c r="NGA364" s="35"/>
      <c r="NGB364" s="34"/>
      <c r="NGC364" s="34"/>
      <c r="NGD364" s="36"/>
      <c r="NGE364" s="36"/>
      <c r="NGF364" s="37"/>
      <c r="NGG364" s="37"/>
      <c r="NGH364" s="38"/>
      <c r="NGI364" s="38"/>
      <c r="NGJ364" s="39"/>
      <c r="NGK364" s="34"/>
      <c r="NGL364" s="34"/>
      <c r="NGM364" s="34"/>
      <c r="NGN364" s="35"/>
      <c r="NGO364" s="35"/>
      <c r="NGP364" s="35"/>
      <c r="NGQ364" s="35"/>
      <c r="NGR364" s="35"/>
      <c r="NGS364" s="34"/>
      <c r="NGT364" s="34"/>
      <c r="NGU364" s="36"/>
      <c r="NGV364" s="36"/>
      <c r="NGW364" s="37"/>
      <c r="NGX364" s="37"/>
      <c r="NGY364" s="38"/>
      <c r="NGZ364" s="38"/>
      <c r="NHA364" s="39"/>
      <c r="NHB364" s="34"/>
      <c r="NHC364" s="34"/>
      <c r="NHD364" s="34"/>
      <c r="NHE364" s="35"/>
      <c r="NHF364" s="35"/>
      <c r="NHG364" s="35"/>
      <c r="NHH364" s="35"/>
      <c r="NHI364" s="35"/>
      <c r="NHJ364" s="34"/>
      <c r="NHK364" s="34"/>
      <c r="NHL364" s="36"/>
      <c r="NHM364" s="36"/>
      <c r="NHN364" s="37"/>
      <c r="NHO364" s="37"/>
      <c r="NHP364" s="38"/>
      <c r="NHQ364" s="38"/>
      <c r="NHR364" s="39"/>
      <c r="NHS364" s="34"/>
      <c r="NHT364" s="34"/>
      <c r="NHU364" s="34"/>
      <c r="NHV364" s="35"/>
      <c r="NHW364" s="35"/>
      <c r="NHX364" s="35"/>
      <c r="NHY364" s="35"/>
      <c r="NHZ364" s="35"/>
      <c r="NIA364" s="34"/>
      <c r="NIB364" s="34"/>
      <c r="NIC364" s="36"/>
      <c r="NID364" s="36"/>
      <c r="NIE364" s="37"/>
      <c r="NIF364" s="37"/>
      <c r="NIG364" s="38"/>
      <c r="NIH364" s="38"/>
      <c r="NII364" s="39"/>
      <c r="NIJ364" s="34"/>
      <c r="NIK364" s="34"/>
      <c r="NIL364" s="34"/>
      <c r="NIM364" s="35"/>
      <c r="NIN364" s="35"/>
      <c r="NIO364" s="35"/>
      <c r="NIP364" s="35"/>
      <c r="NIQ364" s="35"/>
      <c r="NIR364" s="34"/>
      <c r="NIS364" s="34"/>
      <c r="NIT364" s="36"/>
      <c r="NIU364" s="36"/>
      <c r="NIV364" s="37"/>
      <c r="NIW364" s="37"/>
      <c r="NIX364" s="38"/>
      <c r="NIY364" s="38"/>
      <c r="NIZ364" s="39"/>
      <c r="NJA364" s="34"/>
      <c r="NJB364" s="34"/>
      <c r="NJC364" s="34"/>
      <c r="NJD364" s="35"/>
      <c r="NJE364" s="35"/>
      <c r="NJF364" s="35"/>
      <c r="NJG364" s="35"/>
      <c r="NJH364" s="35"/>
      <c r="NJI364" s="34"/>
      <c r="NJJ364" s="34"/>
      <c r="NJK364" s="36"/>
      <c r="NJL364" s="36"/>
      <c r="NJM364" s="37"/>
      <c r="NJN364" s="37"/>
      <c r="NJO364" s="38"/>
      <c r="NJP364" s="38"/>
      <c r="NJQ364" s="39"/>
      <c r="NJR364" s="34"/>
      <c r="NJS364" s="34"/>
      <c r="NJT364" s="34"/>
      <c r="NJU364" s="35"/>
      <c r="NJV364" s="35"/>
      <c r="NJW364" s="35"/>
      <c r="NJX364" s="35"/>
      <c r="NJY364" s="35"/>
      <c r="NJZ364" s="34"/>
      <c r="NKA364" s="34"/>
      <c r="NKB364" s="36"/>
      <c r="NKC364" s="36"/>
      <c r="NKD364" s="37"/>
      <c r="NKE364" s="37"/>
      <c r="NKF364" s="38"/>
      <c r="NKG364" s="38"/>
      <c r="NKH364" s="39"/>
      <c r="NKI364" s="34"/>
      <c r="NKJ364" s="34"/>
      <c r="NKK364" s="34"/>
      <c r="NKL364" s="35"/>
      <c r="NKM364" s="35"/>
      <c r="NKN364" s="35"/>
      <c r="NKO364" s="35"/>
      <c r="NKP364" s="35"/>
      <c r="NKQ364" s="34"/>
      <c r="NKR364" s="34"/>
      <c r="NKS364" s="36"/>
      <c r="NKT364" s="36"/>
      <c r="NKU364" s="37"/>
      <c r="NKV364" s="37"/>
      <c r="NKW364" s="38"/>
      <c r="NKX364" s="38"/>
      <c r="NKY364" s="39"/>
      <c r="NKZ364" s="34"/>
      <c r="NLA364" s="34"/>
      <c r="NLB364" s="34"/>
      <c r="NLC364" s="35"/>
      <c r="NLD364" s="35"/>
      <c r="NLE364" s="35"/>
      <c r="NLF364" s="35"/>
      <c r="NLG364" s="35"/>
      <c r="NLH364" s="34"/>
      <c r="NLI364" s="34"/>
      <c r="NLJ364" s="36"/>
      <c r="NLK364" s="36"/>
      <c r="NLL364" s="37"/>
      <c r="NLM364" s="37"/>
      <c r="NLN364" s="38"/>
      <c r="NLO364" s="38"/>
      <c r="NLP364" s="39"/>
      <c r="NLQ364" s="34"/>
      <c r="NLR364" s="34"/>
      <c r="NLS364" s="34"/>
      <c r="NLT364" s="35"/>
      <c r="NLU364" s="35"/>
      <c r="NLV364" s="35"/>
      <c r="NLW364" s="35"/>
      <c r="NLX364" s="35"/>
      <c r="NLY364" s="34"/>
      <c r="NLZ364" s="34"/>
      <c r="NMA364" s="36"/>
      <c r="NMB364" s="36"/>
      <c r="NMC364" s="37"/>
      <c r="NMD364" s="37"/>
      <c r="NME364" s="38"/>
      <c r="NMF364" s="38"/>
      <c r="NMG364" s="39"/>
      <c r="NMH364" s="34"/>
      <c r="NMI364" s="34"/>
      <c r="NMJ364" s="34"/>
      <c r="NMK364" s="35"/>
      <c r="NML364" s="35"/>
      <c r="NMM364" s="35"/>
      <c r="NMN364" s="35"/>
      <c r="NMO364" s="35"/>
      <c r="NMP364" s="34"/>
      <c r="NMQ364" s="34"/>
      <c r="NMR364" s="36"/>
      <c r="NMS364" s="36"/>
      <c r="NMT364" s="37"/>
      <c r="NMU364" s="37"/>
      <c r="NMV364" s="38"/>
      <c r="NMW364" s="38"/>
      <c r="NMX364" s="39"/>
      <c r="NMY364" s="34"/>
      <c r="NMZ364" s="34"/>
      <c r="NNA364" s="34"/>
      <c r="NNB364" s="35"/>
      <c r="NNC364" s="35"/>
      <c r="NND364" s="35"/>
      <c r="NNE364" s="35"/>
      <c r="NNF364" s="35"/>
      <c r="NNG364" s="34"/>
      <c r="NNH364" s="34"/>
      <c r="NNI364" s="36"/>
      <c r="NNJ364" s="36"/>
      <c r="NNK364" s="37"/>
      <c r="NNL364" s="37"/>
      <c r="NNM364" s="38"/>
      <c r="NNN364" s="38"/>
      <c r="NNO364" s="39"/>
      <c r="NNP364" s="34"/>
      <c r="NNQ364" s="34"/>
      <c r="NNR364" s="34"/>
      <c r="NNS364" s="35"/>
      <c r="NNT364" s="35"/>
      <c r="NNU364" s="35"/>
      <c r="NNV364" s="35"/>
      <c r="NNW364" s="35"/>
      <c r="NNX364" s="34"/>
      <c r="NNY364" s="34"/>
      <c r="NNZ364" s="36"/>
      <c r="NOA364" s="36"/>
      <c r="NOB364" s="37"/>
      <c r="NOC364" s="37"/>
      <c r="NOD364" s="38"/>
      <c r="NOE364" s="38"/>
      <c r="NOF364" s="39"/>
      <c r="NOG364" s="34"/>
      <c r="NOH364" s="34"/>
      <c r="NOI364" s="34"/>
      <c r="NOJ364" s="35"/>
      <c r="NOK364" s="35"/>
      <c r="NOL364" s="35"/>
      <c r="NOM364" s="35"/>
      <c r="NON364" s="35"/>
      <c r="NOO364" s="34"/>
      <c r="NOP364" s="34"/>
      <c r="NOQ364" s="36"/>
      <c r="NOR364" s="36"/>
      <c r="NOS364" s="37"/>
      <c r="NOT364" s="37"/>
      <c r="NOU364" s="38"/>
      <c r="NOV364" s="38"/>
      <c r="NOW364" s="39"/>
      <c r="NOX364" s="34"/>
      <c r="NOY364" s="34"/>
      <c r="NOZ364" s="34"/>
      <c r="NPA364" s="35"/>
      <c r="NPB364" s="35"/>
      <c r="NPC364" s="35"/>
      <c r="NPD364" s="35"/>
      <c r="NPE364" s="35"/>
      <c r="NPF364" s="34"/>
      <c r="NPG364" s="34"/>
      <c r="NPH364" s="36"/>
      <c r="NPI364" s="36"/>
      <c r="NPJ364" s="37"/>
      <c r="NPK364" s="37"/>
      <c r="NPL364" s="38"/>
      <c r="NPM364" s="38"/>
      <c r="NPN364" s="39"/>
      <c r="NPO364" s="34"/>
      <c r="NPP364" s="34"/>
      <c r="NPQ364" s="34"/>
      <c r="NPR364" s="35"/>
      <c r="NPS364" s="35"/>
      <c r="NPT364" s="35"/>
      <c r="NPU364" s="35"/>
      <c r="NPV364" s="35"/>
      <c r="NPW364" s="34"/>
      <c r="NPX364" s="34"/>
      <c r="NPY364" s="36"/>
      <c r="NPZ364" s="36"/>
      <c r="NQA364" s="37"/>
      <c r="NQB364" s="37"/>
      <c r="NQC364" s="38"/>
      <c r="NQD364" s="38"/>
      <c r="NQE364" s="39"/>
      <c r="NQF364" s="34"/>
      <c r="NQG364" s="34"/>
      <c r="NQH364" s="34"/>
      <c r="NQI364" s="35"/>
      <c r="NQJ364" s="35"/>
      <c r="NQK364" s="35"/>
      <c r="NQL364" s="35"/>
      <c r="NQM364" s="35"/>
      <c r="NQN364" s="34"/>
      <c r="NQO364" s="34"/>
      <c r="NQP364" s="36"/>
      <c r="NQQ364" s="36"/>
      <c r="NQR364" s="37"/>
      <c r="NQS364" s="37"/>
      <c r="NQT364" s="38"/>
      <c r="NQU364" s="38"/>
      <c r="NQV364" s="39"/>
      <c r="NQW364" s="34"/>
      <c r="NQX364" s="34"/>
      <c r="NQY364" s="34"/>
      <c r="NQZ364" s="35"/>
      <c r="NRA364" s="35"/>
      <c r="NRB364" s="35"/>
      <c r="NRC364" s="35"/>
      <c r="NRD364" s="35"/>
      <c r="NRE364" s="34"/>
      <c r="NRF364" s="34"/>
      <c r="NRG364" s="36"/>
      <c r="NRH364" s="36"/>
      <c r="NRI364" s="37"/>
      <c r="NRJ364" s="37"/>
      <c r="NRK364" s="38"/>
      <c r="NRL364" s="38"/>
      <c r="NRM364" s="39"/>
      <c r="NRN364" s="34"/>
      <c r="NRO364" s="34"/>
      <c r="NRP364" s="34"/>
      <c r="NRQ364" s="35"/>
      <c r="NRR364" s="35"/>
      <c r="NRS364" s="35"/>
      <c r="NRT364" s="35"/>
      <c r="NRU364" s="35"/>
      <c r="NRV364" s="34"/>
      <c r="NRW364" s="34"/>
      <c r="NRX364" s="36"/>
      <c r="NRY364" s="36"/>
      <c r="NRZ364" s="37"/>
      <c r="NSA364" s="37"/>
      <c r="NSB364" s="38"/>
      <c r="NSC364" s="38"/>
      <c r="NSD364" s="39"/>
      <c r="NSE364" s="34"/>
      <c r="NSF364" s="34"/>
      <c r="NSG364" s="34"/>
      <c r="NSH364" s="35"/>
      <c r="NSI364" s="35"/>
      <c r="NSJ364" s="35"/>
      <c r="NSK364" s="35"/>
      <c r="NSL364" s="35"/>
      <c r="NSM364" s="34"/>
      <c r="NSN364" s="34"/>
      <c r="NSO364" s="36"/>
      <c r="NSP364" s="36"/>
      <c r="NSQ364" s="37"/>
      <c r="NSR364" s="37"/>
      <c r="NSS364" s="38"/>
      <c r="NST364" s="38"/>
      <c r="NSU364" s="39"/>
      <c r="NSV364" s="34"/>
      <c r="NSW364" s="34"/>
      <c r="NSX364" s="34"/>
      <c r="NSY364" s="35"/>
      <c r="NSZ364" s="35"/>
      <c r="NTA364" s="35"/>
      <c r="NTB364" s="35"/>
      <c r="NTC364" s="35"/>
      <c r="NTD364" s="34"/>
      <c r="NTE364" s="34"/>
      <c r="NTF364" s="36"/>
      <c r="NTG364" s="36"/>
      <c r="NTH364" s="37"/>
      <c r="NTI364" s="37"/>
      <c r="NTJ364" s="38"/>
      <c r="NTK364" s="38"/>
      <c r="NTL364" s="39"/>
      <c r="NTM364" s="34"/>
      <c r="NTN364" s="34"/>
      <c r="NTO364" s="34"/>
      <c r="NTP364" s="35"/>
      <c r="NTQ364" s="35"/>
      <c r="NTR364" s="35"/>
      <c r="NTS364" s="35"/>
      <c r="NTT364" s="35"/>
      <c r="NTU364" s="34"/>
      <c r="NTV364" s="34"/>
      <c r="NTW364" s="36"/>
      <c r="NTX364" s="36"/>
      <c r="NTY364" s="37"/>
      <c r="NTZ364" s="37"/>
      <c r="NUA364" s="38"/>
      <c r="NUB364" s="38"/>
      <c r="NUC364" s="39"/>
      <c r="NUD364" s="34"/>
      <c r="NUE364" s="34"/>
      <c r="NUF364" s="34"/>
      <c r="NUG364" s="35"/>
      <c r="NUH364" s="35"/>
      <c r="NUI364" s="35"/>
      <c r="NUJ364" s="35"/>
      <c r="NUK364" s="35"/>
      <c r="NUL364" s="34"/>
      <c r="NUM364" s="34"/>
      <c r="NUN364" s="36"/>
      <c r="NUO364" s="36"/>
      <c r="NUP364" s="37"/>
      <c r="NUQ364" s="37"/>
      <c r="NUR364" s="38"/>
      <c r="NUS364" s="38"/>
      <c r="NUT364" s="39"/>
      <c r="NUU364" s="34"/>
      <c r="NUV364" s="34"/>
      <c r="NUW364" s="34"/>
      <c r="NUX364" s="35"/>
      <c r="NUY364" s="35"/>
      <c r="NUZ364" s="35"/>
      <c r="NVA364" s="35"/>
      <c r="NVB364" s="35"/>
      <c r="NVC364" s="34"/>
      <c r="NVD364" s="34"/>
      <c r="NVE364" s="36"/>
      <c r="NVF364" s="36"/>
      <c r="NVG364" s="37"/>
      <c r="NVH364" s="37"/>
      <c r="NVI364" s="38"/>
      <c r="NVJ364" s="38"/>
      <c r="NVK364" s="39"/>
      <c r="NVL364" s="34"/>
      <c r="NVM364" s="34"/>
      <c r="NVN364" s="34"/>
      <c r="NVO364" s="35"/>
      <c r="NVP364" s="35"/>
      <c r="NVQ364" s="35"/>
      <c r="NVR364" s="35"/>
      <c r="NVS364" s="35"/>
      <c r="NVT364" s="34"/>
      <c r="NVU364" s="34"/>
      <c r="NVV364" s="36"/>
      <c r="NVW364" s="36"/>
      <c r="NVX364" s="37"/>
      <c r="NVY364" s="37"/>
      <c r="NVZ364" s="38"/>
      <c r="NWA364" s="38"/>
      <c r="NWB364" s="39"/>
      <c r="NWC364" s="34"/>
      <c r="NWD364" s="34"/>
      <c r="NWE364" s="34"/>
      <c r="NWF364" s="35"/>
      <c r="NWG364" s="35"/>
      <c r="NWH364" s="35"/>
      <c r="NWI364" s="35"/>
      <c r="NWJ364" s="35"/>
      <c r="NWK364" s="34"/>
      <c r="NWL364" s="34"/>
      <c r="NWM364" s="36"/>
      <c r="NWN364" s="36"/>
      <c r="NWO364" s="37"/>
      <c r="NWP364" s="37"/>
      <c r="NWQ364" s="38"/>
      <c r="NWR364" s="38"/>
      <c r="NWS364" s="39"/>
      <c r="NWT364" s="34"/>
      <c r="NWU364" s="34"/>
      <c r="NWV364" s="34"/>
      <c r="NWW364" s="35"/>
      <c r="NWX364" s="35"/>
      <c r="NWY364" s="35"/>
      <c r="NWZ364" s="35"/>
      <c r="NXA364" s="35"/>
      <c r="NXB364" s="34"/>
      <c r="NXC364" s="34"/>
      <c r="NXD364" s="36"/>
      <c r="NXE364" s="36"/>
      <c r="NXF364" s="37"/>
      <c r="NXG364" s="37"/>
      <c r="NXH364" s="38"/>
      <c r="NXI364" s="38"/>
      <c r="NXJ364" s="39"/>
      <c r="NXK364" s="34"/>
      <c r="NXL364" s="34"/>
      <c r="NXM364" s="34"/>
      <c r="NXN364" s="35"/>
      <c r="NXO364" s="35"/>
      <c r="NXP364" s="35"/>
      <c r="NXQ364" s="35"/>
      <c r="NXR364" s="35"/>
      <c r="NXS364" s="34"/>
      <c r="NXT364" s="34"/>
      <c r="NXU364" s="36"/>
      <c r="NXV364" s="36"/>
      <c r="NXW364" s="37"/>
      <c r="NXX364" s="37"/>
      <c r="NXY364" s="38"/>
      <c r="NXZ364" s="38"/>
      <c r="NYA364" s="39"/>
      <c r="NYB364" s="34"/>
      <c r="NYC364" s="34"/>
      <c r="NYD364" s="34"/>
      <c r="NYE364" s="35"/>
      <c r="NYF364" s="35"/>
      <c r="NYG364" s="35"/>
      <c r="NYH364" s="35"/>
      <c r="NYI364" s="35"/>
      <c r="NYJ364" s="34"/>
      <c r="NYK364" s="34"/>
      <c r="NYL364" s="36"/>
      <c r="NYM364" s="36"/>
      <c r="NYN364" s="37"/>
      <c r="NYO364" s="37"/>
      <c r="NYP364" s="38"/>
      <c r="NYQ364" s="38"/>
      <c r="NYR364" s="39"/>
      <c r="NYS364" s="34"/>
      <c r="NYT364" s="34"/>
      <c r="NYU364" s="34"/>
      <c r="NYV364" s="35"/>
      <c r="NYW364" s="35"/>
      <c r="NYX364" s="35"/>
      <c r="NYY364" s="35"/>
      <c r="NYZ364" s="35"/>
      <c r="NZA364" s="34"/>
      <c r="NZB364" s="34"/>
      <c r="NZC364" s="36"/>
      <c r="NZD364" s="36"/>
      <c r="NZE364" s="37"/>
      <c r="NZF364" s="37"/>
      <c r="NZG364" s="38"/>
      <c r="NZH364" s="38"/>
      <c r="NZI364" s="39"/>
      <c r="NZJ364" s="34"/>
      <c r="NZK364" s="34"/>
      <c r="NZL364" s="34"/>
      <c r="NZM364" s="35"/>
      <c r="NZN364" s="35"/>
      <c r="NZO364" s="35"/>
      <c r="NZP364" s="35"/>
      <c r="NZQ364" s="35"/>
      <c r="NZR364" s="34"/>
      <c r="NZS364" s="34"/>
      <c r="NZT364" s="36"/>
      <c r="NZU364" s="36"/>
      <c r="NZV364" s="37"/>
      <c r="NZW364" s="37"/>
      <c r="NZX364" s="38"/>
      <c r="NZY364" s="38"/>
      <c r="NZZ364" s="39"/>
      <c r="OAA364" s="34"/>
      <c r="OAB364" s="34"/>
      <c r="OAC364" s="34"/>
      <c r="OAD364" s="35"/>
      <c r="OAE364" s="35"/>
      <c r="OAF364" s="35"/>
      <c r="OAG364" s="35"/>
      <c r="OAH364" s="35"/>
      <c r="OAI364" s="34"/>
      <c r="OAJ364" s="34"/>
      <c r="OAK364" s="36"/>
      <c r="OAL364" s="36"/>
      <c r="OAM364" s="37"/>
      <c r="OAN364" s="37"/>
      <c r="OAO364" s="38"/>
      <c r="OAP364" s="38"/>
      <c r="OAQ364" s="39"/>
      <c r="OAR364" s="34"/>
      <c r="OAS364" s="34"/>
      <c r="OAT364" s="34"/>
      <c r="OAU364" s="35"/>
      <c r="OAV364" s="35"/>
      <c r="OAW364" s="35"/>
      <c r="OAX364" s="35"/>
      <c r="OAY364" s="35"/>
      <c r="OAZ364" s="34"/>
      <c r="OBA364" s="34"/>
      <c r="OBB364" s="36"/>
      <c r="OBC364" s="36"/>
      <c r="OBD364" s="37"/>
      <c r="OBE364" s="37"/>
      <c r="OBF364" s="38"/>
      <c r="OBG364" s="38"/>
      <c r="OBH364" s="39"/>
      <c r="OBI364" s="34"/>
      <c r="OBJ364" s="34"/>
      <c r="OBK364" s="34"/>
      <c r="OBL364" s="35"/>
      <c r="OBM364" s="35"/>
      <c r="OBN364" s="35"/>
      <c r="OBO364" s="35"/>
      <c r="OBP364" s="35"/>
      <c r="OBQ364" s="34"/>
      <c r="OBR364" s="34"/>
      <c r="OBS364" s="36"/>
      <c r="OBT364" s="36"/>
      <c r="OBU364" s="37"/>
      <c r="OBV364" s="37"/>
      <c r="OBW364" s="38"/>
      <c r="OBX364" s="38"/>
      <c r="OBY364" s="39"/>
      <c r="OBZ364" s="34"/>
      <c r="OCA364" s="34"/>
      <c r="OCB364" s="34"/>
      <c r="OCC364" s="35"/>
      <c r="OCD364" s="35"/>
      <c r="OCE364" s="35"/>
      <c r="OCF364" s="35"/>
      <c r="OCG364" s="35"/>
      <c r="OCH364" s="34"/>
      <c r="OCI364" s="34"/>
      <c r="OCJ364" s="36"/>
      <c r="OCK364" s="36"/>
      <c r="OCL364" s="37"/>
      <c r="OCM364" s="37"/>
      <c r="OCN364" s="38"/>
      <c r="OCO364" s="38"/>
      <c r="OCP364" s="39"/>
      <c r="OCQ364" s="34"/>
      <c r="OCR364" s="34"/>
      <c r="OCS364" s="34"/>
      <c r="OCT364" s="35"/>
      <c r="OCU364" s="35"/>
      <c r="OCV364" s="35"/>
      <c r="OCW364" s="35"/>
      <c r="OCX364" s="35"/>
      <c r="OCY364" s="34"/>
      <c r="OCZ364" s="34"/>
      <c r="ODA364" s="36"/>
      <c r="ODB364" s="36"/>
      <c r="ODC364" s="37"/>
      <c r="ODD364" s="37"/>
      <c r="ODE364" s="38"/>
      <c r="ODF364" s="38"/>
      <c r="ODG364" s="39"/>
      <c r="ODH364" s="34"/>
      <c r="ODI364" s="34"/>
      <c r="ODJ364" s="34"/>
      <c r="ODK364" s="35"/>
      <c r="ODL364" s="35"/>
      <c r="ODM364" s="35"/>
      <c r="ODN364" s="35"/>
      <c r="ODO364" s="35"/>
      <c r="ODP364" s="34"/>
      <c r="ODQ364" s="34"/>
      <c r="ODR364" s="36"/>
      <c r="ODS364" s="36"/>
      <c r="ODT364" s="37"/>
      <c r="ODU364" s="37"/>
      <c r="ODV364" s="38"/>
      <c r="ODW364" s="38"/>
      <c r="ODX364" s="39"/>
      <c r="ODY364" s="34"/>
      <c r="ODZ364" s="34"/>
      <c r="OEA364" s="34"/>
      <c r="OEB364" s="35"/>
      <c r="OEC364" s="35"/>
      <c r="OED364" s="35"/>
      <c r="OEE364" s="35"/>
      <c r="OEF364" s="35"/>
      <c r="OEG364" s="34"/>
      <c r="OEH364" s="34"/>
      <c r="OEI364" s="36"/>
      <c r="OEJ364" s="36"/>
      <c r="OEK364" s="37"/>
      <c r="OEL364" s="37"/>
      <c r="OEM364" s="38"/>
      <c r="OEN364" s="38"/>
      <c r="OEO364" s="39"/>
      <c r="OEP364" s="34"/>
      <c r="OEQ364" s="34"/>
      <c r="OER364" s="34"/>
      <c r="OES364" s="35"/>
      <c r="OET364" s="35"/>
      <c r="OEU364" s="35"/>
      <c r="OEV364" s="35"/>
      <c r="OEW364" s="35"/>
      <c r="OEX364" s="34"/>
      <c r="OEY364" s="34"/>
      <c r="OEZ364" s="36"/>
      <c r="OFA364" s="36"/>
      <c r="OFB364" s="37"/>
      <c r="OFC364" s="37"/>
      <c r="OFD364" s="38"/>
      <c r="OFE364" s="38"/>
      <c r="OFF364" s="39"/>
      <c r="OFG364" s="34"/>
      <c r="OFH364" s="34"/>
      <c r="OFI364" s="34"/>
      <c r="OFJ364" s="35"/>
      <c r="OFK364" s="35"/>
      <c r="OFL364" s="35"/>
      <c r="OFM364" s="35"/>
      <c r="OFN364" s="35"/>
      <c r="OFO364" s="34"/>
      <c r="OFP364" s="34"/>
      <c r="OFQ364" s="36"/>
      <c r="OFR364" s="36"/>
      <c r="OFS364" s="37"/>
      <c r="OFT364" s="37"/>
      <c r="OFU364" s="38"/>
      <c r="OFV364" s="38"/>
      <c r="OFW364" s="39"/>
      <c r="OFX364" s="34"/>
      <c r="OFY364" s="34"/>
      <c r="OFZ364" s="34"/>
      <c r="OGA364" s="35"/>
      <c r="OGB364" s="35"/>
      <c r="OGC364" s="35"/>
      <c r="OGD364" s="35"/>
      <c r="OGE364" s="35"/>
      <c r="OGF364" s="34"/>
      <c r="OGG364" s="34"/>
      <c r="OGH364" s="36"/>
      <c r="OGI364" s="36"/>
      <c r="OGJ364" s="37"/>
      <c r="OGK364" s="37"/>
      <c r="OGL364" s="38"/>
      <c r="OGM364" s="38"/>
      <c r="OGN364" s="39"/>
      <c r="OGO364" s="34"/>
      <c r="OGP364" s="34"/>
      <c r="OGQ364" s="34"/>
      <c r="OGR364" s="35"/>
      <c r="OGS364" s="35"/>
      <c r="OGT364" s="35"/>
      <c r="OGU364" s="35"/>
      <c r="OGV364" s="35"/>
      <c r="OGW364" s="34"/>
      <c r="OGX364" s="34"/>
      <c r="OGY364" s="36"/>
      <c r="OGZ364" s="36"/>
      <c r="OHA364" s="37"/>
      <c r="OHB364" s="37"/>
      <c r="OHC364" s="38"/>
      <c r="OHD364" s="38"/>
      <c r="OHE364" s="39"/>
      <c r="OHF364" s="34"/>
      <c r="OHG364" s="34"/>
      <c r="OHH364" s="34"/>
      <c r="OHI364" s="35"/>
      <c r="OHJ364" s="35"/>
      <c r="OHK364" s="35"/>
      <c r="OHL364" s="35"/>
      <c r="OHM364" s="35"/>
      <c r="OHN364" s="34"/>
      <c r="OHO364" s="34"/>
      <c r="OHP364" s="36"/>
      <c r="OHQ364" s="36"/>
      <c r="OHR364" s="37"/>
      <c r="OHS364" s="37"/>
      <c r="OHT364" s="38"/>
      <c r="OHU364" s="38"/>
      <c r="OHV364" s="39"/>
      <c r="OHW364" s="34"/>
      <c r="OHX364" s="34"/>
      <c r="OHY364" s="34"/>
      <c r="OHZ364" s="35"/>
      <c r="OIA364" s="35"/>
      <c r="OIB364" s="35"/>
      <c r="OIC364" s="35"/>
      <c r="OID364" s="35"/>
      <c r="OIE364" s="34"/>
      <c r="OIF364" s="34"/>
      <c r="OIG364" s="36"/>
      <c r="OIH364" s="36"/>
      <c r="OII364" s="37"/>
      <c r="OIJ364" s="37"/>
      <c r="OIK364" s="38"/>
      <c r="OIL364" s="38"/>
      <c r="OIM364" s="39"/>
      <c r="OIN364" s="34"/>
      <c r="OIO364" s="34"/>
      <c r="OIP364" s="34"/>
      <c r="OIQ364" s="35"/>
      <c r="OIR364" s="35"/>
      <c r="OIS364" s="35"/>
      <c r="OIT364" s="35"/>
      <c r="OIU364" s="35"/>
      <c r="OIV364" s="34"/>
      <c r="OIW364" s="34"/>
      <c r="OIX364" s="36"/>
      <c r="OIY364" s="36"/>
      <c r="OIZ364" s="37"/>
      <c r="OJA364" s="37"/>
      <c r="OJB364" s="38"/>
      <c r="OJC364" s="38"/>
      <c r="OJD364" s="39"/>
      <c r="OJE364" s="34"/>
      <c r="OJF364" s="34"/>
      <c r="OJG364" s="34"/>
      <c r="OJH364" s="35"/>
      <c r="OJI364" s="35"/>
      <c r="OJJ364" s="35"/>
      <c r="OJK364" s="35"/>
      <c r="OJL364" s="35"/>
      <c r="OJM364" s="34"/>
      <c r="OJN364" s="34"/>
      <c r="OJO364" s="36"/>
      <c r="OJP364" s="36"/>
      <c r="OJQ364" s="37"/>
      <c r="OJR364" s="37"/>
      <c r="OJS364" s="38"/>
      <c r="OJT364" s="38"/>
      <c r="OJU364" s="39"/>
      <c r="OJV364" s="34"/>
      <c r="OJW364" s="34"/>
      <c r="OJX364" s="34"/>
      <c r="OJY364" s="35"/>
      <c r="OJZ364" s="35"/>
      <c r="OKA364" s="35"/>
      <c r="OKB364" s="35"/>
      <c r="OKC364" s="35"/>
      <c r="OKD364" s="34"/>
      <c r="OKE364" s="34"/>
      <c r="OKF364" s="36"/>
      <c r="OKG364" s="36"/>
      <c r="OKH364" s="37"/>
      <c r="OKI364" s="37"/>
      <c r="OKJ364" s="38"/>
      <c r="OKK364" s="38"/>
      <c r="OKL364" s="39"/>
      <c r="OKM364" s="34"/>
      <c r="OKN364" s="34"/>
      <c r="OKO364" s="34"/>
      <c r="OKP364" s="35"/>
      <c r="OKQ364" s="35"/>
      <c r="OKR364" s="35"/>
      <c r="OKS364" s="35"/>
      <c r="OKT364" s="35"/>
      <c r="OKU364" s="34"/>
      <c r="OKV364" s="34"/>
      <c r="OKW364" s="36"/>
      <c r="OKX364" s="36"/>
      <c r="OKY364" s="37"/>
      <c r="OKZ364" s="37"/>
      <c r="OLA364" s="38"/>
      <c r="OLB364" s="38"/>
      <c r="OLC364" s="39"/>
      <c r="OLD364" s="34"/>
      <c r="OLE364" s="34"/>
      <c r="OLF364" s="34"/>
      <c r="OLG364" s="35"/>
      <c r="OLH364" s="35"/>
      <c r="OLI364" s="35"/>
      <c r="OLJ364" s="35"/>
      <c r="OLK364" s="35"/>
      <c r="OLL364" s="34"/>
      <c r="OLM364" s="34"/>
      <c r="OLN364" s="36"/>
      <c r="OLO364" s="36"/>
      <c r="OLP364" s="37"/>
      <c r="OLQ364" s="37"/>
      <c r="OLR364" s="38"/>
      <c r="OLS364" s="38"/>
      <c r="OLT364" s="39"/>
      <c r="OLU364" s="34"/>
      <c r="OLV364" s="34"/>
      <c r="OLW364" s="34"/>
      <c r="OLX364" s="35"/>
      <c r="OLY364" s="35"/>
      <c r="OLZ364" s="35"/>
      <c r="OMA364" s="35"/>
      <c r="OMB364" s="35"/>
      <c r="OMC364" s="34"/>
      <c r="OMD364" s="34"/>
      <c r="OME364" s="36"/>
      <c r="OMF364" s="36"/>
      <c r="OMG364" s="37"/>
      <c r="OMH364" s="37"/>
      <c r="OMI364" s="38"/>
      <c r="OMJ364" s="38"/>
      <c r="OMK364" s="39"/>
      <c r="OML364" s="34"/>
      <c r="OMM364" s="34"/>
      <c r="OMN364" s="34"/>
      <c r="OMO364" s="35"/>
      <c r="OMP364" s="35"/>
      <c r="OMQ364" s="35"/>
      <c r="OMR364" s="35"/>
      <c r="OMS364" s="35"/>
      <c r="OMT364" s="34"/>
      <c r="OMU364" s="34"/>
      <c r="OMV364" s="36"/>
      <c r="OMW364" s="36"/>
      <c r="OMX364" s="37"/>
      <c r="OMY364" s="37"/>
      <c r="OMZ364" s="38"/>
      <c r="ONA364" s="38"/>
      <c r="ONB364" s="39"/>
      <c r="ONC364" s="34"/>
      <c r="OND364" s="34"/>
      <c r="ONE364" s="34"/>
      <c r="ONF364" s="35"/>
      <c r="ONG364" s="35"/>
      <c r="ONH364" s="35"/>
      <c r="ONI364" s="35"/>
      <c r="ONJ364" s="35"/>
      <c r="ONK364" s="34"/>
      <c r="ONL364" s="34"/>
      <c r="ONM364" s="36"/>
      <c r="ONN364" s="36"/>
      <c r="ONO364" s="37"/>
      <c r="ONP364" s="37"/>
      <c r="ONQ364" s="38"/>
      <c r="ONR364" s="38"/>
      <c r="ONS364" s="39"/>
      <c r="ONT364" s="34"/>
      <c r="ONU364" s="34"/>
      <c r="ONV364" s="34"/>
      <c r="ONW364" s="35"/>
      <c r="ONX364" s="35"/>
      <c r="ONY364" s="35"/>
      <c r="ONZ364" s="35"/>
      <c r="OOA364" s="35"/>
      <c r="OOB364" s="34"/>
      <c r="OOC364" s="34"/>
      <c r="OOD364" s="36"/>
      <c r="OOE364" s="36"/>
      <c r="OOF364" s="37"/>
      <c r="OOG364" s="37"/>
      <c r="OOH364" s="38"/>
      <c r="OOI364" s="38"/>
      <c r="OOJ364" s="39"/>
      <c r="OOK364" s="34"/>
      <c r="OOL364" s="34"/>
      <c r="OOM364" s="34"/>
      <c r="OON364" s="35"/>
      <c r="OOO364" s="35"/>
      <c r="OOP364" s="35"/>
      <c r="OOQ364" s="35"/>
      <c r="OOR364" s="35"/>
      <c r="OOS364" s="34"/>
      <c r="OOT364" s="34"/>
      <c r="OOU364" s="36"/>
      <c r="OOV364" s="36"/>
      <c r="OOW364" s="37"/>
      <c r="OOX364" s="37"/>
      <c r="OOY364" s="38"/>
      <c r="OOZ364" s="38"/>
      <c r="OPA364" s="39"/>
      <c r="OPB364" s="34"/>
      <c r="OPC364" s="34"/>
      <c r="OPD364" s="34"/>
      <c r="OPE364" s="35"/>
      <c r="OPF364" s="35"/>
      <c r="OPG364" s="35"/>
      <c r="OPH364" s="35"/>
      <c r="OPI364" s="35"/>
      <c r="OPJ364" s="34"/>
      <c r="OPK364" s="34"/>
      <c r="OPL364" s="36"/>
      <c r="OPM364" s="36"/>
      <c r="OPN364" s="37"/>
      <c r="OPO364" s="37"/>
      <c r="OPP364" s="38"/>
      <c r="OPQ364" s="38"/>
      <c r="OPR364" s="39"/>
      <c r="OPS364" s="34"/>
      <c r="OPT364" s="34"/>
      <c r="OPU364" s="34"/>
      <c r="OPV364" s="35"/>
      <c r="OPW364" s="35"/>
      <c r="OPX364" s="35"/>
      <c r="OPY364" s="35"/>
      <c r="OPZ364" s="35"/>
      <c r="OQA364" s="34"/>
      <c r="OQB364" s="34"/>
      <c r="OQC364" s="36"/>
      <c r="OQD364" s="36"/>
      <c r="OQE364" s="37"/>
      <c r="OQF364" s="37"/>
      <c r="OQG364" s="38"/>
      <c r="OQH364" s="38"/>
      <c r="OQI364" s="39"/>
      <c r="OQJ364" s="34"/>
      <c r="OQK364" s="34"/>
      <c r="OQL364" s="34"/>
      <c r="OQM364" s="35"/>
      <c r="OQN364" s="35"/>
      <c r="OQO364" s="35"/>
      <c r="OQP364" s="35"/>
      <c r="OQQ364" s="35"/>
      <c r="OQR364" s="34"/>
      <c r="OQS364" s="34"/>
      <c r="OQT364" s="36"/>
      <c r="OQU364" s="36"/>
      <c r="OQV364" s="37"/>
      <c r="OQW364" s="37"/>
      <c r="OQX364" s="38"/>
      <c r="OQY364" s="38"/>
      <c r="OQZ364" s="39"/>
      <c r="ORA364" s="34"/>
      <c r="ORB364" s="34"/>
      <c r="ORC364" s="34"/>
      <c r="ORD364" s="35"/>
      <c r="ORE364" s="35"/>
      <c r="ORF364" s="35"/>
      <c r="ORG364" s="35"/>
      <c r="ORH364" s="35"/>
      <c r="ORI364" s="34"/>
      <c r="ORJ364" s="34"/>
      <c r="ORK364" s="36"/>
      <c r="ORL364" s="36"/>
      <c r="ORM364" s="37"/>
      <c r="ORN364" s="37"/>
      <c r="ORO364" s="38"/>
      <c r="ORP364" s="38"/>
      <c r="ORQ364" s="39"/>
      <c r="ORR364" s="34"/>
      <c r="ORS364" s="34"/>
      <c r="ORT364" s="34"/>
      <c r="ORU364" s="35"/>
      <c r="ORV364" s="35"/>
      <c r="ORW364" s="35"/>
      <c r="ORX364" s="35"/>
      <c r="ORY364" s="35"/>
      <c r="ORZ364" s="34"/>
      <c r="OSA364" s="34"/>
      <c r="OSB364" s="36"/>
      <c r="OSC364" s="36"/>
      <c r="OSD364" s="37"/>
      <c r="OSE364" s="37"/>
      <c r="OSF364" s="38"/>
      <c r="OSG364" s="38"/>
      <c r="OSH364" s="39"/>
      <c r="OSI364" s="34"/>
      <c r="OSJ364" s="34"/>
      <c r="OSK364" s="34"/>
      <c r="OSL364" s="35"/>
      <c r="OSM364" s="35"/>
      <c r="OSN364" s="35"/>
      <c r="OSO364" s="35"/>
      <c r="OSP364" s="35"/>
      <c r="OSQ364" s="34"/>
      <c r="OSR364" s="34"/>
      <c r="OSS364" s="36"/>
      <c r="OST364" s="36"/>
      <c r="OSU364" s="37"/>
      <c r="OSV364" s="37"/>
      <c r="OSW364" s="38"/>
      <c r="OSX364" s="38"/>
      <c r="OSY364" s="39"/>
      <c r="OSZ364" s="34"/>
      <c r="OTA364" s="34"/>
      <c r="OTB364" s="34"/>
      <c r="OTC364" s="35"/>
      <c r="OTD364" s="35"/>
      <c r="OTE364" s="35"/>
      <c r="OTF364" s="35"/>
      <c r="OTG364" s="35"/>
      <c r="OTH364" s="34"/>
      <c r="OTI364" s="34"/>
      <c r="OTJ364" s="36"/>
      <c r="OTK364" s="36"/>
      <c r="OTL364" s="37"/>
      <c r="OTM364" s="37"/>
      <c r="OTN364" s="38"/>
      <c r="OTO364" s="38"/>
      <c r="OTP364" s="39"/>
      <c r="OTQ364" s="34"/>
      <c r="OTR364" s="34"/>
      <c r="OTS364" s="34"/>
      <c r="OTT364" s="35"/>
      <c r="OTU364" s="35"/>
      <c r="OTV364" s="35"/>
      <c r="OTW364" s="35"/>
      <c r="OTX364" s="35"/>
      <c r="OTY364" s="34"/>
      <c r="OTZ364" s="34"/>
      <c r="OUA364" s="36"/>
      <c r="OUB364" s="36"/>
      <c r="OUC364" s="37"/>
      <c r="OUD364" s="37"/>
      <c r="OUE364" s="38"/>
      <c r="OUF364" s="38"/>
      <c r="OUG364" s="39"/>
      <c r="OUH364" s="34"/>
      <c r="OUI364" s="34"/>
      <c r="OUJ364" s="34"/>
      <c r="OUK364" s="35"/>
      <c r="OUL364" s="35"/>
      <c r="OUM364" s="35"/>
      <c r="OUN364" s="35"/>
      <c r="OUO364" s="35"/>
      <c r="OUP364" s="34"/>
      <c r="OUQ364" s="34"/>
      <c r="OUR364" s="36"/>
      <c r="OUS364" s="36"/>
      <c r="OUT364" s="37"/>
      <c r="OUU364" s="37"/>
      <c r="OUV364" s="38"/>
      <c r="OUW364" s="38"/>
      <c r="OUX364" s="39"/>
      <c r="OUY364" s="34"/>
      <c r="OUZ364" s="34"/>
      <c r="OVA364" s="34"/>
      <c r="OVB364" s="35"/>
      <c r="OVC364" s="35"/>
      <c r="OVD364" s="35"/>
      <c r="OVE364" s="35"/>
      <c r="OVF364" s="35"/>
      <c r="OVG364" s="34"/>
      <c r="OVH364" s="34"/>
      <c r="OVI364" s="36"/>
      <c r="OVJ364" s="36"/>
      <c r="OVK364" s="37"/>
      <c r="OVL364" s="37"/>
      <c r="OVM364" s="38"/>
      <c r="OVN364" s="38"/>
      <c r="OVO364" s="39"/>
      <c r="OVP364" s="34"/>
      <c r="OVQ364" s="34"/>
      <c r="OVR364" s="34"/>
      <c r="OVS364" s="35"/>
      <c r="OVT364" s="35"/>
      <c r="OVU364" s="35"/>
      <c r="OVV364" s="35"/>
      <c r="OVW364" s="35"/>
      <c r="OVX364" s="34"/>
      <c r="OVY364" s="34"/>
      <c r="OVZ364" s="36"/>
      <c r="OWA364" s="36"/>
      <c r="OWB364" s="37"/>
      <c r="OWC364" s="37"/>
      <c r="OWD364" s="38"/>
      <c r="OWE364" s="38"/>
      <c r="OWF364" s="39"/>
      <c r="OWG364" s="34"/>
      <c r="OWH364" s="34"/>
      <c r="OWI364" s="34"/>
      <c r="OWJ364" s="35"/>
      <c r="OWK364" s="35"/>
      <c r="OWL364" s="35"/>
      <c r="OWM364" s="35"/>
      <c r="OWN364" s="35"/>
      <c r="OWO364" s="34"/>
      <c r="OWP364" s="34"/>
      <c r="OWQ364" s="36"/>
      <c r="OWR364" s="36"/>
      <c r="OWS364" s="37"/>
      <c r="OWT364" s="37"/>
      <c r="OWU364" s="38"/>
      <c r="OWV364" s="38"/>
      <c r="OWW364" s="39"/>
      <c r="OWX364" s="34"/>
      <c r="OWY364" s="34"/>
      <c r="OWZ364" s="34"/>
      <c r="OXA364" s="35"/>
      <c r="OXB364" s="35"/>
      <c r="OXC364" s="35"/>
      <c r="OXD364" s="35"/>
      <c r="OXE364" s="35"/>
      <c r="OXF364" s="34"/>
      <c r="OXG364" s="34"/>
      <c r="OXH364" s="36"/>
      <c r="OXI364" s="36"/>
      <c r="OXJ364" s="37"/>
      <c r="OXK364" s="37"/>
      <c r="OXL364" s="38"/>
      <c r="OXM364" s="38"/>
      <c r="OXN364" s="39"/>
      <c r="OXO364" s="34"/>
      <c r="OXP364" s="34"/>
      <c r="OXQ364" s="34"/>
      <c r="OXR364" s="35"/>
      <c r="OXS364" s="35"/>
      <c r="OXT364" s="35"/>
      <c r="OXU364" s="35"/>
      <c r="OXV364" s="35"/>
      <c r="OXW364" s="34"/>
      <c r="OXX364" s="34"/>
      <c r="OXY364" s="36"/>
      <c r="OXZ364" s="36"/>
      <c r="OYA364" s="37"/>
      <c r="OYB364" s="37"/>
      <c r="OYC364" s="38"/>
      <c r="OYD364" s="38"/>
      <c r="OYE364" s="39"/>
      <c r="OYF364" s="34"/>
      <c r="OYG364" s="34"/>
      <c r="OYH364" s="34"/>
      <c r="OYI364" s="35"/>
      <c r="OYJ364" s="35"/>
      <c r="OYK364" s="35"/>
      <c r="OYL364" s="35"/>
      <c r="OYM364" s="35"/>
      <c r="OYN364" s="34"/>
      <c r="OYO364" s="34"/>
      <c r="OYP364" s="36"/>
      <c r="OYQ364" s="36"/>
      <c r="OYR364" s="37"/>
      <c r="OYS364" s="37"/>
      <c r="OYT364" s="38"/>
      <c r="OYU364" s="38"/>
      <c r="OYV364" s="39"/>
      <c r="OYW364" s="34"/>
      <c r="OYX364" s="34"/>
      <c r="OYY364" s="34"/>
      <c r="OYZ364" s="35"/>
      <c r="OZA364" s="35"/>
      <c r="OZB364" s="35"/>
      <c r="OZC364" s="35"/>
      <c r="OZD364" s="35"/>
      <c r="OZE364" s="34"/>
      <c r="OZF364" s="34"/>
      <c r="OZG364" s="36"/>
      <c r="OZH364" s="36"/>
      <c r="OZI364" s="37"/>
      <c r="OZJ364" s="37"/>
      <c r="OZK364" s="38"/>
      <c r="OZL364" s="38"/>
      <c r="OZM364" s="39"/>
      <c r="OZN364" s="34"/>
      <c r="OZO364" s="34"/>
      <c r="OZP364" s="34"/>
      <c r="OZQ364" s="35"/>
      <c r="OZR364" s="35"/>
      <c r="OZS364" s="35"/>
      <c r="OZT364" s="35"/>
      <c r="OZU364" s="35"/>
      <c r="OZV364" s="34"/>
      <c r="OZW364" s="34"/>
      <c r="OZX364" s="36"/>
      <c r="OZY364" s="36"/>
      <c r="OZZ364" s="37"/>
      <c r="PAA364" s="37"/>
      <c r="PAB364" s="38"/>
      <c r="PAC364" s="38"/>
      <c r="PAD364" s="39"/>
      <c r="PAE364" s="34"/>
      <c r="PAF364" s="34"/>
      <c r="PAG364" s="34"/>
      <c r="PAH364" s="35"/>
      <c r="PAI364" s="35"/>
      <c r="PAJ364" s="35"/>
      <c r="PAK364" s="35"/>
      <c r="PAL364" s="35"/>
      <c r="PAM364" s="34"/>
      <c r="PAN364" s="34"/>
      <c r="PAO364" s="36"/>
      <c r="PAP364" s="36"/>
      <c r="PAQ364" s="37"/>
      <c r="PAR364" s="37"/>
      <c r="PAS364" s="38"/>
      <c r="PAT364" s="38"/>
      <c r="PAU364" s="39"/>
      <c r="PAV364" s="34"/>
      <c r="PAW364" s="34"/>
      <c r="PAX364" s="34"/>
      <c r="PAY364" s="35"/>
      <c r="PAZ364" s="35"/>
      <c r="PBA364" s="35"/>
      <c r="PBB364" s="35"/>
      <c r="PBC364" s="35"/>
      <c r="PBD364" s="34"/>
      <c r="PBE364" s="34"/>
      <c r="PBF364" s="36"/>
      <c r="PBG364" s="36"/>
      <c r="PBH364" s="37"/>
      <c r="PBI364" s="37"/>
      <c r="PBJ364" s="38"/>
      <c r="PBK364" s="38"/>
      <c r="PBL364" s="39"/>
      <c r="PBM364" s="34"/>
      <c r="PBN364" s="34"/>
      <c r="PBO364" s="34"/>
      <c r="PBP364" s="35"/>
      <c r="PBQ364" s="35"/>
      <c r="PBR364" s="35"/>
      <c r="PBS364" s="35"/>
      <c r="PBT364" s="35"/>
      <c r="PBU364" s="34"/>
      <c r="PBV364" s="34"/>
      <c r="PBW364" s="36"/>
      <c r="PBX364" s="36"/>
      <c r="PBY364" s="37"/>
      <c r="PBZ364" s="37"/>
      <c r="PCA364" s="38"/>
      <c r="PCB364" s="38"/>
      <c r="PCC364" s="39"/>
      <c r="PCD364" s="34"/>
      <c r="PCE364" s="34"/>
      <c r="PCF364" s="34"/>
      <c r="PCG364" s="35"/>
      <c r="PCH364" s="35"/>
      <c r="PCI364" s="35"/>
      <c r="PCJ364" s="35"/>
      <c r="PCK364" s="35"/>
      <c r="PCL364" s="34"/>
      <c r="PCM364" s="34"/>
      <c r="PCN364" s="36"/>
      <c r="PCO364" s="36"/>
      <c r="PCP364" s="37"/>
      <c r="PCQ364" s="37"/>
      <c r="PCR364" s="38"/>
      <c r="PCS364" s="38"/>
      <c r="PCT364" s="39"/>
      <c r="PCU364" s="34"/>
      <c r="PCV364" s="34"/>
      <c r="PCW364" s="34"/>
      <c r="PCX364" s="35"/>
      <c r="PCY364" s="35"/>
      <c r="PCZ364" s="35"/>
      <c r="PDA364" s="35"/>
      <c r="PDB364" s="35"/>
      <c r="PDC364" s="34"/>
      <c r="PDD364" s="34"/>
      <c r="PDE364" s="36"/>
      <c r="PDF364" s="36"/>
      <c r="PDG364" s="37"/>
      <c r="PDH364" s="37"/>
      <c r="PDI364" s="38"/>
      <c r="PDJ364" s="38"/>
      <c r="PDK364" s="39"/>
      <c r="PDL364" s="34"/>
      <c r="PDM364" s="34"/>
      <c r="PDN364" s="34"/>
      <c r="PDO364" s="35"/>
      <c r="PDP364" s="35"/>
      <c r="PDQ364" s="35"/>
      <c r="PDR364" s="35"/>
      <c r="PDS364" s="35"/>
      <c r="PDT364" s="34"/>
      <c r="PDU364" s="34"/>
      <c r="PDV364" s="36"/>
      <c r="PDW364" s="36"/>
      <c r="PDX364" s="37"/>
      <c r="PDY364" s="37"/>
      <c r="PDZ364" s="38"/>
      <c r="PEA364" s="38"/>
      <c r="PEB364" s="39"/>
      <c r="PEC364" s="34"/>
      <c r="PED364" s="34"/>
      <c r="PEE364" s="34"/>
      <c r="PEF364" s="35"/>
      <c r="PEG364" s="35"/>
      <c r="PEH364" s="35"/>
      <c r="PEI364" s="35"/>
      <c r="PEJ364" s="35"/>
      <c r="PEK364" s="34"/>
      <c r="PEL364" s="34"/>
      <c r="PEM364" s="36"/>
      <c r="PEN364" s="36"/>
      <c r="PEO364" s="37"/>
      <c r="PEP364" s="37"/>
      <c r="PEQ364" s="38"/>
      <c r="PER364" s="38"/>
      <c r="PES364" s="39"/>
      <c r="PET364" s="34"/>
      <c r="PEU364" s="34"/>
      <c r="PEV364" s="34"/>
      <c r="PEW364" s="35"/>
      <c r="PEX364" s="35"/>
      <c r="PEY364" s="35"/>
      <c r="PEZ364" s="35"/>
      <c r="PFA364" s="35"/>
      <c r="PFB364" s="34"/>
      <c r="PFC364" s="34"/>
      <c r="PFD364" s="36"/>
      <c r="PFE364" s="36"/>
      <c r="PFF364" s="37"/>
      <c r="PFG364" s="37"/>
      <c r="PFH364" s="38"/>
      <c r="PFI364" s="38"/>
      <c r="PFJ364" s="39"/>
      <c r="PFK364" s="34"/>
      <c r="PFL364" s="34"/>
      <c r="PFM364" s="34"/>
      <c r="PFN364" s="35"/>
      <c r="PFO364" s="35"/>
      <c r="PFP364" s="35"/>
      <c r="PFQ364" s="35"/>
      <c r="PFR364" s="35"/>
      <c r="PFS364" s="34"/>
      <c r="PFT364" s="34"/>
      <c r="PFU364" s="36"/>
      <c r="PFV364" s="36"/>
      <c r="PFW364" s="37"/>
      <c r="PFX364" s="37"/>
      <c r="PFY364" s="38"/>
      <c r="PFZ364" s="38"/>
      <c r="PGA364" s="39"/>
      <c r="PGB364" s="34"/>
      <c r="PGC364" s="34"/>
      <c r="PGD364" s="34"/>
      <c r="PGE364" s="35"/>
      <c r="PGF364" s="35"/>
      <c r="PGG364" s="35"/>
      <c r="PGH364" s="35"/>
      <c r="PGI364" s="35"/>
      <c r="PGJ364" s="34"/>
      <c r="PGK364" s="34"/>
      <c r="PGL364" s="36"/>
      <c r="PGM364" s="36"/>
      <c r="PGN364" s="37"/>
      <c r="PGO364" s="37"/>
      <c r="PGP364" s="38"/>
      <c r="PGQ364" s="38"/>
      <c r="PGR364" s="39"/>
      <c r="PGS364" s="34"/>
      <c r="PGT364" s="34"/>
      <c r="PGU364" s="34"/>
      <c r="PGV364" s="35"/>
      <c r="PGW364" s="35"/>
      <c r="PGX364" s="35"/>
      <c r="PGY364" s="35"/>
      <c r="PGZ364" s="35"/>
      <c r="PHA364" s="34"/>
      <c r="PHB364" s="34"/>
      <c r="PHC364" s="36"/>
      <c r="PHD364" s="36"/>
      <c r="PHE364" s="37"/>
      <c r="PHF364" s="37"/>
      <c r="PHG364" s="38"/>
      <c r="PHH364" s="38"/>
      <c r="PHI364" s="39"/>
      <c r="PHJ364" s="34"/>
      <c r="PHK364" s="34"/>
      <c r="PHL364" s="34"/>
      <c r="PHM364" s="35"/>
      <c r="PHN364" s="35"/>
      <c r="PHO364" s="35"/>
      <c r="PHP364" s="35"/>
      <c r="PHQ364" s="35"/>
      <c r="PHR364" s="34"/>
      <c r="PHS364" s="34"/>
      <c r="PHT364" s="36"/>
      <c r="PHU364" s="36"/>
      <c r="PHV364" s="37"/>
      <c r="PHW364" s="37"/>
      <c r="PHX364" s="38"/>
      <c r="PHY364" s="38"/>
      <c r="PHZ364" s="39"/>
      <c r="PIA364" s="34"/>
      <c r="PIB364" s="34"/>
      <c r="PIC364" s="34"/>
      <c r="PID364" s="35"/>
      <c r="PIE364" s="35"/>
      <c r="PIF364" s="35"/>
      <c r="PIG364" s="35"/>
      <c r="PIH364" s="35"/>
      <c r="PII364" s="34"/>
      <c r="PIJ364" s="34"/>
      <c r="PIK364" s="36"/>
      <c r="PIL364" s="36"/>
      <c r="PIM364" s="37"/>
      <c r="PIN364" s="37"/>
      <c r="PIO364" s="38"/>
      <c r="PIP364" s="38"/>
      <c r="PIQ364" s="39"/>
      <c r="PIR364" s="34"/>
      <c r="PIS364" s="34"/>
      <c r="PIT364" s="34"/>
      <c r="PIU364" s="35"/>
      <c r="PIV364" s="35"/>
      <c r="PIW364" s="35"/>
      <c r="PIX364" s="35"/>
      <c r="PIY364" s="35"/>
      <c r="PIZ364" s="34"/>
      <c r="PJA364" s="34"/>
      <c r="PJB364" s="36"/>
      <c r="PJC364" s="36"/>
      <c r="PJD364" s="37"/>
      <c r="PJE364" s="37"/>
      <c r="PJF364" s="38"/>
      <c r="PJG364" s="38"/>
      <c r="PJH364" s="39"/>
      <c r="PJI364" s="34"/>
      <c r="PJJ364" s="34"/>
      <c r="PJK364" s="34"/>
      <c r="PJL364" s="35"/>
      <c r="PJM364" s="35"/>
      <c r="PJN364" s="35"/>
      <c r="PJO364" s="35"/>
      <c r="PJP364" s="35"/>
      <c r="PJQ364" s="34"/>
      <c r="PJR364" s="34"/>
      <c r="PJS364" s="36"/>
      <c r="PJT364" s="36"/>
      <c r="PJU364" s="37"/>
      <c r="PJV364" s="37"/>
      <c r="PJW364" s="38"/>
      <c r="PJX364" s="38"/>
      <c r="PJY364" s="39"/>
      <c r="PJZ364" s="34"/>
      <c r="PKA364" s="34"/>
      <c r="PKB364" s="34"/>
      <c r="PKC364" s="35"/>
      <c r="PKD364" s="35"/>
      <c r="PKE364" s="35"/>
      <c r="PKF364" s="35"/>
      <c r="PKG364" s="35"/>
      <c r="PKH364" s="34"/>
      <c r="PKI364" s="34"/>
      <c r="PKJ364" s="36"/>
      <c r="PKK364" s="36"/>
      <c r="PKL364" s="37"/>
      <c r="PKM364" s="37"/>
      <c r="PKN364" s="38"/>
      <c r="PKO364" s="38"/>
      <c r="PKP364" s="39"/>
      <c r="PKQ364" s="34"/>
      <c r="PKR364" s="34"/>
      <c r="PKS364" s="34"/>
      <c r="PKT364" s="35"/>
      <c r="PKU364" s="35"/>
      <c r="PKV364" s="35"/>
      <c r="PKW364" s="35"/>
      <c r="PKX364" s="35"/>
      <c r="PKY364" s="34"/>
      <c r="PKZ364" s="34"/>
      <c r="PLA364" s="36"/>
      <c r="PLB364" s="36"/>
      <c r="PLC364" s="37"/>
      <c r="PLD364" s="37"/>
      <c r="PLE364" s="38"/>
      <c r="PLF364" s="38"/>
      <c r="PLG364" s="39"/>
      <c r="PLH364" s="34"/>
      <c r="PLI364" s="34"/>
      <c r="PLJ364" s="34"/>
      <c r="PLK364" s="35"/>
      <c r="PLL364" s="35"/>
      <c r="PLM364" s="35"/>
      <c r="PLN364" s="35"/>
      <c r="PLO364" s="35"/>
      <c r="PLP364" s="34"/>
      <c r="PLQ364" s="34"/>
      <c r="PLR364" s="36"/>
      <c r="PLS364" s="36"/>
      <c r="PLT364" s="37"/>
      <c r="PLU364" s="37"/>
      <c r="PLV364" s="38"/>
      <c r="PLW364" s="38"/>
      <c r="PLX364" s="39"/>
      <c r="PLY364" s="34"/>
      <c r="PLZ364" s="34"/>
      <c r="PMA364" s="34"/>
      <c r="PMB364" s="35"/>
      <c r="PMC364" s="35"/>
      <c r="PMD364" s="35"/>
      <c r="PME364" s="35"/>
      <c r="PMF364" s="35"/>
      <c r="PMG364" s="34"/>
      <c r="PMH364" s="34"/>
      <c r="PMI364" s="36"/>
      <c r="PMJ364" s="36"/>
      <c r="PMK364" s="37"/>
      <c r="PML364" s="37"/>
      <c r="PMM364" s="38"/>
      <c r="PMN364" s="38"/>
      <c r="PMO364" s="39"/>
      <c r="PMP364" s="34"/>
      <c r="PMQ364" s="34"/>
      <c r="PMR364" s="34"/>
      <c r="PMS364" s="35"/>
      <c r="PMT364" s="35"/>
      <c r="PMU364" s="35"/>
      <c r="PMV364" s="35"/>
      <c r="PMW364" s="35"/>
      <c r="PMX364" s="34"/>
      <c r="PMY364" s="34"/>
      <c r="PMZ364" s="36"/>
      <c r="PNA364" s="36"/>
      <c r="PNB364" s="37"/>
      <c r="PNC364" s="37"/>
      <c r="PND364" s="38"/>
      <c r="PNE364" s="38"/>
      <c r="PNF364" s="39"/>
      <c r="PNG364" s="34"/>
      <c r="PNH364" s="34"/>
      <c r="PNI364" s="34"/>
      <c r="PNJ364" s="35"/>
      <c r="PNK364" s="35"/>
      <c r="PNL364" s="35"/>
      <c r="PNM364" s="35"/>
      <c r="PNN364" s="35"/>
      <c r="PNO364" s="34"/>
      <c r="PNP364" s="34"/>
      <c r="PNQ364" s="36"/>
      <c r="PNR364" s="36"/>
      <c r="PNS364" s="37"/>
      <c r="PNT364" s="37"/>
      <c r="PNU364" s="38"/>
      <c r="PNV364" s="38"/>
      <c r="PNW364" s="39"/>
      <c r="PNX364" s="34"/>
      <c r="PNY364" s="34"/>
      <c r="PNZ364" s="34"/>
      <c r="POA364" s="35"/>
      <c r="POB364" s="35"/>
      <c r="POC364" s="35"/>
      <c r="POD364" s="35"/>
      <c r="POE364" s="35"/>
      <c r="POF364" s="34"/>
      <c r="POG364" s="34"/>
      <c r="POH364" s="36"/>
      <c r="POI364" s="36"/>
      <c r="POJ364" s="37"/>
      <c r="POK364" s="37"/>
      <c r="POL364" s="38"/>
      <c r="POM364" s="38"/>
      <c r="PON364" s="39"/>
      <c r="POO364" s="34"/>
      <c r="POP364" s="34"/>
      <c r="POQ364" s="34"/>
      <c r="POR364" s="35"/>
      <c r="POS364" s="35"/>
      <c r="POT364" s="35"/>
      <c r="POU364" s="35"/>
      <c r="POV364" s="35"/>
      <c r="POW364" s="34"/>
      <c r="POX364" s="34"/>
      <c r="POY364" s="36"/>
      <c r="POZ364" s="36"/>
      <c r="PPA364" s="37"/>
      <c r="PPB364" s="37"/>
      <c r="PPC364" s="38"/>
      <c r="PPD364" s="38"/>
      <c r="PPE364" s="39"/>
      <c r="PPF364" s="34"/>
      <c r="PPG364" s="34"/>
      <c r="PPH364" s="34"/>
      <c r="PPI364" s="35"/>
      <c r="PPJ364" s="35"/>
      <c r="PPK364" s="35"/>
      <c r="PPL364" s="35"/>
      <c r="PPM364" s="35"/>
      <c r="PPN364" s="34"/>
      <c r="PPO364" s="34"/>
      <c r="PPP364" s="36"/>
      <c r="PPQ364" s="36"/>
      <c r="PPR364" s="37"/>
      <c r="PPS364" s="37"/>
      <c r="PPT364" s="38"/>
      <c r="PPU364" s="38"/>
      <c r="PPV364" s="39"/>
      <c r="PPW364" s="34"/>
      <c r="PPX364" s="34"/>
      <c r="PPY364" s="34"/>
      <c r="PPZ364" s="35"/>
      <c r="PQA364" s="35"/>
      <c r="PQB364" s="35"/>
      <c r="PQC364" s="35"/>
      <c r="PQD364" s="35"/>
      <c r="PQE364" s="34"/>
      <c r="PQF364" s="34"/>
      <c r="PQG364" s="36"/>
      <c r="PQH364" s="36"/>
      <c r="PQI364" s="37"/>
      <c r="PQJ364" s="37"/>
      <c r="PQK364" s="38"/>
      <c r="PQL364" s="38"/>
      <c r="PQM364" s="39"/>
      <c r="PQN364" s="34"/>
      <c r="PQO364" s="34"/>
      <c r="PQP364" s="34"/>
      <c r="PQQ364" s="35"/>
      <c r="PQR364" s="35"/>
      <c r="PQS364" s="35"/>
      <c r="PQT364" s="35"/>
      <c r="PQU364" s="35"/>
      <c r="PQV364" s="34"/>
      <c r="PQW364" s="34"/>
      <c r="PQX364" s="36"/>
      <c r="PQY364" s="36"/>
      <c r="PQZ364" s="37"/>
      <c r="PRA364" s="37"/>
      <c r="PRB364" s="38"/>
      <c r="PRC364" s="38"/>
      <c r="PRD364" s="39"/>
      <c r="PRE364" s="34"/>
      <c r="PRF364" s="34"/>
      <c r="PRG364" s="34"/>
      <c r="PRH364" s="35"/>
      <c r="PRI364" s="35"/>
      <c r="PRJ364" s="35"/>
      <c r="PRK364" s="35"/>
      <c r="PRL364" s="35"/>
      <c r="PRM364" s="34"/>
      <c r="PRN364" s="34"/>
      <c r="PRO364" s="36"/>
      <c r="PRP364" s="36"/>
      <c r="PRQ364" s="37"/>
      <c r="PRR364" s="37"/>
      <c r="PRS364" s="38"/>
      <c r="PRT364" s="38"/>
      <c r="PRU364" s="39"/>
      <c r="PRV364" s="34"/>
      <c r="PRW364" s="34"/>
      <c r="PRX364" s="34"/>
      <c r="PRY364" s="35"/>
      <c r="PRZ364" s="35"/>
      <c r="PSA364" s="35"/>
      <c r="PSB364" s="35"/>
      <c r="PSC364" s="35"/>
      <c r="PSD364" s="34"/>
      <c r="PSE364" s="34"/>
      <c r="PSF364" s="36"/>
      <c r="PSG364" s="36"/>
      <c r="PSH364" s="37"/>
      <c r="PSI364" s="37"/>
      <c r="PSJ364" s="38"/>
      <c r="PSK364" s="38"/>
      <c r="PSL364" s="39"/>
      <c r="PSM364" s="34"/>
      <c r="PSN364" s="34"/>
      <c r="PSO364" s="34"/>
      <c r="PSP364" s="35"/>
      <c r="PSQ364" s="35"/>
      <c r="PSR364" s="35"/>
      <c r="PSS364" s="35"/>
      <c r="PST364" s="35"/>
      <c r="PSU364" s="34"/>
      <c r="PSV364" s="34"/>
      <c r="PSW364" s="36"/>
      <c r="PSX364" s="36"/>
      <c r="PSY364" s="37"/>
      <c r="PSZ364" s="37"/>
      <c r="PTA364" s="38"/>
      <c r="PTB364" s="38"/>
      <c r="PTC364" s="39"/>
      <c r="PTD364" s="34"/>
      <c r="PTE364" s="34"/>
      <c r="PTF364" s="34"/>
      <c r="PTG364" s="35"/>
      <c r="PTH364" s="35"/>
      <c r="PTI364" s="35"/>
      <c r="PTJ364" s="35"/>
      <c r="PTK364" s="35"/>
      <c r="PTL364" s="34"/>
      <c r="PTM364" s="34"/>
      <c r="PTN364" s="36"/>
      <c r="PTO364" s="36"/>
      <c r="PTP364" s="37"/>
      <c r="PTQ364" s="37"/>
      <c r="PTR364" s="38"/>
      <c r="PTS364" s="38"/>
      <c r="PTT364" s="39"/>
      <c r="PTU364" s="34"/>
      <c r="PTV364" s="34"/>
      <c r="PTW364" s="34"/>
      <c r="PTX364" s="35"/>
      <c r="PTY364" s="35"/>
      <c r="PTZ364" s="35"/>
      <c r="PUA364" s="35"/>
      <c r="PUB364" s="35"/>
      <c r="PUC364" s="34"/>
      <c r="PUD364" s="34"/>
      <c r="PUE364" s="36"/>
      <c r="PUF364" s="36"/>
      <c r="PUG364" s="37"/>
      <c r="PUH364" s="37"/>
      <c r="PUI364" s="38"/>
      <c r="PUJ364" s="38"/>
      <c r="PUK364" s="39"/>
      <c r="PUL364" s="34"/>
      <c r="PUM364" s="34"/>
      <c r="PUN364" s="34"/>
      <c r="PUO364" s="35"/>
      <c r="PUP364" s="35"/>
      <c r="PUQ364" s="35"/>
      <c r="PUR364" s="35"/>
      <c r="PUS364" s="35"/>
      <c r="PUT364" s="34"/>
      <c r="PUU364" s="34"/>
      <c r="PUV364" s="36"/>
      <c r="PUW364" s="36"/>
      <c r="PUX364" s="37"/>
      <c r="PUY364" s="37"/>
      <c r="PUZ364" s="38"/>
      <c r="PVA364" s="38"/>
      <c r="PVB364" s="39"/>
      <c r="PVC364" s="34"/>
      <c r="PVD364" s="34"/>
      <c r="PVE364" s="34"/>
      <c r="PVF364" s="35"/>
      <c r="PVG364" s="35"/>
      <c r="PVH364" s="35"/>
      <c r="PVI364" s="35"/>
      <c r="PVJ364" s="35"/>
      <c r="PVK364" s="34"/>
      <c r="PVL364" s="34"/>
      <c r="PVM364" s="36"/>
      <c r="PVN364" s="36"/>
      <c r="PVO364" s="37"/>
      <c r="PVP364" s="37"/>
      <c r="PVQ364" s="38"/>
      <c r="PVR364" s="38"/>
      <c r="PVS364" s="39"/>
      <c r="PVT364" s="34"/>
      <c r="PVU364" s="34"/>
      <c r="PVV364" s="34"/>
      <c r="PVW364" s="35"/>
      <c r="PVX364" s="35"/>
      <c r="PVY364" s="35"/>
      <c r="PVZ364" s="35"/>
      <c r="PWA364" s="35"/>
      <c r="PWB364" s="34"/>
      <c r="PWC364" s="34"/>
      <c r="PWD364" s="36"/>
      <c r="PWE364" s="36"/>
      <c r="PWF364" s="37"/>
      <c r="PWG364" s="37"/>
      <c r="PWH364" s="38"/>
      <c r="PWI364" s="38"/>
      <c r="PWJ364" s="39"/>
      <c r="PWK364" s="34"/>
      <c r="PWL364" s="34"/>
      <c r="PWM364" s="34"/>
      <c r="PWN364" s="35"/>
      <c r="PWO364" s="35"/>
      <c r="PWP364" s="35"/>
      <c r="PWQ364" s="35"/>
      <c r="PWR364" s="35"/>
      <c r="PWS364" s="34"/>
      <c r="PWT364" s="34"/>
      <c r="PWU364" s="36"/>
      <c r="PWV364" s="36"/>
      <c r="PWW364" s="37"/>
      <c r="PWX364" s="37"/>
      <c r="PWY364" s="38"/>
      <c r="PWZ364" s="38"/>
      <c r="PXA364" s="39"/>
      <c r="PXB364" s="34"/>
      <c r="PXC364" s="34"/>
      <c r="PXD364" s="34"/>
      <c r="PXE364" s="35"/>
      <c r="PXF364" s="35"/>
      <c r="PXG364" s="35"/>
      <c r="PXH364" s="35"/>
      <c r="PXI364" s="35"/>
      <c r="PXJ364" s="34"/>
      <c r="PXK364" s="34"/>
      <c r="PXL364" s="36"/>
      <c r="PXM364" s="36"/>
      <c r="PXN364" s="37"/>
      <c r="PXO364" s="37"/>
      <c r="PXP364" s="38"/>
      <c r="PXQ364" s="38"/>
      <c r="PXR364" s="39"/>
      <c r="PXS364" s="34"/>
      <c r="PXT364" s="34"/>
      <c r="PXU364" s="34"/>
      <c r="PXV364" s="35"/>
      <c r="PXW364" s="35"/>
      <c r="PXX364" s="35"/>
      <c r="PXY364" s="35"/>
      <c r="PXZ364" s="35"/>
      <c r="PYA364" s="34"/>
      <c r="PYB364" s="34"/>
      <c r="PYC364" s="36"/>
      <c r="PYD364" s="36"/>
      <c r="PYE364" s="37"/>
      <c r="PYF364" s="37"/>
      <c r="PYG364" s="38"/>
      <c r="PYH364" s="38"/>
      <c r="PYI364" s="39"/>
      <c r="PYJ364" s="34"/>
      <c r="PYK364" s="34"/>
      <c r="PYL364" s="34"/>
      <c r="PYM364" s="35"/>
      <c r="PYN364" s="35"/>
      <c r="PYO364" s="35"/>
      <c r="PYP364" s="35"/>
      <c r="PYQ364" s="35"/>
      <c r="PYR364" s="34"/>
      <c r="PYS364" s="34"/>
      <c r="PYT364" s="36"/>
      <c r="PYU364" s="36"/>
      <c r="PYV364" s="37"/>
      <c r="PYW364" s="37"/>
      <c r="PYX364" s="38"/>
      <c r="PYY364" s="38"/>
      <c r="PYZ364" s="39"/>
      <c r="PZA364" s="34"/>
      <c r="PZB364" s="34"/>
      <c r="PZC364" s="34"/>
      <c r="PZD364" s="35"/>
      <c r="PZE364" s="35"/>
      <c r="PZF364" s="35"/>
      <c r="PZG364" s="35"/>
      <c r="PZH364" s="35"/>
      <c r="PZI364" s="34"/>
      <c r="PZJ364" s="34"/>
      <c r="PZK364" s="36"/>
      <c r="PZL364" s="36"/>
      <c r="PZM364" s="37"/>
      <c r="PZN364" s="37"/>
      <c r="PZO364" s="38"/>
      <c r="PZP364" s="38"/>
      <c r="PZQ364" s="39"/>
      <c r="PZR364" s="34"/>
      <c r="PZS364" s="34"/>
      <c r="PZT364" s="34"/>
      <c r="PZU364" s="35"/>
      <c r="PZV364" s="35"/>
      <c r="PZW364" s="35"/>
      <c r="PZX364" s="35"/>
      <c r="PZY364" s="35"/>
      <c r="PZZ364" s="34"/>
      <c r="QAA364" s="34"/>
      <c r="QAB364" s="36"/>
      <c r="QAC364" s="36"/>
      <c r="QAD364" s="37"/>
      <c r="QAE364" s="37"/>
      <c r="QAF364" s="38"/>
      <c r="QAG364" s="38"/>
      <c r="QAH364" s="39"/>
      <c r="QAI364" s="34"/>
      <c r="QAJ364" s="34"/>
      <c r="QAK364" s="34"/>
      <c r="QAL364" s="35"/>
      <c r="QAM364" s="35"/>
      <c r="QAN364" s="35"/>
      <c r="QAO364" s="35"/>
      <c r="QAP364" s="35"/>
      <c r="QAQ364" s="34"/>
      <c r="QAR364" s="34"/>
      <c r="QAS364" s="36"/>
      <c r="QAT364" s="36"/>
      <c r="QAU364" s="37"/>
      <c r="QAV364" s="37"/>
      <c r="QAW364" s="38"/>
      <c r="QAX364" s="38"/>
      <c r="QAY364" s="39"/>
      <c r="QAZ364" s="34"/>
      <c r="QBA364" s="34"/>
      <c r="QBB364" s="34"/>
      <c r="QBC364" s="35"/>
      <c r="QBD364" s="35"/>
      <c r="QBE364" s="35"/>
      <c r="QBF364" s="35"/>
      <c r="QBG364" s="35"/>
      <c r="QBH364" s="34"/>
      <c r="QBI364" s="34"/>
      <c r="QBJ364" s="36"/>
      <c r="QBK364" s="36"/>
      <c r="QBL364" s="37"/>
      <c r="QBM364" s="37"/>
      <c r="QBN364" s="38"/>
      <c r="QBO364" s="38"/>
      <c r="QBP364" s="39"/>
      <c r="QBQ364" s="34"/>
      <c r="QBR364" s="34"/>
      <c r="QBS364" s="34"/>
      <c r="QBT364" s="35"/>
      <c r="QBU364" s="35"/>
      <c r="QBV364" s="35"/>
      <c r="QBW364" s="35"/>
      <c r="QBX364" s="35"/>
      <c r="QBY364" s="34"/>
      <c r="QBZ364" s="34"/>
      <c r="QCA364" s="36"/>
      <c r="QCB364" s="36"/>
      <c r="QCC364" s="37"/>
      <c r="QCD364" s="37"/>
      <c r="QCE364" s="38"/>
      <c r="QCF364" s="38"/>
      <c r="QCG364" s="39"/>
      <c r="QCH364" s="34"/>
      <c r="QCI364" s="34"/>
      <c r="QCJ364" s="34"/>
      <c r="QCK364" s="35"/>
      <c r="QCL364" s="35"/>
      <c r="QCM364" s="35"/>
      <c r="QCN364" s="35"/>
      <c r="QCO364" s="35"/>
      <c r="QCP364" s="34"/>
      <c r="QCQ364" s="34"/>
      <c r="QCR364" s="36"/>
      <c r="QCS364" s="36"/>
      <c r="QCT364" s="37"/>
      <c r="QCU364" s="37"/>
      <c r="QCV364" s="38"/>
      <c r="QCW364" s="38"/>
      <c r="QCX364" s="39"/>
      <c r="QCY364" s="34"/>
      <c r="QCZ364" s="34"/>
      <c r="QDA364" s="34"/>
      <c r="QDB364" s="35"/>
      <c r="QDC364" s="35"/>
      <c r="QDD364" s="35"/>
      <c r="QDE364" s="35"/>
      <c r="QDF364" s="35"/>
      <c r="QDG364" s="34"/>
      <c r="QDH364" s="34"/>
      <c r="QDI364" s="36"/>
      <c r="QDJ364" s="36"/>
      <c r="QDK364" s="37"/>
      <c r="QDL364" s="37"/>
      <c r="QDM364" s="38"/>
      <c r="QDN364" s="38"/>
      <c r="QDO364" s="39"/>
      <c r="QDP364" s="34"/>
      <c r="QDQ364" s="34"/>
      <c r="QDR364" s="34"/>
      <c r="QDS364" s="35"/>
      <c r="QDT364" s="35"/>
      <c r="QDU364" s="35"/>
      <c r="QDV364" s="35"/>
      <c r="QDW364" s="35"/>
      <c r="QDX364" s="34"/>
      <c r="QDY364" s="34"/>
      <c r="QDZ364" s="36"/>
      <c r="QEA364" s="36"/>
      <c r="QEB364" s="37"/>
      <c r="QEC364" s="37"/>
      <c r="QED364" s="38"/>
      <c r="QEE364" s="38"/>
      <c r="QEF364" s="39"/>
      <c r="QEG364" s="34"/>
      <c r="QEH364" s="34"/>
      <c r="QEI364" s="34"/>
      <c r="QEJ364" s="35"/>
      <c r="QEK364" s="35"/>
      <c r="QEL364" s="35"/>
      <c r="QEM364" s="35"/>
      <c r="QEN364" s="35"/>
      <c r="QEO364" s="34"/>
      <c r="QEP364" s="34"/>
      <c r="QEQ364" s="36"/>
      <c r="QER364" s="36"/>
      <c r="QES364" s="37"/>
      <c r="QET364" s="37"/>
      <c r="QEU364" s="38"/>
      <c r="QEV364" s="38"/>
      <c r="QEW364" s="39"/>
      <c r="QEX364" s="34"/>
      <c r="QEY364" s="34"/>
      <c r="QEZ364" s="34"/>
      <c r="QFA364" s="35"/>
      <c r="QFB364" s="35"/>
      <c r="QFC364" s="35"/>
      <c r="QFD364" s="35"/>
      <c r="QFE364" s="35"/>
      <c r="QFF364" s="34"/>
      <c r="QFG364" s="34"/>
      <c r="QFH364" s="36"/>
      <c r="QFI364" s="36"/>
      <c r="QFJ364" s="37"/>
      <c r="QFK364" s="37"/>
      <c r="QFL364" s="38"/>
      <c r="QFM364" s="38"/>
      <c r="QFN364" s="39"/>
      <c r="QFO364" s="34"/>
      <c r="QFP364" s="34"/>
      <c r="QFQ364" s="34"/>
      <c r="QFR364" s="35"/>
      <c r="QFS364" s="35"/>
      <c r="QFT364" s="35"/>
      <c r="QFU364" s="35"/>
      <c r="QFV364" s="35"/>
      <c r="QFW364" s="34"/>
      <c r="QFX364" s="34"/>
      <c r="QFY364" s="36"/>
      <c r="QFZ364" s="36"/>
      <c r="QGA364" s="37"/>
      <c r="QGB364" s="37"/>
      <c r="QGC364" s="38"/>
      <c r="QGD364" s="38"/>
      <c r="QGE364" s="39"/>
      <c r="QGF364" s="34"/>
      <c r="QGG364" s="34"/>
      <c r="QGH364" s="34"/>
      <c r="QGI364" s="35"/>
      <c r="QGJ364" s="35"/>
      <c r="QGK364" s="35"/>
      <c r="QGL364" s="35"/>
      <c r="QGM364" s="35"/>
      <c r="QGN364" s="34"/>
      <c r="QGO364" s="34"/>
      <c r="QGP364" s="36"/>
      <c r="QGQ364" s="36"/>
      <c r="QGR364" s="37"/>
      <c r="QGS364" s="37"/>
      <c r="QGT364" s="38"/>
      <c r="QGU364" s="38"/>
      <c r="QGV364" s="39"/>
      <c r="QGW364" s="34"/>
      <c r="QGX364" s="34"/>
      <c r="QGY364" s="34"/>
      <c r="QGZ364" s="35"/>
      <c r="QHA364" s="35"/>
      <c r="QHB364" s="35"/>
      <c r="QHC364" s="35"/>
      <c r="QHD364" s="35"/>
      <c r="QHE364" s="34"/>
      <c r="QHF364" s="34"/>
      <c r="QHG364" s="36"/>
      <c r="QHH364" s="36"/>
      <c r="QHI364" s="37"/>
      <c r="QHJ364" s="37"/>
      <c r="QHK364" s="38"/>
      <c r="QHL364" s="38"/>
      <c r="QHM364" s="39"/>
      <c r="QHN364" s="34"/>
      <c r="QHO364" s="34"/>
      <c r="QHP364" s="34"/>
      <c r="QHQ364" s="35"/>
      <c r="QHR364" s="35"/>
      <c r="QHS364" s="35"/>
      <c r="QHT364" s="35"/>
      <c r="QHU364" s="35"/>
      <c r="QHV364" s="34"/>
      <c r="QHW364" s="34"/>
      <c r="QHX364" s="36"/>
      <c r="QHY364" s="36"/>
      <c r="QHZ364" s="37"/>
      <c r="QIA364" s="37"/>
      <c r="QIB364" s="38"/>
      <c r="QIC364" s="38"/>
      <c r="QID364" s="39"/>
      <c r="QIE364" s="34"/>
      <c r="QIF364" s="34"/>
      <c r="QIG364" s="34"/>
      <c r="QIH364" s="35"/>
      <c r="QII364" s="35"/>
      <c r="QIJ364" s="35"/>
      <c r="QIK364" s="35"/>
      <c r="QIL364" s="35"/>
      <c r="QIM364" s="34"/>
      <c r="QIN364" s="34"/>
      <c r="QIO364" s="36"/>
      <c r="QIP364" s="36"/>
      <c r="QIQ364" s="37"/>
      <c r="QIR364" s="37"/>
      <c r="QIS364" s="38"/>
      <c r="QIT364" s="38"/>
      <c r="QIU364" s="39"/>
      <c r="QIV364" s="34"/>
      <c r="QIW364" s="34"/>
      <c r="QIX364" s="34"/>
      <c r="QIY364" s="35"/>
      <c r="QIZ364" s="35"/>
      <c r="QJA364" s="35"/>
      <c r="QJB364" s="35"/>
      <c r="QJC364" s="35"/>
      <c r="QJD364" s="34"/>
      <c r="QJE364" s="34"/>
      <c r="QJF364" s="36"/>
      <c r="QJG364" s="36"/>
      <c r="QJH364" s="37"/>
      <c r="QJI364" s="37"/>
      <c r="QJJ364" s="38"/>
      <c r="QJK364" s="38"/>
      <c r="QJL364" s="39"/>
      <c r="QJM364" s="34"/>
      <c r="QJN364" s="34"/>
      <c r="QJO364" s="34"/>
      <c r="QJP364" s="35"/>
      <c r="QJQ364" s="35"/>
      <c r="QJR364" s="35"/>
      <c r="QJS364" s="35"/>
      <c r="QJT364" s="35"/>
      <c r="QJU364" s="34"/>
      <c r="QJV364" s="34"/>
      <c r="QJW364" s="36"/>
      <c r="QJX364" s="36"/>
      <c r="QJY364" s="37"/>
      <c r="QJZ364" s="37"/>
      <c r="QKA364" s="38"/>
      <c r="QKB364" s="38"/>
      <c r="QKC364" s="39"/>
      <c r="QKD364" s="34"/>
      <c r="QKE364" s="34"/>
      <c r="QKF364" s="34"/>
      <c r="QKG364" s="35"/>
      <c r="QKH364" s="35"/>
      <c r="QKI364" s="35"/>
      <c r="QKJ364" s="35"/>
      <c r="QKK364" s="35"/>
      <c r="QKL364" s="34"/>
      <c r="QKM364" s="34"/>
      <c r="QKN364" s="36"/>
      <c r="QKO364" s="36"/>
      <c r="QKP364" s="37"/>
      <c r="QKQ364" s="37"/>
      <c r="QKR364" s="38"/>
      <c r="QKS364" s="38"/>
      <c r="QKT364" s="39"/>
      <c r="QKU364" s="34"/>
      <c r="QKV364" s="34"/>
      <c r="QKW364" s="34"/>
      <c r="QKX364" s="35"/>
      <c r="QKY364" s="35"/>
      <c r="QKZ364" s="35"/>
      <c r="QLA364" s="35"/>
      <c r="QLB364" s="35"/>
      <c r="QLC364" s="34"/>
      <c r="QLD364" s="34"/>
      <c r="QLE364" s="36"/>
      <c r="QLF364" s="36"/>
      <c r="QLG364" s="37"/>
      <c r="QLH364" s="37"/>
      <c r="QLI364" s="38"/>
      <c r="QLJ364" s="38"/>
      <c r="QLK364" s="39"/>
      <c r="QLL364" s="34"/>
      <c r="QLM364" s="34"/>
      <c r="QLN364" s="34"/>
      <c r="QLO364" s="35"/>
      <c r="QLP364" s="35"/>
      <c r="QLQ364" s="35"/>
      <c r="QLR364" s="35"/>
      <c r="QLS364" s="35"/>
      <c r="QLT364" s="34"/>
      <c r="QLU364" s="34"/>
      <c r="QLV364" s="36"/>
      <c r="QLW364" s="36"/>
      <c r="QLX364" s="37"/>
      <c r="QLY364" s="37"/>
      <c r="QLZ364" s="38"/>
      <c r="QMA364" s="38"/>
      <c r="QMB364" s="39"/>
      <c r="QMC364" s="34"/>
      <c r="QMD364" s="34"/>
      <c r="QME364" s="34"/>
      <c r="QMF364" s="35"/>
      <c r="QMG364" s="35"/>
      <c r="QMH364" s="35"/>
      <c r="QMI364" s="35"/>
      <c r="QMJ364" s="35"/>
      <c r="QMK364" s="34"/>
      <c r="QML364" s="34"/>
      <c r="QMM364" s="36"/>
      <c r="QMN364" s="36"/>
      <c r="QMO364" s="37"/>
      <c r="QMP364" s="37"/>
      <c r="QMQ364" s="38"/>
      <c r="QMR364" s="38"/>
      <c r="QMS364" s="39"/>
      <c r="QMT364" s="34"/>
      <c r="QMU364" s="34"/>
      <c r="QMV364" s="34"/>
      <c r="QMW364" s="35"/>
      <c r="QMX364" s="35"/>
      <c r="QMY364" s="35"/>
      <c r="QMZ364" s="35"/>
      <c r="QNA364" s="35"/>
      <c r="QNB364" s="34"/>
      <c r="QNC364" s="34"/>
      <c r="QND364" s="36"/>
      <c r="QNE364" s="36"/>
      <c r="QNF364" s="37"/>
      <c r="QNG364" s="37"/>
      <c r="QNH364" s="38"/>
      <c r="QNI364" s="38"/>
      <c r="QNJ364" s="39"/>
      <c r="QNK364" s="34"/>
      <c r="QNL364" s="34"/>
      <c r="QNM364" s="34"/>
      <c r="QNN364" s="35"/>
      <c r="QNO364" s="35"/>
      <c r="QNP364" s="35"/>
      <c r="QNQ364" s="35"/>
      <c r="QNR364" s="35"/>
      <c r="QNS364" s="34"/>
      <c r="QNT364" s="34"/>
      <c r="QNU364" s="36"/>
      <c r="QNV364" s="36"/>
      <c r="QNW364" s="37"/>
      <c r="QNX364" s="37"/>
      <c r="QNY364" s="38"/>
      <c r="QNZ364" s="38"/>
      <c r="QOA364" s="39"/>
      <c r="QOB364" s="34"/>
      <c r="QOC364" s="34"/>
      <c r="QOD364" s="34"/>
      <c r="QOE364" s="35"/>
      <c r="QOF364" s="35"/>
      <c r="QOG364" s="35"/>
      <c r="QOH364" s="35"/>
      <c r="QOI364" s="35"/>
      <c r="QOJ364" s="34"/>
      <c r="QOK364" s="34"/>
      <c r="QOL364" s="36"/>
      <c r="QOM364" s="36"/>
      <c r="QON364" s="37"/>
      <c r="QOO364" s="37"/>
      <c r="QOP364" s="38"/>
      <c r="QOQ364" s="38"/>
      <c r="QOR364" s="39"/>
      <c r="QOS364" s="34"/>
      <c r="QOT364" s="34"/>
      <c r="QOU364" s="34"/>
      <c r="QOV364" s="35"/>
      <c r="QOW364" s="35"/>
      <c r="QOX364" s="35"/>
      <c r="QOY364" s="35"/>
      <c r="QOZ364" s="35"/>
      <c r="QPA364" s="34"/>
      <c r="QPB364" s="34"/>
      <c r="QPC364" s="36"/>
      <c r="QPD364" s="36"/>
      <c r="QPE364" s="37"/>
      <c r="QPF364" s="37"/>
      <c r="QPG364" s="38"/>
      <c r="QPH364" s="38"/>
      <c r="QPI364" s="39"/>
      <c r="QPJ364" s="34"/>
      <c r="QPK364" s="34"/>
      <c r="QPL364" s="34"/>
      <c r="QPM364" s="35"/>
      <c r="QPN364" s="35"/>
      <c r="QPO364" s="35"/>
      <c r="QPP364" s="35"/>
      <c r="QPQ364" s="35"/>
      <c r="QPR364" s="34"/>
      <c r="QPS364" s="34"/>
      <c r="QPT364" s="36"/>
      <c r="QPU364" s="36"/>
      <c r="QPV364" s="37"/>
      <c r="QPW364" s="37"/>
      <c r="QPX364" s="38"/>
      <c r="QPY364" s="38"/>
      <c r="QPZ364" s="39"/>
      <c r="QQA364" s="34"/>
      <c r="QQB364" s="34"/>
      <c r="QQC364" s="34"/>
      <c r="QQD364" s="35"/>
      <c r="QQE364" s="35"/>
      <c r="QQF364" s="35"/>
      <c r="QQG364" s="35"/>
      <c r="QQH364" s="35"/>
      <c r="QQI364" s="34"/>
      <c r="QQJ364" s="34"/>
      <c r="QQK364" s="36"/>
      <c r="QQL364" s="36"/>
      <c r="QQM364" s="37"/>
      <c r="QQN364" s="37"/>
      <c r="QQO364" s="38"/>
      <c r="QQP364" s="38"/>
      <c r="QQQ364" s="39"/>
      <c r="QQR364" s="34"/>
      <c r="QQS364" s="34"/>
      <c r="QQT364" s="34"/>
      <c r="QQU364" s="35"/>
      <c r="QQV364" s="35"/>
      <c r="QQW364" s="35"/>
      <c r="QQX364" s="35"/>
      <c r="QQY364" s="35"/>
      <c r="QQZ364" s="34"/>
      <c r="QRA364" s="34"/>
      <c r="QRB364" s="36"/>
      <c r="QRC364" s="36"/>
      <c r="QRD364" s="37"/>
      <c r="QRE364" s="37"/>
      <c r="QRF364" s="38"/>
      <c r="QRG364" s="38"/>
      <c r="QRH364" s="39"/>
      <c r="QRI364" s="34"/>
      <c r="QRJ364" s="34"/>
      <c r="QRK364" s="34"/>
      <c r="QRL364" s="35"/>
      <c r="QRM364" s="35"/>
      <c r="QRN364" s="35"/>
      <c r="QRO364" s="35"/>
      <c r="QRP364" s="35"/>
      <c r="QRQ364" s="34"/>
      <c r="QRR364" s="34"/>
      <c r="QRS364" s="36"/>
      <c r="QRT364" s="36"/>
      <c r="QRU364" s="37"/>
      <c r="QRV364" s="37"/>
      <c r="QRW364" s="38"/>
      <c r="QRX364" s="38"/>
      <c r="QRY364" s="39"/>
      <c r="QRZ364" s="34"/>
      <c r="QSA364" s="34"/>
      <c r="QSB364" s="34"/>
      <c r="QSC364" s="35"/>
      <c r="QSD364" s="35"/>
      <c r="QSE364" s="35"/>
      <c r="QSF364" s="35"/>
      <c r="QSG364" s="35"/>
      <c r="QSH364" s="34"/>
      <c r="QSI364" s="34"/>
      <c r="QSJ364" s="36"/>
      <c r="QSK364" s="36"/>
      <c r="QSL364" s="37"/>
      <c r="QSM364" s="37"/>
      <c r="QSN364" s="38"/>
      <c r="QSO364" s="38"/>
      <c r="QSP364" s="39"/>
      <c r="QSQ364" s="34"/>
      <c r="QSR364" s="34"/>
      <c r="QSS364" s="34"/>
      <c r="QST364" s="35"/>
      <c r="QSU364" s="35"/>
      <c r="QSV364" s="35"/>
      <c r="QSW364" s="35"/>
      <c r="QSX364" s="35"/>
      <c r="QSY364" s="34"/>
      <c r="QSZ364" s="34"/>
      <c r="QTA364" s="36"/>
      <c r="QTB364" s="36"/>
      <c r="QTC364" s="37"/>
      <c r="QTD364" s="37"/>
      <c r="QTE364" s="38"/>
      <c r="QTF364" s="38"/>
      <c r="QTG364" s="39"/>
      <c r="QTH364" s="34"/>
      <c r="QTI364" s="34"/>
      <c r="QTJ364" s="34"/>
      <c r="QTK364" s="35"/>
      <c r="QTL364" s="35"/>
      <c r="QTM364" s="35"/>
      <c r="QTN364" s="35"/>
      <c r="QTO364" s="35"/>
      <c r="QTP364" s="34"/>
      <c r="QTQ364" s="34"/>
      <c r="QTR364" s="36"/>
      <c r="QTS364" s="36"/>
      <c r="QTT364" s="37"/>
      <c r="QTU364" s="37"/>
      <c r="QTV364" s="38"/>
      <c r="QTW364" s="38"/>
      <c r="QTX364" s="39"/>
      <c r="QTY364" s="34"/>
      <c r="QTZ364" s="34"/>
      <c r="QUA364" s="34"/>
      <c r="QUB364" s="35"/>
      <c r="QUC364" s="35"/>
      <c r="QUD364" s="35"/>
      <c r="QUE364" s="35"/>
      <c r="QUF364" s="35"/>
      <c r="QUG364" s="34"/>
      <c r="QUH364" s="34"/>
      <c r="QUI364" s="36"/>
      <c r="QUJ364" s="36"/>
      <c r="QUK364" s="37"/>
      <c r="QUL364" s="37"/>
      <c r="QUM364" s="38"/>
      <c r="QUN364" s="38"/>
      <c r="QUO364" s="39"/>
      <c r="QUP364" s="34"/>
      <c r="QUQ364" s="34"/>
      <c r="QUR364" s="34"/>
      <c r="QUS364" s="35"/>
      <c r="QUT364" s="35"/>
      <c r="QUU364" s="35"/>
      <c r="QUV364" s="35"/>
      <c r="QUW364" s="35"/>
      <c r="QUX364" s="34"/>
      <c r="QUY364" s="34"/>
      <c r="QUZ364" s="36"/>
      <c r="QVA364" s="36"/>
      <c r="QVB364" s="37"/>
      <c r="QVC364" s="37"/>
      <c r="QVD364" s="38"/>
      <c r="QVE364" s="38"/>
      <c r="QVF364" s="39"/>
      <c r="QVG364" s="34"/>
      <c r="QVH364" s="34"/>
      <c r="QVI364" s="34"/>
      <c r="QVJ364" s="35"/>
      <c r="QVK364" s="35"/>
      <c r="QVL364" s="35"/>
      <c r="QVM364" s="35"/>
      <c r="QVN364" s="35"/>
      <c r="QVO364" s="34"/>
      <c r="QVP364" s="34"/>
      <c r="QVQ364" s="36"/>
      <c r="QVR364" s="36"/>
      <c r="QVS364" s="37"/>
      <c r="QVT364" s="37"/>
      <c r="QVU364" s="38"/>
      <c r="QVV364" s="38"/>
      <c r="QVW364" s="39"/>
      <c r="QVX364" s="34"/>
      <c r="QVY364" s="34"/>
      <c r="QVZ364" s="34"/>
      <c r="QWA364" s="35"/>
      <c r="QWB364" s="35"/>
      <c r="QWC364" s="35"/>
      <c r="QWD364" s="35"/>
      <c r="QWE364" s="35"/>
      <c r="QWF364" s="34"/>
      <c r="QWG364" s="34"/>
      <c r="QWH364" s="36"/>
      <c r="QWI364" s="36"/>
      <c r="QWJ364" s="37"/>
      <c r="QWK364" s="37"/>
      <c r="QWL364" s="38"/>
      <c r="QWM364" s="38"/>
      <c r="QWN364" s="39"/>
      <c r="QWO364" s="34"/>
      <c r="QWP364" s="34"/>
      <c r="QWQ364" s="34"/>
      <c r="QWR364" s="35"/>
      <c r="QWS364" s="35"/>
      <c r="QWT364" s="35"/>
      <c r="QWU364" s="35"/>
      <c r="QWV364" s="35"/>
      <c r="QWW364" s="34"/>
      <c r="QWX364" s="34"/>
      <c r="QWY364" s="36"/>
      <c r="QWZ364" s="36"/>
      <c r="QXA364" s="37"/>
      <c r="QXB364" s="37"/>
      <c r="QXC364" s="38"/>
      <c r="QXD364" s="38"/>
      <c r="QXE364" s="39"/>
      <c r="QXF364" s="34"/>
      <c r="QXG364" s="34"/>
      <c r="QXH364" s="34"/>
      <c r="QXI364" s="35"/>
      <c r="QXJ364" s="35"/>
      <c r="QXK364" s="35"/>
      <c r="QXL364" s="35"/>
      <c r="QXM364" s="35"/>
      <c r="QXN364" s="34"/>
      <c r="QXO364" s="34"/>
      <c r="QXP364" s="36"/>
      <c r="QXQ364" s="36"/>
      <c r="QXR364" s="37"/>
      <c r="QXS364" s="37"/>
      <c r="QXT364" s="38"/>
      <c r="QXU364" s="38"/>
      <c r="QXV364" s="39"/>
      <c r="QXW364" s="34"/>
      <c r="QXX364" s="34"/>
      <c r="QXY364" s="34"/>
      <c r="QXZ364" s="35"/>
      <c r="QYA364" s="35"/>
      <c r="QYB364" s="35"/>
      <c r="QYC364" s="35"/>
      <c r="QYD364" s="35"/>
      <c r="QYE364" s="34"/>
      <c r="QYF364" s="34"/>
      <c r="QYG364" s="36"/>
      <c r="QYH364" s="36"/>
      <c r="QYI364" s="37"/>
      <c r="QYJ364" s="37"/>
      <c r="QYK364" s="38"/>
      <c r="QYL364" s="38"/>
      <c r="QYM364" s="39"/>
      <c r="QYN364" s="34"/>
      <c r="QYO364" s="34"/>
      <c r="QYP364" s="34"/>
      <c r="QYQ364" s="35"/>
      <c r="QYR364" s="35"/>
      <c r="QYS364" s="35"/>
      <c r="QYT364" s="35"/>
      <c r="QYU364" s="35"/>
      <c r="QYV364" s="34"/>
      <c r="QYW364" s="34"/>
      <c r="QYX364" s="36"/>
      <c r="QYY364" s="36"/>
      <c r="QYZ364" s="37"/>
      <c r="QZA364" s="37"/>
      <c r="QZB364" s="38"/>
      <c r="QZC364" s="38"/>
      <c r="QZD364" s="39"/>
      <c r="QZE364" s="34"/>
      <c r="QZF364" s="34"/>
      <c r="QZG364" s="34"/>
      <c r="QZH364" s="35"/>
      <c r="QZI364" s="35"/>
      <c r="QZJ364" s="35"/>
      <c r="QZK364" s="35"/>
      <c r="QZL364" s="35"/>
      <c r="QZM364" s="34"/>
      <c r="QZN364" s="34"/>
      <c r="QZO364" s="36"/>
      <c r="QZP364" s="36"/>
      <c r="QZQ364" s="37"/>
      <c r="QZR364" s="37"/>
      <c r="QZS364" s="38"/>
      <c r="QZT364" s="38"/>
      <c r="QZU364" s="39"/>
      <c r="QZV364" s="34"/>
      <c r="QZW364" s="34"/>
      <c r="QZX364" s="34"/>
      <c r="QZY364" s="35"/>
      <c r="QZZ364" s="35"/>
      <c r="RAA364" s="35"/>
      <c r="RAB364" s="35"/>
      <c r="RAC364" s="35"/>
      <c r="RAD364" s="34"/>
      <c r="RAE364" s="34"/>
      <c r="RAF364" s="36"/>
      <c r="RAG364" s="36"/>
      <c r="RAH364" s="37"/>
      <c r="RAI364" s="37"/>
      <c r="RAJ364" s="38"/>
      <c r="RAK364" s="38"/>
      <c r="RAL364" s="39"/>
      <c r="RAM364" s="34"/>
      <c r="RAN364" s="34"/>
      <c r="RAO364" s="34"/>
      <c r="RAP364" s="35"/>
      <c r="RAQ364" s="35"/>
      <c r="RAR364" s="35"/>
      <c r="RAS364" s="35"/>
      <c r="RAT364" s="35"/>
      <c r="RAU364" s="34"/>
      <c r="RAV364" s="34"/>
      <c r="RAW364" s="36"/>
      <c r="RAX364" s="36"/>
      <c r="RAY364" s="37"/>
      <c r="RAZ364" s="37"/>
      <c r="RBA364" s="38"/>
      <c r="RBB364" s="38"/>
      <c r="RBC364" s="39"/>
      <c r="RBD364" s="34"/>
      <c r="RBE364" s="34"/>
      <c r="RBF364" s="34"/>
      <c r="RBG364" s="35"/>
      <c r="RBH364" s="35"/>
      <c r="RBI364" s="35"/>
      <c r="RBJ364" s="35"/>
      <c r="RBK364" s="35"/>
      <c r="RBL364" s="34"/>
      <c r="RBM364" s="34"/>
      <c r="RBN364" s="36"/>
      <c r="RBO364" s="36"/>
      <c r="RBP364" s="37"/>
      <c r="RBQ364" s="37"/>
      <c r="RBR364" s="38"/>
      <c r="RBS364" s="38"/>
      <c r="RBT364" s="39"/>
      <c r="RBU364" s="34"/>
      <c r="RBV364" s="34"/>
      <c r="RBW364" s="34"/>
      <c r="RBX364" s="35"/>
      <c r="RBY364" s="35"/>
      <c r="RBZ364" s="35"/>
      <c r="RCA364" s="35"/>
      <c r="RCB364" s="35"/>
      <c r="RCC364" s="34"/>
      <c r="RCD364" s="34"/>
      <c r="RCE364" s="36"/>
      <c r="RCF364" s="36"/>
      <c r="RCG364" s="37"/>
      <c r="RCH364" s="37"/>
      <c r="RCI364" s="38"/>
      <c r="RCJ364" s="38"/>
      <c r="RCK364" s="39"/>
      <c r="RCL364" s="34"/>
      <c r="RCM364" s="34"/>
      <c r="RCN364" s="34"/>
      <c r="RCO364" s="35"/>
      <c r="RCP364" s="35"/>
      <c r="RCQ364" s="35"/>
      <c r="RCR364" s="35"/>
      <c r="RCS364" s="35"/>
      <c r="RCT364" s="34"/>
      <c r="RCU364" s="34"/>
      <c r="RCV364" s="36"/>
      <c r="RCW364" s="36"/>
      <c r="RCX364" s="37"/>
      <c r="RCY364" s="37"/>
      <c r="RCZ364" s="38"/>
      <c r="RDA364" s="38"/>
      <c r="RDB364" s="39"/>
      <c r="RDC364" s="34"/>
      <c r="RDD364" s="34"/>
      <c r="RDE364" s="34"/>
      <c r="RDF364" s="35"/>
      <c r="RDG364" s="35"/>
      <c r="RDH364" s="35"/>
      <c r="RDI364" s="35"/>
      <c r="RDJ364" s="35"/>
      <c r="RDK364" s="34"/>
      <c r="RDL364" s="34"/>
      <c r="RDM364" s="36"/>
      <c r="RDN364" s="36"/>
      <c r="RDO364" s="37"/>
      <c r="RDP364" s="37"/>
      <c r="RDQ364" s="38"/>
      <c r="RDR364" s="38"/>
      <c r="RDS364" s="39"/>
      <c r="RDT364" s="34"/>
      <c r="RDU364" s="34"/>
      <c r="RDV364" s="34"/>
      <c r="RDW364" s="35"/>
      <c r="RDX364" s="35"/>
      <c r="RDY364" s="35"/>
      <c r="RDZ364" s="35"/>
      <c r="REA364" s="35"/>
      <c r="REB364" s="34"/>
      <c r="REC364" s="34"/>
      <c r="RED364" s="36"/>
      <c r="REE364" s="36"/>
      <c r="REF364" s="37"/>
      <c r="REG364" s="37"/>
      <c r="REH364" s="38"/>
      <c r="REI364" s="38"/>
      <c r="REJ364" s="39"/>
      <c r="REK364" s="34"/>
      <c r="REL364" s="34"/>
      <c r="REM364" s="34"/>
      <c r="REN364" s="35"/>
      <c r="REO364" s="35"/>
      <c r="REP364" s="35"/>
      <c r="REQ364" s="35"/>
      <c r="RER364" s="35"/>
      <c r="RES364" s="34"/>
      <c r="RET364" s="34"/>
      <c r="REU364" s="36"/>
      <c r="REV364" s="36"/>
      <c r="REW364" s="37"/>
      <c r="REX364" s="37"/>
      <c r="REY364" s="38"/>
      <c r="REZ364" s="38"/>
      <c r="RFA364" s="39"/>
      <c r="RFB364" s="34"/>
      <c r="RFC364" s="34"/>
      <c r="RFD364" s="34"/>
      <c r="RFE364" s="35"/>
      <c r="RFF364" s="35"/>
      <c r="RFG364" s="35"/>
      <c r="RFH364" s="35"/>
      <c r="RFI364" s="35"/>
      <c r="RFJ364" s="34"/>
      <c r="RFK364" s="34"/>
      <c r="RFL364" s="36"/>
      <c r="RFM364" s="36"/>
      <c r="RFN364" s="37"/>
      <c r="RFO364" s="37"/>
      <c r="RFP364" s="38"/>
      <c r="RFQ364" s="38"/>
      <c r="RFR364" s="39"/>
      <c r="RFS364" s="34"/>
      <c r="RFT364" s="34"/>
      <c r="RFU364" s="34"/>
      <c r="RFV364" s="35"/>
      <c r="RFW364" s="35"/>
      <c r="RFX364" s="35"/>
      <c r="RFY364" s="35"/>
      <c r="RFZ364" s="35"/>
      <c r="RGA364" s="34"/>
      <c r="RGB364" s="34"/>
      <c r="RGC364" s="36"/>
      <c r="RGD364" s="36"/>
      <c r="RGE364" s="37"/>
      <c r="RGF364" s="37"/>
      <c r="RGG364" s="38"/>
      <c r="RGH364" s="38"/>
      <c r="RGI364" s="39"/>
      <c r="RGJ364" s="34"/>
      <c r="RGK364" s="34"/>
      <c r="RGL364" s="34"/>
      <c r="RGM364" s="35"/>
      <c r="RGN364" s="35"/>
      <c r="RGO364" s="35"/>
      <c r="RGP364" s="35"/>
      <c r="RGQ364" s="35"/>
      <c r="RGR364" s="34"/>
      <c r="RGS364" s="34"/>
      <c r="RGT364" s="36"/>
      <c r="RGU364" s="36"/>
      <c r="RGV364" s="37"/>
      <c r="RGW364" s="37"/>
      <c r="RGX364" s="38"/>
      <c r="RGY364" s="38"/>
      <c r="RGZ364" s="39"/>
      <c r="RHA364" s="34"/>
      <c r="RHB364" s="34"/>
      <c r="RHC364" s="34"/>
      <c r="RHD364" s="35"/>
      <c r="RHE364" s="35"/>
      <c r="RHF364" s="35"/>
      <c r="RHG364" s="35"/>
      <c r="RHH364" s="35"/>
      <c r="RHI364" s="34"/>
      <c r="RHJ364" s="34"/>
      <c r="RHK364" s="36"/>
      <c r="RHL364" s="36"/>
      <c r="RHM364" s="37"/>
      <c r="RHN364" s="37"/>
      <c r="RHO364" s="38"/>
      <c r="RHP364" s="38"/>
      <c r="RHQ364" s="39"/>
      <c r="RHR364" s="34"/>
      <c r="RHS364" s="34"/>
      <c r="RHT364" s="34"/>
      <c r="RHU364" s="35"/>
      <c r="RHV364" s="35"/>
      <c r="RHW364" s="35"/>
      <c r="RHX364" s="35"/>
      <c r="RHY364" s="35"/>
      <c r="RHZ364" s="34"/>
      <c r="RIA364" s="34"/>
      <c r="RIB364" s="36"/>
      <c r="RIC364" s="36"/>
      <c r="RID364" s="37"/>
      <c r="RIE364" s="37"/>
      <c r="RIF364" s="38"/>
      <c r="RIG364" s="38"/>
      <c r="RIH364" s="39"/>
      <c r="RII364" s="34"/>
      <c r="RIJ364" s="34"/>
      <c r="RIK364" s="34"/>
      <c r="RIL364" s="35"/>
      <c r="RIM364" s="35"/>
      <c r="RIN364" s="35"/>
      <c r="RIO364" s="35"/>
      <c r="RIP364" s="35"/>
      <c r="RIQ364" s="34"/>
      <c r="RIR364" s="34"/>
      <c r="RIS364" s="36"/>
      <c r="RIT364" s="36"/>
      <c r="RIU364" s="37"/>
      <c r="RIV364" s="37"/>
      <c r="RIW364" s="38"/>
      <c r="RIX364" s="38"/>
      <c r="RIY364" s="39"/>
      <c r="RIZ364" s="34"/>
      <c r="RJA364" s="34"/>
      <c r="RJB364" s="34"/>
      <c r="RJC364" s="35"/>
      <c r="RJD364" s="35"/>
      <c r="RJE364" s="35"/>
      <c r="RJF364" s="35"/>
      <c r="RJG364" s="35"/>
      <c r="RJH364" s="34"/>
      <c r="RJI364" s="34"/>
      <c r="RJJ364" s="36"/>
      <c r="RJK364" s="36"/>
      <c r="RJL364" s="37"/>
      <c r="RJM364" s="37"/>
      <c r="RJN364" s="38"/>
      <c r="RJO364" s="38"/>
      <c r="RJP364" s="39"/>
      <c r="RJQ364" s="34"/>
      <c r="RJR364" s="34"/>
      <c r="RJS364" s="34"/>
      <c r="RJT364" s="35"/>
      <c r="RJU364" s="35"/>
      <c r="RJV364" s="35"/>
      <c r="RJW364" s="35"/>
      <c r="RJX364" s="35"/>
      <c r="RJY364" s="34"/>
      <c r="RJZ364" s="34"/>
      <c r="RKA364" s="36"/>
      <c r="RKB364" s="36"/>
      <c r="RKC364" s="37"/>
      <c r="RKD364" s="37"/>
      <c r="RKE364" s="38"/>
      <c r="RKF364" s="38"/>
      <c r="RKG364" s="39"/>
      <c r="RKH364" s="34"/>
      <c r="RKI364" s="34"/>
      <c r="RKJ364" s="34"/>
      <c r="RKK364" s="35"/>
      <c r="RKL364" s="35"/>
      <c r="RKM364" s="35"/>
      <c r="RKN364" s="35"/>
      <c r="RKO364" s="35"/>
      <c r="RKP364" s="34"/>
      <c r="RKQ364" s="34"/>
      <c r="RKR364" s="36"/>
      <c r="RKS364" s="36"/>
      <c r="RKT364" s="37"/>
      <c r="RKU364" s="37"/>
      <c r="RKV364" s="38"/>
      <c r="RKW364" s="38"/>
      <c r="RKX364" s="39"/>
      <c r="RKY364" s="34"/>
      <c r="RKZ364" s="34"/>
      <c r="RLA364" s="34"/>
      <c r="RLB364" s="35"/>
      <c r="RLC364" s="35"/>
      <c r="RLD364" s="35"/>
      <c r="RLE364" s="35"/>
      <c r="RLF364" s="35"/>
      <c r="RLG364" s="34"/>
      <c r="RLH364" s="34"/>
      <c r="RLI364" s="36"/>
      <c r="RLJ364" s="36"/>
      <c r="RLK364" s="37"/>
      <c r="RLL364" s="37"/>
      <c r="RLM364" s="38"/>
      <c r="RLN364" s="38"/>
      <c r="RLO364" s="39"/>
      <c r="RLP364" s="34"/>
      <c r="RLQ364" s="34"/>
      <c r="RLR364" s="34"/>
      <c r="RLS364" s="35"/>
      <c r="RLT364" s="35"/>
      <c r="RLU364" s="35"/>
      <c r="RLV364" s="35"/>
      <c r="RLW364" s="35"/>
      <c r="RLX364" s="34"/>
      <c r="RLY364" s="34"/>
      <c r="RLZ364" s="36"/>
      <c r="RMA364" s="36"/>
      <c r="RMB364" s="37"/>
      <c r="RMC364" s="37"/>
      <c r="RMD364" s="38"/>
      <c r="RME364" s="38"/>
      <c r="RMF364" s="39"/>
      <c r="RMG364" s="34"/>
      <c r="RMH364" s="34"/>
      <c r="RMI364" s="34"/>
      <c r="RMJ364" s="35"/>
      <c r="RMK364" s="35"/>
      <c r="RML364" s="35"/>
      <c r="RMM364" s="35"/>
      <c r="RMN364" s="35"/>
      <c r="RMO364" s="34"/>
      <c r="RMP364" s="34"/>
      <c r="RMQ364" s="36"/>
      <c r="RMR364" s="36"/>
      <c r="RMS364" s="37"/>
      <c r="RMT364" s="37"/>
      <c r="RMU364" s="38"/>
      <c r="RMV364" s="38"/>
      <c r="RMW364" s="39"/>
      <c r="RMX364" s="34"/>
      <c r="RMY364" s="34"/>
      <c r="RMZ364" s="34"/>
      <c r="RNA364" s="35"/>
      <c r="RNB364" s="35"/>
      <c r="RNC364" s="35"/>
      <c r="RND364" s="35"/>
      <c r="RNE364" s="35"/>
      <c r="RNF364" s="34"/>
      <c r="RNG364" s="34"/>
      <c r="RNH364" s="36"/>
      <c r="RNI364" s="36"/>
      <c r="RNJ364" s="37"/>
      <c r="RNK364" s="37"/>
      <c r="RNL364" s="38"/>
      <c r="RNM364" s="38"/>
      <c r="RNN364" s="39"/>
      <c r="RNO364" s="34"/>
      <c r="RNP364" s="34"/>
      <c r="RNQ364" s="34"/>
      <c r="RNR364" s="35"/>
      <c r="RNS364" s="35"/>
      <c r="RNT364" s="35"/>
      <c r="RNU364" s="35"/>
      <c r="RNV364" s="35"/>
      <c r="RNW364" s="34"/>
      <c r="RNX364" s="34"/>
      <c r="RNY364" s="36"/>
      <c r="RNZ364" s="36"/>
      <c r="ROA364" s="37"/>
      <c r="ROB364" s="37"/>
      <c r="ROC364" s="38"/>
      <c r="ROD364" s="38"/>
      <c r="ROE364" s="39"/>
      <c r="ROF364" s="34"/>
      <c r="ROG364" s="34"/>
      <c r="ROH364" s="34"/>
      <c r="ROI364" s="35"/>
      <c r="ROJ364" s="35"/>
      <c r="ROK364" s="35"/>
      <c r="ROL364" s="35"/>
      <c r="ROM364" s="35"/>
      <c r="RON364" s="34"/>
      <c r="ROO364" s="34"/>
      <c r="ROP364" s="36"/>
      <c r="ROQ364" s="36"/>
      <c r="ROR364" s="37"/>
      <c r="ROS364" s="37"/>
      <c r="ROT364" s="38"/>
      <c r="ROU364" s="38"/>
      <c r="ROV364" s="39"/>
      <c r="ROW364" s="34"/>
      <c r="ROX364" s="34"/>
      <c r="ROY364" s="34"/>
      <c r="ROZ364" s="35"/>
      <c r="RPA364" s="35"/>
      <c r="RPB364" s="35"/>
      <c r="RPC364" s="35"/>
      <c r="RPD364" s="35"/>
      <c r="RPE364" s="34"/>
      <c r="RPF364" s="34"/>
      <c r="RPG364" s="36"/>
      <c r="RPH364" s="36"/>
      <c r="RPI364" s="37"/>
      <c r="RPJ364" s="37"/>
      <c r="RPK364" s="38"/>
      <c r="RPL364" s="38"/>
      <c r="RPM364" s="39"/>
      <c r="RPN364" s="34"/>
      <c r="RPO364" s="34"/>
      <c r="RPP364" s="34"/>
      <c r="RPQ364" s="35"/>
      <c r="RPR364" s="35"/>
      <c r="RPS364" s="35"/>
      <c r="RPT364" s="35"/>
      <c r="RPU364" s="35"/>
      <c r="RPV364" s="34"/>
      <c r="RPW364" s="34"/>
      <c r="RPX364" s="36"/>
      <c r="RPY364" s="36"/>
      <c r="RPZ364" s="37"/>
      <c r="RQA364" s="37"/>
      <c r="RQB364" s="38"/>
      <c r="RQC364" s="38"/>
      <c r="RQD364" s="39"/>
      <c r="RQE364" s="34"/>
      <c r="RQF364" s="34"/>
      <c r="RQG364" s="34"/>
      <c r="RQH364" s="35"/>
      <c r="RQI364" s="35"/>
      <c r="RQJ364" s="35"/>
      <c r="RQK364" s="35"/>
      <c r="RQL364" s="35"/>
      <c r="RQM364" s="34"/>
      <c r="RQN364" s="34"/>
      <c r="RQO364" s="36"/>
      <c r="RQP364" s="36"/>
      <c r="RQQ364" s="37"/>
      <c r="RQR364" s="37"/>
      <c r="RQS364" s="38"/>
      <c r="RQT364" s="38"/>
      <c r="RQU364" s="39"/>
      <c r="RQV364" s="34"/>
      <c r="RQW364" s="34"/>
      <c r="RQX364" s="34"/>
      <c r="RQY364" s="35"/>
      <c r="RQZ364" s="35"/>
      <c r="RRA364" s="35"/>
      <c r="RRB364" s="35"/>
      <c r="RRC364" s="35"/>
      <c r="RRD364" s="34"/>
      <c r="RRE364" s="34"/>
      <c r="RRF364" s="36"/>
      <c r="RRG364" s="36"/>
      <c r="RRH364" s="37"/>
      <c r="RRI364" s="37"/>
      <c r="RRJ364" s="38"/>
      <c r="RRK364" s="38"/>
      <c r="RRL364" s="39"/>
      <c r="RRM364" s="34"/>
      <c r="RRN364" s="34"/>
      <c r="RRO364" s="34"/>
      <c r="RRP364" s="35"/>
      <c r="RRQ364" s="35"/>
      <c r="RRR364" s="35"/>
      <c r="RRS364" s="35"/>
      <c r="RRT364" s="35"/>
      <c r="RRU364" s="34"/>
      <c r="RRV364" s="34"/>
      <c r="RRW364" s="36"/>
      <c r="RRX364" s="36"/>
      <c r="RRY364" s="37"/>
      <c r="RRZ364" s="37"/>
      <c r="RSA364" s="38"/>
      <c r="RSB364" s="38"/>
      <c r="RSC364" s="39"/>
      <c r="RSD364" s="34"/>
      <c r="RSE364" s="34"/>
      <c r="RSF364" s="34"/>
      <c r="RSG364" s="35"/>
      <c r="RSH364" s="35"/>
      <c r="RSI364" s="35"/>
      <c r="RSJ364" s="35"/>
      <c r="RSK364" s="35"/>
      <c r="RSL364" s="34"/>
      <c r="RSM364" s="34"/>
      <c r="RSN364" s="36"/>
      <c r="RSO364" s="36"/>
      <c r="RSP364" s="37"/>
      <c r="RSQ364" s="37"/>
      <c r="RSR364" s="38"/>
      <c r="RSS364" s="38"/>
      <c r="RST364" s="39"/>
      <c r="RSU364" s="34"/>
      <c r="RSV364" s="34"/>
      <c r="RSW364" s="34"/>
      <c r="RSX364" s="35"/>
      <c r="RSY364" s="35"/>
      <c r="RSZ364" s="35"/>
      <c r="RTA364" s="35"/>
      <c r="RTB364" s="35"/>
      <c r="RTC364" s="34"/>
      <c r="RTD364" s="34"/>
      <c r="RTE364" s="36"/>
      <c r="RTF364" s="36"/>
      <c r="RTG364" s="37"/>
      <c r="RTH364" s="37"/>
      <c r="RTI364" s="38"/>
      <c r="RTJ364" s="38"/>
      <c r="RTK364" s="39"/>
      <c r="RTL364" s="34"/>
      <c r="RTM364" s="34"/>
      <c r="RTN364" s="34"/>
      <c r="RTO364" s="35"/>
      <c r="RTP364" s="35"/>
      <c r="RTQ364" s="35"/>
      <c r="RTR364" s="35"/>
      <c r="RTS364" s="35"/>
      <c r="RTT364" s="34"/>
      <c r="RTU364" s="34"/>
      <c r="RTV364" s="36"/>
      <c r="RTW364" s="36"/>
      <c r="RTX364" s="37"/>
      <c r="RTY364" s="37"/>
      <c r="RTZ364" s="38"/>
      <c r="RUA364" s="38"/>
      <c r="RUB364" s="39"/>
      <c r="RUC364" s="34"/>
      <c r="RUD364" s="34"/>
      <c r="RUE364" s="34"/>
      <c r="RUF364" s="35"/>
      <c r="RUG364" s="35"/>
      <c r="RUH364" s="35"/>
      <c r="RUI364" s="35"/>
      <c r="RUJ364" s="35"/>
      <c r="RUK364" s="34"/>
      <c r="RUL364" s="34"/>
      <c r="RUM364" s="36"/>
      <c r="RUN364" s="36"/>
      <c r="RUO364" s="37"/>
      <c r="RUP364" s="37"/>
      <c r="RUQ364" s="38"/>
      <c r="RUR364" s="38"/>
      <c r="RUS364" s="39"/>
      <c r="RUT364" s="34"/>
      <c r="RUU364" s="34"/>
      <c r="RUV364" s="34"/>
      <c r="RUW364" s="35"/>
      <c r="RUX364" s="35"/>
      <c r="RUY364" s="35"/>
      <c r="RUZ364" s="35"/>
      <c r="RVA364" s="35"/>
      <c r="RVB364" s="34"/>
      <c r="RVC364" s="34"/>
      <c r="RVD364" s="36"/>
      <c r="RVE364" s="36"/>
      <c r="RVF364" s="37"/>
      <c r="RVG364" s="37"/>
      <c r="RVH364" s="38"/>
      <c r="RVI364" s="38"/>
      <c r="RVJ364" s="39"/>
      <c r="RVK364" s="34"/>
      <c r="RVL364" s="34"/>
      <c r="RVM364" s="34"/>
      <c r="RVN364" s="35"/>
      <c r="RVO364" s="35"/>
      <c r="RVP364" s="35"/>
      <c r="RVQ364" s="35"/>
      <c r="RVR364" s="35"/>
      <c r="RVS364" s="34"/>
      <c r="RVT364" s="34"/>
      <c r="RVU364" s="36"/>
      <c r="RVV364" s="36"/>
      <c r="RVW364" s="37"/>
      <c r="RVX364" s="37"/>
      <c r="RVY364" s="38"/>
      <c r="RVZ364" s="38"/>
      <c r="RWA364" s="39"/>
      <c r="RWB364" s="34"/>
      <c r="RWC364" s="34"/>
      <c r="RWD364" s="34"/>
      <c r="RWE364" s="35"/>
      <c r="RWF364" s="35"/>
      <c r="RWG364" s="35"/>
      <c r="RWH364" s="35"/>
      <c r="RWI364" s="35"/>
      <c r="RWJ364" s="34"/>
      <c r="RWK364" s="34"/>
      <c r="RWL364" s="36"/>
      <c r="RWM364" s="36"/>
      <c r="RWN364" s="37"/>
      <c r="RWO364" s="37"/>
      <c r="RWP364" s="38"/>
      <c r="RWQ364" s="38"/>
      <c r="RWR364" s="39"/>
      <c r="RWS364" s="34"/>
      <c r="RWT364" s="34"/>
      <c r="RWU364" s="34"/>
      <c r="RWV364" s="35"/>
      <c r="RWW364" s="35"/>
      <c r="RWX364" s="35"/>
      <c r="RWY364" s="35"/>
      <c r="RWZ364" s="35"/>
      <c r="RXA364" s="34"/>
      <c r="RXB364" s="34"/>
      <c r="RXC364" s="36"/>
      <c r="RXD364" s="36"/>
      <c r="RXE364" s="37"/>
      <c r="RXF364" s="37"/>
      <c r="RXG364" s="38"/>
      <c r="RXH364" s="38"/>
      <c r="RXI364" s="39"/>
      <c r="RXJ364" s="34"/>
      <c r="RXK364" s="34"/>
      <c r="RXL364" s="34"/>
      <c r="RXM364" s="35"/>
      <c r="RXN364" s="35"/>
      <c r="RXO364" s="35"/>
      <c r="RXP364" s="35"/>
      <c r="RXQ364" s="35"/>
      <c r="RXR364" s="34"/>
      <c r="RXS364" s="34"/>
      <c r="RXT364" s="36"/>
      <c r="RXU364" s="36"/>
      <c r="RXV364" s="37"/>
      <c r="RXW364" s="37"/>
      <c r="RXX364" s="38"/>
      <c r="RXY364" s="38"/>
      <c r="RXZ364" s="39"/>
      <c r="RYA364" s="34"/>
      <c r="RYB364" s="34"/>
      <c r="RYC364" s="34"/>
      <c r="RYD364" s="35"/>
      <c r="RYE364" s="35"/>
      <c r="RYF364" s="35"/>
      <c r="RYG364" s="35"/>
      <c r="RYH364" s="35"/>
      <c r="RYI364" s="34"/>
      <c r="RYJ364" s="34"/>
      <c r="RYK364" s="36"/>
      <c r="RYL364" s="36"/>
      <c r="RYM364" s="37"/>
      <c r="RYN364" s="37"/>
      <c r="RYO364" s="38"/>
      <c r="RYP364" s="38"/>
      <c r="RYQ364" s="39"/>
      <c r="RYR364" s="34"/>
      <c r="RYS364" s="34"/>
      <c r="RYT364" s="34"/>
      <c r="RYU364" s="35"/>
      <c r="RYV364" s="35"/>
      <c r="RYW364" s="35"/>
      <c r="RYX364" s="35"/>
      <c r="RYY364" s="35"/>
      <c r="RYZ364" s="34"/>
      <c r="RZA364" s="34"/>
      <c r="RZB364" s="36"/>
      <c r="RZC364" s="36"/>
      <c r="RZD364" s="37"/>
      <c r="RZE364" s="37"/>
      <c r="RZF364" s="38"/>
      <c r="RZG364" s="38"/>
      <c r="RZH364" s="39"/>
      <c r="RZI364" s="34"/>
      <c r="RZJ364" s="34"/>
      <c r="RZK364" s="34"/>
      <c r="RZL364" s="35"/>
      <c r="RZM364" s="35"/>
      <c r="RZN364" s="35"/>
      <c r="RZO364" s="35"/>
      <c r="RZP364" s="35"/>
      <c r="RZQ364" s="34"/>
      <c r="RZR364" s="34"/>
      <c r="RZS364" s="36"/>
      <c r="RZT364" s="36"/>
      <c r="RZU364" s="37"/>
      <c r="RZV364" s="37"/>
      <c r="RZW364" s="38"/>
      <c r="RZX364" s="38"/>
      <c r="RZY364" s="39"/>
      <c r="RZZ364" s="34"/>
      <c r="SAA364" s="34"/>
      <c r="SAB364" s="34"/>
      <c r="SAC364" s="35"/>
      <c r="SAD364" s="35"/>
      <c r="SAE364" s="35"/>
      <c r="SAF364" s="35"/>
      <c r="SAG364" s="35"/>
      <c r="SAH364" s="34"/>
      <c r="SAI364" s="34"/>
      <c r="SAJ364" s="36"/>
      <c r="SAK364" s="36"/>
      <c r="SAL364" s="37"/>
      <c r="SAM364" s="37"/>
      <c r="SAN364" s="38"/>
      <c r="SAO364" s="38"/>
      <c r="SAP364" s="39"/>
      <c r="SAQ364" s="34"/>
      <c r="SAR364" s="34"/>
      <c r="SAS364" s="34"/>
      <c r="SAT364" s="35"/>
      <c r="SAU364" s="35"/>
      <c r="SAV364" s="35"/>
      <c r="SAW364" s="35"/>
      <c r="SAX364" s="35"/>
      <c r="SAY364" s="34"/>
      <c r="SAZ364" s="34"/>
      <c r="SBA364" s="36"/>
      <c r="SBB364" s="36"/>
      <c r="SBC364" s="37"/>
      <c r="SBD364" s="37"/>
      <c r="SBE364" s="38"/>
      <c r="SBF364" s="38"/>
      <c r="SBG364" s="39"/>
      <c r="SBH364" s="34"/>
      <c r="SBI364" s="34"/>
      <c r="SBJ364" s="34"/>
      <c r="SBK364" s="35"/>
      <c r="SBL364" s="35"/>
      <c r="SBM364" s="35"/>
      <c r="SBN364" s="35"/>
      <c r="SBO364" s="35"/>
      <c r="SBP364" s="34"/>
      <c r="SBQ364" s="34"/>
      <c r="SBR364" s="36"/>
      <c r="SBS364" s="36"/>
      <c r="SBT364" s="37"/>
      <c r="SBU364" s="37"/>
      <c r="SBV364" s="38"/>
      <c r="SBW364" s="38"/>
      <c r="SBX364" s="39"/>
      <c r="SBY364" s="34"/>
      <c r="SBZ364" s="34"/>
      <c r="SCA364" s="34"/>
      <c r="SCB364" s="35"/>
      <c r="SCC364" s="35"/>
      <c r="SCD364" s="35"/>
      <c r="SCE364" s="35"/>
      <c r="SCF364" s="35"/>
      <c r="SCG364" s="34"/>
      <c r="SCH364" s="34"/>
      <c r="SCI364" s="36"/>
      <c r="SCJ364" s="36"/>
      <c r="SCK364" s="37"/>
      <c r="SCL364" s="37"/>
      <c r="SCM364" s="38"/>
      <c r="SCN364" s="38"/>
      <c r="SCO364" s="39"/>
      <c r="SCP364" s="34"/>
      <c r="SCQ364" s="34"/>
      <c r="SCR364" s="34"/>
      <c r="SCS364" s="35"/>
      <c r="SCT364" s="35"/>
      <c r="SCU364" s="35"/>
      <c r="SCV364" s="35"/>
      <c r="SCW364" s="35"/>
      <c r="SCX364" s="34"/>
      <c r="SCY364" s="34"/>
      <c r="SCZ364" s="36"/>
      <c r="SDA364" s="36"/>
      <c r="SDB364" s="37"/>
      <c r="SDC364" s="37"/>
      <c r="SDD364" s="38"/>
      <c r="SDE364" s="38"/>
      <c r="SDF364" s="39"/>
      <c r="SDG364" s="34"/>
      <c r="SDH364" s="34"/>
      <c r="SDI364" s="34"/>
      <c r="SDJ364" s="35"/>
      <c r="SDK364" s="35"/>
      <c r="SDL364" s="35"/>
      <c r="SDM364" s="35"/>
      <c r="SDN364" s="35"/>
      <c r="SDO364" s="34"/>
      <c r="SDP364" s="34"/>
      <c r="SDQ364" s="36"/>
      <c r="SDR364" s="36"/>
      <c r="SDS364" s="37"/>
      <c r="SDT364" s="37"/>
      <c r="SDU364" s="38"/>
      <c r="SDV364" s="38"/>
      <c r="SDW364" s="39"/>
      <c r="SDX364" s="34"/>
      <c r="SDY364" s="34"/>
      <c r="SDZ364" s="34"/>
      <c r="SEA364" s="35"/>
      <c r="SEB364" s="35"/>
      <c r="SEC364" s="35"/>
      <c r="SED364" s="35"/>
      <c r="SEE364" s="35"/>
      <c r="SEF364" s="34"/>
      <c r="SEG364" s="34"/>
      <c r="SEH364" s="36"/>
      <c r="SEI364" s="36"/>
      <c r="SEJ364" s="37"/>
      <c r="SEK364" s="37"/>
      <c r="SEL364" s="38"/>
      <c r="SEM364" s="38"/>
      <c r="SEN364" s="39"/>
      <c r="SEO364" s="34"/>
      <c r="SEP364" s="34"/>
      <c r="SEQ364" s="34"/>
      <c r="SER364" s="35"/>
      <c r="SES364" s="35"/>
      <c r="SET364" s="35"/>
      <c r="SEU364" s="35"/>
      <c r="SEV364" s="35"/>
      <c r="SEW364" s="34"/>
      <c r="SEX364" s="34"/>
      <c r="SEY364" s="36"/>
      <c r="SEZ364" s="36"/>
      <c r="SFA364" s="37"/>
      <c r="SFB364" s="37"/>
      <c r="SFC364" s="38"/>
      <c r="SFD364" s="38"/>
      <c r="SFE364" s="39"/>
      <c r="SFF364" s="34"/>
      <c r="SFG364" s="34"/>
      <c r="SFH364" s="34"/>
      <c r="SFI364" s="35"/>
      <c r="SFJ364" s="35"/>
      <c r="SFK364" s="35"/>
      <c r="SFL364" s="35"/>
      <c r="SFM364" s="35"/>
      <c r="SFN364" s="34"/>
      <c r="SFO364" s="34"/>
      <c r="SFP364" s="36"/>
      <c r="SFQ364" s="36"/>
      <c r="SFR364" s="37"/>
      <c r="SFS364" s="37"/>
      <c r="SFT364" s="38"/>
      <c r="SFU364" s="38"/>
      <c r="SFV364" s="39"/>
      <c r="SFW364" s="34"/>
      <c r="SFX364" s="34"/>
      <c r="SFY364" s="34"/>
      <c r="SFZ364" s="35"/>
      <c r="SGA364" s="35"/>
      <c r="SGB364" s="35"/>
      <c r="SGC364" s="35"/>
      <c r="SGD364" s="35"/>
      <c r="SGE364" s="34"/>
      <c r="SGF364" s="34"/>
      <c r="SGG364" s="36"/>
      <c r="SGH364" s="36"/>
      <c r="SGI364" s="37"/>
      <c r="SGJ364" s="37"/>
      <c r="SGK364" s="38"/>
      <c r="SGL364" s="38"/>
      <c r="SGM364" s="39"/>
      <c r="SGN364" s="34"/>
      <c r="SGO364" s="34"/>
      <c r="SGP364" s="34"/>
      <c r="SGQ364" s="35"/>
      <c r="SGR364" s="35"/>
      <c r="SGS364" s="35"/>
      <c r="SGT364" s="35"/>
      <c r="SGU364" s="35"/>
      <c r="SGV364" s="34"/>
      <c r="SGW364" s="34"/>
      <c r="SGX364" s="36"/>
      <c r="SGY364" s="36"/>
      <c r="SGZ364" s="37"/>
      <c r="SHA364" s="37"/>
      <c r="SHB364" s="38"/>
      <c r="SHC364" s="38"/>
      <c r="SHD364" s="39"/>
      <c r="SHE364" s="34"/>
      <c r="SHF364" s="34"/>
      <c r="SHG364" s="34"/>
      <c r="SHH364" s="35"/>
      <c r="SHI364" s="35"/>
      <c r="SHJ364" s="35"/>
      <c r="SHK364" s="35"/>
      <c r="SHL364" s="35"/>
      <c r="SHM364" s="34"/>
      <c r="SHN364" s="34"/>
      <c r="SHO364" s="36"/>
      <c r="SHP364" s="36"/>
      <c r="SHQ364" s="37"/>
      <c r="SHR364" s="37"/>
      <c r="SHS364" s="38"/>
      <c r="SHT364" s="38"/>
      <c r="SHU364" s="39"/>
      <c r="SHV364" s="34"/>
      <c r="SHW364" s="34"/>
      <c r="SHX364" s="34"/>
      <c r="SHY364" s="35"/>
      <c r="SHZ364" s="35"/>
      <c r="SIA364" s="35"/>
      <c r="SIB364" s="35"/>
      <c r="SIC364" s="35"/>
      <c r="SID364" s="34"/>
      <c r="SIE364" s="34"/>
      <c r="SIF364" s="36"/>
      <c r="SIG364" s="36"/>
      <c r="SIH364" s="37"/>
      <c r="SII364" s="37"/>
      <c r="SIJ364" s="38"/>
      <c r="SIK364" s="38"/>
      <c r="SIL364" s="39"/>
      <c r="SIM364" s="34"/>
      <c r="SIN364" s="34"/>
      <c r="SIO364" s="34"/>
      <c r="SIP364" s="35"/>
      <c r="SIQ364" s="35"/>
      <c r="SIR364" s="35"/>
      <c r="SIS364" s="35"/>
      <c r="SIT364" s="35"/>
      <c r="SIU364" s="34"/>
      <c r="SIV364" s="34"/>
      <c r="SIW364" s="36"/>
      <c r="SIX364" s="36"/>
      <c r="SIY364" s="37"/>
      <c r="SIZ364" s="37"/>
      <c r="SJA364" s="38"/>
      <c r="SJB364" s="38"/>
      <c r="SJC364" s="39"/>
      <c r="SJD364" s="34"/>
      <c r="SJE364" s="34"/>
      <c r="SJF364" s="34"/>
      <c r="SJG364" s="35"/>
      <c r="SJH364" s="35"/>
      <c r="SJI364" s="35"/>
      <c r="SJJ364" s="35"/>
      <c r="SJK364" s="35"/>
      <c r="SJL364" s="34"/>
      <c r="SJM364" s="34"/>
      <c r="SJN364" s="36"/>
      <c r="SJO364" s="36"/>
      <c r="SJP364" s="37"/>
      <c r="SJQ364" s="37"/>
      <c r="SJR364" s="38"/>
      <c r="SJS364" s="38"/>
      <c r="SJT364" s="39"/>
      <c r="SJU364" s="34"/>
      <c r="SJV364" s="34"/>
      <c r="SJW364" s="34"/>
      <c r="SJX364" s="35"/>
      <c r="SJY364" s="35"/>
      <c r="SJZ364" s="35"/>
      <c r="SKA364" s="35"/>
      <c r="SKB364" s="35"/>
      <c r="SKC364" s="34"/>
      <c r="SKD364" s="34"/>
      <c r="SKE364" s="36"/>
      <c r="SKF364" s="36"/>
      <c r="SKG364" s="37"/>
      <c r="SKH364" s="37"/>
      <c r="SKI364" s="38"/>
      <c r="SKJ364" s="38"/>
      <c r="SKK364" s="39"/>
      <c r="SKL364" s="34"/>
      <c r="SKM364" s="34"/>
      <c r="SKN364" s="34"/>
      <c r="SKO364" s="35"/>
      <c r="SKP364" s="35"/>
      <c r="SKQ364" s="35"/>
      <c r="SKR364" s="35"/>
      <c r="SKS364" s="35"/>
      <c r="SKT364" s="34"/>
      <c r="SKU364" s="34"/>
      <c r="SKV364" s="36"/>
      <c r="SKW364" s="36"/>
      <c r="SKX364" s="37"/>
      <c r="SKY364" s="37"/>
      <c r="SKZ364" s="38"/>
      <c r="SLA364" s="38"/>
      <c r="SLB364" s="39"/>
      <c r="SLC364" s="34"/>
      <c r="SLD364" s="34"/>
      <c r="SLE364" s="34"/>
      <c r="SLF364" s="35"/>
      <c r="SLG364" s="35"/>
      <c r="SLH364" s="35"/>
      <c r="SLI364" s="35"/>
      <c r="SLJ364" s="35"/>
      <c r="SLK364" s="34"/>
      <c r="SLL364" s="34"/>
      <c r="SLM364" s="36"/>
      <c r="SLN364" s="36"/>
      <c r="SLO364" s="37"/>
      <c r="SLP364" s="37"/>
      <c r="SLQ364" s="38"/>
      <c r="SLR364" s="38"/>
      <c r="SLS364" s="39"/>
      <c r="SLT364" s="34"/>
      <c r="SLU364" s="34"/>
      <c r="SLV364" s="34"/>
      <c r="SLW364" s="35"/>
      <c r="SLX364" s="35"/>
      <c r="SLY364" s="35"/>
      <c r="SLZ364" s="35"/>
      <c r="SMA364" s="35"/>
      <c r="SMB364" s="34"/>
      <c r="SMC364" s="34"/>
      <c r="SMD364" s="36"/>
      <c r="SME364" s="36"/>
      <c r="SMF364" s="37"/>
      <c r="SMG364" s="37"/>
      <c r="SMH364" s="38"/>
      <c r="SMI364" s="38"/>
      <c r="SMJ364" s="39"/>
      <c r="SMK364" s="34"/>
      <c r="SML364" s="34"/>
      <c r="SMM364" s="34"/>
      <c r="SMN364" s="35"/>
      <c r="SMO364" s="35"/>
      <c r="SMP364" s="35"/>
      <c r="SMQ364" s="35"/>
      <c r="SMR364" s="35"/>
      <c r="SMS364" s="34"/>
      <c r="SMT364" s="34"/>
      <c r="SMU364" s="36"/>
      <c r="SMV364" s="36"/>
      <c r="SMW364" s="37"/>
      <c r="SMX364" s="37"/>
      <c r="SMY364" s="38"/>
      <c r="SMZ364" s="38"/>
      <c r="SNA364" s="39"/>
      <c r="SNB364" s="34"/>
      <c r="SNC364" s="34"/>
      <c r="SND364" s="34"/>
      <c r="SNE364" s="35"/>
      <c r="SNF364" s="35"/>
      <c r="SNG364" s="35"/>
      <c r="SNH364" s="35"/>
      <c r="SNI364" s="35"/>
      <c r="SNJ364" s="34"/>
      <c r="SNK364" s="34"/>
      <c r="SNL364" s="36"/>
      <c r="SNM364" s="36"/>
      <c r="SNN364" s="37"/>
      <c r="SNO364" s="37"/>
      <c r="SNP364" s="38"/>
      <c r="SNQ364" s="38"/>
      <c r="SNR364" s="39"/>
      <c r="SNS364" s="34"/>
      <c r="SNT364" s="34"/>
      <c r="SNU364" s="34"/>
      <c r="SNV364" s="35"/>
      <c r="SNW364" s="35"/>
      <c r="SNX364" s="35"/>
      <c r="SNY364" s="35"/>
      <c r="SNZ364" s="35"/>
      <c r="SOA364" s="34"/>
      <c r="SOB364" s="34"/>
      <c r="SOC364" s="36"/>
      <c r="SOD364" s="36"/>
      <c r="SOE364" s="37"/>
      <c r="SOF364" s="37"/>
      <c r="SOG364" s="38"/>
      <c r="SOH364" s="38"/>
      <c r="SOI364" s="39"/>
      <c r="SOJ364" s="34"/>
      <c r="SOK364" s="34"/>
      <c r="SOL364" s="34"/>
      <c r="SOM364" s="35"/>
      <c r="SON364" s="35"/>
      <c r="SOO364" s="35"/>
      <c r="SOP364" s="35"/>
      <c r="SOQ364" s="35"/>
      <c r="SOR364" s="34"/>
      <c r="SOS364" s="34"/>
      <c r="SOT364" s="36"/>
      <c r="SOU364" s="36"/>
      <c r="SOV364" s="37"/>
      <c r="SOW364" s="37"/>
      <c r="SOX364" s="38"/>
      <c r="SOY364" s="38"/>
      <c r="SOZ364" s="39"/>
      <c r="SPA364" s="34"/>
      <c r="SPB364" s="34"/>
      <c r="SPC364" s="34"/>
      <c r="SPD364" s="35"/>
      <c r="SPE364" s="35"/>
      <c r="SPF364" s="35"/>
      <c r="SPG364" s="35"/>
      <c r="SPH364" s="35"/>
      <c r="SPI364" s="34"/>
      <c r="SPJ364" s="34"/>
      <c r="SPK364" s="36"/>
      <c r="SPL364" s="36"/>
      <c r="SPM364" s="37"/>
      <c r="SPN364" s="37"/>
      <c r="SPO364" s="38"/>
      <c r="SPP364" s="38"/>
      <c r="SPQ364" s="39"/>
      <c r="SPR364" s="34"/>
      <c r="SPS364" s="34"/>
      <c r="SPT364" s="34"/>
      <c r="SPU364" s="35"/>
      <c r="SPV364" s="35"/>
      <c r="SPW364" s="35"/>
      <c r="SPX364" s="35"/>
      <c r="SPY364" s="35"/>
      <c r="SPZ364" s="34"/>
      <c r="SQA364" s="34"/>
      <c r="SQB364" s="36"/>
      <c r="SQC364" s="36"/>
      <c r="SQD364" s="37"/>
      <c r="SQE364" s="37"/>
      <c r="SQF364" s="38"/>
      <c r="SQG364" s="38"/>
      <c r="SQH364" s="39"/>
      <c r="SQI364" s="34"/>
      <c r="SQJ364" s="34"/>
      <c r="SQK364" s="34"/>
      <c r="SQL364" s="35"/>
      <c r="SQM364" s="35"/>
      <c r="SQN364" s="35"/>
      <c r="SQO364" s="35"/>
      <c r="SQP364" s="35"/>
      <c r="SQQ364" s="34"/>
      <c r="SQR364" s="34"/>
      <c r="SQS364" s="36"/>
      <c r="SQT364" s="36"/>
      <c r="SQU364" s="37"/>
      <c r="SQV364" s="37"/>
      <c r="SQW364" s="38"/>
      <c r="SQX364" s="38"/>
      <c r="SQY364" s="39"/>
      <c r="SQZ364" s="34"/>
      <c r="SRA364" s="34"/>
      <c r="SRB364" s="34"/>
      <c r="SRC364" s="35"/>
      <c r="SRD364" s="35"/>
      <c r="SRE364" s="35"/>
      <c r="SRF364" s="35"/>
      <c r="SRG364" s="35"/>
      <c r="SRH364" s="34"/>
      <c r="SRI364" s="34"/>
      <c r="SRJ364" s="36"/>
      <c r="SRK364" s="36"/>
      <c r="SRL364" s="37"/>
      <c r="SRM364" s="37"/>
      <c r="SRN364" s="38"/>
      <c r="SRO364" s="38"/>
      <c r="SRP364" s="39"/>
      <c r="SRQ364" s="34"/>
      <c r="SRR364" s="34"/>
      <c r="SRS364" s="34"/>
      <c r="SRT364" s="35"/>
      <c r="SRU364" s="35"/>
      <c r="SRV364" s="35"/>
      <c r="SRW364" s="35"/>
      <c r="SRX364" s="35"/>
      <c r="SRY364" s="34"/>
      <c r="SRZ364" s="34"/>
      <c r="SSA364" s="36"/>
      <c r="SSB364" s="36"/>
      <c r="SSC364" s="37"/>
      <c r="SSD364" s="37"/>
      <c r="SSE364" s="38"/>
      <c r="SSF364" s="38"/>
      <c r="SSG364" s="39"/>
      <c r="SSH364" s="34"/>
      <c r="SSI364" s="34"/>
      <c r="SSJ364" s="34"/>
      <c r="SSK364" s="35"/>
      <c r="SSL364" s="35"/>
      <c r="SSM364" s="35"/>
      <c r="SSN364" s="35"/>
      <c r="SSO364" s="35"/>
      <c r="SSP364" s="34"/>
      <c r="SSQ364" s="34"/>
      <c r="SSR364" s="36"/>
      <c r="SSS364" s="36"/>
      <c r="SST364" s="37"/>
      <c r="SSU364" s="37"/>
      <c r="SSV364" s="38"/>
      <c r="SSW364" s="38"/>
      <c r="SSX364" s="39"/>
      <c r="SSY364" s="34"/>
      <c r="SSZ364" s="34"/>
      <c r="STA364" s="34"/>
      <c r="STB364" s="35"/>
      <c r="STC364" s="35"/>
      <c r="STD364" s="35"/>
      <c r="STE364" s="35"/>
      <c r="STF364" s="35"/>
      <c r="STG364" s="34"/>
      <c r="STH364" s="34"/>
      <c r="STI364" s="36"/>
      <c r="STJ364" s="36"/>
      <c r="STK364" s="37"/>
      <c r="STL364" s="37"/>
      <c r="STM364" s="38"/>
      <c r="STN364" s="38"/>
      <c r="STO364" s="39"/>
      <c r="STP364" s="34"/>
      <c r="STQ364" s="34"/>
      <c r="STR364" s="34"/>
      <c r="STS364" s="35"/>
      <c r="STT364" s="35"/>
      <c r="STU364" s="35"/>
      <c r="STV364" s="35"/>
      <c r="STW364" s="35"/>
      <c r="STX364" s="34"/>
      <c r="STY364" s="34"/>
      <c r="STZ364" s="36"/>
      <c r="SUA364" s="36"/>
      <c r="SUB364" s="37"/>
      <c r="SUC364" s="37"/>
      <c r="SUD364" s="38"/>
      <c r="SUE364" s="38"/>
      <c r="SUF364" s="39"/>
      <c r="SUG364" s="34"/>
      <c r="SUH364" s="34"/>
      <c r="SUI364" s="34"/>
      <c r="SUJ364" s="35"/>
      <c r="SUK364" s="35"/>
      <c r="SUL364" s="35"/>
      <c r="SUM364" s="35"/>
      <c r="SUN364" s="35"/>
      <c r="SUO364" s="34"/>
      <c r="SUP364" s="34"/>
      <c r="SUQ364" s="36"/>
      <c r="SUR364" s="36"/>
      <c r="SUS364" s="37"/>
      <c r="SUT364" s="37"/>
      <c r="SUU364" s="38"/>
      <c r="SUV364" s="38"/>
      <c r="SUW364" s="39"/>
      <c r="SUX364" s="34"/>
      <c r="SUY364" s="34"/>
      <c r="SUZ364" s="34"/>
      <c r="SVA364" s="35"/>
      <c r="SVB364" s="35"/>
      <c r="SVC364" s="35"/>
      <c r="SVD364" s="35"/>
      <c r="SVE364" s="35"/>
      <c r="SVF364" s="34"/>
      <c r="SVG364" s="34"/>
      <c r="SVH364" s="36"/>
      <c r="SVI364" s="36"/>
      <c r="SVJ364" s="37"/>
      <c r="SVK364" s="37"/>
      <c r="SVL364" s="38"/>
      <c r="SVM364" s="38"/>
      <c r="SVN364" s="39"/>
      <c r="SVO364" s="34"/>
      <c r="SVP364" s="34"/>
      <c r="SVQ364" s="34"/>
      <c r="SVR364" s="35"/>
      <c r="SVS364" s="35"/>
      <c r="SVT364" s="35"/>
      <c r="SVU364" s="35"/>
      <c r="SVV364" s="35"/>
      <c r="SVW364" s="34"/>
      <c r="SVX364" s="34"/>
      <c r="SVY364" s="36"/>
      <c r="SVZ364" s="36"/>
      <c r="SWA364" s="37"/>
      <c r="SWB364" s="37"/>
      <c r="SWC364" s="38"/>
      <c r="SWD364" s="38"/>
      <c r="SWE364" s="39"/>
      <c r="SWF364" s="34"/>
      <c r="SWG364" s="34"/>
      <c r="SWH364" s="34"/>
      <c r="SWI364" s="35"/>
      <c r="SWJ364" s="35"/>
      <c r="SWK364" s="35"/>
      <c r="SWL364" s="35"/>
      <c r="SWM364" s="35"/>
      <c r="SWN364" s="34"/>
      <c r="SWO364" s="34"/>
      <c r="SWP364" s="36"/>
      <c r="SWQ364" s="36"/>
      <c r="SWR364" s="37"/>
      <c r="SWS364" s="37"/>
      <c r="SWT364" s="38"/>
      <c r="SWU364" s="38"/>
      <c r="SWV364" s="39"/>
      <c r="SWW364" s="34"/>
      <c r="SWX364" s="34"/>
      <c r="SWY364" s="34"/>
      <c r="SWZ364" s="35"/>
      <c r="SXA364" s="35"/>
      <c r="SXB364" s="35"/>
      <c r="SXC364" s="35"/>
      <c r="SXD364" s="35"/>
      <c r="SXE364" s="34"/>
      <c r="SXF364" s="34"/>
      <c r="SXG364" s="36"/>
      <c r="SXH364" s="36"/>
      <c r="SXI364" s="37"/>
      <c r="SXJ364" s="37"/>
      <c r="SXK364" s="38"/>
      <c r="SXL364" s="38"/>
      <c r="SXM364" s="39"/>
      <c r="SXN364" s="34"/>
      <c r="SXO364" s="34"/>
      <c r="SXP364" s="34"/>
      <c r="SXQ364" s="35"/>
      <c r="SXR364" s="35"/>
      <c r="SXS364" s="35"/>
      <c r="SXT364" s="35"/>
      <c r="SXU364" s="35"/>
      <c r="SXV364" s="34"/>
      <c r="SXW364" s="34"/>
      <c r="SXX364" s="36"/>
      <c r="SXY364" s="36"/>
      <c r="SXZ364" s="37"/>
      <c r="SYA364" s="37"/>
      <c r="SYB364" s="38"/>
      <c r="SYC364" s="38"/>
      <c r="SYD364" s="39"/>
      <c r="SYE364" s="34"/>
      <c r="SYF364" s="34"/>
      <c r="SYG364" s="34"/>
      <c r="SYH364" s="35"/>
      <c r="SYI364" s="35"/>
      <c r="SYJ364" s="35"/>
      <c r="SYK364" s="35"/>
      <c r="SYL364" s="35"/>
      <c r="SYM364" s="34"/>
      <c r="SYN364" s="34"/>
      <c r="SYO364" s="36"/>
      <c r="SYP364" s="36"/>
      <c r="SYQ364" s="37"/>
      <c r="SYR364" s="37"/>
      <c r="SYS364" s="38"/>
      <c r="SYT364" s="38"/>
      <c r="SYU364" s="39"/>
      <c r="SYV364" s="34"/>
      <c r="SYW364" s="34"/>
      <c r="SYX364" s="34"/>
      <c r="SYY364" s="35"/>
      <c r="SYZ364" s="35"/>
      <c r="SZA364" s="35"/>
      <c r="SZB364" s="35"/>
      <c r="SZC364" s="35"/>
      <c r="SZD364" s="34"/>
      <c r="SZE364" s="34"/>
      <c r="SZF364" s="36"/>
      <c r="SZG364" s="36"/>
      <c r="SZH364" s="37"/>
      <c r="SZI364" s="37"/>
      <c r="SZJ364" s="38"/>
      <c r="SZK364" s="38"/>
      <c r="SZL364" s="39"/>
      <c r="SZM364" s="34"/>
      <c r="SZN364" s="34"/>
      <c r="SZO364" s="34"/>
      <c r="SZP364" s="35"/>
      <c r="SZQ364" s="35"/>
      <c r="SZR364" s="35"/>
      <c r="SZS364" s="35"/>
      <c r="SZT364" s="35"/>
      <c r="SZU364" s="34"/>
      <c r="SZV364" s="34"/>
      <c r="SZW364" s="36"/>
      <c r="SZX364" s="36"/>
      <c r="SZY364" s="37"/>
      <c r="SZZ364" s="37"/>
      <c r="TAA364" s="38"/>
      <c r="TAB364" s="38"/>
      <c r="TAC364" s="39"/>
      <c r="TAD364" s="34"/>
      <c r="TAE364" s="34"/>
      <c r="TAF364" s="34"/>
      <c r="TAG364" s="35"/>
      <c r="TAH364" s="35"/>
      <c r="TAI364" s="35"/>
      <c r="TAJ364" s="35"/>
      <c r="TAK364" s="35"/>
      <c r="TAL364" s="34"/>
      <c r="TAM364" s="34"/>
      <c r="TAN364" s="36"/>
      <c r="TAO364" s="36"/>
      <c r="TAP364" s="37"/>
      <c r="TAQ364" s="37"/>
      <c r="TAR364" s="38"/>
      <c r="TAS364" s="38"/>
      <c r="TAT364" s="39"/>
      <c r="TAU364" s="34"/>
      <c r="TAV364" s="34"/>
      <c r="TAW364" s="34"/>
      <c r="TAX364" s="35"/>
      <c r="TAY364" s="35"/>
      <c r="TAZ364" s="35"/>
      <c r="TBA364" s="35"/>
      <c r="TBB364" s="35"/>
      <c r="TBC364" s="34"/>
      <c r="TBD364" s="34"/>
      <c r="TBE364" s="36"/>
      <c r="TBF364" s="36"/>
      <c r="TBG364" s="37"/>
      <c r="TBH364" s="37"/>
      <c r="TBI364" s="38"/>
      <c r="TBJ364" s="38"/>
      <c r="TBK364" s="39"/>
      <c r="TBL364" s="34"/>
      <c r="TBM364" s="34"/>
      <c r="TBN364" s="34"/>
      <c r="TBO364" s="35"/>
      <c r="TBP364" s="35"/>
      <c r="TBQ364" s="35"/>
      <c r="TBR364" s="35"/>
      <c r="TBS364" s="35"/>
      <c r="TBT364" s="34"/>
      <c r="TBU364" s="34"/>
      <c r="TBV364" s="36"/>
      <c r="TBW364" s="36"/>
      <c r="TBX364" s="37"/>
      <c r="TBY364" s="37"/>
      <c r="TBZ364" s="38"/>
      <c r="TCA364" s="38"/>
      <c r="TCB364" s="39"/>
      <c r="TCC364" s="34"/>
      <c r="TCD364" s="34"/>
      <c r="TCE364" s="34"/>
      <c r="TCF364" s="35"/>
      <c r="TCG364" s="35"/>
      <c r="TCH364" s="35"/>
      <c r="TCI364" s="35"/>
      <c r="TCJ364" s="35"/>
      <c r="TCK364" s="34"/>
      <c r="TCL364" s="34"/>
      <c r="TCM364" s="36"/>
      <c r="TCN364" s="36"/>
      <c r="TCO364" s="37"/>
      <c r="TCP364" s="37"/>
      <c r="TCQ364" s="38"/>
      <c r="TCR364" s="38"/>
      <c r="TCS364" s="39"/>
      <c r="TCT364" s="34"/>
      <c r="TCU364" s="34"/>
      <c r="TCV364" s="34"/>
      <c r="TCW364" s="35"/>
      <c r="TCX364" s="35"/>
      <c r="TCY364" s="35"/>
      <c r="TCZ364" s="35"/>
      <c r="TDA364" s="35"/>
      <c r="TDB364" s="34"/>
      <c r="TDC364" s="34"/>
      <c r="TDD364" s="36"/>
      <c r="TDE364" s="36"/>
      <c r="TDF364" s="37"/>
      <c r="TDG364" s="37"/>
      <c r="TDH364" s="38"/>
      <c r="TDI364" s="38"/>
      <c r="TDJ364" s="39"/>
      <c r="TDK364" s="34"/>
      <c r="TDL364" s="34"/>
      <c r="TDM364" s="34"/>
      <c r="TDN364" s="35"/>
      <c r="TDO364" s="35"/>
      <c r="TDP364" s="35"/>
      <c r="TDQ364" s="35"/>
      <c r="TDR364" s="35"/>
      <c r="TDS364" s="34"/>
      <c r="TDT364" s="34"/>
      <c r="TDU364" s="36"/>
      <c r="TDV364" s="36"/>
      <c r="TDW364" s="37"/>
      <c r="TDX364" s="37"/>
      <c r="TDY364" s="38"/>
      <c r="TDZ364" s="38"/>
      <c r="TEA364" s="39"/>
      <c r="TEB364" s="34"/>
      <c r="TEC364" s="34"/>
      <c r="TED364" s="34"/>
      <c r="TEE364" s="35"/>
      <c r="TEF364" s="35"/>
      <c r="TEG364" s="35"/>
      <c r="TEH364" s="35"/>
      <c r="TEI364" s="35"/>
      <c r="TEJ364" s="34"/>
      <c r="TEK364" s="34"/>
      <c r="TEL364" s="36"/>
      <c r="TEM364" s="36"/>
      <c r="TEN364" s="37"/>
      <c r="TEO364" s="37"/>
      <c r="TEP364" s="38"/>
      <c r="TEQ364" s="38"/>
      <c r="TER364" s="39"/>
      <c r="TES364" s="34"/>
      <c r="TET364" s="34"/>
      <c r="TEU364" s="34"/>
      <c r="TEV364" s="35"/>
      <c r="TEW364" s="35"/>
      <c r="TEX364" s="35"/>
      <c r="TEY364" s="35"/>
      <c r="TEZ364" s="35"/>
      <c r="TFA364" s="34"/>
      <c r="TFB364" s="34"/>
      <c r="TFC364" s="36"/>
      <c r="TFD364" s="36"/>
      <c r="TFE364" s="37"/>
      <c r="TFF364" s="37"/>
      <c r="TFG364" s="38"/>
      <c r="TFH364" s="38"/>
      <c r="TFI364" s="39"/>
      <c r="TFJ364" s="34"/>
      <c r="TFK364" s="34"/>
      <c r="TFL364" s="34"/>
      <c r="TFM364" s="35"/>
      <c r="TFN364" s="35"/>
      <c r="TFO364" s="35"/>
      <c r="TFP364" s="35"/>
      <c r="TFQ364" s="35"/>
      <c r="TFR364" s="34"/>
      <c r="TFS364" s="34"/>
      <c r="TFT364" s="36"/>
      <c r="TFU364" s="36"/>
      <c r="TFV364" s="37"/>
      <c r="TFW364" s="37"/>
      <c r="TFX364" s="38"/>
      <c r="TFY364" s="38"/>
      <c r="TFZ364" s="39"/>
      <c r="TGA364" s="34"/>
      <c r="TGB364" s="34"/>
      <c r="TGC364" s="34"/>
      <c r="TGD364" s="35"/>
      <c r="TGE364" s="35"/>
      <c r="TGF364" s="35"/>
      <c r="TGG364" s="35"/>
      <c r="TGH364" s="35"/>
      <c r="TGI364" s="34"/>
      <c r="TGJ364" s="34"/>
      <c r="TGK364" s="36"/>
      <c r="TGL364" s="36"/>
      <c r="TGM364" s="37"/>
      <c r="TGN364" s="37"/>
      <c r="TGO364" s="38"/>
      <c r="TGP364" s="38"/>
      <c r="TGQ364" s="39"/>
      <c r="TGR364" s="34"/>
      <c r="TGS364" s="34"/>
      <c r="TGT364" s="34"/>
      <c r="TGU364" s="35"/>
      <c r="TGV364" s="35"/>
      <c r="TGW364" s="35"/>
      <c r="TGX364" s="35"/>
      <c r="TGY364" s="35"/>
      <c r="TGZ364" s="34"/>
      <c r="THA364" s="34"/>
      <c r="THB364" s="36"/>
      <c r="THC364" s="36"/>
      <c r="THD364" s="37"/>
      <c r="THE364" s="37"/>
      <c r="THF364" s="38"/>
      <c r="THG364" s="38"/>
      <c r="THH364" s="39"/>
      <c r="THI364" s="34"/>
      <c r="THJ364" s="34"/>
      <c r="THK364" s="34"/>
      <c r="THL364" s="35"/>
      <c r="THM364" s="35"/>
      <c r="THN364" s="35"/>
      <c r="THO364" s="35"/>
      <c r="THP364" s="35"/>
      <c r="THQ364" s="34"/>
      <c r="THR364" s="34"/>
      <c r="THS364" s="36"/>
      <c r="THT364" s="36"/>
      <c r="THU364" s="37"/>
      <c r="THV364" s="37"/>
      <c r="THW364" s="38"/>
      <c r="THX364" s="38"/>
      <c r="THY364" s="39"/>
      <c r="THZ364" s="34"/>
      <c r="TIA364" s="34"/>
      <c r="TIB364" s="34"/>
      <c r="TIC364" s="35"/>
      <c r="TID364" s="35"/>
      <c r="TIE364" s="35"/>
      <c r="TIF364" s="35"/>
      <c r="TIG364" s="35"/>
      <c r="TIH364" s="34"/>
      <c r="TII364" s="34"/>
      <c r="TIJ364" s="36"/>
      <c r="TIK364" s="36"/>
      <c r="TIL364" s="37"/>
      <c r="TIM364" s="37"/>
      <c r="TIN364" s="38"/>
      <c r="TIO364" s="38"/>
      <c r="TIP364" s="39"/>
      <c r="TIQ364" s="34"/>
      <c r="TIR364" s="34"/>
      <c r="TIS364" s="34"/>
      <c r="TIT364" s="35"/>
      <c r="TIU364" s="35"/>
      <c r="TIV364" s="35"/>
      <c r="TIW364" s="35"/>
      <c r="TIX364" s="35"/>
      <c r="TIY364" s="34"/>
      <c r="TIZ364" s="34"/>
      <c r="TJA364" s="36"/>
      <c r="TJB364" s="36"/>
      <c r="TJC364" s="37"/>
      <c r="TJD364" s="37"/>
      <c r="TJE364" s="38"/>
      <c r="TJF364" s="38"/>
      <c r="TJG364" s="39"/>
      <c r="TJH364" s="34"/>
      <c r="TJI364" s="34"/>
      <c r="TJJ364" s="34"/>
      <c r="TJK364" s="35"/>
      <c r="TJL364" s="35"/>
      <c r="TJM364" s="35"/>
      <c r="TJN364" s="35"/>
      <c r="TJO364" s="35"/>
      <c r="TJP364" s="34"/>
      <c r="TJQ364" s="34"/>
      <c r="TJR364" s="36"/>
      <c r="TJS364" s="36"/>
      <c r="TJT364" s="37"/>
      <c r="TJU364" s="37"/>
      <c r="TJV364" s="38"/>
      <c r="TJW364" s="38"/>
      <c r="TJX364" s="39"/>
      <c r="TJY364" s="34"/>
      <c r="TJZ364" s="34"/>
      <c r="TKA364" s="34"/>
      <c r="TKB364" s="35"/>
      <c r="TKC364" s="35"/>
      <c r="TKD364" s="35"/>
      <c r="TKE364" s="35"/>
      <c r="TKF364" s="35"/>
      <c r="TKG364" s="34"/>
      <c r="TKH364" s="34"/>
      <c r="TKI364" s="36"/>
      <c r="TKJ364" s="36"/>
      <c r="TKK364" s="37"/>
      <c r="TKL364" s="37"/>
      <c r="TKM364" s="38"/>
      <c r="TKN364" s="38"/>
      <c r="TKO364" s="39"/>
      <c r="TKP364" s="34"/>
      <c r="TKQ364" s="34"/>
      <c r="TKR364" s="34"/>
      <c r="TKS364" s="35"/>
      <c r="TKT364" s="35"/>
      <c r="TKU364" s="35"/>
      <c r="TKV364" s="35"/>
      <c r="TKW364" s="35"/>
      <c r="TKX364" s="34"/>
      <c r="TKY364" s="34"/>
      <c r="TKZ364" s="36"/>
      <c r="TLA364" s="36"/>
      <c r="TLB364" s="37"/>
      <c r="TLC364" s="37"/>
      <c r="TLD364" s="38"/>
      <c r="TLE364" s="38"/>
      <c r="TLF364" s="39"/>
      <c r="TLG364" s="34"/>
      <c r="TLH364" s="34"/>
      <c r="TLI364" s="34"/>
      <c r="TLJ364" s="35"/>
      <c r="TLK364" s="35"/>
      <c r="TLL364" s="35"/>
      <c r="TLM364" s="35"/>
      <c r="TLN364" s="35"/>
      <c r="TLO364" s="34"/>
      <c r="TLP364" s="34"/>
      <c r="TLQ364" s="36"/>
      <c r="TLR364" s="36"/>
      <c r="TLS364" s="37"/>
      <c r="TLT364" s="37"/>
      <c r="TLU364" s="38"/>
      <c r="TLV364" s="38"/>
      <c r="TLW364" s="39"/>
      <c r="TLX364" s="34"/>
      <c r="TLY364" s="34"/>
      <c r="TLZ364" s="34"/>
      <c r="TMA364" s="35"/>
      <c r="TMB364" s="35"/>
      <c r="TMC364" s="35"/>
      <c r="TMD364" s="35"/>
      <c r="TME364" s="35"/>
      <c r="TMF364" s="34"/>
      <c r="TMG364" s="34"/>
      <c r="TMH364" s="36"/>
      <c r="TMI364" s="36"/>
      <c r="TMJ364" s="37"/>
      <c r="TMK364" s="37"/>
      <c r="TML364" s="38"/>
      <c r="TMM364" s="38"/>
      <c r="TMN364" s="39"/>
      <c r="TMO364" s="34"/>
      <c r="TMP364" s="34"/>
      <c r="TMQ364" s="34"/>
      <c r="TMR364" s="35"/>
      <c r="TMS364" s="35"/>
      <c r="TMT364" s="35"/>
      <c r="TMU364" s="35"/>
      <c r="TMV364" s="35"/>
      <c r="TMW364" s="34"/>
      <c r="TMX364" s="34"/>
      <c r="TMY364" s="36"/>
      <c r="TMZ364" s="36"/>
      <c r="TNA364" s="37"/>
      <c r="TNB364" s="37"/>
      <c r="TNC364" s="38"/>
      <c r="TND364" s="38"/>
      <c r="TNE364" s="39"/>
      <c r="TNF364" s="34"/>
      <c r="TNG364" s="34"/>
      <c r="TNH364" s="34"/>
      <c r="TNI364" s="35"/>
      <c r="TNJ364" s="35"/>
      <c r="TNK364" s="35"/>
      <c r="TNL364" s="35"/>
      <c r="TNM364" s="35"/>
      <c r="TNN364" s="34"/>
      <c r="TNO364" s="34"/>
      <c r="TNP364" s="36"/>
      <c r="TNQ364" s="36"/>
      <c r="TNR364" s="37"/>
      <c r="TNS364" s="37"/>
      <c r="TNT364" s="38"/>
      <c r="TNU364" s="38"/>
      <c r="TNV364" s="39"/>
      <c r="TNW364" s="34"/>
      <c r="TNX364" s="34"/>
      <c r="TNY364" s="34"/>
      <c r="TNZ364" s="35"/>
      <c r="TOA364" s="35"/>
      <c r="TOB364" s="35"/>
      <c r="TOC364" s="35"/>
      <c r="TOD364" s="35"/>
      <c r="TOE364" s="34"/>
      <c r="TOF364" s="34"/>
      <c r="TOG364" s="36"/>
      <c r="TOH364" s="36"/>
      <c r="TOI364" s="37"/>
      <c r="TOJ364" s="37"/>
      <c r="TOK364" s="38"/>
      <c r="TOL364" s="38"/>
      <c r="TOM364" s="39"/>
      <c r="TON364" s="34"/>
      <c r="TOO364" s="34"/>
      <c r="TOP364" s="34"/>
      <c r="TOQ364" s="35"/>
      <c r="TOR364" s="35"/>
      <c r="TOS364" s="35"/>
      <c r="TOT364" s="35"/>
      <c r="TOU364" s="35"/>
      <c r="TOV364" s="34"/>
      <c r="TOW364" s="34"/>
      <c r="TOX364" s="36"/>
      <c r="TOY364" s="36"/>
      <c r="TOZ364" s="37"/>
      <c r="TPA364" s="37"/>
      <c r="TPB364" s="38"/>
      <c r="TPC364" s="38"/>
      <c r="TPD364" s="39"/>
      <c r="TPE364" s="34"/>
      <c r="TPF364" s="34"/>
      <c r="TPG364" s="34"/>
      <c r="TPH364" s="35"/>
      <c r="TPI364" s="35"/>
      <c r="TPJ364" s="35"/>
      <c r="TPK364" s="35"/>
      <c r="TPL364" s="35"/>
      <c r="TPM364" s="34"/>
      <c r="TPN364" s="34"/>
      <c r="TPO364" s="36"/>
      <c r="TPP364" s="36"/>
      <c r="TPQ364" s="37"/>
      <c r="TPR364" s="37"/>
      <c r="TPS364" s="38"/>
      <c r="TPT364" s="38"/>
      <c r="TPU364" s="39"/>
      <c r="TPV364" s="34"/>
      <c r="TPW364" s="34"/>
      <c r="TPX364" s="34"/>
      <c r="TPY364" s="35"/>
      <c r="TPZ364" s="35"/>
      <c r="TQA364" s="35"/>
      <c r="TQB364" s="35"/>
      <c r="TQC364" s="35"/>
      <c r="TQD364" s="34"/>
      <c r="TQE364" s="34"/>
      <c r="TQF364" s="36"/>
      <c r="TQG364" s="36"/>
      <c r="TQH364" s="37"/>
      <c r="TQI364" s="37"/>
      <c r="TQJ364" s="38"/>
      <c r="TQK364" s="38"/>
      <c r="TQL364" s="39"/>
      <c r="TQM364" s="34"/>
      <c r="TQN364" s="34"/>
      <c r="TQO364" s="34"/>
      <c r="TQP364" s="35"/>
      <c r="TQQ364" s="35"/>
      <c r="TQR364" s="35"/>
      <c r="TQS364" s="35"/>
      <c r="TQT364" s="35"/>
      <c r="TQU364" s="34"/>
      <c r="TQV364" s="34"/>
      <c r="TQW364" s="36"/>
      <c r="TQX364" s="36"/>
      <c r="TQY364" s="37"/>
      <c r="TQZ364" s="37"/>
      <c r="TRA364" s="38"/>
      <c r="TRB364" s="38"/>
      <c r="TRC364" s="39"/>
      <c r="TRD364" s="34"/>
      <c r="TRE364" s="34"/>
      <c r="TRF364" s="34"/>
      <c r="TRG364" s="35"/>
      <c r="TRH364" s="35"/>
      <c r="TRI364" s="35"/>
      <c r="TRJ364" s="35"/>
      <c r="TRK364" s="35"/>
      <c r="TRL364" s="34"/>
      <c r="TRM364" s="34"/>
      <c r="TRN364" s="36"/>
      <c r="TRO364" s="36"/>
      <c r="TRP364" s="37"/>
      <c r="TRQ364" s="37"/>
      <c r="TRR364" s="38"/>
      <c r="TRS364" s="38"/>
      <c r="TRT364" s="39"/>
      <c r="TRU364" s="34"/>
      <c r="TRV364" s="34"/>
      <c r="TRW364" s="34"/>
      <c r="TRX364" s="35"/>
      <c r="TRY364" s="35"/>
      <c r="TRZ364" s="35"/>
      <c r="TSA364" s="35"/>
      <c r="TSB364" s="35"/>
      <c r="TSC364" s="34"/>
      <c r="TSD364" s="34"/>
      <c r="TSE364" s="36"/>
      <c r="TSF364" s="36"/>
      <c r="TSG364" s="37"/>
      <c r="TSH364" s="37"/>
      <c r="TSI364" s="38"/>
      <c r="TSJ364" s="38"/>
      <c r="TSK364" s="39"/>
      <c r="TSL364" s="34"/>
      <c r="TSM364" s="34"/>
      <c r="TSN364" s="34"/>
      <c r="TSO364" s="35"/>
      <c r="TSP364" s="35"/>
      <c r="TSQ364" s="35"/>
      <c r="TSR364" s="35"/>
      <c r="TSS364" s="35"/>
      <c r="TST364" s="34"/>
      <c r="TSU364" s="34"/>
      <c r="TSV364" s="36"/>
      <c r="TSW364" s="36"/>
      <c r="TSX364" s="37"/>
      <c r="TSY364" s="37"/>
      <c r="TSZ364" s="38"/>
      <c r="TTA364" s="38"/>
      <c r="TTB364" s="39"/>
      <c r="TTC364" s="34"/>
      <c r="TTD364" s="34"/>
      <c r="TTE364" s="34"/>
      <c r="TTF364" s="35"/>
      <c r="TTG364" s="35"/>
      <c r="TTH364" s="35"/>
      <c r="TTI364" s="35"/>
      <c r="TTJ364" s="35"/>
      <c r="TTK364" s="34"/>
      <c r="TTL364" s="34"/>
      <c r="TTM364" s="36"/>
      <c r="TTN364" s="36"/>
      <c r="TTO364" s="37"/>
      <c r="TTP364" s="37"/>
      <c r="TTQ364" s="38"/>
      <c r="TTR364" s="38"/>
      <c r="TTS364" s="39"/>
      <c r="TTT364" s="34"/>
      <c r="TTU364" s="34"/>
      <c r="TTV364" s="34"/>
      <c r="TTW364" s="35"/>
      <c r="TTX364" s="35"/>
      <c r="TTY364" s="35"/>
      <c r="TTZ364" s="35"/>
      <c r="TUA364" s="35"/>
      <c r="TUB364" s="34"/>
      <c r="TUC364" s="34"/>
      <c r="TUD364" s="36"/>
      <c r="TUE364" s="36"/>
      <c r="TUF364" s="37"/>
      <c r="TUG364" s="37"/>
      <c r="TUH364" s="38"/>
      <c r="TUI364" s="38"/>
      <c r="TUJ364" s="39"/>
      <c r="TUK364" s="34"/>
      <c r="TUL364" s="34"/>
      <c r="TUM364" s="34"/>
      <c r="TUN364" s="35"/>
      <c r="TUO364" s="35"/>
      <c r="TUP364" s="35"/>
      <c r="TUQ364" s="35"/>
      <c r="TUR364" s="35"/>
      <c r="TUS364" s="34"/>
      <c r="TUT364" s="34"/>
      <c r="TUU364" s="36"/>
      <c r="TUV364" s="36"/>
      <c r="TUW364" s="37"/>
      <c r="TUX364" s="37"/>
      <c r="TUY364" s="38"/>
      <c r="TUZ364" s="38"/>
      <c r="TVA364" s="39"/>
      <c r="TVB364" s="34"/>
      <c r="TVC364" s="34"/>
      <c r="TVD364" s="34"/>
      <c r="TVE364" s="35"/>
      <c r="TVF364" s="35"/>
      <c r="TVG364" s="35"/>
      <c r="TVH364" s="35"/>
      <c r="TVI364" s="35"/>
      <c r="TVJ364" s="34"/>
      <c r="TVK364" s="34"/>
      <c r="TVL364" s="36"/>
      <c r="TVM364" s="36"/>
      <c r="TVN364" s="37"/>
      <c r="TVO364" s="37"/>
      <c r="TVP364" s="38"/>
      <c r="TVQ364" s="38"/>
      <c r="TVR364" s="39"/>
      <c r="TVS364" s="34"/>
      <c r="TVT364" s="34"/>
      <c r="TVU364" s="34"/>
      <c r="TVV364" s="35"/>
      <c r="TVW364" s="35"/>
      <c r="TVX364" s="35"/>
      <c r="TVY364" s="35"/>
      <c r="TVZ364" s="35"/>
      <c r="TWA364" s="34"/>
      <c r="TWB364" s="34"/>
      <c r="TWC364" s="36"/>
      <c r="TWD364" s="36"/>
      <c r="TWE364" s="37"/>
      <c r="TWF364" s="37"/>
      <c r="TWG364" s="38"/>
      <c r="TWH364" s="38"/>
      <c r="TWI364" s="39"/>
      <c r="TWJ364" s="34"/>
      <c r="TWK364" s="34"/>
      <c r="TWL364" s="34"/>
      <c r="TWM364" s="35"/>
      <c r="TWN364" s="35"/>
      <c r="TWO364" s="35"/>
      <c r="TWP364" s="35"/>
      <c r="TWQ364" s="35"/>
      <c r="TWR364" s="34"/>
      <c r="TWS364" s="34"/>
      <c r="TWT364" s="36"/>
      <c r="TWU364" s="36"/>
      <c r="TWV364" s="37"/>
      <c r="TWW364" s="37"/>
      <c r="TWX364" s="38"/>
      <c r="TWY364" s="38"/>
      <c r="TWZ364" s="39"/>
      <c r="TXA364" s="34"/>
      <c r="TXB364" s="34"/>
      <c r="TXC364" s="34"/>
      <c r="TXD364" s="35"/>
      <c r="TXE364" s="35"/>
      <c r="TXF364" s="35"/>
      <c r="TXG364" s="35"/>
      <c r="TXH364" s="35"/>
      <c r="TXI364" s="34"/>
      <c r="TXJ364" s="34"/>
      <c r="TXK364" s="36"/>
      <c r="TXL364" s="36"/>
      <c r="TXM364" s="37"/>
      <c r="TXN364" s="37"/>
      <c r="TXO364" s="38"/>
      <c r="TXP364" s="38"/>
      <c r="TXQ364" s="39"/>
      <c r="TXR364" s="34"/>
      <c r="TXS364" s="34"/>
      <c r="TXT364" s="34"/>
      <c r="TXU364" s="35"/>
      <c r="TXV364" s="35"/>
      <c r="TXW364" s="35"/>
      <c r="TXX364" s="35"/>
      <c r="TXY364" s="35"/>
      <c r="TXZ364" s="34"/>
      <c r="TYA364" s="34"/>
      <c r="TYB364" s="36"/>
      <c r="TYC364" s="36"/>
      <c r="TYD364" s="37"/>
      <c r="TYE364" s="37"/>
      <c r="TYF364" s="38"/>
      <c r="TYG364" s="38"/>
      <c r="TYH364" s="39"/>
      <c r="TYI364" s="34"/>
      <c r="TYJ364" s="34"/>
      <c r="TYK364" s="34"/>
      <c r="TYL364" s="35"/>
      <c r="TYM364" s="35"/>
      <c r="TYN364" s="35"/>
      <c r="TYO364" s="35"/>
      <c r="TYP364" s="35"/>
      <c r="TYQ364" s="34"/>
      <c r="TYR364" s="34"/>
      <c r="TYS364" s="36"/>
      <c r="TYT364" s="36"/>
      <c r="TYU364" s="37"/>
      <c r="TYV364" s="37"/>
      <c r="TYW364" s="38"/>
      <c r="TYX364" s="38"/>
      <c r="TYY364" s="39"/>
      <c r="TYZ364" s="34"/>
      <c r="TZA364" s="34"/>
      <c r="TZB364" s="34"/>
      <c r="TZC364" s="35"/>
      <c r="TZD364" s="35"/>
      <c r="TZE364" s="35"/>
      <c r="TZF364" s="35"/>
      <c r="TZG364" s="35"/>
      <c r="TZH364" s="34"/>
      <c r="TZI364" s="34"/>
      <c r="TZJ364" s="36"/>
      <c r="TZK364" s="36"/>
      <c r="TZL364" s="37"/>
      <c r="TZM364" s="37"/>
      <c r="TZN364" s="38"/>
      <c r="TZO364" s="38"/>
      <c r="TZP364" s="39"/>
      <c r="TZQ364" s="34"/>
      <c r="TZR364" s="34"/>
      <c r="TZS364" s="34"/>
      <c r="TZT364" s="35"/>
      <c r="TZU364" s="35"/>
      <c r="TZV364" s="35"/>
      <c r="TZW364" s="35"/>
      <c r="TZX364" s="35"/>
      <c r="TZY364" s="34"/>
      <c r="TZZ364" s="34"/>
      <c r="UAA364" s="36"/>
      <c r="UAB364" s="36"/>
      <c r="UAC364" s="37"/>
      <c r="UAD364" s="37"/>
      <c r="UAE364" s="38"/>
      <c r="UAF364" s="38"/>
      <c r="UAG364" s="39"/>
      <c r="UAH364" s="34"/>
      <c r="UAI364" s="34"/>
      <c r="UAJ364" s="34"/>
      <c r="UAK364" s="35"/>
      <c r="UAL364" s="35"/>
      <c r="UAM364" s="35"/>
      <c r="UAN364" s="35"/>
      <c r="UAO364" s="35"/>
      <c r="UAP364" s="34"/>
      <c r="UAQ364" s="34"/>
      <c r="UAR364" s="36"/>
      <c r="UAS364" s="36"/>
      <c r="UAT364" s="37"/>
      <c r="UAU364" s="37"/>
      <c r="UAV364" s="38"/>
      <c r="UAW364" s="38"/>
      <c r="UAX364" s="39"/>
      <c r="UAY364" s="34"/>
      <c r="UAZ364" s="34"/>
      <c r="UBA364" s="34"/>
      <c r="UBB364" s="35"/>
      <c r="UBC364" s="35"/>
      <c r="UBD364" s="35"/>
      <c r="UBE364" s="35"/>
      <c r="UBF364" s="35"/>
      <c r="UBG364" s="34"/>
      <c r="UBH364" s="34"/>
      <c r="UBI364" s="36"/>
      <c r="UBJ364" s="36"/>
      <c r="UBK364" s="37"/>
      <c r="UBL364" s="37"/>
      <c r="UBM364" s="38"/>
      <c r="UBN364" s="38"/>
      <c r="UBO364" s="39"/>
      <c r="UBP364" s="34"/>
      <c r="UBQ364" s="34"/>
      <c r="UBR364" s="34"/>
      <c r="UBS364" s="35"/>
      <c r="UBT364" s="35"/>
      <c r="UBU364" s="35"/>
      <c r="UBV364" s="35"/>
      <c r="UBW364" s="35"/>
      <c r="UBX364" s="34"/>
      <c r="UBY364" s="34"/>
      <c r="UBZ364" s="36"/>
      <c r="UCA364" s="36"/>
      <c r="UCB364" s="37"/>
      <c r="UCC364" s="37"/>
      <c r="UCD364" s="38"/>
      <c r="UCE364" s="38"/>
      <c r="UCF364" s="39"/>
      <c r="UCG364" s="34"/>
      <c r="UCH364" s="34"/>
      <c r="UCI364" s="34"/>
      <c r="UCJ364" s="35"/>
      <c r="UCK364" s="35"/>
      <c r="UCL364" s="35"/>
      <c r="UCM364" s="35"/>
      <c r="UCN364" s="35"/>
      <c r="UCO364" s="34"/>
      <c r="UCP364" s="34"/>
      <c r="UCQ364" s="36"/>
      <c r="UCR364" s="36"/>
      <c r="UCS364" s="37"/>
      <c r="UCT364" s="37"/>
      <c r="UCU364" s="38"/>
      <c r="UCV364" s="38"/>
      <c r="UCW364" s="39"/>
      <c r="UCX364" s="34"/>
      <c r="UCY364" s="34"/>
      <c r="UCZ364" s="34"/>
      <c r="UDA364" s="35"/>
      <c r="UDB364" s="35"/>
      <c r="UDC364" s="35"/>
      <c r="UDD364" s="35"/>
      <c r="UDE364" s="35"/>
      <c r="UDF364" s="34"/>
      <c r="UDG364" s="34"/>
      <c r="UDH364" s="36"/>
      <c r="UDI364" s="36"/>
      <c r="UDJ364" s="37"/>
      <c r="UDK364" s="37"/>
      <c r="UDL364" s="38"/>
      <c r="UDM364" s="38"/>
      <c r="UDN364" s="39"/>
      <c r="UDO364" s="34"/>
      <c r="UDP364" s="34"/>
      <c r="UDQ364" s="34"/>
      <c r="UDR364" s="35"/>
      <c r="UDS364" s="35"/>
      <c r="UDT364" s="35"/>
      <c r="UDU364" s="35"/>
      <c r="UDV364" s="35"/>
      <c r="UDW364" s="34"/>
      <c r="UDX364" s="34"/>
      <c r="UDY364" s="36"/>
      <c r="UDZ364" s="36"/>
      <c r="UEA364" s="37"/>
      <c r="UEB364" s="37"/>
      <c r="UEC364" s="38"/>
      <c r="UED364" s="38"/>
      <c r="UEE364" s="39"/>
      <c r="UEF364" s="34"/>
      <c r="UEG364" s="34"/>
      <c r="UEH364" s="34"/>
      <c r="UEI364" s="35"/>
      <c r="UEJ364" s="35"/>
      <c r="UEK364" s="35"/>
      <c r="UEL364" s="35"/>
      <c r="UEM364" s="35"/>
      <c r="UEN364" s="34"/>
      <c r="UEO364" s="34"/>
      <c r="UEP364" s="36"/>
      <c r="UEQ364" s="36"/>
      <c r="UER364" s="37"/>
      <c r="UES364" s="37"/>
      <c r="UET364" s="38"/>
      <c r="UEU364" s="38"/>
      <c r="UEV364" s="39"/>
      <c r="UEW364" s="34"/>
      <c r="UEX364" s="34"/>
      <c r="UEY364" s="34"/>
      <c r="UEZ364" s="35"/>
      <c r="UFA364" s="35"/>
      <c r="UFB364" s="35"/>
      <c r="UFC364" s="35"/>
      <c r="UFD364" s="35"/>
      <c r="UFE364" s="34"/>
      <c r="UFF364" s="34"/>
      <c r="UFG364" s="36"/>
      <c r="UFH364" s="36"/>
      <c r="UFI364" s="37"/>
      <c r="UFJ364" s="37"/>
      <c r="UFK364" s="38"/>
      <c r="UFL364" s="38"/>
      <c r="UFM364" s="39"/>
      <c r="UFN364" s="34"/>
      <c r="UFO364" s="34"/>
      <c r="UFP364" s="34"/>
      <c r="UFQ364" s="35"/>
      <c r="UFR364" s="35"/>
      <c r="UFS364" s="35"/>
      <c r="UFT364" s="35"/>
      <c r="UFU364" s="35"/>
      <c r="UFV364" s="34"/>
      <c r="UFW364" s="34"/>
      <c r="UFX364" s="36"/>
      <c r="UFY364" s="36"/>
      <c r="UFZ364" s="37"/>
      <c r="UGA364" s="37"/>
      <c r="UGB364" s="38"/>
      <c r="UGC364" s="38"/>
      <c r="UGD364" s="39"/>
      <c r="UGE364" s="34"/>
      <c r="UGF364" s="34"/>
      <c r="UGG364" s="34"/>
      <c r="UGH364" s="35"/>
      <c r="UGI364" s="35"/>
      <c r="UGJ364" s="35"/>
      <c r="UGK364" s="35"/>
      <c r="UGL364" s="35"/>
      <c r="UGM364" s="34"/>
      <c r="UGN364" s="34"/>
      <c r="UGO364" s="36"/>
      <c r="UGP364" s="36"/>
      <c r="UGQ364" s="37"/>
      <c r="UGR364" s="37"/>
      <c r="UGS364" s="38"/>
      <c r="UGT364" s="38"/>
      <c r="UGU364" s="39"/>
      <c r="UGV364" s="34"/>
      <c r="UGW364" s="34"/>
      <c r="UGX364" s="34"/>
      <c r="UGY364" s="35"/>
      <c r="UGZ364" s="35"/>
      <c r="UHA364" s="35"/>
      <c r="UHB364" s="35"/>
      <c r="UHC364" s="35"/>
      <c r="UHD364" s="34"/>
      <c r="UHE364" s="34"/>
      <c r="UHF364" s="36"/>
      <c r="UHG364" s="36"/>
      <c r="UHH364" s="37"/>
      <c r="UHI364" s="37"/>
      <c r="UHJ364" s="38"/>
      <c r="UHK364" s="38"/>
      <c r="UHL364" s="39"/>
      <c r="UHM364" s="34"/>
      <c r="UHN364" s="34"/>
      <c r="UHO364" s="34"/>
      <c r="UHP364" s="35"/>
      <c r="UHQ364" s="35"/>
      <c r="UHR364" s="35"/>
      <c r="UHS364" s="35"/>
      <c r="UHT364" s="35"/>
      <c r="UHU364" s="34"/>
      <c r="UHV364" s="34"/>
      <c r="UHW364" s="36"/>
      <c r="UHX364" s="36"/>
      <c r="UHY364" s="37"/>
      <c r="UHZ364" s="37"/>
      <c r="UIA364" s="38"/>
      <c r="UIB364" s="38"/>
      <c r="UIC364" s="39"/>
      <c r="UID364" s="34"/>
      <c r="UIE364" s="34"/>
      <c r="UIF364" s="34"/>
      <c r="UIG364" s="35"/>
      <c r="UIH364" s="35"/>
      <c r="UII364" s="35"/>
      <c r="UIJ364" s="35"/>
      <c r="UIK364" s="35"/>
      <c r="UIL364" s="34"/>
      <c r="UIM364" s="34"/>
      <c r="UIN364" s="36"/>
      <c r="UIO364" s="36"/>
      <c r="UIP364" s="37"/>
      <c r="UIQ364" s="37"/>
      <c r="UIR364" s="38"/>
      <c r="UIS364" s="38"/>
      <c r="UIT364" s="39"/>
      <c r="UIU364" s="34"/>
      <c r="UIV364" s="34"/>
      <c r="UIW364" s="34"/>
      <c r="UIX364" s="35"/>
      <c r="UIY364" s="35"/>
      <c r="UIZ364" s="35"/>
      <c r="UJA364" s="35"/>
      <c r="UJB364" s="35"/>
      <c r="UJC364" s="34"/>
      <c r="UJD364" s="34"/>
      <c r="UJE364" s="36"/>
      <c r="UJF364" s="36"/>
      <c r="UJG364" s="37"/>
      <c r="UJH364" s="37"/>
      <c r="UJI364" s="38"/>
      <c r="UJJ364" s="38"/>
      <c r="UJK364" s="39"/>
      <c r="UJL364" s="34"/>
      <c r="UJM364" s="34"/>
      <c r="UJN364" s="34"/>
      <c r="UJO364" s="35"/>
      <c r="UJP364" s="35"/>
      <c r="UJQ364" s="35"/>
      <c r="UJR364" s="35"/>
      <c r="UJS364" s="35"/>
      <c r="UJT364" s="34"/>
      <c r="UJU364" s="34"/>
      <c r="UJV364" s="36"/>
      <c r="UJW364" s="36"/>
      <c r="UJX364" s="37"/>
      <c r="UJY364" s="37"/>
      <c r="UJZ364" s="38"/>
      <c r="UKA364" s="38"/>
      <c r="UKB364" s="39"/>
      <c r="UKC364" s="34"/>
      <c r="UKD364" s="34"/>
      <c r="UKE364" s="34"/>
      <c r="UKF364" s="35"/>
      <c r="UKG364" s="35"/>
      <c r="UKH364" s="35"/>
      <c r="UKI364" s="35"/>
      <c r="UKJ364" s="35"/>
      <c r="UKK364" s="34"/>
      <c r="UKL364" s="34"/>
      <c r="UKM364" s="36"/>
      <c r="UKN364" s="36"/>
      <c r="UKO364" s="37"/>
      <c r="UKP364" s="37"/>
      <c r="UKQ364" s="38"/>
      <c r="UKR364" s="38"/>
      <c r="UKS364" s="39"/>
      <c r="UKT364" s="34"/>
      <c r="UKU364" s="34"/>
      <c r="UKV364" s="34"/>
      <c r="UKW364" s="35"/>
      <c r="UKX364" s="35"/>
      <c r="UKY364" s="35"/>
      <c r="UKZ364" s="35"/>
      <c r="ULA364" s="35"/>
      <c r="ULB364" s="34"/>
      <c r="ULC364" s="34"/>
      <c r="ULD364" s="36"/>
      <c r="ULE364" s="36"/>
      <c r="ULF364" s="37"/>
      <c r="ULG364" s="37"/>
      <c r="ULH364" s="38"/>
      <c r="ULI364" s="38"/>
      <c r="ULJ364" s="39"/>
      <c r="ULK364" s="34"/>
      <c r="ULL364" s="34"/>
      <c r="ULM364" s="34"/>
      <c r="ULN364" s="35"/>
      <c r="ULO364" s="35"/>
      <c r="ULP364" s="35"/>
      <c r="ULQ364" s="35"/>
      <c r="ULR364" s="35"/>
      <c r="ULS364" s="34"/>
      <c r="ULT364" s="34"/>
      <c r="ULU364" s="36"/>
      <c r="ULV364" s="36"/>
      <c r="ULW364" s="37"/>
      <c r="ULX364" s="37"/>
      <c r="ULY364" s="38"/>
      <c r="ULZ364" s="38"/>
      <c r="UMA364" s="39"/>
      <c r="UMB364" s="34"/>
      <c r="UMC364" s="34"/>
      <c r="UMD364" s="34"/>
      <c r="UME364" s="35"/>
      <c r="UMF364" s="35"/>
      <c r="UMG364" s="35"/>
      <c r="UMH364" s="35"/>
      <c r="UMI364" s="35"/>
      <c r="UMJ364" s="34"/>
      <c r="UMK364" s="34"/>
      <c r="UML364" s="36"/>
      <c r="UMM364" s="36"/>
      <c r="UMN364" s="37"/>
      <c r="UMO364" s="37"/>
      <c r="UMP364" s="38"/>
      <c r="UMQ364" s="38"/>
      <c r="UMR364" s="39"/>
      <c r="UMS364" s="34"/>
      <c r="UMT364" s="34"/>
      <c r="UMU364" s="34"/>
      <c r="UMV364" s="35"/>
      <c r="UMW364" s="35"/>
      <c r="UMX364" s="35"/>
      <c r="UMY364" s="35"/>
      <c r="UMZ364" s="35"/>
      <c r="UNA364" s="34"/>
      <c r="UNB364" s="34"/>
      <c r="UNC364" s="36"/>
      <c r="UND364" s="36"/>
      <c r="UNE364" s="37"/>
      <c r="UNF364" s="37"/>
      <c r="UNG364" s="38"/>
      <c r="UNH364" s="38"/>
      <c r="UNI364" s="39"/>
      <c r="UNJ364" s="34"/>
      <c r="UNK364" s="34"/>
      <c r="UNL364" s="34"/>
      <c r="UNM364" s="35"/>
      <c r="UNN364" s="35"/>
      <c r="UNO364" s="35"/>
      <c r="UNP364" s="35"/>
      <c r="UNQ364" s="35"/>
      <c r="UNR364" s="34"/>
      <c r="UNS364" s="34"/>
      <c r="UNT364" s="36"/>
      <c r="UNU364" s="36"/>
      <c r="UNV364" s="37"/>
      <c r="UNW364" s="37"/>
      <c r="UNX364" s="38"/>
      <c r="UNY364" s="38"/>
      <c r="UNZ364" s="39"/>
      <c r="UOA364" s="34"/>
      <c r="UOB364" s="34"/>
      <c r="UOC364" s="34"/>
      <c r="UOD364" s="35"/>
      <c r="UOE364" s="35"/>
      <c r="UOF364" s="35"/>
      <c r="UOG364" s="35"/>
      <c r="UOH364" s="35"/>
      <c r="UOI364" s="34"/>
      <c r="UOJ364" s="34"/>
      <c r="UOK364" s="36"/>
      <c r="UOL364" s="36"/>
      <c r="UOM364" s="37"/>
      <c r="UON364" s="37"/>
      <c r="UOO364" s="38"/>
      <c r="UOP364" s="38"/>
      <c r="UOQ364" s="39"/>
      <c r="UOR364" s="34"/>
      <c r="UOS364" s="34"/>
      <c r="UOT364" s="34"/>
      <c r="UOU364" s="35"/>
      <c r="UOV364" s="35"/>
      <c r="UOW364" s="35"/>
      <c r="UOX364" s="35"/>
      <c r="UOY364" s="35"/>
      <c r="UOZ364" s="34"/>
      <c r="UPA364" s="34"/>
      <c r="UPB364" s="36"/>
      <c r="UPC364" s="36"/>
      <c r="UPD364" s="37"/>
      <c r="UPE364" s="37"/>
      <c r="UPF364" s="38"/>
      <c r="UPG364" s="38"/>
      <c r="UPH364" s="39"/>
      <c r="UPI364" s="34"/>
      <c r="UPJ364" s="34"/>
      <c r="UPK364" s="34"/>
      <c r="UPL364" s="35"/>
      <c r="UPM364" s="35"/>
      <c r="UPN364" s="35"/>
      <c r="UPO364" s="35"/>
      <c r="UPP364" s="35"/>
      <c r="UPQ364" s="34"/>
      <c r="UPR364" s="34"/>
      <c r="UPS364" s="36"/>
      <c r="UPT364" s="36"/>
      <c r="UPU364" s="37"/>
      <c r="UPV364" s="37"/>
      <c r="UPW364" s="38"/>
      <c r="UPX364" s="38"/>
      <c r="UPY364" s="39"/>
      <c r="UPZ364" s="34"/>
      <c r="UQA364" s="34"/>
      <c r="UQB364" s="34"/>
      <c r="UQC364" s="35"/>
      <c r="UQD364" s="35"/>
      <c r="UQE364" s="35"/>
      <c r="UQF364" s="35"/>
      <c r="UQG364" s="35"/>
      <c r="UQH364" s="34"/>
      <c r="UQI364" s="34"/>
      <c r="UQJ364" s="36"/>
      <c r="UQK364" s="36"/>
      <c r="UQL364" s="37"/>
      <c r="UQM364" s="37"/>
      <c r="UQN364" s="38"/>
      <c r="UQO364" s="38"/>
      <c r="UQP364" s="39"/>
      <c r="UQQ364" s="34"/>
      <c r="UQR364" s="34"/>
      <c r="UQS364" s="34"/>
      <c r="UQT364" s="35"/>
      <c r="UQU364" s="35"/>
      <c r="UQV364" s="35"/>
      <c r="UQW364" s="35"/>
      <c r="UQX364" s="35"/>
      <c r="UQY364" s="34"/>
      <c r="UQZ364" s="34"/>
      <c r="URA364" s="36"/>
      <c r="URB364" s="36"/>
      <c r="URC364" s="37"/>
      <c r="URD364" s="37"/>
      <c r="URE364" s="38"/>
      <c r="URF364" s="38"/>
      <c r="URG364" s="39"/>
      <c r="URH364" s="34"/>
      <c r="URI364" s="34"/>
      <c r="URJ364" s="34"/>
      <c r="URK364" s="35"/>
      <c r="URL364" s="35"/>
      <c r="URM364" s="35"/>
      <c r="URN364" s="35"/>
      <c r="URO364" s="35"/>
      <c r="URP364" s="34"/>
      <c r="URQ364" s="34"/>
      <c r="URR364" s="36"/>
      <c r="URS364" s="36"/>
      <c r="URT364" s="37"/>
      <c r="URU364" s="37"/>
      <c r="URV364" s="38"/>
      <c r="URW364" s="38"/>
      <c r="URX364" s="39"/>
      <c r="URY364" s="34"/>
      <c r="URZ364" s="34"/>
      <c r="USA364" s="34"/>
      <c r="USB364" s="35"/>
      <c r="USC364" s="35"/>
      <c r="USD364" s="35"/>
      <c r="USE364" s="35"/>
      <c r="USF364" s="35"/>
      <c r="USG364" s="34"/>
      <c r="USH364" s="34"/>
      <c r="USI364" s="36"/>
      <c r="USJ364" s="36"/>
      <c r="USK364" s="37"/>
      <c r="USL364" s="37"/>
      <c r="USM364" s="38"/>
      <c r="USN364" s="38"/>
      <c r="USO364" s="39"/>
      <c r="USP364" s="34"/>
      <c r="USQ364" s="34"/>
      <c r="USR364" s="34"/>
      <c r="USS364" s="35"/>
      <c r="UST364" s="35"/>
      <c r="USU364" s="35"/>
      <c r="USV364" s="35"/>
      <c r="USW364" s="35"/>
      <c r="USX364" s="34"/>
      <c r="USY364" s="34"/>
      <c r="USZ364" s="36"/>
      <c r="UTA364" s="36"/>
      <c r="UTB364" s="37"/>
      <c r="UTC364" s="37"/>
      <c r="UTD364" s="38"/>
      <c r="UTE364" s="38"/>
      <c r="UTF364" s="39"/>
      <c r="UTG364" s="34"/>
      <c r="UTH364" s="34"/>
      <c r="UTI364" s="34"/>
      <c r="UTJ364" s="35"/>
      <c r="UTK364" s="35"/>
      <c r="UTL364" s="35"/>
      <c r="UTM364" s="35"/>
      <c r="UTN364" s="35"/>
      <c r="UTO364" s="34"/>
      <c r="UTP364" s="34"/>
      <c r="UTQ364" s="36"/>
      <c r="UTR364" s="36"/>
      <c r="UTS364" s="37"/>
      <c r="UTT364" s="37"/>
      <c r="UTU364" s="38"/>
      <c r="UTV364" s="38"/>
      <c r="UTW364" s="39"/>
      <c r="UTX364" s="34"/>
      <c r="UTY364" s="34"/>
      <c r="UTZ364" s="34"/>
      <c r="UUA364" s="35"/>
      <c r="UUB364" s="35"/>
      <c r="UUC364" s="35"/>
      <c r="UUD364" s="35"/>
      <c r="UUE364" s="35"/>
      <c r="UUF364" s="34"/>
      <c r="UUG364" s="34"/>
      <c r="UUH364" s="36"/>
      <c r="UUI364" s="36"/>
      <c r="UUJ364" s="37"/>
      <c r="UUK364" s="37"/>
      <c r="UUL364" s="38"/>
      <c r="UUM364" s="38"/>
      <c r="UUN364" s="39"/>
      <c r="UUO364" s="34"/>
      <c r="UUP364" s="34"/>
      <c r="UUQ364" s="34"/>
      <c r="UUR364" s="35"/>
      <c r="UUS364" s="35"/>
      <c r="UUT364" s="35"/>
      <c r="UUU364" s="35"/>
      <c r="UUV364" s="35"/>
      <c r="UUW364" s="34"/>
      <c r="UUX364" s="34"/>
      <c r="UUY364" s="36"/>
      <c r="UUZ364" s="36"/>
      <c r="UVA364" s="37"/>
      <c r="UVB364" s="37"/>
      <c r="UVC364" s="38"/>
      <c r="UVD364" s="38"/>
      <c r="UVE364" s="39"/>
      <c r="UVF364" s="34"/>
      <c r="UVG364" s="34"/>
      <c r="UVH364" s="34"/>
      <c r="UVI364" s="35"/>
      <c r="UVJ364" s="35"/>
      <c r="UVK364" s="35"/>
      <c r="UVL364" s="35"/>
      <c r="UVM364" s="35"/>
      <c r="UVN364" s="34"/>
      <c r="UVO364" s="34"/>
      <c r="UVP364" s="36"/>
      <c r="UVQ364" s="36"/>
      <c r="UVR364" s="37"/>
      <c r="UVS364" s="37"/>
      <c r="UVT364" s="38"/>
      <c r="UVU364" s="38"/>
      <c r="UVV364" s="39"/>
      <c r="UVW364" s="34"/>
      <c r="UVX364" s="34"/>
      <c r="UVY364" s="34"/>
      <c r="UVZ364" s="35"/>
      <c r="UWA364" s="35"/>
      <c r="UWB364" s="35"/>
      <c r="UWC364" s="35"/>
      <c r="UWD364" s="35"/>
      <c r="UWE364" s="34"/>
      <c r="UWF364" s="34"/>
      <c r="UWG364" s="36"/>
      <c r="UWH364" s="36"/>
      <c r="UWI364" s="37"/>
      <c r="UWJ364" s="37"/>
      <c r="UWK364" s="38"/>
      <c r="UWL364" s="38"/>
      <c r="UWM364" s="39"/>
      <c r="UWN364" s="34"/>
      <c r="UWO364" s="34"/>
      <c r="UWP364" s="34"/>
      <c r="UWQ364" s="35"/>
      <c r="UWR364" s="35"/>
      <c r="UWS364" s="35"/>
      <c r="UWT364" s="35"/>
      <c r="UWU364" s="35"/>
      <c r="UWV364" s="34"/>
      <c r="UWW364" s="34"/>
      <c r="UWX364" s="36"/>
      <c r="UWY364" s="36"/>
      <c r="UWZ364" s="37"/>
      <c r="UXA364" s="37"/>
      <c r="UXB364" s="38"/>
      <c r="UXC364" s="38"/>
      <c r="UXD364" s="39"/>
      <c r="UXE364" s="34"/>
      <c r="UXF364" s="34"/>
      <c r="UXG364" s="34"/>
      <c r="UXH364" s="35"/>
      <c r="UXI364" s="35"/>
      <c r="UXJ364" s="35"/>
      <c r="UXK364" s="35"/>
      <c r="UXL364" s="35"/>
      <c r="UXM364" s="34"/>
      <c r="UXN364" s="34"/>
      <c r="UXO364" s="36"/>
      <c r="UXP364" s="36"/>
      <c r="UXQ364" s="37"/>
      <c r="UXR364" s="37"/>
      <c r="UXS364" s="38"/>
      <c r="UXT364" s="38"/>
      <c r="UXU364" s="39"/>
      <c r="UXV364" s="34"/>
      <c r="UXW364" s="34"/>
      <c r="UXX364" s="34"/>
      <c r="UXY364" s="35"/>
      <c r="UXZ364" s="35"/>
      <c r="UYA364" s="35"/>
      <c r="UYB364" s="35"/>
      <c r="UYC364" s="35"/>
      <c r="UYD364" s="34"/>
      <c r="UYE364" s="34"/>
      <c r="UYF364" s="36"/>
      <c r="UYG364" s="36"/>
      <c r="UYH364" s="37"/>
      <c r="UYI364" s="37"/>
      <c r="UYJ364" s="38"/>
      <c r="UYK364" s="38"/>
      <c r="UYL364" s="39"/>
      <c r="UYM364" s="34"/>
      <c r="UYN364" s="34"/>
      <c r="UYO364" s="34"/>
      <c r="UYP364" s="35"/>
      <c r="UYQ364" s="35"/>
      <c r="UYR364" s="35"/>
      <c r="UYS364" s="35"/>
      <c r="UYT364" s="35"/>
      <c r="UYU364" s="34"/>
      <c r="UYV364" s="34"/>
      <c r="UYW364" s="36"/>
      <c r="UYX364" s="36"/>
      <c r="UYY364" s="37"/>
      <c r="UYZ364" s="37"/>
      <c r="UZA364" s="38"/>
      <c r="UZB364" s="38"/>
      <c r="UZC364" s="39"/>
      <c r="UZD364" s="34"/>
      <c r="UZE364" s="34"/>
      <c r="UZF364" s="34"/>
      <c r="UZG364" s="35"/>
      <c r="UZH364" s="35"/>
      <c r="UZI364" s="35"/>
      <c r="UZJ364" s="35"/>
      <c r="UZK364" s="35"/>
      <c r="UZL364" s="34"/>
      <c r="UZM364" s="34"/>
      <c r="UZN364" s="36"/>
      <c r="UZO364" s="36"/>
      <c r="UZP364" s="37"/>
      <c r="UZQ364" s="37"/>
      <c r="UZR364" s="38"/>
      <c r="UZS364" s="38"/>
      <c r="UZT364" s="39"/>
      <c r="UZU364" s="34"/>
      <c r="UZV364" s="34"/>
      <c r="UZW364" s="34"/>
      <c r="UZX364" s="35"/>
      <c r="UZY364" s="35"/>
      <c r="UZZ364" s="35"/>
      <c r="VAA364" s="35"/>
      <c r="VAB364" s="35"/>
      <c r="VAC364" s="34"/>
      <c r="VAD364" s="34"/>
      <c r="VAE364" s="36"/>
      <c r="VAF364" s="36"/>
      <c r="VAG364" s="37"/>
      <c r="VAH364" s="37"/>
      <c r="VAI364" s="38"/>
      <c r="VAJ364" s="38"/>
      <c r="VAK364" s="39"/>
      <c r="VAL364" s="34"/>
      <c r="VAM364" s="34"/>
      <c r="VAN364" s="34"/>
      <c r="VAO364" s="35"/>
      <c r="VAP364" s="35"/>
      <c r="VAQ364" s="35"/>
      <c r="VAR364" s="35"/>
      <c r="VAS364" s="35"/>
      <c r="VAT364" s="34"/>
      <c r="VAU364" s="34"/>
      <c r="VAV364" s="36"/>
      <c r="VAW364" s="36"/>
      <c r="VAX364" s="37"/>
      <c r="VAY364" s="37"/>
      <c r="VAZ364" s="38"/>
      <c r="VBA364" s="38"/>
      <c r="VBB364" s="39"/>
      <c r="VBC364" s="34"/>
      <c r="VBD364" s="34"/>
      <c r="VBE364" s="34"/>
      <c r="VBF364" s="35"/>
      <c r="VBG364" s="35"/>
      <c r="VBH364" s="35"/>
      <c r="VBI364" s="35"/>
      <c r="VBJ364" s="35"/>
      <c r="VBK364" s="34"/>
      <c r="VBL364" s="34"/>
      <c r="VBM364" s="36"/>
      <c r="VBN364" s="36"/>
      <c r="VBO364" s="37"/>
      <c r="VBP364" s="37"/>
      <c r="VBQ364" s="38"/>
      <c r="VBR364" s="38"/>
      <c r="VBS364" s="39"/>
      <c r="VBT364" s="34"/>
      <c r="VBU364" s="34"/>
      <c r="VBV364" s="34"/>
      <c r="VBW364" s="35"/>
      <c r="VBX364" s="35"/>
      <c r="VBY364" s="35"/>
      <c r="VBZ364" s="35"/>
      <c r="VCA364" s="35"/>
      <c r="VCB364" s="34"/>
      <c r="VCC364" s="34"/>
      <c r="VCD364" s="36"/>
      <c r="VCE364" s="36"/>
      <c r="VCF364" s="37"/>
      <c r="VCG364" s="37"/>
      <c r="VCH364" s="38"/>
      <c r="VCI364" s="38"/>
      <c r="VCJ364" s="39"/>
      <c r="VCK364" s="34"/>
      <c r="VCL364" s="34"/>
      <c r="VCM364" s="34"/>
      <c r="VCN364" s="35"/>
      <c r="VCO364" s="35"/>
      <c r="VCP364" s="35"/>
      <c r="VCQ364" s="35"/>
      <c r="VCR364" s="35"/>
      <c r="VCS364" s="34"/>
      <c r="VCT364" s="34"/>
      <c r="VCU364" s="36"/>
      <c r="VCV364" s="36"/>
      <c r="VCW364" s="37"/>
      <c r="VCX364" s="37"/>
      <c r="VCY364" s="38"/>
      <c r="VCZ364" s="38"/>
      <c r="VDA364" s="39"/>
      <c r="VDB364" s="34"/>
      <c r="VDC364" s="34"/>
      <c r="VDD364" s="34"/>
      <c r="VDE364" s="35"/>
      <c r="VDF364" s="35"/>
      <c r="VDG364" s="35"/>
      <c r="VDH364" s="35"/>
      <c r="VDI364" s="35"/>
      <c r="VDJ364" s="34"/>
      <c r="VDK364" s="34"/>
      <c r="VDL364" s="36"/>
      <c r="VDM364" s="36"/>
      <c r="VDN364" s="37"/>
      <c r="VDO364" s="37"/>
      <c r="VDP364" s="38"/>
      <c r="VDQ364" s="38"/>
      <c r="VDR364" s="39"/>
      <c r="VDS364" s="34"/>
      <c r="VDT364" s="34"/>
      <c r="VDU364" s="34"/>
      <c r="VDV364" s="35"/>
      <c r="VDW364" s="35"/>
      <c r="VDX364" s="35"/>
      <c r="VDY364" s="35"/>
      <c r="VDZ364" s="35"/>
      <c r="VEA364" s="34"/>
      <c r="VEB364" s="34"/>
      <c r="VEC364" s="36"/>
      <c r="VED364" s="36"/>
      <c r="VEE364" s="37"/>
      <c r="VEF364" s="37"/>
      <c r="VEG364" s="38"/>
      <c r="VEH364" s="38"/>
      <c r="VEI364" s="39"/>
      <c r="VEJ364" s="34"/>
      <c r="VEK364" s="34"/>
      <c r="VEL364" s="34"/>
      <c r="VEM364" s="35"/>
      <c r="VEN364" s="35"/>
      <c r="VEO364" s="35"/>
      <c r="VEP364" s="35"/>
      <c r="VEQ364" s="35"/>
      <c r="VER364" s="34"/>
      <c r="VES364" s="34"/>
      <c r="VET364" s="36"/>
      <c r="VEU364" s="36"/>
      <c r="VEV364" s="37"/>
      <c r="VEW364" s="37"/>
      <c r="VEX364" s="38"/>
      <c r="VEY364" s="38"/>
      <c r="VEZ364" s="39"/>
      <c r="VFA364" s="34"/>
      <c r="VFB364" s="34"/>
      <c r="VFC364" s="34"/>
      <c r="VFD364" s="35"/>
      <c r="VFE364" s="35"/>
      <c r="VFF364" s="35"/>
      <c r="VFG364" s="35"/>
      <c r="VFH364" s="35"/>
      <c r="VFI364" s="34"/>
      <c r="VFJ364" s="34"/>
      <c r="VFK364" s="36"/>
      <c r="VFL364" s="36"/>
      <c r="VFM364" s="37"/>
      <c r="VFN364" s="37"/>
      <c r="VFO364" s="38"/>
      <c r="VFP364" s="38"/>
      <c r="VFQ364" s="39"/>
      <c r="VFR364" s="34"/>
      <c r="VFS364" s="34"/>
      <c r="VFT364" s="34"/>
      <c r="VFU364" s="35"/>
      <c r="VFV364" s="35"/>
      <c r="VFW364" s="35"/>
      <c r="VFX364" s="35"/>
      <c r="VFY364" s="35"/>
      <c r="VFZ364" s="34"/>
      <c r="VGA364" s="34"/>
      <c r="VGB364" s="36"/>
      <c r="VGC364" s="36"/>
      <c r="VGD364" s="37"/>
      <c r="VGE364" s="37"/>
      <c r="VGF364" s="38"/>
      <c r="VGG364" s="38"/>
      <c r="VGH364" s="39"/>
      <c r="VGI364" s="34"/>
      <c r="VGJ364" s="34"/>
      <c r="VGK364" s="34"/>
      <c r="VGL364" s="35"/>
      <c r="VGM364" s="35"/>
      <c r="VGN364" s="35"/>
      <c r="VGO364" s="35"/>
      <c r="VGP364" s="35"/>
      <c r="VGQ364" s="34"/>
      <c r="VGR364" s="34"/>
      <c r="VGS364" s="36"/>
      <c r="VGT364" s="36"/>
      <c r="VGU364" s="37"/>
      <c r="VGV364" s="37"/>
      <c r="VGW364" s="38"/>
      <c r="VGX364" s="38"/>
      <c r="VGY364" s="39"/>
      <c r="VGZ364" s="34"/>
      <c r="VHA364" s="34"/>
      <c r="VHB364" s="34"/>
      <c r="VHC364" s="35"/>
      <c r="VHD364" s="35"/>
      <c r="VHE364" s="35"/>
      <c r="VHF364" s="35"/>
      <c r="VHG364" s="35"/>
      <c r="VHH364" s="34"/>
      <c r="VHI364" s="34"/>
      <c r="VHJ364" s="36"/>
      <c r="VHK364" s="36"/>
      <c r="VHL364" s="37"/>
      <c r="VHM364" s="37"/>
      <c r="VHN364" s="38"/>
      <c r="VHO364" s="38"/>
      <c r="VHP364" s="39"/>
      <c r="VHQ364" s="34"/>
      <c r="VHR364" s="34"/>
      <c r="VHS364" s="34"/>
      <c r="VHT364" s="35"/>
      <c r="VHU364" s="35"/>
      <c r="VHV364" s="35"/>
      <c r="VHW364" s="35"/>
      <c r="VHX364" s="35"/>
      <c r="VHY364" s="34"/>
      <c r="VHZ364" s="34"/>
      <c r="VIA364" s="36"/>
      <c r="VIB364" s="36"/>
      <c r="VIC364" s="37"/>
      <c r="VID364" s="37"/>
      <c r="VIE364" s="38"/>
      <c r="VIF364" s="38"/>
      <c r="VIG364" s="39"/>
      <c r="VIH364" s="34"/>
      <c r="VII364" s="34"/>
      <c r="VIJ364" s="34"/>
      <c r="VIK364" s="35"/>
      <c r="VIL364" s="35"/>
      <c r="VIM364" s="35"/>
      <c r="VIN364" s="35"/>
      <c r="VIO364" s="35"/>
      <c r="VIP364" s="34"/>
      <c r="VIQ364" s="34"/>
      <c r="VIR364" s="36"/>
      <c r="VIS364" s="36"/>
      <c r="VIT364" s="37"/>
      <c r="VIU364" s="37"/>
      <c r="VIV364" s="38"/>
      <c r="VIW364" s="38"/>
      <c r="VIX364" s="39"/>
      <c r="VIY364" s="34"/>
      <c r="VIZ364" s="34"/>
      <c r="VJA364" s="34"/>
      <c r="VJB364" s="35"/>
      <c r="VJC364" s="35"/>
      <c r="VJD364" s="35"/>
      <c r="VJE364" s="35"/>
      <c r="VJF364" s="35"/>
      <c r="VJG364" s="34"/>
      <c r="VJH364" s="34"/>
      <c r="VJI364" s="36"/>
      <c r="VJJ364" s="36"/>
      <c r="VJK364" s="37"/>
      <c r="VJL364" s="37"/>
      <c r="VJM364" s="38"/>
      <c r="VJN364" s="38"/>
      <c r="VJO364" s="39"/>
      <c r="VJP364" s="34"/>
      <c r="VJQ364" s="34"/>
      <c r="VJR364" s="34"/>
      <c r="VJS364" s="35"/>
      <c r="VJT364" s="35"/>
      <c r="VJU364" s="35"/>
      <c r="VJV364" s="35"/>
      <c r="VJW364" s="35"/>
      <c r="VJX364" s="34"/>
      <c r="VJY364" s="34"/>
      <c r="VJZ364" s="36"/>
      <c r="VKA364" s="36"/>
      <c r="VKB364" s="37"/>
      <c r="VKC364" s="37"/>
      <c r="VKD364" s="38"/>
      <c r="VKE364" s="38"/>
      <c r="VKF364" s="39"/>
      <c r="VKG364" s="34"/>
      <c r="VKH364" s="34"/>
      <c r="VKI364" s="34"/>
      <c r="VKJ364" s="35"/>
      <c r="VKK364" s="35"/>
      <c r="VKL364" s="35"/>
      <c r="VKM364" s="35"/>
      <c r="VKN364" s="35"/>
      <c r="VKO364" s="34"/>
      <c r="VKP364" s="34"/>
      <c r="VKQ364" s="36"/>
      <c r="VKR364" s="36"/>
      <c r="VKS364" s="37"/>
      <c r="VKT364" s="37"/>
      <c r="VKU364" s="38"/>
      <c r="VKV364" s="38"/>
      <c r="VKW364" s="39"/>
      <c r="VKX364" s="34"/>
      <c r="VKY364" s="34"/>
      <c r="VKZ364" s="34"/>
      <c r="VLA364" s="35"/>
      <c r="VLB364" s="35"/>
      <c r="VLC364" s="35"/>
      <c r="VLD364" s="35"/>
      <c r="VLE364" s="35"/>
      <c r="VLF364" s="34"/>
      <c r="VLG364" s="34"/>
      <c r="VLH364" s="36"/>
      <c r="VLI364" s="36"/>
      <c r="VLJ364" s="37"/>
      <c r="VLK364" s="37"/>
      <c r="VLL364" s="38"/>
      <c r="VLM364" s="38"/>
      <c r="VLN364" s="39"/>
      <c r="VLO364" s="34"/>
      <c r="VLP364" s="34"/>
      <c r="VLQ364" s="34"/>
      <c r="VLR364" s="35"/>
      <c r="VLS364" s="35"/>
      <c r="VLT364" s="35"/>
      <c r="VLU364" s="35"/>
      <c r="VLV364" s="35"/>
      <c r="VLW364" s="34"/>
      <c r="VLX364" s="34"/>
      <c r="VLY364" s="36"/>
      <c r="VLZ364" s="36"/>
      <c r="VMA364" s="37"/>
      <c r="VMB364" s="37"/>
      <c r="VMC364" s="38"/>
      <c r="VMD364" s="38"/>
      <c r="VME364" s="39"/>
      <c r="VMF364" s="34"/>
      <c r="VMG364" s="34"/>
      <c r="VMH364" s="34"/>
      <c r="VMI364" s="35"/>
      <c r="VMJ364" s="35"/>
      <c r="VMK364" s="35"/>
      <c r="VML364" s="35"/>
      <c r="VMM364" s="35"/>
      <c r="VMN364" s="34"/>
      <c r="VMO364" s="34"/>
      <c r="VMP364" s="36"/>
      <c r="VMQ364" s="36"/>
      <c r="VMR364" s="37"/>
      <c r="VMS364" s="37"/>
      <c r="VMT364" s="38"/>
      <c r="VMU364" s="38"/>
      <c r="VMV364" s="39"/>
      <c r="VMW364" s="34"/>
      <c r="VMX364" s="34"/>
      <c r="VMY364" s="34"/>
      <c r="VMZ364" s="35"/>
      <c r="VNA364" s="35"/>
      <c r="VNB364" s="35"/>
      <c r="VNC364" s="35"/>
      <c r="VND364" s="35"/>
      <c r="VNE364" s="34"/>
      <c r="VNF364" s="34"/>
      <c r="VNG364" s="36"/>
      <c r="VNH364" s="36"/>
      <c r="VNI364" s="37"/>
      <c r="VNJ364" s="37"/>
      <c r="VNK364" s="38"/>
      <c r="VNL364" s="38"/>
      <c r="VNM364" s="39"/>
      <c r="VNN364" s="34"/>
      <c r="VNO364" s="34"/>
      <c r="VNP364" s="34"/>
      <c r="VNQ364" s="35"/>
      <c r="VNR364" s="35"/>
      <c r="VNS364" s="35"/>
      <c r="VNT364" s="35"/>
      <c r="VNU364" s="35"/>
      <c r="VNV364" s="34"/>
      <c r="VNW364" s="34"/>
      <c r="VNX364" s="36"/>
      <c r="VNY364" s="36"/>
      <c r="VNZ364" s="37"/>
      <c r="VOA364" s="37"/>
      <c r="VOB364" s="38"/>
      <c r="VOC364" s="38"/>
      <c r="VOD364" s="39"/>
      <c r="VOE364" s="34"/>
      <c r="VOF364" s="34"/>
      <c r="VOG364" s="34"/>
      <c r="VOH364" s="35"/>
      <c r="VOI364" s="35"/>
      <c r="VOJ364" s="35"/>
      <c r="VOK364" s="35"/>
      <c r="VOL364" s="35"/>
      <c r="VOM364" s="34"/>
      <c r="VON364" s="34"/>
      <c r="VOO364" s="36"/>
      <c r="VOP364" s="36"/>
      <c r="VOQ364" s="37"/>
      <c r="VOR364" s="37"/>
      <c r="VOS364" s="38"/>
      <c r="VOT364" s="38"/>
      <c r="VOU364" s="39"/>
      <c r="VOV364" s="34"/>
      <c r="VOW364" s="34"/>
      <c r="VOX364" s="34"/>
      <c r="VOY364" s="35"/>
      <c r="VOZ364" s="35"/>
      <c r="VPA364" s="35"/>
      <c r="VPB364" s="35"/>
      <c r="VPC364" s="35"/>
      <c r="VPD364" s="34"/>
      <c r="VPE364" s="34"/>
      <c r="VPF364" s="36"/>
      <c r="VPG364" s="36"/>
      <c r="VPH364" s="37"/>
      <c r="VPI364" s="37"/>
      <c r="VPJ364" s="38"/>
      <c r="VPK364" s="38"/>
      <c r="VPL364" s="39"/>
      <c r="VPM364" s="34"/>
      <c r="VPN364" s="34"/>
      <c r="VPO364" s="34"/>
      <c r="VPP364" s="35"/>
      <c r="VPQ364" s="35"/>
      <c r="VPR364" s="35"/>
      <c r="VPS364" s="35"/>
      <c r="VPT364" s="35"/>
      <c r="VPU364" s="34"/>
      <c r="VPV364" s="34"/>
      <c r="VPW364" s="36"/>
      <c r="VPX364" s="36"/>
      <c r="VPY364" s="37"/>
      <c r="VPZ364" s="37"/>
      <c r="VQA364" s="38"/>
      <c r="VQB364" s="38"/>
      <c r="VQC364" s="39"/>
      <c r="VQD364" s="34"/>
      <c r="VQE364" s="34"/>
      <c r="VQF364" s="34"/>
      <c r="VQG364" s="35"/>
      <c r="VQH364" s="35"/>
      <c r="VQI364" s="35"/>
      <c r="VQJ364" s="35"/>
      <c r="VQK364" s="35"/>
      <c r="VQL364" s="34"/>
      <c r="VQM364" s="34"/>
      <c r="VQN364" s="36"/>
      <c r="VQO364" s="36"/>
      <c r="VQP364" s="37"/>
      <c r="VQQ364" s="37"/>
      <c r="VQR364" s="38"/>
      <c r="VQS364" s="38"/>
      <c r="VQT364" s="39"/>
      <c r="VQU364" s="34"/>
      <c r="VQV364" s="34"/>
      <c r="VQW364" s="34"/>
      <c r="VQX364" s="35"/>
      <c r="VQY364" s="35"/>
      <c r="VQZ364" s="35"/>
      <c r="VRA364" s="35"/>
      <c r="VRB364" s="35"/>
      <c r="VRC364" s="34"/>
      <c r="VRD364" s="34"/>
      <c r="VRE364" s="36"/>
      <c r="VRF364" s="36"/>
      <c r="VRG364" s="37"/>
      <c r="VRH364" s="37"/>
      <c r="VRI364" s="38"/>
      <c r="VRJ364" s="38"/>
      <c r="VRK364" s="39"/>
      <c r="VRL364" s="34"/>
      <c r="VRM364" s="34"/>
      <c r="VRN364" s="34"/>
      <c r="VRO364" s="35"/>
      <c r="VRP364" s="35"/>
      <c r="VRQ364" s="35"/>
      <c r="VRR364" s="35"/>
      <c r="VRS364" s="35"/>
      <c r="VRT364" s="34"/>
      <c r="VRU364" s="34"/>
      <c r="VRV364" s="36"/>
      <c r="VRW364" s="36"/>
      <c r="VRX364" s="37"/>
      <c r="VRY364" s="37"/>
      <c r="VRZ364" s="38"/>
      <c r="VSA364" s="38"/>
      <c r="VSB364" s="39"/>
      <c r="VSC364" s="34"/>
      <c r="VSD364" s="34"/>
      <c r="VSE364" s="34"/>
      <c r="VSF364" s="35"/>
      <c r="VSG364" s="35"/>
      <c r="VSH364" s="35"/>
      <c r="VSI364" s="35"/>
      <c r="VSJ364" s="35"/>
      <c r="VSK364" s="34"/>
      <c r="VSL364" s="34"/>
      <c r="VSM364" s="36"/>
      <c r="VSN364" s="36"/>
      <c r="VSO364" s="37"/>
      <c r="VSP364" s="37"/>
      <c r="VSQ364" s="38"/>
      <c r="VSR364" s="38"/>
      <c r="VSS364" s="39"/>
      <c r="VST364" s="34"/>
      <c r="VSU364" s="34"/>
      <c r="VSV364" s="34"/>
      <c r="VSW364" s="35"/>
      <c r="VSX364" s="35"/>
      <c r="VSY364" s="35"/>
      <c r="VSZ364" s="35"/>
      <c r="VTA364" s="35"/>
      <c r="VTB364" s="34"/>
      <c r="VTC364" s="34"/>
      <c r="VTD364" s="36"/>
      <c r="VTE364" s="36"/>
      <c r="VTF364" s="37"/>
      <c r="VTG364" s="37"/>
      <c r="VTH364" s="38"/>
      <c r="VTI364" s="38"/>
      <c r="VTJ364" s="39"/>
      <c r="VTK364" s="34"/>
      <c r="VTL364" s="34"/>
      <c r="VTM364" s="34"/>
      <c r="VTN364" s="35"/>
      <c r="VTO364" s="35"/>
      <c r="VTP364" s="35"/>
      <c r="VTQ364" s="35"/>
      <c r="VTR364" s="35"/>
      <c r="VTS364" s="34"/>
      <c r="VTT364" s="34"/>
      <c r="VTU364" s="36"/>
      <c r="VTV364" s="36"/>
      <c r="VTW364" s="37"/>
      <c r="VTX364" s="37"/>
      <c r="VTY364" s="38"/>
      <c r="VTZ364" s="38"/>
      <c r="VUA364" s="39"/>
      <c r="VUB364" s="34"/>
      <c r="VUC364" s="34"/>
      <c r="VUD364" s="34"/>
      <c r="VUE364" s="35"/>
      <c r="VUF364" s="35"/>
      <c r="VUG364" s="35"/>
      <c r="VUH364" s="35"/>
      <c r="VUI364" s="35"/>
      <c r="VUJ364" s="34"/>
      <c r="VUK364" s="34"/>
      <c r="VUL364" s="36"/>
      <c r="VUM364" s="36"/>
      <c r="VUN364" s="37"/>
      <c r="VUO364" s="37"/>
      <c r="VUP364" s="38"/>
      <c r="VUQ364" s="38"/>
      <c r="VUR364" s="39"/>
      <c r="VUS364" s="34"/>
      <c r="VUT364" s="34"/>
      <c r="VUU364" s="34"/>
      <c r="VUV364" s="35"/>
      <c r="VUW364" s="35"/>
      <c r="VUX364" s="35"/>
      <c r="VUY364" s="35"/>
      <c r="VUZ364" s="35"/>
      <c r="VVA364" s="34"/>
      <c r="VVB364" s="34"/>
      <c r="VVC364" s="36"/>
      <c r="VVD364" s="36"/>
      <c r="VVE364" s="37"/>
      <c r="VVF364" s="37"/>
      <c r="VVG364" s="38"/>
      <c r="VVH364" s="38"/>
      <c r="VVI364" s="39"/>
      <c r="VVJ364" s="34"/>
      <c r="VVK364" s="34"/>
      <c r="VVL364" s="34"/>
      <c r="VVM364" s="35"/>
      <c r="VVN364" s="35"/>
      <c r="VVO364" s="35"/>
      <c r="VVP364" s="35"/>
      <c r="VVQ364" s="35"/>
      <c r="VVR364" s="34"/>
      <c r="VVS364" s="34"/>
      <c r="VVT364" s="36"/>
      <c r="VVU364" s="36"/>
      <c r="VVV364" s="37"/>
      <c r="VVW364" s="37"/>
      <c r="VVX364" s="38"/>
      <c r="VVY364" s="38"/>
      <c r="VVZ364" s="39"/>
      <c r="VWA364" s="34"/>
      <c r="VWB364" s="34"/>
      <c r="VWC364" s="34"/>
      <c r="VWD364" s="35"/>
      <c r="VWE364" s="35"/>
      <c r="VWF364" s="35"/>
      <c r="VWG364" s="35"/>
      <c r="VWH364" s="35"/>
      <c r="VWI364" s="34"/>
      <c r="VWJ364" s="34"/>
      <c r="VWK364" s="36"/>
      <c r="VWL364" s="36"/>
      <c r="VWM364" s="37"/>
      <c r="VWN364" s="37"/>
      <c r="VWO364" s="38"/>
      <c r="VWP364" s="38"/>
      <c r="VWQ364" s="39"/>
      <c r="VWR364" s="34"/>
      <c r="VWS364" s="34"/>
      <c r="VWT364" s="34"/>
      <c r="VWU364" s="35"/>
      <c r="VWV364" s="35"/>
      <c r="VWW364" s="35"/>
      <c r="VWX364" s="35"/>
      <c r="VWY364" s="35"/>
      <c r="VWZ364" s="34"/>
      <c r="VXA364" s="34"/>
      <c r="VXB364" s="36"/>
      <c r="VXC364" s="36"/>
      <c r="VXD364" s="37"/>
      <c r="VXE364" s="37"/>
      <c r="VXF364" s="38"/>
      <c r="VXG364" s="38"/>
      <c r="VXH364" s="39"/>
      <c r="VXI364" s="34"/>
      <c r="VXJ364" s="34"/>
      <c r="VXK364" s="34"/>
      <c r="VXL364" s="35"/>
      <c r="VXM364" s="35"/>
      <c r="VXN364" s="35"/>
      <c r="VXO364" s="35"/>
      <c r="VXP364" s="35"/>
      <c r="VXQ364" s="34"/>
      <c r="VXR364" s="34"/>
      <c r="VXS364" s="36"/>
      <c r="VXT364" s="36"/>
      <c r="VXU364" s="37"/>
      <c r="VXV364" s="37"/>
      <c r="VXW364" s="38"/>
      <c r="VXX364" s="38"/>
      <c r="VXY364" s="39"/>
      <c r="VXZ364" s="34"/>
      <c r="VYA364" s="34"/>
      <c r="VYB364" s="34"/>
      <c r="VYC364" s="35"/>
      <c r="VYD364" s="35"/>
      <c r="VYE364" s="35"/>
      <c r="VYF364" s="35"/>
      <c r="VYG364" s="35"/>
      <c r="VYH364" s="34"/>
      <c r="VYI364" s="34"/>
      <c r="VYJ364" s="36"/>
      <c r="VYK364" s="36"/>
      <c r="VYL364" s="37"/>
      <c r="VYM364" s="37"/>
      <c r="VYN364" s="38"/>
      <c r="VYO364" s="38"/>
      <c r="VYP364" s="39"/>
      <c r="VYQ364" s="34"/>
      <c r="VYR364" s="34"/>
      <c r="VYS364" s="34"/>
      <c r="VYT364" s="35"/>
      <c r="VYU364" s="35"/>
      <c r="VYV364" s="35"/>
      <c r="VYW364" s="35"/>
      <c r="VYX364" s="35"/>
      <c r="VYY364" s="34"/>
      <c r="VYZ364" s="34"/>
      <c r="VZA364" s="36"/>
      <c r="VZB364" s="36"/>
      <c r="VZC364" s="37"/>
      <c r="VZD364" s="37"/>
      <c r="VZE364" s="38"/>
      <c r="VZF364" s="38"/>
      <c r="VZG364" s="39"/>
      <c r="VZH364" s="34"/>
      <c r="VZI364" s="34"/>
      <c r="VZJ364" s="34"/>
      <c r="VZK364" s="35"/>
      <c r="VZL364" s="35"/>
      <c r="VZM364" s="35"/>
      <c r="VZN364" s="35"/>
      <c r="VZO364" s="35"/>
      <c r="VZP364" s="34"/>
      <c r="VZQ364" s="34"/>
      <c r="VZR364" s="36"/>
      <c r="VZS364" s="36"/>
      <c r="VZT364" s="37"/>
      <c r="VZU364" s="37"/>
      <c r="VZV364" s="38"/>
      <c r="VZW364" s="38"/>
      <c r="VZX364" s="39"/>
      <c r="VZY364" s="34"/>
      <c r="VZZ364" s="34"/>
      <c r="WAA364" s="34"/>
      <c r="WAB364" s="35"/>
      <c r="WAC364" s="35"/>
      <c r="WAD364" s="35"/>
      <c r="WAE364" s="35"/>
      <c r="WAF364" s="35"/>
      <c r="WAG364" s="34"/>
      <c r="WAH364" s="34"/>
      <c r="WAI364" s="36"/>
      <c r="WAJ364" s="36"/>
      <c r="WAK364" s="37"/>
      <c r="WAL364" s="37"/>
      <c r="WAM364" s="38"/>
      <c r="WAN364" s="38"/>
      <c r="WAO364" s="39"/>
      <c r="WAP364" s="34"/>
      <c r="WAQ364" s="34"/>
      <c r="WAR364" s="34"/>
      <c r="WAS364" s="35"/>
      <c r="WAT364" s="35"/>
      <c r="WAU364" s="35"/>
      <c r="WAV364" s="35"/>
      <c r="WAW364" s="35"/>
      <c r="WAX364" s="34"/>
      <c r="WAY364" s="34"/>
      <c r="WAZ364" s="36"/>
      <c r="WBA364" s="36"/>
      <c r="WBB364" s="37"/>
      <c r="WBC364" s="37"/>
      <c r="WBD364" s="38"/>
      <c r="WBE364" s="38"/>
      <c r="WBF364" s="39"/>
      <c r="WBG364" s="34"/>
      <c r="WBH364" s="34"/>
      <c r="WBI364" s="34"/>
      <c r="WBJ364" s="35"/>
      <c r="WBK364" s="35"/>
      <c r="WBL364" s="35"/>
      <c r="WBM364" s="35"/>
      <c r="WBN364" s="35"/>
      <c r="WBO364" s="34"/>
      <c r="WBP364" s="34"/>
      <c r="WBQ364" s="36"/>
      <c r="WBR364" s="36"/>
      <c r="WBS364" s="37"/>
      <c r="WBT364" s="37"/>
      <c r="WBU364" s="38"/>
      <c r="WBV364" s="38"/>
      <c r="WBW364" s="39"/>
      <c r="WBX364" s="34"/>
      <c r="WBY364" s="34"/>
      <c r="WBZ364" s="34"/>
      <c r="WCA364" s="35"/>
      <c r="WCB364" s="35"/>
      <c r="WCC364" s="35"/>
      <c r="WCD364" s="35"/>
      <c r="WCE364" s="35"/>
      <c r="WCF364" s="34"/>
      <c r="WCG364" s="34"/>
      <c r="WCH364" s="36"/>
      <c r="WCI364" s="36"/>
      <c r="WCJ364" s="37"/>
      <c r="WCK364" s="37"/>
      <c r="WCL364" s="38"/>
      <c r="WCM364" s="38"/>
      <c r="WCN364" s="39"/>
      <c r="WCO364" s="34"/>
      <c r="WCP364" s="34"/>
      <c r="WCQ364" s="34"/>
      <c r="WCR364" s="35"/>
      <c r="WCS364" s="35"/>
      <c r="WCT364" s="35"/>
      <c r="WCU364" s="35"/>
      <c r="WCV364" s="35"/>
      <c r="WCW364" s="34"/>
      <c r="WCX364" s="34"/>
      <c r="WCY364" s="36"/>
      <c r="WCZ364" s="36"/>
      <c r="WDA364" s="37"/>
      <c r="WDB364" s="37"/>
      <c r="WDC364" s="38"/>
      <c r="WDD364" s="38"/>
      <c r="WDE364" s="39"/>
      <c r="WDF364" s="34"/>
      <c r="WDG364" s="34"/>
      <c r="WDH364" s="34"/>
      <c r="WDI364" s="35"/>
      <c r="WDJ364" s="35"/>
      <c r="WDK364" s="35"/>
      <c r="WDL364" s="35"/>
      <c r="WDM364" s="35"/>
      <c r="WDN364" s="34"/>
      <c r="WDO364" s="34"/>
      <c r="WDP364" s="36"/>
      <c r="WDQ364" s="36"/>
      <c r="WDR364" s="37"/>
      <c r="WDS364" s="37"/>
      <c r="WDT364" s="38"/>
      <c r="WDU364" s="38"/>
      <c r="WDV364" s="39"/>
      <c r="WDW364" s="34"/>
      <c r="WDX364" s="34"/>
      <c r="WDY364" s="34"/>
      <c r="WDZ364" s="35"/>
      <c r="WEA364" s="35"/>
      <c r="WEB364" s="35"/>
      <c r="WEC364" s="35"/>
      <c r="WED364" s="35"/>
      <c r="WEE364" s="34"/>
      <c r="WEF364" s="34"/>
      <c r="WEG364" s="36"/>
      <c r="WEH364" s="36"/>
      <c r="WEI364" s="37"/>
      <c r="WEJ364" s="37"/>
      <c r="WEK364" s="38"/>
      <c r="WEL364" s="38"/>
      <c r="WEM364" s="39"/>
      <c r="WEN364" s="34"/>
      <c r="WEO364" s="34"/>
      <c r="WEP364" s="34"/>
      <c r="WEQ364" s="35"/>
      <c r="WER364" s="35"/>
      <c r="WES364" s="35"/>
      <c r="WET364" s="35"/>
      <c r="WEU364" s="35"/>
      <c r="WEV364" s="34"/>
      <c r="WEW364" s="34"/>
      <c r="WEX364" s="36"/>
      <c r="WEY364" s="36"/>
      <c r="WEZ364" s="37"/>
      <c r="WFA364" s="37"/>
      <c r="WFB364" s="38"/>
      <c r="WFC364" s="38"/>
      <c r="WFD364" s="39"/>
      <c r="WFE364" s="34"/>
      <c r="WFF364" s="34"/>
      <c r="WFG364" s="34"/>
      <c r="WFH364" s="35"/>
      <c r="WFI364" s="35"/>
      <c r="WFJ364" s="35"/>
      <c r="WFK364" s="35"/>
      <c r="WFL364" s="35"/>
      <c r="WFM364" s="34"/>
      <c r="WFN364" s="34"/>
      <c r="WFO364" s="36"/>
      <c r="WFP364" s="36"/>
      <c r="WFQ364" s="37"/>
      <c r="WFR364" s="37"/>
      <c r="WFS364" s="38"/>
      <c r="WFT364" s="38"/>
      <c r="WFU364" s="39"/>
      <c r="WFV364" s="34"/>
      <c r="WFW364" s="34"/>
      <c r="WFX364" s="34"/>
      <c r="WFY364" s="35"/>
      <c r="WFZ364" s="35"/>
      <c r="WGA364" s="35"/>
      <c r="WGB364" s="35"/>
      <c r="WGC364" s="35"/>
      <c r="WGD364" s="34"/>
      <c r="WGE364" s="34"/>
      <c r="WGF364" s="36"/>
      <c r="WGG364" s="36"/>
      <c r="WGH364" s="37"/>
      <c r="WGI364" s="37"/>
      <c r="WGJ364" s="38"/>
      <c r="WGK364" s="38"/>
      <c r="WGL364" s="39"/>
      <c r="WGM364" s="34"/>
      <c r="WGN364" s="34"/>
      <c r="WGO364" s="34"/>
      <c r="WGP364" s="35"/>
      <c r="WGQ364" s="35"/>
      <c r="WGR364" s="35"/>
      <c r="WGS364" s="35"/>
      <c r="WGT364" s="35"/>
      <c r="WGU364" s="34"/>
      <c r="WGV364" s="34"/>
      <c r="WGW364" s="36"/>
      <c r="WGX364" s="36"/>
      <c r="WGY364" s="37"/>
      <c r="WGZ364" s="37"/>
      <c r="WHA364" s="38"/>
      <c r="WHB364" s="38"/>
      <c r="WHC364" s="39"/>
      <c r="WHD364" s="34"/>
      <c r="WHE364" s="34"/>
      <c r="WHF364" s="34"/>
      <c r="WHG364" s="35"/>
      <c r="WHH364" s="35"/>
      <c r="WHI364" s="35"/>
      <c r="WHJ364" s="35"/>
      <c r="WHK364" s="35"/>
      <c r="WHL364" s="34"/>
      <c r="WHM364" s="34"/>
      <c r="WHN364" s="36"/>
      <c r="WHO364" s="36"/>
      <c r="WHP364" s="37"/>
      <c r="WHQ364" s="37"/>
      <c r="WHR364" s="38"/>
      <c r="WHS364" s="38"/>
      <c r="WHT364" s="39"/>
      <c r="WHU364" s="34"/>
      <c r="WHV364" s="34"/>
      <c r="WHW364" s="34"/>
      <c r="WHX364" s="35"/>
      <c r="WHY364" s="35"/>
      <c r="WHZ364" s="35"/>
      <c r="WIA364" s="35"/>
      <c r="WIB364" s="35"/>
      <c r="WIC364" s="34"/>
      <c r="WID364" s="34"/>
      <c r="WIE364" s="36"/>
      <c r="WIF364" s="36"/>
      <c r="WIG364" s="37"/>
      <c r="WIH364" s="37"/>
      <c r="WII364" s="38"/>
      <c r="WIJ364" s="38"/>
      <c r="WIK364" s="39"/>
      <c r="WIL364" s="34"/>
      <c r="WIM364" s="34"/>
      <c r="WIN364" s="34"/>
      <c r="WIO364" s="35"/>
      <c r="WIP364" s="35"/>
      <c r="WIQ364" s="35"/>
      <c r="WIR364" s="35"/>
      <c r="WIS364" s="35"/>
      <c r="WIT364" s="34"/>
      <c r="WIU364" s="34"/>
      <c r="WIV364" s="36"/>
      <c r="WIW364" s="36"/>
      <c r="WIX364" s="37"/>
      <c r="WIY364" s="37"/>
      <c r="WIZ364" s="38"/>
      <c r="WJA364" s="38"/>
      <c r="WJB364" s="39"/>
      <c r="WJC364" s="34"/>
      <c r="WJD364" s="34"/>
      <c r="WJE364" s="34"/>
      <c r="WJF364" s="35"/>
      <c r="WJG364" s="35"/>
      <c r="WJH364" s="35"/>
      <c r="WJI364" s="35"/>
      <c r="WJJ364" s="35"/>
      <c r="WJK364" s="34"/>
      <c r="WJL364" s="34"/>
      <c r="WJM364" s="36"/>
      <c r="WJN364" s="36"/>
      <c r="WJO364" s="37"/>
      <c r="WJP364" s="37"/>
      <c r="WJQ364" s="38"/>
      <c r="WJR364" s="38"/>
      <c r="WJS364" s="39"/>
      <c r="WJT364" s="34"/>
      <c r="WJU364" s="34"/>
      <c r="WJV364" s="34"/>
      <c r="WJW364" s="35"/>
      <c r="WJX364" s="35"/>
      <c r="WJY364" s="35"/>
      <c r="WJZ364" s="35"/>
      <c r="WKA364" s="35"/>
      <c r="WKB364" s="34"/>
      <c r="WKC364" s="34"/>
      <c r="WKD364" s="36"/>
      <c r="WKE364" s="36"/>
      <c r="WKF364" s="37"/>
      <c r="WKG364" s="37"/>
      <c r="WKH364" s="38"/>
      <c r="WKI364" s="38"/>
      <c r="WKJ364" s="39"/>
      <c r="WKK364" s="34"/>
      <c r="WKL364" s="34"/>
      <c r="WKM364" s="34"/>
      <c r="WKN364" s="35"/>
      <c r="WKO364" s="35"/>
      <c r="WKP364" s="35"/>
      <c r="WKQ364" s="35"/>
      <c r="WKR364" s="35"/>
      <c r="WKS364" s="34"/>
      <c r="WKT364" s="34"/>
      <c r="WKU364" s="36"/>
      <c r="WKV364" s="36"/>
      <c r="WKW364" s="37"/>
      <c r="WKX364" s="37"/>
      <c r="WKY364" s="38"/>
      <c r="WKZ364" s="38"/>
      <c r="WLA364" s="39"/>
      <c r="WLB364" s="34"/>
      <c r="WLC364" s="34"/>
      <c r="WLD364" s="34"/>
      <c r="WLE364" s="35"/>
      <c r="WLF364" s="35"/>
      <c r="WLG364" s="35"/>
      <c r="WLH364" s="35"/>
      <c r="WLI364" s="35"/>
      <c r="WLJ364" s="34"/>
      <c r="WLK364" s="34"/>
      <c r="WLL364" s="36"/>
      <c r="WLM364" s="36"/>
      <c r="WLN364" s="37"/>
      <c r="WLO364" s="37"/>
      <c r="WLP364" s="38"/>
      <c r="WLQ364" s="38"/>
      <c r="WLR364" s="39"/>
      <c r="WLS364" s="34"/>
      <c r="WLT364" s="34"/>
      <c r="WLU364" s="34"/>
      <c r="WLV364" s="35"/>
      <c r="WLW364" s="35"/>
      <c r="WLX364" s="35"/>
      <c r="WLY364" s="35"/>
      <c r="WLZ364" s="35"/>
      <c r="WMA364" s="34"/>
      <c r="WMB364" s="34"/>
      <c r="WMC364" s="36"/>
      <c r="WMD364" s="36"/>
      <c r="WME364" s="37"/>
      <c r="WMF364" s="37"/>
      <c r="WMG364" s="38"/>
      <c r="WMH364" s="38"/>
      <c r="WMI364" s="39"/>
      <c r="WMJ364" s="34"/>
      <c r="WMK364" s="34"/>
      <c r="WML364" s="34"/>
      <c r="WMM364" s="35"/>
      <c r="WMN364" s="35"/>
      <c r="WMO364" s="35"/>
      <c r="WMP364" s="35"/>
      <c r="WMQ364" s="35"/>
      <c r="WMR364" s="34"/>
      <c r="WMS364" s="34"/>
      <c r="WMT364" s="36"/>
      <c r="WMU364" s="36"/>
      <c r="WMV364" s="37"/>
      <c r="WMW364" s="37"/>
      <c r="WMX364" s="38"/>
      <c r="WMY364" s="38"/>
      <c r="WMZ364" s="39"/>
      <c r="WNA364" s="34"/>
      <c r="WNB364" s="34"/>
      <c r="WNC364" s="34"/>
      <c r="WND364" s="35"/>
      <c r="WNE364" s="35"/>
      <c r="WNF364" s="35"/>
      <c r="WNG364" s="35"/>
      <c r="WNH364" s="35"/>
      <c r="WNI364" s="34"/>
      <c r="WNJ364" s="34"/>
      <c r="WNK364" s="36"/>
      <c r="WNL364" s="36"/>
      <c r="WNM364" s="37"/>
      <c r="WNN364" s="37"/>
      <c r="WNO364" s="38"/>
      <c r="WNP364" s="38"/>
      <c r="WNQ364" s="39"/>
      <c r="WNR364" s="34"/>
      <c r="WNS364" s="34"/>
      <c r="WNT364" s="34"/>
      <c r="WNU364" s="35"/>
      <c r="WNV364" s="35"/>
      <c r="WNW364" s="35"/>
      <c r="WNX364" s="35"/>
      <c r="WNY364" s="35"/>
      <c r="WNZ364" s="34"/>
      <c r="WOA364" s="34"/>
      <c r="WOB364" s="36"/>
      <c r="WOC364" s="36"/>
      <c r="WOD364" s="37"/>
      <c r="WOE364" s="37"/>
      <c r="WOF364" s="38"/>
      <c r="WOG364" s="38"/>
      <c r="WOH364" s="39"/>
      <c r="WOI364" s="34"/>
      <c r="WOJ364" s="34"/>
      <c r="WOK364" s="34"/>
      <c r="WOL364" s="35"/>
      <c r="WOM364" s="35"/>
      <c r="WON364" s="35"/>
      <c r="WOO364" s="35"/>
      <c r="WOP364" s="35"/>
      <c r="WOQ364" s="34"/>
      <c r="WOR364" s="34"/>
      <c r="WOS364" s="36"/>
      <c r="WOT364" s="36"/>
      <c r="WOU364" s="37"/>
      <c r="WOV364" s="37"/>
      <c r="WOW364" s="38"/>
      <c r="WOX364" s="38"/>
      <c r="WOY364" s="39"/>
      <c r="WOZ364" s="34"/>
      <c r="WPA364" s="34"/>
      <c r="WPB364" s="34"/>
      <c r="WPC364" s="35"/>
      <c r="WPD364" s="35"/>
      <c r="WPE364" s="35"/>
      <c r="WPF364" s="35"/>
      <c r="WPG364" s="35"/>
      <c r="WPH364" s="34"/>
      <c r="WPI364" s="34"/>
      <c r="WPJ364" s="36"/>
      <c r="WPK364" s="36"/>
      <c r="WPL364" s="37"/>
      <c r="WPM364" s="37"/>
      <c r="WPN364" s="38"/>
      <c r="WPO364" s="38"/>
      <c r="WPP364" s="39"/>
      <c r="WPQ364" s="34"/>
      <c r="WPR364" s="34"/>
      <c r="WPS364" s="34"/>
      <c r="WPT364" s="35"/>
      <c r="WPU364" s="35"/>
      <c r="WPV364" s="35"/>
      <c r="WPW364" s="35"/>
      <c r="WPX364" s="35"/>
      <c r="WPY364" s="34"/>
      <c r="WPZ364" s="34"/>
      <c r="WQA364" s="36"/>
      <c r="WQB364" s="36"/>
      <c r="WQC364" s="37"/>
      <c r="WQD364" s="37"/>
      <c r="WQE364" s="38"/>
      <c r="WQF364" s="38"/>
      <c r="WQG364" s="39"/>
      <c r="WQH364" s="34"/>
      <c r="WQI364" s="34"/>
      <c r="WQJ364" s="34"/>
      <c r="WQK364" s="35"/>
      <c r="WQL364" s="35"/>
      <c r="WQM364" s="35"/>
      <c r="WQN364" s="35"/>
      <c r="WQO364" s="35"/>
      <c r="WQP364" s="34"/>
      <c r="WQQ364" s="34"/>
      <c r="WQR364" s="36"/>
      <c r="WQS364" s="36"/>
      <c r="WQT364" s="37"/>
      <c r="WQU364" s="37"/>
      <c r="WQV364" s="38"/>
      <c r="WQW364" s="38"/>
      <c r="WQX364" s="39"/>
      <c r="WQY364" s="34"/>
      <c r="WQZ364" s="34"/>
      <c r="WRA364" s="34"/>
      <c r="WRB364" s="35"/>
      <c r="WRC364" s="35"/>
      <c r="WRD364" s="35"/>
      <c r="WRE364" s="35"/>
      <c r="WRF364" s="35"/>
      <c r="WRG364" s="34"/>
      <c r="WRH364" s="34"/>
      <c r="WRI364" s="36"/>
      <c r="WRJ364" s="36"/>
      <c r="WRK364" s="37"/>
      <c r="WRL364" s="37"/>
      <c r="WRM364" s="38"/>
      <c r="WRN364" s="38"/>
      <c r="WRO364" s="39"/>
      <c r="WRP364" s="34"/>
      <c r="WRQ364" s="34"/>
      <c r="WRR364" s="34"/>
      <c r="WRS364" s="35"/>
      <c r="WRT364" s="35"/>
      <c r="WRU364" s="35"/>
      <c r="WRV364" s="35"/>
      <c r="WRW364" s="35"/>
      <c r="WRX364" s="34"/>
      <c r="WRY364" s="34"/>
      <c r="WRZ364" s="36"/>
      <c r="WSA364" s="36"/>
      <c r="WSB364" s="37"/>
      <c r="WSC364" s="37"/>
      <c r="WSD364" s="38"/>
      <c r="WSE364" s="38"/>
      <c r="WSF364" s="39"/>
      <c r="WSG364" s="34"/>
      <c r="WSH364" s="34"/>
      <c r="WSI364" s="34"/>
      <c r="WSJ364" s="35"/>
      <c r="WSK364" s="35"/>
      <c r="WSL364" s="35"/>
      <c r="WSM364" s="35"/>
      <c r="WSN364" s="35"/>
      <c r="WSO364" s="34"/>
      <c r="WSP364" s="34"/>
      <c r="WSQ364" s="36"/>
      <c r="WSR364" s="36"/>
      <c r="WSS364" s="37"/>
      <c r="WST364" s="37"/>
      <c r="WSU364" s="38"/>
      <c r="WSV364" s="38"/>
      <c r="WSW364" s="39"/>
      <c r="WSX364" s="34"/>
      <c r="WSY364" s="34"/>
      <c r="WSZ364" s="34"/>
      <c r="WTA364" s="35"/>
      <c r="WTB364" s="35"/>
      <c r="WTC364" s="35"/>
      <c r="WTD364" s="35"/>
      <c r="WTE364" s="35"/>
      <c r="WTF364" s="34"/>
      <c r="WTG364" s="34"/>
      <c r="WTH364" s="36"/>
      <c r="WTI364" s="36"/>
      <c r="WTJ364" s="37"/>
      <c r="WTK364" s="37"/>
      <c r="WTL364" s="38"/>
      <c r="WTM364" s="38"/>
      <c r="WTN364" s="39"/>
      <c r="WTO364" s="34"/>
      <c r="WTP364" s="34"/>
      <c r="WTQ364" s="34"/>
      <c r="WTR364" s="35"/>
      <c r="WTS364" s="35"/>
      <c r="WTT364" s="35"/>
      <c r="WTU364" s="35"/>
      <c r="WTV364" s="35"/>
      <c r="WTW364" s="34"/>
      <c r="WTX364" s="34"/>
      <c r="WTY364" s="36"/>
      <c r="WTZ364" s="36"/>
      <c r="WUA364" s="37"/>
      <c r="WUB364" s="37"/>
      <c r="WUC364" s="38"/>
      <c r="WUD364" s="38"/>
      <c r="WUE364" s="39"/>
      <c r="WUF364" s="34"/>
      <c r="WUG364" s="34"/>
      <c r="WUH364" s="34"/>
      <c r="WUI364" s="35"/>
      <c r="WUJ364" s="35"/>
      <c r="WUK364" s="35"/>
      <c r="WUL364" s="35"/>
      <c r="WUM364" s="35"/>
      <c r="WUN364" s="34"/>
      <c r="WUO364" s="34"/>
      <c r="WUP364" s="36"/>
      <c r="WUQ364" s="36"/>
      <c r="WUR364" s="37"/>
      <c r="WUS364" s="37"/>
      <c r="WUT364" s="38"/>
      <c r="WUU364" s="38"/>
      <c r="WUV364" s="39"/>
      <c r="WUW364" s="34"/>
      <c r="WUX364" s="34"/>
      <c r="WUY364" s="34"/>
      <c r="WUZ364" s="35"/>
      <c r="WVA364" s="35"/>
      <c r="WVB364" s="35"/>
      <c r="WVC364" s="35"/>
      <c r="WVD364" s="35"/>
      <c r="WVE364" s="34"/>
      <c r="WVF364" s="34"/>
      <c r="WVG364" s="36"/>
      <c r="WVH364" s="36"/>
      <c r="WVI364" s="37"/>
      <c r="WVJ364" s="37"/>
      <c r="WVK364" s="38"/>
      <c r="WVL364" s="38"/>
      <c r="WVM364" s="39"/>
      <c r="WVN364" s="34"/>
      <c r="WVO364" s="34"/>
      <c r="WVP364" s="34"/>
      <c r="WVQ364" s="35"/>
      <c r="WVR364" s="35"/>
      <c r="WVS364" s="35"/>
      <c r="WVT364" s="35"/>
      <c r="WVU364" s="35"/>
      <c r="WVV364" s="34"/>
      <c r="WVW364" s="34"/>
      <c r="WVX364" s="36"/>
      <c r="WVY364" s="36"/>
      <c r="WVZ364" s="37"/>
      <c r="WWA364" s="37"/>
      <c r="WWB364" s="38"/>
      <c r="WWC364" s="38"/>
      <c r="WWD364" s="39"/>
      <c r="WWE364" s="34"/>
      <c r="WWF364" s="34"/>
      <c r="WWG364" s="34"/>
      <c r="WWH364" s="35"/>
      <c r="WWI364" s="35"/>
      <c r="WWJ364" s="35"/>
      <c r="WWK364" s="35"/>
      <c r="WWL364" s="35"/>
      <c r="WWM364" s="34"/>
      <c r="WWN364" s="34"/>
      <c r="WWO364" s="36"/>
      <c r="WWP364" s="36"/>
      <c r="WWQ364" s="37"/>
      <c r="WWR364" s="37"/>
      <c r="WWS364" s="38"/>
      <c r="WWT364" s="38"/>
      <c r="WWU364" s="39"/>
      <c r="WWV364" s="34"/>
      <c r="WWW364" s="34"/>
      <c r="WWX364" s="34"/>
      <c r="WWY364" s="35"/>
      <c r="WWZ364" s="35"/>
      <c r="WXA364" s="35"/>
      <c r="WXB364" s="35"/>
      <c r="WXC364" s="35"/>
      <c r="WXD364" s="34"/>
      <c r="WXE364" s="34"/>
      <c r="WXF364" s="36"/>
      <c r="WXG364" s="36"/>
      <c r="WXH364" s="37"/>
      <c r="WXI364" s="37"/>
      <c r="WXJ364" s="38"/>
      <c r="WXK364" s="38"/>
      <c r="WXL364" s="39"/>
      <c r="WXM364" s="34"/>
      <c r="WXN364" s="34"/>
      <c r="WXO364" s="34"/>
      <c r="WXP364" s="35"/>
      <c r="WXQ364" s="35"/>
      <c r="WXR364" s="35"/>
      <c r="WXS364" s="35"/>
      <c r="WXT364" s="35"/>
      <c r="WXU364" s="34"/>
      <c r="WXV364" s="34"/>
      <c r="WXW364" s="36"/>
      <c r="WXX364" s="36"/>
      <c r="WXY364" s="37"/>
      <c r="WXZ364" s="37"/>
      <c r="WYA364" s="38"/>
      <c r="WYB364" s="38"/>
      <c r="WYC364" s="39"/>
      <c r="WYD364" s="34"/>
      <c r="WYE364" s="34"/>
      <c r="WYF364" s="34"/>
      <c r="WYG364" s="35"/>
      <c r="WYH364" s="35"/>
      <c r="WYI364" s="35"/>
      <c r="WYJ364" s="35"/>
      <c r="WYK364" s="35"/>
      <c r="WYL364" s="34"/>
      <c r="WYM364" s="34"/>
      <c r="WYN364" s="36"/>
      <c r="WYO364" s="36"/>
      <c r="WYP364" s="37"/>
      <c r="WYQ364" s="37"/>
      <c r="WYR364" s="38"/>
      <c r="WYS364" s="38"/>
      <c r="WYT364" s="39"/>
      <c r="WYU364" s="34"/>
      <c r="WYV364" s="34"/>
      <c r="WYW364" s="34"/>
      <c r="WYX364" s="35"/>
      <c r="WYY364" s="35"/>
      <c r="WYZ364" s="35"/>
      <c r="WZA364" s="35"/>
      <c r="WZB364" s="35"/>
      <c r="WZC364" s="34"/>
      <c r="WZD364" s="34"/>
      <c r="WZE364" s="36"/>
      <c r="WZF364" s="36"/>
      <c r="WZG364" s="37"/>
      <c r="WZH364" s="37"/>
      <c r="WZI364" s="38"/>
      <c r="WZJ364" s="38"/>
      <c r="WZK364" s="39"/>
      <c r="WZL364" s="34"/>
      <c r="WZM364" s="34"/>
      <c r="WZN364" s="34"/>
      <c r="WZO364" s="35"/>
      <c r="WZP364" s="35"/>
      <c r="WZQ364" s="35"/>
      <c r="WZR364" s="35"/>
      <c r="WZS364" s="35"/>
      <c r="WZT364" s="34"/>
      <c r="WZU364" s="34"/>
      <c r="WZV364" s="36"/>
      <c r="WZW364" s="36"/>
      <c r="WZX364" s="37"/>
      <c r="WZY364" s="37"/>
      <c r="WZZ364" s="38"/>
      <c r="XAA364" s="38"/>
      <c r="XAB364" s="39"/>
      <c r="XAC364" s="34"/>
      <c r="XAD364" s="34"/>
      <c r="XAE364" s="34"/>
      <c r="XAF364" s="35"/>
      <c r="XAG364" s="35"/>
      <c r="XAH364" s="35"/>
      <c r="XAI364" s="35"/>
      <c r="XAJ364" s="35"/>
      <c r="XAK364" s="34"/>
      <c r="XAL364" s="34"/>
      <c r="XAM364" s="36"/>
      <c r="XAN364" s="36"/>
      <c r="XAO364" s="37"/>
      <c r="XAP364" s="37"/>
      <c r="XAQ364" s="38"/>
      <c r="XAR364" s="38"/>
      <c r="XAS364" s="39"/>
      <c r="XAT364" s="34"/>
      <c r="XAU364" s="34"/>
      <c r="XAV364" s="34"/>
      <c r="XAW364" s="35"/>
      <c r="XAX364" s="35"/>
      <c r="XAY364" s="35"/>
      <c r="XAZ364" s="35"/>
      <c r="XBA364" s="35"/>
      <c r="XBB364" s="34"/>
      <c r="XBC364" s="34"/>
      <c r="XBD364" s="36"/>
      <c r="XBE364" s="36"/>
      <c r="XBF364" s="37"/>
      <c r="XBG364" s="37"/>
      <c r="XBH364" s="38"/>
      <c r="XBI364" s="38"/>
      <c r="XBJ364" s="39"/>
      <c r="XBK364" s="34"/>
      <c r="XBL364" s="34"/>
      <c r="XBM364" s="34"/>
      <c r="XBN364" s="35"/>
      <c r="XBO364" s="35"/>
      <c r="XBP364" s="35"/>
      <c r="XBQ364" s="35"/>
      <c r="XBR364" s="35"/>
      <c r="XBS364" s="34"/>
      <c r="XBT364" s="34"/>
      <c r="XBU364" s="36"/>
      <c r="XBV364" s="36"/>
      <c r="XBW364" s="37"/>
      <c r="XBX364" s="37"/>
      <c r="XBY364" s="38"/>
      <c r="XBZ364" s="38"/>
      <c r="XCA364" s="39"/>
      <c r="XCB364" s="34"/>
      <c r="XCC364" s="34"/>
      <c r="XCD364" s="34"/>
      <c r="XCE364" s="35"/>
      <c r="XCF364" s="35"/>
      <c r="XCG364" s="35"/>
      <c r="XCH364" s="35"/>
      <c r="XCI364" s="35"/>
      <c r="XCJ364" s="34"/>
      <c r="XCK364" s="34"/>
      <c r="XCL364" s="36"/>
      <c r="XCM364" s="36"/>
      <c r="XCN364" s="37"/>
      <c r="XCO364" s="37"/>
      <c r="XCP364" s="38"/>
      <c r="XCQ364" s="38"/>
      <c r="XCR364" s="39"/>
      <c r="XCS364" s="34"/>
      <c r="XCT364" s="34"/>
      <c r="XCU364" s="34"/>
      <c r="XCV364" s="35"/>
      <c r="XCW364" s="35"/>
      <c r="XCX364" s="35"/>
      <c r="XCY364" s="35"/>
      <c r="XCZ364" s="35"/>
      <c r="XDA364" s="34"/>
      <c r="XDB364" s="34"/>
      <c r="XDC364" s="36"/>
      <c r="XDD364" s="36"/>
      <c r="XDE364" s="37"/>
      <c r="XDF364" s="37"/>
      <c r="XDG364" s="38"/>
      <c r="XDH364" s="38"/>
      <c r="XDI364" s="39"/>
      <c r="XDJ364" s="34"/>
      <c r="XDK364" s="34"/>
      <c r="XDL364" s="34"/>
      <c r="XDM364" s="35"/>
      <c r="XDN364" s="35"/>
      <c r="XDO364" s="35"/>
      <c r="XDP364" s="35"/>
      <c r="XDQ364" s="35"/>
      <c r="XDR364" s="34"/>
      <c r="XDS364" s="34"/>
      <c r="XDT364" s="36"/>
      <c r="XDU364" s="36"/>
      <c r="XDV364" s="37"/>
      <c r="XDW364" s="37"/>
      <c r="XDX364" s="38"/>
      <c r="XDY364" s="38"/>
      <c r="XDZ364" s="39"/>
      <c r="XEA364" s="34"/>
      <c r="XEB364" s="34"/>
      <c r="XEC364" s="34"/>
      <c r="XED364" s="35"/>
      <c r="XEE364" s="35"/>
      <c r="XEF364" s="35"/>
      <c r="XEG364" s="35"/>
      <c r="XEH364" s="35"/>
      <c r="XEI364" s="34"/>
      <c r="XEJ364" s="34"/>
      <c r="XEK364" s="36"/>
      <c r="XEL364" s="36"/>
      <c r="XEM364" s="37"/>
      <c r="XEN364" s="37"/>
      <c r="XEO364" s="38"/>
      <c r="XEP364" s="38"/>
      <c r="XEQ364" s="39"/>
      <c r="XER364" s="34"/>
      <c r="XES364" s="34"/>
      <c r="XET364" s="34"/>
      <c r="XEU364" s="35"/>
      <c r="XEV364" s="35"/>
      <c r="XEW364" s="35"/>
      <c r="XEX364" s="35"/>
      <c r="XEY364" s="35"/>
      <c r="XEZ364" s="34"/>
      <c r="XFA364" s="34"/>
      <c r="XFB364" s="36"/>
      <c r="XFC364" s="36"/>
      <c r="XFD364" s="37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1618</v>
      </c>
      <c r="E365" s="48" t="s">
        <v>161</v>
      </c>
      <c r="F365" s="48" t="s">
        <v>1690</v>
      </c>
      <c r="G365" s="48" t="s">
        <v>1483</v>
      </c>
      <c r="H365" s="48" t="s">
        <v>357</v>
      </c>
      <c r="I365" s="47" t="s">
        <v>1484</v>
      </c>
      <c r="J365" s="47">
        <v>99</v>
      </c>
      <c r="K365" s="49" t="s">
        <v>720</v>
      </c>
      <c r="L365" s="49" t="s">
        <v>703</v>
      </c>
      <c r="M365" s="50" t="s">
        <v>1485</v>
      </c>
      <c r="N365" s="50" t="s">
        <v>1762</v>
      </c>
      <c r="O365" s="51"/>
      <c r="P365" s="51"/>
      <c r="Q365" s="48"/>
      <c r="R365" s="1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0</v>
      </c>
      <c r="AC365" s="1"/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  <c r="AJ365" s="1"/>
    </row>
    <row r="366" spans="1:16384" s="2" customFormat="1" ht="14.25" customHeight="1" x14ac:dyDescent="0.25">
      <c r="A366" s="34">
        <v>0</v>
      </c>
      <c r="B366" s="34">
        <v>2</v>
      </c>
      <c r="C366" s="34">
        <v>5</v>
      </c>
      <c r="D366" s="35" t="s">
        <v>1793</v>
      </c>
      <c r="E366" s="35" t="s">
        <v>157</v>
      </c>
      <c r="F366" s="35" t="s">
        <v>1794</v>
      </c>
      <c r="G366" s="35" t="s">
        <v>662</v>
      </c>
      <c r="H366" s="35" t="s">
        <v>357</v>
      </c>
      <c r="I366" s="34" t="s">
        <v>1795</v>
      </c>
      <c r="J366" s="34"/>
      <c r="K366" s="36" t="s">
        <v>710</v>
      </c>
      <c r="L366" s="36">
        <v>40</v>
      </c>
      <c r="M366" s="37" t="s">
        <v>1796</v>
      </c>
      <c r="N366" s="37" t="s">
        <v>1758</v>
      </c>
      <c r="O366" s="38">
        <v>1</v>
      </c>
      <c r="P366" s="38"/>
      <c r="Q366" s="35"/>
      <c r="R366" s="1"/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0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C366" s="1"/>
      <c r="AD366" s="1">
        <f t="shared" si="121"/>
        <v>0</v>
      </c>
      <c r="AE366" s="1">
        <f t="shared" si="122"/>
        <v>1</v>
      </c>
      <c r="AF366" s="1">
        <f t="shared" si="107"/>
        <v>0</v>
      </c>
      <c r="AG366" s="1">
        <f t="shared" si="108"/>
        <v>1</v>
      </c>
      <c r="AH366" s="1">
        <f t="shared" si="109"/>
        <v>0</v>
      </c>
      <c r="AI366" s="1">
        <f t="shared" si="110"/>
        <v>1</v>
      </c>
      <c r="AJ366" s="1"/>
    </row>
    <row r="367" spans="1:16384" s="2" customFormat="1" ht="14.25" customHeight="1" x14ac:dyDescent="0.25">
      <c r="A367" s="47">
        <v>0</v>
      </c>
      <c r="B367" s="47">
        <v>2</v>
      </c>
      <c r="C367" s="47">
        <v>5</v>
      </c>
      <c r="D367" s="48" t="s">
        <v>844</v>
      </c>
      <c r="E367" s="48" t="s">
        <v>838</v>
      </c>
      <c r="F367" s="48" t="s">
        <v>948</v>
      </c>
      <c r="G367" s="48" t="s">
        <v>182</v>
      </c>
      <c r="H367" s="48" t="s">
        <v>357</v>
      </c>
      <c r="I367" s="47" t="s">
        <v>1119</v>
      </c>
      <c r="J367" s="47">
        <v>10</v>
      </c>
      <c r="K367" s="49" t="s">
        <v>719</v>
      </c>
      <c r="L367" s="49" t="s">
        <v>700</v>
      </c>
      <c r="M367" s="50" t="s">
        <v>1444</v>
      </c>
      <c r="N367" s="50" t="s">
        <v>1756</v>
      </c>
      <c r="O367" s="51"/>
      <c r="P367" s="51"/>
      <c r="Q367" s="48"/>
      <c r="R367" s="1"/>
      <c r="S367" s="1">
        <f t="shared" si="111"/>
        <v>0</v>
      </c>
      <c r="T367" s="1">
        <f t="shared" si="112"/>
        <v>0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1</v>
      </c>
      <c r="AC367" s="1"/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  <c r="AJ367" s="1"/>
    </row>
    <row r="368" spans="1:16384" s="2" customFormat="1" ht="14.25" customHeight="1" x14ac:dyDescent="0.25">
      <c r="A368" s="60">
        <v>0</v>
      </c>
      <c r="B368" s="60">
        <v>2</v>
      </c>
      <c r="C368" s="60">
        <v>6</v>
      </c>
      <c r="D368" s="61" t="s">
        <v>1558</v>
      </c>
      <c r="E368" s="61" t="s">
        <v>27</v>
      </c>
      <c r="F368" s="61" t="s">
        <v>1560</v>
      </c>
      <c r="G368" s="61" t="s">
        <v>1549</v>
      </c>
      <c r="H368" s="61" t="s">
        <v>357</v>
      </c>
      <c r="I368" s="60" t="s">
        <v>1559</v>
      </c>
      <c r="J368" s="60">
        <v>5</v>
      </c>
      <c r="K368" s="62" t="s">
        <v>962</v>
      </c>
      <c r="L368" s="62" t="s">
        <v>39</v>
      </c>
      <c r="M368" s="63" t="s">
        <v>39</v>
      </c>
      <c r="N368" s="64"/>
      <c r="O368" s="65"/>
      <c r="P368" s="65"/>
      <c r="Q368" s="69" t="s">
        <v>1915</v>
      </c>
      <c r="R368" s="1"/>
      <c r="S368" s="1">
        <f t="shared" si="111"/>
        <v>0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1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C368" s="1"/>
      <c r="AD368" s="1">
        <f t="shared" si="121"/>
        <v>0</v>
      </c>
      <c r="AE368" s="1">
        <f t="shared" si="122"/>
        <v>0</v>
      </c>
      <c r="AF368" s="1">
        <f t="shared" si="107"/>
        <v>0</v>
      </c>
      <c r="AG368" s="1">
        <f t="shared" si="108"/>
        <v>0</v>
      </c>
      <c r="AH368" s="1">
        <f t="shared" si="109"/>
        <v>0</v>
      </c>
      <c r="AI368" s="1">
        <f t="shared" si="110"/>
        <v>1</v>
      </c>
      <c r="AJ368" s="1"/>
    </row>
    <row r="369" spans="1:36" s="2" customFormat="1" ht="14.25" customHeight="1" x14ac:dyDescent="0.25">
      <c r="A369" s="47">
        <v>0</v>
      </c>
      <c r="B369" s="47">
        <v>2</v>
      </c>
      <c r="C369" s="47">
        <v>6</v>
      </c>
      <c r="D369" s="48" t="s">
        <v>524</v>
      </c>
      <c r="E369" s="48" t="s">
        <v>31</v>
      </c>
      <c r="F369" s="48" t="s">
        <v>678</v>
      </c>
      <c r="G369" s="48" t="s">
        <v>202</v>
      </c>
      <c r="H369" s="48" t="s">
        <v>357</v>
      </c>
      <c r="I369" s="47" t="s">
        <v>525</v>
      </c>
      <c r="J369" s="47">
        <v>2</v>
      </c>
      <c r="K369" s="49" t="s">
        <v>961</v>
      </c>
      <c r="L369" s="49" t="s">
        <v>701</v>
      </c>
      <c r="M369" s="50" t="s">
        <v>1445</v>
      </c>
      <c r="N369" s="50" t="s">
        <v>1750</v>
      </c>
      <c r="O369" s="51"/>
      <c r="P369" s="51"/>
      <c r="Q369" s="48"/>
      <c r="R369" s="1"/>
      <c r="S369" s="1">
        <f t="shared" si="111"/>
        <v>0</v>
      </c>
      <c r="T369" s="1">
        <f t="shared" si="112"/>
        <v>1</v>
      </c>
      <c r="U369" s="1">
        <f t="shared" si="113"/>
        <v>0</v>
      </c>
      <c r="V369" s="1">
        <f t="shared" si="114"/>
        <v>0</v>
      </c>
      <c r="W369" s="1">
        <f t="shared" si="115"/>
        <v>0</v>
      </c>
      <c r="X369" s="1">
        <f t="shared" si="116"/>
        <v>0</v>
      </c>
      <c r="Y369" s="1">
        <f t="shared" si="117"/>
        <v>0</v>
      </c>
      <c r="Z369" s="1">
        <f t="shared" si="118"/>
        <v>0</v>
      </c>
      <c r="AA369" s="1">
        <f t="shared" si="119"/>
        <v>0</v>
      </c>
      <c r="AB369" s="1">
        <f t="shared" si="120"/>
        <v>0</v>
      </c>
      <c r="AC369" s="1"/>
      <c r="AD369" s="1">
        <f t="shared" si="121"/>
        <v>0</v>
      </c>
      <c r="AE369" s="1">
        <f t="shared" si="122"/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  <c r="AJ369" s="1"/>
    </row>
    <row r="370" spans="1:36" s="2" customFormat="1" ht="14.25" customHeight="1" x14ac:dyDescent="0.25">
      <c r="A370" s="34">
        <v>0</v>
      </c>
      <c r="B370" s="34">
        <v>2</v>
      </c>
      <c r="C370" s="34">
        <v>6</v>
      </c>
      <c r="D370" s="35" t="s">
        <v>53</v>
      </c>
      <c r="E370" s="35" t="s">
        <v>31</v>
      </c>
      <c r="F370" s="35" t="s">
        <v>212</v>
      </c>
      <c r="G370" s="35" t="s">
        <v>213</v>
      </c>
      <c r="H370" s="35" t="s">
        <v>357</v>
      </c>
      <c r="I370" s="34" t="s">
        <v>395</v>
      </c>
      <c r="J370" s="34">
        <v>1</v>
      </c>
      <c r="K370" s="36" t="s">
        <v>719</v>
      </c>
      <c r="L370" s="36" t="s">
        <v>711</v>
      </c>
      <c r="M370" s="37" t="s">
        <v>735</v>
      </c>
      <c r="N370" s="37" t="s">
        <v>1758</v>
      </c>
      <c r="O370" s="38">
        <v>1</v>
      </c>
      <c r="P370" s="38"/>
      <c r="Q370" s="35"/>
      <c r="R370" s="1"/>
      <c r="S370" s="1">
        <f t="shared" si="111"/>
        <v>1</v>
      </c>
      <c r="T370" s="1">
        <f t="shared" si="112"/>
        <v>0</v>
      </c>
      <c r="U370" s="1">
        <f t="shared" si="113"/>
        <v>0</v>
      </c>
      <c r="V370" s="1">
        <f t="shared" si="114"/>
        <v>0</v>
      </c>
      <c r="W370" s="1">
        <f t="shared" si="115"/>
        <v>0</v>
      </c>
      <c r="X370" s="1">
        <f t="shared" si="116"/>
        <v>0</v>
      </c>
      <c r="Y370" s="1">
        <f t="shared" si="117"/>
        <v>0</v>
      </c>
      <c r="Z370" s="1">
        <f t="shared" si="118"/>
        <v>0</v>
      </c>
      <c r="AA370" s="1">
        <f t="shared" si="119"/>
        <v>0</v>
      </c>
      <c r="AB370" s="1">
        <f t="shared" si="120"/>
        <v>0</v>
      </c>
      <c r="AC370" s="1"/>
      <c r="AD370" s="1">
        <f t="shared" si="121"/>
        <v>0</v>
      </c>
      <c r="AE370" s="1">
        <f t="shared" si="122"/>
        <v>1</v>
      </c>
      <c r="AF370" s="1">
        <f t="shared" si="107"/>
        <v>0</v>
      </c>
      <c r="AG370" s="1">
        <f t="shared" si="108"/>
        <v>1</v>
      </c>
      <c r="AH370" s="1">
        <f t="shared" si="109"/>
        <v>0</v>
      </c>
      <c r="AI370" s="1">
        <f t="shared" si="110"/>
        <v>1</v>
      </c>
      <c r="AJ370" s="1"/>
    </row>
    <row r="371" spans="1:36" s="2" customFormat="1" ht="14.25" customHeight="1" x14ac:dyDescent="0.25">
      <c r="A371" s="15">
        <v>0</v>
      </c>
      <c r="B371" s="15">
        <v>2</v>
      </c>
      <c r="C371" s="15">
        <v>6</v>
      </c>
      <c r="D371" s="16" t="s">
        <v>1877</v>
      </c>
      <c r="E371" s="16" t="s">
        <v>1878</v>
      </c>
      <c r="F371" s="20" t="s">
        <v>1879</v>
      </c>
      <c r="G371" s="16"/>
      <c r="H371" s="20" t="s">
        <v>357</v>
      </c>
      <c r="I371" s="21" t="s">
        <v>1880</v>
      </c>
      <c r="J371" s="15">
        <v>99</v>
      </c>
      <c r="K371" s="10" t="s">
        <v>710</v>
      </c>
      <c r="L371" s="10">
        <v>25</v>
      </c>
      <c r="M371" s="19" t="s">
        <v>1881</v>
      </c>
      <c r="N371" s="19"/>
      <c r="O371" s="1"/>
      <c r="P371" s="1"/>
      <c r="Q371" s="20"/>
      <c r="R371" s="1"/>
      <c r="S371" s="1">
        <f t="shared" ref="S371:S373" si="129">IF(J371=$S$7,1,0)</f>
        <v>0</v>
      </c>
      <c r="T371" s="1">
        <f t="shared" ref="T371:T373" si="130">IF(J371=$T$7,1,0)</f>
        <v>0</v>
      </c>
      <c r="U371" s="1">
        <f t="shared" ref="U371:U373" si="131">IF(J371=$U$7,1,0)</f>
        <v>0</v>
      </c>
      <c r="V371" s="1">
        <f t="shared" ref="V371:V373" si="132">IF(J371=$V$7,1,0)</f>
        <v>0</v>
      </c>
      <c r="W371" s="1">
        <f t="shared" ref="W371:W373" si="133">IF(J371=$W$7,1,0)</f>
        <v>0</v>
      </c>
      <c r="X371" s="1">
        <f t="shared" ref="X371:X373" si="134">IF(J371=$X$7,1,0)</f>
        <v>0</v>
      </c>
      <c r="Y371" s="1">
        <f t="shared" ref="Y371:Y373" si="135">IF(J371=$Y$7,1,0)</f>
        <v>0</v>
      </c>
      <c r="Z371" s="1">
        <f t="shared" ref="Z371:Z373" si="136">IF(J371=$Z$7,1,0)</f>
        <v>0</v>
      </c>
      <c r="AA371" s="1">
        <f t="shared" ref="AA371:AA373" si="137">IF(J371=$AA$7,1,0)</f>
        <v>0</v>
      </c>
      <c r="AB371" s="1">
        <f t="shared" ref="AB371:AB373" si="138">IF(J371=$AB$7,1,0)</f>
        <v>0</v>
      </c>
      <c r="AC371" s="1"/>
      <c r="AD371" s="1">
        <f t="shared" ref="AD371:AD373" si="139">+O371*P371</f>
        <v>0</v>
      </c>
      <c r="AE371" s="1">
        <f t="shared" ref="AE371:AE373" si="140">O371*(1-P371)</f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  <c r="AJ371" s="1"/>
    </row>
    <row r="372" spans="1:36" s="2" customFormat="1" ht="14.25" customHeight="1" x14ac:dyDescent="0.25">
      <c r="A372" s="15">
        <v>0</v>
      </c>
      <c r="B372" s="15">
        <v>2</v>
      </c>
      <c r="C372" s="15">
        <v>6</v>
      </c>
      <c r="D372" s="16" t="s">
        <v>81</v>
      </c>
      <c r="E372" s="16" t="s">
        <v>31</v>
      </c>
      <c r="F372" s="16" t="s">
        <v>273</v>
      </c>
      <c r="G372" s="16" t="s">
        <v>226</v>
      </c>
      <c r="H372" s="16" t="s">
        <v>357</v>
      </c>
      <c r="I372" s="15" t="s">
        <v>684</v>
      </c>
      <c r="J372" s="15">
        <v>99</v>
      </c>
      <c r="K372" s="10" t="s">
        <v>962</v>
      </c>
      <c r="L372" s="10" t="s">
        <v>701</v>
      </c>
      <c r="M372" s="19" t="s">
        <v>1446</v>
      </c>
      <c r="N372" s="19"/>
      <c r="O372" s="1"/>
      <c r="P372" s="1"/>
      <c r="Q372" s="16"/>
      <c r="R372" s="1"/>
      <c r="S372" s="1">
        <f t="shared" si="129"/>
        <v>0</v>
      </c>
      <c r="T372" s="1">
        <f t="shared" si="130"/>
        <v>0</v>
      </c>
      <c r="U372" s="1">
        <f t="shared" si="131"/>
        <v>0</v>
      </c>
      <c r="V372" s="1">
        <f t="shared" si="132"/>
        <v>0</v>
      </c>
      <c r="W372" s="1">
        <f t="shared" si="133"/>
        <v>0</v>
      </c>
      <c r="X372" s="1">
        <f t="shared" si="134"/>
        <v>0</v>
      </c>
      <c r="Y372" s="1">
        <f t="shared" si="135"/>
        <v>0</v>
      </c>
      <c r="Z372" s="1">
        <f t="shared" si="136"/>
        <v>0</v>
      </c>
      <c r="AA372" s="1">
        <f t="shared" si="137"/>
        <v>0</v>
      </c>
      <c r="AB372" s="1">
        <f t="shared" si="138"/>
        <v>0</v>
      </c>
      <c r="AC372" s="1"/>
      <c r="AD372" s="1">
        <f t="shared" si="139"/>
        <v>0</v>
      </c>
      <c r="AE372" s="1">
        <f t="shared" si="140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  <c r="AJ372" s="1"/>
    </row>
    <row r="373" spans="1:36" s="2" customFormat="1" ht="14.25" customHeight="1" x14ac:dyDescent="0.25">
      <c r="A373" s="47">
        <v>0</v>
      </c>
      <c r="B373" s="47">
        <v>2</v>
      </c>
      <c r="C373" s="47">
        <v>6</v>
      </c>
      <c r="D373" s="48" t="s">
        <v>644</v>
      </c>
      <c r="E373" s="48" t="s">
        <v>31</v>
      </c>
      <c r="F373" s="48" t="s">
        <v>645</v>
      </c>
      <c r="G373" s="48" t="s">
        <v>242</v>
      </c>
      <c r="H373" s="48" t="s">
        <v>357</v>
      </c>
      <c r="I373" s="47" t="s">
        <v>646</v>
      </c>
      <c r="J373" s="47">
        <v>1</v>
      </c>
      <c r="K373" s="49" t="s">
        <v>720</v>
      </c>
      <c r="L373" s="49" t="s">
        <v>701</v>
      </c>
      <c r="M373" s="50" t="s">
        <v>1447</v>
      </c>
      <c r="N373" s="50" t="s">
        <v>1750</v>
      </c>
      <c r="O373" s="51"/>
      <c r="P373" s="51"/>
      <c r="Q373" s="48"/>
      <c r="R373" s="1"/>
      <c r="S373" s="1">
        <f t="shared" si="129"/>
        <v>1</v>
      </c>
      <c r="T373" s="1">
        <f t="shared" si="130"/>
        <v>0</v>
      </c>
      <c r="U373" s="1">
        <f t="shared" si="131"/>
        <v>0</v>
      </c>
      <c r="V373" s="1">
        <f t="shared" si="132"/>
        <v>0</v>
      </c>
      <c r="W373" s="1">
        <f t="shared" si="133"/>
        <v>0</v>
      </c>
      <c r="X373" s="1">
        <f t="shared" si="134"/>
        <v>0</v>
      </c>
      <c r="Y373" s="1">
        <f t="shared" si="135"/>
        <v>0</v>
      </c>
      <c r="Z373" s="1">
        <f t="shared" si="136"/>
        <v>0</v>
      </c>
      <c r="AA373" s="1">
        <f t="shared" si="137"/>
        <v>0</v>
      </c>
      <c r="AB373" s="1">
        <f t="shared" si="138"/>
        <v>0</v>
      </c>
      <c r="AC373" s="1"/>
      <c r="AD373" s="1">
        <f t="shared" si="139"/>
        <v>0</v>
      </c>
      <c r="AE373" s="1">
        <f t="shared" si="140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  <c r="AJ373" s="1"/>
    </row>
    <row r="374" spans="1:36" s="2" customFormat="1" ht="14.25" customHeight="1" x14ac:dyDescent="0.25">
      <c r="A374" s="47">
        <v>0</v>
      </c>
      <c r="B374" s="47">
        <v>2</v>
      </c>
      <c r="C374" s="47">
        <v>6</v>
      </c>
      <c r="D374" s="48" t="s">
        <v>1145</v>
      </c>
      <c r="E374" s="48" t="s">
        <v>31</v>
      </c>
      <c r="F374" s="48" t="s">
        <v>678</v>
      </c>
      <c r="G374" s="48" t="s">
        <v>202</v>
      </c>
      <c r="H374" s="48" t="s">
        <v>357</v>
      </c>
      <c r="I374" s="47" t="s">
        <v>525</v>
      </c>
      <c r="J374" s="47">
        <v>2</v>
      </c>
      <c r="K374" s="49" t="s">
        <v>719</v>
      </c>
      <c r="L374" s="49" t="s">
        <v>701</v>
      </c>
      <c r="M374" s="50" t="s">
        <v>735</v>
      </c>
      <c r="N374" s="50" t="s">
        <v>1750</v>
      </c>
      <c r="O374" s="51"/>
      <c r="P374" s="51"/>
      <c r="Q374" s="48"/>
      <c r="R374" s="1"/>
      <c r="S374" s="1">
        <f t="shared" si="111"/>
        <v>0</v>
      </c>
      <c r="T374" s="1">
        <f t="shared" si="112"/>
        <v>1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0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C374" s="1"/>
      <c r="AD374" s="1">
        <f t="shared" si="121"/>
        <v>0</v>
      </c>
      <c r="AE374" s="1">
        <f t="shared" si="122"/>
        <v>0</v>
      </c>
      <c r="AF374" s="1">
        <f t="shared" si="107"/>
        <v>0</v>
      </c>
      <c r="AG374" s="1">
        <f t="shared" si="108"/>
        <v>0</v>
      </c>
      <c r="AH374" s="1">
        <f t="shared" si="109"/>
        <v>0</v>
      </c>
      <c r="AI374" s="1">
        <f t="shared" si="110"/>
        <v>1</v>
      </c>
      <c r="AJ374" s="1"/>
    </row>
    <row r="375" spans="1:36" s="2" customFormat="1" ht="14.25" customHeight="1" x14ac:dyDescent="0.25">
      <c r="A375" s="47">
        <v>0</v>
      </c>
      <c r="B375" s="47">
        <v>2</v>
      </c>
      <c r="C375" s="47">
        <v>6</v>
      </c>
      <c r="D375" s="48" t="s">
        <v>1093</v>
      </c>
      <c r="E375" s="48" t="s">
        <v>161</v>
      </c>
      <c r="F375" s="48" t="s">
        <v>200</v>
      </c>
      <c r="G375" s="48" t="s">
        <v>201</v>
      </c>
      <c r="H375" s="48" t="s">
        <v>357</v>
      </c>
      <c r="I375" s="47" t="s">
        <v>391</v>
      </c>
      <c r="J375" s="47">
        <v>99</v>
      </c>
      <c r="K375" s="49" t="s">
        <v>719</v>
      </c>
      <c r="L375" s="49" t="s">
        <v>723</v>
      </c>
      <c r="M375" s="50" t="s">
        <v>737</v>
      </c>
      <c r="N375" s="50" t="s">
        <v>1749</v>
      </c>
      <c r="O375" s="51"/>
      <c r="P375" s="51"/>
      <c r="Q375" s="48"/>
      <c r="R375" s="1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0</v>
      </c>
      <c r="AA375" s="1">
        <f t="shared" si="119"/>
        <v>0</v>
      </c>
      <c r="AB375" s="1">
        <f t="shared" si="120"/>
        <v>0</v>
      </c>
      <c r="AC375" s="1"/>
      <c r="AD375" s="1">
        <f t="shared" si="121"/>
        <v>0</v>
      </c>
      <c r="AE375" s="1">
        <f t="shared" si="122"/>
        <v>0</v>
      </c>
      <c r="AF375" s="1">
        <f t="shared" si="107"/>
        <v>0</v>
      </c>
      <c r="AG375" s="1">
        <f t="shared" si="108"/>
        <v>0</v>
      </c>
      <c r="AH375" s="1">
        <f t="shared" si="109"/>
        <v>0</v>
      </c>
      <c r="AI375" s="1">
        <f t="shared" si="110"/>
        <v>1</v>
      </c>
      <c r="AJ375" s="1"/>
    </row>
    <row r="376" spans="1:36" s="2" customFormat="1" ht="14.25" customHeight="1" x14ac:dyDescent="0.25">
      <c r="A376" s="34">
        <v>0</v>
      </c>
      <c r="B376" s="34">
        <v>2</v>
      </c>
      <c r="C376" s="34">
        <v>7</v>
      </c>
      <c r="D376" s="35" t="s">
        <v>514</v>
      </c>
      <c r="E376" s="35" t="s">
        <v>158</v>
      </c>
      <c r="F376" s="35" t="s">
        <v>515</v>
      </c>
      <c r="G376" s="35" t="s">
        <v>39</v>
      </c>
      <c r="H376" s="35" t="s">
        <v>357</v>
      </c>
      <c r="I376" s="34" t="s">
        <v>949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R376" s="1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C376" s="1"/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  <c r="AJ376" s="1"/>
    </row>
    <row r="377" spans="1:36" s="2" customFormat="1" ht="14.25" customHeight="1" x14ac:dyDescent="0.25">
      <c r="A377" s="34">
        <v>0</v>
      </c>
      <c r="B377" s="34">
        <v>2</v>
      </c>
      <c r="C377" s="34">
        <v>7</v>
      </c>
      <c r="D377" s="35" t="s">
        <v>70</v>
      </c>
      <c r="E377" s="35" t="s">
        <v>28</v>
      </c>
      <c r="F377" s="35" t="s">
        <v>679</v>
      </c>
      <c r="G377" s="35" t="s">
        <v>260</v>
      </c>
      <c r="H377" s="35" t="s">
        <v>357</v>
      </c>
      <c r="I377" s="34" t="s">
        <v>420</v>
      </c>
      <c r="J377" s="34">
        <v>8</v>
      </c>
      <c r="K377" s="36" t="s">
        <v>720</v>
      </c>
      <c r="L377" s="36" t="s">
        <v>720</v>
      </c>
      <c r="M377" s="37" t="s">
        <v>738</v>
      </c>
      <c r="N377" s="37" t="s">
        <v>1758</v>
      </c>
      <c r="O377" s="38">
        <v>1</v>
      </c>
      <c r="P377" s="38"/>
      <c r="Q377" s="35"/>
      <c r="R377" s="1"/>
      <c r="S377" s="1">
        <f t="shared" si="111"/>
        <v>0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1</v>
      </c>
      <c r="AA377" s="1">
        <f t="shared" si="119"/>
        <v>0</v>
      </c>
      <c r="AB377" s="1">
        <f t="shared" si="120"/>
        <v>0</v>
      </c>
      <c r="AC377" s="1"/>
      <c r="AD377" s="1">
        <f t="shared" si="121"/>
        <v>0</v>
      </c>
      <c r="AE377" s="1">
        <f t="shared" si="122"/>
        <v>1</v>
      </c>
      <c r="AF377" s="1">
        <f t="shared" si="107"/>
        <v>0</v>
      </c>
      <c r="AG377" s="1">
        <f t="shared" si="108"/>
        <v>1</v>
      </c>
      <c r="AH377" s="1">
        <f t="shared" si="109"/>
        <v>0</v>
      </c>
      <c r="AI377" s="1">
        <f t="shared" si="110"/>
        <v>1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7</v>
      </c>
      <c r="D378" s="35" t="s">
        <v>659</v>
      </c>
      <c r="E378" s="35" t="s">
        <v>158</v>
      </c>
      <c r="F378" s="35" t="s">
        <v>590</v>
      </c>
      <c r="G378" s="35" t="s">
        <v>251</v>
      </c>
      <c r="H378" s="35" t="s">
        <v>357</v>
      </c>
      <c r="I378" s="34" t="s">
        <v>685</v>
      </c>
      <c r="J378" s="34">
        <v>7</v>
      </c>
      <c r="K378" s="36" t="s">
        <v>962</v>
      </c>
      <c r="L378" s="36" t="s">
        <v>39</v>
      </c>
      <c r="M378" s="37" t="s">
        <v>39</v>
      </c>
      <c r="N378" s="37" t="s">
        <v>1742</v>
      </c>
      <c r="O378" s="38">
        <v>1</v>
      </c>
      <c r="P378" s="38">
        <v>1</v>
      </c>
      <c r="Q378" s="35"/>
      <c r="R378" s="1"/>
      <c r="S378" s="1">
        <f t="shared" si="111"/>
        <v>0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1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C378" s="1"/>
      <c r="AD378" s="1">
        <f t="shared" si="121"/>
        <v>1</v>
      </c>
      <c r="AE378" s="1">
        <f t="shared" si="122"/>
        <v>0</v>
      </c>
      <c r="AF378" s="1">
        <f t="shared" si="107"/>
        <v>1</v>
      </c>
      <c r="AG378" s="1">
        <f t="shared" si="108"/>
        <v>0</v>
      </c>
      <c r="AH378" s="1">
        <f t="shared" si="109"/>
        <v>1</v>
      </c>
      <c r="AI378" s="1">
        <f t="shared" si="110"/>
        <v>0</v>
      </c>
      <c r="AJ378" s="1"/>
    </row>
    <row r="379" spans="1:36" s="2" customFormat="1" ht="14.25" customHeight="1" x14ac:dyDescent="0.25">
      <c r="A379" s="47">
        <v>0</v>
      </c>
      <c r="B379" s="47">
        <v>2</v>
      </c>
      <c r="C379" s="47">
        <v>7</v>
      </c>
      <c r="D379" s="48" t="s">
        <v>1649</v>
      </c>
      <c r="E379" s="48" t="s">
        <v>158</v>
      </c>
      <c r="F379" s="48" t="s">
        <v>1672</v>
      </c>
      <c r="G379" s="48" t="s">
        <v>215</v>
      </c>
      <c r="H379" s="48" t="s">
        <v>357</v>
      </c>
      <c r="I379" s="47" t="s">
        <v>599</v>
      </c>
      <c r="J379" s="47">
        <v>1</v>
      </c>
      <c r="K379" s="49" t="s">
        <v>719</v>
      </c>
      <c r="L379" s="49" t="s">
        <v>729</v>
      </c>
      <c r="M379" s="50" t="s">
        <v>1448</v>
      </c>
      <c r="N379" s="50" t="s">
        <v>1750</v>
      </c>
      <c r="O379" s="51"/>
      <c r="P379" s="51"/>
      <c r="Q379" s="48"/>
      <c r="R379" s="1"/>
      <c r="S379" s="1">
        <f t="shared" si="111"/>
        <v>1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C379" s="1"/>
      <c r="AD379" s="1">
        <f t="shared" si="121"/>
        <v>0</v>
      </c>
      <c r="AE379" s="1">
        <f t="shared" si="122"/>
        <v>0</v>
      </c>
      <c r="AF379" s="1">
        <f t="shared" si="107"/>
        <v>0</v>
      </c>
      <c r="AG379" s="1">
        <f t="shared" si="108"/>
        <v>0</v>
      </c>
      <c r="AH379" s="1">
        <f t="shared" si="109"/>
        <v>0</v>
      </c>
      <c r="AI379" s="1">
        <f t="shared" si="110"/>
        <v>1</v>
      </c>
      <c r="AJ379" s="1"/>
    </row>
    <row r="380" spans="1:36" s="2" customFormat="1" ht="14.25" customHeight="1" x14ac:dyDescent="0.25">
      <c r="A380" s="47">
        <v>0</v>
      </c>
      <c r="B380" s="47">
        <v>2</v>
      </c>
      <c r="C380" s="47">
        <v>7</v>
      </c>
      <c r="D380" s="48" t="s">
        <v>1080</v>
      </c>
      <c r="E380" s="48" t="s">
        <v>1056</v>
      </c>
      <c r="F380" s="48" t="s">
        <v>1081</v>
      </c>
      <c r="G380" s="48" t="s">
        <v>215</v>
      </c>
      <c r="H380" s="48" t="s">
        <v>357</v>
      </c>
      <c r="I380" s="47" t="s">
        <v>1082</v>
      </c>
      <c r="J380" s="47">
        <v>1</v>
      </c>
      <c r="K380" s="49" t="s">
        <v>962</v>
      </c>
      <c r="L380" s="49" t="s">
        <v>729</v>
      </c>
      <c r="M380" s="50" t="s">
        <v>1449</v>
      </c>
      <c r="N380" s="50" t="s">
        <v>1750</v>
      </c>
      <c r="O380" s="51"/>
      <c r="P380" s="51"/>
      <c r="Q380" s="48" t="s">
        <v>1933</v>
      </c>
      <c r="R380" s="1"/>
      <c r="S380" s="1">
        <f t="shared" si="111"/>
        <v>1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C380" s="1"/>
      <c r="AD380" s="1">
        <f t="shared" si="121"/>
        <v>0</v>
      </c>
      <c r="AE380" s="1">
        <f t="shared" si="122"/>
        <v>0</v>
      </c>
      <c r="AF380" s="1">
        <f t="shared" si="107"/>
        <v>0</v>
      </c>
      <c r="AG380" s="1">
        <f t="shared" si="108"/>
        <v>0</v>
      </c>
      <c r="AH380" s="1">
        <f t="shared" si="109"/>
        <v>0</v>
      </c>
      <c r="AI380" s="1">
        <f t="shared" si="110"/>
        <v>1</v>
      </c>
      <c r="AJ380" s="1"/>
    </row>
    <row r="381" spans="1:36" s="2" customFormat="1" ht="14.25" customHeight="1" x14ac:dyDescent="0.25">
      <c r="A381" s="34">
        <v>0</v>
      </c>
      <c r="B381" s="34">
        <v>2</v>
      </c>
      <c r="C381" s="34">
        <v>7</v>
      </c>
      <c r="D381" s="35" t="s">
        <v>1024</v>
      </c>
      <c r="E381" s="35" t="s">
        <v>158</v>
      </c>
      <c r="F381" s="35" t="s">
        <v>1098</v>
      </c>
      <c r="G381" s="35" t="s">
        <v>1108</v>
      </c>
      <c r="H381" s="35" t="s">
        <v>357</v>
      </c>
      <c r="I381" s="34" t="s">
        <v>1025</v>
      </c>
      <c r="J381" s="34">
        <v>99</v>
      </c>
      <c r="K381" s="36" t="s">
        <v>720</v>
      </c>
      <c r="L381" s="36" t="s">
        <v>729</v>
      </c>
      <c r="M381" s="37" t="s">
        <v>1449</v>
      </c>
      <c r="N381" s="37" t="s">
        <v>1763</v>
      </c>
      <c r="O381" s="38">
        <v>1</v>
      </c>
      <c r="P381" s="38"/>
      <c r="Q381" s="35"/>
      <c r="R381" s="1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0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C381" s="1"/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7</v>
      </c>
      <c r="D382" s="35" t="s">
        <v>1219</v>
      </c>
      <c r="E382" s="35" t="s">
        <v>1346</v>
      </c>
      <c r="F382" s="35" t="s">
        <v>1220</v>
      </c>
      <c r="G382" s="35" t="s">
        <v>39</v>
      </c>
      <c r="H382" s="35" t="s">
        <v>357</v>
      </c>
      <c r="I382" s="34" t="s">
        <v>1700</v>
      </c>
      <c r="J382" s="34">
        <v>99</v>
      </c>
      <c r="K382" s="36" t="s">
        <v>962</v>
      </c>
      <c r="L382" s="36" t="s">
        <v>736</v>
      </c>
      <c r="M382" s="37" t="s">
        <v>1450</v>
      </c>
      <c r="N382" s="37" t="s">
        <v>1763</v>
      </c>
      <c r="O382" s="38">
        <v>1</v>
      </c>
      <c r="P382" s="38"/>
      <c r="Q382" s="35"/>
      <c r="R382" s="1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C382" s="1"/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1</v>
      </c>
      <c r="AH382" s="1">
        <f t="shared" si="109"/>
        <v>0</v>
      </c>
      <c r="AI382" s="1">
        <f t="shared" si="110"/>
        <v>1</v>
      </c>
      <c r="AJ382" s="1"/>
    </row>
    <row r="383" spans="1:36" s="2" customFormat="1" ht="14.25" customHeight="1" x14ac:dyDescent="0.25">
      <c r="A383" s="34">
        <v>0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649</v>
      </c>
      <c r="G383" s="35" t="s">
        <v>540</v>
      </c>
      <c r="H383" s="35" t="s">
        <v>357</v>
      </c>
      <c r="I383" s="34" t="s">
        <v>397</v>
      </c>
      <c r="J383" s="34">
        <v>6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R383" s="1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1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C383" s="1"/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1</v>
      </c>
      <c r="AH383" s="1">
        <f t="shared" si="109"/>
        <v>0</v>
      </c>
      <c r="AI383" s="1">
        <f t="shared" si="110"/>
        <v>1</v>
      </c>
      <c r="AJ383" s="1"/>
    </row>
    <row r="384" spans="1:36" s="2" customFormat="1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218</v>
      </c>
      <c r="G384" s="35" t="s">
        <v>39</v>
      </c>
      <c r="H384" s="35" t="s">
        <v>357</v>
      </c>
      <c r="I384" s="34" t="s">
        <v>30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R384" s="1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C384" s="1"/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  <c r="AJ384" s="1"/>
    </row>
    <row r="385" spans="1:36" s="2" customFormat="1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217</v>
      </c>
      <c r="G385" s="35" t="s">
        <v>39</v>
      </c>
      <c r="H385" s="35" t="s">
        <v>357</v>
      </c>
      <c r="I385" s="34" t="s">
        <v>397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R385" s="1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C385" s="1"/>
      <c r="AD385" s="1">
        <f t="shared" si="121"/>
        <v>0</v>
      </c>
      <c r="AE385" s="1">
        <f t="shared" si="122"/>
        <v>1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0</v>
      </c>
      <c r="AJ385" s="1"/>
    </row>
    <row r="386" spans="1:36" s="2" customFormat="1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219</v>
      </c>
      <c r="G386" s="35" t="s">
        <v>220</v>
      </c>
      <c r="H386" s="35" t="s">
        <v>357</v>
      </c>
      <c r="I386" s="34" t="s">
        <v>398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R386" s="1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C386" s="1"/>
      <c r="AD386" s="1">
        <f t="shared" si="121"/>
        <v>0</v>
      </c>
      <c r="AE386" s="1">
        <f t="shared" si="122"/>
        <v>1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0</v>
      </c>
      <c r="AJ386" s="1"/>
    </row>
    <row r="387" spans="1:36" s="2" customFormat="1" ht="14.25" customHeight="1" x14ac:dyDescent="0.25">
      <c r="A387" s="47">
        <v>0</v>
      </c>
      <c r="B387" s="47">
        <v>2</v>
      </c>
      <c r="C387" s="47">
        <v>7</v>
      </c>
      <c r="D387" s="48" t="s">
        <v>68</v>
      </c>
      <c r="E387" s="48" t="s">
        <v>28</v>
      </c>
      <c r="F387" s="48" t="s">
        <v>255</v>
      </c>
      <c r="G387" s="48" t="s">
        <v>256</v>
      </c>
      <c r="H387" s="48" t="s">
        <v>357</v>
      </c>
      <c r="I387" s="47" t="s">
        <v>417</v>
      </c>
      <c r="J387" s="47">
        <v>99</v>
      </c>
      <c r="K387" s="49" t="s">
        <v>720</v>
      </c>
      <c r="L387" s="49" t="s">
        <v>720</v>
      </c>
      <c r="M387" s="50" t="s">
        <v>738</v>
      </c>
      <c r="N387" s="50" t="s">
        <v>1817</v>
      </c>
      <c r="O387" s="51"/>
      <c r="P387" s="51"/>
      <c r="Q387" s="48"/>
      <c r="R387" s="1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C387" s="1"/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1</v>
      </c>
      <c r="AJ387" s="1"/>
    </row>
    <row r="388" spans="1:36" s="2" customFormat="1" ht="14.25" customHeight="1" x14ac:dyDescent="0.25">
      <c r="A388" s="15">
        <v>0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257</v>
      </c>
      <c r="G388" s="16" t="s">
        <v>209</v>
      </c>
      <c r="H388" s="16" t="s">
        <v>357</v>
      </c>
      <c r="I388" s="15" t="s">
        <v>418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O388" s="1"/>
      <c r="P388" s="1"/>
      <c r="Q388" s="16"/>
      <c r="R388" s="1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C388" s="1"/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1</v>
      </c>
      <c r="AJ388" s="1"/>
    </row>
    <row r="389" spans="1:36" s="2" customFormat="1" ht="14.25" customHeight="1" x14ac:dyDescent="0.25">
      <c r="A389" s="15">
        <v>1</v>
      </c>
      <c r="B389" s="15">
        <v>2</v>
      </c>
      <c r="C389" s="15">
        <v>7</v>
      </c>
      <c r="D389" s="16" t="s">
        <v>69</v>
      </c>
      <c r="E389" s="16" t="s">
        <v>28</v>
      </c>
      <c r="F389" s="20" t="s">
        <v>1889</v>
      </c>
      <c r="G389" s="16" t="s">
        <v>258</v>
      </c>
      <c r="H389" s="16" t="s">
        <v>357</v>
      </c>
      <c r="I389" s="15" t="s">
        <v>419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O389" s="1"/>
      <c r="P389" s="1"/>
      <c r="Q389" s="16"/>
      <c r="R389" s="1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C389" s="1"/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0</v>
      </c>
      <c r="AJ389" s="1"/>
    </row>
    <row r="390" spans="1:36" s="2" customFormat="1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16" t="s">
        <v>575</v>
      </c>
      <c r="G390" s="16" t="s">
        <v>576</v>
      </c>
      <c r="H390" s="16" t="s">
        <v>357</v>
      </c>
      <c r="I390" s="15" t="s">
        <v>585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O390" s="1"/>
      <c r="P390" s="1"/>
      <c r="Q390" s="16"/>
      <c r="R390" s="1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C390" s="1"/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0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71</v>
      </c>
      <c r="E391" s="48" t="s">
        <v>28</v>
      </c>
      <c r="F391" s="48" t="s">
        <v>1363</v>
      </c>
      <c r="G391" s="48" t="s">
        <v>262</v>
      </c>
      <c r="H391" s="48" t="s">
        <v>357</v>
      </c>
      <c r="I391" s="47" t="s">
        <v>421</v>
      </c>
      <c r="J391" s="47">
        <v>99</v>
      </c>
      <c r="K391" s="49" t="s">
        <v>720</v>
      </c>
      <c r="L391" s="49" t="s">
        <v>720</v>
      </c>
      <c r="M391" s="50" t="s">
        <v>738</v>
      </c>
      <c r="N391" s="50" t="s">
        <v>1817</v>
      </c>
      <c r="O391" s="51"/>
      <c r="P391" s="51"/>
      <c r="Q391" s="48"/>
      <c r="R391" s="1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C391" s="1"/>
      <c r="AD391" s="1">
        <f t="shared" si="121"/>
        <v>0</v>
      </c>
      <c r="AE391" s="1">
        <f t="shared" si="122"/>
        <v>0</v>
      </c>
      <c r="AF391" s="1">
        <f t="shared" si="107"/>
        <v>0</v>
      </c>
      <c r="AG391" s="1">
        <f t="shared" si="108"/>
        <v>0</v>
      </c>
      <c r="AH391" s="1">
        <f t="shared" si="109"/>
        <v>0</v>
      </c>
      <c r="AI391" s="1">
        <f t="shared" si="110"/>
        <v>1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1072</v>
      </c>
      <c r="E392" s="48" t="s">
        <v>28</v>
      </c>
      <c r="F392" s="48" t="s">
        <v>1073</v>
      </c>
      <c r="G392" s="48" t="s">
        <v>1074</v>
      </c>
      <c r="H392" s="48" t="s">
        <v>357</v>
      </c>
      <c r="I392" s="47" t="s">
        <v>1075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R392" s="1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C392" s="1"/>
      <c r="AD392" s="1">
        <f t="shared" si="121"/>
        <v>0</v>
      </c>
      <c r="AE392" s="1">
        <f t="shared" si="122"/>
        <v>0</v>
      </c>
      <c r="AF392" s="1">
        <f t="shared" si="107"/>
        <v>0</v>
      </c>
      <c r="AG392" s="1">
        <f t="shared" si="108"/>
        <v>0</v>
      </c>
      <c r="AH392" s="1">
        <f t="shared" si="109"/>
        <v>0</v>
      </c>
      <c r="AI392" s="1">
        <f t="shared" si="110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1821</v>
      </c>
      <c r="E393" s="35" t="s">
        <v>158</v>
      </c>
      <c r="F393" s="35" t="s">
        <v>1822</v>
      </c>
      <c r="G393" s="35"/>
      <c r="H393" s="35" t="s">
        <v>357</v>
      </c>
      <c r="I393" s="34" t="s">
        <v>1823</v>
      </c>
      <c r="J393" s="34">
        <v>99</v>
      </c>
      <c r="K393" s="36" t="s">
        <v>710</v>
      </c>
      <c r="L393" s="36"/>
      <c r="M393" s="37"/>
      <c r="N393" s="37" t="s">
        <v>1742</v>
      </c>
      <c r="O393" s="38">
        <v>1</v>
      </c>
      <c r="P393" s="38">
        <v>1</v>
      </c>
      <c r="Q393" s="35"/>
      <c r="R393" s="1"/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C393" s="1"/>
      <c r="AD393" s="1">
        <f t="shared" si="121"/>
        <v>1</v>
      </c>
      <c r="AE393" s="1">
        <f t="shared" si="122"/>
        <v>0</v>
      </c>
      <c r="AF393" s="1">
        <f t="shared" si="107"/>
        <v>1</v>
      </c>
      <c r="AG393" s="1">
        <f t="shared" si="108"/>
        <v>0</v>
      </c>
      <c r="AH393" s="1">
        <f t="shared" si="109"/>
        <v>1</v>
      </c>
      <c r="AI393" s="1">
        <f t="shared" si="110"/>
        <v>0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1192</v>
      </c>
      <c r="E394" s="35" t="s">
        <v>158</v>
      </c>
      <c r="F394" s="35" t="s">
        <v>1193</v>
      </c>
      <c r="G394" s="35" t="s">
        <v>296</v>
      </c>
      <c r="H394" s="35" t="s">
        <v>357</v>
      </c>
      <c r="I394" s="34" t="s">
        <v>1194</v>
      </c>
      <c r="J394" s="34">
        <v>99</v>
      </c>
      <c r="K394" s="36" t="s">
        <v>720</v>
      </c>
      <c r="L394" s="36" t="s">
        <v>729</v>
      </c>
      <c r="M394" s="37" t="s">
        <v>1449</v>
      </c>
      <c r="N394" s="37" t="s">
        <v>1763</v>
      </c>
      <c r="O394" s="38">
        <v>1</v>
      </c>
      <c r="P394" s="38"/>
      <c r="Q394" s="35"/>
      <c r="R394" s="1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C394" s="1"/>
      <c r="AD394" s="1">
        <f t="shared" si="121"/>
        <v>0</v>
      </c>
      <c r="AE394" s="1">
        <f t="shared" si="122"/>
        <v>1</v>
      </c>
      <c r="AF394" s="1">
        <f t="shared" ref="AF394:AF457" si="141">+O394*P394*(1-A394)</f>
        <v>0</v>
      </c>
      <c r="AG394" s="1">
        <f t="shared" ref="AG394:AG457" si="142">O394*(1-P394)*(1-A394)</f>
        <v>1</v>
      </c>
      <c r="AH394" s="1">
        <f t="shared" ref="AH394:AH457" si="143">+P394*(1-A394)</f>
        <v>0</v>
      </c>
      <c r="AI394" s="1">
        <f t="shared" ref="AI394:AI457" si="144">+(1-A394)*(1-P394)</f>
        <v>1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1165</v>
      </c>
      <c r="E395" s="35" t="s">
        <v>1166</v>
      </c>
      <c r="F395" s="39" t="s">
        <v>1893</v>
      </c>
      <c r="G395" s="35" t="s">
        <v>633</v>
      </c>
      <c r="H395" s="35" t="s">
        <v>357</v>
      </c>
      <c r="I395" s="34" t="s">
        <v>1167</v>
      </c>
      <c r="J395" s="34">
        <v>99</v>
      </c>
      <c r="K395" s="36" t="s">
        <v>720</v>
      </c>
      <c r="L395" s="36" t="s">
        <v>720</v>
      </c>
      <c r="M395" s="37" t="s">
        <v>738</v>
      </c>
      <c r="N395" s="37" t="s">
        <v>1758</v>
      </c>
      <c r="O395" s="38">
        <v>1</v>
      </c>
      <c r="P395" s="38"/>
      <c r="Q395" s="39" t="s">
        <v>1913</v>
      </c>
      <c r="R395" s="1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0</v>
      </c>
      <c r="AC395" s="1"/>
      <c r="AD395" s="1">
        <f t="shared" si="121"/>
        <v>0</v>
      </c>
      <c r="AE395" s="1">
        <f t="shared" si="122"/>
        <v>1</v>
      </c>
      <c r="AF395" s="1">
        <f t="shared" si="141"/>
        <v>0</v>
      </c>
      <c r="AG395" s="1">
        <f t="shared" si="142"/>
        <v>1</v>
      </c>
      <c r="AH395" s="1">
        <f t="shared" si="143"/>
        <v>0</v>
      </c>
      <c r="AI395" s="1">
        <f t="shared" si="144"/>
        <v>1</v>
      </c>
      <c r="AJ395" s="1"/>
    </row>
    <row r="396" spans="1:36" s="2" customFormat="1" ht="14.25" customHeight="1" x14ac:dyDescent="0.25">
      <c r="A396" s="34">
        <v>0</v>
      </c>
      <c r="B396" s="34">
        <v>2</v>
      </c>
      <c r="C396" s="34">
        <v>7</v>
      </c>
      <c r="D396" s="35" t="s">
        <v>547</v>
      </c>
      <c r="E396" s="35" t="s">
        <v>160</v>
      </c>
      <c r="F396" s="35" t="s">
        <v>197</v>
      </c>
      <c r="G396" s="35" t="s">
        <v>198</v>
      </c>
      <c r="H396" s="35" t="s">
        <v>357</v>
      </c>
      <c r="I396" s="34" t="s">
        <v>555</v>
      </c>
      <c r="J396" s="34">
        <v>99</v>
      </c>
      <c r="K396" s="36" t="s">
        <v>962</v>
      </c>
      <c r="L396" s="36" t="s">
        <v>703</v>
      </c>
      <c r="M396" s="37" t="s">
        <v>1451</v>
      </c>
      <c r="N396" s="37" t="s">
        <v>1763</v>
      </c>
      <c r="O396" s="38">
        <v>1</v>
      </c>
      <c r="P396" s="38"/>
      <c r="Q396" s="35"/>
      <c r="R396" s="1"/>
      <c r="S396" s="1">
        <f t="shared" si="111"/>
        <v>0</v>
      </c>
      <c r="T396" s="1">
        <f t="shared" si="112"/>
        <v>0</v>
      </c>
      <c r="U396" s="1">
        <f t="shared" si="113"/>
        <v>0</v>
      </c>
      <c r="V396" s="1">
        <f t="shared" si="114"/>
        <v>0</v>
      </c>
      <c r="W396" s="1">
        <f t="shared" si="115"/>
        <v>0</v>
      </c>
      <c r="X396" s="1">
        <f t="shared" si="116"/>
        <v>0</v>
      </c>
      <c r="Y396" s="1">
        <f t="shared" si="117"/>
        <v>0</v>
      </c>
      <c r="Z396" s="1">
        <f t="shared" si="118"/>
        <v>0</v>
      </c>
      <c r="AA396" s="1">
        <f t="shared" si="119"/>
        <v>0</v>
      </c>
      <c r="AB396" s="1">
        <f t="shared" si="120"/>
        <v>0</v>
      </c>
      <c r="AC396" s="1"/>
      <c r="AD396" s="1">
        <f t="shared" si="121"/>
        <v>0</v>
      </c>
      <c r="AE396" s="1">
        <f t="shared" si="122"/>
        <v>1</v>
      </c>
      <c r="AF396" s="1">
        <f t="shared" si="141"/>
        <v>0</v>
      </c>
      <c r="AG396" s="1">
        <f t="shared" si="142"/>
        <v>1</v>
      </c>
      <c r="AH396" s="1">
        <f t="shared" si="143"/>
        <v>0</v>
      </c>
      <c r="AI396" s="1">
        <f t="shared" si="144"/>
        <v>1</v>
      </c>
      <c r="AJ396" s="1"/>
    </row>
    <row r="397" spans="1:36" s="2" customFormat="1" ht="14.25" customHeight="1" x14ac:dyDescent="0.25">
      <c r="A397" s="15">
        <v>0</v>
      </c>
      <c r="B397" s="15">
        <v>2</v>
      </c>
      <c r="C397" s="15">
        <v>7</v>
      </c>
      <c r="D397" s="16" t="s">
        <v>46</v>
      </c>
      <c r="E397" s="16" t="s">
        <v>158</v>
      </c>
      <c r="F397" s="16" t="s">
        <v>185</v>
      </c>
      <c r="G397" s="16" t="s">
        <v>181</v>
      </c>
      <c r="H397" s="16" t="s">
        <v>357</v>
      </c>
      <c r="I397" s="15" t="s">
        <v>385</v>
      </c>
      <c r="J397" s="15">
        <v>10</v>
      </c>
      <c r="K397" s="10" t="s">
        <v>962</v>
      </c>
      <c r="L397" s="10" t="s">
        <v>729</v>
      </c>
      <c r="M397" s="19" t="s">
        <v>1449</v>
      </c>
      <c r="N397" s="19"/>
      <c r="O397" s="1"/>
      <c r="P397" s="1"/>
      <c r="Q397" s="16"/>
      <c r="R397" s="1"/>
      <c r="S397" s="1">
        <f t="shared" si="111"/>
        <v>0</v>
      </c>
      <c r="T397" s="1">
        <f t="shared" si="112"/>
        <v>0</v>
      </c>
      <c r="U397" s="1">
        <f t="shared" si="113"/>
        <v>0</v>
      </c>
      <c r="V397" s="1">
        <f t="shared" si="114"/>
        <v>0</v>
      </c>
      <c r="W397" s="1">
        <f t="shared" si="115"/>
        <v>0</v>
      </c>
      <c r="X397" s="1">
        <f t="shared" si="116"/>
        <v>0</v>
      </c>
      <c r="Y397" s="1">
        <f t="shared" si="117"/>
        <v>0</v>
      </c>
      <c r="Z397" s="1">
        <f t="shared" si="118"/>
        <v>0</v>
      </c>
      <c r="AA397" s="1">
        <f t="shared" si="119"/>
        <v>0</v>
      </c>
      <c r="AB397" s="1">
        <f t="shared" si="120"/>
        <v>1</v>
      </c>
      <c r="AC397" s="1"/>
      <c r="AD397" s="1">
        <f t="shared" si="121"/>
        <v>0</v>
      </c>
      <c r="AE397" s="1">
        <f t="shared" si="122"/>
        <v>0</v>
      </c>
      <c r="AF397" s="1">
        <f t="shared" si="141"/>
        <v>0</v>
      </c>
      <c r="AG397" s="1">
        <f t="shared" si="142"/>
        <v>0</v>
      </c>
      <c r="AH397" s="1">
        <f t="shared" si="143"/>
        <v>0</v>
      </c>
      <c r="AI397" s="1">
        <f t="shared" si="144"/>
        <v>1</v>
      </c>
      <c r="AJ397" s="1"/>
    </row>
    <row r="398" spans="1:36" s="2" customFormat="1" ht="14.25" customHeight="1" x14ac:dyDescent="0.25">
      <c r="A398" s="47">
        <v>0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250</v>
      </c>
      <c r="G398" s="48" t="s">
        <v>251</v>
      </c>
      <c r="H398" s="48" t="s">
        <v>357</v>
      </c>
      <c r="I398" s="47" t="s">
        <v>414</v>
      </c>
      <c r="J398" s="47">
        <v>7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R398" s="1"/>
      <c r="S398" s="1">
        <f t="shared" ref="S398:S464" si="145">IF(J398=$S$7,1,0)</f>
        <v>0</v>
      </c>
      <c r="T398" s="1">
        <f t="shared" ref="T398:T464" si="146">IF(J398=$T$7,1,0)</f>
        <v>0</v>
      </c>
      <c r="U398" s="1">
        <f t="shared" ref="U398:U464" si="147">IF(J398=$U$7,1,0)</f>
        <v>0</v>
      </c>
      <c r="V398" s="1">
        <f t="shared" ref="V398:V464" si="148">IF(J398=$V$7,1,0)</f>
        <v>0</v>
      </c>
      <c r="W398" s="1">
        <f t="shared" ref="W398:W464" si="149">IF(J398=$W$7,1,0)</f>
        <v>0</v>
      </c>
      <c r="X398" s="1">
        <f t="shared" ref="X398:X464" si="150">IF(J398=$X$7,1,0)</f>
        <v>0</v>
      </c>
      <c r="Y398" s="1">
        <f t="shared" ref="Y398:Y464" si="151">IF(J398=$Y$7,1,0)</f>
        <v>1</v>
      </c>
      <c r="Z398" s="1">
        <f t="shared" ref="Z398:Z464" si="152">IF(J398=$Z$7,1,0)</f>
        <v>0</v>
      </c>
      <c r="AA398" s="1">
        <f t="shared" ref="AA398:AA464" si="153">IF(J398=$AA$7,1,0)</f>
        <v>0</v>
      </c>
      <c r="AB398" s="1">
        <f t="shared" ref="AB398:AB464" si="154">IF(J398=$AB$7,1,0)</f>
        <v>0</v>
      </c>
      <c r="AC398" s="1"/>
      <c r="AD398" s="1">
        <f t="shared" ref="AD398:AD464" si="155">+O398*P398</f>
        <v>0</v>
      </c>
      <c r="AE398" s="1">
        <f t="shared" ref="AE398:AE464" si="156">O398*(1-P398)</f>
        <v>0</v>
      </c>
      <c r="AF398" s="1">
        <f t="shared" si="141"/>
        <v>0</v>
      </c>
      <c r="AG398" s="1">
        <f t="shared" si="142"/>
        <v>0</v>
      </c>
      <c r="AH398" s="1">
        <f t="shared" si="143"/>
        <v>0</v>
      </c>
      <c r="AI398" s="1">
        <f t="shared" si="144"/>
        <v>1</v>
      </c>
      <c r="AJ398" s="1"/>
    </row>
    <row r="399" spans="1:36" s="2" customFormat="1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1046</v>
      </c>
      <c r="G399" s="48" t="s">
        <v>544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R399" s="1"/>
      <c r="S399" s="1">
        <f t="shared" si="145"/>
        <v>1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C399" s="1"/>
      <c r="AD399" s="1">
        <f t="shared" si="155"/>
        <v>0</v>
      </c>
      <c r="AE399" s="1">
        <f t="shared" si="156"/>
        <v>0</v>
      </c>
      <c r="AF399" s="1">
        <f t="shared" si="141"/>
        <v>0</v>
      </c>
      <c r="AG399" s="1">
        <f t="shared" si="142"/>
        <v>0</v>
      </c>
      <c r="AH399" s="1">
        <f t="shared" si="143"/>
        <v>0</v>
      </c>
      <c r="AI399" s="1">
        <f t="shared" si="144"/>
        <v>0</v>
      </c>
      <c r="AJ399" s="1"/>
    </row>
    <row r="400" spans="1:36" s="2" customFormat="1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252</v>
      </c>
      <c r="G400" s="48" t="s">
        <v>202</v>
      </c>
      <c r="H400" s="48" t="s">
        <v>357</v>
      </c>
      <c r="I400" s="47" t="s">
        <v>415</v>
      </c>
      <c r="J400" s="47">
        <v>2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R400" s="1"/>
      <c r="S400" s="1">
        <f t="shared" si="145"/>
        <v>0</v>
      </c>
      <c r="T400" s="1">
        <f t="shared" si="146"/>
        <v>1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C400" s="1"/>
      <c r="AD400" s="1">
        <f t="shared" si="155"/>
        <v>0</v>
      </c>
      <c r="AE400" s="1">
        <f t="shared" si="156"/>
        <v>0</v>
      </c>
      <c r="AF400" s="1">
        <f t="shared" si="141"/>
        <v>0</v>
      </c>
      <c r="AG400" s="1">
        <f t="shared" si="142"/>
        <v>0</v>
      </c>
      <c r="AH400" s="1">
        <f t="shared" si="143"/>
        <v>0</v>
      </c>
      <c r="AI400" s="1">
        <f t="shared" si="144"/>
        <v>0</v>
      </c>
      <c r="AJ400" s="1"/>
    </row>
    <row r="401" spans="1:36" s="2" customFormat="1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249</v>
      </c>
      <c r="G401" s="48" t="s">
        <v>1365</v>
      </c>
      <c r="H401" s="48" t="s">
        <v>357</v>
      </c>
      <c r="I401" s="47" t="s">
        <v>30</v>
      </c>
      <c r="J401" s="47">
        <v>1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 t="s">
        <v>1932</v>
      </c>
      <c r="R401" s="1"/>
      <c r="S401" s="1">
        <f t="shared" si="145"/>
        <v>1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0</v>
      </c>
      <c r="AB401" s="1">
        <f t="shared" si="154"/>
        <v>0</v>
      </c>
      <c r="AC401" s="1"/>
      <c r="AD401" s="1">
        <f t="shared" si="155"/>
        <v>0</v>
      </c>
      <c r="AE401" s="1">
        <f t="shared" si="156"/>
        <v>0</v>
      </c>
      <c r="AF401" s="1">
        <f t="shared" si="141"/>
        <v>0</v>
      </c>
      <c r="AG401" s="1">
        <f t="shared" si="142"/>
        <v>0</v>
      </c>
      <c r="AH401" s="1">
        <f t="shared" si="143"/>
        <v>0</v>
      </c>
      <c r="AI401" s="1">
        <f t="shared" si="144"/>
        <v>0</v>
      </c>
      <c r="AJ401" s="1"/>
    </row>
    <row r="402" spans="1:36" s="2" customFormat="1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254</v>
      </c>
      <c r="G402" s="48" t="s">
        <v>196</v>
      </c>
      <c r="H402" s="48" t="s">
        <v>357</v>
      </c>
      <c r="I402" s="47" t="s">
        <v>416</v>
      </c>
      <c r="J402" s="47">
        <v>9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/>
      <c r="R402" s="1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1</v>
      </c>
      <c r="AB402" s="1">
        <f t="shared" si="154"/>
        <v>0</v>
      </c>
      <c r="AC402" s="1"/>
      <c r="AD402" s="1">
        <f t="shared" si="155"/>
        <v>0</v>
      </c>
      <c r="AE402" s="1">
        <f t="shared" si="156"/>
        <v>0</v>
      </c>
      <c r="AF402" s="1">
        <f t="shared" si="141"/>
        <v>0</v>
      </c>
      <c r="AG402" s="1">
        <f t="shared" si="142"/>
        <v>0</v>
      </c>
      <c r="AH402" s="1">
        <f t="shared" si="143"/>
        <v>0</v>
      </c>
      <c r="AI402" s="1">
        <f t="shared" si="144"/>
        <v>0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1030</v>
      </c>
      <c r="E403" s="48" t="s">
        <v>28</v>
      </c>
      <c r="F403" s="48" t="s">
        <v>1031</v>
      </c>
      <c r="G403" s="48" t="s">
        <v>196</v>
      </c>
      <c r="H403" s="48" t="s">
        <v>357</v>
      </c>
      <c r="I403" s="47" t="s">
        <v>1032</v>
      </c>
      <c r="J403" s="47">
        <v>9</v>
      </c>
      <c r="K403" s="49" t="s">
        <v>719</v>
      </c>
      <c r="L403" s="49" t="s">
        <v>720</v>
      </c>
      <c r="M403" s="50" t="s">
        <v>738</v>
      </c>
      <c r="N403" s="50" t="s">
        <v>1750</v>
      </c>
      <c r="O403" s="51"/>
      <c r="P403" s="51"/>
      <c r="Q403" s="48"/>
      <c r="R403" s="1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1</v>
      </c>
      <c r="AB403" s="1">
        <f t="shared" si="154"/>
        <v>0</v>
      </c>
      <c r="AC403" s="1"/>
      <c r="AD403" s="1">
        <f t="shared" si="155"/>
        <v>0</v>
      </c>
      <c r="AE403" s="1">
        <f t="shared" si="156"/>
        <v>0</v>
      </c>
      <c r="AF403" s="1">
        <f t="shared" si="141"/>
        <v>0</v>
      </c>
      <c r="AG403" s="1">
        <f t="shared" si="142"/>
        <v>0</v>
      </c>
      <c r="AH403" s="1">
        <f t="shared" si="143"/>
        <v>0</v>
      </c>
      <c r="AI403" s="1">
        <f t="shared" si="144"/>
        <v>1</v>
      </c>
      <c r="AJ403" s="1"/>
    </row>
    <row r="404" spans="1:36" s="2" customFormat="1" ht="14.25" customHeight="1" x14ac:dyDescent="0.25">
      <c r="A404" s="34">
        <v>0</v>
      </c>
      <c r="B404" s="34">
        <v>2</v>
      </c>
      <c r="C404" s="34">
        <v>7</v>
      </c>
      <c r="D404" s="35" t="s">
        <v>1848</v>
      </c>
      <c r="E404" s="35" t="s">
        <v>1849</v>
      </c>
      <c r="F404" s="35" t="s">
        <v>1850</v>
      </c>
      <c r="G404" s="35" t="s">
        <v>209</v>
      </c>
      <c r="H404" s="35" t="s">
        <v>357</v>
      </c>
      <c r="I404" s="34" t="s">
        <v>30</v>
      </c>
      <c r="J404" s="34"/>
      <c r="K404" s="36" t="s">
        <v>710</v>
      </c>
      <c r="L404" s="36">
        <v>20</v>
      </c>
      <c r="M404" s="37" t="s">
        <v>1851</v>
      </c>
      <c r="N404" s="37" t="s">
        <v>1758</v>
      </c>
      <c r="O404" s="38">
        <v>1</v>
      </c>
      <c r="P404" s="38"/>
      <c r="Q404" s="35"/>
      <c r="R404" s="1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C404" s="1"/>
      <c r="AD404" s="1">
        <f t="shared" si="155"/>
        <v>0</v>
      </c>
      <c r="AE404" s="1">
        <f t="shared" si="156"/>
        <v>1</v>
      </c>
      <c r="AF404" s="1">
        <f t="shared" si="141"/>
        <v>0</v>
      </c>
      <c r="AG404" s="1">
        <f t="shared" si="142"/>
        <v>1</v>
      </c>
      <c r="AH404" s="1">
        <f t="shared" si="143"/>
        <v>0</v>
      </c>
      <c r="AI404" s="1">
        <f t="shared" si="144"/>
        <v>1</v>
      </c>
      <c r="AJ404" s="1"/>
    </row>
    <row r="405" spans="1:36" s="2" customFormat="1" ht="14.25" customHeight="1" x14ac:dyDescent="0.25">
      <c r="A405" s="52">
        <v>0</v>
      </c>
      <c r="B405" s="52">
        <v>2</v>
      </c>
      <c r="C405" s="52">
        <v>7</v>
      </c>
      <c r="D405" s="53" t="s">
        <v>1089</v>
      </c>
      <c r="E405" s="53" t="s">
        <v>549</v>
      </c>
      <c r="F405" s="53" t="s">
        <v>1070</v>
      </c>
      <c r="G405" s="53" t="s">
        <v>240</v>
      </c>
      <c r="H405" s="53" t="s">
        <v>357</v>
      </c>
      <c r="I405" s="52" t="s">
        <v>1071</v>
      </c>
      <c r="J405" s="52">
        <v>99</v>
      </c>
      <c r="K405" s="54" t="s">
        <v>962</v>
      </c>
      <c r="L405" s="54" t="s">
        <v>729</v>
      </c>
      <c r="M405" s="55" t="s">
        <v>1452</v>
      </c>
      <c r="N405" s="55" t="s">
        <v>1758</v>
      </c>
      <c r="O405" s="56">
        <v>1</v>
      </c>
      <c r="P405" s="56"/>
      <c r="Q405" s="53"/>
      <c r="R405" s="1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C405" s="1"/>
      <c r="AD405" s="1">
        <f t="shared" si="155"/>
        <v>0</v>
      </c>
      <c r="AE405" s="1">
        <f t="shared" si="156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1240</v>
      </c>
      <c r="E406" s="35" t="s">
        <v>158</v>
      </c>
      <c r="F406" s="35" t="s">
        <v>1241</v>
      </c>
      <c r="G406" s="35" t="s">
        <v>253</v>
      </c>
      <c r="H406" s="35" t="s">
        <v>357</v>
      </c>
      <c r="I406" s="34" t="s">
        <v>1242</v>
      </c>
      <c r="J406" s="34">
        <v>99</v>
      </c>
      <c r="K406" s="36" t="s">
        <v>720</v>
      </c>
      <c r="L406" s="36">
        <v>10</v>
      </c>
      <c r="M406" s="37" t="s">
        <v>1761</v>
      </c>
      <c r="N406" s="37" t="s">
        <v>1742</v>
      </c>
      <c r="O406" s="38">
        <v>1</v>
      </c>
      <c r="P406" s="38">
        <v>1</v>
      </c>
      <c r="Q406" s="35"/>
      <c r="R406" s="1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C406" s="1"/>
      <c r="AD406" s="1">
        <f t="shared" si="155"/>
        <v>1</v>
      </c>
      <c r="AE406" s="1">
        <f t="shared" si="156"/>
        <v>0</v>
      </c>
      <c r="AF406" s="1">
        <f t="shared" si="141"/>
        <v>1</v>
      </c>
      <c r="AG406" s="1">
        <f t="shared" si="142"/>
        <v>0</v>
      </c>
      <c r="AH406" s="1">
        <f t="shared" si="143"/>
        <v>1</v>
      </c>
      <c r="AI406" s="1">
        <f t="shared" si="144"/>
        <v>0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9" t="s">
        <v>1818</v>
      </c>
      <c r="E407" s="39" t="s">
        <v>28</v>
      </c>
      <c r="F407" s="39" t="s">
        <v>1819</v>
      </c>
      <c r="G407" s="39" t="s">
        <v>182</v>
      </c>
      <c r="H407" s="39" t="s">
        <v>357</v>
      </c>
      <c r="I407" s="40" t="s">
        <v>1820</v>
      </c>
      <c r="J407" s="34">
        <v>10</v>
      </c>
      <c r="K407" s="36" t="s">
        <v>710</v>
      </c>
      <c r="L407" s="36">
        <v>10</v>
      </c>
      <c r="M407" s="37"/>
      <c r="N407" s="37" t="s">
        <v>1742</v>
      </c>
      <c r="O407" s="38">
        <v>1</v>
      </c>
      <c r="P407" s="38">
        <v>1</v>
      </c>
      <c r="Q407" s="39"/>
      <c r="R407" s="1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1</v>
      </c>
      <c r="AC407" s="1"/>
      <c r="AD407" s="1">
        <f t="shared" si="155"/>
        <v>1</v>
      </c>
      <c r="AE407" s="1">
        <f t="shared" si="156"/>
        <v>0</v>
      </c>
      <c r="AF407" s="1">
        <f t="shared" si="141"/>
        <v>1</v>
      </c>
      <c r="AG407" s="1">
        <f t="shared" si="142"/>
        <v>0</v>
      </c>
      <c r="AH407" s="1">
        <f t="shared" si="143"/>
        <v>1</v>
      </c>
      <c r="AI407" s="1">
        <f t="shared" si="144"/>
        <v>0</v>
      </c>
      <c r="AJ407" s="1"/>
    </row>
    <row r="408" spans="1:36" s="2" customFormat="1" ht="14.25" customHeight="1" x14ac:dyDescent="0.25">
      <c r="A408" s="40">
        <v>0</v>
      </c>
      <c r="B408" s="40">
        <v>2</v>
      </c>
      <c r="C408" s="40">
        <v>7</v>
      </c>
      <c r="D408" s="39" t="s">
        <v>1600</v>
      </c>
      <c r="E408" s="39" t="s">
        <v>1666</v>
      </c>
      <c r="F408" s="39" t="s">
        <v>1601</v>
      </c>
      <c r="G408" s="39" t="s">
        <v>662</v>
      </c>
      <c r="H408" s="39" t="s">
        <v>357</v>
      </c>
      <c r="I408" s="40" t="s">
        <v>1602</v>
      </c>
      <c r="J408" s="40">
        <v>99</v>
      </c>
      <c r="K408" s="36" t="s">
        <v>720</v>
      </c>
      <c r="L408" s="36" t="s">
        <v>39</v>
      </c>
      <c r="M408" s="37" t="s">
        <v>39</v>
      </c>
      <c r="N408" s="37" t="s">
        <v>1742</v>
      </c>
      <c r="O408" s="38">
        <v>1</v>
      </c>
      <c r="P408" s="38">
        <v>1</v>
      </c>
      <c r="Q408" s="39"/>
      <c r="R408" s="1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C408" s="1"/>
      <c r="AD408" s="1">
        <f t="shared" si="155"/>
        <v>1</v>
      </c>
      <c r="AE408" s="1">
        <f t="shared" si="156"/>
        <v>0</v>
      </c>
      <c r="AF408" s="1">
        <f t="shared" si="141"/>
        <v>1</v>
      </c>
      <c r="AG408" s="1">
        <f t="shared" si="142"/>
        <v>0</v>
      </c>
      <c r="AH408" s="1">
        <f t="shared" si="143"/>
        <v>1</v>
      </c>
      <c r="AI408" s="1">
        <f t="shared" si="144"/>
        <v>0</v>
      </c>
      <c r="AJ408" s="1"/>
    </row>
    <row r="409" spans="1:36" s="2" customFormat="1" ht="14.25" customHeight="1" x14ac:dyDescent="0.25">
      <c r="A409" s="47">
        <v>0</v>
      </c>
      <c r="B409" s="47">
        <v>2</v>
      </c>
      <c r="C409" s="47">
        <v>7</v>
      </c>
      <c r="D409" s="48" t="s">
        <v>1552</v>
      </c>
      <c r="E409" s="48" t="s">
        <v>28</v>
      </c>
      <c r="F409" s="48" t="s">
        <v>1677</v>
      </c>
      <c r="G409" s="48" t="s">
        <v>290</v>
      </c>
      <c r="H409" s="48" t="s">
        <v>357</v>
      </c>
      <c r="I409" s="47" t="s">
        <v>1703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R409" s="1"/>
      <c r="S409" s="1">
        <f t="shared" si="145"/>
        <v>0</v>
      </c>
      <c r="T409" s="1">
        <f t="shared" si="146"/>
        <v>0</v>
      </c>
      <c r="U409" s="1">
        <f t="shared" si="147"/>
        <v>0</v>
      </c>
      <c r="V409" s="1">
        <f t="shared" si="148"/>
        <v>0</v>
      </c>
      <c r="W409" s="1">
        <f t="shared" si="149"/>
        <v>0</v>
      </c>
      <c r="X409" s="1">
        <f t="shared" si="150"/>
        <v>0</v>
      </c>
      <c r="Y409" s="1">
        <f t="shared" si="151"/>
        <v>0</v>
      </c>
      <c r="Z409" s="1">
        <f t="shared" si="152"/>
        <v>0</v>
      </c>
      <c r="AA409" s="1">
        <f t="shared" si="153"/>
        <v>0</v>
      </c>
      <c r="AB409" s="1">
        <f t="shared" si="154"/>
        <v>0</v>
      </c>
      <c r="AC409" s="1"/>
      <c r="AD409" s="1">
        <f t="shared" si="155"/>
        <v>0</v>
      </c>
      <c r="AE409" s="1">
        <f t="shared" si="156"/>
        <v>0</v>
      </c>
      <c r="AF409" s="1">
        <f t="shared" si="141"/>
        <v>0</v>
      </c>
      <c r="AG409" s="1">
        <f t="shared" si="142"/>
        <v>0</v>
      </c>
      <c r="AH409" s="1">
        <f t="shared" si="143"/>
        <v>0</v>
      </c>
      <c r="AI409" s="1">
        <f t="shared" si="144"/>
        <v>1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1342</v>
      </c>
      <c r="E410" s="48" t="s">
        <v>28</v>
      </c>
      <c r="F410" s="48" t="s">
        <v>577</v>
      </c>
      <c r="G410" s="48" t="s">
        <v>183</v>
      </c>
      <c r="H410" s="48" t="s">
        <v>357</v>
      </c>
      <c r="I410" s="47" t="s">
        <v>434</v>
      </c>
      <c r="J410" s="47">
        <v>7</v>
      </c>
      <c r="K410" s="49" t="s">
        <v>719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R410" s="1"/>
      <c r="S410" s="1">
        <f t="shared" si="145"/>
        <v>0</v>
      </c>
      <c r="T410" s="1">
        <f t="shared" si="146"/>
        <v>0</v>
      </c>
      <c r="U410" s="1">
        <f t="shared" si="147"/>
        <v>0</v>
      </c>
      <c r="V410" s="1">
        <f t="shared" si="148"/>
        <v>0</v>
      </c>
      <c r="W410" s="1">
        <f t="shared" si="149"/>
        <v>0</v>
      </c>
      <c r="X410" s="1">
        <f t="shared" si="150"/>
        <v>0</v>
      </c>
      <c r="Y410" s="1">
        <f t="shared" si="151"/>
        <v>1</v>
      </c>
      <c r="Z410" s="1">
        <f t="shared" si="152"/>
        <v>0</v>
      </c>
      <c r="AA410" s="1">
        <f t="shared" si="153"/>
        <v>0</v>
      </c>
      <c r="AB410" s="1">
        <f t="shared" si="154"/>
        <v>0</v>
      </c>
      <c r="AC410" s="1"/>
      <c r="AD410" s="1">
        <f t="shared" si="155"/>
        <v>0</v>
      </c>
      <c r="AE410" s="1">
        <f t="shared" si="156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  <c r="AJ410" s="1"/>
    </row>
    <row r="411" spans="1:36" s="2" customFormat="1" ht="14.25" customHeight="1" x14ac:dyDescent="0.25">
      <c r="A411" s="47">
        <v>0</v>
      </c>
      <c r="B411" s="47">
        <v>2</v>
      </c>
      <c r="C411" s="47">
        <v>7</v>
      </c>
      <c r="D411" s="48" t="s">
        <v>73</v>
      </c>
      <c r="E411" s="48" t="s">
        <v>28</v>
      </c>
      <c r="F411" s="68" t="s">
        <v>1890</v>
      </c>
      <c r="G411" s="48" t="s">
        <v>237</v>
      </c>
      <c r="H411" s="48" t="s">
        <v>357</v>
      </c>
      <c r="I411" s="47" t="s">
        <v>686</v>
      </c>
      <c r="J411" s="47">
        <v>99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R411" s="1"/>
      <c r="S411" s="1">
        <f t="shared" si="145"/>
        <v>0</v>
      </c>
      <c r="T411" s="1">
        <f t="shared" si="146"/>
        <v>0</v>
      </c>
      <c r="U411" s="1">
        <f t="shared" si="147"/>
        <v>0</v>
      </c>
      <c r="V411" s="1">
        <f t="shared" si="148"/>
        <v>0</v>
      </c>
      <c r="W411" s="1">
        <f t="shared" si="149"/>
        <v>0</v>
      </c>
      <c r="X411" s="1">
        <f t="shared" si="150"/>
        <v>0</v>
      </c>
      <c r="Y411" s="1">
        <f t="shared" si="151"/>
        <v>0</v>
      </c>
      <c r="Z411" s="1">
        <f t="shared" si="152"/>
        <v>0</v>
      </c>
      <c r="AA411" s="1">
        <f t="shared" si="153"/>
        <v>0</v>
      </c>
      <c r="AB411" s="1">
        <f t="shared" si="154"/>
        <v>0</v>
      </c>
      <c r="AC411" s="1"/>
      <c r="AD411" s="1">
        <f t="shared" si="155"/>
        <v>0</v>
      </c>
      <c r="AE411" s="1">
        <f t="shared" si="156"/>
        <v>0</v>
      </c>
      <c r="AF411" s="1">
        <f t="shared" si="141"/>
        <v>0</v>
      </c>
      <c r="AG411" s="1">
        <f t="shared" si="142"/>
        <v>0</v>
      </c>
      <c r="AH411" s="1">
        <f t="shared" si="143"/>
        <v>0</v>
      </c>
      <c r="AI411" s="1">
        <f t="shared" si="144"/>
        <v>1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73</v>
      </c>
      <c r="E412" s="48" t="s">
        <v>28</v>
      </c>
      <c r="F412" s="48" t="s">
        <v>264</v>
      </c>
      <c r="G412" s="48" t="s">
        <v>222</v>
      </c>
      <c r="H412" s="48" t="s">
        <v>357</v>
      </c>
      <c r="I412" s="47" t="s">
        <v>424</v>
      </c>
      <c r="J412" s="47">
        <v>8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R412" s="1"/>
      <c r="S412" s="1">
        <f t="shared" si="145"/>
        <v>0</v>
      </c>
      <c r="T412" s="1">
        <f t="shared" si="146"/>
        <v>0</v>
      </c>
      <c r="U412" s="1">
        <f t="shared" si="147"/>
        <v>0</v>
      </c>
      <c r="V412" s="1">
        <f t="shared" si="148"/>
        <v>0</v>
      </c>
      <c r="W412" s="1">
        <f t="shared" si="149"/>
        <v>0</v>
      </c>
      <c r="X412" s="1">
        <f t="shared" si="150"/>
        <v>0</v>
      </c>
      <c r="Y412" s="1">
        <f t="shared" si="151"/>
        <v>0</v>
      </c>
      <c r="Z412" s="1">
        <f t="shared" si="152"/>
        <v>1</v>
      </c>
      <c r="AA412" s="1">
        <f t="shared" si="153"/>
        <v>0</v>
      </c>
      <c r="AB412" s="1">
        <f t="shared" si="154"/>
        <v>0</v>
      </c>
      <c r="AC412" s="1"/>
      <c r="AD412" s="1">
        <f t="shared" si="155"/>
        <v>0</v>
      </c>
      <c r="AE412" s="1">
        <f t="shared" si="156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263</v>
      </c>
      <c r="G413" s="48" t="s">
        <v>180</v>
      </c>
      <c r="H413" s="48" t="s">
        <v>357</v>
      </c>
      <c r="I413" s="47" t="s">
        <v>423</v>
      </c>
      <c r="J413" s="47">
        <v>1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R413" s="1"/>
      <c r="S413" s="1">
        <f t="shared" si="145"/>
        <v>1</v>
      </c>
      <c r="T413" s="1">
        <f t="shared" si="146"/>
        <v>0</v>
      </c>
      <c r="U413" s="1">
        <f t="shared" si="147"/>
        <v>0</v>
      </c>
      <c r="V413" s="1">
        <f t="shared" si="148"/>
        <v>0</v>
      </c>
      <c r="W413" s="1">
        <f t="shared" si="149"/>
        <v>0</v>
      </c>
      <c r="X413" s="1">
        <f t="shared" si="150"/>
        <v>0</v>
      </c>
      <c r="Y413" s="1">
        <f t="shared" si="151"/>
        <v>0</v>
      </c>
      <c r="Z413" s="1">
        <f t="shared" si="152"/>
        <v>0</v>
      </c>
      <c r="AA413" s="1">
        <f t="shared" si="153"/>
        <v>0</v>
      </c>
      <c r="AB413" s="1">
        <f t="shared" si="154"/>
        <v>0</v>
      </c>
      <c r="AC413" s="1"/>
      <c r="AD413" s="1">
        <f t="shared" si="155"/>
        <v>0</v>
      </c>
      <c r="AE413" s="1">
        <f t="shared" si="156"/>
        <v>0</v>
      </c>
      <c r="AF413" s="1">
        <f t="shared" si="141"/>
        <v>0</v>
      </c>
      <c r="AG413" s="1">
        <f t="shared" si="142"/>
        <v>0</v>
      </c>
      <c r="AH413" s="1">
        <f t="shared" si="143"/>
        <v>0</v>
      </c>
      <c r="AI413" s="1">
        <f t="shared" si="144"/>
        <v>0</v>
      </c>
      <c r="AJ413" s="1"/>
    </row>
    <row r="414" spans="1:36" s="2" customFormat="1" ht="14.25" customHeight="1" x14ac:dyDescent="0.25">
      <c r="A414" s="15">
        <v>0</v>
      </c>
      <c r="B414" s="15">
        <v>2</v>
      </c>
      <c r="C414" s="15">
        <v>7</v>
      </c>
      <c r="D414" s="16" t="s">
        <v>785</v>
      </c>
      <c r="E414" s="16" t="s">
        <v>28</v>
      </c>
      <c r="F414" s="16" t="s">
        <v>786</v>
      </c>
      <c r="G414" s="16" t="s">
        <v>282</v>
      </c>
      <c r="H414" s="16" t="s">
        <v>357</v>
      </c>
      <c r="I414" s="15" t="s">
        <v>787</v>
      </c>
      <c r="J414" s="15">
        <v>99</v>
      </c>
      <c r="K414" s="10" t="s">
        <v>720</v>
      </c>
      <c r="L414" s="10" t="s">
        <v>720</v>
      </c>
      <c r="M414" s="19" t="s">
        <v>738</v>
      </c>
      <c r="N414" s="17"/>
      <c r="O414" s="1"/>
      <c r="P414" s="1"/>
      <c r="Q414" s="16"/>
      <c r="R414" s="1"/>
      <c r="S414" s="1">
        <f t="shared" si="145"/>
        <v>0</v>
      </c>
      <c r="T414" s="1">
        <f t="shared" si="146"/>
        <v>0</v>
      </c>
      <c r="U414" s="1">
        <f t="shared" si="147"/>
        <v>0</v>
      </c>
      <c r="V414" s="1">
        <f t="shared" si="148"/>
        <v>0</v>
      </c>
      <c r="W414" s="1">
        <f t="shared" si="149"/>
        <v>0</v>
      </c>
      <c r="X414" s="1">
        <f t="shared" si="150"/>
        <v>0</v>
      </c>
      <c r="Y414" s="1">
        <f t="shared" si="151"/>
        <v>0</v>
      </c>
      <c r="Z414" s="1">
        <f t="shared" si="152"/>
        <v>0</v>
      </c>
      <c r="AA414" s="1">
        <f t="shared" si="153"/>
        <v>0</v>
      </c>
      <c r="AB414" s="1">
        <f t="shared" si="154"/>
        <v>0</v>
      </c>
      <c r="AC414" s="1"/>
      <c r="AD414" s="1">
        <f t="shared" si="155"/>
        <v>0</v>
      </c>
      <c r="AE414" s="1">
        <f t="shared" si="156"/>
        <v>0</v>
      </c>
      <c r="AF414" s="1">
        <f t="shared" si="141"/>
        <v>0</v>
      </c>
      <c r="AG414" s="1">
        <f t="shared" si="142"/>
        <v>0</v>
      </c>
      <c r="AH414" s="1">
        <f t="shared" si="143"/>
        <v>0</v>
      </c>
      <c r="AI414" s="1">
        <f t="shared" si="144"/>
        <v>1</v>
      </c>
      <c r="AJ414" s="1"/>
    </row>
    <row r="415" spans="1:36" s="2" customFormat="1" ht="14.25" customHeight="1" x14ac:dyDescent="0.25">
      <c r="A415" s="15">
        <v>0</v>
      </c>
      <c r="B415" s="15">
        <v>2</v>
      </c>
      <c r="C415" s="15">
        <v>7</v>
      </c>
      <c r="D415" s="16" t="s">
        <v>86</v>
      </c>
      <c r="E415" s="16" t="s">
        <v>28</v>
      </c>
      <c r="F415" s="16" t="s">
        <v>281</v>
      </c>
      <c r="G415" s="16" t="s">
        <v>282</v>
      </c>
      <c r="H415" s="16" t="s">
        <v>357</v>
      </c>
      <c r="I415" s="15" t="s">
        <v>438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O415" s="1"/>
      <c r="P415" s="1"/>
      <c r="Q415" s="16"/>
      <c r="R415" s="1"/>
      <c r="S415" s="1">
        <f t="shared" si="145"/>
        <v>0</v>
      </c>
      <c r="T415" s="1">
        <f t="shared" si="146"/>
        <v>0</v>
      </c>
      <c r="U415" s="1">
        <f t="shared" si="147"/>
        <v>0</v>
      </c>
      <c r="V415" s="1">
        <f t="shared" si="148"/>
        <v>0</v>
      </c>
      <c r="W415" s="1">
        <f t="shared" si="149"/>
        <v>0</v>
      </c>
      <c r="X415" s="1">
        <f t="shared" si="150"/>
        <v>0</v>
      </c>
      <c r="Y415" s="1">
        <f t="shared" si="151"/>
        <v>0</v>
      </c>
      <c r="Z415" s="1">
        <f t="shared" si="152"/>
        <v>0</v>
      </c>
      <c r="AA415" s="1">
        <f t="shared" si="153"/>
        <v>0</v>
      </c>
      <c r="AB415" s="1">
        <f t="shared" si="154"/>
        <v>0</v>
      </c>
      <c r="AC415" s="1"/>
      <c r="AD415" s="1">
        <f t="shared" si="155"/>
        <v>0</v>
      </c>
      <c r="AE415" s="1">
        <f t="shared" si="156"/>
        <v>0</v>
      </c>
      <c r="AF415" s="1">
        <f t="shared" si="141"/>
        <v>0</v>
      </c>
      <c r="AG415" s="1">
        <f t="shared" si="142"/>
        <v>0</v>
      </c>
      <c r="AH415" s="1">
        <f t="shared" si="143"/>
        <v>0</v>
      </c>
      <c r="AI415" s="1">
        <f t="shared" si="144"/>
        <v>1</v>
      </c>
      <c r="AJ415" s="1"/>
    </row>
    <row r="416" spans="1:36" s="2" customFormat="1" ht="14.25" customHeight="1" x14ac:dyDescent="0.25">
      <c r="A416" s="47">
        <v>0</v>
      </c>
      <c r="B416" s="47">
        <v>2</v>
      </c>
      <c r="C416" s="47">
        <v>7</v>
      </c>
      <c r="D416" s="48" t="s">
        <v>558</v>
      </c>
      <c r="E416" s="48" t="s">
        <v>28</v>
      </c>
      <c r="F416" s="68" t="s">
        <v>1891</v>
      </c>
      <c r="G416" s="48" t="s">
        <v>561</v>
      </c>
      <c r="H416" s="48" t="s">
        <v>357</v>
      </c>
      <c r="I416" s="47" t="s">
        <v>562</v>
      </c>
      <c r="J416" s="47">
        <v>99</v>
      </c>
      <c r="K416" s="49" t="s">
        <v>720</v>
      </c>
      <c r="L416" s="49" t="s">
        <v>720</v>
      </c>
      <c r="M416" s="50" t="s">
        <v>738</v>
      </c>
      <c r="N416" s="50" t="s">
        <v>1817</v>
      </c>
      <c r="O416" s="51"/>
      <c r="P416" s="51"/>
      <c r="Q416" s="48"/>
      <c r="R416" s="1"/>
      <c r="S416" s="1">
        <f t="shared" si="145"/>
        <v>0</v>
      </c>
      <c r="T416" s="1">
        <f t="shared" si="146"/>
        <v>0</v>
      </c>
      <c r="U416" s="1">
        <f t="shared" si="147"/>
        <v>0</v>
      </c>
      <c r="V416" s="1">
        <f t="shared" si="148"/>
        <v>0</v>
      </c>
      <c r="W416" s="1">
        <f t="shared" si="149"/>
        <v>0</v>
      </c>
      <c r="X416" s="1">
        <f t="shared" si="150"/>
        <v>0</v>
      </c>
      <c r="Y416" s="1">
        <f t="shared" si="151"/>
        <v>0</v>
      </c>
      <c r="Z416" s="1">
        <f t="shared" si="152"/>
        <v>0</v>
      </c>
      <c r="AA416" s="1">
        <f t="shared" si="153"/>
        <v>0</v>
      </c>
      <c r="AB416" s="1">
        <f t="shared" si="154"/>
        <v>0</v>
      </c>
      <c r="AC416" s="1"/>
      <c r="AD416" s="1">
        <f t="shared" si="155"/>
        <v>0</v>
      </c>
      <c r="AE416" s="1">
        <f t="shared" si="156"/>
        <v>0</v>
      </c>
      <c r="AF416" s="1">
        <f t="shared" si="141"/>
        <v>0</v>
      </c>
      <c r="AG416" s="1">
        <f t="shared" si="142"/>
        <v>0</v>
      </c>
      <c r="AH416" s="1">
        <f t="shared" si="143"/>
        <v>0</v>
      </c>
      <c r="AI416" s="1">
        <f t="shared" si="144"/>
        <v>1</v>
      </c>
      <c r="AJ416" s="1"/>
    </row>
    <row r="417" spans="1:36" s="2" customFormat="1" ht="14.25" customHeight="1" x14ac:dyDescent="0.25">
      <c r="A417" s="47">
        <v>1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1892</v>
      </c>
      <c r="G417" s="48" t="s">
        <v>559</v>
      </c>
      <c r="H417" s="48" t="s">
        <v>357</v>
      </c>
      <c r="I417" s="47" t="s">
        <v>560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R417" s="1"/>
      <c r="S417" s="1">
        <f t="shared" si="145"/>
        <v>0</v>
      </c>
      <c r="T417" s="1">
        <f t="shared" si="146"/>
        <v>0</v>
      </c>
      <c r="U417" s="1">
        <f t="shared" si="147"/>
        <v>0</v>
      </c>
      <c r="V417" s="1">
        <f t="shared" si="148"/>
        <v>0</v>
      </c>
      <c r="W417" s="1">
        <f t="shared" si="149"/>
        <v>0</v>
      </c>
      <c r="X417" s="1">
        <f t="shared" si="150"/>
        <v>0</v>
      </c>
      <c r="Y417" s="1">
        <f t="shared" si="151"/>
        <v>0</v>
      </c>
      <c r="Z417" s="1">
        <f t="shared" si="152"/>
        <v>0</v>
      </c>
      <c r="AA417" s="1">
        <f t="shared" si="153"/>
        <v>0</v>
      </c>
      <c r="AB417" s="1">
        <f t="shared" si="154"/>
        <v>0</v>
      </c>
      <c r="AC417" s="1"/>
      <c r="AD417" s="1">
        <f t="shared" si="155"/>
        <v>0</v>
      </c>
      <c r="AE417" s="1">
        <f t="shared" si="156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0</v>
      </c>
      <c r="AJ417" s="1"/>
    </row>
    <row r="418" spans="1:36" s="2" customFormat="1" ht="14.25" customHeight="1" x14ac:dyDescent="0.25">
      <c r="A418" s="47">
        <v>0</v>
      </c>
      <c r="B418" s="47">
        <v>2</v>
      </c>
      <c r="C418" s="47">
        <v>7</v>
      </c>
      <c r="D418" s="48" t="s">
        <v>1199</v>
      </c>
      <c r="E418" s="48" t="s">
        <v>28</v>
      </c>
      <c r="F418" s="48" t="s">
        <v>1693</v>
      </c>
      <c r="G418" s="48" t="s">
        <v>237</v>
      </c>
      <c r="H418" s="48" t="s">
        <v>357</v>
      </c>
      <c r="I418" s="47" t="s">
        <v>1380</v>
      </c>
      <c r="J418" s="47">
        <v>99</v>
      </c>
      <c r="K418" s="49" t="s">
        <v>719</v>
      </c>
      <c r="L418" s="49" t="s">
        <v>720</v>
      </c>
      <c r="M418" s="50" t="s">
        <v>738</v>
      </c>
      <c r="N418" s="50" t="s">
        <v>1750</v>
      </c>
      <c r="O418" s="51"/>
      <c r="P418" s="51"/>
      <c r="Q418" s="48"/>
      <c r="R418" s="1"/>
      <c r="S418" s="1">
        <f t="shared" si="145"/>
        <v>0</v>
      </c>
      <c r="T418" s="1">
        <f t="shared" si="146"/>
        <v>0</v>
      </c>
      <c r="U418" s="1">
        <f t="shared" si="147"/>
        <v>0</v>
      </c>
      <c r="V418" s="1">
        <f t="shared" si="148"/>
        <v>0</v>
      </c>
      <c r="W418" s="1">
        <f t="shared" si="149"/>
        <v>0</v>
      </c>
      <c r="X418" s="1">
        <f t="shared" si="150"/>
        <v>0</v>
      </c>
      <c r="Y418" s="1">
        <f t="shared" si="151"/>
        <v>0</v>
      </c>
      <c r="Z418" s="1">
        <f t="shared" si="152"/>
        <v>0</v>
      </c>
      <c r="AA418" s="1">
        <f t="shared" si="153"/>
        <v>0</v>
      </c>
      <c r="AB418" s="1">
        <f t="shared" si="154"/>
        <v>0</v>
      </c>
      <c r="AC418" s="1"/>
      <c r="AD418" s="1">
        <f t="shared" si="155"/>
        <v>0</v>
      </c>
      <c r="AE418" s="1">
        <f t="shared" si="156"/>
        <v>0</v>
      </c>
      <c r="AF418" s="1">
        <f t="shared" si="141"/>
        <v>0</v>
      </c>
      <c r="AG418" s="1">
        <f t="shared" si="142"/>
        <v>0</v>
      </c>
      <c r="AH418" s="1">
        <f t="shared" si="143"/>
        <v>0</v>
      </c>
      <c r="AI418" s="1">
        <f t="shared" si="144"/>
        <v>1</v>
      </c>
      <c r="AJ418" s="1"/>
    </row>
    <row r="419" spans="1:36" s="2" customFormat="1" ht="14.25" customHeight="1" x14ac:dyDescent="0.25">
      <c r="A419" s="47">
        <v>1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1694</v>
      </c>
      <c r="G419" s="48" t="s">
        <v>1366</v>
      </c>
      <c r="H419" s="48" t="s">
        <v>357</v>
      </c>
      <c r="I419" s="47" t="s">
        <v>1381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R419" s="1"/>
      <c r="S419" s="1">
        <f t="shared" si="145"/>
        <v>0</v>
      </c>
      <c r="T419" s="1">
        <f t="shared" si="146"/>
        <v>0</v>
      </c>
      <c r="U419" s="1">
        <f t="shared" si="147"/>
        <v>0</v>
      </c>
      <c r="V419" s="1">
        <f t="shared" si="148"/>
        <v>0</v>
      </c>
      <c r="W419" s="1">
        <f t="shared" si="149"/>
        <v>0</v>
      </c>
      <c r="X419" s="1">
        <f t="shared" si="150"/>
        <v>0</v>
      </c>
      <c r="Y419" s="1">
        <f t="shared" si="151"/>
        <v>0</v>
      </c>
      <c r="Z419" s="1">
        <f t="shared" si="152"/>
        <v>0</v>
      </c>
      <c r="AA419" s="1">
        <f t="shared" si="153"/>
        <v>0</v>
      </c>
      <c r="AB419" s="1">
        <f t="shared" si="154"/>
        <v>0</v>
      </c>
      <c r="AC419" s="1"/>
      <c r="AD419" s="1">
        <f t="shared" si="155"/>
        <v>0</v>
      </c>
      <c r="AE419" s="1">
        <f t="shared" si="156"/>
        <v>0</v>
      </c>
      <c r="AF419" s="1">
        <f t="shared" si="141"/>
        <v>0</v>
      </c>
      <c r="AG419" s="1">
        <f t="shared" si="142"/>
        <v>0</v>
      </c>
      <c r="AH419" s="1">
        <f t="shared" si="143"/>
        <v>0</v>
      </c>
      <c r="AI419" s="1">
        <f t="shared" si="144"/>
        <v>0</v>
      </c>
      <c r="AJ419" s="1"/>
    </row>
    <row r="420" spans="1:36" s="2" customFormat="1" ht="14.25" customHeight="1" x14ac:dyDescent="0.25">
      <c r="A420" s="34">
        <v>0</v>
      </c>
      <c r="B420" s="34">
        <v>2</v>
      </c>
      <c r="C420" s="34">
        <v>7</v>
      </c>
      <c r="D420" s="35" t="s">
        <v>1267</v>
      </c>
      <c r="E420" s="35" t="s">
        <v>28</v>
      </c>
      <c r="F420" s="35" t="s">
        <v>1266</v>
      </c>
      <c r="G420" s="35" t="s">
        <v>1251</v>
      </c>
      <c r="H420" s="35" t="s">
        <v>357</v>
      </c>
      <c r="I420" s="34" t="s">
        <v>1268</v>
      </c>
      <c r="J420" s="34">
        <v>99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R420" s="1"/>
      <c r="S420" s="1">
        <f t="shared" si="145"/>
        <v>0</v>
      </c>
      <c r="T420" s="1">
        <f t="shared" si="146"/>
        <v>0</v>
      </c>
      <c r="U420" s="1">
        <f t="shared" si="147"/>
        <v>0</v>
      </c>
      <c r="V420" s="1">
        <f t="shared" si="148"/>
        <v>0</v>
      </c>
      <c r="W420" s="1">
        <f t="shared" si="149"/>
        <v>0</v>
      </c>
      <c r="X420" s="1">
        <f t="shared" si="150"/>
        <v>0</v>
      </c>
      <c r="Y420" s="1">
        <f t="shared" si="151"/>
        <v>0</v>
      </c>
      <c r="Z420" s="1">
        <f t="shared" si="152"/>
        <v>0</v>
      </c>
      <c r="AA420" s="1">
        <f t="shared" si="153"/>
        <v>0</v>
      </c>
      <c r="AB420" s="1">
        <f t="shared" si="154"/>
        <v>0</v>
      </c>
      <c r="AC420" s="1"/>
      <c r="AD420" s="1">
        <f t="shared" si="155"/>
        <v>0</v>
      </c>
      <c r="AE420" s="1">
        <f t="shared" si="156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  <c r="AJ420" s="1"/>
    </row>
    <row r="421" spans="1:36" s="2" customFormat="1" ht="14.25" customHeight="1" x14ac:dyDescent="0.25">
      <c r="A421" s="34">
        <v>1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1265</v>
      </c>
      <c r="G421" s="35" t="s">
        <v>39</v>
      </c>
      <c r="H421" s="35" t="s">
        <v>357</v>
      </c>
      <c r="I421" s="34" t="s">
        <v>1269</v>
      </c>
      <c r="J421" s="34">
        <v>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R421" s="1"/>
      <c r="S421" s="1">
        <f t="shared" si="145"/>
        <v>0</v>
      </c>
      <c r="T421" s="1">
        <f t="shared" si="146"/>
        <v>0</v>
      </c>
      <c r="U421" s="1">
        <f t="shared" si="147"/>
        <v>0</v>
      </c>
      <c r="V421" s="1">
        <f t="shared" si="148"/>
        <v>0</v>
      </c>
      <c r="W421" s="1">
        <f t="shared" si="149"/>
        <v>0</v>
      </c>
      <c r="X421" s="1">
        <f t="shared" si="150"/>
        <v>0</v>
      </c>
      <c r="Y421" s="1">
        <f t="shared" si="151"/>
        <v>0</v>
      </c>
      <c r="Z421" s="1">
        <f t="shared" si="152"/>
        <v>0</v>
      </c>
      <c r="AA421" s="1">
        <f t="shared" si="153"/>
        <v>1</v>
      </c>
      <c r="AB421" s="1">
        <f t="shared" si="154"/>
        <v>0</v>
      </c>
      <c r="AC421" s="1"/>
      <c r="AD421" s="1">
        <f t="shared" si="155"/>
        <v>0</v>
      </c>
      <c r="AE421" s="1">
        <f t="shared" si="156"/>
        <v>1</v>
      </c>
      <c r="AF421" s="1">
        <f t="shared" si="141"/>
        <v>0</v>
      </c>
      <c r="AG421" s="1">
        <f t="shared" si="142"/>
        <v>0</v>
      </c>
      <c r="AH421" s="1">
        <f t="shared" si="143"/>
        <v>0</v>
      </c>
      <c r="AI421" s="1">
        <f t="shared" si="144"/>
        <v>0</v>
      </c>
      <c r="AJ421" s="1"/>
    </row>
    <row r="422" spans="1:36" s="2" customFormat="1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9" t="s">
        <v>1839</v>
      </c>
      <c r="G422" s="39" t="s">
        <v>260</v>
      </c>
      <c r="H422" s="35" t="s">
        <v>357</v>
      </c>
      <c r="I422" s="40" t="s">
        <v>30</v>
      </c>
      <c r="J422" s="34">
        <v>8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R422" s="1"/>
      <c r="S422" s="1">
        <f t="shared" si="145"/>
        <v>0</v>
      </c>
      <c r="T422" s="1">
        <f t="shared" si="146"/>
        <v>0</v>
      </c>
      <c r="U422" s="1">
        <f t="shared" si="147"/>
        <v>0</v>
      </c>
      <c r="V422" s="1">
        <f t="shared" si="148"/>
        <v>0</v>
      </c>
      <c r="W422" s="1">
        <f t="shared" si="149"/>
        <v>0</v>
      </c>
      <c r="X422" s="1">
        <f t="shared" si="150"/>
        <v>0</v>
      </c>
      <c r="Y422" s="1">
        <f t="shared" si="151"/>
        <v>0</v>
      </c>
      <c r="Z422" s="1">
        <f t="shared" si="152"/>
        <v>1</v>
      </c>
      <c r="AA422" s="1">
        <f t="shared" si="153"/>
        <v>0</v>
      </c>
      <c r="AB422" s="1">
        <f t="shared" si="154"/>
        <v>0</v>
      </c>
      <c r="AC422" s="1"/>
      <c r="AD422" s="1">
        <f t="shared" si="155"/>
        <v>0</v>
      </c>
      <c r="AE422" s="1">
        <f t="shared" si="156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  <c r="AJ422" s="1"/>
    </row>
    <row r="423" spans="1:36" s="2" customFormat="1" ht="14.25" customHeight="1" x14ac:dyDescent="0.25">
      <c r="A423" s="34">
        <v>0</v>
      </c>
      <c r="B423" s="34">
        <v>2</v>
      </c>
      <c r="C423" s="34">
        <v>7</v>
      </c>
      <c r="D423" s="35" t="s">
        <v>51</v>
      </c>
      <c r="E423" s="35" t="s">
        <v>28</v>
      </c>
      <c r="F423" s="35" t="s">
        <v>680</v>
      </c>
      <c r="G423" s="35" t="s">
        <v>187</v>
      </c>
      <c r="H423" s="35" t="s">
        <v>357</v>
      </c>
      <c r="I423" s="34" t="s">
        <v>393</v>
      </c>
      <c r="J423" s="34">
        <v>99</v>
      </c>
      <c r="K423" s="36" t="s">
        <v>719</v>
      </c>
      <c r="L423" s="36" t="s">
        <v>720</v>
      </c>
      <c r="M423" s="37" t="s">
        <v>738</v>
      </c>
      <c r="N423" s="37" t="s">
        <v>1764</v>
      </c>
      <c r="O423" s="38">
        <v>1</v>
      </c>
      <c r="P423" s="38"/>
      <c r="Q423" s="35"/>
      <c r="R423" s="1"/>
      <c r="S423" s="1">
        <f t="shared" si="145"/>
        <v>0</v>
      </c>
      <c r="T423" s="1">
        <f t="shared" si="146"/>
        <v>0</v>
      </c>
      <c r="U423" s="1">
        <f t="shared" si="147"/>
        <v>0</v>
      </c>
      <c r="V423" s="1">
        <f t="shared" si="148"/>
        <v>0</v>
      </c>
      <c r="W423" s="1">
        <f t="shared" si="149"/>
        <v>0</v>
      </c>
      <c r="X423" s="1">
        <f t="shared" si="150"/>
        <v>0</v>
      </c>
      <c r="Y423" s="1">
        <f t="shared" si="151"/>
        <v>0</v>
      </c>
      <c r="Z423" s="1">
        <f t="shared" si="152"/>
        <v>0</v>
      </c>
      <c r="AA423" s="1">
        <f t="shared" si="153"/>
        <v>0</v>
      </c>
      <c r="AB423" s="1">
        <f t="shared" si="154"/>
        <v>0</v>
      </c>
      <c r="AC423" s="1"/>
      <c r="AD423" s="1">
        <f t="shared" si="155"/>
        <v>0</v>
      </c>
      <c r="AE423" s="1">
        <f t="shared" si="156"/>
        <v>1</v>
      </c>
      <c r="AF423" s="1">
        <f t="shared" si="141"/>
        <v>0</v>
      </c>
      <c r="AG423" s="1">
        <f t="shared" si="142"/>
        <v>1</v>
      </c>
      <c r="AH423" s="1">
        <f t="shared" si="143"/>
        <v>0</v>
      </c>
      <c r="AI423" s="1">
        <f t="shared" si="144"/>
        <v>1</v>
      </c>
      <c r="AJ423" s="1"/>
    </row>
    <row r="424" spans="1:36" s="2" customFormat="1" ht="14.25" customHeight="1" x14ac:dyDescent="0.25">
      <c r="A424" s="47">
        <v>0</v>
      </c>
      <c r="B424" s="47">
        <v>2</v>
      </c>
      <c r="C424" s="47">
        <v>7</v>
      </c>
      <c r="D424" s="48" t="s">
        <v>1091</v>
      </c>
      <c r="E424" s="48" t="s">
        <v>28</v>
      </c>
      <c r="F424" s="48" t="s">
        <v>1005</v>
      </c>
      <c r="G424" s="48" t="s">
        <v>242</v>
      </c>
      <c r="H424" s="48" t="s">
        <v>357</v>
      </c>
      <c r="I424" s="47" t="s">
        <v>1116</v>
      </c>
      <c r="J424" s="47">
        <v>1</v>
      </c>
      <c r="K424" s="49" t="s">
        <v>719</v>
      </c>
      <c r="L424" s="49" t="s">
        <v>720</v>
      </c>
      <c r="M424" s="50" t="s">
        <v>738</v>
      </c>
      <c r="N424" s="50" t="s">
        <v>1750</v>
      </c>
      <c r="O424" s="51"/>
      <c r="P424" s="51"/>
      <c r="Q424" s="48"/>
      <c r="R424" s="1"/>
      <c r="S424" s="1">
        <f t="shared" si="145"/>
        <v>1</v>
      </c>
      <c r="T424" s="1">
        <f t="shared" si="146"/>
        <v>0</v>
      </c>
      <c r="U424" s="1">
        <f t="shared" si="147"/>
        <v>0</v>
      </c>
      <c r="V424" s="1">
        <f t="shared" si="148"/>
        <v>0</v>
      </c>
      <c r="W424" s="1">
        <f t="shared" si="149"/>
        <v>0</v>
      </c>
      <c r="X424" s="1">
        <f t="shared" si="150"/>
        <v>0</v>
      </c>
      <c r="Y424" s="1">
        <f t="shared" si="151"/>
        <v>0</v>
      </c>
      <c r="Z424" s="1">
        <f t="shared" si="152"/>
        <v>0</v>
      </c>
      <c r="AA424" s="1">
        <f t="shared" si="153"/>
        <v>0</v>
      </c>
      <c r="AB424" s="1">
        <f t="shared" si="154"/>
        <v>0</v>
      </c>
      <c r="AC424" s="1"/>
      <c r="AD424" s="1">
        <f t="shared" si="155"/>
        <v>0</v>
      </c>
      <c r="AE424" s="1">
        <f t="shared" si="156"/>
        <v>0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1</v>
      </c>
      <c r="AJ424" s="1"/>
    </row>
    <row r="425" spans="1:36" s="2" customFormat="1" ht="14.25" customHeight="1" x14ac:dyDescent="0.25">
      <c r="A425" s="47">
        <v>1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1006</v>
      </c>
      <c r="G425" s="48" t="s">
        <v>1109</v>
      </c>
      <c r="H425" s="48" t="s">
        <v>357</v>
      </c>
      <c r="I425" s="47" t="s">
        <v>1117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R425" s="1"/>
      <c r="S425" s="1">
        <f t="shared" si="145"/>
        <v>1</v>
      </c>
      <c r="T425" s="1">
        <f t="shared" si="146"/>
        <v>0</v>
      </c>
      <c r="U425" s="1">
        <f t="shared" si="147"/>
        <v>0</v>
      </c>
      <c r="V425" s="1">
        <f t="shared" si="148"/>
        <v>0</v>
      </c>
      <c r="W425" s="1">
        <f t="shared" si="149"/>
        <v>0</v>
      </c>
      <c r="X425" s="1">
        <f t="shared" si="150"/>
        <v>0</v>
      </c>
      <c r="Y425" s="1">
        <f t="shared" si="151"/>
        <v>0</v>
      </c>
      <c r="Z425" s="1">
        <f t="shared" si="152"/>
        <v>0</v>
      </c>
      <c r="AA425" s="1">
        <f t="shared" si="153"/>
        <v>0</v>
      </c>
      <c r="AB425" s="1">
        <f t="shared" si="154"/>
        <v>0</v>
      </c>
      <c r="AC425" s="1"/>
      <c r="AD425" s="1">
        <f t="shared" si="155"/>
        <v>0</v>
      </c>
      <c r="AE425" s="1">
        <f t="shared" si="156"/>
        <v>0</v>
      </c>
      <c r="AF425" s="1">
        <f t="shared" si="141"/>
        <v>0</v>
      </c>
      <c r="AG425" s="1">
        <f t="shared" si="142"/>
        <v>0</v>
      </c>
      <c r="AH425" s="1">
        <f t="shared" si="143"/>
        <v>0</v>
      </c>
      <c r="AI425" s="1">
        <f t="shared" si="144"/>
        <v>0</v>
      </c>
      <c r="AJ425" s="1"/>
    </row>
    <row r="426" spans="1:36" s="2" customFormat="1" ht="14.25" customHeight="1" x14ac:dyDescent="0.25">
      <c r="A426" s="34">
        <v>0</v>
      </c>
      <c r="B426" s="34">
        <v>2</v>
      </c>
      <c r="C426" s="34">
        <v>7</v>
      </c>
      <c r="D426" s="35" t="s">
        <v>1653</v>
      </c>
      <c r="E426" s="35" t="s">
        <v>158</v>
      </c>
      <c r="F426" s="35" t="s">
        <v>1506</v>
      </c>
      <c r="G426" s="35" t="s">
        <v>1507</v>
      </c>
      <c r="H426" s="35" t="s">
        <v>357</v>
      </c>
      <c r="I426" s="34" t="s">
        <v>1508</v>
      </c>
      <c r="J426" s="34">
        <v>99</v>
      </c>
      <c r="K426" s="36" t="s">
        <v>962</v>
      </c>
      <c r="L426" s="36" t="s">
        <v>729</v>
      </c>
      <c r="M426" s="37" t="s">
        <v>739</v>
      </c>
      <c r="N426" s="37" t="s">
        <v>1763</v>
      </c>
      <c r="O426" s="38">
        <v>1</v>
      </c>
      <c r="P426" s="38"/>
      <c r="Q426" s="35"/>
      <c r="R426" s="1"/>
      <c r="S426" s="1">
        <f t="shared" si="145"/>
        <v>0</v>
      </c>
      <c r="T426" s="1">
        <f t="shared" si="146"/>
        <v>0</v>
      </c>
      <c r="U426" s="1">
        <f t="shared" si="147"/>
        <v>0</v>
      </c>
      <c r="V426" s="1">
        <f t="shared" si="148"/>
        <v>0</v>
      </c>
      <c r="W426" s="1">
        <f t="shared" si="149"/>
        <v>0</v>
      </c>
      <c r="X426" s="1">
        <f t="shared" si="150"/>
        <v>0</v>
      </c>
      <c r="Y426" s="1">
        <f t="shared" si="151"/>
        <v>0</v>
      </c>
      <c r="Z426" s="1">
        <f t="shared" si="152"/>
        <v>0</v>
      </c>
      <c r="AA426" s="1">
        <f t="shared" si="153"/>
        <v>0</v>
      </c>
      <c r="AB426" s="1">
        <f t="shared" si="154"/>
        <v>0</v>
      </c>
      <c r="AC426" s="1"/>
      <c r="AD426" s="1">
        <f t="shared" si="155"/>
        <v>0</v>
      </c>
      <c r="AE426" s="1">
        <f t="shared" si="156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  <c r="AJ426" s="1"/>
    </row>
    <row r="427" spans="1:36" s="2" customFormat="1" ht="14.25" customHeight="1" x14ac:dyDescent="0.25">
      <c r="A427" s="47">
        <v>0</v>
      </c>
      <c r="B427" s="47">
        <v>2</v>
      </c>
      <c r="C427" s="47">
        <v>7</v>
      </c>
      <c r="D427" s="48" t="s">
        <v>83</v>
      </c>
      <c r="E427" s="48" t="s">
        <v>28</v>
      </c>
      <c r="F427" s="48" t="s">
        <v>277</v>
      </c>
      <c r="G427" s="48" t="s">
        <v>278</v>
      </c>
      <c r="H427" s="48" t="s">
        <v>357</v>
      </c>
      <c r="I427" s="47" t="s">
        <v>433</v>
      </c>
      <c r="J427" s="47">
        <v>7</v>
      </c>
      <c r="K427" s="49" t="s">
        <v>962</v>
      </c>
      <c r="L427" s="49" t="s">
        <v>961</v>
      </c>
      <c r="M427" s="50" t="s">
        <v>975</v>
      </c>
      <c r="N427" s="50" t="s">
        <v>1824</v>
      </c>
      <c r="O427" s="51"/>
      <c r="P427" s="51"/>
      <c r="Q427" s="48"/>
      <c r="R427" s="1"/>
      <c r="S427" s="1">
        <f t="shared" si="145"/>
        <v>0</v>
      </c>
      <c r="T427" s="1">
        <f t="shared" si="146"/>
        <v>0</v>
      </c>
      <c r="U427" s="1">
        <f t="shared" si="147"/>
        <v>0</v>
      </c>
      <c r="V427" s="1">
        <f t="shared" si="148"/>
        <v>0</v>
      </c>
      <c r="W427" s="1">
        <f t="shared" si="149"/>
        <v>0</v>
      </c>
      <c r="X427" s="1">
        <f t="shared" si="150"/>
        <v>0</v>
      </c>
      <c r="Y427" s="1">
        <f t="shared" si="151"/>
        <v>1</v>
      </c>
      <c r="Z427" s="1">
        <f t="shared" si="152"/>
        <v>0</v>
      </c>
      <c r="AA427" s="1">
        <f t="shared" si="153"/>
        <v>0</v>
      </c>
      <c r="AB427" s="1">
        <f t="shared" si="154"/>
        <v>0</v>
      </c>
      <c r="AC427" s="1"/>
      <c r="AD427" s="1">
        <f t="shared" si="155"/>
        <v>0</v>
      </c>
      <c r="AE427" s="1">
        <f t="shared" si="156"/>
        <v>0</v>
      </c>
      <c r="AF427" s="1">
        <f t="shared" si="141"/>
        <v>0</v>
      </c>
      <c r="AG427" s="1">
        <f t="shared" si="142"/>
        <v>0</v>
      </c>
      <c r="AH427" s="1">
        <f t="shared" si="143"/>
        <v>0</v>
      </c>
      <c r="AI427" s="1">
        <f t="shared" si="144"/>
        <v>1</v>
      </c>
      <c r="AJ427" s="1"/>
    </row>
    <row r="428" spans="1:36" s="2" customFormat="1" ht="14.25" customHeight="1" x14ac:dyDescent="0.25">
      <c r="A428" s="47">
        <v>0</v>
      </c>
      <c r="B428" s="47">
        <v>2</v>
      </c>
      <c r="C428" s="47">
        <v>7</v>
      </c>
      <c r="D428" s="48" t="s">
        <v>77</v>
      </c>
      <c r="E428" s="48" t="s">
        <v>28</v>
      </c>
      <c r="F428" s="48" t="s">
        <v>1696</v>
      </c>
      <c r="G428" s="48" t="s">
        <v>192</v>
      </c>
      <c r="H428" s="48" t="s">
        <v>357</v>
      </c>
      <c r="I428" s="47" t="s">
        <v>427</v>
      </c>
      <c r="J428" s="47">
        <v>99</v>
      </c>
      <c r="K428" s="49" t="s">
        <v>961</v>
      </c>
      <c r="L428" s="49" t="s">
        <v>720</v>
      </c>
      <c r="M428" s="50" t="s">
        <v>738</v>
      </c>
      <c r="N428" s="50" t="s">
        <v>1750</v>
      </c>
      <c r="O428" s="51"/>
      <c r="P428" s="51"/>
      <c r="Q428" s="48"/>
      <c r="R428" s="1"/>
      <c r="S428" s="1">
        <f t="shared" si="145"/>
        <v>0</v>
      </c>
      <c r="T428" s="1">
        <f t="shared" si="146"/>
        <v>0</v>
      </c>
      <c r="U428" s="1">
        <f t="shared" si="147"/>
        <v>0</v>
      </c>
      <c r="V428" s="1">
        <f t="shared" si="148"/>
        <v>0</v>
      </c>
      <c r="W428" s="1">
        <f t="shared" si="149"/>
        <v>0</v>
      </c>
      <c r="X428" s="1">
        <f t="shared" si="150"/>
        <v>0</v>
      </c>
      <c r="Y428" s="1">
        <f t="shared" si="151"/>
        <v>0</v>
      </c>
      <c r="Z428" s="1">
        <f t="shared" si="152"/>
        <v>0</v>
      </c>
      <c r="AA428" s="1">
        <f t="shared" si="153"/>
        <v>0</v>
      </c>
      <c r="AB428" s="1">
        <f t="shared" si="154"/>
        <v>0</v>
      </c>
      <c r="AC428" s="1"/>
      <c r="AD428" s="1">
        <f t="shared" si="155"/>
        <v>0</v>
      </c>
      <c r="AE428" s="1">
        <f t="shared" si="156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1</v>
      </c>
      <c r="AJ428" s="1"/>
    </row>
    <row r="429" spans="1:36" s="2" customFormat="1" ht="14.25" customHeight="1" x14ac:dyDescent="0.25">
      <c r="A429" s="34">
        <v>0</v>
      </c>
      <c r="B429" s="34">
        <v>2</v>
      </c>
      <c r="C429" s="34">
        <v>7</v>
      </c>
      <c r="D429" s="35" t="s">
        <v>1655</v>
      </c>
      <c r="E429" s="35" t="s">
        <v>165</v>
      </c>
      <c r="F429" s="35" t="s">
        <v>246</v>
      </c>
      <c r="G429" s="35" t="s">
        <v>220</v>
      </c>
      <c r="H429" s="35" t="s">
        <v>357</v>
      </c>
      <c r="I429" s="34" t="s">
        <v>411</v>
      </c>
      <c r="J429" s="34">
        <v>99</v>
      </c>
      <c r="K429" s="36" t="s">
        <v>720</v>
      </c>
      <c r="L429" s="36" t="s">
        <v>729</v>
      </c>
      <c r="M429" s="37" t="s">
        <v>739</v>
      </c>
      <c r="N429" s="37" t="s">
        <v>1742</v>
      </c>
      <c r="O429" s="38">
        <v>1</v>
      </c>
      <c r="P429" s="38">
        <v>1</v>
      </c>
      <c r="Q429" s="35"/>
      <c r="R429" s="1"/>
      <c r="S429" s="1">
        <f t="shared" si="145"/>
        <v>0</v>
      </c>
      <c r="T429" s="1">
        <f t="shared" si="146"/>
        <v>0</v>
      </c>
      <c r="U429" s="1">
        <f t="shared" si="147"/>
        <v>0</v>
      </c>
      <c r="V429" s="1">
        <f t="shared" si="148"/>
        <v>0</v>
      </c>
      <c r="W429" s="1">
        <f t="shared" si="149"/>
        <v>0</v>
      </c>
      <c r="X429" s="1">
        <f t="shared" si="150"/>
        <v>0</v>
      </c>
      <c r="Y429" s="1">
        <f t="shared" si="151"/>
        <v>0</v>
      </c>
      <c r="Z429" s="1">
        <f t="shared" si="152"/>
        <v>0</v>
      </c>
      <c r="AA429" s="1">
        <f t="shared" si="153"/>
        <v>0</v>
      </c>
      <c r="AB429" s="1">
        <f t="shared" si="154"/>
        <v>0</v>
      </c>
      <c r="AC429" s="1"/>
      <c r="AD429" s="1">
        <f t="shared" si="155"/>
        <v>1</v>
      </c>
      <c r="AE429" s="1">
        <f t="shared" si="156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  <c r="AJ429" s="1"/>
    </row>
    <row r="430" spans="1:36" s="2" customFormat="1" ht="14.25" customHeight="1" x14ac:dyDescent="0.25">
      <c r="A430" s="34">
        <v>0</v>
      </c>
      <c r="B430" s="34">
        <v>2</v>
      </c>
      <c r="C430" s="34">
        <v>7</v>
      </c>
      <c r="D430" s="35" t="s">
        <v>1553</v>
      </c>
      <c r="E430" s="35" t="s">
        <v>158</v>
      </c>
      <c r="F430" s="35" t="s">
        <v>1554</v>
      </c>
      <c r="G430" s="35" t="s">
        <v>39</v>
      </c>
      <c r="H430" s="35" t="s">
        <v>357</v>
      </c>
      <c r="I430" s="34" t="s">
        <v>1555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1763</v>
      </c>
      <c r="O430" s="38">
        <v>1</v>
      </c>
      <c r="P430" s="38"/>
      <c r="Q430" s="35"/>
      <c r="R430" s="1"/>
      <c r="S430" s="1">
        <f t="shared" si="145"/>
        <v>0</v>
      </c>
      <c r="T430" s="1">
        <f t="shared" si="146"/>
        <v>0</v>
      </c>
      <c r="U430" s="1">
        <f t="shared" si="147"/>
        <v>0</v>
      </c>
      <c r="V430" s="1">
        <f t="shared" si="148"/>
        <v>0</v>
      </c>
      <c r="W430" s="1">
        <f t="shared" si="149"/>
        <v>0</v>
      </c>
      <c r="X430" s="1">
        <f t="shared" si="150"/>
        <v>0</v>
      </c>
      <c r="Y430" s="1">
        <f t="shared" si="151"/>
        <v>0</v>
      </c>
      <c r="Z430" s="1">
        <f t="shared" si="152"/>
        <v>0</v>
      </c>
      <c r="AA430" s="1">
        <f t="shared" si="153"/>
        <v>0</v>
      </c>
      <c r="AB430" s="1">
        <f t="shared" si="154"/>
        <v>0</v>
      </c>
      <c r="AC430" s="1"/>
      <c r="AD430" s="1">
        <f t="shared" si="155"/>
        <v>0</v>
      </c>
      <c r="AE430" s="1">
        <f t="shared" si="156"/>
        <v>1</v>
      </c>
      <c r="AF430" s="1">
        <f t="shared" si="141"/>
        <v>0</v>
      </c>
      <c r="AG430" s="1">
        <f t="shared" si="142"/>
        <v>1</v>
      </c>
      <c r="AH430" s="1">
        <f t="shared" si="143"/>
        <v>0</v>
      </c>
      <c r="AI430" s="1">
        <f t="shared" si="144"/>
        <v>1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1276</v>
      </c>
      <c r="E431" s="48" t="s">
        <v>1539</v>
      </c>
      <c r="F431" s="48" t="s">
        <v>1369</v>
      </c>
      <c r="G431" s="48" t="s">
        <v>188</v>
      </c>
      <c r="H431" s="48" t="s">
        <v>357</v>
      </c>
      <c r="I431" s="47" t="s">
        <v>1382</v>
      </c>
      <c r="J431" s="47">
        <v>1</v>
      </c>
      <c r="K431" s="49" t="s">
        <v>720</v>
      </c>
      <c r="L431" s="49" t="s">
        <v>723</v>
      </c>
      <c r="M431" s="50" t="s">
        <v>1453</v>
      </c>
      <c r="N431" s="50" t="s">
        <v>1750</v>
      </c>
      <c r="O431" s="51"/>
      <c r="P431" s="51"/>
      <c r="Q431" s="48"/>
      <c r="R431" s="1"/>
      <c r="S431" s="1">
        <f t="shared" si="145"/>
        <v>1</v>
      </c>
      <c r="T431" s="1">
        <f t="shared" si="146"/>
        <v>0</v>
      </c>
      <c r="U431" s="1">
        <f t="shared" si="147"/>
        <v>0</v>
      </c>
      <c r="V431" s="1">
        <f t="shared" si="148"/>
        <v>0</v>
      </c>
      <c r="W431" s="1">
        <f t="shared" si="149"/>
        <v>0</v>
      </c>
      <c r="X431" s="1">
        <f t="shared" si="150"/>
        <v>0</v>
      </c>
      <c r="Y431" s="1">
        <f t="shared" si="151"/>
        <v>0</v>
      </c>
      <c r="Z431" s="1">
        <f t="shared" si="152"/>
        <v>0</v>
      </c>
      <c r="AA431" s="1">
        <f t="shared" si="153"/>
        <v>0</v>
      </c>
      <c r="AB431" s="1">
        <f t="shared" si="154"/>
        <v>0</v>
      </c>
      <c r="AC431" s="1"/>
      <c r="AD431" s="1">
        <f t="shared" si="155"/>
        <v>0</v>
      </c>
      <c r="AE431" s="1">
        <f t="shared" si="156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1</v>
      </c>
      <c r="AJ431" s="1"/>
    </row>
    <row r="432" spans="1:36" s="2" customFormat="1" ht="14.25" customHeight="1" x14ac:dyDescent="0.25">
      <c r="A432" s="34">
        <v>0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981</v>
      </c>
      <c r="G432" s="35" t="s">
        <v>1111</v>
      </c>
      <c r="H432" s="35" t="s">
        <v>357</v>
      </c>
      <c r="I432" s="34" t="s">
        <v>1118</v>
      </c>
      <c r="J432" s="34">
        <v>99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R432" s="1"/>
      <c r="S432" s="1">
        <f t="shared" si="145"/>
        <v>0</v>
      </c>
      <c r="T432" s="1">
        <f t="shared" si="146"/>
        <v>0</v>
      </c>
      <c r="U432" s="1">
        <f t="shared" si="147"/>
        <v>0</v>
      </c>
      <c r="V432" s="1">
        <f t="shared" si="148"/>
        <v>0</v>
      </c>
      <c r="W432" s="1">
        <f t="shared" si="149"/>
        <v>0</v>
      </c>
      <c r="X432" s="1">
        <f t="shared" si="150"/>
        <v>0</v>
      </c>
      <c r="Y432" s="1">
        <f t="shared" si="151"/>
        <v>0</v>
      </c>
      <c r="Z432" s="1">
        <f t="shared" si="152"/>
        <v>0</v>
      </c>
      <c r="AA432" s="1">
        <f t="shared" si="153"/>
        <v>0</v>
      </c>
      <c r="AB432" s="1">
        <f t="shared" si="154"/>
        <v>0</v>
      </c>
      <c r="AC432" s="1"/>
      <c r="AD432" s="1">
        <f t="shared" si="155"/>
        <v>0</v>
      </c>
      <c r="AE432" s="1">
        <f t="shared" si="156"/>
        <v>1</v>
      </c>
      <c r="AF432" s="1">
        <f t="shared" si="141"/>
        <v>0</v>
      </c>
      <c r="AG432" s="1">
        <f t="shared" si="142"/>
        <v>1</v>
      </c>
      <c r="AH432" s="1">
        <f t="shared" si="143"/>
        <v>0</v>
      </c>
      <c r="AI432" s="1">
        <f t="shared" si="144"/>
        <v>1</v>
      </c>
      <c r="AJ432" s="1"/>
    </row>
    <row r="433" spans="1:36" s="2" customFormat="1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247</v>
      </c>
      <c r="G433" s="35" t="s">
        <v>226</v>
      </c>
      <c r="H433" s="35" t="s">
        <v>357</v>
      </c>
      <c r="I433" s="34" t="s">
        <v>412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R433" s="1"/>
      <c r="S433" s="1">
        <f t="shared" si="145"/>
        <v>0</v>
      </c>
      <c r="T433" s="1">
        <f t="shared" si="146"/>
        <v>0</v>
      </c>
      <c r="U433" s="1">
        <f t="shared" si="147"/>
        <v>0</v>
      </c>
      <c r="V433" s="1">
        <f t="shared" si="148"/>
        <v>0</v>
      </c>
      <c r="W433" s="1">
        <f t="shared" si="149"/>
        <v>0</v>
      </c>
      <c r="X433" s="1">
        <f t="shared" si="150"/>
        <v>0</v>
      </c>
      <c r="Y433" s="1">
        <f t="shared" si="151"/>
        <v>0</v>
      </c>
      <c r="Z433" s="1">
        <f t="shared" si="152"/>
        <v>0</v>
      </c>
      <c r="AA433" s="1">
        <f t="shared" si="153"/>
        <v>0</v>
      </c>
      <c r="AB433" s="1">
        <f t="shared" si="154"/>
        <v>0</v>
      </c>
      <c r="AC433" s="1"/>
      <c r="AD433" s="1">
        <f t="shared" si="155"/>
        <v>0</v>
      </c>
      <c r="AE433" s="1">
        <f t="shared" si="156"/>
        <v>1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0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248</v>
      </c>
      <c r="G434" s="35" t="s">
        <v>222</v>
      </c>
      <c r="H434" s="35" t="s">
        <v>357</v>
      </c>
      <c r="I434" s="34" t="s">
        <v>413</v>
      </c>
      <c r="J434" s="34">
        <v>8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R434" s="1"/>
      <c r="S434" s="1">
        <f t="shared" si="145"/>
        <v>0</v>
      </c>
      <c r="T434" s="1">
        <f t="shared" si="146"/>
        <v>0</v>
      </c>
      <c r="U434" s="1">
        <f t="shared" si="147"/>
        <v>0</v>
      </c>
      <c r="V434" s="1">
        <f t="shared" si="148"/>
        <v>0</v>
      </c>
      <c r="W434" s="1">
        <f t="shared" si="149"/>
        <v>0</v>
      </c>
      <c r="X434" s="1">
        <f t="shared" si="150"/>
        <v>0</v>
      </c>
      <c r="Y434" s="1">
        <f t="shared" si="151"/>
        <v>0</v>
      </c>
      <c r="Z434" s="1">
        <f t="shared" si="152"/>
        <v>1</v>
      </c>
      <c r="AA434" s="1">
        <f t="shared" si="153"/>
        <v>0</v>
      </c>
      <c r="AB434" s="1">
        <f t="shared" si="154"/>
        <v>0</v>
      </c>
      <c r="AC434" s="1"/>
      <c r="AD434" s="1">
        <f t="shared" si="155"/>
        <v>0</v>
      </c>
      <c r="AE434" s="1">
        <f t="shared" si="156"/>
        <v>1</v>
      </c>
      <c r="AF434" s="1">
        <f t="shared" si="141"/>
        <v>0</v>
      </c>
      <c r="AG434" s="1">
        <f t="shared" si="142"/>
        <v>0</v>
      </c>
      <c r="AH434" s="1">
        <f t="shared" si="143"/>
        <v>0</v>
      </c>
      <c r="AI434" s="1">
        <f t="shared" si="144"/>
        <v>0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1041</v>
      </c>
      <c r="G435" s="35" t="s">
        <v>39</v>
      </c>
      <c r="H435" s="35" t="s">
        <v>357</v>
      </c>
      <c r="I435" s="34" t="s">
        <v>1042</v>
      </c>
      <c r="J435" s="34">
        <v>1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R435" s="1"/>
      <c r="S435" s="1">
        <f t="shared" si="145"/>
        <v>1</v>
      </c>
      <c r="T435" s="1">
        <f t="shared" si="146"/>
        <v>0</v>
      </c>
      <c r="U435" s="1">
        <f t="shared" si="147"/>
        <v>0</v>
      </c>
      <c r="V435" s="1">
        <f t="shared" si="148"/>
        <v>0</v>
      </c>
      <c r="W435" s="1">
        <f t="shared" si="149"/>
        <v>0</v>
      </c>
      <c r="X435" s="1">
        <f t="shared" si="150"/>
        <v>0</v>
      </c>
      <c r="Y435" s="1">
        <f t="shared" si="151"/>
        <v>0</v>
      </c>
      <c r="Z435" s="1">
        <f t="shared" si="152"/>
        <v>0</v>
      </c>
      <c r="AA435" s="1">
        <f t="shared" si="153"/>
        <v>0</v>
      </c>
      <c r="AB435" s="1">
        <f t="shared" si="154"/>
        <v>0</v>
      </c>
      <c r="AC435" s="1"/>
      <c r="AD435" s="1">
        <f t="shared" si="155"/>
        <v>0</v>
      </c>
      <c r="AE435" s="1">
        <f t="shared" si="156"/>
        <v>1</v>
      </c>
      <c r="AF435" s="1">
        <f t="shared" si="141"/>
        <v>0</v>
      </c>
      <c r="AG435" s="1">
        <f t="shared" si="142"/>
        <v>0</v>
      </c>
      <c r="AH435" s="1">
        <f t="shared" si="143"/>
        <v>0</v>
      </c>
      <c r="AI435" s="1">
        <f t="shared" si="144"/>
        <v>0</v>
      </c>
      <c r="AJ435" s="1"/>
    </row>
    <row r="436" spans="1:36" s="2" customFormat="1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1043</v>
      </c>
      <c r="G436" s="35" t="s">
        <v>305</v>
      </c>
      <c r="H436" s="35" t="s">
        <v>357</v>
      </c>
      <c r="I436" s="34" t="s">
        <v>1044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R436" s="1"/>
      <c r="S436" s="1">
        <f t="shared" si="145"/>
        <v>1</v>
      </c>
      <c r="T436" s="1">
        <f t="shared" si="146"/>
        <v>0</v>
      </c>
      <c r="U436" s="1">
        <f t="shared" si="147"/>
        <v>0</v>
      </c>
      <c r="V436" s="1">
        <f t="shared" si="148"/>
        <v>0</v>
      </c>
      <c r="W436" s="1">
        <f t="shared" si="149"/>
        <v>0</v>
      </c>
      <c r="X436" s="1">
        <f t="shared" si="150"/>
        <v>0</v>
      </c>
      <c r="Y436" s="1">
        <f t="shared" si="151"/>
        <v>0</v>
      </c>
      <c r="Z436" s="1">
        <f t="shared" si="152"/>
        <v>0</v>
      </c>
      <c r="AA436" s="1">
        <f t="shared" si="153"/>
        <v>0</v>
      </c>
      <c r="AB436" s="1">
        <f t="shared" si="154"/>
        <v>0</v>
      </c>
      <c r="AC436" s="1"/>
      <c r="AD436" s="1">
        <f t="shared" si="155"/>
        <v>0</v>
      </c>
      <c r="AE436" s="1">
        <f t="shared" si="156"/>
        <v>1</v>
      </c>
      <c r="AF436" s="1">
        <f t="shared" si="141"/>
        <v>0</v>
      </c>
      <c r="AG436" s="1">
        <f t="shared" si="142"/>
        <v>0</v>
      </c>
      <c r="AH436" s="1">
        <f t="shared" si="143"/>
        <v>0</v>
      </c>
      <c r="AI436" s="1">
        <f t="shared" si="144"/>
        <v>0</v>
      </c>
      <c r="AJ436" s="1"/>
    </row>
    <row r="437" spans="1:36" s="2" customFormat="1" ht="14.25" customHeight="1" x14ac:dyDescent="0.25">
      <c r="A437" s="47">
        <v>0</v>
      </c>
      <c r="B437" s="47">
        <v>2</v>
      </c>
      <c r="C437" s="47">
        <v>7</v>
      </c>
      <c r="D437" s="48" t="s">
        <v>1588</v>
      </c>
      <c r="E437" s="48" t="s">
        <v>158</v>
      </c>
      <c r="F437" s="48" t="s">
        <v>1589</v>
      </c>
      <c r="G437" s="48" t="s">
        <v>209</v>
      </c>
      <c r="H437" s="48" t="s">
        <v>357</v>
      </c>
      <c r="I437" s="47" t="s">
        <v>1590</v>
      </c>
      <c r="J437" s="47">
        <v>99</v>
      </c>
      <c r="K437" s="49" t="s">
        <v>719</v>
      </c>
      <c r="L437" s="49" t="s">
        <v>729</v>
      </c>
      <c r="M437" s="50" t="s">
        <v>739</v>
      </c>
      <c r="N437" s="50" t="s">
        <v>1762</v>
      </c>
      <c r="O437" s="51"/>
      <c r="P437" s="51"/>
      <c r="Q437" s="48"/>
      <c r="R437" s="1"/>
      <c r="S437" s="1">
        <f t="shared" si="145"/>
        <v>0</v>
      </c>
      <c r="T437" s="1">
        <f t="shared" si="146"/>
        <v>0</v>
      </c>
      <c r="U437" s="1">
        <f t="shared" si="147"/>
        <v>0</v>
      </c>
      <c r="V437" s="1">
        <f t="shared" si="148"/>
        <v>0</v>
      </c>
      <c r="W437" s="1">
        <f t="shared" si="149"/>
        <v>0</v>
      </c>
      <c r="X437" s="1">
        <f t="shared" si="150"/>
        <v>0</v>
      </c>
      <c r="Y437" s="1">
        <f t="shared" si="151"/>
        <v>0</v>
      </c>
      <c r="Z437" s="1">
        <f t="shared" si="152"/>
        <v>0</v>
      </c>
      <c r="AA437" s="1">
        <f t="shared" si="153"/>
        <v>0</v>
      </c>
      <c r="AB437" s="1">
        <f t="shared" si="154"/>
        <v>0</v>
      </c>
      <c r="AC437" s="1"/>
      <c r="AD437" s="1">
        <f t="shared" si="155"/>
        <v>0</v>
      </c>
      <c r="AE437" s="1">
        <f t="shared" si="156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1</v>
      </c>
      <c r="AJ437" s="1"/>
    </row>
    <row r="438" spans="1:36" s="2" customFormat="1" ht="14.25" customHeight="1" x14ac:dyDescent="0.25">
      <c r="A438" s="47">
        <v>0</v>
      </c>
      <c r="B438" s="47">
        <v>2</v>
      </c>
      <c r="C438" s="47">
        <v>7</v>
      </c>
      <c r="D438" s="48" t="s">
        <v>1142</v>
      </c>
      <c r="E438" s="48" t="s">
        <v>28</v>
      </c>
      <c r="F438" s="48" t="s">
        <v>1143</v>
      </c>
      <c r="G438" s="48" t="s">
        <v>222</v>
      </c>
      <c r="H438" s="48" t="s">
        <v>357</v>
      </c>
      <c r="I438" s="47" t="s">
        <v>1144</v>
      </c>
      <c r="J438" s="47">
        <v>8</v>
      </c>
      <c r="K438" s="49" t="s">
        <v>962</v>
      </c>
      <c r="L438" s="49" t="s">
        <v>720</v>
      </c>
      <c r="M438" s="50" t="s">
        <v>738</v>
      </c>
      <c r="N438" s="50" t="s">
        <v>1817</v>
      </c>
      <c r="O438" s="51"/>
      <c r="P438" s="51"/>
      <c r="Q438" s="48"/>
      <c r="R438" s="1"/>
      <c r="S438" s="1">
        <f t="shared" si="145"/>
        <v>0</v>
      </c>
      <c r="T438" s="1">
        <f t="shared" si="146"/>
        <v>0</v>
      </c>
      <c r="U438" s="1">
        <f t="shared" si="147"/>
        <v>0</v>
      </c>
      <c r="V438" s="1">
        <f t="shared" si="148"/>
        <v>0</v>
      </c>
      <c r="W438" s="1">
        <f t="shared" si="149"/>
        <v>0</v>
      </c>
      <c r="X438" s="1">
        <f t="shared" si="150"/>
        <v>0</v>
      </c>
      <c r="Y438" s="1">
        <f t="shared" si="151"/>
        <v>0</v>
      </c>
      <c r="Z438" s="1">
        <f t="shared" si="152"/>
        <v>1</v>
      </c>
      <c r="AA438" s="1">
        <f t="shared" si="153"/>
        <v>0</v>
      </c>
      <c r="AB438" s="1">
        <f t="shared" si="154"/>
        <v>0</v>
      </c>
      <c r="AC438" s="1"/>
      <c r="AD438" s="1">
        <f t="shared" si="155"/>
        <v>0</v>
      </c>
      <c r="AE438" s="1">
        <f t="shared" si="156"/>
        <v>0</v>
      </c>
      <c r="AF438" s="1">
        <f t="shared" si="141"/>
        <v>0</v>
      </c>
      <c r="AG438" s="1">
        <f t="shared" si="142"/>
        <v>0</v>
      </c>
      <c r="AH438" s="1">
        <f t="shared" si="143"/>
        <v>0</v>
      </c>
      <c r="AI438" s="1">
        <f t="shared" si="144"/>
        <v>1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74</v>
      </c>
      <c r="E439" s="48" t="s">
        <v>28</v>
      </c>
      <c r="F439" s="48" t="s">
        <v>267</v>
      </c>
      <c r="G439" s="48" t="s">
        <v>196</v>
      </c>
      <c r="H439" s="48" t="s">
        <v>357</v>
      </c>
      <c r="I439" s="47" t="s">
        <v>425</v>
      </c>
      <c r="J439" s="47">
        <v>9</v>
      </c>
      <c r="K439" s="49" t="s">
        <v>719</v>
      </c>
      <c r="L439" s="49" t="s">
        <v>720</v>
      </c>
      <c r="M439" s="50" t="s">
        <v>738</v>
      </c>
      <c r="N439" s="50" t="s">
        <v>1750</v>
      </c>
      <c r="O439" s="51"/>
      <c r="P439" s="51"/>
      <c r="Q439" s="48"/>
      <c r="R439" s="1"/>
      <c r="S439" s="1">
        <f t="shared" si="145"/>
        <v>0</v>
      </c>
      <c r="T439" s="1">
        <f t="shared" si="146"/>
        <v>0</v>
      </c>
      <c r="U439" s="1">
        <f t="shared" si="147"/>
        <v>0</v>
      </c>
      <c r="V439" s="1">
        <f t="shared" si="148"/>
        <v>0</v>
      </c>
      <c r="W439" s="1">
        <f t="shared" si="149"/>
        <v>0</v>
      </c>
      <c r="X439" s="1">
        <f t="shared" si="150"/>
        <v>0</v>
      </c>
      <c r="Y439" s="1">
        <f t="shared" si="151"/>
        <v>0</v>
      </c>
      <c r="Z439" s="1">
        <f t="shared" si="152"/>
        <v>0</v>
      </c>
      <c r="AA439" s="1">
        <f t="shared" si="153"/>
        <v>1</v>
      </c>
      <c r="AB439" s="1">
        <f t="shared" si="154"/>
        <v>0</v>
      </c>
      <c r="AC439" s="1"/>
      <c r="AD439" s="1">
        <f t="shared" si="155"/>
        <v>0</v>
      </c>
      <c r="AE439" s="1">
        <f t="shared" si="156"/>
        <v>0</v>
      </c>
      <c r="AF439" s="1">
        <f t="shared" si="141"/>
        <v>0</v>
      </c>
      <c r="AG439" s="1">
        <f t="shared" si="142"/>
        <v>0</v>
      </c>
      <c r="AH439" s="1">
        <f t="shared" si="143"/>
        <v>0</v>
      </c>
      <c r="AI439" s="1">
        <f t="shared" si="144"/>
        <v>1</v>
      </c>
      <c r="AJ439" s="1"/>
    </row>
    <row r="440" spans="1:36" s="2" customFormat="1" ht="14.25" customHeight="1" x14ac:dyDescent="0.25">
      <c r="A440" s="34">
        <v>0</v>
      </c>
      <c r="B440" s="34">
        <v>2</v>
      </c>
      <c r="C440" s="34">
        <v>7</v>
      </c>
      <c r="D440" s="35" t="s">
        <v>59</v>
      </c>
      <c r="E440" s="35" t="s">
        <v>165</v>
      </c>
      <c r="F440" s="35" t="s">
        <v>227</v>
      </c>
      <c r="G440" s="35" t="s">
        <v>228</v>
      </c>
      <c r="H440" s="35" t="s">
        <v>357</v>
      </c>
      <c r="I440" s="34" t="s">
        <v>401</v>
      </c>
      <c r="J440" s="34">
        <v>99</v>
      </c>
      <c r="K440" s="36" t="s">
        <v>720</v>
      </c>
      <c r="L440" s="36" t="s">
        <v>729</v>
      </c>
      <c r="M440" s="37" t="s">
        <v>739</v>
      </c>
      <c r="N440" s="37" t="s">
        <v>1765</v>
      </c>
      <c r="O440" s="38">
        <v>1</v>
      </c>
      <c r="P440" s="38"/>
      <c r="Q440" s="35"/>
      <c r="R440" s="1"/>
      <c r="S440" s="1">
        <f t="shared" si="145"/>
        <v>0</v>
      </c>
      <c r="T440" s="1">
        <f t="shared" si="146"/>
        <v>0</v>
      </c>
      <c r="U440" s="1">
        <f t="shared" si="147"/>
        <v>0</v>
      </c>
      <c r="V440" s="1">
        <f t="shared" si="148"/>
        <v>0</v>
      </c>
      <c r="W440" s="1">
        <f t="shared" si="149"/>
        <v>0</v>
      </c>
      <c r="X440" s="1">
        <f t="shared" si="150"/>
        <v>0</v>
      </c>
      <c r="Y440" s="1">
        <f t="shared" si="151"/>
        <v>0</v>
      </c>
      <c r="Z440" s="1">
        <f t="shared" si="152"/>
        <v>0</v>
      </c>
      <c r="AA440" s="1">
        <f t="shared" si="153"/>
        <v>0</v>
      </c>
      <c r="AB440" s="1">
        <f t="shared" si="154"/>
        <v>0</v>
      </c>
      <c r="AC440" s="1"/>
      <c r="AD440" s="1">
        <f t="shared" si="155"/>
        <v>0</v>
      </c>
      <c r="AE440" s="1">
        <f t="shared" si="156"/>
        <v>1</v>
      </c>
      <c r="AF440" s="1">
        <f t="shared" si="141"/>
        <v>0</v>
      </c>
      <c r="AG440" s="1">
        <f t="shared" si="142"/>
        <v>1</v>
      </c>
      <c r="AH440" s="1">
        <f t="shared" si="143"/>
        <v>0</v>
      </c>
      <c r="AI440" s="1">
        <f t="shared" si="144"/>
        <v>1</v>
      </c>
      <c r="AJ440" s="1"/>
    </row>
    <row r="441" spans="1:36" s="2" customFormat="1" ht="14.25" customHeight="1" x14ac:dyDescent="0.25">
      <c r="A441" s="34">
        <v>0</v>
      </c>
      <c r="B441" s="34">
        <v>2</v>
      </c>
      <c r="C441" s="34">
        <v>7</v>
      </c>
      <c r="D441" s="35" t="s">
        <v>1085</v>
      </c>
      <c r="E441" s="35" t="s">
        <v>158</v>
      </c>
      <c r="F441" s="35" t="s">
        <v>1086</v>
      </c>
      <c r="G441" s="35" t="s">
        <v>222</v>
      </c>
      <c r="H441" s="35" t="s">
        <v>357</v>
      </c>
      <c r="I441" s="34" t="s">
        <v>1087</v>
      </c>
      <c r="J441" s="34">
        <v>8</v>
      </c>
      <c r="K441" s="36" t="s">
        <v>719</v>
      </c>
      <c r="L441" s="36" t="s">
        <v>729</v>
      </c>
      <c r="M441" s="37" t="s">
        <v>739</v>
      </c>
      <c r="N441" s="37" t="s">
        <v>1763</v>
      </c>
      <c r="O441" s="38">
        <v>1</v>
      </c>
      <c r="P441" s="38"/>
      <c r="Q441" s="35"/>
      <c r="R441" s="1"/>
      <c r="S441" s="1">
        <f t="shared" si="145"/>
        <v>0</v>
      </c>
      <c r="T441" s="1">
        <f t="shared" si="146"/>
        <v>0</v>
      </c>
      <c r="U441" s="1">
        <f t="shared" si="147"/>
        <v>0</v>
      </c>
      <c r="V441" s="1">
        <f t="shared" si="148"/>
        <v>0</v>
      </c>
      <c r="W441" s="1">
        <f t="shared" si="149"/>
        <v>0</v>
      </c>
      <c r="X441" s="1">
        <f t="shared" si="150"/>
        <v>0</v>
      </c>
      <c r="Y441" s="1">
        <f t="shared" si="151"/>
        <v>0</v>
      </c>
      <c r="Z441" s="1">
        <f t="shared" si="152"/>
        <v>1</v>
      </c>
      <c r="AA441" s="1">
        <f t="shared" si="153"/>
        <v>0</v>
      </c>
      <c r="AB441" s="1">
        <f t="shared" si="154"/>
        <v>0</v>
      </c>
      <c r="AC441" s="1"/>
      <c r="AD441" s="1">
        <f t="shared" si="155"/>
        <v>0</v>
      </c>
      <c r="AE441" s="1">
        <f t="shared" si="156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82</v>
      </c>
      <c r="E442" s="35" t="s">
        <v>158</v>
      </c>
      <c r="F442" s="35" t="s">
        <v>276</v>
      </c>
      <c r="G442" s="35" t="s">
        <v>256</v>
      </c>
      <c r="H442" s="35" t="s">
        <v>357</v>
      </c>
      <c r="I442" s="34" t="s">
        <v>432</v>
      </c>
      <c r="J442" s="34">
        <v>99</v>
      </c>
      <c r="K442" s="36" t="s">
        <v>720</v>
      </c>
      <c r="L442" s="36" t="s">
        <v>740</v>
      </c>
      <c r="M442" s="37" t="s">
        <v>741</v>
      </c>
      <c r="N442" s="37" t="s">
        <v>1771</v>
      </c>
      <c r="O442" s="38">
        <v>1</v>
      </c>
      <c r="P442" s="38"/>
      <c r="Q442" s="35"/>
      <c r="R442" s="1"/>
      <c r="S442" s="1">
        <f t="shared" si="145"/>
        <v>0</v>
      </c>
      <c r="T442" s="1">
        <f t="shared" si="146"/>
        <v>0</v>
      </c>
      <c r="U442" s="1">
        <f t="shared" si="147"/>
        <v>0</v>
      </c>
      <c r="V442" s="1">
        <f t="shared" si="148"/>
        <v>0</v>
      </c>
      <c r="W442" s="1">
        <f t="shared" si="149"/>
        <v>0</v>
      </c>
      <c r="X442" s="1">
        <f t="shared" si="150"/>
        <v>0</v>
      </c>
      <c r="Y442" s="1">
        <f t="shared" si="151"/>
        <v>0</v>
      </c>
      <c r="Z442" s="1">
        <f t="shared" si="152"/>
        <v>0</v>
      </c>
      <c r="AA442" s="1">
        <f t="shared" si="153"/>
        <v>0</v>
      </c>
      <c r="AB442" s="1">
        <f t="shared" si="154"/>
        <v>0</v>
      </c>
      <c r="AC442" s="1"/>
      <c r="AD442" s="1">
        <f t="shared" si="155"/>
        <v>0</v>
      </c>
      <c r="AE442" s="1">
        <f t="shared" si="156"/>
        <v>1</v>
      </c>
      <c r="AF442" s="1">
        <f t="shared" si="141"/>
        <v>0</v>
      </c>
      <c r="AG442" s="1">
        <f t="shared" si="142"/>
        <v>1</v>
      </c>
      <c r="AH442" s="1">
        <f t="shared" si="143"/>
        <v>0</v>
      </c>
      <c r="AI442" s="1">
        <f t="shared" si="144"/>
        <v>1</v>
      </c>
      <c r="AJ442" s="1"/>
    </row>
    <row r="443" spans="1:36" s="2" customFormat="1" ht="14.25" customHeight="1" x14ac:dyDescent="0.25">
      <c r="A443" s="40">
        <v>0</v>
      </c>
      <c r="B443" s="40">
        <v>2</v>
      </c>
      <c r="C443" s="40">
        <v>7</v>
      </c>
      <c r="D443" s="39" t="s">
        <v>1790</v>
      </c>
      <c r="E443" s="39" t="s">
        <v>1791</v>
      </c>
      <c r="F443" s="39" t="s">
        <v>1792</v>
      </c>
      <c r="G443" s="39" t="s">
        <v>192</v>
      </c>
      <c r="H443" s="39" t="s">
        <v>357</v>
      </c>
      <c r="I443" s="40"/>
      <c r="J443" s="40"/>
      <c r="K443" s="36" t="s">
        <v>710</v>
      </c>
      <c r="L443" s="36"/>
      <c r="M443" s="37"/>
      <c r="N443" s="37" t="s">
        <v>1742</v>
      </c>
      <c r="O443" s="38">
        <v>1</v>
      </c>
      <c r="P443" s="38">
        <v>1</v>
      </c>
      <c r="Q443" s="39"/>
      <c r="R443" s="1"/>
      <c r="S443" s="1">
        <f t="shared" si="145"/>
        <v>0</v>
      </c>
      <c r="T443" s="1">
        <f t="shared" si="146"/>
        <v>0</v>
      </c>
      <c r="U443" s="1">
        <f t="shared" si="147"/>
        <v>0</v>
      </c>
      <c r="V443" s="1">
        <f t="shared" si="148"/>
        <v>0</v>
      </c>
      <c r="W443" s="1">
        <f t="shared" si="149"/>
        <v>0</v>
      </c>
      <c r="X443" s="1">
        <f t="shared" si="150"/>
        <v>0</v>
      </c>
      <c r="Y443" s="1">
        <f t="shared" si="151"/>
        <v>0</v>
      </c>
      <c r="Z443" s="1">
        <f t="shared" si="152"/>
        <v>0</v>
      </c>
      <c r="AA443" s="1">
        <f t="shared" si="153"/>
        <v>0</v>
      </c>
      <c r="AB443" s="1">
        <f t="shared" si="154"/>
        <v>0</v>
      </c>
      <c r="AC443" s="1"/>
      <c r="AD443" s="1">
        <f t="shared" si="155"/>
        <v>1</v>
      </c>
      <c r="AE443" s="1">
        <f t="shared" si="156"/>
        <v>0</v>
      </c>
      <c r="AF443" s="1">
        <f t="shared" si="141"/>
        <v>1</v>
      </c>
      <c r="AG443" s="1">
        <f t="shared" si="142"/>
        <v>0</v>
      </c>
      <c r="AH443" s="1">
        <f t="shared" si="143"/>
        <v>1</v>
      </c>
      <c r="AI443" s="1">
        <f t="shared" si="144"/>
        <v>0</v>
      </c>
      <c r="AJ443" s="1"/>
    </row>
    <row r="444" spans="1:36" s="2" customFormat="1" ht="14.25" customHeight="1" x14ac:dyDescent="0.25">
      <c r="A444" s="47">
        <v>0</v>
      </c>
      <c r="B444" s="47">
        <v>2</v>
      </c>
      <c r="C444" s="47">
        <v>7</v>
      </c>
      <c r="D444" s="48" t="s">
        <v>519</v>
      </c>
      <c r="E444" s="48" t="s">
        <v>158</v>
      </c>
      <c r="F444" s="48" t="s">
        <v>579</v>
      </c>
      <c r="G444" s="48" t="s">
        <v>324</v>
      </c>
      <c r="H444" s="48" t="s">
        <v>357</v>
      </c>
      <c r="I444" s="47" t="s">
        <v>586</v>
      </c>
      <c r="J444" s="47">
        <v>99</v>
      </c>
      <c r="K444" s="49" t="s">
        <v>961</v>
      </c>
      <c r="L444" s="49" t="s">
        <v>729</v>
      </c>
      <c r="M444" s="50" t="s">
        <v>739</v>
      </c>
      <c r="N444" s="50" t="s">
        <v>1753</v>
      </c>
      <c r="O444" s="51"/>
      <c r="P444" s="51"/>
      <c r="Q444" s="48"/>
      <c r="R444" s="1"/>
      <c r="S444" s="1">
        <f t="shared" si="145"/>
        <v>0</v>
      </c>
      <c r="T444" s="1">
        <f t="shared" si="146"/>
        <v>0</v>
      </c>
      <c r="U444" s="1">
        <f t="shared" si="147"/>
        <v>0</v>
      </c>
      <c r="V444" s="1">
        <f t="shared" si="148"/>
        <v>0</v>
      </c>
      <c r="W444" s="1">
        <f t="shared" si="149"/>
        <v>0</v>
      </c>
      <c r="X444" s="1">
        <f t="shared" si="150"/>
        <v>0</v>
      </c>
      <c r="Y444" s="1">
        <f t="shared" si="151"/>
        <v>0</v>
      </c>
      <c r="Z444" s="1">
        <f t="shared" si="152"/>
        <v>0</v>
      </c>
      <c r="AA444" s="1">
        <f t="shared" si="153"/>
        <v>0</v>
      </c>
      <c r="AB444" s="1">
        <f t="shared" si="154"/>
        <v>0</v>
      </c>
      <c r="AC444" s="1"/>
      <c r="AD444" s="1">
        <f t="shared" si="155"/>
        <v>0</v>
      </c>
      <c r="AE444" s="1">
        <f t="shared" si="156"/>
        <v>0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1</v>
      </c>
      <c r="AJ444" s="1"/>
    </row>
    <row r="445" spans="1:36" s="2" customFormat="1" ht="14.25" customHeight="1" x14ac:dyDescent="0.25">
      <c r="A445" s="47">
        <v>0</v>
      </c>
      <c r="B445" s="47">
        <v>2</v>
      </c>
      <c r="C445" s="47">
        <v>7</v>
      </c>
      <c r="D445" s="48" t="s">
        <v>75</v>
      </c>
      <c r="E445" s="48" t="s">
        <v>158</v>
      </c>
      <c r="F445" s="48" t="s">
        <v>681</v>
      </c>
      <c r="G445" s="48" t="s">
        <v>268</v>
      </c>
      <c r="H445" s="48" t="s">
        <v>357</v>
      </c>
      <c r="I445" s="47" t="s">
        <v>426</v>
      </c>
      <c r="J445" s="47">
        <v>99</v>
      </c>
      <c r="K445" s="49" t="s">
        <v>719</v>
      </c>
      <c r="L445" s="49" t="s">
        <v>736</v>
      </c>
      <c r="M445" s="50" t="s">
        <v>739</v>
      </c>
      <c r="N445" s="50" t="s">
        <v>1750</v>
      </c>
      <c r="O445" s="51"/>
      <c r="P445" s="51"/>
      <c r="Q445" s="48"/>
      <c r="R445" s="1"/>
      <c r="S445" s="1">
        <f t="shared" si="145"/>
        <v>0</v>
      </c>
      <c r="T445" s="1">
        <f t="shared" si="146"/>
        <v>0</v>
      </c>
      <c r="U445" s="1">
        <f t="shared" si="147"/>
        <v>0</v>
      </c>
      <c r="V445" s="1">
        <f t="shared" si="148"/>
        <v>0</v>
      </c>
      <c r="W445" s="1">
        <f t="shared" si="149"/>
        <v>0</v>
      </c>
      <c r="X445" s="1">
        <f t="shared" si="150"/>
        <v>0</v>
      </c>
      <c r="Y445" s="1">
        <f t="shared" si="151"/>
        <v>0</v>
      </c>
      <c r="Z445" s="1">
        <f t="shared" si="152"/>
        <v>0</v>
      </c>
      <c r="AA445" s="1">
        <f t="shared" si="153"/>
        <v>0</v>
      </c>
      <c r="AB445" s="1">
        <f t="shared" si="154"/>
        <v>0</v>
      </c>
      <c r="AC445" s="1"/>
      <c r="AD445" s="1">
        <f t="shared" si="155"/>
        <v>0</v>
      </c>
      <c r="AE445" s="1">
        <f t="shared" si="156"/>
        <v>0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1</v>
      </c>
      <c r="AJ445" s="1"/>
    </row>
    <row r="446" spans="1:36" s="2" customFormat="1" ht="14.25" customHeight="1" x14ac:dyDescent="0.25">
      <c r="A446" s="15">
        <v>0</v>
      </c>
      <c r="B446" s="15">
        <v>2</v>
      </c>
      <c r="C446" s="15">
        <v>7</v>
      </c>
      <c r="D446" s="20" t="s">
        <v>1873</v>
      </c>
      <c r="E446" s="16" t="s">
        <v>158</v>
      </c>
      <c r="F446" s="20" t="s">
        <v>1874</v>
      </c>
      <c r="G446" s="20" t="s">
        <v>286</v>
      </c>
      <c r="H446" s="20" t="s">
        <v>357</v>
      </c>
      <c r="I446" s="21" t="s">
        <v>1875</v>
      </c>
      <c r="J446" s="15">
        <v>99</v>
      </c>
      <c r="K446" s="10" t="s">
        <v>710</v>
      </c>
      <c r="L446" s="10" t="s">
        <v>729</v>
      </c>
      <c r="M446" s="19" t="s">
        <v>739</v>
      </c>
      <c r="N446" s="19"/>
      <c r="O446" s="1"/>
      <c r="P446" s="1"/>
      <c r="Q446" s="20"/>
      <c r="R446" s="1"/>
      <c r="S446" s="1">
        <f t="shared" si="145"/>
        <v>0</v>
      </c>
      <c r="T446" s="1">
        <f t="shared" si="146"/>
        <v>0</v>
      </c>
      <c r="U446" s="1">
        <f t="shared" si="147"/>
        <v>0</v>
      </c>
      <c r="V446" s="1">
        <f t="shared" si="148"/>
        <v>0</v>
      </c>
      <c r="W446" s="1">
        <f t="shared" si="149"/>
        <v>0</v>
      </c>
      <c r="X446" s="1">
        <f t="shared" si="150"/>
        <v>0</v>
      </c>
      <c r="Y446" s="1">
        <f t="shared" si="151"/>
        <v>0</v>
      </c>
      <c r="Z446" s="1">
        <f t="shared" si="152"/>
        <v>0</v>
      </c>
      <c r="AA446" s="1">
        <f t="shared" si="153"/>
        <v>0</v>
      </c>
      <c r="AB446" s="1">
        <f t="shared" si="154"/>
        <v>0</v>
      </c>
      <c r="AC446" s="1"/>
      <c r="AD446" s="1">
        <f t="shared" ref="AD446:AD447" si="157">+O446*P446</f>
        <v>0</v>
      </c>
      <c r="AE446" s="1">
        <f t="shared" ref="AE446:AE447" si="158">O446*(1-P446)</f>
        <v>0</v>
      </c>
      <c r="AF446" s="1">
        <f t="shared" si="141"/>
        <v>0</v>
      </c>
      <c r="AG446" s="1">
        <f t="shared" si="142"/>
        <v>0</v>
      </c>
      <c r="AH446" s="1">
        <f t="shared" si="143"/>
        <v>0</v>
      </c>
      <c r="AI446" s="1">
        <f t="shared" si="144"/>
        <v>1</v>
      </c>
      <c r="AJ446" s="1"/>
    </row>
    <row r="447" spans="1:36" s="2" customFormat="1" ht="14.25" customHeight="1" x14ac:dyDescent="0.25">
      <c r="A447" s="34">
        <v>0</v>
      </c>
      <c r="B447" s="34">
        <v>2</v>
      </c>
      <c r="C447" s="34">
        <v>7</v>
      </c>
      <c r="D447" s="35" t="s">
        <v>60</v>
      </c>
      <c r="E447" s="35" t="s">
        <v>165</v>
      </c>
      <c r="F447" s="35" t="s">
        <v>229</v>
      </c>
      <c r="G447" s="35" t="s">
        <v>192</v>
      </c>
      <c r="H447" s="35" t="s">
        <v>357</v>
      </c>
      <c r="I447" s="34" t="s">
        <v>402</v>
      </c>
      <c r="J447" s="34">
        <v>99</v>
      </c>
      <c r="K447" s="36" t="s">
        <v>720</v>
      </c>
      <c r="L447" s="36" t="s">
        <v>729</v>
      </c>
      <c r="M447" s="37" t="s">
        <v>739</v>
      </c>
      <c r="N447" s="37" t="s">
        <v>1763</v>
      </c>
      <c r="O447" s="38">
        <v>1</v>
      </c>
      <c r="P447" s="38"/>
      <c r="Q447" s="35"/>
      <c r="R447" s="1"/>
      <c r="S447" s="1">
        <f t="shared" si="145"/>
        <v>0</v>
      </c>
      <c r="T447" s="1">
        <f t="shared" si="146"/>
        <v>0</v>
      </c>
      <c r="U447" s="1">
        <f t="shared" si="147"/>
        <v>0</v>
      </c>
      <c r="V447" s="1">
        <f t="shared" si="148"/>
        <v>0</v>
      </c>
      <c r="W447" s="1">
        <f t="shared" si="149"/>
        <v>0</v>
      </c>
      <c r="X447" s="1">
        <f t="shared" si="150"/>
        <v>0</v>
      </c>
      <c r="Y447" s="1">
        <f t="shared" si="151"/>
        <v>0</v>
      </c>
      <c r="Z447" s="1">
        <f t="shared" si="152"/>
        <v>0</v>
      </c>
      <c r="AA447" s="1">
        <f t="shared" si="153"/>
        <v>0</v>
      </c>
      <c r="AB447" s="1">
        <f t="shared" si="154"/>
        <v>0</v>
      </c>
      <c r="AC447" s="1"/>
      <c r="AD447" s="1">
        <f t="shared" si="157"/>
        <v>0</v>
      </c>
      <c r="AE447" s="1">
        <f t="shared" si="158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  <c r="AJ447" s="1"/>
    </row>
    <row r="448" spans="1:36" s="2" customFormat="1" ht="14.25" customHeight="1" x14ac:dyDescent="0.25">
      <c r="A448" s="47">
        <v>0</v>
      </c>
      <c r="B448" s="47">
        <v>2</v>
      </c>
      <c r="C448" s="47">
        <v>7</v>
      </c>
      <c r="D448" s="48" t="s">
        <v>72</v>
      </c>
      <c r="E448" s="48" t="s">
        <v>28</v>
      </c>
      <c r="F448" s="48" t="s">
        <v>261</v>
      </c>
      <c r="G448" s="48" t="s">
        <v>262</v>
      </c>
      <c r="H448" s="48" t="s">
        <v>357</v>
      </c>
      <c r="I448" s="47" t="s">
        <v>422</v>
      </c>
      <c r="J448" s="47">
        <v>99</v>
      </c>
      <c r="K448" s="49" t="s">
        <v>710</v>
      </c>
      <c r="L448" s="49" t="s">
        <v>720</v>
      </c>
      <c r="M448" s="50" t="s">
        <v>738</v>
      </c>
      <c r="N448" s="50" t="s">
        <v>1817</v>
      </c>
      <c r="O448" s="51"/>
      <c r="P448" s="51"/>
      <c r="Q448" s="48"/>
      <c r="R448" s="1"/>
      <c r="S448" s="1">
        <f t="shared" si="145"/>
        <v>0</v>
      </c>
      <c r="T448" s="1">
        <f t="shared" si="146"/>
        <v>0</v>
      </c>
      <c r="U448" s="1">
        <f t="shared" si="147"/>
        <v>0</v>
      </c>
      <c r="V448" s="1">
        <f t="shared" si="148"/>
        <v>0</v>
      </c>
      <c r="W448" s="1">
        <f t="shared" si="149"/>
        <v>0</v>
      </c>
      <c r="X448" s="1">
        <f t="shared" si="150"/>
        <v>0</v>
      </c>
      <c r="Y448" s="1">
        <f t="shared" si="151"/>
        <v>0</v>
      </c>
      <c r="Z448" s="1">
        <f t="shared" si="152"/>
        <v>0</v>
      </c>
      <c r="AA448" s="1">
        <f t="shared" si="153"/>
        <v>0</v>
      </c>
      <c r="AB448" s="1">
        <f t="shared" si="154"/>
        <v>0</v>
      </c>
      <c r="AC448" s="1"/>
      <c r="AD448" s="1">
        <f t="shared" si="155"/>
        <v>0</v>
      </c>
      <c r="AE448" s="1">
        <f t="shared" si="156"/>
        <v>0</v>
      </c>
      <c r="AF448" s="1">
        <f t="shared" si="141"/>
        <v>0</v>
      </c>
      <c r="AG448" s="1">
        <f t="shared" si="142"/>
        <v>0</v>
      </c>
      <c r="AH448" s="1">
        <f t="shared" si="143"/>
        <v>0</v>
      </c>
      <c r="AI448" s="1">
        <f t="shared" si="144"/>
        <v>1</v>
      </c>
      <c r="AJ448" s="1"/>
    </row>
    <row r="449" spans="1:36" s="2" customFormat="1" ht="14.25" customHeight="1" x14ac:dyDescent="0.25">
      <c r="A449" s="34">
        <v>0</v>
      </c>
      <c r="B449" s="34">
        <v>2</v>
      </c>
      <c r="C449" s="34">
        <v>7</v>
      </c>
      <c r="D449" s="35" t="s">
        <v>1343</v>
      </c>
      <c r="E449" s="35" t="s">
        <v>158</v>
      </c>
      <c r="F449" s="35" t="s">
        <v>1155</v>
      </c>
      <c r="G449" s="35" t="s">
        <v>194</v>
      </c>
      <c r="H449" s="35" t="s">
        <v>357</v>
      </c>
      <c r="I449" s="34" t="s">
        <v>1383</v>
      </c>
      <c r="J449" s="34">
        <v>99</v>
      </c>
      <c r="K449" s="36" t="s">
        <v>719</v>
      </c>
      <c r="L449" s="36" t="s">
        <v>39</v>
      </c>
      <c r="M449" s="37" t="s">
        <v>39</v>
      </c>
      <c r="N449" s="37" t="s">
        <v>1742</v>
      </c>
      <c r="O449" s="38">
        <v>1</v>
      </c>
      <c r="P449" s="38">
        <v>1</v>
      </c>
      <c r="Q449" s="35"/>
      <c r="R449" s="1"/>
      <c r="S449" s="1">
        <f t="shared" si="145"/>
        <v>0</v>
      </c>
      <c r="T449" s="1">
        <f t="shared" si="146"/>
        <v>0</v>
      </c>
      <c r="U449" s="1">
        <f t="shared" si="147"/>
        <v>0</v>
      </c>
      <c r="V449" s="1">
        <f t="shared" si="148"/>
        <v>0</v>
      </c>
      <c r="W449" s="1">
        <f t="shared" si="149"/>
        <v>0</v>
      </c>
      <c r="X449" s="1">
        <f t="shared" si="150"/>
        <v>0</v>
      </c>
      <c r="Y449" s="1">
        <f t="shared" si="151"/>
        <v>0</v>
      </c>
      <c r="Z449" s="1">
        <f t="shared" si="152"/>
        <v>0</v>
      </c>
      <c r="AA449" s="1">
        <f t="shared" si="153"/>
        <v>0</v>
      </c>
      <c r="AB449" s="1">
        <f t="shared" si="154"/>
        <v>0</v>
      </c>
      <c r="AC449" s="1"/>
      <c r="AD449" s="1">
        <f t="shared" si="155"/>
        <v>1</v>
      </c>
      <c r="AE449" s="1">
        <f t="shared" si="156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594</v>
      </c>
      <c r="E450" s="35" t="s">
        <v>1351</v>
      </c>
      <c r="F450" s="35" t="s">
        <v>682</v>
      </c>
      <c r="G450" s="35" t="s">
        <v>242</v>
      </c>
      <c r="H450" s="35" t="s">
        <v>357</v>
      </c>
      <c r="I450" s="34" t="s">
        <v>408</v>
      </c>
      <c r="J450" s="34">
        <v>1</v>
      </c>
      <c r="K450" s="36" t="s">
        <v>720</v>
      </c>
      <c r="L450" s="36" t="s">
        <v>1726</v>
      </c>
      <c r="M450" s="37" t="s">
        <v>1454</v>
      </c>
      <c r="N450" s="37" t="s">
        <v>1763</v>
      </c>
      <c r="O450" s="38">
        <v>1</v>
      </c>
      <c r="P450" s="38"/>
      <c r="Q450" s="35"/>
      <c r="R450" s="1"/>
      <c r="S450" s="1">
        <f t="shared" si="145"/>
        <v>1</v>
      </c>
      <c r="T450" s="1">
        <f t="shared" si="146"/>
        <v>0</v>
      </c>
      <c r="U450" s="1">
        <f t="shared" si="147"/>
        <v>0</v>
      </c>
      <c r="V450" s="1">
        <f t="shared" si="148"/>
        <v>0</v>
      </c>
      <c r="W450" s="1">
        <f t="shared" si="149"/>
        <v>0</v>
      </c>
      <c r="X450" s="1">
        <f t="shared" si="150"/>
        <v>0</v>
      </c>
      <c r="Y450" s="1">
        <f t="shared" si="151"/>
        <v>0</v>
      </c>
      <c r="Z450" s="1">
        <f t="shared" si="152"/>
        <v>0</v>
      </c>
      <c r="AA450" s="1">
        <f t="shared" si="153"/>
        <v>0</v>
      </c>
      <c r="AB450" s="1">
        <f t="shared" si="154"/>
        <v>0</v>
      </c>
      <c r="AC450" s="1"/>
      <c r="AD450" s="1">
        <f t="shared" si="155"/>
        <v>0</v>
      </c>
      <c r="AE450" s="1">
        <f t="shared" si="156"/>
        <v>1</v>
      </c>
      <c r="AF450" s="1">
        <f t="shared" si="141"/>
        <v>0</v>
      </c>
      <c r="AG450" s="1">
        <f t="shared" si="142"/>
        <v>1</v>
      </c>
      <c r="AH450" s="1">
        <f t="shared" si="143"/>
        <v>0</v>
      </c>
      <c r="AI450" s="1">
        <f t="shared" si="144"/>
        <v>1</v>
      </c>
      <c r="AJ450" s="1"/>
    </row>
    <row r="451" spans="1:36" s="2" customFormat="1" ht="14.25" customHeight="1" x14ac:dyDescent="0.25">
      <c r="A451" s="34">
        <v>1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241</v>
      </c>
      <c r="G451" s="35" t="s">
        <v>180</v>
      </c>
      <c r="H451" s="35" t="s">
        <v>357</v>
      </c>
      <c r="I451" s="34" t="s">
        <v>407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9" t="s">
        <v>1926</v>
      </c>
      <c r="R451" s="1"/>
      <c r="S451" s="1">
        <f t="shared" si="145"/>
        <v>1</v>
      </c>
      <c r="T451" s="1">
        <f t="shared" si="146"/>
        <v>0</v>
      </c>
      <c r="U451" s="1">
        <f t="shared" si="147"/>
        <v>0</v>
      </c>
      <c r="V451" s="1">
        <f t="shared" si="148"/>
        <v>0</v>
      </c>
      <c r="W451" s="1">
        <f t="shared" si="149"/>
        <v>0</v>
      </c>
      <c r="X451" s="1">
        <f t="shared" si="150"/>
        <v>0</v>
      </c>
      <c r="Y451" s="1">
        <f t="shared" si="151"/>
        <v>0</v>
      </c>
      <c r="Z451" s="1">
        <f t="shared" si="152"/>
        <v>0</v>
      </c>
      <c r="AA451" s="1">
        <f t="shared" si="153"/>
        <v>0</v>
      </c>
      <c r="AB451" s="1">
        <f t="shared" si="154"/>
        <v>0</v>
      </c>
      <c r="AC451" s="1"/>
      <c r="AD451" s="1">
        <f t="shared" si="155"/>
        <v>0</v>
      </c>
      <c r="AE451" s="1">
        <f t="shared" si="156"/>
        <v>1</v>
      </c>
      <c r="AF451" s="1">
        <f t="shared" si="141"/>
        <v>0</v>
      </c>
      <c r="AG451" s="1">
        <f t="shared" si="142"/>
        <v>0</v>
      </c>
      <c r="AH451" s="1">
        <f t="shared" si="143"/>
        <v>0</v>
      </c>
      <c r="AI451" s="1">
        <f t="shared" si="144"/>
        <v>0</v>
      </c>
      <c r="AJ451" s="1"/>
    </row>
    <row r="452" spans="1:36" s="2" customFormat="1" ht="14.25" customHeight="1" x14ac:dyDescent="0.25">
      <c r="A452" s="34">
        <v>0</v>
      </c>
      <c r="B452" s="34">
        <v>2</v>
      </c>
      <c r="C452" s="34">
        <v>7</v>
      </c>
      <c r="D452" s="35" t="s">
        <v>1344</v>
      </c>
      <c r="E452" s="35" t="s">
        <v>158</v>
      </c>
      <c r="F452" s="35" t="s">
        <v>1370</v>
      </c>
      <c r="G452" s="35" t="s">
        <v>260</v>
      </c>
      <c r="H452" s="35" t="s">
        <v>357</v>
      </c>
      <c r="I452" s="34" t="s">
        <v>1253</v>
      </c>
      <c r="J452" s="34">
        <v>8</v>
      </c>
      <c r="K452" s="36" t="s">
        <v>962</v>
      </c>
      <c r="L452" s="36" t="s">
        <v>729</v>
      </c>
      <c r="M452" s="37" t="s">
        <v>739</v>
      </c>
      <c r="N452" s="37" t="s">
        <v>1763</v>
      </c>
      <c r="O452" s="38">
        <v>1</v>
      </c>
      <c r="P452" s="38"/>
      <c r="Q452" s="35"/>
      <c r="R452" s="1"/>
      <c r="S452" s="1">
        <f t="shared" si="145"/>
        <v>0</v>
      </c>
      <c r="T452" s="1">
        <f t="shared" si="146"/>
        <v>0</v>
      </c>
      <c r="U452" s="1">
        <f t="shared" si="147"/>
        <v>0</v>
      </c>
      <c r="V452" s="1">
        <f t="shared" si="148"/>
        <v>0</v>
      </c>
      <c r="W452" s="1">
        <f t="shared" si="149"/>
        <v>0</v>
      </c>
      <c r="X452" s="1">
        <f t="shared" si="150"/>
        <v>0</v>
      </c>
      <c r="Y452" s="1">
        <f t="shared" si="151"/>
        <v>0</v>
      </c>
      <c r="Z452" s="1">
        <f t="shared" si="152"/>
        <v>1</v>
      </c>
      <c r="AA452" s="1">
        <f t="shared" si="153"/>
        <v>0</v>
      </c>
      <c r="AB452" s="1">
        <f t="shared" si="154"/>
        <v>0</v>
      </c>
      <c r="AC452" s="1"/>
      <c r="AD452" s="1">
        <f t="shared" si="155"/>
        <v>0</v>
      </c>
      <c r="AE452" s="1">
        <f t="shared" si="156"/>
        <v>1</v>
      </c>
      <c r="AF452" s="1">
        <f t="shared" si="141"/>
        <v>0</v>
      </c>
      <c r="AG452" s="1">
        <f t="shared" si="142"/>
        <v>1</v>
      </c>
      <c r="AH452" s="1">
        <f t="shared" si="143"/>
        <v>0</v>
      </c>
      <c r="AI452" s="1">
        <f t="shared" si="144"/>
        <v>1</v>
      </c>
      <c r="AJ452" s="1"/>
    </row>
    <row r="453" spans="1:36" s="2" customFormat="1" ht="14.25" customHeight="1" x14ac:dyDescent="0.25">
      <c r="A453" s="34">
        <v>1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1232</v>
      </c>
      <c r="G453" s="35" t="s">
        <v>220</v>
      </c>
      <c r="H453" s="35" t="s">
        <v>357</v>
      </c>
      <c r="I453" s="34" t="s">
        <v>1253</v>
      </c>
      <c r="J453" s="34">
        <v>99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R453" s="1"/>
      <c r="S453" s="1">
        <f t="shared" si="145"/>
        <v>0</v>
      </c>
      <c r="T453" s="1">
        <f t="shared" si="146"/>
        <v>0</v>
      </c>
      <c r="U453" s="1">
        <f t="shared" si="147"/>
        <v>0</v>
      </c>
      <c r="V453" s="1">
        <f t="shared" si="148"/>
        <v>0</v>
      </c>
      <c r="W453" s="1">
        <f t="shared" si="149"/>
        <v>0</v>
      </c>
      <c r="X453" s="1">
        <f t="shared" si="150"/>
        <v>0</v>
      </c>
      <c r="Y453" s="1">
        <f t="shared" si="151"/>
        <v>0</v>
      </c>
      <c r="Z453" s="1">
        <f t="shared" si="152"/>
        <v>0</v>
      </c>
      <c r="AA453" s="1">
        <f t="shared" si="153"/>
        <v>0</v>
      </c>
      <c r="AB453" s="1">
        <f t="shared" si="154"/>
        <v>0</v>
      </c>
      <c r="AC453" s="1"/>
      <c r="AD453" s="1">
        <f t="shared" si="155"/>
        <v>0</v>
      </c>
      <c r="AE453" s="1">
        <f t="shared" si="156"/>
        <v>1</v>
      </c>
      <c r="AF453" s="1">
        <f t="shared" si="141"/>
        <v>0</v>
      </c>
      <c r="AG453" s="1">
        <f t="shared" si="142"/>
        <v>0</v>
      </c>
      <c r="AH453" s="1">
        <f t="shared" si="143"/>
        <v>0</v>
      </c>
      <c r="AI453" s="1">
        <f t="shared" si="144"/>
        <v>0</v>
      </c>
      <c r="AJ453" s="1"/>
    </row>
    <row r="454" spans="1:36" s="2" customFormat="1" ht="14.25" customHeight="1" x14ac:dyDescent="0.25">
      <c r="A454" s="47">
        <v>0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1264</v>
      </c>
      <c r="G454" s="48" t="s">
        <v>222</v>
      </c>
      <c r="H454" s="48" t="s">
        <v>357</v>
      </c>
      <c r="I454" s="47" t="s">
        <v>1384</v>
      </c>
      <c r="J454" s="47">
        <v>8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R454" s="1"/>
      <c r="S454" s="1">
        <f t="shared" si="145"/>
        <v>0</v>
      </c>
      <c r="T454" s="1">
        <f t="shared" si="146"/>
        <v>0</v>
      </c>
      <c r="U454" s="1">
        <f t="shared" si="147"/>
        <v>0</v>
      </c>
      <c r="V454" s="1">
        <f t="shared" si="148"/>
        <v>0</v>
      </c>
      <c r="W454" s="1">
        <f t="shared" si="149"/>
        <v>0</v>
      </c>
      <c r="X454" s="1">
        <f t="shared" si="150"/>
        <v>0</v>
      </c>
      <c r="Y454" s="1">
        <f t="shared" si="151"/>
        <v>0</v>
      </c>
      <c r="Z454" s="1">
        <f t="shared" si="152"/>
        <v>1</v>
      </c>
      <c r="AA454" s="1">
        <f t="shared" si="153"/>
        <v>0</v>
      </c>
      <c r="AB454" s="1">
        <f t="shared" si="154"/>
        <v>0</v>
      </c>
      <c r="AC454" s="1"/>
      <c r="AD454" s="1">
        <f t="shared" si="155"/>
        <v>0</v>
      </c>
      <c r="AE454" s="1">
        <f t="shared" si="156"/>
        <v>0</v>
      </c>
      <c r="AF454" s="1">
        <f t="shared" si="141"/>
        <v>0</v>
      </c>
      <c r="AG454" s="1">
        <f t="shared" si="142"/>
        <v>0</v>
      </c>
      <c r="AH454" s="1">
        <f t="shared" si="143"/>
        <v>0</v>
      </c>
      <c r="AI454" s="1">
        <f t="shared" si="144"/>
        <v>1</v>
      </c>
      <c r="AJ454" s="1"/>
    </row>
    <row r="455" spans="1:36" s="2" customFormat="1" ht="14.25" customHeight="1" x14ac:dyDescent="0.25">
      <c r="A455" s="47">
        <v>1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1371</v>
      </c>
      <c r="G455" s="48" t="s">
        <v>39</v>
      </c>
      <c r="H455" s="48" t="s">
        <v>358</v>
      </c>
      <c r="I455" s="47" t="s">
        <v>1263</v>
      </c>
      <c r="J455" s="47">
        <v>99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68" t="s">
        <v>1919</v>
      </c>
      <c r="R455" s="1"/>
      <c r="S455" s="1">
        <f t="shared" si="145"/>
        <v>0</v>
      </c>
      <c r="T455" s="1">
        <f t="shared" si="146"/>
        <v>0</v>
      </c>
      <c r="U455" s="1">
        <f t="shared" si="147"/>
        <v>0</v>
      </c>
      <c r="V455" s="1">
        <f t="shared" si="148"/>
        <v>0</v>
      </c>
      <c r="W455" s="1">
        <f t="shared" si="149"/>
        <v>0</v>
      </c>
      <c r="X455" s="1">
        <f t="shared" si="150"/>
        <v>0</v>
      </c>
      <c r="Y455" s="1">
        <f t="shared" si="151"/>
        <v>0</v>
      </c>
      <c r="Z455" s="1">
        <f t="shared" si="152"/>
        <v>0</v>
      </c>
      <c r="AA455" s="1">
        <f t="shared" si="153"/>
        <v>0</v>
      </c>
      <c r="AB455" s="1">
        <f t="shared" si="154"/>
        <v>0</v>
      </c>
      <c r="AC455" s="1"/>
      <c r="AD455" s="1">
        <f t="shared" si="155"/>
        <v>0</v>
      </c>
      <c r="AE455" s="1">
        <f t="shared" si="156"/>
        <v>0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  <c r="AJ455" s="1"/>
    </row>
    <row r="456" spans="1:36" s="2" customFormat="1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1538</v>
      </c>
      <c r="G456" s="48" t="s">
        <v>237</v>
      </c>
      <c r="H456" s="48" t="s">
        <v>357</v>
      </c>
      <c r="I456" s="47" t="s">
        <v>1706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48"/>
      <c r="R456" s="1"/>
      <c r="S456" s="1">
        <f t="shared" si="145"/>
        <v>0</v>
      </c>
      <c r="T456" s="1">
        <f t="shared" si="146"/>
        <v>0</v>
      </c>
      <c r="U456" s="1">
        <f t="shared" si="147"/>
        <v>0</v>
      </c>
      <c r="V456" s="1">
        <f t="shared" si="148"/>
        <v>0</v>
      </c>
      <c r="W456" s="1">
        <f t="shared" si="149"/>
        <v>0</v>
      </c>
      <c r="X456" s="1">
        <f t="shared" si="150"/>
        <v>0</v>
      </c>
      <c r="Y456" s="1">
        <f t="shared" si="151"/>
        <v>0</v>
      </c>
      <c r="Z456" s="1">
        <f t="shared" si="152"/>
        <v>0</v>
      </c>
      <c r="AA456" s="1">
        <f t="shared" si="153"/>
        <v>0</v>
      </c>
      <c r="AB456" s="1">
        <f t="shared" si="154"/>
        <v>0</v>
      </c>
      <c r="AC456" s="1"/>
      <c r="AD456" s="1">
        <f t="shared" ref="AD456:AD459" si="159">+O456*P456</f>
        <v>0</v>
      </c>
      <c r="AE456" s="1">
        <f t="shared" ref="AE456:AE459" si="160">O456*(1-P456)</f>
        <v>0</v>
      </c>
      <c r="AF456" s="1">
        <f t="shared" si="141"/>
        <v>0</v>
      </c>
      <c r="AG456" s="1">
        <f t="shared" si="142"/>
        <v>0</v>
      </c>
      <c r="AH456" s="1">
        <f t="shared" si="143"/>
        <v>0</v>
      </c>
      <c r="AI456" s="1">
        <f t="shared" si="144"/>
        <v>0</v>
      </c>
      <c r="AJ456" s="1"/>
    </row>
    <row r="457" spans="1:36" s="2" customFormat="1" ht="14.25" customHeight="1" x14ac:dyDescent="0.25">
      <c r="A457" s="34">
        <v>0</v>
      </c>
      <c r="B457" s="34">
        <v>2</v>
      </c>
      <c r="C457" s="34">
        <v>7</v>
      </c>
      <c r="D457" s="35" t="s">
        <v>1865</v>
      </c>
      <c r="E457" s="35" t="s">
        <v>1866</v>
      </c>
      <c r="F457" s="35" t="s">
        <v>1867</v>
      </c>
      <c r="G457" s="35" t="s">
        <v>268</v>
      </c>
      <c r="H457" s="35" t="s">
        <v>357</v>
      </c>
      <c r="I457" s="34" t="s">
        <v>1868</v>
      </c>
      <c r="J457" s="34">
        <v>99</v>
      </c>
      <c r="K457" s="36" t="s">
        <v>710</v>
      </c>
      <c r="L457" s="36"/>
      <c r="M457" s="37"/>
      <c r="N457" s="37" t="s">
        <v>1742</v>
      </c>
      <c r="O457" s="38">
        <v>1</v>
      </c>
      <c r="P457" s="38">
        <v>1</v>
      </c>
      <c r="Q457" s="35"/>
      <c r="R457" s="1"/>
      <c r="S457" s="1">
        <f t="shared" si="145"/>
        <v>0</v>
      </c>
      <c r="T457" s="1">
        <f t="shared" si="146"/>
        <v>0</v>
      </c>
      <c r="U457" s="1">
        <f t="shared" si="147"/>
        <v>0</v>
      </c>
      <c r="V457" s="1">
        <f t="shared" si="148"/>
        <v>0</v>
      </c>
      <c r="W457" s="1">
        <f t="shared" si="149"/>
        <v>0</v>
      </c>
      <c r="X457" s="1">
        <f t="shared" si="150"/>
        <v>0</v>
      </c>
      <c r="Y457" s="1">
        <f t="shared" si="151"/>
        <v>0</v>
      </c>
      <c r="Z457" s="1">
        <f t="shared" si="152"/>
        <v>0</v>
      </c>
      <c r="AA457" s="1">
        <f t="shared" si="153"/>
        <v>0</v>
      </c>
      <c r="AB457" s="1">
        <f t="shared" si="154"/>
        <v>0</v>
      </c>
      <c r="AC457" s="1"/>
      <c r="AD457" s="1">
        <f t="shared" si="159"/>
        <v>1</v>
      </c>
      <c r="AE457" s="1">
        <f t="shared" si="160"/>
        <v>0</v>
      </c>
      <c r="AF457" s="1">
        <f t="shared" si="141"/>
        <v>1</v>
      </c>
      <c r="AG457" s="1">
        <f t="shared" si="142"/>
        <v>0</v>
      </c>
      <c r="AH457" s="1">
        <f t="shared" si="143"/>
        <v>1</v>
      </c>
      <c r="AI457" s="1">
        <f t="shared" si="144"/>
        <v>0</v>
      </c>
      <c r="AJ457" s="1"/>
    </row>
    <row r="458" spans="1:36" s="2" customFormat="1" ht="14.25" customHeight="1" x14ac:dyDescent="0.25">
      <c r="A458" s="47">
        <v>0</v>
      </c>
      <c r="B458" s="47">
        <v>2</v>
      </c>
      <c r="C458" s="47">
        <v>7</v>
      </c>
      <c r="D458" s="48" t="s">
        <v>1257</v>
      </c>
      <c r="E458" s="48" t="s">
        <v>28</v>
      </c>
      <c r="F458" s="48" t="s">
        <v>1250</v>
      </c>
      <c r="G458" s="48" t="s">
        <v>1251</v>
      </c>
      <c r="H458" s="48" t="s">
        <v>357</v>
      </c>
      <c r="I458" s="47" t="s">
        <v>1252</v>
      </c>
      <c r="J458" s="47">
        <v>99</v>
      </c>
      <c r="K458" s="49" t="s">
        <v>719</v>
      </c>
      <c r="L458" s="49" t="s">
        <v>720</v>
      </c>
      <c r="M458" s="50" t="s">
        <v>738</v>
      </c>
      <c r="N458" s="50" t="s">
        <v>1750</v>
      </c>
      <c r="O458" s="51"/>
      <c r="P458" s="51"/>
      <c r="Q458" s="48"/>
      <c r="R458" s="1"/>
      <c r="S458" s="1">
        <f t="shared" si="145"/>
        <v>0</v>
      </c>
      <c r="T458" s="1">
        <f t="shared" si="146"/>
        <v>0</v>
      </c>
      <c r="U458" s="1">
        <f t="shared" si="147"/>
        <v>0</v>
      </c>
      <c r="V458" s="1">
        <f t="shared" si="148"/>
        <v>0</v>
      </c>
      <c r="W458" s="1">
        <f t="shared" si="149"/>
        <v>0</v>
      </c>
      <c r="X458" s="1">
        <f t="shared" si="150"/>
        <v>0</v>
      </c>
      <c r="Y458" s="1">
        <f t="shared" si="151"/>
        <v>0</v>
      </c>
      <c r="Z458" s="1">
        <f t="shared" si="152"/>
        <v>0</v>
      </c>
      <c r="AA458" s="1">
        <f t="shared" si="153"/>
        <v>0</v>
      </c>
      <c r="AB458" s="1">
        <f t="shared" si="154"/>
        <v>0</v>
      </c>
      <c r="AC458" s="1"/>
      <c r="AD458" s="1">
        <f t="shared" si="159"/>
        <v>0</v>
      </c>
      <c r="AE458" s="1">
        <f t="shared" si="160"/>
        <v>0</v>
      </c>
      <c r="AF458" s="1">
        <f t="shared" ref="AF458:AF467" si="161">+O458*P458*(1-A458)</f>
        <v>0</v>
      </c>
      <c r="AG458" s="1">
        <f t="shared" ref="AG458:AG467" si="162">O458*(1-P458)*(1-A458)</f>
        <v>0</v>
      </c>
      <c r="AH458" s="1">
        <f t="shared" ref="AH458:AH467" si="163">+P458*(1-A458)</f>
        <v>0</v>
      </c>
      <c r="AI458" s="1">
        <f t="shared" ref="AI458:AI467" si="164">+(1-A458)*(1-P458)</f>
        <v>1</v>
      </c>
      <c r="AJ458" s="1"/>
    </row>
    <row r="459" spans="1:36" s="2" customFormat="1" ht="14.25" customHeight="1" x14ac:dyDescent="0.25">
      <c r="A459" s="47">
        <v>1</v>
      </c>
      <c r="B459" s="47">
        <v>2</v>
      </c>
      <c r="C459" s="47">
        <v>7</v>
      </c>
      <c r="D459" s="48" t="s">
        <v>1254</v>
      </c>
      <c r="E459" s="48" t="s">
        <v>28</v>
      </c>
      <c r="F459" s="48" t="s">
        <v>1255</v>
      </c>
      <c r="G459" s="48" t="s">
        <v>528</v>
      </c>
      <c r="H459" s="48" t="s">
        <v>357</v>
      </c>
      <c r="I459" s="47" t="s">
        <v>1256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R459" s="1"/>
      <c r="S459" s="1">
        <f t="shared" si="145"/>
        <v>0</v>
      </c>
      <c r="T459" s="1">
        <f t="shared" si="146"/>
        <v>0</v>
      </c>
      <c r="U459" s="1">
        <f t="shared" si="147"/>
        <v>0</v>
      </c>
      <c r="V459" s="1">
        <f t="shared" si="148"/>
        <v>0</v>
      </c>
      <c r="W459" s="1">
        <f t="shared" si="149"/>
        <v>0</v>
      </c>
      <c r="X459" s="1">
        <f t="shared" si="150"/>
        <v>0</v>
      </c>
      <c r="Y459" s="1">
        <f t="shared" si="151"/>
        <v>0</v>
      </c>
      <c r="Z459" s="1">
        <f t="shared" si="152"/>
        <v>0</v>
      </c>
      <c r="AA459" s="1">
        <f t="shared" si="153"/>
        <v>0</v>
      </c>
      <c r="AB459" s="1">
        <f t="shared" si="154"/>
        <v>0</v>
      </c>
      <c r="AC459" s="1"/>
      <c r="AD459" s="1">
        <f t="shared" si="159"/>
        <v>0</v>
      </c>
      <c r="AE459" s="1">
        <f t="shared" si="160"/>
        <v>0</v>
      </c>
      <c r="AF459" s="1">
        <f t="shared" si="161"/>
        <v>0</v>
      </c>
      <c r="AG459" s="1">
        <f t="shared" si="162"/>
        <v>0</v>
      </c>
      <c r="AH459" s="1">
        <f t="shared" si="163"/>
        <v>0</v>
      </c>
      <c r="AI459" s="1">
        <f t="shared" si="164"/>
        <v>0</v>
      </c>
      <c r="AJ459" s="1"/>
    </row>
    <row r="460" spans="1:36" s="2" customFormat="1" ht="14.25" customHeight="1" x14ac:dyDescent="0.25">
      <c r="A460" s="34">
        <v>0</v>
      </c>
      <c r="B460" s="34">
        <v>2</v>
      </c>
      <c r="C460" s="34">
        <v>7</v>
      </c>
      <c r="D460" s="35" t="s">
        <v>1861</v>
      </c>
      <c r="E460" s="35" t="s">
        <v>1182</v>
      </c>
      <c r="F460" s="35" t="s">
        <v>1862</v>
      </c>
      <c r="G460" s="35"/>
      <c r="H460" s="35" t="s">
        <v>357</v>
      </c>
      <c r="I460" s="34" t="s">
        <v>1863</v>
      </c>
      <c r="J460" s="34">
        <v>6</v>
      </c>
      <c r="K460" s="36" t="s">
        <v>710</v>
      </c>
      <c r="L460" s="36"/>
      <c r="M460" s="37"/>
      <c r="N460" s="37" t="s">
        <v>1763</v>
      </c>
      <c r="O460" s="38">
        <v>1</v>
      </c>
      <c r="P460" s="38"/>
      <c r="Q460" s="35"/>
      <c r="R460" s="1"/>
      <c r="S460" s="1">
        <f t="shared" si="145"/>
        <v>0</v>
      </c>
      <c r="T460" s="1">
        <f t="shared" si="146"/>
        <v>0</v>
      </c>
      <c r="U460" s="1">
        <f t="shared" si="147"/>
        <v>0</v>
      </c>
      <c r="V460" s="1">
        <f t="shared" si="148"/>
        <v>0</v>
      </c>
      <c r="W460" s="1">
        <f t="shared" si="149"/>
        <v>0</v>
      </c>
      <c r="X460" s="1">
        <f t="shared" si="150"/>
        <v>1</v>
      </c>
      <c r="Y460" s="1">
        <f t="shared" si="151"/>
        <v>0</v>
      </c>
      <c r="Z460" s="1">
        <f t="shared" si="152"/>
        <v>0</v>
      </c>
      <c r="AA460" s="1">
        <f t="shared" si="153"/>
        <v>0</v>
      </c>
      <c r="AB460" s="1">
        <f t="shared" si="154"/>
        <v>0</v>
      </c>
      <c r="AC460" s="1"/>
      <c r="AD460" s="1">
        <f t="shared" ref="AD460" si="165">+O460*P460</f>
        <v>0</v>
      </c>
      <c r="AE460" s="1">
        <f t="shared" ref="AE460" si="166">O460*(1-P460)</f>
        <v>1</v>
      </c>
      <c r="AF460" s="1">
        <f t="shared" si="161"/>
        <v>0</v>
      </c>
      <c r="AG460" s="1">
        <f t="shared" si="162"/>
        <v>1</v>
      </c>
      <c r="AH460" s="1">
        <f t="shared" si="163"/>
        <v>0</v>
      </c>
      <c r="AI460" s="1">
        <f t="shared" si="164"/>
        <v>1</v>
      </c>
      <c r="AJ460" s="1"/>
    </row>
    <row r="461" spans="1:36" s="2" customFormat="1" ht="14.25" customHeight="1" x14ac:dyDescent="0.25">
      <c r="A461" s="47">
        <v>0</v>
      </c>
      <c r="B461" s="47">
        <v>2</v>
      </c>
      <c r="C461" s="47">
        <v>7</v>
      </c>
      <c r="D461" s="48" t="s">
        <v>1473</v>
      </c>
      <c r="E461" s="48" t="s">
        <v>28</v>
      </c>
      <c r="F461" s="48" t="s">
        <v>1474</v>
      </c>
      <c r="G461" s="48" t="s">
        <v>1475</v>
      </c>
      <c r="H461" s="48" t="s">
        <v>357</v>
      </c>
      <c r="I461" s="47" t="s">
        <v>1476</v>
      </c>
      <c r="J461" s="47">
        <v>99</v>
      </c>
      <c r="K461" s="49" t="s">
        <v>719</v>
      </c>
      <c r="L461" s="49" t="s">
        <v>720</v>
      </c>
      <c r="M461" s="50" t="s">
        <v>738</v>
      </c>
      <c r="N461" s="50" t="s">
        <v>1750</v>
      </c>
      <c r="O461" s="51"/>
      <c r="P461" s="51"/>
      <c r="Q461" s="48"/>
      <c r="R461" s="1"/>
      <c r="S461" s="1">
        <f t="shared" si="145"/>
        <v>0</v>
      </c>
      <c r="T461" s="1">
        <f t="shared" si="146"/>
        <v>0</v>
      </c>
      <c r="U461" s="1">
        <f t="shared" si="147"/>
        <v>0</v>
      </c>
      <c r="V461" s="1">
        <f t="shared" si="148"/>
        <v>0</v>
      </c>
      <c r="W461" s="1">
        <f t="shared" si="149"/>
        <v>0</v>
      </c>
      <c r="X461" s="1">
        <f t="shared" si="150"/>
        <v>0</v>
      </c>
      <c r="Y461" s="1">
        <f t="shared" si="151"/>
        <v>0</v>
      </c>
      <c r="Z461" s="1">
        <f t="shared" si="152"/>
        <v>0</v>
      </c>
      <c r="AA461" s="1">
        <f t="shared" si="153"/>
        <v>0</v>
      </c>
      <c r="AB461" s="1">
        <f t="shared" si="154"/>
        <v>0</v>
      </c>
      <c r="AC461" s="1"/>
      <c r="AD461" s="1">
        <f t="shared" si="155"/>
        <v>0</v>
      </c>
      <c r="AE461" s="1">
        <f t="shared" si="156"/>
        <v>0</v>
      </c>
      <c r="AF461" s="1">
        <f t="shared" si="161"/>
        <v>0</v>
      </c>
      <c r="AG461" s="1">
        <f t="shared" si="162"/>
        <v>0</v>
      </c>
      <c r="AH461" s="1">
        <f t="shared" si="163"/>
        <v>0</v>
      </c>
      <c r="AI461" s="1">
        <f t="shared" si="164"/>
        <v>1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580</v>
      </c>
      <c r="G462" s="35" t="s">
        <v>237</v>
      </c>
      <c r="H462" s="35" t="s">
        <v>357</v>
      </c>
      <c r="I462" s="34" t="s">
        <v>587</v>
      </c>
      <c r="J462" s="34">
        <v>99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R462" s="1"/>
      <c r="S462" s="1">
        <f t="shared" si="145"/>
        <v>0</v>
      </c>
      <c r="T462" s="1">
        <f t="shared" si="146"/>
        <v>0</v>
      </c>
      <c r="U462" s="1">
        <f t="shared" si="147"/>
        <v>0</v>
      </c>
      <c r="V462" s="1">
        <f t="shared" si="148"/>
        <v>0</v>
      </c>
      <c r="W462" s="1">
        <f t="shared" si="149"/>
        <v>0</v>
      </c>
      <c r="X462" s="1">
        <f t="shared" si="150"/>
        <v>0</v>
      </c>
      <c r="Y462" s="1">
        <f t="shared" si="151"/>
        <v>0</v>
      </c>
      <c r="Z462" s="1">
        <f t="shared" si="152"/>
        <v>0</v>
      </c>
      <c r="AA462" s="1">
        <f t="shared" si="153"/>
        <v>0</v>
      </c>
      <c r="AB462" s="1">
        <f t="shared" si="154"/>
        <v>0</v>
      </c>
      <c r="AC462" s="1"/>
      <c r="AD462" s="1">
        <f t="shared" si="155"/>
        <v>0</v>
      </c>
      <c r="AE462" s="1">
        <f t="shared" si="156"/>
        <v>1</v>
      </c>
      <c r="AF462" s="1">
        <f t="shared" si="161"/>
        <v>0</v>
      </c>
      <c r="AG462" s="1">
        <f t="shared" si="162"/>
        <v>1</v>
      </c>
      <c r="AH462" s="1">
        <f t="shared" si="163"/>
        <v>0</v>
      </c>
      <c r="AI462" s="1">
        <f t="shared" si="164"/>
        <v>1</v>
      </c>
      <c r="AJ462" s="1"/>
    </row>
    <row r="463" spans="1:36" s="2" customFormat="1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274</v>
      </c>
      <c r="G463" s="35" t="s">
        <v>182</v>
      </c>
      <c r="H463" s="35" t="s">
        <v>357</v>
      </c>
      <c r="I463" s="34" t="s">
        <v>430</v>
      </c>
      <c r="J463" s="34">
        <v>10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R463" s="1"/>
      <c r="S463" s="1">
        <f t="shared" si="145"/>
        <v>0</v>
      </c>
      <c r="T463" s="1">
        <f t="shared" si="146"/>
        <v>0</v>
      </c>
      <c r="U463" s="1">
        <f t="shared" si="147"/>
        <v>0</v>
      </c>
      <c r="V463" s="1">
        <f t="shared" si="148"/>
        <v>0</v>
      </c>
      <c r="W463" s="1">
        <f t="shared" si="149"/>
        <v>0</v>
      </c>
      <c r="X463" s="1">
        <f t="shared" si="150"/>
        <v>0</v>
      </c>
      <c r="Y463" s="1">
        <f t="shared" si="151"/>
        <v>0</v>
      </c>
      <c r="Z463" s="1">
        <f t="shared" si="152"/>
        <v>0</v>
      </c>
      <c r="AA463" s="1">
        <f t="shared" si="153"/>
        <v>0</v>
      </c>
      <c r="AB463" s="1">
        <f t="shared" si="154"/>
        <v>1</v>
      </c>
      <c r="AC463" s="1"/>
      <c r="AD463" s="1">
        <f t="shared" si="155"/>
        <v>0</v>
      </c>
      <c r="AE463" s="1">
        <f t="shared" si="156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275</v>
      </c>
      <c r="G464" s="35" t="s">
        <v>39</v>
      </c>
      <c r="H464" s="35" t="s">
        <v>357</v>
      </c>
      <c r="I464" s="34" t="s">
        <v>431</v>
      </c>
      <c r="J464" s="34">
        <v>5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R464" s="1"/>
      <c r="S464" s="1">
        <f t="shared" si="145"/>
        <v>0</v>
      </c>
      <c r="T464" s="1">
        <f t="shared" si="146"/>
        <v>0</v>
      </c>
      <c r="U464" s="1">
        <f t="shared" si="147"/>
        <v>0</v>
      </c>
      <c r="V464" s="1">
        <f t="shared" si="148"/>
        <v>0</v>
      </c>
      <c r="W464" s="1">
        <f t="shared" si="149"/>
        <v>1</v>
      </c>
      <c r="X464" s="1">
        <f t="shared" si="150"/>
        <v>0</v>
      </c>
      <c r="Y464" s="1">
        <f t="shared" si="151"/>
        <v>0</v>
      </c>
      <c r="Z464" s="1">
        <f t="shared" si="152"/>
        <v>0</v>
      </c>
      <c r="AA464" s="1">
        <f t="shared" si="153"/>
        <v>0</v>
      </c>
      <c r="AB464" s="1">
        <f t="shared" si="154"/>
        <v>0</v>
      </c>
      <c r="AC464" s="1"/>
      <c r="AD464" s="1">
        <f t="shared" si="155"/>
        <v>0</v>
      </c>
      <c r="AE464" s="1">
        <f t="shared" si="156"/>
        <v>1</v>
      </c>
      <c r="AF464" s="1">
        <f t="shared" si="161"/>
        <v>0</v>
      </c>
      <c r="AG464" s="1">
        <f t="shared" si="162"/>
        <v>0</v>
      </c>
      <c r="AH464" s="1">
        <f t="shared" si="163"/>
        <v>0</v>
      </c>
      <c r="AI464" s="1">
        <f t="shared" si="164"/>
        <v>0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279</v>
      </c>
      <c r="G465" s="35" t="s">
        <v>196</v>
      </c>
      <c r="H465" s="35" t="s">
        <v>357</v>
      </c>
      <c r="I465" s="34" t="s">
        <v>435</v>
      </c>
      <c r="J465" s="34">
        <v>9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R465" s="1"/>
      <c r="S465" s="1">
        <f>IF(J465=$S$7,1,0)</f>
        <v>0</v>
      </c>
      <c r="T465" s="1">
        <f>IF(J465=$T$7,1,0)</f>
        <v>0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1</v>
      </c>
      <c r="AB465" s="1">
        <f>IF(J465=$AB$7,1,0)</f>
        <v>0</v>
      </c>
      <c r="AC465" s="1"/>
      <c r="AD465" s="1">
        <f>+O465*P465</f>
        <v>0</v>
      </c>
      <c r="AE465" s="1">
        <f>O465*(1-P465)</f>
        <v>1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0</v>
      </c>
      <c r="AJ465" s="1"/>
    </row>
    <row r="466" spans="1:36" s="2" customFormat="1" ht="14.25" customHeight="1" x14ac:dyDescent="0.25">
      <c r="A466" s="47">
        <v>0</v>
      </c>
      <c r="B466" s="47">
        <v>2</v>
      </c>
      <c r="C466" s="47">
        <v>7</v>
      </c>
      <c r="D466" s="48" t="s">
        <v>1576</v>
      </c>
      <c r="E466" s="48" t="s">
        <v>28</v>
      </c>
      <c r="F466" s="48" t="s">
        <v>1577</v>
      </c>
      <c r="G466" s="48" t="s">
        <v>240</v>
      </c>
      <c r="H466" s="48" t="s">
        <v>357</v>
      </c>
      <c r="I466" s="47" t="s">
        <v>1710</v>
      </c>
      <c r="J466" s="47">
        <v>4</v>
      </c>
      <c r="K466" s="49" t="s">
        <v>720</v>
      </c>
      <c r="L466" s="49" t="s">
        <v>720</v>
      </c>
      <c r="M466" s="50" t="s">
        <v>738</v>
      </c>
      <c r="N466" s="50" t="s">
        <v>1750</v>
      </c>
      <c r="O466" s="51"/>
      <c r="P466" s="51"/>
      <c r="Q466" s="48"/>
      <c r="R466" s="1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1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C466" s="1"/>
      <c r="AD466" s="1">
        <f>+O466*P466</f>
        <v>0</v>
      </c>
      <c r="AE466" s="1">
        <f>O466*(1-P466)</f>
        <v>0</v>
      </c>
      <c r="AF466" s="1">
        <f t="shared" si="161"/>
        <v>0</v>
      </c>
      <c r="AG466" s="1">
        <f t="shared" si="162"/>
        <v>0</v>
      </c>
      <c r="AH466" s="1">
        <f t="shared" si="163"/>
        <v>0</v>
      </c>
      <c r="AI466" s="1">
        <f t="shared" si="164"/>
        <v>1</v>
      </c>
      <c r="AJ466" s="1"/>
    </row>
    <row r="467" spans="1:36" s="2" customFormat="1" ht="14.25" customHeight="1" x14ac:dyDescent="0.25">
      <c r="A467" s="47">
        <v>0</v>
      </c>
      <c r="B467" s="47">
        <v>2</v>
      </c>
      <c r="C467" s="47">
        <v>7</v>
      </c>
      <c r="D467" s="48" t="s">
        <v>63</v>
      </c>
      <c r="E467" s="48" t="s">
        <v>44</v>
      </c>
      <c r="F467" s="48" t="s">
        <v>238</v>
      </c>
      <c r="G467" s="48" t="s">
        <v>202</v>
      </c>
      <c r="H467" s="48" t="s">
        <v>357</v>
      </c>
      <c r="I467" s="47" t="s">
        <v>405</v>
      </c>
      <c r="J467" s="47">
        <v>2</v>
      </c>
      <c r="K467" s="49" t="s">
        <v>720</v>
      </c>
      <c r="L467" s="49" t="s">
        <v>729</v>
      </c>
      <c r="M467" s="50" t="s">
        <v>742</v>
      </c>
      <c r="N467" s="50" t="s">
        <v>1750</v>
      </c>
      <c r="O467" s="51"/>
      <c r="P467" s="51"/>
      <c r="Q467" s="48"/>
      <c r="R467" s="1"/>
      <c r="S467" s="1">
        <f>IF(J467=$S$7,1,0)</f>
        <v>0</v>
      </c>
      <c r="T467" s="1">
        <f>IF(J467=$T$7,1,0)</f>
        <v>1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161"/>
        <v>0</v>
      </c>
      <c r="AG467" s="1">
        <f t="shared" si="162"/>
        <v>0</v>
      </c>
      <c r="AH467" s="1">
        <f t="shared" si="163"/>
        <v>0</v>
      </c>
      <c r="AI467" s="1">
        <f t="shared" si="164"/>
        <v>1</v>
      </c>
      <c r="AJ467" s="1"/>
    </row>
    <row r="468" spans="1:36" s="2" customFormat="1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L468" s="10"/>
      <c r="M468" s="19"/>
      <c r="N468" s="17"/>
      <c r="O468" s="1"/>
      <c r="P468" s="1"/>
      <c r="Q468" s="20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spans="1:36" s="2" customFormat="1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L469" s="10"/>
      <c r="M469" s="19"/>
      <c r="N469" s="17"/>
      <c r="O469" s="1"/>
      <c r="P469" s="1"/>
      <c r="Q469" s="20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s="2" customFormat="1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L470" s="10"/>
      <c r="M470" s="19"/>
      <c r="N470" s="17"/>
      <c r="O470" s="1"/>
      <c r="P470" s="1"/>
      <c r="Q470" s="20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s="2" customFormat="1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L471" s="10"/>
      <c r="M471" s="19"/>
      <c r="N471" s="17"/>
      <c r="O471" s="1"/>
      <c r="P471" s="1"/>
      <c r="Q471" s="20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s="2" customFormat="1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L472" s="10"/>
      <c r="M472" s="19"/>
      <c r="N472" s="17"/>
      <c r="O472" s="1"/>
      <c r="P472" s="1"/>
      <c r="Q472" s="20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s="2" customFormat="1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L473" s="10"/>
      <c r="M473" s="19"/>
      <c r="N473" s="17"/>
      <c r="O473" s="1"/>
      <c r="P473" s="1"/>
      <c r="Q473" s="20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s="2" customFormat="1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L474" s="10"/>
      <c r="M474" s="19"/>
      <c r="N474" s="17"/>
      <c r="O474" s="1"/>
      <c r="P474" s="1"/>
      <c r="Q474" s="20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s="2" customFormat="1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L475" s="10"/>
      <c r="M475" s="19"/>
      <c r="N475" s="17"/>
      <c r="O475" s="1"/>
      <c r="P475" s="1"/>
      <c r="Q475" s="20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s="2" customFormat="1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L476" s="10"/>
      <c r="M476" s="19"/>
      <c r="N476" s="17"/>
      <c r="O476" s="1"/>
      <c r="P476" s="1"/>
      <c r="Q476" s="20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s="2" customFormat="1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L477" s="10"/>
      <c r="M477" s="19"/>
      <c r="N477" s="17"/>
      <c r="O477" s="1"/>
      <c r="P477" s="1"/>
      <c r="Q477" s="20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s="2" customFormat="1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L478" s="10"/>
      <c r="M478" s="19"/>
      <c r="N478" s="17"/>
      <c r="O478" s="1"/>
      <c r="P478" s="1"/>
      <c r="Q478" s="20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L770" s="10"/>
      <c r="M770" s="19"/>
      <c r="N770" s="17"/>
      <c r="O770" s="1"/>
      <c r="P770" s="1"/>
      <c r="Q770" s="16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7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</sheetData>
  <autoFilter ref="A7:Q467" xr:uid="{AEE30112-88BB-441D-AEFC-A7A733AB1798}">
    <sortState xmlns:xlrd2="http://schemas.microsoft.com/office/spreadsheetml/2017/richdata2" ref="A8:Q453">
      <sortCondition ref="B8:B453"/>
      <sortCondition ref="C8:C453"/>
      <sortCondition ref="D8:D453"/>
      <sortCondition ref="A8:A453"/>
    </sortState>
  </autoFilter>
  <sortState xmlns:xlrd2="http://schemas.microsoft.com/office/spreadsheetml/2017/richdata2" ref="A7:P467">
    <sortCondition ref="B8:B467"/>
    <sortCondition ref="C8:C467"/>
    <sortCondition ref="D8:D467"/>
    <sortCondition ref="A8:A46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2026-05-21T18:41:14Z</dcterms:modified>
</cp:coreProperties>
</file>