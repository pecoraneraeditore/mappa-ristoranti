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D2B2068-A918-40F5-B57D-AC6D0D4CCD3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golose'!$A$7:$Q$515</definedName>
    <definedName name="_xlnm.Print_Area" localSheetId="0">'Tavole e pause golose'!$D$7:$I$194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0" i="6" l="1"/>
  <c r="AE120" i="6"/>
  <c r="AF120" i="6"/>
  <c r="AG120" i="6"/>
  <c r="AH120" i="6"/>
  <c r="AI120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S121" i="6"/>
  <c r="T121" i="6"/>
  <c r="U121" i="6"/>
  <c r="V121" i="6"/>
  <c r="W121" i="6"/>
  <c r="X121" i="6"/>
  <c r="Y121" i="6"/>
  <c r="Z121" i="6"/>
  <c r="AA121" i="6"/>
  <c r="AB121" i="6"/>
  <c r="AD187" i="6"/>
  <c r="AE187" i="6"/>
  <c r="AF187" i="6"/>
  <c r="AG187" i="6"/>
  <c r="AH187" i="6"/>
  <c r="AI187" i="6"/>
  <c r="AD188" i="6"/>
  <c r="AE188" i="6"/>
  <c r="AF188" i="6"/>
  <c r="AG188" i="6"/>
  <c r="AH188" i="6"/>
  <c r="AI188" i="6"/>
  <c r="AD189" i="6"/>
  <c r="AE189" i="6"/>
  <c r="AF189" i="6"/>
  <c r="AG189" i="6"/>
  <c r="AH189" i="6"/>
  <c r="AI189" i="6"/>
  <c r="S187" i="6"/>
  <c r="AD153" i="6" l="1"/>
  <c r="AE153" i="6"/>
  <c r="AF153" i="6"/>
  <c r="AG153" i="6"/>
  <c r="AH153" i="6"/>
  <c r="AI153" i="6"/>
  <c r="AD154" i="6"/>
  <c r="AE154" i="6"/>
  <c r="AF154" i="6"/>
  <c r="AG154" i="6"/>
  <c r="AH154" i="6"/>
  <c r="AI154" i="6"/>
  <c r="AD155" i="6"/>
  <c r="AE155" i="6"/>
  <c r="AF155" i="6"/>
  <c r="AG155" i="6"/>
  <c r="AH155" i="6"/>
  <c r="AI155" i="6"/>
  <c r="S153" i="6"/>
  <c r="AD326" i="6"/>
  <c r="AE326" i="6"/>
  <c r="AF326" i="6"/>
  <c r="AG326" i="6"/>
  <c r="AH326" i="6"/>
  <c r="AI326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AD330" i="6"/>
  <c r="AE330" i="6"/>
  <c r="AF330" i="6"/>
  <c r="AG330" i="6"/>
  <c r="AH330" i="6"/>
  <c r="AI330" i="6"/>
  <c r="AD331" i="6"/>
  <c r="AE331" i="6"/>
  <c r="AF331" i="6"/>
  <c r="AG331" i="6"/>
  <c r="AH331" i="6"/>
  <c r="AI331" i="6"/>
  <c r="S328" i="6"/>
  <c r="AD174" i="6"/>
  <c r="AE174" i="6"/>
  <c r="AD175" i="6"/>
  <c r="AE175" i="6"/>
  <c r="AD176" i="6"/>
  <c r="AE176" i="6"/>
  <c r="S175" i="6"/>
  <c r="AF175" i="6"/>
  <c r="AG175" i="6"/>
  <c r="AH175" i="6"/>
  <c r="AI17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AD388" i="6"/>
  <c r="AE388" i="6"/>
  <c r="AF388" i="6"/>
  <c r="AG388" i="6"/>
  <c r="AH388" i="6"/>
  <c r="AI388" i="6"/>
  <c r="AD389" i="6"/>
  <c r="AE389" i="6"/>
  <c r="AF389" i="6"/>
  <c r="AG389" i="6"/>
  <c r="AH389" i="6"/>
  <c r="AI389" i="6"/>
  <c r="S386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S456" i="6"/>
  <c r="S234" i="6"/>
  <c r="S235" i="6"/>
  <c r="S236" i="6"/>
  <c r="AD235" i="6"/>
  <c r="AE235" i="6"/>
  <c r="AF235" i="6"/>
  <c r="AG235" i="6"/>
  <c r="AH235" i="6"/>
  <c r="AI235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S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4" i="6"/>
  <c r="S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F174" i="6"/>
  <c r="AG174" i="6"/>
  <c r="AH174" i="6"/>
  <c r="AI174" i="6"/>
  <c r="S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8" i="6"/>
  <c r="S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AD234" i="6"/>
  <c r="AE234" i="6"/>
  <c r="AF234" i="6"/>
  <c r="AG234" i="6"/>
  <c r="AH234" i="6"/>
  <c r="AI234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S327" i="6"/>
  <c r="S329" i="6"/>
  <c r="S330" i="6"/>
  <c r="S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7" i="6"/>
  <c r="S388" i="6"/>
  <c r="S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7" i="6"/>
  <c r="S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514" i="6"/>
  <c r="AD514" i="6"/>
  <c r="AE514" i="6"/>
  <c r="AF514" i="6"/>
  <c r="AG514" i="6"/>
  <c r="AH514" i="6"/>
  <c r="AI514" i="6"/>
  <c r="S515" i="6"/>
  <c r="AD515" i="6"/>
  <c r="AE515" i="6"/>
  <c r="AF515" i="6"/>
  <c r="AG515" i="6"/>
  <c r="AH515" i="6"/>
  <c r="AI515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53" i="6" l="1"/>
  <c r="T187" i="6"/>
  <c r="T175" i="6"/>
  <c r="T328" i="6"/>
  <c r="T456" i="6"/>
  <c r="T386" i="6"/>
  <c r="T234" i="6"/>
  <c r="T236" i="6"/>
  <c r="T235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5" i="6"/>
  <c r="T133" i="6"/>
  <c r="T143" i="6"/>
  <c r="T136" i="6"/>
  <c r="T122" i="6"/>
  <c r="T130" i="6"/>
  <c r="T142" i="6"/>
  <c r="T127" i="6"/>
  <c r="T141" i="6"/>
  <c r="T135" i="6"/>
  <c r="T124" i="6"/>
  <c r="T132" i="6"/>
  <c r="T140" i="6"/>
  <c r="T120" i="6"/>
  <c r="T129" i="6"/>
  <c r="T139" i="6"/>
  <c r="T126" i="6"/>
  <c r="T134" i="6"/>
  <c r="T138" i="6"/>
  <c r="T146" i="6"/>
  <c r="T147" i="6"/>
  <c r="T148" i="6"/>
  <c r="T149" i="6"/>
  <c r="T150" i="6"/>
  <c r="T151" i="6"/>
  <c r="T152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6" i="6"/>
  <c r="T177" i="6"/>
  <c r="T178" i="6"/>
  <c r="T179" i="6"/>
  <c r="T180" i="6"/>
  <c r="T181" i="6"/>
  <c r="T182" i="6"/>
  <c r="T183" i="6"/>
  <c r="T184" i="6"/>
  <c r="T185" i="6"/>
  <c r="T186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128" i="6"/>
  <c r="T137" i="6"/>
  <c r="T144" i="6"/>
  <c r="T227" i="6"/>
  <c r="T244" i="6"/>
  <c r="T226" i="6"/>
  <c r="T243" i="6"/>
  <c r="T123" i="6"/>
  <c r="T222" i="6"/>
  <c r="T225" i="6"/>
  <c r="T233" i="6"/>
  <c r="T242" i="6"/>
  <c r="T232" i="6"/>
  <c r="T241" i="6"/>
  <c r="T224" i="6"/>
  <c r="T231" i="6"/>
  <c r="T240" i="6"/>
  <c r="T145" i="6"/>
  <c r="T230" i="6"/>
  <c r="T239" i="6"/>
  <c r="T229" i="6"/>
  <c r="T238" i="6"/>
  <c r="T223" i="6"/>
  <c r="T228" i="6"/>
  <c r="T247" i="6"/>
  <c r="T263" i="6"/>
  <c r="T278" i="6"/>
  <c r="T294" i="6"/>
  <c r="T256" i="6"/>
  <c r="T272" i="6"/>
  <c r="T287" i="6"/>
  <c r="T303" i="6"/>
  <c r="T249" i="6"/>
  <c r="T265" i="6"/>
  <c r="T280" i="6"/>
  <c r="T296" i="6"/>
  <c r="T258" i="6"/>
  <c r="T273" i="6"/>
  <c r="T289" i="6"/>
  <c r="T305" i="6"/>
  <c r="T310" i="6"/>
  <c r="T314" i="6"/>
  <c r="T318" i="6"/>
  <c r="T322" i="6"/>
  <c r="T326" i="6"/>
  <c r="T251" i="6"/>
  <c r="T267" i="6"/>
  <c r="T282" i="6"/>
  <c r="T298" i="6"/>
  <c r="T260" i="6"/>
  <c r="T275" i="6"/>
  <c r="T291" i="6"/>
  <c r="T307" i="6"/>
  <c r="T253" i="6"/>
  <c r="T269" i="6"/>
  <c r="T284" i="6"/>
  <c r="T300" i="6"/>
  <c r="T246" i="6"/>
  <c r="T262" i="6"/>
  <c r="T277" i="6"/>
  <c r="T293" i="6"/>
  <c r="T309" i="6"/>
  <c r="T313" i="6"/>
  <c r="T317" i="6"/>
  <c r="T321" i="6"/>
  <c r="T325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7" i="6"/>
  <c r="T388" i="6"/>
  <c r="T389" i="6"/>
  <c r="T390" i="6"/>
  <c r="T131" i="6"/>
  <c r="T255" i="6"/>
  <c r="T271" i="6"/>
  <c r="T286" i="6"/>
  <c r="T302" i="6"/>
  <c r="T248" i="6"/>
  <c r="T264" i="6"/>
  <c r="T279" i="6"/>
  <c r="T295" i="6"/>
  <c r="T257" i="6"/>
  <c r="T288" i="6"/>
  <c r="T304" i="6"/>
  <c r="T250" i="6"/>
  <c r="T266" i="6"/>
  <c r="T281" i="6"/>
  <c r="T297" i="6"/>
  <c r="T312" i="6"/>
  <c r="T316" i="6"/>
  <c r="T320" i="6"/>
  <c r="T324" i="6"/>
  <c r="T329" i="6"/>
  <c r="T259" i="6"/>
  <c r="T274" i="6"/>
  <c r="T290" i="6"/>
  <c r="T306" i="6"/>
  <c r="T252" i="6"/>
  <c r="T268" i="6"/>
  <c r="T283" i="6"/>
  <c r="T299" i="6"/>
  <c r="T319" i="6"/>
  <c r="T396" i="6"/>
  <c r="T270" i="6"/>
  <c r="T315" i="6"/>
  <c r="T237" i="6"/>
  <c r="T311" i="6"/>
  <c r="T395" i="6"/>
  <c r="T276" i="6"/>
  <c r="T394" i="6"/>
  <c r="T285" i="6"/>
  <c r="T393" i="6"/>
  <c r="T292" i="6"/>
  <c r="T392" i="6"/>
  <c r="T301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399" i="6"/>
  <c r="T245" i="6"/>
  <c r="T308" i="6"/>
  <c r="T391" i="6"/>
  <c r="T398" i="6"/>
  <c r="T254" i="6"/>
  <c r="T327" i="6"/>
  <c r="T459" i="6"/>
  <c r="T397" i="6"/>
  <c r="T464" i="6"/>
  <c r="T452" i="6"/>
  <c r="T469" i="6"/>
  <c r="T323" i="6"/>
  <c r="T458" i="6"/>
  <c r="T463" i="6"/>
  <c r="T474" i="6"/>
  <c r="T479" i="6"/>
  <c r="T481" i="6"/>
  <c r="T485" i="6"/>
  <c r="T488" i="6"/>
  <c r="T491" i="6"/>
  <c r="T495" i="6"/>
  <c r="T497" i="6"/>
  <c r="T500" i="6"/>
  <c r="T504" i="6"/>
  <c r="T508" i="6"/>
  <c r="T510" i="6"/>
  <c r="T513" i="6"/>
  <c r="T451" i="6"/>
  <c r="T468" i="6"/>
  <c r="T476" i="6"/>
  <c r="T482" i="6"/>
  <c r="T487" i="6"/>
  <c r="T490" i="6"/>
  <c r="T494" i="6"/>
  <c r="T499" i="6"/>
  <c r="T502" i="6"/>
  <c r="T506" i="6"/>
  <c r="T509" i="6"/>
  <c r="T512" i="6"/>
  <c r="T514" i="6"/>
  <c r="T457" i="6"/>
  <c r="T475" i="6"/>
  <c r="T478" i="6"/>
  <c r="T480" i="6"/>
  <c r="T483" i="6"/>
  <c r="T486" i="6"/>
  <c r="T489" i="6"/>
  <c r="T492" i="6"/>
  <c r="T496" i="6"/>
  <c r="T498" i="6"/>
  <c r="T501" i="6"/>
  <c r="T505" i="6"/>
  <c r="T507" i="6"/>
  <c r="T511" i="6"/>
  <c r="T515" i="6"/>
  <c r="T462" i="6"/>
  <c r="T473" i="6"/>
  <c r="T477" i="6"/>
  <c r="T484" i="6"/>
  <c r="T493" i="6"/>
  <c r="T503" i="6"/>
  <c r="T470" i="6"/>
  <c r="T450" i="6"/>
  <c r="T467" i="6"/>
  <c r="T472" i="6"/>
  <c r="T261" i="6"/>
  <c r="T455" i="6"/>
  <c r="T461" i="6"/>
  <c r="T453" i="6"/>
  <c r="T449" i="6"/>
  <c r="T466" i="6"/>
  <c r="T454" i="6"/>
  <c r="T471" i="6"/>
  <c r="T460" i="6"/>
  <c r="T465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53" i="6" l="1"/>
  <c r="U187" i="6"/>
  <c r="U175" i="6"/>
  <c r="U328" i="6"/>
  <c r="U456" i="6"/>
  <c r="U386" i="6"/>
  <c r="U234" i="6"/>
  <c r="U236" i="6"/>
  <c r="U235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8" i="6"/>
  <c r="U137" i="6"/>
  <c r="U144" i="6"/>
  <c r="U112" i="6"/>
  <c r="U105" i="6"/>
  <c r="U125" i="6"/>
  <c r="U133" i="6"/>
  <c r="U143" i="6"/>
  <c r="U114" i="6"/>
  <c r="U136" i="6"/>
  <c r="U107" i="6"/>
  <c r="U122" i="6"/>
  <c r="U130" i="6"/>
  <c r="U142" i="6"/>
  <c r="U100" i="6"/>
  <c r="U116" i="6"/>
  <c r="U109" i="6"/>
  <c r="U127" i="6"/>
  <c r="U141" i="6"/>
  <c r="U102" i="6"/>
  <c r="U118" i="6"/>
  <c r="U135" i="6"/>
  <c r="U111" i="6"/>
  <c r="U124" i="6"/>
  <c r="U132" i="6"/>
  <c r="U140" i="6"/>
  <c r="U104" i="6"/>
  <c r="U113" i="6"/>
  <c r="U120" i="6"/>
  <c r="U129" i="6"/>
  <c r="U139" i="6"/>
  <c r="U106" i="6"/>
  <c r="U115" i="6"/>
  <c r="U126" i="6"/>
  <c r="U134" i="6"/>
  <c r="U110" i="6"/>
  <c r="U161" i="6"/>
  <c r="U178" i="6"/>
  <c r="U195" i="6"/>
  <c r="U211" i="6"/>
  <c r="U154" i="6"/>
  <c r="U170" i="6"/>
  <c r="U188" i="6"/>
  <c r="U204" i="6"/>
  <c r="U220" i="6"/>
  <c r="U227" i="6"/>
  <c r="U244" i="6"/>
  <c r="U146" i="6"/>
  <c r="U163" i="6"/>
  <c r="U180" i="6"/>
  <c r="U197" i="6"/>
  <c r="U213" i="6"/>
  <c r="U138" i="6"/>
  <c r="U156" i="6"/>
  <c r="U172" i="6"/>
  <c r="U190" i="6"/>
  <c r="U206" i="6"/>
  <c r="U226" i="6"/>
  <c r="U243" i="6"/>
  <c r="U123" i="6"/>
  <c r="U148" i="6"/>
  <c r="U165" i="6"/>
  <c r="U182" i="6"/>
  <c r="U199" i="6"/>
  <c r="U215" i="6"/>
  <c r="U222" i="6"/>
  <c r="U158" i="6"/>
  <c r="U174" i="6"/>
  <c r="U192" i="6"/>
  <c r="U208" i="6"/>
  <c r="U225" i="6"/>
  <c r="U233" i="6"/>
  <c r="U242" i="6"/>
  <c r="U150" i="6"/>
  <c r="U167" i="6"/>
  <c r="U184" i="6"/>
  <c r="U201" i="6"/>
  <c r="U217" i="6"/>
  <c r="U160" i="6"/>
  <c r="U177" i="6"/>
  <c r="U194" i="6"/>
  <c r="U210" i="6"/>
  <c r="U232" i="6"/>
  <c r="U241" i="6"/>
  <c r="U152" i="6"/>
  <c r="U169" i="6"/>
  <c r="U186" i="6"/>
  <c r="U203" i="6"/>
  <c r="U219" i="6"/>
  <c r="U162" i="6"/>
  <c r="U179" i="6"/>
  <c r="U196" i="6"/>
  <c r="U212" i="6"/>
  <c r="U224" i="6"/>
  <c r="U231" i="6"/>
  <c r="U240" i="6"/>
  <c r="U145" i="6"/>
  <c r="U155" i="6"/>
  <c r="U171" i="6"/>
  <c r="U189" i="6"/>
  <c r="U205" i="6"/>
  <c r="U221" i="6"/>
  <c r="U101" i="6"/>
  <c r="U147" i="6"/>
  <c r="U164" i="6"/>
  <c r="U181" i="6"/>
  <c r="U198" i="6"/>
  <c r="U214" i="6"/>
  <c r="U230" i="6"/>
  <c r="U239" i="6"/>
  <c r="U157" i="6"/>
  <c r="U173" i="6"/>
  <c r="U191" i="6"/>
  <c r="U207" i="6"/>
  <c r="U108" i="6"/>
  <c r="U149" i="6"/>
  <c r="U166" i="6"/>
  <c r="U183" i="6"/>
  <c r="U200" i="6"/>
  <c r="U216" i="6"/>
  <c r="U229" i="6"/>
  <c r="U238" i="6"/>
  <c r="U237" i="6"/>
  <c r="U254" i="6"/>
  <c r="U270" i="6"/>
  <c r="U285" i="6"/>
  <c r="U301" i="6"/>
  <c r="U311" i="6"/>
  <c r="U315" i="6"/>
  <c r="U319" i="6"/>
  <c r="U323" i="6"/>
  <c r="U327" i="6"/>
  <c r="U193" i="6"/>
  <c r="U228" i="6"/>
  <c r="U247" i="6"/>
  <c r="U263" i="6"/>
  <c r="U278" i="6"/>
  <c r="U294" i="6"/>
  <c r="U256" i="6"/>
  <c r="U272" i="6"/>
  <c r="U287" i="6"/>
  <c r="U303" i="6"/>
  <c r="U202" i="6"/>
  <c r="U249" i="6"/>
  <c r="U265" i="6"/>
  <c r="U280" i="6"/>
  <c r="U296" i="6"/>
  <c r="U258" i="6"/>
  <c r="U273" i="6"/>
  <c r="U289" i="6"/>
  <c r="U305" i="6"/>
  <c r="U310" i="6"/>
  <c r="U314" i="6"/>
  <c r="U318" i="6"/>
  <c r="U322" i="6"/>
  <c r="U326" i="6"/>
  <c r="U209" i="6"/>
  <c r="U251" i="6"/>
  <c r="U267" i="6"/>
  <c r="U282" i="6"/>
  <c r="U298" i="6"/>
  <c r="U260" i="6"/>
  <c r="U275" i="6"/>
  <c r="U291" i="6"/>
  <c r="U307" i="6"/>
  <c r="U151" i="6"/>
  <c r="U218" i="6"/>
  <c r="U253" i="6"/>
  <c r="U269" i="6"/>
  <c r="U284" i="6"/>
  <c r="U300" i="6"/>
  <c r="U246" i="6"/>
  <c r="U262" i="6"/>
  <c r="U277" i="6"/>
  <c r="U293" i="6"/>
  <c r="U309" i="6"/>
  <c r="U313" i="6"/>
  <c r="U317" i="6"/>
  <c r="U321" i="6"/>
  <c r="U325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131" i="6"/>
  <c r="U159" i="6"/>
  <c r="U255" i="6"/>
  <c r="U271" i="6"/>
  <c r="U286" i="6"/>
  <c r="U302" i="6"/>
  <c r="U248" i="6"/>
  <c r="U264" i="6"/>
  <c r="U279" i="6"/>
  <c r="U295" i="6"/>
  <c r="U168" i="6"/>
  <c r="U223" i="6"/>
  <c r="U257" i="6"/>
  <c r="U288" i="6"/>
  <c r="U304" i="6"/>
  <c r="U117" i="6"/>
  <c r="U250" i="6"/>
  <c r="U266" i="6"/>
  <c r="U281" i="6"/>
  <c r="U297" i="6"/>
  <c r="U312" i="6"/>
  <c r="U316" i="6"/>
  <c r="U320" i="6"/>
  <c r="U324" i="6"/>
  <c r="U329" i="6"/>
  <c r="U176" i="6"/>
  <c r="U259" i="6"/>
  <c r="U274" i="6"/>
  <c r="U290" i="6"/>
  <c r="U306" i="6"/>
  <c r="U261" i="6"/>
  <c r="U268" i="6"/>
  <c r="U185" i="6"/>
  <c r="U276" i="6"/>
  <c r="U283" i="6"/>
  <c r="U292" i="6"/>
  <c r="U2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399" i="6"/>
  <c r="U245" i="6"/>
  <c r="U308" i="6"/>
  <c r="U448" i="6"/>
  <c r="U453" i="6"/>
  <c r="U470" i="6"/>
  <c r="U459" i="6"/>
  <c r="U464" i="6"/>
  <c r="U452" i="6"/>
  <c r="U469" i="6"/>
  <c r="U465" i="6"/>
  <c r="U444" i="6"/>
  <c r="U458" i="6"/>
  <c r="U447" i="6"/>
  <c r="U463" i="6"/>
  <c r="U451" i="6"/>
  <c r="U468" i="6"/>
  <c r="U457" i="6"/>
  <c r="U46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514" i="6"/>
  <c r="U515" i="6"/>
  <c r="U252" i="6"/>
  <c r="U450" i="6"/>
  <c r="U467" i="6"/>
  <c r="U446" i="6"/>
  <c r="U455" i="6"/>
  <c r="U472" i="6"/>
  <c r="U445" i="6"/>
  <c r="U461" i="6"/>
  <c r="U449" i="6"/>
  <c r="U466" i="6"/>
  <c r="U454" i="6"/>
  <c r="U471" i="6"/>
  <c r="U460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153" i="6" l="1"/>
  <c r="V187" i="6"/>
  <c r="V175" i="6"/>
  <c r="V328" i="6"/>
  <c r="V456" i="6"/>
  <c r="V386" i="6"/>
  <c r="V234" i="6"/>
  <c r="V236" i="6"/>
  <c r="V235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8" i="6"/>
  <c r="V137" i="6"/>
  <c r="V144" i="6"/>
  <c r="V112" i="6"/>
  <c r="V105" i="6"/>
  <c r="V125" i="6"/>
  <c r="V133" i="6"/>
  <c r="V143" i="6"/>
  <c r="V114" i="6"/>
  <c r="V136" i="6"/>
  <c r="V107" i="6"/>
  <c r="V122" i="6"/>
  <c r="V130" i="6"/>
  <c r="V142" i="6"/>
  <c r="V100" i="6"/>
  <c r="V116" i="6"/>
  <c r="V109" i="6"/>
  <c r="V127" i="6"/>
  <c r="V141" i="6"/>
  <c r="V102" i="6"/>
  <c r="V118" i="6"/>
  <c r="V135" i="6"/>
  <c r="V111" i="6"/>
  <c r="V124" i="6"/>
  <c r="V132" i="6"/>
  <c r="V140" i="6"/>
  <c r="V104" i="6"/>
  <c r="V113" i="6"/>
  <c r="V120" i="6"/>
  <c r="V129" i="6"/>
  <c r="V139" i="6"/>
  <c r="V106" i="6"/>
  <c r="V101" i="6"/>
  <c r="V117" i="6"/>
  <c r="V123" i="6"/>
  <c r="V131" i="6"/>
  <c r="V145" i="6"/>
  <c r="V115" i="6"/>
  <c r="V151" i="6"/>
  <c r="V168" i="6"/>
  <c r="V185" i="6"/>
  <c r="V202" i="6"/>
  <c r="V218" i="6"/>
  <c r="V228" i="6"/>
  <c r="V237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9" i="6"/>
  <c r="V161" i="6"/>
  <c r="V178" i="6"/>
  <c r="V195" i="6"/>
  <c r="V211" i="6"/>
  <c r="V154" i="6"/>
  <c r="V170" i="6"/>
  <c r="V188" i="6"/>
  <c r="V204" i="6"/>
  <c r="V220" i="6"/>
  <c r="V227" i="6"/>
  <c r="V244" i="6"/>
  <c r="V146" i="6"/>
  <c r="V163" i="6"/>
  <c r="V180" i="6"/>
  <c r="V197" i="6"/>
  <c r="V213" i="6"/>
  <c r="V138" i="6"/>
  <c r="V156" i="6"/>
  <c r="V172" i="6"/>
  <c r="V190" i="6"/>
  <c r="V206" i="6"/>
  <c r="V226" i="6"/>
  <c r="V243" i="6"/>
  <c r="V134" i="6"/>
  <c r="V148" i="6"/>
  <c r="V165" i="6"/>
  <c r="V182" i="6"/>
  <c r="V199" i="6"/>
  <c r="V215" i="6"/>
  <c r="V222" i="6"/>
  <c r="V158" i="6"/>
  <c r="V174" i="6"/>
  <c r="V192" i="6"/>
  <c r="V208" i="6"/>
  <c r="V225" i="6"/>
  <c r="V233" i="6"/>
  <c r="V242" i="6"/>
  <c r="V150" i="6"/>
  <c r="V167" i="6"/>
  <c r="V184" i="6"/>
  <c r="V201" i="6"/>
  <c r="V217" i="6"/>
  <c r="V160" i="6"/>
  <c r="V177" i="6"/>
  <c r="V194" i="6"/>
  <c r="V210" i="6"/>
  <c r="V232" i="6"/>
  <c r="V241" i="6"/>
  <c r="V152" i="6"/>
  <c r="V169" i="6"/>
  <c r="V186" i="6"/>
  <c r="V203" i="6"/>
  <c r="V219" i="6"/>
  <c r="V126" i="6"/>
  <c r="V162" i="6"/>
  <c r="V179" i="6"/>
  <c r="V196" i="6"/>
  <c r="V212" i="6"/>
  <c r="V224" i="6"/>
  <c r="V231" i="6"/>
  <c r="V240" i="6"/>
  <c r="V155" i="6"/>
  <c r="V171" i="6"/>
  <c r="V189" i="6"/>
  <c r="V205" i="6"/>
  <c r="V221" i="6"/>
  <c r="V147" i="6"/>
  <c r="V164" i="6"/>
  <c r="V181" i="6"/>
  <c r="V198" i="6"/>
  <c r="V214" i="6"/>
  <c r="V230" i="6"/>
  <c r="V239" i="6"/>
  <c r="V157" i="6"/>
  <c r="V173" i="6"/>
  <c r="V191" i="6"/>
  <c r="V207" i="6"/>
  <c r="V183" i="6"/>
  <c r="V193" i="6"/>
  <c r="V200" i="6"/>
  <c r="V209" i="6"/>
  <c r="V149" i="6"/>
  <c r="V216" i="6"/>
  <c r="V238" i="6"/>
  <c r="V2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384" i="6"/>
  <c r="V159" i="6"/>
  <c r="V108" i="6"/>
  <c r="V166" i="6"/>
  <c r="V223" i="6"/>
  <c r="V396" i="6"/>
  <c r="V176" i="6"/>
  <c r="V389" i="6"/>
  <c r="V395" i="6"/>
  <c r="V394" i="6"/>
  <c r="V388" i="6"/>
  <c r="V393" i="6"/>
  <c r="V392" i="6"/>
  <c r="V387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391" i="6"/>
  <c r="V399" i="6"/>
  <c r="V398" i="6"/>
  <c r="V442" i="6"/>
  <c r="V445" i="6"/>
  <c r="V465" i="6"/>
  <c r="V459" i="6"/>
  <c r="V448" i="6"/>
  <c r="V453" i="6"/>
  <c r="V470" i="6"/>
  <c r="V397" i="6"/>
  <c r="V464" i="6"/>
  <c r="V452" i="6"/>
  <c r="V469" i="6"/>
  <c r="V493" i="6"/>
  <c r="V499" i="6"/>
  <c r="V507" i="6"/>
  <c r="V513" i="6"/>
  <c r="V444" i="6"/>
  <c r="V458" i="6"/>
  <c r="V492" i="6"/>
  <c r="V503" i="6"/>
  <c r="V511" i="6"/>
  <c r="V460" i="6"/>
  <c r="V441" i="6"/>
  <c r="V447" i="6"/>
  <c r="V463" i="6"/>
  <c r="V494" i="6"/>
  <c r="V500" i="6"/>
  <c r="V506" i="6"/>
  <c r="V510" i="6"/>
  <c r="V451" i="6"/>
  <c r="V468" i="6"/>
  <c r="V502" i="6"/>
  <c r="V508" i="6"/>
  <c r="V514" i="6"/>
  <c r="V457" i="6"/>
  <c r="V474" i="6"/>
  <c r="V476" i="6"/>
  <c r="V477" i="6"/>
  <c r="V479" i="6"/>
  <c r="V481" i="6"/>
  <c r="V483" i="6"/>
  <c r="V484" i="6"/>
  <c r="V486" i="6"/>
  <c r="V488" i="6"/>
  <c r="V489" i="6"/>
  <c r="V491" i="6"/>
  <c r="V496" i="6"/>
  <c r="V497" i="6"/>
  <c r="V501" i="6"/>
  <c r="V504" i="6"/>
  <c r="V509" i="6"/>
  <c r="V512" i="6"/>
  <c r="V462" i="6"/>
  <c r="V473" i="6"/>
  <c r="V475" i="6"/>
  <c r="V478" i="6"/>
  <c r="V480" i="6"/>
  <c r="V482" i="6"/>
  <c r="V485" i="6"/>
  <c r="V487" i="6"/>
  <c r="V490" i="6"/>
  <c r="V495" i="6"/>
  <c r="V498" i="6"/>
  <c r="V505" i="6"/>
  <c r="V515" i="6"/>
  <c r="V443" i="6"/>
  <c r="V450" i="6"/>
  <c r="V467" i="6"/>
  <c r="V446" i="6"/>
  <c r="V455" i="6"/>
  <c r="V472" i="6"/>
  <c r="V390" i="6"/>
  <c r="V461" i="6"/>
  <c r="V385" i="6"/>
  <c r="V449" i="6"/>
  <c r="V466" i="6"/>
  <c r="V471" i="6"/>
  <c r="V454" i="6"/>
  <c r="V13" i="6"/>
  <c r="V14" i="6"/>
  <c r="V12" i="6"/>
  <c r="V9" i="6"/>
  <c r="W7" i="6"/>
  <c r="V10" i="6"/>
  <c r="V11" i="6"/>
  <c r="V8" i="6"/>
  <c r="U5" i="6"/>
  <c r="H5" i="6"/>
  <c r="W153" i="6" l="1"/>
  <c r="W187" i="6"/>
  <c r="W175" i="6"/>
  <c r="W328" i="6"/>
  <c r="W456" i="6"/>
  <c r="W386" i="6"/>
  <c r="W234" i="6"/>
  <c r="W236" i="6"/>
  <c r="W235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5" i="6"/>
  <c r="W146" i="6"/>
  <c r="W147" i="6"/>
  <c r="W148" i="6"/>
  <c r="W149" i="6"/>
  <c r="W150" i="6"/>
  <c r="W151" i="6"/>
  <c r="W152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6" i="6"/>
  <c r="W177" i="6"/>
  <c r="W178" i="6"/>
  <c r="W179" i="6"/>
  <c r="W180" i="6"/>
  <c r="W181" i="6"/>
  <c r="W182" i="6"/>
  <c r="W183" i="6"/>
  <c r="W184" i="6"/>
  <c r="W185" i="6"/>
  <c r="W186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8" i="6"/>
  <c r="W237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9" i="6"/>
  <c r="W227" i="6"/>
  <c r="W244" i="6"/>
  <c r="W226" i="6"/>
  <c r="W243" i="6"/>
  <c r="W225" i="6"/>
  <c r="W233" i="6"/>
  <c r="W242" i="6"/>
  <c r="W232" i="6"/>
  <c r="W241" i="6"/>
  <c r="W224" i="6"/>
  <c r="W231" i="6"/>
  <c r="W240" i="6"/>
  <c r="W230" i="6"/>
  <c r="W239" i="6"/>
  <c r="W238" i="6"/>
  <c r="W2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4" i="6"/>
  <c r="W385" i="6"/>
  <c r="W390" i="6"/>
  <c r="W397" i="6"/>
  <c r="W396" i="6"/>
  <c r="W389" i="6"/>
  <c r="W395" i="6"/>
  <c r="W394" i="6"/>
  <c r="W388" i="6"/>
  <c r="W393" i="6"/>
  <c r="W392" i="6"/>
  <c r="W387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391" i="6"/>
  <c r="W399" i="6"/>
  <c r="W460" i="6"/>
  <c r="W465" i="6"/>
  <c r="W453" i="6"/>
  <c r="W470" i="6"/>
  <c r="W459" i="6"/>
  <c r="W464" i="6"/>
  <c r="W492" i="6"/>
  <c r="W502" i="6"/>
  <c r="W510" i="6"/>
  <c r="W452" i="6"/>
  <c r="W469" i="6"/>
  <c r="W493" i="6"/>
  <c r="W497" i="6"/>
  <c r="W503" i="6"/>
  <c r="W509" i="6"/>
  <c r="W514" i="6"/>
  <c r="W458" i="6"/>
  <c r="W490" i="6"/>
  <c r="W504" i="6"/>
  <c r="W511" i="6"/>
  <c r="W463" i="6"/>
  <c r="W495" i="6"/>
  <c r="W505" i="6"/>
  <c r="W513" i="6"/>
  <c r="W451" i="6"/>
  <c r="W468" i="6"/>
  <c r="W491" i="6"/>
  <c r="W499" i="6"/>
  <c r="W508" i="6"/>
  <c r="W515" i="6"/>
  <c r="W457" i="6"/>
  <c r="W496" i="6"/>
  <c r="W500" i="6"/>
  <c r="W506" i="6"/>
  <c r="W512" i="6"/>
  <c r="W398" i="6"/>
  <c r="W46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4" i="6"/>
  <c r="W498" i="6"/>
  <c r="W501" i="6"/>
  <c r="W507" i="6"/>
  <c r="W450" i="6"/>
  <c r="W467" i="6"/>
  <c r="W455" i="6"/>
  <c r="W472" i="6"/>
  <c r="W461" i="6"/>
  <c r="W449" i="6"/>
  <c r="W466" i="6"/>
  <c r="W454" i="6"/>
  <c r="W471" i="6"/>
  <c r="W13" i="6"/>
  <c r="W14" i="6"/>
  <c r="W12" i="6"/>
  <c r="W8" i="6"/>
  <c r="V5" i="6"/>
  <c r="X7" i="6"/>
  <c r="W10" i="6"/>
  <c r="W9" i="6"/>
  <c r="W11" i="6"/>
  <c r="X153" i="6" l="1"/>
  <c r="X187" i="6"/>
  <c r="X175" i="6"/>
  <c r="X328" i="6"/>
  <c r="X456" i="6"/>
  <c r="X386" i="6"/>
  <c r="X234" i="6"/>
  <c r="X236" i="6"/>
  <c r="X235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6" i="6"/>
  <c r="X177" i="6"/>
  <c r="X178" i="6"/>
  <c r="X179" i="6"/>
  <c r="X180" i="6"/>
  <c r="X181" i="6"/>
  <c r="X182" i="6"/>
  <c r="X183" i="6"/>
  <c r="X184" i="6"/>
  <c r="X185" i="6"/>
  <c r="X186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7" i="6"/>
  <c r="X308" i="6"/>
  <c r="X311" i="6"/>
  <c r="X315" i="6"/>
  <c r="X319" i="6"/>
  <c r="X323" i="6"/>
  <c r="X327" i="6"/>
  <c r="X310" i="6"/>
  <c r="X314" i="6"/>
  <c r="X318" i="6"/>
  <c r="X322" i="6"/>
  <c r="X326" i="6"/>
  <c r="X309" i="6"/>
  <c r="X313" i="6"/>
  <c r="X317" i="6"/>
  <c r="X321" i="6"/>
  <c r="X325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7" i="6"/>
  <c r="X388" i="6"/>
  <c r="X389" i="6"/>
  <c r="X390" i="6"/>
  <c r="X391" i="6"/>
  <c r="X312" i="6"/>
  <c r="X316" i="6"/>
  <c r="X320" i="6"/>
  <c r="X324" i="6"/>
  <c r="X329" i="6"/>
  <c r="X397" i="6"/>
  <c r="X396" i="6"/>
  <c r="X395" i="6"/>
  <c r="X394" i="6"/>
  <c r="X393" i="6"/>
  <c r="X392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399" i="6"/>
  <c r="X502" i="6"/>
  <c r="X509" i="6"/>
  <c r="X501" i="6"/>
  <c r="X511" i="6"/>
  <c r="X500" i="6"/>
  <c r="X508" i="6"/>
  <c r="X507" i="6"/>
  <c r="X514" i="6"/>
  <c r="X503" i="6"/>
  <c r="X510" i="6"/>
  <c r="X504" i="6"/>
  <c r="X515" i="6"/>
  <c r="X505" i="6"/>
  <c r="X513" i="6"/>
  <c r="X398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6" i="6"/>
  <c r="X512" i="6"/>
  <c r="X472" i="6"/>
  <c r="X13" i="6"/>
  <c r="X14" i="6"/>
  <c r="W5" i="6"/>
  <c r="X10" i="6"/>
  <c r="Y7" i="6"/>
  <c r="X9" i="6"/>
  <c r="X11" i="6"/>
  <c r="X12" i="6"/>
  <c r="X8" i="6"/>
  <c r="Y153" i="6" l="1"/>
  <c r="Y187" i="6"/>
  <c r="Y175" i="6"/>
  <c r="Y328" i="6"/>
  <c r="Y456" i="6"/>
  <c r="Y386" i="6"/>
  <c r="Y235" i="6"/>
  <c r="Y234" i="6"/>
  <c r="Y236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45" i="6"/>
  <c r="Y146" i="6"/>
  <c r="Y147" i="6"/>
  <c r="Y148" i="6"/>
  <c r="Y149" i="6"/>
  <c r="Y150" i="6"/>
  <c r="Y151" i="6"/>
  <c r="Y152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6" i="6"/>
  <c r="Y177" i="6"/>
  <c r="Y178" i="6"/>
  <c r="Y179" i="6"/>
  <c r="Y180" i="6"/>
  <c r="Y181" i="6"/>
  <c r="Y182" i="6"/>
  <c r="Y183" i="6"/>
  <c r="Y184" i="6"/>
  <c r="Y185" i="6"/>
  <c r="Y186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7" i="6"/>
  <c r="Y238" i="6"/>
  <c r="Y239" i="6"/>
  <c r="Y240" i="6"/>
  <c r="Y241" i="6"/>
  <c r="Y242" i="6"/>
  <c r="Y243" i="6"/>
  <c r="Y244" i="6"/>
  <c r="Y137" i="6"/>
  <c r="Y144" i="6"/>
  <c r="Y143" i="6"/>
  <c r="Y136" i="6"/>
  <c r="Y142" i="6"/>
  <c r="Y141" i="6"/>
  <c r="Y135" i="6"/>
  <c r="Y140" i="6"/>
  <c r="Y139" i="6"/>
  <c r="Y138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307" i="6"/>
  <c r="Y308" i="6"/>
  <c r="Y134" i="6"/>
  <c r="Y311" i="6"/>
  <c r="Y315" i="6"/>
  <c r="Y319" i="6"/>
  <c r="Y323" i="6"/>
  <c r="Y327" i="6"/>
  <c r="Y310" i="6"/>
  <c r="Y314" i="6"/>
  <c r="Y318" i="6"/>
  <c r="Y322" i="6"/>
  <c r="Y326" i="6"/>
  <c r="Y309" i="6"/>
  <c r="Y313" i="6"/>
  <c r="Y317" i="6"/>
  <c r="Y321" i="6"/>
  <c r="Y325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82" i="6"/>
  <c r="Y383" i="6"/>
  <c r="Y398" i="6"/>
  <c r="Y385" i="6"/>
  <c r="Y390" i="6"/>
  <c r="Y397" i="6"/>
  <c r="Y396" i="6"/>
  <c r="Y384" i="6"/>
  <c r="Y389" i="6"/>
  <c r="Y329" i="6"/>
  <c r="Y395" i="6"/>
  <c r="Y324" i="6"/>
  <c r="Y320" i="6"/>
  <c r="Y394" i="6"/>
  <c r="Y316" i="6"/>
  <c r="Y388" i="6"/>
  <c r="Y312" i="6"/>
  <c r="Y393" i="6"/>
  <c r="Y392" i="6"/>
  <c r="Y387" i="6"/>
  <c r="Y404" i="6"/>
  <c r="Y419" i="6"/>
  <c r="Y435" i="6"/>
  <c r="Y454" i="6"/>
  <c r="Y471" i="6"/>
  <c r="Y413" i="6"/>
  <c r="Y428" i="6"/>
  <c r="Y442" i="6"/>
  <c r="Y445" i="6"/>
  <c r="Y460" i="6"/>
  <c r="Y406" i="6"/>
  <c r="Y421" i="6"/>
  <c r="Y437" i="6"/>
  <c r="Y448" i="6"/>
  <c r="Y465" i="6"/>
  <c r="Y415" i="6"/>
  <c r="Y430" i="6"/>
  <c r="Y453" i="6"/>
  <c r="Y470" i="6"/>
  <c r="Y391" i="6"/>
  <c r="Y399" i="6"/>
  <c r="Y408" i="6"/>
  <c r="Y423" i="6"/>
  <c r="Y439" i="6"/>
  <c r="Y459" i="6"/>
  <c r="Y502" i="6"/>
  <c r="Y505" i="6"/>
  <c r="Y514" i="6"/>
  <c r="Y401" i="6"/>
  <c r="Y432" i="6"/>
  <c r="Y464" i="6"/>
  <c r="Y500" i="6"/>
  <c r="Y508" i="6"/>
  <c r="Y410" i="6"/>
  <c r="Y425" i="6"/>
  <c r="Y444" i="6"/>
  <c r="Y452" i="6"/>
  <c r="Y469" i="6"/>
  <c r="Y501" i="6"/>
  <c r="Y506" i="6"/>
  <c r="Y403" i="6"/>
  <c r="Y418" i="6"/>
  <c r="Y434" i="6"/>
  <c r="Y441" i="6"/>
  <c r="Y447" i="6"/>
  <c r="Y458" i="6"/>
  <c r="Y495" i="6"/>
  <c r="Y511" i="6"/>
  <c r="Y412" i="6"/>
  <c r="Y427" i="6"/>
  <c r="Y463" i="6"/>
  <c r="Y499" i="6"/>
  <c r="Y507" i="6"/>
  <c r="Y405" i="6"/>
  <c r="Y420" i="6"/>
  <c r="Y436" i="6"/>
  <c r="Y451" i="6"/>
  <c r="Y468" i="6"/>
  <c r="Y498" i="6"/>
  <c r="Y510" i="6"/>
  <c r="Y414" i="6"/>
  <c r="Y429" i="6"/>
  <c r="Y457" i="6"/>
  <c r="Y497" i="6"/>
  <c r="Y509" i="6"/>
  <c r="Y407" i="6"/>
  <c r="Y422" i="6"/>
  <c r="Y438" i="6"/>
  <c r="Y443" i="6"/>
  <c r="Y462" i="6"/>
  <c r="Y503" i="6"/>
  <c r="Y512" i="6"/>
  <c r="Y515" i="6"/>
  <c r="Y400" i="6"/>
  <c r="Y416" i="6"/>
  <c r="Y431" i="6"/>
  <c r="Y446" i="6"/>
  <c r="Y450" i="6"/>
  <c r="Y467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6" i="6"/>
  <c r="Y504" i="6"/>
  <c r="Y513" i="6"/>
  <c r="Y426" i="6"/>
  <c r="Y409" i="6"/>
  <c r="Y424" i="6"/>
  <c r="Y440" i="6"/>
  <c r="Y455" i="6"/>
  <c r="Y449" i="6"/>
  <c r="Y402" i="6"/>
  <c r="Y417" i="6"/>
  <c r="Y433" i="6"/>
  <c r="Y461" i="6"/>
  <c r="Y472" i="6"/>
  <c r="Y411" i="6"/>
  <c r="Y466" i="6"/>
  <c r="Y13" i="6"/>
  <c r="Y14" i="6"/>
  <c r="Y12" i="6"/>
  <c r="Y9" i="6"/>
  <c r="Y8" i="6"/>
  <c r="Y10" i="6"/>
  <c r="Y11" i="6"/>
  <c r="Z7" i="6"/>
  <c r="X5" i="6"/>
  <c r="Z153" i="6" l="1"/>
  <c r="Z187" i="6"/>
  <c r="Z175" i="6"/>
  <c r="Z328" i="6"/>
  <c r="Z456" i="6"/>
  <c r="Z386" i="6"/>
  <c r="Z235" i="6"/>
  <c r="Z234" i="6"/>
  <c r="Z236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99" i="6"/>
  <c r="Z138" i="6"/>
  <c r="Z145" i="6"/>
  <c r="Z146" i="6"/>
  <c r="Z147" i="6"/>
  <c r="Z148" i="6"/>
  <c r="Z149" i="6"/>
  <c r="Z150" i="6"/>
  <c r="Z151" i="6"/>
  <c r="Z152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6" i="6"/>
  <c r="Z177" i="6"/>
  <c r="Z178" i="6"/>
  <c r="Z179" i="6"/>
  <c r="Z180" i="6"/>
  <c r="Z181" i="6"/>
  <c r="Z182" i="6"/>
  <c r="Z183" i="6"/>
  <c r="Z184" i="6"/>
  <c r="Z185" i="6"/>
  <c r="Z186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137" i="6"/>
  <c r="Z144" i="6"/>
  <c r="Z143" i="6"/>
  <c r="Z136" i="6"/>
  <c r="Z142" i="6"/>
  <c r="Z141" i="6"/>
  <c r="Z135" i="6"/>
  <c r="Z140" i="6"/>
  <c r="Z229" i="6"/>
  <c r="Z238" i="6"/>
  <c r="Z228" i="6"/>
  <c r="Z237" i="6"/>
  <c r="Z227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307" i="6"/>
  <c r="Z308" i="6"/>
  <c r="Z226" i="6"/>
  <c r="Z243" i="6"/>
  <c r="Z225" i="6"/>
  <c r="Z233" i="6"/>
  <c r="Z242" i="6"/>
  <c r="Z232" i="6"/>
  <c r="Z241" i="6"/>
  <c r="Z139" i="6"/>
  <c r="Z231" i="6"/>
  <c r="Z240" i="6"/>
  <c r="Z239" i="6"/>
  <c r="Z230" i="6"/>
  <c r="Z311" i="6"/>
  <c r="Z315" i="6"/>
  <c r="Z319" i="6"/>
  <c r="Z323" i="6"/>
  <c r="Z327" i="6"/>
  <c r="Z310" i="6"/>
  <c r="Z314" i="6"/>
  <c r="Z318" i="6"/>
  <c r="Z322" i="6"/>
  <c r="Z326" i="6"/>
  <c r="Z309" i="6"/>
  <c r="Z313" i="6"/>
  <c r="Z317" i="6"/>
  <c r="Z321" i="6"/>
  <c r="Z325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329" i="6"/>
  <c r="Z324" i="6"/>
  <c r="Z320" i="6"/>
  <c r="Z316" i="6"/>
  <c r="Z312" i="6"/>
  <c r="Z411" i="6"/>
  <c r="Z426" i="6"/>
  <c r="Z449" i="6"/>
  <c r="Z466" i="6"/>
  <c r="Z404" i="6"/>
  <c r="Z419" i="6"/>
  <c r="Z435" i="6"/>
  <c r="Z454" i="6"/>
  <c r="Z471" i="6"/>
  <c r="Z460" i="6"/>
  <c r="Z413" i="6"/>
  <c r="Z428" i="6"/>
  <c r="Z442" i="6"/>
  <c r="Z445" i="6"/>
  <c r="Z406" i="6"/>
  <c r="Z421" i="6"/>
  <c r="Z437" i="6"/>
  <c r="Z448" i="6"/>
  <c r="Z465" i="6"/>
  <c r="Z415" i="6"/>
  <c r="Z430" i="6"/>
  <c r="Z453" i="6"/>
  <c r="Z470" i="6"/>
  <c r="Z408" i="6"/>
  <c r="Z423" i="6"/>
  <c r="Z439" i="6"/>
  <c r="Z459" i="6"/>
  <c r="Z401" i="6"/>
  <c r="Z432" i="6"/>
  <c r="Z464" i="6"/>
  <c r="Z469" i="6"/>
  <c r="Z461" i="6"/>
  <c r="Z410" i="6"/>
  <c r="Z425" i="6"/>
  <c r="Z444" i="6"/>
  <c r="Z452" i="6"/>
  <c r="Z403" i="6"/>
  <c r="Z418" i="6"/>
  <c r="Z434" i="6"/>
  <c r="Z441" i="6"/>
  <c r="Z447" i="6"/>
  <c r="Z458" i="6"/>
  <c r="Z412" i="6"/>
  <c r="Z427" i="6"/>
  <c r="Z463" i="6"/>
  <c r="Z405" i="6"/>
  <c r="Z420" i="6"/>
  <c r="Z436" i="6"/>
  <c r="Z451" i="6"/>
  <c r="Z468" i="6"/>
  <c r="Z417" i="6"/>
  <c r="Z414" i="6"/>
  <c r="Z429" i="6"/>
  <c r="Z457" i="6"/>
  <c r="Z402" i="6"/>
  <c r="Z472" i="6"/>
  <c r="Z407" i="6"/>
  <c r="Z422" i="6"/>
  <c r="Z438" i="6"/>
  <c r="Z443" i="6"/>
  <c r="Z462" i="6"/>
  <c r="Z400" i="6"/>
  <c r="Z416" i="6"/>
  <c r="Z431" i="6"/>
  <c r="Z446" i="6"/>
  <c r="Z450" i="6"/>
  <c r="Z467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514" i="6"/>
  <c r="Z515" i="6"/>
  <c r="Z409" i="6"/>
  <c r="Z424" i="6"/>
  <c r="Z440" i="6"/>
  <c r="Z455" i="6"/>
  <c r="Z433" i="6"/>
  <c r="Z13" i="6"/>
  <c r="Z14" i="6"/>
  <c r="Z12" i="6"/>
  <c r="Z8" i="6"/>
  <c r="Y5" i="6"/>
  <c r="AA7" i="6"/>
  <c r="Z10" i="6"/>
  <c r="Z9" i="6"/>
  <c r="Z11" i="6"/>
  <c r="AA153" i="6" l="1"/>
  <c r="AA187" i="6"/>
  <c r="AA175" i="6"/>
  <c r="AA328" i="6"/>
  <c r="AA456" i="6"/>
  <c r="AA386" i="6"/>
  <c r="AA235" i="6"/>
  <c r="AA234" i="6"/>
  <c r="AA236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99" i="6"/>
  <c r="AA138" i="6"/>
  <c r="AA145" i="6"/>
  <c r="AA146" i="6"/>
  <c r="AA147" i="6"/>
  <c r="AA148" i="6"/>
  <c r="AA149" i="6"/>
  <c r="AA150" i="6"/>
  <c r="AA151" i="6"/>
  <c r="AA152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6" i="6"/>
  <c r="AA177" i="6"/>
  <c r="AA178" i="6"/>
  <c r="AA179" i="6"/>
  <c r="AA180" i="6"/>
  <c r="AA181" i="6"/>
  <c r="AA182" i="6"/>
  <c r="AA183" i="6"/>
  <c r="AA184" i="6"/>
  <c r="AA185" i="6"/>
  <c r="AA186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137" i="6"/>
  <c r="AA144" i="6"/>
  <c r="AA98" i="6"/>
  <c r="AA143" i="6"/>
  <c r="AA136" i="6"/>
  <c r="AA142" i="6"/>
  <c r="AA141" i="6"/>
  <c r="AA140" i="6"/>
  <c r="AA229" i="6"/>
  <c r="AA238" i="6"/>
  <c r="AA228" i="6"/>
  <c r="AA237" i="6"/>
  <c r="AA227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9" i="6"/>
  <c r="AA226" i="6"/>
  <c r="AA243" i="6"/>
  <c r="AA225" i="6"/>
  <c r="AA233" i="6"/>
  <c r="AA242" i="6"/>
  <c r="AA232" i="6"/>
  <c r="AA241" i="6"/>
  <c r="AA139" i="6"/>
  <c r="AA231" i="6"/>
  <c r="AA240" i="6"/>
  <c r="AA239" i="6"/>
  <c r="AA230" i="6"/>
  <c r="AA339" i="6"/>
  <c r="AA355" i="6"/>
  <c r="AA371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332" i="6"/>
  <c r="AA348" i="6"/>
  <c r="AA364" i="6"/>
  <c r="AA380" i="6"/>
  <c r="AA398" i="6"/>
  <c r="AA341" i="6"/>
  <c r="AA357" i="6"/>
  <c r="AA373" i="6"/>
  <c r="AA385" i="6"/>
  <c r="AA390" i="6"/>
  <c r="AA334" i="6"/>
  <c r="AA350" i="6"/>
  <c r="AA366" i="6"/>
  <c r="AA382" i="6"/>
  <c r="AA397" i="6"/>
  <c r="AA343" i="6"/>
  <c r="AA359" i="6"/>
  <c r="AA375" i="6"/>
  <c r="AA336" i="6"/>
  <c r="AA352" i="6"/>
  <c r="AA368" i="6"/>
  <c r="AA396" i="6"/>
  <c r="AA345" i="6"/>
  <c r="AA361" i="6"/>
  <c r="AA377" i="6"/>
  <c r="AA384" i="6"/>
  <c r="AA389" i="6"/>
  <c r="AA338" i="6"/>
  <c r="AA354" i="6"/>
  <c r="AA370" i="6"/>
  <c r="AA395" i="6"/>
  <c r="AA331" i="6"/>
  <c r="AA347" i="6"/>
  <c r="AA363" i="6"/>
  <c r="AA379" i="6"/>
  <c r="AA340" i="6"/>
  <c r="AA356" i="6"/>
  <c r="AA372" i="6"/>
  <c r="AA394" i="6"/>
  <c r="AA333" i="6"/>
  <c r="AA349" i="6"/>
  <c r="AA365" i="6"/>
  <c r="AA381" i="6"/>
  <c r="AA388" i="6"/>
  <c r="AA342" i="6"/>
  <c r="AA358" i="6"/>
  <c r="AA374" i="6"/>
  <c r="AA393" i="6"/>
  <c r="AA335" i="6"/>
  <c r="AA351" i="6"/>
  <c r="AA367" i="6"/>
  <c r="AA383" i="6"/>
  <c r="AA344" i="6"/>
  <c r="AA360" i="6"/>
  <c r="AA376" i="6"/>
  <c r="AA392" i="6"/>
  <c r="AA337" i="6"/>
  <c r="AA346" i="6"/>
  <c r="AA353" i="6"/>
  <c r="AA387" i="6"/>
  <c r="AA391" i="6"/>
  <c r="AA362" i="6"/>
  <c r="AA330" i="6"/>
  <c r="AA369" i="6"/>
  <c r="AA378" i="6"/>
  <c r="AA473" i="6"/>
  <c r="AA475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500" i="6"/>
  <c r="AA501" i="6"/>
  <c r="AA504" i="6"/>
  <c r="AA506" i="6"/>
  <c r="AA509" i="6"/>
  <c r="AA511" i="6"/>
  <c r="AA513" i="6"/>
  <c r="AA515" i="6"/>
  <c r="AA474" i="6"/>
  <c r="AA477" i="6"/>
  <c r="AA479" i="6"/>
  <c r="AA481" i="6"/>
  <c r="AA483" i="6"/>
  <c r="AA485" i="6"/>
  <c r="AA487" i="6"/>
  <c r="AA489" i="6"/>
  <c r="AA491" i="6"/>
  <c r="AA493" i="6"/>
  <c r="AA495" i="6"/>
  <c r="AA497" i="6"/>
  <c r="AA499" i="6"/>
  <c r="AA502" i="6"/>
  <c r="AA503" i="6"/>
  <c r="AA505" i="6"/>
  <c r="AA507" i="6"/>
  <c r="AA508" i="6"/>
  <c r="AA510" i="6"/>
  <c r="AA512" i="6"/>
  <c r="AA514" i="6"/>
  <c r="AA13" i="6"/>
  <c r="AA14" i="6"/>
  <c r="AA11" i="6"/>
  <c r="Z5" i="6"/>
  <c r="AA8" i="6"/>
  <c r="AA10" i="6"/>
  <c r="AA12" i="6"/>
  <c r="AA9" i="6"/>
  <c r="AB7" i="6"/>
  <c r="AB153" i="6" l="1"/>
  <c r="AB187" i="6"/>
  <c r="AB175" i="6"/>
  <c r="AB328" i="6"/>
  <c r="AB456" i="6"/>
  <c r="AB386" i="6"/>
  <c r="AB235" i="6"/>
  <c r="AB234" i="6"/>
  <c r="AB236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45" i="6"/>
  <c r="AB146" i="6"/>
  <c r="AB147" i="6"/>
  <c r="AB148" i="6"/>
  <c r="AB149" i="6"/>
  <c r="AB150" i="6"/>
  <c r="AB151" i="6"/>
  <c r="AB152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6" i="6"/>
  <c r="AB177" i="6"/>
  <c r="AB178" i="6"/>
  <c r="AB179" i="6"/>
  <c r="AB180" i="6"/>
  <c r="AB181" i="6"/>
  <c r="AB182" i="6"/>
  <c r="AB183" i="6"/>
  <c r="AB184" i="6"/>
  <c r="AB185" i="6"/>
  <c r="AB186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144" i="6"/>
  <c r="AB143" i="6"/>
  <c r="AB142" i="6"/>
  <c r="AB141" i="6"/>
  <c r="AB139" i="6"/>
  <c r="AB230" i="6"/>
  <c r="AB239" i="6"/>
  <c r="AB229" i="6"/>
  <c r="AB238" i="6"/>
  <c r="AB228" i="6"/>
  <c r="AB237" i="6"/>
  <c r="AB140" i="6"/>
  <c r="AB227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9" i="6"/>
  <c r="AB226" i="6"/>
  <c r="AB243" i="6"/>
  <c r="AB225" i="6"/>
  <c r="AB233" i="6"/>
  <c r="AB242" i="6"/>
  <c r="AB224" i="6"/>
  <c r="AB232" i="6"/>
  <c r="AB241" i="6"/>
  <c r="AB240" i="6"/>
  <c r="AB231" i="6"/>
  <c r="AB330" i="6"/>
  <c r="AB346" i="6"/>
  <c r="AB362" i="6"/>
  <c r="AB378" i="6"/>
  <c r="AB391" i="6"/>
  <c r="AB339" i="6"/>
  <c r="AB355" i="6"/>
  <c r="AB371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332" i="6"/>
  <c r="AB348" i="6"/>
  <c r="AB364" i="6"/>
  <c r="AB380" i="6"/>
  <c r="AB398" i="6"/>
  <c r="AB341" i="6"/>
  <c r="AB357" i="6"/>
  <c r="AB373" i="6"/>
  <c r="AB385" i="6"/>
  <c r="AB390" i="6"/>
  <c r="AB334" i="6"/>
  <c r="AB350" i="6"/>
  <c r="AB366" i="6"/>
  <c r="AB382" i="6"/>
  <c r="AB397" i="6"/>
  <c r="AB343" i="6"/>
  <c r="AB359" i="6"/>
  <c r="AB375" i="6"/>
  <c r="AB336" i="6"/>
  <c r="AB352" i="6"/>
  <c r="AB368" i="6"/>
  <c r="AB396" i="6"/>
  <c r="AB345" i="6"/>
  <c r="AB361" i="6"/>
  <c r="AB377" i="6"/>
  <c r="AB384" i="6"/>
  <c r="AB389" i="6"/>
  <c r="AB338" i="6"/>
  <c r="AB354" i="6"/>
  <c r="AB370" i="6"/>
  <c r="AB395" i="6"/>
  <c r="AB331" i="6"/>
  <c r="AB347" i="6"/>
  <c r="AB363" i="6"/>
  <c r="AB379" i="6"/>
  <c r="AB340" i="6"/>
  <c r="AB356" i="6"/>
  <c r="AB372" i="6"/>
  <c r="AB394" i="6"/>
  <c r="AB333" i="6"/>
  <c r="AB349" i="6"/>
  <c r="AB365" i="6"/>
  <c r="AB381" i="6"/>
  <c r="AB388" i="6"/>
  <c r="AB342" i="6"/>
  <c r="AB358" i="6"/>
  <c r="AB374" i="6"/>
  <c r="AB393" i="6"/>
  <c r="AB335" i="6"/>
  <c r="AB351" i="6"/>
  <c r="AB367" i="6"/>
  <c r="AB383" i="6"/>
  <c r="AB479" i="6"/>
  <c r="AB503" i="6"/>
  <c r="AB476" i="6"/>
  <c r="AB504" i="6"/>
  <c r="AB337" i="6"/>
  <c r="AB487" i="6"/>
  <c r="AB502" i="6"/>
  <c r="AB491" i="6"/>
  <c r="AB513" i="6"/>
  <c r="AB344" i="6"/>
  <c r="AB478" i="6"/>
  <c r="AB508" i="6"/>
  <c r="AB512" i="6"/>
  <c r="AB353" i="6"/>
  <c r="AB387" i="6"/>
  <c r="AB507" i="6"/>
  <c r="AB482" i="6"/>
  <c r="AB490" i="6"/>
  <c r="AB498" i="6"/>
  <c r="AB510" i="6"/>
  <c r="AB360" i="6"/>
  <c r="AB497" i="6"/>
  <c r="AB477" i="6"/>
  <c r="AB488" i="6"/>
  <c r="AB499" i="6"/>
  <c r="AB514" i="6"/>
  <c r="AB369" i="6"/>
  <c r="AB474" i="6"/>
  <c r="AB483" i="6"/>
  <c r="AB489" i="6"/>
  <c r="AB496" i="6"/>
  <c r="AB501" i="6"/>
  <c r="AB511" i="6"/>
  <c r="AB485" i="6"/>
  <c r="AB495" i="6"/>
  <c r="AB505" i="6"/>
  <c r="AB515" i="6"/>
  <c r="AB376" i="6"/>
  <c r="AB473" i="6"/>
  <c r="AB481" i="6"/>
  <c r="AB486" i="6"/>
  <c r="AB493" i="6"/>
  <c r="AB500" i="6"/>
  <c r="AB509" i="6"/>
  <c r="AB392" i="6"/>
  <c r="AB492" i="6"/>
  <c r="AB475" i="6"/>
  <c r="AB480" i="6"/>
  <c r="AB484" i="6"/>
  <c r="AB494" i="6"/>
  <c r="AB506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<sst xmlns="http://schemas.openxmlformats.org/spreadsheetml/2006/main" count="4942" uniqueCount="2164">
  <si>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</si>
  <si>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</si>
  <si>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</si>
  <si>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</si>
  <si>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</si>
  <si>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</si>
  <si>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</si>
  <si>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</si>
  <si>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</si>
  <si>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</si>
  <si>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</si>
  <si>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</si>
  <si>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</si>
  <si>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</si>
  <si>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</si>
  <si>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</si>
  <si>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</si>
  <si>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</si>
  <si>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</si>
  <si>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</si>
  <si>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</si>
  <si>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</si>
  <si>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</si>
  <si>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</si>
  <si>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</si>
  <si>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</si>
  <si>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</si>
  <si>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</si>
  <si>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</si>
  <si>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</si>
  <si>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</si>
  <si>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</si>
  <si>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</si>
  <si>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</si>
  <si>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</si>
  <si>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</si>
  <si>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</si>
  <si>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</si>
  <si>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</si>
  <si>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</si>
  <si>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</si>
  <si>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</si>
  <si>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</si>
  <si>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</si>
  <si>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</si>
  <si>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</si>
  <si>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</si>
  <si>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</si>
  <si>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</si>
  <si>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</si>
  <si>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</si>
  <si>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</si>
  <si>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</si>
  <si>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</si>
  <si>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</si>
  <si>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</si>
  <si>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</si>
  <si>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</si>
  <si>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</si>
  <si>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</si>
  <si>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</si>
  <si>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</si>
  <si>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</si>
  <si>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</si>
  <si>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</si>
  <si>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</si>
  <si>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</si>
  <si>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</si>
  <si>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</si>
  <si>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</si>
  <si>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</si>
  <si>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</si>
  <si>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</si>
  <si>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</si>
  <si>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</si>
  <si>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</si>
  <si>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</si>
  <si>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</si>
  <si>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</si>
  <si>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</si>
  <si>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</si>
  <si>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</si>
  <si>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</si>
  <si>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</si>
  <si>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</si>
  <si>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</si>
  <si>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</si>
  <si>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</si>
  <si>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</si>
  <si>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</si>
  <si>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</si>
  <si>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</si>
  <si>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</si>
  <si>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</si>
  <si>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</si>
  <si>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</si>
  <si>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</si>
  <si>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</si>
  <si>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</si>
  <si>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</si>
  <si>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</si>
  <si>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</si>
  <si>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</si>
  <si>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</si>
  <si>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</si>
  <si>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</si>
  <si>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</si>
  <si>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</si>
  <si>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</si>
  <si>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</si>
  <si>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</si>
  <si>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</si>
  <si>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</si>
  <si>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</si>
  <si>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</si>
  <si>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</si>
  <si>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</si>
  <si>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</si>
  <si>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</si>
  <si>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</si>
  <si>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</si>
  <si>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</si>
  <si>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</si>
  <si>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</si>
  <si>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</si>
  <si>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</si>
  <si>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</si>
  <si>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</si>
  <si>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</si>
  <si>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</si>
  <si>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</si>
  <si>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</si>
  <si>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</si>
  <si>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</si>
  <si>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</si>
  <si>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</si>
  <si>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</si>
  <si>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</si>
  <si>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</si>
  <si>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</si>
  <si>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</si>
  <si>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</si>
  <si>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</si>
  <si>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</si>
  <si>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</si>
  <si>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</si>
  <si>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</si>
  <si>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</si>
  <si>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</si>
  <si>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</si>
  <si>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</si>
  <si>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</si>
  <si>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</si>
  <si>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</si>
  <si>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</si>
  <si>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</si>
  <si>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</si>
  <si>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</si>
  <si>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</si>
  <si>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</si>
  <si>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</si>
  <si>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</si>
  <si>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</si>
  <si>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</si>
  <si>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</si>
  <si>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</si>
  <si>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</si>
  <si>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</si>
  <si>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</si>
  <si>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</si>
  <si>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</si>
  <si>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</si>
  <si>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</si>
  <si>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</si>
  <si>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</si>
  <si>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</si>
  <si>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</si>
  <si>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</si>
  <si>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</si>
  <si>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</si>
  <si>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</si>
  <si>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</si>
  <si>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</si>
  <si>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</si>
  <si>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</si>
  <si>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</si>
  <si>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</si>
  <si>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</si>
  <si>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</si>
  <si>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</si>
  <si>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</si>
  <si>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</si>
  <si>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</si>
  <si>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</si>
  <si>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</si>
  <si>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</si>
  <si>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</si>
  <si>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</si>
  <si>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</si>
  <si>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</si>
  <si>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</si>
  <si>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</si>
  <si>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</si>
  <si>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</si>
  <si>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</si>
  <si>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</si>
  <si>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</si>
  <si>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</si>
  <si>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</si>
  <si>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</si>
  <si>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</si>
  <si>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</si>
  <si>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</si>
  <si>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</si>
  <si>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</si>
  <si>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</si>
  <si>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</si>
  <si>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</si>
  <si>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</si>
  <si>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</si>
  <si>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</si>
  <si>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</si>
  <si>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</si>
  <si>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</si>
  <si>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</si>
  <si>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</si>
  <si>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</si>
  <si>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</si>
  <si>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</si>
  <si>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</si>
  <si>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</si>
  <si>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</si>
  <si>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</si>
  <si>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</si>
  <si>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</si>
  <si>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</si>
  <si>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</si>
  <si>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</si>
  <si>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</si>
  <si>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</si>
  <si>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</si>
  <si>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</si>
  <si>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</si>
  <si>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</si>
  <si>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</si>
  <si>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</si>
  <si>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</si>
  <si>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</si>
  <si>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</si>
  <si>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</si>
  <si>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</si>
  <si>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</si>
  <si>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</si>
  <si>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</si>
  <si>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</si>
  <si>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</si>
  <si>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</si>
  <si>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</si>
  <si>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</si>
  <si>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</si>
  <si>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</si>
  <si>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</si>
  <si>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</si>
  <si>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</si>
  <si>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</si>
  <si>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</si>
  <si>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</si>
  <si>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</si>
  <si>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</si>
  <si>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</si>
  <si>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</si>
  <si>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</si>
  <si>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</si>
  <si>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</si>
  <si>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</si>
  <si>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</si>
  <si>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</si>
  <si>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</si>
  <si>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</si>
  <si>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</si>
  <si>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</si>
  <si>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</si>
  <si>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</si>
  <si>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</si>
  <si>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</si>
  <si>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</si>
  <si>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</si>
  <si>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</si>
  <si>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</si>
  <si>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</si>
  <si>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</si>
  <si>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</si>
  <si>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</si>
  <si>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</si>
  <si>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</si>
  <si>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</si>
  <si>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</si>
  <si>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</si>
  <si>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</si>
  <si>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</si>
  <si>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</si>
  <si>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</si>
  <si>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</si>
  <si>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</si>
  <si>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</si>
  <si>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</si>
  <si>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</si>
  <si>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</si>
  <si>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</si>
  <si>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</si>
  <si>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</si>
  <si>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</si>
  <si>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</si>
  <si>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</si>
  <si>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</si>
  <si>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</si>
  <si>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</si>
  <si>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</si>
  <si>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</si>
  <si>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</si>
  <si>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</si>
  <si>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</si>
  <si>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</si>
  <si>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</si>
  <si>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</si>
  <si>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</si>
  <si>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</si>
  <si>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</si>
  <si>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</si>
  <si>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</si>
  <si>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</si>
  <si>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</si>
  <si>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</si>
  <si>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</si>
  <si>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</si>
  <si>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</si>
  <si>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</si>
  <si>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</si>
  <si>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</si>
  <si>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</si>
  <si>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</si>
  <si>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</si>
  <si>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</si>
  <si>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</si>
  <si>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</si>
  <si>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</si>
  <si>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</si>
  <si>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</si>
  <si>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</si>
  <si>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</si>
  <si>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</si>
  <si>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</si>
  <si>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</si>
  <si>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</si>
  <si>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</si>
  <si>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</si>
  <si>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</si>
  <si>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</si>
  <si>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</si>
  <si>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</si>
  <si>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</si>
  <si>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</si>
  <si>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</si>
  <si>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</si>
  <si>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</si>
  <si>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</si>
  <si>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</si>
  <si>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</si>
  <si>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</si>
  <si>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</si>
  <si>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</si>
  <si>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</si>
  <si>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</si>
  <si>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</si>
  <si>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</si>
  <si>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</si>
  <si>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</si>
  <si>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</si>
  <si>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</si>
  <si>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</si>
  <si>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</si>
  <si>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</si>
  <si>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</si>
  <si>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</si>
  <si>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</si>
  <si>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</si>
  <si>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</si>
  <si>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</si>
  <si>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</si>
  <si>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</si>
  <si>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</si>
  <si>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</si>
  <si>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</si>
  <si>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</si>
  <si>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</si>
  <si>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</si>
  <si>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</si>
  <si>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</si>
  <si>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</si>
  <si>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</si>
  <si>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</si>
  <si>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</si>
  <si>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</si>
  <si>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</si>
  <si>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</si>
  <si>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</si>
  <si>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</si>
  <si>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</si>
  <si>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</si>
  <si>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</si>
  <si>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</si>
  <si>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</si>
  <si>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</si>
  <si>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</si>
  <si>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</si>
  <si>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</si>
  <si>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</si>
  <si>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</si>
  <si>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</si>
  <si>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</si>
  <si>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</si>
  <si>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</si>
  <si>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</si>
  <si>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</si>
  <si>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</si>
  <si>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</si>
  <si>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</si>
  <si>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</si>
  <si>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</si>
  <si>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</si>
  <si>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</si>
  <si>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</si>
  <si>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</si>
  <si>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</si>
  <si>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</si>
  <si>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</si>
  <si>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</si>
  <si>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</si>
  <si>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</si>
  <si>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</si>
  <si>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</si>
  <si>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</si>
  <si>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</si>
  <si>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</si>
  <si>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</si>
  <si>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</si>
  <si>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</si>
  <si>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</si>
  <si>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</si>
  <si>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</si>
  <si>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</si>
  <si>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</si>
  <si>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</si>
  <si>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</si>
  <si>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</si>
  <si>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</si>
  <si>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</si>
  <si>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</si>
  <si>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</si>
  <si>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</si>
  <si>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</si>
  <si>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</si>
  <si>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</si>
  <si>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</si>
  <si>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</si>
  <si>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</si>
  <si>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</si>
  <si>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</si>
  <si>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</si>
  <si>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</si>
  <si>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</si>
  <si>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</si>
  <si>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</si>
  <si>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</si>
  <si>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</si>
  <si>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</si>
  <si>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</si>
  <si>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</si>
  <si>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</si>
  <si>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</si>
  <si>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</si>
  <si>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</si>
  <si>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</si>
  <si>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</si>
  <si>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</si>
  <si>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</si>
  <si>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</si>
  <si>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</si>
  <si>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</si>
  <si>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</si>
  <si>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</si>
  <si>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</si>
  <si>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</si>
  <si>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</si>
  <si>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</si>
  <si>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</si>
  <si>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</si>
  <si>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</si>
  <si>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</si>
  <si>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</si>
  <si>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</si>
  <si>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</si>
  <si>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</si>
  <si>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</si>
  <si>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</si>
  <si>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</si>
  <si>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</si>
  <si>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</si>
  <si>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</si>
  <si>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</si>
  <si>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</si>
  <si>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</si>
  <si>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</si>
  <si>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</si>
  <si>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</si>
  <si>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</si>
  <si>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</si>
  <si>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</si>
  <si>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</si>
  <si>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</si>
  <si>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</si>
  <si>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</si>
  <si>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</si>
  <si>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</si>
  <si>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</si>
  <si>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</si>
  <si>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</si>
  <si>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</si>
  <si>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</si>
  <si>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</si>
  <si>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</si>
  <si>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</si>
  <si>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</si>
  <si>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</si>
  <si>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</si>
  <si>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</si>
  <si>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</si>
  <si>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</si>
  <si>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</si>
  <si>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</si>
  <si>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</si>
  <si>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</si>
  <si>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</si>
  <si>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</si>
  <si>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</si>
  <si>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</si>
  <si>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</si>
  <si>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</si>
  <si>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</si>
  <si>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</si>
  <si>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</si>
  <si>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</si>
  <si>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</si>
  <si>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</si>
  <si>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</si>
  <si>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</si>
  <si>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</si>
  <si>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</si>
  <si>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</si>
  <si>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</si>
  <si>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</si>
  <si>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</si>
  <si>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</si>
  <si>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</si>
  <si>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</si>
  <si>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</si>
  <si>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</si>
  <si>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</si>
  <si>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</si>
  <si>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</si>
  <si>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</si>
  <si>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</si>
  <si>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</si>
  <si>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</si>
  <si>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</si>
  <si>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</si>
  <si>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</si>
  <si>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</si>
  <si>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</si>
  <si>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</si>
  <si>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</si>
  <si>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</si>
  <si>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</si>
  <si>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</si>
  <si>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</si>
  <si>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</si>
  <si>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</si>
  <si>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</si>
  <si>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</si>
  <si>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</si>
  <si>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</si>
  <si>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</si>
  <si>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</si>
  <si>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</si>
  <si>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</si>
  <si>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</si>
  <si>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</si>
  <si>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</si>
  <si>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</si>
  <si>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</si>
  <si>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</si>
  <si>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</si>
  <si>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</si>
  <si>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</si>
  <si>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</si>
  <si>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</si>
  <si>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</si>
  <si>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</si>
  <si>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</si>
  <si>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</si>
  <si>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</si>
  <si>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</si>
  <si>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</si>
  <si>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</si>
  <si>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</si>
  <si>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</si>
  <si>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</si>
  <si>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</si>
  <si>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</si>
  <si>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</si>
  <si>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</si>
  <si>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</si>
  <si>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</si>
  <si>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</si>
  <si>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</si>
  <si>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</si>
  <si>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</si>
  <si>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</si>
  <si>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</si>
  <si>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</si>
  <si>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</si>
  <si>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</si>
  <si>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</si>
  <si>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</si>
  <si>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</si>
  <si>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</si>
  <si>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</si>
  <si>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</si>
  <si>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</si>
  <si>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</si>
  <si>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</si>
  <si>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</si>
  <si>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</si>
  <si>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</si>
  <si>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</si>
  <si>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</si>
  <si>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</si>
  <si>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</si>
  <si>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</si>
  <si>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</si>
  <si>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</si>
  <si>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</si>
  <si>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</si>
  <si>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</si>
  <si>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</si>
  <si>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</si>
  <si>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</si>
  <si>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</si>
  <si>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</si>
  <si>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</si>
  <si>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</si>
  <si>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</si>
  <si>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</si>
  <si>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</si>
  <si>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</si>
  <si>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</si>
  <si>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</si>
  <si>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</si>
  <si>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</si>
  <si>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</si>
  <si>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</si>
  <si>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</si>
  <si>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</si>
  <si>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</si>
  <si>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</si>
  <si>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</si>
  <si>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</si>
  <si>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</si>
  <si>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</si>
  <si>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</si>
  <si>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</si>
  <si>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</si>
  <si>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</si>
  <si>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</si>
  <si>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</si>
  <si>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</si>
  <si>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</si>
  <si>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</si>
  <si>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</si>
  <si>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</si>
  <si>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</si>
  <si>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</si>
  <si>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</si>
  <si>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</si>
  <si>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</si>
  <si>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</si>
  <si>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</si>
  <si>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</si>
  <si>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</si>
  <si>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</si>
  <si>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</si>
  <si>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</si>
  <si>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</si>
  <si>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</si>
  <si>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</si>
  <si>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</si>
  <si>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</si>
  <si>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</si>
  <si>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</si>
  <si>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</si>
  <si>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</si>
  <si>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</si>
  <si>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</si>
  <si>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</si>
  <si>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</si>
  <si>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</si>
  <si>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</si>
  <si>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</si>
  <si>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</si>
  <si>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</si>
  <si>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</si>
  <si>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</si>
  <si>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</si>
  <si>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</si>
  <si>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</si>
  <si>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</si>
  <si>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</si>
  <si>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</si>
  <si>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</si>
  <si>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</si>
  <si>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</si>
  <si>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</si>
  <si>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</si>
  <si>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</si>
  <si>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</si>
  <si>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</si>
  <si>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</si>
  <si>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</si>
  <si>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</si>
  <si>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</si>
  <si>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</si>
  <si>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</si>
  <si>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</si>
  <si>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</si>
  <si>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</si>
  <si>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</si>
  <si>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</si>
  <si>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</si>
  <si>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</si>
  <si>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</si>
  <si>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</si>
  <si>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</si>
  <si>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</si>
  <si>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</si>
  <si>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</si>
  <si>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</si>
  <si>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</si>
  <si>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</si>
  <si>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</si>
  <si>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</si>
  <si>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</si>
  <si>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</si>
  <si>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</si>
  <si>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</si>
  <si>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</si>
  <si>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</si>
  <si>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</si>
  <si>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</si>
  <si>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</si>
  <si>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</si>
  <si>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</si>
  <si>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</si>
  <si>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</si>
  <si>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</si>
  <si>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</si>
  <si>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</si>
  <si>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</si>
  <si>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</si>
  <si>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</si>
  <si>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</si>
  <si>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</si>
  <si>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</si>
  <si>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</si>
  <si>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</si>
  <si>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</si>
  <si>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</si>
  <si>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</si>
  <si>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</si>
  <si>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</si>
  <si>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</si>
  <si>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</si>
  <si>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</si>
  <si>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</si>
  <si>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</si>
  <si>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</si>
  <si>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</si>
  <si>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</si>
  <si>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</si>
  <si>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</si>
  <si>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</si>
  <si>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</si>
  <si>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</si>
  <si>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</si>
  <si>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</si>
  <si>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</si>
  <si>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</si>
  <si>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</si>
  <si>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</si>
  <si>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</si>
  <si>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</si>
  <si>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</si>
  <si>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</si>
  <si>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</si>
  <si>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</si>
  <si>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</si>
  <si>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</si>
  <si>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</si>
  <si>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</si>
  <si>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</si>
  <si>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</si>
  <si>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</si>
  <si>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</si>
  <si>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</si>
  <si>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</si>
  <si>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</si>
  <si>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</si>
  <si>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</si>
  <si>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</si>
  <si>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</si>
  <si>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</si>
  <si>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</si>
  <si>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</si>
  <si>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</si>
  <si>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</si>
  <si>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</si>
  <si>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</si>
  <si>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</si>
  <si>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</si>
  <si>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</si>
  <si>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</si>
  <si>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</si>
  <si>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</si>
  <si>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</si>
  <si>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</si>
  <si>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</si>
  <si>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</si>
  <si>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</si>
  <si>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</si>
  <si>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</si>
  <si>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</si>
  <si>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</si>
  <si>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</si>
  <si>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</si>
  <si>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</si>
  <si>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</si>
  <si>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</si>
  <si>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</si>
  <si>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</si>
  <si>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</si>
  <si>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</si>
  <si>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</si>
  <si>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</si>
  <si>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</si>
  <si>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</si>
  <si>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</si>
  <si>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</si>
  <si>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</si>
  <si>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</si>
  <si>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</si>
  <si>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</si>
  <si>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</si>
  <si>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</si>
  <si>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</si>
  <si>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</si>
  <si>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</si>
  <si>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</si>
  <si>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</si>
  <si>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</si>
  <si>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</si>
  <si>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</si>
  <si>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</si>
  <si>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</si>
  <si>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</si>
  <si>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</si>
  <si>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</si>
  <si>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</si>
  <si>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</si>
  <si>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</si>
  <si>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</si>
  <si>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</si>
  <si>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</si>
  <si>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</si>
  <si>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</si>
  <si>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</si>
  <si>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</si>
  <si>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</si>
  <si>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</si>
  <si>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</si>
  <si>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</si>
  <si>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</si>
  <si>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</si>
  <si>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</si>
  <si>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</si>
  <si>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</si>
  <si>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</si>
  <si>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</si>
  <si>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</si>
  <si>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</si>
  <si>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</si>
  <si>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</si>
  <si>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</si>
  <si>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</si>
  <si>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</si>
  <si>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</si>
  <si>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</si>
  <si>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</si>
  <si>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</si>
  <si>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</si>
  <si>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</si>
  <si>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</si>
  <si>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</si>
  <si>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</si>
  <si>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</si>
  <si>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</si>
  <si>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</si>
  <si>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</si>
  <si>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</si>
  <si>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</si>
  <si>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</si>
  <si>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</si>
  <si>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</si>
  <si>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</si>
  <si>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</si>
  <si>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</si>
  <si>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</si>
  <si>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</si>
  <si>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</si>
  <si>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</si>
  <si>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</si>
  <si>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</si>
  <si>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</si>
  <si>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</si>
  <si>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</si>
  <si>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</si>
  <si>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</si>
  <si>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</si>
  <si>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</si>
  <si>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</si>
  <si>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</si>
  <si>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</si>
  <si>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</si>
  <si>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</si>
  <si>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</si>
  <si>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</si>
  <si>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</si>
  <si>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</si>
  <si>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</si>
  <si>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</si>
  <si>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</si>
  <si>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</si>
  <si>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</si>
  <si>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</si>
  <si>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</si>
  <si>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</si>
  <si>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</si>
  <si>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</si>
  <si>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</si>
  <si>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</si>
  <si>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</si>
  <si>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</si>
  <si>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</si>
  <si>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</si>
  <si>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</si>
  <si>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</si>
  <si>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</si>
  <si>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</si>
  <si>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</si>
  <si>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</si>
  <si>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</si>
  <si>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</si>
  <si>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</si>
  <si>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</si>
  <si>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</si>
  <si>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</si>
  <si>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</si>
  <si>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</si>
  <si>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</si>
  <si>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</si>
  <si>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</si>
  <si>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</si>
  <si>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</si>
  <si>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</si>
  <si>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</si>
  <si>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</si>
  <si>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</si>
  <si>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</si>
  <si>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</si>
  <si>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</si>
  <si>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</si>
  <si>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</si>
  <si>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</si>
  <si>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</si>
  <si>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</si>
  <si>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</si>
  <si>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</si>
  <si>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</si>
  <si>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</si>
  <si>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</si>
  <si>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</si>
  <si>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</si>
  <si>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</si>
  <si>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</si>
  <si>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</si>
  <si>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</si>
  <si>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</si>
  <si>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</si>
  <si>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</si>
  <si>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</si>
  <si>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</si>
  <si>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</si>
  <si>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</si>
  <si>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</si>
  <si>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</si>
  <si>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</si>
  <si>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</si>
  <si>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</si>
  <si>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</si>
  <si>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</si>
  <si>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</si>
  <si>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</si>
  <si>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</si>
  <si>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</si>
  <si>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</si>
  <si>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</si>
  <si>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</si>
  <si>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</si>
  <si>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</si>
  <si>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</si>
  <si>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</si>
  <si>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</si>
  <si>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</si>
  <si>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</si>
  <si>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</si>
  <si>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</si>
  <si>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</si>
  <si>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</si>
  <si>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</si>
  <si>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</si>
  <si>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</si>
  <si>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</si>
  <si>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</si>
  <si>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</si>
  <si>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</si>
  <si>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</si>
  <si>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</si>
  <si>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</si>
  <si>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</si>
  <si>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</si>
  <si>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</si>
  <si>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</si>
  <si>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</si>
  <si>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</si>
  <si>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</si>
  <si>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</si>
  <si>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</si>
  <si>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</si>
  <si>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</si>
  <si>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</si>
  <si>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</si>
  <si>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</si>
  <si>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</si>
  <si>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</si>
  <si>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</si>
  <si>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</si>
  <si>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</si>
  <si>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</si>
  <si>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</si>
  <si>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</si>
  <si>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</si>
  <si>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</si>
  <si>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</si>
  <si>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</si>
  <si>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</si>
  <si>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</si>
  <si>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</si>
  <si>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</si>
  <si>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</si>
  <si>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</si>
  <si>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</si>
  <si>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</si>
  <si>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</si>
  <si>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</si>
  <si>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</si>
  <si>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</si>
  <si>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</si>
  <si>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</si>
  <si>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</si>
  <si>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</si>
  <si>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</si>
  <si>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</si>
  <si>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</si>
  <si>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</si>
  <si>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</si>
  <si>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</si>
  <si>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</si>
  <si>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</si>
  <si>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</si>
  <si>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</si>
  <si>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</si>
  <si>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</si>
  <si>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</si>
  <si>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</si>
  <si>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</si>
  <si>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</si>
  <si>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</si>
  <si>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</si>
  <si>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</si>
  <si>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</si>
  <si>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</si>
  <si>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</si>
  <si>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</si>
  <si>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</si>
  <si>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</si>
  <si>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</si>
  <si>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</si>
  <si>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</si>
  <si>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</si>
  <si>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</si>
  <si>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</si>
  <si>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</si>
  <si>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</si>
  <si>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</si>
  <si>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</si>
  <si>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</si>
  <si>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</si>
  <si>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</si>
  <si>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</si>
  <si>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</si>
  <si>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</si>
  <si>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</si>
  <si>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</si>
  <si>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</si>
  <si>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</si>
  <si>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</si>
  <si>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</si>
  <si>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</si>
  <si>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</si>
  <si>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</si>
  <si>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</si>
  <si>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</si>
  <si>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</si>
  <si>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</si>
  <si>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</si>
  <si>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</si>
  <si>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</si>
  <si>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</si>
  <si>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</si>
  <si>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</si>
  <si>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</si>
  <si>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</si>
  <si>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</si>
  <si>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</si>
  <si>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</si>
  <si>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</si>
  <si>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</si>
  <si>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</si>
  <si>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</si>
  <si>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</si>
  <si>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</si>
  <si>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</si>
  <si>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</si>
  <si>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</si>
  <si>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</si>
  <si>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</si>
  <si>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</si>
  <si>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</si>
  <si>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</si>
  <si>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</si>
  <si>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</si>
  <si>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</si>
  <si>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</si>
  <si>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</si>
  <si>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</si>
  <si>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</si>
  <si>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</si>
  <si>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</si>
  <si>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</si>
  <si>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</si>
  <si>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</si>
  <si>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</si>
  <si>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</si>
  <si>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</si>
  <si>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</si>
  <si>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</si>
  <si>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</si>
  <si>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</si>
  <si>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</si>
  <si>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</si>
  <si>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</si>
  <si>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</si>
  <si>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</si>
  <si>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</si>
  <si>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</si>
  <si>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</si>
  <si>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</si>
  <si>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</si>
  <si>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</si>
  <si>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</si>
  <si>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</si>
  <si>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</si>
  <si>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</si>
  <si>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</si>
  <si>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</si>
  <si>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</si>
  <si>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</si>
  <si>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</si>
  <si>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</si>
  <si>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</si>
  <si>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</si>
  <si>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</si>
  <si>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</si>
  <si>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</si>
  <si>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</si>
  <si>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</si>
  <si>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</si>
  <si>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</si>
  <si>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</si>
  <si>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</si>
  <si>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</si>
  <si>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</si>
  <si>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</si>
  <si>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</si>
  <si>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</si>
  <si>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</si>
  <si>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</si>
  <si>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</si>
  <si>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</si>
  <si>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</si>
  <si>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</si>
  <si>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</si>
  <si>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</si>
  <si>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</si>
  <si>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</si>
  <si>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</si>
  <si>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</si>
  <si>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</si>
  <si>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</si>
  <si>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</si>
  <si>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</si>
  <si>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</si>
  <si>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</si>
  <si>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</si>
  <si>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</si>
  <si>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</si>
  <si>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</si>
  <si>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</si>
  <si>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</si>
  <si>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</si>
  <si>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</si>
  <si>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</si>
  <si>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</si>
  <si>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</si>
  <si>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</si>
  <si>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</si>
  <si>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</si>
  <si>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</si>
  <si>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</si>
  <si>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</si>
  <si>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</si>
  <si>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</si>
  <si>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</si>
  <si>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</si>
  <si>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</si>
  <si>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</si>
  <si>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</si>
  <si>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</si>
  <si>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</si>
  <si>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</si>
  <si>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</si>
  <si>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</si>
  <si>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</si>
  <si>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</si>
  <si>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</si>
  <si>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</si>
  <si>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</si>
  <si>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</si>
  <si>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</si>
  <si>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</si>
  <si>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</si>
  <si>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</si>
  <si>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</si>
  <si>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</si>
  <si>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</si>
  <si>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</si>
  <si>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</si>
  <si>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</si>
  <si>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</si>
  <si>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</si>
  <si>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</si>
  <si>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</si>
  <si>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</si>
  <si>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</si>
  <si>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</si>
  <si>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</si>
  <si>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</si>
  <si>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</si>
  <si>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</si>
  <si>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</si>
  <si>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</si>
  <si>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</si>
  <si>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</si>
  <si>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</si>
  <si>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</si>
  <si>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</si>
  <si>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</si>
  <si>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</si>
  <si>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</si>
  <si>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</si>
  <si>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</si>
  <si>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</si>
  <si>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</si>
  <si>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</si>
  <si>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</si>
  <si>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</si>
  <si>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</si>
  <si>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</si>
  <si>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</si>
  <si>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</si>
  <si>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</si>
  <si>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</si>
  <si>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</si>
  <si>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</si>
  <si>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</si>
  <si>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</si>
  <si>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</si>
  <si>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</si>
  <si>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</si>
  <si>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</si>
  <si>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</si>
  <si>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</si>
  <si>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</si>
  <si>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</si>
  <si>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</si>
  <si>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</si>
  <si>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</si>
  <si>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</si>
  <si>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</si>
  <si>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</si>
  <si>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</si>
  <si>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</si>
  <si>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</si>
  <si>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</si>
  <si>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</si>
  <si>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</si>
  <si>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</si>
  <si>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</si>
  <si>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</si>
  <si>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</si>
  <si>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</si>
  <si>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</si>
  <si>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</si>
  <si>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</si>
  <si>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</si>
  <si>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</si>
  <si>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</si>
  <si>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</si>
  <si>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</si>
  <si>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</si>
  <si>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</si>
  <si>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</si>
  <si>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</si>
  <si>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</si>
  <si>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</si>
  <si>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</si>
  <si>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</si>
  <si>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</si>
  <si>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</si>
  <si>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</si>
  <si>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</si>
  <si>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</si>
  <si>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</si>
  <si>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</si>
  <si>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</si>
  <si>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</si>
  <si>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</si>
  <si>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</si>
  <si>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</si>
  <si>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</si>
  <si>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</si>
  <si>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</si>
  <si>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</si>
  <si>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</si>
  <si>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</si>
  <si>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</si>
  <si>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</si>
  <si>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</si>
  <si>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</si>
  <si>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</si>
  <si>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</si>
  <si>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</si>
  <si>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</si>
  <si>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</si>
  <si>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</si>
  <si>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</si>
  <si>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</si>
  <si>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</si>
  <si>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</si>
  <si>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</si>
  <si>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</si>
  <si>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</si>
  <si>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</si>
  <si>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</si>
  <si>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</si>
  <si>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</si>
  <si>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</si>
  <si>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</si>
  <si>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</si>
  <si>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</si>
  <si>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</si>
  <si>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</si>
  <si>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</si>
  <si>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</si>
  <si>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</si>
  <si>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</si>
  <si>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</si>
  <si>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</si>
  <si>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</si>
  <si>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</si>
  <si>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</si>
  <si>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</si>
  <si>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</si>
  <si>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</si>
  <si>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</si>
  <si>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</si>
  <si>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</si>
  <si>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</si>
  <si>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</si>
  <si>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</si>
  <si>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</si>
  <si>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</si>
  <si>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</si>
  <si>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</si>
  <si>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</si>
  <si>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</si>
  <si>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</si>
  <si>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</si>
  <si>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</si>
  <si>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</si>
  <si>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</si>
  <si>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</si>
  <si>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</si>
  <si>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</si>
  <si>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</si>
  <si>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</si>
  <si>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</si>
  <si>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</si>
  <si>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</si>
  <si>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</si>
  <si>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</si>
  <si>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</si>
  <si>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</si>
  <si>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</si>
  <si>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</si>
  <si>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</si>
  <si>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</si>
  <si>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</si>
  <si>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</si>
  <si>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</si>
  <si>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</si>
  <si>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</si>
  <si>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</si>
  <si>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</si>
  <si>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</si>
  <si>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</si>
  <si>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</si>
  <si>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</si>
  <si>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</si>
  <si>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</si>
  <si>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</si>
  <si>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</si>
  <si>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</si>
  <si>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</si>
  <si>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</si>
  <si>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</si>
  <si>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</si>
  <si>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</si>
  <si>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</si>
  <si>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</si>
  <si>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</si>
  <si>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</si>
  <si>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</si>
  <si>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</si>
  <si>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</si>
  <si>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</si>
  <si>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</si>
  <si>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</si>
  <si>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</si>
  <si>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</si>
  <si>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</si>
  <si>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</si>
  <si>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</si>
  <si>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</si>
  <si>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</si>
  <si>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</si>
  <si>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</si>
  <si>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</si>
  <si>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</si>
  <si>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</si>
  <si>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</si>
  <si>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</si>
  <si>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</si>
  <si>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</si>
  <si>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</si>
  <si>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</si>
  <si>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</si>
  <si>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</si>
  <si>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</si>
  <si>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</si>
  <si>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</si>
  <si>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</si>
  <si>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</si>
  <si>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</si>
  <si>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</si>
  <si>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</si>
  <si>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</si>
  <si>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</si>
  <si>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</si>
  <si>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</si>
  <si>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</si>
  <si>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</si>
  <si>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</si>
  <si>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</si>
  <si>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</si>
  <si>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</si>
  <si>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</si>
  <si>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</si>
  <si>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</si>
  <si>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</si>
  <si>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</si>
  <si>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</si>
  <si>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</si>
  <si>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</si>
  <si>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</si>
  <si>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</si>
  <si>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</si>
  <si>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</si>
  <si>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</si>
  <si>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</si>
  <si>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</si>
  <si>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</si>
  <si>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</si>
  <si>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</si>
  <si>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</si>
  <si>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</si>
  <si>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</si>
  <si>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</si>
  <si>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</si>
  <si>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</si>
  <si>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</si>
  <si>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</si>
  <si>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</si>
  <si>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</si>
  <si>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</si>
  <si>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</si>
  <si>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</si>
  <si>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</si>
  <si>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</si>
  <si>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</si>
  <si>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</si>
  <si>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</si>
  <si>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</si>
  <si>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</si>
  <si>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</si>
  <si>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</si>
  <si>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</si>
  <si>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</si>
  <si>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</si>
  <si>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</si>
  <si>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</si>
  <si>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</si>
  <si>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</si>
  <si>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</si>
  <si>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</si>
  <si>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</si>
  <si>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</si>
  <si>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</si>
  <si>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</si>
  <si>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</si>
  <si>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</si>
  <si>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</si>
  <si>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</si>
  <si>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</si>
  <si>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</si>
  <si>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</si>
  <si>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</si>
  <si>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</si>
  <si>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</si>
  <si>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</si>
  <si>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</si>
  <si>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</si>
  <si>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</si>
  <si>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</si>
  <si>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</si>
  <si>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</si>
  <si>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</si>
  <si>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</si>
  <si>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</si>
  <si>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</si>
  <si>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</si>
  <si>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</si>
  <si>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</si>
  <si>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</si>
  <si>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</si>
  <si>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</si>
  <si>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</si>
  <si>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</si>
  <si>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</si>
  <si>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</si>
  <si>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</si>
  <si>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</si>
  <si>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</si>
  <si>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</si>
  <si>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</si>
  <si>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</si>
  <si>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</si>
  <si>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</si>
  <si>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</si>
  <si>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</si>
  <si>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</si>
  <si>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</si>
  <si>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</si>
  <si>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</si>
  <si>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</si>
  <si>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</si>
  <si>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</si>
  <si>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</si>
  <si>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</si>
  <si>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</si>
  <si>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</si>
  <si>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</si>
  <si>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</si>
  <si>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</si>
  <si>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</si>
  <si>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</si>
  <si>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</si>
  <si>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</si>
  <si>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</si>
  <si>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</si>
  <si>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</si>
  <si>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</si>
  <si>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</si>
  <si>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</si>
  <si>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</si>
  <si>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</si>
  <si>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</si>
  <si>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</si>
  <si>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</si>
  <si>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</si>
  <si>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</si>
  <si>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</si>
  <si>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</si>
  <si>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</si>
  <si>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</si>
  <si>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</si>
  <si>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</si>
  <si>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</si>
  <si>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</si>
  <si>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</si>
  <si>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</si>
  <si>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</si>
  <si>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</si>
  <si>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</si>
  <si>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</si>
  <si>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</si>
  <si>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</si>
  <si>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</si>
  <si>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</si>
  <si>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</si>
  <si>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</si>
  <si>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</si>
  <si>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</si>
  <si>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</si>
  <si>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</si>
  <si>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</si>
  <si>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</si>
  <si>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</si>
  <si>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</si>
  <si>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</si>
  <si>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</si>
  <si>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</si>
  <si>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</si>
  <si>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</si>
  <si>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</si>
  <si>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</si>
  <si>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Fabrizio Sbicca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</si>
  <si>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</si>
  <si>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</si>
  <si>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</si>
  <si>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</si>
  <si>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</si>
  <si>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</si>
  <si>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</si>
  <si>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</si>
  <si>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</si>
  <si>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</si>
  <si>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</si>
  <si>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</si>
  <si>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</si>
  <si>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</si>
  <si>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</si>
  <si>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</si>
  <si>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</si>
  <si>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</si>
  <si>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</si>
  <si>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</si>
  <si>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</si>
  <si>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</si>
  <si>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</si>
  <si>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</si>
  <si>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</si>
  <si>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</si>
  <si>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</si>
  <si>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</si>
  <si>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</si>
  <si>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</si>
  <si>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</si>
  <si>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</si>
  <si>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</si>
  <si>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</si>
  <si>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</si>
  <si>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</si>
  <si>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</si>
  <si>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</si>
  <si>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</si>
  <si>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</si>
  <si>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</si>
  <si>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</si>
  <si>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</si>
  <si>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</si>
  <si>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</si>
  <si>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</si>
  <si>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</si>
  <si>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</si>
  <si>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</si>
  <si>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</si>
  <si>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</si>
  <si>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</si>
  <si>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</si>
  <si>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</si>
  <si>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</si>
  <si>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</si>
  <si>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</si>
  <si>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</si>
  <si>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</si>
  <si>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</si>
  <si>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</si>
  <si>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</si>
  <si>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</si>
  <si>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</si>
  <si>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</si>
  <si>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</si>
  <si>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</si>
  <si>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</si>
  <si>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</si>
  <si>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</si>
  <si>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</si>
  <si>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</si>
  <si>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</si>
  <si>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</si>
  <si>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</si>
  <si>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</si>
  <si>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</si>
  <si>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</si>
  <si>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</si>
  <si>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</si>
  <si>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</si>
  <si>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</si>
  <si>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</si>
  <si>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</si>
  <si>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</si>
  <si>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</si>
  <si>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</si>
  <si>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</si>
  <si>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</si>
  <si>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</si>
  <si>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</si>
  <si>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</si>
  <si>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</si>
  <si>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</si>
  <si>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</si>
  <si>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</si>
  <si>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</si>
  <si>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</si>
  <si>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</si>
  <si>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</si>
  <si>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</si>
  <si>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</si>
  <si>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</si>
  <si>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</si>
  <si>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</si>
  <si>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</si>
  <si>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</si>
  <si>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</si>
  <si>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</si>
  <si>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</si>
  <si>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</si>
  <si>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</si>
  <si>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</si>
  <si>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</si>
  <si>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</si>
  <si>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</si>
  <si>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</si>
  <si>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</si>
  <si>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</si>
  <si>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</si>
  <si>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</si>
  <si>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</si>
  <si>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</si>
  <si>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</si>
  <si>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</si>
  <si>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</si>
  <si>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</si>
  <si>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</si>
  <si>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</si>
  <si>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</si>
  <si>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</si>
  <si>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</si>
  <si>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</si>
  <si>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</si>
  <si>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</si>
  <si>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</si>
  <si>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</si>
  <si>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</si>
  <si>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</si>
  <si>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</si>
  <si>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</si>
  <si>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</si>
  <si>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</si>
  <si>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</si>
  <si>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</si>
  <si>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</si>
  <si>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</si>
  <si>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</si>
  <si>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</si>
  <si>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</si>
  <si>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</si>
  <si>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</si>
  <si>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</si>
  <si>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</si>
  <si>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</si>
  <si>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</si>
  <si>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</si>
  <si>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</si>
  <si>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</si>
  <si>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</si>
  <si>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</si>
  <si>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</si>
  <si>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</si>
  <si>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</si>
  <si>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</si>
  <si>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</si>
  <si>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</si>
  <si>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</si>
  <si>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</si>
  <si>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</si>
  <si>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</si>
  <si>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</si>
  <si>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</si>
  <si>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</si>
  <si>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</si>
  <si>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</si>
  <si>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</si>
  <si>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</si>
  <si>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</si>
  <si>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</si>
  <si>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</si>
  <si>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</si>
  <si>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</si>
  <si>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</si>
  <si>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</si>
  <si>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</si>
  <si>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</si>
  <si>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</si>
  <si>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</si>
  <si>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</si>
  <si>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</si>
  <si>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</si>
  <si>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</si>
  <si>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</si>
  <si>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</si>
  <si>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</si>
  <si>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</si>
  <si>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</si>
  <si>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</si>
  <si>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</si>
  <si>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</si>
  <si>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</si>
  <si>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</si>
  <si>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</si>
  <si>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</si>
  <si>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</si>
  <si>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</si>
  <si>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</si>
  <si>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</si>
  <si>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</si>
  <si>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</si>
  <si>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</si>
  <si>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</si>
  <si>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</si>
  <si>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</si>
  <si>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</si>
  <si>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</si>
  <si>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</si>
  <si>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</si>
  <si>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</si>
  <si>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</si>
  <si>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</si>
  <si>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</si>
  <si>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</si>
  <si>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</si>
  <si>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</si>
  <si>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</si>
  <si>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</si>
  <si>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</si>
  <si>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</si>
  <si>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</si>
  <si>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</si>
  <si>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</si>
  <si>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</si>
  <si>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</si>
  <si>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</si>
  <si>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</si>
  <si>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</si>
  <si>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</si>
  <si>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</si>
  <si>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</si>
  <si>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</si>
  <si>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</si>
  <si>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</si>
  <si>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</si>
  <si>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</si>
  <si>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</si>
  <si>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</si>
  <si>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</si>
  <si>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</si>
  <si>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</si>
  <si>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</si>
  <si>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</si>
  <si>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</si>
  <si>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</si>
  <si>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</si>
  <si>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</si>
  <si>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</si>
  <si>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</si>
  <si>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</si>
  <si>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</si>
  <si>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</si>
  <si>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</si>
  <si>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</si>
  <si>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</si>
  <si>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</si>
  <si>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</si>
  <si>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</si>
  <si>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</si>
  <si>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</si>
  <si>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</si>
  <si>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</si>
  <si>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</si>
  <si>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</si>
  <si>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</si>
  <si>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</si>
  <si>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</si>
  <si>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</si>
  <si>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</si>
  <si>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</si>
  <si>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</si>
  <si>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</si>
  <si>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</si>
  <si>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</si>
  <si>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</si>
  <si>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</si>
  <si>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</si>
  <si>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</si>
  <si>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</si>
  <si>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</si>
  <si>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</si>
  <si>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</si>
  <si>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</si>
  <si>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</si>
  <si>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</si>
  <si>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</si>
  <si>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</si>
  <si>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</si>
  <si>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</si>
  <si>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</si>
  <si>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</si>
  <si>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</si>
  <si>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</si>
  <si>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</si>
  <si>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</si>
  <si>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</si>
  <si>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</si>
  <si>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</si>
  <si>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</si>
  <si>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</si>
  <si>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</si>
  <si>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</si>
  <si>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</si>
  <si>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</si>
  <si>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</si>
  <si>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</si>
  <si>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</si>
  <si>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</si>
  <si>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</si>
  <si>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</si>
  <si>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</si>
  <si>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</si>
  <si>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</si>
  <si>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</si>
  <si>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</si>
  <si>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</si>
  <si>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</si>
  <si>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</si>
  <si>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</si>
  <si>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</si>
  <si>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</si>
  <si>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</si>
  <si>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</si>
  <si>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</si>
  <si>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</si>
  <si>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</si>
  <si>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</si>
  <si>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</si>
  <si>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</si>
  <si>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</si>
  <si>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</si>
  <si>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</si>
  <si>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</si>
  <si>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</si>
  <si>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</si>
  <si>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</si>
  <si>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</si>
  <si>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</si>
  <si>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</si>
  <si>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</si>
  <si>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</si>
  <si>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</si>
  <si>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</si>
  <si>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</si>
  <si>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</si>
  <si>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</si>
  <si>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</si>
  <si>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</si>
  <si>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</si>
  <si>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</si>
  <si>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</si>
  <si>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</si>
  <si>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</si>
  <si>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</si>
  <si>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</si>
  <si>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</si>
  <si>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</si>
  <si>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</si>
  <si>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</si>
  <si>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</si>
  <si>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</si>
  <si>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</si>
  <si>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</si>
  <si>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</si>
  <si>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</si>
  <si>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</si>
  <si>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</si>
  <si>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</si>
  <si>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</si>
  <si>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</si>
  <si>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</si>
  <si>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</si>
  <si>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</si>
  <si>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</si>
  <si>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</si>
  <si>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</si>
  <si>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</si>
  <si>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</si>
  <si>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</si>
  <si>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</si>
  <si>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</si>
  <si>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</si>
  <si>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</si>
  <si>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</si>
  <si>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</si>
  <si>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</si>
  <si>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</si>
  <si>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</si>
  <si>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</si>
  <si>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</si>
  <si>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</si>
  <si>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</si>
  <si>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</si>
  <si>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</si>
  <si>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</si>
  <si>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</si>
  <si>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</si>
  <si>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</si>
  <si>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</si>
  <si>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</si>
  <si>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</si>
  <si>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</si>
  <si>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</si>
  <si>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</si>
  <si>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</si>
  <si>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</si>
  <si>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</si>
  <si>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</si>
  <si>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</si>
  <si>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</si>
  <si>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</si>
  <si>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</si>
  <si>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</si>
  <si>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</si>
  <si>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</si>
  <si>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</si>
  <si>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</si>
  <si>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</si>
  <si>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</si>
  <si>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</si>
  <si>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</si>
  <si>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</si>
  <si>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</si>
  <si>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</si>
  <si>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</si>
  <si>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</si>
  <si>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</si>
  <si>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</si>
  <si>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</si>
  <si>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</si>
  <si>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</si>
  <si>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</si>
  <si>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</si>
  <si>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</si>
  <si>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</si>
  <si>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</si>
  <si>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</si>
  <si>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</si>
  <si>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</si>
  <si>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</si>
  <si>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</si>
  <si>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Viale Romania, 31</t>
  </si>
  <si>
    <t>379/3506384</t>
  </si>
  <si>
    <t>41.92438626568828, 12.492692774797485</t>
  </si>
  <si>
    <t>coffee specialty / brunch</t>
  </si>
  <si>
    <t>ØRA Specialty Coffee</t>
  </si>
  <si>
    <t>75+20</t>
  </si>
  <si>
    <t>Mensana masseria urbana</t>
  </si>
  <si>
    <t>pugliese</t>
  </si>
  <si>
    <t>Via di Pietralata, 138b</t>
  </si>
  <si>
    <t>334/9943965</t>
  </si>
  <si>
    <t>Tenuta del Duca</t>
  </si>
  <si>
    <t>Via Carlo del Prete, snc</t>
  </si>
  <si>
    <t>366/2386289</t>
  </si>
  <si>
    <t>41.78192952612999, 12.254367904456137</t>
  </si>
  <si>
    <t>Il Tempo Ritrovato</t>
  </si>
  <si>
    <t>Largo S. Anna</t>
  </si>
  <si>
    <t>333/2602123</t>
  </si>
  <si>
    <t>41.25586773100765, 13.601183808241768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</si>
</sst>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6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4"/>
  <sheetViews>
    <sheetView tabSelected="1" zoomScaleNormal="100" workbookViewId="0">
      <pane ySplit="7" topLeftCell="A260" activePane="bottomLeft" state="frozen"/>
      <selection pane="bottomLeft" activeCell="H275" sqref="H275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135</v>
      </c>
      <c r="F3" s="5">
        <f>+AD6</f>
        <v>136</v>
      </c>
      <c r="G3" s="5">
        <f>+AF6</f>
        <v>131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332</v>
      </c>
      <c r="F4" s="7">
        <f>+AE6</f>
        <v>322</v>
      </c>
      <c r="G4" s="7">
        <f>+AG6</f>
        <v>286</v>
      </c>
      <c r="H4" s="5">
        <f>+E4-G4</f>
        <v>46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467</v>
      </c>
      <c r="F5" s="8">
        <f>+F3+F4</f>
        <v>458</v>
      </c>
      <c r="G5" s="8">
        <f>+G3+G4</f>
        <v>417</v>
      </c>
      <c r="H5" s="8">
        <f>+H3+H4</f>
        <v>50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SUM(S8:S2457)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SUM(AD8:AD1726)</f>
        <v>136</v>
      </c>
      <c r="AE6" s="1">
        <f t="shared" si="1"/>
        <v>322</v>
      </c>
      <c r="AF6" s="1">
        <f t="shared" si="1"/>
        <v>131</v>
      </c>
      <c r="AG6" s="1">
        <f t="shared" si="1"/>
        <v>286</v>
      </c>
      <c r="AH6" s="1">
        <f t="shared" si="1"/>
        <v>135</v>
      </c>
      <c r="AI6" s="1">
        <f t="shared" si="1"/>
        <v>332</v>
      </c>
    </row>
    <row r="7" spans="1:35" s="60" customFormat="1" ht="14.25" customHeight="1" x14ac:dyDescent="0.25">
      <c r="A7" s="27" t="s">
        <v>1336</v>
      </c>
      <c r="B7" s="27" t="s">
        <v>1337</v>
      </c>
      <c r="C7" s="27" t="s">
        <v>1338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1339</v>
      </c>
      <c r="K7" s="27" t="s">
        <v>1594</v>
      </c>
      <c r="L7" s="27" t="s">
        <v>17</v>
      </c>
      <c r="M7" s="29" t="s">
        <v>1340</v>
      </c>
      <c r="N7" s="28" t="s">
        <v>0</v>
      </c>
      <c r="O7" s="18" t="s">
        <v>1</v>
      </c>
      <c r="P7" s="18" t="s">
        <v>2</v>
      </c>
      <c r="Q7" s="29" t="s">
        <v>1830</v>
      </c>
      <c r="S7" s="60">
        <v>1</v>
      </c>
      <c r="T7" s="60">
        <f>+S7+1</f>
        <v>2</v>
      </c>
      <c r="U7" s="60">
        <f t="shared" ref="U7:AB7" si="2">+T7+1</f>
        <v>3</v>
      </c>
      <c r="V7" s="60">
        <f t="shared" si="2"/>
        <v>4</v>
      </c>
      <c r="W7" s="60">
        <f t="shared" si="2"/>
        <v>5</v>
      </c>
      <c r="X7" s="60">
        <f t="shared" si="2"/>
        <v>6</v>
      </c>
      <c r="Y7" s="60">
        <f t="shared" si="2"/>
        <v>7</v>
      </c>
      <c r="Z7" s="60">
        <f t="shared" si="2"/>
        <v>8</v>
      </c>
      <c r="AA7" s="60">
        <f t="shared" si="2"/>
        <v>9</v>
      </c>
      <c r="AB7" s="60">
        <f t="shared" si="2"/>
        <v>10</v>
      </c>
      <c r="AD7" s="60" t="s">
        <v>21</v>
      </c>
      <c r="AE7" s="60" t="s">
        <v>22</v>
      </c>
      <c r="AF7" s="60" t="s">
        <v>4</v>
      </c>
      <c r="AG7" s="60" t="s">
        <v>5</v>
      </c>
      <c r="AH7" s="60" t="s">
        <v>6</v>
      </c>
      <c r="AI7" s="60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886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1696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1552</v>
      </c>
      <c r="E9" s="32" t="s">
        <v>170</v>
      </c>
      <c r="F9" s="32" t="s">
        <v>1502</v>
      </c>
      <c r="G9" s="32" t="s">
        <v>39</v>
      </c>
      <c r="H9" s="32" t="s">
        <v>361</v>
      </c>
      <c r="I9" s="31" t="s">
        <v>1503</v>
      </c>
      <c r="J9" s="31">
        <v>99</v>
      </c>
      <c r="K9" s="33" t="s">
        <v>941</v>
      </c>
      <c r="L9" s="33" t="s">
        <v>1661</v>
      </c>
      <c r="M9" s="34" t="s">
        <v>1344</v>
      </c>
      <c r="N9" s="34" t="s">
        <v>1687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941</v>
      </c>
      <c r="L10" s="33" t="s">
        <v>1662</v>
      </c>
      <c r="M10" s="34" t="s">
        <v>1341</v>
      </c>
      <c r="N10" s="34" t="s">
        <v>1799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1009</v>
      </c>
      <c r="E11" s="32" t="s">
        <v>173</v>
      </c>
      <c r="F11" s="32" t="s">
        <v>1067</v>
      </c>
      <c r="G11" s="32" t="s">
        <v>39</v>
      </c>
      <c r="H11" s="32" t="s">
        <v>1010</v>
      </c>
      <c r="I11" s="31" t="s">
        <v>1089</v>
      </c>
      <c r="J11" s="31">
        <v>16</v>
      </c>
      <c r="K11" s="33" t="s">
        <v>939</v>
      </c>
      <c r="L11" s="33">
        <v>45</v>
      </c>
      <c r="M11" s="34" t="s">
        <v>1342</v>
      </c>
      <c r="N11" s="34" t="s">
        <v>1775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943</v>
      </c>
      <c r="L12" s="33" t="s">
        <v>1665</v>
      </c>
      <c r="M12" s="34" t="s">
        <v>1096</v>
      </c>
      <c r="N12" s="34" t="s">
        <v>1752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941</v>
      </c>
      <c r="L13" s="33" t="s">
        <v>1666</v>
      </c>
      <c r="M13" s="34" t="s">
        <v>1096</v>
      </c>
      <c r="N13" s="34" t="s">
        <v>1752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1261</v>
      </c>
      <c r="G14" s="32" t="s">
        <v>239</v>
      </c>
      <c r="H14" s="32" t="s">
        <v>352</v>
      </c>
      <c r="I14" s="31" t="s">
        <v>1326</v>
      </c>
      <c r="J14" s="31">
        <v>1</v>
      </c>
      <c r="K14" s="33" t="s">
        <v>937</v>
      </c>
      <c r="L14" s="33" t="s">
        <v>1668</v>
      </c>
      <c r="M14" s="34" t="s">
        <v>1343</v>
      </c>
      <c r="N14" s="34" t="s">
        <v>1700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941</v>
      </c>
      <c r="L15" s="33">
        <v>135</v>
      </c>
      <c r="M15" s="34" t="s">
        <v>2104</v>
      </c>
      <c r="N15" s="34" t="s">
        <v>1799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1658</v>
      </c>
      <c r="L16" s="33" t="s">
        <v>39</v>
      </c>
      <c r="M16" s="34" t="s">
        <v>39</v>
      </c>
      <c r="N16" s="34" t="s">
        <v>1693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1068</v>
      </c>
      <c r="G17" s="32" t="s">
        <v>39</v>
      </c>
      <c r="H17" s="32" t="s">
        <v>353</v>
      </c>
      <c r="I17" s="31" t="s">
        <v>1090</v>
      </c>
      <c r="J17" s="31">
        <v>11</v>
      </c>
      <c r="K17" s="33" t="s">
        <v>943</v>
      </c>
      <c r="L17" s="33" t="s">
        <v>1674</v>
      </c>
      <c r="M17" s="34" t="s">
        <v>1344</v>
      </c>
      <c r="N17" s="34" t="s">
        <v>1707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147</v>
      </c>
      <c r="E18" s="32" t="s">
        <v>170</v>
      </c>
      <c r="F18" s="32" t="s">
        <v>347</v>
      </c>
      <c r="G18" s="32" t="s">
        <v>39</v>
      </c>
      <c r="H18" s="32" t="s">
        <v>377</v>
      </c>
      <c r="I18" s="31" t="s">
        <v>492</v>
      </c>
      <c r="J18" s="31">
        <v>16</v>
      </c>
      <c r="K18" s="33" t="s">
        <v>937</v>
      </c>
      <c r="L18" s="33" t="s">
        <v>2151</v>
      </c>
      <c r="M18" s="34" t="s">
        <v>1344</v>
      </c>
      <c r="N18" s="34" t="s">
        <v>1775</v>
      </c>
      <c r="O18" s="35">
        <v>1</v>
      </c>
      <c r="P18" s="35"/>
      <c r="Q18" s="32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942</v>
      </c>
      <c r="L19" s="33">
        <v>200</v>
      </c>
      <c r="M19" s="34" t="s">
        <v>39</v>
      </c>
      <c r="N19" s="34" t="s">
        <v>1799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944</v>
      </c>
      <c r="L20" s="33" t="s">
        <v>39</v>
      </c>
      <c r="M20" s="34" t="s">
        <v>39</v>
      </c>
      <c r="N20" s="34" t="s">
        <v>1693</v>
      </c>
      <c r="O20" s="35">
        <v>1</v>
      </c>
      <c r="P20" s="35">
        <v>1</v>
      </c>
      <c r="Q20" s="32" t="s">
        <v>1842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937</v>
      </c>
      <c r="L21" s="33" t="s">
        <v>39</v>
      </c>
      <c r="M21" s="34" t="s">
        <v>39</v>
      </c>
      <c r="N21" s="34" t="s">
        <v>1687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944</v>
      </c>
      <c r="L22" s="33" t="s">
        <v>39</v>
      </c>
      <c r="M22" s="34" t="s">
        <v>39</v>
      </c>
      <c r="N22" s="34" t="s">
        <v>1693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1138</v>
      </c>
      <c r="H23" s="32" t="s">
        <v>352</v>
      </c>
      <c r="I23" s="31" t="s">
        <v>483</v>
      </c>
      <c r="J23" s="31">
        <v>1</v>
      </c>
      <c r="K23" s="33" t="s">
        <v>937</v>
      </c>
      <c r="L23" s="33" t="s">
        <v>1666</v>
      </c>
      <c r="M23" s="34" t="s">
        <v>1096</v>
      </c>
      <c r="N23" s="34" t="s">
        <v>1696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1549</v>
      </c>
      <c r="E24" s="32" t="s">
        <v>170</v>
      </c>
      <c r="F24" s="32" t="s">
        <v>1550</v>
      </c>
      <c r="G24" s="32" t="s">
        <v>212</v>
      </c>
      <c r="H24" s="32" t="s">
        <v>352</v>
      </c>
      <c r="I24" s="31" t="s">
        <v>1551</v>
      </c>
      <c r="J24" s="31">
        <v>1</v>
      </c>
      <c r="K24" s="33" t="s">
        <v>943</v>
      </c>
      <c r="L24" s="33" t="s">
        <v>39</v>
      </c>
      <c r="M24" s="34" t="s">
        <v>39</v>
      </c>
      <c r="N24" s="34" t="s">
        <v>1687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1028</v>
      </c>
      <c r="E25" s="32" t="s">
        <v>170</v>
      </c>
      <c r="F25" s="32" t="s">
        <v>1072</v>
      </c>
      <c r="G25" s="32" t="s">
        <v>1015</v>
      </c>
      <c r="H25" s="32" t="s">
        <v>352</v>
      </c>
      <c r="I25" s="31" t="s">
        <v>1029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1701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1693</v>
      </c>
      <c r="O26" s="35">
        <v>1</v>
      </c>
      <c r="P26" s="35">
        <v>1</v>
      </c>
      <c r="Q26" s="32" t="s">
        <v>2099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941</v>
      </c>
      <c r="L27" s="33" t="s">
        <v>1675</v>
      </c>
      <c r="M27" s="34" t="s">
        <v>1345</v>
      </c>
      <c r="N27" s="34" t="s">
        <v>1752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944</v>
      </c>
      <c r="L28" s="33" t="s">
        <v>39</v>
      </c>
      <c r="M28" s="34" t="s">
        <v>39</v>
      </c>
      <c r="N28" s="34" t="s">
        <v>1693</v>
      </c>
      <c r="O28" s="35">
        <v>1</v>
      </c>
      <c r="P28" s="35">
        <v>1</v>
      </c>
      <c r="Q28" s="32" t="s">
        <v>1861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837</v>
      </c>
      <c r="E29" s="32" t="s">
        <v>170</v>
      </c>
      <c r="F29" s="32" t="s">
        <v>838</v>
      </c>
      <c r="G29" s="32" t="s">
        <v>219</v>
      </c>
      <c r="H29" s="32" t="s">
        <v>352</v>
      </c>
      <c r="I29" s="31" t="s">
        <v>839</v>
      </c>
      <c r="J29" s="31">
        <v>8</v>
      </c>
      <c r="K29" s="33" t="s">
        <v>941</v>
      </c>
      <c r="L29" s="33" t="s">
        <v>1670</v>
      </c>
      <c r="M29" s="34" t="s">
        <v>1521</v>
      </c>
      <c r="N29" s="34" t="s">
        <v>1708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937</v>
      </c>
      <c r="L30" s="33" t="s">
        <v>39</v>
      </c>
      <c r="M30" s="34" t="s">
        <v>39</v>
      </c>
      <c r="N30" s="34" t="s">
        <v>1693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941</v>
      </c>
      <c r="L31" s="33">
        <v>70</v>
      </c>
      <c r="M31" s="34" t="s">
        <v>1346</v>
      </c>
      <c r="N31" s="34" t="s">
        <v>1701</v>
      </c>
      <c r="O31" s="35">
        <v>1</v>
      </c>
      <c r="P31" s="35"/>
      <c r="Q31" s="32" t="s">
        <v>1855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1</v>
      </c>
      <c r="AF31" s="1">
        <f t="shared" si="35"/>
        <v>0</v>
      </c>
      <c r="AG31" s="1">
        <f t="shared" si="36"/>
        <v>1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937</v>
      </c>
      <c r="L32" s="33" t="s">
        <v>1666</v>
      </c>
      <c r="M32" s="34" t="s">
        <v>1347</v>
      </c>
      <c r="N32" s="34" t="s">
        <v>1708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1510</v>
      </c>
      <c r="E33" s="36" t="s">
        <v>1215</v>
      </c>
      <c r="F33" s="36" t="s">
        <v>1511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1741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1425</v>
      </c>
      <c r="E34" s="36" t="s">
        <v>1427</v>
      </c>
      <c r="F34" s="36" t="s">
        <v>1426</v>
      </c>
      <c r="G34" s="36"/>
      <c r="H34" s="36" t="s">
        <v>1110</v>
      </c>
      <c r="I34" s="37" t="s">
        <v>1428</v>
      </c>
      <c r="J34" s="31">
        <v>99</v>
      </c>
      <c r="K34" s="33" t="s">
        <v>694</v>
      </c>
      <c r="L34" s="33"/>
      <c r="M34" s="34"/>
      <c r="N34" s="34" t="s">
        <v>1687</v>
      </c>
      <c r="O34" s="35">
        <v>1</v>
      </c>
      <c r="P34" s="35">
        <v>1</v>
      </c>
      <c r="Q34" s="36" t="s">
        <v>1869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933</v>
      </c>
      <c r="L35" s="53" t="s">
        <v>680</v>
      </c>
      <c r="M35" s="54" t="s">
        <v>1348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1818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1775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1714</v>
      </c>
      <c r="E37" s="36" t="s">
        <v>154</v>
      </c>
      <c r="F37" s="36" t="s">
        <v>1715</v>
      </c>
      <c r="G37" s="36"/>
      <c r="H37" s="36" t="s">
        <v>1716</v>
      </c>
      <c r="I37" s="37" t="s">
        <v>1717</v>
      </c>
      <c r="J37" s="31">
        <v>18</v>
      </c>
      <c r="K37" s="33" t="s">
        <v>694</v>
      </c>
      <c r="L37" s="33">
        <v>55</v>
      </c>
      <c r="M37" s="34" t="s">
        <v>1440</v>
      </c>
      <c r="N37" s="34" t="s">
        <v>1693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933</v>
      </c>
      <c r="L38" s="33" t="s">
        <v>1663</v>
      </c>
      <c r="M38" s="34" t="s">
        <v>1347</v>
      </c>
      <c r="N38" s="34" t="s">
        <v>1700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1703</v>
      </c>
      <c r="E39" s="36" t="s">
        <v>1704</v>
      </c>
      <c r="F39" s="36" t="s">
        <v>1705</v>
      </c>
      <c r="G39" s="36" t="s">
        <v>319</v>
      </c>
      <c r="H39" s="36" t="s">
        <v>352</v>
      </c>
      <c r="I39" s="37" t="s">
        <v>1706</v>
      </c>
      <c r="J39" s="31">
        <v>99</v>
      </c>
      <c r="K39" s="33" t="s">
        <v>694</v>
      </c>
      <c r="L39" s="33"/>
      <c r="M39" s="34"/>
      <c r="N39" s="34" t="s">
        <v>1693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1088</v>
      </c>
      <c r="J40" s="31">
        <v>8</v>
      </c>
      <c r="K40" s="33" t="s">
        <v>933</v>
      </c>
      <c r="L40" s="33" t="s">
        <v>1660</v>
      </c>
      <c r="M40" s="34" t="s">
        <v>1342</v>
      </c>
      <c r="N40" s="34" t="s">
        <v>1799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1474</v>
      </c>
      <c r="E41" s="36" t="s">
        <v>174</v>
      </c>
      <c r="F41" s="36" t="s">
        <v>1621</v>
      </c>
      <c r="G41" s="36" t="s">
        <v>1476</v>
      </c>
      <c r="H41" s="36" t="s">
        <v>352</v>
      </c>
      <c r="I41" s="37" t="s">
        <v>1475</v>
      </c>
      <c r="J41" s="31">
        <v>99</v>
      </c>
      <c r="K41" s="33" t="s">
        <v>934</v>
      </c>
      <c r="L41" s="33" t="s">
        <v>39</v>
      </c>
      <c r="M41" s="34" t="s">
        <v>39</v>
      </c>
      <c r="N41" s="34" t="s">
        <v>1687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861</v>
      </c>
      <c r="E42" s="32" t="s">
        <v>173</v>
      </c>
      <c r="F42" s="32" t="s">
        <v>862</v>
      </c>
      <c r="G42" s="32" t="s">
        <v>39</v>
      </c>
      <c r="H42" s="32" t="s">
        <v>373</v>
      </c>
      <c r="I42" s="31" t="s">
        <v>863</v>
      </c>
      <c r="J42" s="31">
        <v>12</v>
      </c>
      <c r="K42" s="33" t="s">
        <v>693</v>
      </c>
      <c r="L42" s="33" t="s">
        <v>1664</v>
      </c>
      <c r="M42" s="34" t="s">
        <v>1349</v>
      </c>
      <c r="N42" s="34" t="s">
        <v>1775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1765</v>
      </c>
      <c r="E43" s="32" t="s">
        <v>174</v>
      </c>
      <c r="F43" s="32" t="s">
        <v>1766</v>
      </c>
      <c r="G43" s="32" t="s">
        <v>193</v>
      </c>
      <c r="H43" s="32" t="s">
        <v>352</v>
      </c>
      <c r="I43" s="31" t="s">
        <v>1767</v>
      </c>
      <c r="J43" s="31">
        <v>9</v>
      </c>
      <c r="K43" s="33" t="s">
        <v>694</v>
      </c>
      <c r="L43" s="33">
        <v>60</v>
      </c>
      <c r="M43" s="34" t="s">
        <v>1768</v>
      </c>
      <c r="N43" s="34" t="s">
        <v>1799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1828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933</v>
      </c>
      <c r="L44" s="33" t="s">
        <v>684</v>
      </c>
      <c r="M44" s="34" t="s">
        <v>682</v>
      </c>
      <c r="N44" s="34" t="s">
        <v>1713</v>
      </c>
      <c r="O44" s="35">
        <v>1</v>
      </c>
      <c r="P44" s="35"/>
      <c r="Q44" s="32" t="s">
        <v>1856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819</v>
      </c>
      <c r="E45" s="32" t="s">
        <v>174</v>
      </c>
      <c r="F45" s="32" t="s">
        <v>821</v>
      </c>
      <c r="G45" s="32" t="s">
        <v>39</v>
      </c>
      <c r="H45" s="32" t="s">
        <v>352</v>
      </c>
      <c r="I45" s="31" t="s">
        <v>820</v>
      </c>
      <c r="J45" s="31">
        <v>99</v>
      </c>
      <c r="K45" s="33" t="s">
        <v>939</v>
      </c>
      <c r="L45" s="33" t="s">
        <v>39</v>
      </c>
      <c r="M45" s="34" t="s">
        <v>39</v>
      </c>
      <c r="N45" s="34" t="s">
        <v>1693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2112</v>
      </c>
      <c r="E46" s="32" t="s">
        <v>174</v>
      </c>
      <c r="F46" s="32" t="s">
        <v>2113</v>
      </c>
      <c r="G46" s="32" t="s">
        <v>177</v>
      </c>
      <c r="H46" s="32" t="s">
        <v>352</v>
      </c>
      <c r="I46" s="31" t="s">
        <v>2114</v>
      </c>
      <c r="J46" s="31">
        <v>1</v>
      </c>
      <c r="K46" s="33" t="s">
        <v>694</v>
      </c>
      <c r="L46" s="33"/>
      <c r="M46" s="34"/>
      <c r="N46" s="34" t="s">
        <v>1693</v>
      </c>
      <c r="O46" s="35">
        <v>1</v>
      </c>
      <c r="P46" s="35">
        <v>1</v>
      </c>
      <c r="Q46" s="32" t="s">
        <v>2115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894</v>
      </c>
      <c r="E47" s="32" t="s">
        <v>174</v>
      </c>
      <c r="F47" s="32" t="s">
        <v>764</v>
      </c>
      <c r="G47" s="32" t="s">
        <v>39</v>
      </c>
      <c r="H47" s="32" t="s">
        <v>373</v>
      </c>
      <c r="I47" s="31" t="s">
        <v>765</v>
      </c>
      <c r="J47" s="31">
        <v>12</v>
      </c>
      <c r="K47" s="33" t="s">
        <v>713</v>
      </c>
      <c r="L47" s="33" t="s">
        <v>1659</v>
      </c>
      <c r="M47" s="34" t="s">
        <v>1096</v>
      </c>
      <c r="N47" s="34" t="s">
        <v>1775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1596</v>
      </c>
      <c r="E48" s="32" t="s">
        <v>173</v>
      </c>
      <c r="F48" s="32" t="s">
        <v>1622</v>
      </c>
      <c r="G48" s="32" t="s">
        <v>250</v>
      </c>
      <c r="H48" s="32" t="s">
        <v>352</v>
      </c>
      <c r="I48" s="31" t="s">
        <v>1524</v>
      </c>
      <c r="J48" s="31">
        <v>99</v>
      </c>
      <c r="K48" s="33" t="s">
        <v>934</v>
      </c>
      <c r="L48" s="33" t="s">
        <v>39</v>
      </c>
      <c r="M48" s="34" t="s">
        <v>39</v>
      </c>
      <c r="N48" s="34" t="s">
        <v>1687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1492</v>
      </c>
      <c r="E49" s="32" t="s">
        <v>1610</v>
      </c>
      <c r="F49" s="32" t="s">
        <v>1493</v>
      </c>
      <c r="G49" s="32" t="s">
        <v>199</v>
      </c>
      <c r="H49" s="32" t="s">
        <v>352</v>
      </c>
      <c r="I49" s="31" t="s">
        <v>1494</v>
      </c>
      <c r="J49" s="31">
        <v>2</v>
      </c>
      <c r="K49" s="33" t="s">
        <v>933</v>
      </c>
      <c r="L49" s="33">
        <v>70</v>
      </c>
      <c r="M49" s="34" t="s">
        <v>39</v>
      </c>
      <c r="N49" s="34" t="s">
        <v>1741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1430</v>
      </c>
      <c r="E50" s="32" t="s">
        <v>1611</v>
      </c>
      <c r="F50" s="32" t="s">
        <v>1429</v>
      </c>
      <c r="G50" s="32" t="s">
        <v>219</v>
      </c>
      <c r="H50" s="32" t="s">
        <v>352</v>
      </c>
      <c r="I50" s="31" t="s">
        <v>1647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1708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792</v>
      </c>
      <c r="E51" s="16" t="s">
        <v>174</v>
      </c>
      <c r="F51" s="16" t="s">
        <v>793</v>
      </c>
      <c r="G51" s="16" t="s">
        <v>39</v>
      </c>
      <c r="H51" s="16" t="s">
        <v>794</v>
      </c>
      <c r="I51" s="15" t="s">
        <v>795</v>
      </c>
      <c r="J51" s="15">
        <v>11</v>
      </c>
      <c r="K51" s="10" t="s">
        <v>694</v>
      </c>
      <c r="L51" s="10">
        <v>50</v>
      </c>
      <c r="M51" s="19" t="s">
        <v>1096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1434</v>
      </c>
      <c r="E52" s="32"/>
      <c r="F52" s="32" t="s">
        <v>1435</v>
      </c>
      <c r="G52" s="32" t="s">
        <v>1436</v>
      </c>
      <c r="H52" s="32" t="s">
        <v>352</v>
      </c>
      <c r="I52" s="31" t="s">
        <v>1437</v>
      </c>
      <c r="J52" s="31">
        <v>99</v>
      </c>
      <c r="K52" s="33" t="s">
        <v>694</v>
      </c>
      <c r="L52" s="33">
        <v>35</v>
      </c>
      <c r="M52" s="34" t="s">
        <v>1442</v>
      </c>
      <c r="N52" s="34" t="s">
        <v>1700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1945</v>
      </c>
      <c r="E53" s="32" t="s">
        <v>174</v>
      </c>
      <c r="F53" s="32" t="s">
        <v>1946</v>
      </c>
      <c r="G53" s="32" t="s">
        <v>1947</v>
      </c>
      <c r="H53" s="32" t="s">
        <v>352</v>
      </c>
      <c r="I53" s="31" t="s">
        <v>1948</v>
      </c>
      <c r="J53" s="31">
        <v>99</v>
      </c>
      <c r="K53" s="33" t="s">
        <v>694</v>
      </c>
      <c r="L53" s="33"/>
      <c r="M53" s="34"/>
      <c r="N53" s="34" t="s">
        <v>1693</v>
      </c>
      <c r="O53" s="35">
        <v>1</v>
      </c>
      <c r="P53" s="35">
        <v>1</v>
      </c>
      <c r="Q53" s="32" t="s">
        <v>1949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1753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1031</v>
      </c>
      <c r="E55" s="32" t="s">
        <v>174</v>
      </c>
      <c r="F55" s="32" t="s">
        <v>1032</v>
      </c>
      <c r="G55" s="32" t="s">
        <v>1033</v>
      </c>
      <c r="H55" s="32" t="s">
        <v>352</v>
      </c>
      <c r="I55" s="31" t="s">
        <v>1034</v>
      </c>
      <c r="J55" s="31">
        <v>1</v>
      </c>
      <c r="K55" s="33" t="s">
        <v>713</v>
      </c>
      <c r="L55" s="33" t="s">
        <v>678</v>
      </c>
      <c r="M55" s="34" t="s">
        <v>1096</v>
      </c>
      <c r="N55" s="34" t="s">
        <v>1741</v>
      </c>
      <c r="O55" s="35">
        <v>1</v>
      </c>
      <c r="P55" s="35"/>
      <c r="Q55" s="32" t="s">
        <v>1859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2070</v>
      </c>
      <c r="E56" s="16" t="s">
        <v>171</v>
      </c>
      <c r="F56" s="16" t="s">
        <v>2071</v>
      </c>
      <c r="G56" s="16"/>
      <c r="H56" s="16" t="s">
        <v>2072</v>
      </c>
      <c r="I56" s="15" t="s">
        <v>2073</v>
      </c>
      <c r="J56" s="15">
        <v>15</v>
      </c>
      <c r="K56" s="10" t="s">
        <v>694</v>
      </c>
      <c r="L56" s="10" t="s">
        <v>1695</v>
      </c>
      <c r="M56" s="19" t="s">
        <v>1096</v>
      </c>
      <c r="N56" s="17"/>
      <c r="Q56" s="16" t="s">
        <v>2074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1600</v>
      </c>
      <c r="E57" s="32" t="s">
        <v>174</v>
      </c>
      <c r="F57" s="32" t="s">
        <v>1626</v>
      </c>
      <c r="G57" s="32" t="s">
        <v>1627</v>
      </c>
      <c r="H57" s="32" t="s">
        <v>352</v>
      </c>
      <c r="I57" s="31" t="s">
        <v>1441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1707</v>
      </c>
      <c r="O57" s="35">
        <v>1</v>
      </c>
      <c r="P57" s="35"/>
      <c r="Q57" s="32" t="s">
        <v>1995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1660</v>
      </c>
      <c r="M58" s="34" t="s">
        <v>1350</v>
      </c>
      <c r="N58" s="34" t="s">
        <v>1696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1159</v>
      </c>
      <c r="E59" s="16" t="s">
        <v>173</v>
      </c>
      <c r="F59" s="16" t="s">
        <v>1160</v>
      </c>
      <c r="G59" s="16" t="s">
        <v>39</v>
      </c>
      <c r="H59" s="16" t="s">
        <v>1162</v>
      </c>
      <c r="I59" s="15" t="s">
        <v>1161</v>
      </c>
      <c r="J59" s="15">
        <v>17</v>
      </c>
      <c r="K59" s="10" t="s">
        <v>694</v>
      </c>
      <c r="L59" s="10" t="s">
        <v>1351</v>
      </c>
      <c r="M59" s="19" t="s">
        <v>1352</v>
      </c>
      <c r="N59" s="17"/>
      <c r="Q59" s="16" t="s">
        <v>1835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38">
        <v>0</v>
      </c>
      <c r="B60" s="38">
        <v>1</v>
      </c>
      <c r="C60" s="38">
        <v>2</v>
      </c>
      <c r="D60" s="39" t="s">
        <v>1170</v>
      </c>
      <c r="E60" s="39" t="s">
        <v>173</v>
      </c>
      <c r="F60" s="39" t="s">
        <v>1171</v>
      </c>
      <c r="G60" s="39" t="s">
        <v>39</v>
      </c>
      <c r="H60" s="39" t="s">
        <v>1172</v>
      </c>
      <c r="I60" s="38" t="s">
        <v>1173</v>
      </c>
      <c r="J60" s="38">
        <v>18</v>
      </c>
      <c r="K60" s="40" t="s">
        <v>934</v>
      </c>
      <c r="L60" s="40" t="s">
        <v>686</v>
      </c>
      <c r="M60" s="41" t="s">
        <v>947</v>
      </c>
      <c r="N60" s="42"/>
      <c r="O60" s="43"/>
      <c r="P60" s="43">
        <v>1</v>
      </c>
      <c r="Q60" s="39" t="s">
        <v>1834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1</v>
      </c>
      <c r="AI60" s="1">
        <f t="shared" si="38"/>
        <v>0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1006</v>
      </c>
      <c r="E61" s="20" t="s">
        <v>174</v>
      </c>
      <c r="F61" s="20" t="s">
        <v>1008</v>
      </c>
      <c r="G61" s="16" t="s">
        <v>39</v>
      </c>
      <c r="H61" s="20" t="s">
        <v>363</v>
      </c>
      <c r="I61" s="21" t="s">
        <v>1007</v>
      </c>
      <c r="J61" s="15">
        <v>18</v>
      </c>
      <c r="K61" s="10" t="s">
        <v>693</v>
      </c>
      <c r="L61" s="10" t="s">
        <v>1113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1553</v>
      </c>
      <c r="E62" s="32" t="s">
        <v>174</v>
      </c>
      <c r="F62" s="32" t="s">
        <v>1554</v>
      </c>
      <c r="G62" s="32" t="s">
        <v>1555</v>
      </c>
      <c r="H62" s="32" t="s">
        <v>352</v>
      </c>
      <c r="I62" s="31" t="s">
        <v>1450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1687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1581</v>
      </c>
      <c r="E63" s="32" t="s">
        <v>169</v>
      </c>
      <c r="F63" s="32" t="s">
        <v>1582</v>
      </c>
      <c r="G63" s="32" t="s">
        <v>39</v>
      </c>
      <c r="H63" s="32" t="s">
        <v>353</v>
      </c>
      <c r="I63" s="31" t="s">
        <v>1583</v>
      </c>
      <c r="J63" s="31">
        <v>11</v>
      </c>
      <c r="K63" s="33" t="s">
        <v>934</v>
      </c>
      <c r="L63" s="33" t="s">
        <v>39</v>
      </c>
      <c r="M63" s="34" t="s">
        <v>39</v>
      </c>
      <c r="N63" s="34" t="s">
        <v>1687</v>
      </c>
      <c r="O63" s="35">
        <v>1</v>
      </c>
      <c r="P63" s="35">
        <v>1</v>
      </c>
      <c r="Q63" s="36" t="s">
        <v>1854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1578</v>
      </c>
      <c r="E64" s="32" t="s">
        <v>173</v>
      </c>
      <c r="F64" s="32" t="s">
        <v>1579</v>
      </c>
      <c r="G64" s="32" t="s">
        <v>1446</v>
      </c>
      <c r="H64" s="32" t="s">
        <v>352</v>
      </c>
      <c r="I64" s="31" t="s">
        <v>1580</v>
      </c>
      <c r="J64" s="31">
        <v>99</v>
      </c>
      <c r="K64" s="33" t="s">
        <v>939</v>
      </c>
      <c r="L64" s="33" t="s">
        <v>39</v>
      </c>
      <c r="M64" s="34" t="s">
        <v>39</v>
      </c>
      <c r="N64" s="34" t="s">
        <v>1687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780</v>
      </c>
      <c r="E65" s="32" t="s">
        <v>173</v>
      </c>
      <c r="F65" s="32" t="s">
        <v>782</v>
      </c>
      <c r="G65" s="32" t="s">
        <v>39</v>
      </c>
      <c r="H65" s="32" t="s">
        <v>781</v>
      </c>
      <c r="I65" s="31" t="s">
        <v>783</v>
      </c>
      <c r="J65" s="31">
        <v>14</v>
      </c>
      <c r="K65" s="33" t="s">
        <v>941</v>
      </c>
      <c r="L65" s="33" t="s">
        <v>1666</v>
      </c>
      <c r="M65" s="34" t="s">
        <v>1344</v>
      </c>
      <c r="N65" s="34" t="s">
        <v>1701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1290</v>
      </c>
      <c r="E66" s="32" t="s">
        <v>174</v>
      </c>
      <c r="F66" s="32" t="s">
        <v>1314</v>
      </c>
      <c r="G66" s="32" t="s">
        <v>39</v>
      </c>
      <c r="H66" s="32" t="s">
        <v>361</v>
      </c>
      <c r="I66" s="31" t="s">
        <v>1114</v>
      </c>
      <c r="J66" s="31">
        <v>14</v>
      </c>
      <c r="K66" s="33" t="s">
        <v>713</v>
      </c>
      <c r="L66" s="33" t="s">
        <v>1659</v>
      </c>
      <c r="M66" s="34" t="s">
        <v>949</v>
      </c>
      <c r="N66" s="34" t="s">
        <v>1799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2105</v>
      </c>
      <c r="E67" s="32" t="s">
        <v>174</v>
      </c>
      <c r="F67" s="32" t="s">
        <v>2110</v>
      </c>
      <c r="G67" s="32"/>
      <c r="H67" s="32" t="s">
        <v>2107</v>
      </c>
      <c r="I67" s="31" t="s">
        <v>2106</v>
      </c>
      <c r="J67" s="31">
        <v>16</v>
      </c>
      <c r="K67" s="33" t="s">
        <v>694</v>
      </c>
      <c r="L67" s="33" t="s">
        <v>2108</v>
      </c>
      <c r="M67" s="34" t="s">
        <v>2109</v>
      </c>
      <c r="N67" s="34" t="s">
        <v>1799</v>
      </c>
      <c r="O67" s="35">
        <v>1</v>
      </c>
      <c r="P67" s="35"/>
      <c r="Q67" s="32" t="s">
        <v>2111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35"/>
        <v>0</v>
      </c>
      <c r="AG67" s="1">
        <f t="shared" si="36"/>
        <v>1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1477</v>
      </c>
      <c r="E68" s="32" t="s">
        <v>169</v>
      </c>
      <c r="F68" s="32" t="s">
        <v>1479</v>
      </c>
      <c r="G68" s="32" t="s">
        <v>1137</v>
      </c>
      <c r="H68" s="32" t="s">
        <v>352</v>
      </c>
      <c r="I68" s="31" t="s">
        <v>1478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1799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1109</v>
      </c>
      <c r="E69" s="32" t="s">
        <v>174</v>
      </c>
      <c r="F69" s="32" t="s">
        <v>1112</v>
      </c>
      <c r="G69" s="32" t="s">
        <v>39</v>
      </c>
      <c r="H69" s="32" t="s">
        <v>1110</v>
      </c>
      <c r="I69" s="31" t="s">
        <v>1111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1701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2032</v>
      </c>
      <c r="G70" s="32" t="s">
        <v>2033</v>
      </c>
      <c r="H70" s="32" t="s">
        <v>352</v>
      </c>
      <c r="I70" s="31"/>
      <c r="J70" s="31">
        <v>1</v>
      </c>
      <c r="K70" s="33" t="s">
        <v>937</v>
      </c>
      <c r="L70" s="33" t="s">
        <v>39</v>
      </c>
      <c r="M70" s="34" t="s">
        <v>39</v>
      </c>
      <c r="N70" s="34" t="s">
        <v>1693</v>
      </c>
      <c r="O70" s="35">
        <v>1</v>
      </c>
      <c r="P70" s="35">
        <v>1</v>
      </c>
      <c r="Q70" s="32" t="s">
        <v>2034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1410</v>
      </c>
      <c r="E71" s="32" t="s">
        <v>174</v>
      </c>
      <c r="F71" s="32" t="s">
        <v>1407</v>
      </c>
      <c r="G71" s="32" t="s">
        <v>39</v>
      </c>
      <c r="H71" s="32" t="s">
        <v>352</v>
      </c>
      <c r="I71" s="31" t="s">
        <v>1408</v>
      </c>
      <c r="J71" s="31">
        <v>99</v>
      </c>
      <c r="K71" s="33" t="s">
        <v>693</v>
      </c>
      <c r="L71" s="33" t="s">
        <v>680</v>
      </c>
      <c r="M71" s="34" t="s">
        <v>1409</v>
      </c>
      <c r="N71" s="34" t="s">
        <v>1687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796</v>
      </c>
      <c r="E72" s="32" t="s">
        <v>174</v>
      </c>
      <c r="F72" s="32" t="s">
        <v>914</v>
      </c>
      <c r="G72" s="32" t="s">
        <v>212</v>
      </c>
      <c r="H72" s="32" t="s">
        <v>352</v>
      </c>
      <c r="I72" s="31" t="s">
        <v>797</v>
      </c>
      <c r="J72" s="31">
        <v>1</v>
      </c>
      <c r="K72" s="33" t="s">
        <v>933</v>
      </c>
      <c r="L72" s="33" t="s">
        <v>680</v>
      </c>
      <c r="M72" s="34" t="s">
        <v>682</v>
      </c>
      <c r="N72" s="34" t="s">
        <v>1799</v>
      </c>
      <c r="O72" s="35">
        <v>1</v>
      </c>
      <c r="P72" s="35"/>
      <c r="Q72" s="32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1</v>
      </c>
      <c r="AF72" s="1">
        <f t="shared" si="35"/>
        <v>0</v>
      </c>
      <c r="AG72" s="1">
        <f t="shared" si="36"/>
        <v>1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1291</v>
      </c>
      <c r="E73" s="32" t="s">
        <v>174</v>
      </c>
      <c r="F73" s="32" t="s">
        <v>1102</v>
      </c>
      <c r="G73" s="32" t="s">
        <v>39</v>
      </c>
      <c r="H73" s="32" t="s">
        <v>1101</v>
      </c>
      <c r="I73" s="31" t="s">
        <v>1100</v>
      </c>
      <c r="J73" s="31">
        <v>15</v>
      </c>
      <c r="K73" s="33" t="s">
        <v>934</v>
      </c>
      <c r="L73" s="33">
        <v>75</v>
      </c>
      <c r="M73" s="34" t="s">
        <v>1353</v>
      </c>
      <c r="N73" s="34" t="s">
        <v>1693</v>
      </c>
      <c r="O73" s="35">
        <v>1</v>
      </c>
      <c r="P73" s="35">
        <v>1</v>
      </c>
      <c r="Q73" s="32" t="s">
        <v>1931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1024</v>
      </c>
      <c r="E74" s="32" t="s">
        <v>173</v>
      </c>
      <c r="F74" s="32" t="s">
        <v>1025</v>
      </c>
      <c r="G74" s="32" t="s">
        <v>620</v>
      </c>
      <c r="H74" s="32" t="s">
        <v>352</v>
      </c>
      <c r="I74" s="31" t="s">
        <v>1026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1693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2000</v>
      </c>
      <c r="E75" s="32" t="s">
        <v>1927</v>
      </c>
      <c r="F75" s="32" t="s">
        <v>2001</v>
      </c>
      <c r="G75" s="32" t="s">
        <v>283</v>
      </c>
      <c r="H75" s="32" t="s">
        <v>352</v>
      </c>
      <c r="I75" s="31" t="s">
        <v>2002</v>
      </c>
      <c r="J75" s="31">
        <v>10</v>
      </c>
      <c r="K75" s="33" t="s">
        <v>694</v>
      </c>
      <c r="L75" s="33"/>
      <c r="M75" s="34"/>
      <c r="N75" s="34" t="s">
        <v>1693</v>
      </c>
      <c r="O75" s="35">
        <v>1</v>
      </c>
      <c r="P75" s="35">
        <v>1</v>
      </c>
      <c r="Q75" s="36" t="s">
        <v>2003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1956</v>
      </c>
      <c r="E76" s="32" t="s">
        <v>174</v>
      </c>
      <c r="F76" s="36" t="s">
        <v>1957</v>
      </c>
      <c r="G76" s="36" t="s">
        <v>219</v>
      </c>
      <c r="H76" s="36" t="s">
        <v>352</v>
      </c>
      <c r="I76" s="37" t="s">
        <v>1958</v>
      </c>
      <c r="J76" s="31">
        <v>8</v>
      </c>
      <c r="K76" s="33" t="s">
        <v>694</v>
      </c>
      <c r="L76" s="33"/>
      <c r="M76" s="34"/>
      <c r="N76" s="34" t="s">
        <v>1693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937</v>
      </c>
      <c r="L77" s="33" t="s">
        <v>1672</v>
      </c>
      <c r="M77" s="34" t="s">
        <v>1344</v>
      </c>
      <c r="N77" s="34" t="s">
        <v>1713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1792</v>
      </c>
      <c r="E78" s="32" t="s">
        <v>173</v>
      </c>
      <c r="F78" s="32" t="s">
        <v>1793</v>
      </c>
      <c r="G78" s="32"/>
      <c r="H78" s="32" t="s">
        <v>1794</v>
      </c>
      <c r="I78" s="31" t="s">
        <v>1795</v>
      </c>
      <c r="J78" s="31">
        <v>14</v>
      </c>
      <c r="K78" s="33" t="s">
        <v>694</v>
      </c>
      <c r="L78" s="33">
        <v>75</v>
      </c>
      <c r="M78" s="34" t="s">
        <v>948</v>
      </c>
      <c r="N78" s="34" t="s">
        <v>1696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1684</v>
      </c>
      <c r="E79" s="32" t="s">
        <v>174</v>
      </c>
      <c r="F79" s="36" t="s">
        <v>1685</v>
      </c>
      <c r="G79" s="36" t="s">
        <v>206</v>
      </c>
      <c r="H79" s="36" t="s">
        <v>352</v>
      </c>
      <c r="I79" s="37" t="s">
        <v>1686</v>
      </c>
      <c r="J79" s="31">
        <v>99</v>
      </c>
      <c r="K79" s="33" t="s">
        <v>694</v>
      </c>
      <c r="L79" s="33"/>
      <c r="M79" s="34"/>
      <c r="N79" s="34" t="s">
        <v>1687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1035</v>
      </c>
      <c r="E80" s="32" t="s">
        <v>174</v>
      </c>
      <c r="F80" s="36" t="s">
        <v>1074</v>
      </c>
      <c r="G80" s="36" t="s">
        <v>39</v>
      </c>
      <c r="H80" s="36" t="s">
        <v>1036</v>
      </c>
      <c r="I80" s="37" t="s">
        <v>1133</v>
      </c>
      <c r="J80" s="31">
        <v>13</v>
      </c>
      <c r="K80" s="33" t="s">
        <v>693</v>
      </c>
      <c r="L80" s="33" t="s">
        <v>680</v>
      </c>
      <c r="M80" s="34" t="s">
        <v>1404</v>
      </c>
      <c r="N80" s="34" t="s">
        <v>1701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1556</v>
      </c>
      <c r="E81" s="32" t="s">
        <v>174</v>
      </c>
      <c r="F81" s="36" t="s">
        <v>1557</v>
      </c>
      <c r="G81" s="36" t="s">
        <v>234</v>
      </c>
      <c r="H81" s="36" t="s">
        <v>352</v>
      </c>
      <c r="I81" s="37" t="s">
        <v>1558</v>
      </c>
      <c r="J81" s="31">
        <v>99</v>
      </c>
      <c r="K81" s="33" t="s">
        <v>933</v>
      </c>
      <c r="L81" s="33">
        <v>45</v>
      </c>
      <c r="M81" s="34" t="s">
        <v>39</v>
      </c>
      <c r="N81" s="34" t="s">
        <v>1741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1293</v>
      </c>
      <c r="E82" s="32" t="s">
        <v>173</v>
      </c>
      <c r="F82" s="36" t="s">
        <v>1236</v>
      </c>
      <c r="G82" s="36" t="s">
        <v>206</v>
      </c>
      <c r="H82" s="36" t="s">
        <v>352</v>
      </c>
      <c r="I82" s="37" t="s">
        <v>1237</v>
      </c>
      <c r="J82" s="31">
        <v>99</v>
      </c>
      <c r="K82" s="33" t="s">
        <v>939</v>
      </c>
      <c r="L82" s="33" t="s">
        <v>39</v>
      </c>
      <c r="M82" s="34" t="s">
        <v>39</v>
      </c>
      <c r="N82" s="34" t="s">
        <v>1687</v>
      </c>
      <c r="O82" s="35">
        <v>1</v>
      </c>
      <c r="P82" s="35">
        <v>1</v>
      </c>
      <c r="Q82" s="36"/>
      <c r="S82" s="1">
        <f t="shared" ref="S82:S146" si="39">IF(J82=$S$7,1,0)</f>
        <v>0</v>
      </c>
      <c r="T82" s="1">
        <f t="shared" ref="T82:T146" si="40">IF(J82=$T$7,1,0)</f>
        <v>0</v>
      </c>
      <c r="U82" s="1">
        <f t="shared" ref="U82:U146" si="41">IF(J82=$U$7,1,0)</f>
        <v>0</v>
      </c>
      <c r="V82" s="1">
        <f t="shared" ref="V82:V146" si="42">IF(J82=$V$7,1,0)</f>
        <v>0</v>
      </c>
      <c r="W82" s="1">
        <f t="shared" ref="W82:W146" si="43">IF(J82=$W$7,1,0)</f>
        <v>0</v>
      </c>
      <c r="X82" s="1">
        <f t="shared" ref="X82:X146" si="44">IF(J82=$X$7,1,0)</f>
        <v>0</v>
      </c>
      <c r="Y82" s="1">
        <f t="shared" ref="Y82:Y146" si="45">IF(J82=$Y$7,1,0)</f>
        <v>0</v>
      </c>
      <c r="Z82" s="1">
        <f t="shared" ref="Z82:Z146" si="46">IF(J82=$Z$7,1,0)</f>
        <v>0</v>
      </c>
      <c r="AA82" s="1">
        <f t="shared" ref="AA82:AA146" si="47">IF(J82=$AA$7,1,0)</f>
        <v>0</v>
      </c>
      <c r="AB82" s="1">
        <f t="shared" ref="AB82:AB146" si="48">IF(J82=$AB$7,1,0)</f>
        <v>0</v>
      </c>
      <c r="AD82" s="1">
        <f t="shared" ref="AD82:AD146" si="49">+O82*P82</f>
        <v>1</v>
      </c>
      <c r="AE82" s="1">
        <f t="shared" ref="AE82:AE146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1750</v>
      </c>
      <c r="E83" s="32" t="s">
        <v>169</v>
      </c>
      <c r="F83" s="36" t="s">
        <v>1748</v>
      </c>
      <c r="G83" s="36" t="s">
        <v>231</v>
      </c>
      <c r="H83" s="36" t="s">
        <v>352</v>
      </c>
      <c r="I83" s="37" t="s">
        <v>1749</v>
      </c>
      <c r="J83" s="31">
        <v>99</v>
      </c>
      <c r="K83" s="33" t="s">
        <v>694</v>
      </c>
      <c r="L83" s="33"/>
      <c r="M83" s="34"/>
      <c r="N83" s="34" t="s">
        <v>1687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7" si="51">+O83*P83*(1-A83)</f>
        <v>1</v>
      </c>
      <c r="AG83" s="1">
        <f t="shared" ref="AG83:AG147" si="52">O83*(1-P83)*(1-A83)</f>
        <v>0</v>
      </c>
      <c r="AH83" s="1">
        <f t="shared" ref="AH83:AH147" si="53">+P83*(1-A83)</f>
        <v>1</v>
      </c>
      <c r="AI83" s="1">
        <f t="shared" ref="AI83:AI147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1130</v>
      </c>
      <c r="E84" s="32" t="s">
        <v>169</v>
      </c>
      <c r="F84" s="36" t="s">
        <v>1131</v>
      </c>
      <c r="G84" s="36" t="s">
        <v>39</v>
      </c>
      <c r="H84" s="36" t="s">
        <v>1325</v>
      </c>
      <c r="I84" s="37" t="s">
        <v>1132</v>
      </c>
      <c r="J84" s="31">
        <v>11</v>
      </c>
      <c r="K84" s="33" t="s">
        <v>693</v>
      </c>
      <c r="L84" s="33" t="s">
        <v>1659</v>
      </c>
      <c r="M84" s="34" t="s">
        <v>1354</v>
      </c>
      <c r="N84" s="34" t="s">
        <v>1701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1775</v>
      </c>
      <c r="O85" s="35">
        <v>1</v>
      </c>
      <c r="P85" s="35"/>
      <c r="Q85" s="36" t="s">
        <v>1831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987</v>
      </c>
      <c r="E86" s="32" t="s">
        <v>171</v>
      </c>
      <c r="F86" s="36" t="s">
        <v>988</v>
      </c>
      <c r="G86" s="36" t="s">
        <v>989</v>
      </c>
      <c r="H86" s="36" t="s">
        <v>352</v>
      </c>
      <c r="I86" s="37" t="s">
        <v>990</v>
      </c>
      <c r="J86" s="31">
        <v>99</v>
      </c>
      <c r="K86" s="33" t="s">
        <v>933</v>
      </c>
      <c r="L86" s="33" t="s">
        <v>39</v>
      </c>
      <c r="M86" s="34" t="s">
        <v>39</v>
      </c>
      <c r="N86" s="34" t="s">
        <v>1693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934</v>
      </c>
      <c r="L87" s="33" t="s">
        <v>678</v>
      </c>
      <c r="M87" s="34" t="s">
        <v>682</v>
      </c>
      <c r="N87" s="34" t="s">
        <v>1696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2051</v>
      </c>
      <c r="E88" s="32" t="s">
        <v>169</v>
      </c>
      <c r="F88" s="36" t="s">
        <v>2052</v>
      </c>
      <c r="G88" s="36" t="s">
        <v>206</v>
      </c>
      <c r="H88" s="36" t="s">
        <v>352</v>
      </c>
      <c r="I88" s="37" t="s">
        <v>2053</v>
      </c>
      <c r="J88" s="31">
        <v>99</v>
      </c>
      <c r="K88" s="33" t="s">
        <v>694</v>
      </c>
      <c r="L88" s="33"/>
      <c r="M88" s="34"/>
      <c r="N88" s="34" t="s">
        <v>1693</v>
      </c>
      <c r="O88" s="35">
        <v>1</v>
      </c>
      <c r="P88" s="35">
        <v>1</v>
      </c>
      <c r="Q88" s="36" t="s">
        <v>2054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1738</v>
      </c>
      <c r="E89" s="16" t="s">
        <v>171</v>
      </c>
      <c r="F89" s="16" t="s">
        <v>1740</v>
      </c>
      <c r="G89" s="16"/>
      <c r="H89" s="16" t="s">
        <v>362</v>
      </c>
      <c r="I89" s="15" t="s">
        <v>1739</v>
      </c>
      <c r="J89" s="15">
        <v>17</v>
      </c>
      <c r="K89" s="10" t="s">
        <v>694</v>
      </c>
      <c r="L89" s="10" t="s">
        <v>1695</v>
      </c>
      <c r="M89" s="19" t="s">
        <v>682</v>
      </c>
      <c r="N89" s="17"/>
      <c r="Q89" s="20" t="s">
        <v>1863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1760</v>
      </c>
      <c r="E90" s="32" t="s">
        <v>171</v>
      </c>
      <c r="F90" s="32" t="s">
        <v>1761</v>
      </c>
      <c r="G90" s="32" t="s">
        <v>1762</v>
      </c>
      <c r="H90" s="32" t="s">
        <v>352</v>
      </c>
      <c r="I90" s="31" t="s">
        <v>1763</v>
      </c>
      <c r="J90" s="31">
        <v>1</v>
      </c>
      <c r="K90" s="33" t="s">
        <v>694</v>
      </c>
      <c r="L90" s="33">
        <v>60</v>
      </c>
      <c r="M90" s="34" t="s">
        <v>1764</v>
      </c>
      <c r="N90" s="34" t="s">
        <v>1799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2010</v>
      </c>
      <c r="E91" s="36" t="s">
        <v>175</v>
      </c>
      <c r="F91" s="36" t="s">
        <v>2008</v>
      </c>
      <c r="G91" s="36" t="s">
        <v>219</v>
      </c>
      <c r="H91" s="36" t="s">
        <v>352</v>
      </c>
      <c r="I91" s="37" t="s">
        <v>2009</v>
      </c>
      <c r="J91" s="31">
        <v>8</v>
      </c>
      <c r="K91" s="33" t="s">
        <v>694</v>
      </c>
      <c r="L91" s="33"/>
      <c r="M91" s="34"/>
      <c r="N91" s="34" t="s">
        <v>1693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1559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1707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1829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933</v>
      </c>
      <c r="L93" s="33" t="s">
        <v>680</v>
      </c>
      <c r="M93" s="34" t="s">
        <v>682</v>
      </c>
      <c r="N93" s="34" t="s">
        <v>1799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771</v>
      </c>
      <c r="E94" s="16" t="s">
        <v>602</v>
      </c>
      <c r="F94" s="16" t="s">
        <v>773</v>
      </c>
      <c r="G94" s="16" t="s">
        <v>213</v>
      </c>
      <c r="H94" s="16" t="s">
        <v>352</v>
      </c>
      <c r="I94" s="15" t="s">
        <v>772</v>
      </c>
      <c r="J94" s="15">
        <v>99</v>
      </c>
      <c r="K94" s="10" t="s">
        <v>713</v>
      </c>
      <c r="L94" s="10" t="s">
        <v>1659</v>
      </c>
      <c r="M94" s="19" t="s">
        <v>1355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933</v>
      </c>
      <c r="L95" s="33" t="s">
        <v>1659</v>
      </c>
      <c r="M95" s="34" t="s">
        <v>947</v>
      </c>
      <c r="N95" s="34" t="s">
        <v>1696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1899</v>
      </c>
      <c r="E96" s="20" t="s">
        <v>1927</v>
      </c>
      <c r="F96" s="20" t="s">
        <v>1928</v>
      </c>
      <c r="G96" s="20"/>
      <c r="H96" s="20" t="s">
        <v>1926</v>
      </c>
      <c r="I96" s="21" t="s">
        <v>1929</v>
      </c>
      <c r="J96" s="15">
        <v>18</v>
      </c>
      <c r="K96" s="10" t="s">
        <v>694</v>
      </c>
      <c r="L96" s="10" t="s">
        <v>1695</v>
      </c>
      <c r="M96" s="19" t="s">
        <v>948</v>
      </c>
      <c r="N96" s="17"/>
      <c r="Q96" s="20" t="s">
        <v>1930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1486</v>
      </c>
      <c r="E97" s="32" t="s">
        <v>175</v>
      </c>
      <c r="F97" s="36" t="s">
        <v>1487</v>
      </c>
      <c r="G97" s="36" t="s">
        <v>39</v>
      </c>
      <c r="H97" s="36" t="s">
        <v>885</v>
      </c>
      <c r="I97" s="37" t="s">
        <v>1488</v>
      </c>
      <c r="J97" s="31">
        <v>11</v>
      </c>
      <c r="K97" s="33" t="s">
        <v>941</v>
      </c>
      <c r="L97" s="33" t="s">
        <v>39</v>
      </c>
      <c r="M97" s="34" t="s">
        <v>39</v>
      </c>
      <c r="N97" s="34" t="s">
        <v>1693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1804</v>
      </c>
      <c r="E98" s="36" t="s">
        <v>171</v>
      </c>
      <c r="F98" s="36" t="s">
        <v>1805</v>
      </c>
      <c r="G98" s="36"/>
      <c r="H98" s="36" t="s">
        <v>1806</v>
      </c>
      <c r="I98" s="37" t="s">
        <v>1807</v>
      </c>
      <c r="J98" s="31">
        <v>15</v>
      </c>
      <c r="K98" s="33" t="s">
        <v>694</v>
      </c>
      <c r="L98" s="33"/>
      <c r="M98" s="34"/>
      <c r="N98" s="34" t="s">
        <v>1693</v>
      </c>
      <c r="O98" s="35">
        <v>1</v>
      </c>
      <c r="P98" s="35">
        <v>1</v>
      </c>
      <c r="Q98" s="36" t="s">
        <v>1841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1299</v>
      </c>
      <c r="F99" s="32" t="s">
        <v>1619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947</v>
      </c>
      <c r="N99" s="34" t="s">
        <v>1799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1507</v>
      </c>
      <c r="E100" s="32" t="s">
        <v>171</v>
      </c>
      <c r="F100" s="32" t="s">
        <v>1508</v>
      </c>
      <c r="G100" s="32" t="s">
        <v>39</v>
      </c>
      <c r="H100" s="32" t="s">
        <v>362</v>
      </c>
      <c r="I100" s="31" t="s">
        <v>1509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1687</v>
      </c>
      <c r="O100" s="35">
        <v>1</v>
      </c>
      <c r="P100" s="35">
        <v>1</v>
      </c>
      <c r="Q100" s="36" t="s">
        <v>1865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933</v>
      </c>
      <c r="L101" s="33" t="s">
        <v>685</v>
      </c>
      <c r="M101" s="34" t="s">
        <v>682</v>
      </c>
      <c r="N101" s="34" t="s">
        <v>1700</v>
      </c>
      <c r="O101" s="35">
        <v>1</v>
      </c>
      <c r="P101" s="35"/>
      <c r="Q101" s="36" t="s">
        <v>1838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1693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1881</v>
      </c>
      <c r="E103" s="32" t="s">
        <v>1882</v>
      </c>
      <c r="F103" s="36" t="s">
        <v>1883</v>
      </c>
      <c r="G103" s="36"/>
      <c r="H103" s="36" t="s">
        <v>364</v>
      </c>
      <c r="I103" s="37" t="s">
        <v>1885</v>
      </c>
      <c r="J103" s="31">
        <v>18</v>
      </c>
      <c r="K103" s="33" t="s">
        <v>694</v>
      </c>
      <c r="L103" s="33"/>
      <c r="M103" s="34"/>
      <c r="N103" s="34" t="s">
        <v>1693</v>
      </c>
      <c r="O103" s="35">
        <v>1</v>
      </c>
      <c r="P103" s="35">
        <v>1</v>
      </c>
      <c r="Q103" s="36" t="s">
        <v>1884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1176</v>
      </c>
      <c r="E104" s="32" t="s">
        <v>174</v>
      </c>
      <c r="F104" s="36" t="s">
        <v>1307</v>
      </c>
      <c r="G104" s="36" t="s">
        <v>39</v>
      </c>
      <c r="H104" s="36" t="s">
        <v>603</v>
      </c>
      <c r="I104" s="37" t="s">
        <v>1177</v>
      </c>
      <c r="J104" s="31">
        <v>14</v>
      </c>
      <c r="K104" s="33" t="s">
        <v>933</v>
      </c>
      <c r="L104" s="33" t="s">
        <v>1659</v>
      </c>
      <c r="M104" s="34" t="s">
        <v>1356</v>
      </c>
      <c r="N104" s="34" t="s">
        <v>1775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802</v>
      </c>
      <c r="E105" s="32" t="s">
        <v>175</v>
      </c>
      <c r="F105" s="36" t="s">
        <v>906</v>
      </c>
      <c r="G105" s="36" t="s">
        <v>39</v>
      </c>
      <c r="H105" s="36" t="s">
        <v>370</v>
      </c>
      <c r="I105" s="37" t="s">
        <v>803</v>
      </c>
      <c r="J105" s="31">
        <v>16</v>
      </c>
      <c r="K105" s="33" t="s">
        <v>934</v>
      </c>
      <c r="L105" s="33" t="s">
        <v>679</v>
      </c>
      <c r="M105" s="34" t="s">
        <v>947</v>
      </c>
      <c r="N105" s="34" t="s">
        <v>1687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1696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933</v>
      </c>
      <c r="L107" s="33" t="s">
        <v>685</v>
      </c>
      <c r="M107" s="34" t="s">
        <v>682</v>
      </c>
      <c r="N107" s="34" t="s">
        <v>1700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2116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1799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2101</v>
      </c>
      <c r="E109" s="32" t="s">
        <v>169</v>
      </c>
      <c r="F109" s="32" t="s">
        <v>2100</v>
      </c>
      <c r="G109" s="32"/>
      <c r="H109" s="32" t="s">
        <v>352</v>
      </c>
      <c r="I109" s="31" t="s">
        <v>2102</v>
      </c>
      <c r="J109" s="31">
        <v>99</v>
      </c>
      <c r="K109" s="33" t="s">
        <v>694</v>
      </c>
      <c r="L109" s="33"/>
      <c r="M109" s="34"/>
      <c r="N109" s="34" t="s">
        <v>1775</v>
      </c>
      <c r="O109" s="35">
        <v>1</v>
      </c>
      <c r="P109" s="35"/>
      <c r="Q109" s="32" t="s">
        <v>2103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1606</v>
      </c>
      <c r="E110" s="16" t="s">
        <v>1064</v>
      </c>
      <c r="F110" s="16" t="s">
        <v>1188</v>
      </c>
      <c r="G110" s="16" t="s">
        <v>39</v>
      </c>
      <c r="H110" s="16" t="s">
        <v>1189</v>
      </c>
      <c r="I110" s="15" t="s">
        <v>1190</v>
      </c>
      <c r="J110" s="15">
        <v>18</v>
      </c>
      <c r="K110" s="10" t="s">
        <v>935</v>
      </c>
      <c r="L110" s="10" t="s">
        <v>679</v>
      </c>
      <c r="M110" s="19" t="s">
        <v>947</v>
      </c>
      <c r="N110" s="17"/>
      <c r="Q110" s="16" t="s">
        <v>1833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1519</v>
      </c>
      <c r="E111" s="32" t="s">
        <v>169</v>
      </c>
      <c r="F111" s="32" t="s">
        <v>1637</v>
      </c>
      <c r="G111" s="32" t="s">
        <v>39</v>
      </c>
      <c r="H111" s="32" t="s">
        <v>355</v>
      </c>
      <c r="I111" s="31" t="s">
        <v>1520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1696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1287</v>
      </c>
      <c r="E112" s="32" t="s">
        <v>174</v>
      </c>
      <c r="F112" s="32" t="s">
        <v>1308</v>
      </c>
      <c r="G112" s="32" t="s">
        <v>39</v>
      </c>
      <c r="H112" s="32" t="s">
        <v>352</v>
      </c>
      <c r="I112" s="31" t="s">
        <v>1108</v>
      </c>
      <c r="J112" s="31">
        <v>99</v>
      </c>
      <c r="K112" s="33" t="s">
        <v>693</v>
      </c>
      <c r="L112" s="33" t="s">
        <v>1659</v>
      </c>
      <c r="M112" s="34" t="s">
        <v>1357</v>
      </c>
      <c r="N112" s="34" t="s">
        <v>1701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1231</v>
      </c>
      <c r="E113" s="32" t="s">
        <v>169</v>
      </c>
      <c r="F113" s="32" t="s">
        <v>1309</v>
      </c>
      <c r="G113" s="32" t="s">
        <v>1163</v>
      </c>
      <c r="H113" s="32" t="s">
        <v>352</v>
      </c>
      <c r="I113" s="31" t="s">
        <v>1164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1752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996</v>
      </c>
      <c r="E114" s="32" t="s">
        <v>602</v>
      </c>
      <c r="F114" s="32" t="s">
        <v>997</v>
      </c>
      <c r="G114" s="32" t="s">
        <v>998</v>
      </c>
      <c r="H114" s="32" t="s">
        <v>352</v>
      </c>
      <c r="I114" s="31" t="s">
        <v>999</v>
      </c>
      <c r="J114" s="31">
        <v>99</v>
      </c>
      <c r="K114" s="33" t="s">
        <v>933</v>
      </c>
      <c r="L114" s="33" t="s">
        <v>39</v>
      </c>
      <c r="M114" s="34" t="s">
        <v>39</v>
      </c>
      <c r="N114" s="34" t="s">
        <v>1693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2064</v>
      </c>
      <c r="E115" s="32" t="s">
        <v>171</v>
      </c>
      <c r="F115" s="32" t="s">
        <v>2065</v>
      </c>
      <c r="G115" s="32"/>
      <c r="H115" s="32" t="s">
        <v>2066</v>
      </c>
      <c r="I115" s="31" t="s">
        <v>2067</v>
      </c>
      <c r="J115" s="31">
        <v>12</v>
      </c>
      <c r="K115" s="33" t="s">
        <v>694</v>
      </c>
      <c r="L115" s="33">
        <v>45</v>
      </c>
      <c r="M115" s="34" t="s">
        <v>1358</v>
      </c>
      <c r="N115" s="34" t="s">
        <v>1799</v>
      </c>
      <c r="O115" s="35">
        <v>1</v>
      </c>
      <c r="P115" s="35"/>
      <c r="Q115" s="32" t="s">
        <v>2068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1358</v>
      </c>
      <c r="N116" s="34" t="s">
        <v>1700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798</v>
      </c>
      <c r="E117" s="32" t="s">
        <v>171</v>
      </c>
      <c r="F117" s="32" t="s">
        <v>799</v>
      </c>
      <c r="G117" s="32" t="s">
        <v>39</v>
      </c>
      <c r="H117" s="32" t="s">
        <v>800</v>
      </c>
      <c r="I117" s="31" t="s">
        <v>801</v>
      </c>
      <c r="J117" s="31">
        <v>16</v>
      </c>
      <c r="K117" s="33" t="s">
        <v>693</v>
      </c>
      <c r="L117" s="33" t="s">
        <v>679</v>
      </c>
      <c r="M117" s="34" t="s">
        <v>1358</v>
      </c>
      <c r="N117" s="34" t="s">
        <v>1687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s="1" customFormat="1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1832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1468</v>
      </c>
      <c r="E119" s="32" t="s">
        <v>169</v>
      </c>
      <c r="F119" s="32" t="s">
        <v>1469</v>
      </c>
      <c r="G119" s="32" t="s">
        <v>39</v>
      </c>
      <c r="H119" s="32" t="s">
        <v>372</v>
      </c>
      <c r="I119" s="31" t="s">
        <v>1470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1701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s="1" customFormat="1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1701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ref="AD120:AD122" si="55">+O120*P120</f>
        <v>0</v>
      </c>
      <c r="AE120" s="1">
        <f t="shared" ref="AE120:AE122" si="56">O120*(1-P120)</f>
        <v>1</v>
      </c>
      <c r="AF120" s="1">
        <f t="shared" ref="AF120:AF122" si="57">+O120*P120*(1-A120)</f>
        <v>0</v>
      </c>
      <c r="AG120" s="1">
        <f t="shared" ref="AG120:AG122" si="58">O120*(1-P120)*(1-A120)</f>
        <v>1</v>
      </c>
      <c r="AH120" s="1">
        <f t="shared" ref="AH120:AH122" si="59">+P120*(1-A120)</f>
        <v>0</v>
      </c>
      <c r="AI120" s="1">
        <f t="shared" ref="AI120:AI122" si="60">+(1-A120)*(1-P120)</f>
        <v>1</v>
      </c>
    </row>
    <row r="121" spans="1:35" s="1" customFormat="1" ht="14.25" customHeight="1" x14ac:dyDescent="0.25">
      <c r="A121" s="15">
        <v>0</v>
      </c>
      <c r="B121" s="15">
        <v>1</v>
      </c>
      <c r="C121" s="15">
        <v>3</v>
      </c>
      <c r="D121" s="16" t="s">
        <v>2160</v>
      </c>
      <c r="E121" s="16" t="s">
        <v>175</v>
      </c>
      <c r="F121" s="16" t="s">
        <v>2161</v>
      </c>
      <c r="G121" s="16"/>
      <c r="H121" s="16" t="s">
        <v>364</v>
      </c>
      <c r="I121" s="15" t="s">
        <v>2162</v>
      </c>
      <c r="J121" s="15">
        <v>18</v>
      </c>
      <c r="K121" s="10" t="s">
        <v>694</v>
      </c>
      <c r="L121" s="10" t="s">
        <v>1695</v>
      </c>
      <c r="M121" s="19" t="s">
        <v>1358</v>
      </c>
      <c r="N121" s="17"/>
      <c r="Q121" s="20" t="s">
        <v>2163</v>
      </c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55"/>
        <v>0</v>
      </c>
      <c r="AE121" s="1">
        <f t="shared" si="56"/>
        <v>0</v>
      </c>
      <c r="AF121" s="1">
        <f t="shared" si="57"/>
        <v>0</v>
      </c>
      <c r="AG121" s="1">
        <f t="shared" si="58"/>
        <v>0</v>
      </c>
      <c r="AH121" s="1">
        <f t="shared" si="59"/>
        <v>0</v>
      </c>
      <c r="AI121" s="1">
        <f t="shared" si="60"/>
        <v>1</v>
      </c>
    </row>
    <row r="122" spans="1:35" s="1" customFormat="1" ht="14.25" customHeight="1" x14ac:dyDescent="0.25">
      <c r="A122" s="31">
        <v>0</v>
      </c>
      <c r="B122" s="31">
        <v>1</v>
      </c>
      <c r="C122" s="31">
        <v>3</v>
      </c>
      <c r="D122" s="32" t="s">
        <v>127</v>
      </c>
      <c r="E122" s="32" t="s">
        <v>174</v>
      </c>
      <c r="F122" s="32" t="s">
        <v>327</v>
      </c>
      <c r="G122" s="32" t="s">
        <v>39</v>
      </c>
      <c r="H122" s="32" t="s">
        <v>373</v>
      </c>
      <c r="I122" s="31" t="s">
        <v>474</v>
      </c>
      <c r="J122" s="31">
        <v>12</v>
      </c>
      <c r="K122" s="33" t="s">
        <v>693</v>
      </c>
      <c r="L122" s="33">
        <v>35</v>
      </c>
      <c r="M122" s="34" t="s">
        <v>682</v>
      </c>
      <c r="N122" s="34" t="s">
        <v>1701</v>
      </c>
      <c r="O122" s="35">
        <v>1</v>
      </c>
      <c r="P122" s="35"/>
      <c r="Q122" s="32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55"/>
        <v>0</v>
      </c>
      <c r="AE122" s="1">
        <f t="shared" si="56"/>
        <v>1</v>
      </c>
      <c r="AF122" s="1">
        <f t="shared" si="57"/>
        <v>0</v>
      </c>
      <c r="AG122" s="1">
        <f t="shared" si="58"/>
        <v>1</v>
      </c>
      <c r="AH122" s="1">
        <f t="shared" si="59"/>
        <v>0</v>
      </c>
      <c r="AI122" s="1">
        <f t="shared" si="60"/>
        <v>1</v>
      </c>
    </row>
    <row r="123" spans="1:35" s="1" customFormat="1" ht="14.25" customHeight="1" x14ac:dyDescent="0.25">
      <c r="A123" s="15">
        <v>0</v>
      </c>
      <c r="B123" s="15">
        <v>1</v>
      </c>
      <c r="C123" s="15">
        <v>3</v>
      </c>
      <c r="D123" s="16" t="s">
        <v>971</v>
      </c>
      <c r="E123" s="16" t="s">
        <v>169</v>
      </c>
      <c r="F123" s="16" t="s">
        <v>1070</v>
      </c>
      <c r="G123" s="16" t="s">
        <v>231</v>
      </c>
      <c r="H123" s="16" t="s">
        <v>352</v>
      </c>
      <c r="I123" s="15" t="s">
        <v>972</v>
      </c>
      <c r="J123" s="15">
        <v>99</v>
      </c>
      <c r="K123" s="10" t="s">
        <v>933</v>
      </c>
      <c r="L123" s="10">
        <v>40</v>
      </c>
      <c r="M123" s="19" t="s">
        <v>39</v>
      </c>
      <c r="N123" s="19"/>
      <c r="Q123" s="16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51"/>
        <v>0</v>
      </c>
      <c r="AG123" s="1">
        <f t="shared" si="52"/>
        <v>0</v>
      </c>
      <c r="AH123" s="1">
        <f t="shared" si="53"/>
        <v>0</v>
      </c>
      <c r="AI123" s="1">
        <f t="shared" si="54"/>
        <v>1</v>
      </c>
    </row>
    <row r="124" spans="1:35" s="1" customFormat="1" ht="14.25" customHeight="1" x14ac:dyDescent="0.25">
      <c r="A124" s="31">
        <v>0</v>
      </c>
      <c r="B124" s="31">
        <v>1</v>
      </c>
      <c r="C124" s="31">
        <v>3</v>
      </c>
      <c r="D124" s="32" t="s">
        <v>128</v>
      </c>
      <c r="E124" s="32" t="s">
        <v>169</v>
      </c>
      <c r="F124" s="32" t="s">
        <v>328</v>
      </c>
      <c r="G124" s="32" t="s">
        <v>39</v>
      </c>
      <c r="H124" s="32" t="s">
        <v>369</v>
      </c>
      <c r="I124" s="31" t="s">
        <v>475</v>
      </c>
      <c r="J124" s="31">
        <v>11</v>
      </c>
      <c r="K124" s="33" t="s">
        <v>693</v>
      </c>
      <c r="L124" s="33" t="s">
        <v>39</v>
      </c>
      <c r="M124" s="34" t="s">
        <v>39</v>
      </c>
      <c r="N124" s="34" t="s">
        <v>1687</v>
      </c>
      <c r="O124" s="35">
        <v>1</v>
      </c>
      <c r="P124" s="35">
        <v>1</v>
      </c>
      <c r="Q124" s="32" t="s">
        <v>1983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1</v>
      </c>
      <c r="AE124" s="1">
        <f t="shared" si="50"/>
        <v>0</v>
      </c>
      <c r="AF124" s="1">
        <f t="shared" si="51"/>
        <v>1</v>
      </c>
      <c r="AG124" s="1">
        <f t="shared" si="52"/>
        <v>0</v>
      </c>
      <c r="AH124" s="1">
        <f t="shared" si="53"/>
        <v>1</v>
      </c>
      <c r="AI124" s="1">
        <f t="shared" si="54"/>
        <v>0</v>
      </c>
    </row>
    <row r="125" spans="1:35" s="1" customFormat="1" ht="14.25" customHeight="1" x14ac:dyDescent="0.25">
      <c r="A125" s="31">
        <v>0</v>
      </c>
      <c r="B125" s="31">
        <v>1</v>
      </c>
      <c r="C125" s="31">
        <v>3</v>
      </c>
      <c r="D125" s="32" t="s">
        <v>1288</v>
      </c>
      <c r="E125" s="32" t="s">
        <v>171</v>
      </c>
      <c r="F125" s="32" t="s">
        <v>1311</v>
      </c>
      <c r="G125" s="32" t="s">
        <v>39</v>
      </c>
      <c r="H125" s="32" t="s">
        <v>965</v>
      </c>
      <c r="I125" s="31" t="s">
        <v>966</v>
      </c>
      <c r="J125" s="31">
        <v>14</v>
      </c>
      <c r="K125" s="33" t="s">
        <v>694</v>
      </c>
      <c r="L125" s="33">
        <v>30</v>
      </c>
      <c r="M125" s="34" t="s">
        <v>948</v>
      </c>
      <c r="N125" s="34" t="s">
        <v>1696</v>
      </c>
      <c r="O125" s="35">
        <v>1</v>
      </c>
      <c r="P125" s="35"/>
      <c r="Q125" s="32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1</v>
      </c>
      <c r="AF125" s="1">
        <f t="shared" si="51"/>
        <v>0</v>
      </c>
      <c r="AG125" s="1">
        <f t="shared" si="52"/>
        <v>1</v>
      </c>
      <c r="AH125" s="1">
        <f t="shared" si="53"/>
        <v>0</v>
      </c>
      <c r="AI125" s="1">
        <f t="shared" si="54"/>
        <v>1</v>
      </c>
    </row>
    <row r="126" spans="1:35" s="1" customFormat="1" ht="14.25" customHeight="1" x14ac:dyDescent="0.25">
      <c r="A126" s="15">
        <v>0</v>
      </c>
      <c r="B126" s="15">
        <v>1</v>
      </c>
      <c r="C126" s="15">
        <v>3</v>
      </c>
      <c r="D126" s="16" t="s">
        <v>2086</v>
      </c>
      <c r="E126" s="16" t="s">
        <v>169</v>
      </c>
      <c r="F126" s="16" t="s">
        <v>2088</v>
      </c>
      <c r="G126" s="16"/>
      <c r="H126" s="16" t="s">
        <v>372</v>
      </c>
      <c r="I126" s="15" t="s">
        <v>2089</v>
      </c>
      <c r="J126" s="15">
        <v>11</v>
      </c>
      <c r="K126" s="10" t="s">
        <v>694</v>
      </c>
      <c r="L126" s="10">
        <v>50</v>
      </c>
      <c r="M126" s="19" t="s">
        <v>2087</v>
      </c>
      <c r="N126" s="17"/>
      <c r="Q126" s="16" t="s">
        <v>2090</v>
      </c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0</v>
      </c>
      <c r="AF126" s="1">
        <f t="shared" si="51"/>
        <v>0</v>
      </c>
      <c r="AG126" s="1">
        <f t="shared" si="52"/>
        <v>0</v>
      </c>
      <c r="AH126" s="1">
        <f t="shared" si="53"/>
        <v>0</v>
      </c>
      <c r="AI126" s="1">
        <f t="shared" si="54"/>
        <v>1</v>
      </c>
    </row>
    <row r="127" spans="1:35" s="1" customFormat="1" ht="14.25" customHeight="1" x14ac:dyDescent="0.25">
      <c r="A127" s="31">
        <v>0</v>
      </c>
      <c r="B127" s="31">
        <v>1</v>
      </c>
      <c r="C127" s="31">
        <v>3</v>
      </c>
      <c r="D127" s="32" t="s">
        <v>690</v>
      </c>
      <c r="E127" s="32" t="s">
        <v>174</v>
      </c>
      <c r="F127" s="32" t="s">
        <v>691</v>
      </c>
      <c r="G127" s="32" t="s">
        <v>39</v>
      </c>
      <c r="H127" s="32" t="s">
        <v>692</v>
      </c>
      <c r="I127" s="31" t="s">
        <v>1092</v>
      </c>
      <c r="J127" s="31">
        <v>13</v>
      </c>
      <c r="K127" s="33" t="s">
        <v>693</v>
      </c>
      <c r="L127" s="33" t="s">
        <v>1659</v>
      </c>
      <c r="M127" s="34" t="s">
        <v>947</v>
      </c>
      <c r="N127" s="34" t="s">
        <v>1775</v>
      </c>
      <c r="O127" s="35">
        <v>1</v>
      </c>
      <c r="P127" s="35"/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1</v>
      </c>
      <c r="AF127" s="1">
        <f t="shared" si="51"/>
        <v>0</v>
      </c>
      <c r="AG127" s="1">
        <f t="shared" si="52"/>
        <v>1</v>
      </c>
      <c r="AH127" s="1">
        <f t="shared" si="53"/>
        <v>0</v>
      </c>
      <c r="AI127" s="1">
        <f t="shared" si="54"/>
        <v>1</v>
      </c>
    </row>
    <row r="128" spans="1:35" s="1" customFormat="1" ht="14.25" customHeight="1" x14ac:dyDescent="0.25">
      <c r="A128" s="31">
        <v>0</v>
      </c>
      <c r="B128" s="31">
        <v>1</v>
      </c>
      <c r="C128" s="31">
        <v>3</v>
      </c>
      <c r="D128" s="32" t="s">
        <v>1482</v>
      </c>
      <c r="E128" s="32" t="s">
        <v>169</v>
      </c>
      <c r="F128" s="32" t="s">
        <v>1628</v>
      </c>
      <c r="G128" s="32" t="s">
        <v>39</v>
      </c>
      <c r="H128" s="32" t="s">
        <v>1483</v>
      </c>
      <c r="I128" s="31" t="s">
        <v>1484</v>
      </c>
      <c r="J128" s="31">
        <v>11</v>
      </c>
      <c r="K128" s="33" t="s">
        <v>713</v>
      </c>
      <c r="L128" s="33">
        <v>40</v>
      </c>
      <c r="M128" s="34" t="s">
        <v>39</v>
      </c>
      <c r="N128" s="34" t="s">
        <v>1687</v>
      </c>
      <c r="O128" s="35">
        <v>1</v>
      </c>
      <c r="P128" s="35">
        <v>1</v>
      </c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1</v>
      </c>
      <c r="AE128" s="1">
        <f t="shared" si="50"/>
        <v>0</v>
      </c>
      <c r="AF128" s="1">
        <f t="shared" si="51"/>
        <v>1</v>
      </c>
      <c r="AG128" s="1">
        <f t="shared" si="52"/>
        <v>0</v>
      </c>
      <c r="AH128" s="1">
        <f t="shared" si="53"/>
        <v>1</v>
      </c>
      <c r="AI128" s="1">
        <f t="shared" si="54"/>
        <v>0</v>
      </c>
    </row>
    <row r="129" spans="1:35" s="1" customFormat="1" ht="14.25" customHeight="1" x14ac:dyDescent="0.25">
      <c r="A129" s="15">
        <v>0</v>
      </c>
      <c r="B129" s="15">
        <v>1</v>
      </c>
      <c r="C129" s="15">
        <v>3</v>
      </c>
      <c r="D129" s="16" t="s">
        <v>145</v>
      </c>
      <c r="E129" s="16" t="s">
        <v>171</v>
      </c>
      <c r="F129" s="16" t="s">
        <v>346</v>
      </c>
      <c r="G129" s="16" t="s">
        <v>39</v>
      </c>
      <c r="H129" s="16" t="s">
        <v>365</v>
      </c>
      <c r="I129" s="15" t="s">
        <v>490</v>
      </c>
      <c r="J129" s="15">
        <v>18</v>
      </c>
      <c r="K129" s="10" t="s">
        <v>933</v>
      </c>
      <c r="L129" s="10" t="s">
        <v>688</v>
      </c>
      <c r="M129" s="19" t="s">
        <v>947</v>
      </c>
      <c r="N129" s="17"/>
      <c r="Q129" s="16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s="1" customFormat="1" ht="14.25" customHeight="1" x14ac:dyDescent="0.25">
      <c r="A130" s="15">
        <v>0</v>
      </c>
      <c r="B130" s="15">
        <v>1</v>
      </c>
      <c r="C130" s="15">
        <v>3</v>
      </c>
      <c r="D130" s="20" t="s">
        <v>1925</v>
      </c>
      <c r="E130" s="20" t="s">
        <v>171</v>
      </c>
      <c r="F130" s="20" t="s">
        <v>1922</v>
      </c>
      <c r="G130" s="20"/>
      <c r="H130" s="20" t="s">
        <v>1923</v>
      </c>
      <c r="I130" s="21" t="s">
        <v>1921</v>
      </c>
      <c r="J130" s="15">
        <v>17</v>
      </c>
      <c r="K130" s="10" t="s">
        <v>694</v>
      </c>
      <c r="L130" s="10" t="s">
        <v>1695</v>
      </c>
      <c r="M130" s="19" t="s">
        <v>948</v>
      </c>
      <c r="N130" s="17"/>
      <c r="Q130" s="20" t="s">
        <v>1924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s="1" customFormat="1" ht="14.25" customHeight="1" x14ac:dyDescent="0.25">
      <c r="A131" s="31">
        <v>0</v>
      </c>
      <c r="B131" s="31">
        <v>1</v>
      </c>
      <c r="C131" s="31">
        <v>3</v>
      </c>
      <c r="D131" s="32" t="s">
        <v>977</v>
      </c>
      <c r="E131" s="32" t="s">
        <v>171</v>
      </c>
      <c r="F131" s="32" t="s">
        <v>1817</v>
      </c>
      <c r="G131" s="32" t="s">
        <v>39</v>
      </c>
      <c r="H131" s="32" t="s">
        <v>978</v>
      </c>
      <c r="I131" s="31" t="s">
        <v>1093</v>
      </c>
      <c r="J131" s="31">
        <v>16</v>
      </c>
      <c r="K131" s="33" t="s">
        <v>713</v>
      </c>
      <c r="L131" s="33" t="s">
        <v>1695</v>
      </c>
      <c r="M131" s="34" t="s">
        <v>1359</v>
      </c>
      <c r="N131" s="34" t="s">
        <v>1775</v>
      </c>
      <c r="O131" s="35">
        <v>1</v>
      </c>
      <c r="P131" s="35"/>
      <c r="Q131" s="32" t="s">
        <v>1839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1</v>
      </c>
      <c r="AF131" s="1">
        <f t="shared" si="51"/>
        <v>0</v>
      </c>
      <c r="AG131" s="1">
        <f t="shared" si="52"/>
        <v>1</v>
      </c>
      <c r="AH131" s="1">
        <f t="shared" si="53"/>
        <v>0</v>
      </c>
      <c r="AI131" s="1">
        <f t="shared" si="54"/>
        <v>1</v>
      </c>
    </row>
    <row r="132" spans="1:35" s="1" customFormat="1" ht="14.25" customHeight="1" x14ac:dyDescent="0.25">
      <c r="A132" s="31">
        <v>0</v>
      </c>
      <c r="B132" s="31">
        <v>1</v>
      </c>
      <c r="C132" s="31">
        <v>3</v>
      </c>
      <c r="D132" s="32" t="s">
        <v>1103</v>
      </c>
      <c r="E132" s="32" t="s">
        <v>171</v>
      </c>
      <c r="F132" s="32" t="s">
        <v>1312</v>
      </c>
      <c r="G132" s="32" t="s">
        <v>39</v>
      </c>
      <c r="H132" s="32" t="s">
        <v>1105</v>
      </c>
      <c r="I132" s="31" t="s">
        <v>1104</v>
      </c>
      <c r="J132" s="31">
        <v>14</v>
      </c>
      <c r="K132" s="33" t="s">
        <v>935</v>
      </c>
      <c r="L132" s="33" t="s">
        <v>1659</v>
      </c>
      <c r="M132" s="34" t="s">
        <v>1360</v>
      </c>
      <c r="N132" s="34" t="s">
        <v>1687</v>
      </c>
      <c r="O132" s="35">
        <v>1</v>
      </c>
      <c r="P132" s="35">
        <v>1</v>
      </c>
      <c r="Q132" s="32" t="s">
        <v>2069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51"/>
        <v>1</v>
      </c>
      <c r="AG132" s="1">
        <f t="shared" si="52"/>
        <v>0</v>
      </c>
      <c r="AH132" s="1">
        <f t="shared" si="53"/>
        <v>1</v>
      </c>
      <c r="AI132" s="1">
        <f t="shared" si="54"/>
        <v>0</v>
      </c>
    </row>
    <row r="133" spans="1:35" s="1" customFormat="1" ht="14.25" customHeight="1" x14ac:dyDescent="0.25">
      <c r="A133" s="31">
        <v>0</v>
      </c>
      <c r="B133" s="31">
        <v>1</v>
      </c>
      <c r="C133" s="31">
        <v>3</v>
      </c>
      <c r="D133" s="32" t="s">
        <v>1055</v>
      </c>
      <c r="E133" s="32" t="s">
        <v>171</v>
      </c>
      <c r="F133" s="32" t="s">
        <v>1017</v>
      </c>
      <c r="G133" s="32" t="s">
        <v>1081</v>
      </c>
      <c r="H133" s="32" t="s">
        <v>352</v>
      </c>
      <c r="I133" s="31" t="s">
        <v>1018</v>
      </c>
      <c r="J133" s="31">
        <v>1</v>
      </c>
      <c r="K133" s="33" t="s">
        <v>935</v>
      </c>
      <c r="L133" s="33" t="s">
        <v>678</v>
      </c>
      <c r="M133" s="34" t="s">
        <v>948</v>
      </c>
      <c r="N133" s="34" t="s">
        <v>1707</v>
      </c>
      <c r="O133" s="35">
        <v>1</v>
      </c>
      <c r="P133" s="35"/>
      <c r="Q133" s="32"/>
      <c r="S133" s="1">
        <f t="shared" si="39"/>
        <v>1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1</v>
      </c>
      <c r="AF133" s="1">
        <f t="shared" si="51"/>
        <v>0</v>
      </c>
      <c r="AG133" s="1">
        <f t="shared" si="52"/>
        <v>1</v>
      </c>
      <c r="AH133" s="1">
        <f t="shared" si="53"/>
        <v>0</v>
      </c>
      <c r="AI133" s="1">
        <f t="shared" si="54"/>
        <v>1</v>
      </c>
    </row>
    <row r="134" spans="1:35" s="1" customFormat="1" ht="14.25" customHeight="1" x14ac:dyDescent="0.25">
      <c r="A134" s="31">
        <v>0</v>
      </c>
      <c r="B134" s="31">
        <v>1</v>
      </c>
      <c r="C134" s="31">
        <v>3</v>
      </c>
      <c r="D134" s="36" t="s">
        <v>2039</v>
      </c>
      <c r="E134" s="36" t="s">
        <v>171</v>
      </c>
      <c r="F134" s="36" t="s">
        <v>2040</v>
      </c>
      <c r="G134" s="32"/>
      <c r="H134" s="36" t="s">
        <v>2041</v>
      </c>
      <c r="I134" s="37" t="s">
        <v>2042</v>
      </c>
      <c r="J134" s="31">
        <v>14</v>
      </c>
      <c r="K134" s="33" t="s">
        <v>694</v>
      </c>
      <c r="L134" s="33"/>
      <c r="M134" s="34"/>
      <c r="N134" s="34" t="s">
        <v>1693</v>
      </c>
      <c r="O134" s="35">
        <v>1</v>
      </c>
      <c r="P134" s="35">
        <v>1</v>
      </c>
      <c r="Q134" s="36" t="s">
        <v>2043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1</v>
      </c>
      <c r="AE134" s="1">
        <f t="shared" si="50"/>
        <v>0</v>
      </c>
      <c r="AF134" s="1">
        <f t="shared" si="51"/>
        <v>1</v>
      </c>
      <c r="AG134" s="1">
        <f t="shared" si="52"/>
        <v>0</v>
      </c>
      <c r="AH134" s="1">
        <f t="shared" si="53"/>
        <v>1</v>
      </c>
      <c r="AI134" s="1">
        <f t="shared" si="54"/>
        <v>0</v>
      </c>
    </row>
    <row r="135" spans="1:35" s="1" customFormat="1" ht="14.25" customHeight="1" x14ac:dyDescent="0.25">
      <c r="A135" s="31">
        <v>0</v>
      </c>
      <c r="B135" s="31">
        <v>1</v>
      </c>
      <c r="C135" s="31">
        <v>3</v>
      </c>
      <c r="D135" s="32" t="s">
        <v>1590</v>
      </c>
      <c r="E135" s="32" t="s">
        <v>1064</v>
      </c>
      <c r="F135" s="32" t="s">
        <v>1591</v>
      </c>
      <c r="G135" s="32" t="s">
        <v>39</v>
      </c>
      <c r="H135" s="32" t="s">
        <v>1592</v>
      </c>
      <c r="I135" s="31" t="s">
        <v>1593</v>
      </c>
      <c r="J135" s="31">
        <v>15</v>
      </c>
      <c r="K135" s="33" t="s">
        <v>935</v>
      </c>
      <c r="L135" s="33" t="s">
        <v>39</v>
      </c>
      <c r="M135" s="34" t="s">
        <v>39</v>
      </c>
      <c r="N135" s="34" t="s">
        <v>1700</v>
      </c>
      <c r="O135" s="35">
        <v>1</v>
      </c>
      <c r="P135" s="35"/>
      <c r="Q135" s="36" t="s">
        <v>1844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1</v>
      </c>
      <c r="AF135" s="1">
        <f t="shared" si="51"/>
        <v>0</v>
      </c>
      <c r="AG135" s="1">
        <f t="shared" si="52"/>
        <v>1</v>
      </c>
      <c r="AH135" s="1">
        <f t="shared" si="53"/>
        <v>0</v>
      </c>
      <c r="AI135" s="1">
        <f t="shared" si="54"/>
        <v>1</v>
      </c>
    </row>
    <row r="136" spans="1:35" s="1" customFormat="1" ht="14.25" customHeight="1" x14ac:dyDescent="0.25">
      <c r="A136" s="15">
        <v>0</v>
      </c>
      <c r="B136" s="15">
        <v>1</v>
      </c>
      <c r="C136" s="15">
        <v>3</v>
      </c>
      <c r="D136" s="16" t="s">
        <v>605</v>
      </c>
      <c r="E136" s="16" t="s">
        <v>169</v>
      </c>
      <c r="F136" s="16" t="s">
        <v>606</v>
      </c>
      <c r="G136" s="16" t="s">
        <v>39</v>
      </c>
      <c r="H136" s="16" t="s">
        <v>364</v>
      </c>
      <c r="I136" s="15" t="s">
        <v>607</v>
      </c>
      <c r="J136" s="15">
        <v>18</v>
      </c>
      <c r="K136" s="10" t="s">
        <v>713</v>
      </c>
      <c r="L136" s="10" t="s">
        <v>1695</v>
      </c>
      <c r="M136" s="19" t="s">
        <v>39</v>
      </c>
      <c r="N136" s="17"/>
      <c r="Q136" s="16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0</v>
      </c>
      <c r="AF136" s="1">
        <f t="shared" si="51"/>
        <v>0</v>
      </c>
      <c r="AG136" s="1">
        <f t="shared" si="52"/>
        <v>0</v>
      </c>
      <c r="AH136" s="1">
        <f t="shared" si="53"/>
        <v>0</v>
      </c>
      <c r="AI136" s="1">
        <f t="shared" si="54"/>
        <v>1</v>
      </c>
    </row>
    <row r="137" spans="1:35" s="1" customFormat="1" ht="14.25" customHeight="1" x14ac:dyDescent="0.25">
      <c r="A137" s="31">
        <v>0</v>
      </c>
      <c r="B137" s="31">
        <v>1</v>
      </c>
      <c r="C137" s="31">
        <v>3</v>
      </c>
      <c r="D137" s="36" t="s">
        <v>2095</v>
      </c>
      <c r="E137" s="36" t="s">
        <v>171</v>
      </c>
      <c r="F137" s="36" t="s">
        <v>2096</v>
      </c>
      <c r="G137" s="32"/>
      <c r="H137" s="36" t="s">
        <v>360</v>
      </c>
      <c r="I137" s="37" t="s">
        <v>2097</v>
      </c>
      <c r="J137" s="31">
        <v>12</v>
      </c>
      <c r="K137" s="33" t="s">
        <v>694</v>
      </c>
      <c r="L137" s="33">
        <v>40</v>
      </c>
      <c r="M137" s="34" t="s">
        <v>948</v>
      </c>
      <c r="N137" s="34" t="s">
        <v>1696</v>
      </c>
      <c r="O137" s="35">
        <v>1</v>
      </c>
      <c r="P137" s="35"/>
      <c r="Q137" s="32" t="s">
        <v>2098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1</v>
      </c>
      <c r="AF137" s="1">
        <f t="shared" si="51"/>
        <v>0</v>
      </c>
      <c r="AG137" s="1">
        <f t="shared" si="52"/>
        <v>1</v>
      </c>
      <c r="AH137" s="1">
        <f t="shared" si="53"/>
        <v>0</v>
      </c>
      <c r="AI137" s="1">
        <f t="shared" si="54"/>
        <v>1</v>
      </c>
    </row>
    <row r="138" spans="1:35" s="1" customFormat="1" ht="14.25" customHeight="1" x14ac:dyDescent="0.25">
      <c r="A138" s="15">
        <v>0</v>
      </c>
      <c r="B138" s="15">
        <v>1</v>
      </c>
      <c r="C138" s="15">
        <v>3</v>
      </c>
      <c r="D138" s="20" t="s">
        <v>2046</v>
      </c>
      <c r="E138" s="20" t="s">
        <v>855</v>
      </c>
      <c r="F138" s="20" t="s">
        <v>2047</v>
      </c>
      <c r="G138" s="16"/>
      <c r="H138" s="20" t="s">
        <v>2048</v>
      </c>
      <c r="I138" s="21" t="s">
        <v>2049</v>
      </c>
      <c r="J138" s="15">
        <v>16</v>
      </c>
      <c r="K138" s="10" t="s">
        <v>694</v>
      </c>
      <c r="L138" s="10" t="s">
        <v>679</v>
      </c>
      <c r="M138" s="19" t="s">
        <v>948</v>
      </c>
      <c r="N138" s="17"/>
      <c r="Q138" s="16" t="s">
        <v>2050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s="1" customFormat="1" ht="14.25" customHeight="1" x14ac:dyDescent="0.25">
      <c r="A139" s="15">
        <v>0</v>
      </c>
      <c r="B139" s="15">
        <v>1</v>
      </c>
      <c r="C139" s="15">
        <v>3</v>
      </c>
      <c r="D139" s="20" t="s">
        <v>1898</v>
      </c>
      <c r="E139" s="20" t="s">
        <v>171</v>
      </c>
      <c r="F139" s="20" t="s">
        <v>1918</v>
      </c>
      <c r="G139" s="20"/>
      <c r="H139" s="20" t="s">
        <v>1917</v>
      </c>
      <c r="I139" s="21" t="s">
        <v>1919</v>
      </c>
      <c r="J139" s="15">
        <v>15</v>
      </c>
      <c r="K139" s="10" t="s">
        <v>694</v>
      </c>
      <c r="L139" s="10" t="s">
        <v>1695</v>
      </c>
      <c r="M139" s="19" t="s">
        <v>948</v>
      </c>
      <c r="N139" s="17"/>
      <c r="Q139" s="20" t="s">
        <v>1920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s="1" customFormat="1" ht="14.25" customHeight="1" x14ac:dyDescent="0.25">
      <c r="A140" s="31">
        <v>0</v>
      </c>
      <c r="B140" s="31">
        <v>1</v>
      </c>
      <c r="C140" s="31">
        <v>3</v>
      </c>
      <c r="D140" s="32" t="s">
        <v>899</v>
      </c>
      <c r="E140" s="32" t="s">
        <v>171</v>
      </c>
      <c r="F140" s="32" t="s">
        <v>1129</v>
      </c>
      <c r="G140" s="32" t="s">
        <v>39</v>
      </c>
      <c r="H140" s="32" t="s">
        <v>361</v>
      </c>
      <c r="I140" s="31" t="s">
        <v>870</v>
      </c>
      <c r="J140" s="31">
        <v>14</v>
      </c>
      <c r="K140" s="33" t="s">
        <v>934</v>
      </c>
      <c r="L140" s="33" t="s">
        <v>39</v>
      </c>
      <c r="M140" s="34" t="s">
        <v>39</v>
      </c>
      <c r="N140" s="34" t="s">
        <v>1693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s="1" customFormat="1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910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933</v>
      </c>
      <c r="L141" s="33" t="s">
        <v>688</v>
      </c>
      <c r="M141" s="34" t="s">
        <v>682</v>
      </c>
      <c r="N141" s="34" t="s">
        <v>1696</v>
      </c>
      <c r="O141" s="35">
        <v>1</v>
      </c>
      <c r="P141" s="35"/>
      <c r="Q141" s="36" t="s">
        <v>1837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s="1" customFormat="1" ht="14.25" customHeight="1" x14ac:dyDescent="0.25">
      <c r="A142" s="31">
        <v>0</v>
      </c>
      <c r="B142" s="31">
        <v>1</v>
      </c>
      <c r="C142" s="31">
        <v>3</v>
      </c>
      <c r="D142" s="32" t="s">
        <v>1471</v>
      </c>
      <c r="E142" s="32" t="s">
        <v>1613</v>
      </c>
      <c r="F142" s="36" t="s">
        <v>2117</v>
      </c>
      <c r="G142" s="32" t="s">
        <v>39</v>
      </c>
      <c r="H142" s="32" t="s">
        <v>1473</v>
      </c>
      <c r="I142" s="31" t="s">
        <v>1472</v>
      </c>
      <c r="J142" s="31">
        <v>14</v>
      </c>
      <c r="K142" s="33" t="s">
        <v>939</v>
      </c>
      <c r="L142" s="33" t="s">
        <v>678</v>
      </c>
      <c r="M142" s="34" t="s">
        <v>1361</v>
      </c>
      <c r="N142" s="34" t="s">
        <v>1687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s="1" customFormat="1" ht="14.25" customHeight="1" x14ac:dyDescent="0.25">
      <c r="A143" s="31">
        <v>0</v>
      </c>
      <c r="B143" s="31">
        <v>1</v>
      </c>
      <c r="C143" s="31">
        <v>3</v>
      </c>
      <c r="D143" s="32" t="s">
        <v>1225</v>
      </c>
      <c r="E143" s="32" t="s">
        <v>171</v>
      </c>
      <c r="F143" s="32" t="s">
        <v>1226</v>
      </c>
      <c r="G143" s="32" t="s">
        <v>1228</v>
      </c>
      <c r="H143" s="32" t="s">
        <v>352</v>
      </c>
      <c r="I143" s="31" t="s">
        <v>1227</v>
      </c>
      <c r="J143" s="31">
        <v>99</v>
      </c>
      <c r="K143" s="33" t="s">
        <v>935</v>
      </c>
      <c r="L143" s="33" t="s">
        <v>684</v>
      </c>
      <c r="M143" s="34" t="s">
        <v>948</v>
      </c>
      <c r="N143" s="34" t="s">
        <v>1775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s="1" customFormat="1" ht="14.25" customHeight="1" x14ac:dyDescent="0.25">
      <c r="A144" s="31">
        <v>0</v>
      </c>
      <c r="B144" s="31">
        <v>1</v>
      </c>
      <c r="C144" s="31">
        <v>3</v>
      </c>
      <c r="D144" s="32" t="s">
        <v>1465</v>
      </c>
      <c r="E144" s="32" t="s">
        <v>171</v>
      </c>
      <c r="F144" s="32" t="s">
        <v>1466</v>
      </c>
      <c r="G144" s="32" t="s">
        <v>39</v>
      </c>
      <c r="H144" s="32" t="s">
        <v>363</v>
      </c>
      <c r="I144" s="31" t="s">
        <v>1467</v>
      </c>
      <c r="J144" s="31">
        <v>18</v>
      </c>
      <c r="K144" s="33" t="s">
        <v>933</v>
      </c>
      <c r="L144" s="33" t="s">
        <v>1695</v>
      </c>
      <c r="M144" s="34" t="s">
        <v>39</v>
      </c>
      <c r="N144" s="34" t="s">
        <v>1700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s="1" customFormat="1" ht="14.25" customHeight="1" x14ac:dyDescent="0.25">
      <c r="A145" s="15">
        <v>0</v>
      </c>
      <c r="B145" s="15">
        <v>1</v>
      </c>
      <c r="C145" s="15">
        <v>3</v>
      </c>
      <c r="D145" s="16" t="s">
        <v>1584</v>
      </c>
      <c r="E145" s="16" t="s">
        <v>171</v>
      </c>
      <c r="F145" s="16" t="s">
        <v>1587</v>
      </c>
      <c r="G145" s="16" t="s">
        <v>39</v>
      </c>
      <c r="H145" s="16" t="s">
        <v>1585</v>
      </c>
      <c r="I145" s="15" t="s">
        <v>1586</v>
      </c>
      <c r="J145" s="15">
        <v>15</v>
      </c>
      <c r="K145" s="10" t="s">
        <v>713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s="1" customFormat="1" ht="14.25" customHeight="1" x14ac:dyDescent="0.25">
      <c r="A146" s="31">
        <v>0</v>
      </c>
      <c r="B146" s="31">
        <v>1</v>
      </c>
      <c r="C146" s="31">
        <v>3</v>
      </c>
      <c r="D146" s="32" t="s">
        <v>1213</v>
      </c>
      <c r="E146" s="32" t="s">
        <v>1215</v>
      </c>
      <c r="F146" s="32" t="s">
        <v>1216</v>
      </c>
      <c r="G146" s="32" t="s">
        <v>39</v>
      </c>
      <c r="H146" s="32" t="s">
        <v>367</v>
      </c>
      <c r="I146" s="31" t="s">
        <v>1214</v>
      </c>
      <c r="J146" s="31">
        <v>14</v>
      </c>
      <c r="K146" s="33" t="s">
        <v>935</v>
      </c>
      <c r="L146" s="33" t="s">
        <v>678</v>
      </c>
      <c r="M146" s="34" t="s">
        <v>1361</v>
      </c>
      <c r="N146" s="34" t="s">
        <v>1693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s="1" customFormat="1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934</v>
      </c>
      <c r="L147" s="33" t="s">
        <v>39</v>
      </c>
      <c r="M147" s="34" t="s">
        <v>39</v>
      </c>
      <c r="N147" s="34" t="s">
        <v>1693</v>
      </c>
      <c r="O147" s="35">
        <v>1</v>
      </c>
      <c r="P147" s="35">
        <v>1</v>
      </c>
      <c r="Q147" s="32"/>
      <c r="S147" s="1">
        <f t="shared" ref="S147:S213" si="61">IF(J147=$S$7,1,0)</f>
        <v>0</v>
      </c>
      <c r="T147" s="1">
        <f t="shared" ref="T147:T213" si="62">IF(J147=$T$7,1,0)</f>
        <v>0</v>
      </c>
      <c r="U147" s="1">
        <f t="shared" ref="U147:U213" si="63">IF(J147=$U$7,1,0)</f>
        <v>0</v>
      </c>
      <c r="V147" s="1">
        <f t="shared" ref="V147:V213" si="64">IF(J147=$V$7,1,0)</f>
        <v>0</v>
      </c>
      <c r="W147" s="1">
        <f t="shared" ref="W147:W213" si="65">IF(J147=$W$7,1,0)</f>
        <v>0</v>
      </c>
      <c r="X147" s="1">
        <f t="shared" ref="X147:X213" si="66">IF(J147=$X$7,1,0)</f>
        <v>0</v>
      </c>
      <c r="Y147" s="1">
        <f t="shared" ref="Y147:Y213" si="67">IF(J147=$Y$7,1,0)</f>
        <v>0</v>
      </c>
      <c r="Z147" s="1">
        <f t="shared" ref="Z147:Z213" si="68">IF(J147=$Z$7,1,0)</f>
        <v>0</v>
      </c>
      <c r="AA147" s="1">
        <f t="shared" ref="AA147:AA213" si="69">IF(J147=$AA$7,1,0)</f>
        <v>0</v>
      </c>
      <c r="AB147" s="1">
        <f t="shared" ref="AB147:AB213" si="70">IF(J147=$AB$7,1,0)</f>
        <v>0</v>
      </c>
      <c r="AD147" s="1">
        <f t="shared" ref="AD147:AD213" si="71">+O147*P147</f>
        <v>1</v>
      </c>
      <c r="AE147" s="1">
        <f t="shared" ref="AE147:AE213" si="72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s="1" customFormat="1" ht="14.25" customHeight="1" x14ac:dyDescent="0.25">
      <c r="A148" s="31">
        <v>0</v>
      </c>
      <c r="B148" s="31">
        <v>1</v>
      </c>
      <c r="C148" s="31">
        <v>3</v>
      </c>
      <c r="D148" s="32" t="s">
        <v>900</v>
      </c>
      <c r="E148" s="32" t="s">
        <v>171</v>
      </c>
      <c r="F148" s="32" t="s">
        <v>912</v>
      </c>
      <c r="G148" s="32" t="s">
        <v>234</v>
      </c>
      <c r="H148" s="32" t="s">
        <v>352</v>
      </c>
      <c r="I148" s="31" t="s">
        <v>925</v>
      </c>
      <c r="J148" s="31">
        <v>99</v>
      </c>
      <c r="K148" s="33" t="s">
        <v>713</v>
      </c>
      <c r="L148" s="33">
        <v>45</v>
      </c>
      <c r="M148" s="34" t="s">
        <v>39</v>
      </c>
      <c r="N148" s="34" t="s">
        <v>1752</v>
      </c>
      <c r="O148" s="35">
        <v>1</v>
      </c>
      <c r="P148" s="35"/>
      <c r="Q148" s="32"/>
      <c r="S148" s="1">
        <f t="shared" si="61"/>
        <v>0</v>
      </c>
      <c r="T148" s="1">
        <f t="shared" si="62"/>
        <v>0</v>
      </c>
      <c r="U148" s="1">
        <f t="shared" si="63"/>
        <v>0</v>
      </c>
      <c r="V148" s="1">
        <f t="shared" si="64"/>
        <v>0</v>
      </c>
      <c r="W148" s="1">
        <f t="shared" si="65"/>
        <v>0</v>
      </c>
      <c r="X148" s="1">
        <f t="shared" si="66"/>
        <v>0</v>
      </c>
      <c r="Y148" s="1">
        <f t="shared" si="67"/>
        <v>0</v>
      </c>
      <c r="Z148" s="1">
        <f t="shared" si="68"/>
        <v>0</v>
      </c>
      <c r="AA148" s="1">
        <f t="shared" si="69"/>
        <v>0</v>
      </c>
      <c r="AB148" s="1">
        <f t="shared" si="70"/>
        <v>0</v>
      </c>
      <c r="AD148" s="1">
        <f t="shared" si="71"/>
        <v>0</v>
      </c>
      <c r="AE148" s="1">
        <f t="shared" si="72"/>
        <v>1</v>
      </c>
      <c r="AF148" s="1">
        <f t="shared" ref="AF148:AF214" si="73">+O148*P148*(1-A148)</f>
        <v>0</v>
      </c>
      <c r="AG148" s="1">
        <f t="shared" ref="AG148:AG214" si="74">O148*(1-P148)*(1-A148)</f>
        <v>1</v>
      </c>
      <c r="AH148" s="1">
        <f t="shared" ref="AH148:AH214" si="75">+P148*(1-A148)</f>
        <v>0</v>
      </c>
      <c r="AI148" s="1">
        <f t="shared" ref="AI148:AI214" si="76">+(1-A148)*(1-P148)</f>
        <v>1</v>
      </c>
    </row>
    <row r="149" spans="1:35" s="1" customFormat="1" ht="14.25" customHeight="1" x14ac:dyDescent="0.25">
      <c r="A149" s="31">
        <v>0</v>
      </c>
      <c r="B149" s="31">
        <v>1</v>
      </c>
      <c r="C149" s="31">
        <v>3</v>
      </c>
      <c r="D149" s="32" t="s">
        <v>78</v>
      </c>
      <c r="E149" s="32" t="s">
        <v>602</v>
      </c>
      <c r="F149" s="32" t="s">
        <v>306</v>
      </c>
      <c r="G149" s="32" t="s">
        <v>39</v>
      </c>
      <c r="H149" s="32" t="s">
        <v>360</v>
      </c>
      <c r="I149" s="31" t="s">
        <v>454</v>
      </c>
      <c r="J149" s="31">
        <v>12</v>
      </c>
      <c r="K149" s="33" t="s">
        <v>694</v>
      </c>
      <c r="L149" s="33">
        <v>40</v>
      </c>
      <c r="M149" s="34" t="s">
        <v>948</v>
      </c>
      <c r="N149" s="34" t="s">
        <v>1775</v>
      </c>
      <c r="O149" s="35">
        <v>1</v>
      </c>
      <c r="P149" s="35"/>
      <c r="Q149" s="32"/>
      <c r="S149" s="1">
        <f t="shared" si="61"/>
        <v>0</v>
      </c>
      <c r="T149" s="1">
        <f t="shared" si="62"/>
        <v>0</v>
      </c>
      <c r="U149" s="1">
        <f t="shared" si="63"/>
        <v>0</v>
      </c>
      <c r="V149" s="1">
        <f t="shared" si="64"/>
        <v>0</v>
      </c>
      <c r="W149" s="1">
        <f t="shared" si="65"/>
        <v>0</v>
      </c>
      <c r="X149" s="1">
        <f t="shared" si="66"/>
        <v>0</v>
      </c>
      <c r="Y149" s="1">
        <f t="shared" si="67"/>
        <v>0</v>
      </c>
      <c r="Z149" s="1">
        <f t="shared" si="68"/>
        <v>0</v>
      </c>
      <c r="AA149" s="1">
        <f t="shared" si="69"/>
        <v>0</v>
      </c>
      <c r="AB149" s="1">
        <f t="shared" si="70"/>
        <v>0</v>
      </c>
      <c r="AD149" s="1">
        <f t="shared" si="71"/>
        <v>0</v>
      </c>
      <c r="AE149" s="1">
        <f t="shared" si="72"/>
        <v>1</v>
      </c>
      <c r="AF149" s="1">
        <f t="shared" si="73"/>
        <v>0</v>
      </c>
      <c r="AG149" s="1">
        <f t="shared" si="74"/>
        <v>1</v>
      </c>
      <c r="AH149" s="1">
        <f t="shared" si="75"/>
        <v>0</v>
      </c>
      <c r="AI149" s="1">
        <f t="shared" si="76"/>
        <v>1</v>
      </c>
    </row>
    <row r="150" spans="1:35" s="1" customFormat="1" ht="14.25" customHeight="1" x14ac:dyDescent="0.25">
      <c r="A150" s="15">
        <v>0</v>
      </c>
      <c r="B150" s="15">
        <v>1</v>
      </c>
      <c r="C150" s="15">
        <v>3</v>
      </c>
      <c r="D150" s="16" t="s">
        <v>1543</v>
      </c>
      <c r="E150" s="16" t="s">
        <v>169</v>
      </c>
      <c r="F150" s="16" t="s">
        <v>1545</v>
      </c>
      <c r="G150" s="16"/>
      <c r="H150" s="16" t="s">
        <v>363</v>
      </c>
      <c r="I150" s="15" t="s">
        <v>1544</v>
      </c>
      <c r="J150" s="15">
        <v>18</v>
      </c>
      <c r="K150" s="10" t="s">
        <v>694</v>
      </c>
      <c r="L150" s="10" t="s">
        <v>679</v>
      </c>
      <c r="M150" s="19" t="s">
        <v>948</v>
      </c>
      <c r="N150" s="17"/>
      <c r="Q150" s="16"/>
      <c r="S150" s="1">
        <f t="shared" si="61"/>
        <v>0</v>
      </c>
      <c r="T150" s="1">
        <f t="shared" si="62"/>
        <v>0</v>
      </c>
      <c r="U150" s="1">
        <f t="shared" si="63"/>
        <v>0</v>
      </c>
      <c r="V150" s="1">
        <f t="shared" si="64"/>
        <v>0</v>
      </c>
      <c r="W150" s="1">
        <f t="shared" si="65"/>
        <v>0</v>
      </c>
      <c r="X150" s="1">
        <f t="shared" si="66"/>
        <v>0</v>
      </c>
      <c r="Y150" s="1">
        <f t="shared" si="67"/>
        <v>0</v>
      </c>
      <c r="Z150" s="1">
        <f t="shared" si="68"/>
        <v>0</v>
      </c>
      <c r="AA150" s="1">
        <f t="shared" si="69"/>
        <v>0</v>
      </c>
      <c r="AB150" s="1">
        <f t="shared" si="70"/>
        <v>0</v>
      </c>
      <c r="AD150" s="1">
        <f t="shared" si="71"/>
        <v>0</v>
      </c>
      <c r="AE150" s="1">
        <f t="shared" si="72"/>
        <v>0</v>
      </c>
      <c r="AF150" s="1">
        <f t="shared" si="73"/>
        <v>0</v>
      </c>
      <c r="AG150" s="1">
        <f t="shared" si="74"/>
        <v>0</v>
      </c>
      <c r="AH150" s="1">
        <f t="shared" si="75"/>
        <v>0</v>
      </c>
      <c r="AI150" s="1">
        <f t="shared" si="76"/>
        <v>1</v>
      </c>
    </row>
    <row r="151" spans="1:35" s="1" customFormat="1" ht="14.25" customHeight="1" x14ac:dyDescent="0.25">
      <c r="A151" s="31">
        <v>0</v>
      </c>
      <c r="B151" s="31">
        <v>1</v>
      </c>
      <c r="C151" s="31">
        <v>3</v>
      </c>
      <c r="D151" s="32" t="s">
        <v>1255</v>
      </c>
      <c r="E151" s="32" t="s">
        <v>171</v>
      </c>
      <c r="F151" s="32" t="s">
        <v>1256</v>
      </c>
      <c r="G151" s="32" t="s">
        <v>237</v>
      </c>
      <c r="H151" s="32" t="s">
        <v>352</v>
      </c>
      <c r="I151" s="31" t="s">
        <v>1257</v>
      </c>
      <c r="J151" s="31">
        <v>4</v>
      </c>
      <c r="K151" s="33" t="s">
        <v>934</v>
      </c>
      <c r="L151" s="33" t="s">
        <v>39</v>
      </c>
      <c r="M151" s="34" t="s">
        <v>39</v>
      </c>
      <c r="N151" s="34" t="s">
        <v>1687</v>
      </c>
      <c r="O151" s="35">
        <v>1</v>
      </c>
      <c r="P151" s="35">
        <v>1</v>
      </c>
      <c r="Q151" s="32"/>
      <c r="S151" s="1">
        <f t="shared" si="61"/>
        <v>0</v>
      </c>
      <c r="T151" s="1">
        <f t="shared" si="62"/>
        <v>0</v>
      </c>
      <c r="U151" s="1">
        <f t="shared" si="63"/>
        <v>0</v>
      </c>
      <c r="V151" s="1">
        <f t="shared" si="64"/>
        <v>1</v>
      </c>
      <c r="W151" s="1">
        <f t="shared" si="65"/>
        <v>0</v>
      </c>
      <c r="X151" s="1">
        <f t="shared" si="66"/>
        <v>0</v>
      </c>
      <c r="Y151" s="1">
        <f t="shared" si="67"/>
        <v>0</v>
      </c>
      <c r="Z151" s="1">
        <f t="shared" si="68"/>
        <v>0</v>
      </c>
      <c r="AA151" s="1">
        <f t="shared" si="69"/>
        <v>0</v>
      </c>
      <c r="AB151" s="1">
        <f t="shared" si="70"/>
        <v>0</v>
      </c>
      <c r="AD151" s="1">
        <f t="shared" si="71"/>
        <v>1</v>
      </c>
      <c r="AE151" s="1">
        <f t="shared" si="72"/>
        <v>0</v>
      </c>
      <c r="AF151" s="1">
        <f t="shared" si="73"/>
        <v>1</v>
      </c>
      <c r="AG151" s="1">
        <f t="shared" si="74"/>
        <v>0</v>
      </c>
      <c r="AH151" s="1">
        <f t="shared" si="75"/>
        <v>1</v>
      </c>
      <c r="AI151" s="1">
        <f t="shared" si="76"/>
        <v>0</v>
      </c>
    </row>
    <row r="152" spans="1:35" s="1" customFormat="1" ht="14.25" customHeight="1" x14ac:dyDescent="0.25">
      <c r="A152" s="31">
        <v>0</v>
      </c>
      <c r="B152" s="31">
        <v>1</v>
      </c>
      <c r="C152" s="31">
        <v>3</v>
      </c>
      <c r="D152" s="32" t="s">
        <v>640</v>
      </c>
      <c r="E152" s="32" t="s">
        <v>171</v>
      </c>
      <c r="F152" s="32" t="s">
        <v>649</v>
      </c>
      <c r="G152" s="32" t="s">
        <v>231</v>
      </c>
      <c r="H152" s="32" t="s">
        <v>352</v>
      </c>
      <c r="I152" s="31" t="s">
        <v>604</v>
      </c>
      <c r="J152" s="31">
        <v>99</v>
      </c>
      <c r="K152" s="33" t="s">
        <v>693</v>
      </c>
      <c r="L152" s="33" t="s">
        <v>39</v>
      </c>
      <c r="M152" s="34" t="s">
        <v>39</v>
      </c>
      <c r="N152" s="34" t="s">
        <v>1693</v>
      </c>
      <c r="O152" s="35">
        <v>1</v>
      </c>
      <c r="P152" s="35">
        <v>1</v>
      </c>
      <c r="Q152" s="32"/>
      <c r="S152" s="1">
        <f t="shared" si="61"/>
        <v>0</v>
      </c>
      <c r="T152" s="1">
        <f t="shared" si="62"/>
        <v>0</v>
      </c>
      <c r="U152" s="1">
        <f t="shared" si="63"/>
        <v>0</v>
      </c>
      <c r="V152" s="1">
        <f t="shared" si="64"/>
        <v>0</v>
      </c>
      <c r="W152" s="1">
        <f t="shared" si="65"/>
        <v>0</v>
      </c>
      <c r="X152" s="1">
        <f t="shared" si="66"/>
        <v>0</v>
      </c>
      <c r="Y152" s="1">
        <f t="shared" si="67"/>
        <v>0</v>
      </c>
      <c r="Z152" s="1">
        <f t="shared" si="68"/>
        <v>0</v>
      </c>
      <c r="AA152" s="1">
        <f t="shared" si="69"/>
        <v>0</v>
      </c>
      <c r="AB152" s="1">
        <f t="shared" si="70"/>
        <v>0</v>
      </c>
      <c r="AD152" s="1">
        <f t="shared" si="71"/>
        <v>1</v>
      </c>
      <c r="AE152" s="1">
        <f t="shared" si="72"/>
        <v>0</v>
      </c>
      <c r="AF152" s="1">
        <f t="shared" si="73"/>
        <v>1</v>
      </c>
      <c r="AG152" s="1">
        <f t="shared" si="74"/>
        <v>0</v>
      </c>
      <c r="AH152" s="1">
        <f t="shared" si="75"/>
        <v>1</v>
      </c>
      <c r="AI152" s="1">
        <f t="shared" si="76"/>
        <v>0</v>
      </c>
    </row>
    <row r="153" spans="1:35" s="1" customFormat="1" ht="14.25" customHeight="1" x14ac:dyDescent="0.25">
      <c r="A153" s="31">
        <v>0</v>
      </c>
      <c r="B153" s="31">
        <v>1</v>
      </c>
      <c r="C153" s="31">
        <v>3</v>
      </c>
      <c r="D153" s="36" t="s">
        <v>2152</v>
      </c>
      <c r="E153" s="36" t="s">
        <v>2153</v>
      </c>
      <c r="F153" s="36" t="s">
        <v>2154</v>
      </c>
      <c r="G153" s="32"/>
      <c r="H153" s="36" t="s">
        <v>352</v>
      </c>
      <c r="I153" s="37" t="s">
        <v>2155</v>
      </c>
      <c r="J153" s="31">
        <v>99</v>
      </c>
      <c r="K153" s="33" t="s">
        <v>694</v>
      </c>
      <c r="L153" s="33"/>
      <c r="M153" s="34"/>
      <c r="N153" s="34" t="s">
        <v>1693</v>
      </c>
      <c r="O153" s="35">
        <v>1</v>
      </c>
      <c r="P153" s="35">
        <v>1</v>
      </c>
      <c r="Q153" s="32"/>
      <c r="S153" s="1">
        <f t="shared" si="61"/>
        <v>0</v>
      </c>
      <c r="T153" s="1">
        <f t="shared" si="62"/>
        <v>0</v>
      </c>
      <c r="U153" s="1">
        <f t="shared" si="63"/>
        <v>0</v>
      </c>
      <c r="V153" s="1">
        <f t="shared" si="64"/>
        <v>0</v>
      </c>
      <c r="W153" s="1">
        <f t="shared" si="65"/>
        <v>0</v>
      </c>
      <c r="X153" s="1">
        <f t="shared" si="66"/>
        <v>0</v>
      </c>
      <c r="Y153" s="1">
        <f t="shared" si="67"/>
        <v>0</v>
      </c>
      <c r="Z153" s="1">
        <f t="shared" si="68"/>
        <v>0</v>
      </c>
      <c r="AA153" s="1">
        <f t="shared" si="69"/>
        <v>0</v>
      </c>
      <c r="AB153" s="1">
        <f t="shared" si="70"/>
        <v>0</v>
      </c>
      <c r="AD153" s="1">
        <f t="shared" ref="AD153:AD155" si="77">+O153*P153</f>
        <v>1</v>
      </c>
      <c r="AE153" s="1">
        <f t="shared" ref="AE153:AE155" si="78">O153*(1-P153)</f>
        <v>0</v>
      </c>
      <c r="AF153" s="1">
        <f t="shared" ref="AF153:AF155" si="79">+O153*P153*(1-A153)</f>
        <v>1</v>
      </c>
      <c r="AG153" s="1">
        <f t="shared" ref="AG153:AG155" si="80">O153*(1-P153)*(1-A153)</f>
        <v>0</v>
      </c>
      <c r="AH153" s="1">
        <f t="shared" ref="AH153:AH155" si="81">+P153*(1-A153)</f>
        <v>1</v>
      </c>
      <c r="AI153" s="1">
        <f t="shared" ref="AI153:AI155" si="82">+(1-A153)*(1-P153)</f>
        <v>0</v>
      </c>
    </row>
    <row r="154" spans="1:35" s="1" customFormat="1" ht="14.25" customHeight="1" x14ac:dyDescent="0.25">
      <c r="A154" s="38">
        <v>0</v>
      </c>
      <c r="B154" s="38">
        <v>1</v>
      </c>
      <c r="C154" s="38">
        <v>3</v>
      </c>
      <c r="D154" s="39" t="s">
        <v>854</v>
      </c>
      <c r="E154" s="39" t="s">
        <v>855</v>
      </c>
      <c r="F154" s="39" t="s">
        <v>856</v>
      </c>
      <c r="G154" s="39" t="s">
        <v>39</v>
      </c>
      <c r="H154" s="39" t="s">
        <v>364</v>
      </c>
      <c r="I154" s="38" t="s">
        <v>857</v>
      </c>
      <c r="J154" s="38">
        <v>18</v>
      </c>
      <c r="K154" s="40" t="s">
        <v>933</v>
      </c>
      <c r="L154" s="40" t="s">
        <v>39</v>
      </c>
      <c r="M154" s="41" t="s">
        <v>39</v>
      </c>
      <c r="N154" s="42"/>
      <c r="O154" s="43"/>
      <c r="P154" s="43">
        <v>1</v>
      </c>
      <c r="Q154" s="39"/>
      <c r="S154" s="1">
        <f t="shared" si="61"/>
        <v>0</v>
      </c>
      <c r="T154" s="1">
        <f t="shared" si="62"/>
        <v>0</v>
      </c>
      <c r="U154" s="1">
        <f t="shared" si="63"/>
        <v>0</v>
      </c>
      <c r="V154" s="1">
        <f t="shared" si="64"/>
        <v>0</v>
      </c>
      <c r="W154" s="1">
        <f t="shared" si="65"/>
        <v>0</v>
      </c>
      <c r="X154" s="1">
        <f t="shared" si="66"/>
        <v>0</v>
      </c>
      <c r="Y154" s="1">
        <f t="shared" si="67"/>
        <v>0</v>
      </c>
      <c r="Z154" s="1">
        <f t="shared" si="68"/>
        <v>0</v>
      </c>
      <c r="AA154" s="1">
        <f t="shared" si="69"/>
        <v>0</v>
      </c>
      <c r="AB154" s="1">
        <f t="shared" si="70"/>
        <v>0</v>
      </c>
      <c r="AD154" s="1">
        <f t="shared" si="77"/>
        <v>0</v>
      </c>
      <c r="AE154" s="1">
        <f t="shared" si="78"/>
        <v>0</v>
      </c>
      <c r="AF154" s="1">
        <f t="shared" si="79"/>
        <v>0</v>
      </c>
      <c r="AG154" s="1">
        <f t="shared" si="80"/>
        <v>0</v>
      </c>
      <c r="AH154" s="1">
        <f t="shared" si="81"/>
        <v>1</v>
      </c>
      <c r="AI154" s="1">
        <f t="shared" si="82"/>
        <v>0</v>
      </c>
    </row>
    <row r="155" spans="1:35" s="1" customFormat="1" ht="14.25" customHeight="1" x14ac:dyDescent="0.25">
      <c r="A155" s="31">
        <v>0</v>
      </c>
      <c r="B155" s="31">
        <v>1</v>
      </c>
      <c r="C155" s="31">
        <v>3</v>
      </c>
      <c r="D155" s="32" t="s">
        <v>1275</v>
      </c>
      <c r="E155" s="32" t="s">
        <v>171</v>
      </c>
      <c r="F155" s="32" t="s">
        <v>1276</v>
      </c>
      <c r="G155" s="32" t="s">
        <v>207</v>
      </c>
      <c r="H155" s="32" t="s">
        <v>352</v>
      </c>
      <c r="I155" s="31" t="s">
        <v>1277</v>
      </c>
      <c r="J155" s="31">
        <v>3</v>
      </c>
      <c r="K155" s="33" t="s">
        <v>933</v>
      </c>
      <c r="L155" s="33" t="s">
        <v>39</v>
      </c>
      <c r="M155" s="34" t="s">
        <v>39</v>
      </c>
      <c r="N155" s="34" t="s">
        <v>1693</v>
      </c>
      <c r="O155" s="35">
        <v>1</v>
      </c>
      <c r="P155" s="35">
        <v>1</v>
      </c>
      <c r="Q155" s="32"/>
      <c r="S155" s="1">
        <f t="shared" si="61"/>
        <v>0</v>
      </c>
      <c r="T155" s="1">
        <f t="shared" si="62"/>
        <v>0</v>
      </c>
      <c r="U155" s="1">
        <f t="shared" si="63"/>
        <v>1</v>
      </c>
      <c r="V155" s="1">
        <f t="shared" si="64"/>
        <v>0</v>
      </c>
      <c r="W155" s="1">
        <f t="shared" si="65"/>
        <v>0</v>
      </c>
      <c r="X155" s="1">
        <f t="shared" si="66"/>
        <v>0</v>
      </c>
      <c r="Y155" s="1">
        <f t="shared" si="67"/>
        <v>0</v>
      </c>
      <c r="Z155" s="1">
        <f t="shared" si="68"/>
        <v>0</v>
      </c>
      <c r="AA155" s="1">
        <f t="shared" si="69"/>
        <v>0</v>
      </c>
      <c r="AB155" s="1">
        <f t="shared" si="70"/>
        <v>0</v>
      </c>
      <c r="AD155" s="1">
        <f t="shared" si="77"/>
        <v>1</v>
      </c>
      <c r="AE155" s="1">
        <f t="shared" si="78"/>
        <v>0</v>
      </c>
      <c r="AF155" s="1">
        <f t="shared" si="79"/>
        <v>1</v>
      </c>
      <c r="AG155" s="1">
        <f t="shared" si="80"/>
        <v>0</v>
      </c>
      <c r="AH155" s="1">
        <f t="shared" si="81"/>
        <v>1</v>
      </c>
      <c r="AI155" s="1">
        <f t="shared" si="82"/>
        <v>0</v>
      </c>
    </row>
    <row r="156" spans="1:35" s="1" customFormat="1" ht="14.25" customHeight="1" x14ac:dyDescent="0.25">
      <c r="A156" s="31">
        <v>0</v>
      </c>
      <c r="B156" s="31">
        <v>1</v>
      </c>
      <c r="C156" s="31">
        <v>3</v>
      </c>
      <c r="D156" s="32" t="s">
        <v>848</v>
      </c>
      <c r="E156" s="32" t="s">
        <v>169</v>
      </c>
      <c r="F156" s="32" t="s">
        <v>849</v>
      </c>
      <c r="G156" s="32" t="s">
        <v>39</v>
      </c>
      <c r="H156" s="32" t="s">
        <v>850</v>
      </c>
      <c r="I156" s="31" t="s">
        <v>926</v>
      </c>
      <c r="J156" s="31">
        <v>11</v>
      </c>
      <c r="K156" s="33" t="s">
        <v>693</v>
      </c>
      <c r="L156" s="33" t="s">
        <v>680</v>
      </c>
      <c r="M156" s="34" t="s">
        <v>948</v>
      </c>
      <c r="N156" s="34" t="s">
        <v>1707</v>
      </c>
      <c r="O156" s="35">
        <v>1</v>
      </c>
      <c r="P156" s="35"/>
      <c r="Q156" s="32"/>
      <c r="S156" s="1">
        <f t="shared" si="61"/>
        <v>0</v>
      </c>
      <c r="T156" s="1">
        <f t="shared" si="62"/>
        <v>0</v>
      </c>
      <c r="U156" s="1">
        <f t="shared" si="63"/>
        <v>0</v>
      </c>
      <c r="V156" s="1">
        <f t="shared" si="64"/>
        <v>0</v>
      </c>
      <c r="W156" s="1">
        <f t="shared" si="65"/>
        <v>0</v>
      </c>
      <c r="X156" s="1">
        <f t="shared" si="66"/>
        <v>0</v>
      </c>
      <c r="Y156" s="1">
        <f t="shared" si="67"/>
        <v>0</v>
      </c>
      <c r="Z156" s="1">
        <f t="shared" si="68"/>
        <v>0</v>
      </c>
      <c r="AA156" s="1">
        <f t="shared" si="69"/>
        <v>0</v>
      </c>
      <c r="AB156" s="1">
        <f t="shared" si="70"/>
        <v>0</v>
      </c>
      <c r="AD156" s="1">
        <f t="shared" si="71"/>
        <v>0</v>
      </c>
      <c r="AE156" s="1">
        <f t="shared" si="72"/>
        <v>1</v>
      </c>
      <c r="AF156" s="1">
        <f t="shared" si="73"/>
        <v>0</v>
      </c>
      <c r="AG156" s="1">
        <f t="shared" si="74"/>
        <v>1</v>
      </c>
      <c r="AH156" s="1">
        <f t="shared" si="75"/>
        <v>0</v>
      </c>
      <c r="AI156" s="1">
        <f t="shared" si="76"/>
        <v>1</v>
      </c>
    </row>
    <row r="157" spans="1:35" s="1" customFormat="1" ht="14.25" customHeight="1" x14ac:dyDescent="0.25">
      <c r="A157" s="15">
        <v>0</v>
      </c>
      <c r="B157" s="15">
        <v>1</v>
      </c>
      <c r="C157" s="15">
        <v>3</v>
      </c>
      <c r="D157" s="16" t="s">
        <v>502</v>
      </c>
      <c r="E157" s="16" t="s">
        <v>169</v>
      </c>
      <c r="F157" s="16" t="s">
        <v>503</v>
      </c>
      <c r="G157" s="16" t="s">
        <v>500</v>
      </c>
      <c r="H157" s="16" t="s">
        <v>352</v>
      </c>
      <c r="I157" s="15" t="s">
        <v>504</v>
      </c>
      <c r="J157" s="15">
        <v>99</v>
      </c>
      <c r="K157" s="10" t="s">
        <v>694</v>
      </c>
      <c r="L157" s="10">
        <v>40</v>
      </c>
      <c r="M157" s="19" t="s">
        <v>948</v>
      </c>
      <c r="N157" s="19"/>
      <c r="Q157" s="16"/>
      <c r="S157" s="1">
        <f t="shared" si="61"/>
        <v>0</v>
      </c>
      <c r="T157" s="1">
        <f t="shared" si="62"/>
        <v>0</v>
      </c>
      <c r="U157" s="1">
        <f t="shared" si="63"/>
        <v>0</v>
      </c>
      <c r="V157" s="1">
        <f t="shared" si="64"/>
        <v>0</v>
      </c>
      <c r="W157" s="1">
        <f t="shared" si="65"/>
        <v>0</v>
      </c>
      <c r="X157" s="1">
        <f t="shared" si="66"/>
        <v>0</v>
      </c>
      <c r="Y157" s="1">
        <f t="shared" si="67"/>
        <v>0</v>
      </c>
      <c r="Z157" s="1">
        <f t="shared" si="68"/>
        <v>0</v>
      </c>
      <c r="AA157" s="1">
        <f t="shared" si="69"/>
        <v>0</v>
      </c>
      <c r="AB157" s="1">
        <f t="shared" si="70"/>
        <v>0</v>
      </c>
      <c r="AD157" s="1">
        <f t="shared" si="71"/>
        <v>0</v>
      </c>
      <c r="AE157" s="1">
        <f t="shared" si="72"/>
        <v>0</v>
      </c>
      <c r="AF157" s="1">
        <f t="shared" si="73"/>
        <v>0</v>
      </c>
      <c r="AG157" s="1">
        <f t="shared" si="74"/>
        <v>0</v>
      </c>
      <c r="AH157" s="1">
        <f t="shared" si="75"/>
        <v>0</v>
      </c>
      <c r="AI157" s="1">
        <f t="shared" si="76"/>
        <v>1</v>
      </c>
    </row>
    <row r="158" spans="1:35" s="1" customFormat="1" ht="14.25" customHeight="1" x14ac:dyDescent="0.25">
      <c r="A158" s="31">
        <v>0</v>
      </c>
      <c r="B158" s="31">
        <v>1</v>
      </c>
      <c r="C158" s="31">
        <v>3</v>
      </c>
      <c r="D158" s="36" t="s">
        <v>1743</v>
      </c>
      <c r="E158" s="36" t="s">
        <v>1744</v>
      </c>
      <c r="F158" s="36" t="s">
        <v>1745</v>
      </c>
      <c r="G158" s="36" t="s">
        <v>1746</v>
      </c>
      <c r="H158" s="36" t="s">
        <v>352</v>
      </c>
      <c r="I158" s="37" t="s">
        <v>1747</v>
      </c>
      <c r="J158" s="31">
        <v>99</v>
      </c>
      <c r="K158" s="33" t="s">
        <v>694</v>
      </c>
      <c r="L158" s="33"/>
      <c r="M158" s="34"/>
      <c r="N158" s="34" t="s">
        <v>1693</v>
      </c>
      <c r="O158" s="35">
        <v>1</v>
      </c>
      <c r="P158" s="35">
        <v>1</v>
      </c>
      <c r="Q158" s="36"/>
      <c r="S158" s="1">
        <f t="shared" si="61"/>
        <v>0</v>
      </c>
      <c r="T158" s="1">
        <f t="shared" si="62"/>
        <v>0</v>
      </c>
      <c r="U158" s="1">
        <f t="shared" si="63"/>
        <v>0</v>
      </c>
      <c r="V158" s="1">
        <f t="shared" si="64"/>
        <v>0</v>
      </c>
      <c r="W158" s="1">
        <f t="shared" si="65"/>
        <v>0</v>
      </c>
      <c r="X158" s="1">
        <f t="shared" si="66"/>
        <v>0</v>
      </c>
      <c r="Y158" s="1">
        <f t="shared" si="67"/>
        <v>0</v>
      </c>
      <c r="Z158" s="1">
        <f t="shared" si="68"/>
        <v>0</v>
      </c>
      <c r="AA158" s="1">
        <f t="shared" si="69"/>
        <v>0</v>
      </c>
      <c r="AB158" s="1">
        <f t="shared" si="70"/>
        <v>0</v>
      </c>
      <c r="AD158" s="1">
        <f t="shared" si="71"/>
        <v>1</v>
      </c>
      <c r="AE158" s="1">
        <f t="shared" si="72"/>
        <v>0</v>
      </c>
      <c r="AF158" s="1">
        <f t="shared" si="73"/>
        <v>1</v>
      </c>
      <c r="AG158" s="1">
        <f t="shared" si="74"/>
        <v>0</v>
      </c>
      <c r="AH158" s="1">
        <f t="shared" si="75"/>
        <v>1</v>
      </c>
      <c r="AI158" s="1">
        <f t="shared" si="76"/>
        <v>0</v>
      </c>
    </row>
    <row r="159" spans="1:35" s="1" customFormat="1" ht="14.25" customHeight="1" x14ac:dyDescent="0.25">
      <c r="A159" s="31">
        <v>0</v>
      </c>
      <c r="B159" s="31">
        <v>1</v>
      </c>
      <c r="C159" s="31">
        <v>3</v>
      </c>
      <c r="D159" s="32" t="s">
        <v>525</v>
      </c>
      <c r="E159" s="32" t="s">
        <v>169</v>
      </c>
      <c r="F159" s="32" t="s">
        <v>650</v>
      </c>
      <c r="G159" s="32" t="s">
        <v>39</v>
      </c>
      <c r="H159" s="32" t="s">
        <v>526</v>
      </c>
      <c r="I159" s="31" t="s">
        <v>527</v>
      </c>
      <c r="J159" s="31">
        <v>18</v>
      </c>
      <c r="K159" s="33" t="s">
        <v>933</v>
      </c>
      <c r="L159" s="33" t="s">
        <v>1695</v>
      </c>
      <c r="M159" s="34" t="s">
        <v>947</v>
      </c>
      <c r="N159" s="34" t="s">
        <v>1693</v>
      </c>
      <c r="O159" s="35">
        <v>1</v>
      </c>
      <c r="P159" s="35">
        <v>1</v>
      </c>
      <c r="Q159" s="32"/>
      <c r="S159" s="1">
        <f t="shared" si="61"/>
        <v>0</v>
      </c>
      <c r="T159" s="1">
        <f t="shared" si="62"/>
        <v>0</v>
      </c>
      <c r="U159" s="1">
        <f t="shared" si="63"/>
        <v>0</v>
      </c>
      <c r="V159" s="1">
        <f t="shared" si="64"/>
        <v>0</v>
      </c>
      <c r="W159" s="1">
        <f t="shared" si="65"/>
        <v>0</v>
      </c>
      <c r="X159" s="1">
        <f t="shared" si="66"/>
        <v>0</v>
      </c>
      <c r="Y159" s="1">
        <f t="shared" si="67"/>
        <v>0</v>
      </c>
      <c r="Z159" s="1">
        <f t="shared" si="68"/>
        <v>0</v>
      </c>
      <c r="AA159" s="1">
        <f t="shared" si="69"/>
        <v>0</v>
      </c>
      <c r="AB159" s="1">
        <f t="shared" si="70"/>
        <v>0</v>
      </c>
      <c r="AD159" s="1">
        <f t="shared" si="71"/>
        <v>1</v>
      </c>
      <c r="AE159" s="1">
        <f t="shared" si="72"/>
        <v>0</v>
      </c>
      <c r="AF159" s="1">
        <f t="shared" si="73"/>
        <v>1</v>
      </c>
      <c r="AG159" s="1">
        <f t="shared" si="74"/>
        <v>0</v>
      </c>
      <c r="AH159" s="1">
        <f t="shared" si="75"/>
        <v>1</v>
      </c>
      <c r="AI159" s="1">
        <f t="shared" si="76"/>
        <v>0</v>
      </c>
    </row>
    <row r="160" spans="1:35" s="1" customFormat="1" ht="14.25" customHeight="1" x14ac:dyDescent="0.25">
      <c r="A160" s="31">
        <v>0</v>
      </c>
      <c r="B160" s="31">
        <v>1</v>
      </c>
      <c r="C160" s="31">
        <v>3</v>
      </c>
      <c r="D160" s="32" t="s">
        <v>952</v>
      </c>
      <c r="E160" s="32" t="s">
        <v>174</v>
      </c>
      <c r="F160" s="32" t="s">
        <v>786</v>
      </c>
      <c r="G160" s="32" t="s">
        <v>39</v>
      </c>
      <c r="H160" s="32" t="s">
        <v>787</v>
      </c>
      <c r="I160" s="31" t="s">
        <v>788</v>
      </c>
      <c r="J160" s="31">
        <v>16</v>
      </c>
      <c r="K160" s="33" t="s">
        <v>934</v>
      </c>
      <c r="L160" s="33" t="s">
        <v>1113</v>
      </c>
      <c r="M160" s="34" t="s">
        <v>947</v>
      </c>
      <c r="N160" s="34" t="s">
        <v>1700</v>
      </c>
      <c r="O160" s="35">
        <v>1</v>
      </c>
      <c r="P160" s="35"/>
      <c r="Q160" s="32"/>
      <c r="S160" s="1">
        <f t="shared" si="61"/>
        <v>0</v>
      </c>
      <c r="T160" s="1">
        <f t="shared" si="62"/>
        <v>0</v>
      </c>
      <c r="U160" s="1">
        <f t="shared" si="63"/>
        <v>0</v>
      </c>
      <c r="V160" s="1">
        <f t="shared" si="64"/>
        <v>0</v>
      </c>
      <c r="W160" s="1">
        <f t="shared" si="65"/>
        <v>0</v>
      </c>
      <c r="X160" s="1">
        <f t="shared" si="66"/>
        <v>0</v>
      </c>
      <c r="Y160" s="1">
        <f t="shared" si="67"/>
        <v>0</v>
      </c>
      <c r="Z160" s="1">
        <f t="shared" si="68"/>
        <v>0</v>
      </c>
      <c r="AA160" s="1">
        <f t="shared" si="69"/>
        <v>0</v>
      </c>
      <c r="AB160" s="1">
        <f t="shared" si="70"/>
        <v>0</v>
      </c>
      <c r="AD160" s="1">
        <f t="shared" si="71"/>
        <v>0</v>
      </c>
      <c r="AE160" s="1">
        <f t="shared" si="72"/>
        <v>1</v>
      </c>
      <c r="AF160" s="1">
        <f t="shared" si="73"/>
        <v>0</v>
      </c>
      <c r="AG160" s="1">
        <f t="shared" si="74"/>
        <v>1</v>
      </c>
      <c r="AH160" s="1">
        <f t="shared" si="75"/>
        <v>0</v>
      </c>
      <c r="AI160" s="1">
        <f t="shared" si="76"/>
        <v>1</v>
      </c>
    </row>
    <row r="161" spans="1:35" s="1" customFormat="1" ht="14.25" customHeight="1" x14ac:dyDescent="0.25">
      <c r="A161" s="31">
        <v>0</v>
      </c>
      <c r="B161" s="31">
        <v>1</v>
      </c>
      <c r="C161" s="31">
        <v>3</v>
      </c>
      <c r="D161" s="32" t="s">
        <v>1167</v>
      </c>
      <c r="E161" s="32" t="s">
        <v>171</v>
      </c>
      <c r="F161" s="32" t="s">
        <v>1168</v>
      </c>
      <c r="G161" s="32" t="s">
        <v>237</v>
      </c>
      <c r="H161" s="32" t="s">
        <v>352</v>
      </c>
      <c r="I161" s="31" t="s">
        <v>1169</v>
      </c>
      <c r="J161" s="31">
        <v>4</v>
      </c>
      <c r="K161" s="33" t="s">
        <v>940</v>
      </c>
      <c r="L161" s="33" t="s">
        <v>1659</v>
      </c>
      <c r="M161" s="34" t="s">
        <v>1565</v>
      </c>
      <c r="N161" s="34" t="s">
        <v>1687</v>
      </c>
      <c r="O161" s="35">
        <v>1</v>
      </c>
      <c r="P161" s="35">
        <v>1</v>
      </c>
      <c r="Q161" s="32"/>
      <c r="S161" s="1">
        <f t="shared" si="61"/>
        <v>0</v>
      </c>
      <c r="T161" s="1">
        <f t="shared" si="62"/>
        <v>0</v>
      </c>
      <c r="U161" s="1">
        <f t="shared" si="63"/>
        <v>0</v>
      </c>
      <c r="V161" s="1">
        <f t="shared" si="64"/>
        <v>1</v>
      </c>
      <c r="W161" s="1">
        <f t="shared" si="65"/>
        <v>0</v>
      </c>
      <c r="X161" s="1">
        <f t="shared" si="66"/>
        <v>0</v>
      </c>
      <c r="Y161" s="1">
        <f t="shared" si="67"/>
        <v>0</v>
      </c>
      <c r="Z161" s="1">
        <f t="shared" si="68"/>
        <v>0</v>
      </c>
      <c r="AA161" s="1">
        <f t="shared" si="69"/>
        <v>0</v>
      </c>
      <c r="AB161" s="1">
        <f t="shared" si="70"/>
        <v>0</v>
      </c>
      <c r="AD161" s="1">
        <f t="shared" si="71"/>
        <v>1</v>
      </c>
      <c r="AE161" s="1">
        <f t="shared" si="72"/>
        <v>0</v>
      </c>
      <c r="AF161" s="1">
        <f t="shared" si="73"/>
        <v>1</v>
      </c>
      <c r="AG161" s="1">
        <f t="shared" si="74"/>
        <v>0</v>
      </c>
      <c r="AH161" s="1">
        <f t="shared" si="75"/>
        <v>1</v>
      </c>
      <c r="AI161" s="1">
        <f t="shared" si="76"/>
        <v>0</v>
      </c>
    </row>
    <row r="162" spans="1:35" s="1" customFormat="1" ht="14.25" customHeight="1" x14ac:dyDescent="0.25">
      <c r="A162" s="31">
        <v>0</v>
      </c>
      <c r="B162" s="31">
        <v>1</v>
      </c>
      <c r="C162" s="31">
        <v>3</v>
      </c>
      <c r="D162" s="32" t="s">
        <v>1602</v>
      </c>
      <c r="E162" s="32" t="s">
        <v>169</v>
      </c>
      <c r="F162" s="32" t="s">
        <v>1439</v>
      </c>
      <c r="G162" s="32" t="s">
        <v>1630</v>
      </c>
      <c r="H162" s="32" t="s">
        <v>352</v>
      </c>
      <c r="I162" s="31" t="s">
        <v>1438</v>
      </c>
      <c r="J162" s="31">
        <v>99</v>
      </c>
      <c r="K162" s="33" t="s">
        <v>693</v>
      </c>
      <c r="L162" s="33" t="s">
        <v>1664</v>
      </c>
      <c r="M162" s="34" t="s">
        <v>1440</v>
      </c>
      <c r="N162" s="34" t="s">
        <v>1701</v>
      </c>
      <c r="O162" s="35">
        <v>1</v>
      </c>
      <c r="P162" s="35"/>
      <c r="Q162" s="32"/>
      <c r="S162" s="1">
        <f t="shared" si="61"/>
        <v>0</v>
      </c>
      <c r="T162" s="1">
        <f t="shared" si="62"/>
        <v>0</v>
      </c>
      <c r="U162" s="1">
        <f t="shared" si="63"/>
        <v>0</v>
      </c>
      <c r="V162" s="1">
        <f t="shared" si="64"/>
        <v>0</v>
      </c>
      <c r="W162" s="1">
        <f t="shared" si="65"/>
        <v>0</v>
      </c>
      <c r="X162" s="1">
        <f t="shared" si="66"/>
        <v>0</v>
      </c>
      <c r="Y162" s="1">
        <f t="shared" si="67"/>
        <v>0</v>
      </c>
      <c r="Z162" s="1">
        <f t="shared" si="68"/>
        <v>0</v>
      </c>
      <c r="AA162" s="1">
        <f t="shared" si="69"/>
        <v>0</v>
      </c>
      <c r="AB162" s="1">
        <f t="shared" si="70"/>
        <v>0</v>
      </c>
      <c r="AD162" s="1">
        <f t="shared" si="71"/>
        <v>0</v>
      </c>
      <c r="AE162" s="1">
        <f t="shared" si="72"/>
        <v>1</v>
      </c>
      <c r="AF162" s="1">
        <f t="shared" si="73"/>
        <v>0</v>
      </c>
      <c r="AG162" s="1">
        <f t="shared" si="74"/>
        <v>1</v>
      </c>
      <c r="AH162" s="1">
        <f t="shared" si="75"/>
        <v>0</v>
      </c>
      <c r="AI162" s="1">
        <f t="shared" si="76"/>
        <v>1</v>
      </c>
    </row>
    <row r="163" spans="1:35" s="1" customFormat="1" ht="14.25" customHeight="1" x14ac:dyDescent="0.25">
      <c r="A163" s="31">
        <v>0</v>
      </c>
      <c r="B163" s="31">
        <v>1</v>
      </c>
      <c r="C163" s="31">
        <v>3</v>
      </c>
      <c r="D163" s="36" t="s">
        <v>2021</v>
      </c>
      <c r="E163" s="36" t="s">
        <v>171</v>
      </c>
      <c r="F163" s="36" t="s">
        <v>2022</v>
      </c>
      <c r="G163" s="32"/>
      <c r="H163" s="36" t="s">
        <v>603</v>
      </c>
      <c r="I163" s="37" t="s">
        <v>2023</v>
      </c>
      <c r="J163" s="31">
        <v>14</v>
      </c>
      <c r="K163" s="33" t="s">
        <v>694</v>
      </c>
      <c r="L163" s="33"/>
      <c r="M163" s="34"/>
      <c r="N163" s="34" t="s">
        <v>1693</v>
      </c>
      <c r="O163" s="35">
        <v>1</v>
      </c>
      <c r="P163" s="35">
        <v>1</v>
      </c>
      <c r="Q163" s="32" t="s">
        <v>2024</v>
      </c>
      <c r="S163" s="1">
        <f t="shared" si="61"/>
        <v>0</v>
      </c>
      <c r="T163" s="1">
        <f t="shared" si="62"/>
        <v>0</v>
      </c>
      <c r="U163" s="1">
        <f t="shared" si="63"/>
        <v>0</v>
      </c>
      <c r="V163" s="1">
        <f t="shared" si="64"/>
        <v>0</v>
      </c>
      <c r="W163" s="1">
        <f t="shared" si="65"/>
        <v>0</v>
      </c>
      <c r="X163" s="1">
        <f t="shared" si="66"/>
        <v>0</v>
      </c>
      <c r="Y163" s="1">
        <f t="shared" si="67"/>
        <v>0</v>
      </c>
      <c r="Z163" s="1">
        <f t="shared" si="68"/>
        <v>0</v>
      </c>
      <c r="AA163" s="1">
        <f t="shared" si="69"/>
        <v>0</v>
      </c>
      <c r="AB163" s="1">
        <f t="shared" si="70"/>
        <v>0</v>
      </c>
      <c r="AD163" s="1">
        <f t="shared" si="71"/>
        <v>1</v>
      </c>
      <c r="AE163" s="1">
        <f t="shared" si="72"/>
        <v>0</v>
      </c>
      <c r="AF163" s="1">
        <f t="shared" si="73"/>
        <v>1</v>
      </c>
      <c r="AG163" s="1">
        <f t="shared" si="74"/>
        <v>0</v>
      </c>
      <c r="AH163" s="1">
        <f t="shared" si="75"/>
        <v>1</v>
      </c>
      <c r="AI163" s="1">
        <f t="shared" si="76"/>
        <v>0</v>
      </c>
    </row>
    <row r="164" spans="1:35" s="1" customFormat="1" ht="14.25" customHeight="1" x14ac:dyDescent="0.25">
      <c r="A164" s="15">
        <v>0</v>
      </c>
      <c r="B164" s="15">
        <v>1</v>
      </c>
      <c r="C164" s="15">
        <v>3</v>
      </c>
      <c r="D164" s="20" t="s">
        <v>1896</v>
      </c>
      <c r="E164" s="20" t="s">
        <v>171</v>
      </c>
      <c r="F164" s="20" t="s">
        <v>1911</v>
      </c>
      <c r="G164" s="20"/>
      <c r="H164" s="20" t="s">
        <v>1910</v>
      </c>
      <c r="I164" s="21" t="s">
        <v>1909</v>
      </c>
      <c r="J164" s="15">
        <v>14</v>
      </c>
      <c r="K164" s="10" t="s">
        <v>694</v>
      </c>
      <c r="L164" s="10" t="s">
        <v>688</v>
      </c>
      <c r="M164" s="19" t="s">
        <v>948</v>
      </c>
      <c r="N164" s="17"/>
      <c r="Q164" s="20" t="s">
        <v>1912</v>
      </c>
      <c r="S164" s="1">
        <f t="shared" si="61"/>
        <v>0</v>
      </c>
      <c r="T164" s="1">
        <f t="shared" si="62"/>
        <v>0</v>
      </c>
      <c r="U164" s="1">
        <f t="shared" si="63"/>
        <v>0</v>
      </c>
      <c r="V164" s="1">
        <f t="shared" si="64"/>
        <v>0</v>
      </c>
      <c r="W164" s="1">
        <f t="shared" si="65"/>
        <v>0</v>
      </c>
      <c r="X164" s="1">
        <f t="shared" si="66"/>
        <v>0</v>
      </c>
      <c r="Y164" s="1">
        <f t="shared" si="67"/>
        <v>0</v>
      </c>
      <c r="Z164" s="1">
        <f t="shared" si="68"/>
        <v>0</v>
      </c>
      <c r="AA164" s="1">
        <f t="shared" si="69"/>
        <v>0</v>
      </c>
      <c r="AB164" s="1">
        <f t="shared" si="70"/>
        <v>0</v>
      </c>
      <c r="AD164" s="1">
        <f t="shared" si="71"/>
        <v>0</v>
      </c>
      <c r="AE164" s="1">
        <f t="shared" si="72"/>
        <v>0</v>
      </c>
      <c r="AF164" s="1">
        <f t="shared" si="73"/>
        <v>0</v>
      </c>
      <c r="AG164" s="1">
        <f t="shared" si="74"/>
        <v>0</v>
      </c>
      <c r="AH164" s="1">
        <f t="shared" si="75"/>
        <v>0</v>
      </c>
      <c r="AI164" s="1">
        <f t="shared" si="76"/>
        <v>1</v>
      </c>
    </row>
    <row r="165" spans="1:35" s="1" customFormat="1" ht="14.25" customHeight="1" x14ac:dyDescent="0.25">
      <c r="A165" s="31">
        <v>0</v>
      </c>
      <c r="B165" s="31">
        <v>1</v>
      </c>
      <c r="C165" s="31">
        <v>3</v>
      </c>
      <c r="D165" s="32" t="s">
        <v>144</v>
      </c>
      <c r="E165" s="32" t="s">
        <v>171</v>
      </c>
      <c r="F165" s="32" t="s">
        <v>345</v>
      </c>
      <c r="G165" s="32" t="s">
        <v>39</v>
      </c>
      <c r="H165" s="32" t="s">
        <v>376</v>
      </c>
      <c r="I165" s="31" t="s">
        <v>1328</v>
      </c>
      <c r="J165" s="31">
        <v>14</v>
      </c>
      <c r="K165" s="33" t="s">
        <v>933</v>
      </c>
      <c r="L165" s="33" t="s">
        <v>680</v>
      </c>
      <c r="M165" s="34" t="s">
        <v>682</v>
      </c>
      <c r="N165" s="34" t="s">
        <v>1700</v>
      </c>
      <c r="O165" s="35">
        <v>1</v>
      </c>
      <c r="P165" s="35"/>
      <c r="Q165" s="32"/>
      <c r="S165" s="1">
        <f t="shared" si="61"/>
        <v>0</v>
      </c>
      <c r="T165" s="1">
        <f t="shared" si="62"/>
        <v>0</v>
      </c>
      <c r="U165" s="1">
        <f t="shared" si="63"/>
        <v>0</v>
      </c>
      <c r="V165" s="1">
        <f t="shared" si="64"/>
        <v>0</v>
      </c>
      <c r="W165" s="1">
        <f t="shared" si="65"/>
        <v>0</v>
      </c>
      <c r="X165" s="1">
        <f t="shared" si="66"/>
        <v>0</v>
      </c>
      <c r="Y165" s="1">
        <f t="shared" si="67"/>
        <v>0</v>
      </c>
      <c r="Z165" s="1">
        <f t="shared" si="68"/>
        <v>0</v>
      </c>
      <c r="AA165" s="1">
        <f t="shared" si="69"/>
        <v>0</v>
      </c>
      <c r="AB165" s="1">
        <f t="shared" si="70"/>
        <v>0</v>
      </c>
      <c r="AD165" s="1">
        <f t="shared" si="71"/>
        <v>0</v>
      </c>
      <c r="AE165" s="1">
        <f t="shared" si="72"/>
        <v>1</v>
      </c>
      <c r="AF165" s="1">
        <f t="shared" si="73"/>
        <v>0</v>
      </c>
      <c r="AG165" s="1">
        <f t="shared" si="74"/>
        <v>1</v>
      </c>
      <c r="AH165" s="1">
        <f t="shared" si="75"/>
        <v>0</v>
      </c>
      <c r="AI165" s="1">
        <f t="shared" si="76"/>
        <v>1</v>
      </c>
    </row>
    <row r="166" spans="1:35" s="1" customFormat="1" ht="14.25" customHeight="1" x14ac:dyDescent="0.25">
      <c r="A166" s="31">
        <v>0</v>
      </c>
      <c r="B166" s="31">
        <v>1</v>
      </c>
      <c r="C166" s="31">
        <v>3</v>
      </c>
      <c r="D166" s="32" t="s">
        <v>1528</v>
      </c>
      <c r="E166" s="32" t="s">
        <v>171</v>
      </c>
      <c r="F166" s="32" t="s">
        <v>1529</v>
      </c>
      <c r="G166" s="32" t="s">
        <v>39</v>
      </c>
      <c r="H166" s="32" t="s">
        <v>1530</v>
      </c>
      <c r="I166" s="31" t="s">
        <v>1531</v>
      </c>
      <c r="J166" s="31">
        <v>17</v>
      </c>
      <c r="K166" s="33" t="s">
        <v>713</v>
      </c>
      <c r="L166" s="33" t="s">
        <v>39</v>
      </c>
      <c r="M166" s="34" t="s">
        <v>39</v>
      </c>
      <c r="N166" s="34" t="s">
        <v>1693</v>
      </c>
      <c r="O166" s="35">
        <v>1</v>
      </c>
      <c r="P166" s="35">
        <v>1</v>
      </c>
      <c r="Q166" s="32" t="s">
        <v>1862</v>
      </c>
      <c r="S166" s="1">
        <f t="shared" si="61"/>
        <v>0</v>
      </c>
      <c r="T166" s="1">
        <f t="shared" si="62"/>
        <v>0</v>
      </c>
      <c r="U166" s="1">
        <f t="shared" si="63"/>
        <v>0</v>
      </c>
      <c r="V166" s="1">
        <f t="shared" si="64"/>
        <v>0</v>
      </c>
      <c r="W166" s="1">
        <f t="shared" si="65"/>
        <v>0</v>
      </c>
      <c r="X166" s="1">
        <f t="shared" si="66"/>
        <v>0</v>
      </c>
      <c r="Y166" s="1">
        <f t="shared" si="67"/>
        <v>0</v>
      </c>
      <c r="Z166" s="1">
        <f t="shared" si="68"/>
        <v>0</v>
      </c>
      <c r="AA166" s="1">
        <f t="shared" si="69"/>
        <v>0</v>
      </c>
      <c r="AB166" s="1">
        <f t="shared" si="70"/>
        <v>0</v>
      </c>
      <c r="AD166" s="1">
        <f t="shared" si="71"/>
        <v>1</v>
      </c>
      <c r="AE166" s="1">
        <f t="shared" si="72"/>
        <v>0</v>
      </c>
      <c r="AF166" s="1">
        <f t="shared" si="73"/>
        <v>1</v>
      </c>
      <c r="AG166" s="1">
        <f t="shared" si="74"/>
        <v>0</v>
      </c>
      <c r="AH166" s="1">
        <f t="shared" si="75"/>
        <v>1</v>
      </c>
      <c r="AI166" s="1">
        <f t="shared" si="76"/>
        <v>0</v>
      </c>
    </row>
    <row r="167" spans="1:35" s="1" customFormat="1" ht="14.25" customHeight="1" x14ac:dyDescent="0.25">
      <c r="A167" s="31">
        <v>0</v>
      </c>
      <c r="B167" s="31">
        <v>1</v>
      </c>
      <c r="C167" s="31">
        <v>3</v>
      </c>
      <c r="D167" s="32" t="s">
        <v>152</v>
      </c>
      <c r="E167" s="32" t="s">
        <v>171</v>
      </c>
      <c r="F167" s="32" t="s">
        <v>351</v>
      </c>
      <c r="G167" s="32" t="s">
        <v>39</v>
      </c>
      <c r="H167" s="32" t="s">
        <v>1819</v>
      </c>
      <c r="I167" s="31" t="s">
        <v>497</v>
      </c>
      <c r="J167" s="31">
        <v>14</v>
      </c>
      <c r="K167" s="33" t="s">
        <v>693</v>
      </c>
      <c r="L167" s="33" t="s">
        <v>680</v>
      </c>
      <c r="M167" s="34" t="s">
        <v>947</v>
      </c>
      <c r="N167" s="34" t="s">
        <v>1700</v>
      </c>
      <c r="O167" s="35">
        <v>1</v>
      </c>
      <c r="P167" s="35"/>
      <c r="Q167" s="32" t="s">
        <v>1845</v>
      </c>
      <c r="S167" s="1">
        <f t="shared" si="61"/>
        <v>0</v>
      </c>
      <c r="T167" s="1">
        <f t="shared" si="62"/>
        <v>0</v>
      </c>
      <c r="U167" s="1">
        <f t="shared" si="63"/>
        <v>0</v>
      </c>
      <c r="V167" s="1">
        <f t="shared" si="64"/>
        <v>0</v>
      </c>
      <c r="W167" s="1">
        <f t="shared" si="65"/>
        <v>0</v>
      </c>
      <c r="X167" s="1">
        <f t="shared" si="66"/>
        <v>0</v>
      </c>
      <c r="Y167" s="1">
        <f t="shared" si="67"/>
        <v>0</v>
      </c>
      <c r="Z167" s="1">
        <f t="shared" si="68"/>
        <v>0</v>
      </c>
      <c r="AA167" s="1">
        <f t="shared" si="69"/>
        <v>0</v>
      </c>
      <c r="AB167" s="1">
        <f t="shared" si="70"/>
        <v>0</v>
      </c>
      <c r="AD167" s="1">
        <f t="shared" si="71"/>
        <v>0</v>
      </c>
      <c r="AE167" s="1">
        <f t="shared" si="72"/>
        <v>1</v>
      </c>
      <c r="AF167" s="1">
        <f t="shared" si="73"/>
        <v>0</v>
      </c>
      <c r="AG167" s="1">
        <f t="shared" si="74"/>
        <v>1</v>
      </c>
      <c r="AH167" s="1">
        <f t="shared" si="75"/>
        <v>0</v>
      </c>
      <c r="AI167" s="1">
        <f t="shared" si="76"/>
        <v>1</v>
      </c>
    </row>
    <row r="168" spans="1:35" s="1" customFormat="1" ht="14.25" customHeight="1" x14ac:dyDescent="0.25">
      <c r="A168" s="15">
        <v>0</v>
      </c>
      <c r="B168" s="15">
        <v>1</v>
      </c>
      <c r="C168" s="15">
        <v>3</v>
      </c>
      <c r="D168" s="16" t="s">
        <v>730</v>
      </c>
      <c r="E168" s="16" t="s">
        <v>171</v>
      </c>
      <c r="F168" s="16" t="s">
        <v>731</v>
      </c>
      <c r="G168" s="16" t="s">
        <v>39</v>
      </c>
      <c r="H168" s="16" t="s">
        <v>732</v>
      </c>
      <c r="I168" s="15" t="s">
        <v>733</v>
      </c>
      <c r="J168" s="15">
        <v>17</v>
      </c>
      <c r="K168" s="10" t="s">
        <v>713</v>
      </c>
      <c r="L168" s="10" t="s">
        <v>688</v>
      </c>
      <c r="M168" s="19" t="s">
        <v>682</v>
      </c>
      <c r="N168" s="17"/>
      <c r="Q168" s="16" t="s">
        <v>1836</v>
      </c>
      <c r="S168" s="1">
        <f t="shared" si="61"/>
        <v>0</v>
      </c>
      <c r="T168" s="1">
        <f t="shared" si="62"/>
        <v>0</v>
      </c>
      <c r="U168" s="1">
        <f t="shared" si="63"/>
        <v>0</v>
      </c>
      <c r="V168" s="1">
        <f t="shared" si="64"/>
        <v>0</v>
      </c>
      <c r="W168" s="1">
        <f t="shared" si="65"/>
        <v>0</v>
      </c>
      <c r="X168" s="1">
        <f t="shared" si="66"/>
        <v>0</v>
      </c>
      <c r="Y168" s="1">
        <f t="shared" si="67"/>
        <v>0</v>
      </c>
      <c r="Z168" s="1">
        <f t="shared" si="68"/>
        <v>0</v>
      </c>
      <c r="AA168" s="1">
        <f t="shared" si="69"/>
        <v>0</v>
      </c>
      <c r="AB168" s="1">
        <f t="shared" si="70"/>
        <v>0</v>
      </c>
      <c r="AD168" s="1">
        <f t="shared" si="71"/>
        <v>0</v>
      </c>
      <c r="AE168" s="1">
        <f t="shared" si="72"/>
        <v>0</v>
      </c>
      <c r="AF168" s="1">
        <f t="shared" si="73"/>
        <v>0</v>
      </c>
      <c r="AG168" s="1">
        <f t="shared" si="74"/>
        <v>0</v>
      </c>
      <c r="AH168" s="1">
        <f t="shared" si="75"/>
        <v>0</v>
      </c>
      <c r="AI168" s="1">
        <f t="shared" si="76"/>
        <v>1</v>
      </c>
    </row>
    <row r="169" spans="1:35" s="1" customFormat="1" ht="14.25" customHeight="1" x14ac:dyDescent="0.25">
      <c r="A169" s="31">
        <v>0</v>
      </c>
      <c r="B169" s="31">
        <v>1</v>
      </c>
      <c r="C169" s="31">
        <v>3</v>
      </c>
      <c r="D169" s="32" t="s">
        <v>883</v>
      </c>
      <c r="E169" s="32" t="s">
        <v>171</v>
      </c>
      <c r="F169" s="32" t="s">
        <v>1073</v>
      </c>
      <c r="G169" s="32" t="s">
        <v>39</v>
      </c>
      <c r="H169" s="32" t="s">
        <v>885</v>
      </c>
      <c r="I169" s="31" t="s">
        <v>884</v>
      </c>
      <c r="J169" s="31">
        <v>11</v>
      </c>
      <c r="K169" s="33" t="s">
        <v>934</v>
      </c>
      <c r="L169" s="33">
        <v>60</v>
      </c>
      <c r="M169" s="34" t="s">
        <v>39</v>
      </c>
      <c r="N169" s="34" t="s">
        <v>1700</v>
      </c>
      <c r="O169" s="35">
        <v>1</v>
      </c>
      <c r="P169" s="35"/>
      <c r="Q169" s="32"/>
      <c r="S169" s="1">
        <f t="shared" si="61"/>
        <v>0</v>
      </c>
      <c r="T169" s="1">
        <f t="shared" si="62"/>
        <v>0</v>
      </c>
      <c r="U169" s="1">
        <f t="shared" si="63"/>
        <v>0</v>
      </c>
      <c r="V169" s="1">
        <f t="shared" si="64"/>
        <v>0</v>
      </c>
      <c r="W169" s="1">
        <f t="shared" si="65"/>
        <v>0</v>
      </c>
      <c r="X169" s="1">
        <f t="shared" si="66"/>
        <v>0</v>
      </c>
      <c r="Y169" s="1">
        <f t="shared" si="67"/>
        <v>0</v>
      </c>
      <c r="Z169" s="1">
        <f t="shared" si="68"/>
        <v>0</v>
      </c>
      <c r="AA169" s="1">
        <f t="shared" si="69"/>
        <v>0</v>
      </c>
      <c r="AB169" s="1">
        <f t="shared" si="70"/>
        <v>0</v>
      </c>
      <c r="AD169" s="1">
        <f t="shared" si="71"/>
        <v>0</v>
      </c>
      <c r="AE169" s="1">
        <f t="shared" si="72"/>
        <v>1</v>
      </c>
      <c r="AF169" s="1">
        <f t="shared" si="73"/>
        <v>0</v>
      </c>
      <c r="AG169" s="1">
        <f t="shared" si="74"/>
        <v>1</v>
      </c>
      <c r="AH169" s="1">
        <f t="shared" si="75"/>
        <v>0</v>
      </c>
      <c r="AI169" s="1">
        <f t="shared" si="76"/>
        <v>1</v>
      </c>
    </row>
    <row r="170" spans="1:35" s="1" customFormat="1" ht="14.25" customHeight="1" x14ac:dyDescent="0.25">
      <c r="A170" s="31">
        <v>0</v>
      </c>
      <c r="B170" s="31">
        <v>1</v>
      </c>
      <c r="C170" s="31">
        <v>3</v>
      </c>
      <c r="D170" s="32" t="s">
        <v>122</v>
      </c>
      <c r="E170" s="32" t="s">
        <v>174</v>
      </c>
      <c r="F170" s="32" t="s">
        <v>322</v>
      </c>
      <c r="G170" s="32" t="s">
        <v>39</v>
      </c>
      <c r="H170" s="32" t="s">
        <v>361</v>
      </c>
      <c r="I170" s="31" t="s">
        <v>467</v>
      </c>
      <c r="J170" s="31">
        <v>14</v>
      </c>
      <c r="K170" s="33" t="s">
        <v>713</v>
      </c>
      <c r="L170" s="33" t="s">
        <v>684</v>
      </c>
      <c r="M170" s="34" t="s">
        <v>1344</v>
      </c>
      <c r="N170" s="34" t="s">
        <v>1799</v>
      </c>
      <c r="O170" s="35">
        <v>1</v>
      </c>
      <c r="P170" s="35"/>
      <c r="Q170" s="36"/>
      <c r="S170" s="1">
        <f t="shared" si="61"/>
        <v>0</v>
      </c>
      <c r="T170" s="1">
        <f t="shared" si="62"/>
        <v>0</v>
      </c>
      <c r="U170" s="1">
        <f t="shared" si="63"/>
        <v>0</v>
      </c>
      <c r="V170" s="1">
        <f t="shared" si="64"/>
        <v>0</v>
      </c>
      <c r="W170" s="1">
        <f t="shared" si="65"/>
        <v>0</v>
      </c>
      <c r="X170" s="1">
        <f t="shared" si="66"/>
        <v>0</v>
      </c>
      <c r="Y170" s="1">
        <f t="shared" si="67"/>
        <v>0</v>
      </c>
      <c r="Z170" s="1">
        <f t="shared" si="68"/>
        <v>0</v>
      </c>
      <c r="AA170" s="1">
        <f t="shared" si="69"/>
        <v>0</v>
      </c>
      <c r="AB170" s="1">
        <f t="shared" si="70"/>
        <v>0</v>
      </c>
      <c r="AD170" s="1">
        <f t="shared" si="71"/>
        <v>0</v>
      </c>
      <c r="AE170" s="1">
        <f t="shared" si="72"/>
        <v>1</v>
      </c>
      <c r="AF170" s="1">
        <f t="shared" si="73"/>
        <v>0</v>
      </c>
      <c r="AG170" s="1">
        <f t="shared" si="74"/>
        <v>1</v>
      </c>
      <c r="AH170" s="1">
        <f t="shared" si="75"/>
        <v>0</v>
      </c>
      <c r="AI170" s="1">
        <f t="shared" si="76"/>
        <v>1</v>
      </c>
    </row>
    <row r="171" spans="1:35" s="1" customFormat="1" ht="14.25" customHeight="1" x14ac:dyDescent="0.25">
      <c r="A171" s="31">
        <v>0</v>
      </c>
      <c r="B171" s="31">
        <v>1</v>
      </c>
      <c r="C171" s="31">
        <v>3</v>
      </c>
      <c r="D171" s="32" t="s">
        <v>1141</v>
      </c>
      <c r="E171" s="32" t="s">
        <v>171</v>
      </c>
      <c r="F171" s="32" t="s">
        <v>1143</v>
      </c>
      <c r="G171" s="32" t="s">
        <v>748</v>
      </c>
      <c r="H171" s="32" t="s">
        <v>352</v>
      </c>
      <c r="I171" s="31" t="s">
        <v>1142</v>
      </c>
      <c r="J171" s="31">
        <v>99</v>
      </c>
      <c r="K171" s="33" t="s">
        <v>694</v>
      </c>
      <c r="L171" s="33">
        <v>30</v>
      </c>
      <c r="M171" s="34" t="s">
        <v>947</v>
      </c>
      <c r="N171" s="34" t="s">
        <v>1775</v>
      </c>
      <c r="O171" s="35">
        <v>1</v>
      </c>
      <c r="P171" s="35"/>
      <c r="Q171" s="36"/>
      <c r="S171" s="1">
        <f t="shared" si="61"/>
        <v>0</v>
      </c>
      <c r="T171" s="1">
        <f t="shared" si="62"/>
        <v>0</v>
      </c>
      <c r="U171" s="1">
        <f t="shared" si="63"/>
        <v>0</v>
      </c>
      <c r="V171" s="1">
        <f t="shared" si="64"/>
        <v>0</v>
      </c>
      <c r="W171" s="1">
        <f t="shared" si="65"/>
        <v>0</v>
      </c>
      <c r="X171" s="1">
        <f t="shared" si="66"/>
        <v>0</v>
      </c>
      <c r="Y171" s="1">
        <f t="shared" si="67"/>
        <v>0</v>
      </c>
      <c r="Z171" s="1">
        <f t="shared" si="68"/>
        <v>0</v>
      </c>
      <c r="AA171" s="1">
        <f t="shared" si="69"/>
        <v>0</v>
      </c>
      <c r="AB171" s="1">
        <f t="shared" si="70"/>
        <v>0</v>
      </c>
      <c r="AD171" s="1">
        <f t="shared" si="71"/>
        <v>0</v>
      </c>
      <c r="AE171" s="1">
        <f t="shared" si="72"/>
        <v>1</v>
      </c>
      <c r="AF171" s="1">
        <f t="shared" si="73"/>
        <v>0</v>
      </c>
      <c r="AG171" s="1">
        <f t="shared" si="74"/>
        <v>1</v>
      </c>
      <c r="AH171" s="1">
        <f t="shared" si="75"/>
        <v>0</v>
      </c>
      <c r="AI171" s="1">
        <f t="shared" si="76"/>
        <v>1</v>
      </c>
    </row>
    <row r="172" spans="1:35" s="1" customFormat="1" ht="14.25" customHeight="1" x14ac:dyDescent="0.25">
      <c r="A172" s="31">
        <v>0</v>
      </c>
      <c r="B172" s="31">
        <v>1</v>
      </c>
      <c r="C172" s="31">
        <v>3</v>
      </c>
      <c r="D172" s="32" t="s">
        <v>1984</v>
      </c>
      <c r="E172" s="32" t="s">
        <v>171</v>
      </c>
      <c r="F172" s="32" t="s">
        <v>1985</v>
      </c>
      <c r="G172" s="32"/>
      <c r="H172" s="32" t="s">
        <v>352</v>
      </c>
      <c r="I172" s="31" t="s">
        <v>1986</v>
      </c>
      <c r="J172" s="31">
        <v>18</v>
      </c>
      <c r="K172" s="33" t="s">
        <v>694</v>
      </c>
      <c r="L172" s="33"/>
      <c r="M172" s="34"/>
      <c r="N172" s="34" t="s">
        <v>1693</v>
      </c>
      <c r="O172" s="35">
        <v>1</v>
      </c>
      <c r="P172" s="35">
        <v>1</v>
      </c>
      <c r="Q172" s="36" t="s">
        <v>1987</v>
      </c>
      <c r="S172" s="1">
        <f t="shared" si="61"/>
        <v>0</v>
      </c>
      <c r="T172" s="1">
        <f t="shared" si="62"/>
        <v>0</v>
      </c>
      <c r="U172" s="1">
        <f t="shared" si="63"/>
        <v>0</v>
      </c>
      <c r="V172" s="1">
        <f t="shared" si="64"/>
        <v>0</v>
      </c>
      <c r="W172" s="1">
        <f t="shared" si="65"/>
        <v>0</v>
      </c>
      <c r="X172" s="1">
        <f t="shared" si="66"/>
        <v>0</v>
      </c>
      <c r="Y172" s="1">
        <f t="shared" si="67"/>
        <v>0</v>
      </c>
      <c r="Z172" s="1">
        <f t="shared" si="68"/>
        <v>0</v>
      </c>
      <c r="AA172" s="1">
        <f t="shared" si="69"/>
        <v>0</v>
      </c>
      <c r="AB172" s="1">
        <f t="shared" si="70"/>
        <v>0</v>
      </c>
      <c r="AD172" s="1">
        <f t="shared" si="71"/>
        <v>1</v>
      </c>
      <c r="AE172" s="1">
        <f t="shared" si="72"/>
        <v>0</v>
      </c>
      <c r="AF172" s="1">
        <f t="shared" si="73"/>
        <v>1</v>
      </c>
      <c r="AG172" s="1">
        <f t="shared" si="74"/>
        <v>0</v>
      </c>
      <c r="AH172" s="1">
        <f t="shared" si="75"/>
        <v>1</v>
      </c>
      <c r="AI172" s="1">
        <f t="shared" si="76"/>
        <v>0</v>
      </c>
    </row>
    <row r="173" spans="1:35" s="1" customFormat="1" ht="14.25" customHeight="1" x14ac:dyDescent="0.25">
      <c r="A173" s="15">
        <v>0</v>
      </c>
      <c r="B173" s="15">
        <v>1</v>
      </c>
      <c r="C173" s="15">
        <v>3</v>
      </c>
      <c r="D173" s="16" t="s">
        <v>734</v>
      </c>
      <c r="E173" s="16" t="s">
        <v>169</v>
      </c>
      <c r="F173" s="16" t="s">
        <v>735</v>
      </c>
      <c r="G173" s="16" t="s">
        <v>39</v>
      </c>
      <c r="H173" s="16" t="s">
        <v>736</v>
      </c>
      <c r="I173" s="15" t="s">
        <v>737</v>
      </c>
      <c r="J173" s="15">
        <v>17</v>
      </c>
      <c r="K173" s="10" t="s">
        <v>694</v>
      </c>
      <c r="L173" s="10" t="s">
        <v>688</v>
      </c>
      <c r="M173" s="19" t="s">
        <v>948</v>
      </c>
      <c r="N173" s="17"/>
      <c r="Q173" s="16"/>
      <c r="S173" s="1">
        <f t="shared" si="61"/>
        <v>0</v>
      </c>
      <c r="T173" s="1">
        <f t="shared" si="62"/>
        <v>0</v>
      </c>
      <c r="U173" s="1">
        <f t="shared" si="63"/>
        <v>0</v>
      </c>
      <c r="V173" s="1">
        <f t="shared" si="64"/>
        <v>0</v>
      </c>
      <c r="W173" s="1">
        <f t="shared" si="65"/>
        <v>0</v>
      </c>
      <c r="X173" s="1">
        <f t="shared" si="66"/>
        <v>0</v>
      </c>
      <c r="Y173" s="1">
        <f t="shared" si="67"/>
        <v>0</v>
      </c>
      <c r="Z173" s="1">
        <f t="shared" si="68"/>
        <v>0</v>
      </c>
      <c r="AA173" s="1">
        <f t="shared" si="69"/>
        <v>0</v>
      </c>
      <c r="AB173" s="1">
        <f t="shared" si="70"/>
        <v>0</v>
      </c>
      <c r="AD173" s="1">
        <f t="shared" si="71"/>
        <v>0</v>
      </c>
      <c r="AE173" s="1">
        <f t="shared" si="72"/>
        <v>0</v>
      </c>
      <c r="AF173" s="1">
        <f t="shared" si="73"/>
        <v>0</v>
      </c>
      <c r="AG173" s="1">
        <f t="shared" si="74"/>
        <v>0</v>
      </c>
      <c r="AH173" s="1">
        <f t="shared" si="75"/>
        <v>0</v>
      </c>
      <c r="AI173" s="1">
        <f t="shared" si="76"/>
        <v>1</v>
      </c>
    </row>
    <row r="174" spans="1:35" s="1" customFormat="1" ht="14.25" customHeight="1" x14ac:dyDescent="0.25">
      <c r="A174" s="15">
        <v>0</v>
      </c>
      <c r="B174" s="15">
        <v>1</v>
      </c>
      <c r="C174" s="15">
        <v>3</v>
      </c>
      <c r="D174" s="20" t="s">
        <v>1895</v>
      </c>
      <c r="E174" s="20" t="s">
        <v>171</v>
      </c>
      <c r="F174" s="20" t="s">
        <v>1905</v>
      </c>
      <c r="G174" s="20"/>
      <c r="H174" s="20" t="s">
        <v>1906</v>
      </c>
      <c r="I174" s="21" t="s">
        <v>1907</v>
      </c>
      <c r="J174" s="15">
        <v>16</v>
      </c>
      <c r="K174" s="10" t="s">
        <v>694</v>
      </c>
      <c r="L174" s="10" t="s">
        <v>688</v>
      </c>
      <c r="M174" s="19" t="s">
        <v>948</v>
      </c>
      <c r="N174" s="17"/>
      <c r="Q174" s="20" t="s">
        <v>1904</v>
      </c>
      <c r="S174" s="1">
        <f t="shared" si="61"/>
        <v>0</v>
      </c>
      <c r="T174" s="1">
        <f t="shared" si="62"/>
        <v>0</v>
      </c>
      <c r="U174" s="1">
        <f t="shared" si="63"/>
        <v>0</v>
      </c>
      <c r="V174" s="1">
        <f t="shared" si="64"/>
        <v>0</v>
      </c>
      <c r="W174" s="1">
        <f t="shared" si="65"/>
        <v>0</v>
      </c>
      <c r="X174" s="1">
        <f t="shared" si="66"/>
        <v>0</v>
      </c>
      <c r="Y174" s="1">
        <f t="shared" si="67"/>
        <v>0</v>
      </c>
      <c r="Z174" s="1">
        <f t="shared" si="68"/>
        <v>0</v>
      </c>
      <c r="AA174" s="1">
        <f t="shared" si="69"/>
        <v>0</v>
      </c>
      <c r="AB174" s="1">
        <f t="shared" si="70"/>
        <v>0</v>
      </c>
      <c r="AD174" s="1">
        <f t="shared" ref="AD174:AD176" si="83">+O174*P174</f>
        <v>0</v>
      </c>
      <c r="AE174" s="1">
        <f t="shared" ref="AE174:AE176" si="84">O174*(1-P174)</f>
        <v>0</v>
      </c>
      <c r="AF174" s="1">
        <f t="shared" si="73"/>
        <v>0</v>
      </c>
      <c r="AG174" s="1">
        <f t="shared" si="74"/>
        <v>0</v>
      </c>
      <c r="AH174" s="1">
        <f t="shared" si="75"/>
        <v>0</v>
      </c>
      <c r="AI174" s="1">
        <f t="shared" si="76"/>
        <v>1</v>
      </c>
    </row>
    <row r="175" spans="1:35" s="1" customFormat="1" ht="14.25" customHeight="1" x14ac:dyDescent="0.25">
      <c r="A175" s="31">
        <v>0</v>
      </c>
      <c r="B175" s="31">
        <v>1</v>
      </c>
      <c r="C175" s="31">
        <v>3</v>
      </c>
      <c r="D175" s="32" t="s">
        <v>2142</v>
      </c>
      <c r="E175" s="32" t="s">
        <v>171</v>
      </c>
      <c r="F175" s="32" t="s">
        <v>2143</v>
      </c>
      <c r="G175" s="32"/>
      <c r="H175" s="32" t="s">
        <v>373</v>
      </c>
      <c r="I175" s="31" t="s">
        <v>2144</v>
      </c>
      <c r="J175" s="31">
        <v>12</v>
      </c>
      <c r="K175" s="33" t="s">
        <v>694</v>
      </c>
      <c r="L175" s="33">
        <v>40</v>
      </c>
      <c r="M175" s="34" t="s">
        <v>948</v>
      </c>
      <c r="N175" s="34" t="s">
        <v>1693</v>
      </c>
      <c r="O175" s="35">
        <v>1</v>
      </c>
      <c r="P175" s="35">
        <v>1</v>
      </c>
      <c r="Q175" s="36" t="s">
        <v>2145</v>
      </c>
      <c r="S175" s="1">
        <f t="shared" si="61"/>
        <v>0</v>
      </c>
      <c r="T175" s="1">
        <f t="shared" si="62"/>
        <v>0</v>
      </c>
      <c r="U175" s="1">
        <f t="shared" si="63"/>
        <v>0</v>
      </c>
      <c r="V175" s="1">
        <f t="shared" si="64"/>
        <v>0</v>
      </c>
      <c r="W175" s="1">
        <f t="shared" si="65"/>
        <v>0</v>
      </c>
      <c r="X175" s="1">
        <f t="shared" si="66"/>
        <v>0</v>
      </c>
      <c r="Y175" s="1">
        <f t="shared" si="67"/>
        <v>0</v>
      </c>
      <c r="Z175" s="1">
        <f t="shared" si="68"/>
        <v>0</v>
      </c>
      <c r="AA175" s="1">
        <f t="shared" si="69"/>
        <v>0</v>
      </c>
      <c r="AB175" s="1">
        <f t="shared" si="70"/>
        <v>0</v>
      </c>
      <c r="AD175" s="1">
        <f t="shared" si="83"/>
        <v>1</v>
      </c>
      <c r="AE175" s="1">
        <f t="shared" si="84"/>
        <v>0</v>
      </c>
      <c r="AF175" s="1">
        <f t="shared" si="73"/>
        <v>1</v>
      </c>
      <c r="AG175" s="1">
        <f t="shared" si="74"/>
        <v>0</v>
      </c>
      <c r="AH175" s="1">
        <f t="shared" si="75"/>
        <v>1</v>
      </c>
      <c r="AI175" s="1">
        <f t="shared" si="76"/>
        <v>0</v>
      </c>
    </row>
    <row r="176" spans="1:35" s="1" customFormat="1" ht="14.25" customHeight="1" x14ac:dyDescent="0.25">
      <c r="A176" s="31">
        <v>0</v>
      </c>
      <c r="B176" s="31">
        <v>1</v>
      </c>
      <c r="C176" s="31">
        <v>3</v>
      </c>
      <c r="D176" s="32" t="s">
        <v>815</v>
      </c>
      <c r="E176" s="32" t="s">
        <v>893</v>
      </c>
      <c r="F176" s="32" t="s">
        <v>816</v>
      </c>
      <c r="G176" s="32" t="s">
        <v>207</v>
      </c>
      <c r="H176" s="32" t="s">
        <v>352</v>
      </c>
      <c r="I176" s="37" t="s">
        <v>817</v>
      </c>
      <c r="J176" s="31">
        <v>3</v>
      </c>
      <c r="K176" s="33" t="s">
        <v>713</v>
      </c>
      <c r="L176" s="33" t="s">
        <v>684</v>
      </c>
      <c r="M176" s="34" t="s">
        <v>689</v>
      </c>
      <c r="N176" s="34" t="s">
        <v>1741</v>
      </c>
      <c r="O176" s="35">
        <v>1</v>
      </c>
      <c r="P176" s="35"/>
      <c r="Q176" s="36"/>
      <c r="S176" s="1">
        <f t="shared" si="61"/>
        <v>0</v>
      </c>
      <c r="T176" s="1">
        <f t="shared" si="62"/>
        <v>0</v>
      </c>
      <c r="U176" s="1">
        <f t="shared" si="63"/>
        <v>1</v>
      </c>
      <c r="V176" s="1">
        <f t="shared" si="64"/>
        <v>0</v>
      </c>
      <c r="W176" s="1">
        <f t="shared" si="65"/>
        <v>0</v>
      </c>
      <c r="X176" s="1">
        <f t="shared" si="66"/>
        <v>0</v>
      </c>
      <c r="Y176" s="1">
        <f t="shared" si="67"/>
        <v>0</v>
      </c>
      <c r="Z176" s="1">
        <f t="shared" si="68"/>
        <v>0</v>
      </c>
      <c r="AA176" s="1">
        <f t="shared" si="69"/>
        <v>0</v>
      </c>
      <c r="AB176" s="1">
        <f t="shared" si="70"/>
        <v>0</v>
      </c>
      <c r="AD176" s="1">
        <f t="shared" si="83"/>
        <v>0</v>
      </c>
      <c r="AE176" s="1">
        <f t="shared" si="84"/>
        <v>1</v>
      </c>
      <c r="AF176" s="1">
        <f t="shared" si="73"/>
        <v>0</v>
      </c>
      <c r="AG176" s="1">
        <f t="shared" si="74"/>
        <v>1</v>
      </c>
      <c r="AH176" s="1">
        <f t="shared" si="75"/>
        <v>0</v>
      </c>
      <c r="AI176" s="1">
        <f t="shared" si="76"/>
        <v>1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2059</v>
      </c>
      <c r="E177" s="32" t="s">
        <v>174</v>
      </c>
      <c r="F177" s="32" t="s">
        <v>2060</v>
      </c>
      <c r="G177" s="32"/>
      <c r="H177" s="32" t="s">
        <v>2061</v>
      </c>
      <c r="I177" s="37" t="s">
        <v>2062</v>
      </c>
      <c r="J177" s="31">
        <v>16</v>
      </c>
      <c r="K177" s="33" t="s">
        <v>694</v>
      </c>
      <c r="L177" s="33"/>
      <c r="M177" s="34"/>
      <c r="N177" s="34" t="s">
        <v>1687</v>
      </c>
      <c r="O177" s="35">
        <v>1</v>
      </c>
      <c r="P177" s="35">
        <v>1</v>
      </c>
      <c r="Q177" s="36" t="s">
        <v>2063</v>
      </c>
      <c r="S177" s="1">
        <f t="shared" si="61"/>
        <v>0</v>
      </c>
      <c r="T177" s="1">
        <f t="shared" si="62"/>
        <v>0</v>
      </c>
      <c r="U177" s="1">
        <f t="shared" si="63"/>
        <v>0</v>
      </c>
      <c r="V177" s="1">
        <f t="shared" si="64"/>
        <v>0</v>
      </c>
      <c r="W177" s="1">
        <f t="shared" si="65"/>
        <v>0</v>
      </c>
      <c r="X177" s="1">
        <f t="shared" si="66"/>
        <v>0</v>
      </c>
      <c r="Y177" s="1">
        <f t="shared" si="67"/>
        <v>0</v>
      </c>
      <c r="Z177" s="1">
        <f t="shared" si="68"/>
        <v>0</v>
      </c>
      <c r="AA177" s="1">
        <f t="shared" si="69"/>
        <v>0</v>
      </c>
      <c r="AB177" s="1">
        <f t="shared" si="70"/>
        <v>0</v>
      </c>
      <c r="AD177" s="1">
        <f t="shared" si="71"/>
        <v>1</v>
      </c>
      <c r="AE177" s="1">
        <f t="shared" si="72"/>
        <v>0</v>
      </c>
      <c r="AF177" s="1">
        <f t="shared" si="73"/>
        <v>1</v>
      </c>
      <c r="AG177" s="1">
        <f t="shared" si="74"/>
        <v>0</v>
      </c>
      <c r="AH177" s="1">
        <f t="shared" si="75"/>
        <v>1</v>
      </c>
      <c r="AI177" s="1">
        <f t="shared" si="76"/>
        <v>0</v>
      </c>
    </row>
    <row r="178" spans="1:35" s="1" customFormat="1" ht="14.25" customHeight="1" x14ac:dyDescent="0.25">
      <c r="A178" s="31">
        <v>0</v>
      </c>
      <c r="B178" s="31">
        <v>1</v>
      </c>
      <c r="C178" s="31">
        <v>3</v>
      </c>
      <c r="D178" s="32" t="s">
        <v>1900</v>
      </c>
      <c r="E178" s="32" t="s">
        <v>171</v>
      </c>
      <c r="F178" s="32" t="s">
        <v>1902</v>
      </c>
      <c r="G178" s="32"/>
      <c r="H178" s="32" t="s">
        <v>1903</v>
      </c>
      <c r="I178" s="37" t="s">
        <v>1901</v>
      </c>
      <c r="J178" s="31">
        <v>16</v>
      </c>
      <c r="K178" s="33" t="s">
        <v>694</v>
      </c>
      <c r="L178" s="33" t="s">
        <v>688</v>
      </c>
      <c r="M178" s="34" t="s">
        <v>948</v>
      </c>
      <c r="N178" s="34" t="s">
        <v>1700</v>
      </c>
      <c r="O178" s="35">
        <v>1</v>
      </c>
      <c r="P178" s="35"/>
      <c r="Q178" s="36" t="s">
        <v>1908</v>
      </c>
      <c r="S178" s="1">
        <f t="shared" si="61"/>
        <v>0</v>
      </c>
      <c r="T178" s="1">
        <f t="shared" si="62"/>
        <v>0</v>
      </c>
      <c r="U178" s="1">
        <f t="shared" si="63"/>
        <v>0</v>
      </c>
      <c r="V178" s="1">
        <f t="shared" si="64"/>
        <v>0</v>
      </c>
      <c r="W178" s="1">
        <f t="shared" si="65"/>
        <v>0</v>
      </c>
      <c r="X178" s="1">
        <f t="shared" si="66"/>
        <v>0</v>
      </c>
      <c r="Y178" s="1">
        <f t="shared" si="67"/>
        <v>0</v>
      </c>
      <c r="Z178" s="1">
        <f t="shared" si="68"/>
        <v>0</v>
      </c>
      <c r="AA178" s="1">
        <f t="shared" si="69"/>
        <v>0</v>
      </c>
      <c r="AB178" s="1">
        <f t="shared" si="70"/>
        <v>0</v>
      </c>
      <c r="AD178" s="1">
        <f t="shared" si="71"/>
        <v>0</v>
      </c>
      <c r="AE178" s="1">
        <f t="shared" si="72"/>
        <v>1</v>
      </c>
      <c r="AF178" s="1">
        <f t="shared" si="73"/>
        <v>0</v>
      </c>
      <c r="AG178" s="1">
        <f t="shared" si="74"/>
        <v>1</v>
      </c>
      <c r="AH178" s="1">
        <f t="shared" si="75"/>
        <v>0</v>
      </c>
      <c r="AI178" s="1">
        <f t="shared" si="76"/>
        <v>1</v>
      </c>
    </row>
    <row r="179" spans="1:35" s="1" customFormat="1" ht="14.25" customHeight="1" x14ac:dyDescent="0.25">
      <c r="A179" s="31">
        <v>0</v>
      </c>
      <c r="B179" s="31">
        <v>1</v>
      </c>
      <c r="C179" s="31">
        <v>3</v>
      </c>
      <c r="D179" s="32" t="s">
        <v>1178</v>
      </c>
      <c r="E179" s="32" t="s">
        <v>171</v>
      </c>
      <c r="F179" s="32" t="s">
        <v>1180</v>
      </c>
      <c r="G179" s="32" t="s">
        <v>184</v>
      </c>
      <c r="H179" s="32" t="s">
        <v>352</v>
      </c>
      <c r="I179" s="31" t="s">
        <v>1179</v>
      </c>
      <c r="J179" s="31">
        <v>99</v>
      </c>
      <c r="K179" s="33" t="s">
        <v>935</v>
      </c>
      <c r="L179" s="33" t="s">
        <v>680</v>
      </c>
      <c r="M179" s="34" t="s">
        <v>948</v>
      </c>
      <c r="N179" s="34" t="s">
        <v>1701</v>
      </c>
      <c r="O179" s="35">
        <v>1</v>
      </c>
      <c r="P179" s="35"/>
      <c r="Q179" s="32"/>
      <c r="S179" s="1">
        <f t="shared" si="61"/>
        <v>0</v>
      </c>
      <c r="T179" s="1">
        <f t="shared" si="62"/>
        <v>0</v>
      </c>
      <c r="U179" s="1">
        <f t="shared" si="63"/>
        <v>0</v>
      </c>
      <c r="V179" s="1">
        <f t="shared" si="64"/>
        <v>0</v>
      </c>
      <c r="W179" s="1">
        <f t="shared" si="65"/>
        <v>0</v>
      </c>
      <c r="X179" s="1">
        <f t="shared" si="66"/>
        <v>0</v>
      </c>
      <c r="Y179" s="1">
        <f t="shared" si="67"/>
        <v>0</v>
      </c>
      <c r="Z179" s="1">
        <f t="shared" si="68"/>
        <v>0</v>
      </c>
      <c r="AA179" s="1">
        <f t="shared" si="69"/>
        <v>0</v>
      </c>
      <c r="AB179" s="1">
        <f t="shared" si="70"/>
        <v>0</v>
      </c>
      <c r="AD179" s="1">
        <f t="shared" si="71"/>
        <v>0</v>
      </c>
      <c r="AE179" s="1">
        <f t="shared" si="72"/>
        <v>1</v>
      </c>
      <c r="AF179" s="1">
        <f t="shared" si="73"/>
        <v>0</v>
      </c>
      <c r="AG179" s="1">
        <f t="shared" si="74"/>
        <v>1</v>
      </c>
      <c r="AH179" s="1">
        <f t="shared" si="75"/>
        <v>0</v>
      </c>
      <c r="AI179" s="1">
        <f t="shared" si="76"/>
        <v>1</v>
      </c>
    </row>
    <row r="180" spans="1:35" s="1" customFormat="1" ht="14.25" customHeight="1" x14ac:dyDescent="0.25">
      <c r="A180" s="31">
        <v>0</v>
      </c>
      <c r="B180" s="31">
        <v>1</v>
      </c>
      <c r="C180" s="31">
        <v>3</v>
      </c>
      <c r="D180" s="32" t="s">
        <v>624</v>
      </c>
      <c r="E180" s="32" t="s">
        <v>169</v>
      </c>
      <c r="F180" s="32" t="s">
        <v>625</v>
      </c>
      <c r="G180" s="32" t="s">
        <v>193</v>
      </c>
      <c r="H180" s="32" t="s">
        <v>352</v>
      </c>
      <c r="I180" s="31" t="s">
        <v>626</v>
      </c>
      <c r="J180" s="31">
        <v>9</v>
      </c>
      <c r="K180" s="33" t="s">
        <v>934</v>
      </c>
      <c r="L180" s="33" t="s">
        <v>1659</v>
      </c>
      <c r="M180" s="34" t="s">
        <v>947</v>
      </c>
      <c r="N180" s="34" t="s">
        <v>1687</v>
      </c>
      <c r="O180" s="35">
        <v>1</v>
      </c>
      <c r="P180" s="35">
        <v>1</v>
      </c>
      <c r="Q180" s="32"/>
      <c r="S180" s="1">
        <f t="shared" si="61"/>
        <v>0</v>
      </c>
      <c r="T180" s="1">
        <f t="shared" si="62"/>
        <v>0</v>
      </c>
      <c r="U180" s="1">
        <f t="shared" si="63"/>
        <v>0</v>
      </c>
      <c r="V180" s="1">
        <f t="shared" si="64"/>
        <v>0</v>
      </c>
      <c r="W180" s="1">
        <f t="shared" si="65"/>
        <v>0</v>
      </c>
      <c r="X180" s="1">
        <f t="shared" si="66"/>
        <v>0</v>
      </c>
      <c r="Y180" s="1">
        <f t="shared" si="67"/>
        <v>0</v>
      </c>
      <c r="Z180" s="1">
        <f t="shared" si="68"/>
        <v>0</v>
      </c>
      <c r="AA180" s="1">
        <f t="shared" si="69"/>
        <v>1</v>
      </c>
      <c r="AB180" s="1">
        <f t="shared" si="70"/>
        <v>0</v>
      </c>
      <c r="AD180" s="1">
        <f t="shared" si="71"/>
        <v>1</v>
      </c>
      <c r="AE180" s="1">
        <f t="shared" si="72"/>
        <v>0</v>
      </c>
      <c r="AF180" s="1">
        <f t="shared" si="73"/>
        <v>1</v>
      </c>
      <c r="AG180" s="1">
        <f t="shared" si="74"/>
        <v>0</v>
      </c>
      <c r="AH180" s="1">
        <f t="shared" si="75"/>
        <v>1</v>
      </c>
      <c r="AI180" s="1">
        <f t="shared" si="76"/>
        <v>0</v>
      </c>
    </row>
    <row r="181" spans="1:35" s="1" customFormat="1" ht="14.25" customHeight="1" x14ac:dyDescent="0.25">
      <c r="A181" s="31">
        <v>0</v>
      </c>
      <c r="B181" s="31">
        <v>1</v>
      </c>
      <c r="C181" s="31">
        <v>3</v>
      </c>
      <c r="D181" s="32" t="s">
        <v>131</v>
      </c>
      <c r="E181" s="32" t="s">
        <v>674</v>
      </c>
      <c r="F181" s="32" t="s">
        <v>332</v>
      </c>
      <c r="G181" s="32" t="s">
        <v>39</v>
      </c>
      <c r="H181" s="32" t="s">
        <v>360</v>
      </c>
      <c r="I181" s="31" t="s">
        <v>478</v>
      </c>
      <c r="J181" s="31">
        <v>12</v>
      </c>
      <c r="K181" s="33" t="s">
        <v>713</v>
      </c>
      <c r="L181" s="33">
        <v>35</v>
      </c>
      <c r="M181" s="34" t="s">
        <v>39</v>
      </c>
      <c r="N181" s="34" t="s">
        <v>1775</v>
      </c>
      <c r="O181" s="35">
        <v>1</v>
      </c>
      <c r="P181" s="35"/>
      <c r="Q181" s="32"/>
      <c r="S181" s="1">
        <f t="shared" si="61"/>
        <v>0</v>
      </c>
      <c r="T181" s="1">
        <f t="shared" si="62"/>
        <v>0</v>
      </c>
      <c r="U181" s="1">
        <f t="shared" si="63"/>
        <v>0</v>
      </c>
      <c r="V181" s="1">
        <f t="shared" si="64"/>
        <v>0</v>
      </c>
      <c r="W181" s="1">
        <f t="shared" si="65"/>
        <v>0</v>
      </c>
      <c r="X181" s="1">
        <f t="shared" si="66"/>
        <v>0</v>
      </c>
      <c r="Y181" s="1">
        <f t="shared" si="67"/>
        <v>0</v>
      </c>
      <c r="Z181" s="1">
        <f t="shared" si="68"/>
        <v>0</v>
      </c>
      <c r="AA181" s="1">
        <f t="shared" si="69"/>
        <v>0</v>
      </c>
      <c r="AB181" s="1">
        <f t="shared" si="70"/>
        <v>0</v>
      </c>
      <c r="AD181" s="1">
        <f t="shared" si="71"/>
        <v>0</v>
      </c>
      <c r="AE181" s="1">
        <f t="shared" si="72"/>
        <v>1</v>
      </c>
      <c r="AF181" s="1">
        <f t="shared" si="73"/>
        <v>0</v>
      </c>
      <c r="AG181" s="1">
        <f t="shared" si="74"/>
        <v>1</v>
      </c>
      <c r="AH181" s="1">
        <f t="shared" si="75"/>
        <v>0</v>
      </c>
      <c r="AI181" s="1">
        <f t="shared" si="76"/>
        <v>1</v>
      </c>
    </row>
    <row r="182" spans="1:35" s="1" customFormat="1" ht="14.25" customHeight="1" x14ac:dyDescent="0.25">
      <c r="A182" s="15">
        <v>0</v>
      </c>
      <c r="B182" s="15">
        <v>1</v>
      </c>
      <c r="C182" s="15">
        <v>3</v>
      </c>
      <c r="D182" s="16" t="s">
        <v>807</v>
      </c>
      <c r="E182" s="16" t="s">
        <v>171</v>
      </c>
      <c r="F182" s="16" t="s">
        <v>808</v>
      </c>
      <c r="G182" s="16" t="s">
        <v>39</v>
      </c>
      <c r="H182" s="16" t="s">
        <v>373</v>
      </c>
      <c r="I182" s="15" t="s">
        <v>806</v>
      </c>
      <c r="J182" s="15">
        <v>12</v>
      </c>
      <c r="K182" s="10" t="s">
        <v>694</v>
      </c>
      <c r="L182" s="10">
        <v>40</v>
      </c>
      <c r="M182" s="19" t="s">
        <v>947</v>
      </c>
      <c r="N182" s="19"/>
      <c r="Q182" s="16"/>
      <c r="S182" s="1">
        <f t="shared" si="61"/>
        <v>0</v>
      </c>
      <c r="T182" s="1">
        <f t="shared" si="62"/>
        <v>0</v>
      </c>
      <c r="U182" s="1">
        <f t="shared" si="63"/>
        <v>0</v>
      </c>
      <c r="V182" s="1">
        <f t="shared" si="64"/>
        <v>0</v>
      </c>
      <c r="W182" s="1">
        <f t="shared" si="65"/>
        <v>0</v>
      </c>
      <c r="X182" s="1">
        <f t="shared" si="66"/>
        <v>0</v>
      </c>
      <c r="Y182" s="1">
        <f t="shared" si="67"/>
        <v>0</v>
      </c>
      <c r="Z182" s="1">
        <f t="shared" si="68"/>
        <v>0</v>
      </c>
      <c r="AA182" s="1">
        <f t="shared" si="69"/>
        <v>0</v>
      </c>
      <c r="AB182" s="1">
        <f t="shared" si="70"/>
        <v>0</v>
      </c>
      <c r="AD182" s="1">
        <f t="shared" si="71"/>
        <v>0</v>
      </c>
      <c r="AE182" s="1">
        <f t="shared" si="72"/>
        <v>0</v>
      </c>
      <c r="AF182" s="1">
        <f t="shared" si="73"/>
        <v>0</v>
      </c>
      <c r="AG182" s="1">
        <f t="shared" si="74"/>
        <v>0</v>
      </c>
      <c r="AH182" s="1">
        <f t="shared" si="75"/>
        <v>0</v>
      </c>
      <c r="AI182" s="1">
        <f t="shared" si="76"/>
        <v>1</v>
      </c>
    </row>
    <row r="183" spans="1:35" s="1" customFormat="1" ht="14.25" customHeight="1" x14ac:dyDescent="0.25">
      <c r="A183" s="31">
        <v>0</v>
      </c>
      <c r="B183" s="31">
        <v>1</v>
      </c>
      <c r="C183" s="31">
        <v>3</v>
      </c>
      <c r="D183" s="32" t="s">
        <v>141</v>
      </c>
      <c r="E183" s="32" t="s">
        <v>171</v>
      </c>
      <c r="F183" s="32" t="s">
        <v>341</v>
      </c>
      <c r="G183" s="32" t="s">
        <v>39</v>
      </c>
      <c r="H183" s="32" t="s">
        <v>375</v>
      </c>
      <c r="I183" s="31" t="s">
        <v>487</v>
      </c>
      <c r="J183" s="31">
        <v>15</v>
      </c>
      <c r="K183" s="33" t="s">
        <v>693</v>
      </c>
      <c r="L183" s="33" t="s">
        <v>683</v>
      </c>
      <c r="M183" s="34" t="s">
        <v>682</v>
      </c>
      <c r="N183" s="34" t="s">
        <v>1693</v>
      </c>
      <c r="O183" s="35">
        <v>1</v>
      </c>
      <c r="P183" s="35">
        <v>1</v>
      </c>
      <c r="Q183" s="36" t="s">
        <v>1840</v>
      </c>
      <c r="S183" s="1">
        <f t="shared" si="61"/>
        <v>0</v>
      </c>
      <c r="T183" s="1">
        <f t="shared" si="62"/>
        <v>0</v>
      </c>
      <c r="U183" s="1">
        <f t="shared" si="63"/>
        <v>0</v>
      </c>
      <c r="V183" s="1">
        <f t="shared" si="64"/>
        <v>0</v>
      </c>
      <c r="W183" s="1">
        <f t="shared" si="65"/>
        <v>0</v>
      </c>
      <c r="X183" s="1">
        <f t="shared" si="66"/>
        <v>0</v>
      </c>
      <c r="Y183" s="1">
        <f t="shared" si="67"/>
        <v>0</v>
      </c>
      <c r="Z183" s="1">
        <f t="shared" si="68"/>
        <v>0</v>
      </c>
      <c r="AA183" s="1">
        <f t="shared" si="69"/>
        <v>0</v>
      </c>
      <c r="AB183" s="1">
        <f t="shared" si="70"/>
        <v>0</v>
      </c>
      <c r="AD183" s="1">
        <f t="shared" si="71"/>
        <v>1</v>
      </c>
      <c r="AE183" s="1">
        <f t="shared" si="72"/>
        <v>0</v>
      </c>
      <c r="AF183" s="1">
        <f t="shared" si="73"/>
        <v>1</v>
      </c>
      <c r="AG183" s="1">
        <f t="shared" si="74"/>
        <v>0</v>
      </c>
      <c r="AH183" s="1">
        <f t="shared" si="75"/>
        <v>1</v>
      </c>
      <c r="AI183" s="1">
        <f t="shared" si="76"/>
        <v>0</v>
      </c>
    </row>
    <row r="184" spans="1:35" s="1" customFormat="1" ht="14.25" customHeight="1" x14ac:dyDescent="0.25">
      <c r="A184" s="31">
        <v>0</v>
      </c>
      <c r="B184" s="31">
        <v>1</v>
      </c>
      <c r="C184" s="31">
        <v>3</v>
      </c>
      <c r="D184" s="36" t="s">
        <v>1791</v>
      </c>
      <c r="E184" s="32" t="s">
        <v>1064</v>
      </c>
      <c r="F184" s="32" t="s">
        <v>1776</v>
      </c>
      <c r="G184" s="32"/>
      <c r="H184" s="32" t="s">
        <v>370</v>
      </c>
      <c r="I184" s="31" t="s">
        <v>1777</v>
      </c>
      <c r="J184" s="31">
        <v>16</v>
      </c>
      <c r="K184" s="33" t="s">
        <v>694</v>
      </c>
      <c r="L184" s="33"/>
      <c r="M184" s="34"/>
      <c r="N184" s="34" t="s">
        <v>1687</v>
      </c>
      <c r="O184" s="35">
        <v>1</v>
      </c>
      <c r="P184" s="35">
        <v>1</v>
      </c>
      <c r="Q184" s="32"/>
      <c r="S184" s="1">
        <f t="shared" si="61"/>
        <v>0</v>
      </c>
      <c r="T184" s="1">
        <f t="shared" si="62"/>
        <v>0</v>
      </c>
      <c r="U184" s="1">
        <f t="shared" si="63"/>
        <v>0</v>
      </c>
      <c r="V184" s="1">
        <f t="shared" si="64"/>
        <v>0</v>
      </c>
      <c r="W184" s="1">
        <f t="shared" si="65"/>
        <v>0</v>
      </c>
      <c r="X184" s="1">
        <f t="shared" si="66"/>
        <v>0</v>
      </c>
      <c r="Y184" s="1">
        <f t="shared" si="67"/>
        <v>0</v>
      </c>
      <c r="Z184" s="1">
        <f t="shared" si="68"/>
        <v>0</v>
      </c>
      <c r="AA184" s="1">
        <f t="shared" si="69"/>
        <v>0</v>
      </c>
      <c r="AB184" s="1">
        <f t="shared" si="70"/>
        <v>0</v>
      </c>
      <c r="AD184" s="1">
        <f t="shared" si="71"/>
        <v>1</v>
      </c>
      <c r="AE184" s="1">
        <f t="shared" si="72"/>
        <v>0</v>
      </c>
      <c r="AF184" s="1">
        <f t="shared" si="73"/>
        <v>1</v>
      </c>
      <c r="AG184" s="1">
        <f t="shared" si="74"/>
        <v>0</v>
      </c>
      <c r="AH184" s="1">
        <f t="shared" si="75"/>
        <v>1</v>
      </c>
      <c r="AI184" s="1">
        <f t="shared" si="76"/>
        <v>0</v>
      </c>
    </row>
    <row r="185" spans="1:35" s="1" customFormat="1" ht="14.25" customHeight="1" x14ac:dyDescent="0.25">
      <c r="A185" s="31">
        <v>0</v>
      </c>
      <c r="B185" s="31">
        <v>1</v>
      </c>
      <c r="C185" s="31">
        <v>3</v>
      </c>
      <c r="D185" s="32" t="s">
        <v>956</v>
      </c>
      <c r="E185" s="32" t="s">
        <v>602</v>
      </c>
      <c r="F185" s="32" t="s">
        <v>957</v>
      </c>
      <c r="G185" s="32" t="s">
        <v>202</v>
      </c>
      <c r="H185" s="32" t="s">
        <v>352</v>
      </c>
      <c r="I185" s="31" t="s">
        <v>958</v>
      </c>
      <c r="J185" s="31">
        <v>99</v>
      </c>
      <c r="K185" s="33" t="s">
        <v>933</v>
      </c>
      <c r="L185" s="33" t="s">
        <v>39</v>
      </c>
      <c r="M185" s="34" t="s">
        <v>39</v>
      </c>
      <c r="N185" s="34" t="s">
        <v>1687</v>
      </c>
      <c r="O185" s="35">
        <v>1</v>
      </c>
      <c r="P185" s="35">
        <v>1</v>
      </c>
      <c r="Q185" s="32"/>
      <c r="S185" s="1">
        <f t="shared" si="61"/>
        <v>0</v>
      </c>
      <c r="T185" s="1">
        <f t="shared" si="62"/>
        <v>0</v>
      </c>
      <c r="U185" s="1">
        <f t="shared" si="63"/>
        <v>0</v>
      </c>
      <c r="V185" s="1">
        <f t="shared" si="64"/>
        <v>0</v>
      </c>
      <c r="W185" s="1">
        <f t="shared" si="65"/>
        <v>0</v>
      </c>
      <c r="X185" s="1">
        <f t="shared" si="66"/>
        <v>0</v>
      </c>
      <c r="Y185" s="1">
        <f t="shared" si="67"/>
        <v>0</v>
      </c>
      <c r="Z185" s="1">
        <f t="shared" si="68"/>
        <v>0</v>
      </c>
      <c r="AA185" s="1">
        <f t="shared" si="69"/>
        <v>0</v>
      </c>
      <c r="AB185" s="1">
        <f t="shared" si="70"/>
        <v>0</v>
      </c>
      <c r="AD185" s="1">
        <f t="shared" si="71"/>
        <v>1</v>
      </c>
      <c r="AE185" s="1">
        <f t="shared" si="72"/>
        <v>0</v>
      </c>
      <c r="AF185" s="1">
        <f t="shared" si="73"/>
        <v>1</v>
      </c>
      <c r="AG185" s="1">
        <f t="shared" si="74"/>
        <v>0</v>
      </c>
      <c r="AH185" s="1">
        <f t="shared" si="75"/>
        <v>1</v>
      </c>
      <c r="AI185" s="1">
        <f t="shared" si="76"/>
        <v>0</v>
      </c>
    </row>
    <row r="186" spans="1:35" s="1" customFormat="1" ht="14.25" customHeight="1" x14ac:dyDescent="0.25">
      <c r="A186" s="31">
        <v>0</v>
      </c>
      <c r="B186" s="31">
        <v>1</v>
      </c>
      <c r="C186" s="31">
        <v>3</v>
      </c>
      <c r="D186" s="32" t="s">
        <v>148</v>
      </c>
      <c r="E186" s="32" t="s">
        <v>171</v>
      </c>
      <c r="F186" s="32" t="s">
        <v>348</v>
      </c>
      <c r="G186" s="32" t="s">
        <v>39</v>
      </c>
      <c r="H186" s="32" t="s">
        <v>378</v>
      </c>
      <c r="I186" s="31" t="s">
        <v>493</v>
      </c>
      <c r="J186" s="31">
        <v>14</v>
      </c>
      <c r="K186" s="33" t="s">
        <v>941</v>
      </c>
      <c r="L186" s="33" t="s">
        <v>39</v>
      </c>
      <c r="M186" s="34" t="s">
        <v>39</v>
      </c>
      <c r="N186" s="34" t="s">
        <v>1693</v>
      </c>
      <c r="O186" s="35">
        <v>1</v>
      </c>
      <c r="P186" s="35">
        <v>1</v>
      </c>
      <c r="Q186" s="32"/>
      <c r="S186" s="1">
        <f t="shared" si="61"/>
        <v>0</v>
      </c>
      <c r="T186" s="1">
        <f t="shared" si="62"/>
        <v>0</v>
      </c>
      <c r="U186" s="1">
        <f t="shared" si="63"/>
        <v>0</v>
      </c>
      <c r="V186" s="1">
        <f t="shared" si="64"/>
        <v>0</v>
      </c>
      <c r="W186" s="1">
        <f t="shared" si="65"/>
        <v>0</v>
      </c>
      <c r="X186" s="1">
        <f t="shared" si="66"/>
        <v>0</v>
      </c>
      <c r="Y186" s="1">
        <f t="shared" si="67"/>
        <v>0</v>
      </c>
      <c r="Z186" s="1">
        <f t="shared" si="68"/>
        <v>0</v>
      </c>
      <c r="AA186" s="1">
        <f t="shared" si="69"/>
        <v>0</v>
      </c>
      <c r="AB186" s="1">
        <f t="shared" si="70"/>
        <v>0</v>
      </c>
      <c r="AD186" s="1">
        <f t="shared" si="71"/>
        <v>1</v>
      </c>
      <c r="AE186" s="1">
        <f t="shared" si="72"/>
        <v>0</v>
      </c>
      <c r="AF186" s="1">
        <f t="shared" si="73"/>
        <v>1</v>
      </c>
      <c r="AG186" s="1">
        <f t="shared" si="74"/>
        <v>0</v>
      </c>
      <c r="AH186" s="1">
        <f t="shared" si="75"/>
        <v>1</v>
      </c>
      <c r="AI186" s="1">
        <f t="shared" si="76"/>
        <v>0</v>
      </c>
    </row>
    <row r="187" spans="1:35" s="1" customFormat="1" ht="14.25" customHeight="1" x14ac:dyDescent="0.25">
      <c r="A187" s="31">
        <v>0</v>
      </c>
      <c r="B187" s="31">
        <v>1</v>
      </c>
      <c r="C187" s="31">
        <v>3</v>
      </c>
      <c r="D187" s="36" t="s">
        <v>2156</v>
      </c>
      <c r="E187" s="32"/>
      <c r="F187" s="36" t="s">
        <v>2157</v>
      </c>
      <c r="G187" s="32"/>
      <c r="H187" s="36" t="s">
        <v>353</v>
      </c>
      <c r="I187" s="37" t="s">
        <v>2158</v>
      </c>
      <c r="J187" s="31">
        <v>11</v>
      </c>
      <c r="K187" s="33" t="s">
        <v>694</v>
      </c>
      <c r="L187" s="33"/>
      <c r="M187" s="34"/>
      <c r="N187" s="34" t="s">
        <v>1708</v>
      </c>
      <c r="O187" s="35">
        <v>1</v>
      </c>
      <c r="P187" s="35"/>
      <c r="Q187" s="32" t="s">
        <v>2159</v>
      </c>
      <c r="S187" s="1">
        <f t="shared" si="61"/>
        <v>0</v>
      </c>
      <c r="T187" s="1">
        <f t="shared" si="62"/>
        <v>0</v>
      </c>
      <c r="U187" s="1">
        <f t="shared" si="63"/>
        <v>0</v>
      </c>
      <c r="V187" s="1">
        <f t="shared" si="64"/>
        <v>0</v>
      </c>
      <c r="W187" s="1">
        <f t="shared" si="65"/>
        <v>0</v>
      </c>
      <c r="X187" s="1">
        <f t="shared" si="66"/>
        <v>0</v>
      </c>
      <c r="Y187" s="1">
        <f t="shared" si="67"/>
        <v>0</v>
      </c>
      <c r="Z187" s="1">
        <f t="shared" si="68"/>
        <v>0</v>
      </c>
      <c r="AA187" s="1">
        <f t="shared" si="69"/>
        <v>0</v>
      </c>
      <c r="AB187" s="1">
        <f t="shared" si="70"/>
        <v>0</v>
      </c>
      <c r="AD187" s="1">
        <f t="shared" ref="AD187:AD189" si="85">+O187*P187</f>
        <v>0</v>
      </c>
      <c r="AE187" s="1">
        <f t="shared" ref="AE187:AE189" si="86">O187*(1-P187)</f>
        <v>1</v>
      </c>
      <c r="AF187" s="1">
        <f t="shared" ref="AF187:AF189" si="87">+O187*P187*(1-A187)</f>
        <v>0</v>
      </c>
      <c r="AG187" s="1">
        <f t="shared" ref="AG187:AG189" si="88">O187*(1-P187)*(1-A187)</f>
        <v>1</v>
      </c>
      <c r="AH187" s="1">
        <f t="shared" ref="AH187:AH189" si="89">+P187*(1-A187)</f>
        <v>0</v>
      </c>
      <c r="AI187" s="1">
        <f t="shared" ref="AI187:AI189" si="90">+(1-A187)*(1-P187)</f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3</v>
      </c>
      <c r="D188" s="32" t="s">
        <v>1933</v>
      </c>
      <c r="E188" s="32" t="s">
        <v>1934</v>
      </c>
      <c r="F188" s="32" t="s">
        <v>1935</v>
      </c>
      <c r="G188" s="32" t="s">
        <v>531</v>
      </c>
      <c r="H188" s="32" t="s">
        <v>352</v>
      </c>
      <c r="I188" s="31" t="s">
        <v>1936</v>
      </c>
      <c r="J188" s="31"/>
      <c r="K188" s="33" t="s">
        <v>694</v>
      </c>
      <c r="L188" s="33"/>
      <c r="M188" s="34"/>
      <c r="N188" s="34" t="s">
        <v>1693</v>
      </c>
      <c r="O188" s="35">
        <v>1</v>
      </c>
      <c r="P188" s="35">
        <v>1</v>
      </c>
      <c r="Q188" s="32"/>
      <c r="S188" s="1">
        <f t="shared" si="61"/>
        <v>0</v>
      </c>
      <c r="T188" s="1">
        <f t="shared" si="62"/>
        <v>0</v>
      </c>
      <c r="U188" s="1">
        <f t="shared" si="63"/>
        <v>0</v>
      </c>
      <c r="V188" s="1">
        <f t="shared" si="64"/>
        <v>0</v>
      </c>
      <c r="W188" s="1">
        <f t="shared" si="65"/>
        <v>0</v>
      </c>
      <c r="X188" s="1">
        <f t="shared" si="66"/>
        <v>0</v>
      </c>
      <c r="Y188" s="1">
        <f t="shared" si="67"/>
        <v>0</v>
      </c>
      <c r="Z188" s="1">
        <f t="shared" si="68"/>
        <v>0</v>
      </c>
      <c r="AA188" s="1">
        <f t="shared" si="69"/>
        <v>0</v>
      </c>
      <c r="AB188" s="1">
        <f t="shared" si="70"/>
        <v>0</v>
      </c>
      <c r="AD188" s="1">
        <f t="shared" si="85"/>
        <v>1</v>
      </c>
      <c r="AE188" s="1">
        <f t="shared" si="86"/>
        <v>0</v>
      </c>
      <c r="AF188" s="1">
        <f t="shared" si="87"/>
        <v>1</v>
      </c>
      <c r="AG188" s="1">
        <f t="shared" si="88"/>
        <v>0</v>
      </c>
      <c r="AH188" s="1">
        <f t="shared" si="89"/>
        <v>1</v>
      </c>
      <c r="AI188" s="1">
        <f t="shared" si="90"/>
        <v>0</v>
      </c>
    </row>
    <row r="189" spans="1:35" s="1" customFormat="1" ht="14.25" customHeight="1" x14ac:dyDescent="0.25">
      <c r="A189" s="31">
        <v>0</v>
      </c>
      <c r="B189" s="31">
        <v>1</v>
      </c>
      <c r="C189" s="31">
        <v>3</v>
      </c>
      <c r="D189" s="32" t="s">
        <v>627</v>
      </c>
      <c r="E189" s="32" t="s">
        <v>171</v>
      </c>
      <c r="F189" s="32" t="s">
        <v>629</v>
      </c>
      <c r="G189" s="32" t="s">
        <v>237</v>
      </c>
      <c r="H189" s="32" t="s">
        <v>352</v>
      </c>
      <c r="I189" s="31" t="s">
        <v>628</v>
      </c>
      <c r="J189" s="31">
        <v>4</v>
      </c>
      <c r="K189" s="33" t="s">
        <v>933</v>
      </c>
      <c r="L189" s="33" t="s">
        <v>39</v>
      </c>
      <c r="M189" s="34" t="s">
        <v>39</v>
      </c>
      <c r="N189" s="34" t="s">
        <v>1693</v>
      </c>
      <c r="O189" s="35">
        <v>1</v>
      </c>
      <c r="P189" s="35">
        <v>1</v>
      </c>
      <c r="Q189" s="32"/>
      <c r="S189" s="1">
        <f t="shared" si="61"/>
        <v>0</v>
      </c>
      <c r="T189" s="1">
        <f t="shared" si="62"/>
        <v>0</v>
      </c>
      <c r="U189" s="1">
        <f t="shared" si="63"/>
        <v>0</v>
      </c>
      <c r="V189" s="1">
        <f t="shared" si="64"/>
        <v>1</v>
      </c>
      <c r="W189" s="1">
        <f t="shared" si="65"/>
        <v>0</v>
      </c>
      <c r="X189" s="1">
        <f t="shared" si="66"/>
        <v>0</v>
      </c>
      <c r="Y189" s="1">
        <f t="shared" si="67"/>
        <v>0</v>
      </c>
      <c r="Z189" s="1">
        <f t="shared" si="68"/>
        <v>0</v>
      </c>
      <c r="AA189" s="1">
        <f t="shared" si="69"/>
        <v>0</v>
      </c>
      <c r="AB189" s="1">
        <f t="shared" si="70"/>
        <v>0</v>
      </c>
      <c r="AD189" s="1">
        <f t="shared" si="85"/>
        <v>1</v>
      </c>
      <c r="AE189" s="1">
        <f t="shared" si="86"/>
        <v>0</v>
      </c>
      <c r="AF189" s="1">
        <f t="shared" si="87"/>
        <v>1</v>
      </c>
      <c r="AG189" s="1">
        <f t="shared" si="88"/>
        <v>0</v>
      </c>
      <c r="AH189" s="1">
        <f t="shared" si="89"/>
        <v>1</v>
      </c>
      <c r="AI189" s="1">
        <f t="shared" si="90"/>
        <v>0</v>
      </c>
    </row>
    <row r="190" spans="1:35" s="1" customFormat="1" ht="14.25" customHeight="1" x14ac:dyDescent="0.25">
      <c r="A190" s="15">
        <v>0</v>
      </c>
      <c r="B190" s="15">
        <v>1</v>
      </c>
      <c r="C190" s="15">
        <v>3</v>
      </c>
      <c r="D190" s="16" t="s">
        <v>1489</v>
      </c>
      <c r="E190" s="16" t="s">
        <v>1064</v>
      </c>
      <c r="F190" s="16" t="s">
        <v>1490</v>
      </c>
      <c r="G190" s="16" t="s">
        <v>217</v>
      </c>
      <c r="H190" s="16" t="s">
        <v>352</v>
      </c>
      <c r="I190" s="15" t="s">
        <v>1491</v>
      </c>
      <c r="J190" s="15">
        <v>99</v>
      </c>
      <c r="K190" s="10" t="s">
        <v>694</v>
      </c>
      <c r="L190" s="10">
        <v>40</v>
      </c>
      <c r="M190" s="19" t="s">
        <v>947</v>
      </c>
      <c r="N190" s="19"/>
      <c r="Q190" s="16"/>
      <c r="S190" s="1">
        <f t="shared" si="61"/>
        <v>0</v>
      </c>
      <c r="T190" s="1">
        <f t="shared" si="62"/>
        <v>0</v>
      </c>
      <c r="U190" s="1">
        <f t="shared" si="63"/>
        <v>0</v>
      </c>
      <c r="V190" s="1">
        <f t="shared" si="64"/>
        <v>0</v>
      </c>
      <c r="W190" s="1">
        <f t="shared" si="65"/>
        <v>0</v>
      </c>
      <c r="X190" s="1">
        <f t="shared" si="66"/>
        <v>0</v>
      </c>
      <c r="Y190" s="1">
        <f t="shared" si="67"/>
        <v>0</v>
      </c>
      <c r="Z190" s="1">
        <f t="shared" si="68"/>
        <v>0</v>
      </c>
      <c r="AA190" s="1">
        <f t="shared" si="69"/>
        <v>0</v>
      </c>
      <c r="AB190" s="1">
        <f t="shared" si="70"/>
        <v>0</v>
      </c>
      <c r="AD190" s="1">
        <f t="shared" si="71"/>
        <v>0</v>
      </c>
      <c r="AE190" s="1">
        <f t="shared" si="72"/>
        <v>0</v>
      </c>
      <c r="AF190" s="1">
        <f t="shared" si="73"/>
        <v>0</v>
      </c>
      <c r="AG190" s="1">
        <f t="shared" si="74"/>
        <v>0</v>
      </c>
      <c r="AH190" s="1">
        <f t="shared" si="75"/>
        <v>0</v>
      </c>
      <c r="AI190" s="1">
        <f t="shared" si="76"/>
        <v>1</v>
      </c>
    </row>
    <row r="191" spans="1:35" s="1" customFormat="1" ht="14.25" customHeight="1" x14ac:dyDescent="0.25">
      <c r="A191" s="31">
        <v>0</v>
      </c>
      <c r="B191" s="31">
        <v>1</v>
      </c>
      <c r="C191" s="31">
        <v>3</v>
      </c>
      <c r="D191" s="32" t="s">
        <v>101</v>
      </c>
      <c r="E191" s="32" t="s">
        <v>171</v>
      </c>
      <c r="F191" s="32" t="s">
        <v>297</v>
      </c>
      <c r="G191" s="32" t="s">
        <v>298</v>
      </c>
      <c r="H191" s="32" t="s">
        <v>352</v>
      </c>
      <c r="I191" s="31" t="s">
        <v>446</v>
      </c>
      <c r="J191" s="31">
        <v>99</v>
      </c>
      <c r="K191" s="33" t="s">
        <v>935</v>
      </c>
      <c r="L191" s="33" t="s">
        <v>684</v>
      </c>
      <c r="M191" s="34" t="s">
        <v>682</v>
      </c>
      <c r="N191" s="34" t="s">
        <v>1696</v>
      </c>
      <c r="O191" s="35">
        <v>1</v>
      </c>
      <c r="P191" s="35"/>
      <c r="Q191" s="32"/>
      <c r="S191" s="1">
        <f t="shared" si="61"/>
        <v>0</v>
      </c>
      <c r="T191" s="1">
        <f t="shared" si="62"/>
        <v>0</v>
      </c>
      <c r="U191" s="1">
        <f t="shared" si="63"/>
        <v>0</v>
      </c>
      <c r="V191" s="1">
        <f t="shared" si="64"/>
        <v>0</v>
      </c>
      <c r="W191" s="1">
        <f t="shared" si="65"/>
        <v>0</v>
      </c>
      <c r="X191" s="1">
        <f t="shared" si="66"/>
        <v>0</v>
      </c>
      <c r="Y191" s="1">
        <f t="shared" si="67"/>
        <v>0</v>
      </c>
      <c r="Z191" s="1">
        <f t="shared" si="68"/>
        <v>0</v>
      </c>
      <c r="AA191" s="1">
        <f t="shared" si="69"/>
        <v>0</v>
      </c>
      <c r="AB191" s="1">
        <f t="shared" si="70"/>
        <v>0</v>
      </c>
      <c r="AD191" s="1">
        <f t="shared" si="71"/>
        <v>0</v>
      </c>
      <c r="AE191" s="1">
        <f t="shared" si="72"/>
        <v>1</v>
      </c>
      <c r="AF191" s="1">
        <f t="shared" si="73"/>
        <v>0</v>
      </c>
      <c r="AG191" s="1">
        <f t="shared" si="74"/>
        <v>1</v>
      </c>
      <c r="AH191" s="1">
        <f t="shared" si="75"/>
        <v>0</v>
      </c>
      <c r="AI191" s="1">
        <f t="shared" si="76"/>
        <v>1</v>
      </c>
    </row>
    <row r="192" spans="1:35" s="1" customFormat="1" ht="14.25" customHeight="1" x14ac:dyDescent="0.25">
      <c r="A192" s="31">
        <v>0</v>
      </c>
      <c r="B192" s="31">
        <v>1</v>
      </c>
      <c r="C192" s="31">
        <v>3</v>
      </c>
      <c r="D192" s="32" t="s">
        <v>967</v>
      </c>
      <c r="E192" s="32" t="s">
        <v>171</v>
      </c>
      <c r="F192" s="32" t="s">
        <v>970</v>
      </c>
      <c r="G192" s="32" t="s">
        <v>39</v>
      </c>
      <c r="H192" s="32" t="s">
        <v>969</v>
      </c>
      <c r="I192" s="31" t="s">
        <v>968</v>
      </c>
      <c r="J192" s="31">
        <v>14</v>
      </c>
      <c r="K192" s="33" t="s">
        <v>713</v>
      </c>
      <c r="L192" s="33" t="s">
        <v>685</v>
      </c>
      <c r="M192" s="34" t="s">
        <v>948</v>
      </c>
      <c r="N192" s="34" t="s">
        <v>1696</v>
      </c>
      <c r="O192" s="35">
        <v>1</v>
      </c>
      <c r="P192" s="35"/>
      <c r="Q192" s="32"/>
      <c r="S192" s="1">
        <f t="shared" si="61"/>
        <v>0</v>
      </c>
      <c r="T192" s="1">
        <f t="shared" si="62"/>
        <v>0</v>
      </c>
      <c r="U192" s="1">
        <f t="shared" si="63"/>
        <v>0</v>
      </c>
      <c r="V192" s="1">
        <f t="shared" si="64"/>
        <v>0</v>
      </c>
      <c r="W192" s="1">
        <f t="shared" si="65"/>
        <v>0</v>
      </c>
      <c r="X192" s="1">
        <f t="shared" si="66"/>
        <v>0</v>
      </c>
      <c r="Y192" s="1">
        <f t="shared" si="67"/>
        <v>0</v>
      </c>
      <c r="Z192" s="1">
        <f t="shared" si="68"/>
        <v>0</v>
      </c>
      <c r="AA192" s="1">
        <f t="shared" si="69"/>
        <v>0</v>
      </c>
      <c r="AB192" s="1">
        <f t="shared" si="70"/>
        <v>0</v>
      </c>
      <c r="AD192" s="1">
        <f t="shared" si="71"/>
        <v>0</v>
      </c>
      <c r="AE192" s="1">
        <f t="shared" si="72"/>
        <v>1</v>
      </c>
      <c r="AF192" s="1">
        <f t="shared" si="73"/>
        <v>0</v>
      </c>
      <c r="AG192" s="1">
        <f t="shared" si="74"/>
        <v>1</v>
      </c>
      <c r="AH192" s="1">
        <f t="shared" si="75"/>
        <v>0</v>
      </c>
      <c r="AI192" s="1">
        <f t="shared" si="76"/>
        <v>1</v>
      </c>
    </row>
    <row r="193" spans="1:35" s="1" customFormat="1" ht="14.25" customHeight="1" x14ac:dyDescent="0.25">
      <c r="A193" s="51">
        <v>0</v>
      </c>
      <c r="B193" s="51">
        <v>1</v>
      </c>
      <c r="C193" s="51">
        <v>3</v>
      </c>
      <c r="D193" s="52" t="s">
        <v>1605</v>
      </c>
      <c r="E193" s="52" t="s">
        <v>171</v>
      </c>
      <c r="F193" s="52" t="s">
        <v>754</v>
      </c>
      <c r="G193" s="52" t="s">
        <v>39</v>
      </c>
      <c r="H193" s="52" t="s">
        <v>365</v>
      </c>
      <c r="I193" s="51" t="s">
        <v>762</v>
      </c>
      <c r="J193" s="51">
        <v>18</v>
      </c>
      <c r="K193" s="53" t="s">
        <v>1657</v>
      </c>
      <c r="L193" s="53" t="s">
        <v>39</v>
      </c>
      <c r="M193" s="54" t="s">
        <v>755</v>
      </c>
      <c r="N193" s="55"/>
      <c r="O193" s="56"/>
      <c r="P193" s="56"/>
      <c r="Q193" s="52"/>
      <c r="S193" s="1">
        <f t="shared" si="61"/>
        <v>0</v>
      </c>
      <c r="T193" s="1">
        <f t="shared" si="62"/>
        <v>0</v>
      </c>
      <c r="U193" s="1">
        <f t="shared" si="63"/>
        <v>0</v>
      </c>
      <c r="V193" s="1">
        <f t="shared" si="64"/>
        <v>0</v>
      </c>
      <c r="W193" s="1">
        <f t="shared" si="65"/>
        <v>0</v>
      </c>
      <c r="X193" s="1">
        <f t="shared" si="66"/>
        <v>0</v>
      </c>
      <c r="Y193" s="1">
        <f t="shared" si="67"/>
        <v>0</v>
      </c>
      <c r="Z193" s="1">
        <f t="shared" si="68"/>
        <v>0</v>
      </c>
      <c r="AA193" s="1">
        <f t="shared" si="69"/>
        <v>0</v>
      </c>
      <c r="AB193" s="1">
        <f t="shared" si="70"/>
        <v>0</v>
      </c>
      <c r="AD193" s="1">
        <f t="shared" si="71"/>
        <v>0</v>
      </c>
      <c r="AE193" s="1">
        <f t="shared" si="72"/>
        <v>0</v>
      </c>
      <c r="AF193" s="1">
        <f t="shared" si="73"/>
        <v>0</v>
      </c>
      <c r="AG193" s="1">
        <f t="shared" si="74"/>
        <v>0</v>
      </c>
      <c r="AH193" s="1">
        <f t="shared" si="75"/>
        <v>0</v>
      </c>
      <c r="AI193" s="1">
        <f t="shared" si="76"/>
        <v>1</v>
      </c>
    </row>
    <row r="194" spans="1:35" s="1" customFormat="1" ht="14.25" customHeight="1" x14ac:dyDescent="0.25">
      <c r="A194" s="31">
        <v>0</v>
      </c>
      <c r="B194" s="31">
        <v>1</v>
      </c>
      <c r="C194" s="31">
        <v>3</v>
      </c>
      <c r="D194" s="32" t="s">
        <v>134</v>
      </c>
      <c r="E194" s="32" t="s">
        <v>171</v>
      </c>
      <c r="F194" s="32" t="s">
        <v>651</v>
      </c>
      <c r="G194" s="32" t="s">
        <v>256</v>
      </c>
      <c r="H194" s="32" t="s">
        <v>352</v>
      </c>
      <c r="I194" s="31" t="s">
        <v>1653</v>
      </c>
      <c r="J194" s="31">
        <v>99</v>
      </c>
      <c r="K194" s="33" t="s">
        <v>713</v>
      </c>
      <c r="L194" s="33" t="s">
        <v>678</v>
      </c>
      <c r="M194" s="34" t="s">
        <v>1362</v>
      </c>
      <c r="N194" s="34" t="s">
        <v>1696</v>
      </c>
      <c r="O194" s="35">
        <v>1</v>
      </c>
      <c r="P194" s="35"/>
      <c r="Q194" s="32" t="s">
        <v>1879</v>
      </c>
      <c r="S194" s="1">
        <f t="shared" si="61"/>
        <v>0</v>
      </c>
      <c r="T194" s="1">
        <f t="shared" si="62"/>
        <v>0</v>
      </c>
      <c r="U194" s="1">
        <f t="shared" si="63"/>
        <v>0</v>
      </c>
      <c r="V194" s="1">
        <f t="shared" si="64"/>
        <v>0</v>
      </c>
      <c r="W194" s="1">
        <f t="shared" si="65"/>
        <v>0</v>
      </c>
      <c r="X194" s="1">
        <f t="shared" si="66"/>
        <v>0</v>
      </c>
      <c r="Y194" s="1">
        <f t="shared" si="67"/>
        <v>0</v>
      </c>
      <c r="Z194" s="1">
        <f t="shared" si="68"/>
        <v>0</v>
      </c>
      <c r="AA194" s="1">
        <f t="shared" si="69"/>
        <v>0</v>
      </c>
      <c r="AB194" s="1">
        <f t="shared" si="70"/>
        <v>0</v>
      </c>
      <c r="AD194" s="1">
        <f t="shared" si="71"/>
        <v>0</v>
      </c>
      <c r="AE194" s="1">
        <f t="shared" si="72"/>
        <v>1</v>
      </c>
      <c r="AF194" s="1">
        <f t="shared" si="73"/>
        <v>0</v>
      </c>
      <c r="AG194" s="1">
        <f t="shared" si="74"/>
        <v>1</v>
      </c>
      <c r="AH194" s="1">
        <f t="shared" si="75"/>
        <v>0</v>
      </c>
      <c r="AI194" s="1">
        <f t="shared" si="76"/>
        <v>1</v>
      </c>
    </row>
    <row r="195" spans="1:35" s="1" customFormat="1" ht="14.25" customHeight="1" x14ac:dyDescent="0.25">
      <c r="A195" s="31">
        <v>0</v>
      </c>
      <c r="B195" s="31">
        <v>1</v>
      </c>
      <c r="C195" s="31">
        <v>3</v>
      </c>
      <c r="D195" s="32" t="s">
        <v>902</v>
      </c>
      <c r="E195" s="32" t="s">
        <v>169</v>
      </c>
      <c r="F195" s="32" t="s">
        <v>918</v>
      </c>
      <c r="G195" s="32" t="s">
        <v>39</v>
      </c>
      <c r="H195" s="32" t="s">
        <v>363</v>
      </c>
      <c r="I195" s="31" t="s">
        <v>864</v>
      </c>
      <c r="J195" s="31">
        <v>18</v>
      </c>
      <c r="K195" s="33" t="s">
        <v>693</v>
      </c>
      <c r="L195" s="33" t="s">
        <v>688</v>
      </c>
      <c r="M195" s="34" t="s">
        <v>948</v>
      </c>
      <c r="N195" s="34" t="s">
        <v>1700</v>
      </c>
      <c r="O195" s="35">
        <v>1</v>
      </c>
      <c r="P195" s="35"/>
      <c r="Q195" s="32"/>
      <c r="S195" s="1">
        <f t="shared" si="61"/>
        <v>0</v>
      </c>
      <c r="T195" s="1">
        <f t="shared" si="62"/>
        <v>0</v>
      </c>
      <c r="U195" s="1">
        <f t="shared" si="63"/>
        <v>0</v>
      </c>
      <c r="V195" s="1">
        <f t="shared" si="64"/>
        <v>0</v>
      </c>
      <c r="W195" s="1">
        <f t="shared" si="65"/>
        <v>0</v>
      </c>
      <c r="X195" s="1">
        <f t="shared" si="66"/>
        <v>0</v>
      </c>
      <c r="Y195" s="1">
        <f t="shared" si="67"/>
        <v>0</v>
      </c>
      <c r="Z195" s="1">
        <f t="shared" si="68"/>
        <v>0</v>
      </c>
      <c r="AA195" s="1">
        <f t="shared" si="69"/>
        <v>0</v>
      </c>
      <c r="AB195" s="1">
        <f t="shared" si="70"/>
        <v>0</v>
      </c>
      <c r="AD195" s="1">
        <f t="shared" si="71"/>
        <v>0</v>
      </c>
      <c r="AE195" s="1">
        <f t="shared" si="72"/>
        <v>1</v>
      </c>
      <c r="AF195" s="1">
        <f t="shared" si="73"/>
        <v>0</v>
      </c>
      <c r="AG195" s="1">
        <f t="shared" si="74"/>
        <v>1</v>
      </c>
      <c r="AH195" s="1">
        <f t="shared" si="75"/>
        <v>0</v>
      </c>
      <c r="AI195" s="1">
        <f t="shared" si="76"/>
        <v>1</v>
      </c>
    </row>
    <row r="196" spans="1:35" s="1" customFormat="1" ht="14.25" customHeight="1" x14ac:dyDescent="0.25">
      <c r="A196" s="31">
        <v>0</v>
      </c>
      <c r="B196" s="31">
        <v>1</v>
      </c>
      <c r="C196" s="31">
        <v>3</v>
      </c>
      <c r="D196" s="32" t="s">
        <v>1229</v>
      </c>
      <c r="E196" s="32" t="s">
        <v>169</v>
      </c>
      <c r="F196" s="32" t="s">
        <v>1636</v>
      </c>
      <c r="G196" s="32" t="s">
        <v>39</v>
      </c>
      <c r="H196" s="32" t="s">
        <v>752</v>
      </c>
      <c r="I196" s="31" t="s">
        <v>1230</v>
      </c>
      <c r="J196" s="31">
        <v>11</v>
      </c>
      <c r="K196" s="33" t="s">
        <v>713</v>
      </c>
      <c r="L196" s="33" t="s">
        <v>680</v>
      </c>
      <c r="M196" s="34" t="s">
        <v>1363</v>
      </c>
      <c r="N196" s="34" t="s">
        <v>1701</v>
      </c>
      <c r="O196" s="35">
        <v>1</v>
      </c>
      <c r="P196" s="35"/>
      <c r="Q196" s="32"/>
      <c r="S196" s="1">
        <f t="shared" si="61"/>
        <v>0</v>
      </c>
      <c r="T196" s="1">
        <f t="shared" si="62"/>
        <v>0</v>
      </c>
      <c r="U196" s="1">
        <f t="shared" si="63"/>
        <v>0</v>
      </c>
      <c r="V196" s="1">
        <f t="shared" si="64"/>
        <v>0</v>
      </c>
      <c r="W196" s="1">
        <f t="shared" si="65"/>
        <v>0</v>
      </c>
      <c r="X196" s="1">
        <f t="shared" si="66"/>
        <v>0</v>
      </c>
      <c r="Y196" s="1">
        <f t="shared" si="67"/>
        <v>0</v>
      </c>
      <c r="Z196" s="1">
        <f t="shared" si="68"/>
        <v>0</v>
      </c>
      <c r="AA196" s="1">
        <f t="shared" si="69"/>
        <v>0</v>
      </c>
      <c r="AB196" s="1">
        <f t="shared" si="70"/>
        <v>0</v>
      </c>
      <c r="AD196" s="1">
        <f t="shared" si="71"/>
        <v>0</v>
      </c>
      <c r="AE196" s="1">
        <f t="shared" si="72"/>
        <v>1</v>
      </c>
      <c r="AF196" s="1">
        <f t="shared" si="73"/>
        <v>0</v>
      </c>
      <c r="AG196" s="1">
        <f t="shared" si="74"/>
        <v>1</v>
      </c>
      <c r="AH196" s="1">
        <f t="shared" si="75"/>
        <v>0</v>
      </c>
      <c r="AI196" s="1">
        <f t="shared" si="76"/>
        <v>1</v>
      </c>
    </row>
    <row r="197" spans="1:35" s="1" customFormat="1" ht="14.25" customHeight="1" x14ac:dyDescent="0.25">
      <c r="A197" s="31">
        <v>0</v>
      </c>
      <c r="B197" s="31">
        <v>1</v>
      </c>
      <c r="C197" s="31">
        <v>4</v>
      </c>
      <c r="D197" s="32" t="s">
        <v>973</v>
      </c>
      <c r="E197" s="32" t="s">
        <v>753</v>
      </c>
      <c r="F197" s="32" t="s">
        <v>1071</v>
      </c>
      <c r="G197" s="32" t="s">
        <v>199</v>
      </c>
      <c r="H197" s="32" t="s">
        <v>352</v>
      </c>
      <c r="I197" s="31" t="s">
        <v>974</v>
      </c>
      <c r="J197" s="31">
        <v>2</v>
      </c>
      <c r="K197" s="33" t="s">
        <v>933</v>
      </c>
      <c r="L197" s="33" t="s">
        <v>684</v>
      </c>
      <c r="M197" s="34" t="s">
        <v>1364</v>
      </c>
      <c r="N197" s="34" t="s">
        <v>1687</v>
      </c>
      <c r="O197" s="35">
        <v>1</v>
      </c>
      <c r="P197" s="35">
        <v>1</v>
      </c>
      <c r="Q197" s="32"/>
      <c r="S197" s="1">
        <f t="shared" si="61"/>
        <v>0</v>
      </c>
      <c r="T197" s="1">
        <f t="shared" si="62"/>
        <v>1</v>
      </c>
      <c r="U197" s="1">
        <f t="shared" si="63"/>
        <v>0</v>
      </c>
      <c r="V197" s="1">
        <f t="shared" si="64"/>
        <v>0</v>
      </c>
      <c r="W197" s="1">
        <f t="shared" si="65"/>
        <v>0</v>
      </c>
      <c r="X197" s="1">
        <f t="shared" si="66"/>
        <v>0</v>
      </c>
      <c r="Y197" s="1">
        <f t="shared" si="67"/>
        <v>0</v>
      </c>
      <c r="Z197" s="1">
        <f t="shared" si="68"/>
        <v>0</v>
      </c>
      <c r="AA197" s="1">
        <f t="shared" si="69"/>
        <v>0</v>
      </c>
      <c r="AB197" s="1">
        <f t="shared" si="70"/>
        <v>0</v>
      </c>
      <c r="AD197" s="1">
        <f t="shared" si="71"/>
        <v>1</v>
      </c>
      <c r="AE197" s="1">
        <f t="shared" si="72"/>
        <v>0</v>
      </c>
      <c r="AF197" s="1">
        <f t="shared" si="73"/>
        <v>1</v>
      </c>
      <c r="AG197" s="1">
        <f t="shared" si="74"/>
        <v>0</v>
      </c>
      <c r="AH197" s="1">
        <f t="shared" si="75"/>
        <v>1</v>
      </c>
      <c r="AI197" s="1">
        <f t="shared" si="76"/>
        <v>0</v>
      </c>
    </row>
    <row r="198" spans="1:35" s="1" customFormat="1" ht="14.25" customHeight="1" x14ac:dyDescent="0.25">
      <c r="A198" s="31">
        <v>0</v>
      </c>
      <c r="B198" s="31">
        <v>1</v>
      </c>
      <c r="C198" s="31">
        <v>4</v>
      </c>
      <c r="D198" s="32" t="s">
        <v>50</v>
      </c>
      <c r="E198" s="32" t="s">
        <v>753</v>
      </c>
      <c r="F198" s="32" t="s">
        <v>192</v>
      </c>
      <c r="G198" s="32" t="s">
        <v>193</v>
      </c>
      <c r="H198" s="32" t="s">
        <v>352</v>
      </c>
      <c r="I198" s="31" t="s">
        <v>385</v>
      </c>
      <c r="J198" s="31">
        <v>9</v>
      </c>
      <c r="K198" s="33" t="s">
        <v>933</v>
      </c>
      <c r="L198" s="33" t="s">
        <v>685</v>
      </c>
      <c r="M198" s="34" t="s">
        <v>946</v>
      </c>
      <c r="N198" s="34" t="s">
        <v>1752</v>
      </c>
      <c r="O198" s="35">
        <v>1</v>
      </c>
      <c r="P198" s="35"/>
      <c r="Q198" s="32"/>
      <c r="S198" s="1">
        <f t="shared" si="61"/>
        <v>0</v>
      </c>
      <c r="T198" s="1">
        <f t="shared" si="62"/>
        <v>0</v>
      </c>
      <c r="U198" s="1">
        <f t="shared" si="63"/>
        <v>0</v>
      </c>
      <c r="V198" s="1">
        <f t="shared" si="64"/>
        <v>0</v>
      </c>
      <c r="W198" s="1">
        <f t="shared" si="65"/>
        <v>0</v>
      </c>
      <c r="X198" s="1">
        <f t="shared" si="66"/>
        <v>0</v>
      </c>
      <c r="Y198" s="1">
        <f t="shared" si="67"/>
        <v>0</v>
      </c>
      <c r="Z198" s="1">
        <f t="shared" si="68"/>
        <v>0</v>
      </c>
      <c r="AA198" s="1">
        <f t="shared" si="69"/>
        <v>1</v>
      </c>
      <c r="AB198" s="1">
        <f t="shared" si="70"/>
        <v>0</v>
      </c>
      <c r="AD198" s="1">
        <f t="shared" si="71"/>
        <v>0</v>
      </c>
      <c r="AE198" s="1">
        <f t="shared" si="72"/>
        <v>1</v>
      </c>
      <c r="AF198" s="1">
        <f t="shared" si="73"/>
        <v>0</v>
      </c>
      <c r="AG198" s="1">
        <f t="shared" si="74"/>
        <v>1</v>
      </c>
      <c r="AH198" s="1">
        <f t="shared" si="75"/>
        <v>0</v>
      </c>
      <c r="AI198" s="1">
        <f t="shared" si="76"/>
        <v>1</v>
      </c>
    </row>
    <row r="199" spans="1:35" s="1" customFormat="1" ht="14.25" customHeight="1" x14ac:dyDescent="0.25">
      <c r="A199" s="31">
        <v>0</v>
      </c>
      <c r="B199" s="31">
        <v>1</v>
      </c>
      <c r="C199" s="31">
        <v>4</v>
      </c>
      <c r="D199" s="32" t="s">
        <v>133</v>
      </c>
      <c r="E199" s="32" t="s">
        <v>176</v>
      </c>
      <c r="F199" s="32" t="s">
        <v>334</v>
      </c>
      <c r="G199" s="32" t="s">
        <v>212</v>
      </c>
      <c r="H199" s="32" t="s">
        <v>352</v>
      </c>
      <c r="I199" s="31" t="s">
        <v>480</v>
      </c>
      <c r="J199" s="31">
        <v>1</v>
      </c>
      <c r="K199" s="33" t="s">
        <v>933</v>
      </c>
      <c r="L199" s="33" t="s">
        <v>680</v>
      </c>
      <c r="M199" s="34" t="s">
        <v>682</v>
      </c>
      <c r="N199" s="34" t="s">
        <v>1696</v>
      </c>
      <c r="O199" s="35">
        <v>1</v>
      </c>
      <c r="P199" s="35"/>
      <c r="Q199" s="32"/>
      <c r="S199" s="1">
        <f t="shared" si="61"/>
        <v>1</v>
      </c>
      <c r="T199" s="1">
        <f t="shared" si="62"/>
        <v>0</v>
      </c>
      <c r="U199" s="1">
        <f t="shared" si="63"/>
        <v>0</v>
      </c>
      <c r="V199" s="1">
        <f t="shared" si="64"/>
        <v>0</v>
      </c>
      <c r="W199" s="1">
        <f t="shared" si="65"/>
        <v>0</v>
      </c>
      <c r="X199" s="1">
        <f t="shared" si="66"/>
        <v>0</v>
      </c>
      <c r="Y199" s="1">
        <f t="shared" si="67"/>
        <v>0</v>
      </c>
      <c r="Z199" s="1">
        <f t="shared" si="68"/>
        <v>0</v>
      </c>
      <c r="AA199" s="1">
        <f t="shared" si="69"/>
        <v>0</v>
      </c>
      <c r="AB199" s="1">
        <f t="shared" si="70"/>
        <v>0</v>
      </c>
      <c r="AD199" s="1">
        <f t="shared" si="71"/>
        <v>0</v>
      </c>
      <c r="AE199" s="1">
        <f t="shared" si="72"/>
        <v>1</v>
      </c>
      <c r="AF199" s="1">
        <f t="shared" si="73"/>
        <v>0</v>
      </c>
      <c r="AG199" s="1">
        <f t="shared" si="74"/>
        <v>1</v>
      </c>
      <c r="AH199" s="1">
        <f t="shared" si="75"/>
        <v>0</v>
      </c>
      <c r="AI199" s="1">
        <f t="shared" si="76"/>
        <v>1</v>
      </c>
    </row>
    <row r="200" spans="1:35" s="1" customFormat="1" ht="14.25" customHeight="1" x14ac:dyDescent="0.25">
      <c r="A200" s="31">
        <v>0</v>
      </c>
      <c r="B200" s="31">
        <v>1</v>
      </c>
      <c r="C200" s="31">
        <v>4</v>
      </c>
      <c r="D200" s="36" t="s">
        <v>2118</v>
      </c>
      <c r="E200" s="32" t="s">
        <v>753</v>
      </c>
      <c r="F200" s="36" t="s">
        <v>2025</v>
      </c>
      <c r="G200" s="36" t="s">
        <v>212</v>
      </c>
      <c r="H200" s="36" t="s">
        <v>352</v>
      </c>
      <c r="I200" s="37" t="s">
        <v>2026</v>
      </c>
      <c r="J200" s="31">
        <v>1</v>
      </c>
      <c r="K200" s="33" t="s">
        <v>694</v>
      </c>
      <c r="L200" s="33"/>
      <c r="M200" s="34"/>
      <c r="N200" s="34" t="s">
        <v>1693</v>
      </c>
      <c r="O200" s="35">
        <v>1</v>
      </c>
      <c r="P200" s="35">
        <v>1</v>
      </c>
      <c r="Q200" s="32" t="s">
        <v>2027</v>
      </c>
      <c r="S200" s="1">
        <f t="shared" si="61"/>
        <v>1</v>
      </c>
      <c r="T200" s="1">
        <f t="shared" si="62"/>
        <v>0</v>
      </c>
      <c r="U200" s="1">
        <f t="shared" si="63"/>
        <v>0</v>
      </c>
      <c r="V200" s="1">
        <f t="shared" si="64"/>
        <v>0</v>
      </c>
      <c r="W200" s="1">
        <f t="shared" si="65"/>
        <v>0</v>
      </c>
      <c r="X200" s="1">
        <f t="shared" si="66"/>
        <v>0</v>
      </c>
      <c r="Y200" s="1">
        <f t="shared" si="67"/>
        <v>0</v>
      </c>
      <c r="Z200" s="1">
        <f t="shared" si="68"/>
        <v>0</v>
      </c>
      <c r="AA200" s="1">
        <f t="shared" si="69"/>
        <v>0</v>
      </c>
      <c r="AB200" s="1">
        <f t="shared" si="70"/>
        <v>0</v>
      </c>
      <c r="AD200" s="1">
        <f t="shared" si="71"/>
        <v>1</v>
      </c>
      <c r="AE200" s="1">
        <f t="shared" si="72"/>
        <v>0</v>
      </c>
      <c r="AF200" s="1">
        <f t="shared" si="73"/>
        <v>1</v>
      </c>
      <c r="AG200" s="1">
        <f t="shared" si="74"/>
        <v>0</v>
      </c>
      <c r="AH200" s="1">
        <f t="shared" si="75"/>
        <v>1</v>
      </c>
      <c r="AI200" s="1">
        <f t="shared" si="76"/>
        <v>0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125</v>
      </c>
      <c r="E201" s="32" t="s">
        <v>522</v>
      </c>
      <c r="F201" s="32" t="s">
        <v>325</v>
      </c>
      <c r="G201" s="32" t="s">
        <v>298</v>
      </c>
      <c r="H201" s="32" t="s">
        <v>352</v>
      </c>
      <c r="I201" s="31" t="s">
        <v>472</v>
      </c>
      <c r="J201" s="31">
        <v>99</v>
      </c>
      <c r="K201" s="33" t="s">
        <v>693</v>
      </c>
      <c r="L201" s="33" t="s">
        <v>680</v>
      </c>
      <c r="M201" s="34" t="s">
        <v>947</v>
      </c>
      <c r="N201" s="34" t="s">
        <v>1696</v>
      </c>
      <c r="O201" s="35">
        <v>1</v>
      </c>
      <c r="P201" s="35"/>
      <c r="Q201" s="32"/>
      <c r="S201" s="1">
        <f t="shared" si="61"/>
        <v>0</v>
      </c>
      <c r="T201" s="1">
        <f t="shared" si="62"/>
        <v>0</v>
      </c>
      <c r="U201" s="1">
        <f t="shared" si="63"/>
        <v>0</v>
      </c>
      <c r="V201" s="1">
        <f t="shared" si="64"/>
        <v>0</v>
      </c>
      <c r="W201" s="1">
        <f t="shared" si="65"/>
        <v>0</v>
      </c>
      <c r="X201" s="1">
        <f t="shared" si="66"/>
        <v>0</v>
      </c>
      <c r="Y201" s="1">
        <f t="shared" si="67"/>
        <v>0</v>
      </c>
      <c r="Z201" s="1">
        <f t="shared" si="68"/>
        <v>0</v>
      </c>
      <c r="AA201" s="1">
        <f t="shared" si="69"/>
        <v>0</v>
      </c>
      <c r="AB201" s="1">
        <f t="shared" si="70"/>
        <v>0</v>
      </c>
      <c r="AD201" s="1">
        <f t="shared" si="71"/>
        <v>0</v>
      </c>
      <c r="AE201" s="1">
        <f t="shared" si="72"/>
        <v>1</v>
      </c>
      <c r="AF201" s="1">
        <f t="shared" si="73"/>
        <v>0</v>
      </c>
      <c r="AG201" s="1">
        <f t="shared" si="74"/>
        <v>1</v>
      </c>
      <c r="AH201" s="1">
        <f t="shared" si="75"/>
        <v>0</v>
      </c>
      <c r="AI201" s="1">
        <f t="shared" si="76"/>
        <v>1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1689</v>
      </c>
      <c r="E202" s="32" t="s">
        <v>165</v>
      </c>
      <c r="F202" s="32" t="s">
        <v>1690</v>
      </c>
      <c r="G202" s="32" t="s">
        <v>1691</v>
      </c>
      <c r="H202" s="32" t="s">
        <v>352</v>
      </c>
      <c r="I202" s="31" t="s">
        <v>1692</v>
      </c>
      <c r="J202" s="31">
        <v>2</v>
      </c>
      <c r="K202" s="33" t="s">
        <v>694</v>
      </c>
      <c r="L202" s="33"/>
      <c r="M202" s="34"/>
      <c r="N202" s="34" t="s">
        <v>1693</v>
      </c>
      <c r="O202" s="35">
        <v>1</v>
      </c>
      <c r="P202" s="35">
        <v>1</v>
      </c>
      <c r="Q202" s="32"/>
      <c r="S202" s="1">
        <f t="shared" si="61"/>
        <v>0</v>
      </c>
      <c r="T202" s="1">
        <f t="shared" si="62"/>
        <v>1</v>
      </c>
      <c r="U202" s="1">
        <f t="shared" si="63"/>
        <v>0</v>
      </c>
      <c r="V202" s="1">
        <f t="shared" si="64"/>
        <v>0</v>
      </c>
      <c r="W202" s="1">
        <f t="shared" si="65"/>
        <v>0</v>
      </c>
      <c r="X202" s="1">
        <f t="shared" si="66"/>
        <v>0</v>
      </c>
      <c r="Y202" s="1">
        <f t="shared" si="67"/>
        <v>0</v>
      </c>
      <c r="Z202" s="1">
        <f t="shared" si="68"/>
        <v>0</v>
      </c>
      <c r="AA202" s="1">
        <f t="shared" si="69"/>
        <v>0</v>
      </c>
      <c r="AB202" s="1">
        <f t="shared" si="70"/>
        <v>0</v>
      </c>
      <c r="AD202" s="1">
        <f t="shared" si="71"/>
        <v>1</v>
      </c>
      <c r="AE202" s="1">
        <f t="shared" si="72"/>
        <v>0</v>
      </c>
      <c r="AF202" s="1">
        <f t="shared" si="73"/>
        <v>1</v>
      </c>
      <c r="AG202" s="1">
        <f t="shared" si="74"/>
        <v>0</v>
      </c>
      <c r="AH202" s="1">
        <f t="shared" si="75"/>
        <v>1</v>
      </c>
      <c r="AI202" s="1">
        <f t="shared" si="76"/>
        <v>0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87</v>
      </c>
      <c r="E203" s="32" t="s">
        <v>165</v>
      </c>
      <c r="F203" s="32" t="s">
        <v>570</v>
      </c>
      <c r="G203" s="32" t="s">
        <v>193</v>
      </c>
      <c r="H203" s="32" t="s">
        <v>352</v>
      </c>
      <c r="I203" s="31" t="s">
        <v>434</v>
      </c>
      <c r="J203" s="31">
        <v>9</v>
      </c>
      <c r="K203" s="33" t="s">
        <v>933</v>
      </c>
      <c r="L203" s="33" t="s">
        <v>687</v>
      </c>
      <c r="M203" s="34" t="s">
        <v>682</v>
      </c>
      <c r="N203" s="34" t="s">
        <v>1696</v>
      </c>
      <c r="O203" s="35">
        <v>1</v>
      </c>
      <c r="P203" s="35"/>
      <c r="Q203" s="32"/>
      <c r="S203" s="1">
        <f t="shared" si="61"/>
        <v>0</v>
      </c>
      <c r="T203" s="1">
        <f t="shared" si="62"/>
        <v>0</v>
      </c>
      <c r="U203" s="1">
        <f t="shared" si="63"/>
        <v>0</v>
      </c>
      <c r="V203" s="1">
        <f t="shared" si="64"/>
        <v>0</v>
      </c>
      <c r="W203" s="1">
        <f t="shared" si="65"/>
        <v>0</v>
      </c>
      <c r="X203" s="1">
        <f t="shared" si="66"/>
        <v>0</v>
      </c>
      <c r="Y203" s="1">
        <f t="shared" si="67"/>
        <v>0</v>
      </c>
      <c r="Z203" s="1">
        <f t="shared" si="68"/>
        <v>0</v>
      </c>
      <c r="AA203" s="1">
        <f t="shared" si="69"/>
        <v>1</v>
      </c>
      <c r="AB203" s="1">
        <f t="shared" si="70"/>
        <v>0</v>
      </c>
      <c r="AD203" s="1">
        <f t="shared" si="71"/>
        <v>0</v>
      </c>
      <c r="AE203" s="1">
        <f t="shared" si="72"/>
        <v>1</v>
      </c>
      <c r="AF203" s="1">
        <f t="shared" si="73"/>
        <v>0</v>
      </c>
      <c r="AG203" s="1">
        <f t="shared" si="74"/>
        <v>1</v>
      </c>
      <c r="AH203" s="1">
        <f t="shared" si="75"/>
        <v>0</v>
      </c>
      <c r="AI203" s="1">
        <f t="shared" si="76"/>
        <v>1</v>
      </c>
    </row>
    <row r="204" spans="1:35" s="1" customFormat="1" ht="14.25" customHeight="1" x14ac:dyDescent="0.25">
      <c r="A204" s="31">
        <v>0</v>
      </c>
      <c r="B204" s="31">
        <v>1</v>
      </c>
      <c r="C204" s="31">
        <v>5</v>
      </c>
      <c r="D204" s="32" t="s">
        <v>1940</v>
      </c>
      <c r="E204" s="32" t="s">
        <v>165</v>
      </c>
      <c r="F204" s="32" t="s">
        <v>1941</v>
      </c>
      <c r="G204" s="32" t="s">
        <v>1944</v>
      </c>
      <c r="H204" s="32" t="s">
        <v>352</v>
      </c>
      <c r="I204" s="31" t="s">
        <v>1942</v>
      </c>
      <c r="J204" s="31">
        <v>99</v>
      </c>
      <c r="K204" s="33" t="s">
        <v>694</v>
      </c>
      <c r="L204" s="33">
        <v>25</v>
      </c>
      <c r="M204" s="34" t="s">
        <v>682</v>
      </c>
      <c r="N204" s="34" t="s">
        <v>1696</v>
      </c>
      <c r="O204" s="35">
        <v>1</v>
      </c>
      <c r="P204" s="35"/>
      <c r="Q204" s="32" t="s">
        <v>1943</v>
      </c>
      <c r="S204" s="1">
        <f t="shared" si="61"/>
        <v>0</v>
      </c>
      <c r="T204" s="1">
        <f t="shared" si="62"/>
        <v>0</v>
      </c>
      <c r="U204" s="1">
        <f t="shared" si="63"/>
        <v>0</v>
      </c>
      <c r="V204" s="1">
        <f t="shared" si="64"/>
        <v>0</v>
      </c>
      <c r="W204" s="1">
        <f t="shared" si="65"/>
        <v>0</v>
      </c>
      <c r="X204" s="1">
        <f t="shared" si="66"/>
        <v>0</v>
      </c>
      <c r="Y204" s="1">
        <f t="shared" si="67"/>
        <v>0</v>
      </c>
      <c r="Z204" s="1">
        <f t="shared" si="68"/>
        <v>0</v>
      </c>
      <c r="AA204" s="1">
        <f t="shared" si="69"/>
        <v>0</v>
      </c>
      <c r="AB204" s="1">
        <f t="shared" si="70"/>
        <v>0</v>
      </c>
      <c r="AD204" s="1">
        <f t="shared" si="71"/>
        <v>0</v>
      </c>
      <c r="AE204" s="1">
        <f t="shared" si="72"/>
        <v>1</v>
      </c>
      <c r="AF204" s="1">
        <f t="shared" si="73"/>
        <v>0</v>
      </c>
      <c r="AG204" s="1">
        <f t="shared" si="74"/>
        <v>1</v>
      </c>
      <c r="AH204" s="1">
        <f t="shared" si="75"/>
        <v>0</v>
      </c>
      <c r="AI204" s="1">
        <f t="shared" si="76"/>
        <v>1</v>
      </c>
    </row>
    <row r="205" spans="1:35" s="1" customFormat="1" ht="14.25" customHeight="1" x14ac:dyDescent="0.25">
      <c r="A205" s="31">
        <v>0</v>
      </c>
      <c r="B205" s="31">
        <v>1</v>
      </c>
      <c r="C205" s="31">
        <v>5</v>
      </c>
      <c r="D205" s="32" t="s">
        <v>126</v>
      </c>
      <c r="E205" s="32" t="s">
        <v>165</v>
      </c>
      <c r="F205" s="32" t="s">
        <v>326</v>
      </c>
      <c r="G205" s="32" t="s">
        <v>179</v>
      </c>
      <c r="H205" s="32" t="s">
        <v>352</v>
      </c>
      <c r="I205" s="31" t="s">
        <v>473</v>
      </c>
      <c r="J205" s="31">
        <v>10</v>
      </c>
      <c r="K205" s="33" t="s">
        <v>935</v>
      </c>
      <c r="L205" s="33" t="s">
        <v>685</v>
      </c>
      <c r="M205" s="34" t="s">
        <v>682</v>
      </c>
      <c r="N205" s="34" t="s">
        <v>1741</v>
      </c>
      <c r="O205" s="35">
        <v>1</v>
      </c>
      <c r="P205" s="35"/>
      <c r="Q205" s="32"/>
      <c r="S205" s="1">
        <f t="shared" si="61"/>
        <v>0</v>
      </c>
      <c r="T205" s="1">
        <f t="shared" si="62"/>
        <v>0</v>
      </c>
      <c r="U205" s="1">
        <f t="shared" si="63"/>
        <v>0</v>
      </c>
      <c r="V205" s="1">
        <f t="shared" si="64"/>
        <v>0</v>
      </c>
      <c r="W205" s="1">
        <f t="shared" si="65"/>
        <v>0</v>
      </c>
      <c r="X205" s="1">
        <f t="shared" si="66"/>
        <v>0</v>
      </c>
      <c r="Y205" s="1">
        <f t="shared" si="67"/>
        <v>0</v>
      </c>
      <c r="Z205" s="1">
        <f t="shared" si="68"/>
        <v>0</v>
      </c>
      <c r="AA205" s="1">
        <f t="shared" si="69"/>
        <v>0</v>
      </c>
      <c r="AB205" s="1">
        <f t="shared" si="70"/>
        <v>1</v>
      </c>
      <c r="AD205" s="1">
        <f t="shared" si="71"/>
        <v>0</v>
      </c>
      <c r="AE205" s="1">
        <f t="shared" si="72"/>
        <v>1</v>
      </c>
      <c r="AF205" s="1">
        <f t="shared" si="73"/>
        <v>0</v>
      </c>
      <c r="AG205" s="1">
        <f t="shared" si="74"/>
        <v>1</v>
      </c>
      <c r="AH205" s="1">
        <f t="shared" si="75"/>
        <v>0</v>
      </c>
      <c r="AI205" s="1">
        <f t="shared" si="76"/>
        <v>1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136</v>
      </c>
      <c r="E206" s="32" t="s">
        <v>165</v>
      </c>
      <c r="F206" s="32" t="s">
        <v>544</v>
      </c>
      <c r="G206" s="32" t="s">
        <v>219</v>
      </c>
      <c r="H206" s="32" t="s">
        <v>352</v>
      </c>
      <c r="I206" s="31" t="s">
        <v>536</v>
      </c>
      <c r="J206" s="31">
        <v>8</v>
      </c>
      <c r="K206" s="33" t="s">
        <v>933</v>
      </c>
      <c r="L206" s="33" t="s">
        <v>685</v>
      </c>
      <c r="M206" s="34" t="s">
        <v>682</v>
      </c>
      <c r="N206" s="34" t="s">
        <v>1696</v>
      </c>
      <c r="O206" s="35">
        <v>1</v>
      </c>
      <c r="P206" s="35"/>
      <c r="Q206" s="32"/>
      <c r="S206" s="1">
        <f t="shared" si="61"/>
        <v>0</v>
      </c>
      <c r="T206" s="1">
        <f t="shared" si="62"/>
        <v>0</v>
      </c>
      <c r="U206" s="1">
        <f t="shared" si="63"/>
        <v>0</v>
      </c>
      <c r="V206" s="1">
        <f t="shared" si="64"/>
        <v>0</v>
      </c>
      <c r="W206" s="1">
        <f t="shared" si="65"/>
        <v>0</v>
      </c>
      <c r="X206" s="1">
        <f t="shared" si="66"/>
        <v>0</v>
      </c>
      <c r="Y206" s="1">
        <f t="shared" si="67"/>
        <v>0</v>
      </c>
      <c r="Z206" s="1">
        <f t="shared" si="68"/>
        <v>1</v>
      </c>
      <c r="AA206" s="1">
        <f t="shared" si="69"/>
        <v>0</v>
      </c>
      <c r="AB206" s="1">
        <f t="shared" si="70"/>
        <v>0</v>
      </c>
      <c r="AD206" s="1">
        <f t="shared" si="71"/>
        <v>0</v>
      </c>
      <c r="AE206" s="1">
        <f t="shared" si="72"/>
        <v>1</v>
      </c>
      <c r="AF206" s="1">
        <f t="shared" si="73"/>
        <v>0</v>
      </c>
      <c r="AG206" s="1">
        <f t="shared" si="74"/>
        <v>1</v>
      </c>
      <c r="AH206" s="1">
        <f t="shared" si="75"/>
        <v>0</v>
      </c>
      <c r="AI206" s="1">
        <f t="shared" si="76"/>
        <v>1</v>
      </c>
    </row>
    <row r="207" spans="1:35" s="1" customFormat="1" ht="14.25" customHeight="1" x14ac:dyDescent="0.25">
      <c r="A207" s="31">
        <v>1</v>
      </c>
      <c r="B207" s="31">
        <v>1</v>
      </c>
      <c r="C207" s="31">
        <v>5</v>
      </c>
      <c r="D207" s="32" t="s">
        <v>136</v>
      </c>
      <c r="E207" s="32" t="s">
        <v>165</v>
      </c>
      <c r="F207" s="32" t="s">
        <v>335</v>
      </c>
      <c r="G207" s="32" t="s">
        <v>336</v>
      </c>
      <c r="H207" s="32" t="s">
        <v>352</v>
      </c>
      <c r="I207" s="31" t="s">
        <v>482</v>
      </c>
      <c r="J207" s="31">
        <v>10</v>
      </c>
      <c r="K207" s="33" t="s">
        <v>933</v>
      </c>
      <c r="L207" s="33" t="s">
        <v>685</v>
      </c>
      <c r="M207" s="34" t="s">
        <v>682</v>
      </c>
      <c r="N207" s="34" t="s">
        <v>1696</v>
      </c>
      <c r="O207" s="35">
        <v>1</v>
      </c>
      <c r="P207" s="35"/>
      <c r="Q207" s="32"/>
      <c r="S207" s="1">
        <f t="shared" si="61"/>
        <v>0</v>
      </c>
      <c r="T207" s="1">
        <f t="shared" si="62"/>
        <v>0</v>
      </c>
      <c r="U207" s="1">
        <f t="shared" si="63"/>
        <v>0</v>
      </c>
      <c r="V207" s="1">
        <f t="shared" si="64"/>
        <v>0</v>
      </c>
      <c r="W207" s="1">
        <f t="shared" si="65"/>
        <v>0</v>
      </c>
      <c r="X207" s="1">
        <f t="shared" si="66"/>
        <v>0</v>
      </c>
      <c r="Y207" s="1">
        <f t="shared" si="67"/>
        <v>0</v>
      </c>
      <c r="Z207" s="1">
        <f t="shared" si="68"/>
        <v>0</v>
      </c>
      <c r="AA207" s="1">
        <f t="shared" si="69"/>
        <v>0</v>
      </c>
      <c r="AB207" s="1">
        <f t="shared" si="70"/>
        <v>1</v>
      </c>
      <c r="AD207" s="1">
        <f t="shared" si="71"/>
        <v>0</v>
      </c>
      <c r="AE207" s="1">
        <f t="shared" si="72"/>
        <v>1</v>
      </c>
      <c r="AF207" s="1">
        <f t="shared" si="73"/>
        <v>0</v>
      </c>
      <c r="AG207" s="1">
        <f t="shared" si="74"/>
        <v>0</v>
      </c>
      <c r="AH207" s="1">
        <f t="shared" si="75"/>
        <v>0</v>
      </c>
      <c r="AI207" s="1">
        <f t="shared" si="76"/>
        <v>0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1598</v>
      </c>
      <c r="E208" s="32" t="s">
        <v>165</v>
      </c>
      <c r="F208" s="32" t="s">
        <v>846</v>
      </c>
      <c r="G208" s="32" t="s">
        <v>1625</v>
      </c>
      <c r="H208" s="32" t="s">
        <v>352</v>
      </c>
      <c r="I208" s="31" t="s">
        <v>847</v>
      </c>
      <c r="J208" s="31">
        <v>1</v>
      </c>
      <c r="K208" s="33" t="s">
        <v>713</v>
      </c>
      <c r="L208" s="33" t="s">
        <v>1667</v>
      </c>
      <c r="M208" s="34" t="s">
        <v>1365</v>
      </c>
      <c r="N208" s="34" t="s">
        <v>1696</v>
      </c>
      <c r="O208" s="35">
        <v>1</v>
      </c>
      <c r="P208" s="35"/>
      <c r="Q208" s="32"/>
      <c r="S208" s="1">
        <f t="shared" si="61"/>
        <v>1</v>
      </c>
      <c r="T208" s="1">
        <f t="shared" si="62"/>
        <v>0</v>
      </c>
      <c r="U208" s="1">
        <f t="shared" si="63"/>
        <v>0</v>
      </c>
      <c r="V208" s="1">
        <f t="shared" si="64"/>
        <v>0</v>
      </c>
      <c r="W208" s="1">
        <f t="shared" si="65"/>
        <v>0</v>
      </c>
      <c r="X208" s="1">
        <f t="shared" si="66"/>
        <v>0</v>
      </c>
      <c r="Y208" s="1">
        <f t="shared" si="67"/>
        <v>0</v>
      </c>
      <c r="Z208" s="1">
        <f t="shared" si="68"/>
        <v>0</v>
      </c>
      <c r="AA208" s="1">
        <f t="shared" si="69"/>
        <v>0</v>
      </c>
      <c r="AB208" s="1">
        <f t="shared" si="70"/>
        <v>0</v>
      </c>
      <c r="AD208" s="1">
        <f t="shared" si="71"/>
        <v>0</v>
      </c>
      <c r="AE208" s="1">
        <f t="shared" si="72"/>
        <v>1</v>
      </c>
      <c r="AF208" s="1">
        <f t="shared" si="73"/>
        <v>0</v>
      </c>
      <c r="AG208" s="1">
        <f t="shared" si="74"/>
        <v>1</v>
      </c>
      <c r="AH208" s="1">
        <f t="shared" si="75"/>
        <v>0</v>
      </c>
      <c r="AI208" s="1">
        <f t="shared" si="76"/>
        <v>1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2055</v>
      </c>
      <c r="E209" s="32" t="s">
        <v>165</v>
      </c>
      <c r="F209" s="32" t="s">
        <v>2056</v>
      </c>
      <c r="G209" s="32" t="s">
        <v>193</v>
      </c>
      <c r="H209" s="32" t="s">
        <v>352</v>
      </c>
      <c r="I209" s="31" t="s">
        <v>2057</v>
      </c>
      <c r="J209" s="31">
        <v>9</v>
      </c>
      <c r="K209" s="33" t="s">
        <v>694</v>
      </c>
      <c r="L209" s="33"/>
      <c r="M209" s="34"/>
      <c r="N209" s="34" t="s">
        <v>1693</v>
      </c>
      <c r="O209" s="35">
        <v>1</v>
      </c>
      <c r="P209" s="35">
        <v>1</v>
      </c>
      <c r="Q209" s="32" t="s">
        <v>2058</v>
      </c>
      <c r="S209" s="1">
        <f t="shared" si="61"/>
        <v>0</v>
      </c>
      <c r="T209" s="1">
        <f t="shared" si="62"/>
        <v>0</v>
      </c>
      <c r="U209" s="1">
        <f t="shared" si="63"/>
        <v>0</v>
      </c>
      <c r="V209" s="1">
        <f t="shared" si="64"/>
        <v>0</v>
      </c>
      <c r="W209" s="1">
        <f t="shared" si="65"/>
        <v>0</v>
      </c>
      <c r="X209" s="1">
        <f t="shared" si="66"/>
        <v>0</v>
      </c>
      <c r="Y209" s="1">
        <f t="shared" si="67"/>
        <v>0</v>
      </c>
      <c r="Z209" s="1">
        <f t="shared" si="68"/>
        <v>0</v>
      </c>
      <c r="AA209" s="1">
        <f t="shared" si="69"/>
        <v>1</v>
      </c>
      <c r="AB209" s="1">
        <f t="shared" si="70"/>
        <v>0</v>
      </c>
      <c r="AD209" s="1">
        <f t="shared" si="71"/>
        <v>1</v>
      </c>
      <c r="AE209" s="1">
        <f t="shared" si="72"/>
        <v>0</v>
      </c>
      <c r="AF209" s="1">
        <f t="shared" si="73"/>
        <v>1</v>
      </c>
      <c r="AG209" s="1">
        <f t="shared" si="74"/>
        <v>0</v>
      </c>
      <c r="AH209" s="1">
        <f t="shared" si="75"/>
        <v>1</v>
      </c>
      <c r="AI209" s="1">
        <f t="shared" si="76"/>
        <v>0</v>
      </c>
    </row>
    <row r="210" spans="1:35" s="1" customFormat="1" ht="14.25" customHeight="1" x14ac:dyDescent="0.25">
      <c r="A210" s="15">
        <v>0</v>
      </c>
      <c r="B210" s="15">
        <v>1</v>
      </c>
      <c r="C210" s="15">
        <v>5</v>
      </c>
      <c r="D210" s="20" t="s">
        <v>1897</v>
      </c>
      <c r="E210" s="20" t="s">
        <v>872</v>
      </c>
      <c r="F210" s="20" t="s">
        <v>1914</v>
      </c>
      <c r="G210" s="20"/>
      <c r="H210" s="20" t="s">
        <v>1915</v>
      </c>
      <c r="I210" s="21" t="s">
        <v>1913</v>
      </c>
      <c r="J210" s="15">
        <v>15</v>
      </c>
      <c r="K210" s="10" t="s">
        <v>694</v>
      </c>
      <c r="L210" s="10" t="s">
        <v>688</v>
      </c>
      <c r="M210" s="19" t="s">
        <v>948</v>
      </c>
      <c r="N210" s="17"/>
      <c r="Q210" s="20" t="s">
        <v>1916</v>
      </c>
      <c r="S210" s="1">
        <f t="shared" si="61"/>
        <v>0</v>
      </c>
      <c r="T210" s="1">
        <f t="shared" si="62"/>
        <v>0</v>
      </c>
      <c r="U210" s="1">
        <f t="shared" si="63"/>
        <v>0</v>
      </c>
      <c r="V210" s="1">
        <f t="shared" si="64"/>
        <v>0</v>
      </c>
      <c r="W210" s="1">
        <f t="shared" si="65"/>
        <v>0</v>
      </c>
      <c r="X210" s="1">
        <f t="shared" si="66"/>
        <v>0</v>
      </c>
      <c r="Y210" s="1">
        <f t="shared" si="67"/>
        <v>0</v>
      </c>
      <c r="Z210" s="1">
        <f t="shared" si="68"/>
        <v>0</v>
      </c>
      <c r="AA210" s="1">
        <f t="shared" si="69"/>
        <v>0</v>
      </c>
      <c r="AB210" s="1">
        <f t="shared" si="70"/>
        <v>0</v>
      </c>
      <c r="AD210" s="1">
        <f t="shared" si="71"/>
        <v>0</v>
      </c>
      <c r="AE210" s="1">
        <f t="shared" si="72"/>
        <v>0</v>
      </c>
      <c r="AF210" s="1">
        <f t="shared" si="73"/>
        <v>0</v>
      </c>
      <c r="AG210" s="1">
        <f t="shared" si="74"/>
        <v>0</v>
      </c>
      <c r="AH210" s="1">
        <f t="shared" si="75"/>
        <v>0</v>
      </c>
      <c r="AI210" s="1">
        <f t="shared" si="76"/>
        <v>1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866</v>
      </c>
      <c r="E211" s="32" t="s">
        <v>867</v>
      </c>
      <c r="F211" s="32" t="s">
        <v>1069</v>
      </c>
      <c r="G211" s="32" t="s">
        <v>39</v>
      </c>
      <c r="H211" s="32" t="s">
        <v>868</v>
      </c>
      <c r="I211" s="31" t="s">
        <v>869</v>
      </c>
      <c r="J211" s="31">
        <v>16</v>
      </c>
      <c r="K211" s="33" t="s">
        <v>694</v>
      </c>
      <c r="L211" s="33" t="s">
        <v>683</v>
      </c>
      <c r="M211" s="34" t="s">
        <v>947</v>
      </c>
      <c r="N211" s="34" t="s">
        <v>1693</v>
      </c>
      <c r="O211" s="35">
        <v>1</v>
      </c>
      <c r="P211" s="35">
        <v>1</v>
      </c>
      <c r="Q211" s="36" t="s">
        <v>1843</v>
      </c>
      <c r="S211" s="1">
        <f t="shared" si="61"/>
        <v>0</v>
      </c>
      <c r="T211" s="1">
        <f t="shared" si="62"/>
        <v>0</v>
      </c>
      <c r="U211" s="1">
        <f t="shared" si="63"/>
        <v>0</v>
      </c>
      <c r="V211" s="1">
        <f t="shared" si="64"/>
        <v>0</v>
      </c>
      <c r="W211" s="1">
        <f t="shared" si="65"/>
        <v>0</v>
      </c>
      <c r="X211" s="1">
        <f t="shared" si="66"/>
        <v>0</v>
      </c>
      <c r="Y211" s="1">
        <f t="shared" si="67"/>
        <v>0</v>
      </c>
      <c r="Z211" s="1">
        <f t="shared" si="68"/>
        <v>0</v>
      </c>
      <c r="AA211" s="1">
        <f t="shared" si="69"/>
        <v>0</v>
      </c>
      <c r="AB211" s="1">
        <f t="shared" si="70"/>
        <v>0</v>
      </c>
      <c r="AD211" s="1">
        <f t="shared" si="71"/>
        <v>1</v>
      </c>
      <c r="AE211" s="1">
        <f t="shared" si="72"/>
        <v>0</v>
      </c>
      <c r="AF211" s="1">
        <f t="shared" si="73"/>
        <v>1</v>
      </c>
      <c r="AG211" s="1">
        <f t="shared" si="74"/>
        <v>0</v>
      </c>
      <c r="AH211" s="1">
        <f t="shared" si="75"/>
        <v>1</v>
      </c>
      <c r="AI211" s="1">
        <f t="shared" si="76"/>
        <v>0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105</v>
      </c>
      <c r="E212" s="32" t="s">
        <v>172</v>
      </c>
      <c r="F212" s="32" t="s">
        <v>302</v>
      </c>
      <c r="G212" s="32" t="s">
        <v>39</v>
      </c>
      <c r="H212" s="32" t="s">
        <v>357</v>
      </c>
      <c r="I212" s="31" t="s">
        <v>450</v>
      </c>
      <c r="J212" s="31">
        <v>14</v>
      </c>
      <c r="K212" s="33" t="s">
        <v>933</v>
      </c>
      <c r="L212" s="33" t="s">
        <v>684</v>
      </c>
      <c r="M212" s="34" t="s">
        <v>947</v>
      </c>
      <c r="N212" s="34" t="s">
        <v>1696</v>
      </c>
      <c r="O212" s="35">
        <v>1</v>
      </c>
      <c r="P212" s="35"/>
      <c r="Q212" s="32"/>
      <c r="S212" s="1">
        <f t="shared" si="61"/>
        <v>0</v>
      </c>
      <c r="T212" s="1">
        <f t="shared" si="62"/>
        <v>0</v>
      </c>
      <c r="U212" s="1">
        <f t="shared" si="63"/>
        <v>0</v>
      </c>
      <c r="V212" s="1">
        <f t="shared" si="64"/>
        <v>0</v>
      </c>
      <c r="W212" s="1">
        <f t="shared" si="65"/>
        <v>0</v>
      </c>
      <c r="X212" s="1">
        <f t="shared" si="66"/>
        <v>0</v>
      </c>
      <c r="Y212" s="1">
        <f t="shared" si="67"/>
        <v>0</v>
      </c>
      <c r="Z212" s="1">
        <f t="shared" si="68"/>
        <v>0</v>
      </c>
      <c r="AA212" s="1">
        <f t="shared" si="69"/>
        <v>0</v>
      </c>
      <c r="AB212" s="1">
        <f t="shared" si="70"/>
        <v>0</v>
      </c>
      <c r="AD212" s="1">
        <f t="shared" si="71"/>
        <v>0</v>
      </c>
      <c r="AE212" s="1">
        <f t="shared" si="72"/>
        <v>1</v>
      </c>
      <c r="AF212" s="1">
        <f t="shared" si="73"/>
        <v>0</v>
      </c>
      <c r="AG212" s="1">
        <f t="shared" si="74"/>
        <v>1</v>
      </c>
      <c r="AH212" s="1">
        <f t="shared" si="75"/>
        <v>0</v>
      </c>
      <c r="AI212" s="1">
        <f t="shared" si="76"/>
        <v>1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509</v>
      </c>
      <c r="E213" s="32" t="s">
        <v>171</v>
      </c>
      <c r="F213" s="32" t="s">
        <v>545</v>
      </c>
      <c r="G213" s="32" t="s">
        <v>39</v>
      </c>
      <c r="H213" s="32" t="s">
        <v>360</v>
      </c>
      <c r="I213" s="31" t="s">
        <v>1091</v>
      </c>
      <c r="J213" s="31">
        <v>12</v>
      </c>
      <c r="K213" s="33" t="s">
        <v>694</v>
      </c>
      <c r="L213" s="33">
        <v>35</v>
      </c>
      <c r="M213" s="34" t="s">
        <v>947</v>
      </c>
      <c r="N213" s="34" t="s">
        <v>1775</v>
      </c>
      <c r="O213" s="35">
        <v>1</v>
      </c>
      <c r="P213" s="35"/>
      <c r="Q213" s="32"/>
      <c r="S213" s="1">
        <f t="shared" si="61"/>
        <v>0</v>
      </c>
      <c r="T213" s="1">
        <f t="shared" si="62"/>
        <v>0</v>
      </c>
      <c r="U213" s="1">
        <f t="shared" si="63"/>
        <v>0</v>
      </c>
      <c r="V213" s="1">
        <f t="shared" si="64"/>
        <v>0</v>
      </c>
      <c r="W213" s="1">
        <f t="shared" si="65"/>
        <v>0</v>
      </c>
      <c r="X213" s="1">
        <f t="shared" si="66"/>
        <v>0</v>
      </c>
      <c r="Y213" s="1">
        <f t="shared" si="67"/>
        <v>0</v>
      </c>
      <c r="Z213" s="1">
        <f t="shared" si="68"/>
        <v>0</v>
      </c>
      <c r="AA213" s="1">
        <f t="shared" si="69"/>
        <v>0</v>
      </c>
      <c r="AB213" s="1">
        <f t="shared" si="70"/>
        <v>0</v>
      </c>
      <c r="AD213" s="1">
        <f t="shared" si="71"/>
        <v>0</v>
      </c>
      <c r="AE213" s="1">
        <f t="shared" si="72"/>
        <v>1</v>
      </c>
      <c r="AF213" s="1">
        <f t="shared" si="73"/>
        <v>0</v>
      </c>
      <c r="AG213" s="1">
        <f t="shared" si="74"/>
        <v>1</v>
      </c>
      <c r="AH213" s="1">
        <f t="shared" si="75"/>
        <v>0</v>
      </c>
      <c r="AI213" s="1">
        <f t="shared" si="76"/>
        <v>1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150</v>
      </c>
      <c r="E214" s="32" t="s">
        <v>165</v>
      </c>
      <c r="F214" s="36" t="s">
        <v>1820</v>
      </c>
      <c r="G214" s="32" t="s">
        <v>196</v>
      </c>
      <c r="H214" s="32" t="s">
        <v>352</v>
      </c>
      <c r="I214" s="31" t="s">
        <v>495</v>
      </c>
      <c r="J214" s="31">
        <v>99</v>
      </c>
      <c r="K214" s="33" t="s">
        <v>933</v>
      </c>
      <c r="L214" s="33" t="s">
        <v>684</v>
      </c>
      <c r="M214" s="34" t="s">
        <v>947</v>
      </c>
      <c r="N214" s="34" t="s">
        <v>1700</v>
      </c>
      <c r="O214" s="35">
        <v>1</v>
      </c>
      <c r="P214" s="35"/>
      <c r="Q214" s="32"/>
      <c r="S214" s="1">
        <f t="shared" ref="S214:S277" si="91">IF(J214=$S$7,1,0)</f>
        <v>0</v>
      </c>
      <c r="T214" s="1">
        <f t="shared" ref="T214:T277" si="92">IF(J214=$T$7,1,0)</f>
        <v>0</v>
      </c>
      <c r="U214" s="1">
        <f t="shared" ref="U214:U277" si="93">IF(J214=$U$7,1,0)</f>
        <v>0</v>
      </c>
      <c r="V214" s="1">
        <f t="shared" ref="V214:V277" si="94">IF(J214=$V$7,1,0)</f>
        <v>0</v>
      </c>
      <c r="W214" s="1">
        <f t="shared" ref="W214:W277" si="95">IF(J214=$W$7,1,0)</f>
        <v>0</v>
      </c>
      <c r="X214" s="1">
        <f t="shared" ref="X214:X277" si="96">IF(J214=$X$7,1,0)</f>
        <v>0</v>
      </c>
      <c r="Y214" s="1">
        <f t="shared" ref="Y214:Y277" si="97">IF(J214=$Y$7,1,0)</f>
        <v>0</v>
      </c>
      <c r="Z214" s="1">
        <f t="shared" ref="Z214:Z277" si="98">IF(J214=$Z$7,1,0)</f>
        <v>0</v>
      </c>
      <c r="AA214" s="1">
        <f t="shared" ref="AA214:AA277" si="99">IF(J214=$AA$7,1,0)</f>
        <v>0</v>
      </c>
      <c r="AB214" s="1">
        <f t="shared" ref="AB214:AB277" si="100">IF(J214=$AB$7,1,0)</f>
        <v>0</v>
      </c>
      <c r="AD214" s="1">
        <f t="shared" ref="AD214:AD277" si="101">+O214*P214</f>
        <v>0</v>
      </c>
      <c r="AE214" s="1">
        <f t="shared" ref="AE214:AE277" si="102">O214*(1-P214)</f>
        <v>1</v>
      </c>
      <c r="AF214" s="1">
        <f t="shared" si="73"/>
        <v>0</v>
      </c>
      <c r="AG214" s="1">
        <f t="shared" si="74"/>
        <v>1</v>
      </c>
      <c r="AH214" s="1">
        <f t="shared" si="75"/>
        <v>0</v>
      </c>
      <c r="AI214" s="1">
        <f t="shared" si="76"/>
        <v>1</v>
      </c>
    </row>
    <row r="215" spans="1:35" s="1" customFormat="1" ht="14.25" customHeight="1" x14ac:dyDescent="0.25">
      <c r="A215" s="31">
        <v>0</v>
      </c>
      <c r="B215" s="31">
        <v>1</v>
      </c>
      <c r="C215" s="31">
        <v>5</v>
      </c>
      <c r="D215" s="32" t="s">
        <v>641</v>
      </c>
      <c r="E215" s="32" t="s">
        <v>675</v>
      </c>
      <c r="F215" s="32" t="s">
        <v>637</v>
      </c>
      <c r="G215" s="32" t="s">
        <v>184</v>
      </c>
      <c r="H215" s="32" t="s">
        <v>352</v>
      </c>
      <c r="I215" s="31" t="s">
        <v>638</v>
      </c>
      <c r="J215" s="31">
        <v>99</v>
      </c>
      <c r="K215" s="33" t="s">
        <v>713</v>
      </c>
      <c r="L215" s="33" t="s">
        <v>684</v>
      </c>
      <c r="M215" s="34" t="s">
        <v>947</v>
      </c>
      <c r="N215" s="34" t="s">
        <v>1701</v>
      </c>
      <c r="O215" s="35">
        <v>1</v>
      </c>
      <c r="P215" s="35"/>
      <c r="Q215" s="32"/>
      <c r="S215" s="1">
        <f t="shared" si="91"/>
        <v>0</v>
      </c>
      <c r="T215" s="1">
        <f t="shared" si="92"/>
        <v>0</v>
      </c>
      <c r="U215" s="1">
        <f t="shared" si="93"/>
        <v>0</v>
      </c>
      <c r="V215" s="1">
        <f t="shared" si="94"/>
        <v>0</v>
      </c>
      <c r="W215" s="1">
        <f t="shared" si="95"/>
        <v>0</v>
      </c>
      <c r="X215" s="1">
        <f t="shared" si="96"/>
        <v>0</v>
      </c>
      <c r="Y215" s="1">
        <f t="shared" si="97"/>
        <v>0</v>
      </c>
      <c r="Z215" s="1">
        <f t="shared" si="98"/>
        <v>0</v>
      </c>
      <c r="AA215" s="1">
        <f t="shared" si="99"/>
        <v>0</v>
      </c>
      <c r="AB215" s="1">
        <f t="shared" si="100"/>
        <v>0</v>
      </c>
      <c r="AD215" s="1">
        <f t="shared" si="101"/>
        <v>0</v>
      </c>
      <c r="AE215" s="1">
        <f t="shared" si="102"/>
        <v>1</v>
      </c>
      <c r="AF215" s="1">
        <f t="shared" ref="AF215:AF278" si="103">+O215*P215*(1-A215)</f>
        <v>0</v>
      </c>
      <c r="AG215" s="1">
        <f t="shared" ref="AG215:AG278" si="104">O215*(1-P215)*(1-A215)</f>
        <v>1</v>
      </c>
      <c r="AH215" s="1">
        <f t="shared" ref="AH215:AH278" si="105">+P215*(1-A215)</f>
        <v>0</v>
      </c>
      <c r="AI215" s="1">
        <f t="shared" ref="AI215:AI278" si="106">+(1-A215)*(1-P215)</f>
        <v>1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1278</v>
      </c>
      <c r="E216" s="32" t="s">
        <v>165</v>
      </c>
      <c r="F216" s="32" t="s">
        <v>1279</v>
      </c>
      <c r="G216" s="32" t="s">
        <v>281</v>
      </c>
      <c r="H216" s="32" t="s">
        <v>352</v>
      </c>
      <c r="I216" s="31" t="s">
        <v>1280</v>
      </c>
      <c r="J216" s="31">
        <v>99</v>
      </c>
      <c r="K216" s="33" t="s">
        <v>693</v>
      </c>
      <c r="L216" s="33" t="s">
        <v>39</v>
      </c>
      <c r="M216" s="34" t="s">
        <v>39</v>
      </c>
      <c r="N216" s="34" t="s">
        <v>1693</v>
      </c>
      <c r="O216" s="35">
        <v>1</v>
      </c>
      <c r="P216" s="35">
        <v>1</v>
      </c>
      <c r="Q216" s="32"/>
      <c r="S216" s="1">
        <f t="shared" si="91"/>
        <v>0</v>
      </c>
      <c r="T216" s="1">
        <f t="shared" si="92"/>
        <v>0</v>
      </c>
      <c r="U216" s="1">
        <f t="shared" si="93"/>
        <v>0</v>
      </c>
      <c r="V216" s="1">
        <f t="shared" si="94"/>
        <v>0</v>
      </c>
      <c r="W216" s="1">
        <f t="shared" si="95"/>
        <v>0</v>
      </c>
      <c r="X216" s="1">
        <f t="shared" si="96"/>
        <v>0</v>
      </c>
      <c r="Y216" s="1">
        <f t="shared" si="97"/>
        <v>0</v>
      </c>
      <c r="Z216" s="1">
        <f t="shared" si="98"/>
        <v>0</v>
      </c>
      <c r="AA216" s="1">
        <f t="shared" si="99"/>
        <v>0</v>
      </c>
      <c r="AB216" s="1">
        <f t="shared" si="100"/>
        <v>0</v>
      </c>
      <c r="AD216" s="1">
        <f t="shared" si="101"/>
        <v>1</v>
      </c>
      <c r="AE216" s="1">
        <f t="shared" si="102"/>
        <v>0</v>
      </c>
      <c r="AF216" s="1">
        <f t="shared" si="103"/>
        <v>1</v>
      </c>
      <c r="AG216" s="1">
        <f t="shared" si="104"/>
        <v>0</v>
      </c>
      <c r="AH216" s="1">
        <f t="shared" si="105"/>
        <v>1</v>
      </c>
      <c r="AI216" s="1">
        <f t="shared" si="106"/>
        <v>0</v>
      </c>
    </row>
    <row r="217" spans="1:35" s="1" customFormat="1" ht="14.25" customHeight="1" x14ac:dyDescent="0.25">
      <c r="A217" s="31">
        <v>0</v>
      </c>
      <c r="B217" s="31">
        <v>1</v>
      </c>
      <c r="C217" s="31">
        <v>5</v>
      </c>
      <c r="D217" s="32" t="s">
        <v>871</v>
      </c>
      <c r="E217" s="32" t="s">
        <v>872</v>
      </c>
      <c r="F217" s="32" t="s">
        <v>913</v>
      </c>
      <c r="G217" s="32" t="s">
        <v>39</v>
      </c>
      <c r="H217" s="32" t="s">
        <v>873</v>
      </c>
      <c r="I217" s="31" t="s">
        <v>874</v>
      </c>
      <c r="J217" s="31">
        <v>17</v>
      </c>
      <c r="K217" s="33" t="s">
        <v>694</v>
      </c>
      <c r="L217" s="33" t="s">
        <v>688</v>
      </c>
      <c r="M217" s="34" t="s">
        <v>947</v>
      </c>
      <c r="N217" s="34" t="s">
        <v>1707</v>
      </c>
      <c r="O217" s="35">
        <v>1</v>
      </c>
      <c r="P217" s="35"/>
      <c r="Q217" s="32"/>
      <c r="S217" s="1">
        <f t="shared" si="91"/>
        <v>0</v>
      </c>
      <c r="T217" s="1">
        <f t="shared" si="92"/>
        <v>0</v>
      </c>
      <c r="U217" s="1">
        <f t="shared" si="93"/>
        <v>0</v>
      </c>
      <c r="V217" s="1">
        <f t="shared" si="94"/>
        <v>0</v>
      </c>
      <c r="W217" s="1">
        <f t="shared" si="95"/>
        <v>0</v>
      </c>
      <c r="X217" s="1">
        <f t="shared" si="96"/>
        <v>0</v>
      </c>
      <c r="Y217" s="1">
        <f t="shared" si="97"/>
        <v>0</v>
      </c>
      <c r="Z217" s="1">
        <f t="shared" si="98"/>
        <v>0</v>
      </c>
      <c r="AA217" s="1">
        <f t="shared" si="99"/>
        <v>0</v>
      </c>
      <c r="AB217" s="1">
        <f t="shared" si="100"/>
        <v>0</v>
      </c>
      <c r="AD217" s="1">
        <f t="shared" si="101"/>
        <v>0</v>
      </c>
      <c r="AE217" s="1">
        <f t="shared" si="102"/>
        <v>1</v>
      </c>
      <c r="AF217" s="1">
        <f t="shared" si="103"/>
        <v>0</v>
      </c>
      <c r="AG217" s="1">
        <f t="shared" si="104"/>
        <v>1</v>
      </c>
      <c r="AH217" s="1">
        <f t="shared" si="105"/>
        <v>0</v>
      </c>
      <c r="AI217" s="1">
        <f t="shared" si="106"/>
        <v>1</v>
      </c>
    </row>
    <row r="218" spans="1:35" s="1" customFormat="1" ht="14.25" customHeight="1" x14ac:dyDescent="0.25">
      <c r="A218" s="15">
        <v>0</v>
      </c>
      <c r="B218" s="15">
        <v>1</v>
      </c>
      <c r="C218" s="15">
        <v>5</v>
      </c>
      <c r="D218" s="16" t="s">
        <v>1890</v>
      </c>
      <c r="E218" s="16" t="s">
        <v>872</v>
      </c>
      <c r="F218" s="16" t="s">
        <v>1892</v>
      </c>
      <c r="G218" s="16"/>
      <c r="H218" s="16" t="s">
        <v>1891</v>
      </c>
      <c r="I218" s="15" t="s">
        <v>1893</v>
      </c>
      <c r="J218" s="15">
        <v>16</v>
      </c>
      <c r="K218" s="10" t="s">
        <v>694</v>
      </c>
      <c r="L218" s="10" t="s">
        <v>688</v>
      </c>
      <c r="M218" s="19" t="s">
        <v>947</v>
      </c>
      <c r="N218" s="17"/>
      <c r="Q218" s="20" t="s">
        <v>1894</v>
      </c>
      <c r="S218" s="1">
        <f t="shared" si="91"/>
        <v>0</v>
      </c>
      <c r="T218" s="1">
        <f t="shared" si="92"/>
        <v>0</v>
      </c>
      <c r="U218" s="1">
        <f t="shared" si="93"/>
        <v>0</v>
      </c>
      <c r="V218" s="1">
        <f t="shared" si="94"/>
        <v>0</v>
      </c>
      <c r="W218" s="1">
        <f t="shared" si="95"/>
        <v>0</v>
      </c>
      <c r="X218" s="1">
        <f t="shared" si="96"/>
        <v>0</v>
      </c>
      <c r="Y218" s="1">
        <f t="shared" si="97"/>
        <v>0</v>
      </c>
      <c r="Z218" s="1">
        <f t="shared" si="98"/>
        <v>0</v>
      </c>
      <c r="AA218" s="1">
        <f t="shared" si="99"/>
        <v>0</v>
      </c>
      <c r="AB218" s="1">
        <f t="shared" si="100"/>
        <v>0</v>
      </c>
      <c r="AD218" s="1">
        <f t="shared" si="101"/>
        <v>0</v>
      </c>
      <c r="AE218" s="1">
        <f t="shared" si="102"/>
        <v>0</v>
      </c>
      <c r="AF218" s="1">
        <f t="shared" si="103"/>
        <v>0</v>
      </c>
      <c r="AG218" s="1">
        <f t="shared" si="104"/>
        <v>0</v>
      </c>
      <c r="AH218" s="1">
        <f t="shared" si="105"/>
        <v>0</v>
      </c>
      <c r="AI218" s="1">
        <f t="shared" si="106"/>
        <v>1</v>
      </c>
    </row>
    <row r="219" spans="1:35" s="1" customFormat="1" ht="14.25" customHeight="1" x14ac:dyDescent="0.25">
      <c r="A219" s="31">
        <v>0</v>
      </c>
      <c r="B219" s="31">
        <v>1</v>
      </c>
      <c r="C219" s="31">
        <v>5</v>
      </c>
      <c r="D219" s="32" t="s">
        <v>130</v>
      </c>
      <c r="E219" s="32" t="s">
        <v>165</v>
      </c>
      <c r="F219" s="32" t="s">
        <v>330</v>
      </c>
      <c r="G219" s="32" t="s">
        <v>331</v>
      </c>
      <c r="H219" s="32" t="s">
        <v>352</v>
      </c>
      <c r="I219" s="31" t="s">
        <v>477</v>
      </c>
      <c r="J219" s="31">
        <v>99</v>
      </c>
      <c r="K219" s="33" t="s">
        <v>713</v>
      </c>
      <c r="L219" s="33" t="s">
        <v>685</v>
      </c>
      <c r="M219" s="34" t="s">
        <v>947</v>
      </c>
      <c r="N219" s="34" t="s">
        <v>1701</v>
      </c>
      <c r="O219" s="35">
        <v>1</v>
      </c>
      <c r="P219" s="35"/>
      <c r="Q219" s="32"/>
      <c r="S219" s="1">
        <f t="shared" si="91"/>
        <v>0</v>
      </c>
      <c r="T219" s="1">
        <f t="shared" si="92"/>
        <v>0</v>
      </c>
      <c r="U219" s="1">
        <f t="shared" si="93"/>
        <v>0</v>
      </c>
      <c r="V219" s="1">
        <f t="shared" si="94"/>
        <v>0</v>
      </c>
      <c r="W219" s="1">
        <f t="shared" si="95"/>
        <v>0</v>
      </c>
      <c r="X219" s="1">
        <f t="shared" si="96"/>
        <v>0</v>
      </c>
      <c r="Y219" s="1">
        <f t="shared" si="97"/>
        <v>0</v>
      </c>
      <c r="Z219" s="1">
        <f t="shared" si="98"/>
        <v>0</v>
      </c>
      <c r="AA219" s="1">
        <f t="shared" si="99"/>
        <v>0</v>
      </c>
      <c r="AB219" s="1">
        <f t="shared" si="100"/>
        <v>0</v>
      </c>
      <c r="AD219" s="1">
        <f t="shared" si="101"/>
        <v>0</v>
      </c>
      <c r="AE219" s="1">
        <f t="shared" si="102"/>
        <v>1</v>
      </c>
      <c r="AF219" s="1">
        <f t="shared" si="103"/>
        <v>0</v>
      </c>
      <c r="AG219" s="1">
        <f t="shared" si="104"/>
        <v>1</v>
      </c>
      <c r="AH219" s="1">
        <f t="shared" si="105"/>
        <v>0</v>
      </c>
      <c r="AI219" s="1">
        <f t="shared" si="106"/>
        <v>1</v>
      </c>
    </row>
    <row r="220" spans="1:35" s="1" customFormat="1" ht="14.25" customHeight="1" x14ac:dyDescent="0.25">
      <c r="A220" s="31">
        <v>0</v>
      </c>
      <c r="B220" s="31">
        <v>1</v>
      </c>
      <c r="C220" s="31">
        <v>5</v>
      </c>
      <c r="D220" s="32" t="s">
        <v>108</v>
      </c>
      <c r="E220" s="32" t="s">
        <v>165</v>
      </c>
      <c r="F220" s="32" t="s">
        <v>305</v>
      </c>
      <c r="G220" s="32" t="s">
        <v>230</v>
      </c>
      <c r="H220" s="32" t="s">
        <v>352</v>
      </c>
      <c r="I220" s="31" t="s">
        <v>453</v>
      </c>
      <c r="J220" s="31">
        <v>99</v>
      </c>
      <c r="K220" s="33" t="s">
        <v>713</v>
      </c>
      <c r="L220" s="33" t="s">
        <v>687</v>
      </c>
      <c r="M220" s="34" t="s">
        <v>682</v>
      </c>
      <c r="N220" s="34" t="s">
        <v>1696</v>
      </c>
      <c r="O220" s="35">
        <v>1</v>
      </c>
      <c r="P220" s="35"/>
      <c r="Q220" s="32"/>
      <c r="S220" s="1">
        <f t="shared" si="91"/>
        <v>0</v>
      </c>
      <c r="T220" s="1">
        <f t="shared" si="92"/>
        <v>0</v>
      </c>
      <c r="U220" s="1">
        <f t="shared" si="93"/>
        <v>0</v>
      </c>
      <c r="V220" s="1">
        <f t="shared" si="94"/>
        <v>0</v>
      </c>
      <c r="W220" s="1">
        <f t="shared" si="95"/>
        <v>0</v>
      </c>
      <c r="X220" s="1">
        <f t="shared" si="96"/>
        <v>0</v>
      </c>
      <c r="Y220" s="1">
        <f t="shared" si="97"/>
        <v>0</v>
      </c>
      <c r="Z220" s="1">
        <f t="shared" si="98"/>
        <v>0</v>
      </c>
      <c r="AA220" s="1">
        <f t="shared" si="99"/>
        <v>0</v>
      </c>
      <c r="AB220" s="1">
        <f t="shared" si="100"/>
        <v>0</v>
      </c>
      <c r="AD220" s="1">
        <f t="shared" si="101"/>
        <v>0</v>
      </c>
      <c r="AE220" s="1">
        <f t="shared" si="102"/>
        <v>1</v>
      </c>
      <c r="AF220" s="1">
        <f t="shared" si="103"/>
        <v>0</v>
      </c>
      <c r="AG220" s="1">
        <f t="shared" si="104"/>
        <v>1</v>
      </c>
      <c r="AH220" s="1">
        <f t="shared" si="105"/>
        <v>0</v>
      </c>
      <c r="AI220" s="1">
        <f t="shared" si="106"/>
        <v>1</v>
      </c>
    </row>
    <row r="221" spans="1:35" s="1" customFormat="1" ht="14.25" customHeight="1" x14ac:dyDescent="0.25">
      <c r="A221" s="31">
        <v>0</v>
      </c>
      <c r="B221" s="31">
        <v>1</v>
      </c>
      <c r="C221" s="31">
        <v>5</v>
      </c>
      <c r="D221" s="32" t="s">
        <v>110</v>
      </c>
      <c r="E221" s="32" t="s">
        <v>171</v>
      </c>
      <c r="F221" s="32" t="s">
        <v>308</v>
      </c>
      <c r="G221" s="32" t="s">
        <v>39</v>
      </c>
      <c r="H221" s="32" t="s">
        <v>362</v>
      </c>
      <c r="I221" s="31" t="s">
        <v>456</v>
      </c>
      <c r="J221" s="31">
        <v>17</v>
      </c>
      <c r="K221" s="33" t="s">
        <v>694</v>
      </c>
      <c r="L221" s="33" t="s">
        <v>688</v>
      </c>
      <c r="M221" s="34" t="s">
        <v>682</v>
      </c>
      <c r="N221" s="34" t="s">
        <v>1693</v>
      </c>
      <c r="O221" s="35">
        <v>1</v>
      </c>
      <c r="P221" s="35">
        <v>1</v>
      </c>
      <c r="Q221" s="32" t="s">
        <v>1864</v>
      </c>
      <c r="S221" s="1">
        <f t="shared" si="91"/>
        <v>0</v>
      </c>
      <c r="T221" s="1">
        <f t="shared" si="92"/>
        <v>0</v>
      </c>
      <c r="U221" s="1">
        <f t="shared" si="93"/>
        <v>0</v>
      </c>
      <c r="V221" s="1">
        <f t="shared" si="94"/>
        <v>0</v>
      </c>
      <c r="W221" s="1">
        <f t="shared" si="95"/>
        <v>0</v>
      </c>
      <c r="X221" s="1">
        <f t="shared" si="96"/>
        <v>0</v>
      </c>
      <c r="Y221" s="1">
        <f t="shared" si="97"/>
        <v>0</v>
      </c>
      <c r="Z221" s="1">
        <f t="shared" si="98"/>
        <v>0</v>
      </c>
      <c r="AA221" s="1">
        <f t="shared" si="99"/>
        <v>0</v>
      </c>
      <c r="AB221" s="1">
        <f t="shared" si="100"/>
        <v>0</v>
      </c>
      <c r="AD221" s="1">
        <f t="shared" si="101"/>
        <v>1</v>
      </c>
      <c r="AE221" s="1">
        <f t="shared" si="102"/>
        <v>0</v>
      </c>
      <c r="AF221" s="1">
        <f t="shared" si="103"/>
        <v>1</v>
      </c>
      <c r="AG221" s="1">
        <f t="shared" si="104"/>
        <v>0</v>
      </c>
      <c r="AH221" s="1">
        <f t="shared" si="105"/>
        <v>1</v>
      </c>
      <c r="AI221" s="1">
        <f t="shared" si="106"/>
        <v>0</v>
      </c>
    </row>
    <row r="222" spans="1:35" s="1" customFormat="1" ht="14.25" customHeight="1" x14ac:dyDescent="0.25">
      <c r="A222" s="31">
        <v>0</v>
      </c>
      <c r="B222" s="31">
        <v>1</v>
      </c>
      <c r="C222" s="31">
        <v>5</v>
      </c>
      <c r="D222" s="32" t="s">
        <v>521</v>
      </c>
      <c r="E222" s="32" t="s">
        <v>522</v>
      </c>
      <c r="F222" s="32" t="s">
        <v>523</v>
      </c>
      <c r="G222" s="32" t="s">
        <v>201</v>
      </c>
      <c r="H222" s="32" t="s">
        <v>352</v>
      </c>
      <c r="I222" s="31" t="s">
        <v>524</v>
      </c>
      <c r="J222" s="31">
        <v>10</v>
      </c>
      <c r="K222" s="33" t="s">
        <v>693</v>
      </c>
      <c r="L222" s="33" t="s">
        <v>684</v>
      </c>
      <c r="M222" s="34" t="s">
        <v>947</v>
      </c>
      <c r="N222" s="34" t="s">
        <v>1693</v>
      </c>
      <c r="O222" s="35">
        <v>1</v>
      </c>
      <c r="P222" s="35">
        <v>1</v>
      </c>
      <c r="Q222" s="32"/>
      <c r="S222" s="1">
        <f t="shared" si="91"/>
        <v>0</v>
      </c>
      <c r="T222" s="1">
        <f t="shared" si="92"/>
        <v>0</v>
      </c>
      <c r="U222" s="1">
        <f t="shared" si="93"/>
        <v>0</v>
      </c>
      <c r="V222" s="1">
        <f t="shared" si="94"/>
        <v>0</v>
      </c>
      <c r="W222" s="1">
        <f t="shared" si="95"/>
        <v>0</v>
      </c>
      <c r="X222" s="1">
        <f t="shared" si="96"/>
        <v>0</v>
      </c>
      <c r="Y222" s="1">
        <f t="shared" si="97"/>
        <v>0</v>
      </c>
      <c r="Z222" s="1">
        <f t="shared" si="98"/>
        <v>0</v>
      </c>
      <c r="AA222" s="1">
        <f t="shared" si="99"/>
        <v>0</v>
      </c>
      <c r="AB222" s="1">
        <f t="shared" si="100"/>
        <v>1</v>
      </c>
      <c r="AD222" s="1">
        <f t="shared" si="101"/>
        <v>1</v>
      </c>
      <c r="AE222" s="1">
        <f t="shared" si="102"/>
        <v>0</v>
      </c>
      <c r="AF222" s="1">
        <f t="shared" si="103"/>
        <v>1</v>
      </c>
      <c r="AG222" s="1">
        <f t="shared" si="104"/>
        <v>0</v>
      </c>
      <c r="AH222" s="1">
        <f t="shared" si="105"/>
        <v>1</v>
      </c>
      <c r="AI222" s="1">
        <f t="shared" si="106"/>
        <v>0</v>
      </c>
    </row>
    <row r="223" spans="1:35" s="1" customFormat="1" ht="14.25" customHeight="1" x14ac:dyDescent="0.25">
      <c r="A223" s="31">
        <v>0</v>
      </c>
      <c r="B223" s="31">
        <v>1</v>
      </c>
      <c r="C223" s="31">
        <v>5</v>
      </c>
      <c r="D223" s="32" t="s">
        <v>1462</v>
      </c>
      <c r="E223" s="32" t="s">
        <v>165</v>
      </c>
      <c r="F223" s="32" t="s">
        <v>1463</v>
      </c>
      <c r="G223" s="32" t="s">
        <v>179</v>
      </c>
      <c r="H223" s="32" t="s">
        <v>352</v>
      </c>
      <c r="I223" s="31" t="s">
        <v>1464</v>
      </c>
      <c r="J223" s="31">
        <v>10</v>
      </c>
      <c r="K223" s="33" t="s">
        <v>933</v>
      </c>
      <c r="L223" s="33" t="s">
        <v>684</v>
      </c>
      <c r="M223" s="34" t="s">
        <v>947</v>
      </c>
      <c r="N223" s="34" t="s">
        <v>1687</v>
      </c>
      <c r="O223" s="35">
        <v>1</v>
      </c>
      <c r="P223" s="35">
        <v>1</v>
      </c>
      <c r="Q223" s="32"/>
      <c r="S223" s="1">
        <f t="shared" si="91"/>
        <v>0</v>
      </c>
      <c r="T223" s="1">
        <f t="shared" si="92"/>
        <v>0</v>
      </c>
      <c r="U223" s="1">
        <f t="shared" si="93"/>
        <v>0</v>
      </c>
      <c r="V223" s="1">
        <f t="shared" si="94"/>
        <v>0</v>
      </c>
      <c r="W223" s="1">
        <f t="shared" si="95"/>
        <v>0</v>
      </c>
      <c r="X223" s="1">
        <f t="shared" si="96"/>
        <v>0</v>
      </c>
      <c r="Y223" s="1">
        <f t="shared" si="97"/>
        <v>0</v>
      </c>
      <c r="Z223" s="1">
        <f t="shared" si="98"/>
        <v>0</v>
      </c>
      <c r="AA223" s="1">
        <f t="shared" si="99"/>
        <v>0</v>
      </c>
      <c r="AB223" s="1">
        <f t="shared" si="100"/>
        <v>1</v>
      </c>
      <c r="AD223" s="1">
        <f t="shared" si="101"/>
        <v>1</v>
      </c>
      <c r="AE223" s="1">
        <f t="shared" si="102"/>
        <v>0</v>
      </c>
      <c r="AF223" s="1">
        <f t="shared" si="103"/>
        <v>1</v>
      </c>
      <c r="AG223" s="1">
        <f t="shared" si="104"/>
        <v>0</v>
      </c>
      <c r="AH223" s="1">
        <f t="shared" si="105"/>
        <v>1</v>
      </c>
      <c r="AI223" s="1">
        <f t="shared" si="106"/>
        <v>0</v>
      </c>
    </row>
    <row r="224" spans="1:35" s="1" customFormat="1" ht="14.25" customHeight="1" x14ac:dyDescent="0.25">
      <c r="A224" s="31">
        <v>0</v>
      </c>
      <c r="B224" s="31">
        <v>1</v>
      </c>
      <c r="C224" s="31">
        <v>5</v>
      </c>
      <c r="D224" s="32" t="s">
        <v>1709</v>
      </c>
      <c r="E224" s="32" t="s">
        <v>165</v>
      </c>
      <c r="F224" s="32" t="s">
        <v>1710</v>
      </c>
      <c r="G224" s="32" t="s">
        <v>1711</v>
      </c>
      <c r="H224" s="32" t="s">
        <v>352</v>
      </c>
      <c r="I224" s="31" t="s">
        <v>1712</v>
      </c>
      <c r="J224" s="31">
        <v>1</v>
      </c>
      <c r="K224" s="33" t="s">
        <v>694</v>
      </c>
      <c r="L224" s="33"/>
      <c r="M224" s="34"/>
      <c r="N224" s="34" t="s">
        <v>1700</v>
      </c>
      <c r="O224" s="35">
        <v>1</v>
      </c>
      <c r="P224" s="35"/>
      <c r="Q224" s="32"/>
      <c r="S224" s="1">
        <f t="shared" si="91"/>
        <v>1</v>
      </c>
      <c r="T224" s="1">
        <f t="shared" si="92"/>
        <v>0</v>
      </c>
      <c r="U224" s="1">
        <f t="shared" si="93"/>
        <v>0</v>
      </c>
      <c r="V224" s="1">
        <f t="shared" si="94"/>
        <v>0</v>
      </c>
      <c r="W224" s="1">
        <f t="shared" si="95"/>
        <v>0</v>
      </c>
      <c r="X224" s="1">
        <f t="shared" si="96"/>
        <v>0</v>
      </c>
      <c r="Y224" s="1">
        <f t="shared" si="97"/>
        <v>0</v>
      </c>
      <c r="Z224" s="1">
        <f t="shared" si="98"/>
        <v>0</v>
      </c>
      <c r="AA224" s="1">
        <f t="shared" si="99"/>
        <v>0</v>
      </c>
      <c r="AB224" s="1">
        <f t="shared" si="100"/>
        <v>0</v>
      </c>
      <c r="AD224" s="1">
        <f t="shared" si="101"/>
        <v>0</v>
      </c>
      <c r="AE224" s="1">
        <f t="shared" si="102"/>
        <v>1</v>
      </c>
      <c r="AF224" s="1">
        <f t="shared" si="103"/>
        <v>0</v>
      </c>
      <c r="AG224" s="1">
        <f t="shared" si="104"/>
        <v>1</v>
      </c>
      <c r="AH224" s="1">
        <f t="shared" si="105"/>
        <v>0</v>
      </c>
      <c r="AI224" s="1">
        <f t="shared" si="106"/>
        <v>1</v>
      </c>
    </row>
    <row r="225" spans="1:35" s="1" customFormat="1" ht="14.25" customHeight="1" x14ac:dyDescent="0.25">
      <c r="A225" s="61">
        <v>0</v>
      </c>
      <c r="B225" s="61">
        <v>1</v>
      </c>
      <c r="C225" s="61">
        <v>5</v>
      </c>
      <c r="D225" s="62" t="s">
        <v>1003</v>
      </c>
      <c r="E225" s="62" t="s">
        <v>1064</v>
      </c>
      <c r="F225" s="62" t="s">
        <v>1004</v>
      </c>
      <c r="G225" s="62" t="s">
        <v>193</v>
      </c>
      <c r="H225" s="62" t="s">
        <v>352</v>
      </c>
      <c r="I225" s="61" t="s">
        <v>1005</v>
      </c>
      <c r="J225" s="61">
        <v>9</v>
      </c>
      <c r="K225" s="63" t="s">
        <v>713</v>
      </c>
      <c r="L225" s="63" t="s">
        <v>1664</v>
      </c>
      <c r="M225" s="64" t="s">
        <v>1565</v>
      </c>
      <c r="N225" s="64" t="s">
        <v>1696</v>
      </c>
      <c r="O225" s="65">
        <v>1</v>
      </c>
      <c r="P225" s="65"/>
      <c r="Q225" s="62"/>
      <c r="S225" s="1">
        <f t="shared" si="91"/>
        <v>0</v>
      </c>
      <c r="T225" s="1">
        <f t="shared" si="92"/>
        <v>0</v>
      </c>
      <c r="U225" s="1">
        <f t="shared" si="93"/>
        <v>0</v>
      </c>
      <c r="V225" s="1">
        <f t="shared" si="94"/>
        <v>0</v>
      </c>
      <c r="W225" s="1">
        <f t="shared" si="95"/>
        <v>0</v>
      </c>
      <c r="X225" s="1">
        <f t="shared" si="96"/>
        <v>0</v>
      </c>
      <c r="Y225" s="1">
        <f t="shared" si="97"/>
        <v>0</v>
      </c>
      <c r="Z225" s="1">
        <f t="shared" si="98"/>
        <v>0</v>
      </c>
      <c r="AA225" s="1">
        <f t="shared" si="99"/>
        <v>1</v>
      </c>
      <c r="AB225" s="1">
        <f t="shared" si="100"/>
        <v>0</v>
      </c>
      <c r="AD225" s="1">
        <f t="shared" si="101"/>
        <v>0</v>
      </c>
      <c r="AE225" s="1">
        <f t="shared" si="102"/>
        <v>1</v>
      </c>
      <c r="AF225" s="1">
        <f t="shared" si="103"/>
        <v>0</v>
      </c>
      <c r="AG225" s="1">
        <f t="shared" si="104"/>
        <v>1</v>
      </c>
      <c r="AH225" s="1">
        <f t="shared" si="105"/>
        <v>0</v>
      </c>
      <c r="AI225" s="1">
        <f t="shared" si="106"/>
        <v>1</v>
      </c>
    </row>
    <row r="226" spans="1:35" s="1" customFormat="1" ht="14.25" customHeight="1" x14ac:dyDescent="0.25">
      <c r="A226" s="31">
        <v>0</v>
      </c>
      <c r="B226" s="31">
        <v>1</v>
      </c>
      <c r="C226" s="31">
        <v>5</v>
      </c>
      <c r="D226" s="32" t="s">
        <v>1575</v>
      </c>
      <c r="E226" s="32" t="s">
        <v>165</v>
      </c>
      <c r="F226" s="32" t="s">
        <v>1576</v>
      </c>
      <c r="G226" s="32" t="s">
        <v>212</v>
      </c>
      <c r="H226" s="32" t="s">
        <v>352</v>
      </c>
      <c r="I226" s="31" t="s">
        <v>1577</v>
      </c>
      <c r="J226" s="31">
        <v>1</v>
      </c>
      <c r="K226" s="33" t="s">
        <v>713</v>
      </c>
      <c r="L226" s="33" t="s">
        <v>685</v>
      </c>
      <c r="M226" s="34" t="s">
        <v>947</v>
      </c>
      <c r="N226" s="34" t="s">
        <v>1752</v>
      </c>
      <c r="O226" s="35">
        <v>1</v>
      </c>
      <c r="P226" s="35"/>
      <c r="Q226" s="32"/>
      <c r="S226" s="1">
        <f t="shared" si="91"/>
        <v>1</v>
      </c>
      <c r="T226" s="1">
        <f t="shared" si="92"/>
        <v>0</v>
      </c>
      <c r="U226" s="1">
        <f t="shared" si="93"/>
        <v>0</v>
      </c>
      <c r="V226" s="1">
        <f t="shared" si="94"/>
        <v>0</v>
      </c>
      <c r="W226" s="1">
        <f t="shared" si="95"/>
        <v>0</v>
      </c>
      <c r="X226" s="1">
        <f t="shared" si="96"/>
        <v>0</v>
      </c>
      <c r="Y226" s="1">
        <f t="shared" si="97"/>
        <v>0</v>
      </c>
      <c r="Z226" s="1">
        <f t="shared" si="98"/>
        <v>0</v>
      </c>
      <c r="AA226" s="1">
        <f t="shared" si="99"/>
        <v>0</v>
      </c>
      <c r="AB226" s="1">
        <f t="shared" si="100"/>
        <v>0</v>
      </c>
      <c r="AD226" s="1">
        <f t="shared" si="101"/>
        <v>0</v>
      </c>
      <c r="AE226" s="1">
        <f t="shared" si="102"/>
        <v>1</v>
      </c>
      <c r="AF226" s="1">
        <f t="shared" si="103"/>
        <v>0</v>
      </c>
      <c r="AG226" s="1">
        <f t="shared" si="104"/>
        <v>1</v>
      </c>
      <c r="AH226" s="1">
        <f t="shared" si="105"/>
        <v>0</v>
      </c>
      <c r="AI226" s="1">
        <f t="shared" si="106"/>
        <v>1</v>
      </c>
    </row>
    <row r="227" spans="1:35" s="1" customFormat="1" ht="14.25" customHeight="1" x14ac:dyDescent="0.25">
      <c r="A227" s="31">
        <v>0</v>
      </c>
      <c r="B227" s="31">
        <v>1</v>
      </c>
      <c r="C227" s="31">
        <v>5</v>
      </c>
      <c r="D227" s="32" t="s">
        <v>146</v>
      </c>
      <c r="E227" s="32" t="s">
        <v>541</v>
      </c>
      <c r="F227" s="32" t="s">
        <v>1560</v>
      </c>
      <c r="G227" s="32" t="s">
        <v>1634</v>
      </c>
      <c r="H227" s="32" t="s">
        <v>352</v>
      </c>
      <c r="I227" s="31" t="s">
        <v>491</v>
      </c>
      <c r="J227" s="31">
        <v>99</v>
      </c>
      <c r="K227" s="33" t="s">
        <v>693</v>
      </c>
      <c r="L227" s="33" t="s">
        <v>680</v>
      </c>
      <c r="M227" s="34" t="s">
        <v>947</v>
      </c>
      <c r="N227" s="34" t="s">
        <v>1775</v>
      </c>
      <c r="O227" s="35">
        <v>1</v>
      </c>
      <c r="P227" s="35"/>
      <c r="Q227" s="32"/>
      <c r="S227" s="1">
        <f t="shared" si="91"/>
        <v>0</v>
      </c>
      <c r="T227" s="1">
        <f t="shared" si="92"/>
        <v>0</v>
      </c>
      <c r="U227" s="1">
        <f t="shared" si="93"/>
        <v>0</v>
      </c>
      <c r="V227" s="1">
        <f t="shared" si="94"/>
        <v>0</v>
      </c>
      <c r="W227" s="1">
        <f t="shared" si="95"/>
        <v>0</v>
      </c>
      <c r="X227" s="1">
        <f t="shared" si="96"/>
        <v>0</v>
      </c>
      <c r="Y227" s="1">
        <f t="shared" si="97"/>
        <v>0</v>
      </c>
      <c r="Z227" s="1">
        <f t="shared" si="98"/>
        <v>0</v>
      </c>
      <c r="AA227" s="1">
        <f t="shared" si="99"/>
        <v>0</v>
      </c>
      <c r="AB227" s="1">
        <f t="shared" si="100"/>
        <v>0</v>
      </c>
      <c r="AD227" s="1">
        <f t="shared" si="101"/>
        <v>0</v>
      </c>
      <c r="AE227" s="1">
        <f t="shared" si="102"/>
        <v>1</v>
      </c>
      <c r="AF227" s="1">
        <f t="shared" si="103"/>
        <v>0</v>
      </c>
      <c r="AG227" s="1">
        <f t="shared" si="104"/>
        <v>1</v>
      </c>
      <c r="AH227" s="1">
        <f t="shared" si="105"/>
        <v>0</v>
      </c>
      <c r="AI227" s="1">
        <f t="shared" si="106"/>
        <v>1</v>
      </c>
    </row>
    <row r="228" spans="1:35" s="1" customFormat="1" ht="14.25" customHeight="1" x14ac:dyDescent="0.25">
      <c r="A228" s="15">
        <v>0</v>
      </c>
      <c r="B228" s="15">
        <v>1</v>
      </c>
      <c r="C228" s="15">
        <v>5</v>
      </c>
      <c r="D228" s="16" t="s">
        <v>1181</v>
      </c>
      <c r="E228" s="16" t="s">
        <v>165</v>
      </c>
      <c r="F228" s="16" t="s">
        <v>1182</v>
      </c>
      <c r="G228" s="16" t="s">
        <v>1183</v>
      </c>
      <c r="H228" s="16" t="s">
        <v>352</v>
      </c>
      <c r="I228" s="15" t="s">
        <v>1184</v>
      </c>
      <c r="J228" s="15">
        <v>99</v>
      </c>
      <c r="K228" s="10" t="s">
        <v>694</v>
      </c>
      <c r="L228" s="10">
        <v>30</v>
      </c>
      <c r="M228" s="19" t="s">
        <v>947</v>
      </c>
      <c r="N228" s="19"/>
      <c r="Q228" s="16"/>
      <c r="S228" s="1">
        <f t="shared" si="91"/>
        <v>0</v>
      </c>
      <c r="T228" s="1">
        <f t="shared" si="92"/>
        <v>0</v>
      </c>
      <c r="U228" s="1">
        <f t="shared" si="93"/>
        <v>0</v>
      </c>
      <c r="V228" s="1">
        <f t="shared" si="94"/>
        <v>0</v>
      </c>
      <c r="W228" s="1">
        <f t="shared" si="95"/>
        <v>0</v>
      </c>
      <c r="X228" s="1">
        <f t="shared" si="96"/>
        <v>0</v>
      </c>
      <c r="Y228" s="1">
        <f t="shared" si="97"/>
        <v>0</v>
      </c>
      <c r="Z228" s="1">
        <f t="shared" si="98"/>
        <v>0</v>
      </c>
      <c r="AA228" s="1">
        <f t="shared" si="99"/>
        <v>0</v>
      </c>
      <c r="AB228" s="1">
        <f t="shared" si="100"/>
        <v>0</v>
      </c>
      <c r="AD228" s="1">
        <f t="shared" si="101"/>
        <v>0</v>
      </c>
      <c r="AE228" s="1">
        <f t="shared" si="102"/>
        <v>0</v>
      </c>
      <c r="AF228" s="1">
        <f t="shared" si="103"/>
        <v>0</v>
      </c>
      <c r="AG228" s="1">
        <f t="shared" si="104"/>
        <v>0</v>
      </c>
      <c r="AH228" s="1">
        <f t="shared" si="105"/>
        <v>0</v>
      </c>
      <c r="AI228" s="1">
        <f t="shared" si="106"/>
        <v>1</v>
      </c>
    </row>
    <row r="229" spans="1:35" s="1" customFormat="1" ht="14.25" customHeight="1" x14ac:dyDescent="0.25">
      <c r="A229" s="31">
        <v>0</v>
      </c>
      <c r="B229" s="31">
        <v>1</v>
      </c>
      <c r="C229" s="31">
        <v>5</v>
      </c>
      <c r="D229" s="32" t="s">
        <v>1561</v>
      </c>
      <c r="E229" s="32" t="s">
        <v>171</v>
      </c>
      <c r="F229" s="32" t="s">
        <v>789</v>
      </c>
      <c r="G229" s="32" t="s">
        <v>39</v>
      </c>
      <c r="H229" s="32" t="s">
        <v>790</v>
      </c>
      <c r="I229" s="31" t="s">
        <v>791</v>
      </c>
      <c r="J229" s="31">
        <v>16</v>
      </c>
      <c r="K229" s="33" t="s">
        <v>934</v>
      </c>
      <c r="L229" s="33" t="s">
        <v>1695</v>
      </c>
      <c r="M229" s="34" t="s">
        <v>947</v>
      </c>
      <c r="N229" s="34" t="s">
        <v>1700</v>
      </c>
      <c r="O229" s="35">
        <v>1</v>
      </c>
      <c r="P229" s="35"/>
      <c r="Q229" s="32"/>
      <c r="S229" s="1">
        <f t="shared" si="91"/>
        <v>0</v>
      </c>
      <c r="T229" s="1">
        <f t="shared" si="92"/>
        <v>0</v>
      </c>
      <c r="U229" s="1">
        <f t="shared" si="93"/>
        <v>0</v>
      </c>
      <c r="V229" s="1">
        <f t="shared" si="94"/>
        <v>0</v>
      </c>
      <c r="W229" s="1">
        <f t="shared" si="95"/>
        <v>0</v>
      </c>
      <c r="X229" s="1">
        <f t="shared" si="96"/>
        <v>0</v>
      </c>
      <c r="Y229" s="1">
        <f t="shared" si="97"/>
        <v>0</v>
      </c>
      <c r="Z229" s="1">
        <f t="shared" si="98"/>
        <v>0</v>
      </c>
      <c r="AA229" s="1">
        <f t="shared" si="99"/>
        <v>0</v>
      </c>
      <c r="AB229" s="1">
        <f t="shared" si="100"/>
        <v>0</v>
      </c>
      <c r="AD229" s="1">
        <f t="shared" si="101"/>
        <v>0</v>
      </c>
      <c r="AE229" s="1">
        <f t="shared" si="102"/>
        <v>1</v>
      </c>
      <c r="AF229" s="1">
        <f t="shared" si="103"/>
        <v>0</v>
      </c>
      <c r="AG229" s="1">
        <f t="shared" si="104"/>
        <v>1</v>
      </c>
      <c r="AH229" s="1">
        <f t="shared" si="105"/>
        <v>0</v>
      </c>
      <c r="AI229" s="1">
        <f t="shared" si="106"/>
        <v>1</v>
      </c>
    </row>
    <row r="230" spans="1:35" s="1" customFormat="1" ht="14.25" customHeight="1" x14ac:dyDescent="0.25">
      <c r="A230" s="31">
        <v>0</v>
      </c>
      <c r="B230" s="31">
        <v>1</v>
      </c>
      <c r="C230" s="31">
        <v>5</v>
      </c>
      <c r="D230" s="32" t="s">
        <v>498</v>
      </c>
      <c r="E230" s="32" t="s">
        <v>165</v>
      </c>
      <c r="F230" s="32" t="s">
        <v>499</v>
      </c>
      <c r="G230" s="32" t="s">
        <v>500</v>
      </c>
      <c r="H230" s="32" t="s">
        <v>352</v>
      </c>
      <c r="I230" s="31" t="s">
        <v>501</v>
      </c>
      <c r="J230" s="31">
        <v>99</v>
      </c>
      <c r="K230" s="33" t="s">
        <v>934</v>
      </c>
      <c r="L230" s="33" t="s">
        <v>685</v>
      </c>
      <c r="M230" s="34" t="s">
        <v>682</v>
      </c>
      <c r="N230" s="34" t="s">
        <v>1687</v>
      </c>
      <c r="O230" s="35">
        <v>1</v>
      </c>
      <c r="P230" s="35">
        <v>1</v>
      </c>
      <c r="Q230" s="32"/>
      <c r="S230" s="1">
        <f t="shared" si="91"/>
        <v>0</v>
      </c>
      <c r="T230" s="1">
        <f t="shared" si="92"/>
        <v>0</v>
      </c>
      <c r="U230" s="1">
        <f t="shared" si="93"/>
        <v>0</v>
      </c>
      <c r="V230" s="1">
        <f t="shared" si="94"/>
        <v>0</v>
      </c>
      <c r="W230" s="1">
        <f t="shared" si="95"/>
        <v>0</v>
      </c>
      <c r="X230" s="1">
        <f t="shared" si="96"/>
        <v>0</v>
      </c>
      <c r="Y230" s="1">
        <f t="shared" si="97"/>
        <v>0</v>
      </c>
      <c r="Z230" s="1">
        <f t="shared" si="98"/>
        <v>0</v>
      </c>
      <c r="AA230" s="1">
        <f t="shared" si="99"/>
        <v>0</v>
      </c>
      <c r="AB230" s="1">
        <f t="shared" si="100"/>
        <v>0</v>
      </c>
      <c r="AD230" s="1">
        <f t="shared" si="101"/>
        <v>1</v>
      </c>
      <c r="AE230" s="1">
        <f t="shared" si="102"/>
        <v>0</v>
      </c>
      <c r="AF230" s="1">
        <f t="shared" si="103"/>
        <v>1</v>
      </c>
      <c r="AG230" s="1">
        <f t="shared" si="104"/>
        <v>0</v>
      </c>
      <c r="AH230" s="1">
        <f t="shared" si="105"/>
        <v>1</v>
      </c>
      <c r="AI230" s="1">
        <f t="shared" si="106"/>
        <v>0</v>
      </c>
    </row>
    <row r="231" spans="1:35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1413</v>
      </c>
      <c r="E231" s="32" t="s">
        <v>166</v>
      </c>
      <c r="F231" s="32" t="s">
        <v>1414</v>
      </c>
      <c r="G231" s="32" t="s">
        <v>178</v>
      </c>
      <c r="H231" s="32" t="s">
        <v>352</v>
      </c>
      <c r="I231" s="31" t="s">
        <v>1415</v>
      </c>
      <c r="J231" s="31">
        <v>99</v>
      </c>
      <c r="K231" s="33" t="s">
        <v>933</v>
      </c>
      <c r="L231" s="33" t="s">
        <v>687</v>
      </c>
      <c r="M231" s="34" t="s">
        <v>1416</v>
      </c>
      <c r="N231" s="34" t="s">
        <v>1701</v>
      </c>
      <c r="O231" s="35">
        <v>1</v>
      </c>
      <c r="P231" s="35"/>
      <c r="Q231" s="36"/>
      <c r="S231" s="1">
        <f t="shared" si="91"/>
        <v>0</v>
      </c>
      <c r="T231" s="1">
        <f t="shared" si="92"/>
        <v>0</v>
      </c>
      <c r="U231" s="1">
        <f t="shared" si="93"/>
        <v>0</v>
      </c>
      <c r="V231" s="1">
        <f t="shared" si="94"/>
        <v>0</v>
      </c>
      <c r="W231" s="1">
        <f t="shared" si="95"/>
        <v>0</v>
      </c>
      <c r="X231" s="1">
        <f t="shared" si="96"/>
        <v>0</v>
      </c>
      <c r="Y231" s="1">
        <f t="shared" si="97"/>
        <v>0</v>
      </c>
      <c r="Z231" s="1">
        <f t="shared" si="98"/>
        <v>0</v>
      </c>
      <c r="AA231" s="1">
        <f t="shared" si="99"/>
        <v>0</v>
      </c>
      <c r="AB231" s="1">
        <f t="shared" si="100"/>
        <v>0</v>
      </c>
      <c r="AD231" s="1">
        <f t="shared" si="101"/>
        <v>0</v>
      </c>
      <c r="AE231" s="1">
        <f t="shared" si="102"/>
        <v>1</v>
      </c>
      <c r="AF231" s="1">
        <f t="shared" si="103"/>
        <v>0</v>
      </c>
      <c r="AG231" s="1">
        <f t="shared" si="104"/>
        <v>1</v>
      </c>
      <c r="AH231" s="1">
        <f t="shared" si="105"/>
        <v>0</v>
      </c>
      <c r="AI231" s="1">
        <f t="shared" si="106"/>
        <v>1</v>
      </c>
    </row>
    <row r="232" spans="1:35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1155</v>
      </c>
      <c r="E232" s="32" t="s">
        <v>1158</v>
      </c>
      <c r="F232" s="32" t="s">
        <v>1156</v>
      </c>
      <c r="G232" s="32" t="s">
        <v>39</v>
      </c>
      <c r="H232" s="32" t="s">
        <v>352</v>
      </c>
      <c r="I232" s="31" t="s">
        <v>1157</v>
      </c>
      <c r="J232" s="31">
        <v>99</v>
      </c>
      <c r="K232" s="33" t="s">
        <v>939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6" t="s">
        <v>1857</v>
      </c>
      <c r="S232" s="1">
        <f t="shared" si="91"/>
        <v>0</v>
      </c>
      <c r="T232" s="1">
        <f t="shared" si="92"/>
        <v>0</v>
      </c>
      <c r="U232" s="1">
        <f t="shared" si="93"/>
        <v>0</v>
      </c>
      <c r="V232" s="1">
        <f t="shared" si="94"/>
        <v>0</v>
      </c>
      <c r="W232" s="1">
        <f t="shared" si="95"/>
        <v>0</v>
      </c>
      <c r="X232" s="1">
        <f t="shared" si="96"/>
        <v>0</v>
      </c>
      <c r="Y232" s="1">
        <f t="shared" si="97"/>
        <v>0</v>
      </c>
      <c r="Z232" s="1">
        <f t="shared" si="98"/>
        <v>0</v>
      </c>
      <c r="AA232" s="1">
        <f t="shared" si="99"/>
        <v>0</v>
      </c>
      <c r="AB232" s="1">
        <f t="shared" si="100"/>
        <v>0</v>
      </c>
      <c r="AD232" s="1">
        <f t="shared" si="101"/>
        <v>1</v>
      </c>
      <c r="AE232" s="1">
        <f t="shared" si="102"/>
        <v>0</v>
      </c>
      <c r="AF232" s="1">
        <f t="shared" si="103"/>
        <v>1</v>
      </c>
      <c r="AG232" s="1">
        <f t="shared" si="104"/>
        <v>0</v>
      </c>
      <c r="AH232" s="1">
        <f t="shared" si="105"/>
        <v>1</v>
      </c>
      <c r="AI232" s="1">
        <f t="shared" si="106"/>
        <v>0</v>
      </c>
    </row>
    <row r="233" spans="1:35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1609</v>
      </c>
      <c r="E233" s="32" t="s">
        <v>1617</v>
      </c>
      <c r="F233" s="32" t="s">
        <v>1643</v>
      </c>
      <c r="G233" s="32" t="s">
        <v>1644</v>
      </c>
      <c r="H233" s="32" t="s">
        <v>352</v>
      </c>
      <c r="I233" s="31" t="s">
        <v>1656</v>
      </c>
      <c r="J233" s="31">
        <v>1</v>
      </c>
      <c r="K233" s="33" t="s">
        <v>935</v>
      </c>
      <c r="L233" s="33" t="s">
        <v>39</v>
      </c>
      <c r="M233" s="34" t="s">
        <v>39</v>
      </c>
      <c r="N233" s="34" t="s">
        <v>1687</v>
      </c>
      <c r="O233" s="35">
        <v>1</v>
      </c>
      <c r="P233" s="35">
        <v>1</v>
      </c>
      <c r="Q233" s="32"/>
      <c r="S233" s="1">
        <f t="shared" si="91"/>
        <v>1</v>
      </c>
      <c r="T233" s="1">
        <f t="shared" si="92"/>
        <v>0</v>
      </c>
      <c r="U233" s="1">
        <f t="shared" si="93"/>
        <v>0</v>
      </c>
      <c r="V233" s="1">
        <f t="shared" si="94"/>
        <v>0</v>
      </c>
      <c r="W233" s="1">
        <f t="shared" si="95"/>
        <v>0</v>
      </c>
      <c r="X233" s="1">
        <f t="shared" si="96"/>
        <v>0</v>
      </c>
      <c r="Y233" s="1">
        <f t="shared" si="97"/>
        <v>0</v>
      </c>
      <c r="Z233" s="1">
        <f t="shared" si="98"/>
        <v>0</v>
      </c>
      <c r="AA233" s="1">
        <f t="shared" si="99"/>
        <v>0</v>
      </c>
      <c r="AB233" s="1">
        <f t="shared" si="100"/>
        <v>0</v>
      </c>
      <c r="AD233" s="1">
        <f t="shared" si="101"/>
        <v>1</v>
      </c>
      <c r="AE233" s="1">
        <f t="shared" si="102"/>
        <v>0</v>
      </c>
      <c r="AF233" s="1">
        <f t="shared" si="103"/>
        <v>1</v>
      </c>
      <c r="AG233" s="1">
        <f t="shared" si="104"/>
        <v>0</v>
      </c>
      <c r="AH233" s="1">
        <f t="shared" si="105"/>
        <v>1</v>
      </c>
      <c r="AI233" s="1">
        <f t="shared" si="106"/>
        <v>0</v>
      </c>
    </row>
    <row r="234" spans="1:35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89</v>
      </c>
      <c r="E234" s="32" t="s">
        <v>167</v>
      </c>
      <c r="F234" s="32" t="s">
        <v>282</v>
      </c>
      <c r="G234" s="32" t="s">
        <v>229</v>
      </c>
      <c r="H234" s="32" t="s">
        <v>352</v>
      </c>
      <c r="I234" s="31" t="s">
        <v>435</v>
      </c>
      <c r="J234" s="31">
        <v>7</v>
      </c>
      <c r="K234" s="33" t="s">
        <v>713</v>
      </c>
      <c r="L234" s="33">
        <v>40</v>
      </c>
      <c r="M234" s="34" t="s">
        <v>39</v>
      </c>
      <c r="N234" s="34" t="s">
        <v>1700</v>
      </c>
      <c r="O234" s="35">
        <v>1</v>
      </c>
      <c r="P234" s="35"/>
      <c r="Q234" s="32"/>
      <c r="S234" s="1">
        <f t="shared" ref="S234:S236" si="107">IF(J234=$S$7,1,0)</f>
        <v>0</v>
      </c>
      <c r="T234" s="1">
        <f t="shared" ref="T234:T236" si="108">IF(J234=$T$7,1,0)</f>
        <v>0</v>
      </c>
      <c r="U234" s="1">
        <f t="shared" ref="U234:U236" si="109">IF(J234=$U$7,1,0)</f>
        <v>0</v>
      </c>
      <c r="V234" s="1">
        <f t="shared" ref="V234:V236" si="110">IF(J234=$V$7,1,0)</f>
        <v>0</v>
      </c>
      <c r="W234" s="1">
        <f t="shared" ref="W234:W236" si="111">IF(J234=$W$7,1,0)</f>
        <v>0</v>
      </c>
      <c r="X234" s="1">
        <f t="shared" ref="X234:X236" si="112">IF(J234=$X$7,1,0)</f>
        <v>0</v>
      </c>
      <c r="Y234" s="1">
        <f t="shared" ref="Y234:Y236" si="113">IF(J234=$Y$7,1,0)</f>
        <v>1</v>
      </c>
      <c r="Z234" s="1">
        <f t="shared" ref="Z234:Z236" si="114">IF(J234=$Z$7,1,0)</f>
        <v>0</v>
      </c>
      <c r="AA234" s="1">
        <f t="shared" ref="AA234:AA236" si="115">IF(J234=$AA$7,1,0)</f>
        <v>0</v>
      </c>
      <c r="AB234" s="1">
        <f t="shared" ref="AB234:AB236" si="116">IF(J234=$AB$7,1,0)</f>
        <v>0</v>
      </c>
      <c r="AD234" s="1">
        <f t="shared" si="101"/>
        <v>0</v>
      </c>
      <c r="AE234" s="1">
        <f t="shared" si="102"/>
        <v>1</v>
      </c>
      <c r="AF234" s="1">
        <f t="shared" si="103"/>
        <v>0</v>
      </c>
      <c r="AG234" s="1">
        <f t="shared" si="104"/>
        <v>1</v>
      </c>
      <c r="AH234" s="1">
        <f t="shared" si="105"/>
        <v>0</v>
      </c>
      <c r="AI234" s="1">
        <f t="shared" si="106"/>
        <v>1</v>
      </c>
    </row>
    <row r="235" spans="1:35" s="1" customFormat="1" ht="14.25" customHeight="1" x14ac:dyDescent="0.25">
      <c r="A235" s="31">
        <v>0</v>
      </c>
      <c r="B235" s="31">
        <v>1</v>
      </c>
      <c r="C235" s="31">
        <v>6</v>
      </c>
      <c r="D235" s="36" t="s">
        <v>2125</v>
      </c>
      <c r="E235" s="36" t="s">
        <v>2126</v>
      </c>
      <c r="F235" s="36" t="s">
        <v>2127</v>
      </c>
      <c r="G235" s="36" t="s">
        <v>283</v>
      </c>
      <c r="H235" s="36" t="s">
        <v>352</v>
      </c>
      <c r="I235" s="37" t="s">
        <v>2128</v>
      </c>
      <c r="J235" s="31">
        <v>10</v>
      </c>
      <c r="K235" s="33" t="s">
        <v>694</v>
      </c>
      <c r="L235" s="33">
        <v>40</v>
      </c>
      <c r="M235" s="34" t="s">
        <v>2141</v>
      </c>
      <c r="N235" s="34" t="s">
        <v>1700</v>
      </c>
      <c r="O235" s="35">
        <v>1</v>
      </c>
      <c r="P235" s="35"/>
      <c r="Q235" s="32"/>
      <c r="S235" s="1">
        <f t="shared" si="107"/>
        <v>0</v>
      </c>
      <c r="T235" s="1">
        <f t="shared" si="108"/>
        <v>0</v>
      </c>
      <c r="U235" s="1">
        <f t="shared" si="109"/>
        <v>0</v>
      </c>
      <c r="V235" s="1">
        <f t="shared" si="110"/>
        <v>0</v>
      </c>
      <c r="W235" s="1">
        <f t="shared" si="111"/>
        <v>0</v>
      </c>
      <c r="X235" s="1">
        <f t="shared" si="112"/>
        <v>0</v>
      </c>
      <c r="Y235" s="1">
        <f t="shared" si="113"/>
        <v>0</v>
      </c>
      <c r="Z235" s="1">
        <f t="shared" si="114"/>
        <v>0</v>
      </c>
      <c r="AA235" s="1">
        <f t="shared" si="115"/>
        <v>0</v>
      </c>
      <c r="AB235" s="1">
        <f t="shared" si="116"/>
        <v>1</v>
      </c>
      <c r="AD235" s="1">
        <f t="shared" si="101"/>
        <v>0</v>
      </c>
      <c r="AE235" s="1">
        <f t="shared" si="102"/>
        <v>1</v>
      </c>
      <c r="AF235" s="1">
        <f t="shared" si="103"/>
        <v>0</v>
      </c>
      <c r="AG235" s="1">
        <f t="shared" si="104"/>
        <v>1</v>
      </c>
      <c r="AH235" s="1">
        <f t="shared" si="105"/>
        <v>0</v>
      </c>
      <c r="AI235" s="1">
        <f t="shared" si="106"/>
        <v>1</v>
      </c>
    </row>
    <row r="236" spans="1:35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90</v>
      </c>
      <c r="E236" s="32" t="s">
        <v>164</v>
      </c>
      <c r="F236" s="36" t="s">
        <v>1821</v>
      </c>
      <c r="G236" s="32" t="s">
        <v>239</v>
      </c>
      <c r="H236" s="32" t="s">
        <v>352</v>
      </c>
      <c r="I236" s="31" t="s">
        <v>436</v>
      </c>
      <c r="J236" s="31">
        <v>1</v>
      </c>
      <c r="K236" s="33" t="s">
        <v>941</v>
      </c>
      <c r="L236" s="33" t="s">
        <v>39</v>
      </c>
      <c r="M236" s="34" t="s">
        <v>39</v>
      </c>
      <c r="N236" s="34" t="s">
        <v>1687</v>
      </c>
      <c r="O236" s="35">
        <v>1</v>
      </c>
      <c r="P236" s="35">
        <v>1</v>
      </c>
      <c r="Q236" s="32"/>
      <c r="S236" s="1">
        <f t="shared" si="107"/>
        <v>1</v>
      </c>
      <c r="T236" s="1">
        <f t="shared" si="108"/>
        <v>0</v>
      </c>
      <c r="U236" s="1">
        <f t="shared" si="109"/>
        <v>0</v>
      </c>
      <c r="V236" s="1">
        <f t="shared" si="110"/>
        <v>0</v>
      </c>
      <c r="W236" s="1">
        <f t="shared" si="111"/>
        <v>0</v>
      </c>
      <c r="X236" s="1">
        <f t="shared" si="112"/>
        <v>0</v>
      </c>
      <c r="Y236" s="1">
        <f t="shared" si="113"/>
        <v>0</v>
      </c>
      <c r="Z236" s="1">
        <f t="shared" si="114"/>
        <v>0</v>
      </c>
      <c r="AA236" s="1">
        <f t="shared" si="115"/>
        <v>0</v>
      </c>
      <c r="AB236" s="1">
        <f t="shared" si="116"/>
        <v>0</v>
      </c>
      <c r="AD236" s="1">
        <f t="shared" si="101"/>
        <v>1</v>
      </c>
      <c r="AE236" s="1">
        <f t="shared" si="102"/>
        <v>0</v>
      </c>
      <c r="AF236" s="1">
        <f t="shared" si="103"/>
        <v>1</v>
      </c>
      <c r="AG236" s="1">
        <f t="shared" si="104"/>
        <v>0</v>
      </c>
      <c r="AH236" s="1">
        <f t="shared" si="105"/>
        <v>1</v>
      </c>
      <c r="AI236" s="1">
        <f t="shared" si="106"/>
        <v>0</v>
      </c>
    </row>
    <row r="237" spans="1:35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91</v>
      </c>
      <c r="E237" s="32" t="s">
        <v>166</v>
      </c>
      <c r="F237" s="32" t="s">
        <v>284</v>
      </c>
      <c r="G237" s="32" t="s">
        <v>199</v>
      </c>
      <c r="H237" s="32" t="s">
        <v>352</v>
      </c>
      <c r="I237" s="31" t="s">
        <v>437</v>
      </c>
      <c r="J237" s="31">
        <v>2</v>
      </c>
      <c r="K237" s="33" t="s">
        <v>939</v>
      </c>
      <c r="L237" s="33" t="s">
        <v>39</v>
      </c>
      <c r="M237" s="34" t="s">
        <v>39</v>
      </c>
      <c r="N237" s="34" t="s">
        <v>1687</v>
      </c>
      <c r="O237" s="35">
        <v>1</v>
      </c>
      <c r="P237" s="35">
        <v>1</v>
      </c>
      <c r="Q237" s="32"/>
      <c r="S237" s="1">
        <f t="shared" si="91"/>
        <v>0</v>
      </c>
      <c r="T237" s="1">
        <f t="shared" si="92"/>
        <v>1</v>
      </c>
      <c r="U237" s="1">
        <f t="shared" si="93"/>
        <v>0</v>
      </c>
      <c r="V237" s="1">
        <f t="shared" si="94"/>
        <v>0</v>
      </c>
      <c r="W237" s="1">
        <f t="shared" si="95"/>
        <v>0</v>
      </c>
      <c r="X237" s="1">
        <f t="shared" si="96"/>
        <v>0</v>
      </c>
      <c r="Y237" s="1">
        <f t="shared" si="97"/>
        <v>0</v>
      </c>
      <c r="Z237" s="1">
        <f t="shared" si="98"/>
        <v>0</v>
      </c>
      <c r="AA237" s="1">
        <f t="shared" si="99"/>
        <v>0</v>
      </c>
      <c r="AB237" s="1">
        <f t="shared" si="100"/>
        <v>0</v>
      </c>
      <c r="AD237" s="1">
        <f t="shared" si="101"/>
        <v>1</v>
      </c>
      <c r="AE237" s="1">
        <f t="shared" si="102"/>
        <v>0</v>
      </c>
      <c r="AF237" s="1">
        <f t="shared" si="103"/>
        <v>1</v>
      </c>
      <c r="AG237" s="1">
        <f t="shared" si="104"/>
        <v>0</v>
      </c>
      <c r="AH237" s="1">
        <f t="shared" si="105"/>
        <v>1</v>
      </c>
      <c r="AI237" s="1">
        <f t="shared" si="106"/>
        <v>0</v>
      </c>
    </row>
    <row r="238" spans="1:35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1244</v>
      </c>
      <c r="E238" s="32" t="s">
        <v>166</v>
      </c>
      <c r="F238" s="32" t="s">
        <v>1120</v>
      </c>
      <c r="G238" s="32" t="s">
        <v>1310</v>
      </c>
      <c r="H238" s="32" t="s">
        <v>352</v>
      </c>
      <c r="I238" s="31" t="s">
        <v>1121</v>
      </c>
      <c r="J238" s="31">
        <v>99</v>
      </c>
      <c r="K238" s="33" t="s">
        <v>693</v>
      </c>
      <c r="L238" s="33">
        <v>45</v>
      </c>
      <c r="M238" s="34" t="s">
        <v>39</v>
      </c>
      <c r="N238" s="34" t="s">
        <v>1696</v>
      </c>
      <c r="O238" s="35">
        <v>1</v>
      </c>
      <c r="P238" s="35"/>
      <c r="Q238" s="32"/>
      <c r="S238" s="1">
        <f t="shared" si="91"/>
        <v>0</v>
      </c>
      <c r="T238" s="1">
        <f t="shared" si="92"/>
        <v>0</v>
      </c>
      <c r="U238" s="1">
        <f t="shared" si="93"/>
        <v>0</v>
      </c>
      <c r="V238" s="1">
        <f t="shared" si="94"/>
        <v>0</v>
      </c>
      <c r="W238" s="1">
        <f t="shared" si="95"/>
        <v>0</v>
      </c>
      <c r="X238" s="1">
        <f t="shared" si="96"/>
        <v>0</v>
      </c>
      <c r="Y238" s="1">
        <f t="shared" si="97"/>
        <v>0</v>
      </c>
      <c r="Z238" s="1">
        <f t="shared" si="98"/>
        <v>0</v>
      </c>
      <c r="AA238" s="1">
        <f t="shared" si="99"/>
        <v>0</v>
      </c>
      <c r="AB238" s="1">
        <f t="shared" si="100"/>
        <v>0</v>
      </c>
      <c r="AD238" s="1">
        <f t="shared" si="101"/>
        <v>0</v>
      </c>
      <c r="AE238" s="1">
        <f t="shared" si="102"/>
        <v>1</v>
      </c>
      <c r="AF238" s="1">
        <f t="shared" si="103"/>
        <v>0</v>
      </c>
      <c r="AG238" s="1">
        <f t="shared" si="104"/>
        <v>1</v>
      </c>
      <c r="AH238" s="1">
        <f t="shared" si="105"/>
        <v>0</v>
      </c>
      <c r="AI238" s="1">
        <f t="shared" si="106"/>
        <v>1</v>
      </c>
    </row>
    <row r="239" spans="1:35" s="1" customFormat="1" ht="14.25" customHeight="1" x14ac:dyDescent="0.25">
      <c r="A239" s="31">
        <v>0</v>
      </c>
      <c r="B239" s="31">
        <v>1</v>
      </c>
      <c r="C239" s="31">
        <v>6</v>
      </c>
      <c r="D239" s="36" t="s">
        <v>2119</v>
      </c>
      <c r="E239" s="32" t="s">
        <v>166</v>
      </c>
      <c r="F239" s="32" t="s">
        <v>1718</v>
      </c>
      <c r="G239" s="32"/>
      <c r="H239" s="32" t="s">
        <v>352</v>
      </c>
      <c r="I239" s="31" t="s">
        <v>1719</v>
      </c>
      <c r="J239" s="31"/>
      <c r="K239" s="33" t="s">
        <v>694</v>
      </c>
      <c r="L239" s="33"/>
      <c r="M239" s="34"/>
      <c r="N239" s="34" t="s">
        <v>1687</v>
      </c>
      <c r="O239" s="35">
        <v>1</v>
      </c>
      <c r="P239" s="35">
        <v>1</v>
      </c>
      <c r="Q239" s="32"/>
      <c r="S239" s="1">
        <f t="shared" si="91"/>
        <v>0</v>
      </c>
      <c r="T239" s="1">
        <f t="shared" si="92"/>
        <v>0</v>
      </c>
      <c r="U239" s="1">
        <f t="shared" si="93"/>
        <v>0</v>
      </c>
      <c r="V239" s="1">
        <f t="shared" si="94"/>
        <v>0</v>
      </c>
      <c r="W239" s="1">
        <f t="shared" si="95"/>
        <v>0</v>
      </c>
      <c r="X239" s="1">
        <f t="shared" si="96"/>
        <v>0</v>
      </c>
      <c r="Y239" s="1">
        <f t="shared" si="97"/>
        <v>0</v>
      </c>
      <c r="Z239" s="1">
        <f t="shared" si="98"/>
        <v>0</v>
      </c>
      <c r="AA239" s="1">
        <f t="shared" si="99"/>
        <v>0</v>
      </c>
      <c r="AB239" s="1">
        <f t="shared" si="100"/>
        <v>0</v>
      </c>
      <c r="AD239" s="1">
        <f t="shared" si="101"/>
        <v>1</v>
      </c>
      <c r="AE239" s="1">
        <f t="shared" si="102"/>
        <v>0</v>
      </c>
      <c r="AF239" s="1">
        <f t="shared" si="103"/>
        <v>1</v>
      </c>
      <c r="AG239" s="1">
        <f t="shared" si="104"/>
        <v>0</v>
      </c>
      <c r="AH239" s="1">
        <f t="shared" si="105"/>
        <v>1</v>
      </c>
      <c r="AI239" s="1">
        <f t="shared" si="106"/>
        <v>0</v>
      </c>
    </row>
    <row r="240" spans="1:35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1742</v>
      </c>
      <c r="E240" s="32" t="s">
        <v>166</v>
      </c>
      <c r="F240" s="32" t="s">
        <v>1720</v>
      </c>
      <c r="G240" s="32"/>
      <c r="H240" s="32" t="s">
        <v>352</v>
      </c>
      <c r="I240" s="31" t="s">
        <v>1721</v>
      </c>
      <c r="J240" s="31"/>
      <c r="K240" s="33" t="s">
        <v>694</v>
      </c>
      <c r="L240" s="33">
        <v>30</v>
      </c>
      <c r="M240" s="34" t="s">
        <v>1722</v>
      </c>
      <c r="N240" s="34" t="s">
        <v>1700</v>
      </c>
      <c r="O240" s="35">
        <v>1</v>
      </c>
      <c r="P240" s="35"/>
      <c r="Q240" s="32"/>
      <c r="S240" s="1">
        <f t="shared" si="91"/>
        <v>0</v>
      </c>
      <c r="T240" s="1">
        <f t="shared" si="92"/>
        <v>0</v>
      </c>
      <c r="U240" s="1">
        <f t="shared" si="93"/>
        <v>0</v>
      </c>
      <c r="V240" s="1">
        <f t="shared" si="94"/>
        <v>0</v>
      </c>
      <c r="W240" s="1">
        <f t="shared" si="95"/>
        <v>0</v>
      </c>
      <c r="X240" s="1">
        <f t="shared" si="96"/>
        <v>0</v>
      </c>
      <c r="Y240" s="1">
        <f t="shared" si="97"/>
        <v>0</v>
      </c>
      <c r="Z240" s="1">
        <f t="shared" si="98"/>
        <v>0</v>
      </c>
      <c r="AA240" s="1">
        <f t="shared" si="99"/>
        <v>0</v>
      </c>
      <c r="AB240" s="1">
        <f t="shared" si="100"/>
        <v>0</v>
      </c>
      <c r="AD240" s="1">
        <f t="shared" si="101"/>
        <v>0</v>
      </c>
      <c r="AE240" s="1">
        <f t="shared" si="102"/>
        <v>1</v>
      </c>
      <c r="AF240" s="1">
        <f t="shared" si="103"/>
        <v>0</v>
      </c>
      <c r="AG240" s="1">
        <f t="shared" si="104"/>
        <v>1</v>
      </c>
      <c r="AH240" s="1">
        <f t="shared" si="105"/>
        <v>0</v>
      </c>
      <c r="AI240" s="1">
        <f t="shared" si="106"/>
        <v>1</v>
      </c>
    </row>
    <row r="241" spans="1:4094 4097:8191 8194:12288 12291:16384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991</v>
      </c>
      <c r="E241" s="32" t="s">
        <v>166</v>
      </c>
      <c r="F241" s="32" t="s">
        <v>992</v>
      </c>
      <c r="G241" s="32" t="s">
        <v>1080</v>
      </c>
      <c r="H241" s="32" t="s">
        <v>352</v>
      </c>
      <c r="I241" s="31" t="s">
        <v>993</v>
      </c>
      <c r="J241" s="31">
        <v>99</v>
      </c>
      <c r="K241" s="33" t="s">
        <v>941</v>
      </c>
      <c r="L241" s="33" t="s">
        <v>39</v>
      </c>
      <c r="M241" s="34" t="s">
        <v>39</v>
      </c>
      <c r="N241" s="34" t="s">
        <v>1687</v>
      </c>
      <c r="O241" s="35">
        <v>1</v>
      </c>
      <c r="P241" s="35">
        <v>1</v>
      </c>
      <c r="Q241" s="32"/>
      <c r="S241" s="1">
        <f t="shared" si="91"/>
        <v>0</v>
      </c>
      <c r="T241" s="1">
        <f t="shared" si="92"/>
        <v>0</v>
      </c>
      <c r="U241" s="1">
        <f t="shared" si="93"/>
        <v>0</v>
      </c>
      <c r="V241" s="1">
        <f t="shared" si="94"/>
        <v>0</v>
      </c>
      <c r="W241" s="1">
        <f t="shared" si="95"/>
        <v>0</v>
      </c>
      <c r="X241" s="1">
        <f t="shared" si="96"/>
        <v>0</v>
      </c>
      <c r="Y241" s="1">
        <f t="shared" si="97"/>
        <v>0</v>
      </c>
      <c r="Z241" s="1">
        <f t="shared" si="98"/>
        <v>0</v>
      </c>
      <c r="AA241" s="1">
        <f t="shared" si="99"/>
        <v>0</v>
      </c>
      <c r="AB241" s="1">
        <f t="shared" si="100"/>
        <v>0</v>
      </c>
      <c r="AD241" s="1">
        <f t="shared" si="101"/>
        <v>1</v>
      </c>
      <c r="AE241" s="1">
        <f t="shared" si="102"/>
        <v>0</v>
      </c>
      <c r="AF241" s="1">
        <f t="shared" si="103"/>
        <v>1</v>
      </c>
      <c r="AG241" s="1">
        <f t="shared" si="104"/>
        <v>0</v>
      </c>
      <c r="AH241" s="1">
        <f t="shared" si="105"/>
        <v>1</v>
      </c>
      <c r="AI241" s="1">
        <f t="shared" si="106"/>
        <v>0</v>
      </c>
    </row>
    <row r="242" spans="1:4094 4097:8191 8194:12288 12291:16384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93</v>
      </c>
      <c r="E242" s="32" t="s">
        <v>168</v>
      </c>
      <c r="F242" s="32" t="s">
        <v>287</v>
      </c>
      <c r="G242" s="32" t="s">
        <v>193</v>
      </c>
      <c r="H242" s="32" t="s">
        <v>352</v>
      </c>
      <c r="I242" s="31" t="s">
        <v>439</v>
      </c>
      <c r="J242" s="31">
        <v>9</v>
      </c>
      <c r="K242" s="33" t="s">
        <v>693</v>
      </c>
      <c r="L242" s="33" t="s">
        <v>685</v>
      </c>
      <c r="M242" s="34" t="s">
        <v>697</v>
      </c>
      <c r="N242" s="34" t="s">
        <v>1700</v>
      </c>
      <c r="O242" s="35">
        <v>1</v>
      </c>
      <c r="P242" s="35"/>
      <c r="Q242" s="32"/>
      <c r="S242" s="1">
        <f t="shared" si="91"/>
        <v>0</v>
      </c>
      <c r="T242" s="1">
        <f t="shared" si="92"/>
        <v>0</v>
      </c>
      <c r="U242" s="1">
        <f t="shared" si="93"/>
        <v>0</v>
      </c>
      <c r="V242" s="1">
        <f t="shared" si="94"/>
        <v>0</v>
      </c>
      <c r="W242" s="1">
        <f t="shared" si="95"/>
        <v>0</v>
      </c>
      <c r="X242" s="1">
        <f t="shared" si="96"/>
        <v>0</v>
      </c>
      <c r="Y242" s="1">
        <f t="shared" si="97"/>
        <v>0</v>
      </c>
      <c r="Z242" s="1">
        <f t="shared" si="98"/>
        <v>0</v>
      </c>
      <c r="AA242" s="1">
        <f t="shared" si="99"/>
        <v>1</v>
      </c>
      <c r="AB242" s="1">
        <f t="shared" si="100"/>
        <v>0</v>
      </c>
      <c r="AD242" s="1">
        <f t="shared" si="101"/>
        <v>0</v>
      </c>
      <c r="AE242" s="1">
        <f t="shared" si="102"/>
        <v>1</v>
      </c>
      <c r="AF242" s="1">
        <f t="shared" si="103"/>
        <v>0</v>
      </c>
      <c r="AG242" s="1">
        <f t="shared" si="104"/>
        <v>1</v>
      </c>
      <c r="AH242" s="1">
        <f t="shared" si="105"/>
        <v>0</v>
      </c>
      <c r="AI242" s="1">
        <f t="shared" si="106"/>
        <v>1</v>
      </c>
    </row>
    <row r="243" spans="1:4094 4097:8191 8194:12288 12291:16384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1570</v>
      </c>
      <c r="E243" s="32" t="s">
        <v>1571</v>
      </c>
      <c r="F243" s="32" t="s">
        <v>1572</v>
      </c>
      <c r="G243" s="32" t="s">
        <v>191</v>
      </c>
      <c r="H243" s="32" t="s">
        <v>352</v>
      </c>
      <c r="I243" s="31" t="s">
        <v>1573</v>
      </c>
      <c r="J243" s="31">
        <v>10</v>
      </c>
      <c r="K243" s="33" t="s">
        <v>933</v>
      </c>
      <c r="L243" s="33" t="s">
        <v>678</v>
      </c>
      <c r="M243" s="34" t="s">
        <v>1574</v>
      </c>
      <c r="N243" s="34" t="s">
        <v>1696</v>
      </c>
      <c r="O243" s="35">
        <v>1</v>
      </c>
      <c r="P243" s="35"/>
      <c r="Q243" s="32"/>
      <c r="S243" s="1">
        <f t="shared" si="91"/>
        <v>0</v>
      </c>
      <c r="T243" s="1">
        <f t="shared" si="92"/>
        <v>0</v>
      </c>
      <c r="U243" s="1">
        <f t="shared" si="93"/>
        <v>0</v>
      </c>
      <c r="V243" s="1">
        <f t="shared" si="94"/>
        <v>0</v>
      </c>
      <c r="W243" s="1">
        <f t="shared" si="95"/>
        <v>0</v>
      </c>
      <c r="X243" s="1">
        <f t="shared" si="96"/>
        <v>0</v>
      </c>
      <c r="Y243" s="1">
        <f t="shared" si="97"/>
        <v>0</v>
      </c>
      <c r="Z243" s="1">
        <f t="shared" si="98"/>
        <v>0</v>
      </c>
      <c r="AA243" s="1">
        <f t="shared" si="99"/>
        <v>0</v>
      </c>
      <c r="AB243" s="1">
        <f t="shared" si="100"/>
        <v>1</v>
      </c>
      <c r="AD243" s="1">
        <f t="shared" si="101"/>
        <v>0</v>
      </c>
      <c r="AE243" s="1">
        <f t="shared" si="102"/>
        <v>1</v>
      </c>
      <c r="AF243" s="1">
        <f t="shared" si="103"/>
        <v>0</v>
      </c>
      <c r="AG243" s="1">
        <f t="shared" si="104"/>
        <v>1</v>
      </c>
      <c r="AH243" s="1">
        <f t="shared" si="105"/>
        <v>0</v>
      </c>
      <c r="AI243" s="1">
        <f t="shared" si="106"/>
        <v>1</v>
      </c>
    </row>
    <row r="244" spans="1:4094 4097:8191 8194:12288 12291:16384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94</v>
      </c>
      <c r="E244" s="32" t="s">
        <v>164</v>
      </c>
      <c r="F244" s="32" t="s">
        <v>288</v>
      </c>
      <c r="G244" s="32" t="s">
        <v>289</v>
      </c>
      <c r="H244" s="32" t="s">
        <v>352</v>
      </c>
      <c r="I244" s="31" t="s">
        <v>440</v>
      </c>
      <c r="J244" s="31">
        <v>7</v>
      </c>
      <c r="K244" s="33" t="s">
        <v>693</v>
      </c>
      <c r="L244" s="33" t="s">
        <v>685</v>
      </c>
      <c r="M244" s="34" t="s">
        <v>689</v>
      </c>
      <c r="N244" s="34" t="s">
        <v>1701</v>
      </c>
      <c r="O244" s="35">
        <v>1</v>
      </c>
      <c r="P244" s="35"/>
      <c r="Q244" s="32"/>
      <c r="S244" s="1">
        <f t="shared" si="91"/>
        <v>0</v>
      </c>
      <c r="T244" s="1">
        <f t="shared" si="92"/>
        <v>0</v>
      </c>
      <c r="U244" s="1">
        <f t="shared" si="93"/>
        <v>0</v>
      </c>
      <c r="V244" s="1">
        <f t="shared" si="94"/>
        <v>0</v>
      </c>
      <c r="W244" s="1">
        <f t="shared" si="95"/>
        <v>0</v>
      </c>
      <c r="X244" s="1">
        <f t="shared" si="96"/>
        <v>0</v>
      </c>
      <c r="Y244" s="1">
        <f t="shared" si="97"/>
        <v>1</v>
      </c>
      <c r="Z244" s="1">
        <f t="shared" si="98"/>
        <v>0</v>
      </c>
      <c r="AA244" s="1">
        <f t="shared" si="99"/>
        <v>0</v>
      </c>
      <c r="AB244" s="1">
        <f t="shared" si="100"/>
        <v>0</v>
      </c>
      <c r="AD244" s="1">
        <f t="shared" si="101"/>
        <v>0</v>
      </c>
      <c r="AE244" s="1">
        <f t="shared" si="102"/>
        <v>1</v>
      </c>
      <c r="AF244" s="1">
        <f t="shared" si="103"/>
        <v>0</v>
      </c>
      <c r="AG244" s="1">
        <f t="shared" si="104"/>
        <v>1</v>
      </c>
      <c r="AH244" s="1">
        <f t="shared" si="105"/>
        <v>0</v>
      </c>
      <c r="AI244" s="1">
        <f t="shared" si="106"/>
        <v>1</v>
      </c>
    </row>
    <row r="245" spans="1:4094 4097:8191 8194:12288 12291:16384" s="1" customFormat="1" ht="14.25" customHeight="1" x14ac:dyDescent="0.25">
      <c r="A245" s="31">
        <v>0</v>
      </c>
      <c r="B245" s="31">
        <v>1</v>
      </c>
      <c r="C245" s="31">
        <v>6</v>
      </c>
      <c r="D245" s="32" t="s">
        <v>1062</v>
      </c>
      <c r="E245" s="32" t="s">
        <v>166</v>
      </c>
      <c r="F245" s="32" t="s">
        <v>652</v>
      </c>
      <c r="G245" s="32" t="s">
        <v>178</v>
      </c>
      <c r="H245" s="32" t="s">
        <v>352</v>
      </c>
      <c r="I245" s="31" t="s">
        <v>379</v>
      </c>
      <c r="J245" s="31">
        <v>10</v>
      </c>
      <c r="K245" s="33" t="s">
        <v>713</v>
      </c>
      <c r="L245" s="33" t="s">
        <v>695</v>
      </c>
      <c r="M245" s="34" t="s">
        <v>698</v>
      </c>
      <c r="N245" s="34" t="s">
        <v>1702</v>
      </c>
      <c r="O245" s="35">
        <v>1</v>
      </c>
      <c r="P245" s="35"/>
      <c r="Q245" s="32"/>
      <c r="R245" s="15"/>
      <c r="S245" s="1">
        <f t="shared" si="91"/>
        <v>0</v>
      </c>
      <c r="T245" s="1">
        <f t="shared" si="92"/>
        <v>0</v>
      </c>
      <c r="U245" s="1">
        <f t="shared" si="93"/>
        <v>0</v>
      </c>
      <c r="V245" s="1">
        <f t="shared" si="94"/>
        <v>0</v>
      </c>
      <c r="W245" s="1">
        <f t="shared" si="95"/>
        <v>0</v>
      </c>
      <c r="X245" s="1">
        <f t="shared" si="96"/>
        <v>0</v>
      </c>
      <c r="Y245" s="1">
        <f t="shared" si="97"/>
        <v>0</v>
      </c>
      <c r="Z245" s="1">
        <f t="shared" si="98"/>
        <v>0</v>
      </c>
      <c r="AA245" s="1">
        <f t="shared" si="99"/>
        <v>0</v>
      </c>
      <c r="AB245" s="1">
        <f t="shared" si="100"/>
        <v>1</v>
      </c>
      <c r="AD245" s="1">
        <f t="shared" si="101"/>
        <v>0</v>
      </c>
      <c r="AE245" s="1">
        <f t="shared" si="102"/>
        <v>1</v>
      </c>
      <c r="AF245" s="1">
        <f t="shared" si="103"/>
        <v>0</v>
      </c>
      <c r="AG245" s="1">
        <f t="shared" si="104"/>
        <v>1</v>
      </c>
      <c r="AH245" s="1">
        <f t="shared" si="105"/>
        <v>0</v>
      </c>
      <c r="AI245" s="1">
        <f t="shared" si="106"/>
        <v>1</v>
      </c>
      <c r="AJ245" s="15"/>
      <c r="AK245" s="15"/>
      <c r="AL245" s="16"/>
      <c r="AM245" s="16"/>
      <c r="AN245" s="16"/>
      <c r="AO245" s="16"/>
      <c r="AP245" s="16"/>
      <c r="AQ245" s="15"/>
      <c r="AR245" s="15"/>
      <c r="AS245" s="10"/>
      <c r="AT245" s="10"/>
      <c r="AU245" s="19"/>
      <c r="AV245" s="19"/>
      <c r="AY245" s="16"/>
      <c r="AZ245" s="15"/>
      <c r="BA245" s="15"/>
      <c r="BB245" s="15"/>
      <c r="BC245" s="16"/>
      <c r="BD245" s="16"/>
      <c r="BE245" s="16"/>
      <c r="BF245" s="16"/>
      <c r="BG245" s="16"/>
      <c r="BH245" s="15"/>
      <c r="BI245" s="15"/>
      <c r="BJ245" s="10"/>
      <c r="BK245" s="10"/>
      <c r="BL245" s="19"/>
      <c r="BM245" s="19"/>
      <c r="BP245" s="16"/>
      <c r="BQ245" s="15"/>
      <c r="BR245" s="15"/>
      <c r="BS245" s="15"/>
      <c r="BT245" s="16"/>
      <c r="BU245" s="16"/>
      <c r="BV245" s="16"/>
      <c r="BW245" s="16"/>
      <c r="BX245" s="16"/>
      <c r="BY245" s="15"/>
      <c r="BZ245" s="15"/>
      <c r="CA245" s="10"/>
      <c r="CB245" s="10"/>
      <c r="CC245" s="19"/>
      <c r="CD245" s="19"/>
      <c r="CG245" s="16"/>
      <c r="CH245" s="15"/>
      <c r="CI245" s="15"/>
      <c r="CJ245" s="15"/>
      <c r="CK245" s="16"/>
      <c r="CL245" s="16"/>
      <c r="CM245" s="16"/>
      <c r="CN245" s="16"/>
      <c r="CO245" s="16"/>
      <c r="CP245" s="15"/>
      <c r="CQ245" s="15"/>
      <c r="CR245" s="10"/>
      <c r="CS245" s="10"/>
      <c r="CT245" s="19"/>
      <c r="CU245" s="19"/>
      <c r="CX245" s="16"/>
      <c r="CY245" s="15"/>
      <c r="CZ245" s="15"/>
      <c r="DA245" s="15"/>
      <c r="DB245" s="16"/>
      <c r="DC245" s="16"/>
      <c r="DD245" s="16"/>
      <c r="DE245" s="16"/>
      <c r="DF245" s="16"/>
      <c r="DG245" s="15"/>
      <c r="DH245" s="15"/>
      <c r="DI245" s="10"/>
      <c r="DJ245" s="10"/>
      <c r="DK245" s="19"/>
      <c r="DL245" s="19"/>
      <c r="DO245" s="16"/>
      <c r="DP245" s="15"/>
      <c r="DQ245" s="15"/>
      <c r="DR245" s="15"/>
      <c r="DS245" s="16"/>
      <c r="DT245" s="16"/>
      <c r="DU245" s="16"/>
      <c r="DV245" s="16"/>
      <c r="DW245" s="16"/>
      <c r="DX245" s="15"/>
      <c r="DY245" s="15"/>
      <c r="DZ245" s="10"/>
      <c r="EA245" s="10"/>
      <c r="EB245" s="19"/>
      <c r="EC245" s="19"/>
      <c r="EF245" s="16"/>
      <c r="EG245" s="15"/>
      <c r="EH245" s="15"/>
      <c r="EI245" s="15"/>
      <c r="EJ245" s="16"/>
      <c r="EK245" s="16"/>
      <c r="EL245" s="16"/>
      <c r="EM245" s="16"/>
      <c r="EN245" s="16"/>
      <c r="EO245" s="15"/>
      <c r="EP245" s="15"/>
      <c r="EQ245" s="10"/>
      <c r="ER245" s="10"/>
      <c r="ES245" s="19"/>
      <c r="ET245" s="19"/>
      <c r="EW245" s="16"/>
      <c r="EX245" s="15"/>
      <c r="EY245" s="15"/>
      <c r="EZ245" s="15"/>
      <c r="FA245" s="16"/>
      <c r="FB245" s="16"/>
      <c r="FC245" s="16"/>
      <c r="FD245" s="16"/>
      <c r="FE245" s="16"/>
      <c r="FF245" s="15"/>
      <c r="FG245" s="15"/>
      <c r="FH245" s="10"/>
      <c r="FI245" s="10"/>
      <c r="FJ245" s="19"/>
      <c r="FK245" s="19"/>
      <c r="FN245" s="16"/>
      <c r="FO245" s="15"/>
      <c r="FP245" s="15"/>
      <c r="FQ245" s="15"/>
      <c r="FR245" s="16"/>
      <c r="FS245" s="16"/>
      <c r="FT245" s="16"/>
      <c r="FU245" s="16"/>
      <c r="FV245" s="16"/>
      <c r="FW245" s="15"/>
      <c r="FX245" s="15"/>
      <c r="FY245" s="10"/>
      <c r="FZ245" s="10"/>
      <c r="GA245" s="19"/>
      <c r="GB245" s="19"/>
      <c r="GE245" s="16"/>
      <c r="GF245" s="15"/>
      <c r="GG245" s="15"/>
      <c r="GH245" s="15"/>
      <c r="GI245" s="16"/>
      <c r="GJ245" s="16"/>
      <c r="GK245" s="16"/>
      <c r="GL245" s="16"/>
      <c r="GM245" s="16"/>
      <c r="GN245" s="15"/>
      <c r="GO245" s="15"/>
      <c r="GP245" s="10"/>
      <c r="GQ245" s="10"/>
      <c r="GR245" s="19"/>
      <c r="GS245" s="19"/>
      <c r="GV245" s="16"/>
      <c r="GW245" s="15"/>
      <c r="GX245" s="15"/>
      <c r="GY245" s="15"/>
      <c r="GZ245" s="16"/>
      <c r="HA245" s="16"/>
      <c r="HB245" s="16"/>
      <c r="HC245" s="16"/>
      <c r="HD245" s="16"/>
      <c r="HE245" s="15"/>
      <c r="HF245" s="15"/>
      <c r="HG245" s="10"/>
      <c r="HH245" s="10"/>
      <c r="HI245" s="19"/>
      <c r="HJ245" s="19"/>
      <c r="HM245" s="16"/>
      <c r="HN245" s="15"/>
      <c r="HO245" s="15"/>
      <c r="HP245" s="15"/>
      <c r="HQ245" s="16"/>
      <c r="HR245" s="16"/>
      <c r="HS245" s="16"/>
      <c r="HT245" s="16"/>
      <c r="HU245" s="16"/>
      <c r="HV245" s="15"/>
      <c r="HW245" s="15"/>
      <c r="HX245" s="10"/>
      <c r="HY245" s="10"/>
      <c r="HZ245" s="19"/>
      <c r="IA245" s="19"/>
      <c r="ID245" s="16"/>
      <c r="IE245" s="15"/>
      <c r="IF245" s="15"/>
      <c r="IG245" s="15"/>
      <c r="IH245" s="16"/>
      <c r="II245" s="16"/>
      <c r="IJ245" s="16"/>
      <c r="IK245" s="16"/>
      <c r="IL245" s="16"/>
      <c r="IM245" s="15"/>
      <c r="IN245" s="15"/>
      <c r="IO245" s="10"/>
      <c r="IP245" s="10"/>
      <c r="IQ245" s="19"/>
      <c r="IR245" s="19"/>
      <c r="IU245" s="16"/>
      <c r="IV245" s="15"/>
      <c r="IW245" s="15"/>
      <c r="IX245" s="15"/>
      <c r="IY245" s="16"/>
      <c r="IZ245" s="16"/>
      <c r="JA245" s="16"/>
      <c r="JB245" s="16"/>
      <c r="JC245" s="16"/>
      <c r="JD245" s="15"/>
      <c r="JE245" s="15"/>
      <c r="JF245" s="10"/>
      <c r="JG245" s="10"/>
      <c r="JH245" s="19"/>
      <c r="JI245" s="19"/>
      <c r="JL245" s="16"/>
      <c r="JM245" s="15"/>
      <c r="JN245" s="15"/>
      <c r="JO245" s="15"/>
      <c r="JP245" s="16"/>
      <c r="JQ245" s="16"/>
      <c r="JR245" s="16"/>
      <c r="JS245" s="16"/>
      <c r="JT245" s="16"/>
      <c r="JU245" s="15"/>
      <c r="JV245" s="15"/>
      <c r="JW245" s="10"/>
      <c r="JX245" s="10"/>
      <c r="JY245" s="19"/>
      <c r="JZ245" s="19"/>
      <c r="KC245" s="16"/>
      <c r="KD245" s="15"/>
      <c r="KE245" s="15"/>
      <c r="KF245" s="15"/>
      <c r="KG245" s="16"/>
      <c r="KH245" s="16"/>
      <c r="KI245" s="16"/>
      <c r="KJ245" s="16"/>
      <c r="KK245" s="16"/>
      <c r="KL245" s="15"/>
      <c r="KM245" s="15"/>
      <c r="KN245" s="10"/>
      <c r="KO245" s="10"/>
      <c r="KP245" s="19"/>
      <c r="KQ245" s="19"/>
      <c r="KT245" s="16"/>
      <c r="KU245" s="15"/>
      <c r="KV245" s="15"/>
      <c r="KW245" s="15"/>
      <c r="KX245" s="16"/>
      <c r="KY245" s="16"/>
      <c r="KZ245" s="16"/>
      <c r="LA245" s="16"/>
      <c r="LB245" s="16"/>
      <c r="LC245" s="15"/>
      <c r="LD245" s="15"/>
      <c r="LE245" s="10"/>
      <c r="LF245" s="10"/>
      <c r="LG245" s="19"/>
      <c r="LH245" s="19"/>
      <c r="LK245" s="16"/>
      <c r="LL245" s="15"/>
      <c r="LM245" s="15"/>
      <c r="LN245" s="15"/>
      <c r="LO245" s="16"/>
      <c r="LP245" s="16"/>
      <c r="LQ245" s="16"/>
      <c r="LR245" s="16"/>
      <c r="LS245" s="16"/>
      <c r="LT245" s="15"/>
      <c r="LU245" s="15"/>
      <c r="LV245" s="10"/>
      <c r="LW245" s="10"/>
      <c r="LX245" s="19"/>
      <c r="LY245" s="19"/>
      <c r="MB245" s="16"/>
      <c r="MC245" s="15"/>
      <c r="MD245" s="15"/>
      <c r="ME245" s="15"/>
      <c r="MF245" s="16"/>
      <c r="MG245" s="16"/>
      <c r="MH245" s="16"/>
      <c r="MI245" s="16"/>
      <c r="MJ245" s="16"/>
      <c r="MK245" s="15"/>
      <c r="ML245" s="15"/>
      <c r="MM245" s="10"/>
      <c r="MN245" s="10"/>
      <c r="MO245" s="19"/>
      <c r="MP245" s="19"/>
      <c r="MS245" s="16"/>
      <c r="MT245" s="15"/>
      <c r="MU245" s="15"/>
      <c r="MV245" s="15"/>
      <c r="MW245" s="16"/>
      <c r="MX245" s="16"/>
      <c r="MY245" s="16"/>
      <c r="MZ245" s="16"/>
      <c r="NA245" s="16"/>
      <c r="NB245" s="15"/>
      <c r="NC245" s="15"/>
      <c r="ND245" s="10"/>
      <c r="NE245" s="10"/>
      <c r="NF245" s="19"/>
      <c r="NG245" s="19"/>
      <c r="NJ245" s="16"/>
      <c r="NK245" s="15"/>
      <c r="NL245" s="15"/>
      <c r="NM245" s="15"/>
      <c r="NN245" s="16"/>
      <c r="NO245" s="16"/>
      <c r="NP245" s="16"/>
      <c r="NQ245" s="16"/>
      <c r="NR245" s="16"/>
      <c r="NS245" s="15"/>
      <c r="NT245" s="15"/>
      <c r="NU245" s="10"/>
      <c r="NV245" s="10"/>
      <c r="NW245" s="19"/>
      <c r="NX245" s="19"/>
      <c r="OA245" s="16"/>
      <c r="OB245" s="15"/>
      <c r="OC245" s="15"/>
      <c r="OD245" s="15"/>
      <c r="OE245" s="16"/>
      <c r="OF245" s="16"/>
      <c r="OG245" s="16"/>
      <c r="OH245" s="16"/>
      <c r="OI245" s="16"/>
      <c r="OJ245" s="15"/>
      <c r="OK245" s="15"/>
      <c r="OL245" s="10"/>
      <c r="OM245" s="10"/>
      <c r="ON245" s="19"/>
      <c r="OO245" s="19"/>
      <c r="OR245" s="16"/>
      <c r="OS245" s="15"/>
      <c r="OT245" s="15"/>
      <c r="OU245" s="15"/>
      <c r="OV245" s="16"/>
      <c r="OW245" s="16"/>
      <c r="OX245" s="16"/>
      <c r="OY245" s="16"/>
      <c r="OZ245" s="16"/>
      <c r="PA245" s="15"/>
      <c r="PB245" s="15"/>
      <c r="PC245" s="10"/>
      <c r="PD245" s="10"/>
      <c r="PE245" s="19"/>
      <c r="PF245" s="19"/>
      <c r="PI245" s="16"/>
      <c r="PJ245" s="15"/>
      <c r="PK245" s="15"/>
      <c r="PL245" s="15"/>
      <c r="PM245" s="16"/>
      <c r="PN245" s="16"/>
      <c r="PO245" s="16"/>
      <c r="PP245" s="16"/>
      <c r="PQ245" s="16"/>
      <c r="PR245" s="15"/>
      <c r="PS245" s="15"/>
      <c r="PT245" s="10"/>
      <c r="PU245" s="10"/>
      <c r="PV245" s="19"/>
      <c r="PW245" s="19"/>
      <c r="PZ245" s="16"/>
      <c r="QA245" s="15"/>
      <c r="QB245" s="15"/>
      <c r="QC245" s="15"/>
      <c r="QD245" s="16"/>
      <c r="QE245" s="16"/>
      <c r="QF245" s="16"/>
      <c r="QG245" s="16"/>
      <c r="QH245" s="16"/>
      <c r="QI245" s="15"/>
      <c r="QJ245" s="15"/>
      <c r="QK245" s="10"/>
      <c r="QL245" s="10"/>
      <c r="QM245" s="19"/>
      <c r="QN245" s="19"/>
      <c r="QQ245" s="16"/>
      <c r="QR245" s="15"/>
      <c r="QS245" s="15"/>
      <c r="QT245" s="15"/>
      <c r="QU245" s="16"/>
      <c r="QV245" s="16"/>
      <c r="QW245" s="16"/>
      <c r="QX245" s="16"/>
      <c r="QY245" s="16"/>
      <c r="QZ245" s="15"/>
      <c r="RA245" s="15"/>
      <c r="RB245" s="10"/>
      <c r="RC245" s="10"/>
      <c r="RD245" s="19"/>
      <c r="RE245" s="19"/>
      <c r="RH245" s="16"/>
      <c r="RI245" s="15"/>
      <c r="RJ245" s="15"/>
      <c r="RK245" s="15"/>
      <c r="RL245" s="16"/>
      <c r="RM245" s="16"/>
      <c r="RN245" s="16"/>
      <c r="RO245" s="16"/>
      <c r="RP245" s="16"/>
      <c r="RQ245" s="15"/>
      <c r="RR245" s="15"/>
      <c r="RS245" s="10"/>
      <c r="RT245" s="10"/>
      <c r="RU245" s="19"/>
      <c r="RV245" s="19"/>
      <c r="RY245" s="16"/>
      <c r="RZ245" s="15"/>
      <c r="SA245" s="15"/>
      <c r="SB245" s="15"/>
      <c r="SC245" s="16"/>
      <c r="SD245" s="16"/>
      <c r="SE245" s="16"/>
      <c r="SF245" s="16"/>
      <c r="SG245" s="16"/>
      <c r="SH245" s="15"/>
      <c r="SI245" s="15"/>
      <c r="SJ245" s="10"/>
      <c r="SK245" s="10"/>
      <c r="SL245" s="19"/>
      <c r="SM245" s="19"/>
      <c r="SP245" s="16"/>
      <c r="SQ245" s="15"/>
      <c r="SR245" s="15"/>
      <c r="SS245" s="15"/>
      <c r="ST245" s="16"/>
      <c r="SU245" s="16"/>
      <c r="SV245" s="16"/>
      <c r="SW245" s="16"/>
      <c r="SX245" s="16"/>
      <c r="SY245" s="15"/>
      <c r="SZ245" s="15"/>
      <c r="TA245" s="10"/>
      <c r="TB245" s="10"/>
      <c r="TC245" s="19"/>
      <c r="TD245" s="19"/>
      <c r="TG245" s="16"/>
      <c r="TH245" s="15"/>
      <c r="TI245" s="15"/>
      <c r="TJ245" s="15"/>
      <c r="TK245" s="16"/>
      <c r="TL245" s="16"/>
      <c r="TM245" s="16"/>
      <c r="TN245" s="16"/>
      <c r="TO245" s="16"/>
      <c r="TP245" s="15"/>
      <c r="TQ245" s="15"/>
      <c r="TR245" s="10"/>
      <c r="TS245" s="10"/>
      <c r="TT245" s="19"/>
      <c r="TU245" s="19"/>
      <c r="TX245" s="16"/>
      <c r="TY245" s="15"/>
      <c r="TZ245" s="15"/>
      <c r="UA245" s="15"/>
      <c r="UB245" s="16"/>
      <c r="UC245" s="16"/>
      <c r="UD245" s="16"/>
      <c r="UE245" s="16"/>
      <c r="UF245" s="16"/>
      <c r="UG245" s="15"/>
      <c r="UH245" s="15"/>
      <c r="UI245" s="10"/>
      <c r="UJ245" s="10"/>
      <c r="UK245" s="19"/>
      <c r="UL245" s="19"/>
      <c r="UO245" s="16"/>
      <c r="UP245" s="15"/>
      <c r="UQ245" s="15"/>
      <c r="UR245" s="15"/>
      <c r="US245" s="16"/>
      <c r="UT245" s="16"/>
      <c r="UU245" s="16"/>
      <c r="UV245" s="16"/>
      <c r="UW245" s="16"/>
      <c r="UX245" s="15"/>
      <c r="UY245" s="15"/>
      <c r="UZ245" s="10"/>
      <c r="VA245" s="10"/>
      <c r="VB245" s="19"/>
      <c r="VC245" s="19"/>
      <c r="VF245" s="16"/>
      <c r="VG245" s="15"/>
      <c r="VH245" s="15"/>
      <c r="VI245" s="15"/>
      <c r="VJ245" s="16"/>
      <c r="VK245" s="16"/>
      <c r="VL245" s="16"/>
      <c r="VM245" s="16"/>
      <c r="VN245" s="16"/>
      <c r="VO245" s="15"/>
      <c r="VP245" s="15"/>
      <c r="VQ245" s="10"/>
      <c r="VR245" s="10"/>
      <c r="VS245" s="19"/>
      <c r="VT245" s="19"/>
      <c r="VW245" s="16"/>
      <c r="VX245" s="15"/>
      <c r="VY245" s="15"/>
      <c r="VZ245" s="15"/>
      <c r="WA245" s="16"/>
      <c r="WB245" s="16"/>
      <c r="WC245" s="16"/>
      <c r="WD245" s="16"/>
      <c r="WE245" s="16"/>
      <c r="WF245" s="15"/>
      <c r="WG245" s="15"/>
      <c r="WH245" s="10"/>
      <c r="WI245" s="10"/>
      <c r="WJ245" s="19"/>
      <c r="WK245" s="19"/>
      <c r="WN245" s="16"/>
      <c r="WO245" s="15"/>
      <c r="WP245" s="15"/>
      <c r="WQ245" s="15"/>
      <c r="WR245" s="16"/>
      <c r="WS245" s="16"/>
      <c r="WT245" s="16"/>
      <c r="WU245" s="16"/>
      <c r="WV245" s="16"/>
      <c r="WW245" s="15"/>
      <c r="WX245" s="15"/>
      <c r="WY245" s="10"/>
      <c r="WZ245" s="10"/>
      <c r="XA245" s="19"/>
      <c r="XB245" s="19"/>
      <c r="XE245" s="16"/>
      <c r="XF245" s="15"/>
      <c r="XG245" s="15"/>
      <c r="XH245" s="15"/>
      <c r="XI245" s="16"/>
      <c r="XJ245" s="16"/>
      <c r="XK245" s="16"/>
      <c r="XL245" s="16"/>
      <c r="XM245" s="16"/>
      <c r="XN245" s="15"/>
      <c r="XO245" s="15"/>
      <c r="XP245" s="10"/>
      <c r="XQ245" s="10"/>
      <c r="XR245" s="19"/>
      <c r="XS245" s="19"/>
      <c r="XV245" s="16"/>
      <c r="XW245" s="15"/>
      <c r="XX245" s="15"/>
      <c r="XY245" s="15"/>
      <c r="XZ245" s="16"/>
      <c r="YA245" s="16"/>
      <c r="YB245" s="16"/>
      <c r="YC245" s="16"/>
      <c r="YD245" s="16"/>
      <c r="YE245" s="15"/>
      <c r="YF245" s="15"/>
      <c r="YG245" s="10"/>
      <c r="YH245" s="10"/>
      <c r="YI245" s="19"/>
      <c r="YJ245" s="19"/>
      <c r="YM245" s="16"/>
      <c r="YN245" s="15"/>
      <c r="YO245" s="15"/>
      <c r="YP245" s="15"/>
      <c r="YQ245" s="16"/>
      <c r="YR245" s="16"/>
      <c r="YS245" s="16"/>
      <c r="YT245" s="16"/>
      <c r="YU245" s="16"/>
      <c r="YV245" s="15"/>
      <c r="YW245" s="15"/>
      <c r="YX245" s="10"/>
      <c r="YY245" s="10"/>
      <c r="YZ245" s="19"/>
      <c r="ZA245" s="19"/>
      <c r="ZD245" s="16"/>
      <c r="ZE245" s="15"/>
      <c r="ZF245" s="15"/>
      <c r="ZG245" s="15"/>
      <c r="ZH245" s="16"/>
      <c r="ZI245" s="16"/>
      <c r="ZJ245" s="16"/>
      <c r="ZK245" s="16"/>
      <c r="ZL245" s="16"/>
      <c r="ZM245" s="15"/>
      <c r="ZN245" s="15"/>
      <c r="ZO245" s="10"/>
      <c r="ZP245" s="10"/>
      <c r="ZQ245" s="19"/>
      <c r="ZR245" s="19"/>
      <c r="ZU245" s="16"/>
      <c r="ZV245" s="15"/>
      <c r="ZW245" s="15"/>
      <c r="ZX245" s="15"/>
      <c r="ZY245" s="16"/>
      <c r="ZZ245" s="16"/>
      <c r="AAA245" s="16"/>
      <c r="AAB245" s="16"/>
      <c r="AAC245" s="16"/>
      <c r="AAD245" s="15"/>
      <c r="AAE245" s="15"/>
      <c r="AAF245" s="10"/>
      <c r="AAG245" s="10"/>
      <c r="AAH245" s="19"/>
      <c r="AAI245" s="19"/>
      <c r="AAL245" s="16"/>
      <c r="AAM245" s="15"/>
      <c r="AAN245" s="15"/>
      <c r="AAO245" s="15"/>
      <c r="AAP245" s="16"/>
      <c r="AAQ245" s="16"/>
      <c r="AAR245" s="16"/>
      <c r="AAS245" s="16"/>
      <c r="AAT245" s="16"/>
      <c r="AAU245" s="15"/>
      <c r="AAV245" s="15"/>
      <c r="AAW245" s="10"/>
      <c r="AAX245" s="10"/>
      <c r="AAY245" s="19"/>
      <c r="AAZ245" s="19"/>
      <c r="ABC245" s="16"/>
      <c r="ABD245" s="15"/>
      <c r="ABE245" s="15"/>
      <c r="ABF245" s="15"/>
      <c r="ABG245" s="16"/>
      <c r="ABH245" s="16"/>
      <c r="ABI245" s="16"/>
      <c r="ABJ245" s="16"/>
      <c r="ABK245" s="16"/>
      <c r="ABL245" s="15"/>
      <c r="ABM245" s="15"/>
      <c r="ABN245" s="10"/>
      <c r="ABO245" s="10"/>
      <c r="ABP245" s="19"/>
      <c r="ABQ245" s="19"/>
      <c r="ABT245" s="16"/>
      <c r="ABU245" s="15"/>
      <c r="ABV245" s="15"/>
      <c r="ABW245" s="15"/>
      <c r="ABX245" s="16"/>
      <c r="ABY245" s="16"/>
      <c r="ABZ245" s="16"/>
      <c r="ACA245" s="16"/>
      <c r="ACB245" s="16"/>
      <c r="ACC245" s="15"/>
      <c r="ACD245" s="15"/>
      <c r="ACE245" s="10"/>
      <c r="ACF245" s="10"/>
      <c r="ACG245" s="19"/>
      <c r="ACH245" s="19"/>
      <c r="ACK245" s="16"/>
      <c r="ACL245" s="15"/>
      <c r="ACM245" s="15"/>
      <c r="ACN245" s="15"/>
      <c r="ACO245" s="16"/>
      <c r="ACP245" s="16"/>
      <c r="ACQ245" s="16"/>
      <c r="ACR245" s="16"/>
      <c r="ACS245" s="16"/>
      <c r="ACT245" s="15"/>
      <c r="ACU245" s="15"/>
      <c r="ACV245" s="10"/>
      <c r="ACW245" s="10"/>
      <c r="ACX245" s="19"/>
      <c r="ACY245" s="19"/>
      <c r="ADB245" s="16"/>
      <c r="ADC245" s="15"/>
      <c r="ADD245" s="15"/>
      <c r="ADE245" s="15"/>
      <c r="ADF245" s="16"/>
      <c r="ADG245" s="16"/>
      <c r="ADH245" s="16"/>
      <c r="ADI245" s="16"/>
      <c r="ADJ245" s="16"/>
      <c r="ADK245" s="15"/>
      <c r="ADL245" s="15"/>
      <c r="ADM245" s="10"/>
      <c r="ADN245" s="10"/>
      <c r="ADO245" s="19"/>
      <c r="ADP245" s="19"/>
      <c r="ADS245" s="16"/>
      <c r="ADT245" s="15"/>
      <c r="ADU245" s="15"/>
      <c r="ADV245" s="15"/>
      <c r="ADW245" s="16"/>
      <c r="ADX245" s="16"/>
      <c r="ADY245" s="16"/>
      <c r="ADZ245" s="16"/>
      <c r="AEA245" s="16"/>
      <c r="AEB245" s="15"/>
      <c r="AEC245" s="15"/>
      <c r="AED245" s="10"/>
      <c r="AEE245" s="10"/>
      <c r="AEF245" s="19"/>
      <c r="AEG245" s="19"/>
      <c r="AEJ245" s="16"/>
      <c r="AEK245" s="15"/>
      <c r="AEL245" s="15"/>
      <c r="AEM245" s="15"/>
      <c r="AEN245" s="16"/>
      <c r="AEO245" s="16"/>
      <c r="AEP245" s="16"/>
      <c r="AEQ245" s="16"/>
      <c r="AER245" s="16"/>
      <c r="AES245" s="15"/>
      <c r="AET245" s="15"/>
      <c r="AEU245" s="10"/>
      <c r="AEV245" s="10"/>
      <c r="AEW245" s="19"/>
      <c r="AEX245" s="19"/>
      <c r="AFA245" s="16"/>
      <c r="AFB245" s="15"/>
      <c r="AFC245" s="15"/>
      <c r="AFD245" s="15"/>
      <c r="AFE245" s="16"/>
      <c r="AFF245" s="16"/>
      <c r="AFG245" s="16"/>
      <c r="AFH245" s="16"/>
      <c r="AFI245" s="16"/>
      <c r="AFJ245" s="15"/>
      <c r="AFK245" s="15"/>
      <c r="AFL245" s="10"/>
      <c r="AFM245" s="10"/>
      <c r="AFN245" s="19"/>
      <c r="AFO245" s="19"/>
      <c r="AFR245" s="16"/>
      <c r="AFS245" s="15"/>
      <c r="AFT245" s="15"/>
      <c r="AFU245" s="15"/>
      <c r="AFV245" s="16"/>
      <c r="AFW245" s="16"/>
      <c r="AFX245" s="16"/>
      <c r="AFY245" s="16"/>
      <c r="AFZ245" s="16"/>
      <c r="AGA245" s="15"/>
      <c r="AGB245" s="15"/>
      <c r="AGC245" s="10"/>
      <c r="AGD245" s="10"/>
      <c r="AGE245" s="19"/>
      <c r="AGF245" s="19"/>
      <c r="AGI245" s="16"/>
      <c r="AGJ245" s="15"/>
      <c r="AGK245" s="15"/>
      <c r="AGL245" s="15"/>
      <c r="AGM245" s="16"/>
      <c r="AGN245" s="16"/>
      <c r="AGO245" s="16"/>
      <c r="AGP245" s="16"/>
      <c r="AGQ245" s="16"/>
      <c r="AGR245" s="15"/>
      <c r="AGS245" s="15"/>
      <c r="AGT245" s="10"/>
      <c r="AGU245" s="10"/>
      <c r="AGV245" s="19"/>
      <c r="AGW245" s="19"/>
      <c r="AGZ245" s="16"/>
      <c r="AHA245" s="15"/>
      <c r="AHB245" s="15"/>
      <c r="AHC245" s="15"/>
      <c r="AHD245" s="16"/>
      <c r="AHE245" s="16"/>
      <c r="AHF245" s="16"/>
      <c r="AHG245" s="16"/>
      <c r="AHH245" s="16"/>
      <c r="AHI245" s="15"/>
      <c r="AHJ245" s="15"/>
      <c r="AHK245" s="10"/>
      <c r="AHL245" s="10"/>
      <c r="AHM245" s="19"/>
      <c r="AHN245" s="19"/>
      <c r="AHQ245" s="16"/>
      <c r="AHR245" s="15"/>
      <c r="AHS245" s="15"/>
      <c r="AHT245" s="15"/>
      <c r="AHU245" s="16"/>
      <c r="AHV245" s="16"/>
      <c r="AHW245" s="16"/>
      <c r="AHX245" s="16"/>
      <c r="AHY245" s="16"/>
      <c r="AHZ245" s="15"/>
      <c r="AIA245" s="15"/>
      <c r="AIB245" s="10"/>
      <c r="AIC245" s="10"/>
      <c r="AID245" s="19"/>
      <c r="AIE245" s="19"/>
      <c r="AIH245" s="16"/>
      <c r="AII245" s="15"/>
      <c r="AIJ245" s="15"/>
      <c r="AIK245" s="15"/>
      <c r="AIL245" s="16"/>
      <c r="AIM245" s="16"/>
      <c r="AIN245" s="16"/>
      <c r="AIO245" s="16"/>
      <c r="AIP245" s="16"/>
      <c r="AIQ245" s="15"/>
      <c r="AIR245" s="15"/>
      <c r="AIS245" s="10"/>
      <c r="AIT245" s="10"/>
      <c r="AIU245" s="19"/>
      <c r="AIV245" s="19"/>
      <c r="AIY245" s="16"/>
      <c r="AIZ245" s="15"/>
      <c r="AJA245" s="15"/>
      <c r="AJB245" s="15"/>
      <c r="AJC245" s="16"/>
      <c r="AJD245" s="16"/>
      <c r="AJE245" s="16"/>
      <c r="AJF245" s="16"/>
      <c r="AJG245" s="16"/>
      <c r="AJH245" s="15"/>
      <c r="AJI245" s="15"/>
      <c r="AJJ245" s="10"/>
      <c r="AJK245" s="10"/>
      <c r="AJL245" s="19"/>
      <c r="AJM245" s="19"/>
      <c r="AJP245" s="16"/>
      <c r="AJQ245" s="15"/>
      <c r="AJR245" s="15"/>
      <c r="AJS245" s="15"/>
      <c r="AJT245" s="16"/>
      <c r="AJU245" s="16"/>
      <c r="AJV245" s="16"/>
      <c r="AJW245" s="16"/>
      <c r="AJX245" s="16"/>
      <c r="AJY245" s="15"/>
      <c r="AJZ245" s="15"/>
      <c r="AKA245" s="10"/>
      <c r="AKB245" s="10"/>
      <c r="AKC245" s="19"/>
      <c r="AKD245" s="19"/>
      <c r="AKG245" s="16"/>
      <c r="AKH245" s="15"/>
      <c r="AKI245" s="15"/>
      <c r="AKJ245" s="15"/>
      <c r="AKK245" s="16"/>
      <c r="AKL245" s="16"/>
      <c r="AKM245" s="16"/>
      <c r="AKN245" s="16"/>
      <c r="AKO245" s="16"/>
      <c r="AKP245" s="15"/>
      <c r="AKQ245" s="15"/>
      <c r="AKR245" s="10"/>
      <c r="AKS245" s="10"/>
      <c r="AKT245" s="19"/>
      <c r="AKU245" s="19"/>
      <c r="AKX245" s="16"/>
      <c r="AKY245" s="15"/>
      <c r="AKZ245" s="15"/>
      <c r="ALA245" s="15"/>
      <c r="ALB245" s="16"/>
      <c r="ALC245" s="16"/>
      <c r="ALD245" s="16"/>
      <c r="ALE245" s="16"/>
      <c r="ALF245" s="16"/>
      <c r="ALG245" s="15"/>
      <c r="ALH245" s="15"/>
      <c r="ALI245" s="10"/>
      <c r="ALJ245" s="10"/>
      <c r="ALK245" s="19"/>
      <c r="ALL245" s="19"/>
      <c r="ALO245" s="16"/>
      <c r="ALP245" s="15"/>
      <c r="ALQ245" s="15"/>
      <c r="ALR245" s="15"/>
      <c r="ALS245" s="16"/>
      <c r="ALT245" s="16"/>
      <c r="ALU245" s="16"/>
      <c r="ALV245" s="16"/>
      <c r="ALW245" s="16"/>
      <c r="ALX245" s="15"/>
      <c r="ALY245" s="15"/>
      <c r="ALZ245" s="10"/>
      <c r="AMA245" s="10"/>
      <c r="AMB245" s="19"/>
      <c r="AMC245" s="19"/>
      <c r="AMF245" s="16"/>
      <c r="AMG245" s="15"/>
      <c r="AMH245" s="15"/>
      <c r="AMI245" s="15"/>
      <c r="AMJ245" s="16"/>
      <c r="AMK245" s="16"/>
      <c r="AML245" s="16"/>
      <c r="AMM245" s="16"/>
      <c r="AMN245" s="16"/>
      <c r="AMO245" s="15"/>
      <c r="AMP245" s="15"/>
      <c r="AMQ245" s="10"/>
      <c r="AMR245" s="10"/>
      <c r="AMS245" s="19"/>
      <c r="AMT245" s="19"/>
      <c r="AMW245" s="16"/>
      <c r="AMX245" s="15"/>
      <c r="AMY245" s="15"/>
      <c r="AMZ245" s="15"/>
      <c r="ANA245" s="16"/>
      <c r="ANB245" s="16"/>
      <c r="ANC245" s="16"/>
      <c r="AND245" s="16"/>
      <c r="ANE245" s="16"/>
      <c r="ANF245" s="15"/>
      <c r="ANG245" s="15"/>
      <c r="ANH245" s="10"/>
      <c r="ANI245" s="10"/>
      <c r="ANJ245" s="19"/>
      <c r="ANK245" s="19"/>
      <c r="ANN245" s="16"/>
      <c r="ANO245" s="15"/>
      <c r="ANP245" s="15"/>
      <c r="ANQ245" s="15"/>
      <c r="ANR245" s="16"/>
      <c r="ANS245" s="16"/>
      <c r="ANT245" s="16"/>
      <c r="ANU245" s="16"/>
      <c r="ANV245" s="16"/>
      <c r="ANW245" s="15"/>
      <c r="ANX245" s="15"/>
      <c r="ANY245" s="10"/>
      <c r="ANZ245" s="10"/>
      <c r="AOA245" s="19"/>
      <c r="AOB245" s="19"/>
      <c r="AOE245" s="16"/>
      <c r="AOF245" s="15"/>
      <c r="AOG245" s="15"/>
      <c r="AOH245" s="15"/>
      <c r="AOI245" s="16"/>
      <c r="AOJ245" s="16"/>
      <c r="AOK245" s="16"/>
      <c r="AOL245" s="16"/>
      <c r="AOM245" s="16"/>
      <c r="AON245" s="15"/>
      <c r="AOO245" s="15"/>
      <c r="AOP245" s="10"/>
      <c r="AOQ245" s="10"/>
      <c r="AOR245" s="19"/>
      <c r="AOS245" s="19"/>
      <c r="AOV245" s="16"/>
      <c r="AOW245" s="15"/>
      <c r="AOX245" s="15"/>
      <c r="AOY245" s="15"/>
      <c r="AOZ245" s="16"/>
      <c r="APA245" s="16"/>
      <c r="APB245" s="16"/>
      <c r="APC245" s="16"/>
      <c r="APD245" s="16"/>
      <c r="APE245" s="15"/>
      <c r="APF245" s="15"/>
      <c r="APG245" s="10"/>
      <c r="APH245" s="10"/>
      <c r="API245" s="19"/>
      <c r="APJ245" s="19"/>
      <c r="APM245" s="16"/>
      <c r="APN245" s="15"/>
      <c r="APO245" s="15"/>
      <c r="APP245" s="15"/>
      <c r="APQ245" s="16"/>
      <c r="APR245" s="16"/>
      <c r="APS245" s="16"/>
      <c r="APT245" s="16"/>
      <c r="APU245" s="16"/>
      <c r="APV245" s="15"/>
      <c r="APW245" s="15"/>
      <c r="APX245" s="10"/>
      <c r="APY245" s="10"/>
      <c r="APZ245" s="19"/>
      <c r="AQA245" s="19"/>
      <c r="AQD245" s="16"/>
      <c r="AQE245" s="15"/>
      <c r="AQF245" s="15"/>
      <c r="AQG245" s="15"/>
      <c r="AQH245" s="16"/>
      <c r="AQI245" s="16"/>
      <c r="AQJ245" s="16"/>
      <c r="AQK245" s="16"/>
      <c r="AQL245" s="16"/>
      <c r="AQM245" s="15"/>
      <c r="AQN245" s="15"/>
      <c r="AQO245" s="10"/>
      <c r="AQP245" s="10"/>
      <c r="AQQ245" s="19"/>
      <c r="AQR245" s="19"/>
      <c r="AQU245" s="16"/>
      <c r="AQV245" s="15"/>
      <c r="AQW245" s="15"/>
      <c r="AQX245" s="15"/>
      <c r="AQY245" s="16"/>
      <c r="AQZ245" s="16"/>
      <c r="ARA245" s="16"/>
      <c r="ARB245" s="16"/>
      <c r="ARC245" s="16"/>
      <c r="ARD245" s="15"/>
      <c r="ARE245" s="15"/>
      <c r="ARF245" s="10"/>
      <c r="ARG245" s="10"/>
      <c r="ARH245" s="19"/>
      <c r="ARI245" s="19"/>
      <c r="ARL245" s="16"/>
      <c r="ARM245" s="15"/>
      <c r="ARN245" s="15"/>
      <c r="ARO245" s="15"/>
      <c r="ARP245" s="16"/>
      <c r="ARQ245" s="16"/>
      <c r="ARR245" s="16"/>
      <c r="ARS245" s="16"/>
      <c r="ART245" s="16"/>
      <c r="ARU245" s="15"/>
      <c r="ARV245" s="15"/>
      <c r="ARW245" s="10"/>
      <c r="ARX245" s="10"/>
      <c r="ARY245" s="19"/>
      <c r="ARZ245" s="19"/>
      <c r="ASC245" s="16"/>
      <c r="ASD245" s="15"/>
      <c r="ASE245" s="15"/>
      <c r="ASF245" s="15"/>
      <c r="ASG245" s="16"/>
      <c r="ASH245" s="16"/>
      <c r="ASI245" s="16"/>
      <c r="ASJ245" s="16"/>
      <c r="ASK245" s="16"/>
      <c r="ASL245" s="15"/>
      <c r="ASM245" s="15"/>
      <c r="ASN245" s="10"/>
      <c r="ASO245" s="10"/>
      <c r="ASP245" s="19"/>
      <c r="ASQ245" s="19"/>
      <c r="AST245" s="16"/>
      <c r="ASU245" s="15"/>
      <c r="ASV245" s="15"/>
      <c r="ASW245" s="15"/>
      <c r="ASX245" s="16"/>
      <c r="ASY245" s="16"/>
      <c r="ASZ245" s="16"/>
      <c r="ATA245" s="16"/>
      <c r="ATB245" s="16"/>
      <c r="ATC245" s="15"/>
      <c r="ATD245" s="15"/>
      <c r="ATE245" s="10"/>
      <c r="ATF245" s="10"/>
      <c r="ATG245" s="19"/>
      <c r="ATH245" s="19"/>
      <c r="ATK245" s="16"/>
      <c r="ATL245" s="15"/>
      <c r="ATM245" s="15"/>
      <c r="ATN245" s="15"/>
      <c r="ATO245" s="16"/>
      <c r="ATP245" s="16"/>
      <c r="ATQ245" s="16"/>
      <c r="ATR245" s="16"/>
      <c r="ATS245" s="16"/>
      <c r="ATT245" s="15"/>
      <c r="ATU245" s="15"/>
      <c r="ATV245" s="10"/>
      <c r="ATW245" s="10"/>
      <c r="ATX245" s="19"/>
      <c r="ATY245" s="19"/>
      <c r="AUB245" s="16"/>
      <c r="AUC245" s="15"/>
      <c r="AUD245" s="15"/>
      <c r="AUE245" s="15"/>
      <c r="AUF245" s="16"/>
      <c r="AUG245" s="16"/>
      <c r="AUH245" s="16"/>
      <c r="AUI245" s="16"/>
      <c r="AUJ245" s="16"/>
      <c r="AUK245" s="15"/>
      <c r="AUL245" s="15"/>
      <c r="AUM245" s="10"/>
      <c r="AUN245" s="10"/>
      <c r="AUO245" s="19"/>
      <c r="AUP245" s="19"/>
      <c r="AUS245" s="16"/>
      <c r="AUT245" s="15"/>
      <c r="AUU245" s="15"/>
      <c r="AUV245" s="15"/>
      <c r="AUW245" s="16"/>
      <c r="AUX245" s="16"/>
      <c r="AUY245" s="16"/>
      <c r="AUZ245" s="16"/>
      <c r="AVA245" s="16"/>
      <c r="AVB245" s="15"/>
      <c r="AVC245" s="15"/>
      <c r="AVD245" s="10"/>
      <c r="AVE245" s="10"/>
      <c r="AVF245" s="19"/>
      <c r="AVG245" s="19"/>
      <c r="AVJ245" s="16"/>
      <c r="AVK245" s="15"/>
      <c r="AVL245" s="15"/>
      <c r="AVM245" s="15"/>
      <c r="AVN245" s="16"/>
      <c r="AVO245" s="16"/>
      <c r="AVP245" s="16"/>
      <c r="AVQ245" s="16"/>
      <c r="AVR245" s="16"/>
      <c r="AVS245" s="15"/>
      <c r="AVT245" s="15"/>
      <c r="AVU245" s="10"/>
      <c r="AVV245" s="10"/>
      <c r="AVW245" s="19"/>
      <c r="AVX245" s="19"/>
      <c r="AWA245" s="16"/>
      <c r="AWB245" s="15"/>
      <c r="AWC245" s="15"/>
      <c r="AWD245" s="15"/>
      <c r="AWE245" s="16"/>
      <c r="AWF245" s="16"/>
      <c r="AWG245" s="16"/>
      <c r="AWH245" s="16"/>
      <c r="AWI245" s="16"/>
      <c r="AWJ245" s="15"/>
      <c r="AWK245" s="15"/>
      <c r="AWL245" s="10"/>
      <c r="AWM245" s="10"/>
      <c r="AWN245" s="19"/>
      <c r="AWO245" s="19"/>
      <c r="AWR245" s="16"/>
      <c r="AWS245" s="15"/>
      <c r="AWT245" s="15"/>
      <c r="AWU245" s="15"/>
      <c r="AWV245" s="16"/>
      <c r="AWW245" s="16"/>
      <c r="AWX245" s="16"/>
      <c r="AWY245" s="16"/>
      <c r="AWZ245" s="16"/>
      <c r="AXA245" s="15"/>
      <c r="AXB245" s="15"/>
      <c r="AXC245" s="10"/>
      <c r="AXD245" s="10"/>
      <c r="AXE245" s="19"/>
      <c r="AXF245" s="19"/>
      <c r="AXI245" s="16"/>
      <c r="AXJ245" s="15"/>
      <c r="AXK245" s="15"/>
      <c r="AXL245" s="15"/>
      <c r="AXM245" s="16"/>
      <c r="AXN245" s="16"/>
      <c r="AXO245" s="16"/>
      <c r="AXP245" s="16"/>
      <c r="AXQ245" s="16"/>
      <c r="AXR245" s="15"/>
      <c r="AXS245" s="15"/>
      <c r="AXT245" s="10"/>
      <c r="AXU245" s="10"/>
      <c r="AXV245" s="19"/>
      <c r="AXW245" s="19"/>
      <c r="AXZ245" s="16"/>
      <c r="AYA245" s="15"/>
      <c r="AYB245" s="15"/>
      <c r="AYC245" s="15"/>
      <c r="AYD245" s="16"/>
      <c r="AYE245" s="16"/>
      <c r="AYF245" s="16"/>
      <c r="AYG245" s="16"/>
      <c r="AYH245" s="16"/>
      <c r="AYI245" s="15"/>
      <c r="AYJ245" s="15"/>
      <c r="AYK245" s="10"/>
      <c r="AYL245" s="10"/>
      <c r="AYM245" s="19"/>
      <c r="AYN245" s="19"/>
      <c r="AYQ245" s="16"/>
      <c r="AYR245" s="15"/>
      <c r="AYS245" s="15"/>
      <c r="AYT245" s="15"/>
      <c r="AYU245" s="16"/>
      <c r="AYV245" s="16"/>
      <c r="AYW245" s="16"/>
      <c r="AYX245" s="16"/>
      <c r="AYY245" s="16"/>
      <c r="AYZ245" s="15"/>
      <c r="AZA245" s="15"/>
      <c r="AZB245" s="10"/>
      <c r="AZC245" s="10"/>
      <c r="AZD245" s="19"/>
      <c r="AZE245" s="19"/>
      <c r="AZH245" s="16"/>
      <c r="AZI245" s="15"/>
      <c r="AZJ245" s="15"/>
      <c r="AZK245" s="15"/>
      <c r="AZL245" s="16"/>
      <c r="AZM245" s="16"/>
      <c r="AZN245" s="16"/>
      <c r="AZO245" s="16"/>
      <c r="AZP245" s="16"/>
      <c r="AZQ245" s="15"/>
      <c r="AZR245" s="15"/>
      <c r="AZS245" s="10"/>
      <c r="AZT245" s="10"/>
      <c r="AZU245" s="19"/>
      <c r="AZV245" s="19"/>
      <c r="AZY245" s="16"/>
      <c r="AZZ245" s="15"/>
      <c r="BAA245" s="15"/>
      <c r="BAB245" s="15"/>
      <c r="BAC245" s="16"/>
      <c r="BAD245" s="16"/>
      <c r="BAE245" s="16"/>
      <c r="BAF245" s="16"/>
      <c r="BAG245" s="16"/>
      <c r="BAH245" s="15"/>
      <c r="BAI245" s="15"/>
      <c r="BAJ245" s="10"/>
      <c r="BAK245" s="10"/>
      <c r="BAL245" s="19"/>
      <c r="BAM245" s="19"/>
      <c r="BAP245" s="16"/>
      <c r="BAQ245" s="15"/>
      <c r="BAR245" s="15"/>
      <c r="BAS245" s="15"/>
      <c r="BAT245" s="16"/>
      <c r="BAU245" s="16"/>
      <c r="BAV245" s="16"/>
      <c r="BAW245" s="16"/>
      <c r="BAX245" s="16"/>
      <c r="BAY245" s="15"/>
      <c r="BAZ245" s="15"/>
      <c r="BBA245" s="10"/>
      <c r="BBB245" s="10"/>
      <c r="BBC245" s="19"/>
      <c r="BBD245" s="19"/>
      <c r="BBG245" s="16"/>
      <c r="BBH245" s="15"/>
      <c r="BBI245" s="15"/>
      <c r="BBJ245" s="15"/>
      <c r="BBK245" s="16"/>
      <c r="BBL245" s="16"/>
      <c r="BBM245" s="16"/>
      <c r="BBN245" s="16"/>
      <c r="BBO245" s="16"/>
      <c r="BBP245" s="15"/>
      <c r="BBQ245" s="15"/>
      <c r="BBR245" s="10"/>
      <c r="BBS245" s="10"/>
      <c r="BBT245" s="19"/>
      <c r="BBU245" s="19"/>
      <c r="BBX245" s="16"/>
      <c r="BBY245" s="15"/>
      <c r="BBZ245" s="15"/>
      <c r="BCA245" s="15"/>
      <c r="BCB245" s="16"/>
      <c r="BCC245" s="16"/>
      <c r="BCD245" s="16"/>
      <c r="BCE245" s="16"/>
      <c r="BCF245" s="16"/>
      <c r="BCG245" s="15"/>
      <c r="BCH245" s="15"/>
      <c r="BCI245" s="10"/>
      <c r="BCJ245" s="10"/>
      <c r="BCK245" s="19"/>
      <c r="BCL245" s="19"/>
      <c r="BCO245" s="16"/>
      <c r="BCP245" s="15"/>
      <c r="BCQ245" s="15"/>
      <c r="BCR245" s="15"/>
      <c r="BCS245" s="16"/>
      <c r="BCT245" s="16"/>
      <c r="BCU245" s="16"/>
      <c r="BCV245" s="16"/>
      <c r="BCW245" s="16"/>
      <c r="BCX245" s="15"/>
      <c r="BCY245" s="15"/>
      <c r="BCZ245" s="10"/>
      <c r="BDA245" s="10"/>
      <c r="BDB245" s="19"/>
      <c r="BDC245" s="19"/>
      <c r="BDF245" s="16"/>
      <c r="BDG245" s="15"/>
      <c r="BDH245" s="15"/>
      <c r="BDI245" s="15"/>
      <c r="BDJ245" s="16"/>
      <c r="BDK245" s="16"/>
      <c r="BDL245" s="16"/>
      <c r="BDM245" s="16"/>
      <c r="BDN245" s="16"/>
      <c r="BDO245" s="15"/>
      <c r="BDP245" s="15"/>
      <c r="BDQ245" s="10"/>
      <c r="BDR245" s="10"/>
      <c r="BDS245" s="19"/>
      <c r="BDT245" s="19"/>
      <c r="BDW245" s="16"/>
      <c r="BDX245" s="15"/>
      <c r="BDY245" s="15"/>
      <c r="BDZ245" s="15"/>
      <c r="BEA245" s="16"/>
      <c r="BEB245" s="16"/>
      <c r="BEC245" s="16"/>
      <c r="BED245" s="16"/>
      <c r="BEE245" s="16"/>
      <c r="BEF245" s="15"/>
      <c r="BEG245" s="15"/>
      <c r="BEH245" s="10"/>
      <c r="BEI245" s="10"/>
      <c r="BEJ245" s="19"/>
      <c r="BEK245" s="19"/>
      <c r="BEN245" s="16"/>
      <c r="BEO245" s="15"/>
      <c r="BEP245" s="15"/>
      <c r="BEQ245" s="15"/>
      <c r="BER245" s="16"/>
      <c r="BES245" s="16"/>
      <c r="BET245" s="16"/>
      <c r="BEU245" s="16"/>
      <c r="BEV245" s="16"/>
      <c r="BEW245" s="15"/>
      <c r="BEX245" s="15"/>
      <c r="BEY245" s="10"/>
      <c r="BEZ245" s="10"/>
      <c r="BFA245" s="19"/>
      <c r="BFB245" s="19"/>
      <c r="BFE245" s="16"/>
      <c r="BFF245" s="15"/>
      <c r="BFG245" s="15"/>
      <c r="BFH245" s="15"/>
      <c r="BFI245" s="16"/>
      <c r="BFJ245" s="16"/>
      <c r="BFK245" s="16"/>
      <c r="BFL245" s="16"/>
      <c r="BFM245" s="16"/>
      <c r="BFN245" s="15"/>
      <c r="BFO245" s="15"/>
      <c r="BFP245" s="10"/>
      <c r="BFQ245" s="10"/>
      <c r="BFR245" s="19"/>
      <c r="BFS245" s="19"/>
      <c r="BFV245" s="16"/>
      <c r="BFW245" s="15"/>
      <c r="BFX245" s="15"/>
      <c r="BFY245" s="15"/>
      <c r="BFZ245" s="16"/>
      <c r="BGA245" s="16"/>
      <c r="BGB245" s="16"/>
      <c r="BGC245" s="16"/>
      <c r="BGD245" s="16"/>
      <c r="BGE245" s="15"/>
      <c r="BGF245" s="15"/>
      <c r="BGG245" s="10"/>
      <c r="BGH245" s="10"/>
      <c r="BGI245" s="19"/>
      <c r="BGJ245" s="19"/>
      <c r="BGM245" s="16"/>
      <c r="BGN245" s="15"/>
      <c r="BGO245" s="15"/>
      <c r="BGP245" s="15"/>
      <c r="BGQ245" s="16"/>
      <c r="BGR245" s="16"/>
      <c r="BGS245" s="16"/>
      <c r="BGT245" s="16"/>
      <c r="BGU245" s="16"/>
      <c r="BGV245" s="15"/>
      <c r="BGW245" s="15"/>
      <c r="BGX245" s="10"/>
      <c r="BGY245" s="10"/>
      <c r="BGZ245" s="19"/>
      <c r="BHA245" s="19"/>
      <c r="BHD245" s="16"/>
      <c r="BHE245" s="15"/>
      <c r="BHF245" s="15"/>
      <c r="BHG245" s="15"/>
      <c r="BHH245" s="16"/>
      <c r="BHI245" s="16"/>
      <c r="BHJ245" s="16"/>
      <c r="BHK245" s="16"/>
      <c r="BHL245" s="16"/>
      <c r="BHM245" s="15"/>
      <c r="BHN245" s="15"/>
      <c r="BHO245" s="10"/>
      <c r="BHP245" s="10"/>
      <c r="BHQ245" s="19"/>
      <c r="BHR245" s="19"/>
      <c r="BHU245" s="16"/>
      <c r="BHV245" s="15"/>
      <c r="BHW245" s="15"/>
      <c r="BHX245" s="15"/>
      <c r="BHY245" s="16"/>
      <c r="BHZ245" s="16"/>
      <c r="BIA245" s="16"/>
      <c r="BIB245" s="16"/>
      <c r="BIC245" s="16"/>
      <c r="BID245" s="15"/>
      <c r="BIE245" s="15"/>
      <c r="BIF245" s="10"/>
      <c r="BIG245" s="10"/>
      <c r="BIH245" s="19"/>
      <c r="BII245" s="19"/>
      <c r="BIL245" s="16"/>
      <c r="BIM245" s="15"/>
      <c r="BIN245" s="15"/>
      <c r="BIO245" s="15"/>
      <c r="BIP245" s="16"/>
      <c r="BIQ245" s="16"/>
      <c r="BIR245" s="16"/>
      <c r="BIS245" s="16"/>
      <c r="BIT245" s="16"/>
      <c r="BIU245" s="15"/>
      <c r="BIV245" s="15"/>
      <c r="BIW245" s="10"/>
      <c r="BIX245" s="10"/>
      <c r="BIY245" s="19"/>
      <c r="BIZ245" s="19"/>
      <c r="BJC245" s="16"/>
      <c r="BJD245" s="15"/>
      <c r="BJE245" s="15"/>
      <c r="BJF245" s="15"/>
      <c r="BJG245" s="16"/>
      <c r="BJH245" s="16"/>
      <c r="BJI245" s="16"/>
      <c r="BJJ245" s="16"/>
      <c r="BJK245" s="16"/>
      <c r="BJL245" s="15"/>
      <c r="BJM245" s="15"/>
      <c r="BJN245" s="10"/>
      <c r="BJO245" s="10"/>
      <c r="BJP245" s="19"/>
      <c r="BJQ245" s="19"/>
      <c r="BJT245" s="16"/>
      <c r="BJU245" s="15"/>
      <c r="BJV245" s="15"/>
      <c r="BJW245" s="15"/>
      <c r="BJX245" s="16"/>
      <c r="BJY245" s="16"/>
      <c r="BJZ245" s="16"/>
      <c r="BKA245" s="16"/>
      <c r="BKB245" s="16"/>
      <c r="BKC245" s="15"/>
      <c r="BKD245" s="15"/>
      <c r="BKE245" s="10"/>
      <c r="BKF245" s="10"/>
      <c r="BKG245" s="19"/>
      <c r="BKH245" s="19"/>
      <c r="BKK245" s="16"/>
      <c r="BKL245" s="15"/>
      <c r="BKM245" s="15"/>
      <c r="BKN245" s="15"/>
      <c r="BKO245" s="16"/>
      <c r="BKP245" s="16"/>
      <c r="BKQ245" s="16"/>
      <c r="BKR245" s="16"/>
      <c r="BKS245" s="16"/>
      <c r="BKT245" s="15"/>
      <c r="BKU245" s="15"/>
      <c r="BKV245" s="10"/>
      <c r="BKW245" s="10"/>
      <c r="BKX245" s="19"/>
      <c r="BKY245" s="19"/>
      <c r="BLB245" s="16"/>
      <c r="BLC245" s="15"/>
      <c r="BLD245" s="15"/>
      <c r="BLE245" s="15"/>
      <c r="BLF245" s="16"/>
      <c r="BLG245" s="16"/>
      <c r="BLH245" s="16"/>
      <c r="BLI245" s="16"/>
      <c r="BLJ245" s="16"/>
      <c r="BLK245" s="15"/>
      <c r="BLL245" s="15"/>
      <c r="BLM245" s="10"/>
      <c r="BLN245" s="10"/>
      <c r="BLO245" s="19"/>
      <c r="BLP245" s="19"/>
      <c r="BLS245" s="16"/>
      <c r="BLT245" s="15"/>
      <c r="BLU245" s="15"/>
      <c r="BLV245" s="15"/>
      <c r="BLW245" s="16"/>
      <c r="BLX245" s="16"/>
      <c r="BLY245" s="16"/>
      <c r="BLZ245" s="16"/>
      <c r="BMA245" s="16"/>
      <c r="BMB245" s="15"/>
      <c r="BMC245" s="15"/>
      <c r="BMD245" s="10"/>
      <c r="BME245" s="10"/>
      <c r="BMF245" s="19"/>
      <c r="BMG245" s="19"/>
      <c r="BMJ245" s="16"/>
      <c r="BMK245" s="15"/>
      <c r="BML245" s="15"/>
      <c r="BMM245" s="15"/>
      <c r="BMN245" s="16"/>
      <c r="BMO245" s="16"/>
      <c r="BMP245" s="16"/>
      <c r="BMQ245" s="16"/>
      <c r="BMR245" s="16"/>
      <c r="BMS245" s="15"/>
      <c r="BMT245" s="15"/>
      <c r="BMU245" s="10"/>
      <c r="BMV245" s="10"/>
      <c r="BMW245" s="19"/>
      <c r="BMX245" s="19"/>
      <c r="BNA245" s="16"/>
      <c r="BNB245" s="15"/>
      <c r="BNC245" s="15"/>
      <c r="BND245" s="15"/>
      <c r="BNE245" s="16"/>
      <c r="BNF245" s="16"/>
      <c r="BNG245" s="16"/>
      <c r="BNH245" s="16"/>
      <c r="BNI245" s="16"/>
      <c r="BNJ245" s="15"/>
      <c r="BNK245" s="15"/>
      <c r="BNL245" s="10"/>
      <c r="BNM245" s="10"/>
      <c r="BNN245" s="19"/>
      <c r="BNO245" s="19"/>
      <c r="BNR245" s="16"/>
      <c r="BNS245" s="15"/>
      <c r="BNT245" s="15"/>
      <c r="BNU245" s="15"/>
      <c r="BNV245" s="16"/>
      <c r="BNW245" s="16"/>
      <c r="BNX245" s="16"/>
      <c r="BNY245" s="16"/>
      <c r="BNZ245" s="16"/>
      <c r="BOA245" s="15"/>
      <c r="BOB245" s="15"/>
      <c r="BOC245" s="10"/>
      <c r="BOD245" s="10"/>
      <c r="BOE245" s="19"/>
      <c r="BOF245" s="19"/>
      <c r="BOI245" s="16"/>
      <c r="BOJ245" s="15"/>
      <c r="BOK245" s="15"/>
      <c r="BOL245" s="15"/>
      <c r="BOM245" s="16"/>
      <c r="BON245" s="16"/>
      <c r="BOO245" s="16"/>
      <c r="BOP245" s="16"/>
      <c r="BOQ245" s="16"/>
      <c r="BOR245" s="15"/>
      <c r="BOS245" s="15"/>
      <c r="BOT245" s="10"/>
      <c r="BOU245" s="10"/>
      <c r="BOV245" s="19"/>
      <c r="BOW245" s="19"/>
      <c r="BOZ245" s="16"/>
      <c r="BPA245" s="15"/>
      <c r="BPB245" s="15"/>
      <c r="BPC245" s="15"/>
      <c r="BPD245" s="16"/>
      <c r="BPE245" s="16"/>
      <c r="BPF245" s="16"/>
      <c r="BPG245" s="16"/>
      <c r="BPH245" s="16"/>
      <c r="BPI245" s="15"/>
      <c r="BPJ245" s="15"/>
      <c r="BPK245" s="10"/>
      <c r="BPL245" s="10"/>
      <c r="BPM245" s="19"/>
      <c r="BPN245" s="19"/>
      <c r="BPQ245" s="16"/>
      <c r="BPR245" s="15"/>
      <c r="BPS245" s="15"/>
      <c r="BPT245" s="15"/>
      <c r="BPU245" s="16"/>
      <c r="BPV245" s="16"/>
      <c r="BPW245" s="16"/>
      <c r="BPX245" s="16"/>
      <c r="BPY245" s="16"/>
      <c r="BPZ245" s="15"/>
      <c r="BQA245" s="15"/>
      <c r="BQB245" s="10"/>
      <c r="BQC245" s="10"/>
      <c r="BQD245" s="19"/>
      <c r="BQE245" s="19"/>
      <c r="BQH245" s="16"/>
      <c r="BQI245" s="15"/>
      <c r="BQJ245" s="15"/>
      <c r="BQK245" s="15"/>
      <c r="BQL245" s="16"/>
      <c r="BQM245" s="16"/>
      <c r="BQN245" s="16"/>
      <c r="BQO245" s="16"/>
      <c r="BQP245" s="16"/>
      <c r="BQQ245" s="15"/>
      <c r="BQR245" s="15"/>
      <c r="BQS245" s="10"/>
      <c r="BQT245" s="10"/>
      <c r="BQU245" s="19"/>
      <c r="BQV245" s="19"/>
      <c r="BQY245" s="16"/>
      <c r="BQZ245" s="15"/>
      <c r="BRA245" s="15"/>
      <c r="BRB245" s="15"/>
      <c r="BRC245" s="16"/>
      <c r="BRD245" s="16"/>
      <c r="BRE245" s="16"/>
      <c r="BRF245" s="16"/>
      <c r="BRG245" s="16"/>
      <c r="BRH245" s="15"/>
      <c r="BRI245" s="15"/>
      <c r="BRJ245" s="10"/>
      <c r="BRK245" s="10"/>
      <c r="BRL245" s="19"/>
      <c r="BRM245" s="19"/>
      <c r="BRP245" s="16"/>
      <c r="BRQ245" s="15"/>
      <c r="BRR245" s="15"/>
      <c r="BRS245" s="15"/>
      <c r="BRT245" s="16"/>
      <c r="BRU245" s="16"/>
      <c r="BRV245" s="16"/>
      <c r="BRW245" s="16"/>
      <c r="BRX245" s="16"/>
      <c r="BRY245" s="15"/>
      <c r="BRZ245" s="15"/>
      <c r="BSA245" s="10"/>
      <c r="BSB245" s="10"/>
      <c r="BSC245" s="19"/>
      <c r="BSD245" s="19"/>
      <c r="BSG245" s="16"/>
      <c r="BSH245" s="15"/>
      <c r="BSI245" s="15"/>
      <c r="BSJ245" s="15"/>
      <c r="BSK245" s="16"/>
      <c r="BSL245" s="16"/>
      <c r="BSM245" s="16"/>
      <c r="BSN245" s="16"/>
      <c r="BSO245" s="16"/>
      <c r="BSP245" s="15"/>
      <c r="BSQ245" s="15"/>
      <c r="BSR245" s="10"/>
      <c r="BSS245" s="10"/>
      <c r="BST245" s="19"/>
      <c r="BSU245" s="19"/>
      <c r="BSX245" s="16"/>
      <c r="BSY245" s="15"/>
      <c r="BSZ245" s="15"/>
      <c r="BTA245" s="15"/>
      <c r="BTB245" s="16"/>
      <c r="BTC245" s="16"/>
      <c r="BTD245" s="16"/>
      <c r="BTE245" s="16"/>
      <c r="BTF245" s="16"/>
      <c r="BTG245" s="15"/>
      <c r="BTH245" s="15"/>
      <c r="BTI245" s="10"/>
      <c r="BTJ245" s="10"/>
      <c r="BTK245" s="19"/>
      <c r="BTL245" s="19"/>
      <c r="BTO245" s="16"/>
      <c r="BTP245" s="15"/>
      <c r="BTQ245" s="15"/>
      <c r="BTR245" s="15"/>
      <c r="BTS245" s="16"/>
      <c r="BTT245" s="16"/>
      <c r="BTU245" s="16"/>
      <c r="BTV245" s="16"/>
      <c r="BTW245" s="16"/>
      <c r="BTX245" s="15"/>
      <c r="BTY245" s="15"/>
      <c r="BTZ245" s="10"/>
      <c r="BUA245" s="10"/>
      <c r="BUB245" s="19"/>
      <c r="BUC245" s="19"/>
      <c r="BUF245" s="16"/>
      <c r="BUG245" s="15"/>
      <c r="BUH245" s="15"/>
      <c r="BUI245" s="15"/>
      <c r="BUJ245" s="16"/>
      <c r="BUK245" s="16"/>
      <c r="BUL245" s="16"/>
      <c r="BUM245" s="16"/>
      <c r="BUN245" s="16"/>
      <c r="BUO245" s="15"/>
      <c r="BUP245" s="15"/>
      <c r="BUQ245" s="10"/>
      <c r="BUR245" s="10"/>
      <c r="BUS245" s="19"/>
      <c r="BUT245" s="19"/>
      <c r="BUW245" s="16"/>
      <c r="BUX245" s="15"/>
      <c r="BUY245" s="15"/>
      <c r="BUZ245" s="15"/>
      <c r="BVA245" s="16"/>
      <c r="BVB245" s="16"/>
      <c r="BVC245" s="16"/>
      <c r="BVD245" s="16"/>
      <c r="BVE245" s="16"/>
      <c r="BVF245" s="15"/>
      <c r="BVG245" s="15"/>
      <c r="BVH245" s="10"/>
      <c r="BVI245" s="10"/>
      <c r="BVJ245" s="19"/>
      <c r="BVK245" s="19"/>
      <c r="BVN245" s="16"/>
      <c r="BVO245" s="15"/>
      <c r="BVP245" s="15"/>
      <c r="BVQ245" s="15"/>
      <c r="BVR245" s="16"/>
      <c r="BVS245" s="16"/>
      <c r="BVT245" s="16"/>
      <c r="BVU245" s="16"/>
      <c r="BVV245" s="16"/>
      <c r="BVW245" s="15"/>
      <c r="BVX245" s="15"/>
      <c r="BVY245" s="10"/>
      <c r="BVZ245" s="10"/>
      <c r="BWA245" s="19"/>
      <c r="BWB245" s="19"/>
      <c r="BWE245" s="16"/>
      <c r="BWF245" s="15"/>
      <c r="BWG245" s="15"/>
      <c r="BWH245" s="15"/>
      <c r="BWI245" s="16"/>
      <c r="BWJ245" s="16"/>
      <c r="BWK245" s="16"/>
      <c r="BWL245" s="16"/>
      <c r="BWM245" s="16"/>
      <c r="BWN245" s="15"/>
      <c r="BWO245" s="15"/>
      <c r="BWP245" s="10"/>
      <c r="BWQ245" s="10"/>
      <c r="BWR245" s="19"/>
      <c r="BWS245" s="19"/>
      <c r="BWV245" s="16"/>
      <c r="BWW245" s="15"/>
      <c r="BWX245" s="15"/>
      <c r="BWY245" s="15"/>
      <c r="BWZ245" s="16"/>
      <c r="BXA245" s="16"/>
      <c r="BXB245" s="16"/>
      <c r="BXC245" s="16"/>
      <c r="BXD245" s="16"/>
      <c r="BXE245" s="15"/>
      <c r="BXF245" s="15"/>
      <c r="BXG245" s="10"/>
      <c r="BXH245" s="10"/>
      <c r="BXI245" s="19"/>
      <c r="BXJ245" s="19"/>
      <c r="BXM245" s="16"/>
      <c r="BXN245" s="15"/>
      <c r="BXO245" s="15"/>
      <c r="BXP245" s="15"/>
      <c r="BXQ245" s="16"/>
      <c r="BXR245" s="16"/>
      <c r="BXS245" s="16"/>
      <c r="BXT245" s="16"/>
      <c r="BXU245" s="16"/>
      <c r="BXV245" s="15"/>
      <c r="BXW245" s="15"/>
      <c r="BXX245" s="10"/>
      <c r="BXY245" s="10"/>
      <c r="BXZ245" s="19"/>
      <c r="BYA245" s="19"/>
      <c r="BYD245" s="16"/>
      <c r="BYE245" s="15"/>
      <c r="BYF245" s="15"/>
      <c r="BYG245" s="15"/>
      <c r="BYH245" s="16"/>
      <c r="BYI245" s="16"/>
      <c r="BYJ245" s="16"/>
      <c r="BYK245" s="16"/>
      <c r="BYL245" s="16"/>
      <c r="BYM245" s="15"/>
      <c r="BYN245" s="15"/>
      <c r="BYO245" s="10"/>
      <c r="BYP245" s="10"/>
      <c r="BYQ245" s="19"/>
      <c r="BYR245" s="19"/>
      <c r="BYU245" s="16"/>
      <c r="BYV245" s="15"/>
      <c r="BYW245" s="15"/>
      <c r="BYX245" s="15"/>
      <c r="BYY245" s="16"/>
      <c r="BYZ245" s="16"/>
      <c r="BZA245" s="16"/>
      <c r="BZB245" s="16"/>
      <c r="BZC245" s="16"/>
      <c r="BZD245" s="15"/>
      <c r="BZE245" s="15"/>
      <c r="BZF245" s="10"/>
      <c r="BZG245" s="10"/>
      <c r="BZH245" s="19"/>
      <c r="BZI245" s="19"/>
      <c r="BZL245" s="16"/>
      <c r="BZM245" s="15"/>
      <c r="BZN245" s="15"/>
      <c r="BZO245" s="15"/>
      <c r="BZP245" s="16"/>
      <c r="BZQ245" s="16"/>
      <c r="BZR245" s="16"/>
      <c r="BZS245" s="16"/>
      <c r="BZT245" s="16"/>
      <c r="BZU245" s="15"/>
      <c r="BZV245" s="15"/>
      <c r="BZW245" s="10"/>
      <c r="BZX245" s="10"/>
      <c r="BZY245" s="19"/>
      <c r="BZZ245" s="19"/>
      <c r="CAC245" s="16"/>
      <c r="CAD245" s="15"/>
      <c r="CAE245" s="15"/>
      <c r="CAF245" s="15"/>
      <c r="CAG245" s="16"/>
      <c r="CAH245" s="16"/>
      <c r="CAI245" s="16"/>
      <c r="CAJ245" s="16"/>
      <c r="CAK245" s="16"/>
      <c r="CAL245" s="15"/>
      <c r="CAM245" s="15"/>
      <c r="CAN245" s="10"/>
      <c r="CAO245" s="10"/>
      <c r="CAP245" s="19"/>
      <c r="CAQ245" s="19"/>
      <c r="CAT245" s="16"/>
      <c r="CAU245" s="15"/>
      <c r="CAV245" s="15"/>
      <c r="CAW245" s="15"/>
      <c r="CAX245" s="16"/>
      <c r="CAY245" s="16"/>
      <c r="CAZ245" s="16"/>
      <c r="CBA245" s="16"/>
      <c r="CBB245" s="16"/>
      <c r="CBC245" s="15"/>
      <c r="CBD245" s="15"/>
      <c r="CBE245" s="10"/>
      <c r="CBF245" s="10"/>
      <c r="CBG245" s="19"/>
      <c r="CBH245" s="19"/>
      <c r="CBK245" s="16"/>
      <c r="CBL245" s="15"/>
      <c r="CBM245" s="15"/>
      <c r="CBN245" s="15"/>
      <c r="CBO245" s="16"/>
      <c r="CBP245" s="16"/>
      <c r="CBQ245" s="16"/>
      <c r="CBR245" s="16"/>
      <c r="CBS245" s="16"/>
      <c r="CBT245" s="15"/>
      <c r="CBU245" s="15"/>
      <c r="CBV245" s="10"/>
      <c r="CBW245" s="10"/>
      <c r="CBX245" s="19"/>
      <c r="CBY245" s="19"/>
      <c r="CCB245" s="16"/>
      <c r="CCC245" s="15"/>
      <c r="CCD245" s="15"/>
      <c r="CCE245" s="15"/>
      <c r="CCF245" s="16"/>
      <c r="CCG245" s="16"/>
      <c r="CCH245" s="16"/>
      <c r="CCI245" s="16"/>
      <c r="CCJ245" s="16"/>
      <c r="CCK245" s="15"/>
      <c r="CCL245" s="15"/>
      <c r="CCM245" s="10"/>
      <c r="CCN245" s="10"/>
      <c r="CCO245" s="19"/>
      <c r="CCP245" s="19"/>
      <c r="CCS245" s="16"/>
      <c r="CCT245" s="15"/>
      <c r="CCU245" s="15"/>
      <c r="CCV245" s="15"/>
      <c r="CCW245" s="16"/>
      <c r="CCX245" s="16"/>
      <c r="CCY245" s="16"/>
      <c r="CCZ245" s="16"/>
      <c r="CDA245" s="16"/>
      <c r="CDB245" s="15"/>
      <c r="CDC245" s="15"/>
      <c r="CDD245" s="10"/>
      <c r="CDE245" s="10"/>
      <c r="CDF245" s="19"/>
      <c r="CDG245" s="19"/>
      <c r="CDJ245" s="16"/>
      <c r="CDK245" s="15"/>
      <c r="CDL245" s="15"/>
      <c r="CDM245" s="15"/>
      <c r="CDN245" s="16"/>
      <c r="CDO245" s="16"/>
      <c r="CDP245" s="16"/>
      <c r="CDQ245" s="16"/>
      <c r="CDR245" s="16"/>
      <c r="CDS245" s="15"/>
      <c r="CDT245" s="15"/>
      <c r="CDU245" s="10"/>
      <c r="CDV245" s="10"/>
      <c r="CDW245" s="19"/>
      <c r="CDX245" s="19"/>
      <c r="CEA245" s="16"/>
      <c r="CEB245" s="15"/>
      <c r="CEC245" s="15"/>
      <c r="CED245" s="15"/>
      <c r="CEE245" s="16"/>
      <c r="CEF245" s="16"/>
      <c r="CEG245" s="16"/>
      <c r="CEH245" s="16"/>
      <c r="CEI245" s="16"/>
      <c r="CEJ245" s="15"/>
      <c r="CEK245" s="15"/>
      <c r="CEL245" s="10"/>
      <c r="CEM245" s="10"/>
      <c r="CEN245" s="19"/>
      <c r="CEO245" s="19"/>
      <c r="CER245" s="16"/>
      <c r="CES245" s="15"/>
      <c r="CET245" s="15"/>
      <c r="CEU245" s="15"/>
      <c r="CEV245" s="16"/>
      <c r="CEW245" s="16"/>
      <c r="CEX245" s="16"/>
      <c r="CEY245" s="16"/>
      <c r="CEZ245" s="16"/>
      <c r="CFA245" s="15"/>
      <c r="CFB245" s="15"/>
      <c r="CFC245" s="10"/>
      <c r="CFD245" s="10"/>
      <c r="CFE245" s="19"/>
      <c r="CFF245" s="19"/>
      <c r="CFI245" s="16"/>
      <c r="CFJ245" s="15"/>
      <c r="CFK245" s="15"/>
      <c r="CFL245" s="15"/>
      <c r="CFM245" s="16"/>
      <c r="CFN245" s="16"/>
      <c r="CFO245" s="16"/>
      <c r="CFP245" s="16"/>
      <c r="CFQ245" s="16"/>
      <c r="CFR245" s="15"/>
      <c r="CFS245" s="15"/>
      <c r="CFT245" s="10"/>
      <c r="CFU245" s="10"/>
      <c r="CFV245" s="19"/>
      <c r="CFW245" s="19"/>
      <c r="CFZ245" s="16"/>
      <c r="CGA245" s="15"/>
      <c r="CGB245" s="15"/>
      <c r="CGC245" s="15"/>
      <c r="CGD245" s="16"/>
      <c r="CGE245" s="16"/>
      <c r="CGF245" s="16"/>
      <c r="CGG245" s="16"/>
      <c r="CGH245" s="16"/>
      <c r="CGI245" s="15"/>
      <c r="CGJ245" s="15"/>
      <c r="CGK245" s="10"/>
      <c r="CGL245" s="10"/>
      <c r="CGM245" s="19"/>
      <c r="CGN245" s="19"/>
      <c r="CGQ245" s="16"/>
      <c r="CGR245" s="15"/>
      <c r="CGS245" s="15"/>
      <c r="CGT245" s="15"/>
      <c r="CGU245" s="16"/>
      <c r="CGV245" s="16"/>
      <c r="CGW245" s="16"/>
      <c r="CGX245" s="16"/>
      <c r="CGY245" s="16"/>
      <c r="CGZ245" s="15"/>
      <c r="CHA245" s="15"/>
      <c r="CHB245" s="10"/>
      <c r="CHC245" s="10"/>
      <c r="CHD245" s="19"/>
      <c r="CHE245" s="19"/>
      <c r="CHH245" s="16"/>
      <c r="CHI245" s="15"/>
      <c r="CHJ245" s="15"/>
      <c r="CHK245" s="15"/>
      <c r="CHL245" s="16"/>
      <c r="CHM245" s="16"/>
      <c r="CHN245" s="16"/>
      <c r="CHO245" s="16"/>
      <c r="CHP245" s="16"/>
      <c r="CHQ245" s="15"/>
      <c r="CHR245" s="15"/>
      <c r="CHS245" s="10"/>
      <c r="CHT245" s="10"/>
      <c r="CHU245" s="19"/>
      <c r="CHV245" s="19"/>
      <c r="CHY245" s="16"/>
      <c r="CHZ245" s="15"/>
      <c r="CIA245" s="15"/>
      <c r="CIB245" s="15"/>
      <c r="CIC245" s="16"/>
      <c r="CID245" s="16"/>
      <c r="CIE245" s="16"/>
      <c r="CIF245" s="16"/>
      <c r="CIG245" s="16"/>
      <c r="CIH245" s="15"/>
      <c r="CII245" s="15"/>
      <c r="CIJ245" s="10"/>
      <c r="CIK245" s="10"/>
      <c r="CIL245" s="19"/>
      <c r="CIM245" s="19"/>
      <c r="CIP245" s="16"/>
      <c r="CIQ245" s="15"/>
      <c r="CIR245" s="15"/>
      <c r="CIS245" s="15"/>
      <c r="CIT245" s="16"/>
      <c r="CIU245" s="16"/>
      <c r="CIV245" s="16"/>
      <c r="CIW245" s="16"/>
      <c r="CIX245" s="16"/>
      <c r="CIY245" s="15"/>
      <c r="CIZ245" s="15"/>
      <c r="CJA245" s="10"/>
      <c r="CJB245" s="10"/>
      <c r="CJC245" s="19"/>
      <c r="CJD245" s="19"/>
      <c r="CJG245" s="16"/>
      <c r="CJH245" s="15"/>
      <c r="CJI245" s="15"/>
      <c r="CJJ245" s="15"/>
      <c r="CJK245" s="16"/>
      <c r="CJL245" s="16"/>
      <c r="CJM245" s="16"/>
      <c r="CJN245" s="16"/>
      <c r="CJO245" s="16"/>
      <c r="CJP245" s="15"/>
      <c r="CJQ245" s="15"/>
      <c r="CJR245" s="10"/>
      <c r="CJS245" s="10"/>
      <c r="CJT245" s="19"/>
      <c r="CJU245" s="19"/>
      <c r="CJX245" s="16"/>
      <c r="CJY245" s="15"/>
      <c r="CJZ245" s="15"/>
      <c r="CKA245" s="15"/>
      <c r="CKB245" s="16"/>
      <c r="CKC245" s="16"/>
      <c r="CKD245" s="16"/>
      <c r="CKE245" s="16"/>
      <c r="CKF245" s="16"/>
      <c r="CKG245" s="15"/>
      <c r="CKH245" s="15"/>
      <c r="CKI245" s="10"/>
      <c r="CKJ245" s="10"/>
      <c r="CKK245" s="19"/>
      <c r="CKL245" s="19"/>
      <c r="CKO245" s="16"/>
      <c r="CKP245" s="15"/>
      <c r="CKQ245" s="15"/>
      <c r="CKR245" s="15"/>
      <c r="CKS245" s="16"/>
      <c r="CKT245" s="16"/>
      <c r="CKU245" s="16"/>
      <c r="CKV245" s="16"/>
      <c r="CKW245" s="16"/>
      <c r="CKX245" s="15"/>
      <c r="CKY245" s="15"/>
      <c r="CKZ245" s="10"/>
      <c r="CLA245" s="10"/>
      <c r="CLB245" s="19"/>
      <c r="CLC245" s="19"/>
      <c r="CLF245" s="16"/>
      <c r="CLG245" s="15"/>
      <c r="CLH245" s="15"/>
      <c r="CLI245" s="15"/>
      <c r="CLJ245" s="16"/>
      <c r="CLK245" s="16"/>
      <c r="CLL245" s="16"/>
      <c r="CLM245" s="16"/>
      <c r="CLN245" s="16"/>
      <c r="CLO245" s="15"/>
      <c r="CLP245" s="15"/>
      <c r="CLQ245" s="10"/>
      <c r="CLR245" s="10"/>
      <c r="CLS245" s="19"/>
      <c r="CLT245" s="19"/>
      <c r="CLW245" s="16"/>
      <c r="CLX245" s="15"/>
      <c r="CLY245" s="15"/>
      <c r="CLZ245" s="15"/>
      <c r="CMA245" s="16"/>
      <c r="CMB245" s="16"/>
      <c r="CMC245" s="16"/>
      <c r="CMD245" s="16"/>
      <c r="CME245" s="16"/>
      <c r="CMF245" s="15"/>
      <c r="CMG245" s="15"/>
      <c r="CMH245" s="10"/>
      <c r="CMI245" s="10"/>
      <c r="CMJ245" s="19"/>
      <c r="CMK245" s="19"/>
      <c r="CMN245" s="16"/>
      <c r="CMO245" s="15"/>
      <c r="CMP245" s="15"/>
      <c r="CMQ245" s="15"/>
      <c r="CMR245" s="16"/>
      <c r="CMS245" s="16"/>
      <c r="CMT245" s="16"/>
      <c r="CMU245" s="16"/>
      <c r="CMV245" s="16"/>
      <c r="CMW245" s="15"/>
      <c r="CMX245" s="15"/>
      <c r="CMY245" s="10"/>
      <c r="CMZ245" s="10"/>
      <c r="CNA245" s="19"/>
      <c r="CNB245" s="19"/>
      <c r="CNE245" s="16"/>
      <c r="CNF245" s="15"/>
      <c r="CNG245" s="15"/>
      <c r="CNH245" s="15"/>
      <c r="CNI245" s="16"/>
      <c r="CNJ245" s="16"/>
      <c r="CNK245" s="16"/>
      <c r="CNL245" s="16"/>
      <c r="CNM245" s="16"/>
      <c r="CNN245" s="15"/>
      <c r="CNO245" s="15"/>
      <c r="CNP245" s="10"/>
      <c r="CNQ245" s="10"/>
      <c r="CNR245" s="19"/>
      <c r="CNS245" s="19"/>
      <c r="CNV245" s="16"/>
      <c r="CNW245" s="15"/>
      <c r="CNX245" s="15"/>
      <c r="CNY245" s="15"/>
      <c r="CNZ245" s="16"/>
      <c r="COA245" s="16"/>
      <c r="COB245" s="16"/>
      <c r="COC245" s="16"/>
      <c r="COD245" s="16"/>
      <c r="COE245" s="15"/>
      <c r="COF245" s="15"/>
      <c r="COG245" s="10"/>
      <c r="COH245" s="10"/>
      <c r="COI245" s="19"/>
      <c r="COJ245" s="19"/>
      <c r="COM245" s="16"/>
      <c r="CON245" s="15"/>
      <c r="COO245" s="15"/>
      <c r="COP245" s="15"/>
      <c r="COQ245" s="16"/>
      <c r="COR245" s="16"/>
      <c r="COS245" s="16"/>
      <c r="COT245" s="16"/>
      <c r="COU245" s="16"/>
      <c r="COV245" s="15"/>
      <c r="COW245" s="15"/>
      <c r="COX245" s="10"/>
      <c r="COY245" s="10"/>
      <c r="COZ245" s="19"/>
      <c r="CPA245" s="19"/>
      <c r="CPD245" s="16"/>
      <c r="CPE245" s="15"/>
      <c r="CPF245" s="15"/>
      <c r="CPG245" s="15"/>
      <c r="CPH245" s="16"/>
      <c r="CPI245" s="16"/>
      <c r="CPJ245" s="16"/>
      <c r="CPK245" s="16"/>
      <c r="CPL245" s="16"/>
      <c r="CPM245" s="15"/>
      <c r="CPN245" s="15"/>
      <c r="CPO245" s="10"/>
      <c r="CPP245" s="10"/>
      <c r="CPQ245" s="19"/>
      <c r="CPR245" s="19"/>
      <c r="CPU245" s="16"/>
      <c r="CPV245" s="15"/>
      <c r="CPW245" s="15"/>
      <c r="CPX245" s="15"/>
      <c r="CPY245" s="16"/>
      <c r="CPZ245" s="16"/>
      <c r="CQA245" s="16"/>
      <c r="CQB245" s="16"/>
      <c r="CQC245" s="16"/>
      <c r="CQD245" s="15"/>
      <c r="CQE245" s="15"/>
      <c r="CQF245" s="10"/>
      <c r="CQG245" s="10"/>
      <c r="CQH245" s="19"/>
      <c r="CQI245" s="19"/>
      <c r="CQL245" s="16"/>
      <c r="CQM245" s="15"/>
      <c r="CQN245" s="15"/>
      <c r="CQO245" s="15"/>
      <c r="CQP245" s="16"/>
      <c r="CQQ245" s="16"/>
      <c r="CQR245" s="16"/>
      <c r="CQS245" s="16"/>
      <c r="CQT245" s="16"/>
      <c r="CQU245" s="15"/>
      <c r="CQV245" s="15"/>
      <c r="CQW245" s="10"/>
      <c r="CQX245" s="10"/>
      <c r="CQY245" s="19"/>
      <c r="CQZ245" s="19"/>
      <c r="CRC245" s="16"/>
      <c r="CRD245" s="15"/>
      <c r="CRE245" s="15"/>
      <c r="CRF245" s="15"/>
      <c r="CRG245" s="16"/>
      <c r="CRH245" s="16"/>
      <c r="CRI245" s="16"/>
      <c r="CRJ245" s="16"/>
      <c r="CRK245" s="16"/>
      <c r="CRL245" s="15"/>
      <c r="CRM245" s="15"/>
      <c r="CRN245" s="10"/>
      <c r="CRO245" s="10"/>
      <c r="CRP245" s="19"/>
      <c r="CRQ245" s="19"/>
      <c r="CRT245" s="16"/>
      <c r="CRU245" s="15"/>
      <c r="CRV245" s="15"/>
      <c r="CRW245" s="15"/>
      <c r="CRX245" s="16"/>
      <c r="CRY245" s="16"/>
      <c r="CRZ245" s="16"/>
      <c r="CSA245" s="16"/>
      <c r="CSB245" s="16"/>
      <c r="CSC245" s="15"/>
      <c r="CSD245" s="15"/>
      <c r="CSE245" s="10"/>
      <c r="CSF245" s="10"/>
      <c r="CSG245" s="19"/>
      <c r="CSH245" s="19"/>
      <c r="CSK245" s="16"/>
      <c r="CSL245" s="15"/>
      <c r="CSM245" s="15"/>
      <c r="CSN245" s="15"/>
      <c r="CSO245" s="16"/>
      <c r="CSP245" s="16"/>
      <c r="CSQ245" s="16"/>
      <c r="CSR245" s="16"/>
      <c r="CSS245" s="16"/>
      <c r="CST245" s="15"/>
      <c r="CSU245" s="15"/>
      <c r="CSV245" s="10"/>
      <c r="CSW245" s="10"/>
      <c r="CSX245" s="19"/>
      <c r="CSY245" s="19"/>
      <c r="CTB245" s="16"/>
      <c r="CTC245" s="15"/>
      <c r="CTD245" s="15"/>
      <c r="CTE245" s="15"/>
      <c r="CTF245" s="16"/>
      <c r="CTG245" s="16"/>
      <c r="CTH245" s="16"/>
      <c r="CTI245" s="16"/>
      <c r="CTJ245" s="16"/>
      <c r="CTK245" s="15"/>
      <c r="CTL245" s="15"/>
      <c r="CTM245" s="10"/>
      <c r="CTN245" s="10"/>
      <c r="CTO245" s="19"/>
      <c r="CTP245" s="19"/>
      <c r="CTS245" s="16"/>
      <c r="CTT245" s="15"/>
      <c r="CTU245" s="15"/>
      <c r="CTV245" s="15"/>
      <c r="CTW245" s="16"/>
      <c r="CTX245" s="16"/>
      <c r="CTY245" s="16"/>
      <c r="CTZ245" s="16"/>
      <c r="CUA245" s="16"/>
      <c r="CUB245" s="15"/>
      <c r="CUC245" s="15"/>
      <c r="CUD245" s="10"/>
      <c r="CUE245" s="10"/>
      <c r="CUF245" s="19"/>
      <c r="CUG245" s="19"/>
      <c r="CUJ245" s="16"/>
      <c r="CUK245" s="15"/>
      <c r="CUL245" s="15"/>
      <c r="CUM245" s="15"/>
      <c r="CUN245" s="16"/>
      <c r="CUO245" s="16"/>
      <c r="CUP245" s="16"/>
      <c r="CUQ245" s="16"/>
      <c r="CUR245" s="16"/>
      <c r="CUS245" s="15"/>
      <c r="CUT245" s="15"/>
      <c r="CUU245" s="10"/>
      <c r="CUV245" s="10"/>
      <c r="CUW245" s="19"/>
      <c r="CUX245" s="19"/>
      <c r="CVA245" s="16"/>
      <c r="CVB245" s="15"/>
      <c r="CVC245" s="15"/>
      <c r="CVD245" s="15"/>
      <c r="CVE245" s="16"/>
      <c r="CVF245" s="16"/>
      <c r="CVG245" s="16"/>
      <c r="CVH245" s="16"/>
      <c r="CVI245" s="16"/>
      <c r="CVJ245" s="15"/>
      <c r="CVK245" s="15"/>
      <c r="CVL245" s="10"/>
      <c r="CVM245" s="10"/>
      <c r="CVN245" s="19"/>
      <c r="CVO245" s="19"/>
      <c r="CVR245" s="16"/>
      <c r="CVS245" s="15"/>
      <c r="CVT245" s="15"/>
      <c r="CVU245" s="15"/>
      <c r="CVV245" s="16"/>
      <c r="CVW245" s="16"/>
      <c r="CVX245" s="16"/>
      <c r="CVY245" s="16"/>
      <c r="CVZ245" s="16"/>
      <c r="CWA245" s="15"/>
      <c r="CWB245" s="15"/>
      <c r="CWC245" s="10"/>
      <c r="CWD245" s="10"/>
      <c r="CWE245" s="19"/>
      <c r="CWF245" s="19"/>
      <c r="CWI245" s="16"/>
      <c r="CWJ245" s="15"/>
      <c r="CWK245" s="15"/>
      <c r="CWL245" s="15"/>
      <c r="CWM245" s="16"/>
      <c r="CWN245" s="16"/>
      <c r="CWO245" s="16"/>
      <c r="CWP245" s="16"/>
      <c r="CWQ245" s="16"/>
      <c r="CWR245" s="15"/>
      <c r="CWS245" s="15"/>
      <c r="CWT245" s="10"/>
      <c r="CWU245" s="10"/>
      <c r="CWV245" s="19"/>
      <c r="CWW245" s="19"/>
      <c r="CWZ245" s="16"/>
      <c r="CXA245" s="15"/>
      <c r="CXB245" s="15"/>
      <c r="CXC245" s="15"/>
      <c r="CXD245" s="16"/>
      <c r="CXE245" s="16"/>
      <c r="CXF245" s="16"/>
      <c r="CXG245" s="16"/>
      <c r="CXH245" s="16"/>
      <c r="CXI245" s="15"/>
      <c r="CXJ245" s="15"/>
      <c r="CXK245" s="10"/>
      <c r="CXL245" s="10"/>
      <c r="CXM245" s="19"/>
      <c r="CXN245" s="19"/>
      <c r="CXQ245" s="16"/>
      <c r="CXR245" s="15"/>
      <c r="CXS245" s="15"/>
      <c r="CXT245" s="15"/>
      <c r="CXU245" s="16"/>
      <c r="CXV245" s="16"/>
      <c r="CXW245" s="16"/>
      <c r="CXX245" s="16"/>
      <c r="CXY245" s="16"/>
      <c r="CXZ245" s="15"/>
      <c r="CYA245" s="15"/>
      <c r="CYB245" s="10"/>
      <c r="CYC245" s="10"/>
      <c r="CYD245" s="19"/>
      <c r="CYE245" s="19"/>
      <c r="CYH245" s="16"/>
      <c r="CYI245" s="15"/>
      <c r="CYJ245" s="15"/>
      <c r="CYK245" s="15"/>
      <c r="CYL245" s="16"/>
      <c r="CYM245" s="16"/>
      <c r="CYN245" s="16"/>
      <c r="CYO245" s="16"/>
      <c r="CYP245" s="16"/>
      <c r="CYQ245" s="15"/>
      <c r="CYR245" s="15"/>
      <c r="CYS245" s="10"/>
      <c r="CYT245" s="10"/>
      <c r="CYU245" s="19"/>
      <c r="CYV245" s="19"/>
      <c r="CYY245" s="16"/>
      <c r="CYZ245" s="15"/>
      <c r="CZA245" s="15"/>
      <c r="CZB245" s="15"/>
      <c r="CZC245" s="16"/>
      <c r="CZD245" s="16"/>
      <c r="CZE245" s="16"/>
      <c r="CZF245" s="16"/>
      <c r="CZG245" s="16"/>
      <c r="CZH245" s="15"/>
      <c r="CZI245" s="15"/>
      <c r="CZJ245" s="10"/>
      <c r="CZK245" s="10"/>
      <c r="CZL245" s="19"/>
      <c r="CZM245" s="19"/>
      <c r="CZP245" s="16"/>
      <c r="CZQ245" s="15"/>
      <c r="CZR245" s="15"/>
      <c r="CZS245" s="15"/>
      <c r="CZT245" s="16"/>
      <c r="CZU245" s="16"/>
      <c r="CZV245" s="16"/>
      <c r="CZW245" s="16"/>
      <c r="CZX245" s="16"/>
      <c r="CZY245" s="15"/>
      <c r="CZZ245" s="15"/>
      <c r="DAA245" s="10"/>
      <c r="DAB245" s="10"/>
      <c r="DAC245" s="19"/>
      <c r="DAD245" s="19"/>
      <c r="DAG245" s="16"/>
      <c r="DAH245" s="15"/>
      <c r="DAI245" s="15"/>
      <c r="DAJ245" s="15"/>
      <c r="DAK245" s="16"/>
      <c r="DAL245" s="16"/>
      <c r="DAM245" s="16"/>
      <c r="DAN245" s="16"/>
      <c r="DAO245" s="16"/>
      <c r="DAP245" s="15"/>
      <c r="DAQ245" s="15"/>
      <c r="DAR245" s="10"/>
      <c r="DAS245" s="10"/>
      <c r="DAT245" s="19"/>
      <c r="DAU245" s="19"/>
      <c r="DAX245" s="16"/>
      <c r="DAY245" s="15"/>
      <c r="DAZ245" s="15"/>
      <c r="DBA245" s="15"/>
      <c r="DBB245" s="16"/>
      <c r="DBC245" s="16"/>
      <c r="DBD245" s="16"/>
      <c r="DBE245" s="16"/>
      <c r="DBF245" s="16"/>
      <c r="DBG245" s="15"/>
      <c r="DBH245" s="15"/>
      <c r="DBI245" s="10"/>
      <c r="DBJ245" s="10"/>
      <c r="DBK245" s="19"/>
      <c r="DBL245" s="19"/>
      <c r="DBO245" s="16"/>
      <c r="DBP245" s="15"/>
      <c r="DBQ245" s="15"/>
      <c r="DBR245" s="15"/>
      <c r="DBS245" s="16"/>
      <c r="DBT245" s="16"/>
      <c r="DBU245" s="16"/>
      <c r="DBV245" s="16"/>
      <c r="DBW245" s="16"/>
      <c r="DBX245" s="15"/>
      <c r="DBY245" s="15"/>
      <c r="DBZ245" s="10"/>
      <c r="DCA245" s="10"/>
      <c r="DCB245" s="19"/>
      <c r="DCC245" s="19"/>
      <c r="DCF245" s="16"/>
      <c r="DCG245" s="15"/>
      <c r="DCH245" s="15"/>
      <c r="DCI245" s="15"/>
      <c r="DCJ245" s="16"/>
      <c r="DCK245" s="16"/>
      <c r="DCL245" s="16"/>
      <c r="DCM245" s="16"/>
      <c r="DCN245" s="16"/>
      <c r="DCO245" s="15"/>
      <c r="DCP245" s="15"/>
      <c r="DCQ245" s="10"/>
      <c r="DCR245" s="10"/>
      <c r="DCS245" s="19"/>
      <c r="DCT245" s="19"/>
      <c r="DCW245" s="16"/>
      <c r="DCX245" s="15"/>
      <c r="DCY245" s="15"/>
      <c r="DCZ245" s="15"/>
      <c r="DDA245" s="16"/>
      <c r="DDB245" s="16"/>
      <c r="DDC245" s="16"/>
      <c r="DDD245" s="16"/>
      <c r="DDE245" s="16"/>
      <c r="DDF245" s="15"/>
      <c r="DDG245" s="15"/>
      <c r="DDH245" s="10"/>
      <c r="DDI245" s="10"/>
      <c r="DDJ245" s="19"/>
      <c r="DDK245" s="19"/>
      <c r="DDN245" s="16"/>
      <c r="DDO245" s="15"/>
      <c r="DDP245" s="15"/>
      <c r="DDQ245" s="15"/>
      <c r="DDR245" s="16"/>
      <c r="DDS245" s="16"/>
      <c r="DDT245" s="16"/>
      <c r="DDU245" s="16"/>
      <c r="DDV245" s="16"/>
      <c r="DDW245" s="15"/>
      <c r="DDX245" s="15"/>
      <c r="DDY245" s="10"/>
      <c r="DDZ245" s="10"/>
      <c r="DEA245" s="19"/>
      <c r="DEB245" s="19"/>
      <c r="DEE245" s="16"/>
      <c r="DEF245" s="15"/>
      <c r="DEG245" s="15"/>
      <c r="DEH245" s="15"/>
      <c r="DEI245" s="16"/>
      <c r="DEJ245" s="16"/>
      <c r="DEK245" s="16"/>
      <c r="DEL245" s="16"/>
      <c r="DEM245" s="16"/>
      <c r="DEN245" s="15"/>
      <c r="DEO245" s="15"/>
      <c r="DEP245" s="10"/>
      <c r="DEQ245" s="10"/>
      <c r="DER245" s="19"/>
      <c r="DES245" s="19"/>
      <c r="DEV245" s="16"/>
      <c r="DEW245" s="15"/>
      <c r="DEX245" s="15"/>
      <c r="DEY245" s="15"/>
      <c r="DEZ245" s="16"/>
      <c r="DFA245" s="16"/>
      <c r="DFB245" s="16"/>
      <c r="DFC245" s="16"/>
      <c r="DFD245" s="16"/>
      <c r="DFE245" s="15"/>
      <c r="DFF245" s="15"/>
      <c r="DFG245" s="10"/>
      <c r="DFH245" s="10"/>
      <c r="DFI245" s="19"/>
      <c r="DFJ245" s="19"/>
      <c r="DFM245" s="16"/>
      <c r="DFN245" s="15"/>
      <c r="DFO245" s="15"/>
      <c r="DFP245" s="15"/>
      <c r="DFQ245" s="16"/>
      <c r="DFR245" s="16"/>
      <c r="DFS245" s="16"/>
      <c r="DFT245" s="16"/>
      <c r="DFU245" s="16"/>
      <c r="DFV245" s="15"/>
      <c r="DFW245" s="15"/>
      <c r="DFX245" s="10"/>
      <c r="DFY245" s="10"/>
      <c r="DFZ245" s="19"/>
      <c r="DGA245" s="19"/>
      <c r="DGD245" s="16"/>
      <c r="DGE245" s="15"/>
      <c r="DGF245" s="15"/>
      <c r="DGG245" s="15"/>
      <c r="DGH245" s="16"/>
      <c r="DGI245" s="16"/>
      <c r="DGJ245" s="16"/>
      <c r="DGK245" s="16"/>
      <c r="DGL245" s="16"/>
      <c r="DGM245" s="15"/>
      <c r="DGN245" s="15"/>
      <c r="DGO245" s="10"/>
      <c r="DGP245" s="10"/>
      <c r="DGQ245" s="19"/>
      <c r="DGR245" s="19"/>
      <c r="DGU245" s="16"/>
      <c r="DGV245" s="15"/>
      <c r="DGW245" s="15"/>
      <c r="DGX245" s="15"/>
      <c r="DGY245" s="16"/>
      <c r="DGZ245" s="16"/>
      <c r="DHA245" s="16"/>
      <c r="DHB245" s="16"/>
      <c r="DHC245" s="16"/>
      <c r="DHD245" s="15"/>
      <c r="DHE245" s="15"/>
      <c r="DHF245" s="10"/>
      <c r="DHG245" s="10"/>
      <c r="DHH245" s="19"/>
      <c r="DHI245" s="19"/>
      <c r="DHL245" s="16"/>
      <c r="DHM245" s="15"/>
      <c r="DHN245" s="15"/>
      <c r="DHO245" s="15"/>
      <c r="DHP245" s="16"/>
      <c r="DHQ245" s="16"/>
      <c r="DHR245" s="16"/>
      <c r="DHS245" s="16"/>
      <c r="DHT245" s="16"/>
      <c r="DHU245" s="15"/>
      <c r="DHV245" s="15"/>
      <c r="DHW245" s="10"/>
      <c r="DHX245" s="10"/>
      <c r="DHY245" s="19"/>
      <c r="DHZ245" s="19"/>
      <c r="DIC245" s="16"/>
      <c r="DID245" s="15"/>
      <c r="DIE245" s="15"/>
      <c r="DIF245" s="15"/>
      <c r="DIG245" s="16"/>
      <c r="DIH245" s="16"/>
      <c r="DII245" s="16"/>
      <c r="DIJ245" s="16"/>
      <c r="DIK245" s="16"/>
      <c r="DIL245" s="15"/>
      <c r="DIM245" s="15"/>
      <c r="DIN245" s="10"/>
      <c r="DIO245" s="10"/>
      <c r="DIP245" s="19"/>
      <c r="DIQ245" s="19"/>
      <c r="DIT245" s="16"/>
      <c r="DIU245" s="15"/>
      <c r="DIV245" s="15"/>
      <c r="DIW245" s="15"/>
      <c r="DIX245" s="16"/>
      <c r="DIY245" s="16"/>
      <c r="DIZ245" s="16"/>
      <c r="DJA245" s="16"/>
      <c r="DJB245" s="16"/>
      <c r="DJC245" s="15"/>
      <c r="DJD245" s="15"/>
      <c r="DJE245" s="10"/>
      <c r="DJF245" s="10"/>
      <c r="DJG245" s="19"/>
      <c r="DJH245" s="19"/>
      <c r="DJK245" s="16"/>
      <c r="DJL245" s="15"/>
      <c r="DJM245" s="15"/>
      <c r="DJN245" s="15"/>
      <c r="DJO245" s="16"/>
      <c r="DJP245" s="16"/>
      <c r="DJQ245" s="16"/>
      <c r="DJR245" s="16"/>
      <c r="DJS245" s="16"/>
      <c r="DJT245" s="15"/>
      <c r="DJU245" s="15"/>
      <c r="DJV245" s="10"/>
      <c r="DJW245" s="10"/>
      <c r="DJX245" s="19"/>
      <c r="DJY245" s="19"/>
      <c r="DKB245" s="16"/>
      <c r="DKC245" s="15"/>
      <c r="DKD245" s="15"/>
      <c r="DKE245" s="15"/>
      <c r="DKF245" s="16"/>
      <c r="DKG245" s="16"/>
      <c r="DKH245" s="16"/>
      <c r="DKI245" s="16"/>
      <c r="DKJ245" s="16"/>
      <c r="DKK245" s="15"/>
      <c r="DKL245" s="15"/>
      <c r="DKM245" s="10"/>
      <c r="DKN245" s="10"/>
      <c r="DKO245" s="19"/>
      <c r="DKP245" s="19"/>
      <c r="DKS245" s="16"/>
      <c r="DKT245" s="15"/>
      <c r="DKU245" s="15"/>
      <c r="DKV245" s="15"/>
      <c r="DKW245" s="16"/>
      <c r="DKX245" s="16"/>
      <c r="DKY245" s="16"/>
      <c r="DKZ245" s="16"/>
      <c r="DLA245" s="16"/>
      <c r="DLB245" s="15"/>
      <c r="DLC245" s="15"/>
      <c r="DLD245" s="10"/>
      <c r="DLE245" s="10"/>
      <c r="DLF245" s="19"/>
      <c r="DLG245" s="19"/>
      <c r="DLJ245" s="16"/>
      <c r="DLK245" s="15"/>
      <c r="DLL245" s="15"/>
      <c r="DLM245" s="15"/>
      <c r="DLN245" s="16"/>
      <c r="DLO245" s="16"/>
      <c r="DLP245" s="16"/>
      <c r="DLQ245" s="16"/>
      <c r="DLR245" s="16"/>
      <c r="DLS245" s="15"/>
      <c r="DLT245" s="15"/>
      <c r="DLU245" s="10"/>
      <c r="DLV245" s="10"/>
      <c r="DLW245" s="19"/>
      <c r="DLX245" s="19"/>
      <c r="DMA245" s="16"/>
      <c r="DMB245" s="15"/>
      <c r="DMC245" s="15"/>
      <c r="DMD245" s="15"/>
      <c r="DME245" s="16"/>
      <c r="DMF245" s="16"/>
      <c r="DMG245" s="16"/>
      <c r="DMH245" s="16"/>
      <c r="DMI245" s="16"/>
      <c r="DMJ245" s="15"/>
      <c r="DMK245" s="15"/>
      <c r="DML245" s="10"/>
      <c r="DMM245" s="10"/>
      <c r="DMN245" s="19"/>
      <c r="DMO245" s="19"/>
      <c r="DMR245" s="16"/>
      <c r="DMS245" s="15"/>
      <c r="DMT245" s="15"/>
      <c r="DMU245" s="15"/>
      <c r="DMV245" s="16"/>
      <c r="DMW245" s="16"/>
      <c r="DMX245" s="16"/>
      <c r="DMY245" s="16"/>
      <c r="DMZ245" s="16"/>
      <c r="DNA245" s="15"/>
      <c r="DNB245" s="15"/>
      <c r="DNC245" s="10"/>
      <c r="DND245" s="10"/>
      <c r="DNE245" s="19"/>
      <c r="DNF245" s="19"/>
      <c r="DNI245" s="16"/>
      <c r="DNJ245" s="15"/>
      <c r="DNK245" s="15"/>
      <c r="DNL245" s="15"/>
      <c r="DNM245" s="16"/>
      <c r="DNN245" s="16"/>
      <c r="DNO245" s="16"/>
      <c r="DNP245" s="16"/>
      <c r="DNQ245" s="16"/>
      <c r="DNR245" s="15"/>
      <c r="DNS245" s="15"/>
      <c r="DNT245" s="10"/>
      <c r="DNU245" s="10"/>
      <c r="DNV245" s="19"/>
      <c r="DNW245" s="19"/>
      <c r="DNZ245" s="16"/>
      <c r="DOA245" s="15"/>
      <c r="DOB245" s="15"/>
      <c r="DOC245" s="15"/>
      <c r="DOD245" s="16"/>
      <c r="DOE245" s="16"/>
      <c r="DOF245" s="16"/>
      <c r="DOG245" s="16"/>
      <c r="DOH245" s="16"/>
      <c r="DOI245" s="15"/>
      <c r="DOJ245" s="15"/>
      <c r="DOK245" s="10"/>
      <c r="DOL245" s="10"/>
      <c r="DOM245" s="19"/>
      <c r="DON245" s="19"/>
      <c r="DOQ245" s="16"/>
      <c r="DOR245" s="15"/>
      <c r="DOS245" s="15"/>
      <c r="DOT245" s="15"/>
      <c r="DOU245" s="16"/>
      <c r="DOV245" s="16"/>
      <c r="DOW245" s="16"/>
      <c r="DOX245" s="16"/>
      <c r="DOY245" s="16"/>
      <c r="DOZ245" s="15"/>
      <c r="DPA245" s="15"/>
      <c r="DPB245" s="10"/>
      <c r="DPC245" s="10"/>
      <c r="DPD245" s="19"/>
      <c r="DPE245" s="19"/>
      <c r="DPH245" s="16"/>
      <c r="DPI245" s="15"/>
      <c r="DPJ245" s="15"/>
      <c r="DPK245" s="15"/>
      <c r="DPL245" s="16"/>
      <c r="DPM245" s="16"/>
      <c r="DPN245" s="16"/>
      <c r="DPO245" s="16"/>
      <c r="DPP245" s="16"/>
      <c r="DPQ245" s="15"/>
      <c r="DPR245" s="15"/>
      <c r="DPS245" s="10"/>
      <c r="DPT245" s="10"/>
      <c r="DPU245" s="19"/>
      <c r="DPV245" s="19"/>
      <c r="DPY245" s="16"/>
      <c r="DPZ245" s="15"/>
      <c r="DQA245" s="15"/>
      <c r="DQB245" s="15"/>
      <c r="DQC245" s="16"/>
      <c r="DQD245" s="16"/>
      <c r="DQE245" s="16"/>
      <c r="DQF245" s="16"/>
      <c r="DQG245" s="16"/>
      <c r="DQH245" s="15"/>
      <c r="DQI245" s="15"/>
      <c r="DQJ245" s="10"/>
      <c r="DQK245" s="10"/>
      <c r="DQL245" s="19"/>
      <c r="DQM245" s="19"/>
      <c r="DQP245" s="16"/>
      <c r="DQQ245" s="15"/>
      <c r="DQR245" s="15"/>
      <c r="DQS245" s="15"/>
      <c r="DQT245" s="16"/>
      <c r="DQU245" s="16"/>
      <c r="DQV245" s="16"/>
      <c r="DQW245" s="16"/>
      <c r="DQX245" s="16"/>
      <c r="DQY245" s="15"/>
      <c r="DQZ245" s="15"/>
      <c r="DRA245" s="10"/>
      <c r="DRB245" s="10"/>
      <c r="DRC245" s="19"/>
      <c r="DRD245" s="19"/>
      <c r="DRG245" s="16"/>
      <c r="DRH245" s="15"/>
      <c r="DRI245" s="15"/>
      <c r="DRJ245" s="15"/>
      <c r="DRK245" s="16"/>
      <c r="DRL245" s="16"/>
      <c r="DRM245" s="16"/>
      <c r="DRN245" s="16"/>
      <c r="DRO245" s="16"/>
      <c r="DRP245" s="15"/>
      <c r="DRQ245" s="15"/>
      <c r="DRR245" s="10"/>
      <c r="DRS245" s="10"/>
      <c r="DRT245" s="19"/>
      <c r="DRU245" s="19"/>
      <c r="DRX245" s="16"/>
      <c r="DRY245" s="15"/>
      <c r="DRZ245" s="15"/>
      <c r="DSA245" s="15"/>
      <c r="DSB245" s="16"/>
      <c r="DSC245" s="16"/>
      <c r="DSD245" s="16"/>
      <c r="DSE245" s="16"/>
      <c r="DSF245" s="16"/>
      <c r="DSG245" s="15"/>
      <c r="DSH245" s="15"/>
      <c r="DSI245" s="10"/>
      <c r="DSJ245" s="10"/>
      <c r="DSK245" s="19"/>
      <c r="DSL245" s="19"/>
      <c r="DSO245" s="16"/>
      <c r="DSP245" s="15"/>
      <c r="DSQ245" s="15"/>
      <c r="DSR245" s="15"/>
      <c r="DSS245" s="16"/>
      <c r="DST245" s="16"/>
      <c r="DSU245" s="16"/>
      <c r="DSV245" s="16"/>
      <c r="DSW245" s="16"/>
      <c r="DSX245" s="15"/>
      <c r="DSY245" s="15"/>
      <c r="DSZ245" s="10"/>
      <c r="DTA245" s="10"/>
      <c r="DTB245" s="19"/>
      <c r="DTC245" s="19"/>
      <c r="DTF245" s="16"/>
      <c r="DTG245" s="15"/>
      <c r="DTH245" s="15"/>
      <c r="DTI245" s="15"/>
      <c r="DTJ245" s="16"/>
      <c r="DTK245" s="16"/>
      <c r="DTL245" s="16"/>
      <c r="DTM245" s="16"/>
      <c r="DTN245" s="16"/>
      <c r="DTO245" s="15"/>
      <c r="DTP245" s="15"/>
      <c r="DTQ245" s="10"/>
      <c r="DTR245" s="10"/>
      <c r="DTS245" s="19"/>
      <c r="DTT245" s="19"/>
      <c r="DTW245" s="16"/>
      <c r="DTX245" s="15"/>
      <c r="DTY245" s="15"/>
      <c r="DTZ245" s="15"/>
      <c r="DUA245" s="16"/>
      <c r="DUB245" s="16"/>
      <c r="DUC245" s="16"/>
      <c r="DUD245" s="16"/>
      <c r="DUE245" s="16"/>
      <c r="DUF245" s="15"/>
      <c r="DUG245" s="15"/>
      <c r="DUH245" s="10"/>
      <c r="DUI245" s="10"/>
      <c r="DUJ245" s="19"/>
      <c r="DUK245" s="19"/>
      <c r="DUN245" s="16"/>
      <c r="DUO245" s="15"/>
      <c r="DUP245" s="15"/>
      <c r="DUQ245" s="15"/>
      <c r="DUR245" s="16"/>
      <c r="DUS245" s="16"/>
      <c r="DUT245" s="16"/>
      <c r="DUU245" s="16"/>
      <c r="DUV245" s="16"/>
      <c r="DUW245" s="15"/>
      <c r="DUX245" s="15"/>
      <c r="DUY245" s="10"/>
      <c r="DUZ245" s="10"/>
      <c r="DVA245" s="19"/>
      <c r="DVB245" s="19"/>
      <c r="DVE245" s="16"/>
      <c r="DVF245" s="15"/>
      <c r="DVG245" s="15"/>
      <c r="DVH245" s="15"/>
      <c r="DVI245" s="16"/>
      <c r="DVJ245" s="16"/>
      <c r="DVK245" s="16"/>
      <c r="DVL245" s="16"/>
      <c r="DVM245" s="16"/>
      <c r="DVN245" s="15"/>
      <c r="DVO245" s="15"/>
      <c r="DVP245" s="10"/>
      <c r="DVQ245" s="10"/>
      <c r="DVR245" s="19"/>
      <c r="DVS245" s="19"/>
      <c r="DVV245" s="16"/>
      <c r="DVW245" s="15"/>
      <c r="DVX245" s="15"/>
      <c r="DVY245" s="15"/>
      <c r="DVZ245" s="16"/>
      <c r="DWA245" s="16"/>
      <c r="DWB245" s="16"/>
      <c r="DWC245" s="16"/>
      <c r="DWD245" s="16"/>
      <c r="DWE245" s="15"/>
      <c r="DWF245" s="15"/>
      <c r="DWG245" s="10"/>
      <c r="DWH245" s="10"/>
      <c r="DWI245" s="19"/>
      <c r="DWJ245" s="19"/>
      <c r="DWM245" s="16"/>
      <c r="DWN245" s="15"/>
      <c r="DWO245" s="15"/>
      <c r="DWP245" s="15"/>
      <c r="DWQ245" s="16"/>
      <c r="DWR245" s="16"/>
      <c r="DWS245" s="16"/>
      <c r="DWT245" s="16"/>
      <c r="DWU245" s="16"/>
      <c r="DWV245" s="15"/>
      <c r="DWW245" s="15"/>
      <c r="DWX245" s="10"/>
      <c r="DWY245" s="10"/>
      <c r="DWZ245" s="19"/>
      <c r="DXA245" s="19"/>
      <c r="DXD245" s="16"/>
      <c r="DXE245" s="15"/>
      <c r="DXF245" s="15"/>
      <c r="DXG245" s="15"/>
      <c r="DXH245" s="16"/>
      <c r="DXI245" s="16"/>
      <c r="DXJ245" s="16"/>
      <c r="DXK245" s="16"/>
      <c r="DXL245" s="16"/>
      <c r="DXM245" s="15"/>
      <c r="DXN245" s="15"/>
      <c r="DXO245" s="10"/>
      <c r="DXP245" s="10"/>
      <c r="DXQ245" s="19"/>
      <c r="DXR245" s="19"/>
      <c r="DXU245" s="16"/>
      <c r="DXV245" s="15"/>
      <c r="DXW245" s="15"/>
      <c r="DXX245" s="15"/>
      <c r="DXY245" s="16"/>
      <c r="DXZ245" s="16"/>
      <c r="DYA245" s="16"/>
      <c r="DYB245" s="16"/>
      <c r="DYC245" s="16"/>
      <c r="DYD245" s="15"/>
      <c r="DYE245" s="15"/>
      <c r="DYF245" s="10"/>
      <c r="DYG245" s="10"/>
      <c r="DYH245" s="19"/>
      <c r="DYI245" s="19"/>
      <c r="DYL245" s="16"/>
      <c r="DYM245" s="15"/>
      <c r="DYN245" s="15"/>
      <c r="DYO245" s="15"/>
      <c r="DYP245" s="16"/>
      <c r="DYQ245" s="16"/>
      <c r="DYR245" s="16"/>
      <c r="DYS245" s="16"/>
      <c r="DYT245" s="16"/>
      <c r="DYU245" s="15"/>
      <c r="DYV245" s="15"/>
      <c r="DYW245" s="10"/>
      <c r="DYX245" s="10"/>
      <c r="DYY245" s="19"/>
      <c r="DYZ245" s="19"/>
      <c r="DZC245" s="16"/>
      <c r="DZD245" s="15"/>
      <c r="DZE245" s="15"/>
      <c r="DZF245" s="15"/>
      <c r="DZG245" s="16"/>
      <c r="DZH245" s="16"/>
      <c r="DZI245" s="16"/>
      <c r="DZJ245" s="16"/>
      <c r="DZK245" s="16"/>
      <c r="DZL245" s="15"/>
      <c r="DZM245" s="15"/>
      <c r="DZN245" s="10"/>
      <c r="DZO245" s="10"/>
      <c r="DZP245" s="19"/>
      <c r="DZQ245" s="19"/>
      <c r="DZT245" s="16"/>
      <c r="DZU245" s="15"/>
      <c r="DZV245" s="15"/>
      <c r="DZW245" s="15"/>
      <c r="DZX245" s="16"/>
      <c r="DZY245" s="16"/>
      <c r="DZZ245" s="16"/>
      <c r="EAA245" s="16"/>
      <c r="EAB245" s="16"/>
      <c r="EAC245" s="15"/>
      <c r="EAD245" s="15"/>
      <c r="EAE245" s="10"/>
      <c r="EAF245" s="10"/>
      <c r="EAG245" s="19"/>
      <c r="EAH245" s="19"/>
      <c r="EAK245" s="16"/>
      <c r="EAL245" s="15"/>
      <c r="EAM245" s="15"/>
      <c r="EAN245" s="15"/>
      <c r="EAO245" s="16"/>
      <c r="EAP245" s="16"/>
      <c r="EAQ245" s="16"/>
      <c r="EAR245" s="16"/>
      <c r="EAS245" s="16"/>
      <c r="EAT245" s="15"/>
      <c r="EAU245" s="15"/>
      <c r="EAV245" s="10"/>
      <c r="EAW245" s="10"/>
      <c r="EAX245" s="19"/>
      <c r="EAY245" s="19"/>
      <c r="EBB245" s="16"/>
      <c r="EBC245" s="15"/>
      <c r="EBD245" s="15"/>
      <c r="EBE245" s="15"/>
      <c r="EBF245" s="16"/>
      <c r="EBG245" s="16"/>
      <c r="EBH245" s="16"/>
      <c r="EBI245" s="16"/>
      <c r="EBJ245" s="16"/>
      <c r="EBK245" s="15"/>
      <c r="EBL245" s="15"/>
      <c r="EBM245" s="10"/>
      <c r="EBN245" s="10"/>
      <c r="EBO245" s="19"/>
      <c r="EBP245" s="19"/>
      <c r="EBS245" s="16"/>
      <c r="EBT245" s="15"/>
      <c r="EBU245" s="15"/>
      <c r="EBV245" s="15"/>
      <c r="EBW245" s="16"/>
      <c r="EBX245" s="16"/>
      <c r="EBY245" s="16"/>
      <c r="EBZ245" s="16"/>
      <c r="ECA245" s="16"/>
      <c r="ECB245" s="15"/>
      <c r="ECC245" s="15"/>
      <c r="ECD245" s="10"/>
      <c r="ECE245" s="10"/>
      <c r="ECF245" s="19"/>
      <c r="ECG245" s="19"/>
      <c r="ECJ245" s="16"/>
      <c r="ECK245" s="15"/>
      <c r="ECL245" s="15"/>
      <c r="ECM245" s="15"/>
      <c r="ECN245" s="16"/>
      <c r="ECO245" s="16"/>
      <c r="ECP245" s="16"/>
      <c r="ECQ245" s="16"/>
      <c r="ECR245" s="16"/>
      <c r="ECS245" s="15"/>
      <c r="ECT245" s="15"/>
      <c r="ECU245" s="10"/>
      <c r="ECV245" s="10"/>
      <c r="ECW245" s="19"/>
      <c r="ECX245" s="19"/>
      <c r="EDA245" s="16"/>
      <c r="EDB245" s="15"/>
      <c r="EDC245" s="15"/>
      <c r="EDD245" s="15"/>
      <c r="EDE245" s="16"/>
      <c r="EDF245" s="16"/>
      <c r="EDG245" s="16"/>
      <c r="EDH245" s="16"/>
      <c r="EDI245" s="16"/>
      <c r="EDJ245" s="15"/>
      <c r="EDK245" s="15"/>
      <c r="EDL245" s="10"/>
      <c r="EDM245" s="10"/>
      <c r="EDN245" s="19"/>
      <c r="EDO245" s="19"/>
      <c r="EDR245" s="16"/>
      <c r="EDS245" s="15"/>
      <c r="EDT245" s="15"/>
      <c r="EDU245" s="15"/>
      <c r="EDV245" s="16"/>
      <c r="EDW245" s="16"/>
      <c r="EDX245" s="16"/>
      <c r="EDY245" s="16"/>
      <c r="EDZ245" s="16"/>
      <c r="EEA245" s="15"/>
      <c r="EEB245" s="15"/>
      <c r="EEC245" s="10"/>
      <c r="EED245" s="10"/>
      <c r="EEE245" s="19"/>
      <c r="EEF245" s="19"/>
      <c r="EEI245" s="16"/>
      <c r="EEJ245" s="15"/>
      <c r="EEK245" s="15"/>
      <c r="EEL245" s="15"/>
      <c r="EEM245" s="16"/>
      <c r="EEN245" s="16"/>
      <c r="EEO245" s="16"/>
      <c r="EEP245" s="16"/>
      <c r="EEQ245" s="16"/>
      <c r="EER245" s="15"/>
      <c r="EES245" s="15"/>
      <c r="EET245" s="10"/>
      <c r="EEU245" s="10"/>
      <c r="EEV245" s="19"/>
      <c r="EEW245" s="19"/>
      <c r="EEZ245" s="16"/>
      <c r="EFA245" s="15"/>
      <c r="EFB245" s="15"/>
      <c r="EFC245" s="15"/>
      <c r="EFD245" s="16"/>
      <c r="EFE245" s="16"/>
      <c r="EFF245" s="16"/>
      <c r="EFG245" s="16"/>
      <c r="EFH245" s="16"/>
      <c r="EFI245" s="15"/>
      <c r="EFJ245" s="15"/>
      <c r="EFK245" s="10"/>
      <c r="EFL245" s="10"/>
      <c r="EFM245" s="19"/>
      <c r="EFN245" s="19"/>
      <c r="EFQ245" s="16"/>
      <c r="EFR245" s="15"/>
      <c r="EFS245" s="15"/>
      <c r="EFT245" s="15"/>
      <c r="EFU245" s="16"/>
      <c r="EFV245" s="16"/>
      <c r="EFW245" s="16"/>
      <c r="EFX245" s="16"/>
      <c r="EFY245" s="16"/>
      <c r="EFZ245" s="15"/>
      <c r="EGA245" s="15"/>
      <c r="EGB245" s="10"/>
      <c r="EGC245" s="10"/>
      <c r="EGD245" s="19"/>
      <c r="EGE245" s="19"/>
      <c r="EGH245" s="16"/>
      <c r="EGI245" s="15"/>
      <c r="EGJ245" s="15"/>
      <c r="EGK245" s="15"/>
      <c r="EGL245" s="16"/>
      <c r="EGM245" s="16"/>
      <c r="EGN245" s="16"/>
      <c r="EGO245" s="16"/>
      <c r="EGP245" s="16"/>
      <c r="EGQ245" s="15"/>
      <c r="EGR245" s="15"/>
      <c r="EGS245" s="10"/>
      <c r="EGT245" s="10"/>
      <c r="EGU245" s="19"/>
      <c r="EGV245" s="19"/>
      <c r="EGY245" s="16"/>
      <c r="EGZ245" s="15"/>
      <c r="EHA245" s="15"/>
      <c r="EHB245" s="15"/>
      <c r="EHC245" s="16"/>
      <c r="EHD245" s="16"/>
      <c r="EHE245" s="16"/>
      <c r="EHF245" s="16"/>
      <c r="EHG245" s="16"/>
      <c r="EHH245" s="15"/>
      <c r="EHI245" s="15"/>
      <c r="EHJ245" s="10"/>
      <c r="EHK245" s="10"/>
      <c r="EHL245" s="19"/>
      <c r="EHM245" s="19"/>
      <c r="EHP245" s="16"/>
      <c r="EHQ245" s="15"/>
      <c r="EHR245" s="15"/>
      <c r="EHS245" s="15"/>
      <c r="EHT245" s="16"/>
      <c r="EHU245" s="16"/>
      <c r="EHV245" s="16"/>
      <c r="EHW245" s="16"/>
      <c r="EHX245" s="16"/>
      <c r="EHY245" s="15"/>
      <c r="EHZ245" s="15"/>
      <c r="EIA245" s="10"/>
      <c r="EIB245" s="10"/>
      <c r="EIC245" s="19"/>
      <c r="EID245" s="19"/>
      <c r="EIG245" s="16"/>
      <c r="EIH245" s="15"/>
      <c r="EII245" s="15"/>
      <c r="EIJ245" s="15"/>
      <c r="EIK245" s="16"/>
      <c r="EIL245" s="16"/>
      <c r="EIM245" s="16"/>
      <c r="EIN245" s="16"/>
      <c r="EIO245" s="16"/>
      <c r="EIP245" s="15"/>
      <c r="EIQ245" s="15"/>
      <c r="EIR245" s="10"/>
      <c r="EIS245" s="10"/>
      <c r="EIT245" s="19"/>
      <c r="EIU245" s="19"/>
      <c r="EIX245" s="16"/>
      <c r="EIY245" s="15"/>
      <c r="EIZ245" s="15"/>
      <c r="EJA245" s="15"/>
      <c r="EJB245" s="16"/>
      <c r="EJC245" s="16"/>
      <c r="EJD245" s="16"/>
      <c r="EJE245" s="16"/>
      <c r="EJF245" s="16"/>
      <c r="EJG245" s="15"/>
      <c r="EJH245" s="15"/>
      <c r="EJI245" s="10"/>
      <c r="EJJ245" s="10"/>
      <c r="EJK245" s="19"/>
      <c r="EJL245" s="19"/>
      <c r="EJO245" s="16"/>
      <c r="EJP245" s="15"/>
      <c r="EJQ245" s="15"/>
      <c r="EJR245" s="15"/>
      <c r="EJS245" s="16"/>
      <c r="EJT245" s="16"/>
      <c r="EJU245" s="16"/>
      <c r="EJV245" s="16"/>
      <c r="EJW245" s="16"/>
      <c r="EJX245" s="15"/>
      <c r="EJY245" s="15"/>
      <c r="EJZ245" s="10"/>
      <c r="EKA245" s="10"/>
      <c r="EKB245" s="19"/>
      <c r="EKC245" s="19"/>
      <c r="EKF245" s="16"/>
      <c r="EKG245" s="15"/>
      <c r="EKH245" s="15"/>
      <c r="EKI245" s="15"/>
      <c r="EKJ245" s="16"/>
      <c r="EKK245" s="16"/>
      <c r="EKL245" s="16"/>
      <c r="EKM245" s="16"/>
      <c r="EKN245" s="16"/>
      <c r="EKO245" s="15"/>
      <c r="EKP245" s="15"/>
      <c r="EKQ245" s="10"/>
      <c r="EKR245" s="10"/>
      <c r="EKS245" s="19"/>
      <c r="EKT245" s="19"/>
      <c r="EKW245" s="16"/>
      <c r="EKX245" s="15"/>
      <c r="EKY245" s="15"/>
      <c r="EKZ245" s="15"/>
      <c r="ELA245" s="16"/>
      <c r="ELB245" s="16"/>
      <c r="ELC245" s="16"/>
      <c r="ELD245" s="16"/>
      <c r="ELE245" s="16"/>
      <c r="ELF245" s="15"/>
      <c r="ELG245" s="15"/>
      <c r="ELH245" s="10"/>
      <c r="ELI245" s="10"/>
      <c r="ELJ245" s="19"/>
      <c r="ELK245" s="19"/>
      <c r="ELN245" s="16"/>
      <c r="ELO245" s="15"/>
      <c r="ELP245" s="15"/>
      <c r="ELQ245" s="15"/>
      <c r="ELR245" s="16"/>
      <c r="ELS245" s="16"/>
      <c r="ELT245" s="16"/>
      <c r="ELU245" s="16"/>
      <c r="ELV245" s="16"/>
      <c r="ELW245" s="15"/>
      <c r="ELX245" s="15"/>
      <c r="ELY245" s="10"/>
      <c r="ELZ245" s="10"/>
      <c r="EMA245" s="19"/>
      <c r="EMB245" s="19"/>
      <c r="EME245" s="16"/>
      <c r="EMF245" s="15"/>
      <c r="EMG245" s="15"/>
      <c r="EMH245" s="15"/>
      <c r="EMI245" s="16"/>
      <c r="EMJ245" s="16"/>
      <c r="EMK245" s="16"/>
      <c r="EML245" s="16"/>
      <c r="EMM245" s="16"/>
      <c r="EMN245" s="15"/>
      <c r="EMO245" s="15"/>
      <c r="EMP245" s="10"/>
      <c r="EMQ245" s="10"/>
      <c r="EMR245" s="19"/>
      <c r="EMS245" s="19"/>
      <c r="EMV245" s="16"/>
      <c r="EMW245" s="15"/>
      <c r="EMX245" s="15"/>
      <c r="EMY245" s="15"/>
      <c r="EMZ245" s="16"/>
      <c r="ENA245" s="16"/>
      <c r="ENB245" s="16"/>
      <c r="ENC245" s="16"/>
      <c r="END245" s="16"/>
      <c r="ENE245" s="15"/>
      <c r="ENF245" s="15"/>
      <c r="ENG245" s="10"/>
      <c r="ENH245" s="10"/>
      <c r="ENI245" s="19"/>
      <c r="ENJ245" s="19"/>
      <c r="ENM245" s="16"/>
      <c r="ENN245" s="15"/>
      <c r="ENO245" s="15"/>
      <c r="ENP245" s="15"/>
      <c r="ENQ245" s="16"/>
      <c r="ENR245" s="16"/>
      <c r="ENS245" s="16"/>
      <c r="ENT245" s="16"/>
      <c r="ENU245" s="16"/>
      <c r="ENV245" s="15"/>
      <c r="ENW245" s="15"/>
      <c r="ENX245" s="10"/>
      <c r="ENY245" s="10"/>
      <c r="ENZ245" s="19"/>
      <c r="EOA245" s="19"/>
      <c r="EOD245" s="16"/>
      <c r="EOE245" s="15"/>
      <c r="EOF245" s="15"/>
      <c r="EOG245" s="15"/>
      <c r="EOH245" s="16"/>
      <c r="EOI245" s="16"/>
      <c r="EOJ245" s="16"/>
      <c r="EOK245" s="16"/>
      <c r="EOL245" s="16"/>
      <c r="EOM245" s="15"/>
      <c r="EON245" s="15"/>
      <c r="EOO245" s="10"/>
      <c r="EOP245" s="10"/>
      <c r="EOQ245" s="19"/>
      <c r="EOR245" s="19"/>
      <c r="EOU245" s="16"/>
      <c r="EOV245" s="15"/>
      <c r="EOW245" s="15"/>
      <c r="EOX245" s="15"/>
      <c r="EOY245" s="16"/>
      <c r="EOZ245" s="16"/>
      <c r="EPA245" s="16"/>
      <c r="EPB245" s="16"/>
      <c r="EPC245" s="16"/>
      <c r="EPD245" s="15"/>
      <c r="EPE245" s="15"/>
      <c r="EPF245" s="10"/>
      <c r="EPG245" s="10"/>
      <c r="EPH245" s="19"/>
      <c r="EPI245" s="19"/>
      <c r="EPL245" s="16"/>
      <c r="EPM245" s="15"/>
      <c r="EPN245" s="15"/>
      <c r="EPO245" s="15"/>
      <c r="EPP245" s="16"/>
      <c r="EPQ245" s="16"/>
      <c r="EPR245" s="16"/>
      <c r="EPS245" s="16"/>
      <c r="EPT245" s="16"/>
      <c r="EPU245" s="15"/>
      <c r="EPV245" s="15"/>
      <c r="EPW245" s="10"/>
      <c r="EPX245" s="10"/>
      <c r="EPY245" s="19"/>
      <c r="EPZ245" s="19"/>
      <c r="EQC245" s="16"/>
      <c r="EQD245" s="15"/>
      <c r="EQE245" s="15"/>
      <c r="EQF245" s="15"/>
      <c r="EQG245" s="16"/>
      <c r="EQH245" s="16"/>
      <c r="EQI245" s="16"/>
      <c r="EQJ245" s="16"/>
      <c r="EQK245" s="16"/>
      <c r="EQL245" s="15"/>
      <c r="EQM245" s="15"/>
      <c r="EQN245" s="10"/>
      <c r="EQO245" s="10"/>
      <c r="EQP245" s="19"/>
      <c r="EQQ245" s="19"/>
      <c r="EQT245" s="16"/>
      <c r="EQU245" s="15"/>
      <c r="EQV245" s="15"/>
      <c r="EQW245" s="15"/>
      <c r="EQX245" s="16"/>
      <c r="EQY245" s="16"/>
      <c r="EQZ245" s="16"/>
      <c r="ERA245" s="16"/>
      <c r="ERB245" s="16"/>
      <c r="ERC245" s="15"/>
      <c r="ERD245" s="15"/>
      <c r="ERE245" s="10"/>
      <c r="ERF245" s="10"/>
      <c r="ERG245" s="19"/>
      <c r="ERH245" s="19"/>
      <c r="ERK245" s="16"/>
      <c r="ERL245" s="15"/>
      <c r="ERM245" s="15"/>
      <c r="ERN245" s="15"/>
      <c r="ERO245" s="16"/>
      <c r="ERP245" s="16"/>
      <c r="ERQ245" s="16"/>
      <c r="ERR245" s="16"/>
      <c r="ERS245" s="16"/>
      <c r="ERT245" s="15"/>
      <c r="ERU245" s="15"/>
      <c r="ERV245" s="10"/>
      <c r="ERW245" s="10"/>
      <c r="ERX245" s="19"/>
      <c r="ERY245" s="19"/>
      <c r="ESB245" s="16"/>
      <c r="ESC245" s="15"/>
      <c r="ESD245" s="15"/>
      <c r="ESE245" s="15"/>
      <c r="ESF245" s="16"/>
      <c r="ESG245" s="16"/>
      <c r="ESH245" s="16"/>
      <c r="ESI245" s="16"/>
      <c r="ESJ245" s="16"/>
      <c r="ESK245" s="15"/>
      <c r="ESL245" s="15"/>
      <c r="ESM245" s="10"/>
      <c r="ESN245" s="10"/>
      <c r="ESO245" s="19"/>
      <c r="ESP245" s="19"/>
      <c r="ESS245" s="16"/>
      <c r="EST245" s="15"/>
      <c r="ESU245" s="15"/>
      <c r="ESV245" s="15"/>
      <c r="ESW245" s="16"/>
      <c r="ESX245" s="16"/>
      <c r="ESY245" s="16"/>
      <c r="ESZ245" s="16"/>
      <c r="ETA245" s="16"/>
      <c r="ETB245" s="15"/>
      <c r="ETC245" s="15"/>
      <c r="ETD245" s="10"/>
      <c r="ETE245" s="10"/>
      <c r="ETF245" s="19"/>
      <c r="ETG245" s="19"/>
      <c r="ETJ245" s="16"/>
      <c r="ETK245" s="15"/>
      <c r="ETL245" s="15"/>
      <c r="ETM245" s="15"/>
      <c r="ETN245" s="16"/>
      <c r="ETO245" s="16"/>
      <c r="ETP245" s="16"/>
      <c r="ETQ245" s="16"/>
      <c r="ETR245" s="16"/>
      <c r="ETS245" s="15"/>
      <c r="ETT245" s="15"/>
      <c r="ETU245" s="10"/>
      <c r="ETV245" s="10"/>
      <c r="ETW245" s="19"/>
      <c r="ETX245" s="19"/>
      <c r="EUA245" s="16"/>
      <c r="EUB245" s="15"/>
      <c r="EUC245" s="15"/>
      <c r="EUD245" s="15"/>
      <c r="EUE245" s="16"/>
      <c r="EUF245" s="16"/>
      <c r="EUG245" s="16"/>
      <c r="EUH245" s="16"/>
      <c r="EUI245" s="16"/>
      <c r="EUJ245" s="15"/>
      <c r="EUK245" s="15"/>
      <c r="EUL245" s="10"/>
      <c r="EUM245" s="10"/>
      <c r="EUN245" s="19"/>
      <c r="EUO245" s="19"/>
      <c r="EUR245" s="16"/>
      <c r="EUS245" s="15"/>
      <c r="EUT245" s="15"/>
      <c r="EUU245" s="15"/>
      <c r="EUV245" s="16"/>
      <c r="EUW245" s="16"/>
      <c r="EUX245" s="16"/>
      <c r="EUY245" s="16"/>
      <c r="EUZ245" s="16"/>
      <c r="EVA245" s="15"/>
      <c r="EVB245" s="15"/>
      <c r="EVC245" s="10"/>
      <c r="EVD245" s="10"/>
      <c r="EVE245" s="19"/>
      <c r="EVF245" s="19"/>
      <c r="EVI245" s="16"/>
      <c r="EVJ245" s="15"/>
      <c r="EVK245" s="15"/>
      <c r="EVL245" s="15"/>
      <c r="EVM245" s="16"/>
      <c r="EVN245" s="16"/>
      <c r="EVO245" s="16"/>
      <c r="EVP245" s="16"/>
      <c r="EVQ245" s="16"/>
      <c r="EVR245" s="15"/>
      <c r="EVS245" s="15"/>
      <c r="EVT245" s="10"/>
      <c r="EVU245" s="10"/>
      <c r="EVV245" s="19"/>
      <c r="EVW245" s="19"/>
      <c r="EVZ245" s="16"/>
      <c r="EWA245" s="15"/>
      <c r="EWB245" s="15"/>
      <c r="EWC245" s="15"/>
      <c r="EWD245" s="16"/>
      <c r="EWE245" s="16"/>
      <c r="EWF245" s="16"/>
      <c r="EWG245" s="16"/>
      <c r="EWH245" s="16"/>
      <c r="EWI245" s="15"/>
      <c r="EWJ245" s="15"/>
      <c r="EWK245" s="10"/>
      <c r="EWL245" s="10"/>
      <c r="EWM245" s="19"/>
      <c r="EWN245" s="19"/>
      <c r="EWQ245" s="16"/>
      <c r="EWR245" s="15"/>
      <c r="EWS245" s="15"/>
      <c r="EWT245" s="15"/>
      <c r="EWU245" s="16"/>
      <c r="EWV245" s="16"/>
      <c r="EWW245" s="16"/>
      <c r="EWX245" s="16"/>
      <c r="EWY245" s="16"/>
      <c r="EWZ245" s="15"/>
      <c r="EXA245" s="15"/>
      <c r="EXB245" s="10"/>
      <c r="EXC245" s="10"/>
      <c r="EXD245" s="19"/>
      <c r="EXE245" s="19"/>
      <c r="EXH245" s="16"/>
      <c r="EXI245" s="15"/>
      <c r="EXJ245" s="15"/>
      <c r="EXK245" s="15"/>
      <c r="EXL245" s="16"/>
      <c r="EXM245" s="16"/>
      <c r="EXN245" s="16"/>
      <c r="EXO245" s="16"/>
      <c r="EXP245" s="16"/>
      <c r="EXQ245" s="15"/>
      <c r="EXR245" s="15"/>
      <c r="EXS245" s="10"/>
      <c r="EXT245" s="10"/>
      <c r="EXU245" s="19"/>
      <c r="EXV245" s="19"/>
      <c r="EXY245" s="16"/>
      <c r="EXZ245" s="15"/>
      <c r="EYA245" s="15"/>
      <c r="EYB245" s="15"/>
      <c r="EYC245" s="16"/>
      <c r="EYD245" s="16"/>
      <c r="EYE245" s="16"/>
      <c r="EYF245" s="16"/>
      <c r="EYG245" s="16"/>
      <c r="EYH245" s="15"/>
      <c r="EYI245" s="15"/>
      <c r="EYJ245" s="10"/>
      <c r="EYK245" s="10"/>
      <c r="EYL245" s="19"/>
      <c r="EYM245" s="19"/>
      <c r="EYP245" s="16"/>
      <c r="EYQ245" s="15"/>
      <c r="EYR245" s="15"/>
      <c r="EYS245" s="15"/>
      <c r="EYT245" s="16"/>
      <c r="EYU245" s="16"/>
      <c r="EYV245" s="16"/>
      <c r="EYW245" s="16"/>
      <c r="EYX245" s="16"/>
      <c r="EYY245" s="15"/>
      <c r="EYZ245" s="15"/>
      <c r="EZA245" s="10"/>
      <c r="EZB245" s="10"/>
      <c r="EZC245" s="19"/>
      <c r="EZD245" s="19"/>
      <c r="EZG245" s="16"/>
      <c r="EZH245" s="15"/>
      <c r="EZI245" s="15"/>
      <c r="EZJ245" s="15"/>
      <c r="EZK245" s="16"/>
      <c r="EZL245" s="16"/>
      <c r="EZM245" s="16"/>
      <c r="EZN245" s="16"/>
      <c r="EZO245" s="16"/>
      <c r="EZP245" s="15"/>
      <c r="EZQ245" s="15"/>
      <c r="EZR245" s="10"/>
      <c r="EZS245" s="10"/>
      <c r="EZT245" s="19"/>
      <c r="EZU245" s="19"/>
      <c r="EZX245" s="16"/>
      <c r="EZY245" s="15"/>
      <c r="EZZ245" s="15"/>
      <c r="FAA245" s="15"/>
      <c r="FAB245" s="16"/>
      <c r="FAC245" s="16"/>
      <c r="FAD245" s="16"/>
      <c r="FAE245" s="16"/>
      <c r="FAF245" s="16"/>
      <c r="FAG245" s="15"/>
      <c r="FAH245" s="15"/>
      <c r="FAI245" s="10"/>
      <c r="FAJ245" s="10"/>
      <c r="FAK245" s="19"/>
      <c r="FAL245" s="19"/>
      <c r="FAO245" s="16"/>
      <c r="FAP245" s="15"/>
      <c r="FAQ245" s="15"/>
      <c r="FAR245" s="15"/>
      <c r="FAS245" s="16"/>
      <c r="FAT245" s="16"/>
      <c r="FAU245" s="16"/>
      <c r="FAV245" s="16"/>
      <c r="FAW245" s="16"/>
      <c r="FAX245" s="15"/>
      <c r="FAY245" s="15"/>
      <c r="FAZ245" s="10"/>
      <c r="FBA245" s="10"/>
      <c r="FBB245" s="19"/>
      <c r="FBC245" s="19"/>
      <c r="FBF245" s="16"/>
      <c r="FBG245" s="15"/>
      <c r="FBH245" s="15"/>
      <c r="FBI245" s="15"/>
      <c r="FBJ245" s="16"/>
      <c r="FBK245" s="16"/>
      <c r="FBL245" s="16"/>
      <c r="FBM245" s="16"/>
      <c r="FBN245" s="16"/>
      <c r="FBO245" s="15"/>
      <c r="FBP245" s="15"/>
      <c r="FBQ245" s="10"/>
      <c r="FBR245" s="10"/>
      <c r="FBS245" s="19"/>
      <c r="FBT245" s="19"/>
      <c r="FBW245" s="16"/>
      <c r="FBX245" s="15"/>
      <c r="FBY245" s="15"/>
      <c r="FBZ245" s="15"/>
      <c r="FCA245" s="16"/>
      <c r="FCB245" s="16"/>
      <c r="FCC245" s="16"/>
      <c r="FCD245" s="16"/>
      <c r="FCE245" s="16"/>
      <c r="FCF245" s="15"/>
      <c r="FCG245" s="15"/>
      <c r="FCH245" s="10"/>
      <c r="FCI245" s="10"/>
      <c r="FCJ245" s="19"/>
      <c r="FCK245" s="19"/>
      <c r="FCN245" s="16"/>
      <c r="FCO245" s="15"/>
      <c r="FCP245" s="15"/>
      <c r="FCQ245" s="15"/>
      <c r="FCR245" s="16"/>
      <c r="FCS245" s="16"/>
      <c r="FCT245" s="16"/>
      <c r="FCU245" s="16"/>
      <c r="FCV245" s="16"/>
      <c r="FCW245" s="15"/>
      <c r="FCX245" s="15"/>
      <c r="FCY245" s="10"/>
      <c r="FCZ245" s="10"/>
      <c r="FDA245" s="19"/>
      <c r="FDB245" s="19"/>
      <c r="FDE245" s="16"/>
      <c r="FDF245" s="15"/>
      <c r="FDG245" s="15"/>
      <c r="FDH245" s="15"/>
      <c r="FDI245" s="16"/>
      <c r="FDJ245" s="16"/>
      <c r="FDK245" s="16"/>
      <c r="FDL245" s="16"/>
      <c r="FDM245" s="16"/>
      <c r="FDN245" s="15"/>
      <c r="FDO245" s="15"/>
      <c r="FDP245" s="10"/>
      <c r="FDQ245" s="10"/>
      <c r="FDR245" s="19"/>
      <c r="FDS245" s="19"/>
      <c r="FDV245" s="16"/>
      <c r="FDW245" s="15"/>
      <c r="FDX245" s="15"/>
      <c r="FDY245" s="15"/>
      <c r="FDZ245" s="16"/>
      <c r="FEA245" s="16"/>
      <c r="FEB245" s="16"/>
      <c r="FEC245" s="16"/>
      <c r="FED245" s="16"/>
      <c r="FEE245" s="15"/>
      <c r="FEF245" s="15"/>
      <c r="FEG245" s="10"/>
      <c r="FEH245" s="10"/>
      <c r="FEI245" s="19"/>
      <c r="FEJ245" s="19"/>
      <c r="FEM245" s="16"/>
      <c r="FEN245" s="15"/>
      <c r="FEO245" s="15"/>
      <c r="FEP245" s="15"/>
      <c r="FEQ245" s="16"/>
      <c r="FER245" s="16"/>
      <c r="FES245" s="16"/>
      <c r="FET245" s="16"/>
      <c r="FEU245" s="16"/>
      <c r="FEV245" s="15"/>
      <c r="FEW245" s="15"/>
      <c r="FEX245" s="10"/>
      <c r="FEY245" s="10"/>
      <c r="FEZ245" s="19"/>
      <c r="FFA245" s="19"/>
      <c r="FFD245" s="16"/>
      <c r="FFE245" s="15"/>
      <c r="FFF245" s="15"/>
      <c r="FFG245" s="15"/>
      <c r="FFH245" s="16"/>
      <c r="FFI245" s="16"/>
      <c r="FFJ245" s="16"/>
      <c r="FFK245" s="16"/>
      <c r="FFL245" s="16"/>
      <c r="FFM245" s="15"/>
      <c r="FFN245" s="15"/>
      <c r="FFO245" s="10"/>
      <c r="FFP245" s="10"/>
      <c r="FFQ245" s="19"/>
      <c r="FFR245" s="19"/>
      <c r="FFU245" s="16"/>
      <c r="FFV245" s="15"/>
      <c r="FFW245" s="15"/>
      <c r="FFX245" s="15"/>
      <c r="FFY245" s="16"/>
      <c r="FFZ245" s="16"/>
      <c r="FGA245" s="16"/>
      <c r="FGB245" s="16"/>
      <c r="FGC245" s="16"/>
      <c r="FGD245" s="15"/>
      <c r="FGE245" s="15"/>
      <c r="FGF245" s="10"/>
      <c r="FGG245" s="10"/>
      <c r="FGH245" s="19"/>
      <c r="FGI245" s="19"/>
      <c r="FGL245" s="16"/>
      <c r="FGM245" s="15"/>
      <c r="FGN245" s="15"/>
      <c r="FGO245" s="15"/>
      <c r="FGP245" s="16"/>
      <c r="FGQ245" s="16"/>
      <c r="FGR245" s="16"/>
      <c r="FGS245" s="16"/>
      <c r="FGT245" s="16"/>
      <c r="FGU245" s="15"/>
      <c r="FGV245" s="15"/>
      <c r="FGW245" s="10"/>
      <c r="FGX245" s="10"/>
      <c r="FGY245" s="19"/>
      <c r="FGZ245" s="19"/>
      <c r="FHC245" s="16"/>
      <c r="FHD245" s="15"/>
      <c r="FHE245" s="15"/>
      <c r="FHF245" s="15"/>
      <c r="FHG245" s="16"/>
      <c r="FHH245" s="16"/>
      <c r="FHI245" s="16"/>
      <c r="FHJ245" s="16"/>
      <c r="FHK245" s="16"/>
      <c r="FHL245" s="15"/>
      <c r="FHM245" s="15"/>
      <c r="FHN245" s="10"/>
      <c r="FHO245" s="10"/>
      <c r="FHP245" s="19"/>
      <c r="FHQ245" s="19"/>
      <c r="FHT245" s="16"/>
      <c r="FHU245" s="15"/>
      <c r="FHV245" s="15"/>
      <c r="FHW245" s="15"/>
      <c r="FHX245" s="16"/>
      <c r="FHY245" s="16"/>
      <c r="FHZ245" s="16"/>
      <c r="FIA245" s="16"/>
      <c r="FIB245" s="16"/>
      <c r="FIC245" s="15"/>
      <c r="FID245" s="15"/>
      <c r="FIE245" s="10"/>
      <c r="FIF245" s="10"/>
      <c r="FIG245" s="19"/>
      <c r="FIH245" s="19"/>
      <c r="FIK245" s="16"/>
      <c r="FIL245" s="15"/>
      <c r="FIM245" s="15"/>
      <c r="FIN245" s="15"/>
      <c r="FIO245" s="16"/>
      <c r="FIP245" s="16"/>
      <c r="FIQ245" s="16"/>
      <c r="FIR245" s="16"/>
      <c r="FIS245" s="16"/>
      <c r="FIT245" s="15"/>
      <c r="FIU245" s="15"/>
      <c r="FIV245" s="10"/>
      <c r="FIW245" s="10"/>
      <c r="FIX245" s="19"/>
      <c r="FIY245" s="19"/>
      <c r="FJB245" s="16"/>
      <c r="FJC245" s="15"/>
      <c r="FJD245" s="15"/>
      <c r="FJE245" s="15"/>
      <c r="FJF245" s="16"/>
      <c r="FJG245" s="16"/>
      <c r="FJH245" s="16"/>
      <c r="FJI245" s="16"/>
      <c r="FJJ245" s="16"/>
      <c r="FJK245" s="15"/>
      <c r="FJL245" s="15"/>
      <c r="FJM245" s="10"/>
      <c r="FJN245" s="10"/>
      <c r="FJO245" s="19"/>
      <c r="FJP245" s="19"/>
      <c r="FJS245" s="16"/>
      <c r="FJT245" s="15"/>
      <c r="FJU245" s="15"/>
      <c r="FJV245" s="15"/>
      <c r="FJW245" s="16"/>
      <c r="FJX245" s="16"/>
      <c r="FJY245" s="16"/>
      <c r="FJZ245" s="16"/>
      <c r="FKA245" s="16"/>
      <c r="FKB245" s="15"/>
      <c r="FKC245" s="15"/>
      <c r="FKD245" s="10"/>
      <c r="FKE245" s="10"/>
      <c r="FKF245" s="19"/>
      <c r="FKG245" s="19"/>
      <c r="FKJ245" s="16"/>
      <c r="FKK245" s="15"/>
      <c r="FKL245" s="15"/>
      <c r="FKM245" s="15"/>
      <c r="FKN245" s="16"/>
      <c r="FKO245" s="16"/>
      <c r="FKP245" s="16"/>
      <c r="FKQ245" s="16"/>
      <c r="FKR245" s="16"/>
      <c r="FKS245" s="15"/>
      <c r="FKT245" s="15"/>
      <c r="FKU245" s="10"/>
      <c r="FKV245" s="10"/>
      <c r="FKW245" s="19"/>
      <c r="FKX245" s="19"/>
      <c r="FLA245" s="16"/>
      <c r="FLB245" s="15"/>
      <c r="FLC245" s="15"/>
      <c r="FLD245" s="15"/>
      <c r="FLE245" s="16"/>
      <c r="FLF245" s="16"/>
      <c r="FLG245" s="16"/>
      <c r="FLH245" s="16"/>
      <c r="FLI245" s="16"/>
      <c r="FLJ245" s="15"/>
      <c r="FLK245" s="15"/>
      <c r="FLL245" s="10"/>
      <c r="FLM245" s="10"/>
      <c r="FLN245" s="19"/>
      <c r="FLO245" s="19"/>
      <c r="FLR245" s="16"/>
      <c r="FLS245" s="15"/>
      <c r="FLT245" s="15"/>
      <c r="FLU245" s="15"/>
      <c r="FLV245" s="16"/>
      <c r="FLW245" s="16"/>
      <c r="FLX245" s="16"/>
      <c r="FLY245" s="16"/>
      <c r="FLZ245" s="16"/>
      <c r="FMA245" s="15"/>
      <c r="FMB245" s="15"/>
      <c r="FMC245" s="10"/>
      <c r="FMD245" s="10"/>
      <c r="FME245" s="19"/>
      <c r="FMF245" s="19"/>
      <c r="FMI245" s="16"/>
      <c r="FMJ245" s="15"/>
      <c r="FMK245" s="15"/>
      <c r="FML245" s="15"/>
      <c r="FMM245" s="16"/>
      <c r="FMN245" s="16"/>
      <c r="FMO245" s="16"/>
      <c r="FMP245" s="16"/>
      <c r="FMQ245" s="16"/>
      <c r="FMR245" s="15"/>
      <c r="FMS245" s="15"/>
      <c r="FMT245" s="10"/>
      <c r="FMU245" s="10"/>
      <c r="FMV245" s="19"/>
      <c r="FMW245" s="19"/>
      <c r="FMZ245" s="16"/>
      <c r="FNA245" s="15"/>
      <c r="FNB245" s="15"/>
      <c r="FNC245" s="15"/>
      <c r="FND245" s="16"/>
      <c r="FNE245" s="16"/>
      <c r="FNF245" s="16"/>
      <c r="FNG245" s="16"/>
      <c r="FNH245" s="16"/>
      <c r="FNI245" s="15"/>
      <c r="FNJ245" s="15"/>
      <c r="FNK245" s="10"/>
      <c r="FNL245" s="10"/>
      <c r="FNM245" s="19"/>
      <c r="FNN245" s="19"/>
      <c r="FNQ245" s="16"/>
      <c r="FNR245" s="15"/>
      <c r="FNS245" s="15"/>
      <c r="FNT245" s="15"/>
      <c r="FNU245" s="16"/>
      <c r="FNV245" s="16"/>
      <c r="FNW245" s="16"/>
      <c r="FNX245" s="16"/>
      <c r="FNY245" s="16"/>
      <c r="FNZ245" s="15"/>
      <c r="FOA245" s="15"/>
      <c r="FOB245" s="10"/>
      <c r="FOC245" s="10"/>
      <c r="FOD245" s="19"/>
      <c r="FOE245" s="19"/>
      <c r="FOH245" s="16"/>
      <c r="FOI245" s="15"/>
      <c r="FOJ245" s="15"/>
      <c r="FOK245" s="15"/>
      <c r="FOL245" s="16"/>
      <c r="FOM245" s="16"/>
      <c r="FON245" s="16"/>
      <c r="FOO245" s="16"/>
      <c r="FOP245" s="16"/>
      <c r="FOQ245" s="15"/>
      <c r="FOR245" s="15"/>
      <c r="FOS245" s="10"/>
      <c r="FOT245" s="10"/>
      <c r="FOU245" s="19"/>
      <c r="FOV245" s="19"/>
      <c r="FOY245" s="16"/>
      <c r="FOZ245" s="15"/>
      <c r="FPA245" s="15"/>
      <c r="FPB245" s="15"/>
      <c r="FPC245" s="16"/>
      <c r="FPD245" s="16"/>
      <c r="FPE245" s="16"/>
      <c r="FPF245" s="16"/>
      <c r="FPG245" s="16"/>
      <c r="FPH245" s="15"/>
      <c r="FPI245" s="15"/>
      <c r="FPJ245" s="10"/>
      <c r="FPK245" s="10"/>
      <c r="FPL245" s="19"/>
      <c r="FPM245" s="19"/>
      <c r="FPP245" s="16"/>
      <c r="FPQ245" s="15"/>
      <c r="FPR245" s="15"/>
      <c r="FPS245" s="15"/>
      <c r="FPT245" s="16"/>
      <c r="FPU245" s="16"/>
      <c r="FPV245" s="16"/>
      <c r="FPW245" s="16"/>
      <c r="FPX245" s="16"/>
      <c r="FPY245" s="15"/>
      <c r="FPZ245" s="15"/>
      <c r="FQA245" s="10"/>
      <c r="FQB245" s="10"/>
      <c r="FQC245" s="19"/>
      <c r="FQD245" s="19"/>
      <c r="FQG245" s="16"/>
      <c r="FQH245" s="15"/>
      <c r="FQI245" s="15"/>
      <c r="FQJ245" s="15"/>
      <c r="FQK245" s="16"/>
      <c r="FQL245" s="16"/>
      <c r="FQM245" s="16"/>
      <c r="FQN245" s="16"/>
      <c r="FQO245" s="16"/>
      <c r="FQP245" s="15"/>
      <c r="FQQ245" s="15"/>
      <c r="FQR245" s="10"/>
      <c r="FQS245" s="10"/>
      <c r="FQT245" s="19"/>
      <c r="FQU245" s="19"/>
      <c r="FQX245" s="16"/>
      <c r="FQY245" s="15"/>
      <c r="FQZ245" s="15"/>
      <c r="FRA245" s="15"/>
      <c r="FRB245" s="16"/>
      <c r="FRC245" s="16"/>
      <c r="FRD245" s="16"/>
      <c r="FRE245" s="16"/>
      <c r="FRF245" s="16"/>
      <c r="FRG245" s="15"/>
      <c r="FRH245" s="15"/>
      <c r="FRI245" s="10"/>
      <c r="FRJ245" s="10"/>
      <c r="FRK245" s="19"/>
      <c r="FRL245" s="19"/>
      <c r="FRO245" s="16"/>
      <c r="FRP245" s="15"/>
      <c r="FRQ245" s="15"/>
      <c r="FRR245" s="15"/>
      <c r="FRS245" s="16"/>
      <c r="FRT245" s="16"/>
      <c r="FRU245" s="16"/>
      <c r="FRV245" s="16"/>
      <c r="FRW245" s="16"/>
      <c r="FRX245" s="15"/>
      <c r="FRY245" s="15"/>
      <c r="FRZ245" s="10"/>
      <c r="FSA245" s="10"/>
      <c r="FSB245" s="19"/>
      <c r="FSC245" s="19"/>
      <c r="FSF245" s="16"/>
      <c r="FSG245" s="15"/>
      <c r="FSH245" s="15"/>
      <c r="FSI245" s="15"/>
      <c r="FSJ245" s="16"/>
      <c r="FSK245" s="16"/>
      <c r="FSL245" s="16"/>
      <c r="FSM245" s="16"/>
      <c r="FSN245" s="16"/>
      <c r="FSO245" s="15"/>
      <c r="FSP245" s="15"/>
      <c r="FSQ245" s="10"/>
      <c r="FSR245" s="10"/>
      <c r="FSS245" s="19"/>
      <c r="FST245" s="19"/>
      <c r="FSW245" s="16"/>
      <c r="FSX245" s="15"/>
      <c r="FSY245" s="15"/>
      <c r="FSZ245" s="15"/>
      <c r="FTA245" s="16"/>
      <c r="FTB245" s="16"/>
      <c r="FTC245" s="16"/>
      <c r="FTD245" s="16"/>
      <c r="FTE245" s="16"/>
      <c r="FTF245" s="15"/>
      <c r="FTG245" s="15"/>
      <c r="FTH245" s="10"/>
      <c r="FTI245" s="10"/>
      <c r="FTJ245" s="19"/>
      <c r="FTK245" s="19"/>
      <c r="FTN245" s="16"/>
      <c r="FTO245" s="15"/>
      <c r="FTP245" s="15"/>
      <c r="FTQ245" s="15"/>
      <c r="FTR245" s="16"/>
      <c r="FTS245" s="16"/>
      <c r="FTT245" s="16"/>
      <c r="FTU245" s="16"/>
      <c r="FTV245" s="16"/>
      <c r="FTW245" s="15"/>
      <c r="FTX245" s="15"/>
      <c r="FTY245" s="10"/>
      <c r="FTZ245" s="10"/>
      <c r="FUA245" s="19"/>
      <c r="FUB245" s="19"/>
      <c r="FUE245" s="16"/>
      <c r="FUF245" s="15"/>
      <c r="FUG245" s="15"/>
      <c r="FUH245" s="15"/>
      <c r="FUI245" s="16"/>
      <c r="FUJ245" s="16"/>
      <c r="FUK245" s="16"/>
      <c r="FUL245" s="16"/>
      <c r="FUM245" s="16"/>
      <c r="FUN245" s="15"/>
      <c r="FUO245" s="15"/>
      <c r="FUP245" s="10"/>
      <c r="FUQ245" s="10"/>
      <c r="FUR245" s="19"/>
      <c r="FUS245" s="19"/>
      <c r="FUV245" s="16"/>
      <c r="FUW245" s="15"/>
      <c r="FUX245" s="15"/>
      <c r="FUY245" s="15"/>
      <c r="FUZ245" s="16"/>
      <c r="FVA245" s="16"/>
      <c r="FVB245" s="16"/>
      <c r="FVC245" s="16"/>
      <c r="FVD245" s="16"/>
      <c r="FVE245" s="15"/>
      <c r="FVF245" s="15"/>
      <c r="FVG245" s="10"/>
      <c r="FVH245" s="10"/>
      <c r="FVI245" s="19"/>
      <c r="FVJ245" s="19"/>
      <c r="FVM245" s="16"/>
      <c r="FVN245" s="15"/>
      <c r="FVO245" s="15"/>
      <c r="FVP245" s="15"/>
      <c r="FVQ245" s="16"/>
      <c r="FVR245" s="16"/>
      <c r="FVS245" s="16"/>
      <c r="FVT245" s="16"/>
      <c r="FVU245" s="16"/>
      <c r="FVV245" s="15"/>
      <c r="FVW245" s="15"/>
      <c r="FVX245" s="10"/>
      <c r="FVY245" s="10"/>
      <c r="FVZ245" s="19"/>
      <c r="FWA245" s="19"/>
      <c r="FWD245" s="16"/>
      <c r="FWE245" s="15"/>
      <c r="FWF245" s="15"/>
      <c r="FWG245" s="15"/>
      <c r="FWH245" s="16"/>
      <c r="FWI245" s="16"/>
      <c r="FWJ245" s="16"/>
      <c r="FWK245" s="16"/>
      <c r="FWL245" s="16"/>
      <c r="FWM245" s="15"/>
      <c r="FWN245" s="15"/>
      <c r="FWO245" s="10"/>
      <c r="FWP245" s="10"/>
      <c r="FWQ245" s="19"/>
      <c r="FWR245" s="19"/>
      <c r="FWU245" s="16"/>
      <c r="FWV245" s="15"/>
      <c r="FWW245" s="15"/>
      <c r="FWX245" s="15"/>
      <c r="FWY245" s="16"/>
      <c r="FWZ245" s="16"/>
      <c r="FXA245" s="16"/>
      <c r="FXB245" s="16"/>
      <c r="FXC245" s="16"/>
      <c r="FXD245" s="15"/>
      <c r="FXE245" s="15"/>
      <c r="FXF245" s="10"/>
      <c r="FXG245" s="10"/>
      <c r="FXH245" s="19"/>
      <c r="FXI245" s="19"/>
      <c r="FXL245" s="16"/>
      <c r="FXM245" s="15"/>
      <c r="FXN245" s="15"/>
      <c r="FXO245" s="15"/>
      <c r="FXP245" s="16"/>
      <c r="FXQ245" s="16"/>
      <c r="FXR245" s="16"/>
      <c r="FXS245" s="16"/>
      <c r="FXT245" s="16"/>
      <c r="FXU245" s="15"/>
      <c r="FXV245" s="15"/>
      <c r="FXW245" s="10"/>
      <c r="FXX245" s="10"/>
      <c r="FXY245" s="19"/>
      <c r="FXZ245" s="19"/>
      <c r="FYC245" s="16"/>
      <c r="FYD245" s="15"/>
      <c r="FYE245" s="15"/>
      <c r="FYF245" s="15"/>
      <c r="FYG245" s="16"/>
      <c r="FYH245" s="16"/>
      <c r="FYI245" s="16"/>
      <c r="FYJ245" s="16"/>
      <c r="FYK245" s="16"/>
      <c r="FYL245" s="15"/>
      <c r="FYM245" s="15"/>
      <c r="FYN245" s="10"/>
      <c r="FYO245" s="10"/>
      <c r="FYP245" s="19"/>
      <c r="FYQ245" s="19"/>
      <c r="FYT245" s="16"/>
      <c r="FYU245" s="15"/>
      <c r="FYV245" s="15"/>
      <c r="FYW245" s="15"/>
      <c r="FYX245" s="16"/>
      <c r="FYY245" s="16"/>
      <c r="FYZ245" s="16"/>
      <c r="FZA245" s="16"/>
      <c r="FZB245" s="16"/>
      <c r="FZC245" s="15"/>
      <c r="FZD245" s="15"/>
      <c r="FZE245" s="10"/>
      <c r="FZF245" s="10"/>
      <c r="FZG245" s="19"/>
      <c r="FZH245" s="19"/>
      <c r="FZK245" s="16"/>
      <c r="FZL245" s="15"/>
      <c r="FZM245" s="15"/>
      <c r="FZN245" s="15"/>
      <c r="FZO245" s="16"/>
      <c r="FZP245" s="16"/>
      <c r="FZQ245" s="16"/>
      <c r="FZR245" s="16"/>
      <c r="FZS245" s="16"/>
      <c r="FZT245" s="15"/>
      <c r="FZU245" s="15"/>
      <c r="FZV245" s="10"/>
      <c r="FZW245" s="10"/>
      <c r="FZX245" s="19"/>
      <c r="FZY245" s="19"/>
      <c r="GAB245" s="16"/>
      <c r="GAC245" s="15"/>
      <c r="GAD245" s="15"/>
      <c r="GAE245" s="15"/>
      <c r="GAF245" s="16"/>
      <c r="GAG245" s="16"/>
      <c r="GAH245" s="16"/>
      <c r="GAI245" s="16"/>
      <c r="GAJ245" s="16"/>
      <c r="GAK245" s="15"/>
      <c r="GAL245" s="15"/>
      <c r="GAM245" s="10"/>
      <c r="GAN245" s="10"/>
      <c r="GAO245" s="19"/>
      <c r="GAP245" s="19"/>
      <c r="GAS245" s="16"/>
      <c r="GAT245" s="15"/>
      <c r="GAU245" s="15"/>
      <c r="GAV245" s="15"/>
      <c r="GAW245" s="16"/>
      <c r="GAX245" s="16"/>
      <c r="GAY245" s="16"/>
      <c r="GAZ245" s="16"/>
      <c r="GBA245" s="16"/>
      <c r="GBB245" s="15"/>
      <c r="GBC245" s="15"/>
      <c r="GBD245" s="10"/>
      <c r="GBE245" s="10"/>
      <c r="GBF245" s="19"/>
      <c r="GBG245" s="19"/>
      <c r="GBJ245" s="16"/>
      <c r="GBK245" s="15"/>
      <c r="GBL245" s="15"/>
      <c r="GBM245" s="15"/>
      <c r="GBN245" s="16"/>
      <c r="GBO245" s="16"/>
      <c r="GBP245" s="16"/>
      <c r="GBQ245" s="16"/>
      <c r="GBR245" s="16"/>
      <c r="GBS245" s="15"/>
      <c r="GBT245" s="15"/>
      <c r="GBU245" s="10"/>
      <c r="GBV245" s="10"/>
      <c r="GBW245" s="19"/>
      <c r="GBX245" s="19"/>
      <c r="GCA245" s="16"/>
      <c r="GCB245" s="15"/>
      <c r="GCC245" s="15"/>
      <c r="GCD245" s="15"/>
      <c r="GCE245" s="16"/>
      <c r="GCF245" s="16"/>
      <c r="GCG245" s="16"/>
      <c r="GCH245" s="16"/>
      <c r="GCI245" s="16"/>
      <c r="GCJ245" s="15"/>
      <c r="GCK245" s="15"/>
      <c r="GCL245" s="10"/>
      <c r="GCM245" s="10"/>
      <c r="GCN245" s="19"/>
      <c r="GCO245" s="19"/>
      <c r="GCR245" s="16"/>
      <c r="GCS245" s="15"/>
      <c r="GCT245" s="15"/>
      <c r="GCU245" s="15"/>
      <c r="GCV245" s="16"/>
      <c r="GCW245" s="16"/>
      <c r="GCX245" s="16"/>
      <c r="GCY245" s="16"/>
      <c r="GCZ245" s="16"/>
      <c r="GDA245" s="15"/>
      <c r="GDB245" s="15"/>
      <c r="GDC245" s="10"/>
      <c r="GDD245" s="10"/>
      <c r="GDE245" s="19"/>
      <c r="GDF245" s="19"/>
      <c r="GDI245" s="16"/>
      <c r="GDJ245" s="15"/>
      <c r="GDK245" s="15"/>
      <c r="GDL245" s="15"/>
      <c r="GDM245" s="16"/>
      <c r="GDN245" s="16"/>
      <c r="GDO245" s="16"/>
      <c r="GDP245" s="16"/>
      <c r="GDQ245" s="16"/>
      <c r="GDR245" s="15"/>
      <c r="GDS245" s="15"/>
      <c r="GDT245" s="10"/>
      <c r="GDU245" s="10"/>
      <c r="GDV245" s="19"/>
      <c r="GDW245" s="19"/>
      <c r="GDZ245" s="16"/>
      <c r="GEA245" s="15"/>
      <c r="GEB245" s="15"/>
      <c r="GEC245" s="15"/>
      <c r="GED245" s="16"/>
      <c r="GEE245" s="16"/>
      <c r="GEF245" s="16"/>
      <c r="GEG245" s="16"/>
      <c r="GEH245" s="16"/>
      <c r="GEI245" s="15"/>
      <c r="GEJ245" s="15"/>
      <c r="GEK245" s="10"/>
      <c r="GEL245" s="10"/>
      <c r="GEM245" s="19"/>
      <c r="GEN245" s="19"/>
      <c r="GEQ245" s="16"/>
      <c r="GER245" s="15"/>
      <c r="GES245" s="15"/>
      <c r="GET245" s="15"/>
      <c r="GEU245" s="16"/>
      <c r="GEV245" s="16"/>
      <c r="GEW245" s="16"/>
      <c r="GEX245" s="16"/>
      <c r="GEY245" s="16"/>
      <c r="GEZ245" s="15"/>
      <c r="GFA245" s="15"/>
      <c r="GFB245" s="10"/>
      <c r="GFC245" s="10"/>
      <c r="GFD245" s="19"/>
      <c r="GFE245" s="19"/>
      <c r="GFH245" s="16"/>
      <c r="GFI245" s="15"/>
      <c r="GFJ245" s="15"/>
      <c r="GFK245" s="15"/>
      <c r="GFL245" s="16"/>
      <c r="GFM245" s="16"/>
      <c r="GFN245" s="16"/>
      <c r="GFO245" s="16"/>
      <c r="GFP245" s="16"/>
      <c r="GFQ245" s="15"/>
      <c r="GFR245" s="15"/>
      <c r="GFS245" s="10"/>
      <c r="GFT245" s="10"/>
      <c r="GFU245" s="19"/>
      <c r="GFV245" s="19"/>
      <c r="GFY245" s="16"/>
      <c r="GFZ245" s="15"/>
      <c r="GGA245" s="15"/>
      <c r="GGB245" s="15"/>
      <c r="GGC245" s="16"/>
      <c r="GGD245" s="16"/>
      <c r="GGE245" s="16"/>
      <c r="GGF245" s="16"/>
      <c r="GGG245" s="16"/>
      <c r="GGH245" s="15"/>
      <c r="GGI245" s="15"/>
      <c r="GGJ245" s="10"/>
      <c r="GGK245" s="10"/>
      <c r="GGL245" s="19"/>
      <c r="GGM245" s="19"/>
      <c r="GGP245" s="16"/>
      <c r="GGQ245" s="15"/>
      <c r="GGR245" s="15"/>
      <c r="GGS245" s="15"/>
      <c r="GGT245" s="16"/>
      <c r="GGU245" s="16"/>
      <c r="GGV245" s="16"/>
      <c r="GGW245" s="16"/>
      <c r="GGX245" s="16"/>
      <c r="GGY245" s="15"/>
      <c r="GGZ245" s="15"/>
      <c r="GHA245" s="10"/>
      <c r="GHB245" s="10"/>
      <c r="GHC245" s="19"/>
      <c r="GHD245" s="19"/>
      <c r="GHG245" s="16"/>
      <c r="GHH245" s="15"/>
      <c r="GHI245" s="15"/>
      <c r="GHJ245" s="15"/>
      <c r="GHK245" s="16"/>
      <c r="GHL245" s="16"/>
      <c r="GHM245" s="16"/>
      <c r="GHN245" s="16"/>
      <c r="GHO245" s="16"/>
      <c r="GHP245" s="15"/>
      <c r="GHQ245" s="15"/>
      <c r="GHR245" s="10"/>
      <c r="GHS245" s="10"/>
      <c r="GHT245" s="19"/>
      <c r="GHU245" s="19"/>
      <c r="GHX245" s="16"/>
      <c r="GHY245" s="15"/>
      <c r="GHZ245" s="15"/>
      <c r="GIA245" s="15"/>
      <c r="GIB245" s="16"/>
      <c r="GIC245" s="16"/>
      <c r="GID245" s="16"/>
      <c r="GIE245" s="16"/>
      <c r="GIF245" s="16"/>
      <c r="GIG245" s="15"/>
      <c r="GIH245" s="15"/>
      <c r="GII245" s="10"/>
      <c r="GIJ245" s="10"/>
      <c r="GIK245" s="19"/>
      <c r="GIL245" s="19"/>
      <c r="GIO245" s="16"/>
      <c r="GIP245" s="15"/>
      <c r="GIQ245" s="15"/>
      <c r="GIR245" s="15"/>
      <c r="GIS245" s="16"/>
      <c r="GIT245" s="16"/>
      <c r="GIU245" s="16"/>
      <c r="GIV245" s="16"/>
      <c r="GIW245" s="16"/>
      <c r="GIX245" s="15"/>
      <c r="GIY245" s="15"/>
      <c r="GIZ245" s="10"/>
      <c r="GJA245" s="10"/>
      <c r="GJB245" s="19"/>
      <c r="GJC245" s="19"/>
      <c r="GJF245" s="16"/>
      <c r="GJG245" s="15"/>
      <c r="GJH245" s="15"/>
      <c r="GJI245" s="15"/>
      <c r="GJJ245" s="16"/>
      <c r="GJK245" s="16"/>
      <c r="GJL245" s="16"/>
      <c r="GJM245" s="16"/>
      <c r="GJN245" s="16"/>
      <c r="GJO245" s="15"/>
      <c r="GJP245" s="15"/>
      <c r="GJQ245" s="10"/>
      <c r="GJR245" s="10"/>
      <c r="GJS245" s="19"/>
      <c r="GJT245" s="19"/>
      <c r="GJW245" s="16"/>
      <c r="GJX245" s="15"/>
      <c r="GJY245" s="15"/>
      <c r="GJZ245" s="15"/>
      <c r="GKA245" s="16"/>
      <c r="GKB245" s="16"/>
      <c r="GKC245" s="16"/>
      <c r="GKD245" s="16"/>
      <c r="GKE245" s="16"/>
      <c r="GKF245" s="15"/>
      <c r="GKG245" s="15"/>
      <c r="GKH245" s="10"/>
      <c r="GKI245" s="10"/>
      <c r="GKJ245" s="19"/>
      <c r="GKK245" s="19"/>
      <c r="GKN245" s="16"/>
      <c r="GKO245" s="15"/>
      <c r="GKP245" s="15"/>
      <c r="GKQ245" s="15"/>
      <c r="GKR245" s="16"/>
      <c r="GKS245" s="16"/>
      <c r="GKT245" s="16"/>
      <c r="GKU245" s="16"/>
      <c r="GKV245" s="16"/>
      <c r="GKW245" s="15"/>
      <c r="GKX245" s="15"/>
      <c r="GKY245" s="10"/>
      <c r="GKZ245" s="10"/>
      <c r="GLA245" s="19"/>
      <c r="GLB245" s="19"/>
      <c r="GLE245" s="16"/>
      <c r="GLF245" s="15"/>
      <c r="GLG245" s="15"/>
      <c r="GLH245" s="15"/>
      <c r="GLI245" s="16"/>
      <c r="GLJ245" s="16"/>
      <c r="GLK245" s="16"/>
      <c r="GLL245" s="16"/>
      <c r="GLM245" s="16"/>
      <c r="GLN245" s="15"/>
      <c r="GLO245" s="15"/>
      <c r="GLP245" s="10"/>
      <c r="GLQ245" s="10"/>
      <c r="GLR245" s="19"/>
      <c r="GLS245" s="19"/>
      <c r="GLV245" s="16"/>
      <c r="GLW245" s="15"/>
      <c r="GLX245" s="15"/>
      <c r="GLY245" s="15"/>
      <c r="GLZ245" s="16"/>
      <c r="GMA245" s="16"/>
      <c r="GMB245" s="16"/>
      <c r="GMC245" s="16"/>
      <c r="GMD245" s="16"/>
      <c r="GME245" s="15"/>
      <c r="GMF245" s="15"/>
      <c r="GMG245" s="10"/>
      <c r="GMH245" s="10"/>
      <c r="GMI245" s="19"/>
      <c r="GMJ245" s="19"/>
      <c r="GMM245" s="16"/>
      <c r="GMN245" s="15"/>
      <c r="GMO245" s="15"/>
      <c r="GMP245" s="15"/>
      <c r="GMQ245" s="16"/>
      <c r="GMR245" s="16"/>
      <c r="GMS245" s="16"/>
      <c r="GMT245" s="16"/>
      <c r="GMU245" s="16"/>
      <c r="GMV245" s="15"/>
      <c r="GMW245" s="15"/>
      <c r="GMX245" s="10"/>
      <c r="GMY245" s="10"/>
      <c r="GMZ245" s="19"/>
      <c r="GNA245" s="19"/>
      <c r="GND245" s="16"/>
      <c r="GNE245" s="15"/>
      <c r="GNF245" s="15"/>
      <c r="GNG245" s="15"/>
      <c r="GNH245" s="16"/>
      <c r="GNI245" s="16"/>
      <c r="GNJ245" s="16"/>
      <c r="GNK245" s="16"/>
      <c r="GNL245" s="16"/>
      <c r="GNM245" s="15"/>
      <c r="GNN245" s="15"/>
      <c r="GNO245" s="10"/>
      <c r="GNP245" s="10"/>
      <c r="GNQ245" s="19"/>
      <c r="GNR245" s="19"/>
      <c r="GNU245" s="16"/>
      <c r="GNV245" s="15"/>
      <c r="GNW245" s="15"/>
      <c r="GNX245" s="15"/>
      <c r="GNY245" s="16"/>
      <c r="GNZ245" s="16"/>
      <c r="GOA245" s="16"/>
      <c r="GOB245" s="16"/>
      <c r="GOC245" s="16"/>
      <c r="GOD245" s="15"/>
      <c r="GOE245" s="15"/>
      <c r="GOF245" s="10"/>
      <c r="GOG245" s="10"/>
      <c r="GOH245" s="19"/>
      <c r="GOI245" s="19"/>
      <c r="GOL245" s="16"/>
      <c r="GOM245" s="15"/>
      <c r="GON245" s="15"/>
      <c r="GOO245" s="15"/>
      <c r="GOP245" s="16"/>
      <c r="GOQ245" s="16"/>
      <c r="GOR245" s="16"/>
      <c r="GOS245" s="16"/>
      <c r="GOT245" s="16"/>
      <c r="GOU245" s="15"/>
      <c r="GOV245" s="15"/>
      <c r="GOW245" s="10"/>
      <c r="GOX245" s="10"/>
      <c r="GOY245" s="19"/>
      <c r="GOZ245" s="19"/>
      <c r="GPC245" s="16"/>
      <c r="GPD245" s="15"/>
      <c r="GPE245" s="15"/>
      <c r="GPF245" s="15"/>
      <c r="GPG245" s="16"/>
      <c r="GPH245" s="16"/>
      <c r="GPI245" s="16"/>
      <c r="GPJ245" s="16"/>
      <c r="GPK245" s="16"/>
      <c r="GPL245" s="15"/>
      <c r="GPM245" s="15"/>
      <c r="GPN245" s="10"/>
      <c r="GPO245" s="10"/>
      <c r="GPP245" s="19"/>
      <c r="GPQ245" s="19"/>
      <c r="GPT245" s="16"/>
      <c r="GPU245" s="15"/>
      <c r="GPV245" s="15"/>
      <c r="GPW245" s="15"/>
      <c r="GPX245" s="16"/>
      <c r="GPY245" s="16"/>
      <c r="GPZ245" s="16"/>
      <c r="GQA245" s="16"/>
      <c r="GQB245" s="16"/>
      <c r="GQC245" s="15"/>
      <c r="GQD245" s="15"/>
      <c r="GQE245" s="10"/>
      <c r="GQF245" s="10"/>
      <c r="GQG245" s="19"/>
      <c r="GQH245" s="19"/>
      <c r="GQK245" s="16"/>
      <c r="GQL245" s="15"/>
      <c r="GQM245" s="15"/>
      <c r="GQN245" s="15"/>
      <c r="GQO245" s="16"/>
      <c r="GQP245" s="16"/>
      <c r="GQQ245" s="16"/>
      <c r="GQR245" s="16"/>
      <c r="GQS245" s="16"/>
      <c r="GQT245" s="15"/>
      <c r="GQU245" s="15"/>
      <c r="GQV245" s="10"/>
      <c r="GQW245" s="10"/>
      <c r="GQX245" s="19"/>
      <c r="GQY245" s="19"/>
      <c r="GRB245" s="16"/>
      <c r="GRC245" s="15"/>
      <c r="GRD245" s="15"/>
      <c r="GRE245" s="15"/>
      <c r="GRF245" s="16"/>
      <c r="GRG245" s="16"/>
      <c r="GRH245" s="16"/>
      <c r="GRI245" s="16"/>
      <c r="GRJ245" s="16"/>
      <c r="GRK245" s="15"/>
      <c r="GRL245" s="15"/>
      <c r="GRM245" s="10"/>
      <c r="GRN245" s="10"/>
      <c r="GRO245" s="19"/>
      <c r="GRP245" s="19"/>
      <c r="GRS245" s="16"/>
      <c r="GRT245" s="15"/>
      <c r="GRU245" s="15"/>
      <c r="GRV245" s="15"/>
      <c r="GRW245" s="16"/>
      <c r="GRX245" s="16"/>
      <c r="GRY245" s="16"/>
      <c r="GRZ245" s="16"/>
      <c r="GSA245" s="16"/>
      <c r="GSB245" s="15"/>
      <c r="GSC245" s="15"/>
      <c r="GSD245" s="10"/>
      <c r="GSE245" s="10"/>
      <c r="GSF245" s="19"/>
      <c r="GSG245" s="19"/>
      <c r="GSJ245" s="16"/>
      <c r="GSK245" s="15"/>
      <c r="GSL245" s="15"/>
      <c r="GSM245" s="15"/>
      <c r="GSN245" s="16"/>
      <c r="GSO245" s="16"/>
      <c r="GSP245" s="16"/>
      <c r="GSQ245" s="16"/>
      <c r="GSR245" s="16"/>
      <c r="GSS245" s="15"/>
      <c r="GST245" s="15"/>
      <c r="GSU245" s="10"/>
      <c r="GSV245" s="10"/>
      <c r="GSW245" s="19"/>
      <c r="GSX245" s="19"/>
      <c r="GTA245" s="16"/>
      <c r="GTB245" s="15"/>
      <c r="GTC245" s="15"/>
      <c r="GTD245" s="15"/>
      <c r="GTE245" s="16"/>
      <c r="GTF245" s="16"/>
      <c r="GTG245" s="16"/>
      <c r="GTH245" s="16"/>
      <c r="GTI245" s="16"/>
      <c r="GTJ245" s="15"/>
      <c r="GTK245" s="15"/>
      <c r="GTL245" s="10"/>
      <c r="GTM245" s="10"/>
      <c r="GTN245" s="19"/>
      <c r="GTO245" s="19"/>
      <c r="GTR245" s="16"/>
      <c r="GTS245" s="15"/>
      <c r="GTT245" s="15"/>
      <c r="GTU245" s="15"/>
      <c r="GTV245" s="16"/>
      <c r="GTW245" s="16"/>
      <c r="GTX245" s="16"/>
      <c r="GTY245" s="16"/>
      <c r="GTZ245" s="16"/>
      <c r="GUA245" s="15"/>
      <c r="GUB245" s="15"/>
      <c r="GUC245" s="10"/>
      <c r="GUD245" s="10"/>
      <c r="GUE245" s="19"/>
      <c r="GUF245" s="19"/>
      <c r="GUI245" s="16"/>
      <c r="GUJ245" s="15"/>
      <c r="GUK245" s="15"/>
      <c r="GUL245" s="15"/>
      <c r="GUM245" s="16"/>
      <c r="GUN245" s="16"/>
      <c r="GUO245" s="16"/>
      <c r="GUP245" s="16"/>
      <c r="GUQ245" s="16"/>
      <c r="GUR245" s="15"/>
      <c r="GUS245" s="15"/>
      <c r="GUT245" s="10"/>
      <c r="GUU245" s="10"/>
      <c r="GUV245" s="19"/>
      <c r="GUW245" s="19"/>
      <c r="GUZ245" s="16"/>
      <c r="GVA245" s="15"/>
      <c r="GVB245" s="15"/>
      <c r="GVC245" s="15"/>
      <c r="GVD245" s="16"/>
      <c r="GVE245" s="16"/>
      <c r="GVF245" s="16"/>
      <c r="GVG245" s="16"/>
      <c r="GVH245" s="16"/>
      <c r="GVI245" s="15"/>
      <c r="GVJ245" s="15"/>
      <c r="GVK245" s="10"/>
      <c r="GVL245" s="10"/>
      <c r="GVM245" s="19"/>
      <c r="GVN245" s="19"/>
      <c r="GVQ245" s="16"/>
      <c r="GVR245" s="15"/>
      <c r="GVS245" s="15"/>
      <c r="GVT245" s="15"/>
      <c r="GVU245" s="16"/>
      <c r="GVV245" s="16"/>
      <c r="GVW245" s="16"/>
      <c r="GVX245" s="16"/>
      <c r="GVY245" s="16"/>
      <c r="GVZ245" s="15"/>
      <c r="GWA245" s="15"/>
      <c r="GWB245" s="10"/>
      <c r="GWC245" s="10"/>
      <c r="GWD245" s="19"/>
      <c r="GWE245" s="19"/>
      <c r="GWH245" s="16"/>
      <c r="GWI245" s="15"/>
      <c r="GWJ245" s="15"/>
      <c r="GWK245" s="15"/>
      <c r="GWL245" s="16"/>
      <c r="GWM245" s="16"/>
      <c r="GWN245" s="16"/>
      <c r="GWO245" s="16"/>
      <c r="GWP245" s="16"/>
      <c r="GWQ245" s="15"/>
      <c r="GWR245" s="15"/>
      <c r="GWS245" s="10"/>
      <c r="GWT245" s="10"/>
      <c r="GWU245" s="19"/>
      <c r="GWV245" s="19"/>
      <c r="GWY245" s="16"/>
      <c r="GWZ245" s="15"/>
      <c r="GXA245" s="15"/>
      <c r="GXB245" s="15"/>
      <c r="GXC245" s="16"/>
      <c r="GXD245" s="16"/>
      <c r="GXE245" s="16"/>
      <c r="GXF245" s="16"/>
      <c r="GXG245" s="16"/>
      <c r="GXH245" s="15"/>
      <c r="GXI245" s="15"/>
      <c r="GXJ245" s="10"/>
      <c r="GXK245" s="10"/>
      <c r="GXL245" s="19"/>
      <c r="GXM245" s="19"/>
      <c r="GXP245" s="16"/>
      <c r="GXQ245" s="15"/>
      <c r="GXR245" s="15"/>
      <c r="GXS245" s="15"/>
      <c r="GXT245" s="16"/>
      <c r="GXU245" s="16"/>
      <c r="GXV245" s="16"/>
      <c r="GXW245" s="16"/>
      <c r="GXX245" s="16"/>
      <c r="GXY245" s="15"/>
      <c r="GXZ245" s="15"/>
      <c r="GYA245" s="10"/>
      <c r="GYB245" s="10"/>
      <c r="GYC245" s="19"/>
      <c r="GYD245" s="19"/>
      <c r="GYG245" s="16"/>
      <c r="GYH245" s="15"/>
      <c r="GYI245" s="15"/>
      <c r="GYJ245" s="15"/>
      <c r="GYK245" s="16"/>
      <c r="GYL245" s="16"/>
      <c r="GYM245" s="16"/>
      <c r="GYN245" s="16"/>
      <c r="GYO245" s="16"/>
      <c r="GYP245" s="15"/>
      <c r="GYQ245" s="15"/>
      <c r="GYR245" s="10"/>
      <c r="GYS245" s="10"/>
      <c r="GYT245" s="19"/>
      <c r="GYU245" s="19"/>
      <c r="GYX245" s="16"/>
      <c r="GYY245" s="15"/>
      <c r="GYZ245" s="15"/>
      <c r="GZA245" s="15"/>
      <c r="GZB245" s="16"/>
      <c r="GZC245" s="16"/>
      <c r="GZD245" s="16"/>
      <c r="GZE245" s="16"/>
      <c r="GZF245" s="16"/>
      <c r="GZG245" s="15"/>
      <c r="GZH245" s="15"/>
      <c r="GZI245" s="10"/>
      <c r="GZJ245" s="10"/>
      <c r="GZK245" s="19"/>
      <c r="GZL245" s="19"/>
      <c r="GZO245" s="16"/>
      <c r="GZP245" s="15"/>
      <c r="GZQ245" s="15"/>
      <c r="GZR245" s="15"/>
      <c r="GZS245" s="16"/>
      <c r="GZT245" s="16"/>
      <c r="GZU245" s="16"/>
      <c r="GZV245" s="16"/>
      <c r="GZW245" s="16"/>
      <c r="GZX245" s="15"/>
      <c r="GZY245" s="15"/>
      <c r="GZZ245" s="10"/>
      <c r="HAA245" s="10"/>
      <c r="HAB245" s="19"/>
      <c r="HAC245" s="19"/>
      <c r="HAF245" s="16"/>
      <c r="HAG245" s="15"/>
      <c r="HAH245" s="15"/>
      <c r="HAI245" s="15"/>
      <c r="HAJ245" s="16"/>
      <c r="HAK245" s="16"/>
      <c r="HAL245" s="16"/>
      <c r="HAM245" s="16"/>
      <c r="HAN245" s="16"/>
      <c r="HAO245" s="15"/>
      <c r="HAP245" s="15"/>
      <c r="HAQ245" s="10"/>
      <c r="HAR245" s="10"/>
      <c r="HAS245" s="19"/>
      <c r="HAT245" s="19"/>
      <c r="HAW245" s="16"/>
      <c r="HAX245" s="15"/>
      <c r="HAY245" s="15"/>
      <c r="HAZ245" s="15"/>
      <c r="HBA245" s="16"/>
      <c r="HBB245" s="16"/>
      <c r="HBC245" s="16"/>
      <c r="HBD245" s="16"/>
      <c r="HBE245" s="16"/>
      <c r="HBF245" s="15"/>
      <c r="HBG245" s="15"/>
      <c r="HBH245" s="10"/>
      <c r="HBI245" s="10"/>
      <c r="HBJ245" s="19"/>
      <c r="HBK245" s="19"/>
      <c r="HBN245" s="16"/>
      <c r="HBO245" s="15"/>
      <c r="HBP245" s="15"/>
      <c r="HBQ245" s="15"/>
      <c r="HBR245" s="16"/>
      <c r="HBS245" s="16"/>
      <c r="HBT245" s="16"/>
      <c r="HBU245" s="16"/>
      <c r="HBV245" s="16"/>
      <c r="HBW245" s="15"/>
      <c r="HBX245" s="15"/>
      <c r="HBY245" s="10"/>
      <c r="HBZ245" s="10"/>
      <c r="HCA245" s="19"/>
      <c r="HCB245" s="19"/>
      <c r="HCE245" s="16"/>
      <c r="HCF245" s="15"/>
      <c r="HCG245" s="15"/>
      <c r="HCH245" s="15"/>
      <c r="HCI245" s="16"/>
      <c r="HCJ245" s="16"/>
      <c r="HCK245" s="16"/>
      <c r="HCL245" s="16"/>
      <c r="HCM245" s="16"/>
      <c r="HCN245" s="15"/>
      <c r="HCO245" s="15"/>
      <c r="HCP245" s="10"/>
      <c r="HCQ245" s="10"/>
      <c r="HCR245" s="19"/>
      <c r="HCS245" s="19"/>
      <c r="HCV245" s="16"/>
      <c r="HCW245" s="15"/>
      <c r="HCX245" s="15"/>
      <c r="HCY245" s="15"/>
      <c r="HCZ245" s="16"/>
      <c r="HDA245" s="16"/>
      <c r="HDB245" s="16"/>
      <c r="HDC245" s="16"/>
      <c r="HDD245" s="16"/>
      <c r="HDE245" s="15"/>
      <c r="HDF245" s="15"/>
      <c r="HDG245" s="10"/>
      <c r="HDH245" s="10"/>
      <c r="HDI245" s="19"/>
      <c r="HDJ245" s="19"/>
      <c r="HDM245" s="16"/>
      <c r="HDN245" s="15"/>
      <c r="HDO245" s="15"/>
      <c r="HDP245" s="15"/>
      <c r="HDQ245" s="16"/>
      <c r="HDR245" s="16"/>
      <c r="HDS245" s="16"/>
      <c r="HDT245" s="16"/>
      <c r="HDU245" s="16"/>
      <c r="HDV245" s="15"/>
      <c r="HDW245" s="15"/>
      <c r="HDX245" s="10"/>
      <c r="HDY245" s="10"/>
      <c r="HDZ245" s="19"/>
      <c r="HEA245" s="19"/>
      <c r="HED245" s="16"/>
      <c r="HEE245" s="15"/>
      <c r="HEF245" s="15"/>
      <c r="HEG245" s="15"/>
      <c r="HEH245" s="16"/>
      <c r="HEI245" s="16"/>
      <c r="HEJ245" s="16"/>
      <c r="HEK245" s="16"/>
      <c r="HEL245" s="16"/>
      <c r="HEM245" s="15"/>
      <c r="HEN245" s="15"/>
      <c r="HEO245" s="10"/>
      <c r="HEP245" s="10"/>
      <c r="HEQ245" s="19"/>
      <c r="HER245" s="19"/>
      <c r="HEU245" s="16"/>
      <c r="HEV245" s="15"/>
      <c r="HEW245" s="15"/>
      <c r="HEX245" s="15"/>
      <c r="HEY245" s="16"/>
      <c r="HEZ245" s="16"/>
      <c r="HFA245" s="16"/>
      <c r="HFB245" s="16"/>
      <c r="HFC245" s="16"/>
      <c r="HFD245" s="15"/>
      <c r="HFE245" s="15"/>
      <c r="HFF245" s="10"/>
      <c r="HFG245" s="10"/>
      <c r="HFH245" s="19"/>
      <c r="HFI245" s="19"/>
      <c r="HFL245" s="16"/>
      <c r="HFM245" s="15"/>
      <c r="HFN245" s="15"/>
      <c r="HFO245" s="15"/>
      <c r="HFP245" s="16"/>
      <c r="HFQ245" s="16"/>
      <c r="HFR245" s="16"/>
      <c r="HFS245" s="16"/>
      <c r="HFT245" s="16"/>
      <c r="HFU245" s="15"/>
      <c r="HFV245" s="15"/>
      <c r="HFW245" s="10"/>
      <c r="HFX245" s="10"/>
      <c r="HFY245" s="19"/>
      <c r="HFZ245" s="19"/>
      <c r="HGC245" s="16"/>
      <c r="HGD245" s="15"/>
      <c r="HGE245" s="15"/>
      <c r="HGF245" s="15"/>
      <c r="HGG245" s="16"/>
      <c r="HGH245" s="16"/>
      <c r="HGI245" s="16"/>
      <c r="HGJ245" s="16"/>
      <c r="HGK245" s="16"/>
      <c r="HGL245" s="15"/>
      <c r="HGM245" s="15"/>
      <c r="HGN245" s="10"/>
      <c r="HGO245" s="10"/>
      <c r="HGP245" s="19"/>
      <c r="HGQ245" s="19"/>
      <c r="HGT245" s="16"/>
      <c r="HGU245" s="15"/>
      <c r="HGV245" s="15"/>
      <c r="HGW245" s="15"/>
      <c r="HGX245" s="16"/>
      <c r="HGY245" s="16"/>
      <c r="HGZ245" s="16"/>
      <c r="HHA245" s="16"/>
      <c r="HHB245" s="16"/>
      <c r="HHC245" s="15"/>
      <c r="HHD245" s="15"/>
      <c r="HHE245" s="10"/>
      <c r="HHF245" s="10"/>
      <c r="HHG245" s="19"/>
      <c r="HHH245" s="19"/>
      <c r="HHK245" s="16"/>
      <c r="HHL245" s="15"/>
      <c r="HHM245" s="15"/>
      <c r="HHN245" s="15"/>
      <c r="HHO245" s="16"/>
      <c r="HHP245" s="16"/>
      <c r="HHQ245" s="16"/>
      <c r="HHR245" s="16"/>
      <c r="HHS245" s="16"/>
      <c r="HHT245" s="15"/>
      <c r="HHU245" s="15"/>
      <c r="HHV245" s="10"/>
      <c r="HHW245" s="10"/>
      <c r="HHX245" s="19"/>
      <c r="HHY245" s="19"/>
      <c r="HIB245" s="16"/>
      <c r="HIC245" s="15"/>
      <c r="HID245" s="15"/>
      <c r="HIE245" s="15"/>
      <c r="HIF245" s="16"/>
      <c r="HIG245" s="16"/>
      <c r="HIH245" s="16"/>
      <c r="HII245" s="16"/>
      <c r="HIJ245" s="16"/>
      <c r="HIK245" s="15"/>
      <c r="HIL245" s="15"/>
      <c r="HIM245" s="10"/>
      <c r="HIN245" s="10"/>
      <c r="HIO245" s="19"/>
      <c r="HIP245" s="19"/>
      <c r="HIS245" s="16"/>
      <c r="HIT245" s="15"/>
      <c r="HIU245" s="15"/>
      <c r="HIV245" s="15"/>
      <c r="HIW245" s="16"/>
      <c r="HIX245" s="16"/>
      <c r="HIY245" s="16"/>
      <c r="HIZ245" s="16"/>
      <c r="HJA245" s="16"/>
      <c r="HJB245" s="15"/>
      <c r="HJC245" s="15"/>
      <c r="HJD245" s="10"/>
      <c r="HJE245" s="10"/>
      <c r="HJF245" s="19"/>
      <c r="HJG245" s="19"/>
      <c r="HJJ245" s="16"/>
      <c r="HJK245" s="15"/>
      <c r="HJL245" s="15"/>
      <c r="HJM245" s="15"/>
      <c r="HJN245" s="16"/>
      <c r="HJO245" s="16"/>
      <c r="HJP245" s="16"/>
      <c r="HJQ245" s="16"/>
      <c r="HJR245" s="16"/>
      <c r="HJS245" s="15"/>
      <c r="HJT245" s="15"/>
      <c r="HJU245" s="10"/>
      <c r="HJV245" s="10"/>
      <c r="HJW245" s="19"/>
      <c r="HJX245" s="19"/>
      <c r="HKA245" s="16"/>
      <c r="HKB245" s="15"/>
      <c r="HKC245" s="15"/>
      <c r="HKD245" s="15"/>
      <c r="HKE245" s="16"/>
      <c r="HKF245" s="16"/>
      <c r="HKG245" s="16"/>
      <c r="HKH245" s="16"/>
      <c r="HKI245" s="16"/>
      <c r="HKJ245" s="15"/>
      <c r="HKK245" s="15"/>
      <c r="HKL245" s="10"/>
      <c r="HKM245" s="10"/>
      <c r="HKN245" s="19"/>
      <c r="HKO245" s="19"/>
      <c r="HKR245" s="16"/>
      <c r="HKS245" s="15"/>
      <c r="HKT245" s="15"/>
      <c r="HKU245" s="15"/>
      <c r="HKV245" s="16"/>
      <c r="HKW245" s="16"/>
      <c r="HKX245" s="16"/>
      <c r="HKY245" s="16"/>
      <c r="HKZ245" s="16"/>
      <c r="HLA245" s="15"/>
      <c r="HLB245" s="15"/>
      <c r="HLC245" s="10"/>
      <c r="HLD245" s="10"/>
      <c r="HLE245" s="19"/>
      <c r="HLF245" s="19"/>
      <c r="HLI245" s="16"/>
      <c r="HLJ245" s="15"/>
      <c r="HLK245" s="15"/>
      <c r="HLL245" s="15"/>
      <c r="HLM245" s="16"/>
      <c r="HLN245" s="16"/>
      <c r="HLO245" s="16"/>
      <c r="HLP245" s="16"/>
      <c r="HLQ245" s="16"/>
      <c r="HLR245" s="15"/>
      <c r="HLS245" s="15"/>
      <c r="HLT245" s="10"/>
      <c r="HLU245" s="10"/>
      <c r="HLV245" s="19"/>
      <c r="HLW245" s="19"/>
      <c r="HLZ245" s="16"/>
      <c r="HMA245" s="15"/>
      <c r="HMB245" s="15"/>
      <c r="HMC245" s="15"/>
      <c r="HMD245" s="16"/>
      <c r="HME245" s="16"/>
      <c r="HMF245" s="16"/>
      <c r="HMG245" s="16"/>
      <c r="HMH245" s="16"/>
      <c r="HMI245" s="15"/>
      <c r="HMJ245" s="15"/>
      <c r="HMK245" s="10"/>
      <c r="HML245" s="10"/>
      <c r="HMM245" s="19"/>
      <c r="HMN245" s="19"/>
      <c r="HMQ245" s="16"/>
      <c r="HMR245" s="15"/>
      <c r="HMS245" s="15"/>
      <c r="HMT245" s="15"/>
      <c r="HMU245" s="16"/>
      <c r="HMV245" s="16"/>
      <c r="HMW245" s="16"/>
      <c r="HMX245" s="16"/>
      <c r="HMY245" s="16"/>
      <c r="HMZ245" s="15"/>
      <c r="HNA245" s="15"/>
      <c r="HNB245" s="10"/>
      <c r="HNC245" s="10"/>
      <c r="HND245" s="19"/>
      <c r="HNE245" s="19"/>
      <c r="HNH245" s="16"/>
      <c r="HNI245" s="15"/>
      <c r="HNJ245" s="15"/>
      <c r="HNK245" s="15"/>
      <c r="HNL245" s="16"/>
      <c r="HNM245" s="16"/>
      <c r="HNN245" s="16"/>
      <c r="HNO245" s="16"/>
      <c r="HNP245" s="16"/>
      <c r="HNQ245" s="15"/>
      <c r="HNR245" s="15"/>
      <c r="HNS245" s="10"/>
      <c r="HNT245" s="10"/>
      <c r="HNU245" s="19"/>
      <c r="HNV245" s="19"/>
      <c r="HNY245" s="16"/>
      <c r="HNZ245" s="15"/>
      <c r="HOA245" s="15"/>
      <c r="HOB245" s="15"/>
      <c r="HOC245" s="16"/>
      <c r="HOD245" s="16"/>
      <c r="HOE245" s="16"/>
      <c r="HOF245" s="16"/>
      <c r="HOG245" s="16"/>
      <c r="HOH245" s="15"/>
      <c r="HOI245" s="15"/>
      <c r="HOJ245" s="10"/>
      <c r="HOK245" s="10"/>
      <c r="HOL245" s="19"/>
      <c r="HOM245" s="19"/>
      <c r="HOP245" s="16"/>
      <c r="HOQ245" s="15"/>
      <c r="HOR245" s="15"/>
      <c r="HOS245" s="15"/>
      <c r="HOT245" s="16"/>
      <c r="HOU245" s="16"/>
      <c r="HOV245" s="16"/>
      <c r="HOW245" s="16"/>
      <c r="HOX245" s="16"/>
      <c r="HOY245" s="15"/>
      <c r="HOZ245" s="15"/>
      <c r="HPA245" s="10"/>
      <c r="HPB245" s="10"/>
      <c r="HPC245" s="19"/>
      <c r="HPD245" s="19"/>
      <c r="HPG245" s="16"/>
      <c r="HPH245" s="15"/>
      <c r="HPI245" s="15"/>
      <c r="HPJ245" s="15"/>
      <c r="HPK245" s="16"/>
      <c r="HPL245" s="16"/>
      <c r="HPM245" s="16"/>
      <c r="HPN245" s="16"/>
      <c r="HPO245" s="16"/>
      <c r="HPP245" s="15"/>
      <c r="HPQ245" s="15"/>
      <c r="HPR245" s="10"/>
      <c r="HPS245" s="10"/>
      <c r="HPT245" s="19"/>
      <c r="HPU245" s="19"/>
      <c r="HPX245" s="16"/>
      <c r="HPY245" s="15"/>
      <c r="HPZ245" s="15"/>
      <c r="HQA245" s="15"/>
      <c r="HQB245" s="16"/>
      <c r="HQC245" s="16"/>
      <c r="HQD245" s="16"/>
      <c r="HQE245" s="16"/>
      <c r="HQF245" s="16"/>
      <c r="HQG245" s="15"/>
      <c r="HQH245" s="15"/>
      <c r="HQI245" s="10"/>
      <c r="HQJ245" s="10"/>
      <c r="HQK245" s="19"/>
      <c r="HQL245" s="19"/>
      <c r="HQO245" s="16"/>
      <c r="HQP245" s="15"/>
      <c r="HQQ245" s="15"/>
      <c r="HQR245" s="15"/>
      <c r="HQS245" s="16"/>
      <c r="HQT245" s="16"/>
      <c r="HQU245" s="16"/>
      <c r="HQV245" s="16"/>
      <c r="HQW245" s="16"/>
      <c r="HQX245" s="15"/>
      <c r="HQY245" s="15"/>
      <c r="HQZ245" s="10"/>
      <c r="HRA245" s="10"/>
      <c r="HRB245" s="19"/>
      <c r="HRC245" s="19"/>
      <c r="HRF245" s="16"/>
      <c r="HRG245" s="15"/>
      <c r="HRH245" s="15"/>
      <c r="HRI245" s="15"/>
      <c r="HRJ245" s="16"/>
      <c r="HRK245" s="16"/>
      <c r="HRL245" s="16"/>
      <c r="HRM245" s="16"/>
      <c r="HRN245" s="16"/>
      <c r="HRO245" s="15"/>
      <c r="HRP245" s="15"/>
      <c r="HRQ245" s="10"/>
      <c r="HRR245" s="10"/>
      <c r="HRS245" s="19"/>
      <c r="HRT245" s="19"/>
      <c r="HRW245" s="16"/>
      <c r="HRX245" s="15"/>
      <c r="HRY245" s="15"/>
      <c r="HRZ245" s="15"/>
      <c r="HSA245" s="16"/>
      <c r="HSB245" s="16"/>
      <c r="HSC245" s="16"/>
      <c r="HSD245" s="16"/>
      <c r="HSE245" s="16"/>
      <c r="HSF245" s="15"/>
      <c r="HSG245" s="15"/>
      <c r="HSH245" s="10"/>
      <c r="HSI245" s="10"/>
      <c r="HSJ245" s="19"/>
      <c r="HSK245" s="19"/>
      <c r="HSN245" s="16"/>
      <c r="HSO245" s="15"/>
      <c r="HSP245" s="15"/>
      <c r="HSQ245" s="15"/>
      <c r="HSR245" s="16"/>
      <c r="HSS245" s="16"/>
      <c r="HST245" s="16"/>
      <c r="HSU245" s="16"/>
      <c r="HSV245" s="16"/>
      <c r="HSW245" s="15"/>
      <c r="HSX245" s="15"/>
      <c r="HSY245" s="10"/>
      <c r="HSZ245" s="10"/>
      <c r="HTA245" s="19"/>
      <c r="HTB245" s="19"/>
      <c r="HTE245" s="16"/>
      <c r="HTF245" s="15"/>
      <c r="HTG245" s="15"/>
      <c r="HTH245" s="15"/>
      <c r="HTI245" s="16"/>
      <c r="HTJ245" s="16"/>
      <c r="HTK245" s="16"/>
      <c r="HTL245" s="16"/>
      <c r="HTM245" s="16"/>
      <c r="HTN245" s="15"/>
      <c r="HTO245" s="15"/>
      <c r="HTP245" s="10"/>
      <c r="HTQ245" s="10"/>
      <c r="HTR245" s="19"/>
      <c r="HTS245" s="19"/>
      <c r="HTV245" s="16"/>
      <c r="HTW245" s="15"/>
      <c r="HTX245" s="15"/>
      <c r="HTY245" s="15"/>
      <c r="HTZ245" s="16"/>
      <c r="HUA245" s="16"/>
      <c r="HUB245" s="16"/>
      <c r="HUC245" s="16"/>
      <c r="HUD245" s="16"/>
      <c r="HUE245" s="15"/>
      <c r="HUF245" s="15"/>
      <c r="HUG245" s="10"/>
      <c r="HUH245" s="10"/>
      <c r="HUI245" s="19"/>
      <c r="HUJ245" s="19"/>
      <c r="HUM245" s="16"/>
      <c r="HUN245" s="15"/>
      <c r="HUO245" s="15"/>
      <c r="HUP245" s="15"/>
      <c r="HUQ245" s="16"/>
      <c r="HUR245" s="16"/>
      <c r="HUS245" s="16"/>
      <c r="HUT245" s="16"/>
      <c r="HUU245" s="16"/>
      <c r="HUV245" s="15"/>
      <c r="HUW245" s="15"/>
      <c r="HUX245" s="10"/>
      <c r="HUY245" s="10"/>
      <c r="HUZ245" s="19"/>
      <c r="HVA245" s="19"/>
      <c r="HVD245" s="16"/>
      <c r="HVE245" s="15"/>
      <c r="HVF245" s="15"/>
      <c r="HVG245" s="15"/>
      <c r="HVH245" s="16"/>
      <c r="HVI245" s="16"/>
      <c r="HVJ245" s="16"/>
      <c r="HVK245" s="16"/>
      <c r="HVL245" s="16"/>
      <c r="HVM245" s="15"/>
      <c r="HVN245" s="15"/>
      <c r="HVO245" s="10"/>
      <c r="HVP245" s="10"/>
      <c r="HVQ245" s="19"/>
      <c r="HVR245" s="19"/>
      <c r="HVU245" s="16"/>
      <c r="HVV245" s="15"/>
      <c r="HVW245" s="15"/>
      <c r="HVX245" s="15"/>
      <c r="HVY245" s="16"/>
      <c r="HVZ245" s="16"/>
      <c r="HWA245" s="16"/>
      <c r="HWB245" s="16"/>
      <c r="HWC245" s="16"/>
      <c r="HWD245" s="15"/>
      <c r="HWE245" s="15"/>
      <c r="HWF245" s="10"/>
      <c r="HWG245" s="10"/>
      <c r="HWH245" s="19"/>
      <c r="HWI245" s="19"/>
      <c r="HWL245" s="16"/>
      <c r="HWM245" s="15"/>
      <c r="HWN245" s="15"/>
      <c r="HWO245" s="15"/>
      <c r="HWP245" s="16"/>
      <c r="HWQ245" s="16"/>
      <c r="HWR245" s="16"/>
      <c r="HWS245" s="16"/>
      <c r="HWT245" s="16"/>
      <c r="HWU245" s="15"/>
      <c r="HWV245" s="15"/>
      <c r="HWW245" s="10"/>
      <c r="HWX245" s="10"/>
      <c r="HWY245" s="19"/>
      <c r="HWZ245" s="19"/>
      <c r="HXC245" s="16"/>
      <c r="HXD245" s="15"/>
      <c r="HXE245" s="15"/>
      <c r="HXF245" s="15"/>
      <c r="HXG245" s="16"/>
      <c r="HXH245" s="16"/>
      <c r="HXI245" s="16"/>
      <c r="HXJ245" s="16"/>
      <c r="HXK245" s="16"/>
      <c r="HXL245" s="15"/>
      <c r="HXM245" s="15"/>
      <c r="HXN245" s="10"/>
      <c r="HXO245" s="10"/>
      <c r="HXP245" s="19"/>
      <c r="HXQ245" s="19"/>
      <c r="HXT245" s="16"/>
      <c r="HXU245" s="15"/>
      <c r="HXV245" s="15"/>
      <c r="HXW245" s="15"/>
      <c r="HXX245" s="16"/>
      <c r="HXY245" s="16"/>
      <c r="HXZ245" s="16"/>
      <c r="HYA245" s="16"/>
      <c r="HYB245" s="16"/>
      <c r="HYC245" s="15"/>
      <c r="HYD245" s="15"/>
      <c r="HYE245" s="10"/>
      <c r="HYF245" s="10"/>
      <c r="HYG245" s="19"/>
      <c r="HYH245" s="19"/>
      <c r="HYK245" s="16"/>
      <c r="HYL245" s="15"/>
      <c r="HYM245" s="15"/>
      <c r="HYN245" s="15"/>
      <c r="HYO245" s="16"/>
      <c r="HYP245" s="16"/>
      <c r="HYQ245" s="16"/>
      <c r="HYR245" s="16"/>
      <c r="HYS245" s="16"/>
      <c r="HYT245" s="15"/>
      <c r="HYU245" s="15"/>
      <c r="HYV245" s="10"/>
      <c r="HYW245" s="10"/>
      <c r="HYX245" s="19"/>
      <c r="HYY245" s="19"/>
      <c r="HZB245" s="16"/>
      <c r="HZC245" s="15"/>
      <c r="HZD245" s="15"/>
      <c r="HZE245" s="15"/>
      <c r="HZF245" s="16"/>
      <c r="HZG245" s="16"/>
      <c r="HZH245" s="16"/>
      <c r="HZI245" s="16"/>
      <c r="HZJ245" s="16"/>
      <c r="HZK245" s="15"/>
      <c r="HZL245" s="15"/>
      <c r="HZM245" s="10"/>
      <c r="HZN245" s="10"/>
      <c r="HZO245" s="19"/>
      <c r="HZP245" s="19"/>
      <c r="HZS245" s="16"/>
      <c r="HZT245" s="15"/>
      <c r="HZU245" s="15"/>
      <c r="HZV245" s="15"/>
      <c r="HZW245" s="16"/>
      <c r="HZX245" s="16"/>
      <c r="HZY245" s="16"/>
      <c r="HZZ245" s="16"/>
      <c r="IAA245" s="16"/>
      <c r="IAB245" s="15"/>
      <c r="IAC245" s="15"/>
      <c r="IAD245" s="10"/>
      <c r="IAE245" s="10"/>
      <c r="IAF245" s="19"/>
      <c r="IAG245" s="19"/>
      <c r="IAJ245" s="16"/>
      <c r="IAK245" s="15"/>
      <c r="IAL245" s="15"/>
      <c r="IAM245" s="15"/>
      <c r="IAN245" s="16"/>
      <c r="IAO245" s="16"/>
      <c r="IAP245" s="16"/>
      <c r="IAQ245" s="16"/>
      <c r="IAR245" s="16"/>
      <c r="IAS245" s="15"/>
      <c r="IAT245" s="15"/>
      <c r="IAU245" s="10"/>
      <c r="IAV245" s="10"/>
      <c r="IAW245" s="19"/>
      <c r="IAX245" s="19"/>
      <c r="IBA245" s="16"/>
      <c r="IBB245" s="15"/>
      <c r="IBC245" s="15"/>
      <c r="IBD245" s="15"/>
      <c r="IBE245" s="16"/>
      <c r="IBF245" s="16"/>
      <c r="IBG245" s="16"/>
      <c r="IBH245" s="16"/>
      <c r="IBI245" s="16"/>
      <c r="IBJ245" s="15"/>
      <c r="IBK245" s="15"/>
      <c r="IBL245" s="10"/>
      <c r="IBM245" s="10"/>
      <c r="IBN245" s="19"/>
      <c r="IBO245" s="19"/>
      <c r="IBR245" s="16"/>
      <c r="IBS245" s="15"/>
      <c r="IBT245" s="15"/>
      <c r="IBU245" s="15"/>
      <c r="IBV245" s="16"/>
      <c r="IBW245" s="16"/>
      <c r="IBX245" s="16"/>
      <c r="IBY245" s="16"/>
      <c r="IBZ245" s="16"/>
      <c r="ICA245" s="15"/>
      <c r="ICB245" s="15"/>
      <c r="ICC245" s="10"/>
      <c r="ICD245" s="10"/>
      <c r="ICE245" s="19"/>
      <c r="ICF245" s="19"/>
      <c r="ICI245" s="16"/>
      <c r="ICJ245" s="15"/>
      <c r="ICK245" s="15"/>
      <c r="ICL245" s="15"/>
      <c r="ICM245" s="16"/>
      <c r="ICN245" s="16"/>
      <c r="ICO245" s="16"/>
      <c r="ICP245" s="16"/>
      <c r="ICQ245" s="16"/>
      <c r="ICR245" s="15"/>
      <c r="ICS245" s="15"/>
      <c r="ICT245" s="10"/>
      <c r="ICU245" s="10"/>
      <c r="ICV245" s="19"/>
      <c r="ICW245" s="19"/>
      <c r="ICZ245" s="16"/>
      <c r="IDA245" s="15"/>
      <c r="IDB245" s="15"/>
      <c r="IDC245" s="15"/>
      <c r="IDD245" s="16"/>
      <c r="IDE245" s="16"/>
      <c r="IDF245" s="16"/>
      <c r="IDG245" s="16"/>
      <c r="IDH245" s="16"/>
      <c r="IDI245" s="15"/>
      <c r="IDJ245" s="15"/>
      <c r="IDK245" s="10"/>
      <c r="IDL245" s="10"/>
      <c r="IDM245" s="19"/>
      <c r="IDN245" s="19"/>
      <c r="IDQ245" s="16"/>
      <c r="IDR245" s="15"/>
      <c r="IDS245" s="15"/>
      <c r="IDT245" s="15"/>
      <c r="IDU245" s="16"/>
      <c r="IDV245" s="16"/>
      <c r="IDW245" s="16"/>
      <c r="IDX245" s="16"/>
      <c r="IDY245" s="16"/>
      <c r="IDZ245" s="15"/>
      <c r="IEA245" s="15"/>
      <c r="IEB245" s="10"/>
      <c r="IEC245" s="10"/>
      <c r="IED245" s="19"/>
      <c r="IEE245" s="19"/>
      <c r="IEH245" s="16"/>
      <c r="IEI245" s="15"/>
      <c r="IEJ245" s="15"/>
      <c r="IEK245" s="15"/>
      <c r="IEL245" s="16"/>
      <c r="IEM245" s="16"/>
      <c r="IEN245" s="16"/>
      <c r="IEO245" s="16"/>
      <c r="IEP245" s="16"/>
      <c r="IEQ245" s="15"/>
      <c r="IER245" s="15"/>
      <c r="IES245" s="10"/>
      <c r="IET245" s="10"/>
      <c r="IEU245" s="19"/>
      <c r="IEV245" s="19"/>
      <c r="IEY245" s="16"/>
      <c r="IEZ245" s="15"/>
      <c r="IFA245" s="15"/>
      <c r="IFB245" s="15"/>
      <c r="IFC245" s="16"/>
      <c r="IFD245" s="16"/>
      <c r="IFE245" s="16"/>
      <c r="IFF245" s="16"/>
      <c r="IFG245" s="16"/>
      <c r="IFH245" s="15"/>
      <c r="IFI245" s="15"/>
      <c r="IFJ245" s="10"/>
      <c r="IFK245" s="10"/>
      <c r="IFL245" s="19"/>
      <c r="IFM245" s="19"/>
      <c r="IFP245" s="16"/>
      <c r="IFQ245" s="15"/>
      <c r="IFR245" s="15"/>
      <c r="IFS245" s="15"/>
      <c r="IFT245" s="16"/>
      <c r="IFU245" s="16"/>
      <c r="IFV245" s="16"/>
      <c r="IFW245" s="16"/>
      <c r="IFX245" s="16"/>
      <c r="IFY245" s="15"/>
      <c r="IFZ245" s="15"/>
      <c r="IGA245" s="10"/>
      <c r="IGB245" s="10"/>
      <c r="IGC245" s="19"/>
      <c r="IGD245" s="19"/>
      <c r="IGG245" s="16"/>
      <c r="IGH245" s="15"/>
      <c r="IGI245" s="15"/>
      <c r="IGJ245" s="15"/>
      <c r="IGK245" s="16"/>
      <c r="IGL245" s="16"/>
      <c r="IGM245" s="16"/>
      <c r="IGN245" s="16"/>
      <c r="IGO245" s="16"/>
      <c r="IGP245" s="15"/>
      <c r="IGQ245" s="15"/>
      <c r="IGR245" s="10"/>
      <c r="IGS245" s="10"/>
      <c r="IGT245" s="19"/>
      <c r="IGU245" s="19"/>
      <c r="IGX245" s="16"/>
      <c r="IGY245" s="15"/>
      <c r="IGZ245" s="15"/>
      <c r="IHA245" s="15"/>
      <c r="IHB245" s="16"/>
      <c r="IHC245" s="16"/>
      <c r="IHD245" s="16"/>
      <c r="IHE245" s="16"/>
      <c r="IHF245" s="16"/>
      <c r="IHG245" s="15"/>
      <c r="IHH245" s="15"/>
      <c r="IHI245" s="10"/>
      <c r="IHJ245" s="10"/>
      <c r="IHK245" s="19"/>
      <c r="IHL245" s="19"/>
      <c r="IHO245" s="16"/>
      <c r="IHP245" s="15"/>
      <c r="IHQ245" s="15"/>
      <c r="IHR245" s="15"/>
      <c r="IHS245" s="16"/>
      <c r="IHT245" s="16"/>
      <c r="IHU245" s="16"/>
      <c r="IHV245" s="16"/>
      <c r="IHW245" s="16"/>
      <c r="IHX245" s="15"/>
      <c r="IHY245" s="15"/>
      <c r="IHZ245" s="10"/>
      <c r="IIA245" s="10"/>
      <c r="IIB245" s="19"/>
      <c r="IIC245" s="19"/>
      <c r="IIF245" s="16"/>
      <c r="IIG245" s="15"/>
      <c r="IIH245" s="15"/>
      <c r="III245" s="15"/>
      <c r="IIJ245" s="16"/>
      <c r="IIK245" s="16"/>
      <c r="IIL245" s="16"/>
      <c r="IIM245" s="16"/>
      <c r="IIN245" s="16"/>
      <c r="IIO245" s="15"/>
      <c r="IIP245" s="15"/>
      <c r="IIQ245" s="10"/>
      <c r="IIR245" s="10"/>
      <c r="IIS245" s="19"/>
      <c r="IIT245" s="19"/>
      <c r="IIW245" s="16"/>
      <c r="IIX245" s="15"/>
      <c r="IIY245" s="15"/>
      <c r="IIZ245" s="15"/>
      <c r="IJA245" s="16"/>
      <c r="IJB245" s="16"/>
      <c r="IJC245" s="16"/>
      <c r="IJD245" s="16"/>
      <c r="IJE245" s="16"/>
      <c r="IJF245" s="15"/>
      <c r="IJG245" s="15"/>
      <c r="IJH245" s="10"/>
      <c r="IJI245" s="10"/>
      <c r="IJJ245" s="19"/>
      <c r="IJK245" s="19"/>
      <c r="IJN245" s="16"/>
      <c r="IJO245" s="15"/>
      <c r="IJP245" s="15"/>
      <c r="IJQ245" s="15"/>
      <c r="IJR245" s="16"/>
      <c r="IJS245" s="16"/>
      <c r="IJT245" s="16"/>
      <c r="IJU245" s="16"/>
      <c r="IJV245" s="16"/>
      <c r="IJW245" s="15"/>
      <c r="IJX245" s="15"/>
      <c r="IJY245" s="10"/>
      <c r="IJZ245" s="10"/>
      <c r="IKA245" s="19"/>
      <c r="IKB245" s="19"/>
      <c r="IKE245" s="16"/>
      <c r="IKF245" s="15"/>
      <c r="IKG245" s="15"/>
      <c r="IKH245" s="15"/>
      <c r="IKI245" s="16"/>
      <c r="IKJ245" s="16"/>
      <c r="IKK245" s="16"/>
      <c r="IKL245" s="16"/>
      <c r="IKM245" s="16"/>
      <c r="IKN245" s="15"/>
      <c r="IKO245" s="15"/>
      <c r="IKP245" s="10"/>
      <c r="IKQ245" s="10"/>
      <c r="IKR245" s="19"/>
      <c r="IKS245" s="19"/>
      <c r="IKV245" s="16"/>
      <c r="IKW245" s="15"/>
      <c r="IKX245" s="15"/>
      <c r="IKY245" s="15"/>
      <c r="IKZ245" s="16"/>
      <c r="ILA245" s="16"/>
      <c r="ILB245" s="16"/>
      <c r="ILC245" s="16"/>
      <c r="ILD245" s="16"/>
      <c r="ILE245" s="15"/>
      <c r="ILF245" s="15"/>
      <c r="ILG245" s="10"/>
      <c r="ILH245" s="10"/>
      <c r="ILI245" s="19"/>
      <c r="ILJ245" s="19"/>
      <c r="ILM245" s="16"/>
      <c r="ILN245" s="15"/>
      <c r="ILO245" s="15"/>
      <c r="ILP245" s="15"/>
      <c r="ILQ245" s="16"/>
      <c r="ILR245" s="16"/>
      <c r="ILS245" s="16"/>
      <c r="ILT245" s="16"/>
      <c r="ILU245" s="16"/>
      <c r="ILV245" s="15"/>
      <c r="ILW245" s="15"/>
      <c r="ILX245" s="10"/>
      <c r="ILY245" s="10"/>
      <c r="ILZ245" s="19"/>
      <c r="IMA245" s="19"/>
      <c r="IMD245" s="16"/>
      <c r="IME245" s="15"/>
      <c r="IMF245" s="15"/>
      <c r="IMG245" s="15"/>
      <c r="IMH245" s="16"/>
      <c r="IMI245" s="16"/>
      <c r="IMJ245" s="16"/>
      <c r="IMK245" s="16"/>
      <c r="IML245" s="16"/>
      <c r="IMM245" s="15"/>
      <c r="IMN245" s="15"/>
      <c r="IMO245" s="10"/>
      <c r="IMP245" s="10"/>
      <c r="IMQ245" s="19"/>
      <c r="IMR245" s="19"/>
      <c r="IMU245" s="16"/>
      <c r="IMV245" s="15"/>
      <c r="IMW245" s="15"/>
      <c r="IMX245" s="15"/>
      <c r="IMY245" s="16"/>
      <c r="IMZ245" s="16"/>
      <c r="INA245" s="16"/>
      <c r="INB245" s="16"/>
      <c r="INC245" s="16"/>
      <c r="IND245" s="15"/>
      <c r="INE245" s="15"/>
      <c r="INF245" s="10"/>
      <c r="ING245" s="10"/>
      <c r="INH245" s="19"/>
      <c r="INI245" s="19"/>
      <c r="INL245" s="16"/>
      <c r="INM245" s="15"/>
      <c r="INN245" s="15"/>
      <c r="INO245" s="15"/>
      <c r="INP245" s="16"/>
      <c r="INQ245" s="16"/>
      <c r="INR245" s="16"/>
      <c r="INS245" s="16"/>
      <c r="INT245" s="16"/>
      <c r="INU245" s="15"/>
      <c r="INV245" s="15"/>
      <c r="INW245" s="10"/>
      <c r="INX245" s="10"/>
      <c r="INY245" s="19"/>
      <c r="INZ245" s="19"/>
      <c r="IOC245" s="16"/>
      <c r="IOD245" s="15"/>
      <c r="IOE245" s="15"/>
      <c r="IOF245" s="15"/>
      <c r="IOG245" s="16"/>
      <c r="IOH245" s="16"/>
      <c r="IOI245" s="16"/>
      <c r="IOJ245" s="16"/>
      <c r="IOK245" s="16"/>
      <c r="IOL245" s="15"/>
      <c r="IOM245" s="15"/>
      <c r="ION245" s="10"/>
      <c r="IOO245" s="10"/>
      <c r="IOP245" s="19"/>
      <c r="IOQ245" s="19"/>
      <c r="IOT245" s="16"/>
      <c r="IOU245" s="15"/>
      <c r="IOV245" s="15"/>
      <c r="IOW245" s="15"/>
      <c r="IOX245" s="16"/>
      <c r="IOY245" s="16"/>
      <c r="IOZ245" s="16"/>
      <c r="IPA245" s="16"/>
      <c r="IPB245" s="16"/>
      <c r="IPC245" s="15"/>
      <c r="IPD245" s="15"/>
      <c r="IPE245" s="10"/>
      <c r="IPF245" s="10"/>
      <c r="IPG245" s="19"/>
      <c r="IPH245" s="19"/>
      <c r="IPK245" s="16"/>
      <c r="IPL245" s="15"/>
      <c r="IPM245" s="15"/>
      <c r="IPN245" s="15"/>
      <c r="IPO245" s="16"/>
      <c r="IPP245" s="16"/>
      <c r="IPQ245" s="16"/>
      <c r="IPR245" s="16"/>
      <c r="IPS245" s="16"/>
      <c r="IPT245" s="15"/>
      <c r="IPU245" s="15"/>
      <c r="IPV245" s="10"/>
      <c r="IPW245" s="10"/>
      <c r="IPX245" s="19"/>
      <c r="IPY245" s="19"/>
      <c r="IQB245" s="16"/>
      <c r="IQC245" s="15"/>
      <c r="IQD245" s="15"/>
      <c r="IQE245" s="15"/>
      <c r="IQF245" s="16"/>
      <c r="IQG245" s="16"/>
      <c r="IQH245" s="16"/>
      <c r="IQI245" s="16"/>
      <c r="IQJ245" s="16"/>
      <c r="IQK245" s="15"/>
      <c r="IQL245" s="15"/>
      <c r="IQM245" s="10"/>
      <c r="IQN245" s="10"/>
      <c r="IQO245" s="19"/>
      <c r="IQP245" s="19"/>
      <c r="IQS245" s="16"/>
      <c r="IQT245" s="15"/>
      <c r="IQU245" s="15"/>
      <c r="IQV245" s="15"/>
      <c r="IQW245" s="16"/>
      <c r="IQX245" s="16"/>
      <c r="IQY245" s="16"/>
      <c r="IQZ245" s="16"/>
      <c r="IRA245" s="16"/>
      <c r="IRB245" s="15"/>
      <c r="IRC245" s="15"/>
      <c r="IRD245" s="10"/>
      <c r="IRE245" s="10"/>
      <c r="IRF245" s="19"/>
      <c r="IRG245" s="19"/>
      <c r="IRJ245" s="16"/>
      <c r="IRK245" s="15"/>
      <c r="IRL245" s="15"/>
      <c r="IRM245" s="15"/>
      <c r="IRN245" s="16"/>
      <c r="IRO245" s="16"/>
      <c r="IRP245" s="16"/>
      <c r="IRQ245" s="16"/>
      <c r="IRR245" s="16"/>
      <c r="IRS245" s="15"/>
      <c r="IRT245" s="15"/>
      <c r="IRU245" s="10"/>
      <c r="IRV245" s="10"/>
      <c r="IRW245" s="19"/>
      <c r="IRX245" s="19"/>
      <c r="ISA245" s="16"/>
      <c r="ISB245" s="15"/>
      <c r="ISC245" s="15"/>
      <c r="ISD245" s="15"/>
      <c r="ISE245" s="16"/>
      <c r="ISF245" s="16"/>
      <c r="ISG245" s="16"/>
      <c r="ISH245" s="16"/>
      <c r="ISI245" s="16"/>
      <c r="ISJ245" s="15"/>
      <c r="ISK245" s="15"/>
      <c r="ISL245" s="10"/>
      <c r="ISM245" s="10"/>
      <c r="ISN245" s="19"/>
      <c r="ISO245" s="19"/>
      <c r="ISR245" s="16"/>
      <c r="ISS245" s="15"/>
      <c r="IST245" s="15"/>
      <c r="ISU245" s="15"/>
      <c r="ISV245" s="16"/>
      <c r="ISW245" s="16"/>
      <c r="ISX245" s="16"/>
      <c r="ISY245" s="16"/>
      <c r="ISZ245" s="16"/>
      <c r="ITA245" s="15"/>
      <c r="ITB245" s="15"/>
      <c r="ITC245" s="10"/>
      <c r="ITD245" s="10"/>
      <c r="ITE245" s="19"/>
      <c r="ITF245" s="19"/>
      <c r="ITI245" s="16"/>
      <c r="ITJ245" s="15"/>
      <c r="ITK245" s="15"/>
      <c r="ITL245" s="15"/>
      <c r="ITM245" s="16"/>
      <c r="ITN245" s="16"/>
      <c r="ITO245" s="16"/>
      <c r="ITP245" s="16"/>
      <c r="ITQ245" s="16"/>
      <c r="ITR245" s="15"/>
      <c r="ITS245" s="15"/>
      <c r="ITT245" s="10"/>
      <c r="ITU245" s="10"/>
      <c r="ITV245" s="19"/>
      <c r="ITW245" s="19"/>
      <c r="ITZ245" s="16"/>
      <c r="IUA245" s="15"/>
      <c r="IUB245" s="15"/>
      <c r="IUC245" s="15"/>
      <c r="IUD245" s="16"/>
      <c r="IUE245" s="16"/>
      <c r="IUF245" s="16"/>
      <c r="IUG245" s="16"/>
      <c r="IUH245" s="16"/>
      <c r="IUI245" s="15"/>
      <c r="IUJ245" s="15"/>
      <c r="IUK245" s="10"/>
      <c r="IUL245" s="10"/>
      <c r="IUM245" s="19"/>
      <c r="IUN245" s="19"/>
      <c r="IUQ245" s="16"/>
      <c r="IUR245" s="15"/>
      <c r="IUS245" s="15"/>
      <c r="IUT245" s="15"/>
      <c r="IUU245" s="16"/>
      <c r="IUV245" s="16"/>
      <c r="IUW245" s="16"/>
      <c r="IUX245" s="16"/>
      <c r="IUY245" s="16"/>
      <c r="IUZ245" s="15"/>
      <c r="IVA245" s="15"/>
      <c r="IVB245" s="10"/>
      <c r="IVC245" s="10"/>
      <c r="IVD245" s="19"/>
      <c r="IVE245" s="19"/>
      <c r="IVH245" s="16"/>
      <c r="IVI245" s="15"/>
      <c r="IVJ245" s="15"/>
      <c r="IVK245" s="15"/>
      <c r="IVL245" s="16"/>
      <c r="IVM245" s="16"/>
      <c r="IVN245" s="16"/>
      <c r="IVO245" s="16"/>
      <c r="IVP245" s="16"/>
      <c r="IVQ245" s="15"/>
      <c r="IVR245" s="15"/>
      <c r="IVS245" s="10"/>
      <c r="IVT245" s="10"/>
      <c r="IVU245" s="19"/>
      <c r="IVV245" s="19"/>
      <c r="IVY245" s="16"/>
      <c r="IVZ245" s="15"/>
      <c r="IWA245" s="15"/>
      <c r="IWB245" s="15"/>
      <c r="IWC245" s="16"/>
      <c r="IWD245" s="16"/>
      <c r="IWE245" s="16"/>
      <c r="IWF245" s="16"/>
      <c r="IWG245" s="16"/>
      <c r="IWH245" s="15"/>
      <c r="IWI245" s="15"/>
      <c r="IWJ245" s="10"/>
      <c r="IWK245" s="10"/>
      <c r="IWL245" s="19"/>
      <c r="IWM245" s="19"/>
      <c r="IWP245" s="16"/>
      <c r="IWQ245" s="15"/>
      <c r="IWR245" s="15"/>
      <c r="IWS245" s="15"/>
      <c r="IWT245" s="16"/>
      <c r="IWU245" s="16"/>
      <c r="IWV245" s="16"/>
      <c r="IWW245" s="16"/>
      <c r="IWX245" s="16"/>
      <c r="IWY245" s="15"/>
      <c r="IWZ245" s="15"/>
      <c r="IXA245" s="10"/>
      <c r="IXB245" s="10"/>
      <c r="IXC245" s="19"/>
      <c r="IXD245" s="19"/>
      <c r="IXG245" s="16"/>
      <c r="IXH245" s="15"/>
      <c r="IXI245" s="15"/>
      <c r="IXJ245" s="15"/>
      <c r="IXK245" s="16"/>
      <c r="IXL245" s="16"/>
      <c r="IXM245" s="16"/>
      <c r="IXN245" s="16"/>
      <c r="IXO245" s="16"/>
      <c r="IXP245" s="15"/>
      <c r="IXQ245" s="15"/>
      <c r="IXR245" s="10"/>
      <c r="IXS245" s="10"/>
      <c r="IXT245" s="19"/>
      <c r="IXU245" s="19"/>
      <c r="IXX245" s="16"/>
      <c r="IXY245" s="15"/>
      <c r="IXZ245" s="15"/>
      <c r="IYA245" s="15"/>
      <c r="IYB245" s="16"/>
      <c r="IYC245" s="16"/>
      <c r="IYD245" s="16"/>
      <c r="IYE245" s="16"/>
      <c r="IYF245" s="16"/>
      <c r="IYG245" s="15"/>
      <c r="IYH245" s="15"/>
      <c r="IYI245" s="10"/>
      <c r="IYJ245" s="10"/>
      <c r="IYK245" s="19"/>
      <c r="IYL245" s="19"/>
      <c r="IYO245" s="16"/>
      <c r="IYP245" s="15"/>
      <c r="IYQ245" s="15"/>
      <c r="IYR245" s="15"/>
      <c r="IYS245" s="16"/>
      <c r="IYT245" s="16"/>
      <c r="IYU245" s="16"/>
      <c r="IYV245" s="16"/>
      <c r="IYW245" s="16"/>
      <c r="IYX245" s="15"/>
      <c r="IYY245" s="15"/>
      <c r="IYZ245" s="10"/>
      <c r="IZA245" s="10"/>
      <c r="IZB245" s="19"/>
      <c r="IZC245" s="19"/>
      <c r="IZF245" s="16"/>
      <c r="IZG245" s="15"/>
      <c r="IZH245" s="15"/>
      <c r="IZI245" s="15"/>
      <c r="IZJ245" s="16"/>
      <c r="IZK245" s="16"/>
      <c r="IZL245" s="16"/>
      <c r="IZM245" s="16"/>
      <c r="IZN245" s="16"/>
      <c r="IZO245" s="15"/>
      <c r="IZP245" s="15"/>
      <c r="IZQ245" s="10"/>
      <c r="IZR245" s="10"/>
      <c r="IZS245" s="19"/>
      <c r="IZT245" s="19"/>
      <c r="IZW245" s="16"/>
      <c r="IZX245" s="15"/>
      <c r="IZY245" s="15"/>
      <c r="IZZ245" s="15"/>
      <c r="JAA245" s="16"/>
      <c r="JAB245" s="16"/>
      <c r="JAC245" s="16"/>
      <c r="JAD245" s="16"/>
      <c r="JAE245" s="16"/>
      <c r="JAF245" s="15"/>
      <c r="JAG245" s="15"/>
      <c r="JAH245" s="10"/>
      <c r="JAI245" s="10"/>
      <c r="JAJ245" s="19"/>
      <c r="JAK245" s="19"/>
      <c r="JAN245" s="16"/>
      <c r="JAO245" s="15"/>
      <c r="JAP245" s="15"/>
      <c r="JAQ245" s="15"/>
      <c r="JAR245" s="16"/>
      <c r="JAS245" s="16"/>
      <c r="JAT245" s="16"/>
      <c r="JAU245" s="16"/>
      <c r="JAV245" s="16"/>
      <c r="JAW245" s="15"/>
      <c r="JAX245" s="15"/>
      <c r="JAY245" s="10"/>
      <c r="JAZ245" s="10"/>
      <c r="JBA245" s="19"/>
      <c r="JBB245" s="19"/>
      <c r="JBE245" s="16"/>
      <c r="JBF245" s="15"/>
      <c r="JBG245" s="15"/>
      <c r="JBH245" s="15"/>
      <c r="JBI245" s="16"/>
      <c r="JBJ245" s="16"/>
      <c r="JBK245" s="16"/>
      <c r="JBL245" s="16"/>
      <c r="JBM245" s="16"/>
      <c r="JBN245" s="15"/>
      <c r="JBO245" s="15"/>
      <c r="JBP245" s="10"/>
      <c r="JBQ245" s="10"/>
      <c r="JBR245" s="19"/>
      <c r="JBS245" s="19"/>
      <c r="JBV245" s="16"/>
      <c r="JBW245" s="15"/>
      <c r="JBX245" s="15"/>
      <c r="JBY245" s="15"/>
      <c r="JBZ245" s="16"/>
      <c r="JCA245" s="16"/>
      <c r="JCB245" s="16"/>
      <c r="JCC245" s="16"/>
      <c r="JCD245" s="16"/>
      <c r="JCE245" s="15"/>
      <c r="JCF245" s="15"/>
      <c r="JCG245" s="10"/>
      <c r="JCH245" s="10"/>
      <c r="JCI245" s="19"/>
      <c r="JCJ245" s="19"/>
      <c r="JCM245" s="16"/>
      <c r="JCN245" s="15"/>
      <c r="JCO245" s="15"/>
      <c r="JCP245" s="15"/>
      <c r="JCQ245" s="16"/>
      <c r="JCR245" s="16"/>
      <c r="JCS245" s="16"/>
      <c r="JCT245" s="16"/>
      <c r="JCU245" s="16"/>
      <c r="JCV245" s="15"/>
      <c r="JCW245" s="15"/>
      <c r="JCX245" s="10"/>
      <c r="JCY245" s="10"/>
      <c r="JCZ245" s="19"/>
      <c r="JDA245" s="19"/>
      <c r="JDD245" s="16"/>
      <c r="JDE245" s="15"/>
      <c r="JDF245" s="15"/>
      <c r="JDG245" s="15"/>
      <c r="JDH245" s="16"/>
      <c r="JDI245" s="16"/>
      <c r="JDJ245" s="16"/>
      <c r="JDK245" s="16"/>
      <c r="JDL245" s="16"/>
      <c r="JDM245" s="15"/>
      <c r="JDN245" s="15"/>
      <c r="JDO245" s="10"/>
      <c r="JDP245" s="10"/>
      <c r="JDQ245" s="19"/>
      <c r="JDR245" s="19"/>
      <c r="JDU245" s="16"/>
      <c r="JDV245" s="15"/>
      <c r="JDW245" s="15"/>
      <c r="JDX245" s="15"/>
      <c r="JDY245" s="16"/>
      <c r="JDZ245" s="16"/>
      <c r="JEA245" s="16"/>
      <c r="JEB245" s="16"/>
      <c r="JEC245" s="16"/>
      <c r="JED245" s="15"/>
      <c r="JEE245" s="15"/>
      <c r="JEF245" s="10"/>
      <c r="JEG245" s="10"/>
      <c r="JEH245" s="19"/>
      <c r="JEI245" s="19"/>
      <c r="JEL245" s="16"/>
      <c r="JEM245" s="15"/>
      <c r="JEN245" s="15"/>
      <c r="JEO245" s="15"/>
      <c r="JEP245" s="16"/>
      <c r="JEQ245" s="16"/>
      <c r="JER245" s="16"/>
      <c r="JES245" s="16"/>
      <c r="JET245" s="16"/>
      <c r="JEU245" s="15"/>
      <c r="JEV245" s="15"/>
      <c r="JEW245" s="10"/>
      <c r="JEX245" s="10"/>
      <c r="JEY245" s="19"/>
      <c r="JEZ245" s="19"/>
      <c r="JFC245" s="16"/>
      <c r="JFD245" s="15"/>
      <c r="JFE245" s="15"/>
      <c r="JFF245" s="15"/>
      <c r="JFG245" s="16"/>
      <c r="JFH245" s="16"/>
      <c r="JFI245" s="16"/>
      <c r="JFJ245" s="16"/>
      <c r="JFK245" s="16"/>
      <c r="JFL245" s="15"/>
      <c r="JFM245" s="15"/>
      <c r="JFN245" s="10"/>
      <c r="JFO245" s="10"/>
      <c r="JFP245" s="19"/>
      <c r="JFQ245" s="19"/>
      <c r="JFT245" s="16"/>
      <c r="JFU245" s="15"/>
      <c r="JFV245" s="15"/>
      <c r="JFW245" s="15"/>
      <c r="JFX245" s="16"/>
      <c r="JFY245" s="16"/>
      <c r="JFZ245" s="16"/>
      <c r="JGA245" s="16"/>
      <c r="JGB245" s="16"/>
      <c r="JGC245" s="15"/>
      <c r="JGD245" s="15"/>
      <c r="JGE245" s="10"/>
      <c r="JGF245" s="10"/>
      <c r="JGG245" s="19"/>
      <c r="JGH245" s="19"/>
      <c r="JGK245" s="16"/>
      <c r="JGL245" s="15"/>
      <c r="JGM245" s="15"/>
      <c r="JGN245" s="15"/>
      <c r="JGO245" s="16"/>
      <c r="JGP245" s="16"/>
      <c r="JGQ245" s="16"/>
      <c r="JGR245" s="16"/>
      <c r="JGS245" s="16"/>
      <c r="JGT245" s="15"/>
      <c r="JGU245" s="15"/>
      <c r="JGV245" s="10"/>
      <c r="JGW245" s="10"/>
      <c r="JGX245" s="19"/>
      <c r="JGY245" s="19"/>
      <c r="JHB245" s="16"/>
      <c r="JHC245" s="15"/>
      <c r="JHD245" s="15"/>
      <c r="JHE245" s="15"/>
      <c r="JHF245" s="16"/>
      <c r="JHG245" s="16"/>
      <c r="JHH245" s="16"/>
      <c r="JHI245" s="16"/>
      <c r="JHJ245" s="16"/>
      <c r="JHK245" s="15"/>
      <c r="JHL245" s="15"/>
      <c r="JHM245" s="10"/>
      <c r="JHN245" s="10"/>
      <c r="JHO245" s="19"/>
      <c r="JHP245" s="19"/>
      <c r="JHS245" s="16"/>
      <c r="JHT245" s="15"/>
      <c r="JHU245" s="15"/>
      <c r="JHV245" s="15"/>
      <c r="JHW245" s="16"/>
      <c r="JHX245" s="16"/>
      <c r="JHY245" s="16"/>
      <c r="JHZ245" s="16"/>
      <c r="JIA245" s="16"/>
      <c r="JIB245" s="15"/>
      <c r="JIC245" s="15"/>
      <c r="JID245" s="10"/>
      <c r="JIE245" s="10"/>
      <c r="JIF245" s="19"/>
      <c r="JIG245" s="19"/>
      <c r="JIJ245" s="16"/>
      <c r="JIK245" s="15"/>
      <c r="JIL245" s="15"/>
      <c r="JIM245" s="15"/>
      <c r="JIN245" s="16"/>
      <c r="JIO245" s="16"/>
      <c r="JIP245" s="16"/>
      <c r="JIQ245" s="16"/>
      <c r="JIR245" s="16"/>
      <c r="JIS245" s="15"/>
      <c r="JIT245" s="15"/>
      <c r="JIU245" s="10"/>
      <c r="JIV245" s="10"/>
      <c r="JIW245" s="19"/>
      <c r="JIX245" s="19"/>
      <c r="JJA245" s="16"/>
      <c r="JJB245" s="15"/>
      <c r="JJC245" s="15"/>
      <c r="JJD245" s="15"/>
      <c r="JJE245" s="16"/>
      <c r="JJF245" s="16"/>
      <c r="JJG245" s="16"/>
      <c r="JJH245" s="16"/>
      <c r="JJI245" s="16"/>
      <c r="JJJ245" s="15"/>
      <c r="JJK245" s="15"/>
      <c r="JJL245" s="10"/>
      <c r="JJM245" s="10"/>
      <c r="JJN245" s="19"/>
      <c r="JJO245" s="19"/>
      <c r="JJR245" s="16"/>
      <c r="JJS245" s="15"/>
      <c r="JJT245" s="15"/>
      <c r="JJU245" s="15"/>
      <c r="JJV245" s="16"/>
      <c r="JJW245" s="16"/>
      <c r="JJX245" s="16"/>
      <c r="JJY245" s="16"/>
      <c r="JJZ245" s="16"/>
      <c r="JKA245" s="15"/>
      <c r="JKB245" s="15"/>
      <c r="JKC245" s="10"/>
      <c r="JKD245" s="10"/>
      <c r="JKE245" s="19"/>
      <c r="JKF245" s="19"/>
      <c r="JKI245" s="16"/>
      <c r="JKJ245" s="15"/>
      <c r="JKK245" s="15"/>
      <c r="JKL245" s="15"/>
      <c r="JKM245" s="16"/>
      <c r="JKN245" s="16"/>
      <c r="JKO245" s="16"/>
      <c r="JKP245" s="16"/>
      <c r="JKQ245" s="16"/>
      <c r="JKR245" s="15"/>
      <c r="JKS245" s="15"/>
      <c r="JKT245" s="10"/>
      <c r="JKU245" s="10"/>
      <c r="JKV245" s="19"/>
      <c r="JKW245" s="19"/>
      <c r="JKZ245" s="16"/>
      <c r="JLA245" s="15"/>
      <c r="JLB245" s="15"/>
      <c r="JLC245" s="15"/>
      <c r="JLD245" s="16"/>
      <c r="JLE245" s="16"/>
      <c r="JLF245" s="16"/>
      <c r="JLG245" s="16"/>
      <c r="JLH245" s="16"/>
      <c r="JLI245" s="15"/>
      <c r="JLJ245" s="15"/>
      <c r="JLK245" s="10"/>
      <c r="JLL245" s="10"/>
      <c r="JLM245" s="19"/>
      <c r="JLN245" s="19"/>
      <c r="JLQ245" s="16"/>
      <c r="JLR245" s="15"/>
      <c r="JLS245" s="15"/>
      <c r="JLT245" s="15"/>
      <c r="JLU245" s="16"/>
      <c r="JLV245" s="16"/>
      <c r="JLW245" s="16"/>
      <c r="JLX245" s="16"/>
      <c r="JLY245" s="16"/>
      <c r="JLZ245" s="15"/>
      <c r="JMA245" s="15"/>
      <c r="JMB245" s="10"/>
      <c r="JMC245" s="10"/>
      <c r="JMD245" s="19"/>
      <c r="JME245" s="19"/>
      <c r="JMH245" s="16"/>
      <c r="JMI245" s="15"/>
      <c r="JMJ245" s="15"/>
      <c r="JMK245" s="15"/>
      <c r="JML245" s="16"/>
      <c r="JMM245" s="16"/>
      <c r="JMN245" s="16"/>
      <c r="JMO245" s="16"/>
      <c r="JMP245" s="16"/>
      <c r="JMQ245" s="15"/>
      <c r="JMR245" s="15"/>
      <c r="JMS245" s="10"/>
      <c r="JMT245" s="10"/>
      <c r="JMU245" s="19"/>
      <c r="JMV245" s="19"/>
      <c r="JMY245" s="16"/>
      <c r="JMZ245" s="15"/>
      <c r="JNA245" s="15"/>
      <c r="JNB245" s="15"/>
      <c r="JNC245" s="16"/>
      <c r="JND245" s="16"/>
      <c r="JNE245" s="16"/>
      <c r="JNF245" s="16"/>
      <c r="JNG245" s="16"/>
      <c r="JNH245" s="15"/>
      <c r="JNI245" s="15"/>
      <c r="JNJ245" s="10"/>
      <c r="JNK245" s="10"/>
      <c r="JNL245" s="19"/>
      <c r="JNM245" s="19"/>
      <c r="JNP245" s="16"/>
      <c r="JNQ245" s="15"/>
      <c r="JNR245" s="15"/>
      <c r="JNS245" s="15"/>
      <c r="JNT245" s="16"/>
      <c r="JNU245" s="16"/>
      <c r="JNV245" s="16"/>
      <c r="JNW245" s="16"/>
      <c r="JNX245" s="16"/>
      <c r="JNY245" s="15"/>
      <c r="JNZ245" s="15"/>
      <c r="JOA245" s="10"/>
      <c r="JOB245" s="10"/>
      <c r="JOC245" s="19"/>
      <c r="JOD245" s="19"/>
      <c r="JOG245" s="16"/>
      <c r="JOH245" s="15"/>
      <c r="JOI245" s="15"/>
      <c r="JOJ245" s="15"/>
      <c r="JOK245" s="16"/>
      <c r="JOL245" s="16"/>
      <c r="JOM245" s="16"/>
      <c r="JON245" s="16"/>
      <c r="JOO245" s="16"/>
      <c r="JOP245" s="15"/>
      <c r="JOQ245" s="15"/>
      <c r="JOR245" s="10"/>
      <c r="JOS245" s="10"/>
      <c r="JOT245" s="19"/>
      <c r="JOU245" s="19"/>
      <c r="JOX245" s="16"/>
      <c r="JOY245" s="15"/>
      <c r="JOZ245" s="15"/>
      <c r="JPA245" s="15"/>
      <c r="JPB245" s="16"/>
      <c r="JPC245" s="16"/>
      <c r="JPD245" s="16"/>
      <c r="JPE245" s="16"/>
      <c r="JPF245" s="16"/>
      <c r="JPG245" s="15"/>
      <c r="JPH245" s="15"/>
      <c r="JPI245" s="10"/>
      <c r="JPJ245" s="10"/>
      <c r="JPK245" s="19"/>
      <c r="JPL245" s="19"/>
      <c r="JPO245" s="16"/>
      <c r="JPP245" s="15"/>
      <c r="JPQ245" s="15"/>
      <c r="JPR245" s="15"/>
      <c r="JPS245" s="16"/>
      <c r="JPT245" s="16"/>
      <c r="JPU245" s="16"/>
      <c r="JPV245" s="16"/>
      <c r="JPW245" s="16"/>
      <c r="JPX245" s="15"/>
      <c r="JPY245" s="15"/>
      <c r="JPZ245" s="10"/>
      <c r="JQA245" s="10"/>
      <c r="JQB245" s="19"/>
      <c r="JQC245" s="19"/>
      <c r="JQF245" s="16"/>
      <c r="JQG245" s="15"/>
      <c r="JQH245" s="15"/>
      <c r="JQI245" s="15"/>
      <c r="JQJ245" s="16"/>
      <c r="JQK245" s="16"/>
      <c r="JQL245" s="16"/>
      <c r="JQM245" s="16"/>
      <c r="JQN245" s="16"/>
      <c r="JQO245" s="15"/>
      <c r="JQP245" s="15"/>
      <c r="JQQ245" s="10"/>
      <c r="JQR245" s="10"/>
      <c r="JQS245" s="19"/>
      <c r="JQT245" s="19"/>
      <c r="JQW245" s="16"/>
      <c r="JQX245" s="15"/>
      <c r="JQY245" s="15"/>
      <c r="JQZ245" s="15"/>
      <c r="JRA245" s="16"/>
      <c r="JRB245" s="16"/>
      <c r="JRC245" s="16"/>
      <c r="JRD245" s="16"/>
      <c r="JRE245" s="16"/>
      <c r="JRF245" s="15"/>
      <c r="JRG245" s="15"/>
      <c r="JRH245" s="10"/>
      <c r="JRI245" s="10"/>
      <c r="JRJ245" s="19"/>
      <c r="JRK245" s="19"/>
      <c r="JRN245" s="16"/>
      <c r="JRO245" s="15"/>
      <c r="JRP245" s="15"/>
      <c r="JRQ245" s="15"/>
      <c r="JRR245" s="16"/>
      <c r="JRS245" s="16"/>
      <c r="JRT245" s="16"/>
      <c r="JRU245" s="16"/>
      <c r="JRV245" s="16"/>
      <c r="JRW245" s="15"/>
      <c r="JRX245" s="15"/>
      <c r="JRY245" s="10"/>
      <c r="JRZ245" s="10"/>
      <c r="JSA245" s="19"/>
      <c r="JSB245" s="19"/>
      <c r="JSE245" s="16"/>
      <c r="JSF245" s="15"/>
      <c r="JSG245" s="15"/>
      <c r="JSH245" s="15"/>
      <c r="JSI245" s="16"/>
      <c r="JSJ245" s="16"/>
      <c r="JSK245" s="16"/>
      <c r="JSL245" s="16"/>
      <c r="JSM245" s="16"/>
      <c r="JSN245" s="15"/>
      <c r="JSO245" s="15"/>
      <c r="JSP245" s="10"/>
      <c r="JSQ245" s="10"/>
      <c r="JSR245" s="19"/>
      <c r="JSS245" s="19"/>
      <c r="JSV245" s="16"/>
      <c r="JSW245" s="15"/>
      <c r="JSX245" s="15"/>
      <c r="JSY245" s="15"/>
      <c r="JSZ245" s="16"/>
      <c r="JTA245" s="16"/>
      <c r="JTB245" s="16"/>
      <c r="JTC245" s="16"/>
      <c r="JTD245" s="16"/>
      <c r="JTE245" s="15"/>
      <c r="JTF245" s="15"/>
      <c r="JTG245" s="10"/>
      <c r="JTH245" s="10"/>
      <c r="JTI245" s="19"/>
      <c r="JTJ245" s="19"/>
      <c r="JTM245" s="16"/>
      <c r="JTN245" s="15"/>
      <c r="JTO245" s="15"/>
      <c r="JTP245" s="15"/>
      <c r="JTQ245" s="16"/>
      <c r="JTR245" s="16"/>
      <c r="JTS245" s="16"/>
      <c r="JTT245" s="16"/>
      <c r="JTU245" s="16"/>
      <c r="JTV245" s="15"/>
      <c r="JTW245" s="15"/>
      <c r="JTX245" s="10"/>
      <c r="JTY245" s="10"/>
      <c r="JTZ245" s="19"/>
      <c r="JUA245" s="19"/>
      <c r="JUD245" s="16"/>
      <c r="JUE245" s="15"/>
      <c r="JUF245" s="15"/>
      <c r="JUG245" s="15"/>
      <c r="JUH245" s="16"/>
      <c r="JUI245" s="16"/>
      <c r="JUJ245" s="16"/>
      <c r="JUK245" s="16"/>
      <c r="JUL245" s="16"/>
      <c r="JUM245" s="15"/>
      <c r="JUN245" s="15"/>
      <c r="JUO245" s="10"/>
      <c r="JUP245" s="10"/>
      <c r="JUQ245" s="19"/>
      <c r="JUR245" s="19"/>
      <c r="JUU245" s="16"/>
      <c r="JUV245" s="15"/>
      <c r="JUW245" s="15"/>
      <c r="JUX245" s="15"/>
      <c r="JUY245" s="16"/>
      <c r="JUZ245" s="16"/>
      <c r="JVA245" s="16"/>
      <c r="JVB245" s="16"/>
      <c r="JVC245" s="16"/>
      <c r="JVD245" s="15"/>
      <c r="JVE245" s="15"/>
      <c r="JVF245" s="10"/>
      <c r="JVG245" s="10"/>
      <c r="JVH245" s="19"/>
      <c r="JVI245" s="19"/>
      <c r="JVL245" s="16"/>
      <c r="JVM245" s="15"/>
      <c r="JVN245" s="15"/>
      <c r="JVO245" s="15"/>
      <c r="JVP245" s="16"/>
      <c r="JVQ245" s="16"/>
      <c r="JVR245" s="16"/>
      <c r="JVS245" s="16"/>
      <c r="JVT245" s="16"/>
      <c r="JVU245" s="15"/>
      <c r="JVV245" s="15"/>
      <c r="JVW245" s="10"/>
      <c r="JVX245" s="10"/>
      <c r="JVY245" s="19"/>
      <c r="JVZ245" s="19"/>
      <c r="JWC245" s="16"/>
      <c r="JWD245" s="15"/>
      <c r="JWE245" s="15"/>
      <c r="JWF245" s="15"/>
      <c r="JWG245" s="16"/>
      <c r="JWH245" s="16"/>
      <c r="JWI245" s="16"/>
      <c r="JWJ245" s="16"/>
      <c r="JWK245" s="16"/>
      <c r="JWL245" s="15"/>
      <c r="JWM245" s="15"/>
      <c r="JWN245" s="10"/>
      <c r="JWO245" s="10"/>
      <c r="JWP245" s="19"/>
      <c r="JWQ245" s="19"/>
      <c r="JWT245" s="16"/>
      <c r="JWU245" s="15"/>
      <c r="JWV245" s="15"/>
      <c r="JWW245" s="15"/>
      <c r="JWX245" s="16"/>
      <c r="JWY245" s="16"/>
      <c r="JWZ245" s="16"/>
      <c r="JXA245" s="16"/>
      <c r="JXB245" s="16"/>
      <c r="JXC245" s="15"/>
      <c r="JXD245" s="15"/>
      <c r="JXE245" s="10"/>
      <c r="JXF245" s="10"/>
      <c r="JXG245" s="19"/>
      <c r="JXH245" s="19"/>
      <c r="JXK245" s="16"/>
      <c r="JXL245" s="15"/>
      <c r="JXM245" s="15"/>
      <c r="JXN245" s="15"/>
      <c r="JXO245" s="16"/>
      <c r="JXP245" s="16"/>
      <c r="JXQ245" s="16"/>
      <c r="JXR245" s="16"/>
      <c r="JXS245" s="16"/>
      <c r="JXT245" s="15"/>
      <c r="JXU245" s="15"/>
      <c r="JXV245" s="10"/>
      <c r="JXW245" s="10"/>
      <c r="JXX245" s="19"/>
      <c r="JXY245" s="19"/>
      <c r="JYB245" s="16"/>
      <c r="JYC245" s="15"/>
      <c r="JYD245" s="15"/>
      <c r="JYE245" s="15"/>
      <c r="JYF245" s="16"/>
      <c r="JYG245" s="16"/>
      <c r="JYH245" s="16"/>
      <c r="JYI245" s="16"/>
      <c r="JYJ245" s="16"/>
      <c r="JYK245" s="15"/>
      <c r="JYL245" s="15"/>
      <c r="JYM245" s="10"/>
      <c r="JYN245" s="10"/>
      <c r="JYO245" s="19"/>
      <c r="JYP245" s="19"/>
      <c r="JYS245" s="16"/>
      <c r="JYT245" s="15"/>
      <c r="JYU245" s="15"/>
      <c r="JYV245" s="15"/>
      <c r="JYW245" s="16"/>
      <c r="JYX245" s="16"/>
      <c r="JYY245" s="16"/>
      <c r="JYZ245" s="16"/>
      <c r="JZA245" s="16"/>
      <c r="JZB245" s="15"/>
      <c r="JZC245" s="15"/>
      <c r="JZD245" s="10"/>
      <c r="JZE245" s="10"/>
      <c r="JZF245" s="19"/>
      <c r="JZG245" s="19"/>
      <c r="JZJ245" s="16"/>
      <c r="JZK245" s="15"/>
      <c r="JZL245" s="15"/>
      <c r="JZM245" s="15"/>
      <c r="JZN245" s="16"/>
      <c r="JZO245" s="16"/>
      <c r="JZP245" s="16"/>
      <c r="JZQ245" s="16"/>
      <c r="JZR245" s="16"/>
      <c r="JZS245" s="15"/>
      <c r="JZT245" s="15"/>
      <c r="JZU245" s="10"/>
      <c r="JZV245" s="10"/>
      <c r="JZW245" s="19"/>
      <c r="JZX245" s="19"/>
      <c r="KAA245" s="16"/>
      <c r="KAB245" s="15"/>
      <c r="KAC245" s="15"/>
      <c r="KAD245" s="15"/>
      <c r="KAE245" s="16"/>
      <c r="KAF245" s="16"/>
      <c r="KAG245" s="16"/>
      <c r="KAH245" s="16"/>
      <c r="KAI245" s="16"/>
      <c r="KAJ245" s="15"/>
      <c r="KAK245" s="15"/>
      <c r="KAL245" s="10"/>
      <c r="KAM245" s="10"/>
      <c r="KAN245" s="19"/>
      <c r="KAO245" s="19"/>
      <c r="KAR245" s="16"/>
      <c r="KAS245" s="15"/>
      <c r="KAT245" s="15"/>
      <c r="KAU245" s="15"/>
      <c r="KAV245" s="16"/>
      <c r="KAW245" s="16"/>
      <c r="KAX245" s="16"/>
      <c r="KAY245" s="16"/>
      <c r="KAZ245" s="16"/>
      <c r="KBA245" s="15"/>
      <c r="KBB245" s="15"/>
      <c r="KBC245" s="10"/>
      <c r="KBD245" s="10"/>
      <c r="KBE245" s="19"/>
      <c r="KBF245" s="19"/>
      <c r="KBI245" s="16"/>
      <c r="KBJ245" s="15"/>
      <c r="KBK245" s="15"/>
      <c r="KBL245" s="15"/>
      <c r="KBM245" s="16"/>
      <c r="KBN245" s="16"/>
      <c r="KBO245" s="16"/>
      <c r="KBP245" s="16"/>
      <c r="KBQ245" s="16"/>
      <c r="KBR245" s="15"/>
      <c r="KBS245" s="15"/>
      <c r="KBT245" s="10"/>
      <c r="KBU245" s="10"/>
      <c r="KBV245" s="19"/>
      <c r="KBW245" s="19"/>
      <c r="KBZ245" s="16"/>
      <c r="KCA245" s="15"/>
      <c r="KCB245" s="15"/>
      <c r="KCC245" s="15"/>
      <c r="KCD245" s="16"/>
      <c r="KCE245" s="16"/>
      <c r="KCF245" s="16"/>
      <c r="KCG245" s="16"/>
      <c r="KCH245" s="16"/>
      <c r="KCI245" s="15"/>
      <c r="KCJ245" s="15"/>
      <c r="KCK245" s="10"/>
      <c r="KCL245" s="10"/>
      <c r="KCM245" s="19"/>
      <c r="KCN245" s="19"/>
      <c r="KCQ245" s="16"/>
      <c r="KCR245" s="15"/>
      <c r="KCS245" s="15"/>
      <c r="KCT245" s="15"/>
      <c r="KCU245" s="16"/>
      <c r="KCV245" s="16"/>
      <c r="KCW245" s="16"/>
      <c r="KCX245" s="16"/>
      <c r="KCY245" s="16"/>
      <c r="KCZ245" s="15"/>
      <c r="KDA245" s="15"/>
      <c r="KDB245" s="10"/>
      <c r="KDC245" s="10"/>
      <c r="KDD245" s="19"/>
      <c r="KDE245" s="19"/>
      <c r="KDH245" s="16"/>
      <c r="KDI245" s="15"/>
      <c r="KDJ245" s="15"/>
      <c r="KDK245" s="15"/>
      <c r="KDL245" s="16"/>
      <c r="KDM245" s="16"/>
      <c r="KDN245" s="16"/>
      <c r="KDO245" s="16"/>
      <c r="KDP245" s="16"/>
      <c r="KDQ245" s="15"/>
      <c r="KDR245" s="15"/>
      <c r="KDS245" s="10"/>
      <c r="KDT245" s="10"/>
      <c r="KDU245" s="19"/>
      <c r="KDV245" s="19"/>
      <c r="KDY245" s="16"/>
      <c r="KDZ245" s="15"/>
      <c r="KEA245" s="15"/>
      <c r="KEB245" s="15"/>
      <c r="KEC245" s="16"/>
      <c r="KED245" s="16"/>
      <c r="KEE245" s="16"/>
      <c r="KEF245" s="16"/>
      <c r="KEG245" s="16"/>
      <c r="KEH245" s="15"/>
      <c r="KEI245" s="15"/>
      <c r="KEJ245" s="10"/>
      <c r="KEK245" s="10"/>
      <c r="KEL245" s="19"/>
      <c r="KEM245" s="19"/>
      <c r="KEP245" s="16"/>
      <c r="KEQ245" s="15"/>
      <c r="KER245" s="15"/>
      <c r="KES245" s="15"/>
      <c r="KET245" s="16"/>
      <c r="KEU245" s="16"/>
      <c r="KEV245" s="16"/>
      <c r="KEW245" s="16"/>
      <c r="KEX245" s="16"/>
      <c r="KEY245" s="15"/>
      <c r="KEZ245" s="15"/>
      <c r="KFA245" s="10"/>
      <c r="KFB245" s="10"/>
      <c r="KFC245" s="19"/>
      <c r="KFD245" s="19"/>
      <c r="KFG245" s="16"/>
      <c r="KFH245" s="15"/>
      <c r="KFI245" s="15"/>
      <c r="KFJ245" s="15"/>
      <c r="KFK245" s="16"/>
      <c r="KFL245" s="16"/>
      <c r="KFM245" s="16"/>
      <c r="KFN245" s="16"/>
      <c r="KFO245" s="16"/>
      <c r="KFP245" s="15"/>
      <c r="KFQ245" s="15"/>
      <c r="KFR245" s="10"/>
      <c r="KFS245" s="10"/>
      <c r="KFT245" s="19"/>
      <c r="KFU245" s="19"/>
      <c r="KFX245" s="16"/>
      <c r="KFY245" s="15"/>
      <c r="KFZ245" s="15"/>
      <c r="KGA245" s="15"/>
      <c r="KGB245" s="16"/>
      <c r="KGC245" s="16"/>
      <c r="KGD245" s="16"/>
      <c r="KGE245" s="16"/>
      <c r="KGF245" s="16"/>
      <c r="KGG245" s="15"/>
      <c r="KGH245" s="15"/>
      <c r="KGI245" s="10"/>
      <c r="KGJ245" s="10"/>
      <c r="KGK245" s="19"/>
      <c r="KGL245" s="19"/>
      <c r="KGO245" s="16"/>
      <c r="KGP245" s="15"/>
      <c r="KGQ245" s="15"/>
      <c r="KGR245" s="15"/>
      <c r="KGS245" s="16"/>
      <c r="KGT245" s="16"/>
      <c r="KGU245" s="16"/>
      <c r="KGV245" s="16"/>
      <c r="KGW245" s="16"/>
      <c r="KGX245" s="15"/>
      <c r="KGY245" s="15"/>
      <c r="KGZ245" s="10"/>
      <c r="KHA245" s="10"/>
      <c r="KHB245" s="19"/>
      <c r="KHC245" s="19"/>
      <c r="KHF245" s="16"/>
      <c r="KHG245" s="15"/>
      <c r="KHH245" s="15"/>
      <c r="KHI245" s="15"/>
      <c r="KHJ245" s="16"/>
      <c r="KHK245" s="16"/>
      <c r="KHL245" s="16"/>
      <c r="KHM245" s="16"/>
      <c r="KHN245" s="16"/>
      <c r="KHO245" s="15"/>
      <c r="KHP245" s="15"/>
      <c r="KHQ245" s="10"/>
      <c r="KHR245" s="10"/>
      <c r="KHS245" s="19"/>
      <c r="KHT245" s="19"/>
      <c r="KHW245" s="16"/>
      <c r="KHX245" s="15"/>
      <c r="KHY245" s="15"/>
      <c r="KHZ245" s="15"/>
      <c r="KIA245" s="16"/>
      <c r="KIB245" s="16"/>
      <c r="KIC245" s="16"/>
      <c r="KID245" s="16"/>
      <c r="KIE245" s="16"/>
      <c r="KIF245" s="15"/>
      <c r="KIG245" s="15"/>
      <c r="KIH245" s="10"/>
      <c r="KII245" s="10"/>
      <c r="KIJ245" s="19"/>
      <c r="KIK245" s="19"/>
      <c r="KIN245" s="16"/>
      <c r="KIO245" s="15"/>
      <c r="KIP245" s="15"/>
      <c r="KIQ245" s="15"/>
      <c r="KIR245" s="16"/>
      <c r="KIS245" s="16"/>
      <c r="KIT245" s="16"/>
      <c r="KIU245" s="16"/>
      <c r="KIV245" s="16"/>
      <c r="KIW245" s="15"/>
      <c r="KIX245" s="15"/>
      <c r="KIY245" s="10"/>
      <c r="KIZ245" s="10"/>
      <c r="KJA245" s="19"/>
      <c r="KJB245" s="19"/>
      <c r="KJE245" s="16"/>
      <c r="KJF245" s="15"/>
      <c r="KJG245" s="15"/>
      <c r="KJH245" s="15"/>
      <c r="KJI245" s="16"/>
      <c r="KJJ245" s="16"/>
      <c r="KJK245" s="16"/>
      <c r="KJL245" s="16"/>
      <c r="KJM245" s="16"/>
      <c r="KJN245" s="15"/>
      <c r="KJO245" s="15"/>
      <c r="KJP245" s="10"/>
      <c r="KJQ245" s="10"/>
      <c r="KJR245" s="19"/>
      <c r="KJS245" s="19"/>
      <c r="KJV245" s="16"/>
      <c r="KJW245" s="15"/>
      <c r="KJX245" s="15"/>
      <c r="KJY245" s="15"/>
      <c r="KJZ245" s="16"/>
      <c r="KKA245" s="16"/>
      <c r="KKB245" s="16"/>
      <c r="KKC245" s="16"/>
      <c r="KKD245" s="16"/>
      <c r="KKE245" s="15"/>
      <c r="KKF245" s="15"/>
      <c r="KKG245" s="10"/>
      <c r="KKH245" s="10"/>
      <c r="KKI245" s="19"/>
      <c r="KKJ245" s="19"/>
      <c r="KKM245" s="16"/>
      <c r="KKN245" s="15"/>
      <c r="KKO245" s="15"/>
      <c r="KKP245" s="15"/>
      <c r="KKQ245" s="16"/>
      <c r="KKR245" s="16"/>
      <c r="KKS245" s="16"/>
      <c r="KKT245" s="16"/>
      <c r="KKU245" s="16"/>
      <c r="KKV245" s="15"/>
      <c r="KKW245" s="15"/>
      <c r="KKX245" s="10"/>
      <c r="KKY245" s="10"/>
      <c r="KKZ245" s="19"/>
      <c r="KLA245" s="19"/>
      <c r="KLD245" s="16"/>
      <c r="KLE245" s="15"/>
      <c r="KLF245" s="15"/>
      <c r="KLG245" s="15"/>
      <c r="KLH245" s="16"/>
      <c r="KLI245" s="16"/>
      <c r="KLJ245" s="16"/>
      <c r="KLK245" s="16"/>
      <c r="KLL245" s="16"/>
      <c r="KLM245" s="15"/>
      <c r="KLN245" s="15"/>
      <c r="KLO245" s="10"/>
      <c r="KLP245" s="10"/>
      <c r="KLQ245" s="19"/>
      <c r="KLR245" s="19"/>
      <c r="KLU245" s="16"/>
      <c r="KLV245" s="15"/>
      <c r="KLW245" s="15"/>
      <c r="KLX245" s="15"/>
      <c r="KLY245" s="16"/>
      <c r="KLZ245" s="16"/>
      <c r="KMA245" s="16"/>
      <c r="KMB245" s="16"/>
      <c r="KMC245" s="16"/>
      <c r="KMD245" s="15"/>
      <c r="KME245" s="15"/>
      <c r="KMF245" s="10"/>
      <c r="KMG245" s="10"/>
      <c r="KMH245" s="19"/>
      <c r="KMI245" s="19"/>
      <c r="KML245" s="16"/>
      <c r="KMM245" s="15"/>
      <c r="KMN245" s="15"/>
      <c r="KMO245" s="15"/>
      <c r="KMP245" s="16"/>
      <c r="KMQ245" s="16"/>
      <c r="KMR245" s="16"/>
      <c r="KMS245" s="16"/>
      <c r="KMT245" s="16"/>
      <c r="KMU245" s="15"/>
      <c r="KMV245" s="15"/>
      <c r="KMW245" s="10"/>
      <c r="KMX245" s="10"/>
      <c r="KMY245" s="19"/>
      <c r="KMZ245" s="19"/>
      <c r="KNC245" s="16"/>
      <c r="KND245" s="15"/>
      <c r="KNE245" s="15"/>
      <c r="KNF245" s="15"/>
      <c r="KNG245" s="16"/>
      <c r="KNH245" s="16"/>
      <c r="KNI245" s="16"/>
      <c r="KNJ245" s="16"/>
      <c r="KNK245" s="16"/>
      <c r="KNL245" s="15"/>
      <c r="KNM245" s="15"/>
      <c r="KNN245" s="10"/>
      <c r="KNO245" s="10"/>
      <c r="KNP245" s="19"/>
      <c r="KNQ245" s="19"/>
      <c r="KNT245" s="16"/>
      <c r="KNU245" s="15"/>
      <c r="KNV245" s="15"/>
      <c r="KNW245" s="15"/>
      <c r="KNX245" s="16"/>
      <c r="KNY245" s="16"/>
      <c r="KNZ245" s="16"/>
      <c r="KOA245" s="16"/>
      <c r="KOB245" s="16"/>
      <c r="KOC245" s="15"/>
      <c r="KOD245" s="15"/>
      <c r="KOE245" s="10"/>
      <c r="KOF245" s="10"/>
      <c r="KOG245" s="19"/>
      <c r="KOH245" s="19"/>
      <c r="KOK245" s="16"/>
      <c r="KOL245" s="15"/>
      <c r="KOM245" s="15"/>
      <c r="KON245" s="15"/>
      <c r="KOO245" s="16"/>
      <c r="KOP245" s="16"/>
      <c r="KOQ245" s="16"/>
      <c r="KOR245" s="16"/>
      <c r="KOS245" s="16"/>
      <c r="KOT245" s="15"/>
      <c r="KOU245" s="15"/>
      <c r="KOV245" s="10"/>
      <c r="KOW245" s="10"/>
      <c r="KOX245" s="19"/>
      <c r="KOY245" s="19"/>
      <c r="KPB245" s="16"/>
      <c r="KPC245" s="15"/>
      <c r="KPD245" s="15"/>
      <c r="KPE245" s="15"/>
      <c r="KPF245" s="16"/>
      <c r="KPG245" s="16"/>
      <c r="KPH245" s="16"/>
      <c r="KPI245" s="16"/>
      <c r="KPJ245" s="16"/>
      <c r="KPK245" s="15"/>
      <c r="KPL245" s="15"/>
      <c r="KPM245" s="10"/>
      <c r="KPN245" s="10"/>
      <c r="KPO245" s="19"/>
      <c r="KPP245" s="19"/>
      <c r="KPS245" s="16"/>
      <c r="KPT245" s="15"/>
      <c r="KPU245" s="15"/>
      <c r="KPV245" s="15"/>
      <c r="KPW245" s="16"/>
      <c r="KPX245" s="16"/>
      <c r="KPY245" s="16"/>
      <c r="KPZ245" s="16"/>
      <c r="KQA245" s="16"/>
      <c r="KQB245" s="15"/>
      <c r="KQC245" s="15"/>
      <c r="KQD245" s="10"/>
      <c r="KQE245" s="10"/>
      <c r="KQF245" s="19"/>
      <c r="KQG245" s="19"/>
      <c r="KQJ245" s="16"/>
      <c r="KQK245" s="15"/>
      <c r="KQL245" s="15"/>
      <c r="KQM245" s="15"/>
      <c r="KQN245" s="16"/>
      <c r="KQO245" s="16"/>
      <c r="KQP245" s="16"/>
      <c r="KQQ245" s="16"/>
      <c r="KQR245" s="16"/>
      <c r="KQS245" s="15"/>
      <c r="KQT245" s="15"/>
      <c r="KQU245" s="10"/>
      <c r="KQV245" s="10"/>
      <c r="KQW245" s="19"/>
      <c r="KQX245" s="19"/>
      <c r="KRA245" s="16"/>
      <c r="KRB245" s="15"/>
      <c r="KRC245" s="15"/>
      <c r="KRD245" s="15"/>
      <c r="KRE245" s="16"/>
      <c r="KRF245" s="16"/>
      <c r="KRG245" s="16"/>
      <c r="KRH245" s="16"/>
      <c r="KRI245" s="16"/>
      <c r="KRJ245" s="15"/>
      <c r="KRK245" s="15"/>
      <c r="KRL245" s="10"/>
      <c r="KRM245" s="10"/>
      <c r="KRN245" s="19"/>
      <c r="KRO245" s="19"/>
      <c r="KRR245" s="16"/>
      <c r="KRS245" s="15"/>
      <c r="KRT245" s="15"/>
      <c r="KRU245" s="15"/>
      <c r="KRV245" s="16"/>
      <c r="KRW245" s="16"/>
      <c r="KRX245" s="16"/>
      <c r="KRY245" s="16"/>
      <c r="KRZ245" s="16"/>
      <c r="KSA245" s="15"/>
      <c r="KSB245" s="15"/>
      <c r="KSC245" s="10"/>
      <c r="KSD245" s="10"/>
      <c r="KSE245" s="19"/>
      <c r="KSF245" s="19"/>
      <c r="KSI245" s="16"/>
      <c r="KSJ245" s="15"/>
      <c r="KSK245" s="15"/>
      <c r="KSL245" s="15"/>
      <c r="KSM245" s="16"/>
      <c r="KSN245" s="16"/>
      <c r="KSO245" s="16"/>
      <c r="KSP245" s="16"/>
      <c r="KSQ245" s="16"/>
      <c r="KSR245" s="15"/>
      <c r="KSS245" s="15"/>
      <c r="KST245" s="10"/>
      <c r="KSU245" s="10"/>
      <c r="KSV245" s="19"/>
      <c r="KSW245" s="19"/>
      <c r="KSZ245" s="16"/>
      <c r="KTA245" s="15"/>
      <c r="KTB245" s="15"/>
      <c r="KTC245" s="15"/>
      <c r="KTD245" s="16"/>
      <c r="KTE245" s="16"/>
      <c r="KTF245" s="16"/>
      <c r="KTG245" s="16"/>
      <c r="KTH245" s="16"/>
      <c r="KTI245" s="15"/>
      <c r="KTJ245" s="15"/>
      <c r="KTK245" s="10"/>
      <c r="KTL245" s="10"/>
      <c r="KTM245" s="19"/>
      <c r="KTN245" s="19"/>
      <c r="KTQ245" s="16"/>
      <c r="KTR245" s="15"/>
      <c r="KTS245" s="15"/>
      <c r="KTT245" s="15"/>
      <c r="KTU245" s="16"/>
      <c r="KTV245" s="16"/>
      <c r="KTW245" s="16"/>
      <c r="KTX245" s="16"/>
      <c r="KTY245" s="16"/>
      <c r="KTZ245" s="15"/>
      <c r="KUA245" s="15"/>
      <c r="KUB245" s="10"/>
      <c r="KUC245" s="10"/>
      <c r="KUD245" s="19"/>
      <c r="KUE245" s="19"/>
      <c r="KUH245" s="16"/>
      <c r="KUI245" s="15"/>
      <c r="KUJ245" s="15"/>
      <c r="KUK245" s="15"/>
      <c r="KUL245" s="16"/>
      <c r="KUM245" s="16"/>
      <c r="KUN245" s="16"/>
      <c r="KUO245" s="16"/>
      <c r="KUP245" s="16"/>
      <c r="KUQ245" s="15"/>
      <c r="KUR245" s="15"/>
      <c r="KUS245" s="10"/>
      <c r="KUT245" s="10"/>
      <c r="KUU245" s="19"/>
      <c r="KUV245" s="19"/>
      <c r="KUY245" s="16"/>
      <c r="KUZ245" s="15"/>
      <c r="KVA245" s="15"/>
      <c r="KVB245" s="15"/>
      <c r="KVC245" s="16"/>
      <c r="KVD245" s="16"/>
      <c r="KVE245" s="16"/>
      <c r="KVF245" s="16"/>
      <c r="KVG245" s="16"/>
      <c r="KVH245" s="15"/>
      <c r="KVI245" s="15"/>
      <c r="KVJ245" s="10"/>
      <c r="KVK245" s="10"/>
      <c r="KVL245" s="19"/>
      <c r="KVM245" s="19"/>
      <c r="KVP245" s="16"/>
      <c r="KVQ245" s="15"/>
      <c r="KVR245" s="15"/>
      <c r="KVS245" s="15"/>
      <c r="KVT245" s="16"/>
      <c r="KVU245" s="16"/>
      <c r="KVV245" s="16"/>
      <c r="KVW245" s="16"/>
      <c r="KVX245" s="16"/>
      <c r="KVY245" s="15"/>
      <c r="KVZ245" s="15"/>
      <c r="KWA245" s="10"/>
      <c r="KWB245" s="10"/>
      <c r="KWC245" s="19"/>
      <c r="KWD245" s="19"/>
      <c r="KWG245" s="16"/>
      <c r="KWH245" s="15"/>
      <c r="KWI245" s="15"/>
      <c r="KWJ245" s="15"/>
      <c r="KWK245" s="16"/>
      <c r="KWL245" s="16"/>
      <c r="KWM245" s="16"/>
      <c r="KWN245" s="16"/>
      <c r="KWO245" s="16"/>
      <c r="KWP245" s="15"/>
      <c r="KWQ245" s="15"/>
      <c r="KWR245" s="10"/>
      <c r="KWS245" s="10"/>
      <c r="KWT245" s="19"/>
      <c r="KWU245" s="19"/>
      <c r="KWX245" s="16"/>
      <c r="KWY245" s="15"/>
      <c r="KWZ245" s="15"/>
      <c r="KXA245" s="15"/>
      <c r="KXB245" s="16"/>
      <c r="KXC245" s="16"/>
      <c r="KXD245" s="16"/>
      <c r="KXE245" s="16"/>
      <c r="KXF245" s="16"/>
      <c r="KXG245" s="15"/>
      <c r="KXH245" s="15"/>
      <c r="KXI245" s="10"/>
      <c r="KXJ245" s="10"/>
      <c r="KXK245" s="19"/>
      <c r="KXL245" s="19"/>
      <c r="KXO245" s="16"/>
      <c r="KXP245" s="15"/>
      <c r="KXQ245" s="15"/>
      <c r="KXR245" s="15"/>
      <c r="KXS245" s="16"/>
      <c r="KXT245" s="16"/>
      <c r="KXU245" s="16"/>
      <c r="KXV245" s="16"/>
      <c r="KXW245" s="16"/>
      <c r="KXX245" s="15"/>
      <c r="KXY245" s="15"/>
      <c r="KXZ245" s="10"/>
      <c r="KYA245" s="10"/>
      <c r="KYB245" s="19"/>
      <c r="KYC245" s="19"/>
      <c r="KYF245" s="16"/>
      <c r="KYG245" s="15"/>
      <c r="KYH245" s="15"/>
      <c r="KYI245" s="15"/>
      <c r="KYJ245" s="16"/>
      <c r="KYK245" s="16"/>
      <c r="KYL245" s="16"/>
      <c r="KYM245" s="16"/>
      <c r="KYN245" s="16"/>
      <c r="KYO245" s="15"/>
      <c r="KYP245" s="15"/>
      <c r="KYQ245" s="10"/>
      <c r="KYR245" s="10"/>
      <c r="KYS245" s="19"/>
      <c r="KYT245" s="19"/>
      <c r="KYW245" s="16"/>
      <c r="KYX245" s="15"/>
      <c r="KYY245" s="15"/>
      <c r="KYZ245" s="15"/>
      <c r="KZA245" s="16"/>
      <c r="KZB245" s="16"/>
      <c r="KZC245" s="16"/>
      <c r="KZD245" s="16"/>
      <c r="KZE245" s="16"/>
      <c r="KZF245" s="15"/>
      <c r="KZG245" s="15"/>
      <c r="KZH245" s="10"/>
      <c r="KZI245" s="10"/>
      <c r="KZJ245" s="19"/>
      <c r="KZK245" s="19"/>
      <c r="KZN245" s="16"/>
      <c r="KZO245" s="15"/>
      <c r="KZP245" s="15"/>
      <c r="KZQ245" s="15"/>
      <c r="KZR245" s="16"/>
      <c r="KZS245" s="16"/>
      <c r="KZT245" s="16"/>
      <c r="KZU245" s="16"/>
      <c r="KZV245" s="16"/>
      <c r="KZW245" s="15"/>
      <c r="KZX245" s="15"/>
      <c r="KZY245" s="10"/>
      <c r="KZZ245" s="10"/>
      <c r="LAA245" s="19"/>
      <c r="LAB245" s="19"/>
      <c r="LAE245" s="16"/>
      <c r="LAF245" s="15"/>
      <c r="LAG245" s="15"/>
      <c r="LAH245" s="15"/>
      <c r="LAI245" s="16"/>
      <c r="LAJ245" s="16"/>
      <c r="LAK245" s="16"/>
      <c r="LAL245" s="16"/>
      <c r="LAM245" s="16"/>
      <c r="LAN245" s="15"/>
      <c r="LAO245" s="15"/>
      <c r="LAP245" s="10"/>
      <c r="LAQ245" s="10"/>
      <c r="LAR245" s="19"/>
      <c r="LAS245" s="19"/>
      <c r="LAV245" s="16"/>
      <c r="LAW245" s="15"/>
      <c r="LAX245" s="15"/>
      <c r="LAY245" s="15"/>
      <c r="LAZ245" s="16"/>
      <c r="LBA245" s="16"/>
      <c r="LBB245" s="16"/>
      <c r="LBC245" s="16"/>
      <c r="LBD245" s="16"/>
      <c r="LBE245" s="15"/>
      <c r="LBF245" s="15"/>
      <c r="LBG245" s="10"/>
      <c r="LBH245" s="10"/>
      <c r="LBI245" s="19"/>
      <c r="LBJ245" s="19"/>
      <c r="LBM245" s="16"/>
      <c r="LBN245" s="15"/>
      <c r="LBO245" s="15"/>
      <c r="LBP245" s="15"/>
      <c r="LBQ245" s="16"/>
      <c r="LBR245" s="16"/>
      <c r="LBS245" s="16"/>
      <c r="LBT245" s="16"/>
      <c r="LBU245" s="16"/>
      <c r="LBV245" s="15"/>
      <c r="LBW245" s="15"/>
      <c r="LBX245" s="10"/>
      <c r="LBY245" s="10"/>
      <c r="LBZ245" s="19"/>
      <c r="LCA245" s="19"/>
      <c r="LCD245" s="16"/>
      <c r="LCE245" s="15"/>
      <c r="LCF245" s="15"/>
      <c r="LCG245" s="15"/>
      <c r="LCH245" s="16"/>
      <c r="LCI245" s="16"/>
      <c r="LCJ245" s="16"/>
      <c r="LCK245" s="16"/>
      <c r="LCL245" s="16"/>
      <c r="LCM245" s="15"/>
      <c r="LCN245" s="15"/>
      <c r="LCO245" s="10"/>
      <c r="LCP245" s="10"/>
      <c r="LCQ245" s="19"/>
      <c r="LCR245" s="19"/>
      <c r="LCU245" s="16"/>
      <c r="LCV245" s="15"/>
      <c r="LCW245" s="15"/>
      <c r="LCX245" s="15"/>
      <c r="LCY245" s="16"/>
      <c r="LCZ245" s="16"/>
      <c r="LDA245" s="16"/>
      <c r="LDB245" s="16"/>
      <c r="LDC245" s="16"/>
      <c r="LDD245" s="15"/>
      <c r="LDE245" s="15"/>
      <c r="LDF245" s="10"/>
      <c r="LDG245" s="10"/>
      <c r="LDH245" s="19"/>
      <c r="LDI245" s="19"/>
      <c r="LDL245" s="16"/>
      <c r="LDM245" s="15"/>
      <c r="LDN245" s="15"/>
      <c r="LDO245" s="15"/>
      <c r="LDP245" s="16"/>
      <c r="LDQ245" s="16"/>
      <c r="LDR245" s="16"/>
      <c r="LDS245" s="16"/>
      <c r="LDT245" s="16"/>
      <c r="LDU245" s="15"/>
      <c r="LDV245" s="15"/>
      <c r="LDW245" s="10"/>
      <c r="LDX245" s="10"/>
      <c r="LDY245" s="19"/>
      <c r="LDZ245" s="19"/>
      <c r="LEC245" s="16"/>
      <c r="LED245" s="15"/>
      <c r="LEE245" s="15"/>
      <c r="LEF245" s="15"/>
      <c r="LEG245" s="16"/>
      <c r="LEH245" s="16"/>
      <c r="LEI245" s="16"/>
      <c r="LEJ245" s="16"/>
      <c r="LEK245" s="16"/>
      <c r="LEL245" s="15"/>
      <c r="LEM245" s="15"/>
      <c r="LEN245" s="10"/>
      <c r="LEO245" s="10"/>
      <c r="LEP245" s="19"/>
      <c r="LEQ245" s="19"/>
      <c r="LET245" s="16"/>
      <c r="LEU245" s="15"/>
      <c r="LEV245" s="15"/>
      <c r="LEW245" s="15"/>
      <c r="LEX245" s="16"/>
      <c r="LEY245" s="16"/>
      <c r="LEZ245" s="16"/>
      <c r="LFA245" s="16"/>
      <c r="LFB245" s="16"/>
      <c r="LFC245" s="15"/>
      <c r="LFD245" s="15"/>
      <c r="LFE245" s="10"/>
      <c r="LFF245" s="10"/>
      <c r="LFG245" s="19"/>
      <c r="LFH245" s="19"/>
      <c r="LFK245" s="16"/>
      <c r="LFL245" s="15"/>
      <c r="LFM245" s="15"/>
      <c r="LFN245" s="15"/>
      <c r="LFO245" s="16"/>
      <c r="LFP245" s="16"/>
      <c r="LFQ245" s="16"/>
      <c r="LFR245" s="16"/>
      <c r="LFS245" s="16"/>
      <c r="LFT245" s="15"/>
      <c r="LFU245" s="15"/>
      <c r="LFV245" s="10"/>
      <c r="LFW245" s="10"/>
      <c r="LFX245" s="19"/>
      <c r="LFY245" s="19"/>
      <c r="LGB245" s="16"/>
      <c r="LGC245" s="15"/>
      <c r="LGD245" s="15"/>
      <c r="LGE245" s="15"/>
      <c r="LGF245" s="16"/>
      <c r="LGG245" s="16"/>
      <c r="LGH245" s="16"/>
      <c r="LGI245" s="16"/>
      <c r="LGJ245" s="16"/>
      <c r="LGK245" s="15"/>
      <c r="LGL245" s="15"/>
      <c r="LGM245" s="10"/>
      <c r="LGN245" s="10"/>
      <c r="LGO245" s="19"/>
      <c r="LGP245" s="19"/>
      <c r="LGS245" s="16"/>
      <c r="LGT245" s="15"/>
      <c r="LGU245" s="15"/>
      <c r="LGV245" s="15"/>
      <c r="LGW245" s="16"/>
      <c r="LGX245" s="16"/>
      <c r="LGY245" s="16"/>
      <c r="LGZ245" s="16"/>
      <c r="LHA245" s="16"/>
      <c r="LHB245" s="15"/>
      <c r="LHC245" s="15"/>
      <c r="LHD245" s="10"/>
      <c r="LHE245" s="10"/>
      <c r="LHF245" s="19"/>
      <c r="LHG245" s="19"/>
      <c r="LHJ245" s="16"/>
      <c r="LHK245" s="15"/>
      <c r="LHL245" s="15"/>
      <c r="LHM245" s="15"/>
      <c r="LHN245" s="16"/>
      <c r="LHO245" s="16"/>
      <c r="LHP245" s="16"/>
      <c r="LHQ245" s="16"/>
      <c r="LHR245" s="16"/>
      <c r="LHS245" s="15"/>
      <c r="LHT245" s="15"/>
      <c r="LHU245" s="10"/>
      <c r="LHV245" s="10"/>
      <c r="LHW245" s="19"/>
      <c r="LHX245" s="19"/>
      <c r="LIA245" s="16"/>
      <c r="LIB245" s="15"/>
      <c r="LIC245" s="15"/>
      <c r="LID245" s="15"/>
      <c r="LIE245" s="16"/>
      <c r="LIF245" s="16"/>
      <c r="LIG245" s="16"/>
      <c r="LIH245" s="16"/>
      <c r="LII245" s="16"/>
      <c r="LIJ245" s="15"/>
      <c r="LIK245" s="15"/>
      <c r="LIL245" s="10"/>
      <c r="LIM245" s="10"/>
      <c r="LIN245" s="19"/>
      <c r="LIO245" s="19"/>
      <c r="LIR245" s="16"/>
      <c r="LIS245" s="15"/>
      <c r="LIT245" s="15"/>
      <c r="LIU245" s="15"/>
      <c r="LIV245" s="16"/>
      <c r="LIW245" s="16"/>
      <c r="LIX245" s="16"/>
      <c r="LIY245" s="16"/>
      <c r="LIZ245" s="16"/>
      <c r="LJA245" s="15"/>
      <c r="LJB245" s="15"/>
      <c r="LJC245" s="10"/>
      <c r="LJD245" s="10"/>
      <c r="LJE245" s="19"/>
      <c r="LJF245" s="19"/>
      <c r="LJI245" s="16"/>
      <c r="LJJ245" s="15"/>
      <c r="LJK245" s="15"/>
      <c r="LJL245" s="15"/>
      <c r="LJM245" s="16"/>
      <c r="LJN245" s="16"/>
      <c r="LJO245" s="16"/>
      <c r="LJP245" s="16"/>
      <c r="LJQ245" s="16"/>
      <c r="LJR245" s="15"/>
      <c r="LJS245" s="15"/>
      <c r="LJT245" s="10"/>
      <c r="LJU245" s="10"/>
      <c r="LJV245" s="19"/>
      <c r="LJW245" s="19"/>
      <c r="LJZ245" s="16"/>
      <c r="LKA245" s="15"/>
      <c r="LKB245" s="15"/>
      <c r="LKC245" s="15"/>
      <c r="LKD245" s="16"/>
      <c r="LKE245" s="16"/>
      <c r="LKF245" s="16"/>
      <c r="LKG245" s="16"/>
      <c r="LKH245" s="16"/>
      <c r="LKI245" s="15"/>
      <c r="LKJ245" s="15"/>
      <c r="LKK245" s="10"/>
      <c r="LKL245" s="10"/>
      <c r="LKM245" s="19"/>
      <c r="LKN245" s="19"/>
      <c r="LKQ245" s="16"/>
      <c r="LKR245" s="15"/>
      <c r="LKS245" s="15"/>
      <c r="LKT245" s="15"/>
      <c r="LKU245" s="16"/>
      <c r="LKV245" s="16"/>
      <c r="LKW245" s="16"/>
      <c r="LKX245" s="16"/>
      <c r="LKY245" s="16"/>
      <c r="LKZ245" s="15"/>
      <c r="LLA245" s="15"/>
      <c r="LLB245" s="10"/>
      <c r="LLC245" s="10"/>
      <c r="LLD245" s="19"/>
      <c r="LLE245" s="19"/>
      <c r="LLH245" s="16"/>
      <c r="LLI245" s="15"/>
      <c r="LLJ245" s="15"/>
      <c r="LLK245" s="15"/>
      <c r="LLL245" s="16"/>
      <c r="LLM245" s="16"/>
      <c r="LLN245" s="16"/>
      <c r="LLO245" s="16"/>
      <c r="LLP245" s="16"/>
      <c r="LLQ245" s="15"/>
      <c r="LLR245" s="15"/>
      <c r="LLS245" s="10"/>
      <c r="LLT245" s="10"/>
      <c r="LLU245" s="19"/>
      <c r="LLV245" s="19"/>
      <c r="LLY245" s="16"/>
      <c r="LLZ245" s="15"/>
      <c r="LMA245" s="15"/>
      <c r="LMB245" s="15"/>
      <c r="LMC245" s="16"/>
      <c r="LMD245" s="16"/>
      <c r="LME245" s="16"/>
      <c r="LMF245" s="16"/>
      <c r="LMG245" s="16"/>
      <c r="LMH245" s="15"/>
      <c r="LMI245" s="15"/>
      <c r="LMJ245" s="10"/>
      <c r="LMK245" s="10"/>
      <c r="LML245" s="19"/>
      <c r="LMM245" s="19"/>
      <c r="LMP245" s="16"/>
      <c r="LMQ245" s="15"/>
      <c r="LMR245" s="15"/>
      <c r="LMS245" s="15"/>
      <c r="LMT245" s="16"/>
      <c r="LMU245" s="16"/>
      <c r="LMV245" s="16"/>
      <c r="LMW245" s="16"/>
      <c r="LMX245" s="16"/>
      <c r="LMY245" s="15"/>
      <c r="LMZ245" s="15"/>
      <c r="LNA245" s="10"/>
      <c r="LNB245" s="10"/>
      <c r="LNC245" s="19"/>
      <c r="LND245" s="19"/>
      <c r="LNG245" s="16"/>
      <c r="LNH245" s="15"/>
      <c r="LNI245" s="15"/>
      <c r="LNJ245" s="15"/>
      <c r="LNK245" s="16"/>
      <c r="LNL245" s="16"/>
      <c r="LNM245" s="16"/>
      <c r="LNN245" s="16"/>
      <c r="LNO245" s="16"/>
      <c r="LNP245" s="15"/>
      <c r="LNQ245" s="15"/>
      <c r="LNR245" s="10"/>
      <c r="LNS245" s="10"/>
      <c r="LNT245" s="19"/>
      <c r="LNU245" s="19"/>
      <c r="LNX245" s="16"/>
      <c r="LNY245" s="15"/>
      <c r="LNZ245" s="15"/>
      <c r="LOA245" s="15"/>
      <c r="LOB245" s="16"/>
      <c r="LOC245" s="16"/>
      <c r="LOD245" s="16"/>
      <c r="LOE245" s="16"/>
      <c r="LOF245" s="16"/>
      <c r="LOG245" s="15"/>
      <c r="LOH245" s="15"/>
      <c r="LOI245" s="10"/>
      <c r="LOJ245" s="10"/>
      <c r="LOK245" s="19"/>
      <c r="LOL245" s="19"/>
      <c r="LOO245" s="16"/>
      <c r="LOP245" s="15"/>
      <c r="LOQ245" s="15"/>
      <c r="LOR245" s="15"/>
      <c r="LOS245" s="16"/>
      <c r="LOT245" s="16"/>
      <c r="LOU245" s="16"/>
      <c r="LOV245" s="16"/>
      <c r="LOW245" s="16"/>
      <c r="LOX245" s="15"/>
      <c r="LOY245" s="15"/>
      <c r="LOZ245" s="10"/>
      <c r="LPA245" s="10"/>
      <c r="LPB245" s="19"/>
      <c r="LPC245" s="19"/>
      <c r="LPF245" s="16"/>
      <c r="LPG245" s="15"/>
      <c r="LPH245" s="15"/>
      <c r="LPI245" s="15"/>
      <c r="LPJ245" s="16"/>
      <c r="LPK245" s="16"/>
      <c r="LPL245" s="16"/>
      <c r="LPM245" s="16"/>
      <c r="LPN245" s="16"/>
      <c r="LPO245" s="15"/>
      <c r="LPP245" s="15"/>
      <c r="LPQ245" s="10"/>
      <c r="LPR245" s="10"/>
      <c r="LPS245" s="19"/>
      <c r="LPT245" s="19"/>
      <c r="LPW245" s="16"/>
      <c r="LPX245" s="15"/>
      <c r="LPY245" s="15"/>
      <c r="LPZ245" s="15"/>
      <c r="LQA245" s="16"/>
      <c r="LQB245" s="16"/>
      <c r="LQC245" s="16"/>
      <c r="LQD245" s="16"/>
      <c r="LQE245" s="16"/>
      <c r="LQF245" s="15"/>
      <c r="LQG245" s="15"/>
      <c r="LQH245" s="10"/>
      <c r="LQI245" s="10"/>
      <c r="LQJ245" s="19"/>
      <c r="LQK245" s="19"/>
      <c r="LQN245" s="16"/>
      <c r="LQO245" s="15"/>
      <c r="LQP245" s="15"/>
      <c r="LQQ245" s="15"/>
      <c r="LQR245" s="16"/>
      <c r="LQS245" s="16"/>
      <c r="LQT245" s="16"/>
      <c r="LQU245" s="16"/>
      <c r="LQV245" s="16"/>
      <c r="LQW245" s="15"/>
      <c r="LQX245" s="15"/>
      <c r="LQY245" s="10"/>
      <c r="LQZ245" s="10"/>
      <c r="LRA245" s="19"/>
      <c r="LRB245" s="19"/>
      <c r="LRE245" s="16"/>
      <c r="LRF245" s="15"/>
      <c r="LRG245" s="15"/>
      <c r="LRH245" s="15"/>
      <c r="LRI245" s="16"/>
      <c r="LRJ245" s="16"/>
      <c r="LRK245" s="16"/>
      <c r="LRL245" s="16"/>
      <c r="LRM245" s="16"/>
      <c r="LRN245" s="15"/>
      <c r="LRO245" s="15"/>
      <c r="LRP245" s="10"/>
      <c r="LRQ245" s="10"/>
      <c r="LRR245" s="19"/>
      <c r="LRS245" s="19"/>
      <c r="LRV245" s="16"/>
      <c r="LRW245" s="15"/>
      <c r="LRX245" s="15"/>
      <c r="LRY245" s="15"/>
      <c r="LRZ245" s="16"/>
      <c r="LSA245" s="16"/>
      <c r="LSB245" s="16"/>
      <c r="LSC245" s="16"/>
      <c r="LSD245" s="16"/>
      <c r="LSE245" s="15"/>
      <c r="LSF245" s="15"/>
      <c r="LSG245" s="10"/>
      <c r="LSH245" s="10"/>
      <c r="LSI245" s="19"/>
      <c r="LSJ245" s="19"/>
      <c r="LSM245" s="16"/>
      <c r="LSN245" s="15"/>
      <c r="LSO245" s="15"/>
      <c r="LSP245" s="15"/>
      <c r="LSQ245" s="16"/>
      <c r="LSR245" s="16"/>
      <c r="LSS245" s="16"/>
      <c r="LST245" s="16"/>
      <c r="LSU245" s="16"/>
      <c r="LSV245" s="15"/>
      <c r="LSW245" s="15"/>
      <c r="LSX245" s="10"/>
      <c r="LSY245" s="10"/>
      <c r="LSZ245" s="19"/>
      <c r="LTA245" s="19"/>
      <c r="LTD245" s="16"/>
      <c r="LTE245" s="15"/>
      <c r="LTF245" s="15"/>
      <c r="LTG245" s="15"/>
      <c r="LTH245" s="16"/>
      <c r="LTI245" s="16"/>
      <c r="LTJ245" s="16"/>
      <c r="LTK245" s="16"/>
      <c r="LTL245" s="16"/>
      <c r="LTM245" s="15"/>
      <c r="LTN245" s="15"/>
      <c r="LTO245" s="10"/>
      <c r="LTP245" s="10"/>
      <c r="LTQ245" s="19"/>
      <c r="LTR245" s="19"/>
      <c r="LTU245" s="16"/>
      <c r="LTV245" s="15"/>
      <c r="LTW245" s="15"/>
      <c r="LTX245" s="15"/>
      <c r="LTY245" s="16"/>
      <c r="LTZ245" s="16"/>
      <c r="LUA245" s="16"/>
      <c r="LUB245" s="16"/>
      <c r="LUC245" s="16"/>
      <c r="LUD245" s="15"/>
      <c r="LUE245" s="15"/>
      <c r="LUF245" s="10"/>
      <c r="LUG245" s="10"/>
      <c r="LUH245" s="19"/>
      <c r="LUI245" s="19"/>
      <c r="LUL245" s="16"/>
      <c r="LUM245" s="15"/>
      <c r="LUN245" s="15"/>
      <c r="LUO245" s="15"/>
      <c r="LUP245" s="16"/>
      <c r="LUQ245" s="16"/>
      <c r="LUR245" s="16"/>
      <c r="LUS245" s="16"/>
      <c r="LUT245" s="16"/>
      <c r="LUU245" s="15"/>
      <c r="LUV245" s="15"/>
      <c r="LUW245" s="10"/>
      <c r="LUX245" s="10"/>
      <c r="LUY245" s="19"/>
      <c r="LUZ245" s="19"/>
      <c r="LVC245" s="16"/>
      <c r="LVD245" s="15"/>
      <c r="LVE245" s="15"/>
      <c r="LVF245" s="15"/>
      <c r="LVG245" s="16"/>
      <c r="LVH245" s="16"/>
      <c r="LVI245" s="16"/>
      <c r="LVJ245" s="16"/>
      <c r="LVK245" s="16"/>
      <c r="LVL245" s="15"/>
      <c r="LVM245" s="15"/>
      <c r="LVN245" s="10"/>
      <c r="LVO245" s="10"/>
      <c r="LVP245" s="19"/>
      <c r="LVQ245" s="19"/>
      <c r="LVT245" s="16"/>
      <c r="LVU245" s="15"/>
      <c r="LVV245" s="15"/>
      <c r="LVW245" s="15"/>
      <c r="LVX245" s="16"/>
      <c r="LVY245" s="16"/>
      <c r="LVZ245" s="16"/>
      <c r="LWA245" s="16"/>
      <c r="LWB245" s="16"/>
      <c r="LWC245" s="15"/>
      <c r="LWD245" s="15"/>
      <c r="LWE245" s="10"/>
      <c r="LWF245" s="10"/>
      <c r="LWG245" s="19"/>
      <c r="LWH245" s="19"/>
      <c r="LWK245" s="16"/>
      <c r="LWL245" s="15"/>
      <c r="LWM245" s="15"/>
      <c r="LWN245" s="15"/>
      <c r="LWO245" s="16"/>
      <c r="LWP245" s="16"/>
      <c r="LWQ245" s="16"/>
      <c r="LWR245" s="16"/>
      <c r="LWS245" s="16"/>
      <c r="LWT245" s="15"/>
      <c r="LWU245" s="15"/>
      <c r="LWV245" s="10"/>
      <c r="LWW245" s="10"/>
      <c r="LWX245" s="19"/>
      <c r="LWY245" s="19"/>
      <c r="LXB245" s="16"/>
      <c r="LXC245" s="15"/>
      <c r="LXD245" s="15"/>
      <c r="LXE245" s="15"/>
      <c r="LXF245" s="16"/>
      <c r="LXG245" s="16"/>
      <c r="LXH245" s="16"/>
      <c r="LXI245" s="16"/>
      <c r="LXJ245" s="16"/>
      <c r="LXK245" s="15"/>
      <c r="LXL245" s="15"/>
      <c r="LXM245" s="10"/>
      <c r="LXN245" s="10"/>
      <c r="LXO245" s="19"/>
      <c r="LXP245" s="19"/>
      <c r="LXS245" s="16"/>
      <c r="LXT245" s="15"/>
      <c r="LXU245" s="15"/>
      <c r="LXV245" s="15"/>
      <c r="LXW245" s="16"/>
      <c r="LXX245" s="16"/>
      <c r="LXY245" s="16"/>
      <c r="LXZ245" s="16"/>
      <c r="LYA245" s="16"/>
      <c r="LYB245" s="15"/>
      <c r="LYC245" s="15"/>
      <c r="LYD245" s="10"/>
      <c r="LYE245" s="10"/>
      <c r="LYF245" s="19"/>
      <c r="LYG245" s="19"/>
      <c r="LYJ245" s="16"/>
      <c r="LYK245" s="15"/>
      <c r="LYL245" s="15"/>
      <c r="LYM245" s="15"/>
      <c r="LYN245" s="16"/>
      <c r="LYO245" s="16"/>
      <c r="LYP245" s="16"/>
      <c r="LYQ245" s="16"/>
      <c r="LYR245" s="16"/>
      <c r="LYS245" s="15"/>
      <c r="LYT245" s="15"/>
      <c r="LYU245" s="10"/>
      <c r="LYV245" s="10"/>
      <c r="LYW245" s="19"/>
      <c r="LYX245" s="19"/>
      <c r="LZA245" s="16"/>
      <c r="LZB245" s="15"/>
      <c r="LZC245" s="15"/>
      <c r="LZD245" s="15"/>
      <c r="LZE245" s="16"/>
      <c r="LZF245" s="16"/>
      <c r="LZG245" s="16"/>
      <c r="LZH245" s="16"/>
      <c r="LZI245" s="16"/>
      <c r="LZJ245" s="15"/>
      <c r="LZK245" s="15"/>
      <c r="LZL245" s="10"/>
      <c r="LZM245" s="10"/>
      <c r="LZN245" s="19"/>
      <c r="LZO245" s="19"/>
      <c r="LZR245" s="16"/>
      <c r="LZS245" s="15"/>
      <c r="LZT245" s="15"/>
      <c r="LZU245" s="15"/>
      <c r="LZV245" s="16"/>
      <c r="LZW245" s="16"/>
      <c r="LZX245" s="16"/>
      <c r="LZY245" s="16"/>
      <c r="LZZ245" s="16"/>
      <c r="MAA245" s="15"/>
      <c r="MAB245" s="15"/>
      <c r="MAC245" s="10"/>
      <c r="MAD245" s="10"/>
      <c r="MAE245" s="19"/>
      <c r="MAF245" s="19"/>
      <c r="MAI245" s="16"/>
      <c r="MAJ245" s="15"/>
      <c r="MAK245" s="15"/>
      <c r="MAL245" s="15"/>
      <c r="MAM245" s="16"/>
      <c r="MAN245" s="16"/>
      <c r="MAO245" s="16"/>
      <c r="MAP245" s="16"/>
      <c r="MAQ245" s="16"/>
      <c r="MAR245" s="15"/>
      <c r="MAS245" s="15"/>
      <c r="MAT245" s="10"/>
      <c r="MAU245" s="10"/>
      <c r="MAV245" s="19"/>
      <c r="MAW245" s="19"/>
      <c r="MAZ245" s="16"/>
      <c r="MBA245" s="15"/>
      <c r="MBB245" s="15"/>
      <c r="MBC245" s="15"/>
      <c r="MBD245" s="16"/>
      <c r="MBE245" s="16"/>
      <c r="MBF245" s="16"/>
      <c r="MBG245" s="16"/>
      <c r="MBH245" s="16"/>
      <c r="MBI245" s="15"/>
      <c r="MBJ245" s="15"/>
      <c r="MBK245" s="10"/>
      <c r="MBL245" s="10"/>
      <c r="MBM245" s="19"/>
      <c r="MBN245" s="19"/>
      <c r="MBQ245" s="16"/>
      <c r="MBR245" s="15"/>
      <c r="MBS245" s="15"/>
      <c r="MBT245" s="15"/>
      <c r="MBU245" s="16"/>
      <c r="MBV245" s="16"/>
      <c r="MBW245" s="16"/>
      <c r="MBX245" s="16"/>
      <c r="MBY245" s="16"/>
      <c r="MBZ245" s="15"/>
      <c r="MCA245" s="15"/>
      <c r="MCB245" s="10"/>
      <c r="MCC245" s="10"/>
      <c r="MCD245" s="19"/>
      <c r="MCE245" s="19"/>
      <c r="MCH245" s="16"/>
      <c r="MCI245" s="15"/>
      <c r="MCJ245" s="15"/>
      <c r="MCK245" s="15"/>
      <c r="MCL245" s="16"/>
      <c r="MCM245" s="16"/>
      <c r="MCN245" s="16"/>
      <c r="MCO245" s="16"/>
      <c r="MCP245" s="16"/>
      <c r="MCQ245" s="15"/>
      <c r="MCR245" s="15"/>
      <c r="MCS245" s="10"/>
      <c r="MCT245" s="10"/>
      <c r="MCU245" s="19"/>
      <c r="MCV245" s="19"/>
      <c r="MCY245" s="16"/>
      <c r="MCZ245" s="15"/>
      <c r="MDA245" s="15"/>
      <c r="MDB245" s="15"/>
      <c r="MDC245" s="16"/>
      <c r="MDD245" s="16"/>
      <c r="MDE245" s="16"/>
      <c r="MDF245" s="16"/>
      <c r="MDG245" s="16"/>
      <c r="MDH245" s="15"/>
      <c r="MDI245" s="15"/>
      <c r="MDJ245" s="10"/>
      <c r="MDK245" s="10"/>
      <c r="MDL245" s="19"/>
      <c r="MDM245" s="19"/>
      <c r="MDP245" s="16"/>
      <c r="MDQ245" s="15"/>
      <c r="MDR245" s="15"/>
      <c r="MDS245" s="15"/>
      <c r="MDT245" s="16"/>
      <c r="MDU245" s="16"/>
      <c r="MDV245" s="16"/>
      <c r="MDW245" s="16"/>
      <c r="MDX245" s="16"/>
      <c r="MDY245" s="15"/>
      <c r="MDZ245" s="15"/>
      <c r="MEA245" s="10"/>
      <c r="MEB245" s="10"/>
      <c r="MEC245" s="19"/>
      <c r="MED245" s="19"/>
      <c r="MEG245" s="16"/>
      <c r="MEH245" s="15"/>
      <c r="MEI245" s="15"/>
      <c r="MEJ245" s="15"/>
      <c r="MEK245" s="16"/>
      <c r="MEL245" s="16"/>
      <c r="MEM245" s="16"/>
      <c r="MEN245" s="16"/>
      <c r="MEO245" s="16"/>
      <c r="MEP245" s="15"/>
      <c r="MEQ245" s="15"/>
      <c r="MER245" s="10"/>
      <c r="MES245" s="10"/>
      <c r="MET245" s="19"/>
      <c r="MEU245" s="19"/>
      <c r="MEX245" s="16"/>
      <c r="MEY245" s="15"/>
      <c r="MEZ245" s="15"/>
      <c r="MFA245" s="15"/>
      <c r="MFB245" s="16"/>
      <c r="MFC245" s="16"/>
      <c r="MFD245" s="16"/>
      <c r="MFE245" s="16"/>
      <c r="MFF245" s="16"/>
      <c r="MFG245" s="15"/>
      <c r="MFH245" s="15"/>
      <c r="MFI245" s="10"/>
      <c r="MFJ245" s="10"/>
      <c r="MFK245" s="19"/>
      <c r="MFL245" s="19"/>
      <c r="MFO245" s="16"/>
      <c r="MFP245" s="15"/>
      <c r="MFQ245" s="15"/>
      <c r="MFR245" s="15"/>
      <c r="MFS245" s="16"/>
      <c r="MFT245" s="16"/>
      <c r="MFU245" s="16"/>
      <c r="MFV245" s="16"/>
      <c r="MFW245" s="16"/>
      <c r="MFX245" s="15"/>
      <c r="MFY245" s="15"/>
      <c r="MFZ245" s="10"/>
      <c r="MGA245" s="10"/>
      <c r="MGB245" s="19"/>
      <c r="MGC245" s="19"/>
      <c r="MGF245" s="16"/>
      <c r="MGG245" s="15"/>
      <c r="MGH245" s="15"/>
      <c r="MGI245" s="15"/>
      <c r="MGJ245" s="16"/>
      <c r="MGK245" s="16"/>
      <c r="MGL245" s="16"/>
      <c r="MGM245" s="16"/>
      <c r="MGN245" s="16"/>
      <c r="MGO245" s="15"/>
      <c r="MGP245" s="15"/>
      <c r="MGQ245" s="10"/>
      <c r="MGR245" s="10"/>
      <c r="MGS245" s="19"/>
      <c r="MGT245" s="19"/>
      <c r="MGW245" s="16"/>
      <c r="MGX245" s="15"/>
      <c r="MGY245" s="15"/>
      <c r="MGZ245" s="15"/>
      <c r="MHA245" s="16"/>
      <c r="MHB245" s="16"/>
      <c r="MHC245" s="16"/>
      <c r="MHD245" s="16"/>
      <c r="MHE245" s="16"/>
      <c r="MHF245" s="15"/>
      <c r="MHG245" s="15"/>
      <c r="MHH245" s="10"/>
      <c r="MHI245" s="10"/>
      <c r="MHJ245" s="19"/>
      <c r="MHK245" s="19"/>
      <c r="MHN245" s="16"/>
      <c r="MHO245" s="15"/>
      <c r="MHP245" s="15"/>
      <c r="MHQ245" s="15"/>
      <c r="MHR245" s="16"/>
      <c r="MHS245" s="16"/>
      <c r="MHT245" s="16"/>
      <c r="MHU245" s="16"/>
      <c r="MHV245" s="16"/>
      <c r="MHW245" s="15"/>
      <c r="MHX245" s="15"/>
      <c r="MHY245" s="10"/>
      <c r="MHZ245" s="10"/>
      <c r="MIA245" s="19"/>
      <c r="MIB245" s="19"/>
      <c r="MIE245" s="16"/>
      <c r="MIF245" s="15"/>
      <c r="MIG245" s="15"/>
      <c r="MIH245" s="15"/>
      <c r="MII245" s="16"/>
      <c r="MIJ245" s="16"/>
      <c r="MIK245" s="16"/>
      <c r="MIL245" s="16"/>
      <c r="MIM245" s="16"/>
      <c r="MIN245" s="15"/>
      <c r="MIO245" s="15"/>
      <c r="MIP245" s="10"/>
      <c r="MIQ245" s="10"/>
      <c r="MIR245" s="19"/>
      <c r="MIS245" s="19"/>
      <c r="MIV245" s="16"/>
      <c r="MIW245" s="15"/>
      <c r="MIX245" s="15"/>
      <c r="MIY245" s="15"/>
      <c r="MIZ245" s="16"/>
      <c r="MJA245" s="16"/>
      <c r="MJB245" s="16"/>
      <c r="MJC245" s="16"/>
      <c r="MJD245" s="16"/>
      <c r="MJE245" s="15"/>
      <c r="MJF245" s="15"/>
      <c r="MJG245" s="10"/>
      <c r="MJH245" s="10"/>
      <c r="MJI245" s="19"/>
      <c r="MJJ245" s="19"/>
      <c r="MJM245" s="16"/>
      <c r="MJN245" s="15"/>
      <c r="MJO245" s="15"/>
      <c r="MJP245" s="15"/>
      <c r="MJQ245" s="16"/>
      <c r="MJR245" s="16"/>
      <c r="MJS245" s="16"/>
      <c r="MJT245" s="16"/>
      <c r="MJU245" s="16"/>
      <c r="MJV245" s="15"/>
      <c r="MJW245" s="15"/>
      <c r="MJX245" s="10"/>
      <c r="MJY245" s="10"/>
      <c r="MJZ245" s="19"/>
      <c r="MKA245" s="19"/>
      <c r="MKD245" s="16"/>
      <c r="MKE245" s="15"/>
      <c r="MKF245" s="15"/>
      <c r="MKG245" s="15"/>
      <c r="MKH245" s="16"/>
      <c r="MKI245" s="16"/>
      <c r="MKJ245" s="16"/>
      <c r="MKK245" s="16"/>
      <c r="MKL245" s="16"/>
      <c r="MKM245" s="15"/>
      <c r="MKN245" s="15"/>
      <c r="MKO245" s="10"/>
      <c r="MKP245" s="10"/>
      <c r="MKQ245" s="19"/>
      <c r="MKR245" s="19"/>
      <c r="MKU245" s="16"/>
      <c r="MKV245" s="15"/>
      <c r="MKW245" s="15"/>
      <c r="MKX245" s="15"/>
      <c r="MKY245" s="16"/>
      <c r="MKZ245" s="16"/>
      <c r="MLA245" s="16"/>
      <c r="MLB245" s="16"/>
      <c r="MLC245" s="16"/>
      <c r="MLD245" s="15"/>
      <c r="MLE245" s="15"/>
      <c r="MLF245" s="10"/>
      <c r="MLG245" s="10"/>
      <c r="MLH245" s="19"/>
      <c r="MLI245" s="19"/>
      <c r="MLL245" s="16"/>
      <c r="MLM245" s="15"/>
      <c r="MLN245" s="15"/>
      <c r="MLO245" s="15"/>
      <c r="MLP245" s="16"/>
      <c r="MLQ245" s="16"/>
      <c r="MLR245" s="16"/>
      <c r="MLS245" s="16"/>
      <c r="MLT245" s="16"/>
      <c r="MLU245" s="15"/>
      <c r="MLV245" s="15"/>
      <c r="MLW245" s="10"/>
      <c r="MLX245" s="10"/>
      <c r="MLY245" s="19"/>
      <c r="MLZ245" s="19"/>
      <c r="MMC245" s="16"/>
      <c r="MMD245" s="15"/>
      <c r="MME245" s="15"/>
      <c r="MMF245" s="15"/>
      <c r="MMG245" s="16"/>
      <c r="MMH245" s="16"/>
      <c r="MMI245" s="16"/>
      <c r="MMJ245" s="16"/>
      <c r="MMK245" s="16"/>
      <c r="MML245" s="15"/>
      <c r="MMM245" s="15"/>
      <c r="MMN245" s="10"/>
      <c r="MMO245" s="10"/>
      <c r="MMP245" s="19"/>
      <c r="MMQ245" s="19"/>
      <c r="MMT245" s="16"/>
      <c r="MMU245" s="15"/>
      <c r="MMV245" s="15"/>
      <c r="MMW245" s="15"/>
      <c r="MMX245" s="16"/>
      <c r="MMY245" s="16"/>
      <c r="MMZ245" s="16"/>
      <c r="MNA245" s="16"/>
      <c r="MNB245" s="16"/>
      <c r="MNC245" s="15"/>
      <c r="MND245" s="15"/>
      <c r="MNE245" s="10"/>
      <c r="MNF245" s="10"/>
      <c r="MNG245" s="19"/>
      <c r="MNH245" s="19"/>
      <c r="MNK245" s="16"/>
      <c r="MNL245" s="15"/>
      <c r="MNM245" s="15"/>
      <c r="MNN245" s="15"/>
      <c r="MNO245" s="16"/>
      <c r="MNP245" s="16"/>
      <c r="MNQ245" s="16"/>
      <c r="MNR245" s="16"/>
      <c r="MNS245" s="16"/>
      <c r="MNT245" s="15"/>
      <c r="MNU245" s="15"/>
      <c r="MNV245" s="10"/>
      <c r="MNW245" s="10"/>
      <c r="MNX245" s="19"/>
      <c r="MNY245" s="19"/>
      <c r="MOB245" s="16"/>
      <c r="MOC245" s="15"/>
      <c r="MOD245" s="15"/>
      <c r="MOE245" s="15"/>
      <c r="MOF245" s="16"/>
      <c r="MOG245" s="16"/>
      <c r="MOH245" s="16"/>
      <c r="MOI245" s="16"/>
      <c r="MOJ245" s="16"/>
      <c r="MOK245" s="15"/>
      <c r="MOL245" s="15"/>
      <c r="MOM245" s="10"/>
      <c r="MON245" s="10"/>
      <c r="MOO245" s="19"/>
      <c r="MOP245" s="19"/>
      <c r="MOS245" s="16"/>
      <c r="MOT245" s="15"/>
      <c r="MOU245" s="15"/>
      <c r="MOV245" s="15"/>
      <c r="MOW245" s="16"/>
      <c r="MOX245" s="16"/>
      <c r="MOY245" s="16"/>
      <c r="MOZ245" s="16"/>
      <c r="MPA245" s="16"/>
      <c r="MPB245" s="15"/>
      <c r="MPC245" s="15"/>
      <c r="MPD245" s="10"/>
      <c r="MPE245" s="10"/>
      <c r="MPF245" s="19"/>
      <c r="MPG245" s="19"/>
      <c r="MPJ245" s="16"/>
      <c r="MPK245" s="15"/>
      <c r="MPL245" s="15"/>
      <c r="MPM245" s="15"/>
      <c r="MPN245" s="16"/>
      <c r="MPO245" s="16"/>
      <c r="MPP245" s="16"/>
      <c r="MPQ245" s="16"/>
      <c r="MPR245" s="16"/>
      <c r="MPS245" s="15"/>
      <c r="MPT245" s="15"/>
      <c r="MPU245" s="10"/>
      <c r="MPV245" s="10"/>
      <c r="MPW245" s="19"/>
      <c r="MPX245" s="19"/>
      <c r="MQA245" s="16"/>
      <c r="MQB245" s="15"/>
      <c r="MQC245" s="15"/>
      <c r="MQD245" s="15"/>
      <c r="MQE245" s="16"/>
      <c r="MQF245" s="16"/>
      <c r="MQG245" s="16"/>
      <c r="MQH245" s="16"/>
      <c r="MQI245" s="16"/>
      <c r="MQJ245" s="15"/>
      <c r="MQK245" s="15"/>
      <c r="MQL245" s="10"/>
      <c r="MQM245" s="10"/>
      <c r="MQN245" s="19"/>
      <c r="MQO245" s="19"/>
      <c r="MQR245" s="16"/>
      <c r="MQS245" s="15"/>
      <c r="MQT245" s="15"/>
      <c r="MQU245" s="15"/>
      <c r="MQV245" s="16"/>
      <c r="MQW245" s="16"/>
      <c r="MQX245" s="16"/>
      <c r="MQY245" s="16"/>
      <c r="MQZ245" s="16"/>
      <c r="MRA245" s="15"/>
      <c r="MRB245" s="15"/>
      <c r="MRC245" s="10"/>
      <c r="MRD245" s="10"/>
      <c r="MRE245" s="19"/>
      <c r="MRF245" s="19"/>
      <c r="MRI245" s="16"/>
      <c r="MRJ245" s="15"/>
      <c r="MRK245" s="15"/>
      <c r="MRL245" s="15"/>
      <c r="MRM245" s="16"/>
      <c r="MRN245" s="16"/>
      <c r="MRO245" s="16"/>
      <c r="MRP245" s="16"/>
      <c r="MRQ245" s="16"/>
      <c r="MRR245" s="15"/>
      <c r="MRS245" s="15"/>
      <c r="MRT245" s="10"/>
      <c r="MRU245" s="10"/>
      <c r="MRV245" s="19"/>
      <c r="MRW245" s="19"/>
      <c r="MRZ245" s="16"/>
      <c r="MSA245" s="15"/>
      <c r="MSB245" s="15"/>
      <c r="MSC245" s="15"/>
      <c r="MSD245" s="16"/>
      <c r="MSE245" s="16"/>
      <c r="MSF245" s="16"/>
      <c r="MSG245" s="16"/>
      <c r="MSH245" s="16"/>
      <c r="MSI245" s="15"/>
      <c r="MSJ245" s="15"/>
      <c r="MSK245" s="10"/>
      <c r="MSL245" s="10"/>
      <c r="MSM245" s="19"/>
      <c r="MSN245" s="19"/>
      <c r="MSQ245" s="16"/>
      <c r="MSR245" s="15"/>
      <c r="MSS245" s="15"/>
      <c r="MST245" s="15"/>
      <c r="MSU245" s="16"/>
      <c r="MSV245" s="16"/>
      <c r="MSW245" s="16"/>
      <c r="MSX245" s="16"/>
      <c r="MSY245" s="16"/>
      <c r="MSZ245" s="15"/>
      <c r="MTA245" s="15"/>
      <c r="MTB245" s="10"/>
      <c r="MTC245" s="10"/>
      <c r="MTD245" s="19"/>
      <c r="MTE245" s="19"/>
      <c r="MTH245" s="16"/>
      <c r="MTI245" s="15"/>
      <c r="MTJ245" s="15"/>
      <c r="MTK245" s="15"/>
      <c r="MTL245" s="16"/>
      <c r="MTM245" s="16"/>
      <c r="MTN245" s="16"/>
      <c r="MTO245" s="16"/>
      <c r="MTP245" s="16"/>
      <c r="MTQ245" s="15"/>
      <c r="MTR245" s="15"/>
      <c r="MTS245" s="10"/>
      <c r="MTT245" s="10"/>
      <c r="MTU245" s="19"/>
      <c r="MTV245" s="19"/>
      <c r="MTY245" s="16"/>
      <c r="MTZ245" s="15"/>
      <c r="MUA245" s="15"/>
      <c r="MUB245" s="15"/>
      <c r="MUC245" s="16"/>
      <c r="MUD245" s="16"/>
      <c r="MUE245" s="16"/>
      <c r="MUF245" s="16"/>
      <c r="MUG245" s="16"/>
      <c r="MUH245" s="15"/>
      <c r="MUI245" s="15"/>
      <c r="MUJ245" s="10"/>
      <c r="MUK245" s="10"/>
      <c r="MUL245" s="19"/>
      <c r="MUM245" s="19"/>
      <c r="MUP245" s="16"/>
      <c r="MUQ245" s="15"/>
      <c r="MUR245" s="15"/>
      <c r="MUS245" s="15"/>
      <c r="MUT245" s="16"/>
      <c r="MUU245" s="16"/>
      <c r="MUV245" s="16"/>
      <c r="MUW245" s="16"/>
      <c r="MUX245" s="16"/>
      <c r="MUY245" s="15"/>
      <c r="MUZ245" s="15"/>
      <c r="MVA245" s="10"/>
      <c r="MVB245" s="10"/>
      <c r="MVC245" s="19"/>
      <c r="MVD245" s="19"/>
      <c r="MVG245" s="16"/>
      <c r="MVH245" s="15"/>
      <c r="MVI245" s="15"/>
      <c r="MVJ245" s="15"/>
      <c r="MVK245" s="16"/>
      <c r="MVL245" s="16"/>
      <c r="MVM245" s="16"/>
      <c r="MVN245" s="16"/>
      <c r="MVO245" s="16"/>
      <c r="MVP245" s="15"/>
      <c r="MVQ245" s="15"/>
      <c r="MVR245" s="10"/>
      <c r="MVS245" s="10"/>
      <c r="MVT245" s="19"/>
      <c r="MVU245" s="19"/>
      <c r="MVX245" s="16"/>
      <c r="MVY245" s="15"/>
      <c r="MVZ245" s="15"/>
      <c r="MWA245" s="15"/>
      <c r="MWB245" s="16"/>
      <c r="MWC245" s="16"/>
      <c r="MWD245" s="16"/>
      <c r="MWE245" s="16"/>
      <c r="MWF245" s="16"/>
      <c r="MWG245" s="15"/>
      <c r="MWH245" s="15"/>
      <c r="MWI245" s="10"/>
      <c r="MWJ245" s="10"/>
      <c r="MWK245" s="19"/>
      <c r="MWL245" s="19"/>
      <c r="MWO245" s="16"/>
      <c r="MWP245" s="15"/>
      <c r="MWQ245" s="15"/>
      <c r="MWR245" s="15"/>
      <c r="MWS245" s="16"/>
      <c r="MWT245" s="16"/>
      <c r="MWU245" s="16"/>
      <c r="MWV245" s="16"/>
      <c r="MWW245" s="16"/>
      <c r="MWX245" s="15"/>
      <c r="MWY245" s="15"/>
      <c r="MWZ245" s="10"/>
      <c r="MXA245" s="10"/>
      <c r="MXB245" s="19"/>
      <c r="MXC245" s="19"/>
      <c r="MXF245" s="16"/>
      <c r="MXG245" s="15"/>
      <c r="MXH245" s="15"/>
      <c r="MXI245" s="15"/>
      <c r="MXJ245" s="16"/>
      <c r="MXK245" s="16"/>
      <c r="MXL245" s="16"/>
      <c r="MXM245" s="16"/>
      <c r="MXN245" s="16"/>
      <c r="MXO245" s="15"/>
      <c r="MXP245" s="15"/>
      <c r="MXQ245" s="10"/>
      <c r="MXR245" s="10"/>
      <c r="MXS245" s="19"/>
      <c r="MXT245" s="19"/>
      <c r="MXW245" s="16"/>
      <c r="MXX245" s="15"/>
      <c r="MXY245" s="15"/>
      <c r="MXZ245" s="15"/>
      <c r="MYA245" s="16"/>
      <c r="MYB245" s="16"/>
      <c r="MYC245" s="16"/>
      <c r="MYD245" s="16"/>
      <c r="MYE245" s="16"/>
      <c r="MYF245" s="15"/>
      <c r="MYG245" s="15"/>
      <c r="MYH245" s="10"/>
      <c r="MYI245" s="10"/>
      <c r="MYJ245" s="19"/>
      <c r="MYK245" s="19"/>
      <c r="MYN245" s="16"/>
      <c r="MYO245" s="15"/>
      <c r="MYP245" s="15"/>
      <c r="MYQ245" s="15"/>
      <c r="MYR245" s="16"/>
      <c r="MYS245" s="16"/>
      <c r="MYT245" s="16"/>
      <c r="MYU245" s="16"/>
      <c r="MYV245" s="16"/>
      <c r="MYW245" s="15"/>
      <c r="MYX245" s="15"/>
      <c r="MYY245" s="10"/>
      <c r="MYZ245" s="10"/>
      <c r="MZA245" s="19"/>
      <c r="MZB245" s="19"/>
      <c r="MZE245" s="16"/>
      <c r="MZF245" s="15"/>
      <c r="MZG245" s="15"/>
      <c r="MZH245" s="15"/>
      <c r="MZI245" s="16"/>
      <c r="MZJ245" s="16"/>
      <c r="MZK245" s="16"/>
      <c r="MZL245" s="16"/>
      <c r="MZM245" s="16"/>
      <c r="MZN245" s="15"/>
      <c r="MZO245" s="15"/>
      <c r="MZP245" s="10"/>
      <c r="MZQ245" s="10"/>
      <c r="MZR245" s="19"/>
      <c r="MZS245" s="19"/>
      <c r="MZV245" s="16"/>
      <c r="MZW245" s="15"/>
      <c r="MZX245" s="15"/>
      <c r="MZY245" s="15"/>
      <c r="MZZ245" s="16"/>
      <c r="NAA245" s="16"/>
      <c r="NAB245" s="16"/>
      <c r="NAC245" s="16"/>
      <c r="NAD245" s="16"/>
      <c r="NAE245" s="15"/>
      <c r="NAF245" s="15"/>
      <c r="NAG245" s="10"/>
      <c r="NAH245" s="10"/>
      <c r="NAI245" s="19"/>
      <c r="NAJ245" s="19"/>
      <c r="NAM245" s="16"/>
      <c r="NAN245" s="15"/>
      <c r="NAO245" s="15"/>
      <c r="NAP245" s="15"/>
      <c r="NAQ245" s="16"/>
      <c r="NAR245" s="16"/>
      <c r="NAS245" s="16"/>
      <c r="NAT245" s="16"/>
      <c r="NAU245" s="16"/>
      <c r="NAV245" s="15"/>
      <c r="NAW245" s="15"/>
      <c r="NAX245" s="10"/>
      <c r="NAY245" s="10"/>
      <c r="NAZ245" s="19"/>
      <c r="NBA245" s="19"/>
      <c r="NBD245" s="16"/>
      <c r="NBE245" s="15"/>
      <c r="NBF245" s="15"/>
      <c r="NBG245" s="15"/>
      <c r="NBH245" s="16"/>
      <c r="NBI245" s="16"/>
      <c r="NBJ245" s="16"/>
      <c r="NBK245" s="16"/>
      <c r="NBL245" s="16"/>
      <c r="NBM245" s="15"/>
      <c r="NBN245" s="15"/>
      <c r="NBO245" s="10"/>
      <c r="NBP245" s="10"/>
      <c r="NBQ245" s="19"/>
      <c r="NBR245" s="19"/>
      <c r="NBU245" s="16"/>
      <c r="NBV245" s="15"/>
      <c r="NBW245" s="15"/>
      <c r="NBX245" s="15"/>
      <c r="NBY245" s="16"/>
      <c r="NBZ245" s="16"/>
      <c r="NCA245" s="16"/>
      <c r="NCB245" s="16"/>
      <c r="NCC245" s="16"/>
      <c r="NCD245" s="15"/>
      <c r="NCE245" s="15"/>
      <c r="NCF245" s="10"/>
      <c r="NCG245" s="10"/>
      <c r="NCH245" s="19"/>
      <c r="NCI245" s="19"/>
      <c r="NCL245" s="16"/>
      <c r="NCM245" s="15"/>
      <c r="NCN245" s="15"/>
      <c r="NCO245" s="15"/>
      <c r="NCP245" s="16"/>
      <c r="NCQ245" s="16"/>
      <c r="NCR245" s="16"/>
      <c r="NCS245" s="16"/>
      <c r="NCT245" s="16"/>
      <c r="NCU245" s="15"/>
      <c r="NCV245" s="15"/>
      <c r="NCW245" s="10"/>
      <c r="NCX245" s="10"/>
      <c r="NCY245" s="19"/>
      <c r="NCZ245" s="19"/>
      <c r="NDC245" s="16"/>
      <c r="NDD245" s="15"/>
      <c r="NDE245" s="15"/>
      <c r="NDF245" s="15"/>
      <c r="NDG245" s="16"/>
      <c r="NDH245" s="16"/>
      <c r="NDI245" s="16"/>
      <c r="NDJ245" s="16"/>
      <c r="NDK245" s="16"/>
      <c r="NDL245" s="15"/>
      <c r="NDM245" s="15"/>
      <c r="NDN245" s="10"/>
      <c r="NDO245" s="10"/>
      <c r="NDP245" s="19"/>
      <c r="NDQ245" s="19"/>
      <c r="NDT245" s="16"/>
      <c r="NDU245" s="15"/>
      <c r="NDV245" s="15"/>
      <c r="NDW245" s="15"/>
      <c r="NDX245" s="16"/>
      <c r="NDY245" s="16"/>
      <c r="NDZ245" s="16"/>
      <c r="NEA245" s="16"/>
      <c r="NEB245" s="16"/>
      <c r="NEC245" s="15"/>
      <c r="NED245" s="15"/>
      <c r="NEE245" s="10"/>
      <c r="NEF245" s="10"/>
      <c r="NEG245" s="19"/>
      <c r="NEH245" s="19"/>
      <c r="NEK245" s="16"/>
      <c r="NEL245" s="15"/>
      <c r="NEM245" s="15"/>
      <c r="NEN245" s="15"/>
      <c r="NEO245" s="16"/>
      <c r="NEP245" s="16"/>
      <c r="NEQ245" s="16"/>
      <c r="NER245" s="16"/>
      <c r="NES245" s="16"/>
      <c r="NET245" s="15"/>
      <c r="NEU245" s="15"/>
      <c r="NEV245" s="10"/>
      <c r="NEW245" s="10"/>
      <c r="NEX245" s="19"/>
      <c r="NEY245" s="19"/>
      <c r="NFB245" s="16"/>
      <c r="NFC245" s="15"/>
      <c r="NFD245" s="15"/>
      <c r="NFE245" s="15"/>
      <c r="NFF245" s="16"/>
      <c r="NFG245" s="16"/>
      <c r="NFH245" s="16"/>
      <c r="NFI245" s="16"/>
      <c r="NFJ245" s="16"/>
      <c r="NFK245" s="15"/>
      <c r="NFL245" s="15"/>
      <c r="NFM245" s="10"/>
      <c r="NFN245" s="10"/>
      <c r="NFO245" s="19"/>
      <c r="NFP245" s="19"/>
      <c r="NFS245" s="16"/>
      <c r="NFT245" s="15"/>
      <c r="NFU245" s="15"/>
      <c r="NFV245" s="15"/>
      <c r="NFW245" s="16"/>
      <c r="NFX245" s="16"/>
      <c r="NFY245" s="16"/>
      <c r="NFZ245" s="16"/>
      <c r="NGA245" s="16"/>
      <c r="NGB245" s="15"/>
      <c r="NGC245" s="15"/>
      <c r="NGD245" s="10"/>
      <c r="NGE245" s="10"/>
      <c r="NGF245" s="19"/>
      <c r="NGG245" s="19"/>
      <c r="NGJ245" s="16"/>
      <c r="NGK245" s="15"/>
      <c r="NGL245" s="15"/>
      <c r="NGM245" s="15"/>
      <c r="NGN245" s="16"/>
      <c r="NGO245" s="16"/>
      <c r="NGP245" s="16"/>
      <c r="NGQ245" s="16"/>
      <c r="NGR245" s="16"/>
      <c r="NGS245" s="15"/>
      <c r="NGT245" s="15"/>
      <c r="NGU245" s="10"/>
      <c r="NGV245" s="10"/>
      <c r="NGW245" s="19"/>
      <c r="NGX245" s="19"/>
      <c r="NHA245" s="16"/>
      <c r="NHB245" s="15"/>
      <c r="NHC245" s="15"/>
      <c r="NHD245" s="15"/>
      <c r="NHE245" s="16"/>
      <c r="NHF245" s="16"/>
      <c r="NHG245" s="16"/>
      <c r="NHH245" s="16"/>
      <c r="NHI245" s="16"/>
      <c r="NHJ245" s="15"/>
      <c r="NHK245" s="15"/>
      <c r="NHL245" s="10"/>
      <c r="NHM245" s="10"/>
      <c r="NHN245" s="19"/>
      <c r="NHO245" s="19"/>
      <c r="NHR245" s="16"/>
      <c r="NHS245" s="15"/>
      <c r="NHT245" s="15"/>
      <c r="NHU245" s="15"/>
      <c r="NHV245" s="16"/>
      <c r="NHW245" s="16"/>
      <c r="NHX245" s="16"/>
      <c r="NHY245" s="16"/>
      <c r="NHZ245" s="16"/>
      <c r="NIA245" s="15"/>
      <c r="NIB245" s="15"/>
      <c r="NIC245" s="10"/>
      <c r="NID245" s="10"/>
      <c r="NIE245" s="19"/>
      <c r="NIF245" s="19"/>
      <c r="NII245" s="16"/>
      <c r="NIJ245" s="15"/>
      <c r="NIK245" s="15"/>
      <c r="NIL245" s="15"/>
      <c r="NIM245" s="16"/>
      <c r="NIN245" s="16"/>
      <c r="NIO245" s="16"/>
      <c r="NIP245" s="16"/>
      <c r="NIQ245" s="16"/>
      <c r="NIR245" s="15"/>
      <c r="NIS245" s="15"/>
      <c r="NIT245" s="10"/>
      <c r="NIU245" s="10"/>
      <c r="NIV245" s="19"/>
      <c r="NIW245" s="19"/>
      <c r="NIZ245" s="16"/>
      <c r="NJA245" s="15"/>
      <c r="NJB245" s="15"/>
      <c r="NJC245" s="15"/>
      <c r="NJD245" s="16"/>
      <c r="NJE245" s="16"/>
      <c r="NJF245" s="16"/>
      <c r="NJG245" s="16"/>
      <c r="NJH245" s="16"/>
      <c r="NJI245" s="15"/>
      <c r="NJJ245" s="15"/>
      <c r="NJK245" s="10"/>
      <c r="NJL245" s="10"/>
      <c r="NJM245" s="19"/>
      <c r="NJN245" s="19"/>
      <c r="NJQ245" s="16"/>
      <c r="NJR245" s="15"/>
      <c r="NJS245" s="15"/>
      <c r="NJT245" s="15"/>
      <c r="NJU245" s="16"/>
      <c r="NJV245" s="16"/>
      <c r="NJW245" s="16"/>
      <c r="NJX245" s="16"/>
      <c r="NJY245" s="16"/>
      <c r="NJZ245" s="15"/>
      <c r="NKA245" s="15"/>
      <c r="NKB245" s="10"/>
      <c r="NKC245" s="10"/>
      <c r="NKD245" s="19"/>
      <c r="NKE245" s="19"/>
      <c r="NKH245" s="16"/>
      <c r="NKI245" s="15"/>
      <c r="NKJ245" s="15"/>
      <c r="NKK245" s="15"/>
      <c r="NKL245" s="16"/>
      <c r="NKM245" s="16"/>
      <c r="NKN245" s="16"/>
      <c r="NKO245" s="16"/>
      <c r="NKP245" s="16"/>
      <c r="NKQ245" s="15"/>
      <c r="NKR245" s="15"/>
      <c r="NKS245" s="10"/>
      <c r="NKT245" s="10"/>
      <c r="NKU245" s="19"/>
      <c r="NKV245" s="19"/>
      <c r="NKY245" s="16"/>
      <c r="NKZ245" s="15"/>
      <c r="NLA245" s="15"/>
      <c r="NLB245" s="15"/>
      <c r="NLC245" s="16"/>
      <c r="NLD245" s="16"/>
      <c r="NLE245" s="16"/>
      <c r="NLF245" s="16"/>
      <c r="NLG245" s="16"/>
      <c r="NLH245" s="15"/>
      <c r="NLI245" s="15"/>
      <c r="NLJ245" s="10"/>
      <c r="NLK245" s="10"/>
      <c r="NLL245" s="19"/>
      <c r="NLM245" s="19"/>
      <c r="NLP245" s="16"/>
      <c r="NLQ245" s="15"/>
      <c r="NLR245" s="15"/>
      <c r="NLS245" s="15"/>
      <c r="NLT245" s="16"/>
      <c r="NLU245" s="16"/>
      <c r="NLV245" s="16"/>
      <c r="NLW245" s="16"/>
      <c r="NLX245" s="16"/>
      <c r="NLY245" s="15"/>
      <c r="NLZ245" s="15"/>
      <c r="NMA245" s="10"/>
      <c r="NMB245" s="10"/>
      <c r="NMC245" s="19"/>
      <c r="NMD245" s="19"/>
      <c r="NMG245" s="16"/>
      <c r="NMH245" s="15"/>
      <c r="NMI245" s="15"/>
      <c r="NMJ245" s="15"/>
      <c r="NMK245" s="16"/>
      <c r="NML245" s="16"/>
      <c r="NMM245" s="16"/>
      <c r="NMN245" s="16"/>
      <c r="NMO245" s="16"/>
      <c r="NMP245" s="15"/>
      <c r="NMQ245" s="15"/>
      <c r="NMR245" s="10"/>
      <c r="NMS245" s="10"/>
      <c r="NMT245" s="19"/>
      <c r="NMU245" s="19"/>
      <c r="NMX245" s="16"/>
      <c r="NMY245" s="15"/>
      <c r="NMZ245" s="15"/>
      <c r="NNA245" s="15"/>
      <c r="NNB245" s="16"/>
      <c r="NNC245" s="16"/>
      <c r="NND245" s="16"/>
      <c r="NNE245" s="16"/>
      <c r="NNF245" s="16"/>
      <c r="NNG245" s="15"/>
      <c r="NNH245" s="15"/>
      <c r="NNI245" s="10"/>
      <c r="NNJ245" s="10"/>
      <c r="NNK245" s="19"/>
      <c r="NNL245" s="19"/>
      <c r="NNO245" s="16"/>
      <c r="NNP245" s="15"/>
      <c r="NNQ245" s="15"/>
      <c r="NNR245" s="15"/>
      <c r="NNS245" s="16"/>
      <c r="NNT245" s="16"/>
      <c r="NNU245" s="16"/>
      <c r="NNV245" s="16"/>
      <c r="NNW245" s="16"/>
      <c r="NNX245" s="15"/>
      <c r="NNY245" s="15"/>
      <c r="NNZ245" s="10"/>
      <c r="NOA245" s="10"/>
      <c r="NOB245" s="19"/>
      <c r="NOC245" s="19"/>
      <c r="NOF245" s="16"/>
      <c r="NOG245" s="15"/>
      <c r="NOH245" s="15"/>
      <c r="NOI245" s="15"/>
      <c r="NOJ245" s="16"/>
      <c r="NOK245" s="16"/>
      <c r="NOL245" s="16"/>
      <c r="NOM245" s="16"/>
      <c r="NON245" s="16"/>
      <c r="NOO245" s="15"/>
      <c r="NOP245" s="15"/>
      <c r="NOQ245" s="10"/>
      <c r="NOR245" s="10"/>
      <c r="NOS245" s="19"/>
      <c r="NOT245" s="19"/>
      <c r="NOW245" s="16"/>
      <c r="NOX245" s="15"/>
      <c r="NOY245" s="15"/>
      <c r="NOZ245" s="15"/>
      <c r="NPA245" s="16"/>
      <c r="NPB245" s="16"/>
      <c r="NPC245" s="16"/>
      <c r="NPD245" s="16"/>
      <c r="NPE245" s="16"/>
      <c r="NPF245" s="15"/>
      <c r="NPG245" s="15"/>
      <c r="NPH245" s="10"/>
      <c r="NPI245" s="10"/>
      <c r="NPJ245" s="19"/>
      <c r="NPK245" s="19"/>
      <c r="NPN245" s="16"/>
      <c r="NPO245" s="15"/>
      <c r="NPP245" s="15"/>
      <c r="NPQ245" s="15"/>
      <c r="NPR245" s="16"/>
      <c r="NPS245" s="16"/>
      <c r="NPT245" s="16"/>
      <c r="NPU245" s="16"/>
      <c r="NPV245" s="16"/>
      <c r="NPW245" s="15"/>
      <c r="NPX245" s="15"/>
      <c r="NPY245" s="10"/>
      <c r="NPZ245" s="10"/>
      <c r="NQA245" s="19"/>
      <c r="NQB245" s="19"/>
      <c r="NQE245" s="16"/>
      <c r="NQF245" s="15"/>
      <c r="NQG245" s="15"/>
      <c r="NQH245" s="15"/>
      <c r="NQI245" s="16"/>
      <c r="NQJ245" s="16"/>
      <c r="NQK245" s="16"/>
      <c r="NQL245" s="16"/>
      <c r="NQM245" s="16"/>
      <c r="NQN245" s="15"/>
      <c r="NQO245" s="15"/>
      <c r="NQP245" s="10"/>
      <c r="NQQ245" s="10"/>
      <c r="NQR245" s="19"/>
      <c r="NQS245" s="19"/>
      <c r="NQV245" s="16"/>
      <c r="NQW245" s="15"/>
      <c r="NQX245" s="15"/>
      <c r="NQY245" s="15"/>
      <c r="NQZ245" s="16"/>
      <c r="NRA245" s="16"/>
      <c r="NRB245" s="16"/>
      <c r="NRC245" s="16"/>
      <c r="NRD245" s="16"/>
      <c r="NRE245" s="15"/>
      <c r="NRF245" s="15"/>
      <c r="NRG245" s="10"/>
      <c r="NRH245" s="10"/>
      <c r="NRI245" s="19"/>
      <c r="NRJ245" s="19"/>
      <c r="NRM245" s="16"/>
      <c r="NRN245" s="15"/>
      <c r="NRO245" s="15"/>
      <c r="NRP245" s="15"/>
      <c r="NRQ245" s="16"/>
      <c r="NRR245" s="16"/>
      <c r="NRS245" s="16"/>
      <c r="NRT245" s="16"/>
      <c r="NRU245" s="16"/>
      <c r="NRV245" s="15"/>
      <c r="NRW245" s="15"/>
      <c r="NRX245" s="10"/>
      <c r="NRY245" s="10"/>
      <c r="NRZ245" s="19"/>
      <c r="NSA245" s="19"/>
      <c r="NSD245" s="16"/>
      <c r="NSE245" s="15"/>
      <c r="NSF245" s="15"/>
      <c r="NSG245" s="15"/>
      <c r="NSH245" s="16"/>
      <c r="NSI245" s="16"/>
      <c r="NSJ245" s="16"/>
      <c r="NSK245" s="16"/>
      <c r="NSL245" s="16"/>
      <c r="NSM245" s="15"/>
      <c r="NSN245" s="15"/>
      <c r="NSO245" s="10"/>
      <c r="NSP245" s="10"/>
      <c r="NSQ245" s="19"/>
      <c r="NSR245" s="19"/>
      <c r="NSU245" s="16"/>
      <c r="NSV245" s="15"/>
      <c r="NSW245" s="15"/>
      <c r="NSX245" s="15"/>
      <c r="NSY245" s="16"/>
      <c r="NSZ245" s="16"/>
      <c r="NTA245" s="16"/>
      <c r="NTB245" s="16"/>
      <c r="NTC245" s="16"/>
      <c r="NTD245" s="15"/>
      <c r="NTE245" s="15"/>
      <c r="NTF245" s="10"/>
      <c r="NTG245" s="10"/>
      <c r="NTH245" s="19"/>
      <c r="NTI245" s="19"/>
      <c r="NTL245" s="16"/>
      <c r="NTM245" s="15"/>
      <c r="NTN245" s="15"/>
      <c r="NTO245" s="15"/>
      <c r="NTP245" s="16"/>
      <c r="NTQ245" s="16"/>
      <c r="NTR245" s="16"/>
      <c r="NTS245" s="16"/>
      <c r="NTT245" s="16"/>
      <c r="NTU245" s="15"/>
      <c r="NTV245" s="15"/>
      <c r="NTW245" s="10"/>
      <c r="NTX245" s="10"/>
      <c r="NTY245" s="19"/>
      <c r="NTZ245" s="19"/>
      <c r="NUC245" s="16"/>
      <c r="NUD245" s="15"/>
      <c r="NUE245" s="15"/>
      <c r="NUF245" s="15"/>
      <c r="NUG245" s="16"/>
      <c r="NUH245" s="16"/>
      <c r="NUI245" s="16"/>
      <c r="NUJ245" s="16"/>
      <c r="NUK245" s="16"/>
      <c r="NUL245" s="15"/>
      <c r="NUM245" s="15"/>
      <c r="NUN245" s="10"/>
      <c r="NUO245" s="10"/>
      <c r="NUP245" s="19"/>
      <c r="NUQ245" s="19"/>
      <c r="NUT245" s="16"/>
      <c r="NUU245" s="15"/>
      <c r="NUV245" s="15"/>
      <c r="NUW245" s="15"/>
      <c r="NUX245" s="16"/>
      <c r="NUY245" s="16"/>
      <c r="NUZ245" s="16"/>
      <c r="NVA245" s="16"/>
      <c r="NVB245" s="16"/>
      <c r="NVC245" s="15"/>
      <c r="NVD245" s="15"/>
      <c r="NVE245" s="10"/>
      <c r="NVF245" s="10"/>
      <c r="NVG245" s="19"/>
      <c r="NVH245" s="19"/>
      <c r="NVK245" s="16"/>
      <c r="NVL245" s="15"/>
      <c r="NVM245" s="15"/>
      <c r="NVN245" s="15"/>
      <c r="NVO245" s="16"/>
      <c r="NVP245" s="16"/>
      <c r="NVQ245" s="16"/>
      <c r="NVR245" s="16"/>
      <c r="NVS245" s="16"/>
      <c r="NVT245" s="15"/>
      <c r="NVU245" s="15"/>
      <c r="NVV245" s="10"/>
      <c r="NVW245" s="10"/>
      <c r="NVX245" s="19"/>
      <c r="NVY245" s="19"/>
      <c r="NWB245" s="16"/>
      <c r="NWC245" s="15"/>
      <c r="NWD245" s="15"/>
      <c r="NWE245" s="15"/>
      <c r="NWF245" s="16"/>
      <c r="NWG245" s="16"/>
      <c r="NWH245" s="16"/>
      <c r="NWI245" s="16"/>
      <c r="NWJ245" s="16"/>
      <c r="NWK245" s="15"/>
      <c r="NWL245" s="15"/>
      <c r="NWM245" s="10"/>
      <c r="NWN245" s="10"/>
      <c r="NWO245" s="19"/>
      <c r="NWP245" s="19"/>
      <c r="NWS245" s="16"/>
      <c r="NWT245" s="15"/>
      <c r="NWU245" s="15"/>
      <c r="NWV245" s="15"/>
      <c r="NWW245" s="16"/>
      <c r="NWX245" s="16"/>
      <c r="NWY245" s="16"/>
      <c r="NWZ245" s="16"/>
      <c r="NXA245" s="16"/>
      <c r="NXB245" s="15"/>
      <c r="NXC245" s="15"/>
      <c r="NXD245" s="10"/>
      <c r="NXE245" s="10"/>
      <c r="NXF245" s="19"/>
      <c r="NXG245" s="19"/>
      <c r="NXJ245" s="16"/>
      <c r="NXK245" s="15"/>
      <c r="NXL245" s="15"/>
      <c r="NXM245" s="15"/>
      <c r="NXN245" s="16"/>
      <c r="NXO245" s="16"/>
      <c r="NXP245" s="16"/>
      <c r="NXQ245" s="16"/>
      <c r="NXR245" s="16"/>
      <c r="NXS245" s="15"/>
      <c r="NXT245" s="15"/>
      <c r="NXU245" s="10"/>
      <c r="NXV245" s="10"/>
      <c r="NXW245" s="19"/>
      <c r="NXX245" s="19"/>
      <c r="NYA245" s="16"/>
      <c r="NYB245" s="15"/>
      <c r="NYC245" s="15"/>
      <c r="NYD245" s="15"/>
      <c r="NYE245" s="16"/>
      <c r="NYF245" s="16"/>
      <c r="NYG245" s="16"/>
      <c r="NYH245" s="16"/>
      <c r="NYI245" s="16"/>
      <c r="NYJ245" s="15"/>
      <c r="NYK245" s="15"/>
      <c r="NYL245" s="10"/>
      <c r="NYM245" s="10"/>
      <c r="NYN245" s="19"/>
      <c r="NYO245" s="19"/>
      <c r="NYR245" s="16"/>
      <c r="NYS245" s="15"/>
      <c r="NYT245" s="15"/>
      <c r="NYU245" s="15"/>
      <c r="NYV245" s="16"/>
      <c r="NYW245" s="16"/>
      <c r="NYX245" s="16"/>
      <c r="NYY245" s="16"/>
      <c r="NYZ245" s="16"/>
      <c r="NZA245" s="15"/>
      <c r="NZB245" s="15"/>
      <c r="NZC245" s="10"/>
      <c r="NZD245" s="10"/>
      <c r="NZE245" s="19"/>
      <c r="NZF245" s="19"/>
      <c r="NZI245" s="16"/>
      <c r="NZJ245" s="15"/>
      <c r="NZK245" s="15"/>
      <c r="NZL245" s="15"/>
      <c r="NZM245" s="16"/>
      <c r="NZN245" s="16"/>
      <c r="NZO245" s="16"/>
      <c r="NZP245" s="16"/>
      <c r="NZQ245" s="16"/>
      <c r="NZR245" s="15"/>
      <c r="NZS245" s="15"/>
      <c r="NZT245" s="10"/>
      <c r="NZU245" s="10"/>
      <c r="NZV245" s="19"/>
      <c r="NZW245" s="19"/>
      <c r="NZZ245" s="16"/>
      <c r="OAA245" s="15"/>
      <c r="OAB245" s="15"/>
      <c r="OAC245" s="15"/>
      <c r="OAD245" s="16"/>
      <c r="OAE245" s="16"/>
      <c r="OAF245" s="16"/>
      <c r="OAG245" s="16"/>
      <c r="OAH245" s="16"/>
      <c r="OAI245" s="15"/>
      <c r="OAJ245" s="15"/>
      <c r="OAK245" s="10"/>
      <c r="OAL245" s="10"/>
      <c r="OAM245" s="19"/>
      <c r="OAN245" s="19"/>
      <c r="OAQ245" s="16"/>
      <c r="OAR245" s="15"/>
      <c r="OAS245" s="15"/>
      <c r="OAT245" s="15"/>
      <c r="OAU245" s="16"/>
      <c r="OAV245" s="16"/>
      <c r="OAW245" s="16"/>
      <c r="OAX245" s="16"/>
      <c r="OAY245" s="16"/>
      <c r="OAZ245" s="15"/>
      <c r="OBA245" s="15"/>
      <c r="OBB245" s="10"/>
      <c r="OBC245" s="10"/>
      <c r="OBD245" s="19"/>
      <c r="OBE245" s="19"/>
      <c r="OBH245" s="16"/>
      <c r="OBI245" s="15"/>
      <c r="OBJ245" s="15"/>
      <c r="OBK245" s="15"/>
      <c r="OBL245" s="16"/>
      <c r="OBM245" s="16"/>
      <c r="OBN245" s="16"/>
      <c r="OBO245" s="16"/>
      <c r="OBP245" s="16"/>
      <c r="OBQ245" s="15"/>
      <c r="OBR245" s="15"/>
      <c r="OBS245" s="10"/>
      <c r="OBT245" s="10"/>
      <c r="OBU245" s="19"/>
      <c r="OBV245" s="19"/>
      <c r="OBY245" s="16"/>
      <c r="OBZ245" s="15"/>
      <c r="OCA245" s="15"/>
      <c r="OCB245" s="15"/>
      <c r="OCC245" s="16"/>
      <c r="OCD245" s="16"/>
      <c r="OCE245" s="16"/>
      <c r="OCF245" s="16"/>
      <c r="OCG245" s="16"/>
      <c r="OCH245" s="15"/>
      <c r="OCI245" s="15"/>
      <c r="OCJ245" s="10"/>
      <c r="OCK245" s="10"/>
      <c r="OCL245" s="19"/>
      <c r="OCM245" s="19"/>
      <c r="OCP245" s="16"/>
      <c r="OCQ245" s="15"/>
      <c r="OCR245" s="15"/>
      <c r="OCS245" s="15"/>
      <c r="OCT245" s="16"/>
      <c r="OCU245" s="16"/>
      <c r="OCV245" s="16"/>
      <c r="OCW245" s="16"/>
      <c r="OCX245" s="16"/>
      <c r="OCY245" s="15"/>
      <c r="OCZ245" s="15"/>
      <c r="ODA245" s="10"/>
      <c r="ODB245" s="10"/>
      <c r="ODC245" s="19"/>
      <c r="ODD245" s="19"/>
      <c r="ODG245" s="16"/>
      <c r="ODH245" s="15"/>
      <c r="ODI245" s="15"/>
      <c r="ODJ245" s="15"/>
      <c r="ODK245" s="16"/>
      <c r="ODL245" s="16"/>
      <c r="ODM245" s="16"/>
      <c r="ODN245" s="16"/>
      <c r="ODO245" s="16"/>
      <c r="ODP245" s="15"/>
      <c r="ODQ245" s="15"/>
      <c r="ODR245" s="10"/>
      <c r="ODS245" s="10"/>
      <c r="ODT245" s="19"/>
      <c r="ODU245" s="19"/>
      <c r="ODX245" s="16"/>
      <c r="ODY245" s="15"/>
      <c r="ODZ245" s="15"/>
      <c r="OEA245" s="15"/>
      <c r="OEB245" s="16"/>
      <c r="OEC245" s="16"/>
      <c r="OED245" s="16"/>
      <c r="OEE245" s="16"/>
      <c r="OEF245" s="16"/>
      <c r="OEG245" s="15"/>
      <c r="OEH245" s="15"/>
      <c r="OEI245" s="10"/>
      <c r="OEJ245" s="10"/>
      <c r="OEK245" s="19"/>
      <c r="OEL245" s="19"/>
      <c r="OEO245" s="16"/>
      <c r="OEP245" s="15"/>
      <c r="OEQ245" s="15"/>
      <c r="OER245" s="15"/>
      <c r="OES245" s="16"/>
      <c r="OET245" s="16"/>
      <c r="OEU245" s="16"/>
      <c r="OEV245" s="16"/>
      <c r="OEW245" s="16"/>
      <c r="OEX245" s="15"/>
      <c r="OEY245" s="15"/>
      <c r="OEZ245" s="10"/>
      <c r="OFA245" s="10"/>
      <c r="OFB245" s="19"/>
      <c r="OFC245" s="19"/>
      <c r="OFF245" s="16"/>
      <c r="OFG245" s="15"/>
      <c r="OFH245" s="15"/>
      <c r="OFI245" s="15"/>
      <c r="OFJ245" s="16"/>
      <c r="OFK245" s="16"/>
      <c r="OFL245" s="16"/>
      <c r="OFM245" s="16"/>
      <c r="OFN245" s="16"/>
      <c r="OFO245" s="15"/>
      <c r="OFP245" s="15"/>
      <c r="OFQ245" s="10"/>
      <c r="OFR245" s="10"/>
      <c r="OFS245" s="19"/>
      <c r="OFT245" s="19"/>
      <c r="OFW245" s="16"/>
      <c r="OFX245" s="15"/>
      <c r="OFY245" s="15"/>
      <c r="OFZ245" s="15"/>
      <c r="OGA245" s="16"/>
      <c r="OGB245" s="16"/>
      <c r="OGC245" s="16"/>
      <c r="OGD245" s="16"/>
      <c r="OGE245" s="16"/>
      <c r="OGF245" s="15"/>
      <c r="OGG245" s="15"/>
      <c r="OGH245" s="10"/>
      <c r="OGI245" s="10"/>
      <c r="OGJ245" s="19"/>
      <c r="OGK245" s="19"/>
      <c r="OGN245" s="16"/>
      <c r="OGO245" s="15"/>
      <c r="OGP245" s="15"/>
      <c r="OGQ245" s="15"/>
      <c r="OGR245" s="16"/>
      <c r="OGS245" s="16"/>
      <c r="OGT245" s="16"/>
      <c r="OGU245" s="16"/>
      <c r="OGV245" s="16"/>
      <c r="OGW245" s="15"/>
      <c r="OGX245" s="15"/>
      <c r="OGY245" s="10"/>
      <c r="OGZ245" s="10"/>
      <c r="OHA245" s="19"/>
      <c r="OHB245" s="19"/>
      <c r="OHE245" s="16"/>
      <c r="OHF245" s="15"/>
      <c r="OHG245" s="15"/>
      <c r="OHH245" s="15"/>
      <c r="OHI245" s="16"/>
      <c r="OHJ245" s="16"/>
      <c r="OHK245" s="16"/>
      <c r="OHL245" s="16"/>
      <c r="OHM245" s="16"/>
      <c r="OHN245" s="15"/>
      <c r="OHO245" s="15"/>
      <c r="OHP245" s="10"/>
      <c r="OHQ245" s="10"/>
      <c r="OHR245" s="19"/>
      <c r="OHS245" s="19"/>
      <c r="OHV245" s="16"/>
      <c r="OHW245" s="15"/>
      <c r="OHX245" s="15"/>
      <c r="OHY245" s="15"/>
      <c r="OHZ245" s="16"/>
      <c r="OIA245" s="16"/>
      <c r="OIB245" s="16"/>
      <c r="OIC245" s="16"/>
      <c r="OID245" s="16"/>
      <c r="OIE245" s="15"/>
      <c r="OIF245" s="15"/>
      <c r="OIG245" s="10"/>
      <c r="OIH245" s="10"/>
      <c r="OII245" s="19"/>
      <c r="OIJ245" s="19"/>
      <c r="OIM245" s="16"/>
      <c r="OIN245" s="15"/>
      <c r="OIO245" s="15"/>
      <c r="OIP245" s="15"/>
      <c r="OIQ245" s="16"/>
      <c r="OIR245" s="16"/>
      <c r="OIS245" s="16"/>
      <c r="OIT245" s="16"/>
      <c r="OIU245" s="16"/>
      <c r="OIV245" s="15"/>
      <c r="OIW245" s="15"/>
      <c r="OIX245" s="10"/>
      <c r="OIY245" s="10"/>
      <c r="OIZ245" s="19"/>
      <c r="OJA245" s="19"/>
      <c r="OJD245" s="16"/>
      <c r="OJE245" s="15"/>
      <c r="OJF245" s="15"/>
      <c r="OJG245" s="15"/>
      <c r="OJH245" s="16"/>
      <c r="OJI245" s="16"/>
      <c r="OJJ245" s="16"/>
      <c r="OJK245" s="16"/>
      <c r="OJL245" s="16"/>
      <c r="OJM245" s="15"/>
      <c r="OJN245" s="15"/>
      <c r="OJO245" s="10"/>
      <c r="OJP245" s="10"/>
      <c r="OJQ245" s="19"/>
      <c r="OJR245" s="19"/>
      <c r="OJU245" s="16"/>
      <c r="OJV245" s="15"/>
      <c r="OJW245" s="15"/>
      <c r="OJX245" s="15"/>
      <c r="OJY245" s="16"/>
      <c r="OJZ245" s="16"/>
      <c r="OKA245" s="16"/>
      <c r="OKB245" s="16"/>
      <c r="OKC245" s="16"/>
      <c r="OKD245" s="15"/>
      <c r="OKE245" s="15"/>
      <c r="OKF245" s="10"/>
      <c r="OKG245" s="10"/>
      <c r="OKH245" s="19"/>
      <c r="OKI245" s="19"/>
      <c r="OKL245" s="16"/>
      <c r="OKM245" s="15"/>
      <c r="OKN245" s="15"/>
      <c r="OKO245" s="15"/>
      <c r="OKP245" s="16"/>
      <c r="OKQ245" s="16"/>
      <c r="OKR245" s="16"/>
      <c r="OKS245" s="16"/>
      <c r="OKT245" s="16"/>
      <c r="OKU245" s="15"/>
      <c r="OKV245" s="15"/>
      <c r="OKW245" s="10"/>
      <c r="OKX245" s="10"/>
      <c r="OKY245" s="19"/>
      <c r="OKZ245" s="19"/>
      <c r="OLC245" s="16"/>
      <c r="OLD245" s="15"/>
      <c r="OLE245" s="15"/>
      <c r="OLF245" s="15"/>
      <c r="OLG245" s="16"/>
      <c r="OLH245" s="16"/>
      <c r="OLI245" s="16"/>
      <c r="OLJ245" s="16"/>
      <c r="OLK245" s="16"/>
      <c r="OLL245" s="15"/>
      <c r="OLM245" s="15"/>
      <c r="OLN245" s="10"/>
      <c r="OLO245" s="10"/>
      <c r="OLP245" s="19"/>
      <c r="OLQ245" s="19"/>
      <c r="OLT245" s="16"/>
      <c r="OLU245" s="15"/>
      <c r="OLV245" s="15"/>
      <c r="OLW245" s="15"/>
      <c r="OLX245" s="16"/>
      <c r="OLY245" s="16"/>
      <c r="OLZ245" s="16"/>
      <c r="OMA245" s="16"/>
      <c r="OMB245" s="16"/>
      <c r="OMC245" s="15"/>
      <c r="OMD245" s="15"/>
      <c r="OME245" s="10"/>
      <c r="OMF245" s="10"/>
      <c r="OMG245" s="19"/>
      <c r="OMH245" s="19"/>
      <c r="OMK245" s="16"/>
      <c r="OML245" s="15"/>
      <c r="OMM245" s="15"/>
      <c r="OMN245" s="15"/>
      <c r="OMO245" s="16"/>
      <c r="OMP245" s="16"/>
      <c r="OMQ245" s="16"/>
      <c r="OMR245" s="16"/>
      <c r="OMS245" s="16"/>
      <c r="OMT245" s="15"/>
      <c r="OMU245" s="15"/>
      <c r="OMV245" s="10"/>
      <c r="OMW245" s="10"/>
      <c r="OMX245" s="19"/>
      <c r="OMY245" s="19"/>
      <c r="ONB245" s="16"/>
      <c r="ONC245" s="15"/>
      <c r="OND245" s="15"/>
      <c r="ONE245" s="15"/>
      <c r="ONF245" s="16"/>
      <c r="ONG245" s="16"/>
      <c r="ONH245" s="16"/>
      <c r="ONI245" s="16"/>
      <c r="ONJ245" s="16"/>
      <c r="ONK245" s="15"/>
      <c r="ONL245" s="15"/>
      <c r="ONM245" s="10"/>
      <c r="ONN245" s="10"/>
      <c r="ONO245" s="19"/>
      <c r="ONP245" s="19"/>
      <c r="ONS245" s="16"/>
      <c r="ONT245" s="15"/>
      <c r="ONU245" s="15"/>
      <c r="ONV245" s="15"/>
      <c r="ONW245" s="16"/>
      <c r="ONX245" s="16"/>
      <c r="ONY245" s="16"/>
      <c r="ONZ245" s="16"/>
      <c r="OOA245" s="16"/>
      <c r="OOB245" s="15"/>
      <c r="OOC245" s="15"/>
      <c r="OOD245" s="10"/>
      <c r="OOE245" s="10"/>
      <c r="OOF245" s="19"/>
      <c r="OOG245" s="19"/>
      <c r="OOJ245" s="16"/>
      <c r="OOK245" s="15"/>
      <c r="OOL245" s="15"/>
      <c r="OOM245" s="15"/>
      <c r="OON245" s="16"/>
      <c r="OOO245" s="16"/>
      <c r="OOP245" s="16"/>
      <c r="OOQ245" s="16"/>
      <c r="OOR245" s="16"/>
      <c r="OOS245" s="15"/>
      <c r="OOT245" s="15"/>
      <c r="OOU245" s="10"/>
      <c r="OOV245" s="10"/>
      <c r="OOW245" s="19"/>
      <c r="OOX245" s="19"/>
      <c r="OPA245" s="16"/>
      <c r="OPB245" s="15"/>
      <c r="OPC245" s="15"/>
      <c r="OPD245" s="15"/>
      <c r="OPE245" s="16"/>
      <c r="OPF245" s="16"/>
      <c r="OPG245" s="16"/>
      <c r="OPH245" s="16"/>
      <c r="OPI245" s="16"/>
      <c r="OPJ245" s="15"/>
      <c r="OPK245" s="15"/>
      <c r="OPL245" s="10"/>
      <c r="OPM245" s="10"/>
      <c r="OPN245" s="19"/>
      <c r="OPO245" s="19"/>
      <c r="OPR245" s="16"/>
      <c r="OPS245" s="15"/>
      <c r="OPT245" s="15"/>
      <c r="OPU245" s="15"/>
      <c r="OPV245" s="16"/>
      <c r="OPW245" s="16"/>
      <c r="OPX245" s="16"/>
      <c r="OPY245" s="16"/>
      <c r="OPZ245" s="16"/>
      <c r="OQA245" s="15"/>
      <c r="OQB245" s="15"/>
      <c r="OQC245" s="10"/>
      <c r="OQD245" s="10"/>
      <c r="OQE245" s="19"/>
      <c r="OQF245" s="19"/>
      <c r="OQI245" s="16"/>
      <c r="OQJ245" s="15"/>
      <c r="OQK245" s="15"/>
      <c r="OQL245" s="15"/>
      <c r="OQM245" s="16"/>
      <c r="OQN245" s="16"/>
      <c r="OQO245" s="16"/>
      <c r="OQP245" s="16"/>
      <c r="OQQ245" s="16"/>
      <c r="OQR245" s="15"/>
      <c r="OQS245" s="15"/>
      <c r="OQT245" s="10"/>
      <c r="OQU245" s="10"/>
      <c r="OQV245" s="19"/>
      <c r="OQW245" s="19"/>
      <c r="OQZ245" s="16"/>
      <c r="ORA245" s="15"/>
      <c r="ORB245" s="15"/>
      <c r="ORC245" s="15"/>
      <c r="ORD245" s="16"/>
      <c r="ORE245" s="16"/>
      <c r="ORF245" s="16"/>
      <c r="ORG245" s="16"/>
      <c r="ORH245" s="16"/>
      <c r="ORI245" s="15"/>
      <c r="ORJ245" s="15"/>
      <c r="ORK245" s="10"/>
      <c r="ORL245" s="10"/>
      <c r="ORM245" s="19"/>
      <c r="ORN245" s="19"/>
      <c r="ORQ245" s="16"/>
      <c r="ORR245" s="15"/>
      <c r="ORS245" s="15"/>
      <c r="ORT245" s="15"/>
      <c r="ORU245" s="16"/>
      <c r="ORV245" s="16"/>
      <c r="ORW245" s="16"/>
      <c r="ORX245" s="16"/>
      <c r="ORY245" s="16"/>
      <c r="ORZ245" s="15"/>
      <c r="OSA245" s="15"/>
      <c r="OSB245" s="10"/>
      <c r="OSC245" s="10"/>
      <c r="OSD245" s="19"/>
      <c r="OSE245" s="19"/>
      <c r="OSH245" s="16"/>
      <c r="OSI245" s="15"/>
      <c r="OSJ245" s="15"/>
      <c r="OSK245" s="15"/>
      <c r="OSL245" s="16"/>
      <c r="OSM245" s="16"/>
      <c r="OSN245" s="16"/>
      <c r="OSO245" s="16"/>
      <c r="OSP245" s="16"/>
      <c r="OSQ245" s="15"/>
      <c r="OSR245" s="15"/>
      <c r="OSS245" s="10"/>
      <c r="OST245" s="10"/>
      <c r="OSU245" s="19"/>
      <c r="OSV245" s="19"/>
      <c r="OSY245" s="16"/>
      <c r="OSZ245" s="15"/>
      <c r="OTA245" s="15"/>
      <c r="OTB245" s="15"/>
      <c r="OTC245" s="16"/>
      <c r="OTD245" s="16"/>
      <c r="OTE245" s="16"/>
      <c r="OTF245" s="16"/>
      <c r="OTG245" s="16"/>
      <c r="OTH245" s="15"/>
      <c r="OTI245" s="15"/>
      <c r="OTJ245" s="10"/>
      <c r="OTK245" s="10"/>
      <c r="OTL245" s="19"/>
      <c r="OTM245" s="19"/>
      <c r="OTP245" s="16"/>
      <c r="OTQ245" s="15"/>
      <c r="OTR245" s="15"/>
      <c r="OTS245" s="15"/>
      <c r="OTT245" s="16"/>
      <c r="OTU245" s="16"/>
      <c r="OTV245" s="16"/>
      <c r="OTW245" s="16"/>
      <c r="OTX245" s="16"/>
      <c r="OTY245" s="15"/>
      <c r="OTZ245" s="15"/>
      <c r="OUA245" s="10"/>
      <c r="OUB245" s="10"/>
      <c r="OUC245" s="19"/>
      <c r="OUD245" s="19"/>
      <c r="OUG245" s="16"/>
      <c r="OUH245" s="15"/>
      <c r="OUI245" s="15"/>
      <c r="OUJ245" s="15"/>
      <c r="OUK245" s="16"/>
      <c r="OUL245" s="16"/>
      <c r="OUM245" s="16"/>
      <c r="OUN245" s="16"/>
      <c r="OUO245" s="16"/>
      <c r="OUP245" s="15"/>
      <c r="OUQ245" s="15"/>
      <c r="OUR245" s="10"/>
      <c r="OUS245" s="10"/>
      <c r="OUT245" s="19"/>
      <c r="OUU245" s="19"/>
      <c r="OUX245" s="16"/>
      <c r="OUY245" s="15"/>
      <c r="OUZ245" s="15"/>
      <c r="OVA245" s="15"/>
      <c r="OVB245" s="16"/>
      <c r="OVC245" s="16"/>
      <c r="OVD245" s="16"/>
      <c r="OVE245" s="16"/>
      <c r="OVF245" s="16"/>
      <c r="OVG245" s="15"/>
      <c r="OVH245" s="15"/>
      <c r="OVI245" s="10"/>
      <c r="OVJ245" s="10"/>
      <c r="OVK245" s="19"/>
      <c r="OVL245" s="19"/>
      <c r="OVO245" s="16"/>
      <c r="OVP245" s="15"/>
      <c r="OVQ245" s="15"/>
      <c r="OVR245" s="15"/>
      <c r="OVS245" s="16"/>
      <c r="OVT245" s="16"/>
      <c r="OVU245" s="16"/>
      <c r="OVV245" s="16"/>
      <c r="OVW245" s="16"/>
      <c r="OVX245" s="15"/>
      <c r="OVY245" s="15"/>
      <c r="OVZ245" s="10"/>
      <c r="OWA245" s="10"/>
      <c r="OWB245" s="19"/>
      <c r="OWC245" s="19"/>
      <c r="OWF245" s="16"/>
      <c r="OWG245" s="15"/>
      <c r="OWH245" s="15"/>
      <c r="OWI245" s="15"/>
      <c r="OWJ245" s="16"/>
      <c r="OWK245" s="16"/>
      <c r="OWL245" s="16"/>
      <c r="OWM245" s="16"/>
      <c r="OWN245" s="16"/>
      <c r="OWO245" s="15"/>
      <c r="OWP245" s="15"/>
      <c r="OWQ245" s="10"/>
      <c r="OWR245" s="10"/>
      <c r="OWS245" s="19"/>
      <c r="OWT245" s="19"/>
      <c r="OWW245" s="16"/>
      <c r="OWX245" s="15"/>
      <c r="OWY245" s="15"/>
      <c r="OWZ245" s="15"/>
      <c r="OXA245" s="16"/>
      <c r="OXB245" s="16"/>
      <c r="OXC245" s="16"/>
      <c r="OXD245" s="16"/>
      <c r="OXE245" s="16"/>
      <c r="OXF245" s="15"/>
      <c r="OXG245" s="15"/>
      <c r="OXH245" s="10"/>
      <c r="OXI245" s="10"/>
      <c r="OXJ245" s="19"/>
      <c r="OXK245" s="19"/>
      <c r="OXN245" s="16"/>
      <c r="OXO245" s="15"/>
      <c r="OXP245" s="15"/>
      <c r="OXQ245" s="15"/>
      <c r="OXR245" s="16"/>
      <c r="OXS245" s="16"/>
      <c r="OXT245" s="16"/>
      <c r="OXU245" s="16"/>
      <c r="OXV245" s="16"/>
      <c r="OXW245" s="15"/>
      <c r="OXX245" s="15"/>
      <c r="OXY245" s="10"/>
      <c r="OXZ245" s="10"/>
      <c r="OYA245" s="19"/>
      <c r="OYB245" s="19"/>
      <c r="OYE245" s="16"/>
      <c r="OYF245" s="15"/>
      <c r="OYG245" s="15"/>
      <c r="OYH245" s="15"/>
      <c r="OYI245" s="16"/>
      <c r="OYJ245" s="16"/>
      <c r="OYK245" s="16"/>
      <c r="OYL245" s="16"/>
      <c r="OYM245" s="16"/>
      <c r="OYN245" s="15"/>
      <c r="OYO245" s="15"/>
      <c r="OYP245" s="10"/>
      <c r="OYQ245" s="10"/>
      <c r="OYR245" s="19"/>
      <c r="OYS245" s="19"/>
      <c r="OYV245" s="16"/>
      <c r="OYW245" s="15"/>
      <c r="OYX245" s="15"/>
      <c r="OYY245" s="15"/>
      <c r="OYZ245" s="16"/>
      <c r="OZA245" s="16"/>
      <c r="OZB245" s="16"/>
      <c r="OZC245" s="16"/>
      <c r="OZD245" s="16"/>
      <c r="OZE245" s="15"/>
      <c r="OZF245" s="15"/>
      <c r="OZG245" s="10"/>
      <c r="OZH245" s="10"/>
      <c r="OZI245" s="19"/>
      <c r="OZJ245" s="19"/>
      <c r="OZM245" s="16"/>
      <c r="OZN245" s="15"/>
      <c r="OZO245" s="15"/>
      <c r="OZP245" s="15"/>
      <c r="OZQ245" s="16"/>
      <c r="OZR245" s="16"/>
      <c r="OZS245" s="16"/>
      <c r="OZT245" s="16"/>
      <c r="OZU245" s="16"/>
      <c r="OZV245" s="15"/>
      <c r="OZW245" s="15"/>
      <c r="OZX245" s="10"/>
      <c r="OZY245" s="10"/>
      <c r="OZZ245" s="19"/>
      <c r="PAA245" s="19"/>
      <c r="PAD245" s="16"/>
      <c r="PAE245" s="15"/>
      <c r="PAF245" s="15"/>
      <c r="PAG245" s="15"/>
      <c r="PAH245" s="16"/>
      <c r="PAI245" s="16"/>
      <c r="PAJ245" s="16"/>
      <c r="PAK245" s="16"/>
      <c r="PAL245" s="16"/>
      <c r="PAM245" s="15"/>
      <c r="PAN245" s="15"/>
      <c r="PAO245" s="10"/>
      <c r="PAP245" s="10"/>
      <c r="PAQ245" s="19"/>
      <c r="PAR245" s="19"/>
      <c r="PAU245" s="16"/>
      <c r="PAV245" s="15"/>
      <c r="PAW245" s="15"/>
      <c r="PAX245" s="15"/>
      <c r="PAY245" s="16"/>
      <c r="PAZ245" s="16"/>
      <c r="PBA245" s="16"/>
      <c r="PBB245" s="16"/>
      <c r="PBC245" s="16"/>
      <c r="PBD245" s="15"/>
      <c r="PBE245" s="15"/>
      <c r="PBF245" s="10"/>
      <c r="PBG245" s="10"/>
      <c r="PBH245" s="19"/>
      <c r="PBI245" s="19"/>
      <c r="PBL245" s="16"/>
      <c r="PBM245" s="15"/>
      <c r="PBN245" s="15"/>
      <c r="PBO245" s="15"/>
      <c r="PBP245" s="16"/>
      <c r="PBQ245" s="16"/>
      <c r="PBR245" s="16"/>
      <c r="PBS245" s="16"/>
      <c r="PBT245" s="16"/>
      <c r="PBU245" s="15"/>
      <c r="PBV245" s="15"/>
      <c r="PBW245" s="10"/>
      <c r="PBX245" s="10"/>
      <c r="PBY245" s="19"/>
      <c r="PBZ245" s="19"/>
      <c r="PCC245" s="16"/>
      <c r="PCD245" s="15"/>
      <c r="PCE245" s="15"/>
      <c r="PCF245" s="15"/>
      <c r="PCG245" s="16"/>
      <c r="PCH245" s="16"/>
      <c r="PCI245" s="16"/>
      <c r="PCJ245" s="16"/>
      <c r="PCK245" s="16"/>
      <c r="PCL245" s="15"/>
      <c r="PCM245" s="15"/>
      <c r="PCN245" s="10"/>
      <c r="PCO245" s="10"/>
      <c r="PCP245" s="19"/>
      <c r="PCQ245" s="19"/>
      <c r="PCT245" s="16"/>
      <c r="PCU245" s="15"/>
      <c r="PCV245" s="15"/>
      <c r="PCW245" s="15"/>
      <c r="PCX245" s="16"/>
      <c r="PCY245" s="16"/>
      <c r="PCZ245" s="16"/>
      <c r="PDA245" s="16"/>
      <c r="PDB245" s="16"/>
      <c r="PDC245" s="15"/>
      <c r="PDD245" s="15"/>
      <c r="PDE245" s="10"/>
      <c r="PDF245" s="10"/>
      <c r="PDG245" s="19"/>
      <c r="PDH245" s="19"/>
      <c r="PDK245" s="16"/>
      <c r="PDL245" s="15"/>
      <c r="PDM245" s="15"/>
      <c r="PDN245" s="15"/>
      <c r="PDO245" s="16"/>
      <c r="PDP245" s="16"/>
      <c r="PDQ245" s="16"/>
      <c r="PDR245" s="16"/>
      <c r="PDS245" s="16"/>
      <c r="PDT245" s="15"/>
      <c r="PDU245" s="15"/>
      <c r="PDV245" s="10"/>
      <c r="PDW245" s="10"/>
      <c r="PDX245" s="19"/>
      <c r="PDY245" s="19"/>
      <c r="PEB245" s="16"/>
      <c r="PEC245" s="15"/>
      <c r="PED245" s="15"/>
      <c r="PEE245" s="15"/>
      <c r="PEF245" s="16"/>
      <c r="PEG245" s="16"/>
      <c r="PEH245" s="16"/>
      <c r="PEI245" s="16"/>
      <c r="PEJ245" s="16"/>
      <c r="PEK245" s="15"/>
      <c r="PEL245" s="15"/>
      <c r="PEM245" s="10"/>
      <c r="PEN245" s="10"/>
      <c r="PEO245" s="19"/>
      <c r="PEP245" s="19"/>
      <c r="PES245" s="16"/>
      <c r="PET245" s="15"/>
      <c r="PEU245" s="15"/>
      <c r="PEV245" s="15"/>
      <c r="PEW245" s="16"/>
      <c r="PEX245" s="16"/>
      <c r="PEY245" s="16"/>
      <c r="PEZ245" s="16"/>
      <c r="PFA245" s="16"/>
      <c r="PFB245" s="15"/>
      <c r="PFC245" s="15"/>
      <c r="PFD245" s="10"/>
      <c r="PFE245" s="10"/>
      <c r="PFF245" s="19"/>
      <c r="PFG245" s="19"/>
      <c r="PFJ245" s="16"/>
      <c r="PFK245" s="15"/>
      <c r="PFL245" s="15"/>
      <c r="PFM245" s="15"/>
      <c r="PFN245" s="16"/>
      <c r="PFO245" s="16"/>
      <c r="PFP245" s="16"/>
      <c r="PFQ245" s="16"/>
      <c r="PFR245" s="16"/>
      <c r="PFS245" s="15"/>
      <c r="PFT245" s="15"/>
      <c r="PFU245" s="10"/>
      <c r="PFV245" s="10"/>
      <c r="PFW245" s="19"/>
      <c r="PFX245" s="19"/>
      <c r="PGA245" s="16"/>
      <c r="PGB245" s="15"/>
      <c r="PGC245" s="15"/>
      <c r="PGD245" s="15"/>
      <c r="PGE245" s="16"/>
      <c r="PGF245" s="16"/>
      <c r="PGG245" s="16"/>
      <c r="PGH245" s="16"/>
      <c r="PGI245" s="16"/>
      <c r="PGJ245" s="15"/>
      <c r="PGK245" s="15"/>
      <c r="PGL245" s="10"/>
      <c r="PGM245" s="10"/>
      <c r="PGN245" s="19"/>
      <c r="PGO245" s="19"/>
      <c r="PGR245" s="16"/>
      <c r="PGS245" s="15"/>
      <c r="PGT245" s="15"/>
      <c r="PGU245" s="15"/>
      <c r="PGV245" s="16"/>
      <c r="PGW245" s="16"/>
      <c r="PGX245" s="16"/>
      <c r="PGY245" s="16"/>
      <c r="PGZ245" s="16"/>
      <c r="PHA245" s="15"/>
      <c r="PHB245" s="15"/>
      <c r="PHC245" s="10"/>
      <c r="PHD245" s="10"/>
      <c r="PHE245" s="19"/>
      <c r="PHF245" s="19"/>
      <c r="PHI245" s="16"/>
      <c r="PHJ245" s="15"/>
      <c r="PHK245" s="15"/>
      <c r="PHL245" s="15"/>
      <c r="PHM245" s="16"/>
      <c r="PHN245" s="16"/>
      <c r="PHO245" s="16"/>
      <c r="PHP245" s="16"/>
      <c r="PHQ245" s="16"/>
      <c r="PHR245" s="15"/>
      <c r="PHS245" s="15"/>
      <c r="PHT245" s="10"/>
      <c r="PHU245" s="10"/>
      <c r="PHV245" s="19"/>
      <c r="PHW245" s="19"/>
      <c r="PHZ245" s="16"/>
      <c r="PIA245" s="15"/>
      <c r="PIB245" s="15"/>
      <c r="PIC245" s="15"/>
      <c r="PID245" s="16"/>
      <c r="PIE245" s="16"/>
      <c r="PIF245" s="16"/>
      <c r="PIG245" s="16"/>
      <c r="PIH245" s="16"/>
      <c r="PII245" s="15"/>
      <c r="PIJ245" s="15"/>
      <c r="PIK245" s="10"/>
      <c r="PIL245" s="10"/>
      <c r="PIM245" s="19"/>
      <c r="PIN245" s="19"/>
      <c r="PIQ245" s="16"/>
      <c r="PIR245" s="15"/>
      <c r="PIS245" s="15"/>
      <c r="PIT245" s="15"/>
      <c r="PIU245" s="16"/>
      <c r="PIV245" s="16"/>
      <c r="PIW245" s="16"/>
      <c r="PIX245" s="16"/>
      <c r="PIY245" s="16"/>
      <c r="PIZ245" s="15"/>
      <c r="PJA245" s="15"/>
      <c r="PJB245" s="10"/>
      <c r="PJC245" s="10"/>
      <c r="PJD245" s="19"/>
      <c r="PJE245" s="19"/>
      <c r="PJH245" s="16"/>
      <c r="PJI245" s="15"/>
      <c r="PJJ245" s="15"/>
      <c r="PJK245" s="15"/>
      <c r="PJL245" s="16"/>
      <c r="PJM245" s="16"/>
      <c r="PJN245" s="16"/>
      <c r="PJO245" s="16"/>
      <c r="PJP245" s="16"/>
      <c r="PJQ245" s="15"/>
      <c r="PJR245" s="15"/>
      <c r="PJS245" s="10"/>
      <c r="PJT245" s="10"/>
      <c r="PJU245" s="19"/>
      <c r="PJV245" s="19"/>
      <c r="PJY245" s="16"/>
      <c r="PJZ245" s="15"/>
      <c r="PKA245" s="15"/>
      <c r="PKB245" s="15"/>
      <c r="PKC245" s="16"/>
      <c r="PKD245" s="16"/>
      <c r="PKE245" s="16"/>
      <c r="PKF245" s="16"/>
      <c r="PKG245" s="16"/>
      <c r="PKH245" s="15"/>
      <c r="PKI245" s="15"/>
      <c r="PKJ245" s="10"/>
      <c r="PKK245" s="10"/>
      <c r="PKL245" s="19"/>
      <c r="PKM245" s="19"/>
      <c r="PKP245" s="16"/>
      <c r="PKQ245" s="15"/>
      <c r="PKR245" s="15"/>
      <c r="PKS245" s="15"/>
      <c r="PKT245" s="16"/>
      <c r="PKU245" s="16"/>
      <c r="PKV245" s="16"/>
      <c r="PKW245" s="16"/>
      <c r="PKX245" s="16"/>
      <c r="PKY245" s="15"/>
      <c r="PKZ245" s="15"/>
      <c r="PLA245" s="10"/>
      <c r="PLB245" s="10"/>
      <c r="PLC245" s="19"/>
      <c r="PLD245" s="19"/>
      <c r="PLG245" s="16"/>
      <c r="PLH245" s="15"/>
      <c r="PLI245" s="15"/>
      <c r="PLJ245" s="15"/>
      <c r="PLK245" s="16"/>
      <c r="PLL245" s="16"/>
      <c r="PLM245" s="16"/>
      <c r="PLN245" s="16"/>
      <c r="PLO245" s="16"/>
      <c r="PLP245" s="15"/>
      <c r="PLQ245" s="15"/>
      <c r="PLR245" s="10"/>
      <c r="PLS245" s="10"/>
      <c r="PLT245" s="19"/>
      <c r="PLU245" s="19"/>
      <c r="PLX245" s="16"/>
      <c r="PLY245" s="15"/>
      <c r="PLZ245" s="15"/>
      <c r="PMA245" s="15"/>
      <c r="PMB245" s="16"/>
      <c r="PMC245" s="16"/>
      <c r="PMD245" s="16"/>
      <c r="PME245" s="16"/>
      <c r="PMF245" s="16"/>
      <c r="PMG245" s="15"/>
      <c r="PMH245" s="15"/>
      <c r="PMI245" s="10"/>
      <c r="PMJ245" s="10"/>
      <c r="PMK245" s="19"/>
      <c r="PML245" s="19"/>
      <c r="PMO245" s="16"/>
      <c r="PMP245" s="15"/>
      <c r="PMQ245" s="15"/>
      <c r="PMR245" s="15"/>
      <c r="PMS245" s="16"/>
      <c r="PMT245" s="16"/>
      <c r="PMU245" s="16"/>
      <c r="PMV245" s="16"/>
      <c r="PMW245" s="16"/>
      <c r="PMX245" s="15"/>
      <c r="PMY245" s="15"/>
      <c r="PMZ245" s="10"/>
      <c r="PNA245" s="10"/>
      <c r="PNB245" s="19"/>
      <c r="PNC245" s="19"/>
      <c r="PNF245" s="16"/>
      <c r="PNG245" s="15"/>
      <c r="PNH245" s="15"/>
      <c r="PNI245" s="15"/>
      <c r="PNJ245" s="16"/>
      <c r="PNK245" s="16"/>
      <c r="PNL245" s="16"/>
      <c r="PNM245" s="16"/>
      <c r="PNN245" s="16"/>
      <c r="PNO245" s="15"/>
      <c r="PNP245" s="15"/>
      <c r="PNQ245" s="10"/>
      <c r="PNR245" s="10"/>
      <c r="PNS245" s="19"/>
      <c r="PNT245" s="19"/>
      <c r="PNW245" s="16"/>
      <c r="PNX245" s="15"/>
      <c r="PNY245" s="15"/>
      <c r="PNZ245" s="15"/>
      <c r="POA245" s="16"/>
      <c r="POB245" s="16"/>
      <c r="POC245" s="16"/>
      <c r="POD245" s="16"/>
      <c r="POE245" s="16"/>
      <c r="POF245" s="15"/>
      <c r="POG245" s="15"/>
      <c r="POH245" s="10"/>
      <c r="POI245" s="10"/>
      <c r="POJ245" s="19"/>
      <c r="POK245" s="19"/>
      <c r="PON245" s="16"/>
      <c r="POO245" s="15"/>
      <c r="POP245" s="15"/>
      <c r="POQ245" s="15"/>
      <c r="POR245" s="16"/>
      <c r="POS245" s="16"/>
      <c r="POT245" s="16"/>
      <c r="POU245" s="16"/>
      <c r="POV245" s="16"/>
      <c r="POW245" s="15"/>
      <c r="POX245" s="15"/>
      <c r="POY245" s="10"/>
      <c r="POZ245" s="10"/>
      <c r="PPA245" s="19"/>
      <c r="PPB245" s="19"/>
      <c r="PPE245" s="16"/>
      <c r="PPF245" s="15"/>
      <c r="PPG245" s="15"/>
      <c r="PPH245" s="15"/>
      <c r="PPI245" s="16"/>
      <c r="PPJ245" s="16"/>
      <c r="PPK245" s="16"/>
      <c r="PPL245" s="16"/>
      <c r="PPM245" s="16"/>
      <c r="PPN245" s="15"/>
      <c r="PPO245" s="15"/>
      <c r="PPP245" s="10"/>
      <c r="PPQ245" s="10"/>
      <c r="PPR245" s="19"/>
      <c r="PPS245" s="19"/>
      <c r="PPV245" s="16"/>
      <c r="PPW245" s="15"/>
      <c r="PPX245" s="15"/>
      <c r="PPY245" s="15"/>
      <c r="PPZ245" s="16"/>
      <c r="PQA245" s="16"/>
      <c r="PQB245" s="16"/>
      <c r="PQC245" s="16"/>
      <c r="PQD245" s="16"/>
      <c r="PQE245" s="15"/>
      <c r="PQF245" s="15"/>
      <c r="PQG245" s="10"/>
      <c r="PQH245" s="10"/>
      <c r="PQI245" s="19"/>
      <c r="PQJ245" s="19"/>
      <c r="PQM245" s="16"/>
      <c r="PQN245" s="15"/>
      <c r="PQO245" s="15"/>
      <c r="PQP245" s="15"/>
      <c r="PQQ245" s="16"/>
      <c r="PQR245" s="16"/>
      <c r="PQS245" s="16"/>
      <c r="PQT245" s="16"/>
      <c r="PQU245" s="16"/>
      <c r="PQV245" s="15"/>
      <c r="PQW245" s="15"/>
      <c r="PQX245" s="10"/>
      <c r="PQY245" s="10"/>
      <c r="PQZ245" s="19"/>
      <c r="PRA245" s="19"/>
      <c r="PRD245" s="16"/>
      <c r="PRE245" s="15"/>
      <c r="PRF245" s="15"/>
      <c r="PRG245" s="15"/>
      <c r="PRH245" s="16"/>
      <c r="PRI245" s="16"/>
      <c r="PRJ245" s="16"/>
      <c r="PRK245" s="16"/>
      <c r="PRL245" s="16"/>
      <c r="PRM245" s="15"/>
      <c r="PRN245" s="15"/>
      <c r="PRO245" s="10"/>
      <c r="PRP245" s="10"/>
      <c r="PRQ245" s="19"/>
      <c r="PRR245" s="19"/>
      <c r="PRU245" s="16"/>
      <c r="PRV245" s="15"/>
      <c r="PRW245" s="15"/>
      <c r="PRX245" s="15"/>
      <c r="PRY245" s="16"/>
      <c r="PRZ245" s="16"/>
      <c r="PSA245" s="16"/>
      <c r="PSB245" s="16"/>
      <c r="PSC245" s="16"/>
      <c r="PSD245" s="15"/>
      <c r="PSE245" s="15"/>
      <c r="PSF245" s="10"/>
      <c r="PSG245" s="10"/>
      <c r="PSH245" s="19"/>
      <c r="PSI245" s="19"/>
      <c r="PSL245" s="16"/>
      <c r="PSM245" s="15"/>
      <c r="PSN245" s="15"/>
      <c r="PSO245" s="15"/>
      <c r="PSP245" s="16"/>
      <c r="PSQ245" s="16"/>
      <c r="PSR245" s="16"/>
      <c r="PSS245" s="16"/>
      <c r="PST245" s="16"/>
      <c r="PSU245" s="15"/>
      <c r="PSV245" s="15"/>
      <c r="PSW245" s="10"/>
      <c r="PSX245" s="10"/>
      <c r="PSY245" s="19"/>
      <c r="PSZ245" s="19"/>
      <c r="PTC245" s="16"/>
      <c r="PTD245" s="15"/>
      <c r="PTE245" s="15"/>
      <c r="PTF245" s="15"/>
      <c r="PTG245" s="16"/>
      <c r="PTH245" s="16"/>
      <c r="PTI245" s="16"/>
      <c r="PTJ245" s="16"/>
      <c r="PTK245" s="16"/>
      <c r="PTL245" s="15"/>
      <c r="PTM245" s="15"/>
      <c r="PTN245" s="10"/>
      <c r="PTO245" s="10"/>
      <c r="PTP245" s="19"/>
      <c r="PTQ245" s="19"/>
      <c r="PTT245" s="16"/>
      <c r="PTU245" s="15"/>
      <c r="PTV245" s="15"/>
      <c r="PTW245" s="15"/>
      <c r="PTX245" s="16"/>
      <c r="PTY245" s="16"/>
      <c r="PTZ245" s="16"/>
      <c r="PUA245" s="16"/>
      <c r="PUB245" s="16"/>
      <c r="PUC245" s="15"/>
      <c r="PUD245" s="15"/>
      <c r="PUE245" s="10"/>
      <c r="PUF245" s="10"/>
      <c r="PUG245" s="19"/>
      <c r="PUH245" s="19"/>
      <c r="PUK245" s="16"/>
      <c r="PUL245" s="15"/>
      <c r="PUM245" s="15"/>
      <c r="PUN245" s="15"/>
      <c r="PUO245" s="16"/>
      <c r="PUP245" s="16"/>
      <c r="PUQ245" s="16"/>
      <c r="PUR245" s="16"/>
      <c r="PUS245" s="16"/>
      <c r="PUT245" s="15"/>
      <c r="PUU245" s="15"/>
      <c r="PUV245" s="10"/>
      <c r="PUW245" s="10"/>
      <c r="PUX245" s="19"/>
      <c r="PUY245" s="19"/>
      <c r="PVB245" s="16"/>
      <c r="PVC245" s="15"/>
      <c r="PVD245" s="15"/>
      <c r="PVE245" s="15"/>
      <c r="PVF245" s="16"/>
      <c r="PVG245" s="16"/>
      <c r="PVH245" s="16"/>
      <c r="PVI245" s="16"/>
      <c r="PVJ245" s="16"/>
      <c r="PVK245" s="15"/>
      <c r="PVL245" s="15"/>
      <c r="PVM245" s="10"/>
      <c r="PVN245" s="10"/>
      <c r="PVO245" s="19"/>
      <c r="PVP245" s="19"/>
      <c r="PVS245" s="16"/>
      <c r="PVT245" s="15"/>
      <c r="PVU245" s="15"/>
      <c r="PVV245" s="15"/>
      <c r="PVW245" s="16"/>
      <c r="PVX245" s="16"/>
      <c r="PVY245" s="16"/>
      <c r="PVZ245" s="16"/>
      <c r="PWA245" s="16"/>
      <c r="PWB245" s="15"/>
      <c r="PWC245" s="15"/>
      <c r="PWD245" s="10"/>
      <c r="PWE245" s="10"/>
      <c r="PWF245" s="19"/>
      <c r="PWG245" s="19"/>
      <c r="PWJ245" s="16"/>
      <c r="PWK245" s="15"/>
      <c r="PWL245" s="15"/>
      <c r="PWM245" s="15"/>
      <c r="PWN245" s="16"/>
      <c r="PWO245" s="16"/>
      <c r="PWP245" s="16"/>
      <c r="PWQ245" s="16"/>
      <c r="PWR245" s="16"/>
      <c r="PWS245" s="15"/>
      <c r="PWT245" s="15"/>
      <c r="PWU245" s="10"/>
      <c r="PWV245" s="10"/>
      <c r="PWW245" s="19"/>
      <c r="PWX245" s="19"/>
      <c r="PXA245" s="16"/>
      <c r="PXB245" s="15"/>
      <c r="PXC245" s="15"/>
      <c r="PXD245" s="15"/>
      <c r="PXE245" s="16"/>
      <c r="PXF245" s="16"/>
      <c r="PXG245" s="16"/>
      <c r="PXH245" s="16"/>
      <c r="PXI245" s="16"/>
      <c r="PXJ245" s="15"/>
      <c r="PXK245" s="15"/>
      <c r="PXL245" s="10"/>
      <c r="PXM245" s="10"/>
      <c r="PXN245" s="19"/>
      <c r="PXO245" s="19"/>
      <c r="PXR245" s="16"/>
      <c r="PXS245" s="15"/>
      <c r="PXT245" s="15"/>
      <c r="PXU245" s="15"/>
      <c r="PXV245" s="16"/>
      <c r="PXW245" s="16"/>
      <c r="PXX245" s="16"/>
      <c r="PXY245" s="16"/>
      <c r="PXZ245" s="16"/>
      <c r="PYA245" s="15"/>
      <c r="PYB245" s="15"/>
      <c r="PYC245" s="10"/>
      <c r="PYD245" s="10"/>
      <c r="PYE245" s="19"/>
      <c r="PYF245" s="19"/>
      <c r="PYI245" s="16"/>
      <c r="PYJ245" s="15"/>
      <c r="PYK245" s="15"/>
      <c r="PYL245" s="15"/>
      <c r="PYM245" s="16"/>
      <c r="PYN245" s="16"/>
      <c r="PYO245" s="16"/>
      <c r="PYP245" s="16"/>
      <c r="PYQ245" s="16"/>
      <c r="PYR245" s="15"/>
      <c r="PYS245" s="15"/>
      <c r="PYT245" s="10"/>
      <c r="PYU245" s="10"/>
      <c r="PYV245" s="19"/>
      <c r="PYW245" s="19"/>
      <c r="PYZ245" s="16"/>
      <c r="PZA245" s="15"/>
      <c r="PZB245" s="15"/>
      <c r="PZC245" s="15"/>
      <c r="PZD245" s="16"/>
      <c r="PZE245" s="16"/>
      <c r="PZF245" s="16"/>
      <c r="PZG245" s="16"/>
      <c r="PZH245" s="16"/>
      <c r="PZI245" s="15"/>
      <c r="PZJ245" s="15"/>
      <c r="PZK245" s="10"/>
      <c r="PZL245" s="10"/>
      <c r="PZM245" s="19"/>
      <c r="PZN245" s="19"/>
      <c r="PZQ245" s="16"/>
      <c r="PZR245" s="15"/>
      <c r="PZS245" s="15"/>
      <c r="PZT245" s="15"/>
      <c r="PZU245" s="16"/>
      <c r="PZV245" s="16"/>
      <c r="PZW245" s="16"/>
      <c r="PZX245" s="16"/>
      <c r="PZY245" s="16"/>
      <c r="PZZ245" s="15"/>
      <c r="QAA245" s="15"/>
      <c r="QAB245" s="10"/>
      <c r="QAC245" s="10"/>
      <c r="QAD245" s="19"/>
      <c r="QAE245" s="19"/>
      <c r="QAH245" s="16"/>
      <c r="QAI245" s="15"/>
      <c r="QAJ245" s="15"/>
      <c r="QAK245" s="15"/>
      <c r="QAL245" s="16"/>
      <c r="QAM245" s="16"/>
      <c r="QAN245" s="16"/>
      <c r="QAO245" s="16"/>
      <c r="QAP245" s="16"/>
      <c r="QAQ245" s="15"/>
      <c r="QAR245" s="15"/>
      <c r="QAS245" s="10"/>
      <c r="QAT245" s="10"/>
      <c r="QAU245" s="19"/>
      <c r="QAV245" s="19"/>
      <c r="QAY245" s="16"/>
      <c r="QAZ245" s="15"/>
      <c r="QBA245" s="15"/>
      <c r="QBB245" s="15"/>
      <c r="QBC245" s="16"/>
      <c r="QBD245" s="16"/>
      <c r="QBE245" s="16"/>
      <c r="QBF245" s="16"/>
      <c r="QBG245" s="16"/>
      <c r="QBH245" s="15"/>
      <c r="QBI245" s="15"/>
      <c r="QBJ245" s="10"/>
      <c r="QBK245" s="10"/>
      <c r="QBL245" s="19"/>
      <c r="QBM245" s="19"/>
      <c r="QBP245" s="16"/>
      <c r="QBQ245" s="15"/>
      <c r="QBR245" s="15"/>
      <c r="QBS245" s="15"/>
      <c r="QBT245" s="16"/>
      <c r="QBU245" s="16"/>
      <c r="QBV245" s="16"/>
      <c r="QBW245" s="16"/>
      <c r="QBX245" s="16"/>
      <c r="QBY245" s="15"/>
      <c r="QBZ245" s="15"/>
      <c r="QCA245" s="10"/>
      <c r="QCB245" s="10"/>
      <c r="QCC245" s="19"/>
      <c r="QCD245" s="19"/>
      <c r="QCG245" s="16"/>
      <c r="QCH245" s="15"/>
      <c r="QCI245" s="15"/>
      <c r="QCJ245" s="15"/>
      <c r="QCK245" s="16"/>
      <c r="QCL245" s="16"/>
      <c r="QCM245" s="16"/>
      <c r="QCN245" s="16"/>
      <c r="QCO245" s="16"/>
      <c r="QCP245" s="15"/>
      <c r="QCQ245" s="15"/>
      <c r="QCR245" s="10"/>
      <c r="QCS245" s="10"/>
      <c r="QCT245" s="19"/>
      <c r="QCU245" s="19"/>
      <c r="QCX245" s="16"/>
      <c r="QCY245" s="15"/>
      <c r="QCZ245" s="15"/>
      <c r="QDA245" s="15"/>
      <c r="QDB245" s="16"/>
      <c r="QDC245" s="16"/>
      <c r="QDD245" s="16"/>
      <c r="QDE245" s="16"/>
      <c r="QDF245" s="16"/>
      <c r="QDG245" s="15"/>
      <c r="QDH245" s="15"/>
      <c r="QDI245" s="10"/>
      <c r="QDJ245" s="10"/>
      <c r="QDK245" s="19"/>
      <c r="QDL245" s="19"/>
      <c r="QDO245" s="16"/>
      <c r="QDP245" s="15"/>
      <c r="QDQ245" s="15"/>
      <c r="QDR245" s="15"/>
      <c r="QDS245" s="16"/>
      <c r="QDT245" s="16"/>
      <c r="QDU245" s="16"/>
      <c r="QDV245" s="16"/>
      <c r="QDW245" s="16"/>
      <c r="QDX245" s="15"/>
      <c r="QDY245" s="15"/>
      <c r="QDZ245" s="10"/>
      <c r="QEA245" s="10"/>
      <c r="QEB245" s="19"/>
      <c r="QEC245" s="19"/>
      <c r="QEF245" s="16"/>
      <c r="QEG245" s="15"/>
      <c r="QEH245" s="15"/>
      <c r="QEI245" s="15"/>
      <c r="QEJ245" s="16"/>
      <c r="QEK245" s="16"/>
      <c r="QEL245" s="16"/>
      <c r="QEM245" s="16"/>
      <c r="QEN245" s="16"/>
      <c r="QEO245" s="15"/>
      <c r="QEP245" s="15"/>
      <c r="QEQ245" s="10"/>
      <c r="QER245" s="10"/>
      <c r="QES245" s="19"/>
      <c r="QET245" s="19"/>
      <c r="QEW245" s="16"/>
      <c r="QEX245" s="15"/>
      <c r="QEY245" s="15"/>
      <c r="QEZ245" s="15"/>
      <c r="QFA245" s="16"/>
      <c r="QFB245" s="16"/>
      <c r="QFC245" s="16"/>
      <c r="QFD245" s="16"/>
      <c r="QFE245" s="16"/>
      <c r="QFF245" s="15"/>
      <c r="QFG245" s="15"/>
      <c r="QFH245" s="10"/>
      <c r="QFI245" s="10"/>
      <c r="QFJ245" s="19"/>
      <c r="QFK245" s="19"/>
      <c r="QFN245" s="16"/>
      <c r="QFO245" s="15"/>
      <c r="QFP245" s="15"/>
      <c r="QFQ245" s="15"/>
      <c r="QFR245" s="16"/>
      <c r="QFS245" s="16"/>
      <c r="QFT245" s="16"/>
      <c r="QFU245" s="16"/>
      <c r="QFV245" s="16"/>
      <c r="QFW245" s="15"/>
      <c r="QFX245" s="15"/>
      <c r="QFY245" s="10"/>
      <c r="QFZ245" s="10"/>
      <c r="QGA245" s="19"/>
      <c r="QGB245" s="19"/>
      <c r="QGE245" s="16"/>
      <c r="QGF245" s="15"/>
      <c r="QGG245" s="15"/>
      <c r="QGH245" s="15"/>
      <c r="QGI245" s="16"/>
      <c r="QGJ245" s="16"/>
      <c r="QGK245" s="16"/>
      <c r="QGL245" s="16"/>
      <c r="QGM245" s="16"/>
      <c r="QGN245" s="15"/>
      <c r="QGO245" s="15"/>
      <c r="QGP245" s="10"/>
      <c r="QGQ245" s="10"/>
      <c r="QGR245" s="19"/>
      <c r="QGS245" s="19"/>
      <c r="QGV245" s="16"/>
      <c r="QGW245" s="15"/>
      <c r="QGX245" s="15"/>
      <c r="QGY245" s="15"/>
      <c r="QGZ245" s="16"/>
      <c r="QHA245" s="16"/>
      <c r="QHB245" s="16"/>
      <c r="QHC245" s="16"/>
      <c r="QHD245" s="16"/>
      <c r="QHE245" s="15"/>
      <c r="QHF245" s="15"/>
      <c r="QHG245" s="10"/>
      <c r="QHH245" s="10"/>
      <c r="QHI245" s="19"/>
      <c r="QHJ245" s="19"/>
      <c r="QHM245" s="16"/>
      <c r="QHN245" s="15"/>
      <c r="QHO245" s="15"/>
      <c r="QHP245" s="15"/>
      <c r="QHQ245" s="16"/>
      <c r="QHR245" s="16"/>
      <c r="QHS245" s="16"/>
      <c r="QHT245" s="16"/>
      <c r="QHU245" s="16"/>
      <c r="QHV245" s="15"/>
      <c r="QHW245" s="15"/>
      <c r="QHX245" s="10"/>
      <c r="QHY245" s="10"/>
      <c r="QHZ245" s="19"/>
      <c r="QIA245" s="19"/>
      <c r="QID245" s="16"/>
      <c r="QIE245" s="15"/>
      <c r="QIF245" s="15"/>
      <c r="QIG245" s="15"/>
      <c r="QIH245" s="16"/>
      <c r="QII245" s="16"/>
      <c r="QIJ245" s="16"/>
      <c r="QIK245" s="16"/>
      <c r="QIL245" s="16"/>
      <c r="QIM245" s="15"/>
      <c r="QIN245" s="15"/>
      <c r="QIO245" s="10"/>
      <c r="QIP245" s="10"/>
      <c r="QIQ245" s="19"/>
      <c r="QIR245" s="19"/>
      <c r="QIU245" s="16"/>
      <c r="QIV245" s="15"/>
      <c r="QIW245" s="15"/>
      <c r="QIX245" s="15"/>
      <c r="QIY245" s="16"/>
      <c r="QIZ245" s="16"/>
      <c r="QJA245" s="16"/>
      <c r="QJB245" s="16"/>
      <c r="QJC245" s="16"/>
      <c r="QJD245" s="15"/>
      <c r="QJE245" s="15"/>
      <c r="QJF245" s="10"/>
      <c r="QJG245" s="10"/>
      <c r="QJH245" s="19"/>
      <c r="QJI245" s="19"/>
      <c r="QJL245" s="16"/>
      <c r="QJM245" s="15"/>
      <c r="QJN245" s="15"/>
      <c r="QJO245" s="15"/>
      <c r="QJP245" s="16"/>
      <c r="QJQ245" s="16"/>
      <c r="QJR245" s="16"/>
      <c r="QJS245" s="16"/>
      <c r="QJT245" s="16"/>
      <c r="QJU245" s="15"/>
      <c r="QJV245" s="15"/>
      <c r="QJW245" s="10"/>
      <c r="QJX245" s="10"/>
      <c r="QJY245" s="19"/>
      <c r="QJZ245" s="19"/>
      <c r="QKC245" s="16"/>
      <c r="QKD245" s="15"/>
      <c r="QKE245" s="15"/>
      <c r="QKF245" s="15"/>
      <c r="QKG245" s="16"/>
      <c r="QKH245" s="16"/>
      <c r="QKI245" s="16"/>
      <c r="QKJ245" s="16"/>
      <c r="QKK245" s="16"/>
      <c r="QKL245" s="15"/>
      <c r="QKM245" s="15"/>
      <c r="QKN245" s="10"/>
      <c r="QKO245" s="10"/>
      <c r="QKP245" s="19"/>
      <c r="QKQ245" s="19"/>
      <c r="QKT245" s="16"/>
      <c r="QKU245" s="15"/>
      <c r="QKV245" s="15"/>
      <c r="QKW245" s="15"/>
      <c r="QKX245" s="16"/>
      <c r="QKY245" s="16"/>
      <c r="QKZ245" s="16"/>
      <c r="QLA245" s="16"/>
      <c r="QLB245" s="16"/>
      <c r="QLC245" s="15"/>
      <c r="QLD245" s="15"/>
      <c r="QLE245" s="10"/>
      <c r="QLF245" s="10"/>
      <c r="QLG245" s="19"/>
      <c r="QLH245" s="19"/>
      <c r="QLK245" s="16"/>
      <c r="QLL245" s="15"/>
      <c r="QLM245" s="15"/>
      <c r="QLN245" s="15"/>
      <c r="QLO245" s="16"/>
      <c r="QLP245" s="16"/>
      <c r="QLQ245" s="16"/>
      <c r="QLR245" s="16"/>
      <c r="QLS245" s="16"/>
      <c r="QLT245" s="15"/>
      <c r="QLU245" s="15"/>
      <c r="QLV245" s="10"/>
      <c r="QLW245" s="10"/>
      <c r="QLX245" s="19"/>
      <c r="QLY245" s="19"/>
      <c r="QMB245" s="16"/>
      <c r="QMC245" s="15"/>
      <c r="QMD245" s="15"/>
      <c r="QME245" s="15"/>
      <c r="QMF245" s="16"/>
      <c r="QMG245" s="16"/>
      <c r="QMH245" s="16"/>
      <c r="QMI245" s="16"/>
      <c r="QMJ245" s="16"/>
      <c r="QMK245" s="15"/>
      <c r="QML245" s="15"/>
      <c r="QMM245" s="10"/>
      <c r="QMN245" s="10"/>
      <c r="QMO245" s="19"/>
      <c r="QMP245" s="19"/>
      <c r="QMS245" s="16"/>
      <c r="QMT245" s="15"/>
      <c r="QMU245" s="15"/>
      <c r="QMV245" s="15"/>
      <c r="QMW245" s="16"/>
      <c r="QMX245" s="16"/>
      <c r="QMY245" s="16"/>
      <c r="QMZ245" s="16"/>
      <c r="QNA245" s="16"/>
      <c r="QNB245" s="15"/>
      <c r="QNC245" s="15"/>
      <c r="QND245" s="10"/>
      <c r="QNE245" s="10"/>
      <c r="QNF245" s="19"/>
      <c r="QNG245" s="19"/>
      <c r="QNJ245" s="16"/>
      <c r="QNK245" s="15"/>
      <c r="QNL245" s="15"/>
      <c r="QNM245" s="15"/>
      <c r="QNN245" s="16"/>
      <c r="QNO245" s="16"/>
      <c r="QNP245" s="16"/>
      <c r="QNQ245" s="16"/>
      <c r="QNR245" s="16"/>
      <c r="QNS245" s="15"/>
      <c r="QNT245" s="15"/>
      <c r="QNU245" s="10"/>
      <c r="QNV245" s="10"/>
      <c r="QNW245" s="19"/>
      <c r="QNX245" s="19"/>
      <c r="QOA245" s="16"/>
      <c r="QOB245" s="15"/>
      <c r="QOC245" s="15"/>
      <c r="QOD245" s="15"/>
      <c r="QOE245" s="16"/>
      <c r="QOF245" s="16"/>
      <c r="QOG245" s="16"/>
      <c r="QOH245" s="16"/>
      <c r="QOI245" s="16"/>
      <c r="QOJ245" s="15"/>
      <c r="QOK245" s="15"/>
      <c r="QOL245" s="10"/>
      <c r="QOM245" s="10"/>
      <c r="QON245" s="19"/>
      <c r="QOO245" s="19"/>
      <c r="QOR245" s="16"/>
      <c r="QOS245" s="15"/>
      <c r="QOT245" s="15"/>
      <c r="QOU245" s="15"/>
      <c r="QOV245" s="16"/>
      <c r="QOW245" s="16"/>
      <c r="QOX245" s="16"/>
      <c r="QOY245" s="16"/>
      <c r="QOZ245" s="16"/>
      <c r="QPA245" s="15"/>
      <c r="QPB245" s="15"/>
      <c r="QPC245" s="10"/>
      <c r="QPD245" s="10"/>
      <c r="QPE245" s="19"/>
      <c r="QPF245" s="19"/>
      <c r="QPI245" s="16"/>
      <c r="QPJ245" s="15"/>
      <c r="QPK245" s="15"/>
      <c r="QPL245" s="15"/>
      <c r="QPM245" s="16"/>
      <c r="QPN245" s="16"/>
      <c r="QPO245" s="16"/>
      <c r="QPP245" s="16"/>
      <c r="QPQ245" s="16"/>
      <c r="QPR245" s="15"/>
      <c r="QPS245" s="15"/>
      <c r="QPT245" s="10"/>
      <c r="QPU245" s="10"/>
      <c r="QPV245" s="19"/>
      <c r="QPW245" s="19"/>
      <c r="QPZ245" s="16"/>
      <c r="QQA245" s="15"/>
      <c r="QQB245" s="15"/>
      <c r="QQC245" s="15"/>
      <c r="QQD245" s="16"/>
      <c r="QQE245" s="16"/>
      <c r="QQF245" s="16"/>
      <c r="QQG245" s="16"/>
      <c r="QQH245" s="16"/>
      <c r="QQI245" s="15"/>
      <c r="QQJ245" s="15"/>
      <c r="QQK245" s="10"/>
      <c r="QQL245" s="10"/>
      <c r="QQM245" s="19"/>
      <c r="QQN245" s="19"/>
      <c r="QQQ245" s="16"/>
      <c r="QQR245" s="15"/>
      <c r="QQS245" s="15"/>
      <c r="QQT245" s="15"/>
      <c r="QQU245" s="16"/>
      <c r="QQV245" s="16"/>
      <c r="QQW245" s="16"/>
      <c r="QQX245" s="16"/>
      <c r="QQY245" s="16"/>
      <c r="QQZ245" s="15"/>
      <c r="QRA245" s="15"/>
      <c r="QRB245" s="10"/>
      <c r="QRC245" s="10"/>
      <c r="QRD245" s="19"/>
      <c r="QRE245" s="19"/>
      <c r="QRH245" s="16"/>
      <c r="QRI245" s="15"/>
      <c r="QRJ245" s="15"/>
      <c r="QRK245" s="15"/>
      <c r="QRL245" s="16"/>
      <c r="QRM245" s="16"/>
      <c r="QRN245" s="16"/>
      <c r="QRO245" s="16"/>
      <c r="QRP245" s="16"/>
      <c r="QRQ245" s="15"/>
      <c r="QRR245" s="15"/>
      <c r="QRS245" s="10"/>
      <c r="QRT245" s="10"/>
      <c r="QRU245" s="19"/>
      <c r="QRV245" s="19"/>
      <c r="QRY245" s="16"/>
      <c r="QRZ245" s="15"/>
      <c r="QSA245" s="15"/>
      <c r="QSB245" s="15"/>
      <c r="QSC245" s="16"/>
      <c r="QSD245" s="16"/>
      <c r="QSE245" s="16"/>
      <c r="QSF245" s="16"/>
      <c r="QSG245" s="16"/>
      <c r="QSH245" s="15"/>
      <c r="QSI245" s="15"/>
      <c r="QSJ245" s="10"/>
      <c r="QSK245" s="10"/>
      <c r="QSL245" s="19"/>
      <c r="QSM245" s="19"/>
      <c r="QSP245" s="16"/>
      <c r="QSQ245" s="15"/>
      <c r="QSR245" s="15"/>
      <c r="QSS245" s="15"/>
      <c r="QST245" s="16"/>
      <c r="QSU245" s="16"/>
      <c r="QSV245" s="16"/>
      <c r="QSW245" s="16"/>
      <c r="QSX245" s="16"/>
      <c r="QSY245" s="15"/>
      <c r="QSZ245" s="15"/>
      <c r="QTA245" s="10"/>
      <c r="QTB245" s="10"/>
      <c r="QTC245" s="19"/>
      <c r="QTD245" s="19"/>
      <c r="QTG245" s="16"/>
      <c r="QTH245" s="15"/>
      <c r="QTI245" s="15"/>
      <c r="QTJ245" s="15"/>
      <c r="QTK245" s="16"/>
      <c r="QTL245" s="16"/>
      <c r="QTM245" s="16"/>
      <c r="QTN245" s="16"/>
      <c r="QTO245" s="16"/>
      <c r="QTP245" s="15"/>
      <c r="QTQ245" s="15"/>
      <c r="QTR245" s="10"/>
      <c r="QTS245" s="10"/>
      <c r="QTT245" s="19"/>
      <c r="QTU245" s="19"/>
      <c r="QTX245" s="16"/>
      <c r="QTY245" s="15"/>
      <c r="QTZ245" s="15"/>
      <c r="QUA245" s="15"/>
      <c r="QUB245" s="16"/>
      <c r="QUC245" s="16"/>
      <c r="QUD245" s="16"/>
      <c r="QUE245" s="16"/>
      <c r="QUF245" s="16"/>
      <c r="QUG245" s="15"/>
      <c r="QUH245" s="15"/>
      <c r="QUI245" s="10"/>
      <c r="QUJ245" s="10"/>
      <c r="QUK245" s="19"/>
      <c r="QUL245" s="19"/>
      <c r="QUO245" s="16"/>
      <c r="QUP245" s="15"/>
      <c r="QUQ245" s="15"/>
      <c r="QUR245" s="15"/>
      <c r="QUS245" s="16"/>
      <c r="QUT245" s="16"/>
      <c r="QUU245" s="16"/>
      <c r="QUV245" s="16"/>
      <c r="QUW245" s="16"/>
      <c r="QUX245" s="15"/>
      <c r="QUY245" s="15"/>
      <c r="QUZ245" s="10"/>
      <c r="QVA245" s="10"/>
      <c r="QVB245" s="19"/>
      <c r="QVC245" s="19"/>
      <c r="QVF245" s="16"/>
      <c r="QVG245" s="15"/>
      <c r="QVH245" s="15"/>
      <c r="QVI245" s="15"/>
      <c r="QVJ245" s="16"/>
      <c r="QVK245" s="16"/>
      <c r="QVL245" s="16"/>
      <c r="QVM245" s="16"/>
      <c r="QVN245" s="16"/>
      <c r="QVO245" s="15"/>
      <c r="QVP245" s="15"/>
      <c r="QVQ245" s="10"/>
      <c r="QVR245" s="10"/>
      <c r="QVS245" s="19"/>
      <c r="QVT245" s="19"/>
      <c r="QVW245" s="16"/>
      <c r="QVX245" s="15"/>
      <c r="QVY245" s="15"/>
      <c r="QVZ245" s="15"/>
      <c r="QWA245" s="16"/>
      <c r="QWB245" s="16"/>
      <c r="QWC245" s="16"/>
      <c r="QWD245" s="16"/>
      <c r="QWE245" s="16"/>
      <c r="QWF245" s="15"/>
      <c r="QWG245" s="15"/>
      <c r="QWH245" s="10"/>
      <c r="QWI245" s="10"/>
      <c r="QWJ245" s="19"/>
      <c r="QWK245" s="19"/>
      <c r="QWN245" s="16"/>
      <c r="QWO245" s="15"/>
      <c r="QWP245" s="15"/>
      <c r="QWQ245" s="15"/>
      <c r="QWR245" s="16"/>
      <c r="QWS245" s="16"/>
      <c r="QWT245" s="16"/>
      <c r="QWU245" s="16"/>
      <c r="QWV245" s="16"/>
      <c r="QWW245" s="15"/>
      <c r="QWX245" s="15"/>
      <c r="QWY245" s="10"/>
      <c r="QWZ245" s="10"/>
      <c r="QXA245" s="19"/>
      <c r="QXB245" s="19"/>
      <c r="QXE245" s="16"/>
      <c r="QXF245" s="15"/>
      <c r="QXG245" s="15"/>
      <c r="QXH245" s="15"/>
      <c r="QXI245" s="16"/>
      <c r="QXJ245" s="16"/>
      <c r="QXK245" s="16"/>
      <c r="QXL245" s="16"/>
      <c r="QXM245" s="16"/>
      <c r="QXN245" s="15"/>
      <c r="QXO245" s="15"/>
      <c r="QXP245" s="10"/>
      <c r="QXQ245" s="10"/>
      <c r="QXR245" s="19"/>
      <c r="QXS245" s="19"/>
      <c r="QXV245" s="16"/>
      <c r="QXW245" s="15"/>
      <c r="QXX245" s="15"/>
      <c r="QXY245" s="15"/>
      <c r="QXZ245" s="16"/>
      <c r="QYA245" s="16"/>
      <c r="QYB245" s="16"/>
      <c r="QYC245" s="16"/>
      <c r="QYD245" s="16"/>
      <c r="QYE245" s="15"/>
      <c r="QYF245" s="15"/>
      <c r="QYG245" s="10"/>
      <c r="QYH245" s="10"/>
      <c r="QYI245" s="19"/>
      <c r="QYJ245" s="19"/>
      <c r="QYM245" s="16"/>
      <c r="QYN245" s="15"/>
      <c r="QYO245" s="15"/>
      <c r="QYP245" s="15"/>
      <c r="QYQ245" s="16"/>
      <c r="QYR245" s="16"/>
      <c r="QYS245" s="16"/>
      <c r="QYT245" s="16"/>
      <c r="QYU245" s="16"/>
      <c r="QYV245" s="15"/>
      <c r="QYW245" s="15"/>
      <c r="QYX245" s="10"/>
      <c r="QYY245" s="10"/>
      <c r="QYZ245" s="19"/>
      <c r="QZA245" s="19"/>
      <c r="QZD245" s="16"/>
      <c r="QZE245" s="15"/>
      <c r="QZF245" s="15"/>
      <c r="QZG245" s="15"/>
      <c r="QZH245" s="16"/>
      <c r="QZI245" s="16"/>
      <c r="QZJ245" s="16"/>
      <c r="QZK245" s="16"/>
      <c r="QZL245" s="16"/>
      <c r="QZM245" s="15"/>
      <c r="QZN245" s="15"/>
      <c r="QZO245" s="10"/>
      <c r="QZP245" s="10"/>
      <c r="QZQ245" s="19"/>
      <c r="QZR245" s="19"/>
      <c r="QZU245" s="16"/>
      <c r="QZV245" s="15"/>
      <c r="QZW245" s="15"/>
      <c r="QZX245" s="15"/>
      <c r="QZY245" s="16"/>
      <c r="QZZ245" s="16"/>
      <c r="RAA245" s="16"/>
      <c r="RAB245" s="16"/>
      <c r="RAC245" s="16"/>
      <c r="RAD245" s="15"/>
      <c r="RAE245" s="15"/>
      <c r="RAF245" s="10"/>
      <c r="RAG245" s="10"/>
      <c r="RAH245" s="19"/>
      <c r="RAI245" s="19"/>
      <c r="RAL245" s="16"/>
      <c r="RAM245" s="15"/>
      <c r="RAN245" s="15"/>
      <c r="RAO245" s="15"/>
      <c r="RAP245" s="16"/>
      <c r="RAQ245" s="16"/>
      <c r="RAR245" s="16"/>
      <c r="RAS245" s="16"/>
      <c r="RAT245" s="16"/>
      <c r="RAU245" s="15"/>
      <c r="RAV245" s="15"/>
      <c r="RAW245" s="10"/>
      <c r="RAX245" s="10"/>
      <c r="RAY245" s="19"/>
      <c r="RAZ245" s="19"/>
      <c r="RBC245" s="16"/>
      <c r="RBD245" s="15"/>
      <c r="RBE245" s="15"/>
      <c r="RBF245" s="15"/>
      <c r="RBG245" s="16"/>
      <c r="RBH245" s="16"/>
      <c r="RBI245" s="16"/>
      <c r="RBJ245" s="16"/>
      <c r="RBK245" s="16"/>
      <c r="RBL245" s="15"/>
      <c r="RBM245" s="15"/>
      <c r="RBN245" s="10"/>
      <c r="RBO245" s="10"/>
      <c r="RBP245" s="19"/>
      <c r="RBQ245" s="19"/>
      <c r="RBT245" s="16"/>
      <c r="RBU245" s="15"/>
      <c r="RBV245" s="15"/>
      <c r="RBW245" s="15"/>
      <c r="RBX245" s="16"/>
      <c r="RBY245" s="16"/>
      <c r="RBZ245" s="16"/>
      <c r="RCA245" s="16"/>
      <c r="RCB245" s="16"/>
      <c r="RCC245" s="15"/>
      <c r="RCD245" s="15"/>
      <c r="RCE245" s="10"/>
      <c r="RCF245" s="10"/>
      <c r="RCG245" s="19"/>
      <c r="RCH245" s="19"/>
      <c r="RCK245" s="16"/>
      <c r="RCL245" s="15"/>
      <c r="RCM245" s="15"/>
      <c r="RCN245" s="15"/>
      <c r="RCO245" s="16"/>
      <c r="RCP245" s="16"/>
      <c r="RCQ245" s="16"/>
      <c r="RCR245" s="16"/>
      <c r="RCS245" s="16"/>
      <c r="RCT245" s="15"/>
      <c r="RCU245" s="15"/>
      <c r="RCV245" s="10"/>
      <c r="RCW245" s="10"/>
      <c r="RCX245" s="19"/>
      <c r="RCY245" s="19"/>
      <c r="RDB245" s="16"/>
      <c r="RDC245" s="15"/>
      <c r="RDD245" s="15"/>
      <c r="RDE245" s="15"/>
      <c r="RDF245" s="16"/>
      <c r="RDG245" s="16"/>
      <c r="RDH245" s="16"/>
      <c r="RDI245" s="16"/>
      <c r="RDJ245" s="16"/>
      <c r="RDK245" s="15"/>
      <c r="RDL245" s="15"/>
      <c r="RDM245" s="10"/>
      <c r="RDN245" s="10"/>
      <c r="RDO245" s="19"/>
      <c r="RDP245" s="19"/>
      <c r="RDS245" s="16"/>
      <c r="RDT245" s="15"/>
      <c r="RDU245" s="15"/>
      <c r="RDV245" s="15"/>
      <c r="RDW245" s="16"/>
      <c r="RDX245" s="16"/>
      <c r="RDY245" s="16"/>
      <c r="RDZ245" s="16"/>
      <c r="REA245" s="16"/>
      <c r="REB245" s="15"/>
      <c r="REC245" s="15"/>
      <c r="RED245" s="10"/>
      <c r="REE245" s="10"/>
      <c r="REF245" s="19"/>
      <c r="REG245" s="19"/>
      <c r="REJ245" s="16"/>
      <c r="REK245" s="15"/>
      <c r="REL245" s="15"/>
      <c r="REM245" s="15"/>
      <c r="REN245" s="16"/>
      <c r="REO245" s="16"/>
      <c r="REP245" s="16"/>
      <c r="REQ245" s="16"/>
      <c r="RER245" s="16"/>
      <c r="RES245" s="15"/>
      <c r="RET245" s="15"/>
      <c r="REU245" s="10"/>
      <c r="REV245" s="10"/>
      <c r="REW245" s="19"/>
      <c r="REX245" s="19"/>
      <c r="RFA245" s="16"/>
      <c r="RFB245" s="15"/>
      <c r="RFC245" s="15"/>
      <c r="RFD245" s="15"/>
      <c r="RFE245" s="16"/>
      <c r="RFF245" s="16"/>
      <c r="RFG245" s="16"/>
      <c r="RFH245" s="16"/>
      <c r="RFI245" s="16"/>
      <c r="RFJ245" s="15"/>
      <c r="RFK245" s="15"/>
      <c r="RFL245" s="10"/>
      <c r="RFM245" s="10"/>
      <c r="RFN245" s="19"/>
      <c r="RFO245" s="19"/>
      <c r="RFR245" s="16"/>
      <c r="RFS245" s="15"/>
      <c r="RFT245" s="15"/>
      <c r="RFU245" s="15"/>
      <c r="RFV245" s="16"/>
      <c r="RFW245" s="16"/>
      <c r="RFX245" s="16"/>
      <c r="RFY245" s="16"/>
      <c r="RFZ245" s="16"/>
      <c r="RGA245" s="15"/>
      <c r="RGB245" s="15"/>
      <c r="RGC245" s="10"/>
      <c r="RGD245" s="10"/>
      <c r="RGE245" s="19"/>
      <c r="RGF245" s="19"/>
      <c r="RGI245" s="16"/>
      <c r="RGJ245" s="15"/>
      <c r="RGK245" s="15"/>
      <c r="RGL245" s="15"/>
      <c r="RGM245" s="16"/>
      <c r="RGN245" s="16"/>
      <c r="RGO245" s="16"/>
      <c r="RGP245" s="16"/>
      <c r="RGQ245" s="16"/>
      <c r="RGR245" s="15"/>
      <c r="RGS245" s="15"/>
      <c r="RGT245" s="10"/>
      <c r="RGU245" s="10"/>
      <c r="RGV245" s="19"/>
      <c r="RGW245" s="19"/>
      <c r="RGZ245" s="16"/>
      <c r="RHA245" s="15"/>
      <c r="RHB245" s="15"/>
      <c r="RHC245" s="15"/>
      <c r="RHD245" s="16"/>
      <c r="RHE245" s="16"/>
      <c r="RHF245" s="16"/>
      <c r="RHG245" s="16"/>
      <c r="RHH245" s="16"/>
      <c r="RHI245" s="15"/>
      <c r="RHJ245" s="15"/>
      <c r="RHK245" s="10"/>
      <c r="RHL245" s="10"/>
      <c r="RHM245" s="19"/>
      <c r="RHN245" s="19"/>
      <c r="RHQ245" s="16"/>
      <c r="RHR245" s="15"/>
      <c r="RHS245" s="15"/>
      <c r="RHT245" s="15"/>
      <c r="RHU245" s="16"/>
      <c r="RHV245" s="16"/>
      <c r="RHW245" s="16"/>
      <c r="RHX245" s="16"/>
      <c r="RHY245" s="16"/>
      <c r="RHZ245" s="15"/>
      <c r="RIA245" s="15"/>
      <c r="RIB245" s="10"/>
      <c r="RIC245" s="10"/>
      <c r="RID245" s="19"/>
      <c r="RIE245" s="19"/>
      <c r="RIH245" s="16"/>
      <c r="RII245" s="15"/>
      <c r="RIJ245" s="15"/>
      <c r="RIK245" s="15"/>
      <c r="RIL245" s="16"/>
      <c r="RIM245" s="16"/>
      <c r="RIN245" s="16"/>
      <c r="RIO245" s="16"/>
      <c r="RIP245" s="16"/>
      <c r="RIQ245" s="15"/>
      <c r="RIR245" s="15"/>
      <c r="RIS245" s="10"/>
      <c r="RIT245" s="10"/>
      <c r="RIU245" s="19"/>
      <c r="RIV245" s="19"/>
      <c r="RIY245" s="16"/>
      <c r="RIZ245" s="15"/>
      <c r="RJA245" s="15"/>
      <c r="RJB245" s="15"/>
      <c r="RJC245" s="16"/>
      <c r="RJD245" s="16"/>
      <c r="RJE245" s="16"/>
      <c r="RJF245" s="16"/>
      <c r="RJG245" s="16"/>
      <c r="RJH245" s="15"/>
      <c r="RJI245" s="15"/>
      <c r="RJJ245" s="10"/>
      <c r="RJK245" s="10"/>
      <c r="RJL245" s="19"/>
      <c r="RJM245" s="19"/>
      <c r="RJP245" s="16"/>
      <c r="RJQ245" s="15"/>
      <c r="RJR245" s="15"/>
      <c r="RJS245" s="15"/>
      <c r="RJT245" s="16"/>
      <c r="RJU245" s="16"/>
      <c r="RJV245" s="16"/>
      <c r="RJW245" s="16"/>
      <c r="RJX245" s="16"/>
      <c r="RJY245" s="15"/>
      <c r="RJZ245" s="15"/>
      <c r="RKA245" s="10"/>
      <c r="RKB245" s="10"/>
      <c r="RKC245" s="19"/>
      <c r="RKD245" s="19"/>
      <c r="RKG245" s="16"/>
      <c r="RKH245" s="15"/>
      <c r="RKI245" s="15"/>
      <c r="RKJ245" s="15"/>
      <c r="RKK245" s="16"/>
      <c r="RKL245" s="16"/>
      <c r="RKM245" s="16"/>
      <c r="RKN245" s="16"/>
      <c r="RKO245" s="16"/>
      <c r="RKP245" s="15"/>
      <c r="RKQ245" s="15"/>
      <c r="RKR245" s="10"/>
      <c r="RKS245" s="10"/>
      <c r="RKT245" s="19"/>
      <c r="RKU245" s="19"/>
      <c r="RKX245" s="16"/>
      <c r="RKY245" s="15"/>
      <c r="RKZ245" s="15"/>
      <c r="RLA245" s="15"/>
      <c r="RLB245" s="16"/>
      <c r="RLC245" s="16"/>
      <c r="RLD245" s="16"/>
      <c r="RLE245" s="16"/>
      <c r="RLF245" s="16"/>
      <c r="RLG245" s="15"/>
      <c r="RLH245" s="15"/>
      <c r="RLI245" s="10"/>
      <c r="RLJ245" s="10"/>
      <c r="RLK245" s="19"/>
      <c r="RLL245" s="19"/>
      <c r="RLO245" s="16"/>
      <c r="RLP245" s="15"/>
      <c r="RLQ245" s="15"/>
      <c r="RLR245" s="15"/>
      <c r="RLS245" s="16"/>
      <c r="RLT245" s="16"/>
      <c r="RLU245" s="16"/>
      <c r="RLV245" s="16"/>
      <c r="RLW245" s="16"/>
      <c r="RLX245" s="15"/>
      <c r="RLY245" s="15"/>
      <c r="RLZ245" s="10"/>
      <c r="RMA245" s="10"/>
      <c r="RMB245" s="19"/>
      <c r="RMC245" s="19"/>
      <c r="RMF245" s="16"/>
      <c r="RMG245" s="15"/>
      <c r="RMH245" s="15"/>
      <c r="RMI245" s="15"/>
      <c r="RMJ245" s="16"/>
      <c r="RMK245" s="16"/>
      <c r="RML245" s="16"/>
      <c r="RMM245" s="16"/>
      <c r="RMN245" s="16"/>
      <c r="RMO245" s="15"/>
      <c r="RMP245" s="15"/>
      <c r="RMQ245" s="10"/>
      <c r="RMR245" s="10"/>
      <c r="RMS245" s="19"/>
      <c r="RMT245" s="19"/>
      <c r="RMW245" s="16"/>
      <c r="RMX245" s="15"/>
      <c r="RMY245" s="15"/>
      <c r="RMZ245" s="15"/>
      <c r="RNA245" s="16"/>
      <c r="RNB245" s="16"/>
      <c r="RNC245" s="16"/>
      <c r="RND245" s="16"/>
      <c r="RNE245" s="16"/>
      <c r="RNF245" s="15"/>
      <c r="RNG245" s="15"/>
      <c r="RNH245" s="10"/>
      <c r="RNI245" s="10"/>
      <c r="RNJ245" s="19"/>
      <c r="RNK245" s="19"/>
      <c r="RNN245" s="16"/>
      <c r="RNO245" s="15"/>
      <c r="RNP245" s="15"/>
      <c r="RNQ245" s="15"/>
      <c r="RNR245" s="16"/>
      <c r="RNS245" s="16"/>
      <c r="RNT245" s="16"/>
      <c r="RNU245" s="16"/>
      <c r="RNV245" s="16"/>
      <c r="RNW245" s="15"/>
      <c r="RNX245" s="15"/>
      <c r="RNY245" s="10"/>
      <c r="RNZ245" s="10"/>
      <c r="ROA245" s="19"/>
      <c r="ROB245" s="19"/>
      <c r="ROE245" s="16"/>
      <c r="ROF245" s="15"/>
      <c r="ROG245" s="15"/>
      <c r="ROH245" s="15"/>
      <c r="ROI245" s="16"/>
      <c r="ROJ245" s="16"/>
      <c r="ROK245" s="16"/>
      <c r="ROL245" s="16"/>
      <c r="ROM245" s="16"/>
      <c r="RON245" s="15"/>
      <c r="ROO245" s="15"/>
      <c r="ROP245" s="10"/>
      <c r="ROQ245" s="10"/>
      <c r="ROR245" s="19"/>
      <c r="ROS245" s="19"/>
      <c r="ROV245" s="16"/>
      <c r="ROW245" s="15"/>
      <c r="ROX245" s="15"/>
      <c r="ROY245" s="15"/>
      <c r="ROZ245" s="16"/>
      <c r="RPA245" s="16"/>
      <c r="RPB245" s="16"/>
      <c r="RPC245" s="16"/>
      <c r="RPD245" s="16"/>
      <c r="RPE245" s="15"/>
      <c r="RPF245" s="15"/>
      <c r="RPG245" s="10"/>
      <c r="RPH245" s="10"/>
      <c r="RPI245" s="19"/>
      <c r="RPJ245" s="19"/>
      <c r="RPM245" s="16"/>
      <c r="RPN245" s="15"/>
      <c r="RPO245" s="15"/>
      <c r="RPP245" s="15"/>
      <c r="RPQ245" s="16"/>
      <c r="RPR245" s="16"/>
      <c r="RPS245" s="16"/>
      <c r="RPT245" s="16"/>
      <c r="RPU245" s="16"/>
      <c r="RPV245" s="15"/>
      <c r="RPW245" s="15"/>
      <c r="RPX245" s="10"/>
      <c r="RPY245" s="10"/>
      <c r="RPZ245" s="19"/>
      <c r="RQA245" s="19"/>
      <c r="RQD245" s="16"/>
      <c r="RQE245" s="15"/>
      <c r="RQF245" s="15"/>
      <c r="RQG245" s="15"/>
      <c r="RQH245" s="16"/>
      <c r="RQI245" s="16"/>
      <c r="RQJ245" s="16"/>
      <c r="RQK245" s="16"/>
      <c r="RQL245" s="16"/>
      <c r="RQM245" s="15"/>
      <c r="RQN245" s="15"/>
      <c r="RQO245" s="10"/>
      <c r="RQP245" s="10"/>
      <c r="RQQ245" s="19"/>
      <c r="RQR245" s="19"/>
      <c r="RQU245" s="16"/>
      <c r="RQV245" s="15"/>
      <c r="RQW245" s="15"/>
      <c r="RQX245" s="15"/>
      <c r="RQY245" s="16"/>
      <c r="RQZ245" s="16"/>
      <c r="RRA245" s="16"/>
      <c r="RRB245" s="16"/>
      <c r="RRC245" s="16"/>
      <c r="RRD245" s="15"/>
      <c r="RRE245" s="15"/>
      <c r="RRF245" s="10"/>
      <c r="RRG245" s="10"/>
      <c r="RRH245" s="19"/>
      <c r="RRI245" s="19"/>
      <c r="RRL245" s="16"/>
      <c r="RRM245" s="15"/>
      <c r="RRN245" s="15"/>
      <c r="RRO245" s="15"/>
      <c r="RRP245" s="16"/>
      <c r="RRQ245" s="16"/>
      <c r="RRR245" s="16"/>
      <c r="RRS245" s="16"/>
      <c r="RRT245" s="16"/>
      <c r="RRU245" s="15"/>
      <c r="RRV245" s="15"/>
      <c r="RRW245" s="10"/>
      <c r="RRX245" s="10"/>
      <c r="RRY245" s="19"/>
      <c r="RRZ245" s="19"/>
      <c r="RSC245" s="16"/>
      <c r="RSD245" s="15"/>
      <c r="RSE245" s="15"/>
      <c r="RSF245" s="15"/>
      <c r="RSG245" s="16"/>
      <c r="RSH245" s="16"/>
      <c r="RSI245" s="16"/>
      <c r="RSJ245" s="16"/>
      <c r="RSK245" s="16"/>
      <c r="RSL245" s="15"/>
      <c r="RSM245" s="15"/>
      <c r="RSN245" s="10"/>
      <c r="RSO245" s="10"/>
      <c r="RSP245" s="19"/>
      <c r="RSQ245" s="19"/>
      <c r="RST245" s="16"/>
      <c r="RSU245" s="15"/>
      <c r="RSV245" s="15"/>
      <c r="RSW245" s="15"/>
      <c r="RSX245" s="16"/>
      <c r="RSY245" s="16"/>
      <c r="RSZ245" s="16"/>
      <c r="RTA245" s="16"/>
      <c r="RTB245" s="16"/>
      <c r="RTC245" s="15"/>
      <c r="RTD245" s="15"/>
      <c r="RTE245" s="10"/>
      <c r="RTF245" s="10"/>
      <c r="RTG245" s="19"/>
      <c r="RTH245" s="19"/>
      <c r="RTK245" s="16"/>
      <c r="RTL245" s="15"/>
      <c r="RTM245" s="15"/>
      <c r="RTN245" s="15"/>
      <c r="RTO245" s="16"/>
      <c r="RTP245" s="16"/>
      <c r="RTQ245" s="16"/>
      <c r="RTR245" s="16"/>
      <c r="RTS245" s="16"/>
      <c r="RTT245" s="15"/>
      <c r="RTU245" s="15"/>
      <c r="RTV245" s="10"/>
      <c r="RTW245" s="10"/>
      <c r="RTX245" s="19"/>
      <c r="RTY245" s="19"/>
      <c r="RUB245" s="16"/>
      <c r="RUC245" s="15"/>
      <c r="RUD245" s="15"/>
      <c r="RUE245" s="15"/>
      <c r="RUF245" s="16"/>
      <c r="RUG245" s="16"/>
      <c r="RUH245" s="16"/>
      <c r="RUI245" s="16"/>
      <c r="RUJ245" s="16"/>
      <c r="RUK245" s="15"/>
      <c r="RUL245" s="15"/>
      <c r="RUM245" s="10"/>
      <c r="RUN245" s="10"/>
      <c r="RUO245" s="19"/>
      <c r="RUP245" s="19"/>
      <c r="RUS245" s="16"/>
      <c r="RUT245" s="15"/>
      <c r="RUU245" s="15"/>
      <c r="RUV245" s="15"/>
      <c r="RUW245" s="16"/>
      <c r="RUX245" s="16"/>
      <c r="RUY245" s="16"/>
      <c r="RUZ245" s="16"/>
      <c r="RVA245" s="16"/>
      <c r="RVB245" s="15"/>
      <c r="RVC245" s="15"/>
      <c r="RVD245" s="10"/>
      <c r="RVE245" s="10"/>
      <c r="RVF245" s="19"/>
      <c r="RVG245" s="19"/>
      <c r="RVJ245" s="16"/>
      <c r="RVK245" s="15"/>
      <c r="RVL245" s="15"/>
      <c r="RVM245" s="15"/>
      <c r="RVN245" s="16"/>
      <c r="RVO245" s="16"/>
      <c r="RVP245" s="16"/>
      <c r="RVQ245" s="16"/>
      <c r="RVR245" s="16"/>
      <c r="RVS245" s="15"/>
      <c r="RVT245" s="15"/>
      <c r="RVU245" s="10"/>
      <c r="RVV245" s="10"/>
      <c r="RVW245" s="19"/>
      <c r="RVX245" s="19"/>
      <c r="RWA245" s="16"/>
      <c r="RWB245" s="15"/>
      <c r="RWC245" s="15"/>
      <c r="RWD245" s="15"/>
      <c r="RWE245" s="16"/>
      <c r="RWF245" s="16"/>
      <c r="RWG245" s="16"/>
      <c r="RWH245" s="16"/>
      <c r="RWI245" s="16"/>
      <c r="RWJ245" s="15"/>
      <c r="RWK245" s="15"/>
      <c r="RWL245" s="10"/>
      <c r="RWM245" s="10"/>
      <c r="RWN245" s="19"/>
      <c r="RWO245" s="19"/>
      <c r="RWR245" s="16"/>
      <c r="RWS245" s="15"/>
      <c r="RWT245" s="15"/>
      <c r="RWU245" s="15"/>
      <c r="RWV245" s="16"/>
      <c r="RWW245" s="16"/>
      <c r="RWX245" s="16"/>
      <c r="RWY245" s="16"/>
      <c r="RWZ245" s="16"/>
      <c r="RXA245" s="15"/>
      <c r="RXB245" s="15"/>
      <c r="RXC245" s="10"/>
      <c r="RXD245" s="10"/>
      <c r="RXE245" s="19"/>
      <c r="RXF245" s="19"/>
      <c r="RXI245" s="16"/>
      <c r="RXJ245" s="15"/>
      <c r="RXK245" s="15"/>
      <c r="RXL245" s="15"/>
      <c r="RXM245" s="16"/>
      <c r="RXN245" s="16"/>
      <c r="RXO245" s="16"/>
      <c r="RXP245" s="16"/>
      <c r="RXQ245" s="16"/>
      <c r="RXR245" s="15"/>
      <c r="RXS245" s="15"/>
      <c r="RXT245" s="10"/>
      <c r="RXU245" s="10"/>
      <c r="RXV245" s="19"/>
      <c r="RXW245" s="19"/>
      <c r="RXZ245" s="16"/>
      <c r="RYA245" s="15"/>
      <c r="RYB245" s="15"/>
      <c r="RYC245" s="15"/>
      <c r="RYD245" s="16"/>
      <c r="RYE245" s="16"/>
      <c r="RYF245" s="16"/>
      <c r="RYG245" s="16"/>
      <c r="RYH245" s="16"/>
      <c r="RYI245" s="15"/>
      <c r="RYJ245" s="15"/>
      <c r="RYK245" s="10"/>
      <c r="RYL245" s="10"/>
      <c r="RYM245" s="19"/>
      <c r="RYN245" s="19"/>
      <c r="RYQ245" s="16"/>
      <c r="RYR245" s="15"/>
      <c r="RYS245" s="15"/>
      <c r="RYT245" s="15"/>
      <c r="RYU245" s="16"/>
      <c r="RYV245" s="16"/>
      <c r="RYW245" s="16"/>
      <c r="RYX245" s="16"/>
      <c r="RYY245" s="16"/>
      <c r="RYZ245" s="15"/>
      <c r="RZA245" s="15"/>
      <c r="RZB245" s="10"/>
      <c r="RZC245" s="10"/>
      <c r="RZD245" s="19"/>
      <c r="RZE245" s="19"/>
      <c r="RZH245" s="16"/>
      <c r="RZI245" s="15"/>
      <c r="RZJ245" s="15"/>
      <c r="RZK245" s="15"/>
      <c r="RZL245" s="16"/>
      <c r="RZM245" s="16"/>
      <c r="RZN245" s="16"/>
      <c r="RZO245" s="16"/>
      <c r="RZP245" s="16"/>
      <c r="RZQ245" s="15"/>
      <c r="RZR245" s="15"/>
      <c r="RZS245" s="10"/>
      <c r="RZT245" s="10"/>
      <c r="RZU245" s="19"/>
      <c r="RZV245" s="19"/>
      <c r="RZY245" s="16"/>
      <c r="RZZ245" s="15"/>
      <c r="SAA245" s="15"/>
      <c r="SAB245" s="15"/>
      <c r="SAC245" s="16"/>
      <c r="SAD245" s="16"/>
      <c r="SAE245" s="16"/>
      <c r="SAF245" s="16"/>
      <c r="SAG245" s="16"/>
      <c r="SAH245" s="15"/>
      <c r="SAI245" s="15"/>
      <c r="SAJ245" s="10"/>
      <c r="SAK245" s="10"/>
      <c r="SAL245" s="19"/>
      <c r="SAM245" s="19"/>
      <c r="SAP245" s="16"/>
      <c r="SAQ245" s="15"/>
      <c r="SAR245" s="15"/>
      <c r="SAS245" s="15"/>
      <c r="SAT245" s="16"/>
      <c r="SAU245" s="16"/>
      <c r="SAV245" s="16"/>
      <c r="SAW245" s="16"/>
      <c r="SAX245" s="16"/>
      <c r="SAY245" s="15"/>
      <c r="SAZ245" s="15"/>
      <c r="SBA245" s="10"/>
      <c r="SBB245" s="10"/>
      <c r="SBC245" s="19"/>
      <c r="SBD245" s="19"/>
      <c r="SBG245" s="16"/>
      <c r="SBH245" s="15"/>
      <c r="SBI245" s="15"/>
      <c r="SBJ245" s="15"/>
      <c r="SBK245" s="16"/>
      <c r="SBL245" s="16"/>
      <c r="SBM245" s="16"/>
      <c r="SBN245" s="16"/>
      <c r="SBO245" s="16"/>
      <c r="SBP245" s="15"/>
      <c r="SBQ245" s="15"/>
      <c r="SBR245" s="10"/>
      <c r="SBS245" s="10"/>
      <c r="SBT245" s="19"/>
      <c r="SBU245" s="19"/>
      <c r="SBX245" s="16"/>
      <c r="SBY245" s="15"/>
      <c r="SBZ245" s="15"/>
      <c r="SCA245" s="15"/>
      <c r="SCB245" s="16"/>
      <c r="SCC245" s="16"/>
      <c r="SCD245" s="16"/>
      <c r="SCE245" s="16"/>
      <c r="SCF245" s="16"/>
      <c r="SCG245" s="15"/>
      <c r="SCH245" s="15"/>
      <c r="SCI245" s="10"/>
      <c r="SCJ245" s="10"/>
      <c r="SCK245" s="19"/>
      <c r="SCL245" s="19"/>
      <c r="SCO245" s="16"/>
      <c r="SCP245" s="15"/>
      <c r="SCQ245" s="15"/>
      <c r="SCR245" s="15"/>
      <c r="SCS245" s="16"/>
      <c r="SCT245" s="16"/>
      <c r="SCU245" s="16"/>
      <c r="SCV245" s="16"/>
      <c r="SCW245" s="16"/>
      <c r="SCX245" s="15"/>
      <c r="SCY245" s="15"/>
      <c r="SCZ245" s="10"/>
      <c r="SDA245" s="10"/>
      <c r="SDB245" s="19"/>
      <c r="SDC245" s="19"/>
      <c r="SDF245" s="16"/>
      <c r="SDG245" s="15"/>
      <c r="SDH245" s="15"/>
      <c r="SDI245" s="15"/>
      <c r="SDJ245" s="16"/>
      <c r="SDK245" s="16"/>
      <c r="SDL245" s="16"/>
      <c r="SDM245" s="16"/>
      <c r="SDN245" s="16"/>
      <c r="SDO245" s="15"/>
      <c r="SDP245" s="15"/>
      <c r="SDQ245" s="10"/>
      <c r="SDR245" s="10"/>
      <c r="SDS245" s="19"/>
      <c r="SDT245" s="19"/>
      <c r="SDW245" s="16"/>
      <c r="SDX245" s="15"/>
      <c r="SDY245" s="15"/>
      <c r="SDZ245" s="15"/>
      <c r="SEA245" s="16"/>
      <c r="SEB245" s="16"/>
      <c r="SEC245" s="16"/>
      <c r="SED245" s="16"/>
      <c r="SEE245" s="16"/>
      <c r="SEF245" s="15"/>
      <c r="SEG245" s="15"/>
      <c r="SEH245" s="10"/>
      <c r="SEI245" s="10"/>
      <c r="SEJ245" s="19"/>
      <c r="SEK245" s="19"/>
      <c r="SEN245" s="16"/>
      <c r="SEO245" s="15"/>
      <c r="SEP245" s="15"/>
      <c r="SEQ245" s="15"/>
      <c r="SER245" s="16"/>
      <c r="SES245" s="16"/>
      <c r="SET245" s="16"/>
      <c r="SEU245" s="16"/>
      <c r="SEV245" s="16"/>
      <c r="SEW245" s="15"/>
      <c r="SEX245" s="15"/>
      <c r="SEY245" s="10"/>
      <c r="SEZ245" s="10"/>
      <c r="SFA245" s="19"/>
      <c r="SFB245" s="19"/>
      <c r="SFE245" s="16"/>
      <c r="SFF245" s="15"/>
      <c r="SFG245" s="15"/>
      <c r="SFH245" s="15"/>
      <c r="SFI245" s="16"/>
      <c r="SFJ245" s="16"/>
      <c r="SFK245" s="16"/>
      <c r="SFL245" s="16"/>
      <c r="SFM245" s="16"/>
      <c r="SFN245" s="15"/>
      <c r="SFO245" s="15"/>
      <c r="SFP245" s="10"/>
      <c r="SFQ245" s="10"/>
      <c r="SFR245" s="19"/>
      <c r="SFS245" s="19"/>
      <c r="SFV245" s="16"/>
      <c r="SFW245" s="15"/>
      <c r="SFX245" s="15"/>
      <c r="SFY245" s="15"/>
      <c r="SFZ245" s="16"/>
      <c r="SGA245" s="16"/>
      <c r="SGB245" s="16"/>
      <c r="SGC245" s="16"/>
      <c r="SGD245" s="16"/>
      <c r="SGE245" s="15"/>
      <c r="SGF245" s="15"/>
      <c r="SGG245" s="10"/>
      <c r="SGH245" s="10"/>
      <c r="SGI245" s="19"/>
      <c r="SGJ245" s="19"/>
      <c r="SGM245" s="16"/>
      <c r="SGN245" s="15"/>
      <c r="SGO245" s="15"/>
      <c r="SGP245" s="15"/>
      <c r="SGQ245" s="16"/>
      <c r="SGR245" s="16"/>
      <c r="SGS245" s="16"/>
      <c r="SGT245" s="16"/>
      <c r="SGU245" s="16"/>
      <c r="SGV245" s="15"/>
      <c r="SGW245" s="15"/>
      <c r="SGX245" s="10"/>
      <c r="SGY245" s="10"/>
      <c r="SGZ245" s="19"/>
      <c r="SHA245" s="19"/>
      <c r="SHD245" s="16"/>
      <c r="SHE245" s="15"/>
      <c r="SHF245" s="15"/>
      <c r="SHG245" s="15"/>
      <c r="SHH245" s="16"/>
      <c r="SHI245" s="16"/>
      <c r="SHJ245" s="16"/>
      <c r="SHK245" s="16"/>
      <c r="SHL245" s="16"/>
      <c r="SHM245" s="15"/>
      <c r="SHN245" s="15"/>
      <c r="SHO245" s="10"/>
      <c r="SHP245" s="10"/>
      <c r="SHQ245" s="19"/>
      <c r="SHR245" s="19"/>
      <c r="SHU245" s="16"/>
      <c r="SHV245" s="15"/>
      <c r="SHW245" s="15"/>
      <c r="SHX245" s="15"/>
      <c r="SHY245" s="16"/>
      <c r="SHZ245" s="16"/>
      <c r="SIA245" s="16"/>
      <c r="SIB245" s="16"/>
      <c r="SIC245" s="16"/>
      <c r="SID245" s="15"/>
      <c r="SIE245" s="15"/>
      <c r="SIF245" s="10"/>
      <c r="SIG245" s="10"/>
      <c r="SIH245" s="19"/>
      <c r="SII245" s="19"/>
      <c r="SIL245" s="16"/>
      <c r="SIM245" s="15"/>
      <c r="SIN245" s="15"/>
      <c r="SIO245" s="15"/>
      <c r="SIP245" s="16"/>
      <c r="SIQ245" s="16"/>
      <c r="SIR245" s="16"/>
      <c r="SIS245" s="16"/>
      <c r="SIT245" s="16"/>
      <c r="SIU245" s="15"/>
      <c r="SIV245" s="15"/>
      <c r="SIW245" s="10"/>
      <c r="SIX245" s="10"/>
      <c r="SIY245" s="19"/>
      <c r="SIZ245" s="19"/>
      <c r="SJC245" s="16"/>
      <c r="SJD245" s="15"/>
      <c r="SJE245" s="15"/>
      <c r="SJF245" s="15"/>
      <c r="SJG245" s="16"/>
      <c r="SJH245" s="16"/>
      <c r="SJI245" s="16"/>
      <c r="SJJ245" s="16"/>
      <c r="SJK245" s="16"/>
      <c r="SJL245" s="15"/>
      <c r="SJM245" s="15"/>
      <c r="SJN245" s="10"/>
      <c r="SJO245" s="10"/>
      <c r="SJP245" s="19"/>
      <c r="SJQ245" s="19"/>
      <c r="SJT245" s="16"/>
      <c r="SJU245" s="15"/>
      <c r="SJV245" s="15"/>
      <c r="SJW245" s="15"/>
      <c r="SJX245" s="16"/>
      <c r="SJY245" s="16"/>
      <c r="SJZ245" s="16"/>
      <c r="SKA245" s="16"/>
      <c r="SKB245" s="16"/>
      <c r="SKC245" s="15"/>
      <c r="SKD245" s="15"/>
      <c r="SKE245" s="10"/>
      <c r="SKF245" s="10"/>
      <c r="SKG245" s="19"/>
      <c r="SKH245" s="19"/>
      <c r="SKK245" s="16"/>
      <c r="SKL245" s="15"/>
      <c r="SKM245" s="15"/>
      <c r="SKN245" s="15"/>
      <c r="SKO245" s="16"/>
      <c r="SKP245" s="16"/>
      <c r="SKQ245" s="16"/>
      <c r="SKR245" s="16"/>
      <c r="SKS245" s="16"/>
      <c r="SKT245" s="15"/>
      <c r="SKU245" s="15"/>
      <c r="SKV245" s="10"/>
      <c r="SKW245" s="10"/>
      <c r="SKX245" s="19"/>
      <c r="SKY245" s="19"/>
      <c r="SLB245" s="16"/>
      <c r="SLC245" s="15"/>
      <c r="SLD245" s="15"/>
      <c r="SLE245" s="15"/>
      <c r="SLF245" s="16"/>
      <c r="SLG245" s="16"/>
      <c r="SLH245" s="16"/>
      <c r="SLI245" s="16"/>
      <c r="SLJ245" s="16"/>
      <c r="SLK245" s="15"/>
      <c r="SLL245" s="15"/>
      <c r="SLM245" s="10"/>
      <c r="SLN245" s="10"/>
      <c r="SLO245" s="19"/>
      <c r="SLP245" s="19"/>
      <c r="SLS245" s="16"/>
      <c r="SLT245" s="15"/>
      <c r="SLU245" s="15"/>
      <c r="SLV245" s="15"/>
      <c r="SLW245" s="16"/>
      <c r="SLX245" s="16"/>
      <c r="SLY245" s="16"/>
      <c r="SLZ245" s="16"/>
      <c r="SMA245" s="16"/>
      <c r="SMB245" s="15"/>
      <c r="SMC245" s="15"/>
      <c r="SMD245" s="10"/>
      <c r="SME245" s="10"/>
      <c r="SMF245" s="19"/>
      <c r="SMG245" s="19"/>
      <c r="SMJ245" s="16"/>
      <c r="SMK245" s="15"/>
      <c r="SML245" s="15"/>
      <c r="SMM245" s="15"/>
      <c r="SMN245" s="16"/>
      <c r="SMO245" s="16"/>
      <c r="SMP245" s="16"/>
      <c r="SMQ245" s="16"/>
      <c r="SMR245" s="16"/>
      <c r="SMS245" s="15"/>
      <c r="SMT245" s="15"/>
      <c r="SMU245" s="10"/>
      <c r="SMV245" s="10"/>
      <c r="SMW245" s="19"/>
      <c r="SMX245" s="19"/>
      <c r="SNA245" s="16"/>
      <c r="SNB245" s="15"/>
      <c r="SNC245" s="15"/>
      <c r="SND245" s="15"/>
      <c r="SNE245" s="16"/>
      <c r="SNF245" s="16"/>
      <c r="SNG245" s="16"/>
      <c r="SNH245" s="16"/>
      <c r="SNI245" s="16"/>
      <c r="SNJ245" s="15"/>
      <c r="SNK245" s="15"/>
      <c r="SNL245" s="10"/>
      <c r="SNM245" s="10"/>
      <c r="SNN245" s="19"/>
      <c r="SNO245" s="19"/>
      <c r="SNR245" s="16"/>
      <c r="SNS245" s="15"/>
      <c r="SNT245" s="15"/>
      <c r="SNU245" s="15"/>
      <c r="SNV245" s="16"/>
      <c r="SNW245" s="16"/>
      <c r="SNX245" s="16"/>
      <c r="SNY245" s="16"/>
      <c r="SNZ245" s="16"/>
      <c r="SOA245" s="15"/>
      <c r="SOB245" s="15"/>
      <c r="SOC245" s="10"/>
      <c r="SOD245" s="10"/>
      <c r="SOE245" s="19"/>
      <c r="SOF245" s="19"/>
      <c r="SOI245" s="16"/>
      <c r="SOJ245" s="15"/>
      <c r="SOK245" s="15"/>
      <c r="SOL245" s="15"/>
      <c r="SOM245" s="16"/>
      <c r="SON245" s="16"/>
      <c r="SOO245" s="16"/>
      <c r="SOP245" s="16"/>
      <c r="SOQ245" s="16"/>
      <c r="SOR245" s="15"/>
      <c r="SOS245" s="15"/>
      <c r="SOT245" s="10"/>
      <c r="SOU245" s="10"/>
      <c r="SOV245" s="19"/>
      <c r="SOW245" s="19"/>
      <c r="SOZ245" s="16"/>
      <c r="SPA245" s="15"/>
      <c r="SPB245" s="15"/>
      <c r="SPC245" s="15"/>
      <c r="SPD245" s="16"/>
      <c r="SPE245" s="16"/>
      <c r="SPF245" s="16"/>
      <c r="SPG245" s="16"/>
      <c r="SPH245" s="16"/>
      <c r="SPI245" s="15"/>
      <c r="SPJ245" s="15"/>
      <c r="SPK245" s="10"/>
      <c r="SPL245" s="10"/>
      <c r="SPM245" s="19"/>
      <c r="SPN245" s="19"/>
      <c r="SPQ245" s="16"/>
      <c r="SPR245" s="15"/>
      <c r="SPS245" s="15"/>
      <c r="SPT245" s="15"/>
      <c r="SPU245" s="16"/>
      <c r="SPV245" s="16"/>
      <c r="SPW245" s="16"/>
      <c r="SPX245" s="16"/>
      <c r="SPY245" s="16"/>
      <c r="SPZ245" s="15"/>
      <c r="SQA245" s="15"/>
      <c r="SQB245" s="10"/>
      <c r="SQC245" s="10"/>
      <c r="SQD245" s="19"/>
      <c r="SQE245" s="19"/>
      <c r="SQH245" s="16"/>
      <c r="SQI245" s="15"/>
      <c r="SQJ245" s="15"/>
      <c r="SQK245" s="15"/>
      <c r="SQL245" s="16"/>
      <c r="SQM245" s="16"/>
      <c r="SQN245" s="16"/>
      <c r="SQO245" s="16"/>
      <c r="SQP245" s="16"/>
      <c r="SQQ245" s="15"/>
      <c r="SQR245" s="15"/>
      <c r="SQS245" s="10"/>
      <c r="SQT245" s="10"/>
      <c r="SQU245" s="19"/>
      <c r="SQV245" s="19"/>
      <c r="SQY245" s="16"/>
      <c r="SQZ245" s="15"/>
      <c r="SRA245" s="15"/>
      <c r="SRB245" s="15"/>
      <c r="SRC245" s="16"/>
      <c r="SRD245" s="16"/>
      <c r="SRE245" s="16"/>
      <c r="SRF245" s="16"/>
      <c r="SRG245" s="16"/>
      <c r="SRH245" s="15"/>
      <c r="SRI245" s="15"/>
      <c r="SRJ245" s="10"/>
      <c r="SRK245" s="10"/>
      <c r="SRL245" s="19"/>
      <c r="SRM245" s="19"/>
      <c r="SRP245" s="16"/>
      <c r="SRQ245" s="15"/>
      <c r="SRR245" s="15"/>
      <c r="SRS245" s="15"/>
      <c r="SRT245" s="16"/>
      <c r="SRU245" s="16"/>
      <c r="SRV245" s="16"/>
      <c r="SRW245" s="16"/>
      <c r="SRX245" s="16"/>
      <c r="SRY245" s="15"/>
      <c r="SRZ245" s="15"/>
      <c r="SSA245" s="10"/>
      <c r="SSB245" s="10"/>
      <c r="SSC245" s="19"/>
      <c r="SSD245" s="19"/>
      <c r="SSG245" s="16"/>
      <c r="SSH245" s="15"/>
      <c r="SSI245" s="15"/>
      <c r="SSJ245" s="15"/>
      <c r="SSK245" s="16"/>
      <c r="SSL245" s="16"/>
      <c r="SSM245" s="16"/>
      <c r="SSN245" s="16"/>
      <c r="SSO245" s="16"/>
      <c r="SSP245" s="15"/>
      <c r="SSQ245" s="15"/>
      <c r="SSR245" s="10"/>
      <c r="SSS245" s="10"/>
      <c r="SST245" s="19"/>
      <c r="SSU245" s="19"/>
      <c r="SSX245" s="16"/>
      <c r="SSY245" s="15"/>
      <c r="SSZ245" s="15"/>
      <c r="STA245" s="15"/>
      <c r="STB245" s="16"/>
      <c r="STC245" s="16"/>
      <c r="STD245" s="16"/>
      <c r="STE245" s="16"/>
      <c r="STF245" s="16"/>
      <c r="STG245" s="15"/>
      <c r="STH245" s="15"/>
      <c r="STI245" s="10"/>
      <c r="STJ245" s="10"/>
      <c r="STK245" s="19"/>
      <c r="STL245" s="19"/>
      <c r="STO245" s="16"/>
      <c r="STP245" s="15"/>
      <c r="STQ245" s="15"/>
      <c r="STR245" s="15"/>
      <c r="STS245" s="16"/>
      <c r="STT245" s="16"/>
      <c r="STU245" s="16"/>
      <c r="STV245" s="16"/>
      <c r="STW245" s="16"/>
      <c r="STX245" s="15"/>
      <c r="STY245" s="15"/>
      <c r="STZ245" s="10"/>
      <c r="SUA245" s="10"/>
      <c r="SUB245" s="19"/>
      <c r="SUC245" s="19"/>
      <c r="SUF245" s="16"/>
      <c r="SUG245" s="15"/>
      <c r="SUH245" s="15"/>
      <c r="SUI245" s="15"/>
      <c r="SUJ245" s="16"/>
      <c r="SUK245" s="16"/>
      <c r="SUL245" s="16"/>
      <c r="SUM245" s="16"/>
      <c r="SUN245" s="16"/>
      <c r="SUO245" s="15"/>
      <c r="SUP245" s="15"/>
      <c r="SUQ245" s="10"/>
      <c r="SUR245" s="10"/>
      <c r="SUS245" s="19"/>
      <c r="SUT245" s="19"/>
      <c r="SUW245" s="16"/>
      <c r="SUX245" s="15"/>
      <c r="SUY245" s="15"/>
      <c r="SUZ245" s="15"/>
      <c r="SVA245" s="16"/>
      <c r="SVB245" s="16"/>
      <c r="SVC245" s="16"/>
      <c r="SVD245" s="16"/>
      <c r="SVE245" s="16"/>
      <c r="SVF245" s="15"/>
      <c r="SVG245" s="15"/>
      <c r="SVH245" s="10"/>
      <c r="SVI245" s="10"/>
      <c r="SVJ245" s="19"/>
      <c r="SVK245" s="19"/>
      <c r="SVN245" s="16"/>
      <c r="SVO245" s="15"/>
      <c r="SVP245" s="15"/>
      <c r="SVQ245" s="15"/>
      <c r="SVR245" s="16"/>
      <c r="SVS245" s="16"/>
      <c r="SVT245" s="16"/>
      <c r="SVU245" s="16"/>
      <c r="SVV245" s="16"/>
      <c r="SVW245" s="15"/>
      <c r="SVX245" s="15"/>
      <c r="SVY245" s="10"/>
      <c r="SVZ245" s="10"/>
      <c r="SWA245" s="19"/>
      <c r="SWB245" s="19"/>
      <c r="SWE245" s="16"/>
      <c r="SWF245" s="15"/>
      <c r="SWG245" s="15"/>
      <c r="SWH245" s="15"/>
      <c r="SWI245" s="16"/>
      <c r="SWJ245" s="16"/>
      <c r="SWK245" s="16"/>
      <c r="SWL245" s="16"/>
      <c r="SWM245" s="16"/>
      <c r="SWN245" s="15"/>
      <c r="SWO245" s="15"/>
      <c r="SWP245" s="10"/>
      <c r="SWQ245" s="10"/>
      <c r="SWR245" s="19"/>
      <c r="SWS245" s="19"/>
      <c r="SWV245" s="16"/>
      <c r="SWW245" s="15"/>
      <c r="SWX245" s="15"/>
      <c r="SWY245" s="15"/>
      <c r="SWZ245" s="16"/>
      <c r="SXA245" s="16"/>
      <c r="SXB245" s="16"/>
      <c r="SXC245" s="16"/>
      <c r="SXD245" s="16"/>
      <c r="SXE245" s="15"/>
      <c r="SXF245" s="15"/>
      <c r="SXG245" s="10"/>
      <c r="SXH245" s="10"/>
      <c r="SXI245" s="19"/>
      <c r="SXJ245" s="19"/>
      <c r="SXM245" s="16"/>
      <c r="SXN245" s="15"/>
      <c r="SXO245" s="15"/>
      <c r="SXP245" s="15"/>
      <c r="SXQ245" s="16"/>
      <c r="SXR245" s="16"/>
      <c r="SXS245" s="16"/>
      <c r="SXT245" s="16"/>
      <c r="SXU245" s="16"/>
      <c r="SXV245" s="15"/>
      <c r="SXW245" s="15"/>
      <c r="SXX245" s="10"/>
      <c r="SXY245" s="10"/>
      <c r="SXZ245" s="19"/>
      <c r="SYA245" s="19"/>
      <c r="SYD245" s="16"/>
      <c r="SYE245" s="15"/>
      <c r="SYF245" s="15"/>
      <c r="SYG245" s="15"/>
      <c r="SYH245" s="16"/>
      <c r="SYI245" s="16"/>
      <c r="SYJ245" s="16"/>
      <c r="SYK245" s="16"/>
      <c r="SYL245" s="16"/>
      <c r="SYM245" s="15"/>
      <c r="SYN245" s="15"/>
      <c r="SYO245" s="10"/>
      <c r="SYP245" s="10"/>
      <c r="SYQ245" s="19"/>
      <c r="SYR245" s="19"/>
      <c r="SYU245" s="16"/>
      <c r="SYV245" s="15"/>
      <c r="SYW245" s="15"/>
      <c r="SYX245" s="15"/>
      <c r="SYY245" s="16"/>
      <c r="SYZ245" s="16"/>
      <c r="SZA245" s="16"/>
      <c r="SZB245" s="16"/>
      <c r="SZC245" s="16"/>
      <c r="SZD245" s="15"/>
      <c r="SZE245" s="15"/>
      <c r="SZF245" s="10"/>
      <c r="SZG245" s="10"/>
      <c r="SZH245" s="19"/>
      <c r="SZI245" s="19"/>
      <c r="SZL245" s="16"/>
      <c r="SZM245" s="15"/>
      <c r="SZN245" s="15"/>
      <c r="SZO245" s="15"/>
      <c r="SZP245" s="16"/>
      <c r="SZQ245" s="16"/>
      <c r="SZR245" s="16"/>
      <c r="SZS245" s="16"/>
      <c r="SZT245" s="16"/>
      <c r="SZU245" s="15"/>
      <c r="SZV245" s="15"/>
      <c r="SZW245" s="10"/>
      <c r="SZX245" s="10"/>
      <c r="SZY245" s="19"/>
      <c r="SZZ245" s="19"/>
      <c r="TAC245" s="16"/>
      <c r="TAD245" s="15"/>
      <c r="TAE245" s="15"/>
      <c r="TAF245" s="15"/>
      <c r="TAG245" s="16"/>
      <c r="TAH245" s="16"/>
      <c r="TAI245" s="16"/>
      <c r="TAJ245" s="16"/>
      <c r="TAK245" s="16"/>
      <c r="TAL245" s="15"/>
      <c r="TAM245" s="15"/>
      <c r="TAN245" s="10"/>
      <c r="TAO245" s="10"/>
      <c r="TAP245" s="19"/>
      <c r="TAQ245" s="19"/>
      <c r="TAT245" s="16"/>
      <c r="TAU245" s="15"/>
      <c r="TAV245" s="15"/>
      <c r="TAW245" s="15"/>
      <c r="TAX245" s="16"/>
      <c r="TAY245" s="16"/>
      <c r="TAZ245" s="16"/>
      <c r="TBA245" s="16"/>
      <c r="TBB245" s="16"/>
      <c r="TBC245" s="15"/>
      <c r="TBD245" s="15"/>
      <c r="TBE245" s="10"/>
      <c r="TBF245" s="10"/>
      <c r="TBG245" s="19"/>
      <c r="TBH245" s="19"/>
      <c r="TBK245" s="16"/>
      <c r="TBL245" s="15"/>
      <c r="TBM245" s="15"/>
      <c r="TBN245" s="15"/>
      <c r="TBO245" s="16"/>
      <c r="TBP245" s="16"/>
      <c r="TBQ245" s="16"/>
      <c r="TBR245" s="16"/>
      <c r="TBS245" s="16"/>
      <c r="TBT245" s="15"/>
      <c r="TBU245" s="15"/>
      <c r="TBV245" s="10"/>
      <c r="TBW245" s="10"/>
      <c r="TBX245" s="19"/>
      <c r="TBY245" s="19"/>
      <c r="TCB245" s="16"/>
      <c r="TCC245" s="15"/>
      <c r="TCD245" s="15"/>
      <c r="TCE245" s="15"/>
      <c r="TCF245" s="16"/>
      <c r="TCG245" s="16"/>
      <c r="TCH245" s="16"/>
      <c r="TCI245" s="16"/>
      <c r="TCJ245" s="16"/>
      <c r="TCK245" s="15"/>
      <c r="TCL245" s="15"/>
      <c r="TCM245" s="10"/>
      <c r="TCN245" s="10"/>
      <c r="TCO245" s="19"/>
      <c r="TCP245" s="19"/>
      <c r="TCS245" s="16"/>
      <c r="TCT245" s="15"/>
      <c r="TCU245" s="15"/>
      <c r="TCV245" s="15"/>
      <c r="TCW245" s="16"/>
      <c r="TCX245" s="16"/>
      <c r="TCY245" s="16"/>
      <c r="TCZ245" s="16"/>
      <c r="TDA245" s="16"/>
      <c r="TDB245" s="15"/>
      <c r="TDC245" s="15"/>
      <c r="TDD245" s="10"/>
      <c r="TDE245" s="10"/>
      <c r="TDF245" s="19"/>
      <c r="TDG245" s="19"/>
      <c r="TDJ245" s="16"/>
      <c r="TDK245" s="15"/>
      <c r="TDL245" s="15"/>
      <c r="TDM245" s="15"/>
      <c r="TDN245" s="16"/>
      <c r="TDO245" s="16"/>
      <c r="TDP245" s="16"/>
      <c r="TDQ245" s="16"/>
      <c r="TDR245" s="16"/>
      <c r="TDS245" s="15"/>
      <c r="TDT245" s="15"/>
      <c r="TDU245" s="10"/>
      <c r="TDV245" s="10"/>
      <c r="TDW245" s="19"/>
      <c r="TDX245" s="19"/>
      <c r="TEA245" s="16"/>
      <c r="TEB245" s="15"/>
      <c r="TEC245" s="15"/>
      <c r="TED245" s="15"/>
      <c r="TEE245" s="16"/>
      <c r="TEF245" s="16"/>
      <c r="TEG245" s="16"/>
      <c r="TEH245" s="16"/>
      <c r="TEI245" s="16"/>
      <c r="TEJ245" s="15"/>
      <c r="TEK245" s="15"/>
      <c r="TEL245" s="10"/>
      <c r="TEM245" s="10"/>
      <c r="TEN245" s="19"/>
      <c r="TEO245" s="19"/>
      <c r="TER245" s="16"/>
      <c r="TES245" s="15"/>
      <c r="TET245" s="15"/>
      <c r="TEU245" s="15"/>
      <c r="TEV245" s="16"/>
      <c r="TEW245" s="16"/>
      <c r="TEX245" s="16"/>
      <c r="TEY245" s="16"/>
      <c r="TEZ245" s="16"/>
      <c r="TFA245" s="15"/>
      <c r="TFB245" s="15"/>
      <c r="TFC245" s="10"/>
      <c r="TFD245" s="10"/>
      <c r="TFE245" s="19"/>
      <c r="TFF245" s="19"/>
      <c r="TFI245" s="16"/>
      <c r="TFJ245" s="15"/>
      <c r="TFK245" s="15"/>
      <c r="TFL245" s="15"/>
      <c r="TFM245" s="16"/>
      <c r="TFN245" s="16"/>
      <c r="TFO245" s="16"/>
      <c r="TFP245" s="16"/>
      <c r="TFQ245" s="16"/>
      <c r="TFR245" s="15"/>
      <c r="TFS245" s="15"/>
      <c r="TFT245" s="10"/>
      <c r="TFU245" s="10"/>
      <c r="TFV245" s="19"/>
      <c r="TFW245" s="19"/>
      <c r="TFZ245" s="16"/>
      <c r="TGA245" s="15"/>
      <c r="TGB245" s="15"/>
      <c r="TGC245" s="15"/>
      <c r="TGD245" s="16"/>
      <c r="TGE245" s="16"/>
      <c r="TGF245" s="16"/>
      <c r="TGG245" s="16"/>
      <c r="TGH245" s="16"/>
      <c r="TGI245" s="15"/>
      <c r="TGJ245" s="15"/>
      <c r="TGK245" s="10"/>
      <c r="TGL245" s="10"/>
      <c r="TGM245" s="19"/>
      <c r="TGN245" s="19"/>
      <c r="TGQ245" s="16"/>
      <c r="TGR245" s="15"/>
      <c r="TGS245" s="15"/>
      <c r="TGT245" s="15"/>
      <c r="TGU245" s="16"/>
      <c r="TGV245" s="16"/>
      <c r="TGW245" s="16"/>
      <c r="TGX245" s="16"/>
      <c r="TGY245" s="16"/>
      <c r="TGZ245" s="15"/>
      <c r="THA245" s="15"/>
      <c r="THB245" s="10"/>
      <c r="THC245" s="10"/>
      <c r="THD245" s="19"/>
      <c r="THE245" s="19"/>
      <c r="THH245" s="16"/>
      <c r="THI245" s="15"/>
      <c r="THJ245" s="15"/>
      <c r="THK245" s="15"/>
      <c r="THL245" s="16"/>
      <c r="THM245" s="16"/>
      <c r="THN245" s="16"/>
      <c r="THO245" s="16"/>
      <c r="THP245" s="16"/>
      <c r="THQ245" s="15"/>
      <c r="THR245" s="15"/>
      <c r="THS245" s="10"/>
      <c r="THT245" s="10"/>
      <c r="THU245" s="19"/>
      <c r="THV245" s="19"/>
      <c r="THY245" s="16"/>
      <c r="THZ245" s="15"/>
      <c r="TIA245" s="15"/>
      <c r="TIB245" s="15"/>
      <c r="TIC245" s="16"/>
      <c r="TID245" s="16"/>
      <c r="TIE245" s="16"/>
      <c r="TIF245" s="16"/>
      <c r="TIG245" s="16"/>
      <c r="TIH245" s="15"/>
      <c r="TII245" s="15"/>
      <c r="TIJ245" s="10"/>
      <c r="TIK245" s="10"/>
      <c r="TIL245" s="19"/>
      <c r="TIM245" s="19"/>
      <c r="TIP245" s="16"/>
      <c r="TIQ245" s="15"/>
      <c r="TIR245" s="15"/>
      <c r="TIS245" s="15"/>
      <c r="TIT245" s="16"/>
      <c r="TIU245" s="16"/>
      <c r="TIV245" s="16"/>
      <c r="TIW245" s="16"/>
      <c r="TIX245" s="16"/>
      <c r="TIY245" s="15"/>
      <c r="TIZ245" s="15"/>
      <c r="TJA245" s="10"/>
      <c r="TJB245" s="10"/>
      <c r="TJC245" s="19"/>
      <c r="TJD245" s="19"/>
      <c r="TJG245" s="16"/>
      <c r="TJH245" s="15"/>
      <c r="TJI245" s="15"/>
      <c r="TJJ245" s="15"/>
      <c r="TJK245" s="16"/>
      <c r="TJL245" s="16"/>
      <c r="TJM245" s="16"/>
      <c r="TJN245" s="16"/>
      <c r="TJO245" s="16"/>
      <c r="TJP245" s="15"/>
      <c r="TJQ245" s="15"/>
      <c r="TJR245" s="10"/>
      <c r="TJS245" s="10"/>
      <c r="TJT245" s="19"/>
      <c r="TJU245" s="19"/>
      <c r="TJX245" s="16"/>
      <c r="TJY245" s="15"/>
      <c r="TJZ245" s="15"/>
      <c r="TKA245" s="15"/>
      <c r="TKB245" s="16"/>
      <c r="TKC245" s="16"/>
      <c r="TKD245" s="16"/>
      <c r="TKE245" s="16"/>
      <c r="TKF245" s="16"/>
      <c r="TKG245" s="15"/>
      <c r="TKH245" s="15"/>
      <c r="TKI245" s="10"/>
      <c r="TKJ245" s="10"/>
      <c r="TKK245" s="19"/>
      <c r="TKL245" s="19"/>
      <c r="TKO245" s="16"/>
      <c r="TKP245" s="15"/>
      <c r="TKQ245" s="15"/>
      <c r="TKR245" s="15"/>
      <c r="TKS245" s="16"/>
      <c r="TKT245" s="16"/>
      <c r="TKU245" s="16"/>
      <c r="TKV245" s="16"/>
      <c r="TKW245" s="16"/>
      <c r="TKX245" s="15"/>
      <c r="TKY245" s="15"/>
      <c r="TKZ245" s="10"/>
      <c r="TLA245" s="10"/>
      <c r="TLB245" s="19"/>
      <c r="TLC245" s="19"/>
      <c r="TLF245" s="16"/>
      <c r="TLG245" s="15"/>
      <c r="TLH245" s="15"/>
      <c r="TLI245" s="15"/>
      <c r="TLJ245" s="16"/>
      <c r="TLK245" s="16"/>
      <c r="TLL245" s="16"/>
      <c r="TLM245" s="16"/>
      <c r="TLN245" s="16"/>
      <c r="TLO245" s="15"/>
      <c r="TLP245" s="15"/>
      <c r="TLQ245" s="10"/>
      <c r="TLR245" s="10"/>
      <c r="TLS245" s="19"/>
      <c r="TLT245" s="19"/>
      <c r="TLW245" s="16"/>
      <c r="TLX245" s="15"/>
      <c r="TLY245" s="15"/>
      <c r="TLZ245" s="15"/>
      <c r="TMA245" s="16"/>
      <c r="TMB245" s="16"/>
      <c r="TMC245" s="16"/>
      <c r="TMD245" s="16"/>
      <c r="TME245" s="16"/>
      <c r="TMF245" s="15"/>
      <c r="TMG245" s="15"/>
      <c r="TMH245" s="10"/>
      <c r="TMI245" s="10"/>
      <c r="TMJ245" s="19"/>
      <c r="TMK245" s="19"/>
      <c r="TMN245" s="16"/>
      <c r="TMO245" s="15"/>
      <c r="TMP245" s="15"/>
      <c r="TMQ245" s="15"/>
      <c r="TMR245" s="16"/>
      <c r="TMS245" s="16"/>
      <c r="TMT245" s="16"/>
      <c r="TMU245" s="16"/>
      <c r="TMV245" s="16"/>
      <c r="TMW245" s="15"/>
      <c r="TMX245" s="15"/>
      <c r="TMY245" s="10"/>
      <c r="TMZ245" s="10"/>
      <c r="TNA245" s="19"/>
      <c r="TNB245" s="19"/>
      <c r="TNE245" s="16"/>
      <c r="TNF245" s="15"/>
      <c r="TNG245" s="15"/>
      <c r="TNH245" s="15"/>
      <c r="TNI245" s="16"/>
      <c r="TNJ245" s="16"/>
      <c r="TNK245" s="16"/>
      <c r="TNL245" s="16"/>
      <c r="TNM245" s="16"/>
      <c r="TNN245" s="15"/>
      <c r="TNO245" s="15"/>
      <c r="TNP245" s="10"/>
      <c r="TNQ245" s="10"/>
      <c r="TNR245" s="19"/>
      <c r="TNS245" s="19"/>
      <c r="TNV245" s="16"/>
      <c r="TNW245" s="15"/>
      <c r="TNX245" s="15"/>
      <c r="TNY245" s="15"/>
      <c r="TNZ245" s="16"/>
      <c r="TOA245" s="16"/>
      <c r="TOB245" s="16"/>
      <c r="TOC245" s="16"/>
      <c r="TOD245" s="16"/>
      <c r="TOE245" s="15"/>
      <c r="TOF245" s="15"/>
      <c r="TOG245" s="10"/>
      <c r="TOH245" s="10"/>
      <c r="TOI245" s="19"/>
      <c r="TOJ245" s="19"/>
      <c r="TOM245" s="16"/>
      <c r="TON245" s="15"/>
      <c r="TOO245" s="15"/>
      <c r="TOP245" s="15"/>
      <c r="TOQ245" s="16"/>
      <c r="TOR245" s="16"/>
      <c r="TOS245" s="16"/>
      <c r="TOT245" s="16"/>
      <c r="TOU245" s="16"/>
      <c r="TOV245" s="15"/>
      <c r="TOW245" s="15"/>
      <c r="TOX245" s="10"/>
      <c r="TOY245" s="10"/>
      <c r="TOZ245" s="19"/>
      <c r="TPA245" s="19"/>
      <c r="TPD245" s="16"/>
      <c r="TPE245" s="15"/>
      <c r="TPF245" s="15"/>
      <c r="TPG245" s="15"/>
      <c r="TPH245" s="16"/>
      <c r="TPI245" s="16"/>
      <c r="TPJ245" s="16"/>
      <c r="TPK245" s="16"/>
      <c r="TPL245" s="16"/>
      <c r="TPM245" s="15"/>
      <c r="TPN245" s="15"/>
      <c r="TPO245" s="10"/>
      <c r="TPP245" s="10"/>
      <c r="TPQ245" s="19"/>
      <c r="TPR245" s="19"/>
      <c r="TPU245" s="16"/>
      <c r="TPV245" s="15"/>
      <c r="TPW245" s="15"/>
      <c r="TPX245" s="15"/>
      <c r="TPY245" s="16"/>
      <c r="TPZ245" s="16"/>
      <c r="TQA245" s="16"/>
      <c r="TQB245" s="16"/>
      <c r="TQC245" s="16"/>
      <c r="TQD245" s="15"/>
      <c r="TQE245" s="15"/>
      <c r="TQF245" s="10"/>
      <c r="TQG245" s="10"/>
      <c r="TQH245" s="19"/>
      <c r="TQI245" s="19"/>
      <c r="TQL245" s="16"/>
      <c r="TQM245" s="15"/>
      <c r="TQN245" s="15"/>
      <c r="TQO245" s="15"/>
      <c r="TQP245" s="16"/>
      <c r="TQQ245" s="16"/>
      <c r="TQR245" s="16"/>
      <c r="TQS245" s="16"/>
      <c r="TQT245" s="16"/>
      <c r="TQU245" s="15"/>
      <c r="TQV245" s="15"/>
      <c r="TQW245" s="10"/>
      <c r="TQX245" s="10"/>
      <c r="TQY245" s="19"/>
      <c r="TQZ245" s="19"/>
      <c r="TRC245" s="16"/>
      <c r="TRD245" s="15"/>
      <c r="TRE245" s="15"/>
      <c r="TRF245" s="15"/>
      <c r="TRG245" s="16"/>
      <c r="TRH245" s="16"/>
      <c r="TRI245" s="16"/>
      <c r="TRJ245" s="16"/>
      <c r="TRK245" s="16"/>
      <c r="TRL245" s="15"/>
      <c r="TRM245" s="15"/>
      <c r="TRN245" s="10"/>
      <c r="TRO245" s="10"/>
      <c r="TRP245" s="19"/>
      <c r="TRQ245" s="19"/>
      <c r="TRT245" s="16"/>
      <c r="TRU245" s="15"/>
      <c r="TRV245" s="15"/>
      <c r="TRW245" s="15"/>
      <c r="TRX245" s="16"/>
      <c r="TRY245" s="16"/>
      <c r="TRZ245" s="16"/>
      <c r="TSA245" s="16"/>
      <c r="TSB245" s="16"/>
      <c r="TSC245" s="15"/>
      <c r="TSD245" s="15"/>
      <c r="TSE245" s="10"/>
      <c r="TSF245" s="10"/>
      <c r="TSG245" s="19"/>
      <c r="TSH245" s="19"/>
      <c r="TSK245" s="16"/>
      <c r="TSL245" s="15"/>
      <c r="TSM245" s="15"/>
      <c r="TSN245" s="15"/>
      <c r="TSO245" s="16"/>
      <c r="TSP245" s="16"/>
      <c r="TSQ245" s="16"/>
      <c r="TSR245" s="16"/>
      <c r="TSS245" s="16"/>
      <c r="TST245" s="15"/>
      <c r="TSU245" s="15"/>
      <c r="TSV245" s="10"/>
      <c r="TSW245" s="10"/>
      <c r="TSX245" s="19"/>
      <c r="TSY245" s="19"/>
      <c r="TTB245" s="16"/>
      <c r="TTC245" s="15"/>
      <c r="TTD245" s="15"/>
      <c r="TTE245" s="15"/>
      <c r="TTF245" s="16"/>
      <c r="TTG245" s="16"/>
      <c r="TTH245" s="16"/>
      <c r="TTI245" s="16"/>
      <c r="TTJ245" s="16"/>
      <c r="TTK245" s="15"/>
      <c r="TTL245" s="15"/>
      <c r="TTM245" s="10"/>
      <c r="TTN245" s="10"/>
      <c r="TTO245" s="19"/>
      <c r="TTP245" s="19"/>
      <c r="TTS245" s="16"/>
      <c r="TTT245" s="15"/>
      <c r="TTU245" s="15"/>
      <c r="TTV245" s="15"/>
      <c r="TTW245" s="16"/>
      <c r="TTX245" s="16"/>
      <c r="TTY245" s="16"/>
      <c r="TTZ245" s="16"/>
      <c r="TUA245" s="16"/>
      <c r="TUB245" s="15"/>
      <c r="TUC245" s="15"/>
      <c r="TUD245" s="10"/>
      <c r="TUE245" s="10"/>
      <c r="TUF245" s="19"/>
      <c r="TUG245" s="19"/>
      <c r="TUJ245" s="16"/>
      <c r="TUK245" s="15"/>
      <c r="TUL245" s="15"/>
      <c r="TUM245" s="15"/>
      <c r="TUN245" s="16"/>
      <c r="TUO245" s="16"/>
      <c r="TUP245" s="16"/>
      <c r="TUQ245" s="16"/>
      <c r="TUR245" s="16"/>
      <c r="TUS245" s="15"/>
      <c r="TUT245" s="15"/>
      <c r="TUU245" s="10"/>
      <c r="TUV245" s="10"/>
      <c r="TUW245" s="19"/>
      <c r="TUX245" s="19"/>
      <c r="TVA245" s="16"/>
      <c r="TVB245" s="15"/>
      <c r="TVC245" s="15"/>
      <c r="TVD245" s="15"/>
      <c r="TVE245" s="16"/>
      <c r="TVF245" s="16"/>
      <c r="TVG245" s="16"/>
      <c r="TVH245" s="16"/>
      <c r="TVI245" s="16"/>
      <c r="TVJ245" s="15"/>
      <c r="TVK245" s="15"/>
      <c r="TVL245" s="10"/>
      <c r="TVM245" s="10"/>
      <c r="TVN245" s="19"/>
      <c r="TVO245" s="19"/>
      <c r="TVR245" s="16"/>
      <c r="TVS245" s="15"/>
      <c r="TVT245" s="15"/>
      <c r="TVU245" s="15"/>
      <c r="TVV245" s="16"/>
      <c r="TVW245" s="16"/>
      <c r="TVX245" s="16"/>
      <c r="TVY245" s="16"/>
      <c r="TVZ245" s="16"/>
      <c r="TWA245" s="15"/>
      <c r="TWB245" s="15"/>
      <c r="TWC245" s="10"/>
      <c r="TWD245" s="10"/>
      <c r="TWE245" s="19"/>
      <c r="TWF245" s="19"/>
      <c r="TWI245" s="16"/>
      <c r="TWJ245" s="15"/>
      <c r="TWK245" s="15"/>
      <c r="TWL245" s="15"/>
      <c r="TWM245" s="16"/>
      <c r="TWN245" s="16"/>
      <c r="TWO245" s="16"/>
      <c r="TWP245" s="16"/>
      <c r="TWQ245" s="16"/>
      <c r="TWR245" s="15"/>
      <c r="TWS245" s="15"/>
      <c r="TWT245" s="10"/>
      <c r="TWU245" s="10"/>
      <c r="TWV245" s="19"/>
      <c r="TWW245" s="19"/>
      <c r="TWZ245" s="16"/>
      <c r="TXA245" s="15"/>
      <c r="TXB245" s="15"/>
      <c r="TXC245" s="15"/>
      <c r="TXD245" s="16"/>
      <c r="TXE245" s="16"/>
      <c r="TXF245" s="16"/>
      <c r="TXG245" s="16"/>
      <c r="TXH245" s="16"/>
      <c r="TXI245" s="15"/>
      <c r="TXJ245" s="15"/>
      <c r="TXK245" s="10"/>
      <c r="TXL245" s="10"/>
      <c r="TXM245" s="19"/>
      <c r="TXN245" s="19"/>
      <c r="TXQ245" s="16"/>
      <c r="TXR245" s="15"/>
      <c r="TXS245" s="15"/>
      <c r="TXT245" s="15"/>
      <c r="TXU245" s="16"/>
      <c r="TXV245" s="16"/>
      <c r="TXW245" s="16"/>
      <c r="TXX245" s="16"/>
      <c r="TXY245" s="16"/>
      <c r="TXZ245" s="15"/>
      <c r="TYA245" s="15"/>
      <c r="TYB245" s="10"/>
      <c r="TYC245" s="10"/>
      <c r="TYD245" s="19"/>
      <c r="TYE245" s="19"/>
      <c r="TYH245" s="16"/>
      <c r="TYI245" s="15"/>
      <c r="TYJ245" s="15"/>
      <c r="TYK245" s="15"/>
      <c r="TYL245" s="16"/>
      <c r="TYM245" s="16"/>
      <c r="TYN245" s="16"/>
      <c r="TYO245" s="16"/>
      <c r="TYP245" s="16"/>
      <c r="TYQ245" s="15"/>
      <c r="TYR245" s="15"/>
      <c r="TYS245" s="10"/>
      <c r="TYT245" s="10"/>
      <c r="TYU245" s="19"/>
      <c r="TYV245" s="19"/>
      <c r="TYY245" s="16"/>
      <c r="TYZ245" s="15"/>
      <c r="TZA245" s="15"/>
      <c r="TZB245" s="15"/>
      <c r="TZC245" s="16"/>
      <c r="TZD245" s="16"/>
      <c r="TZE245" s="16"/>
      <c r="TZF245" s="16"/>
      <c r="TZG245" s="16"/>
      <c r="TZH245" s="15"/>
      <c r="TZI245" s="15"/>
      <c r="TZJ245" s="10"/>
      <c r="TZK245" s="10"/>
      <c r="TZL245" s="19"/>
      <c r="TZM245" s="19"/>
      <c r="TZP245" s="16"/>
      <c r="TZQ245" s="15"/>
      <c r="TZR245" s="15"/>
      <c r="TZS245" s="15"/>
      <c r="TZT245" s="16"/>
      <c r="TZU245" s="16"/>
      <c r="TZV245" s="16"/>
      <c r="TZW245" s="16"/>
      <c r="TZX245" s="16"/>
      <c r="TZY245" s="15"/>
      <c r="TZZ245" s="15"/>
      <c r="UAA245" s="10"/>
      <c r="UAB245" s="10"/>
      <c r="UAC245" s="19"/>
      <c r="UAD245" s="19"/>
      <c r="UAG245" s="16"/>
      <c r="UAH245" s="15"/>
      <c r="UAI245" s="15"/>
      <c r="UAJ245" s="15"/>
      <c r="UAK245" s="16"/>
      <c r="UAL245" s="16"/>
      <c r="UAM245" s="16"/>
      <c r="UAN245" s="16"/>
      <c r="UAO245" s="16"/>
      <c r="UAP245" s="15"/>
      <c r="UAQ245" s="15"/>
      <c r="UAR245" s="10"/>
      <c r="UAS245" s="10"/>
      <c r="UAT245" s="19"/>
      <c r="UAU245" s="19"/>
      <c r="UAX245" s="16"/>
      <c r="UAY245" s="15"/>
      <c r="UAZ245" s="15"/>
      <c r="UBA245" s="15"/>
      <c r="UBB245" s="16"/>
      <c r="UBC245" s="16"/>
      <c r="UBD245" s="16"/>
      <c r="UBE245" s="16"/>
      <c r="UBF245" s="16"/>
      <c r="UBG245" s="15"/>
      <c r="UBH245" s="15"/>
      <c r="UBI245" s="10"/>
      <c r="UBJ245" s="10"/>
      <c r="UBK245" s="19"/>
      <c r="UBL245" s="19"/>
      <c r="UBO245" s="16"/>
      <c r="UBP245" s="15"/>
      <c r="UBQ245" s="15"/>
      <c r="UBR245" s="15"/>
      <c r="UBS245" s="16"/>
      <c r="UBT245" s="16"/>
      <c r="UBU245" s="16"/>
      <c r="UBV245" s="16"/>
      <c r="UBW245" s="16"/>
      <c r="UBX245" s="15"/>
      <c r="UBY245" s="15"/>
      <c r="UBZ245" s="10"/>
      <c r="UCA245" s="10"/>
      <c r="UCB245" s="19"/>
      <c r="UCC245" s="19"/>
      <c r="UCF245" s="16"/>
      <c r="UCG245" s="15"/>
      <c r="UCH245" s="15"/>
      <c r="UCI245" s="15"/>
      <c r="UCJ245" s="16"/>
      <c r="UCK245" s="16"/>
      <c r="UCL245" s="16"/>
      <c r="UCM245" s="16"/>
      <c r="UCN245" s="16"/>
      <c r="UCO245" s="15"/>
      <c r="UCP245" s="15"/>
      <c r="UCQ245" s="10"/>
      <c r="UCR245" s="10"/>
      <c r="UCS245" s="19"/>
      <c r="UCT245" s="19"/>
      <c r="UCW245" s="16"/>
      <c r="UCX245" s="15"/>
      <c r="UCY245" s="15"/>
      <c r="UCZ245" s="15"/>
      <c r="UDA245" s="16"/>
      <c r="UDB245" s="16"/>
      <c r="UDC245" s="16"/>
      <c r="UDD245" s="16"/>
      <c r="UDE245" s="16"/>
      <c r="UDF245" s="15"/>
      <c r="UDG245" s="15"/>
      <c r="UDH245" s="10"/>
      <c r="UDI245" s="10"/>
      <c r="UDJ245" s="19"/>
      <c r="UDK245" s="19"/>
      <c r="UDN245" s="16"/>
      <c r="UDO245" s="15"/>
      <c r="UDP245" s="15"/>
      <c r="UDQ245" s="15"/>
      <c r="UDR245" s="16"/>
      <c r="UDS245" s="16"/>
      <c r="UDT245" s="16"/>
      <c r="UDU245" s="16"/>
      <c r="UDV245" s="16"/>
      <c r="UDW245" s="15"/>
      <c r="UDX245" s="15"/>
      <c r="UDY245" s="10"/>
      <c r="UDZ245" s="10"/>
      <c r="UEA245" s="19"/>
      <c r="UEB245" s="19"/>
      <c r="UEE245" s="16"/>
      <c r="UEF245" s="15"/>
      <c r="UEG245" s="15"/>
      <c r="UEH245" s="15"/>
      <c r="UEI245" s="16"/>
      <c r="UEJ245" s="16"/>
      <c r="UEK245" s="16"/>
      <c r="UEL245" s="16"/>
      <c r="UEM245" s="16"/>
      <c r="UEN245" s="15"/>
      <c r="UEO245" s="15"/>
      <c r="UEP245" s="10"/>
      <c r="UEQ245" s="10"/>
      <c r="UER245" s="19"/>
      <c r="UES245" s="19"/>
      <c r="UEV245" s="16"/>
      <c r="UEW245" s="15"/>
      <c r="UEX245" s="15"/>
      <c r="UEY245" s="15"/>
      <c r="UEZ245" s="16"/>
      <c r="UFA245" s="16"/>
      <c r="UFB245" s="16"/>
      <c r="UFC245" s="16"/>
      <c r="UFD245" s="16"/>
      <c r="UFE245" s="15"/>
      <c r="UFF245" s="15"/>
      <c r="UFG245" s="10"/>
      <c r="UFH245" s="10"/>
      <c r="UFI245" s="19"/>
      <c r="UFJ245" s="19"/>
      <c r="UFM245" s="16"/>
      <c r="UFN245" s="15"/>
      <c r="UFO245" s="15"/>
      <c r="UFP245" s="15"/>
      <c r="UFQ245" s="16"/>
      <c r="UFR245" s="16"/>
      <c r="UFS245" s="16"/>
      <c r="UFT245" s="16"/>
      <c r="UFU245" s="16"/>
      <c r="UFV245" s="15"/>
      <c r="UFW245" s="15"/>
      <c r="UFX245" s="10"/>
      <c r="UFY245" s="10"/>
      <c r="UFZ245" s="19"/>
      <c r="UGA245" s="19"/>
      <c r="UGD245" s="16"/>
      <c r="UGE245" s="15"/>
      <c r="UGF245" s="15"/>
      <c r="UGG245" s="15"/>
      <c r="UGH245" s="16"/>
      <c r="UGI245" s="16"/>
      <c r="UGJ245" s="16"/>
      <c r="UGK245" s="16"/>
      <c r="UGL245" s="16"/>
      <c r="UGM245" s="15"/>
      <c r="UGN245" s="15"/>
      <c r="UGO245" s="10"/>
      <c r="UGP245" s="10"/>
      <c r="UGQ245" s="19"/>
      <c r="UGR245" s="19"/>
      <c r="UGU245" s="16"/>
      <c r="UGV245" s="15"/>
      <c r="UGW245" s="15"/>
      <c r="UGX245" s="15"/>
      <c r="UGY245" s="16"/>
      <c r="UGZ245" s="16"/>
      <c r="UHA245" s="16"/>
      <c r="UHB245" s="16"/>
      <c r="UHC245" s="16"/>
      <c r="UHD245" s="15"/>
      <c r="UHE245" s="15"/>
      <c r="UHF245" s="10"/>
      <c r="UHG245" s="10"/>
      <c r="UHH245" s="19"/>
      <c r="UHI245" s="19"/>
      <c r="UHL245" s="16"/>
      <c r="UHM245" s="15"/>
      <c r="UHN245" s="15"/>
      <c r="UHO245" s="15"/>
      <c r="UHP245" s="16"/>
      <c r="UHQ245" s="16"/>
      <c r="UHR245" s="16"/>
      <c r="UHS245" s="16"/>
      <c r="UHT245" s="16"/>
      <c r="UHU245" s="15"/>
      <c r="UHV245" s="15"/>
      <c r="UHW245" s="10"/>
      <c r="UHX245" s="10"/>
      <c r="UHY245" s="19"/>
      <c r="UHZ245" s="19"/>
      <c r="UIC245" s="16"/>
      <c r="UID245" s="15"/>
      <c r="UIE245" s="15"/>
      <c r="UIF245" s="15"/>
      <c r="UIG245" s="16"/>
      <c r="UIH245" s="16"/>
      <c r="UII245" s="16"/>
      <c r="UIJ245" s="16"/>
      <c r="UIK245" s="16"/>
      <c r="UIL245" s="15"/>
      <c r="UIM245" s="15"/>
      <c r="UIN245" s="10"/>
      <c r="UIO245" s="10"/>
      <c r="UIP245" s="19"/>
      <c r="UIQ245" s="19"/>
      <c r="UIT245" s="16"/>
      <c r="UIU245" s="15"/>
      <c r="UIV245" s="15"/>
      <c r="UIW245" s="15"/>
      <c r="UIX245" s="16"/>
      <c r="UIY245" s="16"/>
      <c r="UIZ245" s="16"/>
      <c r="UJA245" s="16"/>
      <c r="UJB245" s="16"/>
      <c r="UJC245" s="15"/>
      <c r="UJD245" s="15"/>
      <c r="UJE245" s="10"/>
      <c r="UJF245" s="10"/>
      <c r="UJG245" s="19"/>
      <c r="UJH245" s="19"/>
      <c r="UJK245" s="16"/>
      <c r="UJL245" s="15"/>
      <c r="UJM245" s="15"/>
      <c r="UJN245" s="15"/>
      <c r="UJO245" s="16"/>
      <c r="UJP245" s="16"/>
      <c r="UJQ245" s="16"/>
      <c r="UJR245" s="16"/>
      <c r="UJS245" s="16"/>
      <c r="UJT245" s="15"/>
      <c r="UJU245" s="15"/>
      <c r="UJV245" s="10"/>
      <c r="UJW245" s="10"/>
      <c r="UJX245" s="19"/>
      <c r="UJY245" s="19"/>
      <c r="UKB245" s="16"/>
      <c r="UKC245" s="15"/>
      <c r="UKD245" s="15"/>
      <c r="UKE245" s="15"/>
      <c r="UKF245" s="16"/>
      <c r="UKG245" s="16"/>
      <c r="UKH245" s="16"/>
      <c r="UKI245" s="16"/>
      <c r="UKJ245" s="16"/>
      <c r="UKK245" s="15"/>
      <c r="UKL245" s="15"/>
      <c r="UKM245" s="10"/>
      <c r="UKN245" s="10"/>
      <c r="UKO245" s="19"/>
      <c r="UKP245" s="19"/>
      <c r="UKS245" s="16"/>
      <c r="UKT245" s="15"/>
      <c r="UKU245" s="15"/>
      <c r="UKV245" s="15"/>
      <c r="UKW245" s="16"/>
      <c r="UKX245" s="16"/>
      <c r="UKY245" s="16"/>
      <c r="UKZ245" s="16"/>
      <c r="ULA245" s="16"/>
      <c r="ULB245" s="15"/>
      <c r="ULC245" s="15"/>
      <c r="ULD245" s="10"/>
      <c r="ULE245" s="10"/>
      <c r="ULF245" s="19"/>
      <c r="ULG245" s="19"/>
      <c r="ULJ245" s="16"/>
      <c r="ULK245" s="15"/>
      <c r="ULL245" s="15"/>
      <c r="ULM245" s="15"/>
      <c r="ULN245" s="16"/>
      <c r="ULO245" s="16"/>
      <c r="ULP245" s="16"/>
      <c r="ULQ245" s="16"/>
      <c r="ULR245" s="16"/>
      <c r="ULS245" s="15"/>
      <c r="ULT245" s="15"/>
      <c r="ULU245" s="10"/>
      <c r="ULV245" s="10"/>
      <c r="ULW245" s="19"/>
      <c r="ULX245" s="19"/>
      <c r="UMA245" s="16"/>
      <c r="UMB245" s="15"/>
      <c r="UMC245" s="15"/>
      <c r="UMD245" s="15"/>
      <c r="UME245" s="16"/>
      <c r="UMF245" s="16"/>
      <c r="UMG245" s="16"/>
      <c r="UMH245" s="16"/>
      <c r="UMI245" s="16"/>
      <c r="UMJ245" s="15"/>
      <c r="UMK245" s="15"/>
      <c r="UML245" s="10"/>
      <c r="UMM245" s="10"/>
      <c r="UMN245" s="19"/>
      <c r="UMO245" s="19"/>
      <c r="UMR245" s="16"/>
      <c r="UMS245" s="15"/>
      <c r="UMT245" s="15"/>
      <c r="UMU245" s="15"/>
      <c r="UMV245" s="16"/>
      <c r="UMW245" s="16"/>
      <c r="UMX245" s="16"/>
      <c r="UMY245" s="16"/>
      <c r="UMZ245" s="16"/>
      <c r="UNA245" s="15"/>
      <c r="UNB245" s="15"/>
      <c r="UNC245" s="10"/>
      <c r="UND245" s="10"/>
      <c r="UNE245" s="19"/>
      <c r="UNF245" s="19"/>
      <c r="UNI245" s="16"/>
      <c r="UNJ245" s="15"/>
      <c r="UNK245" s="15"/>
      <c r="UNL245" s="15"/>
      <c r="UNM245" s="16"/>
      <c r="UNN245" s="16"/>
      <c r="UNO245" s="16"/>
      <c r="UNP245" s="16"/>
      <c r="UNQ245" s="16"/>
      <c r="UNR245" s="15"/>
      <c r="UNS245" s="15"/>
      <c r="UNT245" s="10"/>
      <c r="UNU245" s="10"/>
      <c r="UNV245" s="19"/>
      <c r="UNW245" s="19"/>
      <c r="UNZ245" s="16"/>
      <c r="UOA245" s="15"/>
      <c r="UOB245" s="15"/>
      <c r="UOC245" s="15"/>
      <c r="UOD245" s="16"/>
      <c r="UOE245" s="16"/>
      <c r="UOF245" s="16"/>
      <c r="UOG245" s="16"/>
      <c r="UOH245" s="16"/>
      <c r="UOI245" s="15"/>
      <c r="UOJ245" s="15"/>
      <c r="UOK245" s="10"/>
      <c r="UOL245" s="10"/>
      <c r="UOM245" s="19"/>
      <c r="UON245" s="19"/>
      <c r="UOQ245" s="16"/>
      <c r="UOR245" s="15"/>
      <c r="UOS245" s="15"/>
      <c r="UOT245" s="15"/>
      <c r="UOU245" s="16"/>
      <c r="UOV245" s="16"/>
      <c r="UOW245" s="16"/>
      <c r="UOX245" s="16"/>
      <c r="UOY245" s="16"/>
      <c r="UOZ245" s="15"/>
      <c r="UPA245" s="15"/>
      <c r="UPB245" s="10"/>
      <c r="UPC245" s="10"/>
      <c r="UPD245" s="19"/>
      <c r="UPE245" s="19"/>
      <c r="UPH245" s="16"/>
      <c r="UPI245" s="15"/>
      <c r="UPJ245" s="15"/>
      <c r="UPK245" s="15"/>
      <c r="UPL245" s="16"/>
      <c r="UPM245" s="16"/>
      <c r="UPN245" s="16"/>
      <c r="UPO245" s="16"/>
      <c r="UPP245" s="16"/>
      <c r="UPQ245" s="15"/>
      <c r="UPR245" s="15"/>
      <c r="UPS245" s="10"/>
      <c r="UPT245" s="10"/>
      <c r="UPU245" s="19"/>
      <c r="UPV245" s="19"/>
      <c r="UPY245" s="16"/>
      <c r="UPZ245" s="15"/>
      <c r="UQA245" s="15"/>
      <c r="UQB245" s="15"/>
      <c r="UQC245" s="16"/>
      <c r="UQD245" s="16"/>
      <c r="UQE245" s="16"/>
      <c r="UQF245" s="16"/>
      <c r="UQG245" s="16"/>
      <c r="UQH245" s="15"/>
      <c r="UQI245" s="15"/>
      <c r="UQJ245" s="10"/>
      <c r="UQK245" s="10"/>
      <c r="UQL245" s="19"/>
      <c r="UQM245" s="19"/>
      <c r="UQP245" s="16"/>
      <c r="UQQ245" s="15"/>
      <c r="UQR245" s="15"/>
      <c r="UQS245" s="15"/>
      <c r="UQT245" s="16"/>
      <c r="UQU245" s="16"/>
      <c r="UQV245" s="16"/>
      <c r="UQW245" s="16"/>
      <c r="UQX245" s="16"/>
      <c r="UQY245" s="15"/>
      <c r="UQZ245" s="15"/>
      <c r="URA245" s="10"/>
      <c r="URB245" s="10"/>
      <c r="URC245" s="19"/>
      <c r="URD245" s="19"/>
      <c r="URG245" s="16"/>
      <c r="URH245" s="15"/>
      <c r="URI245" s="15"/>
      <c r="URJ245" s="15"/>
      <c r="URK245" s="16"/>
      <c r="URL245" s="16"/>
      <c r="URM245" s="16"/>
      <c r="URN245" s="16"/>
      <c r="URO245" s="16"/>
      <c r="URP245" s="15"/>
      <c r="URQ245" s="15"/>
      <c r="URR245" s="10"/>
      <c r="URS245" s="10"/>
      <c r="URT245" s="19"/>
      <c r="URU245" s="19"/>
      <c r="URX245" s="16"/>
      <c r="URY245" s="15"/>
      <c r="URZ245" s="15"/>
      <c r="USA245" s="15"/>
      <c r="USB245" s="16"/>
      <c r="USC245" s="16"/>
      <c r="USD245" s="16"/>
      <c r="USE245" s="16"/>
      <c r="USF245" s="16"/>
      <c r="USG245" s="15"/>
      <c r="USH245" s="15"/>
      <c r="USI245" s="10"/>
      <c r="USJ245" s="10"/>
      <c r="USK245" s="19"/>
      <c r="USL245" s="19"/>
      <c r="USO245" s="16"/>
      <c r="USP245" s="15"/>
      <c r="USQ245" s="15"/>
      <c r="USR245" s="15"/>
      <c r="USS245" s="16"/>
      <c r="UST245" s="16"/>
      <c r="USU245" s="16"/>
      <c r="USV245" s="16"/>
      <c r="USW245" s="16"/>
      <c r="USX245" s="15"/>
      <c r="USY245" s="15"/>
      <c r="USZ245" s="10"/>
      <c r="UTA245" s="10"/>
      <c r="UTB245" s="19"/>
      <c r="UTC245" s="19"/>
      <c r="UTF245" s="16"/>
      <c r="UTG245" s="15"/>
      <c r="UTH245" s="15"/>
      <c r="UTI245" s="15"/>
      <c r="UTJ245" s="16"/>
      <c r="UTK245" s="16"/>
      <c r="UTL245" s="16"/>
      <c r="UTM245" s="16"/>
      <c r="UTN245" s="16"/>
      <c r="UTO245" s="15"/>
      <c r="UTP245" s="15"/>
      <c r="UTQ245" s="10"/>
      <c r="UTR245" s="10"/>
      <c r="UTS245" s="19"/>
      <c r="UTT245" s="19"/>
      <c r="UTW245" s="16"/>
      <c r="UTX245" s="15"/>
      <c r="UTY245" s="15"/>
      <c r="UTZ245" s="15"/>
      <c r="UUA245" s="16"/>
      <c r="UUB245" s="16"/>
      <c r="UUC245" s="16"/>
      <c r="UUD245" s="16"/>
      <c r="UUE245" s="16"/>
      <c r="UUF245" s="15"/>
      <c r="UUG245" s="15"/>
      <c r="UUH245" s="10"/>
      <c r="UUI245" s="10"/>
      <c r="UUJ245" s="19"/>
      <c r="UUK245" s="19"/>
      <c r="UUN245" s="16"/>
      <c r="UUO245" s="15"/>
      <c r="UUP245" s="15"/>
      <c r="UUQ245" s="15"/>
      <c r="UUR245" s="16"/>
      <c r="UUS245" s="16"/>
      <c r="UUT245" s="16"/>
      <c r="UUU245" s="16"/>
      <c r="UUV245" s="16"/>
      <c r="UUW245" s="15"/>
      <c r="UUX245" s="15"/>
      <c r="UUY245" s="10"/>
      <c r="UUZ245" s="10"/>
      <c r="UVA245" s="19"/>
      <c r="UVB245" s="19"/>
      <c r="UVE245" s="16"/>
      <c r="UVF245" s="15"/>
      <c r="UVG245" s="15"/>
      <c r="UVH245" s="15"/>
      <c r="UVI245" s="16"/>
      <c r="UVJ245" s="16"/>
      <c r="UVK245" s="16"/>
      <c r="UVL245" s="16"/>
      <c r="UVM245" s="16"/>
      <c r="UVN245" s="15"/>
      <c r="UVO245" s="15"/>
      <c r="UVP245" s="10"/>
      <c r="UVQ245" s="10"/>
      <c r="UVR245" s="19"/>
      <c r="UVS245" s="19"/>
      <c r="UVV245" s="16"/>
      <c r="UVW245" s="15"/>
      <c r="UVX245" s="15"/>
      <c r="UVY245" s="15"/>
      <c r="UVZ245" s="16"/>
      <c r="UWA245" s="16"/>
      <c r="UWB245" s="16"/>
      <c r="UWC245" s="16"/>
      <c r="UWD245" s="16"/>
      <c r="UWE245" s="15"/>
      <c r="UWF245" s="15"/>
      <c r="UWG245" s="10"/>
      <c r="UWH245" s="10"/>
      <c r="UWI245" s="19"/>
      <c r="UWJ245" s="19"/>
      <c r="UWM245" s="16"/>
      <c r="UWN245" s="15"/>
      <c r="UWO245" s="15"/>
      <c r="UWP245" s="15"/>
      <c r="UWQ245" s="16"/>
      <c r="UWR245" s="16"/>
      <c r="UWS245" s="16"/>
      <c r="UWT245" s="16"/>
      <c r="UWU245" s="16"/>
      <c r="UWV245" s="15"/>
      <c r="UWW245" s="15"/>
      <c r="UWX245" s="10"/>
      <c r="UWY245" s="10"/>
      <c r="UWZ245" s="19"/>
      <c r="UXA245" s="19"/>
      <c r="UXD245" s="16"/>
      <c r="UXE245" s="15"/>
      <c r="UXF245" s="15"/>
      <c r="UXG245" s="15"/>
      <c r="UXH245" s="16"/>
      <c r="UXI245" s="16"/>
      <c r="UXJ245" s="16"/>
      <c r="UXK245" s="16"/>
      <c r="UXL245" s="16"/>
      <c r="UXM245" s="15"/>
      <c r="UXN245" s="15"/>
      <c r="UXO245" s="10"/>
      <c r="UXP245" s="10"/>
      <c r="UXQ245" s="19"/>
      <c r="UXR245" s="19"/>
      <c r="UXU245" s="16"/>
      <c r="UXV245" s="15"/>
      <c r="UXW245" s="15"/>
      <c r="UXX245" s="15"/>
      <c r="UXY245" s="16"/>
      <c r="UXZ245" s="16"/>
      <c r="UYA245" s="16"/>
      <c r="UYB245" s="16"/>
      <c r="UYC245" s="16"/>
      <c r="UYD245" s="15"/>
      <c r="UYE245" s="15"/>
      <c r="UYF245" s="10"/>
      <c r="UYG245" s="10"/>
      <c r="UYH245" s="19"/>
      <c r="UYI245" s="19"/>
      <c r="UYL245" s="16"/>
      <c r="UYM245" s="15"/>
      <c r="UYN245" s="15"/>
      <c r="UYO245" s="15"/>
      <c r="UYP245" s="16"/>
      <c r="UYQ245" s="16"/>
      <c r="UYR245" s="16"/>
      <c r="UYS245" s="16"/>
      <c r="UYT245" s="16"/>
      <c r="UYU245" s="15"/>
      <c r="UYV245" s="15"/>
      <c r="UYW245" s="10"/>
      <c r="UYX245" s="10"/>
      <c r="UYY245" s="19"/>
      <c r="UYZ245" s="19"/>
      <c r="UZC245" s="16"/>
      <c r="UZD245" s="15"/>
      <c r="UZE245" s="15"/>
      <c r="UZF245" s="15"/>
      <c r="UZG245" s="16"/>
      <c r="UZH245" s="16"/>
      <c r="UZI245" s="16"/>
      <c r="UZJ245" s="16"/>
      <c r="UZK245" s="16"/>
      <c r="UZL245" s="15"/>
      <c r="UZM245" s="15"/>
      <c r="UZN245" s="10"/>
      <c r="UZO245" s="10"/>
      <c r="UZP245" s="19"/>
      <c r="UZQ245" s="19"/>
      <c r="UZT245" s="16"/>
      <c r="UZU245" s="15"/>
      <c r="UZV245" s="15"/>
      <c r="UZW245" s="15"/>
      <c r="UZX245" s="16"/>
      <c r="UZY245" s="16"/>
      <c r="UZZ245" s="16"/>
      <c r="VAA245" s="16"/>
      <c r="VAB245" s="16"/>
      <c r="VAC245" s="15"/>
      <c r="VAD245" s="15"/>
      <c r="VAE245" s="10"/>
      <c r="VAF245" s="10"/>
      <c r="VAG245" s="19"/>
      <c r="VAH245" s="19"/>
      <c r="VAK245" s="16"/>
      <c r="VAL245" s="15"/>
      <c r="VAM245" s="15"/>
      <c r="VAN245" s="15"/>
      <c r="VAO245" s="16"/>
      <c r="VAP245" s="16"/>
      <c r="VAQ245" s="16"/>
      <c r="VAR245" s="16"/>
      <c r="VAS245" s="16"/>
      <c r="VAT245" s="15"/>
      <c r="VAU245" s="15"/>
      <c r="VAV245" s="10"/>
      <c r="VAW245" s="10"/>
      <c r="VAX245" s="19"/>
      <c r="VAY245" s="19"/>
      <c r="VBB245" s="16"/>
      <c r="VBC245" s="15"/>
      <c r="VBD245" s="15"/>
      <c r="VBE245" s="15"/>
      <c r="VBF245" s="16"/>
      <c r="VBG245" s="16"/>
      <c r="VBH245" s="16"/>
      <c r="VBI245" s="16"/>
      <c r="VBJ245" s="16"/>
      <c r="VBK245" s="15"/>
      <c r="VBL245" s="15"/>
      <c r="VBM245" s="10"/>
      <c r="VBN245" s="10"/>
      <c r="VBO245" s="19"/>
      <c r="VBP245" s="19"/>
      <c r="VBS245" s="16"/>
      <c r="VBT245" s="15"/>
      <c r="VBU245" s="15"/>
      <c r="VBV245" s="15"/>
      <c r="VBW245" s="16"/>
      <c r="VBX245" s="16"/>
      <c r="VBY245" s="16"/>
      <c r="VBZ245" s="16"/>
      <c r="VCA245" s="16"/>
      <c r="VCB245" s="15"/>
      <c r="VCC245" s="15"/>
      <c r="VCD245" s="10"/>
      <c r="VCE245" s="10"/>
      <c r="VCF245" s="19"/>
      <c r="VCG245" s="19"/>
      <c r="VCJ245" s="16"/>
      <c r="VCK245" s="15"/>
      <c r="VCL245" s="15"/>
      <c r="VCM245" s="15"/>
      <c r="VCN245" s="16"/>
      <c r="VCO245" s="16"/>
      <c r="VCP245" s="16"/>
      <c r="VCQ245" s="16"/>
      <c r="VCR245" s="16"/>
      <c r="VCS245" s="15"/>
      <c r="VCT245" s="15"/>
      <c r="VCU245" s="10"/>
      <c r="VCV245" s="10"/>
      <c r="VCW245" s="19"/>
      <c r="VCX245" s="19"/>
      <c r="VDA245" s="16"/>
      <c r="VDB245" s="15"/>
      <c r="VDC245" s="15"/>
      <c r="VDD245" s="15"/>
      <c r="VDE245" s="16"/>
      <c r="VDF245" s="16"/>
      <c r="VDG245" s="16"/>
      <c r="VDH245" s="16"/>
      <c r="VDI245" s="16"/>
      <c r="VDJ245" s="15"/>
      <c r="VDK245" s="15"/>
      <c r="VDL245" s="10"/>
      <c r="VDM245" s="10"/>
      <c r="VDN245" s="19"/>
      <c r="VDO245" s="19"/>
      <c r="VDR245" s="16"/>
      <c r="VDS245" s="15"/>
      <c r="VDT245" s="15"/>
      <c r="VDU245" s="15"/>
      <c r="VDV245" s="16"/>
      <c r="VDW245" s="16"/>
      <c r="VDX245" s="16"/>
      <c r="VDY245" s="16"/>
      <c r="VDZ245" s="16"/>
      <c r="VEA245" s="15"/>
      <c r="VEB245" s="15"/>
      <c r="VEC245" s="10"/>
      <c r="VED245" s="10"/>
      <c r="VEE245" s="19"/>
      <c r="VEF245" s="19"/>
      <c r="VEI245" s="16"/>
      <c r="VEJ245" s="15"/>
      <c r="VEK245" s="15"/>
      <c r="VEL245" s="15"/>
      <c r="VEM245" s="16"/>
      <c r="VEN245" s="16"/>
      <c r="VEO245" s="16"/>
      <c r="VEP245" s="16"/>
      <c r="VEQ245" s="16"/>
      <c r="VER245" s="15"/>
      <c r="VES245" s="15"/>
      <c r="VET245" s="10"/>
      <c r="VEU245" s="10"/>
      <c r="VEV245" s="19"/>
      <c r="VEW245" s="19"/>
      <c r="VEZ245" s="16"/>
      <c r="VFA245" s="15"/>
      <c r="VFB245" s="15"/>
      <c r="VFC245" s="15"/>
      <c r="VFD245" s="16"/>
      <c r="VFE245" s="16"/>
      <c r="VFF245" s="16"/>
      <c r="VFG245" s="16"/>
      <c r="VFH245" s="16"/>
      <c r="VFI245" s="15"/>
      <c r="VFJ245" s="15"/>
      <c r="VFK245" s="10"/>
      <c r="VFL245" s="10"/>
      <c r="VFM245" s="19"/>
      <c r="VFN245" s="19"/>
      <c r="VFQ245" s="16"/>
      <c r="VFR245" s="15"/>
      <c r="VFS245" s="15"/>
      <c r="VFT245" s="15"/>
      <c r="VFU245" s="16"/>
      <c r="VFV245" s="16"/>
      <c r="VFW245" s="16"/>
      <c r="VFX245" s="16"/>
      <c r="VFY245" s="16"/>
      <c r="VFZ245" s="15"/>
      <c r="VGA245" s="15"/>
      <c r="VGB245" s="10"/>
      <c r="VGC245" s="10"/>
      <c r="VGD245" s="19"/>
      <c r="VGE245" s="19"/>
      <c r="VGH245" s="16"/>
      <c r="VGI245" s="15"/>
      <c r="VGJ245" s="15"/>
      <c r="VGK245" s="15"/>
      <c r="VGL245" s="16"/>
      <c r="VGM245" s="16"/>
      <c r="VGN245" s="16"/>
      <c r="VGO245" s="16"/>
      <c r="VGP245" s="16"/>
      <c r="VGQ245" s="15"/>
      <c r="VGR245" s="15"/>
      <c r="VGS245" s="10"/>
      <c r="VGT245" s="10"/>
      <c r="VGU245" s="19"/>
      <c r="VGV245" s="19"/>
      <c r="VGY245" s="16"/>
      <c r="VGZ245" s="15"/>
      <c r="VHA245" s="15"/>
      <c r="VHB245" s="15"/>
      <c r="VHC245" s="16"/>
      <c r="VHD245" s="16"/>
      <c r="VHE245" s="16"/>
      <c r="VHF245" s="16"/>
      <c r="VHG245" s="16"/>
      <c r="VHH245" s="15"/>
      <c r="VHI245" s="15"/>
      <c r="VHJ245" s="10"/>
      <c r="VHK245" s="10"/>
      <c r="VHL245" s="19"/>
      <c r="VHM245" s="19"/>
      <c r="VHP245" s="16"/>
      <c r="VHQ245" s="15"/>
      <c r="VHR245" s="15"/>
      <c r="VHS245" s="15"/>
      <c r="VHT245" s="16"/>
      <c r="VHU245" s="16"/>
      <c r="VHV245" s="16"/>
      <c r="VHW245" s="16"/>
      <c r="VHX245" s="16"/>
      <c r="VHY245" s="15"/>
      <c r="VHZ245" s="15"/>
      <c r="VIA245" s="10"/>
      <c r="VIB245" s="10"/>
      <c r="VIC245" s="19"/>
      <c r="VID245" s="19"/>
      <c r="VIG245" s="16"/>
      <c r="VIH245" s="15"/>
      <c r="VII245" s="15"/>
      <c r="VIJ245" s="15"/>
      <c r="VIK245" s="16"/>
      <c r="VIL245" s="16"/>
      <c r="VIM245" s="16"/>
      <c r="VIN245" s="16"/>
      <c r="VIO245" s="16"/>
      <c r="VIP245" s="15"/>
      <c r="VIQ245" s="15"/>
      <c r="VIR245" s="10"/>
      <c r="VIS245" s="10"/>
      <c r="VIT245" s="19"/>
      <c r="VIU245" s="19"/>
      <c r="VIX245" s="16"/>
      <c r="VIY245" s="15"/>
      <c r="VIZ245" s="15"/>
      <c r="VJA245" s="15"/>
      <c r="VJB245" s="16"/>
      <c r="VJC245" s="16"/>
      <c r="VJD245" s="16"/>
      <c r="VJE245" s="16"/>
      <c r="VJF245" s="16"/>
      <c r="VJG245" s="15"/>
      <c r="VJH245" s="15"/>
      <c r="VJI245" s="10"/>
      <c r="VJJ245" s="10"/>
      <c r="VJK245" s="19"/>
      <c r="VJL245" s="19"/>
      <c r="VJO245" s="16"/>
      <c r="VJP245" s="15"/>
      <c r="VJQ245" s="15"/>
      <c r="VJR245" s="15"/>
      <c r="VJS245" s="16"/>
      <c r="VJT245" s="16"/>
      <c r="VJU245" s="16"/>
      <c r="VJV245" s="16"/>
      <c r="VJW245" s="16"/>
      <c r="VJX245" s="15"/>
      <c r="VJY245" s="15"/>
      <c r="VJZ245" s="10"/>
      <c r="VKA245" s="10"/>
      <c r="VKB245" s="19"/>
      <c r="VKC245" s="19"/>
      <c r="VKF245" s="16"/>
      <c r="VKG245" s="15"/>
      <c r="VKH245" s="15"/>
      <c r="VKI245" s="15"/>
      <c r="VKJ245" s="16"/>
      <c r="VKK245" s="16"/>
      <c r="VKL245" s="16"/>
      <c r="VKM245" s="16"/>
      <c r="VKN245" s="16"/>
      <c r="VKO245" s="15"/>
      <c r="VKP245" s="15"/>
      <c r="VKQ245" s="10"/>
      <c r="VKR245" s="10"/>
      <c r="VKS245" s="19"/>
      <c r="VKT245" s="19"/>
      <c r="VKW245" s="16"/>
      <c r="VKX245" s="15"/>
      <c r="VKY245" s="15"/>
      <c r="VKZ245" s="15"/>
      <c r="VLA245" s="16"/>
      <c r="VLB245" s="16"/>
      <c r="VLC245" s="16"/>
      <c r="VLD245" s="16"/>
      <c r="VLE245" s="16"/>
      <c r="VLF245" s="15"/>
      <c r="VLG245" s="15"/>
      <c r="VLH245" s="10"/>
      <c r="VLI245" s="10"/>
      <c r="VLJ245" s="19"/>
      <c r="VLK245" s="19"/>
      <c r="VLN245" s="16"/>
      <c r="VLO245" s="15"/>
      <c r="VLP245" s="15"/>
      <c r="VLQ245" s="15"/>
      <c r="VLR245" s="16"/>
      <c r="VLS245" s="16"/>
      <c r="VLT245" s="16"/>
      <c r="VLU245" s="16"/>
      <c r="VLV245" s="16"/>
      <c r="VLW245" s="15"/>
      <c r="VLX245" s="15"/>
      <c r="VLY245" s="10"/>
      <c r="VLZ245" s="10"/>
      <c r="VMA245" s="19"/>
      <c r="VMB245" s="19"/>
      <c r="VME245" s="16"/>
      <c r="VMF245" s="15"/>
      <c r="VMG245" s="15"/>
      <c r="VMH245" s="15"/>
      <c r="VMI245" s="16"/>
      <c r="VMJ245" s="16"/>
      <c r="VMK245" s="16"/>
      <c r="VML245" s="16"/>
      <c r="VMM245" s="16"/>
      <c r="VMN245" s="15"/>
      <c r="VMO245" s="15"/>
      <c r="VMP245" s="10"/>
      <c r="VMQ245" s="10"/>
      <c r="VMR245" s="19"/>
      <c r="VMS245" s="19"/>
      <c r="VMV245" s="16"/>
      <c r="VMW245" s="15"/>
      <c r="VMX245" s="15"/>
      <c r="VMY245" s="15"/>
      <c r="VMZ245" s="16"/>
      <c r="VNA245" s="16"/>
      <c r="VNB245" s="16"/>
      <c r="VNC245" s="16"/>
      <c r="VND245" s="16"/>
      <c r="VNE245" s="15"/>
      <c r="VNF245" s="15"/>
      <c r="VNG245" s="10"/>
      <c r="VNH245" s="10"/>
      <c r="VNI245" s="19"/>
      <c r="VNJ245" s="19"/>
      <c r="VNM245" s="16"/>
      <c r="VNN245" s="15"/>
      <c r="VNO245" s="15"/>
      <c r="VNP245" s="15"/>
      <c r="VNQ245" s="16"/>
      <c r="VNR245" s="16"/>
      <c r="VNS245" s="16"/>
      <c r="VNT245" s="16"/>
      <c r="VNU245" s="16"/>
      <c r="VNV245" s="15"/>
      <c r="VNW245" s="15"/>
      <c r="VNX245" s="10"/>
      <c r="VNY245" s="10"/>
      <c r="VNZ245" s="19"/>
      <c r="VOA245" s="19"/>
      <c r="VOD245" s="16"/>
      <c r="VOE245" s="15"/>
      <c r="VOF245" s="15"/>
      <c r="VOG245" s="15"/>
      <c r="VOH245" s="16"/>
      <c r="VOI245" s="16"/>
      <c r="VOJ245" s="16"/>
      <c r="VOK245" s="16"/>
      <c r="VOL245" s="16"/>
      <c r="VOM245" s="15"/>
      <c r="VON245" s="15"/>
      <c r="VOO245" s="10"/>
      <c r="VOP245" s="10"/>
      <c r="VOQ245" s="19"/>
      <c r="VOR245" s="19"/>
      <c r="VOU245" s="16"/>
      <c r="VOV245" s="15"/>
      <c r="VOW245" s="15"/>
      <c r="VOX245" s="15"/>
      <c r="VOY245" s="16"/>
      <c r="VOZ245" s="16"/>
      <c r="VPA245" s="16"/>
      <c r="VPB245" s="16"/>
      <c r="VPC245" s="16"/>
      <c r="VPD245" s="15"/>
      <c r="VPE245" s="15"/>
      <c r="VPF245" s="10"/>
      <c r="VPG245" s="10"/>
      <c r="VPH245" s="19"/>
      <c r="VPI245" s="19"/>
      <c r="VPL245" s="16"/>
      <c r="VPM245" s="15"/>
      <c r="VPN245" s="15"/>
      <c r="VPO245" s="15"/>
      <c r="VPP245" s="16"/>
      <c r="VPQ245" s="16"/>
      <c r="VPR245" s="16"/>
      <c r="VPS245" s="16"/>
      <c r="VPT245" s="16"/>
      <c r="VPU245" s="15"/>
      <c r="VPV245" s="15"/>
      <c r="VPW245" s="10"/>
      <c r="VPX245" s="10"/>
      <c r="VPY245" s="19"/>
      <c r="VPZ245" s="19"/>
      <c r="VQC245" s="16"/>
      <c r="VQD245" s="15"/>
      <c r="VQE245" s="15"/>
      <c r="VQF245" s="15"/>
      <c r="VQG245" s="16"/>
      <c r="VQH245" s="16"/>
      <c r="VQI245" s="16"/>
      <c r="VQJ245" s="16"/>
      <c r="VQK245" s="16"/>
      <c r="VQL245" s="15"/>
      <c r="VQM245" s="15"/>
      <c r="VQN245" s="10"/>
      <c r="VQO245" s="10"/>
      <c r="VQP245" s="19"/>
      <c r="VQQ245" s="19"/>
      <c r="VQT245" s="16"/>
      <c r="VQU245" s="15"/>
      <c r="VQV245" s="15"/>
      <c r="VQW245" s="15"/>
      <c r="VQX245" s="16"/>
      <c r="VQY245" s="16"/>
      <c r="VQZ245" s="16"/>
      <c r="VRA245" s="16"/>
      <c r="VRB245" s="16"/>
      <c r="VRC245" s="15"/>
      <c r="VRD245" s="15"/>
      <c r="VRE245" s="10"/>
      <c r="VRF245" s="10"/>
      <c r="VRG245" s="19"/>
      <c r="VRH245" s="19"/>
      <c r="VRK245" s="16"/>
      <c r="VRL245" s="15"/>
      <c r="VRM245" s="15"/>
      <c r="VRN245" s="15"/>
      <c r="VRO245" s="16"/>
      <c r="VRP245" s="16"/>
      <c r="VRQ245" s="16"/>
      <c r="VRR245" s="16"/>
      <c r="VRS245" s="16"/>
      <c r="VRT245" s="15"/>
      <c r="VRU245" s="15"/>
      <c r="VRV245" s="10"/>
      <c r="VRW245" s="10"/>
      <c r="VRX245" s="19"/>
      <c r="VRY245" s="19"/>
      <c r="VSB245" s="16"/>
      <c r="VSC245" s="15"/>
      <c r="VSD245" s="15"/>
      <c r="VSE245" s="15"/>
      <c r="VSF245" s="16"/>
      <c r="VSG245" s="16"/>
      <c r="VSH245" s="16"/>
      <c r="VSI245" s="16"/>
      <c r="VSJ245" s="16"/>
      <c r="VSK245" s="15"/>
      <c r="VSL245" s="15"/>
      <c r="VSM245" s="10"/>
      <c r="VSN245" s="10"/>
      <c r="VSO245" s="19"/>
      <c r="VSP245" s="19"/>
      <c r="VSS245" s="16"/>
      <c r="VST245" s="15"/>
      <c r="VSU245" s="15"/>
      <c r="VSV245" s="15"/>
      <c r="VSW245" s="16"/>
      <c r="VSX245" s="16"/>
      <c r="VSY245" s="16"/>
      <c r="VSZ245" s="16"/>
      <c r="VTA245" s="16"/>
      <c r="VTB245" s="15"/>
      <c r="VTC245" s="15"/>
      <c r="VTD245" s="10"/>
      <c r="VTE245" s="10"/>
      <c r="VTF245" s="19"/>
      <c r="VTG245" s="19"/>
      <c r="VTJ245" s="16"/>
      <c r="VTK245" s="15"/>
      <c r="VTL245" s="15"/>
      <c r="VTM245" s="15"/>
      <c r="VTN245" s="16"/>
      <c r="VTO245" s="16"/>
      <c r="VTP245" s="16"/>
      <c r="VTQ245" s="16"/>
      <c r="VTR245" s="16"/>
      <c r="VTS245" s="15"/>
      <c r="VTT245" s="15"/>
      <c r="VTU245" s="10"/>
      <c r="VTV245" s="10"/>
      <c r="VTW245" s="19"/>
      <c r="VTX245" s="19"/>
      <c r="VUA245" s="16"/>
      <c r="VUB245" s="15"/>
      <c r="VUC245" s="15"/>
      <c r="VUD245" s="15"/>
      <c r="VUE245" s="16"/>
      <c r="VUF245" s="16"/>
      <c r="VUG245" s="16"/>
      <c r="VUH245" s="16"/>
      <c r="VUI245" s="16"/>
      <c r="VUJ245" s="15"/>
      <c r="VUK245" s="15"/>
      <c r="VUL245" s="10"/>
      <c r="VUM245" s="10"/>
      <c r="VUN245" s="19"/>
      <c r="VUO245" s="19"/>
      <c r="VUR245" s="16"/>
      <c r="VUS245" s="15"/>
      <c r="VUT245" s="15"/>
      <c r="VUU245" s="15"/>
      <c r="VUV245" s="16"/>
      <c r="VUW245" s="16"/>
      <c r="VUX245" s="16"/>
      <c r="VUY245" s="16"/>
      <c r="VUZ245" s="16"/>
      <c r="VVA245" s="15"/>
      <c r="VVB245" s="15"/>
      <c r="VVC245" s="10"/>
      <c r="VVD245" s="10"/>
      <c r="VVE245" s="19"/>
      <c r="VVF245" s="19"/>
      <c r="VVI245" s="16"/>
      <c r="VVJ245" s="15"/>
      <c r="VVK245" s="15"/>
      <c r="VVL245" s="15"/>
      <c r="VVM245" s="16"/>
      <c r="VVN245" s="16"/>
      <c r="VVO245" s="16"/>
      <c r="VVP245" s="16"/>
      <c r="VVQ245" s="16"/>
      <c r="VVR245" s="15"/>
      <c r="VVS245" s="15"/>
      <c r="VVT245" s="10"/>
      <c r="VVU245" s="10"/>
      <c r="VVV245" s="19"/>
      <c r="VVW245" s="19"/>
      <c r="VVZ245" s="16"/>
      <c r="VWA245" s="15"/>
      <c r="VWB245" s="15"/>
      <c r="VWC245" s="15"/>
      <c r="VWD245" s="16"/>
      <c r="VWE245" s="16"/>
      <c r="VWF245" s="16"/>
      <c r="VWG245" s="16"/>
      <c r="VWH245" s="16"/>
      <c r="VWI245" s="15"/>
      <c r="VWJ245" s="15"/>
      <c r="VWK245" s="10"/>
      <c r="VWL245" s="10"/>
      <c r="VWM245" s="19"/>
      <c r="VWN245" s="19"/>
      <c r="VWQ245" s="16"/>
      <c r="VWR245" s="15"/>
      <c r="VWS245" s="15"/>
      <c r="VWT245" s="15"/>
      <c r="VWU245" s="16"/>
      <c r="VWV245" s="16"/>
      <c r="VWW245" s="16"/>
      <c r="VWX245" s="16"/>
      <c r="VWY245" s="16"/>
      <c r="VWZ245" s="15"/>
      <c r="VXA245" s="15"/>
      <c r="VXB245" s="10"/>
      <c r="VXC245" s="10"/>
      <c r="VXD245" s="19"/>
      <c r="VXE245" s="19"/>
      <c r="VXH245" s="16"/>
      <c r="VXI245" s="15"/>
      <c r="VXJ245" s="15"/>
      <c r="VXK245" s="15"/>
      <c r="VXL245" s="16"/>
      <c r="VXM245" s="16"/>
      <c r="VXN245" s="16"/>
      <c r="VXO245" s="16"/>
      <c r="VXP245" s="16"/>
      <c r="VXQ245" s="15"/>
      <c r="VXR245" s="15"/>
      <c r="VXS245" s="10"/>
      <c r="VXT245" s="10"/>
      <c r="VXU245" s="19"/>
      <c r="VXV245" s="19"/>
      <c r="VXY245" s="16"/>
      <c r="VXZ245" s="15"/>
      <c r="VYA245" s="15"/>
      <c r="VYB245" s="15"/>
      <c r="VYC245" s="16"/>
      <c r="VYD245" s="16"/>
      <c r="VYE245" s="16"/>
      <c r="VYF245" s="16"/>
      <c r="VYG245" s="16"/>
      <c r="VYH245" s="15"/>
      <c r="VYI245" s="15"/>
      <c r="VYJ245" s="10"/>
      <c r="VYK245" s="10"/>
      <c r="VYL245" s="19"/>
      <c r="VYM245" s="19"/>
      <c r="VYP245" s="16"/>
      <c r="VYQ245" s="15"/>
      <c r="VYR245" s="15"/>
      <c r="VYS245" s="15"/>
      <c r="VYT245" s="16"/>
      <c r="VYU245" s="16"/>
      <c r="VYV245" s="16"/>
      <c r="VYW245" s="16"/>
      <c r="VYX245" s="16"/>
      <c r="VYY245" s="15"/>
      <c r="VYZ245" s="15"/>
      <c r="VZA245" s="10"/>
      <c r="VZB245" s="10"/>
      <c r="VZC245" s="19"/>
      <c r="VZD245" s="19"/>
      <c r="VZG245" s="16"/>
      <c r="VZH245" s="15"/>
      <c r="VZI245" s="15"/>
      <c r="VZJ245" s="15"/>
      <c r="VZK245" s="16"/>
      <c r="VZL245" s="16"/>
      <c r="VZM245" s="16"/>
      <c r="VZN245" s="16"/>
      <c r="VZO245" s="16"/>
      <c r="VZP245" s="15"/>
      <c r="VZQ245" s="15"/>
      <c r="VZR245" s="10"/>
      <c r="VZS245" s="10"/>
      <c r="VZT245" s="19"/>
      <c r="VZU245" s="19"/>
      <c r="VZX245" s="16"/>
      <c r="VZY245" s="15"/>
      <c r="VZZ245" s="15"/>
      <c r="WAA245" s="15"/>
      <c r="WAB245" s="16"/>
      <c r="WAC245" s="16"/>
      <c r="WAD245" s="16"/>
      <c r="WAE245" s="16"/>
      <c r="WAF245" s="16"/>
      <c r="WAG245" s="15"/>
      <c r="WAH245" s="15"/>
      <c r="WAI245" s="10"/>
      <c r="WAJ245" s="10"/>
      <c r="WAK245" s="19"/>
      <c r="WAL245" s="19"/>
      <c r="WAO245" s="16"/>
      <c r="WAP245" s="15"/>
      <c r="WAQ245" s="15"/>
      <c r="WAR245" s="15"/>
      <c r="WAS245" s="16"/>
      <c r="WAT245" s="16"/>
      <c r="WAU245" s="16"/>
      <c r="WAV245" s="16"/>
      <c r="WAW245" s="16"/>
      <c r="WAX245" s="15"/>
      <c r="WAY245" s="15"/>
      <c r="WAZ245" s="10"/>
      <c r="WBA245" s="10"/>
      <c r="WBB245" s="19"/>
      <c r="WBC245" s="19"/>
      <c r="WBF245" s="16"/>
      <c r="WBG245" s="15"/>
      <c r="WBH245" s="15"/>
      <c r="WBI245" s="15"/>
      <c r="WBJ245" s="16"/>
      <c r="WBK245" s="16"/>
      <c r="WBL245" s="16"/>
      <c r="WBM245" s="16"/>
      <c r="WBN245" s="16"/>
      <c r="WBO245" s="15"/>
      <c r="WBP245" s="15"/>
      <c r="WBQ245" s="10"/>
      <c r="WBR245" s="10"/>
      <c r="WBS245" s="19"/>
      <c r="WBT245" s="19"/>
      <c r="WBW245" s="16"/>
      <c r="WBX245" s="15"/>
      <c r="WBY245" s="15"/>
      <c r="WBZ245" s="15"/>
      <c r="WCA245" s="16"/>
      <c r="WCB245" s="16"/>
      <c r="WCC245" s="16"/>
      <c r="WCD245" s="16"/>
      <c r="WCE245" s="16"/>
      <c r="WCF245" s="15"/>
      <c r="WCG245" s="15"/>
      <c r="WCH245" s="10"/>
      <c r="WCI245" s="10"/>
      <c r="WCJ245" s="19"/>
      <c r="WCK245" s="19"/>
      <c r="WCN245" s="16"/>
      <c r="WCO245" s="15"/>
      <c r="WCP245" s="15"/>
      <c r="WCQ245" s="15"/>
      <c r="WCR245" s="16"/>
      <c r="WCS245" s="16"/>
      <c r="WCT245" s="16"/>
      <c r="WCU245" s="16"/>
      <c r="WCV245" s="16"/>
      <c r="WCW245" s="15"/>
      <c r="WCX245" s="15"/>
      <c r="WCY245" s="10"/>
      <c r="WCZ245" s="10"/>
      <c r="WDA245" s="19"/>
      <c r="WDB245" s="19"/>
      <c r="WDE245" s="16"/>
      <c r="WDF245" s="15"/>
      <c r="WDG245" s="15"/>
      <c r="WDH245" s="15"/>
      <c r="WDI245" s="16"/>
      <c r="WDJ245" s="16"/>
      <c r="WDK245" s="16"/>
      <c r="WDL245" s="16"/>
      <c r="WDM245" s="16"/>
      <c r="WDN245" s="15"/>
      <c r="WDO245" s="15"/>
      <c r="WDP245" s="10"/>
      <c r="WDQ245" s="10"/>
      <c r="WDR245" s="19"/>
      <c r="WDS245" s="19"/>
      <c r="WDV245" s="16"/>
      <c r="WDW245" s="15"/>
      <c r="WDX245" s="15"/>
      <c r="WDY245" s="15"/>
      <c r="WDZ245" s="16"/>
      <c r="WEA245" s="16"/>
      <c r="WEB245" s="16"/>
      <c r="WEC245" s="16"/>
      <c r="WED245" s="16"/>
      <c r="WEE245" s="15"/>
      <c r="WEF245" s="15"/>
      <c r="WEG245" s="10"/>
      <c r="WEH245" s="10"/>
      <c r="WEI245" s="19"/>
      <c r="WEJ245" s="19"/>
      <c r="WEM245" s="16"/>
      <c r="WEN245" s="15"/>
      <c r="WEO245" s="15"/>
      <c r="WEP245" s="15"/>
      <c r="WEQ245" s="16"/>
      <c r="WER245" s="16"/>
      <c r="WES245" s="16"/>
      <c r="WET245" s="16"/>
      <c r="WEU245" s="16"/>
      <c r="WEV245" s="15"/>
      <c r="WEW245" s="15"/>
      <c r="WEX245" s="10"/>
      <c r="WEY245" s="10"/>
      <c r="WEZ245" s="19"/>
      <c r="WFA245" s="19"/>
      <c r="WFD245" s="16"/>
      <c r="WFE245" s="15"/>
      <c r="WFF245" s="15"/>
      <c r="WFG245" s="15"/>
      <c r="WFH245" s="16"/>
      <c r="WFI245" s="16"/>
      <c r="WFJ245" s="16"/>
      <c r="WFK245" s="16"/>
      <c r="WFL245" s="16"/>
      <c r="WFM245" s="15"/>
      <c r="WFN245" s="15"/>
      <c r="WFO245" s="10"/>
      <c r="WFP245" s="10"/>
      <c r="WFQ245" s="19"/>
      <c r="WFR245" s="19"/>
      <c r="WFU245" s="16"/>
      <c r="WFV245" s="15"/>
      <c r="WFW245" s="15"/>
      <c r="WFX245" s="15"/>
      <c r="WFY245" s="16"/>
      <c r="WFZ245" s="16"/>
      <c r="WGA245" s="16"/>
      <c r="WGB245" s="16"/>
      <c r="WGC245" s="16"/>
      <c r="WGD245" s="15"/>
      <c r="WGE245" s="15"/>
      <c r="WGF245" s="10"/>
      <c r="WGG245" s="10"/>
      <c r="WGH245" s="19"/>
      <c r="WGI245" s="19"/>
      <c r="WGL245" s="16"/>
      <c r="WGM245" s="15"/>
      <c r="WGN245" s="15"/>
      <c r="WGO245" s="15"/>
      <c r="WGP245" s="16"/>
      <c r="WGQ245" s="16"/>
      <c r="WGR245" s="16"/>
      <c r="WGS245" s="16"/>
      <c r="WGT245" s="16"/>
      <c r="WGU245" s="15"/>
      <c r="WGV245" s="15"/>
      <c r="WGW245" s="10"/>
      <c r="WGX245" s="10"/>
      <c r="WGY245" s="19"/>
      <c r="WGZ245" s="19"/>
      <c r="WHC245" s="16"/>
      <c r="WHD245" s="15"/>
      <c r="WHE245" s="15"/>
      <c r="WHF245" s="15"/>
      <c r="WHG245" s="16"/>
      <c r="WHH245" s="16"/>
      <c r="WHI245" s="16"/>
      <c r="WHJ245" s="16"/>
      <c r="WHK245" s="16"/>
      <c r="WHL245" s="15"/>
      <c r="WHM245" s="15"/>
      <c r="WHN245" s="10"/>
      <c r="WHO245" s="10"/>
      <c r="WHP245" s="19"/>
      <c r="WHQ245" s="19"/>
      <c r="WHT245" s="16"/>
      <c r="WHU245" s="15"/>
      <c r="WHV245" s="15"/>
      <c r="WHW245" s="15"/>
      <c r="WHX245" s="16"/>
      <c r="WHY245" s="16"/>
      <c r="WHZ245" s="16"/>
      <c r="WIA245" s="16"/>
      <c r="WIB245" s="16"/>
      <c r="WIC245" s="15"/>
      <c r="WID245" s="15"/>
      <c r="WIE245" s="10"/>
      <c r="WIF245" s="10"/>
      <c r="WIG245" s="19"/>
      <c r="WIH245" s="19"/>
      <c r="WIK245" s="16"/>
      <c r="WIL245" s="15"/>
      <c r="WIM245" s="15"/>
      <c r="WIN245" s="15"/>
      <c r="WIO245" s="16"/>
      <c r="WIP245" s="16"/>
      <c r="WIQ245" s="16"/>
      <c r="WIR245" s="16"/>
      <c r="WIS245" s="16"/>
      <c r="WIT245" s="15"/>
      <c r="WIU245" s="15"/>
      <c r="WIV245" s="10"/>
      <c r="WIW245" s="10"/>
      <c r="WIX245" s="19"/>
      <c r="WIY245" s="19"/>
      <c r="WJB245" s="16"/>
      <c r="WJC245" s="15"/>
      <c r="WJD245" s="15"/>
      <c r="WJE245" s="15"/>
      <c r="WJF245" s="16"/>
      <c r="WJG245" s="16"/>
      <c r="WJH245" s="16"/>
      <c r="WJI245" s="16"/>
      <c r="WJJ245" s="16"/>
      <c r="WJK245" s="15"/>
      <c r="WJL245" s="15"/>
      <c r="WJM245" s="10"/>
      <c r="WJN245" s="10"/>
      <c r="WJO245" s="19"/>
      <c r="WJP245" s="19"/>
      <c r="WJS245" s="16"/>
      <c r="WJT245" s="15"/>
      <c r="WJU245" s="15"/>
      <c r="WJV245" s="15"/>
      <c r="WJW245" s="16"/>
      <c r="WJX245" s="16"/>
      <c r="WJY245" s="16"/>
      <c r="WJZ245" s="16"/>
      <c r="WKA245" s="16"/>
      <c r="WKB245" s="15"/>
      <c r="WKC245" s="15"/>
      <c r="WKD245" s="10"/>
      <c r="WKE245" s="10"/>
      <c r="WKF245" s="19"/>
      <c r="WKG245" s="19"/>
      <c r="WKJ245" s="16"/>
      <c r="WKK245" s="15"/>
      <c r="WKL245" s="15"/>
      <c r="WKM245" s="15"/>
      <c r="WKN245" s="16"/>
      <c r="WKO245" s="16"/>
      <c r="WKP245" s="16"/>
      <c r="WKQ245" s="16"/>
      <c r="WKR245" s="16"/>
      <c r="WKS245" s="15"/>
      <c r="WKT245" s="15"/>
      <c r="WKU245" s="10"/>
      <c r="WKV245" s="10"/>
      <c r="WKW245" s="19"/>
      <c r="WKX245" s="19"/>
      <c r="WLA245" s="16"/>
      <c r="WLB245" s="15"/>
      <c r="WLC245" s="15"/>
      <c r="WLD245" s="15"/>
      <c r="WLE245" s="16"/>
      <c r="WLF245" s="16"/>
      <c r="WLG245" s="16"/>
      <c r="WLH245" s="16"/>
      <c r="WLI245" s="16"/>
      <c r="WLJ245" s="15"/>
      <c r="WLK245" s="15"/>
      <c r="WLL245" s="10"/>
      <c r="WLM245" s="10"/>
      <c r="WLN245" s="19"/>
      <c r="WLO245" s="19"/>
      <c r="WLR245" s="16"/>
      <c r="WLS245" s="15"/>
      <c r="WLT245" s="15"/>
      <c r="WLU245" s="15"/>
      <c r="WLV245" s="16"/>
      <c r="WLW245" s="16"/>
      <c r="WLX245" s="16"/>
      <c r="WLY245" s="16"/>
      <c r="WLZ245" s="16"/>
      <c r="WMA245" s="15"/>
      <c r="WMB245" s="15"/>
      <c r="WMC245" s="10"/>
      <c r="WMD245" s="10"/>
      <c r="WME245" s="19"/>
      <c r="WMF245" s="19"/>
      <c r="WMI245" s="16"/>
      <c r="WMJ245" s="15"/>
      <c r="WMK245" s="15"/>
      <c r="WML245" s="15"/>
      <c r="WMM245" s="16"/>
      <c r="WMN245" s="16"/>
      <c r="WMO245" s="16"/>
      <c r="WMP245" s="16"/>
      <c r="WMQ245" s="16"/>
      <c r="WMR245" s="15"/>
      <c r="WMS245" s="15"/>
      <c r="WMT245" s="10"/>
      <c r="WMU245" s="10"/>
      <c r="WMV245" s="19"/>
      <c r="WMW245" s="19"/>
      <c r="WMZ245" s="16"/>
      <c r="WNA245" s="15"/>
      <c r="WNB245" s="15"/>
      <c r="WNC245" s="15"/>
      <c r="WND245" s="16"/>
      <c r="WNE245" s="16"/>
      <c r="WNF245" s="16"/>
      <c r="WNG245" s="16"/>
      <c r="WNH245" s="16"/>
      <c r="WNI245" s="15"/>
      <c r="WNJ245" s="15"/>
      <c r="WNK245" s="10"/>
      <c r="WNL245" s="10"/>
      <c r="WNM245" s="19"/>
      <c r="WNN245" s="19"/>
      <c r="WNQ245" s="16"/>
      <c r="WNR245" s="15"/>
      <c r="WNS245" s="15"/>
      <c r="WNT245" s="15"/>
      <c r="WNU245" s="16"/>
      <c r="WNV245" s="16"/>
      <c r="WNW245" s="16"/>
      <c r="WNX245" s="16"/>
      <c r="WNY245" s="16"/>
      <c r="WNZ245" s="15"/>
      <c r="WOA245" s="15"/>
      <c r="WOB245" s="10"/>
      <c r="WOC245" s="10"/>
      <c r="WOD245" s="19"/>
      <c r="WOE245" s="19"/>
      <c r="WOH245" s="16"/>
      <c r="WOI245" s="15"/>
      <c r="WOJ245" s="15"/>
      <c r="WOK245" s="15"/>
      <c r="WOL245" s="16"/>
      <c r="WOM245" s="16"/>
      <c r="WON245" s="16"/>
      <c r="WOO245" s="16"/>
      <c r="WOP245" s="16"/>
      <c r="WOQ245" s="15"/>
      <c r="WOR245" s="15"/>
      <c r="WOS245" s="10"/>
      <c r="WOT245" s="10"/>
      <c r="WOU245" s="19"/>
      <c r="WOV245" s="19"/>
      <c r="WOY245" s="16"/>
      <c r="WOZ245" s="15"/>
      <c r="WPA245" s="15"/>
      <c r="WPB245" s="15"/>
      <c r="WPC245" s="16"/>
      <c r="WPD245" s="16"/>
      <c r="WPE245" s="16"/>
      <c r="WPF245" s="16"/>
      <c r="WPG245" s="16"/>
      <c r="WPH245" s="15"/>
      <c r="WPI245" s="15"/>
      <c r="WPJ245" s="10"/>
      <c r="WPK245" s="10"/>
      <c r="WPL245" s="19"/>
      <c r="WPM245" s="19"/>
      <c r="WPP245" s="16"/>
      <c r="WPQ245" s="15"/>
      <c r="WPR245" s="15"/>
      <c r="WPS245" s="15"/>
      <c r="WPT245" s="16"/>
      <c r="WPU245" s="16"/>
      <c r="WPV245" s="16"/>
      <c r="WPW245" s="16"/>
      <c r="WPX245" s="16"/>
      <c r="WPY245" s="15"/>
      <c r="WPZ245" s="15"/>
      <c r="WQA245" s="10"/>
      <c r="WQB245" s="10"/>
      <c r="WQC245" s="19"/>
      <c r="WQD245" s="19"/>
      <c r="WQG245" s="16"/>
      <c r="WQH245" s="15"/>
      <c r="WQI245" s="15"/>
      <c r="WQJ245" s="15"/>
      <c r="WQK245" s="16"/>
      <c r="WQL245" s="16"/>
      <c r="WQM245" s="16"/>
      <c r="WQN245" s="16"/>
      <c r="WQO245" s="16"/>
      <c r="WQP245" s="15"/>
      <c r="WQQ245" s="15"/>
      <c r="WQR245" s="10"/>
      <c r="WQS245" s="10"/>
      <c r="WQT245" s="19"/>
      <c r="WQU245" s="19"/>
      <c r="WQX245" s="16"/>
      <c r="WQY245" s="15"/>
      <c r="WQZ245" s="15"/>
      <c r="WRA245" s="15"/>
      <c r="WRB245" s="16"/>
      <c r="WRC245" s="16"/>
      <c r="WRD245" s="16"/>
      <c r="WRE245" s="16"/>
      <c r="WRF245" s="16"/>
      <c r="WRG245" s="15"/>
      <c r="WRH245" s="15"/>
      <c r="WRI245" s="10"/>
      <c r="WRJ245" s="10"/>
      <c r="WRK245" s="19"/>
      <c r="WRL245" s="19"/>
      <c r="WRO245" s="16"/>
      <c r="WRP245" s="15"/>
      <c r="WRQ245" s="15"/>
      <c r="WRR245" s="15"/>
      <c r="WRS245" s="16"/>
      <c r="WRT245" s="16"/>
      <c r="WRU245" s="16"/>
      <c r="WRV245" s="16"/>
      <c r="WRW245" s="16"/>
      <c r="WRX245" s="15"/>
      <c r="WRY245" s="15"/>
      <c r="WRZ245" s="10"/>
      <c r="WSA245" s="10"/>
      <c r="WSB245" s="19"/>
      <c r="WSC245" s="19"/>
      <c r="WSF245" s="16"/>
      <c r="WSG245" s="15"/>
      <c r="WSH245" s="15"/>
      <c r="WSI245" s="15"/>
      <c r="WSJ245" s="16"/>
      <c r="WSK245" s="16"/>
      <c r="WSL245" s="16"/>
      <c r="WSM245" s="16"/>
      <c r="WSN245" s="16"/>
      <c r="WSO245" s="15"/>
      <c r="WSP245" s="15"/>
      <c r="WSQ245" s="10"/>
      <c r="WSR245" s="10"/>
      <c r="WSS245" s="19"/>
      <c r="WST245" s="19"/>
      <c r="WSW245" s="16"/>
      <c r="WSX245" s="15"/>
      <c r="WSY245" s="15"/>
      <c r="WSZ245" s="15"/>
      <c r="WTA245" s="16"/>
      <c r="WTB245" s="16"/>
      <c r="WTC245" s="16"/>
      <c r="WTD245" s="16"/>
      <c r="WTE245" s="16"/>
      <c r="WTF245" s="15"/>
      <c r="WTG245" s="15"/>
      <c r="WTH245" s="10"/>
      <c r="WTI245" s="10"/>
      <c r="WTJ245" s="19"/>
      <c r="WTK245" s="19"/>
      <c r="WTN245" s="16"/>
      <c r="WTO245" s="15"/>
      <c r="WTP245" s="15"/>
      <c r="WTQ245" s="15"/>
      <c r="WTR245" s="16"/>
      <c r="WTS245" s="16"/>
      <c r="WTT245" s="16"/>
      <c r="WTU245" s="16"/>
      <c r="WTV245" s="16"/>
      <c r="WTW245" s="15"/>
      <c r="WTX245" s="15"/>
      <c r="WTY245" s="10"/>
      <c r="WTZ245" s="10"/>
      <c r="WUA245" s="19"/>
      <c r="WUB245" s="19"/>
      <c r="WUE245" s="16"/>
      <c r="WUF245" s="15"/>
      <c r="WUG245" s="15"/>
      <c r="WUH245" s="15"/>
      <c r="WUI245" s="16"/>
      <c r="WUJ245" s="16"/>
      <c r="WUK245" s="16"/>
      <c r="WUL245" s="16"/>
      <c r="WUM245" s="16"/>
      <c r="WUN245" s="15"/>
      <c r="WUO245" s="15"/>
      <c r="WUP245" s="10"/>
      <c r="WUQ245" s="10"/>
      <c r="WUR245" s="19"/>
      <c r="WUS245" s="19"/>
      <c r="WUV245" s="16"/>
      <c r="WUW245" s="15"/>
      <c r="WUX245" s="15"/>
      <c r="WUY245" s="15"/>
      <c r="WUZ245" s="16"/>
      <c r="WVA245" s="16"/>
      <c r="WVB245" s="16"/>
      <c r="WVC245" s="16"/>
      <c r="WVD245" s="16"/>
      <c r="WVE245" s="15"/>
      <c r="WVF245" s="15"/>
      <c r="WVG245" s="10"/>
      <c r="WVH245" s="10"/>
      <c r="WVI245" s="19"/>
      <c r="WVJ245" s="19"/>
      <c r="WVM245" s="16"/>
      <c r="WVN245" s="15"/>
      <c r="WVO245" s="15"/>
      <c r="WVP245" s="15"/>
      <c r="WVQ245" s="16"/>
      <c r="WVR245" s="16"/>
      <c r="WVS245" s="16"/>
      <c r="WVT245" s="16"/>
      <c r="WVU245" s="16"/>
      <c r="WVV245" s="15"/>
      <c r="WVW245" s="15"/>
      <c r="WVX245" s="10"/>
      <c r="WVY245" s="10"/>
      <c r="WVZ245" s="19"/>
      <c r="WWA245" s="19"/>
      <c r="WWD245" s="16"/>
      <c r="WWE245" s="15"/>
      <c r="WWF245" s="15"/>
      <c r="WWG245" s="15"/>
      <c r="WWH245" s="16"/>
      <c r="WWI245" s="16"/>
      <c r="WWJ245" s="16"/>
      <c r="WWK245" s="16"/>
      <c r="WWL245" s="16"/>
      <c r="WWM245" s="15"/>
      <c r="WWN245" s="15"/>
      <c r="WWO245" s="10"/>
      <c r="WWP245" s="10"/>
      <c r="WWQ245" s="19"/>
      <c r="WWR245" s="19"/>
      <c r="WWU245" s="16"/>
      <c r="WWV245" s="15"/>
      <c r="WWW245" s="15"/>
      <c r="WWX245" s="15"/>
      <c r="WWY245" s="16"/>
      <c r="WWZ245" s="16"/>
      <c r="WXA245" s="16"/>
      <c r="WXB245" s="16"/>
      <c r="WXC245" s="16"/>
      <c r="WXD245" s="15"/>
      <c r="WXE245" s="15"/>
      <c r="WXF245" s="10"/>
      <c r="WXG245" s="10"/>
      <c r="WXH245" s="19"/>
      <c r="WXI245" s="19"/>
      <c r="WXL245" s="16"/>
      <c r="WXM245" s="15"/>
      <c r="WXN245" s="15"/>
      <c r="WXO245" s="15"/>
      <c r="WXP245" s="16"/>
      <c r="WXQ245" s="16"/>
      <c r="WXR245" s="16"/>
      <c r="WXS245" s="16"/>
      <c r="WXT245" s="16"/>
      <c r="WXU245" s="15"/>
      <c r="WXV245" s="15"/>
      <c r="WXW245" s="10"/>
      <c r="WXX245" s="10"/>
      <c r="WXY245" s="19"/>
      <c r="WXZ245" s="19"/>
      <c r="WYC245" s="16"/>
      <c r="WYD245" s="15"/>
      <c r="WYE245" s="15"/>
      <c r="WYF245" s="15"/>
      <c r="WYG245" s="16"/>
      <c r="WYH245" s="16"/>
      <c r="WYI245" s="16"/>
      <c r="WYJ245" s="16"/>
      <c r="WYK245" s="16"/>
      <c r="WYL245" s="15"/>
      <c r="WYM245" s="15"/>
      <c r="WYN245" s="10"/>
      <c r="WYO245" s="10"/>
      <c r="WYP245" s="19"/>
      <c r="WYQ245" s="19"/>
      <c r="WYT245" s="16"/>
      <c r="WYU245" s="15"/>
      <c r="WYV245" s="15"/>
      <c r="WYW245" s="15"/>
      <c r="WYX245" s="16"/>
      <c r="WYY245" s="16"/>
      <c r="WYZ245" s="16"/>
      <c r="WZA245" s="16"/>
      <c r="WZB245" s="16"/>
      <c r="WZC245" s="15"/>
      <c r="WZD245" s="15"/>
      <c r="WZE245" s="10"/>
      <c r="WZF245" s="10"/>
      <c r="WZG245" s="19"/>
      <c r="WZH245" s="19"/>
      <c r="WZK245" s="16"/>
      <c r="WZL245" s="15"/>
      <c r="WZM245" s="15"/>
      <c r="WZN245" s="15"/>
      <c r="WZO245" s="16"/>
      <c r="WZP245" s="16"/>
      <c r="WZQ245" s="16"/>
      <c r="WZR245" s="16"/>
      <c r="WZS245" s="16"/>
      <c r="WZT245" s="15"/>
      <c r="WZU245" s="15"/>
      <c r="WZV245" s="10"/>
      <c r="WZW245" s="10"/>
      <c r="WZX245" s="19"/>
      <c r="WZY245" s="19"/>
      <c r="XAB245" s="16"/>
      <c r="XAC245" s="15"/>
      <c r="XAD245" s="15"/>
      <c r="XAE245" s="15"/>
      <c r="XAF245" s="16"/>
      <c r="XAG245" s="16"/>
      <c r="XAH245" s="16"/>
      <c r="XAI245" s="16"/>
      <c r="XAJ245" s="16"/>
      <c r="XAK245" s="15"/>
      <c r="XAL245" s="15"/>
      <c r="XAM245" s="10"/>
      <c r="XAN245" s="10"/>
      <c r="XAO245" s="19"/>
      <c r="XAP245" s="19"/>
      <c r="XAS245" s="16"/>
      <c r="XAT245" s="15"/>
      <c r="XAU245" s="15"/>
      <c r="XAV245" s="15"/>
      <c r="XAW245" s="16"/>
      <c r="XAX245" s="16"/>
      <c r="XAY245" s="16"/>
      <c r="XAZ245" s="16"/>
      <c r="XBA245" s="16"/>
      <c r="XBB245" s="15"/>
      <c r="XBC245" s="15"/>
      <c r="XBD245" s="10"/>
      <c r="XBE245" s="10"/>
      <c r="XBF245" s="19"/>
      <c r="XBG245" s="19"/>
      <c r="XBJ245" s="16"/>
      <c r="XBK245" s="15"/>
      <c r="XBL245" s="15"/>
      <c r="XBM245" s="15"/>
      <c r="XBN245" s="16"/>
      <c r="XBO245" s="16"/>
      <c r="XBP245" s="16"/>
      <c r="XBQ245" s="16"/>
      <c r="XBR245" s="16"/>
      <c r="XBS245" s="15"/>
      <c r="XBT245" s="15"/>
      <c r="XBU245" s="10"/>
      <c r="XBV245" s="10"/>
      <c r="XBW245" s="19"/>
      <c r="XBX245" s="19"/>
      <c r="XCA245" s="16"/>
      <c r="XCB245" s="15"/>
      <c r="XCC245" s="15"/>
      <c r="XCD245" s="15"/>
      <c r="XCE245" s="16"/>
      <c r="XCF245" s="16"/>
      <c r="XCG245" s="16"/>
      <c r="XCH245" s="16"/>
      <c r="XCI245" s="16"/>
      <c r="XCJ245" s="15"/>
      <c r="XCK245" s="15"/>
      <c r="XCL245" s="10"/>
      <c r="XCM245" s="10"/>
      <c r="XCN245" s="19"/>
      <c r="XCO245" s="19"/>
      <c r="XCR245" s="16"/>
      <c r="XCS245" s="15"/>
      <c r="XCT245" s="15"/>
      <c r="XCU245" s="15"/>
      <c r="XCV245" s="16"/>
      <c r="XCW245" s="16"/>
      <c r="XCX245" s="16"/>
      <c r="XCY245" s="16"/>
      <c r="XCZ245" s="16"/>
      <c r="XDA245" s="15"/>
      <c r="XDB245" s="15"/>
      <c r="XDC245" s="10"/>
      <c r="XDD245" s="10"/>
      <c r="XDE245" s="19"/>
      <c r="XDF245" s="19"/>
      <c r="XDI245" s="16"/>
      <c r="XDJ245" s="15"/>
      <c r="XDK245" s="15"/>
      <c r="XDL245" s="15"/>
      <c r="XDM245" s="16"/>
      <c r="XDN245" s="16"/>
      <c r="XDO245" s="16"/>
      <c r="XDP245" s="16"/>
      <c r="XDQ245" s="16"/>
      <c r="XDR245" s="15"/>
      <c r="XDS245" s="15"/>
      <c r="XDT245" s="10"/>
      <c r="XDU245" s="10"/>
      <c r="XDV245" s="19"/>
      <c r="XDW245" s="19"/>
      <c r="XDZ245" s="16"/>
      <c r="XEA245" s="15"/>
      <c r="XEB245" s="15"/>
      <c r="XEC245" s="15"/>
      <c r="XED245" s="16"/>
      <c r="XEE245" s="16"/>
      <c r="XEF245" s="16"/>
      <c r="XEG245" s="16"/>
      <c r="XEH245" s="16"/>
      <c r="XEI245" s="15"/>
      <c r="XEJ245" s="15"/>
      <c r="XEK245" s="10"/>
      <c r="XEL245" s="10"/>
      <c r="XEM245" s="19"/>
      <c r="XEN245" s="19"/>
      <c r="XEQ245" s="16"/>
      <c r="XER245" s="15"/>
      <c r="XES245" s="15"/>
      <c r="XET245" s="15"/>
      <c r="XEU245" s="16"/>
      <c r="XEV245" s="16"/>
      <c r="XEW245" s="16"/>
      <c r="XEX245" s="16"/>
      <c r="XEY245" s="16"/>
      <c r="XEZ245" s="15"/>
      <c r="XFA245" s="15"/>
      <c r="XFB245" s="10"/>
      <c r="XFC245" s="10"/>
      <c r="XFD245" s="19"/>
    </row>
    <row r="246" spans="1:4094 4097:8191 8194:12288 12291:16384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1198</v>
      </c>
      <c r="E246" s="32" t="s">
        <v>164</v>
      </c>
      <c r="F246" s="32" t="s">
        <v>1199</v>
      </c>
      <c r="G246" s="32" t="s">
        <v>1201</v>
      </c>
      <c r="H246" s="32" t="s">
        <v>352</v>
      </c>
      <c r="I246" s="31" t="s">
        <v>1200</v>
      </c>
      <c r="J246" s="31">
        <v>99</v>
      </c>
      <c r="K246" s="33" t="s">
        <v>713</v>
      </c>
      <c r="L246" s="33" t="s">
        <v>684</v>
      </c>
      <c r="M246" s="34" t="s">
        <v>1366</v>
      </c>
      <c r="N246" s="34" t="s">
        <v>1696</v>
      </c>
      <c r="O246" s="35">
        <v>1</v>
      </c>
      <c r="P246" s="35"/>
      <c r="Q246" s="32"/>
      <c r="S246" s="1">
        <f t="shared" si="91"/>
        <v>0</v>
      </c>
      <c r="T246" s="1">
        <f t="shared" si="92"/>
        <v>0</v>
      </c>
      <c r="U246" s="1">
        <f t="shared" si="93"/>
        <v>0</v>
      </c>
      <c r="V246" s="1">
        <f t="shared" si="94"/>
        <v>0</v>
      </c>
      <c r="W246" s="1">
        <f t="shared" si="95"/>
        <v>0</v>
      </c>
      <c r="X246" s="1">
        <f t="shared" si="96"/>
        <v>0</v>
      </c>
      <c r="Y246" s="1">
        <f t="shared" si="97"/>
        <v>0</v>
      </c>
      <c r="Z246" s="1">
        <f t="shared" si="98"/>
        <v>0</v>
      </c>
      <c r="AA246" s="1">
        <f t="shared" si="99"/>
        <v>0</v>
      </c>
      <c r="AB246" s="1">
        <f t="shared" si="100"/>
        <v>0</v>
      </c>
      <c r="AD246" s="1">
        <f t="shared" si="101"/>
        <v>0</v>
      </c>
      <c r="AE246" s="1">
        <f t="shared" si="102"/>
        <v>1</v>
      </c>
      <c r="AF246" s="1">
        <f t="shared" si="103"/>
        <v>0</v>
      </c>
      <c r="AG246" s="1">
        <f t="shared" si="104"/>
        <v>1</v>
      </c>
      <c r="AH246" s="1">
        <f t="shared" si="105"/>
        <v>0</v>
      </c>
      <c r="AI246" s="1">
        <f t="shared" si="106"/>
        <v>1</v>
      </c>
    </row>
    <row r="247" spans="1:4094 4097:8191 8194:12288 12291:16384" s="1" customFormat="1" ht="14.25" customHeight="1" x14ac:dyDescent="0.25">
      <c r="A247" s="31">
        <v>0</v>
      </c>
      <c r="B247" s="31">
        <v>1</v>
      </c>
      <c r="C247" s="31">
        <v>6</v>
      </c>
      <c r="D247" s="32" t="s">
        <v>955</v>
      </c>
      <c r="E247" s="32" t="s">
        <v>164</v>
      </c>
      <c r="F247" s="32" t="s">
        <v>953</v>
      </c>
      <c r="G247" s="32" t="s">
        <v>1082</v>
      </c>
      <c r="H247" s="32" t="s">
        <v>352</v>
      </c>
      <c r="I247" s="31" t="s">
        <v>954</v>
      </c>
      <c r="J247" s="31">
        <v>1</v>
      </c>
      <c r="K247" s="33" t="s">
        <v>933</v>
      </c>
      <c r="L247" s="33" t="s">
        <v>680</v>
      </c>
      <c r="M247" s="34" t="s">
        <v>1367</v>
      </c>
      <c r="N247" s="34" t="s">
        <v>1700</v>
      </c>
      <c r="O247" s="35">
        <v>1</v>
      </c>
      <c r="P247" s="35"/>
      <c r="Q247" s="32"/>
      <c r="R247" s="15"/>
      <c r="S247" s="1">
        <f t="shared" si="91"/>
        <v>1</v>
      </c>
      <c r="T247" s="1">
        <f t="shared" si="92"/>
        <v>0</v>
      </c>
      <c r="U247" s="1">
        <f t="shared" si="93"/>
        <v>0</v>
      </c>
      <c r="V247" s="1">
        <f t="shared" si="94"/>
        <v>0</v>
      </c>
      <c r="W247" s="1">
        <f t="shared" si="95"/>
        <v>0</v>
      </c>
      <c r="X247" s="1">
        <f t="shared" si="96"/>
        <v>0</v>
      </c>
      <c r="Y247" s="1">
        <f t="shared" si="97"/>
        <v>0</v>
      </c>
      <c r="Z247" s="1">
        <f t="shared" si="98"/>
        <v>0</v>
      </c>
      <c r="AA247" s="1">
        <f t="shared" si="99"/>
        <v>0</v>
      </c>
      <c r="AB247" s="1">
        <f t="shared" si="100"/>
        <v>0</v>
      </c>
      <c r="AD247" s="1">
        <f t="shared" si="101"/>
        <v>0</v>
      </c>
      <c r="AE247" s="1">
        <f t="shared" si="102"/>
        <v>1</v>
      </c>
      <c r="AF247" s="1">
        <f t="shared" si="103"/>
        <v>0</v>
      </c>
      <c r="AG247" s="1">
        <f t="shared" si="104"/>
        <v>1</v>
      </c>
      <c r="AH247" s="1">
        <f t="shared" si="105"/>
        <v>0</v>
      </c>
      <c r="AI247" s="1">
        <f t="shared" si="106"/>
        <v>1</v>
      </c>
      <c r="AJ247" s="15"/>
      <c r="AK247" s="15"/>
      <c r="AL247" s="15"/>
      <c r="AM247" s="15"/>
      <c r="AN247" s="15"/>
      <c r="AO247" s="15"/>
      <c r="AP247" s="15"/>
      <c r="AQ247" s="15"/>
      <c r="AR247" s="15"/>
      <c r="AS247" s="10"/>
      <c r="AT247" s="10"/>
      <c r="AU247" s="21"/>
      <c r="AV247" s="21"/>
      <c r="AY247" s="21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0"/>
      <c r="BK247" s="10"/>
      <c r="BL247" s="21"/>
      <c r="BM247" s="21"/>
      <c r="BP247" s="21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0"/>
      <c r="CB247" s="10"/>
      <c r="CC247" s="21"/>
      <c r="CD247" s="21"/>
      <c r="CG247" s="21"/>
      <c r="CH247" s="15"/>
      <c r="CI247" s="15"/>
      <c r="CJ247" s="15"/>
      <c r="CK247" s="15"/>
      <c r="CL247" s="15"/>
      <c r="CM247" s="15"/>
      <c r="CN247" s="15"/>
      <c r="CO247" s="15"/>
      <c r="CP247" s="15"/>
      <c r="CQ247" s="15"/>
      <c r="CR247" s="10"/>
      <c r="CS247" s="10"/>
      <c r="CT247" s="21"/>
      <c r="CU247" s="21"/>
      <c r="CX247" s="21"/>
      <c r="CY247" s="15"/>
      <c r="CZ247" s="15"/>
      <c r="DA247" s="15"/>
      <c r="DB247" s="15"/>
      <c r="DC247" s="15"/>
      <c r="DD247" s="15"/>
      <c r="DE247" s="15"/>
      <c r="DF247" s="15"/>
      <c r="DG247" s="15"/>
      <c r="DH247" s="15"/>
      <c r="DI247" s="10"/>
      <c r="DJ247" s="10"/>
      <c r="DK247" s="21"/>
      <c r="DL247" s="21"/>
      <c r="DO247" s="21"/>
      <c r="DP247" s="15"/>
      <c r="DQ247" s="15"/>
      <c r="DR247" s="15"/>
      <c r="DS247" s="15"/>
      <c r="DT247" s="15"/>
      <c r="DU247" s="15"/>
      <c r="DV247" s="15"/>
      <c r="DW247" s="15"/>
      <c r="DX247" s="15"/>
      <c r="DY247" s="15"/>
      <c r="DZ247" s="10"/>
      <c r="EA247" s="10"/>
      <c r="EB247" s="21"/>
      <c r="EC247" s="21"/>
      <c r="EF247" s="21"/>
      <c r="EG247" s="15"/>
      <c r="EH247" s="15"/>
      <c r="EI247" s="15"/>
      <c r="EJ247" s="15"/>
      <c r="EK247" s="15"/>
      <c r="EL247" s="15"/>
      <c r="EM247" s="15"/>
      <c r="EN247" s="15"/>
      <c r="EO247" s="15"/>
      <c r="EP247" s="15"/>
      <c r="EQ247" s="10"/>
      <c r="ER247" s="10"/>
      <c r="ES247" s="21"/>
      <c r="ET247" s="21"/>
      <c r="EW247" s="21"/>
      <c r="EX247" s="15"/>
      <c r="EY247" s="15"/>
      <c r="EZ247" s="15"/>
      <c r="FA247" s="15"/>
      <c r="FB247" s="15"/>
      <c r="FC247" s="15"/>
      <c r="FD247" s="15"/>
      <c r="FE247" s="15"/>
      <c r="FF247" s="15"/>
      <c r="FG247" s="15"/>
      <c r="FH247" s="10"/>
      <c r="FI247" s="10"/>
      <c r="FJ247" s="21"/>
      <c r="FK247" s="21"/>
      <c r="FN247" s="21"/>
      <c r="FO247" s="15"/>
      <c r="FP247" s="15"/>
      <c r="FQ247" s="15"/>
      <c r="FR247" s="15"/>
      <c r="FS247" s="15"/>
      <c r="FT247" s="15"/>
      <c r="FU247" s="15"/>
      <c r="FV247" s="15"/>
      <c r="FW247" s="15"/>
      <c r="FX247" s="15"/>
      <c r="FY247" s="10"/>
      <c r="FZ247" s="10"/>
      <c r="GA247" s="21"/>
      <c r="GB247" s="21"/>
      <c r="GE247" s="21"/>
      <c r="GF247" s="15"/>
      <c r="GG247" s="15"/>
      <c r="GH247" s="15"/>
      <c r="GI247" s="15"/>
      <c r="GJ247" s="15"/>
      <c r="GK247" s="15"/>
      <c r="GL247" s="15"/>
      <c r="GM247" s="15"/>
      <c r="GN247" s="15"/>
      <c r="GO247" s="15"/>
      <c r="GP247" s="10"/>
      <c r="GQ247" s="10"/>
      <c r="GR247" s="21"/>
      <c r="GS247" s="21"/>
      <c r="GV247" s="21"/>
      <c r="GW247" s="15"/>
      <c r="GX247" s="15"/>
      <c r="GY247" s="15"/>
      <c r="GZ247" s="15"/>
      <c r="HA247" s="15"/>
      <c r="HB247" s="15"/>
      <c r="HC247" s="15"/>
      <c r="HD247" s="15"/>
      <c r="HE247" s="15"/>
      <c r="HF247" s="15"/>
      <c r="HG247" s="10"/>
      <c r="HH247" s="10"/>
      <c r="HI247" s="21"/>
      <c r="HJ247" s="21"/>
      <c r="HM247" s="21"/>
      <c r="HN247" s="15"/>
      <c r="HO247" s="15"/>
      <c r="HP247" s="15"/>
      <c r="HQ247" s="15"/>
      <c r="HR247" s="15"/>
      <c r="HS247" s="15"/>
      <c r="HT247" s="15"/>
      <c r="HU247" s="15"/>
      <c r="HV247" s="15"/>
      <c r="HW247" s="15"/>
      <c r="HX247" s="10"/>
      <c r="HY247" s="10"/>
      <c r="HZ247" s="21"/>
      <c r="IA247" s="21"/>
      <c r="ID247" s="21"/>
      <c r="IE247" s="15"/>
      <c r="IF247" s="15"/>
      <c r="IG247" s="15"/>
      <c r="IH247" s="15"/>
      <c r="II247" s="15"/>
      <c r="IJ247" s="15"/>
      <c r="IK247" s="15"/>
      <c r="IL247" s="15"/>
      <c r="IM247" s="15"/>
      <c r="IN247" s="15"/>
      <c r="IO247" s="10"/>
      <c r="IP247" s="10"/>
      <c r="IQ247" s="21"/>
      <c r="IR247" s="21"/>
      <c r="IU247" s="21"/>
      <c r="IV247" s="15"/>
      <c r="IW247" s="15"/>
      <c r="IX247" s="15"/>
      <c r="IY247" s="15"/>
      <c r="IZ247" s="15"/>
      <c r="JA247" s="15"/>
      <c r="JB247" s="15"/>
      <c r="JC247" s="15"/>
      <c r="JD247" s="15"/>
      <c r="JE247" s="15"/>
      <c r="JF247" s="10"/>
      <c r="JG247" s="10"/>
      <c r="JH247" s="21"/>
      <c r="JI247" s="21"/>
      <c r="JL247" s="21"/>
      <c r="JM247" s="15"/>
      <c r="JN247" s="15"/>
      <c r="JO247" s="15"/>
      <c r="JP247" s="15"/>
      <c r="JQ247" s="15"/>
      <c r="JR247" s="15"/>
      <c r="JS247" s="15"/>
      <c r="JT247" s="15"/>
      <c r="JU247" s="15"/>
      <c r="JV247" s="15"/>
      <c r="JW247" s="10"/>
      <c r="JX247" s="10"/>
      <c r="JY247" s="21"/>
      <c r="JZ247" s="21"/>
      <c r="KC247" s="21"/>
      <c r="KD247" s="15"/>
      <c r="KE247" s="15"/>
      <c r="KF247" s="15"/>
      <c r="KG247" s="15"/>
      <c r="KH247" s="15"/>
      <c r="KI247" s="15"/>
      <c r="KJ247" s="15"/>
      <c r="KK247" s="15"/>
      <c r="KL247" s="15"/>
      <c r="KM247" s="15"/>
      <c r="KN247" s="10"/>
      <c r="KO247" s="10"/>
      <c r="KP247" s="21"/>
      <c r="KQ247" s="21"/>
      <c r="KT247" s="21"/>
      <c r="KU247" s="15"/>
      <c r="KV247" s="15"/>
      <c r="KW247" s="15"/>
      <c r="KX247" s="15"/>
      <c r="KY247" s="15"/>
      <c r="KZ247" s="15"/>
      <c r="LA247" s="15"/>
      <c r="LB247" s="15"/>
      <c r="LC247" s="15"/>
      <c r="LD247" s="15"/>
      <c r="LE247" s="10"/>
      <c r="LF247" s="10"/>
      <c r="LG247" s="21"/>
      <c r="LH247" s="21"/>
      <c r="LK247" s="21"/>
      <c r="LL247" s="15"/>
      <c r="LM247" s="15"/>
      <c r="LN247" s="15"/>
      <c r="LO247" s="15"/>
      <c r="LP247" s="15"/>
      <c r="LQ247" s="15"/>
      <c r="LR247" s="15"/>
      <c r="LS247" s="15"/>
      <c r="LT247" s="15"/>
      <c r="LU247" s="15"/>
      <c r="LV247" s="10"/>
      <c r="LW247" s="10"/>
      <c r="LX247" s="21"/>
      <c r="LY247" s="21"/>
      <c r="MB247" s="21"/>
      <c r="MC247" s="15"/>
      <c r="MD247" s="15"/>
      <c r="ME247" s="15"/>
      <c r="MF247" s="15"/>
      <c r="MG247" s="15"/>
      <c r="MH247" s="15"/>
      <c r="MI247" s="15"/>
      <c r="MJ247" s="15"/>
      <c r="MK247" s="15"/>
      <c r="ML247" s="15"/>
      <c r="MM247" s="10"/>
      <c r="MN247" s="10"/>
      <c r="MO247" s="21"/>
      <c r="MP247" s="21"/>
      <c r="MS247" s="21"/>
      <c r="MT247" s="15"/>
      <c r="MU247" s="15"/>
      <c r="MV247" s="15"/>
      <c r="MW247" s="15"/>
      <c r="MX247" s="15"/>
      <c r="MY247" s="15"/>
      <c r="MZ247" s="15"/>
      <c r="NA247" s="15"/>
      <c r="NB247" s="15"/>
      <c r="NC247" s="15"/>
      <c r="ND247" s="10"/>
      <c r="NE247" s="10"/>
      <c r="NF247" s="21"/>
      <c r="NG247" s="21"/>
      <c r="NJ247" s="21"/>
      <c r="NK247" s="15"/>
      <c r="NL247" s="15"/>
      <c r="NM247" s="15"/>
      <c r="NN247" s="15"/>
      <c r="NO247" s="15"/>
      <c r="NP247" s="15"/>
      <c r="NQ247" s="15"/>
      <c r="NR247" s="15"/>
      <c r="NS247" s="15"/>
      <c r="NT247" s="15"/>
      <c r="NU247" s="10"/>
      <c r="NV247" s="10"/>
      <c r="NW247" s="21"/>
      <c r="NX247" s="21"/>
      <c r="OA247" s="21"/>
      <c r="OB247" s="15"/>
      <c r="OC247" s="15"/>
      <c r="OD247" s="15"/>
      <c r="OE247" s="15"/>
      <c r="OF247" s="15"/>
      <c r="OG247" s="15"/>
      <c r="OH247" s="15"/>
      <c r="OI247" s="15"/>
      <c r="OJ247" s="15"/>
      <c r="OK247" s="15"/>
      <c r="OL247" s="10"/>
      <c r="OM247" s="10"/>
      <c r="ON247" s="21"/>
      <c r="OO247" s="21"/>
      <c r="OR247" s="21"/>
      <c r="OS247" s="15"/>
      <c r="OT247" s="15"/>
      <c r="OU247" s="15"/>
      <c r="OV247" s="15"/>
      <c r="OW247" s="15"/>
      <c r="OX247" s="15"/>
      <c r="OY247" s="15"/>
      <c r="OZ247" s="15"/>
      <c r="PA247" s="15"/>
      <c r="PB247" s="15"/>
      <c r="PC247" s="10"/>
      <c r="PD247" s="10"/>
      <c r="PE247" s="21"/>
      <c r="PF247" s="21"/>
      <c r="PI247" s="21"/>
      <c r="PJ247" s="15"/>
      <c r="PK247" s="15"/>
      <c r="PL247" s="15"/>
      <c r="PM247" s="15"/>
      <c r="PN247" s="15"/>
      <c r="PO247" s="15"/>
      <c r="PP247" s="15"/>
      <c r="PQ247" s="15"/>
      <c r="PR247" s="15"/>
      <c r="PS247" s="15"/>
      <c r="PT247" s="10"/>
      <c r="PU247" s="10"/>
      <c r="PV247" s="21"/>
      <c r="PW247" s="21"/>
      <c r="PZ247" s="21"/>
      <c r="QA247" s="15"/>
      <c r="QB247" s="15"/>
      <c r="QC247" s="15"/>
      <c r="QD247" s="15"/>
      <c r="QE247" s="15"/>
      <c r="QF247" s="15"/>
      <c r="QG247" s="15"/>
      <c r="QH247" s="15"/>
      <c r="QI247" s="15"/>
      <c r="QJ247" s="15"/>
      <c r="QK247" s="10"/>
      <c r="QL247" s="10"/>
      <c r="QM247" s="21"/>
      <c r="QN247" s="21"/>
      <c r="QQ247" s="21"/>
      <c r="QR247" s="15"/>
      <c r="QS247" s="15"/>
      <c r="QT247" s="15"/>
      <c r="QU247" s="15"/>
      <c r="QV247" s="15"/>
      <c r="QW247" s="15"/>
      <c r="QX247" s="15"/>
      <c r="QY247" s="15"/>
      <c r="QZ247" s="15"/>
      <c r="RA247" s="15"/>
      <c r="RB247" s="10"/>
      <c r="RC247" s="10"/>
      <c r="RD247" s="21"/>
      <c r="RE247" s="21"/>
      <c r="RH247" s="21"/>
      <c r="RI247" s="15"/>
      <c r="RJ247" s="15"/>
      <c r="RK247" s="15"/>
      <c r="RL247" s="15"/>
      <c r="RM247" s="15"/>
      <c r="RN247" s="15"/>
      <c r="RO247" s="15"/>
      <c r="RP247" s="15"/>
      <c r="RQ247" s="15"/>
      <c r="RR247" s="15"/>
      <c r="RS247" s="10"/>
      <c r="RT247" s="10"/>
      <c r="RU247" s="21"/>
      <c r="RV247" s="21"/>
      <c r="RY247" s="21"/>
      <c r="RZ247" s="15"/>
      <c r="SA247" s="15"/>
      <c r="SB247" s="15"/>
      <c r="SC247" s="15"/>
      <c r="SD247" s="15"/>
      <c r="SE247" s="15"/>
      <c r="SF247" s="15"/>
      <c r="SG247" s="15"/>
      <c r="SH247" s="15"/>
      <c r="SI247" s="15"/>
      <c r="SJ247" s="10"/>
      <c r="SK247" s="10"/>
      <c r="SL247" s="21"/>
      <c r="SM247" s="21"/>
      <c r="SP247" s="21"/>
      <c r="SQ247" s="15"/>
      <c r="SR247" s="15"/>
      <c r="SS247" s="15"/>
      <c r="ST247" s="15"/>
      <c r="SU247" s="15"/>
      <c r="SV247" s="15"/>
      <c r="SW247" s="15"/>
      <c r="SX247" s="15"/>
      <c r="SY247" s="15"/>
      <c r="SZ247" s="15"/>
      <c r="TA247" s="10"/>
      <c r="TB247" s="10"/>
      <c r="TC247" s="21"/>
      <c r="TD247" s="21"/>
      <c r="TG247" s="21"/>
      <c r="TH247" s="15"/>
      <c r="TI247" s="15"/>
      <c r="TJ247" s="15"/>
      <c r="TK247" s="15"/>
      <c r="TL247" s="15"/>
      <c r="TM247" s="15"/>
      <c r="TN247" s="15"/>
      <c r="TO247" s="15"/>
      <c r="TP247" s="15"/>
      <c r="TQ247" s="15"/>
      <c r="TR247" s="10"/>
      <c r="TS247" s="10"/>
      <c r="TT247" s="21"/>
      <c r="TU247" s="21"/>
      <c r="TX247" s="21"/>
      <c r="TY247" s="15"/>
      <c r="TZ247" s="15"/>
      <c r="UA247" s="15"/>
      <c r="UB247" s="15"/>
      <c r="UC247" s="15"/>
      <c r="UD247" s="15"/>
      <c r="UE247" s="15"/>
      <c r="UF247" s="15"/>
      <c r="UG247" s="15"/>
      <c r="UH247" s="15"/>
      <c r="UI247" s="10"/>
      <c r="UJ247" s="10"/>
      <c r="UK247" s="21"/>
      <c r="UL247" s="21"/>
      <c r="UO247" s="21"/>
      <c r="UP247" s="15"/>
      <c r="UQ247" s="15"/>
      <c r="UR247" s="15"/>
      <c r="US247" s="15"/>
      <c r="UT247" s="15"/>
      <c r="UU247" s="15"/>
      <c r="UV247" s="15"/>
      <c r="UW247" s="15"/>
      <c r="UX247" s="15"/>
      <c r="UY247" s="15"/>
      <c r="UZ247" s="10"/>
      <c r="VA247" s="10"/>
      <c r="VB247" s="21"/>
      <c r="VC247" s="21"/>
      <c r="VF247" s="21"/>
      <c r="VG247" s="15"/>
      <c r="VH247" s="15"/>
      <c r="VI247" s="15"/>
      <c r="VJ247" s="15"/>
      <c r="VK247" s="15"/>
      <c r="VL247" s="15"/>
      <c r="VM247" s="15"/>
      <c r="VN247" s="15"/>
      <c r="VO247" s="15"/>
      <c r="VP247" s="15"/>
      <c r="VQ247" s="10"/>
      <c r="VR247" s="10"/>
      <c r="VS247" s="21"/>
      <c r="VT247" s="21"/>
      <c r="VW247" s="21"/>
      <c r="VX247" s="15"/>
      <c r="VY247" s="15"/>
      <c r="VZ247" s="15"/>
      <c r="WA247" s="15"/>
      <c r="WB247" s="15"/>
      <c r="WC247" s="15"/>
      <c r="WD247" s="15"/>
      <c r="WE247" s="15"/>
      <c r="WF247" s="15"/>
      <c r="WG247" s="15"/>
      <c r="WH247" s="10"/>
      <c r="WI247" s="10"/>
      <c r="WJ247" s="21"/>
      <c r="WK247" s="21"/>
      <c r="WN247" s="21"/>
      <c r="WO247" s="15"/>
      <c r="WP247" s="15"/>
      <c r="WQ247" s="15"/>
      <c r="WR247" s="15"/>
      <c r="WS247" s="15"/>
      <c r="WT247" s="15"/>
      <c r="WU247" s="15"/>
      <c r="WV247" s="15"/>
      <c r="WW247" s="15"/>
      <c r="WX247" s="15"/>
      <c r="WY247" s="10"/>
      <c r="WZ247" s="10"/>
      <c r="XA247" s="21"/>
      <c r="XB247" s="21"/>
      <c r="XE247" s="21"/>
      <c r="XF247" s="15"/>
      <c r="XG247" s="15"/>
      <c r="XH247" s="15"/>
      <c r="XI247" s="15"/>
      <c r="XJ247" s="15"/>
      <c r="XK247" s="15"/>
      <c r="XL247" s="15"/>
      <c r="XM247" s="15"/>
      <c r="XN247" s="15"/>
      <c r="XO247" s="15"/>
      <c r="XP247" s="10"/>
      <c r="XQ247" s="10"/>
      <c r="XR247" s="21"/>
      <c r="XS247" s="21"/>
      <c r="XV247" s="21"/>
      <c r="XW247" s="15"/>
      <c r="XX247" s="15"/>
      <c r="XY247" s="15"/>
      <c r="XZ247" s="15"/>
      <c r="YA247" s="15"/>
      <c r="YB247" s="15"/>
      <c r="YC247" s="15"/>
      <c r="YD247" s="15"/>
      <c r="YE247" s="15"/>
      <c r="YF247" s="15"/>
      <c r="YG247" s="10"/>
      <c r="YH247" s="10"/>
      <c r="YI247" s="21"/>
      <c r="YJ247" s="21"/>
      <c r="YM247" s="21"/>
      <c r="YN247" s="15"/>
      <c r="YO247" s="15"/>
      <c r="YP247" s="15"/>
      <c r="YQ247" s="15"/>
      <c r="YR247" s="15"/>
      <c r="YS247" s="15"/>
      <c r="YT247" s="15"/>
      <c r="YU247" s="15"/>
      <c r="YV247" s="15"/>
      <c r="YW247" s="15"/>
      <c r="YX247" s="10"/>
      <c r="YY247" s="10"/>
      <c r="YZ247" s="21"/>
      <c r="ZA247" s="21"/>
      <c r="ZD247" s="21"/>
      <c r="ZE247" s="15"/>
      <c r="ZF247" s="15"/>
      <c r="ZG247" s="15"/>
      <c r="ZH247" s="15"/>
      <c r="ZI247" s="15"/>
      <c r="ZJ247" s="15"/>
      <c r="ZK247" s="15"/>
      <c r="ZL247" s="15"/>
      <c r="ZM247" s="15"/>
      <c r="ZN247" s="15"/>
      <c r="ZO247" s="10"/>
      <c r="ZP247" s="10"/>
      <c r="ZQ247" s="21"/>
      <c r="ZR247" s="21"/>
      <c r="ZU247" s="21"/>
      <c r="ZV247" s="15"/>
      <c r="ZW247" s="15"/>
      <c r="ZX247" s="15"/>
      <c r="ZY247" s="15"/>
      <c r="ZZ247" s="15"/>
      <c r="AAA247" s="15"/>
      <c r="AAB247" s="15"/>
      <c r="AAC247" s="15"/>
      <c r="AAD247" s="15"/>
      <c r="AAE247" s="15"/>
      <c r="AAF247" s="10"/>
      <c r="AAG247" s="10"/>
      <c r="AAH247" s="21"/>
      <c r="AAI247" s="21"/>
      <c r="AAL247" s="21"/>
      <c r="AAM247" s="15"/>
      <c r="AAN247" s="15"/>
      <c r="AAO247" s="15"/>
      <c r="AAP247" s="15"/>
      <c r="AAQ247" s="15"/>
      <c r="AAR247" s="15"/>
      <c r="AAS247" s="15"/>
      <c r="AAT247" s="15"/>
      <c r="AAU247" s="15"/>
      <c r="AAV247" s="15"/>
      <c r="AAW247" s="10"/>
      <c r="AAX247" s="10"/>
      <c r="AAY247" s="21"/>
      <c r="AAZ247" s="21"/>
      <c r="ABC247" s="21"/>
      <c r="ABD247" s="15"/>
      <c r="ABE247" s="15"/>
      <c r="ABF247" s="15"/>
      <c r="ABG247" s="15"/>
      <c r="ABH247" s="15"/>
      <c r="ABI247" s="15"/>
      <c r="ABJ247" s="15"/>
      <c r="ABK247" s="15"/>
      <c r="ABL247" s="15"/>
      <c r="ABM247" s="15"/>
      <c r="ABN247" s="10"/>
      <c r="ABO247" s="10"/>
      <c r="ABP247" s="21"/>
      <c r="ABQ247" s="21"/>
      <c r="ABT247" s="21"/>
      <c r="ABU247" s="15"/>
      <c r="ABV247" s="15"/>
      <c r="ABW247" s="15"/>
      <c r="ABX247" s="15"/>
      <c r="ABY247" s="15"/>
      <c r="ABZ247" s="15"/>
      <c r="ACA247" s="15"/>
      <c r="ACB247" s="15"/>
      <c r="ACC247" s="15"/>
      <c r="ACD247" s="15"/>
      <c r="ACE247" s="10"/>
      <c r="ACF247" s="10"/>
      <c r="ACG247" s="21"/>
      <c r="ACH247" s="21"/>
      <c r="ACK247" s="21"/>
      <c r="ACL247" s="15"/>
      <c r="ACM247" s="15"/>
      <c r="ACN247" s="15"/>
      <c r="ACO247" s="15"/>
      <c r="ACP247" s="15"/>
      <c r="ACQ247" s="15"/>
      <c r="ACR247" s="15"/>
      <c r="ACS247" s="15"/>
      <c r="ACT247" s="15"/>
      <c r="ACU247" s="15"/>
      <c r="ACV247" s="10"/>
      <c r="ACW247" s="10"/>
      <c r="ACX247" s="21"/>
      <c r="ACY247" s="21"/>
      <c r="ADB247" s="21"/>
      <c r="ADC247" s="15"/>
      <c r="ADD247" s="15"/>
      <c r="ADE247" s="15"/>
      <c r="ADF247" s="15"/>
      <c r="ADG247" s="15"/>
      <c r="ADH247" s="15"/>
      <c r="ADI247" s="15"/>
      <c r="ADJ247" s="15"/>
      <c r="ADK247" s="15"/>
      <c r="ADL247" s="15"/>
      <c r="ADM247" s="10"/>
      <c r="ADN247" s="10"/>
      <c r="ADO247" s="21"/>
      <c r="ADP247" s="21"/>
      <c r="ADS247" s="21"/>
      <c r="ADT247" s="15"/>
      <c r="ADU247" s="15"/>
      <c r="ADV247" s="15"/>
      <c r="ADW247" s="15"/>
      <c r="ADX247" s="15"/>
      <c r="ADY247" s="15"/>
      <c r="ADZ247" s="15"/>
      <c r="AEA247" s="15"/>
      <c r="AEB247" s="15"/>
      <c r="AEC247" s="15"/>
      <c r="AED247" s="10"/>
      <c r="AEE247" s="10"/>
      <c r="AEF247" s="21"/>
      <c r="AEG247" s="21"/>
      <c r="AEJ247" s="21"/>
      <c r="AEK247" s="15"/>
      <c r="AEL247" s="15"/>
      <c r="AEM247" s="15"/>
      <c r="AEN247" s="15"/>
      <c r="AEO247" s="15"/>
      <c r="AEP247" s="15"/>
      <c r="AEQ247" s="15"/>
      <c r="AER247" s="15"/>
      <c r="AES247" s="15"/>
      <c r="AET247" s="15"/>
      <c r="AEU247" s="10"/>
      <c r="AEV247" s="10"/>
      <c r="AEW247" s="21"/>
      <c r="AEX247" s="21"/>
      <c r="AFA247" s="21"/>
      <c r="AFB247" s="15"/>
      <c r="AFC247" s="15"/>
      <c r="AFD247" s="15"/>
      <c r="AFE247" s="15"/>
      <c r="AFF247" s="15"/>
      <c r="AFG247" s="15"/>
      <c r="AFH247" s="15"/>
      <c r="AFI247" s="15"/>
      <c r="AFJ247" s="15"/>
      <c r="AFK247" s="15"/>
      <c r="AFL247" s="10"/>
      <c r="AFM247" s="10"/>
      <c r="AFN247" s="21"/>
      <c r="AFO247" s="21"/>
      <c r="AFR247" s="21"/>
      <c r="AFS247" s="15"/>
      <c r="AFT247" s="15"/>
      <c r="AFU247" s="15"/>
      <c r="AFV247" s="15"/>
      <c r="AFW247" s="15"/>
      <c r="AFX247" s="15"/>
      <c r="AFY247" s="15"/>
      <c r="AFZ247" s="15"/>
      <c r="AGA247" s="15"/>
      <c r="AGB247" s="15"/>
      <c r="AGC247" s="10"/>
      <c r="AGD247" s="10"/>
      <c r="AGE247" s="21"/>
      <c r="AGF247" s="21"/>
      <c r="AGI247" s="21"/>
      <c r="AGJ247" s="15"/>
      <c r="AGK247" s="15"/>
      <c r="AGL247" s="15"/>
      <c r="AGM247" s="15"/>
      <c r="AGN247" s="15"/>
      <c r="AGO247" s="15"/>
      <c r="AGP247" s="15"/>
      <c r="AGQ247" s="15"/>
      <c r="AGR247" s="15"/>
      <c r="AGS247" s="15"/>
      <c r="AGT247" s="10"/>
      <c r="AGU247" s="10"/>
      <c r="AGV247" s="21"/>
      <c r="AGW247" s="21"/>
      <c r="AGZ247" s="21"/>
      <c r="AHA247" s="15"/>
      <c r="AHB247" s="15"/>
      <c r="AHC247" s="15"/>
      <c r="AHD247" s="15"/>
      <c r="AHE247" s="15"/>
      <c r="AHF247" s="15"/>
      <c r="AHG247" s="15"/>
      <c r="AHH247" s="15"/>
      <c r="AHI247" s="15"/>
      <c r="AHJ247" s="15"/>
      <c r="AHK247" s="10"/>
      <c r="AHL247" s="10"/>
      <c r="AHM247" s="21"/>
      <c r="AHN247" s="21"/>
      <c r="AHQ247" s="21"/>
      <c r="AHR247" s="15"/>
      <c r="AHS247" s="15"/>
      <c r="AHT247" s="15"/>
      <c r="AHU247" s="15"/>
      <c r="AHV247" s="15"/>
      <c r="AHW247" s="15"/>
      <c r="AHX247" s="15"/>
      <c r="AHY247" s="15"/>
      <c r="AHZ247" s="15"/>
      <c r="AIA247" s="15"/>
      <c r="AIB247" s="10"/>
      <c r="AIC247" s="10"/>
      <c r="AID247" s="21"/>
      <c r="AIE247" s="21"/>
      <c r="AIH247" s="21"/>
      <c r="AII247" s="15"/>
      <c r="AIJ247" s="15"/>
      <c r="AIK247" s="15"/>
      <c r="AIL247" s="15"/>
      <c r="AIM247" s="15"/>
      <c r="AIN247" s="15"/>
      <c r="AIO247" s="15"/>
      <c r="AIP247" s="15"/>
      <c r="AIQ247" s="15"/>
      <c r="AIR247" s="15"/>
      <c r="AIS247" s="10"/>
      <c r="AIT247" s="10"/>
      <c r="AIU247" s="21"/>
      <c r="AIV247" s="21"/>
      <c r="AIY247" s="21"/>
      <c r="AIZ247" s="15"/>
      <c r="AJA247" s="15"/>
      <c r="AJB247" s="15"/>
      <c r="AJC247" s="15"/>
      <c r="AJD247" s="15"/>
      <c r="AJE247" s="15"/>
      <c r="AJF247" s="15"/>
      <c r="AJG247" s="15"/>
      <c r="AJH247" s="15"/>
      <c r="AJI247" s="15"/>
      <c r="AJJ247" s="10"/>
      <c r="AJK247" s="10"/>
      <c r="AJL247" s="21"/>
      <c r="AJM247" s="21"/>
      <c r="AJP247" s="21"/>
      <c r="AJQ247" s="15"/>
      <c r="AJR247" s="15"/>
      <c r="AJS247" s="15"/>
      <c r="AJT247" s="15"/>
      <c r="AJU247" s="15"/>
      <c r="AJV247" s="15"/>
      <c r="AJW247" s="15"/>
      <c r="AJX247" s="15"/>
      <c r="AJY247" s="15"/>
      <c r="AJZ247" s="15"/>
      <c r="AKA247" s="10"/>
      <c r="AKB247" s="10"/>
      <c r="AKC247" s="21"/>
      <c r="AKD247" s="21"/>
      <c r="AKG247" s="21"/>
      <c r="AKH247" s="15"/>
      <c r="AKI247" s="15"/>
      <c r="AKJ247" s="15"/>
      <c r="AKK247" s="15"/>
      <c r="AKL247" s="15"/>
      <c r="AKM247" s="15"/>
      <c r="AKN247" s="15"/>
      <c r="AKO247" s="15"/>
      <c r="AKP247" s="15"/>
      <c r="AKQ247" s="15"/>
      <c r="AKR247" s="10"/>
      <c r="AKS247" s="10"/>
      <c r="AKT247" s="21"/>
      <c r="AKU247" s="21"/>
      <c r="AKX247" s="21"/>
      <c r="AKY247" s="15"/>
      <c r="AKZ247" s="15"/>
      <c r="ALA247" s="15"/>
      <c r="ALB247" s="15"/>
      <c r="ALC247" s="15"/>
      <c r="ALD247" s="15"/>
      <c r="ALE247" s="15"/>
      <c r="ALF247" s="15"/>
      <c r="ALG247" s="15"/>
      <c r="ALH247" s="15"/>
      <c r="ALI247" s="10"/>
      <c r="ALJ247" s="10"/>
      <c r="ALK247" s="21"/>
      <c r="ALL247" s="21"/>
      <c r="ALO247" s="21"/>
      <c r="ALP247" s="15"/>
      <c r="ALQ247" s="15"/>
      <c r="ALR247" s="15"/>
      <c r="ALS247" s="15"/>
      <c r="ALT247" s="15"/>
      <c r="ALU247" s="15"/>
      <c r="ALV247" s="15"/>
      <c r="ALW247" s="15"/>
      <c r="ALX247" s="15"/>
      <c r="ALY247" s="15"/>
      <c r="ALZ247" s="10"/>
      <c r="AMA247" s="10"/>
      <c r="AMB247" s="21"/>
      <c r="AMC247" s="21"/>
      <c r="AMF247" s="21"/>
      <c r="AMG247" s="15"/>
      <c r="AMH247" s="15"/>
      <c r="AMI247" s="15"/>
      <c r="AMJ247" s="15"/>
      <c r="AMK247" s="15"/>
      <c r="AML247" s="15"/>
      <c r="AMM247" s="15"/>
      <c r="AMN247" s="15"/>
      <c r="AMO247" s="15"/>
      <c r="AMP247" s="15"/>
      <c r="AMQ247" s="10"/>
      <c r="AMR247" s="10"/>
      <c r="AMS247" s="21"/>
      <c r="AMT247" s="21"/>
      <c r="AMW247" s="21"/>
      <c r="AMX247" s="15"/>
      <c r="AMY247" s="15"/>
      <c r="AMZ247" s="15"/>
      <c r="ANA247" s="15"/>
      <c r="ANB247" s="15"/>
      <c r="ANC247" s="15"/>
      <c r="AND247" s="15"/>
      <c r="ANE247" s="15"/>
      <c r="ANF247" s="15"/>
      <c r="ANG247" s="15"/>
      <c r="ANH247" s="10"/>
      <c r="ANI247" s="10"/>
      <c r="ANJ247" s="21"/>
      <c r="ANK247" s="21"/>
      <c r="ANN247" s="21"/>
      <c r="ANO247" s="15"/>
      <c r="ANP247" s="15"/>
      <c r="ANQ247" s="15"/>
      <c r="ANR247" s="15"/>
      <c r="ANS247" s="15"/>
      <c r="ANT247" s="15"/>
      <c r="ANU247" s="15"/>
      <c r="ANV247" s="15"/>
      <c r="ANW247" s="15"/>
      <c r="ANX247" s="15"/>
      <c r="ANY247" s="10"/>
      <c r="ANZ247" s="10"/>
      <c r="AOA247" s="21"/>
      <c r="AOB247" s="21"/>
      <c r="AOE247" s="21"/>
      <c r="AOF247" s="15"/>
      <c r="AOG247" s="15"/>
      <c r="AOH247" s="15"/>
      <c r="AOI247" s="15"/>
      <c r="AOJ247" s="15"/>
      <c r="AOK247" s="15"/>
      <c r="AOL247" s="15"/>
      <c r="AOM247" s="15"/>
      <c r="AON247" s="15"/>
      <c r="AOO247" s="15"/>
      <c r="AOP247" s="10"/>
      <c r="AOQ247" s="10"/>
      <c r="AOR247" s="21"/>
      <c r="AOS247" s="21"/>
      <c r="AOV247" s="21"/>
      <c r="AOW247" s="15"/>
      <c r="AOX247" s="15"/>
      <c r="AOY247" s="15"/>
      <c r="AOZ247" s="15"/>
      <c r="APA247" s="15"/>
      <c r="APB247" s="15"/>
      <c r="APC247" s="15"/>
      <c r="APD247" s="15"/>
      <c r="APE247" s="15"/>
      <c r="APF247" s="15"/>
      <c r="APG247" s="10"/>
      <c r="APH247" s="10"/>
      <c r="API247" s="21"/>
      <c r="APJ247" s="21"/>
      <c r="APM247" s="21"/>
      <c r="APN247" s="15"/>
      <c r="APO247" s="15"/>
      <c r="APP247" s="15"/>
      <c r="APQ247" s="15"/>
      <c r="APR247" s="15"/>
      <c r="APS247" s="15"/>
      <c r="APT247" s="15"/>
      <c r="APU247" s="15"/>
      <c r="APV247" s="15"/>
      <c r="APW247" s="15"/>
      <c r="APX247" s="10"/>
      <c r="APY247" s="10"/>
      <c r="APZ247" s="21"/>
      <c r="AQA247" s="21"/>
      <c r="AQD247" s="21"/>
      <c r="AQE247" s="15"/>
      <c r="AQF247" s="15"/>
      <c r="AQG247" s="15"/>
      <c r="AQH247" s="15"/>
      <c r="AQI247" s="15"/>
      <c r="AQJ247" s="15"/>
      <c r="AQK247" s="15"/>
      <c r="AQL247" s="15"/>
      <c r="AQM247" s="15"/>
      <c r="AQN247" s="15"/>
      <c r="AQO247" s="10"/>
      <c r="AQP247" s="10"/>
      <c r="AQQ247" s="21"/>
      <c r="AQR247" s="21"/>
      <c r="AQU247" s="21"/>
      <c r="AQV247" s="15"/>
      <c r="AQW247" s="15"/>
      <c r="AQX247" s="15"/>
      <c r="AQY247" s="15"/>
      <c r="AQZ247" s="15"/>
      <c r="ARA247" s="15"/>
      <c r="ARB247" s="15"/>
      <c r="ARC247" s="15"/>
      <c r="ARD247" s="15"/>
      <c r="ARE247" s="15"/>
      <c r="ARF247" s="10"/>
      <c r="ARG247" s="10"/>
      <c r="ARH247" s="21"/>
      <c r="ARI247" s="21"/>
      <c r="ARL247" s="21"/>
      <c r="ARM247" s="15"/>
      <c r="ARN247" s="15"/>
      <c r="ARO247" s="15"/>
      <c r="ARP247" s="15"/>
      <c r="ARQ247" s="15"/>
      <c r="ARR247" s="15"/>
      <c r="ARS247" s="15"/>
      <c r="ART247" s="15"/>
      <c r="ARU247" s="15"/>
      <c r="ARV247" s="15"/>
      <c r="ARW247" s="10"/>
      <c r="ARX247" s="10"/>
      <c r="ARY247" s="21"/>
      <c r="ARZ247" s="21"/>
      <c r="ASC247" s="21"/>
      <c r="ASD247" s="15"/>
      <c r="ASE247" s="15"/>
      <c r="ASF247" s="15"/>
      <c r="ASG247" s="15"/>
      <c r="ASH247" s="15"/>
      <c r="ASI247" s="15"/>
      <c r="ASJ247" s="15"/>
      <c r="ASK247" s="15"/>
      <c r="ASL247" s="15"/>
      <c r="ASM247" s="15"/>
      <c r="ASN247" s="10"/>
      <c r="ASO247" s="10"/>
      <c r="ASP247" s="21"/>
      <c r="ASQ247" s="21"/>
      <c r="AST247" s="21"/>
      <c r="ASU247" s="15"/>
      <c r="ASV247" s="15"/>
      <c r="ASW247" s="15"/>
      <c r="ASX247" s="15"/>
      <c r="ASY247" s="15"/>
      <c r="ASZ247" s="15"/>
      <c r="ATA247" s="15"/>
      <c r="ATB247" s="15"/>
      <c r="ATC247" s="15"/>
      <c r="ATD247" s="15"/>
      <c r="ATE247" s="10"/>
      <c r="ATF247" s="10"/>
      <c r="ATG247" s="21"/>
      <c r="ATH247" s="21"/>
      <c r="ATK247" s="21"/>
      <c r="ATL247" s="15"/>
      <c r="ATM247" s="15"/>
      <c r="ATN247" s="15"/>
      <c r="ATO247" s="15"/>
      <c r="ATP247" s="15"/>
      <c r="ATQ247" s="15"/>
      <c r="ATR247" s="15"/>
      <c r="ATS247" s="15"/>
      <c r="ATT247" s="15"/>
      <c r="ATU247" s="15"/>
      <c r="ATV247" s="10"/>
      <c r="ATW247" s="10"/>
      <c r="ATX247" s="21"/>
      <c r="ATY247" s="21"/>
      <c r="AUB247" s="21"/>
      <c r="AUC247" s="15"/>
      <c r="AUD247" s="15"/>
      <c r="AUE247" s="15"/>
      <c r="AUF247" s="15"/>
      <c r="AUG247" s="15"/>
      <c r="AUH247" s="15"/>
      <c r="AUI247" s="15"/>
      <c r="AUJ247" s="15"/>
      <c r="AUK247" s="15"/>
      <c r="AUL247" s="15"/>
      <c r="AUM247" s="10"/>
      <c r="AUN247" s="10"/>
      <c r="AUO247" s="21"/>
      <c r="AUP247" s="21"/>
      <c r="AUS247" s="21"/>
      <c r="AUT247" s="15"/>
      <c r="AUU247" s="15"/>
      <c r="AUV247" s="15"/>
      <c r="AUW247" s="15"/>
      <c r="AUX247" s="15"/>
      <c r="AUY247" s="15"/>
      <c r="AUZ247" s="15"/>
      <c r="AVA247" s="15"/>
      <c r="AVB247" s="15"/>
      <c r="AVC247" s="15"/>
      <c r="AVD247" s="10"/>
      <c r="AVE247" s="10"/>
      <c r="AVF247" s="21"/>
      <c r="AVG247" s="21"/>
      <c r="AVJ247" s="21"/>
      <c r="AVK247" s="15"/>
      <c r="AVL247" s="15"/>
      <c r="AVM247" s="15"/>
      <c r="AVN247" s="15"/>
      <c r="AVO247" s="15"/>
      <c r="AVP247" s="15"/>
      <c r="AVQ247" s="15"/>
      <c r="AVR247" s="15"/>
      <c r="AVS247" s="15"/>
      <c r="AVT247" s="15"/>
      <c r="AVU247" s="10"/>
      <c r="AVV247" s="10"/>
      <c r="AVW247" s="21"/>
      <c r="AVX247" s="21"/>
      <c r="AWA247" s="21"/>
      <c r="AWB247" s="15"/>
      <c r="AWC247" s="15"/>
      <c r="AWD247" s="15"/>
      <c r="AWE247" s="15"/>
      <c r="AWF247" s="15"/>
      <c r="AWG247" s="15"/>
      <c r="AWH247" s="15"/>
      <c r="AWI247" s="15"/>
      <c r="AWJ247" s="15"/>
      <c r="AWK247" s="15"/>
      <c r="AWL247" s="10"/>
      <c r="AWM247" s="10"/>
      <c r="AWN247" s="21"/>
      <c r="AWO247" s="21"/>
      <c r="AWR247" s="21"/>
      <c r="AWS247" s="15"/>
      <c r="AWT247" s="15"/>
      <c r="AWU247" s="15"/>
      <c r="AWV247" s="15"/>
      <c r="AWW247" s="15"/>
      <c r="AWX247" s="15"/>
      <c r="AWY247" s="15"/>
      <c r="AWZ247" s="15"/>
      <c r="AXA247" s="15"/>
      <c r="AXB247" s="15"/>
      <c r="AXC247" s="10"/>
      <c r="AXD247" s="10"/>
      <c r="AXE247" s="21"/>
      <c r="AXF247" s="21"/>
      <c r="AXI247" s="21"/>
      <c r="AXJ247" s="15"/>
      <c r="AXK247" s="15"/>
      <c r="AXL247" s="15"/>
      <c r="AXM247" s="15"/>
      <c r="AXN247" s="15"/>
      <c r="AXO247" s="15"/>
      <c r="AXP247" s="15"/>
      <c r="AXQ247" s="15"/>
      <c r="AXR247" s="15"/>
      <c r="AXS247" s="15"/>
      <c r="AXT247" s="10"/>
      <c r="AXU247" s="10"/>
      <c r="AXV247" s="21"/>
      <c r="AXW247" s="21"/>
      <c r="AXZ247" s="21"/>
      <c r="AYA247" s="15"/>
      <c r="AYB247" s="15"/>
      <c r="AYC247" s="15"/>
      <c r="AYD247" s="15"/>
      <c r="AYE247" s="15"/>
      <c r="AYF247" s="15"/>
      <c r="AYG247" s="15"/>
      <c r="AYH247" s="15"/>
      <c r="AYI247" s="15"/>
      <c r="AYJ247" s="15"/>
      <c r="AYK247" s="10"/>
      <c r="AYL247" s="10"/>
      <c r="AYM247" s="21"/>
      <c r="AYN247" s="21"/>
      <c r="AYQ247" s="21"/>
      <c r="AYR247" s="15"/>
      <c r="AYS247" s="15"/>
      <c r="AYT247" s="15"/>
      <c r="AYU247" s="15"/>
      <c r="AYV247" s="15"/>
      <c r="AYW247" s="15"/>
      <c r="AYX247" s="15"/>
      <c r="AYY247" s="15"/>
      <c r="AYZ247" s="15"/>
      <c r="AZA247" s="15"/>
      <c r="AZB247" s="10"/>
      <c r="AZC247" s="10"/>
      <c r="AZD247" s="21"/>
      <c r="AZE247" s="21"/>
      <c r="AZH247" s="21"/>
      <c r="AZI247" s="15"/>
      <c r="AZJ247" s="15"/>
      <c r="AZK247" s="15"/>
      <c r="AZL247" s="15"/>
      <c r="AZM247" s="15"/>
      <c r="AZN247" s="15"/>
      <c r="AZO247" s="15"/>
      <c r="AZP247" s="15"/>
      <c r="AZQ247" s="15"/>
      <c r="AZR247" s="15"/>
      <c r="AZS247" s="10"/>
      <c r="AZT247" s="10"/>
      <c r="AZU247" s="21"/>
      <c r="AZV247" s="21"/>
      <c r="AZY247" s="21"/>
      <c r="AZZ247" s="15"/>
      <c r="BAA247" s="15"/>
      <c r="BAB247" s="15"/>
      <c r="BAC247" s="15"/>
      <c r="BAD247" s="15"/>
      <c r="BAE247" s="15"/>
      <c r="BAF247" s="15"/>
      <c r="BAG247" s="15"/>
      <c r="BAH247" s="15"/>
      <c r="BAI247" s="15"/>
      <c r="BAJ247" s="10"/>
      <c r="BAK247" s="10"/>
      <c r="BAL247" s="21"/>
      <c r="BAM247" s="21"/>
      <c r="BAP247" s="21"/>
      <c r="BAQ247" s="15"/>
      <c r="BAR247" s="15"/>
      <c r="BAS247" s="15"/>
      <c r="BAT247" s="15"/>
      <c r="BAU247" s="15"/>
      <c r="BAV247" s="15"/>
      <c r="BAW247" s="15"/>
      <c r="BAX247" s="15"/>
      <c r="BAY247" s="15"/>
      <c r="BAZ247" s="15"/>
      <c r="BBA247" s="10"/>
      <c r="BBB247" s="10"/>
      <c r="BBC247" s="21"/>
      <c r="BBD247" s="21"/>
      <c r="BBG247" s="21"/>
      <c r="BBH247" s="15"/>
      <c r="BBI247" s="15"/>
      <c r="BBJ247" s="15"/>
      <c r="BBK247" s="15"/>
      <c r="BBL247" s="15"/>
      <c r="BBM247" s="15"/>
      <c r="BBN247" s="15"/>
      <c r="BBO247" s="15"/>
      <c r="BBP247" s="15"/>
      <c r="BBQ247" s="15"/>
      <c r="BBR247" s="10"/>
      <c r="BBS247" s="10"/>
      <c r="BBT247" s="21"/>
      <c r="BBU247" s="21"/>
      <c r="BBX247" s="21"/>
      <c r="BBY247" s="15"/>
      <c r="BBZ247" s="15"/>
      <c r="BCA247" s="15"/>
      <c r="BCB247" s="15"/>
      <c r="BCC247" s="15"/>
      <c r="BCD247" s="15"/>
      <c r="BCE247" s="15"/>
      <c r="BCF247" s="15"/>
      <c r="BCG247" s="15"/>
      <c r="BCH247" s="15"/>
      <c r="BCI247" s="10"/>
      <c r="BCJ247" s="10"/>
      <c r="BCK247" s="21"/>
      <c r="BCL247" s="21"/>
      <c r="BCO247" s="21"/>
      <c r="BCP247" s="15"/>
      <c r="BCQ247" s="15"/>
      <c r="BCR247" s="15"/>
      <c r="BCS247" s="15"/>
      <c r="BCT247" s="15"/>
      <c r="BCU247" s="15"/>
      <c r="BCV247" s="15"/>
      <c r="BCW247" s="15"/>
      <c r="BCX247" s="15"/>
      <c r="BCY247" s="15"/>
      <c r="BCZ247" s="10"/>
      <c r="BDA247" s="10"/>
      <c r="BDB247" s="21"/>
      <c r="BDC247" s="21"/>
      <c r="BDF247" s="21"/>
      <c r="BDG247" s="15"/>
      <c r="BDH247" s="15"/>
      <c r="BDI247" s="15"/>
      <c r="BDJ247" s="15"/>
      <c r="BDK247" s="15"/>
      <c r="BDL247" s="15"/>
      <c r="BDM247" s="15"/>
      <c r="BDN247" s="15"/>
      <c r="BDO247" s="15"/>
      <c r="BDP247" s="15"/>
      <c r="BDQ247" s="10"/>
      <c r="BDR247" s="10"/>
      <c r="BDS247" s="21"/>
      <c r="BDT247" s="21"/>
      <c r="BDW247" s="21"/>
      <c r="BDX247" s="15"/>
      <c r="BDY247" s="15"/>
      <c r="BDZ247" s="15"/>
      <c r="BEA247" s="15"/>
      <c r="BEB247" s="15"/>
      <c r="BEC247" s="15"/>
      <c r="BED247" s="15"/>
      <c r="BEE247" s="15"/>
      <c r="BEF247" s="15"/>
      <c r="BEG247" s="15"/>
      <c r="BEH247" s="10"/>
      <c r="BEI247" s="10"/>
      <c r="BEJ247" s="21"/>
      <c r="BEK247" s="21"/>
      <c r="BEN247" s="21"/>
      <c r="BEO247" s="15"/>
      <c r="BEP247" s="15"/>
      <c r="BEQ247" s="15"/>
      <c r="BER247" s="15"/>
      <c r="BES247" s="15"/>
      <c r="BET247" s="15"/>
      <c r="BEU247" s="15"/>
      <c r="BEV247" s="15"/>
      <c r="BEW247" s="15"/>
      <c r="BEX247" s="15"/>
      <c r="BEY247" s="10"/>
      <c r="BEZ247" s="10"/>
      <c r="BFA247" s="21"/>
      <c r="BFB247" s="21"/>
      <c r="BFE247" s="21"/>
      <c r="BFF247" s="15"/>
      <c r="BFG247" s="15"/>
      <c r="BFH247" s="15"/>
      <c r="BFI247" s="15"/>
      <c r="BFJ247" s="15"/>
      <c r="BFK247" s="15"/>
      <c r="BFL247" s="15"/>
      <c r="BFM247" s="15"/>
      <c r="BFN247" s="15"/>
      <c r="BFO247" s="15"/>
      <c r="BFP247" s="10"/>
      <c r="BFQ247" s="10"/>
      <c r="BFR247" s="21"/>
      <c r="BFS247" s="21"/>
      <c r="BFV247" s="21"/>
      <c r="BFW247" s="15"/>
      <c r="BFX247" s="15"/>
      <c r="BFY247" s="15"/>
      <c r="BFZ247" s="15"/>
      <c r="BGA247" s="15"/>
      <c r="BGB247" s="15"/>
      <c r="BGC247" s="15"/>
      <c r="BGD247" s="15"/>
      <c r="BGE247" s="15"/>
      <c r="BGF247" s="15"/>
      <c r="BGG247" s="10"/>
      <c r="BGH247" s="10"/>
      <c r="BGI247" s="21"/>
      <c r="BGJ247" s="21"/>
      <c r="BGM247" s="21"/>
      <c r="BGN247" s="15"/>
      <c r="BGO247" s="15"/>
      <c r="BGP247" s="15"/>
      <c r="BGQ247" s="15"/>
      <c r="BGR247" s="15"/>
      <c r="BGS247" s="15"/>
      <c r="BGT247" s="15"/>
      <c r="BGU247" s="15"/>
      <c r="BGV247" s="15"/>
      <c r="BGW247" s="15"/>
      <c r="BGX247" s="10"/>
      <c r="BGY247" s="10"/>
      <c r="BGZ247" s="21"/>
      <c r="BHA247" s="21"/>
      <c r="BHD247" s="21"/>
      <c r="BHE247" s="15"/>
      <c r="BHF247" s="15"/>
      <c r="BHG247" s="15"/>
      <c r="BHH247" s="15"/>
      <c r="BHI247" s="15"/>
      <c r="BHJ247" s="15"/>
      <c r="BHK247" s="15"/>
      <c r="BHL247" s="15"/>
      <c r="BHM247" s="15"/>
      <c r="BHN247" s="15"/>
      <c r="BHO247" s="10"/>
      <c r="BHP247" s="10"/>
      <c r="BHQ247" s="21"/>
      <c r="BHR247" s="21"/>
      <c r="BHU247" s="21"/>
      <c r="BHV247" s="15"/>
      <c r="BHW247" s="15"/>
      <c r="BHX247" s="15"/>
      <c r="BHY247" s="15"/>
      <c r="BHZ247" s="15"/>
      <c r="BIA247" s="15"/>
      <c r="BIB247" s="15"/>
      <c r="BIC247" s="15"/>
      <c r="BID247" s="15"/>
      <c r="BIE247" s="15"/>
      <c r="BIF247" s="10"/>
      <c r="BIG247" s="10"/>
      <c r="BIH247" s="21"/>
      <c r="BII247" s="21"/>
      <c r="BIL247" s="21"/>
      <c r="BIM247" s="15"/>
      <c r="BIN247" s="15"/>
      <c r="BIO247" s="15"/>
      <c r="BIP247" s="15"/>
      <c r="BIQ247" s="15"/>
      <c r="BIR247" s="15"/>
      <c r="BIS247" s="15"/>
      <c r="BIT247" s="15"/>
      <c r="BIU247" s="15"/>
      <c r="BIV247" s="15"/>
      <c r="BIW247" s="10"/>
      <c r="BIX247" s="10"/>
      <c r="BIY247" s="21"/>
      <c r="BIZ247" s="21"/>
      <c r="BJC247" s="21"/>
      <c r="BJD247" s="15"/>
      <c r="BJE247" s="15"/>
      <c r="BJF247" s="15"/>
      <c r="BJG247" s="15"/>
      <c r="BJH247" s="15"/>
      <c r="BJI247" s="15"/>
      <c r="BJJ247" s="15"/>
      <c r="BJK247" s="15"/>
      <c r="BJL247" s="15"/>
      <c r="BJM247" s="15"/>
      <c r="BJN247" s="10"/>
      <c r="BJO247" s="10"/>
      <c r="BJP247" s="21"/>
      <c r="BJQ247" s="21"/>
      <c r="BJT247" s="21"/>
      <c r="BJU247" s="15"/>
      <c r="BJV247" s="15"/>
      <c r="BJW247" s="15"/>
      <c r="BJX247" s="15"/>
      <c r="BJY247" s="15"/>
      <c r="BJZ247" s="15"/>
      <c r="BKA247" s="15"/>
      <c r="BKB247" s="15"/>
      <c r="BKC247" s="15"/>
      <c r="BKD247" s="15"/>
      <c r="BKE247" s="10"/>
      <c r="BKF247" s="10"/>
      <c r="BKG247" s="21"/>
      <c r="BKH247" s="21"/>
      <c r="BKK247" s="21"/>
      <c r="BKL247" s="15"/>
      <c r="BKM247" s="15"/>
      <c r="BKN247" s="15"/>
      <c r="BKO247" s="15"/>
      <c r="BKP247" s="15"/>
      <c r="BKQ247" s="15"/>
      <c r="BKR247" s="15"/>
      <c r="BKS247" s="15"/>
      <c r="BKT247" s="15"/>
      <c r="BKU247" s="15"/>
      <c r="BKV247" s="10"/>
      <c r="BKW247" s="10"/>
      <c r="BKX247" s="21"/>
      <c r="BKY247" s="21"/>
      <c r="BLB247" s="21"/>
      <c r="BLC247" s="15"/>
      <c r="BLD247" s="15"/>
      <c r="BLE247" s="15"/>
      <c r="BLF247" s="15"/>
      <c r="BLG247" s="15"/>
      <c r="BLH247" s="15"/>
      <c r="BLI247" s="15"/>
      <c r="BLJ247" s="15"/>
      <c r="BLK247" s="15"/>
      <c r="BLL247" s="15"/>
      <c r="BLM247" s="10"/>
      <c r="BLN247" s="10"/>
      <c r="BLO247" s="21"/>
      <c r="BLP247" s="21"/>
      <c r="BLS247" s="21"/>
      <c r="BLT247" s="15"/>
      <c r="BLU247" s="15"/>
      <c r="BLV247" s="15"/>
      <c r="BLW247" s="15"/>
      <c r="BLX247" s="15"/>
      <c r="BLY247" s="15"/>
      <c r="BLZ247" s="15"/>
      <c r="BMA247" s="15"/>
      <c r="BMB247" s="15"/>
      <c r="BMC247" s="15"/>
      <c r="BMD247" s="10"/>
      <c r="BME247" s="10"/>
      <c r="BMF247" s="21"/>
      <c r="BMG247" s="21"/>
      <c r="BMJ247" s="21"/>
      <c r="BMK247" s="15"/>
      <c r="BML247" s="15"/>
      <c r="BMM247" s="15"/>
      <c r="BMN247" s="15"/>
      <c r="BMO247" s="15"/>
      <c r="BMP247" s="15"/>
      <c r="BMQ247" s="15"/>
      <c r="BMR247" s="15"/>
      <c r="BMS247" s="15"/>
      <c r="BMT247" s="15"/>
      <c r="BMU247" s="10"/>
      <c r="BMV247" s="10"/>
      <c r="BMW247" s="21"/>
      <c r="BMX247" s="21"/>
      <c r="BNA247" s="21"/>
      <c r="BNB247" s="15"/>
      <c r="BNC247" s="15"/>
      <c r="BND247" s="15"/>
      <c r="BNE247" s="15"/>
      <c r="BNF247" s="15"/>
      <c r="BNG247" s="15"/>
      <c r="BNH247" s="15"/>
      <c r="BNI247" s="15"/>
      <c r="BNJ247" s="15"/>
      <c r="BNK247" s="15"/>
      <c r="BNL247" s="10"/>
      <c r="BNM247" s="10"/>
      <c r="BNN247" s="21"/>
      <c r="BNO247" s="21"/>
      <c r="BNR247" s="21"/>
      <c r="BNS247" s="15"/>
      <c r="BNT247" s="15"/>
      <c r="BNU247" s="15"/>
      <c r="BNV247" s="15"/>
      <c r="BNW247" s="15"/>
      <c r="BNX247" s="15"/>
      <c r="BNY247" s="15"/>
      <c r="BNZ247" s="15"/>
      <c r="BOA247" s="15"/>
      <c r="BOB247" s="15"/>
      <c r="BOC247" s="10"/>
      <c r="BOD247" s="10"/>
      <c r="BOE247" s="21"/>
      <c r="BOF247" s="21"/>
      <c r="BOI247" s="21"/>
      <c r="BOJ247" s="15"/>
      <c r="BOK247" s="15"/>
      <c r="BOL247" s="15"/>
      <c r="BOM247" s="15"/>
      <c r="BON247" s="15"/>
      <c r="BOO247" s="15"/>
      <c r="BOP247" s="15"/>
      <c r="BOQ247" s="15"/>
      <c r="BOR247" s="15"/>
      <c r="BOS247" s="15"/>
      <c r="BOT247" s="10"/>
      <c r="BOU247" s="10"/>
      <c r="BOV247" s="21"/>
      <c r="BOW247" s="21"/>
      <c r="BOZ247" s="21"/>
      <c r="BPA247" s="15"/>
      <c r="BPB247" s="15"/>
      <c r="BPC247" s="15"/>
      <c r="BPD247" s="15"/>
      <c r="BPE247" s="15"/>
      <c r="BPF247" s="15"/>
      <c r="BPG247" s="15"/>
      <c r="BPH247" s="15"/>
      <c r="BPI247" s="15"/>
      <c r="BPJ247" s="15"/>
      <c r="BPK247" s="10"/>
      <c r="BPL247" s="10"/>
      <c r="BPM247" s="21"/>
      <c r="BPN247" s="21"/>
      <c r="BPQ247" s="21"/>
      <c r="BPR247" s="15"/>
      <c r="BPS247" s="15"/>
      <c r="BPT247" s="15"/>
      <c r="BPU247" s="15"/>
      <c r="BPV247" s="15"/>
      <c r="BPW247" s="15"/>
      <c r="BPX247" s="15"/>
      <c r="BPY247" s="15"/>
      <c r="BPZ247" s="15"/>
      <c r="BQA247" s="15"/>
      <c r="BQB247" s="10"/>
      <c r="BQC247" s="10"/>
      <c r="BQD247" s="21"/>
      <c r="BQE247" s="21"/>
      <c r="BQH247" s="21"/>
      <c r="BQI247" s="15"/>
      <c r="BQJ247" s="15"/>
      <c r="BQK247" s="15"/>
      <c r="BQL247" s="15"/>
      <c r="BQM247" s="15"/>
      <c r="BQN247" s="15"/>
      <c r="BQO247" s="15"/>
      <c r="BQP247" s="15"/>
      <c r="BQQ247" s="15"/>
      <c r="BQR247" s="15"/>
      <c r="BQS247" s="10"/>
      <c r="BQT247" s="10"/>
      <c r="BQU247" s="21"/>
      <c r="BQV247" s="21"/>
      <c r="BQY247" s="21"/>
      <c r="BQZ247" s="15"/>
      <c r="BRA247" s="15"/>
      <c r="BRB247" s="15"/>
      <c r="BRC247" s="15"/>
      <c r="BRD247" s="15"/>
      <c r="BRE247" s="15"/>
      <c r="BRF247" s="15"/>
      <c r="BRG247" s="15"/>
      <c r="BRH247" s="15"/>
      <c r="BRI247" s="15"/>
      <c r="BRJ247" s="10"/>
      <c r="BRK247" s="10"/>
      <c r="BRL247" s="21"/>
      <c r="BRM247" s="21"/>
      <c r="BRP247" s="21"/>
      <c r="BRQ247" s="15"/>
      <c r="BRR247" s="15"/>
      <c r="BRS247" s="15"/>
      <c r="BRT247" s="15"/>
      <c r="BRU247" s="15"/>
      <c r="BRV247" s="15"/>
      <c r="BRW247" s="15"/>
      <c r="BRX247" s="15"/>
      <c r="BRY247" s="15"/>
      <c r="BRZ247" s="15"/>
      <c r="BSA247" s="10"/>
      <c r="BSB247" s="10"/>
      <c r="BSC247" s="21"/>
      <c r="BSD247" s="21"/>
      <c r="BSG247" s="21"/>
      <c r="BSH247" s="15"/>
      <c r="BSI247" s="15"/>
      <c r="BSJ247" s="15"/>
      <c r="BSK247" s="15"/>
      <c r="BSL247" s="15"/>
      <c r="BSM247" s="15"/>
      <c r="BSN247" s="15"/>
      <c r="BSO247" s="15"/>
      <c r="BSP247" s="15"/>
      <c r="BSQ247" s="15"/>
      <c r="BSR247" s="10"/>
      <c r="BSS247" s="10"/>
      <c r="BST247" s="21"/>
      <c r="BSU247" s="21"/>
      <c r="BSX247" s="21"/>
      <c r="BSY247" s="15"/>
      <c r="BSZ247" s="15"/>
      <c r="BTA247" s="15"/>
      <c r="BTB247" s="15"/>
      <c r="BTC247" s="15"/>
      <c r="BTD247" s="15"/>
      <c r="BTE247" s="15"/>
      <c r="BTF247" s="15"/>
      <c r="BTG247" s="15"/>
      <c r="BTH247" s="15"/>
      <c r="BTI247" s="10"/>
      <c r="BTJ247" s="10"/>
      <c r="BTK247" s="21"/>
      <c r="BTL247" s="21"/>
      <c r="BTO247" s="21"/>
      <c r="BTP247" s="15"/>
      <c r="BTQ247" s="15"/>
      <c r="BTR247" s="15"/>
      <c r="BTS247" s="15"/>
      <c r="BTT247" s="15"/>
      <c r="BTU247" s="15"/>
      <c r="BTV247" s="15"/>
      <c r="BTW247" s="15"/>
      <c r="BTX247" s="15"/>
      <c r="BTY247" s="15"/>
      <c r="BTZ247" s="10"/>
      <c r="BUA247" s="10"/>
      <c r="BUB247" s="21"/>
      <c r="BUC247" s="21"/>
      <c r="BUF247" s="21"/>
      <c r="BUG247" s="15"/>
      <c r="BUH247" s="15"/>
      <c r="BUI247" s="15"/>
      <c r="BUJ247" s="15"/>
      <c r="BUK247" s="15"/>
      <c r="BUL247" s="15"/>
      <c r="BUM247" s="15"/>
      <c r="BUN247" s="15"/>
      <c r="BUO247" s="15"/>
      <c r="BUP247" s="15"/>
      <c r="BUQ247" s="10"/>
      <c r="BUR247" s="10"/>
      <c r="BUS247" s="21"/>
      <c r="BUT247" s="21"/>
      <c r="BUW247" s="21"/>
      <c r="BUX247" s="15"/>
      <c r="BUY247" s="15"/>
      <c r="BUZ247" s="15"/>
      <c r="BVA247" s="15"/>
      <c r="BVB247" s="15"/>
      <c r="BVC247" s="15"/>
      <c r="BVD247" s="15"/>
      <c r="BVE247" s="15"/>
      <c r="BVF247" s="15"/>
      <c r="BVG247" s="15"/>
      <c r="BVH247" s="10"/>
      <c r="BVI247" s="10"/>
      <c r="BVJ247" s="21"/>
      <c r="BVK247" s="21"/>
      <c r="BVN247" s="21"/>
      <c r="BVO247" s="15"/>
      <c r="BVP247" s="15"/>
      <c r="BVQ247" s="15"/>
      <c r="BVR247" s="15"/>
      <c r="BVS247" s="15"/>
      <c r="BVT247" s="15"/>
      <c r="BVU247" s="15"/>
      <c r="BVV247" s="15"/>
      <c r="BVW247" s="15"/>
      <c r="BVX247" s="15"/>
      <c r="BVY247" s="10"/>
      <c r="BVZ247" s="10"/>
      <c r="BWA247" s="21"/>
      <c r="BWB247" s="21"/>
      <c r="BWE247" s="21"/>
      <c r="BWF247" s="15"/>
      <c r="BWG247" s="15"/>
      <c r="BWH247" s="15"/>
      <c r="BWI247" s="15"/>
      <c r="BWJ247" s="15"/>
      <c r="BWK247" s="15"/>
      <c r="BWL247" s="15"/>
      <c r="BWM247" s="15"/>
      <c r="BWN247" s="15"/>
      <c r="BWO247" s="15"/>
      <c r="BWP247" s="10"/>
      <c r="BWQ247" s="10"/>
      <c r="BWR247" s="21"/>
      <c r="BWS247" s="21"/>
      <c r="BWV247" s="21"/>
      <c r="BWW247" s="15"/>
      <c r="BWX247" s="15"/>
      <c r="BWY247" s="15"/>
      <c r="BWZ247" s="15"/>
      <c r="BXA247" s="15"/>
      <c r="BXB247" s="15"/>
      <c r="BXC247" s="15"/>
      <c r="BXD247" s="15"/>
      <c r="BXE247" s="15"/>
      <c r="BXF247" s="15"/>
      <c r="BXG247" s="10"/>
      <c r="BXH247" s="10"/>
      <c r="BXI247" s="21"/>
      <c r="BXJ247" s="21"/>
      <c r="BXM247" s="21"/>
      <c r="BXN247" s="15"/>
      <c r="BXO247" s="15"/>
      <c r="BXP247" s="15"/>
      <c r="BXQ247" s="15"/>
      <c r="BXR247" s="15"/>
      <c r="BXS247" s="15"/>
      <c r="BXT247" s="15"/>
      <c r="BXU247" s="15"/>
      <c r="BXV247" s="15"/>
      <c r="BXW247" s="15"/>
      <c r="BXX247" s="10"/>
      <c r="BXY247" s="10"/>
      <c r="BXZ247" s="21"/>
      <c r="BYA247" s="21"/>
      <c r="BYD247" s="21"/>
      <c r="BYE247" s="15"/>
      <c r="BYF247" s="15"/>
      <c r="BYG247" s="15"/>
      <c r="BYH247" s="15"/>
      <c r="BYI247" s="15"/>
      <c r="BYJ247" s="15"/>
      <c r="BYK247" s="15"/>
      <c r="BYL247" s="15"/>
      <c r="BYM247" s="15"/>
      <c r="BYN247" s="15"/>
      <c r="BYO247" s="10"/>
      <c r="BYP247" s="10"/>
      <c r="BYQ247" s="21"/>
      <c r="BYR247" s="21"/>
      <c r="BYU247" s="21"/>
      <c r="BYV247" s="15"/>
      <c r="BYW247" s="15"/>
      <c r="BYX247" s="15"/>
      <c r="BYY247" s="15"/>
      <c r="BYZ247" s="15"/>
      <c r="BZA247" s="15"/>
      <c r="BZB247" s="15"/>
      <c r="BZC247" s="15"/>
      <c r="BZD247" s="15"/>
      <c r="BZE247" s="15"/>
      <c r="BZF247" s="10"/>
      <c r="BZG247" s="10"/>
      <c r="BZH247" s="21"/>
      <c r="BZI247" s="21"/>
      <c r="BZL247" s="21"/>
      <c r="BZM247" s="15"/>
      <c r="BZN247" s="15"/>
      <c r="BZO247" s="15"/>
      <c r="BZP247" s="15"/>
      <c r="BZQ247" s="15"/>
      <c r="BZR247" s="15"/>
      <c r="BZS247" s="15"/>
      <c r="BZT247" s="15"/>
      <c r="BZU247" s="15"/>
      <c r="BZV247" s="15"/>
      <c r="BZW247" s="10"/>
      <c r="BZX247" s="10"/>
      <c r="BZY247" s="21"/>
      <c r="BZZ247" s="21"/>
      <c r="CAC247" s="21"/>
      <c r="CAD247" s="15"/>
      <c r="CAE247" s="15"/>
      <c r="CAF247" s="15"/>
      <c r="CAG247" s="15"/>
      <c r="CAH247" s="15"/>
      <c r="CAI247" s="15"/>
      <c r="CAJ247" s="15"/>
      <c r="CAK247" s="15"/>
      <c r="CAL247" s="15"/>
      <c r="CAM247" s="15"/>
      <c r="CAN247" s="10"/>
      <c r="CAO247" s="10"/>
      <c r="CAP247" s="21"/>
      <c r="CAQ247" s="21"/>
      <c r="CAT247" s="21"/>
      <c r="CAU247" s="15"/>
      <c r="CAV247" s="15"/>
      <c r="CAW247" s="15"/>
      <c r="CAX247" s="15"/>
      <c r="CAY247" s="15"/>
      <c r="CAZ247" s="15"/>
      <c r="CBA247" s="15"/>
      <c r="CBB247" s="15"/>
      <c r="CBC247" s="15"/>
      <c r="CBD247" s="15"/>
      <c r="CBE247" s="10"/>
      <c r="CBF247" s="10"/>
      <c r="CBG247" s="21"/>
      <c r="CBH247" s="21"/>
      <c r="CBK247" s="21"/>
      <c r="CBL247" s="15"/>
      <c r="CBM247" s="15"/>
      <c r="CBN247" s="15"/>
      <c r="CBO247" s="15"/>
      <c r="CBP247" s="15"/>
      <c r="CBQ247" s="15"/>
      <c r="CBR247" s="15"/>
      <c r="CBS247" s="15"/>
      <c r="CBT247" s="15"/>
      <c r="CBU247" s="15"/>
      <c r="CBV247" s="10"/>
      <c r="CBW247" s="10"/>
      <c r="CBX247" s="21"/>
      <c r="CBY247" s="21"/>
      <c r="CCB247" s="21"/>
      <c r="CCC247" s="15"/>
      <c r="CCD247" s="15"/>
      <c r="CCE247" s="15"/>
      <c r="CCF247" s="15"/>
      <c r="CCG247" s="15"/>
      <c r="CCH247" s="15"/>
      <c r="CCI247" s="15"/>
      <c r="CCJ247" s="15"/>
      <c r="CCK247" s="15"/>
      <c r="CCL247" s="15"/>
      <c r="CCM247" s="10"/>
      <c r="CCN247" s="10"/>
      <c r="CCO247" s="21"/>
      <c r="CCP247" s="21"/>
      <c r="CCS247" s="21"/>
      <c r="CCT247" s="15"/>
      <c r="CCU247" s="15"/>
      <c r="CCV247" s="15"/>
      <c r="CCW247" s="15"/>
      <c r="CCX247" s="15"/>
      <c r="CCY247" s="15"/>
      <c r="CCZ247" s="15"/>
      <c r="CDA247" s="15"/>
      <c r="CDB247" s="15"/>
      <c r="CDC247" s="15"/>
      <c r="CDD247" s="10"/>
      <c r="CDE247" s="10"/>
      <c r="CDF247" s="21"/>
      <c r="CDG247" s="21"/>
      <c r="CDJ247" s="21"/>
      <c r="CDK247" s="15"/>
      <c r="CDL247" s="15"/>
      <c r="CDM247" s="15"/>
      <c r="CDN247" s="15"/>
      <c r="CDO247" s="15"/>
      <c r="CDP247" s="15"/>
      <c r="CDQ247" s="15"/>
      <c r="CDR247" s="15"/>
      <c r="CDS247" s="15"/>
      <c r="CDT247" s="15"/>
      <c r="CDU247" s="10"/>
      <c r="CDV247" s="10"/>
      <c r="CDW247" s="21"/>
      <c r="CDX247" s="21"/>
      <c r="CEA247" s="21"/>
      <c r="CEB247" s="15"/>
      <c r="CEC247" s="15"/>
      <c r="CED247" s="15"/>
      <c r="CEE247" s="15"/>
      <c r="CEF247" s="15"/>
      <c r="CEG247" s="15"/>
      <c r="CEH247" s="15"/>
      <c r="CEI247" s="15"/>
      <c r="CEJ247" s="15"/>
      <c r="CEK247" s="15"/>
      <c r="CEL247" s="10"/>
      <c r="CEM247" s="10"/>
      <c r="CEN247" s="21"/>
      <c r="CEO247" s="21"/>
      <c r="CER247" s="21"/>
      <c r="CES247" s="15"/>
      <c r="CET247" s="15"/>
      <c r="CEU247" s="15"/>
      <c r="CEV247" s="15"/>
      <c r="CEW247" s="15"/>
      <c r="CEX247" s="15"/>
      <c r="CEY247" s="15"/>
      <c r="CEZ247" s="15"/>
      <c r="CFA247" s="15"/>
      <c r="CFB247" s="15"/>
      <c r="CFC247" s="10"/>
      <c r="CFD247" s="10"/>
      <c r="CFE247" s="21"/>
      <c r="CFF247" s="21"/>
      <c r="CFI247" s="21"/>
      <c r="CFJ247" s="15"/>
      <c r="CFK247" s="15"/>
      <c r="CFL247" s="15"/>
      <c r="CFM247" s="15"/>
      <c r="CFN247" s="15"/>
      <c r="CFO247" s="15"/>
      <c r="CFP247" s="15"/>
      <c r="CFQ247" s="15"/>
      <c r="CFR247" s="15"/>
      <c r="CFS247" s="15"/>
      <c r="CFT247" s="10"/>
      <c r="CFU247" s="10"/>
      <c r="CFV247" s="21"/>
      <c r="CFW247" s="21"/>
      <c r="CFZ247" s="21"/>
      <c r="CGA247" s="15"/>
      <c r="CGB247" s="15"/>
      <c r="CGC247" s="15"/>
      <c r="CGD247" s="15"/>
      <c r="CGE247" s="15"/>
      <c r="CGF247" s="15"/>
      <c r="CGG247" s="15"/>
      <c r="CGH247" s="15"/>
      <c r="CGI247" s="15"/>
      <c r="CGJ247" s="15"/>
      <c r="CGK247" s="10"/>
      <c r="CGL247" s="10"/>
      <c r="CGM247" s="21"/>
      <c r="CGN247" s="21"/>
      <c r="CGQ247" s="21"/>
      <c r="CGR247" s="15"/>
      <c r="CGS247" s="15"/>
      <c r="CGT247" s="15"/>
      <c r="CGU247" s="15"/>
      <c r="CGV247" s="15"/>
      <c r="CGW247" s="15"/>
      <c r="CGX247" s="15"/>
      <c r="CGY247" s="15"/>
      <c r="CGZ247" s="15"/>
      <c r="CHA247" s="15"/>
      <c r="CHB247" s="10"/>
      <c r="CHC247" s="10"/>
      <c r="CHD247" s="21"/>
      <c r="CHE247" s="21"/>
      <c r="CHH247" s="21"/>
      <c r="CHI247" s="15"/>
      <c r="CHJ247" s="15"/>
      <c r="CHK247" s="15"/>
      <c r="CHL247" s="15"/>
      <c r="CHM247" s="15"/>
      <c r="CHN247" s="15"/>
      <c r="CHO247" s="15"/>
      <c r="CHP247" s="15"/>
      <c r="CHQ247" s="15"/>
      <c r="CHR247" s="15"/>
      <c r="CHS247" s="10"/>
      <c r="CHT247" s="10"/>
      <c r="CHU247" s="21"/>
      <c r="CHV247" s="21"/>
      <c r="CHY247" s="21"/>
      <c r="CHZ247" s="15"/>
      <c r="CIA247" s="15"/>
      <c r="CIB247" s="15"/>
      <c r="CIC247" s="15"/>
      <c r="CID247" s="15"/>
      <c r="CIE247" s="15"/>
      <c r="CIF247" s="15"/>
      <c r="CIG247" s="15"/>
      <c r="CIH247" s="15"/>
      <c r="CII247" s="15"/>
      <c r="CIJ247" s="10"/>
      <c r="CIK247" s="10"/>
      <c r="CIL247" s="21"/>
      <c r="CIM247" s="21"/>
      <c r="CIP247" s="21"/>
      <c r="CIQ247" s="15"/>
      <c r="CIR247" s="15"/>
      <c r="CIS247" s="15"/>
      <c r="CIT247" s="15"/>
      <c r="CIU247" s="15"/>
      <c r="CIV247" s="15"/>
      <c r="CIW247" s="15"/>
      <c r="CIX247" s="15"/>
      <c r="CIY247" s="15"/>
      <c r="CIZ247" s="15"/>
      <c r="CJA247" s="10"/>
      <c r="CJB247" s="10"/>
      <c r="CJC247" s="21"/>
      <c r="CJD247" s="21"/>
      <c r="CJG247" s="21"/>
      <c r="CJH247" s="15"/>
      <c r="CJI247" s="15"/>
      <c r="CJJ247" s="15"/>
      <c r="CJK247" s="15"/>
      <c r="CJL247" s="15"/>
      <c r="CJM247" s="15"/>
      <c r="CJN247" s="15"/>
      <c r="CJO247" s="15"/>
      <c r="CJP247" s="15"/>
      <c r="CJQ247" s="15"/>
      <c r="CJR247" s="10"/>
      <c r="CJS247" s="10"/>
      <c r="CJT247" s="21"/>
      <c r="CJU247" s="21"/>
      <c r="CJX247" s="21"/>
      <c r="CJY247" s="15"/>
      <c r="CJZ247" s="15"/>
      <c r="CKA247" s="15"/>
      <c r="CKB247" s="15"/>
      <c r="CKC247" s="15"/>
      <c r="CKD247" s="15"/>
      <c r="CKE247" s="15"/>
      <c r="CKF247" s="15"/>
      <c r="CKG247" s="15"/>
      <c r="CKH247" s="15"/>
      <c r="CKI247" s="10"/>
      <c r="CKJ247" s="10"/>
      <c r="CKK247" s="21"/>
      <c r="CKL247" s="21"/>
      <c r="CKO247" s="21"/>
      <c r="CKP247" s="15"/>
      <c r="CKQ247" s="15"/>
      <c r="CKR247" s="15"/>
      <c r="CKS247" s="15"/>
      <c r="CKT247" s="15"/>
      <c r="CKU247" s="15"/>
      <c r="CKV247" s="15"/>
      <c r="CKW247" s="15"/>
      <c r="CKX247" s="15"/>
      <c r="CKY247" s="15"/>
      <c r="CKZ247" s="10"/>
      <c r="CLA247" s="10"/>
      <c r="CLB247" s="21"/>
      <c r="CLC247" s="21"/>
      <c r="CLF247" s="21"/>
      <c r="CLG247" s="15"/>
      <c r="CLH247" s="15"/>
      <c r="CLI247" s="15"/>
      <c r="CLJ247" s="15"/>
      <c r="CLK247" s="15"/>
      <c r="CLL247" s="15"/>
      <c r="CLM247" s="15"/>
      <c r="CLN247" s="15"/>
      <c r="CLO247" s="15"/>
      <c r="CLP247" s="15"/>
      <c r="CLQ247" s="10"/>
      <c r="CLR247" s="10"/>
      <c r="CLS247" s="21"/>
      <c r="CLT247" s="21"/>
      <c r="CLW247" s="21"/>
      <c r="CLX247" s="15"/>
      <c r="CLY247" s="15"/>
      <c r="CLZ247" s="15"/>
      <c r="CMA247" s="15"/>
      <c r="CMB247" s="15"/>
      <c r="CMC247" s="15"/>
      <c r="CMD247" s="15"/>
      <c r="CME247" s="15"/>
      <c r="CMF247" s="15"/>
      <c r="CMG247" s="15"/>
      <c r="CMH247" s="10"/>
      <c r="CMI247" s="10"/>
      <c r="CMJ247" s="21"/>
      <c r="CMK247" s="21"/>
      <c r="CMN247" s="21"/>
      <c r="CMO247" s="15"/>
      <c r="CMP247" s="15"/>
      <c r="CMQ247" s="15"/>
      <c r="CMR247" s="15"/>
      <c r="CMS247" s="15"/>
      <c r="CMT247" s="15"/>
      <c r="CMU247" s="15"/>
      <c r="CMV247" s="15"/>
      <c r="CMW247" s="15"/>
      <c r="CMX247" s="15"/>
      <c r="CMY247" s="10"/>
      <c r="CMZ247" s="10"/>
      <c r="CNA247" s="21"/>
      <c r="CNB247" s="21"/>
      <c r="CNE247" s="21"/>
      <c r="CNF247" s="15"/>
      <c r="CNG247" s="15"/>
      <c r="CNH247" s="15"/>
      <c r="CNI247" s="15"/>
      <c r="CNJ247" s="15"/>
      <c r="CNK247" s="15"/>
      <c r="CNL247" s="15"/>
      <c r="CNM247" s="15"/>
      <c r="CNN247" s="15"/>
      <c r="CNO247" s="15"/>
      <c r="CNP247" s="10"/>
      <c r="CNQ247" s="10"/>
      <c r="CNR247" s="21"/>
      <c r="CNS247" s="21"/>
      <c r="CNV247" s="21"/>
      <c r="CNW247" s="15"/>
      <c r="CNX247" s="15"/>
      <c r="CNY247" s="15"/>
      <c r="CNZ247" s="15"/>
      <c r="COA247" s="15"/>
      <c r="COB247" s="15"/>
      <c r="COC247" s="15"/>
      <c r="COD247" s="15"/>
      <c r="COE247" s="15"/>
      <c r="COF247" s="15"/>
      <c r="COG247" s="10"/>
      <c r="COH247" s="10"/>
      <c r="COI247" s="21"/>
      <c r="COJ247" s="21"/>
      <c r="COM247" s="21"/>
      <c r="CON247" s="15"/>
      <c r="COO247" s="15"/>
      <c r="COP247" s="15"/>
      <c r="COQ247" s="15"/>
      <c r="COR247" s="15"/>
      <c r="COS247" s="15"/>
      <c r="COT247" s="15"/>
      <c r="COU247" s="15"/>
      <c r="COV247" s="15"/>
      <c r="COW247" s="15"/>
      <c r="COX247" s="10"/>
      <c r="COY247" s="10"/>
      <c r="COZ247" s="21"/>
      <c r="CPA247" s="21"/>
      <c r="CPD247" s="21"/>
      <c r="CPE247" s="15"/>
      <c r="CPF247" s="15"/>
      <c r="CPG247" s="15"/>
      <c r="CPH247" s="15"/>
      <c r="CPI247" s="15"/>
      <c r="CPJ247" s="15"/>
      <c r="CPK247" s="15"/>
      <c r="CPL247" s="15"/>
      <c r="CPM247" s="15"/>
      <c r="CPN247" s="15"/>
      <c r="CPO247" s="10"/>
      <c r="CPP247" s="10"/>
      <c r="CPQ247" s="21"/>
      <c r="CPR247" s="21"/>
      <c r="CPU247" s="21"/>
      <c r="CPV247" s="15"/>
      <c r="CPW247" s="15"/>
      <c r="CPX247" s="15"/>
      <c r="CPY247" s="15"/>
      <c r="CPZ247" s="15"/>
      <c r="CQA247" s="15"/>
      <c r="CQB247" s="15"/>
      <c r="CQC247" s="15"/>
      <c r="CQD247" s="15"/>
      <c r="CQE247" s="15"/>
      <c r="CQF247" s="10"/>
      <c r="CQG247" s="10"/>
      <c r="CQH247" s="21"/>
      <c r="CQI247" s="21"/>
      <c r="CQL247" s="21"/>
      <c r="CQM247" s="15"/>
      <c r="CQN247" s="15"/>
      <c r="CQO247" s="15"/>
      <c r="CQP247" s="15"/>
      <c r="CQQ247" s="15"/>
      <c r="CQR247" s="15"/>
      <c r="CQS247" s="15"/>
      <c r="CQT247" s="15"/>
      <c r="CQU247" s="15"/>
      <c r="CQV247" s="15"/>
      <c r="CQW247" s="10"/>
      <c r="CQX247" s="10"/>
      <c r="CQY247" s="21"/>
      <c r="CQZ247" s="21"/>
      <c r="CRC247" s="21"/>
      <c r="CRD247" s="15"/>
      <c r="CRE247" s="15"/>
      <c r="CRF247" s="15"/>
      <c r="CRG247" s="15"/>
      <c r="CRH247" s="15"/>
      <c r="CRI247" s="15"/>
      <c r="CRJ247" s="15"/>
      <c r="CRK247" s="15"/>
      <c r="CRL247" s="15"/>
      <c r="CRM247" s="15"/>
      <c r="CRN247" s="10"/>
      <c r="CRO247" s="10"/>
      <c r="CRP247" s="21"/>
      <c r="CRQ247" s="21"/>
      <c r="CRT247" s="21"/>
      <c r="CRU247" s="15"/>
      <c r="CRV247" s="15"/>
      <c r="CRW247" s="15"/>
      <c r="CRX247" s="15"/>
      <c r="CRY247" s="15"/>
      <c r="CRZ247" s="15"/>
      <c r="CSA247" s="15"/>
      <c r="CSB247" s="15"/>
      <c r="CSC247" s="15"/>
      <c r="CSD247" s="15"/>
      <c r="CSE247" s="10"/>
      <c r="CSF247" s="10"/>
      <c r="CSG247" s="21"/>
      <c r="CSH247" s="21"/>
      <c r="CSK247" s="21"/>
      <c r="CSL247" s="15"/>
      <c r="CSM247" s="15"/>
      <c r="CSN247" s="15"/>
      <c r="CSO247" s="15"/>
      <c r="CSP247" s="15"/>
      <c r="CSQ247" s="15"/>
      <c r="CSR247" s="15"/>
      <c r="CSS247" s="15"/>
      <c r="CST247" s="15"/>
      <c r="CSU247" s="15"/>
      <c r="CSV247" s="10"/>
      <c r="CSW247" s="10"/>
      <c r="CSX247" s="21"/>
      <c r="CSY247" s="21"/>
      <c r="CTB247" s="21"/>
      <c r="CTC247" s="15"/>
      <c r="CTD247" s="15"/>
      <c r="CTE247" s="15"/>
      <c r="CTF247" s="15"/>
      <c r="CTG247" s="15"/>
      <c r="CTH247" s="15"/>
      <c r="CTI247" s="15"/>
      <c r="CTJ247" s="15"/>
      <c r="CTK247" s="15"/>
      <c r="CTL247" s="15"/>
      <c r="CTM247" s="10"/>
      <c r="CTN247" s="10"/>
      <c r="CTO247" s="21"/>
      <c r="CTP247" s="21"/>
      <c r="CTS247" s="21"/>
      <c r="CTT247" s="15"/>
      <c r="CTU247" s="15"/>
      <c r="CTV247" s="15"/>
      <c r="CTW247" s="15"/>
      <c r="CTX247" s="15"/>
      <c r="CTY247" s="15"/>
      <c r="CTZ247" s="15"/>
      <c r="CUA247" s="15"/>
      <c r="CUB247" s="15"/>
      <c r="CUC247" s="15"/>
      <c r="CUD247" s="10"/>
      <c r="CUE247" s="10"/>
      <c r="CUF247" s="21"/>
      <c r="CUG247" s="21"/>
      <c r="CUJ247" s="21"/>
      <c r="CUK247" s="15"/>
      <c r="CUL247" s="15"/>
      <c r="CUM247" s="15"/>
      <c r="CUN247" s="15"/>
      <c r="CUO247" s="15"/>
      <c r="CUP247" s="15"/>
      <c r="CUQ247" s="15"/>
      <c r="CUR247" s="15"/>
      <c r="CUS247" s="15"/>
      <c r="CUT247" s="15"/>
      <c r="CUU247" s="10"/>
      <c r="CUV247" s="10"/>
      <c r="CUW247" s="21"/>
      <c r="CUX247" s="21"/>
      <c r="CVA247" s="21"/>
      <c r="CVB247" s="15"/>
      <c r="CVC247" s="15"/>
      <c r="CVD247" s="15"/>
      <c r="CVE247" s="15"/>
      <c r="CVF247" s="15"/>
      <c r="CVG247" s="15"/>
      <c r="CVH247" s="15"/>
      <c r="CVI247" s="15"/>
      <c r="CVJ247" s="15"/>
      <c r="CVK247" s="15"/>
      <c r="CVL247" s="10"/>
      <c r="CVM247" s="10"/>
      <c r="CVN247" s="21"/>
      <c r="CVO247" s="21"/>
      <c r="CVR247" s="21"/>
      <c r="CVS247" s="15"/>
      <c r="CVT247" s="15"/>
      <c r="CVU247" s="15"/>
      <c r="CVV247" s="15"/>
      <c r="CVW247" s="15"/>
      <c r="CVX247" s="15"/>
      <c r="CVY247" s="15"/>
      <c r="CVZ247" s="15"/>
      <c r="CWA247" s="15"/>
      <c r="CWB247" s="15"/>
      <c r="CWC247" s="10"/>
      <c r="CWD247" s="10"/>
      <c r="CWE247" s="21"/>
      <c r="CWF247" s="21"/>
      <c r="CWI247" s="21"/>
      <c r="CWJ247" s="15"/>
      <c r="CWK247" s="15"/>
      <c r="CWL247" s="15"/>
      <c r="CWM247" s="15"/>
      <c r="CWN247" s="15"/>
      <c r="CWO247" s="15"/>
      <c r="CWP247" s="15"/>
      <c r="CWQ247" s="15"/>
      <c r="CWR247" s="15"/>
      <c r="CWS247" s="15"/>
      <c r="CWT247" s="10"/>
      <c r="CWU247" s="10"/>
      <c r="CWV247" s="21"/>
      <c r="CWW247" s="21"/>
      <c r="CWZ247" s="21"/>
      <c r="CXA247" s="15"/>
      <c r="CXB247" s="15"/>
      <c r="CXC247" s="15"/>
      <c r="CXD247" s="15"/>
      <c r="CXE247" s="15"/>
      <c r="CXF247" s="15"/>
      <c r="CXG247" s="15"/>
      <c r="CXH247" s="15"/>
      <c r="CXI247" s="15"/>
      <c r="CXJ247" s="15"/>
      <c r="CXK247" s="10"/>
      <c r="CXL247" s="10"/>
      <c r="CXM247" s="21"/>
      <c r="CXN247" s="21"/>
      <c r="CXQ247" s="21"/>
      <c r="CXR247" s="15"/>
      <c r="CXS247" s="15"/>
      <c r="CXT247" s="15"/>
      <c r="CXU247" s="15"/>
      <c r="CXV247" s="15"/>
      <c r="CXW247" s="15"/>
      <c r="CXX247" s="15"/>
      <c r="CXY247" s="15"/>
      <c r="CXZ247" s="15"/>
      <c r="CYA247" s="15"/>
      <c r="CYB247" s="10"/>
      <c r="CYC247" s="10"/>
      <c r="CYD247" s="21"/>
      <c r="CYE247" s="21"/>
      <c r="CYH247" s="21"/>
      <c r="CYI247" s="15"/>
      <c r="CYJ247" s="15"/>
      <c r="CYK247" s="15"/>
      <c r="CYL247" s="15"/>
      <c r="CYM247" s="15"/>
      <c r="CYN247" s="15"/>
      <c r="CYO247" s="15"/>
      <c r="CYP247" s="15"/>
      <c r="CYQ247" s="15"/>
      <c r="CYR247" s="15"/>
      <c r="CYS247" s="10"/>
      <c r="CYT247" s="10"/>
      <c r="CYU247" s="21"/>
      <c r="CYV247" s="21"/>
      <c r="CYY247" s="21"/>
      <c r="CYZ247" s="15"/>
      <c r="CZA247" s="15"/>
      <c r="CZB247" s="15"/>
      <c r="CZC247" s="15"/>
      <c r="CZD247" s="15"/>
      <c r="CZE247" s="15"/>
      <c r="CZF247" s="15"/>
      <c r="CZG247" s="15"/>
      <c r="CZH247" s="15"/>
      <c r="CZI247" s="15"/>
      <c r="CZJ247" s="10"/>
      <c r="CZK247" s="10"/>
      <c r="CZL247" s="21"/>
      <c r="CZM247" s="21"/>
      <c r="CZP247" s="21"/>
      <c r="CZQ247" s="15"/>
      <c r="CZR247" s="15"/>
      <c r="CZS247" s="15"/>
      <c r="CZT247" s="15"/>
      <c r="CZU247" s="15"/>
      <c r="CZV247" s="15"/>
      <c r="CZW247" s="15"/>
      <c r="CZX247" s="15"/>
      <c r="CZY247" s="15"/>
      <c r="CZZ247" s="15"/>
      <c r="DAA247" s="10"/>
      <c r="DAB247" s="10"/>
      <c r="DAC247" s="21"/>
      <c r="DAD247" s="21"/>
      <c r="DAG247" s="21"/>
      <c r="DAH247" s="15"/>
      <c r="DAI247" s="15"/>
      <c r="DAJ247" s="15"/>
      <c r="DAK247" s="15"/>
      <c r="DAL247" s="15"/>
      <c r="DAM247" s="15"/>
      <c r="DAN247" s="15"/>
      <c r="DAO247" s="15"/>
      <c r="DAP247" s="15"/>
      <c r="DAQ247" s="15"/>
      <c r="DAR247" s="10"/>
      <c r="DAS247" s="10"/>
      <c r="DAT247" s="21"/>
      <c r="DAU247" s="21"/>
      <c r="DAX247" s="21"/>
      <c r="DAY247" s="15"/>
      <c r="DAZ247" s="15"/>
      <c r="DBA247" s="15"/>
      <c r="DBB247" s="15"/>
      <c r="DBC247" s="15"/>
      <c r="DBD247" s="15"/>
      <c r="DBE247" s="15"/>
      <c r="DBF247" s="15"/>
      <c r="DBG247" s="15"/>
      <c r="DBH247" s="15"/>
      <c r="DBI247" s="10"/>
      <c r="DBJ247" s="10"/>
      <c r="DBK247" s="21"/>
      <c r="DBL247" s="21"/>
      <c r="DBO247" s="21"/>
      <c r="DBP247" s="15"/>
      <c r="DBQ247" s="15"/>
      <c r="DBR247" s="15"/>
      <c r="DBS247" s="15"/>
      <c r="DBT247" s="15"/>
      <c r="DBU247" s="15"/>
      <c r="DBV247" s="15"/>
      <c r="DBW247" s="15"/>
      <c r="DBX247" s="15"/>
      <c r="DBY247" s="15"/>
      <c r="DBZ247" s="10"/>
      <c r="DCA247" s="10"/>
      <c r="DCB247" s="21"/>
      <c r="DCC247" s="21"/>
      <c r="DCF247" s="21"/>
      <c r="DCG247" s="15"/>
      <c r="DCH247" s="15"/>
      <c r="DCI247" s="15"/>
      <c r="DCJ247" s="15"/>
      <c r="DCK247" s="15"/>
      <c r="DCL247" s="15"/>
      <c r="DCM247" s="15"/>
      <c r="DCN247" s="15"/>
      <c r="DCO247" s="15"/>
      <c r="DCP247" s="15"/>
      <c r="DCQ247" s="10"/>
      <c r="DCR247" s="10"/>
      <c r="DCS247" s="21"/>
      <c r="DCT247" s="21"/>
      <c r="DCW247" s="21"/>
      <c r="DCX247" s="15"/>
      <c r="DCY247" s="15"/>
      <c r="DCZ247" s="15"/>
      <c r="DDA247" s="15"/>
      <c r="DDB247" s="15"/>
      <c r="DDC247" s="15"/>
      <c r="DDD247" s="15"/>
      <c r="DDE247" s="15"/>
      <c r="DDF247" s="15"/>
      <c r="DDG247" s="15"/>
      <c r="DDH247" s="10"/>
      <c r="DDI247" s="10"/>
      <c r="DDJ247" s="21"/>
      <c r="DDK247" s="21"/>
      <c r="DDN247" s="21"/>
      <c r="DDO247" s="15"/>
      <c r="DDP247" s="15"/>
      <c r="DDQ247" s="15"/>
      <c r="DDR247" s="15"/>
      <c r="DDS247" s="15"/>
      <c r="DDT247" s="15"/>
      <c r="DDU247" s="15"/>
      <c r="DDV247" s="15"/>
      <c r="DDW247" s="15"/>
      <c r="DDX247" s="15"/>
      <c r="DDY247" s="10"/>
      <c r="DDZ247" s="10"/>
      <c r="DEA247" s="21"/>
      <c r="DEB247" s="21"/>
      <c r="DEE247" s="21"/>
      <c r="DEF247" s="15"/>
      <c r="DEG247" s="15"/>
      <c r="DEH247" s="15"/>
      <c r="DEI247" s="15"/>
      <c r="DEJ247" s="15"/>
      <c r="DEK247" s="15"/>
      <c r="DEL247" s="15"/>
      <c r="DEM247" s="15"/>
      <c r="DEN247" s="15"/>
      <c r="DEO247" s="15"/>
      <c r="DEP247" s="10"/>
      <c r="DEQ247" s="10"/>
      <c r="DER247" s="21"/>
      <c r="DES247" s="21"/>
      <c r="DEV247" s="21"/>
      <c r="DEW247" s="15"/>
      <c r="DEX247" s="15"/>
      <c r="DEY247" s="15"/>
      <c r="DEZ247" s="15"/>
      <c r="DFA247" s="15"/>
      <c r="DFB247" s="15"/>
      <c r="DFC247" s="15"/>
      <c r="DFD247" s="15"/>
      <c r="DFE247" s="15"/>
      <c r="DFF247" s="15"/>
      <c r="DFG247" s="10"/>
      <c r="DFH247" s="10"/>
      <c r="DFI247" s="21"/>
      <c r="DFJ247" s="21"/>
      <c r="DFM247" s="21"/>
      <c r="DFN247" s="15"/>
      <c r="DFO247" s="15"/>
      <c r="DFP247" s="15"/>
      <c r="DFQ247" s="15"/>
      <c r="DFR247" s="15"/>
      <c r="DFS247" s="15"/>
      <c r="DFT247" s="15"/>
      <c r="DFU247" s="15"/>
      <c r="DFV247" s="15"/>
      <c r="DFW247" s="15"/>
      <c r="DFX247" s="10"/>
      <c r="DFY247" s="10"/>
      <c r="DFZ247" s="21"/>
      <c r="DGA247" s="21"/>
      <c r="DGD247" s="21"/>
      <c r="DGE247" s="15"/>
      <c r="DGF247" s="15"/>
      <c r="DGG247" s="15"/>
      <c r="DGH247" s="15"/>
      <c r="DGI247" s="15"/>
      <c r="DGJ247" s="15"/>
      <c r="DGK247" s="15"/>
      <c r="DGL247" s="15"/>
      <c r="DGM247" s="15"/>
      <c r="DGN247" s="15"/>
      <c r="DGO247" s="10"/>
      <c r="DGP247" s="10"/>
      <c r="DGQ247" s="21"/>
      <c r="DGR247" s="21"/>
      <c r="DGU247" s="21"/>
      <c r="DGV247" s="15"/>
      <c r="DGW247" s="15"/>
      <c r="DGX247" s="15"/>
      <c r="DGY247" s="15"/>
      <c r="DGZ247" s="15"/>
      <c r="DHA247" s="15"/>
      <c r="DHB247" s="15"/>
      <c r="DHC247" s="15"/>
      <c r="DHD247" s="15"/>
      <c r="DHE247" s="15"/>
      <c r="DHF247" s="10"/>
      <c r="DHG247" s="10"/>
      <c r="DHH247" s="21"/>
      <c r="DHI247" s="21"/>
      <c r="DHL247" s="21"/>
      <c r="DHM247" s="15"/>
      <c r="DHN247" s="15"/>
      <c r="DHO247" s="15"/>
      <c r="DHP247" s="15"/>
      <c r="DHQ247" s="15"/>
      <c r="DHR247" s="15"/>
      <c r="DHS247" s="15"/>
      <c r="DHT247" s="15"/>
      <c r="DHU247" s="15"/>
      <c r="DHV247" s="15"/>
      <c r="DHW247" s="10"/>
      <c r="DHX247" s="10"/>
      <c r="DHY247" s="21"/>
      <c r="DHZ247" s="21"/>
      <c r="DIC247" s="21"/>
      <c r="DID247" s="15"/>
      <c r="DIE247" s="15"/>
      <c r="DIF247" s="15"/>
      <c r="DIG247" s="15"/>
      <c r="DIH247" s="15"/>
      <c r="DII247" s="15"/>
      <c r="DIJ247" s="15"/>
      <c r="DIK247" s="15"/>
      <c r="DIL247" s="15"/>
      <c r="DIM247" s="15"/>
      <c r="DIN247" s="10"/>
      <c r="DIO247" s="10"/>
      <c r="DIP247" s="21"/>
      <c r="DIQ247" s="21"/>
      <c r="DIT247" s="21"/>
      <c r="DIU247" s="15"/>
      <c r="DIV247" s="15"/>
      <c r="DIW247" s="15"/>
      <c r="DIX247" s="15"/>
      <c r="DIY247" s="15"/>
      <c r="DIZ247" s="15"/>
      <c r="DJA247" s="15"/>
      <c r="DJB247" s="15"/>
      <c r="DJC247" s="15"/>
      <c r="DJD247" s="15"/>
      <c r="DJE247" s="10"/>
      <c r="DJF247" s="10"/>
      <c r="DJG247" s="21"/>
      <c r="DJH247" s="21"/>
      <c r="DJK247" s="21"/>
      <c r="DJL247" s="15"/>
      <c r="DJM247" s="15"/>
      <c r="DJN247" s="15"/>
      <c r="DJO247" s="15"/>
      <c r="DJP247" s="15"/>
      <c r="DJQ247" s="15"/>
      <c r="DJR247" s="15"/>
      <c r="DJS247" s="15"/>
      <c r="DJT247" s="15"/>
      <c r="DJU247" s="15"/>
      <c r="DJV247" s="10"/>
      <c r="DJW247" s="10"/>
      <c r="DJX247" s="21"/>
      <c r="DJY247" s="21"/>
      <c r="DKB247" s="21"/>
      <c r="DKC247" s="15"/>
      <c r="DKD247" s="15"/>
      <c r="DKE247" s="15"/>
      <c r="DKF247" s="15"/>
      <c r="DKG247" s="15"/>
      <c r="DKH247" s="15"/>
      <c r="DKI247" s="15"/>
      <c r="DKJ247" s="15"/>
      <c r="DKK247" s="15"/>
      <c r="DKL247" s="15"/>
      <c r="DKM247" s="10"/>
      <c r="DKN247" s="10"/>
      <c r="DKO247" s="21"/>
      <c r="DKP247" s="21"/>
      <c r="DKS247" s="21"/>
      <c r="DKT247" s="15"/>
      <c r="DKU247" s="15"/>
      <c r="DKV247" s="15"/>
      <c r="DKW247" s="15"/>
      <c r="DKX247" s="15"/>
      <c r="DKY247" s="15"/>
      <c r="DKZ247" s="15"/>
      <c r="DLA247" s="15"/>
      <c r="DLB247" s="15"/>
      <c r="DLC247" s="15"/>
      <c r="DLD247" s="10"/>
      <c r="DLE247" s="10"/>
      <c r="DLF247" s="21"/>
      <c r="DLG247" s="21"/>
      <c r="DLJ247" s="21"/>
      <c r="DLK247" s="15"/>
      <c r="DLL247" s="15"/>
      <c r="DLM247" s="15"/>
      <c r="DLN247" s="15"/>
      <c r="DLO247" s="15"/>
      <c r="DLP247" s="15"/>
      <c r="DLQ247" s="15"/>
      <c r="DLR247" s="15"/>
      <c r="DLS247" s="15"/>
      <c r="DLT247" s="15"/>
      <c r="DLU247" s="10"/>
      <c r="DLV247" s="10"/>
      <c r="DLW247" s="21"/>
      <c r="DLX247" s="21"/>
      <c r="DMA247" s="21"/>
      <c r="DMB247" s="15"/>
      <c r="DMC247" s="15"/>
      <c r="DMD247" s="15"/>
      <c r="DME247" s="15"/>
      <c r="DMF247" s="15"/>
      <c r="DMG247" s="15"/>
      <c r="DMH247" s="15"/>
      <c r="DMI247" s="15"/>
      <c r="DMJ247" s="15"/>
      <c r="DMK247" s="15"/>
      <c r="DML247" s="10"/>
      <c r="DMM247" s="10"/>
      <c r="DMN247" s="21"/>
      <c r="DMO247" s="21"/>
      <c r="DMR247" s="21"/>
      <c r="DMS247" s="15"/>
      <c r="DMT247" s="15"/>
      <c r="DMU247" s="15"/>
      <c r="DMV247" s="15"/>
      <c r="DMW247" s="15"/>
      <c r="DMX247" s="15"/>
      <c r="DMY247" s="15"/>
      <c r="DMZ247" s="15"/>
      <c r="DNA247" s="15"/>
      <c r="DNB247" s="15"/>
      <c r="DNC247" s="10"/>
      <c r="DND247" s="10"/>
      <c r="DNE247" s="21"/>
      <c r="DNF247" s="21"/>
      <c r="DNI247" s="21"/>
      <c r="DNJ247" s="15"/>
      <c r="DNK247" s="15"/>
      <c r="DNL247" s="15"/>
      <c r="DNM247" s="15"/>
      <c r="DNN247" s="15"/>
      <c r="DNO247" s="15"/>
      <c r="DNP247" s="15"/>
      <c r="DNQ247" s="15"/>
      <c r="DNR247" s="15"/>
      <c r="DNS247" s="15"/>
      <c r="DNT247" s="10"/>
      <c r="DNU247" s="10"/>
      <c r="DNV247" s="21"/>
      <c r="DNW247" s="21"/>
      <c r="DNZ247" s="21"/>
      <c r="DOA247" s="15"/>
      <c r="DOB247" s="15"/>
      <c r="DOC247" s="15"/>
      <c r="DOD247" s="15"/>
      <c r="DOE247" s="15"/>
      <c r="DOF247" s="15"/>
      <c r="DOG247" s="15"/>
      <c r="DOH247" s="15"/>
      <c r="DOI247" s="15"/>
      <c r="DOJ247" s="15"/>
      <c r="DOK247" s="10"/>
      <c r="DOL247" s="10"/>
      <c r="DOM247" s="21"/>
      <c r="DON247" s="21"/>
      <c r="DOQ247" s="21"/>
      <c r="DOR247" s="15"/>
      <c r="DOS247" s="15"/>
      <c r="DOT247" s="15"/>
      <c r="DOU247" s="15"/>
      <c r="DOV247" s="15"/>
      <c r="DOW247" s="15"/>
      <c r="DOX247" s="15"/>
      <c r="DOY247" s="15"/>
      <c r="DOZ247" s="15"/>
      <c r="DPA247" s="15"/>
      <c r="DPB247" s="10"/>
      <c r="DPC247" s="10"/>
      <c r="DPD247" s="21"/>
      <c r="DPE247" s="21"/>
      <c r="DPH247" s="21"/>
      <c r="DPI247" s="15"/>
      <c r="DPJ247" s="15"/>
      <c r="DPK247" s="15"/>
      <c r="DPL247" s="15"/>
      <c r="DPM247" s="15"/>
      <c r="DPN247" s="15"/>
      <c r="DPO247" s="15"/>
      <c r="DPP247" s="15"/>
      <c r="DPQ247" s="15"/>
      <c r="DPR247" s="15"/>
      <c r="DPS247" s="10"/>
      <c r="DPT247" s="10"/>
      <c r="DPU247" s="21"/>
      <c r="DPV247" s="21"/>
      <c r="DPY247" s="21"/>
      <c r="DPZ247" s="15"/>
      <c r="DQA247" s="15"/>
      <c r="DQB247" s="15"/>
      <c r="DQC247" s="15"/>
      <c r="DQD247" s="15"/>
      <c r="DQE247" s="15"/>
      <c r="DQF247" s="15"/>
      <c r="DQG247" s="15"/>
      <c r="DQH247" s="15"/>
      <c r="DQI247" s="15"/>
      <c r="DQJ247" s="10"/>
      <c r="DQK247" s="10"/>
      <c r="DQL247" s="21"/>
      <c r="DQM247" s="21"/>
      <c r="DQP247" s="21"/>
      <c r="DQQ247" s="15"/>
      <c r="DQR247" s="15"/>
      <c r="DQS247" s="15"/>
      <c r="DQT247" s="15"/>
      <c r="DQU247" s="15"/>
      <c r="DQV247" s="15"/>
      <c r="DQW247" s="15"/>
      <c r="DQX247" s="15"/>
      <c r="DQY247" s="15"/>
      <c r="DQZ247" s="15"/>
      <c r="DRA247" s="10"/>
      <c r="DRB247" s="10"/>
      <c r="DRC247" s="21"/>
      <c r="DRD247" s="21"/>
      <c r="DRG247" s="21"/>
      <c r="DRH247" s="15"/>
      <c r="DRI247" s="15"/>
      <c r="DRJ247" s="15"/>
      <c r="DRK247" s="15"/>
      <c r="DRL247" s="15"/>
      <c r="DRM247" s="15"/>
      <c r="DRN247" s="15"/>
      <c r="DRO247" s="15"/>
      <c r="DRP247" s="15"/>
      <c r="DRQ247" s="15"/>
      <c r="DRR247" s="10"/>
      <c r="DRS247" s="10"/>
      <c r="DRT247" s="21"/>
      <c r="DRU247" s="21"/>
      <c r="DRX247" s="21"/>
      <c r="DRY247" s="15"/>
      <c r="DRZ247" s="15"/>
      <c r="DSA247" s="15"/>
      <c r="DSB247" s="15"/>
      <c r="DSC247" s="15"/>
      <c r="DSD247" s="15"/>
      <c r="DSE247" s="15"/>
      <c r="DSF247" s="15"/>
      <c r="DSG247" s="15"/>
      <c r="DSH247" s="15"/>
      <c r="DSI247" s="10"/>
      <c r="DSJ247" s="10"/>
      <c r="DSK247" s="21"/>
      <c r="DSL247" s="21"/>
      <c r="DSO247" s="21"/>
      <c r="DSP247" s="15"/>
      <c r="DSQ247" s="15"/>
      <c r="DSR247" s="15"/>
      <c r="DSS247" s="15"/>
      <c r="DST247" s="15"/>
      <c r="DSU247" s="15"/>
      <c r="DSV247" s="15"/>
      <c r="DSW247" s="15"/>
      <c r="DSX247" s="15"/>
      <c r="DSY247" s="15"/>
      <c r="DSZ247" s="10"/>
      <c r="DTA247" s="10"/>
      <c r="DTB247" s="21"/>
      <c r="DTC247" s="21"/>
      <c r="DTF247" s="21"/>
      <c r="DTG247" s="15"/>
      <c r="DTH247" s="15"/>
      <c r="DTI247" s="15"/>
      <c r="DTJ247" s="15"/>
      <c r="DTK247" s="15"/>
      <c r="DTL247" s="15"/>
      <c r="DTM247" s="15"/>
      <c r="DTN247" s="15"/>
      <c r="DTO247" s="15"/>
      <c r="DTP247" s="15"/>
      <c r="DTQ247" s="10"/>
      <c r="DTR247" s="10"/>
      <c r="DTS247" s="21"/>
      <c r="DTT247" s="21"/>
      <c r="DTW247" s="21"/>
      <c r="DTX247" s="15"/>
      <c r="DTY247" s="15"/>
      <c r="DTZ247" s="15"/>
      <c r="DUA247" s="15"/>
      <c r="DUB247" s="15"/>
      <c r="DUC247" s="15"/>
      <c r="DUD247" s="15"/>
      <c r="DUE247" s="15"/>
      <c r="DUF247" s="15"/>
      <c r="DUG247" s="15"/>
      <c r="DUH247" s="10"/>
      <c r="DUI247" s="10"/>
      <c r="DUJ247" s="21"/>
      <c r="DUK247" s="21"/>
      <c r="DUN247" s="21"/>
      <c r="DUO247" s="15"/>
      <c r="DUP247" s="15"/>
      <c r="DUQ247" s="15"/>
      <c r="DUR247" s="15"/>
      <c r="DUS247" s="15"/>
      <c r="DUT247" s="15"/>
      <c r="DUU247" s="15"/>
      <c r="DUV247" s="15"/>
      <c r="DUW247" s="15"/>
      <c r="DUX247" s="15"/>
      <c r="DUY247" s="10"/>
      <c r="DUZ247" s="10"/>
      <c r="DVA247" s="21"/>
      <c r="DVB247" s="21"/>
      <c r="DVE247" s="21"/>
      <c r="DVF247" s="15"/>
      <c r="DVG247" s="15"/>
      <c r="DVH247" s="15"/>
      <c r="DVI247" s="15"/>
      <c r="DVJ247" s="15"/>
      <c r="DVK247" s="15"/>
      <c r="DVL247" s="15"/>
      <c r="DVM247" s="15"/>
      <c r="DVN247" s="15"/>
      <c r="DVO247" s="15"/>
      <c r="DVP247" s="10"/>
      <c r="DVQ247" s="10"/>
      <c r="DVR247" s="21"/>
      <c r="DVS247" s="21"/>
      <c r="DVV247" s="21"/>
      <c r="DVW247" s="15"/>
      <c r="DVX247" s="15"/>
      <c r="DVY247" s="15"/>
      <c r="DVZ247" s="15"/>
      <c r="DWA247" s="15"/>
      <c r="DWB247" s="15"/>
      <c r="DWC247" s="15"/>
      <c r="DWD247" s="15"/>
      <c r="DWE247" s="15"/>
      <c r="DWF247" s="15"/>
      <c r="DWG247" s="10"/>
      <c r="DWH247" s="10"/>
      <c r="DWI247" s="21"/>
      <c r="DWJ247" s="21"/>
      <c r="DWM247" s="21"/>
      <c r="DWN247" s="15"/>
      <c r="DWO247" s="15"/>
      <c r="DWP247" s="15"/>
      <c r="DWQ247" s="15"/>
      <c r="DWR247" s="15"/>
      <c r="DWS247" s="15"/>
      <c r="DWT247" s="15"/>
      <c r="DWU247" s="15"/>
      <c r="DWV247" s="15"/>
      <c r="DWW247" s="15"/>
      <c r="DWX247" s="10"/>
      <c r="DWY247" s="10"/>
      <c r="DWZ247" s="21"/>
      <c r="DXA247" s="21"/>
      <c r="DXD247" s="21"/>
      <c r="DXE247" s="15"/>
      <c r="DXF247" s="15"/>
      <c r="DXG247" s="15"/>
      <c r="DXH247" s="15"/>
      <c r="DXI247" s="15"/>
      <c r="DXJ247" s="15"/>
      <c r="DXK247" s="15"/>
      <c r="DXL247" s="15"/>
      <c r="DXM247" s="15"/>
      <c r="DXN247" s="15"/>
      <c r="DXO247" s="10"/>
      <c r="DXP247" s="10"/>
      <c r="DXQ247" s="21"/>
      <c r="DXR247" s="21"/>
      <c r="DXU247" s="21"/>
      <c r="DXV247" s="15"/>
      <c r="DXW247" s="15"/>
      <c r="DXX247" s="15"/>
      <c r="DXY247" s="15"/>
      <c r="DXZ247" s="15"/>
      <c r="DYA247" s="15"/>
      <c r="DYB247" s="15"/>
      <c r="DYC247" s="15"/>
      <c r="DYD247" s="15"/>
      <c r="DYE247" s="15"/>
      <c r="DYF247" s="10"/>
      <c r="DYG247" s="10"/>
      <c r="DYH247" s="21"/>
      <c r="DYI247" s="21"/>
      <c r="DYL247" s="21"/>
      <c r="DYM247" s="15"/>
      <c r="DYN247" s="15"/>
      <c r="DYO247" s="15"/>
      <c r="DYP247" s="15"/>
      <c r="DYQ247" s="15"/>
      <c r="DYR247" s="15"/>
      <c r="DYS247" s="15"/>
      <c r="DYT247" s="15"/>
      <c r="DYU247" s="15"/>
      <c r="DYV247" s="15"/>
      <c r="DYW247" s="10"/>
      <c r="DYX247" s="10"/>
      <c r="DYY247" s="21"/>
      <c r="DYZ247" s="21"/>
      <c r="DZC247" s="21"/>
      <c r="DZD247" s="15"/>
      <c r="DZE247" s="15"/>
      <c r="DZF247" s="15"/>
      <c r="DZG247" s="15"/>
      <c r="DZH247" s="15"/>
      <c r="DZI247" s="15"/>
      <c r="DZJ247" s="15"/>
      <c r="DZK247" s="15"/>
      <c r="DZL247" s="15"/>
      <c r="DZM247" s="15"/>
      <c r="DZN247" s="10"/>
      <c r="DZO247" s="10"/>
      <c r="DZP247" s="21"/>
      <c r="DZQ247" s="21"/>
      <c r="DZT247" s="21"/>
      <c r="DZU247" s="15"/>
      <c r="DZV247" s="15"/>
      <c r="DZW247" s="15"/>
      <c r="DZX247" s="15"/>
      <c r="DZY247" s="15"/>
      <c r="DZZ247" s="15"/>
      <c r="EAA247" s="15"/>
      <c r="EAB247" s="15"/>
      <c r="EAC247" s="15"/>
      <c r="EAD247" s="15"/>
      <c r="EAE247" s="10"/>
      <c r="EAF247" s="10"/>
      <c r="EAG247" s="21"/>
      <c r="EAH247" s="21"/>
      <c r="EAK247" s="21"/>
      <c r="EAL247" s="15"/>
      <c r="EAM247" s="15"/>
      <c r="EAN247" s="15"/>
      <c r="EAO247" s="15"/>
      <c r="EAP247" s="15"/>
      <c r="EAQ247" s="15"/>
      <c r="EAR247" s="15"/>
      <c r="EAS247" s="15"/>
      <c r="EAT247" s="15"/>
      <c r="EAU247" s="15"/>
      <c r="EAV247" s="10"/>
      <c r="EAW247" s="10"/>
      <c r="EAX247" s="21"/>
      <c r="EAY247" s="21"/>
      <c r="EBB247" s="21"/>
      <c r="EBC247" s="15"/>
      <c r="EBD247" s="15"/>
      <c r="EBE247" s="15"/>
      <c r="EBF247" s="15"/>
      <c r="EBG247" s="15"/>
      <c r="EBH247" s="15"/>
      <c r="EBI247" s="15"/>
      <c r="EBJ247" s="15"/>
      <c r="EBK247" s="15"/>
      <c r="EBL247" s="15"/>
      <c r="EBM247" s="10"/>
      <c r="EBN247" s="10"/>
      <c r="EBO247" s="21"/>
      <c r="EBP247" s="21"/>
      <c r="EBS247" s="21"/>
      <c r="EBT247" s="15"/>
      <c r="EBU247" s="15"/>
      <c r="EBV247" s="15"/>
      <c r="EBW247" s="15"/>
      <c r="EBX247" s="15"/>
      <c r="EBY247" s="15"/>
      <c r="EBZ247" s="15"/>
      <c r="ECA247" s="15"/>
      <c r="ECB247" s="15"/>
      <c r="ECC247" s="15"/>
      <c r="ECD247" s="10"/>
      <c r="ECE247" s="10"/>
      <c r="ECF247" s="21"/>
      <c r="ECG247" s="21"/>
      <c r="ECJ247" s="21"/>
      <c r="ECK247" s="15"/>
      <c r="ECL247" s="15"/>
      <c r="ECM247" s="15"/>
      <c r="ECN247" s="15"/>
      <c r="ECO247" s="15"/>
      <c r="ECP247" s="15"/>
      <c r="ECQ247" s="15"/>
      <c r="ECR247" s="15"/>
      <c r="ECS247" s="15"/>
      <c r="ECT247" s="15"/>
      <c r="ECU247" s="10"/>
      <c r="ECV247" s="10"/>
      <c r="ECW247" s="21"/>
      <c r="ECX247" s="21"/>
      <c r="EDA247" s="21"/>
      <c r="EDB247" s="15"/>
      <c r="EDC247" s="15"/>
      <c r="EDD247" s="15"/>
      <c r="EDE247" s="15"/>
      <c r="EDF247" s="15"/>
      <c r="EDG247" s="15"/>
      <c r="EDH247" s="15"/>
      <c r="EDI247" s="15"/>
      <c r="EDJ247" s="15"/>
      <c r="EDK247" s="15"/>
      <c r="EDL247" s="10"/>
      <c r="EDM247" s="10"/>
      <c r="EDN247" s="21"/>
      <c r="EDO247" s="21"/>
      <c r="EDR247" s="21"/>
      <c r="EDS247" s="15"/>
      <c r="EDT247" s="15"/>
      <c r="EDU247" s="15"/>
      <c r="EDV247" s="15"/>
      <c r="EDW247" s="15"/>
      <c r="EDX247" s="15"/>
      <c r="EDY247" s="15"/>
      <c r="EDZ247" s="15"/>
      <c r="EEA247" s="15"/>
      <c r="EEB247" s="15"/>
      <c r="EEC247" s="10"/>
      <c r="EED247" s="10"/>
      <c r="EEE247" s="21"/>
      <c r="EEF247" s="21"/>
      <c r="EEI247" s="21"/>
      <c r="EEJ247" s="15"/>
      <c r="EEK247" s="15"/>
      <c r="EEL247" s="15"/>
      <c r="EEM247" s="15"/>
      <c r="EEN247" s="15"/>
      <c r="EEO247" s="15"/>
      <c r="EEP247" s="15"/>
      <c r="EEQ247" s="15"/>
      <c r="EER247" s="15"/>
      <c r="EES247" s="15"/>
      <c r="EET247" s="10"/>
      <c r="EEU247" s="10"/>
      <c r="EEV247" s="21"/>
      <c r="EEW247" s="21"/>
      <c r="EEZ247" s="21"/>
      <c r="EFA247" s="15"/>
      <c r="EFB247" s="15"/>
      <c r="EFC247" s="15"/>
      <c r="EFD247" s="15"/>
      <c r="EFE247" s="15"/>
      <c r="EFF247" s="15"/>
      <c r="EFG247" s="15"/>
      <c r="EFH247" s="15"/>
      <c r="EFI247" s="15"/>
      <c r="EFJ247" s="15"/>
      <c r="EFK247" s="10"/>
      <c r="EFL247" s="10"/>
      <c r="EFM247" s="21"/>
      <c r="EFN247" s="21"/>
      <c r="EFQ247" s="21"/>
      <c r="EFR247" s="15"/>
      <c r="EFS247" s="15"/>
      <c r="EFT247" s="15"/>
      <c r="EFU247" s="15"/>
      <c r="EFV247" s="15"/>
      <c r="EFW247" s="15"/>
      <c r="EFX247" s="15"/>
      <c r="EFY247" s="15"/>
      <c r="EFZ247" s="15"/>
      <c r="EGA247" s="15"/>
      <c r="EGB247" s="10"/>
      <c r="EGC247" s="10"/>
      <c r="EGD247" s="21"/>
      <c r="EGE247" s="21"/>
      <c r="EGH247" s="21"/>
      <c r="EGI247" s="15"/>
      <c r="EGJ247" s="15"/>
      <c r="EGK247" s="15"/>
      <c r="EGL247" s="15"/>
      <c r="EGM247" s="15"/>
      <c r="EGN247" s="15"/>
      <c r="EGO247" s="15"/>
      <c r="EGP247" s="15"/>
      <c r="EGQ247" s="15"/>
      <c r="EGR247" s="15"/>
      <c r="EGS247" s="10"/>
      <c r="EGT247" s="10"/>
      <c r="EGU247" s="21"/>
      <c r="EGV247" s="21"/>
      <c r="EGY247" s="21"/>
      <c r="EGZ247" s="15"/>
      <c r="EHA247" s="15"/>
      <c r="EHB247" s="15"/>
      <c r="EHC247" s="15"/>
      <c r="EHD247" s="15"/>
      <c r="EHE247" s="15"/>
      <c r="EHF247" s="15"/>
      <c r="EHG247" s="15"/>
      <c r="EHH247" s="15"/>
      <c r="EHI247" s="15"/>
      <c r="EHJ247" s="10"/>
      <c r="EHK247" s="10"/>
      <c r="EHL247" s="21"/>
      <c r="EHM247" s="21"/>
      <c r="EHP247" s="21"/>
      <c r="EHQ247" s="15"/>
      <c r="EHR247" s="15"/>
      <c r="EHS247" s="15"/>
      <c r="EHT247" s="15"/>
      <c r="EHU247" s="15"/>
      <c r="EHV247" s="15"/>
      <c r="EHW247" s="15"/>
      <c r="EHX247" s="15"/>
      <c r="EHY247" s="15"/>
      <c r="EHZ247" s="15"/>
      <c r="EIA247" s="10"/>
      <c r="EIB247" s="10"/>
      <c r="EIC247" s="21"/>
      <c r="EID247" s="21"/>
      <c r="EIG247" s="21"/>
      <c r="EIH247" s="15"/>
      <c r="EII247" s="15"/>
      <c r="EIJ247" s="15"/>
      <c r="EIK247" s="15"/>
      <c r="EIL247" s="15"/>
      <c r="EIM247" s="15"/>
      <c r="EIN247" s="15"/>
      <c r="EIO247" s="15"/>
      <c r="EIP247" s="15"/>
      <c r="EIQ247" s="15"/>
      <c r="EIR247" s="10"/>
      <c r="EIS247" s="10"/>
      <c r="EIT247" s="21"/>
      <c r="EIU247" s="21"/>
      <c r="EIX247" s="21"/>
      <c r="EIY247" s="15"/>
      <c r="EIZ247" s="15"/>
      <c r="EJA247" s="15"/>
      <c r="EJB247" s="15"/>
      <c r="EJC247" s="15"/>
      <c r="EJD247" s="15"/>
      <c r="EJE247" s="15"/>
      <c r="EJF247" s="15"/>
      <c r="EJG247" s="15"/>
      <c r="EJH247" s="15"/>
      <c r="EJI247" s="10"/>
      <c r="EJJ247" s="10"/>
      <c r="EJK247" s="21"/>
      <c r="EJL247" s="21"/>
      <c r="EJO247" s="21"/>
      <c r="EJP247" s="15"/>
      <c r="EJQ247" s="15"/>
      <c r="EJR247" s="15"/>
      <c r="EJS247" s="15"/>
      <c r="EJT247" s="15"/>
      <c r="EJU247" s="15"/>
      <c r="EJV247" s="15"/>
      <c r="EJW247" s="15"/>
      <c r="EJX247" s="15"/>
      <c r="EJY247" s="15"/>
      <c r="EJZ247" s="10"/>
      <c r="EKA247" s="10"/>
      <c r="EKB247" s="21"/>
      <c r="EKC247" s="21"/>
      <c r="EKF247" s="21"/>
      <c r="EKG247" s="15"/>
      <c r="EKH247" s="15"/>
      <c r="EKI247" s="15"/>
      <c r="EKJ247" s="15"/>
      <c r="EKK247" s="15"/>
      <c r="EKL247" s="15"/>
      <c r="EKM247" s="15"/>
      <c r="EKN247" s="15"/>
      <c r="EKO247" s="15"/>
      <c r="EKP247" s="15"/>
      <c r="EKQ247" s="10"/>
      <c r="EKR247" s="10"/>
      <c r="EKS247" s="21"/>
      <c r="EKT247" s="21"/>
      <c r="EKW247" s="21"/>
      <c r="EKX247" s="15"/>
      <c r="EKY247" s="15"/>
      <c r="EKZ247" s="15"/>
      <c r="ELA247" s="15"/>
      <c r="ELB247" s="15"/>
      <c r="ELC247" s="15"/>
      <c r="ELD247" s="15"/>
      <c r="ELE247" s="15"/>
      <c r="ELF247" s="15"/>
      <c r="ELG247" s="15"/>
      <c r="ELH247" s="10"/>
      <c r="ELI247" s="10"/>
      <c r="ELJ247" s="21"/>
      <c r="ELK247" s="21"/>
      <c r="ELN247" s="21"/>
      <c r="ELO247" s="15"/>
      <c r="ELP247" s="15"/>
      <c r="ELQ247" s="15"/>
      <c r="ELR247" s="15"/>
      <c r="ELS247" s="15"/>
      <c r="ELT247" s="15"/>
      <c r="ELU247" s="15"/>
      <c r="ELV247" s="15"/>
      <c r="ELW247" s="15"/>
      <c r="ELX247" s="15"/>
      <c r="ELY247" s="10"/>
      <c r="ELZ247" s="10"/>
      <c r="EMA247" s="21"/>
      <c r="EMB247" s="21"/>
      <c r="EME247" s="21"/>
      <c r="EMF247" s="15"/>
      <c r="EMG247" s="15"/>
      <c r="EMH247" s="15"/>
      <c r="EMI247" s="15"/>
      <c r="EMJ247" s="15"/>
      <c r="EMK247" s="15"/>
      <c r="EML247" s="15"/>
      <c r="EMM247" s="15"/>
      <c r="EMN247" s="15"/>
      <c r="EMO247" s="15"/>
      <c r="EMP247" s="10"/>
      <c r="EMQ247" s="10"/>
      <c r="EMR247" s="21"/>
      <c r="EMS247" s="21"/>
      <c r="EMV247" s="21"/>
      <c r="EMW247" s="15"/>
      <c r="EMX247" s="15"/>
      <c r="EMY247" s="15"/>
      <c r="EMZ247" s="15"/>
      <c r="ENA247" s="15"/>
      <c r="ENB247" s="15"/>
      <c r="ENC247" s="15"/>
      <c r="END247" s="15"/>
      <c r="ENE247" s="15"/>
      <c r="ENF247" s="15"/>
      <c r="ENG247" s="10"/>
      <c r="ENH247" s="10"/>
      <c r="ENI247" s="21"/>
      <c r="ENJ247" s="21"/>
      <c r="ENM247" s="21"/>
      <c r="ENN247" s="15"/>
      <c r="ENO247" s="15"/>
      <c r="ENP247" s="15"/>
      <c r="ENQ247" s="15"/>
      <c r="ENR247" s="15"/>
      <c r="ENS247" s="15"/>
      <c r="ENT247" s="15"/>
      <c r="ENU247" s="15"/>
      <c r="ENV247" s="15"/>
      <c r="ENW247" s="15"/>
      <c r="ENX247" s="10"/>
      <c r="ENY247" s="10"/>
      <c r="ENZ247" s="21"/>
      <c r="EOA247" s="21"/>
      <c r="EOD247" s="21"/>
      <c r="EOE247" s="15"/>
      <c r="EOF247" s="15"/>
      <c r="EOG247" s="15"/>
      <c r="EOH247" s="15"/>
      <c r="EOI247" s="15"/>
      <c r="EOJ247" s="15"/>
      <c r="EOK247" s="15"/>
      <c r="EOL247" s="15"/>
      <c r="EOM247" s="15"/>
      <c r="EON247" s="15"/>
      <c r="EOO247" s="10"/>
      <c r="EOP247" s="10"/>
      <c r="EOQ247" s="21"/>
      <c r="EOR247" s="21"/>
      <c r="EOU247" s="21"/>
      <c r="EOV247" s="15"/>
      <c r="EOW247" s="15"/>
      <c r="EOX247" s="15"/>
      <c r="EOY247" s="15"/>
      <c r="EOZ247" s="15"/>
      <c r="EPA247" s="15"/>
      <c r="EPB247" s="15"/>
      <c r="EPC247" s="15"/>
      <c r="EPD247" s="15"/>
      <c r="EPE247" s="15"/>
      <c r="EPF247" s="10"/>
      <c r="EPG247" s="10"/>
      <c r="EPH247" s="21"/>
      <c r="EPI247" s="21"/>
      <c r="EPL247" s="21"/>
      <c r="EPM247" s="15"/>
      <c r="EPN247" s="15"/>
      <c r="EPO247" s="15"/>
      <c r="EPP247" s="15"/>
      <c r="EPQ247" s="15"/>
      <c r="EPR247" s="15"/>
      <c r="EPS247" s="15"/>
      <c r="EPT247" s="15"/>
      <c r="EPU247" s="15"/>
      <c r="EPV247" s="15"/>
      <c r="EPW247" s="10"/>
      <c r="EPX247" s="10"/>
      <c r="EPY247" s="21"/>
      <c r="EPZ247" s="21"/>
      <c r="EQC247" s="21"/>
      <c r="EQD247" s="15"/>
      <c r="EQE247" s="15"/>
      <c r="EQF247" s="15"/>
      <c r="EQG247" s="15"/>
      <c r="EQH247" s="15"/>
      <c r="EQI247" s="15"/>
      <c r="EQJ247" s="15"/>
      <c r="EQK247" s="15"/>
      <c r="EQL247" s="15"/>
      <c r="EQM247" s="15"/>
      <c r="EQN247" s="10"/>
      <c r="EQO247" s="10"/>
      <c r="EQP247" s="21"/>
      <c r="EQQ247" s="21"/>
      <c r="EQT247" s="21"/>
      <c r="EQU247" s="15"/>
      <c r="EQV247" s="15"/>
      <c r="EQW247" s="15"/>
      <c r="EQX247" s="15"/>
      <c r="EQY247" s="15"/>
      <c r="EQZ247" s="15"/>
      <c r="ERA247" s="15"/>
      <c r="ERB247" s="15"/>
      <c r="ERC247" s="15"/>
      <c r="ERD247" s="15"/>
      <c r="ERE247" s="10"/>
      <c r="ERF247" s="10"/>
      <c r="ERG247" s="21"/>
      <c r="ERH247" s="21"/>
      <c r="ERK247" s="21"/>
      <c r="ERL247" s="15"/>
      <c r="ERM247" s="15"/>
      <c r="ERN247" s="15"/>
      <c r="ERO247" s="15"/>
      <c r="ERP247" s="15"/>
      <c r="ERQ247" s="15"/>
      <c r="ERR247" s="15"/>
      <c r="ERS247" s="15"/>
      <c r="ERT247" s="15"/>
      <c r="ERU247" s="15"/>
      <c r="ERV247" s="10"/>
      <c r="ERW247" s="10"/>
      <c r="ERX247" s="21"/>
      <c r="ERY247" s="21"/>
      <c r="ESB247" s="21"/>
      <c r="ESC247" s="15"/>
      <c r="ESD247" s="15"/>
      <c r="ESE247" s="15"/>
      <c r="ESF247" s="15"/>
      <c r="ESG247" s="15"/>
      <c r="ESH247" s="15"/>
      <c r="ESI247" s="15"/>
      <c r="ESJ247" s="15"/>
      <c r="ESK247" s="15"/>
      <c r="ESL247" s="15"/>
      <c r="ESM247" s="10"/>
      <c r="ESN247" s="10"/>
      <c r="ESO247" s="21"/>
      <c r="ESP247" s="21"/>
      <c r="ESS247" s="21"/>
      <c r="EST247" s="15"/>
      <c r="ESU247" s="15"/>
      <c r="ESV247" s="15"/>
      <c r="ESW247" s="15"/>
      <c r="ESX247" s="15"/>
      <c r="ESY247" s="15"/>
      <c r="ESZ247" s="15"/>
      <c r="ETA247" s="15"/>
      <c r="ETB247" s="15"/>
      <c r="ETC247" s="15"/>
      <c r="ETD247" s="10"/>
      <c r="ETE247" s="10"/>
      <c r="ETF247" s="21"/>
      <c r="ETG247" s="21"/>
      <c r="ETJ247" s="21"/>
      <c r="ETK247" s="15"/>
      <c r="ETL247" s="15"/>
      <c r="ETM247" s="15"/>
      <c r="ETN247" s="15"/>
      <c r="ETO247" s="15"/>
      <c r="ETP247" s="15"/>
      <c r="ETQ247" s="15"/>
      <c r="ETR247" s="15"/>
      <c r="ETS247" s="15"/>
      <c r="ETT247" s="15"/>
      <c r="ETU247" s="10"/>
      <c r="ETV247" s="10"/>
      <c r="ETW247" s="21"/>
      <c r="ETX247" s="21"/>
      <c r="EUA247" s="21"/>
      <c r="EUB247" s="15"/>
      <c r="EUC247" s="15"/>
      <c r="EUD247" s="15"/>
      <c r="EUE247" s="15"/>
      <c r="EUF247" s="15"/>
      <c r="EUG247" s="15"/>
      <c r="EUH247" s="15"/>
      <c r="EUI247" s="15"/>
      <c r="EUJ247" s="15"/>
      <c r="EUK247" s="15"/>
      <c r="EUL247" s="10"/>
      <c r="EUM247" s="10"/>
      <c r="EUN247" s="21"/>
      <c r="EUO247" s="21"/>
      <c r="EUR247" s="21"/>
      <c r="EUS247" s="15"/>
      <c r="EUT247" s="15"/>
      <c r="EUU247" s="15"/>
      <c r="EUV247" s="15"/>
      <c r="EUW247" s="15"/>
      <c r="EUX247" s="15"/>
      <c r="EUY247" s="15"/>
      <c r="EUZ247" s="15"/>
      <c r="EVA247" s="15"/>
      <c r="EVB247" s="15"/>
      <c r="EVC247" s="10"/>
      <c r="EVD247" s="10"/>
      <c r="EVE247" s="21"/>
      <c r="EVF247" s="21"/>
      <c r="EVI247" s="21"/>
      <c r="EVJ247" s="15"/>
      <c r="EVK247" s="15"/>
      <c r="EVL247" s="15"/>
      <c r="EVM247" s="15"/>
      <c r="EVN247" s="15"/>
      <c r="EVO247" s="15"/>
      <c r="EVP247" s="15"/>
      <c r="EVQ247" s="15"/>
      <c r="EVR247" s="15"/>
      <c r="EVS247" s="15"/>
      <c r="EVT247" s="10"/>
      <c r="EVU247" s="10"/>
      <c r="EVV247" s="21"/>
      <c r="EVW247" s="21"/>
      <c r="EVZ247" s="21"/>
      <c r="EWA247" s="15"/>
      <c r="EWB247" s="15"/>
      <c r="EWC247" s="15"/>
      <c r="EWD247" s="15"/>
      <c r="EWE247" s="15"/>
      <c r="EWF247" s="15"/>
      <c r="EWG247" s="15"/>
      <c r="EWH247" s="15"/>
      <c r="EWI247" s="15"/>
      <c r="EWJ247" s="15"/>
      <c r="EWK247" s="10"/>
      <c r="EWL247" s="10"/>
      <c r="EWM247" s="21"/>
      <c r="EWN247" s="21"/>
      <c r="EWQ247" s="21"/>
      <c r="EWR247" s="15"/>
      <c r="EWS247" s="15"/>
      <c r="EWT247" s="15"/>
      <c r="EWU247" s="15"/>
      <c r="EWV247" s="15"/>
      <c r="EWW247" s="15"/>
      <c r="EWX247" s="15"/>
      <c r="EWY247" s="15"/>
      <c r="EWZ247" s="15"/>
      <c r="EXA247" s="15"/>
      <c r="EXB247" s="10"/>
      <c r="EXC247" s="10"/>
      <c r="EXD247" s="21"/>
      <c r="EXE247" s="21"/>
      <c r="EXH247" s="21"/>
      <c r="EXI247" s="15"/>
      <c r="EXJ247" s="15"/>
      <c r="EXK247" s="15"/>
      <c r="EXL247" s="15"/>
      <c r="EXM247" s="15"/>
      <c r="EXN247" s="15"/>
      <c r="EXO247" s="15"/>
      <c r="EXP247" s="15"/>
      <c r="EXQ247" s="15"/>
      <c r="EXR247" s="15"/>
      <c r="EXS247" s="10"/>
      <c r="EXT247" s="10"/>
      <c r="EXU247" s="21"/>
      <c r="EXV247" s="21"/>
      <c r="EXY247" s="21"/>
      <c r="EXZ247" s="15"/>
      <c r="EYA247" s="15"/>
      <c r="EYB247" s="15"/>
      <c r="EYC247" s="15"/>
      <c r="EYD247" s="15"/>
      <c r="EYE247" s="15"/>
      <c r="EYF247" s="15"/>
      <c r="EYG247" s="15"/>
      <c r="EYH247" s="15"/>
      <c r="EYI247" s="15"/>
      <c r="EYJ247" s="10"/>
      <c r="EYK247" s="10"/>
      <c r="EYL247" s="21"/>
      <c r="EYM247" s="21"/>
      <c r="EYP247" s="21"/>
      <c r="EYQ247" s="15"/>
      <c r="EYR247" s="15"/>
      <c r="EYS247" s="15"/>
      <c r="EYT247" s="15"/>
      <c r="EYU247" s="15"/>
      <c r="EYV247" s="15"/>
      <c r="EYW247" s="15"/>
      <c r="EYX247" s="15"/>
      <c r="EYY247" s="15"/>
      <c r="EYZ247" s="15"/>
      <c r="EZA247" s="10"/>
      <c r="EZB247" s="10"/>
      <c r="EZC247" s="21"/>
      <c r="EZD247" s="21"/>
      <c r="EZG247" s="21"/>
      <c r="EZH247" s="15"/>
      <c r="EZI247" s="15"/>
      <c r="EZJ247" s="15"/>
      <c r="EZK247" s="15"/>
      <c r="EZL247" s="15"/>
      <c r="EZM247" s="15"/>
      <c r="EZN247" s="15"/>
      <c r="EZO247" s="15"/>
      <c r="EZP247" s="15"/>
      <c r="EZQ247" s="15"/>
      <c r="EZR247" s="10"/>
      <c r="EZS247" s="10"/>
      <c r="EZT247" s="21"/>
      <c r="EZU247" s="21"/>
      <c r="EZX247" s="21"/>
      <c r="EZY247" s="15"/>
      <c r="EZZ247" s="15"/>
      <c r="FAA247" s="15"/>
      <c r="FAB247" s="15"/>
      <c r="FAC247" s="15"/>
      <c r="FAD247" s="15"/>
      <c r="FAE247" s="15"/>
      <c r="FAF247" s="15"/>
      <c r="FAG247" s="15"/>
      <c r="FAH247" s="15"/>
      <c r="FAI247" s="10"/>
      <c r="FAJ247" s="10"/>
      <c r="FAK247" s="21"/>
      <c r="FAL247" s="21"/>
      <c r="FAO247" s="21"/>
      <c r="FAP247" s="15"/>
      <c r="FAQ247" s="15"/>
      <c r="FAR247" s="15"/>
      <c r="FAS247" s="15"/>
      <c r="FAT247" s="15"/>
      <c r="FAU247" s="15"/>
      <c r="FAV247" s="15"/>
      <c r="FAW247" s="15"/>
      <c r="FAX247" s="15"/>
      <c r="FAY247" s="15"/>
      <c r="FAZ247" s="10"/>
      <c r="FBA247" s="10"/>
      <c r="FBB247" s="21"/>
      <c r="FBC247" s="21"/>
      <c r="FBF247" s="21"/>
      <c r="FBG247" s="15"/>
      <c r="FBH247" s="15"/>
      <c r="FBI247" s="15"/>
      <c r="FBJ247" s="15"/>
      <c r="FBK247" s="15"/>
      <c r="FBL247" s="15"/>
      <c r="FBM247" s="15"/>
      <c r="FBN247" s="15"/>
      <c r="FBO247" s="15"/>
      <c r="FBP247" s="15"/>
      <c r="FBQ247" s="10"/>
      <c r="FBR247" s="10"/>
      <c r="FBS247" s="21"/>
      <c r="FBT247" s="21"/>
      <c r="FBW247" s="21"/>
      <c r="FBX247" s="15"/>
      <c r="FBY247" s="15"/>
      <c r="FBZ247" s="15"/>
      <c r="FCA247" s="15"/>
      <c r="FCB247" s="15"/>
      <c r="FCC247" s="15"/>
      <c r="FCD247" s="15"/>
      <c r="FCE247" s="15"/>
      <c r="FCF247" s="15"/>
      <c r="FCG247" s="15"/>
      <c r="FCH247" s="10"/>
      <c r="FCI247" s="10"/>
      <c r="FCJ247" s="21"/>
      <c r="FCK247" s="21"/>
      <c r="FCN247" s="21"/>
      <c r="FCO247" s="15"/>
      <c r="FCP247" s="15"/>
      <c r="FCQ247" s="15"/>
      <c r="FCR247" s="15"/>
      <c r="FCS247" s="15"/>
      <c r="FCT247" s="15"/>
      <c r="FCU247" s="15"/>
      <c r="FCV247" s="15"/>
      <c r="FCW247" s="15"/>
      <c r="FCX247" s="15"/>
      <c r="FCY247" s="10"/>
      <c r="FCZ247" s="10"/>
      <c r="FDA247" s="21"/>
      <c r="FDB247" s="21"/>
      <c r="FDE247" s="21"/>
      <c r="FDF247" s="15"/>
      <c r="FDG247" s="15"/>
      <c r="FDH247" s="15"/>
      <c r="FDI247" s="15"/>
      <c r="FDJ247" s="15"/>
      <c r="FDK247" s="15"/>
      <c r="FDL247" s="15"/>
      <c r="FDM247" s="15"/>
      <c r="FDN247" s="15"/>
      <c r="FDO247" s="15"/>
      <c r="FDP247" s="10"/>
      <c r="FDQ247" s="10"/>
      <c r="FDR247" s="21"/>
      <c r="FDS247" s="21"/>
      <c r="FDV247" s="21"/>
      <c r="FDW247" s="15"/>
      <c r="FDX247" s="15"/>
      <c r="FDY247" s="15"/>
      <c r="FDZ247" s="15"/>
      <c r="FEA247" s="15"/>
      <c r="FEB247" s="15"/>
      <c r="FEC247" s="15"/>
      <c r="FED247" s="15"/>
      <c r="FEE247" s="15"/>
      <c r="FEF247" s="15"/>
      <c r="FEG247" s="10"/>
      <c r="FEH247" s="10"/>
      <c r="FEI247" s="21"/>
      <c r="FEJ247" s="21"/>
      <c r="FEM247" s="21"/>
      <c r="FEN247" s="15"/>
      <c r="FEO247" s="15"/>
      <c r="FEP247" s="15"/>
      <c r="FEQ247" s="15"/>
      <c r="FER247" s="15"/>
      <c r="FES247" s="15"/>
      <c r="FET247" s="15"/>
      <c r="FEU247" s="15"/>
      <c r="FEV247" s="15"/>
      <c r="FEW247" s="15"/>
      <c r="FEX247" s="10"/>
      <c r="FEY247" s="10"/>
      <c r="FEZ247" s="21"/>
      <c r="FFA247" s="21"/>
      <c r="FFD247" s="21"/>
      <c r="FFE247" s="15"/>
      <c r="FFF247" s="15"/>
      <c r="FFG247" s="15"/>
      <c r="FFH247" s="15"/>
      <c r="FFI247" s="15"/>
      <c r="FFJ247" s="15"/>
      <c r="FFK247" s="15"/>
      <c r="FFL247" s="15"/>
      <c r="FFM247" s="15"/>
      <c r="FFN247" s="15"/>
      <c r="FFO247" s="10"/>
      <c r="FFP247" s="10"/>
      <c r="FFQ247" s="21"/>
      <c r="FFR247" s="21"/>
      <c r="FFU247" s="21"/>
      <c r="FFV247" s="15"/>
      <c r="FFW247" s="15"/>
      <c r="FFX247" s="15"/>
      <c r="FFY247" s="15"/>
      <c r="FFZ247" s="15"/>
      <c r="FGA247" s="15"/>
      <c r="FGB247" s="15"/>
      <c r="FGC247" s="15"/>
      <c r="FGD247" s="15"/>
      <c r="FGE247" s="15"/>
      <c r="FGF247" s="10"/>
      <c r="FGG247" s="10"/>
      <c r="FGH247" s="21"/>
      <c r="FGI247" s="21"/>
      <c r="FGL247" s="21"/>
      <c r="FGM247" s="15"/>
      <c r="FGN247" s="15"/>
      <c r="FGO247" s="15"/>
      <c r="FGP247" s="15"/>
      <c r="FGQ247" s="15"/>
      <c r="FGR247" s="15"/>
      <c r="FGS247" s="15"/>
      <c r="FGT247" s="15"/>
      <c r="FGU247" s="15"/>
      <c r="FGV247" s="15"/>
      <c r="FGW247" s="10"/>
      <c r="FGX247" s="10"/>
      <c r="FGY247" s="21"/>
      <c r="FGZ247" s="21"/>
      <c r="FHC247" s="21"/>
      <c r="FHD247" s="15"/>
      <c r="FHE247" s="15"/>
      <c r="FHF247" s="15"/>
      <c r="FHG247" s="15"/>
      <c r="FHH247" s="15"/>
      <c r="FHI247" s="15"/>
      <c r="FHJ247" s="15"/>
      <c r="FHK247" s="15"/>
      <c r="FHL247" s="15"/>
      <c r="FHM247" s="15"/>
      <c r="FHN247" s="10"/>
      <c r="FHO247" s="10"/>
      <c r="FHP247" s="21"/>
      <c r="FHQ247" s="21"/>
      <c r="FHT247" s="21"/>
      <c r="FHU247" s="15"/>
      <c r="FHV247" s="15"/>
      <c r="FHW247" s="15"/>
      <c r="FHX247" s="15"/>
      <c r="FHY247" s="15"/>
      <c r="FHZ247" s="15"/>
      <c r="FIA247" s="15"/>
      <c r="FIB247" s="15"/>
      <c r="FIC247" s="15"/>
      <c r="FID247" s="15"/>
      <c r="FIE247" s="10"/>
      <c r="FIF247" s="10"/>
      <c r="FIG247" s="21"/>
      <c r="FIH247" s="21"/>
      <c r="FIK247" s="21"/>
      <c r="FIL247" s="15"/>
      <c r="FIM247" s="15"/>
      <c r="FIN247" s="15"/>
      <c r="FIO247" s="15"/>
      <c r="FIP247" s="15"/>
      <c r="FIQ247" s="15"/>
      <c r="FIR247" s="15"/>
      <c r="FIS247" s="15"/>
      <c r="FIT247" s="15"/>
      <c r="FIU247" s="15"/>
      <c r="FIV247" s="10"/>
      <c r="FIW247" s="10"/>
      <c r="FIX247" s="21"/>
      <c r="FIY247" s="21"/>
      <c r="FJB247" s="21"/>
      <c r="FJC247" s="15"/>
      <c r="FJD247" s="15"/>
      <c r="FJE247" s="15"/>
      <c r="FJF247" s="15"/>
      <c r="FJG247" s="15"/>
      <c r="FJH247" s="15"/>
      <c r="FJI247" s="15"/>
      <c r="FJJ247" s="15"/>
      <c r="FJK247" s="15"/>
      <c r="FJL247" s="15"/>
      <c r="FJM247" s="10"/>
      <c r="FJN247" s="10"/>
      <c r="FJO247" s="21"/>
      <c r="FJP247" s="21"/>
      <c r="FJS247" s="21"/>
      <c r="FJT247" s="15"/>
      <c r="FJU247" s="15"/>
      <c r="FJV247" s="15"/>
      <c r="FJW247" s="15"/>
      <c r="FJX247" s="15"/>
      <c r="FJY247" s="15"/>
      <c r="FJZ247" s="15"/>
      <c r="FKA247" s="15"/>
      <c r="FKB247" s="15"/>
      <c r="FKC247" s="15"/>
      <c r="FKD247" s="10"/>
      <c r="FKE247" s="10"/>
      <c r="FKF247" s="21"/>
      <c r="FKG247" s="21"/>
      <c r="FKJ247" s="21"/>
      <c r="FKK247" s="15"/>
      <c r="FKL247" s="15"/>
      <c r="FKM247" s="15"/>
      <c r="FKN247" s="15"/>
      <c r="FKO247" s="15"/>
      <c r="FKP247" s="15"/>
      <c r="FKQ247" s="15"/>
      <c r="FKR247" s="15"/>
      <c r="FKS247" s="15"/>
      <c r="FKT247" s="15"/>
      <c r="FKU247" s="10"/>
      <c r="FKV247" s="10"/>
      <c r="FKW247" s="21"/>
      <c r="FKX247" s="21"/>
      <c r="FLA247" s="21"/>
      <c r="FLB247" s="15"/>
      <c r="FLC247" s="15"/>
      <c r="FLD247" s="15"/>
      <c r="FLE247" s="15"/>
      <c r="FLF247" s="15"/>
      <c r="FLG247" s="15"/>
      <c r="FLH247" s="15"/>
      <c r="FLI247" s="15"/>
      <c r="FLJ247" s="15"/>
      <c r="FLK247" s="15"/>
      <c r="FLL247" s="10"/>
      <c r="FLM247" s="10"/>
      <c r="FLN247" s="21"/>
      <c r="FLO247" s="21"/>
      <c r="FLR247" s="21"/>
      <c r="FLS247" s="15"/>
      <c r="FLT247" s="15"/>
      <c r="FLU247" s="15"/>
      <c r="FLV247" s="15"/>
      <c r="FLW247" s="15"/>
      <c r="FLX247" s="15"/>
      <c r="FLY247" s="15"/>
      <c r="FLZ247" s="15"/>
      <c r="FMA247" s="15"/>
      <c r="FMB247" s="15"/>
      <c r="FMC247" s="10"/>
      <c r="FMD247" s="10"/>
      <c r="FME247" s="21"/>
      <c r="FMF247" s="21"/>
      <c r="FMI247" s="21"/>
      <c r="FMJ247" s="15"/>
      <c r="FMK247" s="15"/>
      <c r="FML247" s="15"/>
      <c r="FMM247" s="15"/>
      <c r="FMN247" s="15"/>
      <c r="FMO247" s="15"/>
      <c r="FMP247" s="15"/>
      <c r="FMQ247" s="15"/>
      <c r="FMR247" s="15"/>
      <c r="FMS247" s="15"/>
      <c r="FMT247" s="10"/>
      <c r="FMU247" s="10"/>
      <c r="FMV247" s="21"/>
      <c r="FMW247" s="21"/>
      <c r="FMZ247" s="21"/>
      <c r="FNA247" s="15"/>
      <c r="FNB247" s="15"/>
      <c r="FNC247" s="15"/>
      <c r="FND247" s="15"/>
      <c r="FNE247" s="15"/>
      <c r="FNF247" s="15"/>
      <c r="FNG247" s="15"/>
      <c r="FNH247" s="15"/>
      <c r="FNI247" s="15"/>
      <c r="FNJ247" s="15"/>
      <c r="FNK247" s="10"/>
      <c r="FNL247" s="10"/>
      <c r="FNM247" s="21"/>
      <c r="FNN247" s="21"/>
      <c r="FNQ247" s="21"/>
      <c r="FNR247" s="15"/>
      <c r="FNS247" s="15"/>
      <c r="FNT247" s="15"/>
      <c r="FNU247" s="15"/>
      <c r="FNV247" s="15"/>
      <c r="FNW247" s="15"/>
      <c r="FNX247" s="15"/>
      <c r="FNY247" s="15"/>
      <c r="FNZ247" s="15"/>
      <c r="FOA247" s="15"/>
      <c r="FOB247" s="10"/>
      <c r="FOC247" s="10"/>
      <c r="FOD247" s="21"/>
      <c r="FOE247" s="21"/>
      <c r="FOH247" s="21"/>
      <c r="FOI247" s="15"/>
      <c r="FOJ247" s="15"/>
      <c r="FOK247" s="15"/>
      <c r="FOL247" s="15"/>
      <c r="FOM247" s="15"/>
      <c r="FON247" s="15"/>
      <c r="FOO247" s="15"/>
      <c r="FOP247" s="15"/>
      <c r="FOQ247" s="15"/>
      <c r="FOR247" s="15"/>
      <c r="FOS247" s="10"/>
      <c r="FOT247" s="10"/>
      <c r="FOU247" s="21"/>
      <c r="FOV247" s="21"/>
      <c r="FOY247" s="21"/>
      <c r="FOZ247" s="15"/>
      <c r="FPA247" s="15"/>
      <c r="FPB247" s="15"/>
      <c r="FPC247" s="15"/>
      <c r="FPD247" s="15"/>
      <c r="FPE247" s="15"/>
      <c r="FPF247" s="15"/>
      <c r="FPG247" s="15"/>
      <c r="FPH247" s="15"/>
      <c r="FPI247" s="15"/>
      <c r="FPJ247" s="10"/>
      <c r="FPK247" s="10"/>
      <c r="FPL247" s="21"/>
      <c r="FPM247" s="21"/>
      <c r="FPP247" s="21"/>
      <c r="FPQ247" s="15"/>
      <c r="FPR247" s="15"/>
      <c r="FPS247" s="15"/>
      <c r="FPT247" s="15"/>
      <c r="FPU247" s="15"/>
      <c r="FPV247" s="15"/>
      <c r="FPW247" s="15"/>
      <c r="FPX247" s="15"/>
      <c r="FPY247" s="15"/>
      <c r="FPZ247" s="15"/>
      <c r="FQA247" s="10"/>
      <c r="FQB247" s="10"/>
      <c r="FQC247" s="21"/>
      <c r="FQD247" s="21"/>
      <c r="FQG247" s="21"/>
      <c r="FQH247" s="15"/>
      <c r="FQI247" s="15"/>
      <c r="FQJ247" s="15"/>
      <c r="FQK247" s="15"/>
      <c r="FQL247" s="15"/>
      <c r="FQM247" s="15"/>
      <c r="FQN247" s="15"/>
      <c r="FQO247" s="15"/>
      <c r="FQP247" s="15"/>
      <c r="FQQ247" s="15"/>
      <c r="FQR247" s="10"/>
      <c r="FQS247" s="10"/>
      <c r="FQT247" s="21"/>
      <c r="FQU247" s="21"/>
      <c r="FQX247" s="21"/>
      <c r="FQY247" s="15"/>
      <c r="FQZ247" s="15"/>
      <c r="FRA247" s="15"/>
      <c r="FRB247" s="15"/>
      <c r="FRC247" s="15"/>
      <c r="FRD247" s="15"/>
      <c r="FRE247" s="15"/>
      <c r="FRF247" s="15"/>
      <c r="FRG247" s="15"/>
      <c r="FRH247" s="15"/>
      <c r="FRI247" s="10"/>
      <c r="FRJ247" s="10"/>
      <c r="FRK247" s="21"/>
      <c r="FRL247" s="21"/>
      <c r="FRO247" s="21"/>
      <c r="FRP247" s="15"/>
      <c r="FRQ247" s="15"/>
      <c r="FRR247" s="15"/>
      <c r="FRS247" s="15"/>
      <c r="FRT247" s="15"/>
      <c r="FRU247" s="15"/>
      <c r="FRV247" s="15"/>
      <c r="FRW247" s="15"/>
      <c r="FRX247" s="15"/>
      <c r="FRY247" s="15"/>
      <c r="FRZ247" s="10"/>
      <c r="FSA247" s="10"/>
      <c r="FSB247" s="21"/>
      <c r="FSC247" s="21"/>
      <c r="FSF247" s="21"/>
      <c r="FSG247" s="15"/>
      <c r="FSH247" s="15"/>
      <c r="FSI247" s="15"/>
      <c r="FSJ247" s="15"/>
      <c r="FSK247" s="15"/>
      <c r="FSL247" s="15"/>
      <c r="FSM247" s="15"/>
      <c r="FSN247" s="15"/>
      <c r="FSO247" s="15"/>
      <c r="FSP247" s="15"/>
      <c r="FSQ247" s="10"/>
      <c r="FSR247" s="10"/>
      <c r="FSS247" s="21"/>
      <c r="FST247" s="21"/>
      <c r="FSW247" s="21"/>
      <c r="FSX247" s="15"/>
      <c r="FSY247" s="15"/>
      <c r="FSZ247" s="15"/>
      <c r="FTA247" s="15"/>
      <c r="FTB247" s="15"/>
      <c r="FTC247" s="15"/>
      <c r="FTD247" s="15"/>
      <c r="FTE247" s="15"/>
      <c r="FTF247" s="15"/>
      <c r="FTG247" s="15"/>
      <c r="FTH247" s="10"/>
      <c r="FTI247" s="10"/>
      <c r="FTJ247" s="21"/>
      <c r="FTK247" s="21"/>
      <c r="FTN247" s="21"/>
      <c r="FTO247" s="15"/>
      <c r="FTP247" s="15"/>
      <c r="FTQ247" s="15"/>
      <c r="FTR247" s="15"/>
      <c r="FTS247" s="15"/>
      <c r="FTT247" s="15"/>
      <c r="FTU247" s="15"/>
      <c r="FTV247" s="15"/>
      <c r="FTW247" s="15"/>
      <c r="FTX247" s="15"/>
      <c r="FTY247" s="10"/>
      <c r="FTZ247" s="10"/>
      <c r="FUA247" s="21"/>
      <c r="FUB247" s="21"/>
      <c r="FUE247" s="21"/>
      <c r="FUF247" s="15"/>
      <c r="FUG247" s="15"/>
      <c r="FUH247" s="15"/>
      <c r="FUI247" s="15"/>
      <c r="FUJ247" s="15"/>
      <c r="FUK247" s="15"/>
      <c r="FUL247" s="15"/>
      <c r="FUM247" s="15"/>
      <c r="FUN247" s="15"/>
      <c r="FUO247" s="15"/>
      <c r="FUP247" s="10"/>
      <c r="FUQ247" s="10"/>
      <c r="FUR247" s="21"/>
      <c r="FUS247" s="21"/>
      <c r="FUV247" s="21"/>
      <c r="FUW247" s="15"/>
      <c r="FUX247" s="15"/>
      <c r="FUY247" s="15"/>
      <c r="FUZ247" s="15"/>
      <c r="FVA247" s="15"/>
      <c r="FVB247" s="15"/>
      <c r="FVC247" s="15"/>
      <c r="FVD247" s="15"/>
      <c r="FVE247" s="15"/>
      <c r="FVF247" s="15"/>
      <c r="FVG247" s="10"/>
      <c r="FVH247" s="10"/>
      <c r="FVI247" s="21"/>
      <c r="FVJ247" s="21"/>
      <c r="FVM247" s="21"/>
      <c r="FVN247" s="15"/>
      <c r="FVO247" s="15"/>
      <c r="FVP247" s="15"/>
      <c r="FVQ247" s="15"/>
      <c r="FVR247" s="15"/>
      <c r="FVS247" s="15"/>
      <c r="FVT247" s="15"/>
      <c r="FVU247" s="15"/>
      <c r="FVV247" s="15"/>
      <c r="FVW247" s="15"/>
      <c r="FVX247" s="10"/>
      <c r="FVY247" s="10"/>
      <c r="FVZ247" s="21"/>
      <c r="FWA247" s="21"/>
      <c r="FWD247" s="21"/>
      <c r="FWE247" s="15"/>
      <c r="FWF247" s="15"/>
      <c r="FWG247" s="15"/>
      <c r="FWH247" s="15"/>
      <c r="FWI247" s="15"/>
      <c r="FWJ247" s="15"/>
      <c r="FWK247" s="15"/>
      <c r="FWL247" s="15"/>
      <c r="FWM247" s="15"/>
      <c r="FWN247" s="15"/>
      <c r="FWO247" s="10"/>
      <c r="FWP247" s="10"/>
      <c r="FWQ247" s="21"/>
      <c r="FWR247" s="21"/>
      <c r="FWU247" s="21"/>
      <c r="FWV247" s="15"/>
      <c r="FWW247" s="15"/>
      <c r="FWX247" s="15"/>
      <c r="FWY247" s="15"/>
      <c r="FWZ247" s="15"/>
      <c r="FXA247" s="15"/>
      <c r="FXB247" s="15"/>
      <c r="FXC247" s="15"/>
      <c r="FXD247" s="15"/>
      <c r="FXE247" s="15"/>
      <c r="FXF247" s="10"/>
      <c r="FXG247" s="10"/>
      <c r="FXH247" s="21"/>
      <c r="FXI247" s="21"/>
      <c r="FXL247" s="21"/>
      <c r="FXM247" s="15"/>
      <c r="FXN247" s="15"/>
      <c r="FXO247" s="15"/>
      <c r="FXP247" s="15"/>
      <c r="FXQ247" s="15"/>
      <c r="FXR247" s="15"/>
      <c r="FXS247" s="15"/>
      <c r="FXT247" s="15"/>
      <c r="FXU247" s="15"/>
      <c r="FXV247" s="15"/>
      <c r="FXW247" s="10"/>
      <c r="FXX247" s="10"/>
      <c r="FXY247" s="21"/>
      <c r="FXZ247" s="21"/>
      <c r="FYC247" s="21"/>
      <c r="FYD247" s="15"/>
      <c r="FYE247" s="15"/>
      <c r="FYF247" s="15"/>
      <c r="FYG247" s="15"/>
      <c r="FYH247" s="15"/>
      <c r="FYI247" s="15"/>
      <c r="FYJ247" s="15"/>
      <c r="FYK247" s="15"/>
      <c r="FYL247" s="15"/>
      <c r="FYM247" s="15"/>
      <c r="FYN247" s="10"/>
      <c r="FYO247" s="10"/>
      <c r="FYP247" s="21"/>
      <c r="FYQ247" s="21"/>
      <c r="FYT247" s="21"/>
      <c r="FYU247" s="15"/>
      <c r="FYV247" s="15"/>
      <c r="FYW247" s="15"/>
      <c r="FYX247" s="15"/>
      <c r="FYY247" s="15"/>
      <c r="FYZ247" s="15"/>
      <c r="FZA247" s="15"/>
      <c r="FZB247" s="15"/>
      <c r="FZC247" s="15"/>
      <c r="FZD247" s="15"/>
      <c r="FZE247" s="10"/>
      <c r="FZF247" s="10"/>
      <c r="FZG247" s="21"/>
      <c r="FZH247" s="21"/>
      <c r="FZK247" s="21"/>
      <c r="FZL247" s="15"/>
      <c r="FZM247" s="15"/>
      <c r="FZN247" s="15"/>
      <c r="FZO247" s="15"/>
      <c r="FZP247" s="15"/>
      <c r="FZQ247" s="15"/>
      <c r="FZR247" s="15"/>
      <c r="FZS247" s="15"/>
      <c r="FZT247" s="15"/>
      <c r="FZU247" s="15"/>
      <c r="FZV247" s="10"/>
      <c r="FZW247" s="10"/>
      <c r="FZX247" s="21"/>
      <c r="FZY247" s="21"/>
      <c r="GAB247" s="21"/>
      <c r="GAC247" s="15"/>
      <c r="GAD247" s="15"/>
      <c r="GAE247" s="15"/>
      <c r="GAF247" s="15"/>
      <c r="GAG247" s="15"/>
      <c r="GAH247" s="15"/>
      <c r="GAI247" s="15"/>
      <c r="GAJ247" s="15"/>
      <c r="GAK247" s="15"/>
      <c r="GAL247" s="15"/>
      <c r="GAM247" s="10"/>
      <c r="GAN247" s="10"/>
      <c r="GAO247" s="21"/>
      <c r="GAP247" s="21"/>
      <c r="GAS247" s="21"/>
      <c r="GAT247" s="15"/>
      <c r="GAU247" s="15"/>
      <c r="GAV247" s="15"/>
      <c r="GAW247" s="15"/>
      <c r="GAX247" s="15"/>
      <c r="GAY247" s="15"/>
      <c r="GAZ247" s="15"/>
      <c r="GBA247" s="15"/>
      <c r="GBB247" s="15"/>
      <c r="GBC247" s="15"/>
      <c r="GBD247" s="10"/>
      <c r="GBE247" s="10"/>
      <c r="GBF247" s="21"/>
      <c r="GBG247" s="21"/>
      <c r="GBJ247" s="21"/>
      <c r="GBK247" s="15"/>
      <c r="GBL247" s="15"/>
      <c r="GBM247" s="15"/>
      <c r="GBN247" s="15"/>
      <c r="GBO247" s="15"/>
      <c r="GBP247" s="15"/>
      <c r="GBQ247" s="15"/>
      <c r="GBR247" s="15"/>
      <c r="GBS247" s="15"/>
      <c r="GBT247" s="15"/>
      <c r="GBU247" s="10"/>
      <c r="GBV247" s="10"/>
      <c r="GBW247" s="21"/>
      <c r="GBX247" s="21"/>
      <c r="GCA247" s="21"/>
      <c r="GCB247" s="15"/>
      <c r="GCC247" s="15"/>
      <c r="GCD247" s="15"/>
      <c r="GCE247" s="15"/>
      <c r="GCF247" s="15"/>
      <c r="GCG247" s="15"/>
      <c r="GCH247" s="15"/>
      <c r="GCI247" s="15"/>
      <c r="GCJ247" s="15"/>
      <c r="GCK247" s="15"/>
      <c r="GCL247" s="10"/>
      <c r="GCM247" s="10"/>
      <c r="GCN247" s="21"/>
      <c r="GCO247" s="21"/>
      <c r="GCR247" s="21"/>
      <c r="GCS247" s="15"/>
      <c r="GCT247" s="15"/>
      <c r="GCU247" s="15"/>
      <c r="GCV247" s="15"/>
      <c r="GCW247" s="15"/>
      <c r="GCX247" s="15"/>
      <c r="GCY247" s="15"/>
      <c r="GCZ247" s="15"/>
      <c r="GDA247" s="15"/>
      <c r="GDB247" s="15"/>
      <c r="GDC247" s="10"/>
      <c r="GDD247" s="10"/>
      <c r="GDE247" s="21"/>
      <c r="GDF247" s="21"/>
      <c r="GDI247" s="21"/>
      <c r="GDJ247" s="15"/>
      <c r="GDK247" s="15"/>
      <c r="GDL247" s="15"/>
      <c r="GDM247" s="15"/>
      <c r="GDN247" s="15"/>
      <c r="GDO247" s="15"/>
      <c r="GDP247" s="15"/>
      <c r="GDQ247" s="15"/>
      <c r="GDR247" s="15"/>
      <c r="GDS247" s="15"/>
      <c r="GDT247" s="10"/>
      <c r="GDU247" s="10"/>
      <c r="GDV247" s="21"/>
      <c r="GDW247" s="21"/>
      <c r="GDZ247" s="21"/>
      <c r="GEA247" s="15"/>
      <c r="GEB247" s="15"/>
      <c r="GEC247" s="15"/>
      <c r="GED247" s="15"/>
      <c r="GEE247" s="15"/>
      <c r="GEF247" s="15"/>
      <c r="GEG247" s="15"/>
      <c r="GEH247" s="15"/>
      <c r="GEI247" s="15"/>
      <c r="GEJ247" s="15"/>
      <c r="GEK247" s="10"/>
      <c r="GEL247" s="10"/>
      <c r="GEM247" s="21"/>
      <c r="GEN247" s="21"/>
      <c r="GEQ247" s="21"/>
      <c r="GER247" s="15"/>
      <c r="GES247" s="15"/>
      <c r="GET247" s="15"/>
      <c r="GEU247" s="15"/>
      <c r="GEV247" s="15"/>
      <c r="GEW247" s="15"/>
      <c r="GEX247" s="15"/>
      <c r="GEY247" s="15"/>
      <c r="GEZ247" s="15"/>
      <c r="GFA247" s="15"/>
      <c r="GFB247" s="10"/>
      <c r="GFC247" s="10"/>
      <c r="GFD247" s="21"/>
      <c r="GFE247" s="21"/>
      <c r="GFH247" s="21"/>
      <c r="GFI247" s="15"/>
      <c r="GFJ247" s="15"/>
      <c r="GFK247" s="15"/>
      <c r="GFL247" s="15"/>
      <c r="GFM247" s="15"/>
      <c r="GFN247" s="15"/>
      <c r="GFO247" s="15"/>
      <c r="GFP247" s="15"/>
      <c r="GFQ247" s="15"/>
      <c r="GFR247" s="15"/>
      <c r="GFS247" s="10"/>
      <c r="GFT247" s="10"/>
      <c r="GFU247" s="21"/>
      <c r="GFV247" s="21"/>
      <c r="GFY247" s="21"/>
      <c r="GFZ247" s="15"/>
      <c r="GGA247" s="15"/>
      <c r="GGB247" s="15"/>
      <c r="GGC247" s="15"/>
      <c r="GGD247" s="15"/>
      <c r="GGE247" s="15"/>
      <c r="GGF247" s="15"/>
      <c r="GGG247" s="15"/>
      <c r="GGH247" s="15"/>
      <c r="GGI247" s="15"/>
      <c r="GGJ247" s="10"/>
      <c r="GGK247" s="10"/>
      <c r="GGL247" s="21"/>
      <c r="GGM247" s="21"/>
      <c r="GGP247" s="21"/>
      <c r="GGQ247" s="15"/>
      <c r="GGR247" s="15"/>
      <c r="GGS247" s="15"/>
      <c r="GGT247" s="15"/>
      <c r="GGU247" s="15"/>
      <c r="GGV247" s="15"/>
      <c r="GGW247" s="15"/>
      <c r="GGX247" s="15"/>
      <c r="GGY247" s="15"/>
      <c r="GGZ247" s="15"/>
      <c r="GHA247" s="10"/>
      <c r="GHB247" s="10"/>
      <c r="GHC247" s="21"/>
      <c r="GHD247" s="21"/>
      <c r="GHG247" s="21"/>
      <c r="GHH247" s="15"/>
      <c r="GHI247" s="15"/>
      <c r="GHJ247" s="15"/>
      <c r="GHK247" s="15"/>
      <c r="GHL247" s="15"/>
      <c r="GHM247" s="15"/>
      <c r="GHN247" s="15"/>
      <c r="GHO247" s="15"/>
      <c r="GHP247" s="15"/>
      <c r="GHQ247" s="15"/>
      <c r="GHR247" s="10"/>
      <c r="GHS247" s="10"/>
      <c r="GHT247" s="21"/>
      <c r="GHU247" s="21"/>
      <c r="GHX247" s="21"/>
      <c r="GHY247" s="15"/>
      <c r="GHZ247" s="15"/>
      <c r="GIA247" s="15"/>
      <c r="GIB247" s="15"/>
      <c r="GIC247" s="15"/>
      <c r="GID247" s="15"/>
      <c r="GIE247" s="15"/>
      <c r="GIF247" s="15"/>
      <c r="GIG247" s="15"/>
      <c r="GIH247" s="15"/>
      <c r="GII247" s="10"/>
      <c r="GIJ247" s="10"/>
      <c r="GIK247" s="21"/>
      <c r="GIL247" s="21"/>
      <c r="GIO247" s="21"/>
      <c r="GIP247" s="15"/>
      <c r="GIQ247" s="15"/>
      <c r="GIR247" s="15"/>
      <c r="GIS247" s="15"/>
      <c r="GIT247" s="15"/>
      <c r="GIU247" s="15"/>
      <c r="GIV247" s="15"/>
      <c r="GIW247" s="15"/>
      <c r="GIX247" s="15"/>
      <c r="GIY247" s="15"/>
      <c r="GIZ247" s="10"/>
      <c r="GJA247" s="10"/>
      <c r="GJB247" s="21"/>
      <c r="GJC247" s="21"/>
      <c r="GJF247" s="21"/>
      <c r="GJG247" s="15"/>
      <c r="GJH247" s="15"/>
      <c r="GJI247" s="15"/>
      <c r="GJJ247" s="15"/>
      <c r="GJK247" s="15"/>
      <c r="GJL247" s="15"/>
      <c r="GJM247" s="15"/>
      <c r="GJN247" s="15"/>
      <c r="GJO247" s="15"/>
      <c r="GJP247" s="15"/>
      <c r="GJQ247" s="10"/>
      <c r="GJR247" s="10"/>
      <c r="GJS247" s="21"/>
      <c r="GJT247" s="21"/>
      <c r="GJW247" s="21"/>
      <c r="GJX247" s="15"/>
      <c r="GJY247" s="15"/>
      <c r="GJZ247" s="15"/>
      <c r="GKA247" s="15"/>
      <c r="GKB247" s="15"/>
      <c r="GKC247" s="15"/>
      <c r="GKD247" s="15"/>
      <c r="GKE247" s="15"/>
      <c r="GKF247" s="15"/>
      <c r="GKG247" s="15"/>
      <c r="GKH247" s="10"/>
      <c r="GKI247" s="10"/>
      <c r="GKJ247" s="21"/>
      <c r="GKK247" s="21"/>
      <c r="GKN247" s="21"/>
      <c r="GKO247" s="15"/>
      <c r="GKP247" s="15"/>
      <c r="GKQ247" s="15"/>
      <c r="GKR247" s="15"/>
      <c r="GKS247" s="15"/>
      <c r="GKT247" s="15"/>
      <c r="GKU247" s="15"/>
      <c r="GKV247" s="15"/>
      <c r="GKW247" s="15"/>
      <c r="GKX247" s="15"/>
      <c r="GKY247" s="10"/>
      <c r="GKZ247" s="10"/>
      <c r="GLA247" s="21"/>
      <c r="GLB247" s="21"/>
      <c r="GLE247" s="21"/>
      <c r="GLF247" s="15"/>
      <c r="GLG247" s="15"/>
      <c r="GLH247" s="15"/>
      <c r="GLI247" s="15"/>
      <c r="GLJ247" s="15"/>
      <c r="GLK247" s="15"/>
      <c r="GLL247" s="15"/>
      <c r="GLM247" s="15"/>
      <c r="GLN247" s="15"/>
      <c r="GLO247" s="15"/>
      <c r="GLP247" s="10"/>
      <c r="GLQ247" s="10"/>
      <c r="GLR247" s="21"/>
      <c r="GLS247" s="21"/>
      <c r="GLV247" s="21"/>
      <c r="GLW247" s="15"/>
      <c r="GLX247" s="15"/>
      <c r="GLY247" s="15"/>
      <c r="GLZ247" s="15"/>
      <c r="GMA247" s="15"/>
      <c r="GMB247" s="15"/>
      <c r="GMC247" s="15"/>
      <c r="GMD247" s="15"/>
      <c r="GME247" s="15"/>
      <c r="GMF247" s="15"/>
      <c r="GMG247" s="10"/>
      <c r="GMH247" s="10"/>
      <c r="GMI247" s="21"/>
      <c r="GMJ247" s="21"/>
      <c r="GMM247" s="21"/>
      <c r="GMN247" s="15"/>
      <c r="GMO247" s="15"/>
      <c r="GMP247" s="15"/>
      <c r="GMQ247" s="15"/>
      <c r="GMR247" s="15"/>
      <c r="GMS247" s="15"/>
      <c r="GMT247" s="15"/>
      <c r="GMU247" s="15"/>
      <c r="GMV247" s="15"/>
      <c r="GMW247" s="15"/>
      <c r="GMX247" s="10"/>
      <c r="GMY247" s="10"/>
      <c r="GMZ247" s="21"/>
      <c r="GNA247" s="21"/>
      <c r="GND247" s="21"/>
      <c r="GNE247" s="15"/>
      <c r="GNF247" s="15"/>
      <c r="GNG247" s="15"/>
      <c r="GNH247" s="15"/>
      <c r="GNI247" s="15"/>
      <c r="GNJ247" s="15"/>
      <c r="GNK247" s="15"/>
      <c r="GNL247" s="15"/>
      <c r="GNM247" s="15"/>
      <c r="GNN247" s="15"/>
      <c r="GNO247" s="10"/>
      <c r="GNP247" s="10"/>
      <c r="GNQ247" s="21"/>
      <c r="GNR247" s="21"/>
      <c r="GNU247" s="21"/>
      <c r="GNV247" s="15"/>
      <c r="GNW247" s="15"/>
      <c r="GNX247" s="15"/>
      <c r="GNY247" s="15"/>
      <c r="GNZ247" s="15"/>
      <c r="GOA247" s="15"/>
      <c r="GOB247" s="15"/>
      <c r="GOC247" s="15"/>
      <c r="GOD247" s="15"/>
      <c r="GOE247" s="15"/>
      <c r="GOF247" s="10"/>
      <c r="GOG247" s="10"/>
      <c r="GOH247" s="21"/>
      <c r="GOI247" s="21"/>
      <c r="GOL247" s="21"/>
      <c r="GOM247" s="15"/>
      <c r="GON247" s="15"/>
      <c r="GOO247" s="15"/>
      <c r="GOP247" s="15"/>
      <c r="GOQ247" s="15"/>
      <c r="GOR247" s="15"/>
      <c r="GOS247" s="15"/>
      <c r="GOT247" s="15"/>
      <c r="GOU247" s="15"/>
      <c r="GOV247" s="15"/>
      <c r="GOW247" s="10"/>
      <c r="GOX247" s="10"/>
      <c r="GOY247" s="21"/>
      <c r="GOZ247" s="21"/>
      <c r="GPC247" s="21"/>
      <c r="GPD247" s="15"/>
      <c r="GPE247" s="15"/>
      <c r="GPF247" s="15"/>
      <c r="GPG247" s="15"/>
      <c r="GPH247" s="15"/>
      <c r="GPI247" s="15"/>
      <c r="GPJ247" s="15"/>
      <c r="GPK247" s="15"/>
      <c r="GPL247" s="15"/>
      <c r="GPM247" s="15"/>
      <c r="GPN247" s="10"/>
      <c r="GPO247" s="10"/>
      <c r="GPP247" s="21"/>
      <c r="GPQ247" s="21"/>
      <c r="GPT247" s="21"/>
      <c r="GPU247" s="15"/>
      <c r="GPV247" s="15"/>
      <c r="GPW247" s="15"/>
      <c r="GPX247" s="15"/>
      <c r="GPY247" s="15"/>
      <c r="GPZ247" s="15"/>
      <c r="GQA247" s="15"/>
      <c r="GQB247" s="15"/>
      <c r="GQC247" s="15"/>
      <c r="GQD247" s="15"/>
      <c r="GQE247" s="10"/>
      <c r="GQF247" s="10"/>
      <c r="GQG247" s="21"/>
      <c r="GQH247" s="21"/>
      <c r="GQK247" s="21"/>
      <c r="GQL247" s="15"/>
      <c r="GQM247" s="15"/>
      <c r="GQN247" s="15"/>
      <c r="GQO247" s="15"/>
      <c r="GQP247" s="15"/>
      <c r="GQQ247" s="15"/>
      <c r="GQR247" s="15"/>
      <c r="GQS247" s="15"/>
      <c r="GQT247" s="15"/>
      <c r="GQU247" s="15"/>
      <c r="GQV247" s="10"/>
      <c r="GQW247" s="10"/>
      <c r="GQX247" s="21"/>
      <c r="GQY247" s="21"/>
      <c r="GRB247" s="21"/>
      <c r="GRC247" s="15"/>
      <c r="GRD247" s="15"/>
      <c r="GRE247" s="15"/>
      <c r="GRF247" s="15"/>
      <c r="GRG247" s="15"/>
      <c r="GRH247" s="15"/>
      <c r="GRI247" s="15"/>
      <c r="GRJ247" s="15"/>
      <c r="GRK247" s="15"/>
      <c r="GRL247" s="15"/>
      <c r="GRM247" s="10"/>
      <c r="GRN247" s="10"/>
      <c r="GRO247" s="21"/>
      <c r="GRP247" s="21"/>
      <c r="GRS247" s="21"/>
      <c r="GRT247" s="15"/>
      <c r="GRU247" s="15"/>
      <c r="GRV247" s="15"/>
      <c r="GRW247" s="15"/>
      <c r="GRX247" s="15"/>
      <c r="GRY247" s="15"/>
      <c r="GRZ247" s="15"/>
      <c r="GSA247" s="15"/>
      <c r="GSB247" s="15"/>
      <c r="GSC247" s="15"/>
      <c r="GSD247" s="10"/>
      <c r="GSE247" s="10"/>
      <c r="GSF247" s="21"/>
      <c r="GSG247" s="21"/>
      <c r="GSJ247" s="21"/>
      <c r="GSK247" s="15"/>
      <c r="GSL247" s="15"/>
      <c r="GSM247" s="15"/>
      <c r="GSN247" s="15"/>
      <c r="GSO247" s="15"/>
      <c r="GSP247" s="15"/>
      <c r="GSQ247" s="15"/>
      <c r="GSR247" s="15"/>
      <c r="GSS247" s="15"/>
      <c r="GST247" s="15"/>
      <c r="GSU247" s="10"/>
      <c r="GSV247" s="10"/>
      <c r="GSW247" s="21"/>
      <c r="GSX247" s="21"/>
      <c r="GTA247" s="21"/>
      <c r="GTB247" s="15"/>
      <c r="GTC247" s="15"/>
      <c r="GTD247" s="15"/>
      <c r="GTE247" s="15"/>
      <c r="GTF247" s="15"/>
      <c r="GTG247" s="15"/>
      <c r="GTH247" s="15"/>
      <c r="GTI247" s="15"/>
      <c r="GTJ247" s="15"/>
      <c r="GTK247" s="15"/>
      <c r="GTL247" s="10"/>
      <c r="GTM247" s="10"/>
      <c r="GTN247" s="21"/>
      <c r="GTO247" s="21"/>
      <c r="GTR247" s="21"/>
      <c r="GTS247" s="15"/>
      <c r="GTT247" s="15"/>
      <c r="GTU247" s="15"/>
      <c r="GTV247" s="15"/>
      <c r="GTW247" s="15"/>
      <c r="GTX247" s="15"/>
      <c r="GTY247" s="15"/>
      <c r="GTZ247" s="15"/>
      <c r="GUA247" s="15"/>
      <c r="GUB247" s="15"/>
      <c r="GUC247" s="10"/>
      <c r="GUD247" s="10"/>
      <c r="GUE247" s="21"/>
      <c r="GUF247" s="21"/>
      <c r="GUI247" s="21"/>
      <c r="GUJ247" s="15"/>
      <c r="GUK247" s="15"/>
      <c r="GUL247" s="15"/>
      <c r="GUM247" s="15"/>
      <c r="GUN247" s="15"/>
      <c r="GUO247" s="15"/>
      <c r="GUP247" s="15"/>
      <c r="GUQ247" s="15"/>
      <c r="GUR247" s="15"/>
      <c r="GUS247" s="15"/>
      <c r="GUT247" s="10"/>
      <c r="GUU247" s="10"/>
      <c r="GUV247" s="21"/>
      <c r="GUW247" s="21"/>
      <c r="GUZ247" s="21"/>
      <c r="GVA247" s="15"/>
      <c r="GVB247" s="15"/>
      <c r="GVC247" s="15"/>
      <c r="GVD247" s="15"/>
      <c r="GVE247" s="15"/>
      <c r="GVF247" s="15"/>
      <c r="GVG247" s="15"/>
      <c r="GVH247" s="15"/>
      <c r="GVI247" s="15"/>
      <c r="GVJ247" s="15"/>
      <c r="GVK247" s="10"/>
      <c r="GVL247" s="10"/>
      <c r="GVM247" s="21"/>
      <c r="GVN247" s="21"/>
      <c r="GVQ247" s="21"/>
      <c r="GVR247" s="15"/>
      <c r="GVS247" s="15"/>
      <c r="GVT247" s="15"/>
      <c r="GVU247" s="15"/>
      <c r="GVV247" s="15"/>
      <c r="GVW247" s="15"/>
      <c r="GVX247" s="15"/>
      <c r="GVY247" s="15"/>
      <c r="GVZ247" s="15"/>
      <c r="GWA247" s="15"/>
      <c r="GWB247" s="10"/>
      <c r="GWC247" s="10"/>
      <c r="GWD247" s="21"/>
      <c r="GWE247" s="21"/>
      <c r="GWH247" s="21"/>
      <c r="GWI247" s="15"/>
      <c r="GWJ247" s="15"/>
      <c r="GWK247" s="15"/>
      <c r="GWL247" s="15"/>
      <c r="GWM247" s="15"/>
      <c r="GWN247" s="15"/>
      <c r="GWO247" s="15"/>
      <c r="GWP247" s="15"/>
      <c r="GWQ247" s="15"/>
      <c r="GWR247" s="15"/>
      <c r="GWS247" s="10"/>
      <c r="GWT247" s="10"/>
      <c r="GWU247" s="21"/>
      <c r="GWV247" s="21"/>
      <c r="GWY247" s="21"/>
      <c r="GWZ247" s="15"/>
      <c r="GXA247" s="15"/>
      <c r="GXB247" s="15"/>
      <c r="GXC247" s="15"/>
      <c r="GXD247" s="15"/>
      <c r="GXE247" s="15"/>
      <c r="GXF247" s="15"/>
      <c r="GXG247" s="15"/>
      <c r="GXH247" s="15"/>
      <c r="GXI247" s="15"/>
      <c r="GXJ247" s="10"/>
      <c r="GXK247" s="10"/>
      <c r="GXL247" s="21"/>
      <c r="GXM247" s="21"/>
      <c r="GXP247" s="21"/>
      <c r="GXQ247" s="15"/>
      <c r="GXR247" s="15"/>
      <c r="GXS247" s="15"/>
      <c r="GXT247" s="15"/>
      <c r="GXU247" s="15"/>
      <c r="GXV247" s="15"/>
      <c r="GXW247" s="15"/>
      <c r="GXX247" s="15"/>
      <c r="GXY247" s="15"/>
      <c r="GXZ247" s="15"/>
      <c r="GYA247" s="10"/>
      <c r="GYB247" s="10"/>
      <c r="GYC247" s="21"/>
      <c r="GYD247" s="21"/>
      <c r="GYG247" s="21"/>
      <c r="GYH247" s="15"/>
      <c r="GYI247" s="15"/>
      <c r="GYJ247" s="15"/>
      <c r="GYK247" s="15"/>
      <c r="GYL247" s="15"/>
      <c r="GYM247" s="15"/>
      <c r="GYN247" s="15"/>
      <c r="GYO247" s="15"/>
      <c r="GYP247" s="15"/>
      <c r="GYQ247" s="15"/>
      <c r="GYR247" s="10"/>
      <c r="GYS247" s="10"/>
      <c r="GYT247" s="21"/>
      <c r="GYU247" s="21"/>
      <c r="GYX247" s="21"/>
      <c r="GYY247" s="15"/>
      <c r="GYZ247" s="15"/>
      <c r="GZA247" s="15"/>
      <c r="GZB247" s="15"/>
      <c r="GZC247" s="15"/>
      <c r="GZD247" s="15"/>
      <c r="GZE247" s="15"/>
      <c r="GZF247" s="15"/>
      <c r="GZG247" s="15"/>
      <c r="GZH247" s="15"/>
      <c r="GZI247" s="10"/>
      <c r="GZJ247" s="10"/>
      <c r="GZK247" s="21"/>
      <c r="GZL247" s="21"/>
      <c r="GZO247" s="21"/>
      <c r="GZP247" s="15"/>
      <c r="GZQ247" s="15"/>
      <c r="GZR247" s="15"/>
      <c r="GZS247" s="15"/>
      <c r="GZT247" s="15"/>
      <c r="GZU247" s="15"/>
      <c r="GZV247" s="15"/>
      <c r="GZW247" s="15"/>
      <c r="GZX247" s="15"/>
      <c r="GZY247" s="15"/>
      <c r="GZZ247" s="10"/>
      <c r="HAA247" s="10"/>
      <c r="HAB247" s="21"/>
      <c r="HAC247" s="21"/>
      <c r="HAF247" s="21"/>
      <c r="HAG247" s="15"/>
      <c r="HAH247" s="15"/>
      <c r="HAI247" s="15"/>
      <c r="HAJ247" s="15"/>
      <c r="HAK247" s="15"/>
      <c r="HAL247" s="15"/>
      <c r="HAM247" s="15"/>
      <c r="HAN247" s="15"/>
      <c r="HAO247" s="15"/>
      <c r="HAP247" s="15"/>
      <c r="HAQ247" s="10"/>
      <c r="HAR247" s="10"/>
      <c r="HAS247" s="21"/>
      <c r="HAT247" s="21"/>
      <c r="HAW247" s="21"/>
      <c r="HAX247" s="15"/>
      <c r="HAY247" s="15"/>
      <c r="HAZ247" s="15"/>
      <c r="HBA247" s="15"/>
      <c r="HBB247" s="15"/>
      <c r="HBC247" s="15"/>
      <c r="HBD247" s="15"/>
      <c r="HBE247" s="15"/>
      <c r="HBF247" s="15"/>
      <c r="HBG247" s="15"/>
      <c r="HBH247" s="10"/>
      <c r="HBI247" s="10"/>
      <c r="HBJ247" s="21"/>
      <c r="HBK247" s="21"/>
      <c r="HBN247" s="21"/>
      <c r="HBO247" s="15"/>
      <c r="HBP247" s="15"/>
      <c r="HBQ247" s="15"/>
      <c r="HBR247" s="15"/>
      <c r="HBS247" s="15"/>
      <c r="HBT247" s="15"/>
      <c r="HBU247" s="15"/>
      <c r="HBV247" s="15"/>
      <c r="HBW247" s="15"/>
      <c r="HBX247" s="15"/>
      <c r="HBY247" s="10"/>
      <c r="HBZ247" s="10"/>
      <c r="HCA247" s="21"/>
      <c r="HCB247" s="21"/>
      <c r="HCE247" s="21"/>
      <c r="HCF247" s="15"/>
      <c r="HCG247" s="15"/>
      <c r="HCH247" s="15"/>
      <c r="HCI247" s="15"/>
      <c r="HCJ247" s="15"/>
      <c r="HCK247" s="15"/>
      <c r="HCL247" s="15"/>
      <c r="HCM247" s="15"/>
      <c r="HCN247" s="15"/>
      <c r="HCO247" s="15"/>
      <c r="HCP247" s="10"/>
      <c r="HCQ247" s="10"/>
      <c r="HCR247" s="21"/>
      <c r="HCS247" s="21"/>
      <c r="HCV247" s="21"/>
      <c r="HCW247" s="15"/>
      <c r="HCX247" s="15"/>
      <c r="HCY247" s="15"/>
      <c r="HCZ247" s="15"/>
      <c r="HDA247" s="15"/>
      <c r="HDB247" s="15"/>
      <c r="HDC247" s="15"/>
      <c r="HDD247" s="15"/>
      <c r="HDE247" s="15"/>
      <c r="HDF247" s="15"/>
      <c r="HDG247" s="10"/>
      <c r="HDH247" s="10"/>
      <c r="HDI247" s="21"/>
      <c r="HDJ247" s="21"/>
      <c r="HDM247" s="21"/>
      <c r="HDN247" s="15"/>
      <c r="HDO247" s="15"/>
      <c r="HDP247" s="15"/>
      <c r="HDQ247" s="15"/>
      <c r="HDR247" s="15"/>
      <c r="HDS247" s="15"/>
      <c r="HDT247" s="15"/>
      <c r="HDU247" s="15"/>
      <c r="HDV247" s="15"/>
      <c r="HDW247" s="15"/>
      <c r="HDX247" s="10"/>
      <c r="HDY247" s="10"/>
      <c r="HDZ247" s="21"/>
      <c r="HEA247" s="21"/>
      <c r="HED247" s="21"/>
      <c r="HEE247" s="15"/>
      <c r="HEF247" s="15"/>
      <c r="HEG247" s="15"/>
      <c r="HEH247" s="15"/>
      <c r="HEI247" s="15"/>
      <c r="HEJ247" s="15"/>
      <c r="HEK247" s="15"/>
      <c r="HEL247" s="15"/>
      <c r="HEM247" s="15"/>
      <c r="HEN247" s="15"/>
      <c r="HEO247" s="10"/>
      <c r="HEP247" s="10"/>
      <c r="HEQ247" s="21"/>
      <c r="HER247" s="21"/>
      <c r="HEU247" s="21"/>
      <c r="HEV247" s="15"/>
      <c r="HEW247" s="15"/>
      <c r="HEX247" s="15"/>
      <c r="HEY247" s="15"/>
      <c r="HEZ247" s="15"/>
      <c r="HFA247" s="15"/>
      <c r="HFB247" s="15"/>
      <c r="HFC247" s="15"/>
      <c r="HFD247" s="15"/>
      <c r="HFE247" s="15"/>
      <c r="HFF247" s="10"/>
      <c r="HFG247" s="10"/>
      <c r="HFH247" s="21"/>
      <c r="HFI247" s="21"/>
      <c r="HFL247" s="21"/>
      <c r="HFM247" s="15"/>
      <c r="HFN247" s="15"/>
      <c r="HFO247" s="15"/>
      <c r="HFP247" s="15"/>
      <c r="HFQ247" s="15"/>
      <c r="HFR247" s="15"/>
      <c r="HFS247" s="15"/>
      <c r="HFT247" s="15"/>
      <c r="HFU247" s="15"/>
      <c r="HFV247" s="15"/>
      <c r="HFW247" s="10"/>
      <c r="HFX247" s="10"/>
      <c r="HFY247" s="21"/>
      <c r="HFZ247" s="21"/>
      <c r="HGC247" s="21"/>
      <c r="HGD247" s="15"/>
      <c r="HGE247" s="15"/>
      <c r="HGF247" s="15"/>
      <c r="HGG247" s="15"/>
      <c r="HGH247" s="15"/>
      <c r="HGI247" s="15"/>
      <c r="HGJ247" s="15"/>
      <c r="HGK247" s="15"/>
      <c r="HGL247" s="15"/>
      <c r="HGM247" s="15"/>
      <c r="HGN247" s="10"/>
      <c r="HGO247" s="10"/>
      <c r="HGP247" s="21"/>
      <c r="HGQ247" s="21"/>
      <c r="HGT247" s="21"/>
      <c r="HGU247" s="15"/>
      <c r="HGV247" s="15"/>
      <c r="HGW247" s="15"/>
      <c r="HGX247" s="15"/>
      <c r="HGY247" s="15"/>
      <c r="HGZ247" s="15"/>
      <c r="HHA247" s="15"/>
      <c r="HHB247" s="15"/>
      <c r="HHC247" s="15"/>
      <c r="HHD247" s="15"/>
      <c r="HHE247" s="10"/>
      <c r="HHF247" s="10"/>
      <c r="HHG247" s="21"/>
      <c r="HHH247" s="21"/>
      <c r="HHK247" s="21"/>
      <c r="HHL247" s="15"/>
      <c r="HHM247" s="15"/>
      <c r="HHN247" s="15"/>
      <c r="HHO247" s="15"/>
      <c r="HHP247" s="15"/>
      <c r="HHQ247" s="15"/>
      <c r="HHR247" s="15"/>
      <c r="HHS247" s="15"/>
      <c r="HHT247" s="15"/>
      <c r="HHU247" s="15"/>
      <c r="HHV247" s="10"/>
      <c r="HHW247" s="10"/>
      <c r="HHX247" s="21"/>
      <c r="HHY247" s="21"/>
      <c r="HIB247" s="21"/>
      <c r="HIC247" s="15"/>
      <c r="HID247" s="15"/>
      <c r="HIE247" s="15"/>
      <c r="HIF247" s="15"/>
      <c r="HIG247" s="15"/>
      <c r="HIH247" s="15"/>
      <c r="HII247" s="15"/>
      <c r="HIJ247" s="15"/>
      <c r="HIK247" s="15"/>
      <c r="HIL247" s="15"/>
      <c r="HIM247" s="10"/>
      <c r="HIN247" s="10"/>
      <c r="HIO247" s="21"/>
      <c r="HIP247" s="21"/>
      <c r="HIS247" s="21"/>
      <c r="HIT247" s="15"/>
      <c r="HIU247" s="15"/>
      <c r="HIV247" s="15"/>
      <c r="HIW247" s="15"/>
      <c r="HIX247" s="15"/>
      <c r="HIY247" s="15"/>
      <c r="HIZ247" s="15"/>
      <c r="HJA247" s="15"/>
      <c r="HJB247" s="15"/>
      <c r="HJC247" s="15"/>
      <c r="HJD247" s="10"/>
      <c r="HJE247" s="10"/>
      <c r="HJF247" s="21"/>
      <c r="HJG247" s="21"/>
      <c r="HJJ247" s="21"/>
      <c r="HJK247" s="15"/>
      <c r="HJL247" s="15"/>
      <c r="HJM247" s="15"/>
      <c r="HJN247" s="15"/>
      <c r="HJO247" s="15"/>
      <c r="HJP247" s="15"/>
      <c r="HJQ247" s="15"/>
      <c r="HJR247" s="15"/>
      <c r="HJS247" s="15"/>
      <c r="HJT247" s="15"/>
      <c r="HJU247" s="10"/>
      <c r="HJV247" s="10"/>
      <c r="HJW247" s="21"/>
      <c r="HJX247" s="21"/>
      <c r="HKA247" s="21"/>
      <c r="HKB247" s="15"/>
      <c r="HKC247" s="15"/>
      <c r="HKD247" s="15"/>
      <c r="HKE247" s="15"/>
      <c r="HKF247" s="15"/>
      <c r="HKG247" s="15"/>
      <c r="HKH247" s="15"/>
      <c r="HKI247" s="15"/>
      <c r="HKJ247" s="15"/>
      <c r="HKK247" s="15"/>
      <c r="HKL247" s="10"/>
      <c r="HKM247" s="10"/>
      <c r="HKN247" s="21"/>
      <c r="HKO247" s="21"/>
      <c r="HKR247" s="21"/>
      <c r="HKS247" s="15"/>
      <c r="HKT247" s="15"/>
      <c r="HKU247" s="15"/>
      <c r="HKV247" s="15"/>
      <c r="HKW247" s="15"/>
      <c r="HKX247" s="15"/>
      <c r="HKY247" s="15"/>
      <c r="HKZ247" s="15"/>
      <c r="HLA247" s="15"/>
      <c r="HLB247" s="15"/>
      <c r="HLC247" s="10"/>
      <c r="HLD247" s="10"/>
      <c r="HLE247" s="21"/>
      <c r="HLF247" s="21"/>
      <c r="HLI247" s="21"/>
      <c r="HLJ247" s="15"/>
      <c r="HLK247" s="15"/>
      <c r="HLL247" s="15"/>
      <c r="HLM247" s="15"/>
      <c r="HLN247" s="15"/>
      <c r="HLO247" s="15"/>
      <c r="HLP247" s="15"/>
      <c r="HLQ247" s="15"/>
      <c r="HLR247" s="15"/>
      <c r="HLS247" s="15"/>
      <c r="HLT247" s="10"/>
      <c r="HLU247" s="10"/>
      <c r="HLV247" s="21"/>
      <c r="HLW247" s="21"/>
      <c r="HLZ247" s="21"/>
      <c r="HMA247" s="15"/>
      <c r="HMB247" s="15"/>
      <c r="HMC247" s="15"/>
      <c r="HMD247" s="15"/>
      <c r="HME247" s="15"/>
      <c r="HMF247" s="15"/>
      <c r="HMG247" s="15"/>
      <c r="HMH247" s="15"/>
      <c r="HMI247" s="15"/>
      <c r="HMJ247" s="15"/>
      <c r="HMK247" s="10"/>
      <c r="HML247" s="10"/>
      <c r="HMM247" s="21"/>
      <c r="HMN247" s="21"/>
      <c r="HMQ247" s="21"/>
      <c r="HMR247" s="15"/>
      <c r="HMS247" s="15"/>
      <c r="HMT247" s="15"/>
      <c r="HMU247" s="15"/>
      <c r="HMV247" s="15"/>
      <c r="HMW247" s="15"/>
      <c r="HMX247" s="15"/>
      <c r="HMY247" s="15"/>
      <c r="HMZ247" s="15"/>
      <c r="HNA247" s="15"/>
      <c r="HNB247" s="10"/>
      <c r="HNC247" s="10"/>
      <c r="HND247" s="21"/>
      <c r="HNE247" s="21"/>
      <c r="HNH247" s="21"/>
      <c r="HNI247" s="15"/>
      <c r="HNJ247" s="15"/>
      <c r="HNK247" s="15"/>
      <c r="HNL247" s="15"/>
      <c r="HNM247" s="15"/>
      <c r="HNN247" s="15"/>
      <c r="HNO247" s="15"/>
      <c r="HNP247" s="15"/>
      <c r="HNQ247" s="15"/>
      <c r="HNR247" s="15"/>
      <c r="HNS247" s="10"/>
      <c r="HNT247" s="10"/>
      <c r="HNU247" s="21"/>
      <c r="HNV247" s="21"/>
      <c r="HNY247" s="21"/>
      <c r="HNZ247" s="15"/>
      <c r="HOA247" s="15"/>
      <c r="HOB247" s="15"/>
      <c r="HOC247" s="15"/>
      <c r="HOD247" s="15"/>
      <c r="HOE247" s="15"/>
      <c r="HOF247" s="15"/>
      <c r="HOG247" s="15"/>
      <c r="HOH247" s="15"/>
      <c r="HOI247" s="15"/>
      <c r="HOJ247" s="10"/>
      <c r="HOK247" s="10"/>
      <c r="HOL247" s="21"/>
      <c r="HOM247" s="21"/>
      <c r="HOP247" s="21"/>
      <c r="HOQ247" s="15"/>
      <c r="HOR247" s="15"/>
      <c r="HOS247" s="15"/>
      <c r="HOT247" s="15"/>
      <c r="HOU247" s="15"/>
      <c r="HOV247" s="15"/>
      <c r="HOW247" s="15"/>
      <c r="HOX247" s="15"/>
      <c r="HOY247" s="15"/>
      <c r="HOZ247" s="15"/>
      <c r="HPA247" s="10"/>
      <c r="HPB247" s="10"/>
      <c r="HPC247" s="21"/>
      <c r="HPD247" s="21"/>
      <c r="HPG247" s="21"/>
      <c r="HPH247" s="15"/>
      <c r="HPI247" s="15"/>
      <c r="HPJ247" s="15"/>
      <c r="HPK247" s="15"/>
      <c r="HPL247" s="15"/>
      <c r="HPM247" s="15"/>
      <c r="HPN247" s="15"/>
      <c r="HPO247" s="15"/>
      <c r="HPP247" s="15"/>
      <c r="HPQ247" s="15"/>
      <c r="HPR247" s="10"/>
      <c r="HPS247" s="10"/>
      <c r="HPT247" s="21"/>
      <c r="HPU247" s="21"/>
      <c r="HPX247" s="21"/>
      <c r="HPY247" s="15"/>
      <c r="HPZ247" s="15"/>
      <c r="HQA247" s="15"/>
      <c r="HQB247" s="15"/>
      <c r="HQC247" s="15"/>
      <c r="HQD247" s="15"/>
      <c r="HQE247" s="15"/>
      <c r="HQF247" s="15"/>
      <c r="HQG247" s="15"/>
      <c r="HQH247" s="15"/>
      <c r="HQI247" s="10"/>
      <c r="HQJ247" s="10"/>
      <c r="HQK247" s="21"/>
      <c r="HQL247" s="21"/>
      <c r="HQO247" s="21"/>
      <c r="HQP247" s="15"/>
      <c r="HQQ247" s="15"/>
      <c r="HQR247" s="15"/>
      <c r="HQS247" s="15"/>
      <c r="HQT247" s="15"/>
      <c r="HQU247" s="15"/>
      <c r="HQV247" s="15"/>
      <c r="HQW247" s="15"/>
      <c r="HQX247" s="15"/>
      <c r="HQY247" s="15"/>
      <c r="HQZ247" s="10"/>
      <c r="HRA247" s="10"/>
      <c r="HRB247" s="21"/>
      <c r="HRC247" s="21"/>
      <c r="HRF247" s="21"/>
      <c r="HRG247" s="15"/>
      <c r="HRH247" s="15"/>
      <c r="HRI247" s="15"/>
      <c r="HRJ247" s="15"/>
      <c r="HRK247" s="15"/>
      <c r="HRL247" s="15"/>
      <c r="HRM247" s="15"/>
      <c r="HRN247" s="15"/>
      <c r="HRO247" s="15"/>
      <c r="HRP247" s="15"/>
      <c r="HRQ247" s="10"/>
      <c r="HRR247" s="10"/>
      <c r="HRS247" s="21"/>
      <c r="HRT247" s="21"/>
      <c r="HRW247" s="21"/>
      <c r="HRX247" s="15"/>
      <c r="HRY247" s="15"/>
      <c r="HRZ247" s="15"/>
      <c r="HSA247" s="15"/>
      <c r="HSB247" s="15"/>
      <c r="HSC247" s="15"/>
      <c r="HSD247" s="15"/>
      <c r="HSE247" s="15"/>
      <c r="HSF247" s="15"/>
      <c r="HSG247" s="15"/>
      <c r="HSH247" s="10"/>
      <c r="HSI247" s="10"/>
      <c r="HSJ247" s="21"/>
      <c r="HSK247" s="21"/>
      <c r="HSN247" s="21"/>
      <c r="HSO247" s="15"/>
      <c r="HSP247" s="15"/>
      <c r="HSQ247" s="15"/>
      <c r="HSR247" s="15"/>
      <c r="HSS247" s="15"/>
      <c r="HST247" s="15"/>
      <c r="HSU247" s="15"/>
      <c r="HSV247" s="15"/>
      <c r="HSW247" s="15"/>
      <c r="HSX247" s="15"/>
      <c r="HSY247" s="10"/>
      <c r="HSZ247" s="10"/>
      <c r="HTA247" s="21"/>
      <c r="HTB247" s="21"/>
      <c r="HTE247" s="21"/>
      <c r="HTF247" s="15"/>
      <c r="HTG247" s="15"/>
      <c r="HTH247" s="15"/>
      <c r="HTI247" s="15"/>
      <c r="HTJ247" s="15"/>
      <c r="HTK247" s="15"/>
      <c r="HTL247" s="15"/>
      <c r="HTM247" s="15"/>
      <c r="HTN247" s="15"/>
      <c r="HTO247" s="15"/>
      <c r="HTP247" s="10"/>
      <c r="HTQ247" s="10"/>
      <c r="HTR247" s="21"/>
      <c r="HTS247" s="21"/>
      <c r="HTV247" s="21"/>
      <c r="HTW247" s="15"/>
      <c r="HTX247" s="15"/>
      <c r="HTY247" s="15"/>
      <c r="HTZ247" s="15"/>
      <c r="HUA247" s="15"/>
      <c r="HUB247" s="15"/>
      <c r="HUC247" s="15"/>
      <c r="HUD247" s="15"/>
      <c r="HUE247" s="15"/>
      <c r="HUF247" s="15"/>
      <c r="HUG247" s="10"/>
      <c r="HUH247" s="10"/>
      <c r="HUI247" s="21"/>
      <c r="HUJ247" s="21"/>
      <c r="HUM247" s="21"/>
      <c r="HUN247" s="15"/>
      <c r="HUO247" s="15"/>
      <c r="HUP247" s="15"/>
      <c r="HUQ247" s="15"/>
      <c r="HUR247" s="15"/>
      <c r="HUS247" s="15"/>
      <c r="HUT247" s="15"/>
      <c r="HUU247" s="15"/>
      <c r="HUV247" s="15"/>
      <c r="HUW247" s="15"/>
      <c r="HUX247" s="10"/>
      <c r="HUY247" s="10"/>
      <c r="HUZ247" s="21"/>
      <c r="HVA247" s="21"/>
      <c r="HVD247" s="21"/>
      <c r="HVE247" s="15"/>
      <c r="HVF247" s="15"/>
      <c r="HVG247" s="15"/>
      <c r="HVH247" s="15"/>
      <c r="HVI247" s="15"/>
      <c r="HVJ247" s="15"/>
      <c r="HVK247" s="15"/>
      <c r="HVL247" s="15"/>
      <c r="HVM247" s="15"/>
      <c r="HVN247" s="15"/>
      <c r="HVO247" s="10"/>
      <c r="HVP247" s="10"/>
      <c r="HVQ247" s="21"/>
      <c r="HVR247" s="21"/>
      <c r="HVU247" s="21"/>
      <c r="HVV247" s="15"/>
      <c r="HVW247" s="15"/>
      <c r="HVX247" s="15"/>
      <c r="HVY247" s="15"/>
      <c r="HVZ247" s="15"/>
      <c r="HWA247" s="15"/>
      <c r="HWB247" s="15"/>
      <c r="HWC247" s="15"/>
      <c r="HWD247" s="15"/>
      <c r="HWE247" s="15"/>
      <c r="HWF247" s="10"/>
      <c r="HWG247" s="10"/>
      <c r="HWH247" s="21"/>
      <c r="HWI247" s="21"/>
      <c r="HWL247" s="21"/>
      <c r="HWM247" s="15"/>
      <c r="HWN247" s="15"/>
      <c r="HWO247" s="15"/>
      <c r="HWP247" s="15"/>
      <c r="HWQ247" s="15"/>
      <c r="HWR247" s="15"/>
      <c r="HWS247" s="15"/>
      <c r="HWT247" s="15"/>
      <c r="HWU247" s="15"/>
      <c r="HWV247" s="15"/>
      <c r="HWW247" s="10"/>
      <c r="HWX247" s="10"/>
      <c r="HWY247" s="21"/>
      <c r="HWZ247" s="21"/>
      <c r="HXC247" s="21"/>
      <c r="HXD247" s="15"/>
      <c r="HXE247" s="15"/>
      <c r="HXF247" s="15"/>
      <c r="HXG247" s="15"/>
      <c r="HXH247" s="15"/>
      <c r="HXI247" s="15"/>
      <c r="HXJ247" s="15"/>
      <c r="HXK247" s="15"/>
      <c r="HXL247" s="15"/>
      <c r="HXM247" s="15"/>
      <c r="HXN247" s="10"/>
      <c r="HXO247" s="10"/>
      <c r="HXP247" s="21"/>
      <c r="HXQ247" s="21"/>
      <c r="HXT247" s="21"/>
      <c r="HXU247" s="15"/>
      <c r="HXV247" s="15"/>
      <c r="HXW247" s="15"/>
      <c r="HXX247" s="15"/>
      <c r="HXY247" s="15"/>
      <c r="HXZ247" s="15"/>
      <c r="HYA247" s="15"/>
      <c r="HYB247" s="15"/>
      <c r="HYC247" s="15"/>
      <c r="HYD247" s="15"/>
      <c r="HYE247" s="10"/>
      <c r="HYF247" s="10"/>
      <c r="HYG247" s="21"/>
      <c r="HYH247" s="21"/>
      <c r="HYK247" s="21"/>
      <c r="HYL247" s="15"/>
      <c r="HYM247" s="15"/>
      <c r="HYN247" s="15"/>
      <c r="HYO247" s="15"/>
      <c r="HYP247" s="15"/>
      <c r="HYQ247" s="15"/>
      <c r="HYR247" s="15"/>
      <c r="HYS247" s="15"/>
      <c r="HYT247" s="15"/>
      <c r="HYU247" s="15"/>
      <c r="HYV247" s="10"/>
      <c r="HYW247" s="10"/>
      <c r="HYX247" s="21"/>
      <c r="HYY247" s="21"/>
      <c r="HZB247" s="21"/>
      <c r="HZC247" s="15"/>
      <c r="HZD247" s="15"/>
      <c r="HZE247" s="15"/>
      <c r="HZF247" s="15"/>
      <c r="HZG247" s="15"/>
      <c r="HZH247" s="15"/>
      <c r="HZI247" s="15"/>
      <c r="HZJ247" s="15"/>
      <c r="HZK247" s="15"/>
      <c r="HZL247" s="15"/>
      <c r="HZM247" s="10"/>
      <c r="HZN247" s="10"/>
      <c r="HZO247" s="21"/>
      <c r="HZP247" s="21"/>
      <c r="HZS247" s="21"/>
      <c r="HZT247" s="15"/>
      <c r="HZU247" s="15"/>
      <c r="HZV247" s="15"/>
      <c r="HZW247" s="15"/>
      <c r="HZX247" s="15"/>
      <c r="HZY247" s="15"/>
      <c r="HZZ247" s="15"/>
      <c r="IAA247" s="15"/>
      <c r="IAB247" s="15"/>
      <c r="IAC247" s="15"/>
      <c r="IAD247" s="10"/>
      <c r="IAE247" s="10"/>
      <c r="IAF247" s="21"/>
      <c r="IAG247" s="21"/>
      <c r="IAJ247" s="21"/>
      <c r="IAK247" s="15"/>
      <c r="IAL247" s="15"/>
      <c r="IAM247" s="15"/>
      <c r="IAN247" s="15"/>
      <c r="IAO247" s="15"/>
      <c r="IAP247" s="15"/>
      <c r="IAQ247" s="15"/>
      <c r="IAR247" s="15"/>
      <c r="IAS247" s="15"/>
      <c r="IAT247" s="15"/>
      <c r="IAU247" s="10"/>
      <c r="IAV247" s="10"/>
      <c r="IAW247" s="21"/>
      <c r="IAX247" s="21"/>
      <c r="IBA247" s="21"/>
      <c r="IBB247" s="15"/>
      <c r="IBC247" s="15"/>
      <c r="IBD247" s="15"/>
      <c r="IBE247" s="15"/>
      <c r="IBF247" s="15"/>
      <c r="IBG247" s="15"/>
      <c r="IBH247" s="15"/>
      <c r="IBI247" s="15"/>
      <c r="IBJ247" s="15"/>
      <c r="IBK247" s="15"/>
      <c r="IBL247" s="10"/>
      <c r="IBM247" s="10"/>
      <c r="IBN247" s="21"/>
      <c r="IBO247" s="21"/>
      <c r="IBR247" s="21"/>
      <c r="IBS247" s="15"/>
      <c r="IBT247" s="15"/>
      <c r="IBU247" s="15"/>
      <c r="IBV247" s="15"/>
      <c r="IBW247" s="15"/>
      <c r="IBX247" s="15"/>
      <c r="IBY247" s="15"/>
      <c r="IBZ247" s="15"/>
      <c r="ICA247" s="15"/>
      <c r="ICB247" s="15"/>
      <c r="ICC247" s="10"/>
      <c r="ICD247" s="10"/>
      <c r="ICE247" s="21"/>
      <c r="ICF247" s="21"/>
      <c r="ICI247" s="21"/>
      <c r="ICJ247" s="15"/>
      <c r="ICK247" s="15"/>
      <c r="ICL247" s="15"/>
      <c r="ICM247" s="15"/>
      <c r="ICN247" s="15"/>
      <c r="ICO247" s="15"/>
      <c r="ICP247" s="15"/>
      <c r="ICQ247" s="15"/>
      <c r="ICR247" s="15"/>
      <c r="ICS247" s="15"/>
      <c r="ICT247" s="10"/>
      <c r="ICU247" s="10"/>
      <c r="ICV247" s="21"/>
      <c r="ICW247" s="21"/>
      <c r="ICZ247" s="21"/>
      <c r="IDA247" s="15"/>
      <c r="IDB247" s="15"/>
      <c r="IDC247" s="15"/>
      <c r="IDD247" s="15"/>
      <c r="IDE247" s="15"/>
      <c r="IDF247" s="15"/>
      <c r="IDG247" s="15"/>
      <c r="IDH247" s="15"/>
      <c r="IDI247" s="15"/>
      <c r="IDJ247" s="15"/>
      <c r="IDK247" s="10"/>
      <c r="IDL247" s="10"/>
      <c r="IDM247" s="21"/>
      <c r="IDN247" s="21"/>
      <c r="IDQ247" s="21"/>
      <c r="IDR247" s="15"/>
      <c r="IDS247" s="15"/>
      <c r="IDT247" s="15"/>
      <c r="IDU247" s="15"/>
      <c r="IDV247" s="15"/>
      <c r="IDW247" s="15"/>
      <c r="IDX247" s="15"/>
      <c r="IDY247" s="15"/>
      <c r="IDZ247" s="15"/>
      <c r="IEA247" s="15"/>
      <c r="IEB247" s="10"/>
      <c r="IEC247" s="10"/>
      <c r="IED247" s="21"/>
      <c r="IEE247" s="21"/>
      <c r="IEH247" s="21"/>
      <c r="IEI247" s="15"/>
      <c r="IEJ247" s="15"/>
      <c r="IEK247" s="15"/>
      <c r="IEL247" s="15"/>
      <c r="IEM247" s="15"/>
      <c r="IEN247" s="15"/>
      <c r="IEO247" s="15"/>
      <c r="IEP247" s="15"/>
      <c r="IEQ247" s="15"/>
      <c r="IER247" s="15"/>
      <c r="IES247" s="10"/>
      <c r="IET247" s="10"/>
      <c r="IEU247" s="21"/>
      <c r="IEV247" s="21"/>
      <c r="IEY247" s="21"/>
      <c r="IEZ247" s="15"/>
      <c r="IFA247" s="15"/>
      <c r="IFB247" s="15"/>
      <c r="IFC247" s="15"/>
      <c r="IFD247" s="15"/>
      <c r="IFE247" s="15"/>
      <c r="IFF247" s="15"/>
      <c r="IFG247" s="15"/>
      <c r="IFH247" s="15"/>
      <c r="IFI247" s="15"/>
      <c r="IFJ247" s="10"/>
      <c r="IFK247" s="10"/>
      <c r="IFL247" s="21"/>
      <c r="IFM247" s="21"/>
      <c r="IFP247" s="21"/>
      <c r="IFQ247" s="15"/>
      <c r="IFR247" s="15"/>
      <c r="IFS247" s="15"/>
      <c r="IFT247" s="15"/>
      <c r="IFU247" s="15"/>
      <c r="IFV247" s="15"/>
      <c r="IFW247" s="15"/>
      <c r="IFX247" s="15"/>
      <c r="IFY247" s="15"/>
      <c r="IFZ247" s="15"/>
      <c r="IGA247" s="10"/>
      <c r="IGB247" s="10"/>
      <c r="IGC247" s="21"/>
      <c r="IGD247" s="21"/>
      <c r="IGG247" s="21"/>
      <c r="IGH247" s="15"/>
      <c r="IGI247" s="15"/>
      <c r="IGJ247" s="15"/>
      <c r="IGK247" s="15"/>
      <c r="IGL247" s="15"/>
      <c r="IGM247" s="15"/>
      <c r="IGN247" s="15"/>
      <c r="IGO247" s="15"/>
      <c r="IGP247" s="15"/>
      <c r="IGQ247" s="15"/>
      <c r="IGR247" s="10"/>
      <c r="IGS247" s="10"/>
      <c r="IGT247" s="21"/>
      <c r="IGU247" s="21"/>
      <c r="IGX247" s="21"/>
      <c r="IGY247" s="15"/>
      <c r="IGZ247" s="15"/>
      <c r="IHA247" s="15"/>
      <c r="IHB247" s="15"/>
      <c r="IHC247" s="15"/>
      <c r="IHD247" s="15"/>
      <c r="IHE247" s="15"/>
      <c r="IHF247" s="15"/>
      <c r="IHG247" s="15"/>
      <c r="IHH247" s="15"/>
      <c r="IHI247" s="10"/>
      <c r="IHJ247" s="10"/>
      <c r="IHK247" s="21"/>
      <c r="IHL247" s="21"/>
      <c r="IHO247" s="21"/>
      <c r="IHP247" s="15"/>
      <c r="IHQ247" s="15"/>
      <c r="IHR247" s="15"/>
      <c r="IHS247" s="15"/>
      <c r="IHT247" s="15"/>
      <c r="IHU247" s="15"/>
      <c r="IHV247" s="15"/>
      <c r="IHW247" s="15"/>
      <c r="IHX247" s="15"/>
      <c r="IHY247" s="15"/>
      <c r="IHZ247" s="10"/>
      <c r="IIA247" s="10"/>
      <c r="IIB247" s="21"/>
      <c r="IIC247" s="21"/>
      <c r="IIF247" s="21"/>
      <c r="IIG247" s="15"/>
      <c r="IIH247" s="15"/>
      <c r="III247" s="15"/>
      <c r="IIJ247" s="15"/>
      <c r="IIK247" s="15"/>
      <c r="IIL247" s="15"/>
      <c r="IIM247" s="15"/>
      <c r="IIN247" s="15"/>
      <c r="IIO247" s="15"/>
      <c r="IIP247" s="15"/>
      <c r="IIQ247" s="10"/>
      <c r="IIR247" s="10"/>
      <c r="IIS247" s="21"/>
      <c r="IIT247" s="21"/>
      <c r="IIW247" s="21"/>
      <c r="IIX247" s="15"/>
      <c r="IIY247" s="15"/>
      <c r="IIZ247" s="15"/>
      <c r="IJA247" s="15"/>
      <c r="IJB247" s="15"/>
      <c r="IJC247" s="15"/>
      <c r="IJD247" s="15"/>
      <c r="IJE247" s="15"/>
      <c r="IJF247" s="15"/>
      <c r="IJG247" s="15"/>
      <c r="IJH247" s="10"/>
      <c r="IJI247" s="10"/>
      <c r="IJJ247" s="21"/>
      <c r="IJK247" s="21"/>
      <c r="IJN247" s="21"/>
      <c r="IJO247" s="15"/>
      <c r="IJP247" s="15"/>
      <c r="IJQ247" s="15"/>
      <c r="IJR247" s="15"/>
      <c r="IJS247" s="15"/>
      <c r="IJT247" s="15"/>
      <c r="IJU247" s="15"/>
      <c r="IJV247" s="15"/>
      <c r="IJW247" s="15"/>
      <c r="IJX247" s="15"/>
      <c r="IJY247" s="10"/>
      <c r="IJZ247" s="10"/>
      <c r="IKA247" s="21"/>
      <c r="IKB247" s="21"/>
      <c r="IKE247" s="21"/>
      <c r="IKF247" s="15"/>
      <c r="IKG247" s="15"/>
      <c r="IKH247" s="15"/>
      <c r="IKI247" s="15"/>
      <c r="IKJ247" s="15"/>
      <c r="IKK247" s="15"/>
      <c r="IKL247" s="15"/>
      <c r="IKM247" s="15"/>
      <c r="IKN247" s="15"/>
      <c r="IKO247" s="15"/>
      <c r="IKP247" s="10"/>
      <c r="IKQ247" s="10"/>
      <c r="IKR247" s="21"/>
      <c r="IKS247" s="21"/>
      <c r="IKV247" s="21"/>
      <c r="IKW247" s="15"/>
      <c r="IKX247" s="15"/>
      <c r="IKY247" s="15"/>
      <c r="IKZ247" s="15"/>
      <c r="ILA247" s="15"/>
      <c r="ILB247" s="15"/>
      <c r="ILC247" s="15"/>
      <c r="ILD247" s="15"/>
      <c r="ILE247" s="15"/>
      <c r="ILF247" s="15"/>
      <c r="ILG247" s="10"/>
      <c r="ILH247" s="10"/>
      <c r="ILI247" s="21"/>
      <c r="ILJ247" s="21"/>
      <c r="ILM247" s="21"/>
      <c r="ILN247" s="15"/>
      <c r="ILO247" s="15"/>
      <c r="ILP247" s="15"/>
      <c r="ILQ247" s="15"/>
      <c r="ILR247" s="15"/>
      <c r="ILS247" s="15"/>
      <c r="ILT247" s="15"/>
      <c r="ILU247" s="15"/>
      <c r="ILV247" s="15"/>
      <c r="ILW247" s="15"/>
      <c r="ILX247" s="10"/>
      <c r="ILY247" s="10"/>
      <c r="ILZ247" s="21"/>
      <c r="IMA247" s="21"/>
      <c r="IMD247" s="21"/>
      <c r="IME247" s="15"/>
      <c r="IMF247" s="15"/>
      <c r="IMG247" s="15"/>
      <c r="IMH247" s="15"/>
      <c r="IMI247" s="15"/>
      <c r="IMJ247" s="15"/>
      <c r="IMK247" s="15"/>
      <c r="IML247" s="15"/>
      <c r="IMM247" s="15"/>
      <c r="IMN247" s="15"/>
      <c r="IMO247" s="10"/>
      <c r="IMP247" s="10"/>
      <c r="IMQ247" s="21"/>
      <c r="IMR247" s="21"/>
      <c r="IMU247" s="21"/>
      <c r="IMV247" s="15"/>
      <c r="IMW247" s="15"/>
      <c r="IMX247" s="15"/>
      <c r="IMY247" s="15"/>
      <c r="IMZ247" s="15"/>
      <c r="INA247" s="15"/>
      <c r="INB247" s="15"/>
      <c r="INC247" s="15"/>
      <c r="IND247" s="15"/>
      <c r="INE247" s="15"/>
      <c r="INF247" s="10"/>
      <c r="ING247" s="10"/>
      <c r="INH247" s="21"/>
      <c r="INI247" s="21"/>
      <c r="INL247" s="21"/>
      <c r="INM247" s="15"/>
      <c r="INN247" s="15"/>
      <c r="INO247" s="15"/>
      <c r="INP247" s="15"/>
      <c r="INQ247" s="15"/>
      <c r="INR247" s="15"/>
      <c r="INS247" s="15"/>
      <c r="INT247" s="15"/>
      <c r="INU247" s="15"/>
      <c r="INV247" s="15"/>
      <c r="INW247" s="10"/>
      <c r="INX247" s="10"/>
      <c r="INY247" s="21"/>
      <c r="INZ247" s="21"/>
      <c r="IOC247" s="21"/>
      <c r="IOD247" s="15"/>
      <c r="IOE247" s="15"/>
      <c r="IOF247" s="15"/>
      <c r="IOG247" s="15"/>
      <c r="IOH247" s="15"/>
      <c r="IOI247" s="15"/>
      <c r="IOJ247" s="15"/>
      <c r="IOK247" s="15"/>
      <c r="IOL247" s="15"/>
      <c r="IOM247" s="15"/>
      <c r="ION247" s="10"/>
      <c r="IOO247" s="10"/>
      <c r="IOP247" s="21"/>
      <c r="IOQ247" s="21"/>
      <c r="IOT247" s="21"/>
      <c r="IOU247" s="15"/>
      <c r="IOV247" s="15"/>
      <c r="IOW247" s="15"/>
      <c r="IOX247" s="15"/>
      <c r="IOY247" s="15"/>
      <c r="IOZ247" s="15"/>
      <c r="IPA247" s="15"/>
      <c r="IPB247" s="15"/>
      <c r="IPC247" s="15"/>
      <c r="IPD247" s="15"/>
      <c r="IPE247" s="10"/>
      <c r="IPF247" s="10"/>
      <c r="IPG247" s="21"/>
      <c r="IPH247" s="21"/>
      <c r="IPK247" s="21"/>
      <c r="IPL247" s="15"/>
      <c r="IPM247" s="15"/>
      <c r="IPN247" s="15"/>
      <c r="IPO247" s="15"/>
      <c r="IPP247" s="15"/>
      <c r="IPQ247" s="15"/>
      <c r="IPR247" s="15"/>
      <c r="IPS247" s="15"/>
      <c r="IPT247" s="15"/>
      <c r="IPU247" s="15"/>
      <c r="IPV247" s="10"/>
      <c r="IPW247" s="10"/>
      <c r="IPX247" s="21"/>
      <c r="IPY247" s="21"/>
      <c r="IQB247" s="21"/>
      <c r="IQC247" s="15"/>
      <c r="IQD247" s="15"/>
      <c r="IQE247" s="15"/>
      <c r="IQF247" s="15"/>
      <c r="IQG247" s="15"/>
      <c r="IQH247" s="15"/>
      <c r="IQI247" s="15"/>
      <c r="IQJ247" s="15"/>
      <c r="IQK247" s="15"/>
      <c r="IQL247" s="15"/>
      <c r="IQM247" s="10"/>
      <c r="IQN247" s="10"/>
      <c r="IQO247" s="21"/>
      <c r="IQP247" s="21"/>
      <c r="IQS247" s="21"/>
      <c r="IQT247" s="15"/>
      <c r="IQU247" s="15"/>
      <c r="IQV247" s="15"/>
      <c r="IQW247" s="15"/>
      <c r="IQX247" s="15"/>
      <c r="IQY247" s="15"/>
      <c r="IQZ247" s="15"/>
      <c r="IRA247" s="15"/>
      <c r="IRB247" s="15"/>
      <c r="IRC247" s="15"/>
      <c r="IRD247" s="10"/>
      <c r="IRE247" s="10"/>
      <c r="IRF247" s="21"/>
      <c r="IRG247" s="21"/>
      <c r="IRJ247" s="21"/>
      <c r="IRK247" s="15"/>
      <c r="IRL247" s="15"/>
      <c r="IRM247" s="15"/>
      <c r="IRN247" s="15"/>
      <c r="IRO247" s="15"/>
      <c r="IRP247" s="15"/>
      <c r="IRQ247" s="15"/>
      <c r="IRR247" s="15"/>
      <c r="IRS247" s="15"/>
      <c r="IRT247" s="15"/>
      <c r="IRU247" s="10"/>
      <c r="IRV247" s="10"/>
      <c r="IRW247" s="21"/>
      <c r="IRX247" s="21"/>
      <c r="ISA247" s="21"/>
      <c r="ISB247" s="15"/>
      <c r="ISC247" s="15"/>
      <c r="ISD247" s="15"/>
      <c r="ISE247" s="15"/>
      <c r="ISF247" s="15"/>
      <c r="ISG247" s="15"/>
      <c r="ISH247" s="15"/>
      <c r="ISI247" s="15"/>
      <c r="ISJ247" s="15"/>
      <c r="ISK247" s="15"/>
      <c r="ISL247" s="10"/>
      <c r="ISM247" s="10"/>
      <c r="ISN247" s="21"/>
      <c r="ISO247" s="21"/>
      <c r="ISR247" s="21"/>
      <c r="ISS247" s="15"/>
      <c r="IST247" s="15"/>
      <c r="ISU247" s="15"/>
      <c r="ISV247" s="15"/>
      <c r="ISW247" s="15"/>
      <c r="ISX247" s="15"/>
      <c r="ISY247" s="15"/>
      <c r="ISZ247" s="15"/>
      <c r="ITA247" s="15"/>
      <c r="ITB247" s="15"/>
      <c r="ITC247" s="10"/>
      <c r="ITD247" s="10"/>
      <c r="ITE247" s="21"/>
      <c r="ITF247" s="21"/>
      <c r="ITI247" s="21"/>
      <c r="ITJ247" s="15"/>
      <c r="ITK247" s="15"/>
      <c r="ITL247" s="15"/>
      <c r="ITM247" s="15"/>
      <c r="ITN247" s="15"/>
      <c r="ITO247" s="15"/>
      <c r="ITP247" s="15"/>
      <c r="ITQ247" s="15"/>
      <c r="ITR247" s="15"/>
      <c r="ITS247" s="15"/>
      <c r="ITT247" s="10"/>
      <c r="ITU247" s="10"/>
      <c r="ITV247" s="21"/>
      <c r="ITW247" s="21"/>
      <c r="ITZ247" s="21"/>
      <c r="IUA247" s="15"/>
      <c r="IUB247" s="15"/>
      <c r="IUC247" s="15"/>
      <c r="IUD247" s="15"/>
      <c r="IUE247" s="15"/>
      <c r="IUF247" s="15"/>
      <c r="IUG247" s="15"/>
      <c r="IUH247" s="15"/>
      <c r="IUI247" s="15"/>
      <c r="IUJ247" s="15"/>
      <c r="IUK247" s="10"/>
      <c r="IUL247" s="10"/>
      <c r="IUM247" s="21"/>
      <c r="IUN247" s="21"/>
      <c r="IUQ247" s="21"/>
      <c r="IUR247" s="15"/>
      <c r="IUS247" s="15"/>
      <c r="IUT247" s="15"/>
      <c r="IUU247" s="15"/>
      <c r="IUV247" s="15"/>
      <c r="IUW247" s="15"/>
      <c r="IUX247" s="15"/>
      <c r="IUY247" s="15"/>
      <c r="IUZ247" s="15"/>
      <c r="IVA247" s="15"/>
      <c r="IVB247" s="10"/>
      <c r="IVC247" s="10"/>
      <c r="IVD247" s="21"/>
      <c r="IVE247" s="21"/>
      <c r="IVH247" s="21"/>
      <c r="IVI247" s="15"/>
      <c r="IVJ247" s="15"/>
      <c r="IVK247" s="15"/>
      <c r="IVL247" s="15"/>
      <c r="IVM247" s="15"/>
      <c r="IVN247" s="15"/>
      <c r="IVO247" s="15"/>
      <c r="IVP247" s="15"/>
      <c r="IVQ247" s="15"/>
      <c r="IVR247" s="15"/>
      <c r="IVS247" s="10"/>
      <c r="IVT247" s="10"/>
      <c r="IVU247" s="21"/>
      <c r="IVV247" s="21"/>
      <c r="IVY247" s="21"/>
      <c r="IVZ247" s="15"/>
      <c r="IWA247" s="15"/>
      <c r="IWB247" s="15"/>
      <c r="IWC247" s="15"/>
      <c r="IWD247" s="15"/>
      <c r="IWE247" s="15"/>
      <c r="IWF247" s="15"/>
      <c r="IWG247" s="15"/>
      <c r="IWH247" s="15"/>
      <c r="IWI247" s="15"/>
      <c r="IWJ247" s="10"/>
      <c r="IWK247" s="10"/>
      <c r="IWL247" s="21"/>
      <c r="IWM247" s="21"/>
      <c r="IWP247" s="21"/>
      <c r="IWQ247" s="15"/>
      <c r="IWR247" s="15"/>
      <c r="IWS247" s="15"/>
      <c r="IWT247" s="15"/>
      <c r="IWU247" s="15"/>
      <c r="IWV247" s="15"/>
      <c r="IWW247" s="15"/>
      <c r="IWX247" s="15"/>
      <c r="IWY247" s="15"/>
      <c r="IWZ247" s="15"/>
      <c r="IXA247" s="10"/>
      <c r="IXB247" s="10"/>
      <c r="IXC247" s="21"/>
      <c r="IXD247" s="21"/>
      <c r="IXG247" s="21"/>
      <c r="IXH247" s="15"/>
      <c r="IXI247" s="15"/>
      <c r="IXJ247" s="15"/>
      <c r="IXK247" s="15"/>
      <c r="IXL247" s="15"/>
      <c r="IXM247" s="15"/>
      <c r="IXN247" s="15"/>
      <c r="IXO247" s="15"/>
      <c r="IXP247" s="15"/>
      <c r="IXQ247" s="15"/>
      <c r="IXR247" s="10"/>
      <c r="IXS247" s="10"/>
      <c r="IXT247" s="21"/>
      <c r="IXU247" s="21"/>
      <c r="IXX247" s="21"/>
      <c r="IXY247" s="15"/>
      <c r="IXZ247" s="15"/>
      <c r="IYA247" s="15"/>
      <c r="IYB247" s="15"/>
      <c r="IYC247" s="15"/>
      <c r="IYD247" s="15"/>
      <c r="IYE247" s="15"/>
      <c r="IYF247" s="15"/>
      <c r="IYG247" s="15"/>
      <c r="IYH247" s="15"/>
      <c r="IYI247" s="10"/>
      <c r="IYJ247" s="10"/>
      <c r="IYK247" s="21"/>
      <c r="IYL247" s="21"/>
      <c r="IYO247" s="21"/>
      <c r="IYP247" s="15"/>
      <c r="IYQ247" s="15"/>
      <c r="IYR247" s="15"/>
      <c r="IYS247" s="15"/>
      <c r="IYT247" s="15"/>
      <c r="IYU247" s="15"/>
      <c r="IYV247" s="15"/>
      <c r="IYW247" s="15"/>
      <c r="IYX247" s="15"/>
      <c r="IYY247" s="15"/>
      <c r="IYZ247" s="10"/>
      <c r="IZA247" s="10"/>
      <c r="IZB247" s="21"/>
      <c r="IZC247" s="21"/>
      <c r="IZF247" s="21"/>
      <c r="IZG247" s="15"/>
      <c r="IZH247" s="15"/>
      <c r="IZI247" s="15"/>
      <c r="IZJ247" s="15"/>
      <c r="IZK247" s="15"/>
      <c r="IZL247" s="15"/>
      <c r="IZM247" s="15"/>
      <c r="IZN247" s="15"/>
      <c r="IZO247" s="15"/>
      <c r="IZP247" s="15"/>
      <c r="IZQ247" s="10"/>
      <c r="IZR247" s="10"/>
      <c r="IZS247" s="21"/>
      <c r="IZT247" s="21"/>
      <c r="IZW247" s="21"/>
      <c r="IZX247" s="15"/>
      <c r="IZY247" s="15"/>
      <c r="IZZ247" s="15"/>
      <c r="JAA247" s="15"/>
      <c r="JAB247" s="15"/>
      <c r="JAC247" s="15"/>
      <c r="JAD247" s="15"/>
      <c r="JAE247" s="15"/>
      <c r="JAF247" s="15"/>
      <c r="JAG247" s="15"/>
      <c r="JAH247" s="10"/>
      <c r="JAI247" s="10"/>
      <c r="JAJ247" s="21"/>
      <c r="JAK247" s="21"/>
      <c r="JAN247" s="21"/>
      <c r="JAO247" s="15"/>
      <c r="JAP247" s="15"/>
      <c r="JAQ247" s="15"/>
      <c r="JAR247" s="15"/>
      <c r="JAS247" s="15"/>
      <c r="JAT247" s="15"/>
      <c r="JAU247" s="15"/>
      <c r="JAV247" s="15"/>
      <c r="JAW247" s="15"/>
      <c r="JAX247" s="15"/>
      <c r="JAY247" s="10"/>
      <c r="JAZ247" s="10"/>
      <c r="JBA247" s="21"/>
      <c r="JBB247" s="21"/>
      <c r="JBE247" s="21"/>
      <c r="JBF247" s="15"/>
      <c r="JBG247" s="15"/>
      <c r="JBH247" s="15"/>
      <c r="JBI247" s="15"/>
      <c r="JBJ247" s="15"/>
      <c r="JBK247" s="15"/>
      <c r="JBL247" s="15"/>
      <c r="JBM247" s="15"/>
      <c r="JBN247" s="15"/>
      <c r="JBO247" s="15"/>
      <c r="JBP247" s="10"/>
      <c r="JBQ247" s="10"/>
      <c r="JBR247" s="21"/>
      <c r="JBS247" s="21"/>
      <c r="JBV247" s="21"/>
      <c r="JBW247" s="15"/>
      <c r="JBX247" s="15"/>
      <c r="JBY247" s="15"/>
      <c r="JBZ247" s="15"/>
      <c r="JCA247" s="15"/>
      <c r="JCB247" s="15"/>
      <c r="JCC247" s="15"/>
      <c r="JCD247" s="15"/>
      <c r="JCE247" s="15"/>
      <c r="JCF247" s="15"/>
      <c r="JCG247" s="10"/>
      <c r="JCH247" s="10"/>
      <c r="JCI247" s="21"/>
      <c r="JCJ247" s="21"/>
      <c r="JCM247" s="21"/>
      <c r="JCN247" s="15"/>
      <c r="JCO247" s="15"/>
      <c r="JCP247" s="15"/>
      <c r="JCQ247" s="15"/>
      <c r="JCR247" s="15"/>
      <c r="JCS247" s="15"/>
      <c r="JCT247" s="15"/>
      <c r="JCU247" s="15"/>
      <c r="JCV247" s="15"/>
      <c r="JCW247" s="15"/>
      <c r="JCX247" s="10"/>
      <c r="JCY247" s="10"/>
      <c r="JCZ247" s="21"/>
      <c r="JDA247" s="21"/>
      <c r="JDD247" s="21"/>
      <c r="JDE247" s="15"/>
      <c r="JDF247" s="15"/>
      <c r="JDG247" s="15"/>
      <c r="JDH247" s="15"/>
      <c r="JDI247" s="15"/>
      <c r="JDJ247" s="15"/>
      <c r="JDK247" s="15"/>
      <c r="JDL247" s="15"/>
      <c r="JDM247" s="15"/>
      <c r="JDN247" s="15"/>
      <c r="JDO247" s="10"/>
      <c r="JDP247" s="10"/>
      <c r="JDQ247" s="21"/>
      <c r="JDR247" s="21"/>
      <c r="JDU247" s="21"/>
      <c r="JDV247" s="15"/>
      <c r="JDW247" s="15"/>
      <c r="JDX247" s="15"/>
      <c r="JDY247" s="15"/>
      <c r="JDZ247" s="15"/>
      <c r="JEA247" s="15"/>
      <c r="JEB247" s="15"/>
      <c r="JEC247" s="15"/>
      <c r="JED247" s="15"/>
      <c r="JEE247" s="15"/>
      <c r="JEF247" s="10"/>
      <c r="JEG247" s="10"/>
      <c r="JEH247" s="21"/>
      <c r="JEI247" s="21"/>
      <c r="JEL247" s="21"/>
      <c r="JEM247" s="15"/>
      <c r="JEN247" s="15"/>
      <c r="JEO247" s="15"/>
      <c r="JEP247" s="15"/>
      <c r="JEQ247" s="15"/>
      <c r="JER247" s="15"/>
      <c r="JES247" s="15"/>
      <c r="JET247" s="15"/>
      <c r="JEU247" s="15"/>
      <c r="JEV247" s="15"/>
      <c r="JEW247" s="10"/>
      <c r="JEX247" s="10"/>
      <c r="JEY247" s="21"/>
      <c r="JEZ247" s="21"/>
      <c r="JFC247" s="21"/>
      <c r="JFD247" s="15"/>
      <c r="JFE247" s="15"/>
      <c r="JFF247" s="15"/>
      <c r="JFG247" s="15"/>
      <c r="JFH247" s="15"/>
      <c r="JFI247" s="15"/>
      <c r="JFJ247" s="15"/>
      <c r="JFK247" s="15"/>
      <c r="JFL247" s="15"/>
      <c r="JFM247" s="15"/>
      <c r="JFN247" s="10"/>
      <c r="JFO247" s="10"/>
      <c r="JFP247" s="21"/>
      <c r="JFQ247" s="21"/>
      <c r="JFT247" s="21"/>
      <c r="JFU247" s="15"/>
      <c r="JFV247" s="15"/>
      <c r="JFW247" s="15"/>
      <c r="JFX247" s="15"/>
      <c r="JFY247" s="15"/>
      <c r="JFZ247" s="15"/>
      <c r="JGA247" s="15"/>
      <c r="JGB247" s="15"/>
      <c r="JGC247" s="15"/>
      <c r="JGD247" s="15"/>
      <c r="JGE247" s="10"/>
      <c r="JGF247" s="10"/>
      <c r="JGG247" s="21"/>
      <c r="JGH247" s="21"/>
      <c r="JGK247" s="21"/>
      <c r="JGL247" s="15"/>
      <c r="JGM247" s="15"/>
      <c r="JGN247" s="15"/>
      <c r="JGO247" s="15"/>
      <c r="JGP247" s="15"/>
      <c r="JGQ247" s="15"/>
      <c r="JGR247" s="15"/>
      <c r="JGS247" s="15"/>
      <c r="JGT247" s="15"/>
      <c r="JGU247" s="15"/>
      <c r="JGV247" s="10"/>
      <c r="JGW247" s="10"/>
      <c r="JGX247" s="21"/>
      <c r="JGY247" s="21"/>
      <c r="JHB247" s="21"/>
      <c r="JHC247" s="15"/>
      <c r="JHD247" s="15"/>
      <c r="JHE247" s="15"/>
      <c r="JHF247" s="15"/>
      <c r="JHG247" s="15"/>
      <c r="JHH247" s="15"/>
      <c r="JHI247" s="15"/>
      <c r="JHJ247" s="15"/>
      <c r="JHK247" s="15"/>
      <c r="JHL247" s="15"/>
      <c r="JHM247" s="10"/>
      <c r="JHN247" s="10"/>
      <c r="JHO247" s="21"/>
      <c r="JHP247" s="21"/>
      <c r="JHS247" s="21"/>
      <c r="JHT247" s="15"/>
      <c r="JHU247" s="15"/>
      <c r="JHV247" s="15"/>
      <c r="JHW247" s="15"/>
      <c r="JHX247" s="15"/>
      <c r="JHY247" s="15"/>
      <c r="JHZ247" s="15"/>
      <c r="JIA247" s="15"/>
      <c r="JIB247" s="15"/>
      <c r="JIC247" s="15"/>
      <c r="JID247" s="10"/>
      <c r="JIE247" s="10"/>
      <c r="JIF247" s="21"/>
      <c r="JIG247" s="21"/>
      <c r="JIJ247" s="21"/>
      <c r="JIK247" s="15"/>
      <c r="JIL247" s="15"/>
      <c r="JIM247" s="15"/>
      <c r="JIN247" s="15"/>
      <c r="JIO247" s="15"/>
      <c r="JIP247" s="15"/>
      <c r="JIQ247" s="15"/>
      <c r="JIR247" s="15"/>
      <c r="JIS247" s="15"/>
      <c r="JIT247" s="15"/>
      <c r="JIU247" s="10"/>
      <c r="JIV247" s="10"/>
      <c r="JIW247" s="21"/>
      <c r="JIX247" s="21"/>
      <c r="JJA247" s="21"/>
      <c r="JJB247" s="15"/>
      <c r="JJC247" s="15"/>
      <c r="JJD247" s="15"/>
      <c r="JJE247" s="15"/>
      <c r="JJF247" s="15"/>
      <c r="JJG247" s="15"/>
      <c r="JJH247" s="15"/>
      <c r="JJI247" s="15"/>
      <c r="JJJ247" s="15"/>
      <c r="JJK247" s="15"/>
      <c r="JJL247" s="10"/>
      <c r="JJM247" s="10"/>
      <c r="JJN247" s="21"/>
      <c r="JJO247" s="21"/>
      <c r="JJR247" s="21"/>
      <c r="JJS247" s="15"/>
      <c r="JJT247" s="15"/>
      <c r="JJU247" s="15"/>
      <c r="JJV247" s="15"/>
      <c r="JJW247" s="15"/>
      <c r="JJX247" s="15"/>
      <c r="JJY247" s="15"/>
      <c r="JJZ247" s="15"/>
      <c r="JKA247" s="15"/>
      <c r="JKB247" s="15"/>
      <c r="JKC247" s="10"/>
      <c r="JKD247" s="10"/>
      <c r="JKE247" s="21"/>
      <c r="JKF247" s="21"/>
      <c r="JKI247" s="21"/>
      <c r="JKJ247" s="15"/>
      <c r="JKK247" s="15"/>
      <c r="JKL247" s="15"/>
      <c r="JKM247" s="15"/>
      <c r="JKN247" s="15"/>
      <c r="JKO247" s="15"/>
      <c r="JKP247" s="15"/>
      <c r="JKQ247" s="15"/>
      <c r="JKR247" s="15"/>
      <c r="JKS247" s="15"/>
      <c r="JKT247" s="10"/>
      <c r="JKU247" s="10"/>
      <c r="JKV247" s="21"/>
      <c r="JKW247" s="21"/>
      <c r="JKZ247" s="21"/>
      <c r="JLA247" s="15"/>
      <c r="JLB247" s="15"/>
      <c r="JLC247" s="15"/>
      <c r="JLD247" s="15"/>
      <c r="JLE247" s="15"/>
      <c r="JLF247" s="15"/>
      <c r="JLG247" s="15"/>
      <c r="JLH247" s="15"/>
      <c r="JLI247" s="15"/>
      <c r="JLJ247" s="15"/>
      <c r="JLK247" s="10"/>
      <c r="JLL247" s="10"/>
      <c r="JLM247" s="21"/>
      <c r="JLN247" s="21"/>
      <c r="JLQ247" s="21"/>
      <c r="JLR247" s="15"/>
      <c r="JLS247" s="15"/>
      <c r="JLT247" s="15"/>
      <c r="JLU247" s="15"/>
      <c r="JLV247" s="15"/>
      <c r="JLW247" s="15"/>
      <c r="JLX247" s="15"/>
      <c r="JLY247" s="15"/>
      <c r="JLZ247" s="15"/>
      <c r="JMA247" s="15"/>
      <c r="JMB247" s="10"/>
      <c r="JMC247" s="10"/>
      <c r="JMD247" s="21"/>
      <c r="JME247" s="21"/>
      <c r="JMH247" s="21"/>
      <c r="JMI247" s="15"/>
      <c r="JMJ247" s="15"/>
      <c r="JMK247" s="15"/>
      <c r="JML247" s="15"/>
      <c r="JMM247" s="15"/>
      <c r="JMN247" s="15"/>
      <c r="JMO247" s="15"/>
      <c r="JMP247" s="15"/>
      <c r="JMQ247" s="15"/>
      <c r="JMR247" s="15"/>
      <c r="JMS247" s="10"/>
      <c r="JMT247" s="10"/>
      <c r="JMU247" s="21"/>
      <c r="JMV247" s="21"/>
      <c r="JMY247" s="21"/>
      <c r="JMZ247" s="15"/>
      <c r="JNA247" s="15"/>
      <c r="JNB247" s="15"/>
      <c r="JNC247" s="15"/>
      <c r="JND247" s="15"/>
      <c r="JNE247" s="15"/>
      <c r="JNF247" s="15"/>
      <c r="JNG247" s="15"/>
      <c r="JNH247" s="15"/>
      <c r="JNI247" s="15"/>
      <c r="JNJ247" s="10"/>
      <c r="JNK247" s="10"/>
      <c r="JNL247" s="21"/>
      <c r="JNM247" s="21"/>
      <c r="JNP247" s="21"/>
      <c r="JNQ247" s="15"/>
      <c r="JNR247" s="15"/>
      <c r="JNS247" s="15"/>
      <c r="JNT247" s="15"/>
      <c r="JNU247" s="15"/>
      <c r="JNV247" s="15"/>
      <c r="JNW247" s="15"/>
      <c r="JNX247" s="15"/>
      <c r="JNY247" s="15"/>
      <c r="JNZ247" s="15"/>
      <c r="JOA247" s="10"/>
      <c r="JOB247" s="10"/>
      <c r="JOC247" s="21"/>
      <c r="JOD247" s="21"/>
      <c r="JOG247" s="21"/>
      <c r="JOH247" s="15"/>
      <c r="JOI247" s="15"/>
      <c r="JOJ247" s="15"/>
      <c r="JOK247" s="15"/>
      <c r="JOL247" s="15"/>
      <c r="JOM247" s="15"/>
      <c r="JON247" s="15"/>
      <c r="JOO247" s="15"/>
      <c r="JOP247" s="15"/>
      <c r="JOQ247" s="15"/>
      <c r="JOR247" s="10"/>
      <c r="JOS247" s="10"/>
      <c r="JOT247" s="21"/>
      <c r="JOU247" s="21"/>
      <c r="JOX247" s="21"/>
      <c r="JOY247" s="15"/>
      <c r="JOZ247" s="15"/>
      <c r="JPA247" s="15"/>
      <c r="JPB247" s="15"/>
      <c r="JPC247" s="15"/>
      <c r="JPD247" s="15"/>
      <c r="JPE247" s="15"/>
      <c r="JPF247" s="15"/>
      <c r="JPG247" s="15"/>
      <c r="JPH247" s="15"/>
      <c r="JPI247" s="10"/>
      <c r="JPJ247" s="10"/>
      <c r="JPK247" s="21"/>
      <c r="JPL247" s="21"/>
      <c r="JPO247" s="21"/>
      <c r="JPP247" s="15"/>
      <c r="JPQ247" s="15"/>
      <c r="JPR247" s="15"/>
      <c r="JPS247" s="15"/>
      <c r="JPT247" s="15"/>
      <c r="JPU247" s="15"/>
      <c r="JPV247" s="15"/>
      <c r="JPW247" s="15"/>
      <c r="JPX247" s="15"/>
      <c r="JPY247" s="15"/>
      <c r="JPZ247" s="10"/>
      <c r="JQA247" s="10"/>
      <c r="JQB247" s="21"/>
      <c r="JQC247" s="21"/>
      <c r="JQF247" s="21"/>
      <c r="JQG247" s="15"/>
      <c r="JQH247" s="15"/>
      <c r="JQI247" s="15"/>
      <c r="JQJ247" s="15"/>
      <c r="JQK247" s="15"/>
      <c r="JQL247" s="15"/>
      <c r="JQM247" s="15"/>
      <c r="JQN247" s="15"/>
      <c r="JQO247" s="15"/>
      <c r="JQP247" s="15"/>
      <c r="JQQ247" s="10"/>
      <c r="JQR247" s="10"/>
      <c r="JQS247" s="21"/>
      <c r="JQT247" s="21"/>
      <c r="JQW247" s="21"/>
      <c r="JQX247" s="15"/>
      <c r="JQY247" s="15"/>
      <c r="JQZ247" s="15"/>
      <c r="JRA247" s="15"/>
      <c r="JRB247" s="15"/>
      <c r="JRC247" s="15"/>
      <c r="JRD247" s="15"/>
      <c r="JRE247" s="15"/>
      <c r="JRF247" s="15"/>
      <c r="JRG247" s="15"/>
      <c r="JRH247" s="10"/>
      <c r="JRI247" s="10"/>
      <c r="JRJ247" s="21"/>
      <c r="JRK247" s="21"/>
      <c r="JRN247" s="21"/>
      <c r="JRO247" s="15"/>
      <c r="JRP247" s="15"/>
      <c r="JRQ247" s="15"/>
      <c r="JRR247" s="15"/>
      <c r="JRS247" s="15"/>
      <c r="JRT247" s="15"/>
      <c r="JRU247" s="15"/>
      <c r="JRV247" s="15"/>
      <c r="JRW247" s="15"/>
      <c r="JRX247" s="15"/>
      <c r="JRY247" s="10"/>
      <c r="JRZ247" s="10"/>
      <c r="JSA247" s="21"/>
      <c r="JSB247" s="21"/>
      <c r="JSE247" s="21"/>
      <c r="JSF247" s="15"/>
      <c r="JSG247" s="15"/>
      <c r="JSH247" s="15"/>
      <c r="JSI247" s="15"/>
      <c r="JSJ247" s="15"/>
      <c r="JSK247" s="15"/>
      <c r="JSL247" s="15"/>
      <c r="JSM247" s="15"/>
      <c r="JSN247" s="15"/>
      <c r="JSO247" s="15"/>
      <c r="JSP247" s="10"/>
      <c r="JSQ247" s="10"/>
      <c r="JSR247" s="21"/>
      <c r="JSS247" s="21"/>
      <c r="JSV247" s="21"/>
      <c r="JSW247" s="15"/>
      <c r="JSX247" s="15"/>
      <c r="JSY247" s="15"/>
      <c r="JSZ247" s="15"/>
      <c r="JTA247" s="15"/>
      <c r="JTB247" s="15"/>
      <c r="JTC247" s="15"/>
      <c r="JTD247" s="15"/>
      <c r="JTE247" s="15"/>
      <c r="JTF247" s="15"/>
      <c r="JTG247" s="10"/>
      <c r="JTH247" s="10"/>
      <c r="JTI247" s="21"/>
      <c r="JTJ247" s="21"/>
      <c r="JTM247" s="21"/>
      <c r="JTN247" s="15"/>
      <c r="JTO247" s="15"/>
      <c r="JTP247" s="15"/>
      <c r="JTQ247" s="15"/>
      <c r="JTR247" s="15"/>
      <c r="JTS247" s="15"/>
      <c r="JTT247" s="15"/>
      <c r="JTU247" s="15"/>
      <c r="JTV247" s="15"/>
      <c r="JTW247" s="15"/>
      <c r="JTX247" s="10"/>
      <c r="JTY247" s="10"/>
      <c r="JTZ247" s="21"/>
      <c r="JUA247" s="21"/>
      <c r="JUD247" s="21"/>
      <c r="JUE247" s="15"/>
      <c r="JUF247" s="15"/>
      <c r="JUG247" s="15"/>
      <c r="JUH247" s="15"/>
      <c r="JUI247" s="15"/>
      <c r="JUJ247" s="15"/>
      <c r="JUK247" s="15"/>
      <c r="JUL247" s="15"/>
      <c r="JUM247" s="15"/>
      <c r="JUN247" s="15"/>
      <c r="JUO247" s="10"/>
      <c r="JUP247" s="10"/>
      <c r="JUQ247" s="21"/>
      <c r="JUR247" s="21"/>
      <c r="JUU247" s="21"/>
      <c r="JUV247" s="15"/>
      <c r="JUW247" s="15"/>
      <c r="JUX247" s="15"/>
      <c r="JUY247" s="15"/>
      <c r="JUZ247" s="15"/>
      <c r="JVA247" s="15"/>
      <c r="JVB247" s="15"/>
      <c r="JVC247" s="15"/>
      <c r="JVD247" s="15"/>
      <c r="JVE247" s="15"/>
      <c r="JVF247" s="10"/>
      <c r="JVG247" s="10"/>
      <c r="JVH247" s="21"/>
      <c r="JVI247" s="21"/>
      <c r="JVL247" s="21"/>
      <c r="JVM247" s="15"/>
      <c r="JVN247" s="15"/>
      <c r="JVO247" s="15"/>
      <c r="JVP247" s="15"/>
      <c r="JVQ247" s="15"/>
      <c r="JVR247" s="15"/>
      <c r="JVS247" s="15"/>
      <c r="JVT247" s="15"/>
      <c r="JVU247" s="15"/>
      <c r="JVV247" s="15"/>
      <c r="JVW247" s="10"/>
      <c r="JVX247" s="10"/>
      <c r="JVY247" s="21"/>
      <c r="JVZ247" s="21"/>
      <c r="JWC247" s="21"/>
      <c r="JWD247" s="15"/>
      <c r="JWE247" s="15"/>
      <c r="JWF247" s="15"/>
      <c r="JWG247" s="15"/>
      <c r="JWH247" s="15"/>
      <c r="JWI247" s="15"/>
      <c r="JWJ247" s="15"/>
      <c r="JWK247" s="15"/>
      <c r="JWL247" s="15"/>
      <c r="JWM247" s="15"/>
      <c r="JWN247" s="10"/>
      <c r="JWO247" s="10"/>
      <c r="JWP247" s="21"/>
      <c r="JWQ247" s="21"/>
      <c r="JWT247" s="21"/>
      <c r="JWU247" s="15"/>
      <c r="JWV247" s="15"/>
      <c r="JWW247" s="15"/>
      <c r="JWX247" s="15"/>
      <c r="JWY247" s="15"/>
      <c r="JWZ247" s="15"/>
      <c r="JXA247" s="15"/>
      <c r="JXB247" s="15"/>
      <c r="JXC247" s="15"/>
      <c r="JXD247" s="15"/>
      <c r="JXE247" s="10"/>
      <c r="JXF247" s="10"/>
      <c r="JXG247" s="21"/>
      <c r="JXH247" s="21"/>
      <c r="JXK247" s="21"/>
      <c r="JXL247" s="15"/>
      <c r="JXM247" s="15"/>
      <c r="JXN247" s="15"/>
      <c r="JXO247" s="15"/>
      <c r="JXP247" s="15"/>
      <c r="JXQ247" s="15"/>
      <c r="JXR247" s="15"/>
      <c r="JXS247" s="15"/>
      <c r="JXT247" s="15"/>
      <c r="JXU247" s="15"/>
      <c r="JXV247" s="10"/>
      <c r="JXW247" s="10"/>
      <c r="JXX247" s="21"/>
      <c r="JXY247" s="21"/>
      <c r="JYB247" s="21"/>
      <c r="JYC247" s="15"/>
      <c r="JYD247" s="15"/>
      <c r="JYE247" s="15"/>
      <c r="JYF247" s="15"/>
      <c r="JYG247" s="15"/>
      <c r="JYH247" s="15"/>
      <c r="JYI247" s="15"/>
      <c r="JYJ247" s="15"/>
      <c r="JYK247" s="15"/>
      <c r="JYL247" s="15"/>
      <c r="JYM247" s="10"/>
      <c r="JYN247" s="10"/>
      <c r="JYO247" s="21"/>
      <c r="JYP247" s="21"/>
      <c r="JYS247" s="21"/>
      <c r="JYT247" s="15"/>
      <c r="JYU247" s="15"/>
      <c r="JYV247" s="15"/>
      <c r="JYW247" s="15"/>
      <c r="JYX247" s="15"/>
      <c r="JYY247" s="15"/>
      <c r="JYZ247" s="15"/>
      <c r="JZA247" s="15"/>
      <c r="JZB247" s="15"/>
      <c r="JZC247" s="15"/>
      <c r="JZD247" s="10"/>
      <c r="JZE247" s="10"/>
      <c r="JZF247" s="21"/>
      <c r="JZG247" s="21"/>
      <c r="JZJ247" s="21"/>
      <c r="JZK247" s="15"/>
      <c r="JZL247" s="15"/>
      <c r="JZM247" s="15"/>
      <c r="JZN247" s="15"/>
      <c r="JZO247" s="15"/>
      <c r="JZP247" s="15"/>
      <c r="JZQ247" s="15"/>
      <c r="JZR247" s="15"/>
      <c r="JZS247" s="15"/>
      <c r="JZT247" s="15"/>
      <c r="JZU247" s="10"/>
      <c r="JZV247" s="10"/>
      <c r="JZW247" s="21"/>
      <c r="JZX247" s="21"/>
      <c r="KAA247" s="21"/>
      <c r="KAB247" s="15"/>
      <c r="KAC247" s="15"/>
      <c r="KAD247" s="15"/>
      <c r="KAE247" s="15"/>
      <c r="KAF247" s="15"/>
      <c r="KAG247" s="15"/>
      <c r="KAH247" s="15"/>
      <c r="KAI247" s="15"/>
      <c r="KAJ247" s="15"/>
      <c r="KAK247" s="15"/>
      <c r="KAL247" s="10"/>
      <c r="KAM247" s="10"/>
      <c r="KAN247" s="21"/>
      <c r="KAO247" s="21"/>
      <c r="KAR247" s="21"/>
      <c r="KAS247" s="15"/>
      <c r="KAT247" s="15"/>
      <c r="KAU247" s="15"/>
      <c r="KAV247" s="15"/>
      <c r="KAW247" s="15"/>
      <c r="KAX247" s="15"/>
      <c r="KAY247" s="15"/>
      <c r="KAZ247" s="15"/>
      <c r="KBA247" s="15"/>
      <c r="KBB247" s="15"/>
      <c r="KBC247" s="10"/>
      <c r="KBD247" s="10"/>
      <c r="KBE247" s="21"/>
      <c r="KBF247" s="21"/>
      <c r="KBI247" s="21"/>
      <c r="KBJ247" s="15"/>
      <c r="KBK247" s="15"/>
      <c r="KBL247" s="15"/>
      <c r="KBM247" s="15"/>
      <c r="KBN247" s="15"/>
      <c r="KBO247" s="15"/>
      <c r="KBP247" s="15"/>
      <c r="KBQ247" s="15"/>
      <c r="KBR247" s="15"/>
      <c r="KBS247" s="15"/>
      <c r="KBT247" s="10"/>
      <c r="KBU247" s="10"/>
      <c r="KBV247" s="21"/>
      <c r="KBW247" s="21"/>
      <c r="KBZ247" s="21"/>
      <c r="KCA247" s="15"/>
      <c r="KCB247" s="15"/>
      <c r="KCC247" s="15"/>
      <c r="KCD247" s="15"/>
      <c r="KCE247" s="15"/>
      <c r="KCF247" s="15"/>
      <c r="KCG247" s="15"/>
      <c r="KCH247" s="15"/>
      <c r="KCI247" s="15"/>
      <c r="KCJ247" s="15"/>
      <c r="KCK247" s="10"/>
      <c r="KCL247" s="10"/>
      <c r="KCM247" s="21"/>
      <c r="KCN247" s="21"/>
      <c r="KCQ247" s="21"/>
      <c r="KCR247" s="15"/>
      <c r="KCS247" s="15"/>
      <c r="KCT247" s="15"/>
      <c r="KCU247" s="15"/>
      <c r="KCV247" s="15"/>
      <c r="KCW247" s="15"/>
      <c r="KCX247" s="15"/>
      <c r="KCY247" s="15"/>
      <c r="KCZ247" s="15"/>
      <c r="KDA247" s="15"/>
      <c r="KDB247" s="10"/>
      <c r="KDC247" s="10"/>
      <c r="KDD247" s="21"/>
      <c r="KDE247" s="21"/>
      <c r="KDH247" s="21"/>
      <c r="KDI247" s="15"/>
      <c r="KDJ247" s="15"/>
      <c r="KDK247" s="15"/>
      <c r="KDL247" s="15"/>
      <c r="KDM247" s="15"/>
      <c r="KDN247" s="15"/>
      <c r="KDO247" s="15"/>
      <c r="KDP247" s="15"/>
      <c r="KDQ247" s="15"/>
      <c r="KDR247" s="15"/>
      <c r="KDS247" s="10"/>
      <c r="KDT247" s="10"/>
      <c r="KDU247" s="21"/>
      <c r="KDV247" s="21"/>
      <c r="KDY247" s="21"/>
      <c r="KDZ247" s="15"/>
      <c r="KEA247" s="15"/>
      <c r="KEB247" s="15"/>
      <c r="KEC247" s="15"/>
      <c r="KED247" s="15"/>
      <c r="KEE247" s="15"/>
      <c r="KEF247" s="15"/>
      <c r="KEG247" s="15"/>
      <c r="KEH247" s="15"/>
      <c r="KEI247" s="15"/>
      <c r="KEJ247" s="10"/>
      <c r="KEK247" s="10"/>
      <c r="KEL247" s="21"/>
      <c r="KEM247" s="21"/>
      <c r="KEP247" s="21"/>
      <c r="KEQ247" s="15"/>
      <c r="KER247" s="15"/>
      <c r="KES247" s="15"/>
      <c r="KET247" s="15"/>
      <c r="KEU247" s="15"/>
      <c r="KEV247" s="15"/>
      <c r="KEW247" s="15"/>
      <c r="KEX247" s="15"/>
      <c r="KEY247" s="15"/>
      <c r="KEZ247" s="15"/>
      <c r="KFA247" s="10"/>
      <c r="KFB247" s="10"/>
      <c r="KFC247" s="21"/>
      <c r="KFD247" s="21"/>
      <c r="KFG247" s="21"/>
      <c r="KFH247" s="15"/>
      <c r="KFI247" s="15"/>
      <c r="KFJ247" s="15"/>
      <c r="KFK247" s="15"/>
      <c r="KFL247" s="15"/>
      <c r="KFM247" s="15"/>
      <c r="KFN247" s="15"/>
      <c r="KFO247" s="15"/>
      <c r="KFP247" s="15"/>
      <c r="KFQ247" s="15"/>
      <c r="KFR247" s="10"/>
      <c r="KFS247" s="10"/>
      <c r="KFT247" s="21"/>
      <c r="KFU247" s="21"/>
      <c r="KFX247" s="21"/>
      <c r="KFY247" s="15"/>
      <c r="KFZ247" s="15"/>
      <c r="KGA247" s="15"/>
      <c r="KGB247" s="15"/>
      <c r="KGC247" s="15"/>
      <c r="KGD247" s="15"/>
      <c r="KGE247" s="15"/>
      <c r="KGF247" s="15"/>
      <c r="KGG247" s="15"/>
      <c r="KGH247" s="15"/>
      <c r="KGI247" s="10"/>
      <c r="KGJ247" s="10"/>
      <c r="KGK247" s="21"/>
      <c r="KGL247" s="21"/>
      <c r="KGO247" s="21"/>
      <c r="KGP247" s="15"/>
      <c r="KGQ247" s="15"/>
      <c r="KGR247" s="15"/>
      <c r="KGS247" s="15"/>
      <c r="KGT247" s="15"/>
      <c r="KGU247" s="15"/>
      <c r="KGV247" s="15"/>
      <c r="KGW247" s="15"/>
      <c r="KGX247" s="15"/>
      <c r="KGY247" s="15"/>
      <c r="KGZ247" s="10"/>
      <c r="KHA247" s="10"/>
      <c r="KHB247" s="21"/>
      <c r="KHC247" s="21"/>
      <c r="KHF247" s="21"/>
      <c r="KHG247" s="15"/>
      <c r="KHH247" s="15"/>
      <c r="KHI247" s="15"/>
      <c r="KHJ247" s="15"/>
      <c r="KHK247" s="15"/>
      <c r="KHL247" s="15"/>
      <c r="KHM247" s="15"/>
      <c r="KHN247" s="15"/>
      <c r="KHO247" s="15"/>
      <c r="KHP247" s="15"/>
      <c r="KHQ247" s="10"/>
      <c r="KHR247" s="10"/>
      <c r="KHS247" s="21"/>
      <c r="KHT247" s="21"/>
      <c r="KHW247" s="21"/>
      <c r="KHX247" s="15"/>
      <c r="KHY247" s="15"/>
      <c r="KHZ247" s="15"/>
      <c r="KIA247" s="15"/>
      <c r="KIB247" s="15"/>
      <c r="KIC247" s="15"/>
      <c r="KID247" s="15"/>
      <c r="KIE247" s="15"/>
      <c r="KIF247" s="15"/>
      <c r="KIG247" s="15"/>
      <c r="KIH247" s="10"/>
      <c r="KII247" s="10"/>
      <c r="KIJ247" s="21"/>
      <c r="KIK247" s="21"/>
      <c r="KIN247" s="21"/>
      <c r="KIO247" s="15"/>
      <c r="KIP247" s="15"/>
      <c r="KIQ247" s="15"/>
      <c r="KIR247" s="15"/>
      <c r="KIS247" s="15"/>
      <c r="KIT247" s="15"/>
      <c r="KIU247" s="15"/>
      <c r="KIV247" s="15"/>
      <c r="KIW247" s="15"/>
      <c r="KIX247" s="15"/>
      <c r="KIY247" s="10"/>
      <c r="KIZ247" s="10"/>
      <c r="KJA247" s="21"/>
      <c r="KJB247" s="21"/>
      <c r="KJE247" s="21"/>
      <c r="KJF247" s="15"/>
      <c r="KJG247" s="15"/>
      <c r="KJH247" s="15"/>
      <c r="KJI247" s="15"/>
      <c r="KJJ247" s="15"/>
      <c r="KJK247" s="15"/>
      <c r="KJL247" s="15"/>
      <c r="KJM247" s="15"/>
      <c r="KJN247" s="15"/>
      <c r="KJO247" s="15"/>
      <c r="KJP247" s="10"/>
      <c r="KJQ247" s="10"/>
      <c r="KJR247" s="21"/>
      <c r="KJS247" s="21"/>
      <c r="KJV247" s="21"/>
      <c r="KJW247" s="15"/>
      <c r="KJX247" s="15"/>
      <c r="KJY247" s="15"/>
      <c r="KJZ247" s="15"/>
      <c r="KKA247" s="15"/>
      <c r="KKB247" s="15"/>
      <c r="KKC247" s="15"/>
      <c r="KKD247" s="15"/>
      <c r="KKE247" s="15"/>
      <c r="KKF247" s="15"/>
      <c r="KKG247" s="10"/>
      <c r="KKH247" s="10"/>
      <c r="KKI247" s="21"/>
      <c r="KKJ247" s="21"/>
      <c r="KKM247" s="21"/>
      <c r="KKN247" s="15"/>
      <c r="KKO247" s="15"/>
      <c r="KKP247" s="15"/>
      <c r="KKQ247" s="15"/>
      <c r="KKR247" s="15"/>
      <c r="KKS247" s="15"/>
      <c r="KKT247" s="15"/>
      <c r="KKU247" s="15"/>
      <c r="KKV247" s="15"/>
      <c r="KKW247" s="15"/>
      <c r="KKX247" s="10"/>
      <c r="KKY247" s="10"/>
      <c r="KKZ247" s="21"/>
      <c r="KLA247" s="21"/>
      <c r="KLD247" s="21"/>
      <c r="KLE247" s="15"/>
      <c r="KLF247" s="15"/>
      <c r="KLG247" s="15"/>
      <c r="KLH247" s="15"/>
      <c r="KLI247" s="15"/>
      <c r="KLJ247" s="15"/>
      <c r="KLK247" s="15"/>
      <c r="KLL247" s="15"/>
      <c r="KLM247" s="15"/>
      <c r="KLN247" s="15"/>
      <c r="KLO247" s="10"/>
      <c r="KLP247" s="10"/>
      <c r="KLQ247" s="21"/>
      <c r="KLR247" s="21"/>
      <c r="KLU247" s="21"/>
      <c r="KLV247" s="15"/>
      <c r="KLW247" s="15"/>
      <c r="KLX247" s="15"/>
      <c r="KLY247" s="15"/>
      <c r="KLZ247" s="15"/>
      <c r="KMA247" s="15"/>
      <c r="KMB247" s="15"/>
      <c r="KMC247" s="15"/>
      <c r="KMD247" s="15"/>
      <c r="KME247" s="15"/>
      <c r="KMF247" s="10"/>
      <c r="KMG247" s="10"/>
      <c r="KMH247" s="21"/>
      <c r="KMI247" s="21"/>
      <c r="KML247" s="21"/>
      <c r="KMM247" s="15"/>
      <c r="KMN247" s="15"/>
      <c r="KMO247" s="15"/>
      <c r="KMP247" s="15"/>
      <c r="KMQ247" s="15"/>
      <c r="KMR247" s="15"/>
      <c r="KMS247" s="15"/>
      <c r="KMT247" s="15"/>
      <c r="KMU247" s="15"/>
      <c r="KMV247" s="15"/>
      <c r="KMW247" s="10"/>
      <c r="KMX247" s="10"/>
      <c r="KMY247" s="21"/>
      <c r="KMZ247" s="21"/>
      <c r="KNC247" s="21"/>
      <c r="KND247" s="15"/>
      <c r="KNE247" s="15"/>
      <c r="KNF247" s="15"/>
      <c r="KNG247" s="15"/>
      <c r="KNH247" s="15"/>
      <c r="KNI247" s="15"/>
      <c r="KNJ247" s="15"/>
      <c r="KNK247" s="15"/>
      <c r="KNL247" s="15"/>
      <c r="KNM247" s="15"/>
      <c r="KNN247" s="10"/>
      <c r="KNO247" s="10"/>
      <c r="KNP247" s="21"/>
      <c r="KNQ247" s="21"/>
      <c r="KNT247" s="21"/>
      <c r="KNU247" s="15"/>
      <c r="KNV247" s="15"/>
      <c r="KNW247" s="15"/>
      <c r="KNX247" s="15"/>
      <c r="KNY247" s="15"/>
      <c r="KNZ247" s="15"/>
      <c r="KOA247" s="15"/>
      <c r="KOB247" s="15"/>
      <c r="KOC247" s="15"/>
      <c r="KOD247" s="15"/>
      <c r="KOE247" s="10"/>
      <c r="KOF247" s="10"/>
      <c r="KOG247" s="21"/>
      <c r="KOH247" s="21"/>
      <c r="KOK247" s="21"/>
      <c r="KOL247" s="15"/>
      <c r="KOM247" s="15"/>
      <c r="KON247" s="15"/>
      <c r="KOO247" s="15"/>
      <c r="KOP247" s="15"/>
      <c r="KOQ247" s="15"/>
      <c r="KOR247" s="15"/>
      <c r="KOS247" s="15"/>
      <c r="KOT247" s="15"/>
      <c r="KOU247" s="15"/>
      <c r="KOV247" s="10"/>
      <c r="KOW247" s="10"/>
      <c r="KOX247" s="21"/>
      <c r="KOY247" s="21"/>
      <c r="KPB247" s="21"/>
      <c r="KPC247" s="15"/>
      <c r="KPD247" s="15"/>
      <c r="KPE247" s="15"/>
      <c r="KPF247" s="15"/>
      <c r="KPG247" s="15"/>
      <c r="KPH247" s="15"/>
      <c r="KPI247" s="15"/>
      <c r="KPJ247" s="15"/>
      <c r="KPK247" s="15"/>
      <c r="KPL247" s="15"/>
      <c r="KPM247" s="10"/>
      <c r="KPN247" s="10"/>
      <c r="KPO247" s="21"/>
      <c r="KPP247" s="21"/>
      <c r="KPS247" s="21"/>
      <c r="KPT247" s="15"/>
      <c r="KPU247" s="15"/>
      <c r="KPV247" s="15"/>
      <c r="KPW247" s="15"/>
      <c r="KPX247" s="15"/>
      <c r="KPY247" s="15"/>
      <c r="KPZ247" s="15"/>
      <c r="KQA247" s="15"/>
      <c r="KQB247" s="15"/>
      <c r="KQC247" s="15"/>
      <c r="KQD247" s="10"/>
      <c r="KQE247" s="10"/>
      <c r="KQF247" s="21"/>
      <c r="KQG247" s="21"/>
      <c r="KQJ247" s="21"/>
      <c r="KQK247" s="15"/>
      <c r="KQL247" s="15"/>
      <c r="KQM247" s="15"/>
      <c r="KQN247" s="15"/>
      <c r="KQO247" s="15"/>
      <c r="KQP247" s="15"/>
      <c r="KQQ247" s="15"/>
      <c r="KQR247" s="15"/>
      <c r="KQS247" s="15"/>
      <c r="KQT247" s="15"/>
      <c r="KQU247" s="10"/>
      <c r="KQV247" s="10"/>
      <c r="KQW247" s="21"/>
      <c r="KQX247" s="21"/>
      <c r="KRA247" s="21"/>
      <c r="KRB247" s="15"/>
      <c r="KRC247" s="15"/>
      <c r="KRD247" s="15"/>
      <c r="KRE247" s="15"/>
      <c r="KRF247" s="15"/>
      <c r="KRG247" s="15"/>
      <c r="KRH247" s="15"/>
      <c r="KRI247" s="15"/>
      <c r="KRJ247" s="15"/>
      <c r="KRK247" s="15"/>
      <c r="KRL247" s="10"/>
      <c r="KRM247" s="10"/>
      <c r="KRN247" s="21"/>
      <c r="KRO247" s="21"/>
      <c r="KRR247" s="21"/>
      <c r="KRS247" s="15"/>
      <c r="KRT247" s="15"/>
      <c r="KRU247" s="15"/>
      <c r="KRV247" s="15"/>
      <c r="KRW247" s="15"/>
      <c r="KRX247" s="15"/>
      <c r="KRY247" s="15"/>
      <c r="KRZ247" s="15"/>
      <c r="KSA247" s="15"/>
      <c r="KSB247" s="15"/>
      <c r="KSC247" s="10"/>
      <c r="KSD247" s="10"/>
      <c r="KSE247" s="21"/>
      <c r="KSF247" s="21"/>
      <c r="KSI247" s="21"/>
      <c r="KSJ247" s="15"/>
      <c r="KSK247" s="15"/>
      <c r="KSL247" s="15"/>
      <c r="KSM247" s="15"/>
      <c r="KSN247" s="15"/>
      <c r="KSO247" s="15"/>
      <c r="KSP247" s="15"/>
      <c r="KSQ247" s="15"/>
      <c r="KSR247" s="15"/>
      <c r="KSS247" s="15"/>
      <c r="KST247" s="10"/>
      <c r="KSU247" s="10"/>
      <c r="KSV247" s="21"/>
      <c r="KSW247" s="21"/>
      <c r="KSZ247" s="21"/>
      <c r="KTA247" s="15"/>
      <c r="KTB247" s="15"/>
      <c r="KTC247" s="15"/>
      <c r="KTD247" s="15"/>
      <c r="KTE247" s="15"/>
      <c r="KTF247" s="15"/>
      <c r="KTG247" s="15"/>
      <c r="KTH247" s="15"/>
      <c r="KTI247" s="15"/>
      <c r="KTJ247" s="15"/>
      <c r="KTK247" s="10"/>
      <c r="KTL247" s="10"/>
      <c r="KTM247" s="21"/>
      <c r="KTN247" s="21"/>
      <c r="KTQ247" s="21"/>
      <c r="KTR247" s="15"/>
      <c r="KTS247" s="15"/>
      <c r="KTT247" s="15"/>
      <c r="KTU247" s="15"/>
      <c r="KTV247" s="15"/>
      <c r="KTW247" s="15"/>
      <c r="KTX247" s="15"/>
      <c r="KTY247" s="15"/>
      <c r="KTZ247" s="15"/>
      <c r="KUA247" s="15"/>
      <c r="KUB247" s="10"/>
      <c r="KUC247" s="10"/>
      <c r="KUD247" s="21"/>
      <c r="KUE247" s="21"/>
      <c r="KUH247" s="21"/>
      <c r="KUI247" s="15"/>
      <c r="KUJ247" s="15"/>
      <c r="KUK247" s="15"/>
      <c r="KUL247" s="15"/>
      <c r="KUM247" s="15"/>
      <c r="KUN247" s="15"/>
      <c r="KUO247" s="15"/>
      <c r="KUP247" s="15"/>
      <c r="KUQ247" s="15"/>
      <c r="KUR247" s="15"/>
      <c r="KUS247" s="10"/>
      <c r="KUT247" s="10"/>
      <c r="KUU247" s="21"/>
      <c r="KUV247" s="21"/>
      <c r="KUY247" s="21"/>
      <c r="KUZ247" s="15"/>
      <c r="KVA247" s="15"/>
      <c r="KVB247" s="15"/>
      <c r="KVC247" s="15"/>
      <c r="KVD247" s="15"/>
      <c r="KVE247" s="15"/>
      <c r="KVF247" s="15"/>
      <c r="KVG247" s="15"/>
      <c r="KVH247" s="15"/>
      <c r="KVI247" s="15"/>
      <c r="KVJ247" s="10"/>
      <c r="KVK247" s="10"/>
      <c r="KVL247" s="21"/>
      <c r="KVM247" s="21"/>
      <c r="KVP247" s="21"/>
      <c r="KVQ247" s="15"/>
      <c r="KVR247" s="15"/>
      <c r="KVS247" s="15"/>
      <c r="KVT247" s="15"/>
      <c r="KVU247" s="15"/>
      <c r="KVV247" s="15"/>
      <c r="KVW247" s="15"/>
      <c r="KVX247" s="15"/>
      <c r="KVY247" s="15"/>
      <c r="KVZ247" s="15"/>
      <c r="KWA247" s="10"/>
      <c r="KWB247" s="10"/>
      <c r="KWC247" s="21"/>
      <c r="KWD247" s="21"/>
      <c r="KWG247" s="21"/>
      <c r="KWH247" s="15"/>
      <c r="KWI247" s="15"/>
      <c r="KWJ247" s="15"/>
      <c r="KWK247" s="15"/>
      <c r="KWL247" s="15"/>
      <c r="KWM247" s="15"/>
      <c r="KWN247" s="15"/>
      <c r="KWO247" s="15"/>
      <c r="KWP247" s="15"/>
      <c r="KWQ247" s="15"/>
      <c r="KWR247" s="10"/>
      <c r="KWS247" s="10"/>
      <c r="KWT247" s="21"/>
      <c r="KWU247" s="21"/>
      <c r="KWX247" s="21"/>
      <c r="KWY247" s="15"/>
      <c r="KWZ247" s="15"/>
      <c r="KXA247" s="15"/>
      <c r="KXB247" s="15"/>
      <c r="KXC247" s="15"/>
      <c r="KXD247" s="15"/>
      <c r="KXE247" s="15"/>
      <c r="KXF247" s="15"/>
      <c r="KXG247" s="15"/>
      <c r="KXH247" s="15"/>
      <c r="KXI247" s="10"/>
      <c r="KXJ247" s="10"/>
      <c r="KXK247" s="21"/>
      <c r="KXL247" s="21"/>
      <c r="KXO247" s="21"/>
      <c r="KXP247" s="15"/>
      <c r="KXQ247" s="15"/>
      <c r="KXR247" s="15"/>
      <c r="KXS247" s="15"/>
      <c r="KXT247" s="15"/>
      <c r="KXU247" s="15"/>
      <c r="KXV247" s="15"/>
      <c r="KXW247" s="15"/>
      <c r="KXX247" s="15"/>
      <c r="KXY247" s="15"/>
      <c r="KXZ247" s="10"/>
      <c r="KYA247" s="10"/>
      <c r="KYB247" s="21"/>
      <c r="KYC247" s="21"/>
      <c r="KYF247" s="21"/>
      <c r="KYG247" s="15"/>
      <c r="KYH247" s="15"/>
      <c r="KYI247" s="15"/>
      <c r="KYJ247" s="15"/>
      <c r="KYK247" s="15"/>
      <c r="KYL247" s="15"/>
      <c r="KYM247" s="15"/>
      <c r="KYN247" s="15"/>
      <c r="KYO247" s="15"/>
      <c r="KYP247" s="15"/>
      <c r="KYQ247" s="10"/>
      <c r="KYR247" s="10"/>
      <c r="KYS247" s="21"/>
      <c r="KYT247" s="21"/>
      <c r="KYW247" s="21"/>
      <c r="KYX247" s="15"/>
      <c r="KYY247" s="15"/>
      <c r="KYZ247" s="15"/>
      <c r="KZA247" s="15"/>
      <c r="KZB247" s="15"/>
      <c r="KZC247" s="15"/>
      <c r="KZD247" s="15"/>
      <c r="KZE247" s="15"/>
      <c r="KZF247" s="15"/>
      <c r="KZG247" s="15"/>
      <c r="KZH247" s="10"/>
      <c r="KZI247" s="10"/>
      <c r="KZJ247" s="21"/>
      <c r="KZK247" s="21"/>
      <c r="KZN247" s="21"/>
      <c r="KZO247" s="15"/>
      <c r="KZP247" s="15"/>
      <c r="KZQ247" s="15"/>
      <c r="KZR247" s="15"/>
      <c r="KZS247" s="15"/>
      <c r="KZT247" s="15"/>
      <c r="KZU247" s="15"/>
      <c r="KZV247" s="15"/>
      <c r="KZW247" s="15"/>
      <c r="KZX247" s="15"/>
      <c r="KZY247" s="10"/>
      <c r="KZZ247" s="10"/>
      <c r="LAA247" s="21"/>
      <c r="LAB247" s="21"/>
      <c r="LAE247" s="21"/>
      <c r="LAF247" s="15"/>
      <c r="LAG247" s="15"/>
      <c r="LAH247" s="15"/>
      <c r="LAI247" s="15"/>
      <c r="LAJ247" s="15"/>
      <c r="LAK247" s="15"/>
      <c r="LAL247" s="15"/>
      <c r="LAM247" s="15"/>
      <c r="LAN247" s="15"/>
      <c r="LAO247" s="15"/>
      <c r="LAP247" s="10"/>
      <c r="LAQ247" s="10"/>
      <c r="LAR247" s="21"/>
      <c r="LAS247" s="21"/>
      <c r="LAV247" s="21"/>
      <c r="LAW247" s="15"/>
      <c r="LAX247" s="15"/>
      <c r="LAY247" s="15"/>
      <c r="LAZ247" s="15"/>
      <c r="LBA247" s="15"/>
      <c r="LBB247" s="15"/>
      <c r="LBC247" s="15"/>
      <c r="LBD247" s="15"/>
      <c r="LBE247" s="15"/>
      <c r="LBF247" s="15"/>
      <c r="LBG247" s="10"/>
      <c r="LBH247" s="10"/>
      <c r="LBI247" s="21"/>
      <c r="LBJ247" s="21"/>
      <c r="LBM247" s="21"/>
      <c r="LBN247" s="15"/>
      <c r="LBO247" s="15"/>
      <c r="LBP247" s="15"/>
      <c r="LBQ247" s="15"/>
      <c r="LBR247" s="15"/>
      <c r="LBS247" s="15"/>
      <c r="LBT247" s="15"/>
      <c r="LBU247" s="15"/>
      <c r="LBV247" s="15"/>
      <c r="LBW247" s="15"/>
      <c r="LBX247" s="10"/>
      <c r="LBY247" s="10"/>
      <c r="LBZ247" s="21"/>
      <c r="LCA247" s="21"/>
      <c r="LCD247" s="21"/>
      <c r="LCE247" s="15"/>
      <c r="LCF247" s="15"/>
      <c r="LCG247" s="15"/>
      <c r="LCH247" s="15"/>
      <c r="LCI247" s="15"/>
      <c r="LCJ247" s="15"/>
      <c r="LCK247" s="15"/>
      <c r="LCL247" s="15"/>
      <c r="LCM247" s="15"/>
      <c r="LCN247" s="15"/>
      <c r="LCO247" s="10"/>
      <c r="LCP247" s="10"/>
      <c r="LCQ247" s="21"/>
      <c r="LCR247" s="21"/>
      <c r="LCU247" s="21"/>
      <c r="LCV247" s="15"/>
      <c r="LCW247" s="15"/>
      <c r="LCX247" s="15"/>
      <c r="LCY247" s="15"/>
      <c r="LCZ247" s="15"/>
      <c r="LDA247" s="15"/>
      <c r="LDB247" s="15"/>
      <c r="LDC247" s="15"/>
      <c r="LDD247" s="15"/>
      <c r="LDE247" s="15"/>
      <c r="LDF247" s="10"/>
      <c r="LDG247" s="10"/>
      <c r="LDH247" s="21"/>
      <c r="LDI247" s="21"/>
      <c r="LDL247" s="21"/>
      <c r="LDM247" s="15"/>
      <c r="LDN247" s="15"/>
      <c r="LDO247" s="15"/>
      <c r="LDP247" s="15"/>
      <c r="LDQ247" s="15"/>
      <c r="LDR247" s="15"/>
      <c r="LDS247" s="15"/>
      <c r="LDT247" s="15"/>
      <c r="LDU247" s="15"/>
      <c r="LDV247" s="15"/>
      <c r="LDW247" s="10"/>
      <c r="LDX247" s="10"/>
      <c r="LDY247" s="21"/>
      <c r="LDZ247" s="21"/>
      <c r="LEC247" s="21"/>
      <c r="LED247" s="15"/>
      <c r="LEE247" s="15"/>
      <c r="LEF247" s="15"/>
      <c r="LEG247" s="15"/>
      <c r="LEH247" s="15"/>
      <c r="LEI247" s="15"/>
      <c r="LEJ247" s="15"/>
      <c r="LEK247" s="15"/>
      <c r="LEL247" s="15"/>
      <c r="LEM247" s="15"/>
      <c r="LEN247" s="10"/>
      <c r="LEO247" s="10"/>
      <c r="LEP247" s="21"/>
      <c r="LEQ247" s="21"/>
      <c r="LET247" s="21"/>
      <c r="LEU247" s="15"/>
      <c r="LEV247" s="15"/>
      <c r="LEW247" s="15"/>
      <c r="LEX247" s="15"/>
      <c r="LEY247" s="15"/>
      <c r="LEZ247" s="15"/>
      <c r="LFA247" s="15"/>
      <c r="LFB247" s="15"/>
      <c r="LFC247" s="15"/>
      <c r="LFD247" s="15"/>
      <c r="LFE247" s="10"/>
      <c r="LFF247" s="10"/>
      <c r="LFG247" s="21"/>
      <c r="LFH247" s="21"/>
      <c r="LFK247" s="21"/>
      <c r="LFL247" s="15"/>
      <c r="LFM247" s="15"/>
      <c r="LFN247" s="15"/>
      <c r="LFO247" s="15"/>
      <c r="LFP247" s="15"/>
      <c r="LFQ247" s="15"/>
      <c r="LFR247" s="15"/>
      <c r="LFS247" s="15"/>
      <c r="LFT247" s="15"/>
      <c r="LFU247" s="15"/>
      <c r="LFV247" s="10"/>
      <c r="LFW247" s="10"/>
      <c r="LFX247" s="21"/>
      <c r="LFY247" s="21"/>
      <c r="LGB247" s="21"/>
      <c r="LGC247" s="15"/>
      <c r="LGD247" s="15"/>
      <c r="LGE247" s="15"/>
      <c r="LGF247" s="15"/>
      <c r="LGG247" s="15"/>
      <c r="LGH247" s="15"/>
      <c r="LGI247" s="15"/>
      <c r="LGJ247" s="15"/>
      <c r="LGK247" s="15"/>
      <c r="LGL247" s="15"/>
      <c r="LGM247" s="10"/>
      <c r="LGN247" s="10"/>
      <c r="LGO247" s="21"/>
      <c r="LGP247" s="21"/>
      <c r="LGS247" s="21"/>
      <c r="LGT247" s="15"/>
      <c r="LGU247" s="15"/>
      <c r="LGV247" s="15"/>
      <c r="LGW247" s="15"/>
      <c r="LGX247" s="15"/>
      <c r="LGY247" s="15"/>
      <c r="LGZ247" s="15"/>
      <c r="LHA247" s="15"/>
      <c r="LHB247" s="15"/>
      <c r="LHC247" s="15"/>
      <c r="LHD247" s="10"/>
      <c r="LHE247" s="10"/>
      <c r="LHF247" s="21"/>
      <c r="LHG247" s="21"/>
      <c r="LHJ247" s="21"/>
      <c r="LHK247" s="15"/>
      <c r="LHL247" s="15"/>
      <c r="LHM247" s="15"/>
      <c r="LHN247" s="15"/>
      <c r="LHO247" s="15"/>
      <c r="LHP247" s="15"/>
      <c r="LHQ247" s="15"/>
      <c r="LHR247" s="15"/>
      <c r="LHS247" s="15"/>
      <c r="LHT247" s="15"/>
      <c r="LHU247" s="10"/>
      <c r="LHV247" s="10"/>
      <c r="LHW247" s="21"/>
      <c r="LHX247" s="21"/>
      <c r="LIA247" s="21"/>
      <c r="LIB247" s="15"/>
      <c r="LIC247" s="15"/>
      <c r="LID247" s="15"/>
      <c r="LIE247" s="15"/>
      <c r="LIF247" s="15"/>
      <c r="LIG247" s="15"/>
      <c r="LIH247" s="15"/>
      <c r="LII247" s="15"/>
      <c r="LIJ247" s="15"/>
      <c r="LIK247" s="15"/>
      <c r="LIL247" s="10"/>
      <c r="LIM247" s="10"/>
      <c r="LIN247" s="21"/>
      <c r="LIO247" s="21"/>
      <c r="LIR247" s="21"/>
      <c r="LIS247" s="15"/>
      <c r="LIT247" s="15"/>
      <c r="LIU247" s="15"/>
      <c r="LIV247" s="15"/>
      <c r="LIW247" s="15"/>
      <c r="LIX247" s="15"/>
      <c r="LIY247" s="15"/>
      <c r="LIZ247" s="15"/>
      <c r="LJA247" s="15"/>
      <c r="LJB247" s="15"/>
      <c r="LJC247" s="10"/>
      <c r="LJD247" s="10"/>
      <c r="LJE247" s="21"/>
      <c r="LJF247" s="21"/>
      <c r="LJI247" s="21"/>
      <c r="LJJ247" s="15"/>
      <c r="LJK247" s="15"/>
      <c r="LJL247" s="15"/>
      <c r="LJM247" s="15"/>
      <c r="LJN247" s="15"/>
      <c r="LJO247" s="15"/>
      <c r="LJP247" s="15"/>
      <c r="LJQ247" s="15"/>
      <c r="LJR247" s="15"/>
      <c r="LJS247" s="15"/>
      <c r="LJT247" s="10"/>
      <c r="LJU247" s="10"/>
      <c r="LJV247" s="21"/>
      <c r="LJW247" s="21"/>
      <c r="LJZ247" s="21"/>
      <c r="LKA247" s="15"/>
      <c r="LKB247" s="15"/>
      <c r="LKC247" s="15"/>
      <c r="LKD247" s="15"/>
      <c r="LKE247" s="15"/>
      <c r="LKF247" s="15"/>
      <c r="LKG247" s="15"/>
      <c r="LKH247" s="15"/>
      <c r="LKI247" s="15"/>
      <c r="LKJ247" s="15"/>
      <c r="LKK247" s="10"/>
      <c r="LKL247" s="10"/>
      <c r="LKM247" s="21"/>
      <c r="LKN247" s="21"/>
      <c r="LKQ247" s="21"/>
      <c r="LKR247" s="15"/>
      <c r="LKS247" s="15"/>
      <c r="LKT247" s="15"/>
      <c r="LKU247" s="15"/>
      <c r="LKV247" s="15"/>
      <c r="LKW247" s="15"/>
      <c r="LKX247" s="15"/>
      <c r="LKY247" s="15"/>
      <c r="LKZ247" s="15"/>
      <c r="LLA247" s="15"/>
      <c r="LLB247" s="10"/>
      <c r="LLC247" s="10"/>
      <c r="LLD247" s="21"/>
      <c r="LLE247" s="21"/>
      <c r="LLH247" s="21"/>
      <c r="LLI247" s="15"/>
      <c r="LLJ247" s="15"/>
      <c r="LLK247" s="15"/>
      <c r="LLL247" s="15"/>
      <c r="LLM247" s="15"/>
      <c r="LLN247" s="15"/>
      <c r="LLO247" s="15"/>
      <c r="LLP247" s="15"/>
      <c r="LLQ247" s="15"/>
      <c r="LLR247" s="15"/>
      <c r="LLS247" s="10"/>
      <c r="LLT247" s="10"/>
      <c r="LLU247" s="21"/>
      <c r="LLV247" s="21"/>
      <c r="LLY247" s="21"/>
      <c r="LLZ247" s="15"/>
      <c r="LMA247" s="15"/>
      <c r="LMB247" s="15"/>
      <c r="LMC247" s="15"/>
      <c r="LMD247" s="15"/>
      <c r="LME247" s="15"/>
      <c r="LMF247" s="15"/>
      <c r="LMG247" s="15"/>
      <c r="LMH247" s="15"/>
      <c r="LMI247" s="15"/>
      <c r="LMJ247" s="10"/>
      <c r="LMK247" s="10"/>
      <c r="LML247" s="21"/>
      <c r="LMM247" s="21"/>
      <c r="LMP247" s="21"/>
      <c r="LMQ247" s="15"/>
      <c r="LMR247" s="15"/>
      <c r="LMS247" s="15"/>
      <c r="LMT247" s="15"/>
      <c r="LMU247" s="15"/>
      <c r="LMV247" s="15"/>
      <c r="LMW247" s="15"/>
      <c r="LMX247" s="15"/>
      <c r="LMY247" s="15"/>
      <c r="LMZ247" s="15"/>
      <c r="LNA247" s="10"/>
      <c r="LNB247" s="10"/>
      <c r="LNC247" s="21"/>
      <c r="LND247" s="21"/>
      <c r="LNG247" s="21"/>
      <c r="LNH247" s="15"/>
      <c r="LNI247" s="15"/>
      <c r="LNJ247" s="15"/>
      <c r="LNK247" s="15"/>
      <c r="LNL247" s="15"/>
      <c r="LNM247" s="15"/>
      <c r="LNN247" s="15"/>
      <c r="LNO247" s="15"/>
      <c r="LNP247" s="15"/>
      <c r="LNQ247" s="15"/>
      <c r="LNR247" s="10"/>
      <c r="LNS247" s="10"/>
      <c r="LNT247" s="21"/>
      <c r="LNU247" s="21"/>
      <c r="LNX247" s="21"/>
      <c r="LNY247" s="15"/>
      <c r="LNZ247" s="15"/>
      <c r="LOA247" s="15"/>
      <c r="LOB247" s="15"/>
      <c r="LOC247" s="15"/>
      <c r="LOD247" s="15"/>
      <c r="LOE247" s="15"/>
      <c r="LOF247" s="15"/>
      <c r="LOG247" s="15"/>
      <c r="LOH247" s="15"/>
      <c r="LOI247" s="10"/>
      <c r="LOJ247" s="10"/>
      <c r="LOK247" s="21"/>
      <c r="LOL247" s="21"/>
      <c r="LOO247" s="21"/>
      <c r="LOP247" s="15"/>
      <c r="LOQ247" s="15"/>
      <c r="LOR247" s="15"/>
      <c r="LOS247" s="15"/>
      <c r="LOT247" s="15"/>
      <c r="LOU247" s="15"/>
      <c r="LOV247" s="15"/>
      <c r="LOW247" s="15"/>
      <c r="LOX247" s="15"/>
      <c r="LOY247" s="15"/>
      <c r="LOZ247" s="10"/>
      <c r="LPA247" s="10"/>
      <c r="LPB247" s="21"/>
      <c r="LPC247" s="21"/>
      <c r="LPF247" s="21"/>
      <c r="LPG247" s="15"/>
      <c r="LPH247" s="15"/>
      <c r="LPI247" s="15"/>
      <c r="LPJ247" s="15"/>
      <c r="LPK247" s="15"/>
      <c r="LPL247" s="15"/>
      <c r="LPM247" s="15"/>
      <c r="LPN247" s="15"/>
      <c r="LPO247" s="15"/>
      <c r="LPP247" s="15"/>
      <c r="LPQ247" s="10"/>
      <c r="LPR247" s="10"/>
      <c r="LPS247" s="21"/>
      <c r="LPT247" s="21"/>
      <c r="LPW247" s="21"/>
      <c r="LPX247" s="15"/>
      <c r="LPY247" s="15"/>
      <c r="LPZ247" s="15"/>
      <c r="LQA247" s="15"/>
      <c r="LQB247" s="15"/>
      <c r="LQC247" s="15"/>
      <c r="LQD247" s="15"/>
      <c r="LQE247" s="15"/>
      <c r="LQF247" s="15"/>
      <c r="LQG247" s="15"/>
      <c r="LQH247" s="10"/>
      <c r="LQI247" s="10"/>
      <c r="LQJ247" s="21"/>
      <c r="LQK247" s="21"/>
      <c r="LQN247" s="21"/>
      <c r="LQO247" s="15"/>
      <c r="LQP247" s="15"/>
      <c r="LQQ247" s="15"/>
      <c r="LQR247" s="15"/>
      <c r="LQS247" s="15"/>
      <c r="LQT247" s="15"/>
      <c r="LQU247" s="15"/>
      <c r="LQV247" s="15"/>
      <c r="LQW247" s="15"/>
      <c r="LQX247" s="15"/>
      <c r="LQY247" s="10"/>
      <c r="LQZ247" s="10"/>
      <c r="LRA247" s="21"/>
      <c r="LRB247" s="21"/>
      <c r="LRE247" s="21"/>
      <c r="LRF247" s="15"/>
      <c r="LRG247" s="15"/>
      <c r="LRH247" s="15"/>
      <c r="LRI247" s="15"/>
      <c r="LRJ247" s="15"/>
      <c r="LRK247" s="15"/>
      <c r="LRL247" s="15"/>
      <c r="LRM247" s="15"/>
      <c r="LRN247" s="15"/>
      <c r="LRO247" s="15"/>
      <c r="LRP247" s="10"/>
      <c r="LRQ247" s="10"/>
      <c r="LRR247" s="21"/>
      <c r="LRS247" s="21"/>
      <c r="LRV247" s="21"/>
      <c r="LRW247" s="15"/>
      <c r="LRX247" s="15"/>
      <c r="LRY247" s="15"/>
      <c r="LRZ247" s="15"/>
      <c r="LSA247" s="15"/>
      <c r="LSB247" s="15"/>
      <c r="LSC247" s="15"/>
      <c r="LSD247" s="15"/>
      <c r="LSE247" s="15"/>
      <c r="LSF247" s="15"/>
      <c r="LSG247" s="10"/>
      <c r="LSH247" s="10"/>
      <c r="LSI247" s="21"/>
      <c r="LSJ247" s="21"/>
      <c r="LSM247" s="21"/>
      <c r="LSN247" s="15"/>
      <c r="LSO247" s="15"/>
      <c r="LSP247" s="15"/>
      <c r="LSQ247" s="15"/>
      <c r="LSR247" s="15"/>
      <c r="LSS247" s="15"/>
      <c r="LST247" s="15"/>
      <c r="LSU247" s="15"/>
      <c r="LSV247" s="15"/>
      <c r="LSW247" s="15"/>
      <c r="LSX247" s="10"/>
      <c r="LSY247" s="10"/>
      <c r="LSZ247" s="21"/>
      <c r="LTA247" s="21"/>
      <c r="LTD247" s="21"/>
      <c r="LTE247" s="15"/>
      <c r="LTF247" s="15"/>
      <c r="LTG247" s="15"/>
      <c r="LTH247" s="15"/>
      <c r="LTI247" s="15"/>
      <c r="LTJ247" s="15"/>
      <c r="LTK247" s="15"/>
      <c r="LTL247" s="15"/>
      <c r="LTM247" s="15"/>
      <c r="LTN247" s="15"/>
      <c r="LTO247" s="10"/>
      <c r="LTP247" s="10"/>
      <c r="LTQ247" s="21"/>
      <c r="LTR247" s="21"/>
      <c r="LTU247" s="21"/>
      <c r="LTV247" s="15"/>
      <c r="LTW247" s="15"/>
      <c r="LTX247" s="15"/>
      <c r="LTY247" s="15"/>
      <c r="LTZ247" s="15"/>
      <c r="LUA247" s="15"/>
      <c r="LUB247" s="15"/>
      <c r="LUC247" s="15"/>
      <c r="LUD247" s="15"/>
      <c r="LUE247" s="15"/>
      <c r="LUF247" s="10"/>
      <c r="LUG247" s="10"/>
      <c r="LUH247" s="21"/>
      <c r="LUI247" s="21"/>
      <c r="LUL247" s="21"/>
      <c r="LUM247" s="15"/>
      <c r="LUN247" s="15"/>
      <c r="LUO247" s="15"/>
      <c r="LUP247" s="15"/>
      <c r="LUQ247" s="15"/>
      <c r="LUR247" s="15"/>
      <c r="LUS247" s="15"/>
      <c r="LUT247" s="15"/>
      <c r="LUU247" s="15"/>
      <c r="LUV247" s="15"/>
      <c r="LUW247" s="10"/>
      <c r="LUX247" s="10"/>
      <c r="LUY247" s="21"/>
      <c r="LUZ247" s="21"/>
      <c r="LVC247" s="21"/>
      <c r="LVD247" s="15"/>
      <c r="LVE247" s="15"/>
      <c r="LVF247" s="15"/>
      <c r="LVG247" s="15"/>
      <c r="LVH247" s="15"/>
      <c r="LVI247" s="15"/>
      <c r="LVJ247" s="15"/>
      <c r="LVK247" s="15"/>
      <c r="LVL247" s="15"/>
      <c r="LVM247" s="15"/>
      <c r="LVN247" s="10"/>
      <c r="LVO247" s="10"/>
      <c r="LVP247" s="21"/>
      <c r="LVQ247" s="21"/>
      <c r="LVT247" s="21"/>
      <c r="LVU247" s="15"/>
      <c r="LVV247" s="15"/>
      <c r="LVW247" s="15"/>
      <c r="LVX247" s="15"/>
      <c r="LVY247" s="15"/>
      <c r="LVZ247" s="15"/>
      <c r="LWA247" s="15"/>
      <c r="LWB247" s="15"/>
      <c r="LWC247" s="15"/>
      <c r="LWD247" s="15"/>
      <c r="LWE247" s="10"/>
      <c r="LWF247" s="10"/>
      <c r="LWG247" s="21"/>
      <c r="LWH247" s="21"/>
      <c r="LWK247" s="21"/>
      <c r="LWL247" s="15"/>
      <c r="LWM247" s="15"/>
      <c r="LWN247" s="15"/>
      <c r="LWO247" s="15"/>
      <c r="LWP247" s="15"/>
      <c r="LWQ247" s="15"/>
      <c r="LWR247" s="15"/>
      <c r="LWS247" s="15"/>
      <c r="LWT247" s="15"/>
      <c r="LWU247" s="15"/>
      <c r="LWV247" s="10"/>
      <c r="LWW247" s="10"/>
      <c r="LWX247" s="21"/>
      <c r="LWY247" s="21"/>
      <c r="LXB247" s="21"/>
      <c r="LXC247" s="15"/>
      <c r="LXD247" s="15"/>
      <c r="LXE247" s="15"/>
      <c r="LXF247" s="15"/>
      <c r="LXG247" s="15"/>
      <c r="LXH247" s="15"/>
      <c r="LXI247" s="15"/>
      <c r="LXJ247" s="15"/>
      <c r="LXK247" s="15"/>
      <c r="LXL247" s="15"/>
      <c r="LXM247" s="10"/>
      <c r="LXN247" s="10"/>
      <c r="LXO247" s="21"/>
      <c r="LXP247" s="21"/>
      <c r="LXS247" s="21"/>
      <c r="LXT247" s="15"/>
      <c r="LXU247" s="15"/>
      <c r="LXV247" s="15"/>
      <c r="LXW247" s="15"/>
      <c r="LXX247" s="15"/>
      <c r="LXY247" s="15"/>
      <c r="LXZ247" s="15"/>
      <c r="LYA247" s="15"/>
      <c r="LYB247" s="15"/>
      <c r="LYC247" s="15"/>
      <c r="LYD247" s="10"/>
      <c r="LYE247" s="10"/>
      <c r="LYF247" s="21"/>
      <c r="LYG247" s="21"/>
      <c r="LYJ247" s="21"/>
      <c r="LYK247" s="15"/>
      <c r="LYL247" s="15"/>
      <c r="LYM247" s="15"/>
      <c r="LYN247" s="15"/>
      <c r="LYO247" s="15"/>
      <c r="LYP247" s="15"/>
      <c r="LYQ247" s="15"/>
      <c r="LYR247" s="15"/>
      <c r="LYS247" s="15"/>
      <c r="LYT247" s="15"/>
      <c r="LYU247" s="10"/>
      <c r="LYV247" s="10"/>
      <c r="LYW247" s="21"/>
      <c r="LYX247" s="21"/>
      <c r="LZA247" s="21"/>
      <c r="LZB247" s="15"/>
      <c r="LZC247" s="15"/>
      <c r="LZD247" s="15"/>
      <c r="LZE247" s="15"/>
      <c r="LZF247" s="15"/>
      <c r="LZG247" s="15"/>
      <c r="LZH247" s="15"/>
      <c r="LZI247" s="15"/>
      <c r="LZJ247" s="15"/>
      <c r="LZK247" s="15"/>
      <c r="LZL247" s="10"/>
      <c r="LZM247" s="10"/>
      <c r="LZN247" s="21"/>
      <c r="LZO247" s="21"/>
      <c r="LZR247" s="21"/>
      <c r="LZS247" s="15"/>
      <c r="LZT247" s="15"/>
      <c r="LZU247" s="15"/>
      <c r="LZV247" s="15"/>
      <c r="LZW247" s="15"/>
      <c r="LZX247" s="15"/>
      <c r="LZY247" s="15"/>
      <c r="LZZ247" s="15"/>
      <c r="MAA247" s="15"/>
      <c r="MAB247" s="15"/>
      <c r="MAC247" s="10"/>
      <c r="MAD247" s="10"/>
      <c r="MAE247" s="21"/>
      <c r="MAF247" s="21"/>
      <c r="MAI247" s="21"/>
      <c r="MAJ247" s="15"/>
      <c r="MAK247" s="15"/>
      <c r="MAL247" s="15"/>
      <c r="MAM247" s="15"/>
      <c r="MAN247" s="15"/>
      <c r="MAO247" s="15"/>
      <c r="MAP247" s="15"/>
      <c r="MAQ247" s="15"/>
      <c r="MAR247" s="15"/>
      <c r="MAS247" s="15"/>
      <c r="MAT247" s="10"/>
      <c r="MAU247" s="10"/>
      <c r="MAV247" s="21"/>
      <c r="MAW247" s="21"/>
      <c r="MAZ247" s="21"/>
      <c r="MBA247" s="15"/>
      <c r="MBB247" s="15"/>
      <c r="MBC247" s="15"/>
      <c r="MBD247" s="15"/>
      <c r="MBE247" s="15"/>
      <c r="MBF247" s="15"/>
      <c r="MBG247" s="15"/>
      <c r="MBH247" s="15"/>
      <c r="MBI247" s="15"/>
      <c r="MBJ247" s="15"/>
      <c r="MBK247" s="10"/>
      <c r="MBL247" s="10"/>
      <c r="MBM247" s="21"/>
      <c r="MBN247" s="21"/>
      <c r="MBQ247" s="21"/>
      <c r="MBR247" s="15"/>
      <c r="MBS247" s="15"/>
      <c r="MBT247" s="15"/>
      <c r="MBU247" s="15"/>
      <c r="MBV247" s="15"/>
      <c r="MBW247" s="15"/>
      <c r="MBX247" s="15"/>
      <c r="MBY247" s="15"/>
      <c r="MBZ247" s="15"/>
      <c r="MCA247" s="15"/>
      <c r="MCB247" s="10"/>
      <c r="MCC247" s="10"/>
      <c r="MCD247" s="21"/>
      <c r="MCE247" s="21"/>
      <c r="MCH247" s="21"/>
      <c r="MCI247" s="15"/>
      <c r="MCJ247" s="15"/>
      <c r="MCK247" s="15"/>
      <c r="MCL247" s="15"/>
      <c r="MCM247" s="15"/>
      <c r="MCN247" s="15"/>
      <c r="MCO247" s="15"/>
      <c r="MCP247" s="15"/>
      <c r="MCQ247" s="15"/>
      <c r="MCR247" s="15"/>
      <c r="MCS247" s="10"/>
      <c r="MCT247" s="10"/>
      <c r="MCU247" s="21"/>
      <c r="MCV247" s="21"/>
      <c r="MCY247" s="21"/>
      <c r="MCZ247" s="15"/>
      <c r="MDA247" s="15"/>
      <c r="MDB247" s="15"/>
      <c r="MDC247" s="15"/>
      <c r="MDD247" s="15"/>
      <c r="MDE247" s="15"/>
      <c r="MDF247" s="15"/>
      <c r="MDG247" s="15"/>
      <c r="MDH247" s="15"/>
      <c r="MDI247" s="15"/>
      <c r="MDJ247" s="10"/>
      <c r="MDK247" s="10"/>
      <c r="MDL247" s="21"/>
      <c r="MDM247" s="21"/>
      <c r="MDP247" s="21"/>
      <c r="MDQ247" s="15"/>
      <c r="MDR247" s="15"/>
      <c r="MDS247" s="15"/>
      <c r="MDT247" s="15"/>
      <c r="MDU247" s="15"/>
      <c r="MDV247" s="15"/>
      <c r="MDW247" s="15"/>
      <c r="MDX247" s="15"/>
      <c r="MDY247" s="15"/>
      <c r="MDZ247" s="15"/>
      <c r="MEA247" s="10"/>
      <c r="MEB247" s="10"/>
      <c r="MEC247" s="21"/>
      <c r="MED247" s="21"/>
      <c r="MEG247" s="21"/>
      <c r="MEH247" s="15"/>
      <c r="MEI247" s="15"/>
      <c r="MEJ247" s="15"/>
      <c r="MEK247" s="15"/>
      <c r="MEL247" s="15"/>
      <c r="MEM247" s="15"/>
      <c r="MEN247" s="15"/>
      <c r="MEO247" s="15"/>
      <c r="MEP247" s="15"/>
      <c r="MEQ247" s="15"/>
      <c r="MER247" s="10"/>
      <c r="MES247" s="10"/>
      <c r="MET247" s="21"/>
      <c r="MEU247" s="21"/>
      <c r="MEX247" s="21"/>
      <c r="MEY247" s="15"/>
      <c r="MEZ247" s="15"/>
      <c r="MFA247" s="15"/>
      <c r="MFB247" s="15"/>
      <c r="MFC247" s="15"/>
      <c r="MFD247" s="15"/>
      <c r="MFE247" s="15"/>
      <c r="MFF247" s="15"/>
      <c r="MFG247" s="15"/>
      <c r="MFH247" s="15"/>
      <c r="MFI247" s="10"/>
      <c r="MFJ247" s="10"/>
      <c r="MFK247" s="21"/>
      <c r="MFL247" s="21"/>
      <c r="MFO247" s="21"/>
      <c r="MFP247" s="15"/>
      <c r="MFQ247" s="15"/>
      <c r="MFR247" s="15"/>
      <c r="MFS247" s="15"/>
      <c r="MFT247" s="15"/>
      <c r="MFU247" s="15"/>
      <c r="MFV247" s="15"/>
      <c r="MFW247" s="15"/>
      <c r="MFX247" s="15"/>
      <c r="MFY247" s="15"/>
      <c r="MFZ247" s="10"/>
      <c r="MGA247" s="10"/>
      <c r="MGB247" s="21"/>
      <c r="MGC247" s="21"/>
      <c r="MGF247" s="21"/>
      <c r="MGG247" s="15"/>
      <c r="MGH247" s="15"/>
      <c r="MGI247" s="15"/>
      <c r="MGJ247" s="15"/>
      <c r="MGK247" s="15"/>
      <c r="MGL247" s="15"/>
      <c r="MGM247" s="15"/>
      <c r="MGN247" s="15"/>
      <c r="MGO247" s="15"/>
      <c r="MGP247" s="15"/>
      <c r="MGQ247" s="10"/>
      <c r="MGR247" s="10"/>
      <c r="MGS247" s="21"/>
      <c r="MGT247" s="21"/>
      <c r="MGW247" s="21"/>
      <c r="MGX247" s="15"/>
      <c r="MGY247" s="15"/>
      <c r="MGZ247" s="15"/>
      <c r="MHA247" s="15"/>
      <c r="MHB247" s="15"/>
      <c r="MHC247" s="15"/>
      <c r="MHD247" s="15"/>
      <c r="MHE247" s="15"/>
      <c r="MHF247" s="15"/>
      <c r="MHG247" s="15"/>
      <c r="MHH247" s="10"/>
      <c r="MHI247" s="10"/>
      <c r="MHJ247" s="21"/>
      <c r="MHK247" s="21"/>
      <c r="MHN247" s="21"/>
      <c r="MHO247" s="15"/>
      <c r="MHP247" s="15"/>
      <c r="MHQ247" s="15"/>
      <c r="MHR247" s="15"/>
      <c r="MHS247" s="15"/>
      <c r="MHT247" s="15"/>
      <c r="MHU247" s="15"/>
      <c r="MHV247" s="15"/>
      <c r="MHW247" s="15"/>
      <c r="MHX247" s="15"/>
      <c r="MHY247" s="10"/>
      <c r="MHZ247" s="10"/>
      <c r="MIA247" s="21"/>
      <c r="MIB247" s="21"/>
      <c r="MIE247" s="21"/>
      <c r="MIF247" s="15"/>
      <c r="MIG247" s="15"/>
      <c r="MIH247" s="15"/>
      <c r="MII247" s="15"/>
      <c r="MIJ247" s="15"/>
      <c r="MIK247" s="15"/>
      <c r="MIL247" s="15"/>
      <c r="MIM247" s="15"/>
      <c r="MIN247" s="15"/>
      <c r="MIO247" s="15"/>
      <c r="MIP247" s="10"/>
      <c r="MIQ247" s="10"/>
      <c r="MIR247" s="21"/>
      <c r="MIS247" s="21"/>
      <c r="MIV247" s="21"/>
      <c r="MIW247" s="15"/>
      <c r="MIX247" s="15"/>
      <c r="MIY247" s="15"/>
      <c r="MIZ247" s="15"/>
      <c r="MJA247" s="15"/>
      <c r="MJB247" s="15"/>
      <c r="MJC247" s="15"/>
      <c r="MJD247" s="15"/>
      <c r="MJE247" s="15"/>
      <c r="MJF247" s="15"/>
      <c r="MJG247" s="10"/>
      <c r="MJH247" s="10"/>
      <c r="MJI247" s="21"/>
      <c r="MJJ247" s="21"/>
      <c r="MJM247" s="21"/>
      <c r="MJN247" s="15"/>
      <c r="MJO247" s="15"/>
      <c r="MJP247" s="15"/>
      <c r="MJQ247" s="15"/>
      <c r="MJR247" s="15"/>
      <c r="MJS247" s="15"/>
      <c r="MJT247" s="15"/>
      <c r="MJU247" s="15"/>
      <c r="MJV247" s="15"/>
      <c r="MJW247" s="15"/>
      <c r="MJX247" s="10"/>
      <c r="MJY247" s="10"/>
      <c r="MJZ247" s="21"/>
      <c r="MKA247" s="21"/>
      <c r="MKD247" s="21"/>
      <c r="MKE247" s="15"/>
      <c r="MKF247" s="15"/>
      <c r="MKG247" s="15"/>
      <c r="MKH247" s="15"/>
      <c r="MKI247" s="15"/>
      <c r="MKJ247" s="15"/>
      <c r="MKK247" s="15"/>
      <c r="MKL247" s="15"/>
      <c r="MKM247" s="15"/>
      <c r="MKN247" s="15"/>
      <c r="MKO247" s="10"/>
      <c r="MKP247" s="10"/>
      <c r="MKQ247" s="21"/>
      <c r="MKR247" s="21"/>
      <c r="MKU247" s="21"/>
      <c r="MKV247" s="15"/>
      <c r="MKW247" s="15"/>
      <c r="MKX247" s="15"/>
      <c r="MKY247" s="15"/>
      <c r="MKZ247" s="15"/>
      <c r="MLA247" s="15"/>
      <c r="MLB247" s="15"/>
      <c r="MLC247" s="15"/>
      <c r="MLD247" s="15"/>
      <c r="MLE247" s="15"/>
      <c r="MLF247" s="10"/>
      <c r="MLG247" s="10"/>
      <c r="MLH247" s="21"/>
      <c r="MLI247" s="21"/>
      <c r="MLL247" s="21"/>
      <c r="MLM247" s="15"/>
      <c r="MLN247" s="15"/>
      <c r="MLO247" s="15"/>
      <c r="MLP247" s="15"/>
      <c r="MLQ247" s="15"/>
      <c r="MLR247" s="15"/>
      <c r="MLS247" s="15"/>
      <c r="MLT247" s="15"/>
      <c r="MLU247" s="15"/>
      <c r="MLV247" s="15"/>
      <c r="MLW247" s="10"/>
      <c r="MLX247" s="10"/>
      <c r="MLY247" s="21"/>
      <c r="MLZ247" s="21"/>
      <c r="MMC247" s="21"/>
      <c r="MMD247" s="15"/>
      <c r="MME247" s="15"/>
      <c r="MMF247" s="15"/>
      <c r="MMG247" s="15"/>
      <c r="MMH247" s="15"/>
      <c r="MMI247" s="15"/>
      <c r="MMJ247" s="15"/>
      <c r="MMK247" s="15"/>
      <c r="MML247" s="15"/>
      <c r="MMM247" s="15"/>
      <c r="MMN247" s="10"/>
      <c r="MMO247" s="10"/>
      <c r="MMP247" s="21"/>
      <c r="MMQ247" s="21"/>
      <c r="MMT247" s="21"/>
      <c r="MMU247" s="15"/>
      <c r="MMV247" s="15"/>
      <c r="MMW247" s="15"/>
      <c r="MMX247" s="15"/>
      <c r="MMY247" s="15"/>
      <c r="MMZ247" s="15"/>
      <c r="MNA247" s="15"/>
      <c r="MNB247" s="15"/>
      <c r="MNC247" s="15"/>
      <c r="MND247" s="15"/>
      <c r="MNE247" s="10"/>
      <c r="MNF247" s="10"/>
      <c r="MNG247" s="21"/>
      <c r="MNH247" s="21"/>
      <c r="MNK247" s="21"/>
      <c r="MNL247" s="15"/>
      <c r="MNM247" s="15"/>
      <c r="MNN247" s="15"/>
      <c r="MNO247" s="15"/>
      <c r="MNP247" s="15"/>
      <c r="MNQ247" s="15"/>
      <c r="MNR247" s="15"/>
      <c r="MNS247" s="15"/>
      <c r="MNT247" s="15"/>
      <c r="MNU247" s="15"/>
      <c r="MNV247" s="10"/>
      <c r="MNW247" s="10"/>
      <c r="MNX247" s="21"/>
      <c r="MNY247" s="21"/>
      <c r="MOB247" s="21"/>
      <c r="MOC247" s="15"/>
      <c r="MOD247" s="15"/>
      <c r="MOE247" s="15"/>
      <c r="MOF247" s="15"/>
      <c r="MOG247" s="15"/>
      <c r="MOH247" s="15"/>
      <c r="MOI247" s="15"/>
      <c r="MOJ247" s="15"/>
      <c r="MOK247" s="15"/>
      <c r="MOL247" s="15"/>
      <c r="MOM247" s="10"/>
      <c r="MON247" s="10"/>
      <c r="MOO247" s="21"/>
      <c r="MOP247" s="21"/>
      <c r="MOS247" s="21"/>
      <c r="MOT247" s="15"/>
      <c r="MOU247" s="15"/>
      <c r="MOV247" s="15"/>
      <c r="MOW247" s="15"/>
      <c r="MOX247" s="15"/>
      <c r="MOY247" s="15"/>
      <c r="MOZ247" s="15"/>
      <c r="MPA247" s="15"/>
      <c r="MPB247" s="15"/>
      <c r="MPC247" s="15"/>
      <c r="MPD247" s="10"/>
      <c r="MPE247" s="10"/>
      <c r="MPF247" s="21"/>
      <c r="MPG247" s="21"/>
      <c r="MPJ247" s="21"/>
      <c r="MPK247" s="15"/>
      <c r="MPL247" s="15"/>
      <c r="MPM247" s="15"/>
      <c r="MPN247" s="15"/>
      <c r="MPO247" s="15"/>
      <c r="MPP247" s="15"/>
      <c r="MPQ247" s="15"/>
      <c r="MPR247" s="15"/>
      <c r="MPS247" s="15"/>
      <c r="MPT247" s="15"/>
      <c r="MPU247" s="10"/>
      <c r="MPV247" s="10"/>
      <c r="MPW247" s="21"/>
      <c r="MPX247" s="21"/>
      <c r="MQA247" s="21"/>
      <c r="MQB247" s="15"/>
      <c r="MQC247" s="15"/>
      <c r="MQD247" s="15"/>
      <c r="MQE247" s="15"/>
      <c r="MQF247" s="15"/>
      <c r="MQG247" s="15"/>
      <c r="MQH247" s="15"/>
      <c r="MQI247" s="15"/>
      <c r="MQJ247" s="15"/>
      <c r="MQK247" s="15"/>
      <c r="MQL247" s="10"/>
      <c r="MQM247" s="10"/>
      <c r="MQN247" s="21"/>
      <c r="MQO247" s="21"/>
      <c r="MQR247" s="21"/>
      <c r="MQS247" s="15"/>
      <c r="MQT247" s="15"/>
      <c r="MQU247" s="15"/>
      <c r="MQV247" s="15"/>
      <c r="MQW247" s="15"/>
      <c r="MQX247" s="15"/>
      <c r="MQY247" s="15"/>
      <c r="MQZ247" s="15"/>
      <c r="MRA247" s="15"/>
      <c r="MRB247" s="15"/>
      <c r="MRC247" s="10"/>
      <c r="MRD247" s="10"/>
      <c r="MRE247" s="21"/>
      <c r="MRF247" s="21"/>
      <c r="MRI247" s="21"/>
      <c r="MRJ247" s="15"/>
      <c r="MRK247" s="15"/>
      <c r="MRL247" s="15"/>
      <c r="MRM247" s="15"/>
      <c r="MRN247" s="15"/>
      <c r="MRO247" s="15"/>
      <c r="MRP247" s="15"/>
      <c r="MRQ247" s="15"/>
      <c r="MRR247" s="15"/>
      <c r="MRS247" s="15"/>
      <c r="MRT247" s="10"/>
      <c r="MRU247" s="10"/>
      <c r="MRV247" s="21"/>
      <c r="MRW247" s="21"/>
      <c r="MRZ247" s="21"/>
      <c r="MSA247" s="15"/>
      <c r="MSB247" s="15"/>
      <c r="MSC247" s="15"/>
      <c r="MSD247" s="15"/>
      <c r="MSE247" s="15"/>
      <c r="MSF247" s="15"/>
      <c r="MSG247" s="15"/>
      <c r="MSH247" s="15"/>
      <c r="MSI247" s="15"/>
      <c r="MSJ247" s="15"/>
      <c r="MSK247" s="10"/>
      <c r="MSL247" s="10"/>
      <c r="MSM247" s="21"/>
      <c r="MSN247" s="21"/>
      <c r="MSQ247" s="21"/>
      <c r="MSR247" s="15"/>
      <c r="MSS247" s="15"/>
      <c r="MST247" s="15"/>
      <c r="MSU247" s="15"/>
      <c r="MSV247" s="15"/>
      <c r="MSW247" s="15"/>
      <c r="MSX247" s="15"/>
      <c r="MSY247" s="15"/>
      <c r="MSZ247" s="15"/>
      <c r="MTA247" s="15"/>
      <c r="MTB247" s="10"/>
      <c r="MTC247" s="10"/>
      <c r="MTD247" s="21"/>
      <c r="MTE247" s="21"/>
      <c r="MTH247" s="21"/>
      <c r="MTI247" s="15"/>
      <c r="MTJ247" s="15"/>
      <c r="MTK247" s="15"/>
      <c r="MTL247" s="15"/>
      <c r="MTM247" s="15"/>
      <c r="MTN247" s="15"/>
      <c r="MTO247" s="15"/>
      <c r="MTP247" s="15"/>
      <c r="MTQ247" s="15"/>
      <c r="MTR247" s="15"/>
      <c r="MTS247" s="10"/>
      <c r="MTT247" s="10"/>
      <c r="MTU247" s="21"/>
      <c r="MTV247" s="21"/>
      <c r="MTY247" s="21"/>
      <c r="MTZ247" s="15"/>
      <c r="MUA247" s="15"/>
      <c r="MUB247" s="15"/>
      <c r="MUC247" s="15"/>
      <c r="MUD247" s="15"/>
      <c r="MUE247" s="15"/>
      <c r="MUF247" s="15"/>
      <c r="MUG247" s="15"/>
      <c r="MUH247" s="15"/>
      <c r="MUI247" s="15"/>
      <c r="MUJ247" s="10"/>
      <c r="MUK247" s="10"/>
      <c r="MUL247" s="21"/>
      <c r="MUM247" s="21"/>
      <c r="MUP247" s="21"/>
      <c r="MUQ247" s="15"/>
      <c r="MUR247" s="15"/>
      <c r="MUS247" s="15"/>
      <c r="MUT247" s="15"/>
      <c r="MUU247" s="15"/>
      <c r="MUV247" s="15"/>
      <c r="MUW247" s="15"/>
      <c r="MUX247" s="15"/>
      <c r="MUY247" s="15"/>
      <c r="MUZ247" s="15"/>
      <c r="MVA247" s="10"/>
      <c r="MVB247" s="10"/>
      <c r="MVC247" s="21"/>
      <c r="MVD247" s="21"/>
      <c r="MVG247" s="21"/>
      <c r="MVH247" s="15"/>
      <c r="MVI247" s="15"/>
      <c r="MVJ247" s="15"/>
      <c r="MVK247" s="15"/>
      <c r="MVL247" s="15"/>
      <c r="MVM247" s="15"/>
      <c r="MVN247" s="15"/>
      <c r="MVO247" s="15"/>
      <c r="MVP247" s="15"/>
      <c r="MVQ247" s="15"/>
      <c r="MVR247" s="10"/>
      <c r="MVS247" s="10"/>
      <c r="MVT247" s="21"/>
      <c r="MVU247" s="21"/>
      <c r="MVX247" s="21"/>
      <c r="MVY247" s="15"/>
      <c r="MVZ247" s="15"/>
      <c r="MWA247" s="15"/>
      <c r="MWB247" s="15"/>
      <c r="MWC247" s="15"/>
      <c r="MWD247" s="15"/>
      <c r="MWE247" s="15"/>
      <c r="MWF247" s="15"/>
      <c r="MWG247" s="15"/>
      <c r="MWH247" s="15"/>
      <c r="MWI247" s="10"/>
      <c r="MWJ247" s="10"/>
      <c r="MWK247" s="21"/>
      <c r="MWL247" s="21"/>
      <c r="MWO247" s="21"/>
      <c r="MWP247" s="15"/>
      <c r="MWQ247" s="15"/>
      <c r="MWR247" s="15"/>
      <c r="MWS247" s="15"/>
      <c r="MWT247" s="15"/>
      <c r="MWU247" s="15"/>
      <c r="MWV247" s="15"/>
      <c r="MWW247" s="15"/>
      <c r="MWX247" s="15"/>
      <c r="MWY247" s="15"/>
      <c r="MWZ247" s="10"/>
      <c r="MXA247" s="10"/>
      <c r="MXB247" s="21"/>
      <c r="MXC247" s="21"/>
      <c r="MXF247" s="21"/>
      <c r="MXG247" s="15"/>
      <c r="MXH247" s="15"/>
      <c r="MXI247" s="15"/>
      <c r="MXJ247" s="15"/>
      <c r="MXK247" s="15"/>
      <c r="MXL247" s="15"/>
      <c r="MXM247" s="15"/>
      <c r="MXN247" s="15"/>
      <c r="MXO247" s="15"/>
      <c r="MXP247" s="15"/>
      <c r="MXQ247" s="10"/>
      <c r="MXR247" s="10"/>
      <c r="MXS247" s="21"/>
      <c r="MXT247" s="21"/>
      <c r="MXW247" s="21"/>
      <c r="MXX247" s="15"/>
      <c r="MXY247" s="15"/>
      <c r="MXZ247" s="15"/>
      <c r="MYA247" s="15"/>
      <c r="MYB247" s="15"/>
      <c r="MYC247" s="15"/>
      <c r="MYD247" s="15"/>
      <c r="MYE247" s="15"/>
      <c r="MYF247" s="15"/>
      <c r="MYG247" s="15"/>
      <c r="MYH247" s="10"/>
      <c r="MYI247" s="10"/>
      <c r="MYJ247" s="21"/>
      <c r="MYK247" s="21"/>
      <c r="MYN247" s="21"/>
      <c r="MYO247" s="15"/>
      <c r="MYP247" s="15"/>
      <c r="MYQ247" s="15"/>
      <c r="MYR247" s="15"/>
      <c r="MYS247" s="15"/>
      <c r="MYT247" s="15"/>
      <c r="MYU247" s="15"/>
      <c r="MYV247" s="15"/>
      <c r="MYW247" s="15"/>
      <c r="MYX247" s="15"/>
      <c r="MYY247" s="10"/>
      <c r="MYZ247" s="10"/>
      <c r="MZA247" s="21"/>
      <c r="MZB247" s="21"/>
      <c r="MZE247" s="21"/>
      <c r="MZF247" s="15"/>
      <c r="MZG247" s="15"/>
      <c r="MZH247" s="15"/>
      <c r="MZI247" s="15"/>
      <c r="MZJ247" s="15"/>
      <c r="MZK247" s="15"/>
      <c r="MZL247" s="15"/>
      <c r="MZM247" s="15"/>
      <c r="MZN247" s="15"/>
      <c r="MZO247" s="15"/>
      <c r="MZP247" s="10"/>
      <c r="MZQ247" s="10"/>
      <c r="MZR247" s="21"/>
      <c r="MZS247" s="21"/>
      <c r="MZV247" s="21"/>
      <c r="MZW247" s="15"/>
      <c r="MZX247" s="15"/>
      <c r="MZY247" s="15"/>
      <c r="MZZ247" s="15"/>
      <c r="NAA247" s="15"/>
      <c r="NAB247" s="15"/>
      <c r="NAC247" s="15"/>
      <c r="NAD247" s="15"/>
      <c r="NAE247" s="15"/>
      <c r="NAF247" s="15"/>
      <c r="NAG247" s="10"/>
      <c r="NAH247" s="10"/>
      <c r="NAI247" s="21"/>
      <c r="NAJ247" s="21"/>
      <c r="NAM247" s="21"/>
      <c r="NAN247" s="15"/>
      <c r="NAO247" s="15"/>
      <c r="NAP247" s="15"/>
      <c r="NAQ247" s="15"/>
      <c r="NAR247" s="15"/>
      <c r="NAS247" s="15"/>
      <c r="NAT247" s="15"/>
      <c r="NAU247" s="15"/>
      <c r="NAV247" s="15"/>
      <c r="NAW247" s="15"/>
      <c r="NAX247" s="10"/>
      <c r="NAY247" s="10"/>
      <c r="NAZ247" s="21"/>
      <c r="NBA247" s="21"/>
      <c r="NBD247" s="21"/>
      <c r="NBE247" s="15"/>
      <c r="NBF247" s="15"/>
      <c r="NBG247" s="15"/>
      <c r="NBH247" s="15"/>
      <c r="NBI247" s="15"/>
      <c r="NBJ247" s="15"/>
      <c r="NBK247" s="15"/>
      <c r="NBL247" s="15"/>
      <c r="NBM247" s="15"/>
      <c r="NBN247" s="15"/>
      <c r="NBO247" s="10"/>
      <c r="NBP247" s="10"/>
      <c r="NBQ247" s="21"/>
      <c r="NBR247" s="21"/>
      <c r="NBU247" s="21"/>
      <c r="NBV247" s="15"/>
      <c r="NBW247" s="15"/>
      <c r="NBX247" s="15"/>
      <c r="NBY247" s="15"/>
      <c r="NBZ247" s="15"/>
      <c r="NCA247" s="15"/>
      <c r="NCB247" s="15"/>
      <c r="NCC247" s="15"/>
      <c r="NCD247" s="15"/>
      <c r="NCE247" s="15"/>
      <c r="NCF247" s="10"/>
      <c r="NCG247" s="10"/>
      <c r="NCH247" s="21"/>
      <c r="NCI247" s="21"/>
      <c r="NCL247" s="21"/>
      <c r="NCM247" s="15"/>
      <c r="NCN247" s="15"/>
      <c r="NCO247" s="15"/>
      <c r="NCP247" s="15"/>
      <c r="NCQ247" s="15"/>
      <c r="NCR247" s="15"/>
      <c r="NCS247" s="15"/>
      <c r="NCT247" s="15"/>
      <c r="NCU247" s="15"/>
      <c r="NCV247" s="15"/>
      <c r="NCW247" s="10"/>
      <c r="NCX247" s="10"/>
      <c r="NCY247" s="21"/>
      <c r="NCZ247" s="21"/>
      <c r="NDC247" s="21"/>
      <c r="NDD247" s="15"/>
      <c r="NDE247" s="15"/>
      <c r="NDF247" s="15"/>
      <c r="NDG247" s="15"/>
      <c r="NDH247" s="15"/>
      <c r="NDI247" s="15"/>
      <c r="NDJ247" s="15"/>
      <c r="NDK247" s="15"/>
      <c r="NDL247" s="15"/>
      <c r="NDM247" s="15"/>
      <c r="NDN247" s="10"/>
      <c r="NDO247" s="10"/>
      <c r="NDP247" s="21"/>
      <c r="NDQ247" s="21"/>
      <c r="NDT247" s="21"/>
      <c r="NDU247" s="15"/>
      <c r="NDV247" s="15"/>
      <c r="NDW247" s="15"/>
      <c r="NDX247" s="15"/>
      <c r="NDY247" s="15"/>
      <c r="NDZ247" s="15"/>
      <c r="NEA247" s="15"/>
      <c r="NEB247" s="15"/>
      <c r="NEC247" s="15"/>
      <c r="NED247" s="15"/>
      <c r="NEE247" s="10"/>
      <c r="NEF247" s="10"/>
      <c r="NEG247" s="21"/>
      <c r="NEH247" s="21"/>
      <c r="NEK247" s="21"/>
      <c r="NEL247" s="15"/>
      <c r="NEM247" s="15"/>
      <c r="NEN247" s="15"/>
      <c r="NEO247" s="15"/>
      <c r="NEP247" s="15"/>
      <c r="NEQ247" s="15"/>
      <c r="NER247" s="15"/>
      <c r="NES247" s="15"/>
      <c r="NET247" s="15"/>
      <c r="NEU247" s="15"/>
      <c r="NEV247" s="10"/>
      <c r="NEW247" s="10"/>
      <c r="NEX247" s="21"/>
      <c r="NEY247" s="21"/>
      <c r="NFB247" s="21"/>
      <c r="NFC247" s="15"/>
      <c r="NFD247" s="15"/>
      <c r="NFE247" s="15"/>
      <c r="NFF247" s="15"/>
      <c r="NFG247" s="15"/>
      <c r="NFH247" s="15"/>
      <c r="NFI247" s="15"/>
      <c r="NFJ247" s="15"/>
      <c r="NFK247" s="15"/>
      <c r="NFL247" s="15"/>
      <c r="NFM247" s="10"/>
      <c r="NFN247" s="10"/>
      <c r="NFO247" s="21"/>
      <c r="NFP247" s="21"/>
      <c r="NFS247" s="21"/>
      <c r="NFT247" s="15"/>
      <c r="NFU247" s="15"/>
      <c r="NFV247" s="15"/>
      <c r="NFW247" s="15"/>
      <c r="NFX247" s="15"/>
      <c r="NFY247" s="15"/>
      <c r="NFZ247" s="15"/>
      <c r="NGA247" s="15"/>
      <c r="NGB247" s="15"/>
      <c r="NGC247" s="15"/>
      <c r="NGD247" s="10"/>
      <c r="NGE247" s="10"/>
      <c r="NGF247" s="21"/>
      <c r="NGG247" s="21"/>
      <c r="NGJ247" s="21"/>
      <c r="NGK247" s="15"/>
      <c r="NGL247" s="15"/>
      <c r="NGM247" s="15"/>
      <c r="NGN247" s="15"/>
      <c r="NGO247" s="15"/>
      <c r="NGP247" s="15"/>
      <c r="NGQ247" s="15"/>
      <c r="NGR247" s="15"/>
      <c r="NGS247" s="15"/>
      <c r="NGT247" s="15"/>
      <c r="NGU247" s="10"/>
      <c r="NGV247" s="10"/>
      <c r="NGW247" s="21"/>
      <c r="NGX247" s="21"/>
      <c r="NHA247" s="21"/>
      <c r="NHB247" s="15"/>
      <c r="NHC247" s="15"/>
      <c r="NHD247" s="15"/>
      <c r="NHE247" s="15"/>
      <c r="NHF247" s="15"/>
      <c r="NHG247" s="15"/>
      <c r="NHH247" s="15"/>
      <c r="NHI247" s="15"/>
      <c r="NHJ247" s="15"/>
      <c r="NHK247" s="15"/>
      <c r="NHL247" s="10"/>
      <c r="NHM247" s="10"/>
      <c r="NHN247" s="21"/>
      <c r="NHO247" s="21"/>
      <c r="NHR247" s="21"/>
      <c r="NHS247" s="15"/>
      <c r="NHT247" s="15"/>
      <c r="NHU247" s="15"/>
      <c r="NHV247" s="15"/>
      <c r="NHW247" s="15"/>
      <c r="NHX247" s="15"/>
      <c r="NHY247" s="15"/>
      <c r="NHZ247" s="15"/>
      <c r="NIA247" s="15"/>
      <c r="NIB247" s="15"/>
      <c r="NIC247" s="10"/>
      <c r="NID247" s="10"/>
      <c r="NIE247" s="21"/>
      <c r="NIF247" s="21"/>
      <c r="NII247" s="21"/>
      <c r="NIJ247" s="15"/>
      <c r="NIK247" s="15"/>
      <c r="NIL247" s="15"/>
      <c r="NIM247" s="15"/>
      <c r="NIN247" s="15"/>
      <c r="NIO247" s="15"/>
      <c r="NIP247" s="15"/>
      <c r="NIQ247" s="15"/>
      <c r="NIR247" s="15"/>
      <c r="NIS247" s="15"/>
      <c r="NIT247" s="10"/>
      <c r="NIU247" s="10"/>
      <c r="NIV247" s="21"/>
      <c r="NIW247" s="21"/>
      <c r="NIZ247" s="21"/>
      <c r="NJA247" s="15"/>
      <c r="NJB247" s="15"/>
      <c r="NJC247" s="15"/>
      <c r="NJD247" s="15"/>
      <c r="NJE247" s="15"/>
      <c r="NJF247" s="15"/>
      <c r="NJG247" s="15"/>
      <c r="NJH247" s="15"/>
      <c r="NJI247" s="15"/>
      <c r="NJJ247" s="15"/>
      <c r="NJK247" s="10"/>
      <c r="NJL247" s="10"/>
      <c r="NJM247" s="21"/>
      <c r="NJN247" s="21"/>
      <c r="NJQ247" s="21"/>
      <c r="NJR247" s="15"/>
      <c r="NJS247" s="15"/>
      <c r="NJT247" s="15"/>
      <c r="NJU247" s="15"/>
      <c r="NJV247" s="15"/>
      <c r="NJW247" s="15"/>
      <c r="NJX247" s="15"/>
      <c r="NJY247" s="15"/>
      <c r="NJZ247" s="15"/>
      <c r="NKA247" s="15"/>
      <c r="NKB247" s="10"/>
      <c r="NKC247" s="10"/>
      <c r="NKD247" s="21"/>
      <c r="NKE247" s="21"/>
      <c r="NKH247" s="21"/>
      <c r="NKI247" s="15"/>
      <c r="NKJ247" s="15"/>
      <c r="NKK247" s="15"/>
      <c r="NKL247" s="15"/>
      <c r="NKM247" s="15"/>
      <c r="NKN247" s="15"/>
      <c r="NKO247" s="15"/>
      <c r="NKP247" s="15"/>
      <c r="NKQ247" s="15"/>
      <c r="NKR247" s="15"/>
      <c r="NKS247" s="10"/>
      <c r="NKT247" s="10"/>
      <c r="NKU247" s="21"/>
      <c r="NKV247" s="21"/>
      <c r="NKY247" s="21"/>
      <c r="NKZ247" s="15"/>
      <c r="NLA247" s="15"/>
      <c r="NLB247" s="15"/>
      <c r="NLC247" s="15"/>
      <c r="NLD247" s="15"/>
      <c r="NLE247" s="15"/>
      <c r="NLF247" s="15"/>
      <c r="NLG247" s="15"/>
      <c r="NLH247" s="15"/>
      <c r="NLI247" s="15"/>
      <c r="NLJ247" s="10"/>
      <c r="NLK247" s="10"/>
      <c r="NLL247" s="21"/>
      <c r="NLM247" s="21"/>
      <c r="NLP247" s="21"/>
      <c r="NLQ247" s="15"/>
      <c r="NLR247" s="15"/>
      <c r="NLS247" s="15"/>
      <c r="NLT247" s="15"/>
      <c r="NLU247" s="15"/>
      <c r="NLV247" s="15"/>
      <c r="NLW247" s="15"/>
      <c r="NLX247" s="15"/>
      <c r="NLY247" s="15"/>
      <c r="NLZ247" s="15"/>
      <c r="NMA247" s="10"/>
      <c r="NMB247" s="10"/>
      <c r="NMC247" s="21"/>
      <c r="NMD247" s="21"/>
      <c r="NMG247" s="21"/>
      <c r="NMH247" s="15"/>
      <c r="NMI247" s="15"/>
      <c r="NMJ247" s="15"/>
      <c r="NMK247" s="15"/>
      <c r="NML247" s="15"/>
      <c r="NMM247" s="15"/>
      <c r="NMN247" s="15"/>
      <c r="NMO247" s="15"/>
      <c r="NMP247" s="15"/>
      <c r="NMQ247" s="15"/>
      <c r="NMR247" s="10"/>
      <c r="NMS247" s="10"/>
      <c r="NMT247" s="21"/>
      <c r="NMU247" s="21"/>
      <c r="NMX247" s="21"/>
      <c r="NMY247" s="15"/>
      <c r="NMZ247" s="15"/>
      <c r="NNA247" s="15"/>
      <c r="NNB247" s="15"/>
      <c r="NNC247" s="15"/>
      <c r="NND247" s="15"/>
      <c r="NNE247" s="15"/>
      <c r="NNF247" s="15"/>
      <c r="NNG247" s="15"/>
      <c r="NNH247" s="15"/>
      <c r="NNI247" s="10"/>
      <c r="NNJ247" s="10"/>
      <c r="NNK247" s="21"/>
      <c r="NNL247" s="21"/>
      <c r="NNO247" s="21"/>
      <c r="NNP247" s="15"/>
      <c r="NNQ247" s="15"/>
      <c r="NNR247" s="15"/>
      <c r="NNS247" s="15"/>
      <c r="NNT247" s="15"/>
      <c r="NNU247" s="15"/>
      <c r="NNV247" s="15"/>
      <c r="NNW247" s="15"/>
      <c r="NNX247" s="15"/>
      <c r="NNY247" s="15"/>
      <c r="NNZ247" s="10"/>
      <c r="NOA247" s="10"/>
      <c r="NOB247" s="21"/>
      <c r="NOC247" s="21"/>
      <c r="NOF247" s="21"/>
      <c r="NOG247" s="15"/>
      <c r="NOH247" s="15"/>
      <c r="NOI247" s="15"/>
      <c r="NOJ247" s="15"/>
      <c r="NOK247" s="15"/>
      <c r="NOL247" s="15"/>
      <c r="NOM247" s="15"/>
      <c r="NON247" s="15"/>
      <c r="NOO247" s="15"/>
      <c r="NOP247" s="15"/>
      <c r="NOQ247" s="10"/>
      <c r="NOR247" s="10"/>
      <c r="NOS247" s="21"/>
      <c r="NOT247" s="21"/>
      <c r="NOW247" s="21"/>
      <c r="NOX247" s="15"/>
      <c r="NOY247" s="15"/>
      <c r="NOZ247" s="15"/>
      <c r="NPA247" s="15"/>
      <c r="NPB247" s="15"/>
      <c r="NPC247" s="15"/>
      <c r="NPD247" s="15"/>
      <c r="NPE247" s="15"/>
      <c r="NPF247" s="15"/>
      <c r="NPG247" s="15"/>
      <c r="NPH247" s="10"/>
      <c r="NPI247" s="10"/>
      <c r="NPJ247" s="21"/>
      <c r="NPK247" s="21"/>
      <c r="NPN247" s="21"/>
      <c r="NPO247" s="15"/>
      <c r="NPP247" s="15"/>
      <c r="NPQ247" s="15"/>
      <c r="NPR247" s="15"/>
      <c r="NPS247" s="15"/>
      <c r="NPT247" s="15"/>
      <c r="NPU247" s="15"/>
      <c r="NPV247" s="15"/>
      <c r="NPW247" s="15"/>
      <c r="NPX247" s="15"/>
      <c r="NPY247" s="10"/>
      <c r="NPZ247" s="10"/>
      <c r="NQA247" s="21"/>
      <c r="NQB247" s="21"/>
      <c r="NQE247" s="21"/>
      <c r="NQF247" s="15"/>
      <c r="NQG247" s="15"/>
      <c r="NQH247" s="15"/>
      <c r="NQI247" s="15"/>
      <c r="NQJ247" s="15"/>
      <c r="NQK247" s="15"/>
      <c r="NQL247" s="15"/>
      <c r="NQM247" s="15"/>
      <c r="NQN247" s="15"/>
      <c r="NQO247" s="15"/>
      <c r="NQP247" s="10"/>
      <c r="NQQ247" s="10"/>
      <c r="NQR247" s="21"/>
      <c r="NQS247" s="21"/>
      <c r="NQV247" s="21"/>
      <c r="NQW247" s="15"/>
      <c r="NQX247" s="15"/>
      <c r="NQY247" s="15"/>
      <c r="NQZ247" s="15"/>
      <c r="NRA247" s="15"/>
      <c r="NRB247" s="15"/>
      <c r="NRC247" s="15"/>
      <c r="NRD247" s="15"/>
      <c r="NRE247" s="15"/>
      <c r="NRF247" s="15"/>
      <c r="NRG247" s="10"/>
      <c r="NRH247" s="10"/>
      <c r="NRI247" s="21"/>
      <c r="NRJ247" s="21"/>
      <c r="NRM247" s="21"/>
      <c r="NRN247" s="15"/>
      <c r="NRO247" s="15"/>
      <c r="NRP247" s="15"/>
      <c r="NRQ247" s="15"/>
      <c r="NRR247" s="15"/>
      <c r="NRS247" s="15"/>
      <c r="NRT247" s="15"/>
      <c r="NRU247" s="15"/>
      <c r="NRV247" s="15"/>
      <c r="NRW247" s="15"/>
      <c r="NRX247" s="10"/>
      <c r="NRY247" s="10"/>
      <c r="NRZ247" s="21"/>
      <c r="NSA247" s="21"/>
      <c r="NSD247" s="21"/>
      <c r="NSE247" s="15"/>
      <c r="NSF247" s="15"/>
      <c r="NSG247" s="15"/>
      <c r="NSH247" s="15"/>
      <c r="NSI247" s="15"/>
      <c r="NSJ247" s="15"/>
      <c r="NSK247" s="15"/>
      <c r="NSL247" s="15"/>
      <c r="NSM247" s="15"/>
      <c r="NSN247" s="15"/>
      <c r="NSO247" s="10"/>
      <c r="NSP247" s="10"/>
      <c r="NSQ247" s="21"/>
      <c r="NSR247" s="21"/>
      <c r="NSU247" s="21"/>
      <c r="NSV247" s="15"/>
      <c r="NSW247" s="15"/>
      <c r="NSX247" s="15"/>
      <c r="NSY247" s="15"/>
      <c r="NSZ247" s="15"/>
      <c r="NTA247" s="15"/>
      <c r="NTB247" s="15"/>
      <c r="NTC247" s="15"/>
      <c r="NTD247" s="15"/>
      <c r="NTE247" s="15"/>
      <c r="NTF247" s="10"/>
      <c r="NTG247" s="10"/>
      <c r="NTH247" s="21"/>
      <c r="NTI247" s="21"/>
      <c r="NTL247" s="21"/>
      <c r="NTM247" s="15"/>
      <c r="NTN247" s="15"/>
      <c r="NTO247" s="15"/>
      <c r="NTP247" s="15"/>
      <c r="NTQ247" s="15"/>
      <c r="NTR247" s="15"/>
      <c r="NTS247" s="15"/>
      <c r="NTT247" s="15"/>
      <c r="NTU247" s="15"/>
      <c r="NTV247" s="15"/>
      <c r="NTW247" s="10"/>
      <c r="NTX247" s="10"/>
      <c r="NTY247" s="21"/>
      <c r="NTZ247" s="21"/>
      <c r="NUC247" s="21"/>
      <c r="NUD247" s="15"/>
      <c r="NUE247" s="15"/>
      <c r="NUF247" s="15"/>
      <c r="NUG247" s="15"/>
      <c r="NUH247" s="15"/>
      <c r="NUI247" s="15"/>
      <c r="NUJ247" s="15"/>
      <c r="NUK247" s="15"/>
      <c r="NUL247" s="15"/>
      <c r="NUM247" s="15"/>
      <c r="NUN247" s="10"/>
      <c r="NUO247" s="10"/>
      <c r="NUP247" s="21"/>
      <c r="NUQ247" s="21"/>
      <c r="NUT247" s="21"/>
      <c r="NUU247" s="15"/>
      <c r="NUV247" s="15"/>
      <c r="NUW247" s="15"/>
      <c r="NUX247" s="15"/>
      <c r="NUY247" s="15"/>
      <c r="NUZ247" s="15"/>
      <c r="NVA247" s="15"/>
      <c r="NVB247" s="15"/>
      <c r="NVC247" s="15"/>
      <c r="NVD247" s="15"/>
      <c r="NVE247" s="10"/>
      <c r="NVF247" s="10"/>
      <c r="NVG247" s="21"/>
      <c r="NVH247" s="21"/>
      <c r="NVK247" s="21"/>
      <c r="NVL247" s="15"/>
      <c r="NVM247" s="15"/>
      <c r="NVN247" s="15"/>
      <c r="NVO247" s="15"/>
      <c r="NVP247" s="15"/>
      <c r="NVQ247" s="15"/>
      <c r="NVR247" s="15"/>
      <c r="NVS247" s="15"/>
      <c r="NVT247" s="15"/>
      <c r="NVU247" s="15"/>
      <c r="NVV247" s="10"/>
      <c r="NVW247" s="10"/>
      <c r="NVX247" s="21"/>
      <c r="NVY247" s="21"/>
      <c r="NWB247" s="21"/>
      <c r="NWC247" s="15"/>
      <c r="NWD247" s="15"/>
      <c r="NWE247" s="15"/>
      <c r="NWF247" s="15"/>
      <c r="NWG247" s="15"/>
      <c r="NWH247" s="15"/>
      <c r="NWI247" s="15"/>
      <c r="NWJ247" s="15"/>
      <c r="NWK247" s="15"/>
      <c r="NWL247" s="15"/>
      <c r="NWM247" s="10"/>
      <c r="NWN247" s="10"/>
      <c r="NWO247" s="21"/>
      <c r="NWP247" s="21"/>
      <c r="NWS247" s="21"/>
      <c r="NWT247" s="15"/>
      <c r="NWU247" s="15"/>
      <c r="NWV247" s="15"/>
      <c r="NWW247" s="15"/>
      <c r="NWX247" s="15"/>
      <c r="NWY247" s="15"/>
      <c r="NWZ247" s="15"/>
      <c r="NXA247" s="15"/>
      <c r="NXB247" s="15"/>
      <c r="NXC247" s="15"/>
      <c r="NXD247" s="10"/>
      <c r="NXE247" s="10"/>
      <c r="NXF247" s="21"/>
      <c r="NXG247" s="21"/>
      <c r="NXJ247" s="21"/>
      <c r="NXK247" s="15"/>
      <c r="NXL247" s="15"/>
      <c r="NXM247" s="15"/>
      <c r="NXN247" s="15"/>
      <c r="NXO247" s="15"/>
      <c r="NXP247" s="15"/>
      <c r="NXQ247" s="15"/>
      <c r="NXR247" s="15"/>
      <c r="NXS247" s="15"/>
      <c r="NXT247" s="15"/>
      <c r="NXU247" s="10"/>
      <c r="NXV247" s="10"/>
      <c r="NXW247" s="21"/>
      <c r="NXX247" s="21"/>
      <c r="NYA247" s="21"/>
      <c r="NYB247" s="15"/>
      <c r="NYC247" s="15"/>
      <c r="NYD247" s="15"/>
      <c r="NYE247" s="15"/>
      <c r="NYF247" s="15"/>
      <c r="NYG247" s="15"/>
      <c r="NYH247" s="15"/>
      <c r="NYI247" s="15"/>
      <c r="NYJ247" s="15"/>
      <c r="NYK247" s="15"/>
      <c r="NYL247" s="10"/>
      <c r="NYM247" s="10"/>
      <c r="NYN247" s="21"/>
      <c r="NYO247" s="21"/>
      <c r="NYR247" s="21"/>
      <c r="NYS247" s="15"/>
      <c r="NYT247" s="15"/>
      <c r="NYU247" s="15"/>
      <c r="NYV247" s="15"/>
      <c r="NYW247" s="15"/>
      <c r="NYX247" s="15"/>
      <c r="NYY247" s="15"/>
      <c r="NYZ247" s="15"/>
      <c r="NZA247" s="15"/>
      <c r="NZB247" s="15"/>
      <c r="NZC247" s="10"/>
      <c r="NZD247" s="10"/>
      <c r="NZE247" s="21"/>
      <c r="NZF247" s="21"/>
      <c r="NZI247" s="21"/>
      <c r="NZJ247" s="15"/>
      <c r="NZK247" s="15"/>
      <c r="NZL247" s="15"/>
      <c r="NZM247" s="15"/>
      <c r="NZN247" s="15"/>
      <c r="NZO247" s="15"/>
      <c r="NZP247" s="15"/>
      <c r="NZQ247" s="15"/>
      <c r="NZR247" s="15"/>
      <c r="NZS247" s="15"/>
      <c r="NZT247" s="10"/>
      <c r="NZU247" s="10"/>
      <c r="NZV247" s="21"/>
      <c r="NZW247" s="21"/>
      <c r="NZZ247" s="21"/>
      <c r="OAA247" s="15"/>
      <c r="OAB247" s="15"/>
      <c r="OAC247" s="15"/>
      <c r="OAD247" s="15"/>
      <c r="OAE247" s="15"/>
      <c r="OAF247" s="15"/>
      <c r="OAG247" s="15"/>
      <c r="OAH247" s="15"/>
      <c r="OAI247" s="15"/>
      <c r="OAJ247" s="15"/>
      <c r="OAK247" s="10"/>
      <c r="OAL247" s="10"/>
      <c r="OAM247" s="21"/>
      <c r="OAN247" s="21"/>
      <c r="OAQ247" s="21"/>
      <c r="OAR247" s="15"/>
      <c r="OAS247" s="15"/>
      <c r="OAT247" s="15"/>
      <c r="OAU247" s="15"/>
      <c r="OAV247" s="15"/>
      <c r="OAW247" s="15"/>
      <c r="OAX247" s="15"/>
      <c r="OAY247" s="15"/>
      <c r="OAZ247" s="15"/>
      <c r="OBA247" s="15"/>
      <c r="OBB247" s="10"/>
      <c r="OBC247" s="10"/>
      <c r="OBD247" s="21"/>
      <c r="OBE247" s="21"/>
      <c r="OBH247" s="21"/>
      <c r="OBI247" s="15"/>
      <c r="OBJ247" s="15"/>
      <c r="OBK247" s="15"/>
      <c r="OBL247" s="15"/>
      <c r="OBM247" s="15"/>
      <c r="OBN247" s="15"/>
      <c r="OBO247" s="15"/>
      <c r="OBP247" s="15"/>
      <c r="OBQ247" s="15"/>
      <c r="OBR247" s="15"/>
      <c r="OBS247" s="10"/>
      <c r="OBT247" s="10"/>
      <c r="OBU247" s="21"/>
      <c r="OBV247" s="21"/>
      <c r="OBY247" s="21"/>
      <c r="OBZ247" s="15"/>
      <c r="OCA247" s="15"/>
      <c r="OCB247" s="15"/>
      <c r="OCC247" s="15"/>
      <c r="OCD247" s="15"/>
      <c r="OCE247" s="15"/>
      <c r="OCF247" s="15"/>
      <c r="OCG247" s="15"/>
      <c r="OCH247" s="15"/>
      <c r="OCI247" s="15"/>
      <c r="OCJ247" s="10"/>
      <c r="OCK247" s="10"/>
      <c r="OCL247" s="21"/>
      <c r="OCM247" s="21"/>
      <c r="OCP247" s="21"/>
      <c r="OCQ247" s="15"/>
      <c r="OCR247" s="15"/>
      <c r="OCS247" s="15"/>
      <c r="OCT247" s="15"/>
      <c r="OCU247" s="15"/>
      <c r="OCV247" s="15"/>
      <c r="OCW247" s="15"/>
      <c r="OCX247" s="15"/>
      <c r="OCY247" s="15"/>
      <c r="OCZ247" s="15"/>
      <c r="ODA247" s="10"/>
      <c r="ODB247" s="10"/>
      <c r="ODC247" s="21"/>
      <c r="ODD247" s="21"/>
      <c r="ODG247" s="21"/>
      <c r="ODH247" s="15"/>
      <c r="ODI247" s="15"/>
      <c r="ODJ247" s="15"/>
      <c r="ODK247" s="15"/>
      <c r="ODL247" s="15"/>
      <c r="ODM247" s="15"/>
      <c r="ODN247" s="15"/>
      <c r="ODO247" s="15"/>
      <c r="ODP247" s="15"/>
      <c r="ODQ247" s="15"/>
      <c r="ODR247" s="10"/>
      <c r="ODS247" s="10"/>
      <c r="ODT247" s="21"/>
      <c r="ODU247" s="21"/>
      <c r="ODX247" s="21"/>
      <c r="ODY247" s="15"/>
      <c r="ODZ247" s="15"/>
      <c r="OEA247" s="15"/>
      <c r="OEB247" s="15"/>
      <c r="OEC247" s="15"/>
      <c r="OED247" s="15"/>
      <c r="OEE247" s="15"/>
      <c r="OEF247" s="15"/>
      <c r="OEG247" s="15"/>
      <c r="OEH247" s="15"/>
      <c r="OEI247" s="10"/>
      <c r="OEJ247" s="10"/>
      <c r="OEK247" s="21"/>
      <c r="OEL247" s="21"/>
      <c r="OEO247" s="21"/>
      <c r="OEP247" s="15"/>
      <c r="OEQ247" s="15"/>
      <c r="OER247" s="15"/>
      <c r="OES247" s="15"/>
      <c r="OET247" s="15"/>
      <c r="OEU247" s="15"/>
      <c r="OEV247" s="15"/>
      <c r="OEW247" s="15"/>
      <c r="OEX247" s="15"/>
      <c r="OEY247" s="15"/>
      <c r="OEZ247" s="10"/>
      <c r="OFA247" s="10"/>
      <c r="OFB247" s="21"/>
      <c r="OFC247" s="21"/>
      <c r="OFF247" s="21"/>
      <c r="OFG247" s="15"/>
      <c r="OFH247" s="15"/>
      <c r="OFI247" s="15"/>
      <c r="OFJ247" s="15"/>
      <c r="OFK247" s="15"/>
      <c r="OFL247" s="15"/>
      <c r="OFM247" s="15"/>
      <c r="OFN247" s="15"/>
      <c r="OFO247" s="15"/>
      <c r="OFP247" s="15"/>
      <c r="OFQ247" s="10"/>
      <c r="OFR247" s="10"/>
      <c r="OFS247" s="21"/>
      <c r="OFT247" s="21"/>
      <c r="OFW247" s="21"/>
      <c r="OFX247" s="15"/>
      <c r="OFY247" s="15"/>
      <c r="OFZ247" s="15"/>
      <c r="OGA247" s="15"/>
      <c r="OGB247" s="15"/>
      <c r="OGC247" s="15"/>
      <c r="OGD247" s="15"/>
      <c r="OGE247" s="15"/>
      <c r="OGF247" s="15"/>
      <c r="OGG247" s="15"/>
      <c r="OGH247" s="10"/>
      <c r="OGI247" s="10"/>
      <c r="OGJ247" s="21"/>
      <c r="OGK247" s="21"/>
      <c r="OGN247" s="21"/>
      <c r="OGO247" s="15"/>
      <c r="OGP247" s="15"/>
      <c r="OGQ247" s="15"/>
      <c r="OGR247" s="15"/>
      <c r="OGS247" s="15"/>
      <c r="OGT247" s="15"/>
      <c r="OGU247" s="15"/>
      <c r="OGV247" s="15"/>
      <c r="OGW247" s="15"/>
      <c r="OGX247" s="15"/>
      <c r="OGY247" s="10"/>
      <c r="OGZ247" s="10"/>
      <c r="OHA247" s="21"/>
      <c r="OHB247" s="21"/>
      <c r="OHE247" s="21"/>
      <c r="OHF247" s="15"/>
      <c r="OHG247" s="15"/>
      <c r="OHH247" s="15"/>
      <c r="OHI247" s="15"/>
      <c r="OHJ247" s="15"/>
      <c r="OHK247" s="15"/>
      <c r="OHL247" s="15"/>
      <c r="OHM247" s="15"/>
      <c r="OHN247" s="15"/>
      <c r="OHO247" s="15"/>
      <c r="OHP247" s="10"/>
      <c r="OHQ247" s="10"/>
      <c r="OHR247" s="21"/>
      <c r="OHS247" s="21"/>
      <c r="OHV247" s="21"/>
      <c r="OHW247" s="15"/>
      <c r="OHX247" s="15"/>
      <c r="OHY247" s="15"/>
      <c r="OHZ247" s="15"/>
      <c r="OIA247" s="15"/>
      <c r="OIB247" s="15"/>
      <c r="OIC247" s="15"/>
      <c r="OID247" s="15"/>
      <c r="OIE247" s="15"/>
      <c r="OIF247" s="15"/>
      <c r="OIG247" s="10"/>
      <c r="OIH247" s="10"/>
      <c r="OII247" s="21"/>
      <c r="OIJ247" s="21"/>
      <c r="OIM247" s="21"/>
      <c r="OIN247" s="15"/>
      <c r="OIO247" s="15"/>
      <c r="OIP247" s="15"/>
      <c r="OIQ247" s="15"/>
      <c r="OIR247" s="15"/>
      <c r="OIS247" s="15"/>
      <c r="OIT247" s="15"/>
      <c r="OIU247" s="15"/>
      <c r="OIV247" s="15"/>
      <c r="OIW247" s="15"/>
      <c r="OIX247" s="10"/>
      <c r="OIY247" s="10"/>
      <c r="OIZ247" s="21"/>
      <c r="OJA247" s="21"/>
      <c r="OJD247" s="21"/>
      <c r="OJE247" s="15"/>
      <c r="OJF247" s="15"/>
      <c r="OJG247" s="15"/>
      <c r="OJH247" s="15"/>
      <c r="OJI247" s="15"/>
      <c r="OJJ247" s="15"/>
      <c r="OJK247" s="15"/>
      <c r="OJL247" s="15"/>
      <c r="OJM247" s="15"/>
      <c r="OJN247" s="15"/>
      <c r="OJO247" s="10"/>
      <c r="OJP247" s="10"/>
      <c r="OJQ247" s="21"/>
      <c r="OJR247" s="21"/>
      <c r="OJU247" s="21"/>
      <c r="OJV247" s="15"/>
      <c r="OJW247" s="15"/>
      <c r="OJX247" s="15"/>
      <c r="OJY247" s="15"/>
      <c r="OJZ247" s="15"/>
      <c r="OKA247" s="15"/>
      <c r="OKB247" s="15"/>
      <c r="OKC247" s="15"/>
      <c r="OKD247" s="15"/>
      <c r="OKE247" s="15"/>
      <c r="OKF247" s="10"/>
      <c r="OKG247" s="10"/>
      <c r="OKH247" s="21"/>
      <c r="OKI247" s="21"/>
      <c r="OKL247" s="21"/>
      <c r="OKM247" s="15"/>
      <c r="OKN247" s="15"/>
      <c r="OKO247" s="15"/>
      <c r="OKP247" s="15"/>
      <c r="OKQ247" s="15"/>
      <c r="OKR247" s="15"/>
      <c r="OKS247" s="15"/>
      <c r="OKT247" s="15"/>
      <c r="OKU247" s="15"/>
      <c r="OKV247" s="15"/>
      <c r="OKW247" s="10"/>
      <c r="OKX247" s="10"/>
      <c r="OKY247" s="21"/>
      <c r="OKZ247" s="21"/>
      <c r="OLC247" s="21"/>
      <c r="OLD247" s="15"/>
      <c r="OLE247" s="15"/>
      <c r="OLF247" s="15"/>
      <c r="OLG247" s="15"/>
      <c r="OLH247" s="15"/>
      <c r="OLI247" s="15"/>
      <c r="OLJ247" s="15"/>
      <c r="OLK247" s="15"/>
      <c r="OLL247" s="15"/>
      <c r="OLM247" s="15"/>
      <c r="OLN247" s="10"/>
      <c r="OLO247" s="10"/>
      <c r="OLP247" s="21"/>
      <c r="OLQ247" s="21"/>
      <c r="OLT247" s="21"/>
      <c r="OLU247" s="15"/>
      <c r="OLV247" s="15"/>
      <c r="OLW247" s="15"/>
      <c r="OLX247" s="15"/>
      <c r="OLY247" s="15"/>
      <c r="OLZ247" s="15"/>
      <c r="OMA247" s="15"/>
      <c r="OMB247" s="15"/>
      <c r="OMC247" s="15"/>
      <c r="OMD247" s="15"/>
      <c r="OME247" s="10"/>
      <c r="OMF247" s="10"/>
      <c r="OMG247" s="21"/>
      <c r="OMH247" s="21"/>
      <c r="OMK247" s="21"/>
      <c r="OML247" s="15"/>
      <c r="OMM247" s="15"/>
      <c r="OMN247" s="15"/>
      <c r="OMO247" s="15"/>
      <c r="OMP247" s="15"/>
      <c r="OMQ247" s="15"/>
      <c r="OMR247" s="15"/>
      <c r="OMS247" s="15"/>
      <c r="OMT247" s="15"/>
      <c r="OMU247" s="15"/>
      <c r="OMV247" s="10"/>
      <c r="OMW247" s="10"/>
      <c r="OMX247" s="21"/>
      <c r="OMY247" s="21"/>
      <c r="ONB247" s="21"/>
      <c r="ONC247" s="15"/>
      <c r="OND247" s="15"/>
      <c r="ONE247" s="15"/>
      <c r="ONF247" s="15"/>
      <c r="ONG247" s="15"/>
      <c r="ONH247" s="15"/>
      <c r="ONI247" s="15"/>
      <c r="ONJ247" s="15"/>
      <c r="ONK247" s="15"/>
      <c r="ONL247" s="15"/>
      <c r="ONM247" s="10"/>
      <c r="ONN247" s="10"/>
      <c r="ONO247" s="21"/>
      <c r="ONP247" s="21"/>
      <c r="ONS247" s="21"/>
      <c r="ONT247" s="15"/>
      <c r="ONU247" s="15"/>
      <c r="ONV247" s="15"/>
      <c r="ONW247" s="15"/>
      <c r="ONX247" s="15"/>
      <c r="ONY247" s="15"/>
      <c r="ONZ247" s="15"/>
      <c r="OOA247" s="15"/>
      <c r="OOB247" s="15"/>
      <c r="OOC247" s="15"/>
      <c r="OOD247" s="10"/>
      <c r="OOE247" s="10"/>
      <c r="OOF247" s="21"/>
      <c r="OOG247" s="21"/>
      <c r="OOJ247" s="21"/>
      <c r="OOK247" s="15"/>
      <c r="OOL247" s="15"/>
      <c r="OOM247" s="15"/>
      <c r="OON247" s="15"/>
      <c r="OOO247" s="15"/>
      <c r="OOP247" s="15"/>
      <c r="OOQ247" s="15"/>
      <c r="OOR247" s="15"/>
      <c r="OOS247" s="15"/>
      <c r="OOT247" s="15"/>
      <c r="OOU247" s="10"/>
      <c r="OOV247" s="10"/>
      <c r="OOW247" s="21"/>
      <c r="OOX247" s="21"/>
      <c r="OPA247" s="21"/>
      <c r="OPB247" s="15"/>
      <c r="OPC247" s="15"/>
      <c r="OPD247" s="15"/>
      <c r="OPE247" s="15"/>
      <c r="OPF247" s="15"/>
      <c r="OPG247" s="15"/>
      <c r="OPH247" s="15"/>
      <c r="OPI247" s="15"/>
      <c r="OPJ247" s="15"/>
      <c r="OPK247" s="15"/>
      <c r="OPL247" s="10"/>
      <c r="OPM247" s="10"/>
      <c r="OPN247" s="21"/>
      <c r="OPO247" s="21"/>
      <c r="OPR247" s="21"/>
      <c r="OPS247" s="15"/>
      <c r="OPT247" s="15"/>
      <c r="OPU247" s="15"/>
      <c r="OPV247" s="15"/>
      <c r="OPW247" s="15"/>
      <c r="OPX247" s="15"/>
      <c r="OPY247" s="15"/>
      <c r="OPZ247" s="15"/>
      <c r="OQA247" s="15"/>
      <c r="OQB247" s="15"/>
      <c r="OQC247" s="10"/>
      <c r="OQD247" s="10"/>
      <c r="OQE247" s="21"/>
      <c r="OQF247" s="21"/>
      <c r="OQI247" s="21"/>
      <c r="OQJ247" s="15"/>
      <c r="OQK247" s="15"/>
      <c r="OQL247" s="15"/>
      <c r="OQM247" s="15"/>
      <c r="OQN247" s="15"/>
      <c r="OQO247" s="15"/>
      <c r="OQP247" s="15"/>
      <c r="OQQ247" s="15"/>
      <c r="OQR247" s="15"/>
      <c r="OQS247" s="15"/>
      <c r="OQT247" s="10"/>
      <c r="OQU247" s="10"/>
      <c r="OQV247" s="21"/>
      <c r="OQW247" s="21"/>
      <c r="OQZ247" s="21"/>
      <c r="ORA247" s="15"/>
      <c r="ORB247" s="15"/>
      <c r="ORC247" s="15"/>
      <c r="ORD247" s="15"/>
      <c r="ORE247" s="15"/>
      <c r="ORF247" s="15"/>
      <c r="ORG247" s="15"/>
      <c r="ORH247" s="15"/>
      <c r="ORI247" s="15"/>
      <c r="ORJ247" s="15"/>
      <c r="ORK247" s="10"/>
      <c r="ORL247" s="10"/>
      <c r="ORM247" s="21"/>
      <c r="ORN247" s="21"/>
      <c r="ORQ247" s="21"/>
      <c r="ORR247" s="15"/>
      <c r="ORS247" s="15"/>
      <c r="ORT247" s="15"/>
      <c r="ORU247" s="15"/>
      <c r="ORV247" s="15"/>
      <c r="ORW247" s="15"/>
      <c r="ORX247" s="15"/>
      <c r="ORY247" s="15"/>
      <c r="ORZ247" s="15"/>
      <c r="OSA247" s="15"/>
      <c r="OSB247" s="10"/>
      <c r="OSC247" s="10"/>
      <c r="OSD247" s="21"/>
      <c r="OSE247" s="21"/>
      <c r="OSH247" s="21"/>
      <c r="OSI247" s="15"/>
      <c r="OSJ247" s="15"/>
      <c r="OSK247" s="15"/>
      <c r="OSL247" s="15"/>
      <c r="OSM247" s="15"/>
      <c r="OSN247" s="15"/>
      <c r="OSO247" s="15"/>
      <c r="OSP247" s="15"/>
      <c r="OSQ247" s="15"/>
      <c r="OSR247" s="15"/>
      <c r="OSS247" s="10"/>
      <c r="OST247" s="10"/>
      <c r="OSU247" s="21"/>
      <c r="OSV247" s="21"/>
      <c r="OSY247" s="21"/>
      <c r="OSZ247" s="15"/>
      <c r="OTA247" s="15"/>
      <c r="OTB247" s="15"/>
      <c r="OTC247" s="15"/>
      <c r="OTD247" s="15"/>
      <c r="OTE247" s="15"/>
      <c r="OTF247" s="15"/>
      <c r="OTG247" s="15"/>
      <c r="OTH247" s="15"/>
      <c r="OTI247" s="15"/>
      <c r="OTJ247" s="10"/>
      <c r="OTK247" s="10"/>
      <c r="OTL247" s="21"/>
      <c r="OTM247" s="21"/>
      <c r="OTP247" s="21"/>
      <c r="OTQ247" s="15"/>
      <c r="OTR247" s="15"/>
      <c r="OTS247" s="15"/>
      <c r="OTT247" s="15"/>
      <c r="OTU247" s="15"/>
      <c r="OTV247" s="15"/>
      <c r="OTW247" s="15"/>
      <c r="OTX247" s="15"/>
      <c r="OTY247" s="15"/>
      <c r="OTZ247" s="15"/>
      <c r="OUA247" s="10"/>
      <c r="OUB247" s="10"/>
      <c r="OUC247" s="21"/>
      <c r="OUD247" s="21"/>
      <c r="OUG247" s="21"/>
      <c r="OUH247" s="15"/>
      <c r="OUI247" s="15"/>
      <c r="OUJ247" s="15"/>
      <c r="OUK247" s="15"/>
      <c r="OUL247" s="15"/>
      <c r="OUM247" s="15"/>
      <c r="OUN247" s="15"/>
      <c r="OUO247" s="15"/>
      <c r="OUP247" s="15"/>
      <c r="OUQ247" s="15"/>
      <c r="OUR247" s="10"/>
      <c r="OUS247" s="10"/>
      <c r="OUT247" s="21"/>
      <c r="OUU247" s="21"/>
      <c r="OUX247" s="21"/>
      <c r="OUY247" s="15"/>
      <c r="OUZ247" s="15"/>
      <c r="OVA247" s="15"/>
      <c r="OVB247" s="15"/>
      <c r="OVC247" s="15"/>
      <c r="OVD247" s="15"/>
      <c r="OVE247" s="15"/>
      <c r="OVF247" s="15"/>
      <c r="OVG247" s="15"/>
      <c r="OVH247" s="15"/>
      <c r="OVI247" s="10"/>
      <c r="OVJ247" s="10"/>
      <c r="OVK247" s="21"/>
      <c r="OVL247" s="21"/>
      <c r="OVO247" s="21"/>
      <c r="OVP247" s="15"/>
      <c r="OVQ247" s="15"/>
      <c r="OVR247" s="15"/>
      <c r="OVS247" s="15"/>
      <c r="OVT247" s="15"/>
      <c r="OVU247" s="15"/>
      <c r="OVV247" s="15"/>
      <c r="OVW247" s="15"/>
      <c r="OVX247" s="15"/>
      <c r="OVY247" s="15"/>
      <c r="OVZ247" s="10"/>
      <c r="OWA247" s="10"/>
      <c r="OWB247" s="21"/>
      <c r="OWC247" s="21"/>
      <c r="OWF247" s="21"/>
      <c r="OWG247" s="15"/>
      <c r="OWH247" s="15"/>
      <c r="OWI247" s="15"/>
      <c r="OWJ247" s="15"/>
      <c r="OWK247" s="15"/>
      <c r="OWL247" s="15"/>
      <c r="OWM247" s="15"/>
      <c r="OWN247" s="15"/>
      <c r="OWO247" s="15"/>
      <c r="OWP247" s="15"/>
      <c r="OWQ247" s="10"/>
      <c r="OWR247" s="10"/>
      <c r="OWS247" s="21"/>
      <c r="OWT247" s="21"/>
      <c r="OWW247" s="21"/>
      <c r="OWX247" s="15"/>
      <c r="OWY247" s="15"/>
      <c r="OWZ247" s="15"/>
      <c r="OXA247" s="15"/>
      <c r="OXB247" s="15"/>
      <c r="OXC247" s="15"/>
      <c r="OXD247" s="15"/>
      <c r="OXE247" s="15"/>
      <c r="OXF247" s="15"/>
      <c r="OXG247" s="15"/>
      <c r="OXH247" s="10"/>
      <c r="OXI247" s="10"/>
      <c r="OXJ247" s="21"/>
      <c r="OXK247" s="21"/>
      <c r="OXN247" s="21"/>
      <c r="OXO247" s="15"/>
      <c r="OXP247" s="15"/>
      <c r="OXQ247" s="15"/>
      <c r="OXR247" s="15"/>
      <c r="OXS247" s="15"/>
      <c r="OXT247" s="15"/>
      <c r="OXU247" s="15"/>
      <c r="OXV247" s="15"/>
      <c r="OXW247" s="15"/>
      <c r="OXX247" s="15"/>
      <c r="OXY247" s="10"/>
      <c r="OXZ247" s="10"/>
      <c r="OYA247" s="21"/>
      <c r="OYB247" s="21"/>
      <c r="OYE247" s="21"/>
      <c r="OYF247" s="15"/>
      <c r="OYG247" s="15"/>
      <c r="OYH247" s="15"/>
      <c r="OYI247" s="15"/>
      <c r="OYJ247" s="15"/>
      <c r="OYK247" s="15"/>
      <c r="OYL247" s="15"/>
      <c r="OYM247" s="15"/>
      <c r="OYN247" s="15"/>
      <c r="OYO247" s="15"/>
      <c r="OYP247" s="10"/>
      <c r="OYQ247" s="10"/>
      <c r="OYR247" s="21"/>
      <c r="OYS247" s="21"/>
      <c r="OYV247" s="21"/>
      <c r="OYW247" s="15"/>
      <c r="OYX247" s="15"/>
      <c r="OYY247" s="15"/>
      <c r="OYZ247" s="15"/>
      <c r="OZA247" s="15"/>
      <c r="OZB247" s="15"/>
      <c r="OZC247" s="15"/>
      <c r="OZD247" s="15"/>
      <c r="OZE247" s="15"/>
      <c r="OZF247" s="15"/>
      <c r="OZG247" s="10"/>
      <c r="OZH247" s="10"/>
      <c r="OZI247" s="21"/>
      <c r="OZJ247" s="21"/>
      <c r="OZM247" s="21"/>
      <c r="OZN247" s="15"/>
      <c r="OZO247" s="15"/>
      <c r="OZP247" s="15"/>
      <c r="OZQ247" s="15"/>
      <c r="OZR247" s="15"/>
      <c r="OZS247" s="15"/>
      <c r="OZT247" s="15"/>
      <c r="OZU247" s="15"/>
      <c r="OZV247" s="15"/>
      <c r="OZW247" s="15"/>
      <c r="OZX247" s="10"/>
      <c r="OZY247" s="10"/>
      <c r="OZZ247" s="21"/>
      <c r="PAA247" s="21"/>
      <c r="PAD247" s="21"/>
      <c r="PAE247" s="15"/>
      <c r="PAF247" s="15"/>
      <c r="PAG247" s="15"/>
      <c r="PAH247" s="15"/>
      <c r="PAI247" s="15"/>
      <c r="PAJ247" s="15"/>
      <c r="PAK247" s="15"/>
      <c r="PAL247" s="15"/>
      <c r="PAM247" s="15"/>
      <c r="PAN247" s="15"/>
      <c r="PAO247" s="10"/>
      <c r="PAP247" s="10"/>
      <c r="PAQ247" s="21"/>
      <c r="PAR247" s="21"/>
      <c r="PAU247" s="21"/>
      <c r="PAV247" s="15"/>
      <c r="PAW247" s="15"/>
      <c r="PAX247" s="15"/>
      <c r="PAY247" s="15"/>
      <c r="PAZ247" s="15"/>
      <c r="PBA247" s="15"/>
      <c r="PBB247" s="15"/>
      <c r="PBC247" s="15"/>
      <c r="PBD247" s="15"/>
      <c r="PBE247" s="15"/>
      <c r="PBF247" s="10"/>
      <c r="PBG247" s="10"/>
      <c r="PBH247" s="21"/>
      <c r="PBI247" s="21"/>
      <c r="PBL247" s="21"/>
      <c r="PBM247" s="15"/>
      <c r="PBN247" s="15"/>
      <c r="PBO247" s="15"/>
      <c r="PBP247" s="15"/>
      <c r="PBQ247" s="15"/>
      <c r="PBR247" s="15"/>
      <c r="PBS247" s="15"/>
      <c r="PBT247" s="15"/>
      <c r="PBU247" s="15"/>
      <c r="PBV247" s="15"/>
      <c r="PBW247" s="10"/>
      <c r="PBX247" s="10"/>
      <c r="PBY247" s="21"/>
      <c r="PBZ247" s="21"/>
      <c r="PCC247" s="21"/>
      <c r="PCD247" s="15"/>
      <c r="PCE247" s="15"/>
      <c r="PCF247" s="15"/>
      <c r="PCG247" s="15"/>
      <c r="PCH247" s="15"/>
      <c r="PCI247" s="15"/>
      <c r="PCJ247" s="15"/>
      <c r="PCK247" s="15"/>
      <c r="PCL247" s="15"/>
      <c r="PCM247" s="15"/>
      <c r="PCN247" s="10"/>
      <c r="PCO247" s="10"/>
      <c r="PCP247" s="21"/>
      <c r="PCQ247" s="21"/>
      <c r="PCT247" s="21"/>
      <c r="PCU247" s="15"/>
      <c r="PCV247" s="15"/>
      <c r="PCW247" s="15"/>
      <c r="PCX247" s="15"/>
      <c r="PCY247" s="15"/>
      <c r="PCZ247" s="15"/>
      <c r="PDA247" s="15"/>
      <c r="PDB247" s="15"/>
      <c r="PDC247" s="15"/>
      <c r="PDD247" s="15"/>
      <c r="PDE247" s="10"/>
      <c r="PDF247" s="10"/>
      <c r="PDG247" s="21"/>
      <c r="PDH247" s="21"/>
      <c r="PDK247" s="21"/>
      <c r="PDL247" s="15"/>
      <c r="PDM247" s="15"/>
      <c r="PDN247" s="15"/>
      <c r="PDO247" s="15"/>
      <c r="PDP247" s="15"/>
      <c r="PDQ247" s="15"/>
      <c r="PDR247" s="15"/>
      <c r="PDS247" s="15"/>
      <c r="PDT247" s="15"/>
      <c r="PDU247" s="15"/>
      <c r="PDV247" s="10"/>
      <c r="PDW247" s="10"/>
      <c r="PDX247" s="21"/>
      <c r="PDY247" s="21"/>
      <c r="PEB247" s="21"/>
      <c r="PEC247" s="15"/>
      <c r="PED247" s="15"/>
      <c r="PEE247" s="15"/>
      <c r="PEF247" s="15"/>
      <c r="PEG247" s="15"/>
      <c r="PEH247" s="15"/>
      <c r="PEI247" s="15"/>
      <c r="PEJ247" s="15"/>
      <c r="PEK247" s="15"/>
      <c r="PEL247" s="15"/>
      <c r="PEM247" s="10"/>
      <c r="PEN247" s="10"/>
      <c r="PEO247" s="21"/>
      <c r="PEP247" s="21"/>
      <c r="PES247" s="21"/>
      <c r="PET247" s="15"/>
      <c r="PEU247" s="15"/>
      <c r="PEV247" s="15"/>
      <c r="PEW247" s="15"/>
      <c r="PEX247" s="15"/>
      <c r="PEY247" s="15"/>
      <c r="PEZ247" s="15"/>
      <c r="PFA247" s="15"/>
      <c r="PFB247" s="15"/>
      <c r="PFC247" s="15"/>
      <c r="PFD247" s="10"/>
      <c r="PFE247" s="10"/>
      <c r="PFF247" s="21"/>
      <c r="PFG247" s="21"/>
      <c r="PFJ247" s="21"/>
      <c r="PFK247" s="15"/>
      <c r="PFL247" s="15"/>
      <c r="PFM247" s="15"/>
      <c r="PFN247" s="15"/>
      <c r="PFO247" s="15"/>
      <c r="PFP247" s="15"/>
      <c r="PFQ247" s="15"/>
      <c r="PFR247" s="15"/>
      <c r="PFS247" s="15"/>
      <c r="PFT247" s="15"/>
      <c r="PFU247" s="10"/>
      <c r="PFV247" s="10"/>
      <c r="PFW247" s="21"/>
      <c r="PFX247" s="21"/>
      <c r="PGA247" s="21"/>
      <c r="PGB247" s="15"/>
      <c r="PGC247" s="15"/>
      <c r="PGD247" s="15"/>
      <c r="PGE247" s="15"/>
      <c r="PGF247" s="15"/>
      <c r="PGG247" s="15"/>
      <c r="PGH247" s="15"/>
      <c r="PGI247" s="15"/>
      <c r="PGJ247" s="15"/>
      <c r="PGK247" s="15"/>
      <c r="PGL247" s="10"/>
      <c r="PGM247" s="10"/>
      <c r="PGN247" s="21"/>
      <c r="PGO247" s="21"/>
      <c r="PGR247" s="21"/>
      <c r="PGS247" s="15"/>
      <c r="PGT247" s="15"/>
      <c r="PGU247" s="15"/>
      <c r="PGV247" s="15"/>
      <c r="PGW247" s="15"/>
      <c r="PGX247" s="15"/>
      <c r="PGY247" s="15"/>
      <c r="PGZ247" s="15"/>
      <c r="PHA247" s="15"/>
      <c r="PHB247" s="15"/>
      <c r="PHC247" s="10"/>
      <c r="PHD247" s="10"/>
      <c r="PHE247" s="21"/>
      <c r="PHF247" s="21"/>
      <c r="PHI247" s="21"/>
      <c r="PHJ247" s="15"/>
      <c r="PHK247" s="15"/>
      <c r="PHL247" s="15"/>
      <c r="PHM247" s="15"/>
      <c r="PHN247" s="15"/>
      <c r="PHO247" s="15"/>
      <c r="PHP247" s="15"/>
      <c r="PHQ247" s="15"/>
      <c r="PHR247" s="15"/>
      <c r="PHS247" s="15"/>
      <c r="PHT247" s="10"/>
      <c r="PHU247" s="10"/>
      <c r="PHV247" s="21"/>
      <c r="PHW247" s="21"/>
      <c r="PHZ247" s="21"/>
      <c r="PIA247" s="15"/>
      <c r="PIB247" s="15"/>
      <c r="PIC247" s="15"/>
      <c r="PID247" s="15"/>
      <c r="PIE247" s="15"/>
      <c r="PIF247" s="15"/>
      <c r="PIG247" s="15"/>
      <c r="PIH247" s="15"/>
      <c r="PII247" s="15"/>
      <c r="PIJ247" s="15"/>
      <c r="PIK247" s="10"/>
      <c r="PIL247" s="10"/>
      <c r="PIM247" s="21"/>
      <c r="PIN247" s="21"/>
      <c r="PIQ247" s="21"/>
      <c r="PIR247" s="15"/>
      <c r="PIS247" s="15"/>
      <c r="PIT247" s="15"/>
      <c r="PIU247" s="15"/>
      <c r="PIV247" s="15"/>
      <c r="PIW247" s="15"/>
      <c r="PIX247" s="15"/>
      <c r="PIY247" s="15"/>
      <c r="PIZ247" s="15"/>
      <c r="PJA247" s="15"/>
      <c r="PJB247" s="10"/>
      <c r="PJC247" s="10"/>
      <c r="PJD247" s="21"/>
      <c r="PJE247" s="21"/>
      <c r="PJH247" s="21"/>
      <c r="PJI247" s="15"/>
      <c r="PJJ247" s="15"/>
      <c r="PJK247" s="15"/>
      <c r="PJL247" s="15"/>
      <c r="PJM247" s="15"/>
      <c r="PJN247" s="15"/>
      <c r="PJO247" s="15"/>
      <c r="PJP247" s="15"/>
      <c r="PJQ247" s="15"/>
      <c r="PJR247" s="15"/>
      <c r="PJS247" s="10"/>
      <c r="PJT247" s="10"/>
      <c r="PJU247" s="21"/>
      <c r="PJV247" s="21"/>
      <c r="PJY247" s="21"/>
      <c r="PJZ247" s="15"/>
      <c r="PKA247" s="15"/>
      <c r="PKB247" s="15"/>
      <c r="PKC247" s="15"/>
      <c r="PKD247" s="15"/>
      <c r="PKE247" s="15"/>
      <c r="PKF247" s="15"/>
      <c r="PKG247" s="15"/>
      <c r="PKH247" s="15"/>
      <c r="PKI247" s="15"/>
      <c r="PKJ247" s="10"/>
      <c r="PKK247" s="10"/>
      <c r="PKL247" s="21"/>
      <c r="PKM247" s="21"/>
      <c r="PKP247" s="21"/>
      <c r="PKQ247" s="15"/>
      <c r="PKR247" s="15"/>
      <c r="PKS247" s="15"/>
      <c r="PKT247" s="15"/>
      <c r="PKU247" s="15"/>
      <c r="PKV247" s="15"/>
      <c r="PKW247" s="15"/>
      <c r="PKX247" s="15"/>
      <c r="PKY247" s="15"/>
      <c r="PKZ247" s="15"/>
      <c r="PLA247" s="10"/>
      <c r="PLB247" s="10"/>
      <c r="PLC247" s="21"/>
      <c r="PLD247" s="21"/>
      <c r="PLG247" s="21"/>
      <c r="PLH247" s="15"/>
      <c r="PLI247" s="15"/>
      <c r="PLJ247" s="15"/>
      <c r="PLK247" s="15"/>
      <c r="PLL247" s="15"/>
      <c r="PLM247" s="15"/>
      <c r="PLN247" s="15"/>
      <c r="PLO247" s="15"/>
      <c r="PLP247" s="15"/>
      <c r="PLQ247" s="15"/>
      <c r="PLR247" s="10"/>
      <c r="PLS247" s="10"/>
      <c r="PLT247" s="21"/>
      <c r="PLU247" s="21"/>
      <c r="PLX247" s="21"/>
      <c r="PLY247" s="15"/>
      <c r="PLZ247" s="15"/>
      <c r="PMA247" s="15"/>
      <c r="PMB247" s="15"/>
      <c r="PMC247" s="15"/>
      <c r="PMD247" s="15"/>
      <c r="PME247" s="15"/>
      <c r="PMF247" s="15"/>
      <c r="PMG247" s="15"/>
      <c r="PMH247" s="15"/>
      <c r="PMI247" s="10"/>
      <c r="PMJ247" s="10"/>
      <c r="PMK247" s="21"/>
      <c r="PML247" s="21"/>
      <c r="PMO247" s="21"/>
      <c r="PMP247" s="15"/>
      <c r="PMQ247" s="15"/>
      <c r="PMR247" s="15"/>
      <c r="PMS247" s="15"/>
      <c r="PMT247" s="15"/>
      <c r="PMU247" s="15"/>
      <c r="PMV247" s="15"/>
      <c r="PMW247" s="15"/>
      <c r="PMX247" s="15"/>
      <c r="PMY247" s="15"/>
      <c r="PMZ247" s="10"/>
      <c r="PNA247" s="10"/>
      <c r="PNB247" s="21"/>
      <c r="PNC247" s="21"/>
      <c r="PNF247" s="21"/>
      <c r="PNG247" s="15"/>
      <c r="PNH247" s="15"/>
      <c r="PNI247" s="15"/>
      <c r="PNJ247" s="15"/>
      <c r="PNK247" s="15"/>
      <c r="PNL247" s="15"/>
      <c r="PNM247" s="15"/>
      <c r="PNN247" s="15"/>
      <c r="PNO247" s="15"/>
      <c r="PNP247" s="15"/>
      <c r="PNQ247" s="10"/>
      <c r="PNR247" s="10"/>
      <c r="PNS247" s="21"/>
      <c r="PNT247" s="21"/>
      <c r="PNW247" s="21"/>
      <c r="PNX247" s="15"/>
      <c r="PNY247" s="15"/>
      <c r="PNZ247" s="15"/>
      <c r="POA247" s="15"/>
      <c r="POB247" s="15"/>
      <c r="POC247" s="15"/>
      <c r="POD247" s="15"/>
      <c r="POE247" s="15"/>
      <c r="POF247" s="15"/>
      <c r="POG247" s="15"/>
      <c r="POH247" s="10"/>
      <c r="POI247" s="10"/>
      <c r="POJ247" s="21"/>
      <c r="POK247" s="21"/>
      <c r="PON247" s="21"/>
      <c r="POO247" s="15"/>
      <c r="POP247" s="15"/>
      <c r="POQ247" s="15"/>
      <c r="POR247" s="15"/>
      <c r="POS247" s="15"/>
      <c r="POT247" s="15"/>
      <c r="POU247" s="15"/>
      <c r="POV247" s="15"/>
      <c r="POW247" s="15"/>
      <c r="POX247" s="15"/>
      <c r="POY247" s="10"/>
      <c r="POZ247" s="10"/>
      <c r="PPA247" s="21"/>
      <c r="PPB247" s="21"/>
      <c r="PPE247" s="21"/>
      <c r="PPF247" s="15"/>
      <c r="PPG247" s="15"/>
      <c r="PPH247" s="15"/>
      <c r="PPI247" s="15"/>
      <c r="PPJ247" s="15"/>
      <c r="PPK247" s="15"/>
      <c r="PPL247" s="15"/>
      <c r="PPM247" s="15"/>
      <c r="PPN247" s="15"/>
      <c r="PPO247" s="15"/>
      <c r="PPP247" s="10"/>
      <c r="PPQ247" s="10"/>
      <c r="PPR247" s="21"/>
      <c r="PPS247" s="21"/>
      <c r="PPV247" s="21"/>
      <c r="PPW247" s="15"/>
      <c r="PPX247" s="15"/>
      <c r="PPY247" s="15"/>
      <c r="PPZ247" s="15"/>
      <c r="PQA247" s="15"/>
      <c r="PQB247" s="15"/>
      <c r="PQC247" s="15"/>
      <c r="PQD247" s="15"/>
      <c r="PQE247" s="15"/>
      <c r="PQF247" s="15"/>
      <c r="PQG247" s="10"/>
      <c r="PQH247" s="10"/>
      <c r="PQI247" s="21"/>
      <c r="PQJ247" s="21"/>
      <c r="PQM247" s="21"/>
      <c r="PQN247" s="15"/>
      <c r="PQO247" s="15"/>
      <c r="PQP247" s="15"/>
      <c r="PQQ247" s="15"/>
      <c r="PQR247" s="15"/>
      <c r="PQS247" s="15"/>
      <c r="PQT247" s="15"/>
      <c r="PQU247" s="15"/>
      <c r="PQV247" s="15"/>
      <c r="PQW247" s="15"/>
      <c r="PQX247" s="10"/>
      <c r="PQY247" s="10"/>
      <c r="PQZ247" s="21"/>
      <c r="PRA247" s="21"/>
      <c r="PRD247" s="21"/>
      <c r="PRE247" s="15"/>
      <c r="PRF247" s="15"/>
      <c r="PRG247" s="15"/>
      <c r="PRH247" s="15"/>
      <c r="PRI247" s="15"/>
      <c r="PRJ247" s="15"/>
      <c r="PRK247" s="15"/>
      <c r="PRL247" s="15"/>
      <c r="PRM247" s="15"/>
      <c r="PRN247" s="15"/>
      <c r="PRO247" s="10"/>
      <c r="PRP247" s="10"/>
      <c r="PRQ247" s="21"/>
      <c r="PRR247" s="21"/>
      <c r="PRU247" s="21"/>
      <c r="PRV247" s="15"/>
      <c r="PRW247" s="15"/>
      <c r="PRX247" s="15"/>
      <c r="PRY247" s="15"/>
      <c r="PRZ247" s="15"/>
      <c r="PSA247" s="15"/>
      <c r="PSB247" s="15"/>
      <c r="PSC247" s="15"/>
      <c r="PSD247" s="15"/>
      <c r="PSE247" s="15"/>
      <c r="PSF247" s="10"/>
      <c r="PSG247" s="10"/>
      <c r="PSH247" s="21"/>
      <c r="PSI247" s="21"/>
      <c r="PSL247" s="21"/>
      <c r="PSM247" s="15"/>
      <c r="PSN247" s="15"/>
      <c r="PSO247" s="15"/>
      <c r="PSP247" s="15"/>
      <c r="PSQ247" s="15"/>
      <c r="PSR247" s="15"/>
      <c r="PSS247" s="15"/>
      <c r="PST247" s="15"/>
      <c r="PSU247" s="15"/>
      <c r="PSV247" s="15"/>
      <c r="PSW247" s="10"/>
      <c r="PSX247" s="10"/>
      <c r="PSY247" s="21"/>
      <c r="PSZ247" s="21"/>
      <c r="PTC247" s="21"/>
      <c r="PTD247" s="15"/>
      <c r="PTE247" s="15"/>
      <c r="PTF247" s="15"/>
      <c r="PTG247" s="15"/>
      <c r="PTH247" s="15"/>
      <c r="PTI247" s="15"/>
      <c r="PTJ247" s="15"/>
      <c r="PTK247" s="15"/>
      <c r="PTL247" s="15"/>
      <c r="PTM247" s="15"/>
      <c r="PTN247" s="10"/>
      <c r="PTO247" s="10"/>
      <c r="PTP247" s="21"/>
      <c r="PTQ247" s="21"/>
      <c r="PTT247" s="21"/>
      <c r="PTU247" s="15"/>
      <c r="PTV247" s="15"/>
      <c r="PTW247" s="15"/>
      <c r="PTX247" s="15"/>
      <c r="PTY247" s="15"/>
      <c r="PTZ247" s="15"/>
      <c r="PUA247" s="15"/>
      <c r="PUB247" s="15"/>
      <c r="PUC247" s="15"/>
      <c r="PUD247" s="15"/>
      <c r="PUE247" s="10"/>
      <c r="PUF247" s="10"/>
      <c r="PUG247" s="21"/>
      <c r="PUH247" s="21"/>
      <c r="PUK247" s="21"/>
      <c r="PUL247" s="15"/>
      <c r="PUM247" s="15"/>
      <c r="PUN247" s="15"/>
      <c r="PUO247" s="15"/>
      <c r="PUP247" s="15"/>
      <c r="PUQ247" s="15"/>
      <c r="PUR247" s="15"/>
      <c r="PUS247" s="15"/>
      <c r="PUT247" s="15"/>
      <c r="PUU247" s="15"/>
      <c r="PUV247" s="10"/>
      <c r="PUW247" s="10"/>
      <c r="PUX247" s="21"/>
      <c r="PUY247" s="21"/>
      <c r="PVB247" s="21"/>
      <c r="PVC247" s="15"/>
      <c r="PVD247" s="15"/>
      <c r="PVE247" s="15"/>
      <c r="PVF247" s="15"/>
      <c r="PVG247" s="15"/>
      <c r="PVH247" s="15"/>
      <c r="PVI247" s="15"/>
      <c r="PVJ247" s="15"/>
      <c r="PVK247" s="15"/>
      <c r="PVL247" s="15"/>
      <c r="PVM247" s="10"/>
      <c r="PVN247" s="10"/>
      <c r="PVO247" s="21"/>
      <c r="PVP247" s="21"/>
      <c r="PVS247" s="21"/>
      <c r="PVT247" s="15"/>
      <c r="PVU247" s="15"/>
      <c r="PVV247" s="15"/>
      <c r="PVW247" s="15"/>
      <c r="PVX247" s="15"/>
      <c r="PVY247" s="15"/>
      <c r="PVZ247" s="15"/>
      <c r="PWA247" s="15"/>
      <c r="PWB247" s="15"/>
      <c r="PWC247" s="15"/>
      <c r="PWD247" s="10"/>
      <c r="PWE247" s="10"/>
      <c r="PWF247" s="21"/>
      <c r="PWG247" s="21"/>
      <c r="PWJ247" s="21"/>
      <c r="PWK247" s="15"/>
      <c r="PWL247" s="15"/>
      <c r="PWM247" s="15"/>
      <c r="PWN247" s="15"/>
      <c r="PWO247" s="15"/>
      <c r="PWP247" s="15"/>
      <c r="PWQ247" s="15"/>
      <c r="PWR247" s="15"/>
      <c r="PWS247" s="15"/>
      <c r="PWT247" s="15"/>
      <c r="PWU247" s="10"/>
      <c r="PWV247" s="10"/>
      <c r="PWW247" s="21"/>
      <c r="PWX247" s="21"/>
      <c r="PXA247" s="21"/>
      <c r="PXB247" s="15"/>
      <c r="PXC247" s="15"/>
      <c r="PXD247" s="15"/>
      <c r="PXE247" s="15"/>
      <c r="PXF247" s="15"/>
      <c r="PXG247" s="15"/>
      <c r="PXH247" s="15"/>
      <c r="PXI247" s="15"/>
      <c r="PXJ247" s="15"/>
      <c r="PXK247" s="15"/>
      <c r="PXL247" s="10"/>
      <c r="PXM247" s="10"/>
      <c r="PXN247" s="21"/>
      <c r="PXO247" s="21"/>
      <c r="PXR247" s="21"/>
      <c r="PXS247" s="15"/>
      <c r="PXT247" s="15"/>
      <c r="PXU247" s="15"/>
      <c r="PXV247" s="15"/>
      <c r="PXW247" s="15"/>
      <c r="PXX247" s="15"/>
      <c r="PXY247" s="15"/>
      <c r="PXZ247" s="15"/>
      <c r="PYA247" s="15"/>
      <c r="PYB247" s="15"/>
      <c r="PYC247" s="10"/>
      <c r="PYD247" s="10"/>
      <c r="PYE247" s="21"/>
      <c r="PYF247" s="21"/>
      <c r="PYI247" s="21"/>
      <c r="PYJ247" s="15"/>
      <c r="PYK247" s="15"/>
      <c r="PYL247" s="15"/>
      <c r="PYM247" s="15"/>
      <c r="PYN247" s="15"/>
      <c r="PYO247" s="15"/>
      <c r="PYP247" s="15"/>
      <c r="PYQ247" s="15"/>
      <c r="PYR247" s="15"/>
      <c r="PYS247" s="15"/>
      <c r="PYT247" s="10"/>
      <c r="PYU247" s="10"/>
      <c r="PYV247" s="21"/>
      <c r="PYW247" s="21"/>
      <c r="PYZ247" s="21"/>
      <c r="PZA247" s="15"/>
      <c r="PZB247" s="15"/>
      <c r="PZC247" s="15"/>
      <c r="PZD247" s="15"/>
      <c r="PZE247" s="15"/>
      <c r="PZF247" s="15"/>
      <c r="PZG247" s="15"/>
      <c r="PZH247" s="15"/>
      <c r="PZI247" s="15"/>
      <c r="PZJ247" s="15"/>
      <c r="PZK247" s="10"/>
      <c r="PZL247" s="10"/>
      <c r="PZM247" s="21"/>
      <c r="PZN247" s="21"/>
      <c r="PZQ247" s="21"/>
      <c r="PZR247" s="15"/>
      <c r="PZS247" s="15"/>
      <c r="PZT247" s="15"/>
      <c r="PZU247" s="15"/>
      <c r="PZV247" s="15"/>
      <c r="PZW247" s="15"/>
      <c r="PZX247" s="15"/>
      <c r="PZY247" s="15"/>
      <c r="PZZ247" s="15"/>
      <c r="QAA247" s="15"/>
      <c r="QAB247" s="10"/>
      <c r="QAC247" s="10"/>
      <c r="QAD247" s="21"/>
      <c r="QAE247" s="21"/>
      <c r="QAH247" s="21"/>
      <c r="QAI247" s="15"/>
      <c r="QAJ247" s="15"/>
      <c r="QAK247" s="15"/>
      <c r="QAL247" s="15"/>
      <c r="QAM247" s="15"/>
      <c r="QAN247" s="15"/>
      <c r="QAO247" s="15"/>
      <c r="QAP247" s="15"/>
      <c r="QAQ247" s="15"/>
      <c r="QAR247" s="15"/>
      <c r="QAS247" s="10"/>
      <c r="QAT247" s="10"/>
      <c r="QAU247" s="21"/>
      <c r="QAV247" s="21"/>
      <c r="QAY247" s="21"/>
      <c r="QAZ247" s="15"/>
      <c r="QBA247" s="15"/>
      <c r="QBB247" s="15"/>
      <c r="QBC247" s="15"/>
      <c r="QBD247" s="15"/>
      <c r="QBE247" s="15"/>
      <c r="QBF247" s="15"/>
      <c r="QBG247" s="15"/>
      <c r="QBH247" s="15"/>
      <c r="QBI247" s="15"/>
      <c r="QBJ247" s="10"/>
      <c r="QBK247" s="10"/>
      <c r="QBL247" s="21"/>
      <c r="QBM247" s="21"/>
      <c r="QBP247" s="21"/>
      <c r="QBQ247" s="15"/>
      <c r="QBR247" s="15"/>
      <c r="QBS247" s="15"/>
      <c r="QBT247" s="15"/>
      <c r="QBU247" s="15"/>
      <c r="QBV247" s="15"/>
      <c r="QBW247" s="15"/>
      <c r="QBX247" s="15"/>
      <c r="QBY247" s="15"/>
      <c r="QBZ247" s="15"/>
      <c r="QCA247" s="10"/>
      <c r="QCB247" s="10"/>
      <c r="QCC247" s="21"/>
      <c r="QCD247" s="21"/>
      <c r="QCG247" s="21"/>
      <c r="QCH247" s="15"/>
      <c r="QCI247" s="15"/>
      <c r="QCJ247" s="15"/>
      <c r="QCK247" s="15"/>
      <c r="QCL247" s="15"/>
      <c r="QCM247" s="15"/>
      <c r="QCN247" s="15"/>
      <c r="QCO247" s="15"/>
      <c r="QCP247" s="15"/>
      <c r="QCQ247" s="15"/>
      <c r="QCR247" s="10"/>
      <c r="QCS247" s="10"/>
      <c r="QCT247" s="21"/>
      <c r="QCU247" s="21"/>
      <c r="QCX247" s="21"/>
      <c r="QCY247" s="15"/>
      <c r="QCZ247" s="15"/>
      <c r="QDA247" s="15"/>
      <c r="QDB247" s="15"/>
      <c r="QDC247" s="15"/>
      <c r="QDD247" s="15"/>
      <c r="QDE247" s="15"/>
      <c r="QDF247" s="15"/>
      <c r="QDG247" s="15"/>
      <c r="QDH247" s="15"/>
      <c r="QDI247" s="10"/>
      <c r="QDJ247" s="10"/>
      <c r="QDK247" s="21"/>
      <c r="QDL247" s="21"/>
      <c r="QDO247" s="21"/>
      <c r="QDP247" s="15"/>
      <c r="QDQ247" s="15"/>
      <c r="QDR247" s="15"/>
      <c r="QDS247" s="15"/>
      <c r="QDT247" s="15"/>
      <c r="QDU247" s="15"/>
      <c r="QDV247" s="15"/>
      <c r="QDW247" s="15"/>
      <c r="QDX247" s="15"/>
      <c r="QDY247" s="15"/>
      <c r="QDZ247" s="10"/>
      <c r="QEA247" s="10"/>
      <c r="QEB247" s="21"/>
      <c r="QEC247" s="21"/>
      <c r="QEF247" s="21"/>
      <c r="QEG247" s="15"/>
      <c r="QEH247" s="15"/>
      <c r="QEI247" s="15"/>
      <c r="QEJ247" s="15"/>
      <c r="QEK247" s="15"/>
      <c r="QEL247" s="15"/>
      <c r="QEM247" s="15"/>
      <c r="QEN247" s="15"/>
      <c r="QEO247" s="15"/>
      <c r="QEP247" s="15"/>
      <c r="QEQ247" s="10"/>
      <c r="QER247" s="10"/>
      <c r="QES247" s="21"/>
      <c r="QET247" s="21"/>
      <c r="QEW247" s="21"/>
      <c r="QEX247" s="15"/>
      <c r="QEY247" s="15"/>
      <c r="QEZ247" s="15"/>
      <c r="QFA247" s="15"/>
      <c r="QFB247" s="15"/>
      <c r="QFC247" s="15"/>
      <c r="QFD247" s="15"/>
      <c r="QFE247" s="15"/>
      <c r="QFF247" s="15"/>
      <c r="QFG247" s="15"/>
      <c r="QFH247" s="10"/>
      <c r="QFI247" s="10"/>
      <c r="QFJ247" s="21"/>
      <c r="QFK247" s="21"/>
      <c r="QFN247" s="21"/>
      <c r="QFO247" s="15"/>
      <c r="QFP247" s="15"/>
      <c r="QFQ247" s="15"/>
      <c r="QFR247" s="15"/>
      <c r="QFS247" s="15"/>
      <c r="QFT247" s="15"/>
      <c r="QFU247" s="15"/>
      <c r="QFV247" s="15"/>
      <c r="QFW247" s="15"/>
      <c r="QFX247" s="15"/>
      <c r="QFY247" s="10"/>
      <c r="QFZ247" s="10"/>
      <c r="QGA247" s="21"/>
      <c r="QGB247" s="21"/>
      <c r="QGE247" s="21"/>
      <c r="QGF247" s="15"/>
      <c r="QGG247" s="15"/>
      <c r="QGH247" s="15"/>
      <c r="QGI247" s="15"/>
      <c r="QGJ247" s="15"/>
      <c r="QGK247" s="15"/>
      <c r="QGL247" s="15"/>
      <c r="QGM247" s="15"/>
      <c r="QGN247" s="15"/>
      <c r="QGO247" s="15"/>
      <c r="QGP247" s="10"/>
      <c r="QGQ247" s="10"/>
      <c r="QGR247" s="21"/>
      <c r="QGS247" s="21"/>
      <c r="QGV247" s="21"/>
      <c r="QGW247" s="15"/>
      <c r="QGX247" s="15"/>
      <c r="QGY247" s="15"/>
      <c r="QGZ247" s="15"/>
      <c r="QHA247" s="15"/>
      <c r="QHB247" s="15"/>
      <c r="QHC247" s="15"/>
      <c r="QHD247" s="15"/>
      <c r="QHE247" s="15"/>
      <c r="QHF247" s="15"/>
      <c r="QHG247" s="10"/>
      <c r="QHH247" s="10"/>
      <c r="QHI247" s="21"/>
      <c r="QHJ247" s="21"/>
      <c r="QHM247" s="21"/>
      <c r="QHN247" s="15"/>
      <c r="QHO247" s="15"/>
      <c r="QHP247" s="15"/>
      <c r="QHQ247" s="15"/>
      <c r="QHR247" s="15"/>
      <c r="QHS247" s="15"/>
      <c r="QHT247" s="15"/>
      <c r="QHU247" s="15"/>
      <c r="QHV247" s="15"/>
      <c r="QHW247" s="15"/>
      <c r="QHX247" s="10"/>
      <c r="QHY247" s="10"/>
      <c r="QHZ247" s="21"/>
      <c r="QIA247" s="21"/>
      <c r="QID247" s="21"/>
      <c r="QIE247" s="15"/>
      <c r="QIF247" s="15"/>
      <c r="QIG247" s="15"/>
      <c r="QIH247" s="15"/>
      <c r="QII247" s="15"/>
      <c r="QIJ247" s="15"/>
      <c r="QIK247" s="15"/>
      <c r="QIL247" s="15"/>
      <c r="QIM247" s="15"/>
      <c r="QIN247" s="15"/>
      <c r="QIO247" s="10"/>
      <c r="QIP247" s="10"/>
      <c r="QIQ247" s="21"/>
      <c r="QIR247" s="21"/>
      <c r="QIU247" s="21"/>
      <c r="QIV247" s="15"/>
      <c r="QIW247" s="15"/>
      <c r="QIX247" s="15"/>
      <c r="QIY247" s="15"/>
      <c r="QIZ247" s="15"/>
      <c r="QJA247" s="15"/>
      <c r="QJB247" s="15"/>
      <c r="QJC247" s="15"/>
      <c r="QJD247" s="15"/>
      <c r="QJE247" s="15"/>
      <c r="QJF247" s="10"/>
      <c r="QJG247" s="10"/>
      <c r="QJH247" s="21"/>
      <c r="QJI247" s="21"/>
      <c r="QJL247" s="21"/>
      <c r="QJM247" s="15"/>
      <c r="QJN247" s="15"/>
      <c r="QJO247" s="15"/>
      <c r="QJP247" s="15"/>
      <c r="QJQ247" s="15"/>
      <c r="QJR247" s="15"/>
      <c r="QJS247" s="15"/>
      <c r="QJT247" s="15"/>
      <c r="QJU247" s="15"/>
      <c r="QJV247" s="15"/>
      <c r="QJW247" s="10"/>
      <c r="QJX247" s="10"/>
      <c r="QJY247" s="21"/>
      <c r="QJZ247" s="21"/>
      <c r="QKC247" s="21"/>
      <c r="QKD247" s="15"/>
      <c r="QKE247" s="15"/>
      <c r="QKF247" s="15"/>
      <c r="QKG247" s="15"/>
      <c r="QKH247" s="15"/>
      <c r="QKI247" s="15"/>
      <c r="QKJ247" s="15"/>
      <c r="QKK247" s="15"/>
      <c r="QKL247" s="15"/>
      <c r="QKM247" s="15"/>
      <c r="QKN247" s="10"/>
      <c r="QKO247" s="10"/>
      <c r="QKP247" s="21"/>
      <c r="QKQ247" s="21"/>
      <c r="QKT247" s="21"/>
      <c r="QKU247" s="15"/>
      <c r="QKV247" s="15"/>
      <c r="QKW247" s="15"/>
      <c r="QKX247" s="15"/>
      <c r="QKY247" s="15"/>
      <c r="QKZ247" s="15"/>
      <c r="QLA247" s="15"/>
      <c r="QLB247" s="15"/>
      <c r="QLC247" s="15"/>
      <c r="QLD247" s="15"/>
      <c r="QLE247" s="10"/>
      <c r="QLF247" s="10"/>
      <c r="QLG247" s="21"/>
      <c r="QLH247" s="21"/>
      <c r="QLK247" s="21"/>
      <c r="QLL247" s="15"/>
      <c r="QLM247" s="15"/>
      <c r="QLN247" s="15"/>
      <c r="QLO247" s="15"/>
      <c r="QLP247" s="15"/>
      <c r="QLQ247" s="15"/>
      <c r="QLR247" s="15"/>
      <c r="QLS247" s="15"/>
      <c r="QLT247" s="15"/>
      <c r="QLU247" s="15"/>
      <c r="QLV247" s="10"/>
      <c r="QLW247" s="10"/>
      <c r="QLX247" s="21"/>
      <c r="QLY247" s="21"/>
      <c r="QMB247" s="21"/>
      <c r="QMC247" s="15"/>
      <c r="QMD247" s="15"/>
      <c r="QME247" s="15"/>
      <c r="QMF247" s="15"/>
      <c r="QMG247" s="15"/>
      <c r="QMH247" s="15"/>
      <c r="QMI247" s="15"/>
      <c r="QMJ247" s="15"/>
      <c r="QMK247" s="15"/>
      <c r="QML247" s="15"/>
      <c r="QMM247" s="10"/>
      <c r="QMN247" s="10"/>
      <c r="QMO247" s="21"/>
      <c r="QMP247" s="21"/>
      <c r="QMS247" s="21"/>
      <c r="QMT247" s="15"/>
      <c r="QMU247" s="15"/>
      <c r="QMV247" s="15"/>
      <c r="QMW247" s="15"/>
      <c r="QMX247" s="15"/>
      <c r="QMY247" s="15"/>
      <c r="QMZ247" s="15"/>
      <c r="QNA247" s="15"/>
      <c r="QNB247" s="15"/>
      <c r="QNC247" s="15"/>
      <c r="QND247" s="10"/>
      <c r="QNE247" s="10"/>
      <c r="QNF247" s="21"/>
      <c r="QNG247" s="21"/>
      <c r="QNJ247" s="21"/>
      <c r="QNK247" s="15"/>
      <c r="QNL247" s="15"/>
      <c r="QNM247" s="15"/>
      <c r="QNN247" s="15"/>
      <c r="QNO247" s="15"/>
      <c r="QNP247" s="15"/>
      <c r="QNQ247" s="15"/>
      <c r="QNR247" s="15"/>
      <c r="QNS247" s="15"/>
      <c r="QNT247" s="15"/>
      <c r="QNU247" s="10"/>
      <c r="QNV247" s="10"/>
      <c r="QNW247" s="21"/>
      <c r="QNX247" s="21"/>
      <c r="QOA247" s="21"/>
      <c r="QOB247" s="15"/>
      <c r="QOC247" s="15"/>
      <c r="QOD247" s="15"/>
      <c r="QOE247" s="15"/>
      <c r="QOF247" s="15"/>
      <c r="QOG247" s="15"/>
      <c r="QOH247" s="15"/>
      <c r="QOI247" s="15"/>
      <c r="QOJ247" s="15"/>
      <c r="QOK247" s="15"/>
      <c r="QOL247" s="10"/>
      <c r="QOM247" s="10"/>
      <c r="QON247" s="21"/>
      <c r="QOO247" s="21"/>
      <c r="QOR247" s="21"/>
      <c r="QOS247" s="15"/>
      <c r="QOT247" s="15"/>
      <c r="QOU247" s="15"/>
      <c r="QOV247" s="15"/>
      <c r="QOW247" s="15"/>
      <c r="QOX247" s="15"/>
      <c r="QOY247" s="15"/>
      <c r="QOZ247" s="15"/>
      <c r="QPA247" s="15"/>
      <c r="QPB247" s="15"/>
      <c r="QPC247" s="10"/>
      <c r="QPD247" s="10"/>
      <c r="QPE247" s="21"/>
      <c r="QPF247" s="21"/>
      <c r="QPI247" s="21"/>
      <c r="QPJ247" s="15"/>
      <c r="QPK247" s="15"/>
      <c r="QPL247" s="15"/>
      <c r="QPM247" s="15"/>
      <c r="QPN247" s="15"/>
      <c r="QPO247" s="15"/>
      <c r="QPP247" s="15"/>
      <c r="QPQ247" s="15"/>
      <c r="QPR247" s="15"/>
      <c r="QPS247" s="15"/>
      <c r="QPT247" s="10"/>
      <c r="QPU247" s="10"/>
      <c r="QPV247" s="21"/>
      <c r="QPW247" s="21"/>
      <c r="QPZ247" s="21"/>
      <c r="QQA247" s="15"/>
      <c r="QQB247" s="15"/>
      <c r="QQC247" s="15"/>
      <c r="QQD247" s="15"/>
      <c r="QQE247" s="15"/>
      <c r="QQF247" s="15"/>
      <c r="QQG247" s="15"/>
      <c r="QQH247" s="15"/>
      <c r="QQI247" s="15"/>
      <c r="QQJ247" s="15"/>
      <c r="QQK247" s="10"/>
      <c r="QQL247" s="10"/>
      <c r="QQM247" s="21"/>
      <c r="QQN247" s="21"/>
      <c r="QQQ247" s="21"/>
      <c r="QQR247" s="15"/>
      <c r="QQS247" s="15"/>
      <c r="QQT247" s="15"/>
      <c r="QQU247" s="15"/>
      <c r="QQV247" s="15"/>
      <c r="QQW247" s="15"/>
      <c r="QQX247" s="15"/>
      <c r="QQY247" s="15"/>
      <c r="QQZ247" s="15"/>
      <c r="QRA247" s="15"/>
      <c r="QRB247" s="10"/>
      <c r="QRC247" s="10"/>
      <c r="QRD247" s="21"/>
      <c r="QRE247" s="21"/>
      <c r="QRH247" s="21"/>
      <c r="QRI247" s="15"/>
      <c r="QRJ247" s="15"/>
      <c r="QRK247" s="15"/>
      <c r="QRL247" s="15"/>
      <c r="QRM247" s="15"/>
      <c r="QRN247" s="15"/>
      <c r="QRO247" s="15"/>
      <c r="QRP247" s="15"/>
      <c r="QRQ247" s="15"/>
      <c r="QRR247" s="15"/>
      <c r="QRS247" s="10"/>
      <c r="QRT247" s="10"/>
      <c r="QRU247" s="21"/>
      <c r="QRV247" s="21"/>
      <c r="QRY247" s="21"/>
      <c r="QRZ247" s="15"/>
      <c r="QSA247" s="15"/>
      <c r="QSB247" s="15"/>
      <c r="QSC247" s="15"/>
      <c r="QSD247" s="15"/>
      <c r="QSE247" s="15"/>
      <c r="QSF247" s="15"/>
      <c r="QSG247" s="15"/>
      <c r="QSH247" s="15"/>
      <c r="QSI247" s="15"/>
      <c r="QSJ247" s="10"/>
      <c r="QSK247" s="10"/>
      <c r="QSL247" s="21"/>
      <c r="QSM247" s="21"/>
      <c r="QSP247" s="21"/>
      <c r="QSQ247" s="15"/>
      <c r="QSR247" s="15"/>
      <c r="QSS247" s="15"/>
      <c r="QST247" s="15"/>
      <c r="QSU247" s="15"/>
      <c r="QSV247" s="15"/>
      <c r="QSW247" s="15"/>
      <c r="QSX247" s="15"/>
      <c r="QSY247" s="15"/>
      <c r="QSZ247" s="15"/>
      <c r="QTA247" s="10"/>
      <c r="QTB247" s="10"/>
      <c r="QTC247" s="21"/>
      <c r="QTD247" s="21"/>
      <c r="QTG247" s="21"/>
      <c r="QTH247" s="15"/>
      <c r="QTI247" s="15"/>
      <c r="QTJ247" s="15"/>
      <c r="QTK247" s="15"/>
      <c r="QTL247" s="15"/>
      <c r="QTM247" s="15"/>
      <c r="QTN247" s="15"/>
      <c r="QTO247" s="15"/>
      <c r="QTP247" s="15"/>
      <c r="QTQ247" s="15"/>
      <c r="QTR247" s="10"/>
      <c r="QTS247" s="10"/>
      <c r="QTT247" s="21"/>
      <c r="QTU247" s="21"/>
      <c r="QTX247" s="21"/>
      <c r="QTY247" s="15"/>
      <c r="QTZ247" s="15"/>
      <c r="QUA247" s="15"/>
      <c r="QUB247" s="15"/>
      <c r="QUC247" s="15"/>
      <c r="QUD247" s="15"/>
      <c r="QUE247" s="15"/>
      <c r="QUF247" s="15"/>
      <c r="QUG247" s="15"/>
      <c r="QUH247" s="15"/>
      <c r="QUI247" s="10"/>
      <c r="QUJ247" s="10"/>
      <c r="QUK247" s="21"/>
      <c r="QUL247" s="21"/>
      <c r="QUO247" s="21"/>
      <c r="QUP247" s="15"/>
      <c r="QUQ247" s="15"/>
      <c r="QUR247" s="15"/>
      <c r="QUS247" s="15"/>
      <c r="QUT247" s="15"/>
      <c r="QUU247" s="15"/>
      <c r="QUV247" s="15"/>
      <c r="QUW247" s="15"/>
      <c r="QUX247" s="15"/>
      <c r="QUY247" s="15"/>
      <c r="QUZ247" s="10"/>
      <c r="QVA247" s="10"/>
      <c r="QVB247" s="21"/>
      <c r="QVC247" s="21"/>
      <c r="QVF247" s="21"/>
      <c r="QVG247" s="15"/>
      <c r="QVH247" s="15"/>
      <c r="QVI247" s="15"/>
      <c r="QVJ247" s="15"/>
      <c r="QVK247" s="15"/>
      <c r="QVL247" s="15"/>
      <c r="QVM247" s="15"/>
      <c r="QVN247" s="15"/>
      <c r="QVO247" s="15"/>
      <c r="QVP247" s="15"/>
      <c r="QVQ247" s="10"/>
      <c r="QVR247" s="10"/>
      <c r="QVS247" s="21"/>
      <c r="QVT247" s="21"/>
      <c r="QVW247" s="21"/>
      <c r="QVX247" s="15"/>
      <c r="QVY247" s="15"/>
      <c r="QVZ247" s="15"/>
      <c r="QWA247" s="15"/>
      <c r="QWB247" s="15"/>
      <c r="QWC247" s="15"/>
      <c r="QWD247" s="15"/>
      <c r="QWE247" s="15"/>
      <c r="QWF247" s="15"/>
      <c r="QWG247" s="15"/>
      <c r="QWH247" s="10"/>
      <c r="QWI247" s="10"/>
      <c r="QWJ247" s="21"/>
      <c r="QWK247" s="21"/>
      <c r="QWN247" s="21"/>
      <c r="QWO247" s="15"/>
      <c r="QWP247" s="15"/>
      <c r="QWQ247" s="15"/>
      <c r="QWR247" s="15"/>
      <c r="QWS247" s="15"/>
      <c r="QWT247" s="15"/>
      <c r="QWU247" s="15"/>
      <c r="QWV247" s="15"/>
      <c r="QWW247" s="15"/>
      <c r="QWX247" s="15"/>
      <c r="QWY247" s="10"/>
      <c r="QWZ247" s="10"/>
      <c r="QXA247" s="21"/>
      <c r="QXB247" s="21"/>
      <c r="QXE247" s="21"/>
      <c r="QXF247" s="15"/>
      <c r="QXG247" s="15"/>
      <c r="QXH247" s="15"/>
      <c r="QXI247" s="15"/>
      <c r="QXJ247" s="15"/>
      <c r="QXK247" s="15"/>
      <c r="QXL247" s="15"/>
      <c r="QXM247" s="15"/>
      <c r="QXN247" s="15"/>
      <c r="QXO247" s="15"/>
      <c r="QXP247" s="10"/>
      <c r="QXQ247" s="10"/>
      <c r="QXR247" s="21"/>
      <c r="QXS247" s="21"/>
      <c r="QXV247" s="21"/>
      <c r="QXW247" s="15"/>
      <c r="QXX247" s="15"/>
      <c r="QXY247" s="15"/>
      <c r="QXZ247" s="15"/>
      <c r="QYA247" s="15"/>
      <c r="QYB247" s="15"/>
      <c r="QYC247" s="15"/>
      <c r="QYD247" s="15"/>
      <c r="QYE247" s="15"/>
      <c r="QYF247" s="15"/>
      <c r="QYG247" s="10"/>
      <c r="QYH247" s="10"/>
      <c r="QYI247" s="21"/>
      <c r="QYJ247" s="21"/>
      <c r="QYM247" s="21"/>
      <c r="QYN247" s="15"/>
      <c r="QYO247" s="15"/>
      <c r="QYP247" s="15"/>
      <c r="QYQ247" s="15"/>
      <c r="QYR247" s="15"/>
      <c r="QYS247" s="15"/>
      <c r="QYT247" s="15"/>
      <c r="QYU247" s="15"/>
      <c r="QYV247" s="15"/>
      <c r="QYW247" s="15"/>
      <c r="QYX247" s="10"/>
      <c r="QYY247" s="10"/>
      <c r="QYZ247" s="21"/>
      <c r="QZA247" s="21"/>
      <c r="QZD247" s="21"/>
      <c r="QZE247" s="15"/>
      <c r="QZF247" s="15"/>
      <c r="QZG247" s="15"/>
      <c r="QZH247" s="15"/>
      <c r="QZI247" s="15"/>
      <c r="QZJ247" s="15"/>
      <c r="QZK247" s="15"/>
      <c r="QZL247" s="15"/>
      <c r="QZM247" s="15"/>
      <c r="QZN247" s="15"/>
      <c r="QZO247" s="10"/>
      <c r="QZP247" s="10"/>
      <c r="QZQ247" s="21"/>
      <c r="QZR247" s="21"/>
      <c r="QZU247" s="21"/>
      <c r="QZV247" s="15"/>
      <c r="QZW247" s="15"/>
      <c r="QZX247" s="15"/>
      <c r="QZY247" s="15"/>
      <c r="QZZ247" s="15"/>
      <c r="RAA247" s="15"/>
      <c r="RAB247" s="15"/>
      <c r="RAC247" s="15"/>
      <c r="RAD247" s="15"/>
      <c r="RAE247" s="15"/>
      <c r="RAF247" s="10"/>
      <c r="RAG247" s="10"/>
      <c r="RAH247" s="21"/>
      <c r="RAI247" s="21"/>
      <c r="RAL247" s="21"/>
      <c r="RAM247" s="15"/>
      <c r="RAN247" s="15"/>
      <c r="RAO247" s="15"/>
      <c r="RAP247" s="15"/>
      <c r="RAQ247" s="15"/>
      <c r="RAR247" s="15"/>
      <c r="RAS247" s="15"/>
      <c r="RAT247" s="15"/>
      <c r="RAU247" s="15"/>
      <c r="RAV247" s="15"/>
      <c r="RAW247" s="10"/>
      <c r="RAX247" s="10"/>
      <c r="RAY247" s="21"/>
      <c r="RAZ247" s="21"/>
      <c r="RBC247" s="21"/>
      <c r="RBD247" s="15"/>
      <c r="RBE247" s="15"/>
      <c r="RBF247" s="15"/>
      <c r="RBG247" s="15"/>
      <c r="RBH247" s="15"/>
      <c r="RBI247" s="15"/>
      <c r="RBJ247" s="15"/>
      <c r="RBK247" s="15"/>
      <c r="RBL247" s="15"/>
      <c r="RBM247" s="15"/>
      <c r="RBN247" s="10"/>
      <c r="RBO247" s="10"/>
      <c r="RBP247" s="21"/>
      <c r="RBQ247" s="21"/>
      <c r="RBT247" s="21"/>
      <c r="RBU247" s="15"/>
      <c r="RBV247" s="15"/>
      <c r="RBW247" s="15"/>
      <c r="RBX247" s="15"/>
      <c r="RBY247" s="15"/>
      <c r="RBZ247" s="15"/>
      <c r="RCA247" s="15"/>
      <c r="RCB247" s="15"/>
      <c r="RCC247" s="15"/>
      <c r="RCD247" s="15"/>
      <c r="RCE247" s="10"/>
      <c r="RCF247" s="10"/>
      <c r="RCG247" s="21"/>
      <c r="RCH247" s="21"/>
      <c r="RCK247" s="21"/>
      <c r="RCL247" s="15"/>
      <c r="RCM247" s="15"/>
      <c r="RCN247" s="15"/>
      <c r="RCO247" s="15"/>
      <c r="RCP247" s="15"/>
      <c r="RCQ247" s="15"/>
      <c r="RCR247" s="15"/>
      <c r="RCS247" s="15"/>
      <c r="RCT247" s="15"/>
      <c r="RCU247" s="15"/>
      <c r="RCV247" s="10"/>
      <c r="RCW247" s="10"/>
      <c r="RCX247" s="21"/>
      <c r="RCY247" s="21"/>
      <c r="RDB247" s="21"/>
      <c r="RDC247" s="15"/>
      <c r="RDD247" s="15"/>
      <c r="RDE247" s="15"/>
      <c r="RDF247" s="15"/>
      <c r="RDG247" s="15"/>
      <c r="RDH247" s="15"/>
      <c r="RDI247" s="15"/>
      <c r="RDJ247" s="15"/>
      <c r="RDK247" s="15"/>
      <c r="RDL247" s="15"/>
      <c r="RDM247" s="10"/>
      <c r="RDN247" s="10"/>
      <c r="RDO247" s="21"/>
      <c r="RDP247" s="21"/>
      <c r="RDS247" s="21"/>
      <c r="RDT247" s="15"/>
      <c r="RDU247" s="15"/>
      <c r="RDV247" s="15"/>
      <c r="RDW247" s="15"/>
      <c r="RDX247" s="15"/>
      <c r="RDY247" s="15"/>
      <c r="RDZ247" s="15"/>
      <c r="REA247" s="15"/>
      <c r="REB247" s="15"/>
      <c r="REC247" s="15"/>
      <c r="RED247" s="10"/>
      <c r="REE247" s="10"/>
      <c r="REF247" s="21"/>
      <c r="REG247" s="21"/>
      <c r="REJ247" s="21"/>
      <c r="REK247" s="15"/>
      <c r="REL247" s="15"/>
      <c r="REM247" s="15"/>
      <c r="REN247" s="15"/>
      <c r="REO247" s="15"/>
      <c r="REP247" s="15"/>
      <c r="REQ247" s="15"/>
      <c r="RER247" s="15"/>
      <c r="RES247" s="15"/>
      <c r="RET247" s="15"/>
      <c r="REU247" s="10"/>
      <c r="REV247" s="10"/>
      <c r="REW247" s="21"/>
      <c r="REX247" s="21"/>
      <c r="RFA247" s="21"/>
      <c r="RFB247" s="15"/>
      <c r="RFC247" s="15"/>
      <c r="RFD247" s="15"/>
      <c r="RFE247" s="15"/>
      <c r="RFF247" s="15"/>
      <c r="RFG247" s="15"/>
      <c r="RFH247" s="15"/>
      <c r="RFI247" s="15"/>
      <c r="RFJ247" s="15"/>
      <c r="RFK247" s="15"/>
      <c r="RFL247" s="10"/>
      <c r="RFM247" s="10"/>
      <c r="RFN247" s="21"/>
      <c r="RFO247" s="21"/>
      <c r="RFR247" s="21"/>
      <c r="RFS247" s="15"/>
      <c r="RFT247" s="15"/>
      <c r="RFU247" s="15"/>
      <c r="RFV247" s="15"/>
      <c r="RFW247" s="15"/>
      <c r="RFX247" s="15"/>
      <c r="RFY247" s="15"/>
      <c r="RFZ247" s="15"/>
      <c r="RGA247" s="15"/>
      <c r="RGB247" s="15"/>
      <c r="RGC247" s="10"/>
      <c r="RGD247" s="10"/>
      <c r="RGE247" s="21"/>
      <c r="RGF247" s="21"/>
      <c r="RGI247" s="21"/>
      <c r="RGJ247" s="15"/>
      <c r="RGK247" s="15"/>
      <c r="RGL247" s="15"/>
      <c r="RGM247" s="15"/>
      <c r="RGN247" s="15"/>
      <c r="RGO247" s="15"/>
      <c r="RGP247" s="15"/>
      <c r="RGQ247" s="15"/>
      <c r="RGR247" s="15"/>
      <c r="RGS247" s="15"/>
      <c r="RGT247" s="10"/>
      <c r="RGU247" s="10"/>
      <c r="RGV247" s="21"/>
      <c r="RGW247" s="21"/>
      <c r="RGZ247" s="21"/>
      <c r="RHA247" s="15"/>
      <c r="RHB247" s="15"/>
      <c r="RHC247" s="15"/>
      <c r="RHD247" s="15"/>
      <c r="RHE247" s="15"/>
      <c r="RHF247" s="15"/>
      <c r="RHG247" s="15"/>
      <c r="RHH247" s="15"/>
      <c r="RHI247" s="15"/>
      <c r="RHJ247" s="15"/>
      <c r="RHK247" s="10"/>
      <c r="RHL247" s="10"/>
      <c r="RHM247" s="21"/>
      <c r="RHN247" s="21"/>
      <c r="RHQ247" s="21"/>
      <c r="RHR247" s="15"/>
      <c r="RHS247" s="15"/>
      <c r="RHT247" s="15"/>
      <c r="RHU247" s="15"/>
      <c r="RHV247" s="15"/>
      <c r="RHW247" s="15"/>
      <c r="RHX247" s="15"/>
      <c r="RHY247" s="15"/>
      <c r="RHZ247" s="15"/>
      <c r="RIA247" s="15"/>
      <c r="RIB247" s="10"/>
      <c r="RIC247" s="10"/>
      <c r="RID247" s="21"/>
      <c r="RIE247" s="21"/>
      <c r="RIH247" s="21"/>
      <c r="RII247" s="15"/>
      <c r="RIJ247" s="15"/>
      <c r="RIK247" s="15"/>
      <c r="RIL247" s="15"/>
      <c r="RIM247" s="15"/>
      <c r="RIN247" s="15"/>
      <c r="RIO247" s="15"/>
      <c r="RIP247" s="15"/>
      <c r="RIQ247" s="15"/>
      <c r="RIR247" s="15"/>
      <c r="RIS247" s="10"/>
      <c r="RIT247" s="10"/>
      <c r="RIU247" s="21"/>
      <c r="RIV247" s="21"/>
      <c r="RIY247" s="21"/>
      <c r="RIZ247" s="15"/>
      <c r="RJA247" s="15"/>
      <c r="RJB247" s="15"/>
      <c r="RJC247" s="15"/>
      <c r="RJD247" s="15"/>
      <c r="RJE247" s="15"/>
      <c r="RJF247" s="15"/>
      <c r="RJG247" s="15"/>
      <c r="RJH247" s="15"/>
      <c r="RJI247" s="15"/>
      <c r="RJJ247" s="10"/>
      <c r="RJK247" s="10"/>
      <c r="RJL247" s="21"/>
      <c r="RJM247" s="21"/>
      <c r="RJP247" s="21"/>
      <c r="RJQ247" s="15"/>
      <c r="RJR247" s="15"/>
      <c r="RJS247" s="15"/>
      <c r="RJT247" s="15"/>
      <c r="RJU247" s="15"/>
      <c r="RJV247" s="15"/>
      <c r="RJW247" s="15"/>
      <c r="RJX247" s="15"/>
      <c r="RJY247" s="15"/>
      <c r="RJZ247" s="15"/>
      <c r="RKA247" s="10"/>
      <c r="RKB247" s="10"/>
      <c r="RKC247" s="21"/>
      <c r="RKD247" s="21"/>
      <c r="RKG247" s="21"/>
      <c r="RKH247" s="15"/>
      <c r="RKI247" s="15"/>
      <c r="RKJ247" s="15"/>
      <c r="RKK247" s="15"/>
      <c r="RKL247" s="15"/>
      <c r="RKM247" s="15"/>
      <c r="RKN247" s="15"/>
      <c r="RKO247" s="15"/>
      <c r="RKP247" s="15"/>
      <c r="RKQ247" s="15"/>
      <c r="RKR247" s="10"/>
      <c r="RKS247" s="10"/>
      <c r="RKT247" s="21"/>
      <c r="RKU247" s="21"/>
      <c r="RKX247" s="21"/>
      <c r="RKY247" s="15"/>
      <c r="RKZ247" s="15"/>
      <c r="RLA247" s="15"/>
      <c r="RLB247" s="15"/>
      <c r="RLC247" s="15"/>
      <c r="RLD247" s="15"/>
      <c r="RLE247" s="15"/>
      <c r="RLF247" s="15"/>
      <c r="RLG247" s="15"/>
      <c r="RLH247" s="15"/>
      <c r="RLI247" s="10"/>
      <c r="RLJ247" s="10"/>
      <c r="RLK247" s="21"/>
      <c r="RLL247" s="21"/>
      <c r="RLO247" s="21"/>
      <c r="RLP247" s="15"/>
      <c r="RLQ247" s="15"/>
      <c r="RLR247" s="15"/>
      <c r="RLS247" s="15"/>
      <c r="RLT247" s="15"/>
      <c r="RLU247" s="15"/>
      <c r="RLV247" s="15"/>
      <c r="RLW247" s="15"/>
      <c r="RLX247" s="15"/>
      <c r="RLY247" s="15"/>
      <c r="RLZ247" s="10"/>
      <c r="RMA247" s="10"/>
      <c r="RMB247" s="21"/>
      <c r="RMC247" s="21"/>
      <c r="RMF247" s="21"/>
      <c r="RMG247" s="15"/>
      <c r="RMH247" s="15"/>
      <c r="RMI247" s="15"/>
      <c r="RMJ247" s="15"/>
      <c r="RMK247" s="15"/>
      <c r="RML247" s="15"/>
      <c r="RMM247" s="15"/>
      <c r="RMN247" s="15"/>
      <c r="RMO247" s="15"/>
      <c r="RMP247" s="15"/>
      <c r="RMQ247" s="10"/>
      <c r="RMR247" s="10"/>
      <c r="RMS247" s="21"/>
      <c r="RMT247" s="21"/>
      <c r="RMW247" s="21"/>
      <c r="RMX247" s="15"/>
      <c r="RMY247" s="15"/>
      <c r="RMZ247" s="15"/>
      <c r="RNA247" s="15"/>
      <c r="RNB247" s="15"/>
      <c r="RNC247" s="15"/>
      <c r="RND247" s="15"/>
      <c r="RNE247" s="15"/>
      <c r="RNF247" s="15"/>
      <c r="RNG247" s="15"/>
      <c r="RNH247" s="10"/>
      <c r="RNI247" s="10"/>
      <c r="RNJ247" s="21"/>
      <c r="RNK247" s="21"/>
      <c r="RNN247" s="21"/>
      <c r="RNO247" s="15"/>
      <c r="RNP247" s="15"/>
      <c r="RNQ247" s="15"/>
      <c r="RNR247" s="15"/>
      <c r="RNS247" s="15"/>
      <c r="RNT247" s="15"/>
      <c r="RNU247" s="15"/>
      <c r="RNV247" s="15"/>
      <c r="RNW247" s="15"/>
      <c r="RNX247" s="15"/>
      <c r="RNY247" s="10"/>
      <c r="RNZ247" s="10"/>
      <c r="ROA247" s="21"/>
      <c r="ROB247" s="21"/>
      <c r="ROE247" s="21"/>
      <c r="ROF247" s="15"/>
      <c r="ROG247" s="15"/>
      <c r="ROH247" s="15"/>
      <c r="ROI247" s="15"/>
      <c r="ROJ247" s="15"/>
      <c r="ROK247" s="15"/>
      <c r="ROL247" s="15"/>
      <c r="ROM247" s="15"/>
      <c r="RON247" s="15"/>
      <c r="ROO247" s="15"/>
      <c r="ROP247" s="10"/>
      <c r="ROQ247" s="10"/>
      <c r="ROR247" s="21"/>
      <c r="ROS247" s="21"/>
      <c r="ROV247" s="21"/>
      <c r="ROW247" s="15"/>
      <c r="ROX247" s="15"/>
      <c r="ROY247" s="15"/>
      <c r="ROZ247" s="15"/>
      <c r="RPA247" s="15"/>
      <c r="RPB247" s="15"/>
      <c r="RPC247" s="15"/>
      <c r="RPD247" s="15"/>
      <c r="RPE247" s="15"/>
      <c r="RPF247" s="15"/>
      <c r="RPG247" s="10"/>
      <c r="RPH247" s="10"/>
      <c r="RPI247" s="21"/>
      <c r="RPJ247" s="21"/>
      <c r="RPM247" s="21"/>
      <c r="RPN247" s="15"/>
      <c r="RPO247" s="15"/>
      <c r="RPP247" s="15"/>
      <c r="RPQ247" s="15"/>
      <c r="RPR247" s="15"/>
      <c r="RPS247" s="15"/>
      <c r="RPT247" s="15"/>
      <c r="RPU247" s="15"/>
      <c r="RPV247" s="15"/>
      <c r="RPW247" s="15"/>
      <c r="RPX247" s="10"/>
      <c r="RPY247" s="10"/>
      <c r="RPZ247" s="21"/>
      <c r="RQA247" s="21"/>
      <c r="RQD247" s="21"/>
      <c r="RQE247" s="15"/>
      <c r="RQF247" s="15"/>
      <c r="RQG247" s="15"/>
      <c r="RQH247" s="15"/>
      <c r="RQI247" s="15"/>
      <c r="RQJ247" s="15"/>
      <c r="RQK247" s="15"/>
      <c r="RQL247" s="15"/>
      <c r="RQM247" s="15"/>
      <c r="RQN247" s="15"/>
      <c r="RQO247" s="10"/>
      <c r="RQP247" s="10"/>
      <c r="RQQ247" s="21"/>
      <c r="RQR247" s="21"/>
      <c r="RQU247" s="21"/>
      <c r="RQV247" s="15"/>
      <c r="RQW247" s="15"/>
      <c r="RQX247" s="15"/>
      <c r="RQY247" s="15"/>
      <c r="RQZ247" s="15"/>
      <c r="RRA247" s="15"/>
      <c r="RRB247" s="15"/>
      <c r="RRC247" s="15"/>
      <c r="RRD247" s="15"/>
      <c r="RRE247" s="15"/>
      <c r="RRF247" s="10"/>
      <c r="RRG247" s="10"/>
      <c r="RRH247" s="21"/>
      <c r="RRI247" s="21"/>
      <c r="RRL247" s="21"/>
      <c r="RRM247" s="15"/>
      <c r="RRN247" s="15"/>
      <c r="RRO247" s="15"/>
      <c r="RRP247" s="15"/>
      <c r="RRQ247" s="15"/>
      <c r="RRR247" s="15"/>
      <c r="RRS247" s="15"/>
      <c r="RRT247" s="15"/>
      <c r="RRU247" s="15"/>
      <c r="RRV247" s="15"/>
      <c r="RRW247" s="10"/>
      <c r="RRX247" s="10"/>
      <c r="RRY247" s="21"/>
      <c r="RRZ247" s="21"/>
      <c r="RSC247" s="21"/>
      <c r="RSD247" s="15"/>
      <c r="RSE247" s="15"/>
      <c r="RSF247" s="15"/>
      <c r="RSG247" s="15"/>
      <c r="RSH247" s="15"/>
      <c r="RSI247" s="15"/>
      <c r="RSJ247" s="15"/>
      <c r="RSK247" s="15"/>
      <c r="RSL247" s="15"/>
      <c r="RSM247" s="15"/>
      <c r="RSN247" s="10"/>
      <c r="RSO247" s="10"/>
      <c r="RSP247" s="21"/>
      <c r="RSQ247" s="21"/>
      <c r="RST247" s="21"/>
      <c r="RSU247" s="15"/>
      <c r="RSV247" s="15"/>
      <c r="RSW247" s="15"/>
      <c r="RSX247" s="15"/>
      <c r="RSY247" s="15"/>
      <c r="RSZ247" s="15"/>
      <c r="RTA247" s="15"/>
      <c r="RTB247" s="15"/>
      <c r="RTC247" s="15"/>
      <c r="RTD247" s="15"/>
      <c r="RTE247" s="10"/>
      <c r="RTF247" s="10"/>
      <c r="RTG247" s="21"/>
      <c r="RTH247" s="21"/>
      <c r="RTK247" s="21"/>
      <c r="RTL247" s="15"/>
      <c r="RTM247" s="15"/>
      <c r="RTN247" s="15"/>
      <c r="RTO247" s="15"/>
      <c r="RTP247" s="15"/>
      <c r="RTQ247" s="15"/>
      <c r="RTR247" s="15"/>
      <c r="RTS247" s="15"/>
      <c r="RTT247" s="15"/>
      <c r="RTU247" s="15"/>
      <c r="RTV247" s="10"/>
      <c r="RTW247" s="10"/>
      <c r="RTX247" s="21"/>
      <c r="RTY247" s="21"/>
      <c r="RUB247" s="21"/>
      <c r="RUC247" s="15"/>
      <c r="RUD247" s="15"/>
      <c r="RUE247" s="15"/>
      <c r="RUF247" s="15"/>
      <c r="RUG247" s="15"/>
      <c r="RUH247" s="15"/>
      <c r="RUI247" s="15"/>
      <c r="RUJ247" s="15"/>
      <c r="RUK247" s="15"/>
      <c r="RUL247" s="15"/>
      <c r="RUM247" s="10"/>
      <c r="RUN247" s="10"/>
      <c r="RUO247" s="21"/>
      <c r="RUP247" s="21"/>
      <c r="RUS247" s="21"/>
      <c r="RUT247" s="15"/>
      <c r="RUU247" s="15"/>
      <c r="RUV247" s="15"/>
      <c r="RUW247" s="15"/>
      <c r="RUX247" s="15"/>
      <c r="RUY247" s="15"/>
      <c r="RUZ247" s="15"/>
      <c r="RVA247" s="15"/>
      <c r="RVB247" s="15"/>
      <c r="RVC247" s="15"/>
      <c r="RVD247" s="10"/>
      <c r="RVE247" s="10"/>
      <c r="RVF247" s="21"/>
      <c r="RVG247" s="21"/>
      <c r="RVJ247" s="21"/>
      <c r="RVK247" s="15"/>
      <c r="RVL247" s="15"/>
      <c r="RVM247" s="15"/>
      <c r="RVN247" s="15"/>
      <c r="RVO247" s="15"/>
      <c r="RVP247" s="15"/>
      <c r="RVQ247" s="15"/>
      <c r="RVR247" s="15"/>
      <c r="RVS247" s="15"/>
      <c r="RVT247" s="15"/>
      <c r="RVU247" s="10"/>
      <c r="RVV247" s="10"/>
      <c r="RVW247" s="21"/>
      <c r="RVX247" s="21"/>
      <c r="RWA247" s="21"/>
      <c r="RWB247" s="15"/>
      <c r="RWC247" s="15"/>
      <c r="RWD247" s="15"/>
      <c r="RWE247" s="15"/>
      <c r="RWF247" s="15"/>
      <c r="RWG247" s="15"/>
      <c r="RWH247" s="15"/>
      <c r="RWI247" s="15"/>
      <c r="RWJ247" s="15"/>
      <c r="RWK247" s="15"/>
      <c r="RWL247" s="10"/>
      <c r="RWM247" s="10"/>
      <c r="RWN247" s="21"/>
      <c r="RWO247" s="21"/>
      <c r="RWR247" s="21"/>
      <c r="RWS247" s="15"/>
      <c r="RWT247" s="15"/>
      <c r="RWU247" s="15"/>
      <c r="RWV247" s="15"/>
      <c r="RWW247" s="15"/>
      <c r="RWX247" s="15"/>
      <c r="RWY247" s="15"/>
      <c r="RWZ247" s="15"/>
      <c r="RXA247" s="15"/>
      <c r="RXB247" s="15"/>
      <c r="RXC247" s="10"/>
      <c r="RXD247" s="10"/>
      <c r="RXE247" s="21"/>
      <c r="RXF247" s="21"/>
      <c r="RXI247" s="21"/>
      <c r="RXJ247" s="15"/>
      <c r="RXK247" s="15"/>
      <c r="RXL247" s="15"/>
      <c r="RXM247" s="15"/>
      <c r="RXN247" s="15"/>
      <c r="RXO247" s="15"/>
      <c r="RXP247" s="15"/>
      <c r="RXQ247" s="15"/>
      <c r="RXR247" s="15"/>
      <c r="RXS247" s="15"/>
      <c r="RXT247" s="10"/>
      <c r="RXU247" s="10"/>
      <c r="RXV247" s="21"/>
      <c r="RXW247" s="21"/>
      <c r="RXZ247" s="21"/>
      <c r="RYA247" s="15"/>
      <c r="RYB247" s="15"/>
      <c r="RYC247" s="15"/>
      <c r="RYD247" s="15"/>
      <c r="RYE247" s="15"/>
      <c r="RYF247" s="15"/>
      <c r="RYG247" s="15"/>
      <c r="RYH247" s="15"/>
      <c r="RYI247" s="15"/>
      <c r="RYJ247" s="15"/>
      <c r="RYK247" s="10"/>
      <c r="RYL247" s="10"/>
      <c r="RYM247" s="21"/>
      <c r="RYN247" s="21"/>
      <c r="RYQ247" s="21"/>
      <c r="RYR247" s="15"/>
      <c r="RYS247" s="15"/>
      <c r="RYT247" s="15"/>
      <c r="RYU247" s="15"/>
      <c r="RYV247" s="15"/>
      <c r="RYW247" s="15"/>
      <c r="RYX247" s="15"/>
      <c r="RYY247" s="15"/>
      <c r="RYZ247" s="15"/>
      <c r="RZA247" s="15"/>
      <c r="RZB247" s="10"/>
      <c r="RZC247" s="10"/>
      <c r="RZD247" s="21"/>
      <c r="RZE247" s="21"/>
      <c r="RZH247" s="21"/>
      <c r="RZI247" s="15"/>
      <c r="RZJ247" s="15"/>
      <c r="RZK247" s="15"/>
      <c r="RZL247" s="15"/>
      <c r="RZM247" s="15"/>
      <c r="RZN247" s="15"/>
      <c r="RZO247" s="15"/>
      <c r="RZP247" s="15"/>
      <c r="RZQ247" s="15"/>
      <c r="RZR247" s="15"/>
      <c r="RZS247" s="10"/>
      <c r="RZT247" s="10"/>
      <c r="RZU247" s="21"/>
      <c r="RZV247" s="21"/>
      <c r="RZY247" s="21"/>
      <c r="RZZ247" s="15"/>
      <c r="SAA247" s="15"/>
      <c r="SAB247" s="15"/>
      <c r="SAC247" s="15"/>
      <c r="SAD247" s="15"/>
      <c r="SAE247" s="15"/>
      <c r="SAF247" s="15"/>
      <c r="SAG247" s="15"/>
      <c r="SAH247" s="15"/>
      <c r="SAI247" s="15"/>
      <c r="SAJ247" s="10"/>
      <c r="SAK247" s="10"/>
      <c r="SAL247" s="21"/>
      <c r="SAM247" s="21"/>
      <c r="SAP247" s="21"/>
      <c r="SAQ247" s="15"/>
      <c r="SAR247" s="15"/>
      <c r="SAS247" s="15"/>
      <c r="SAT247" s="15"/>
      <c r="SAU247" s="15"/>
      <c r="SAV247" s="15"/>
      <c r="SAW247" s="15"/>
      <c r="SAX247" s="15"/>
      <c r="SAY247" s="15"/>
      <c r="SAZ247" s="15"/>
      <c r="SBA247" s="10"/>
      <c r="SBB247" s="10"/>
      <c r="SBC247" s="21"/>
      <c r="SBD247" s="21"/>
      <c r="SBG247" s="21"/>
      <c r="SBH247" s="15"/>
      <c r="SBI247" s="15"/>
      <c r="SBJ247" s="15"/>
      <c r="SBK247" s="15"/>
      <c r="SBL247" s="15"/>
      <c r="SBM247" s="15"/>
      <c r="SBN247" s="15"/>
      <c r="SBO247" s="15"/>
      <c r="SBP247" s="15"/>
      <c r="SBQ247" s="15"/>
      <c r="SBR247" s="10"/>
      <c r="SBS247" s="10"/>
      <c r="SBT247" s="21"/>
      <c r="SBU247" s="21"/>
      <c r="SBX247" s="21"/>
      <c r="SBY247" s="15"/>
      <c r="SBZ247" s="15"/>
      <c r="SCA247" s="15"/>
      <c r="SCB247" s="15"/>
      <c r="SCC247" s="15"/>
      <c r="SCD247" s="15"/>
      <c r="SCE247" s="15"/>
      <c r="SCF247" s="15"/>
      <c r="SCG247" s="15"/>
      <c r="SCH247" s="15"/>
      <c r="SCI247" s="10"/>
      <c r="SCJ247" s="10"/>
      <c r="SCK247" s="21"/>
      <c r="SCL247" s="21"/>
      <c r="SCO247" s="21"/>
      <c r="SCP247" s="15"/>
      <c r="SCQ247" s="15"/>
      <c r="SCR247" s="15"/>
      <c r="SCS247" s="15"/>
      <c r="SCT247" s="15"/>
      <c r="SCU247" s="15"/>
      <c r="SCV247" s="15"/>
      <c r="SCW247" s="15"/>
      <c r="SCX247" s="15"/>
      <c r="SCY247" s="15"/>
      <c r="SCZ247" s="10"/>
      <c r="SDA247" s="10"/>
      <c r="SDB247" s="21"/>
      <c r="SDC247" s="21"/>
      <c r="SDF247" s="21"/>
      <c r="SDG247" s="15"/>
      <c r="SDH247" s="15"/>
      <c r="SDI247" s="15"/>
      <c r="SDJ247" s="15"/>
      <c r="SDK247" s="15"/>
      <c r="SDL247" s="15"/>
      <c r="SDM247" s="15"/>
      <c r="SDN247" s="15"/>
      <c r="SDO247" s="15"/>
      <c r="SDP247" s="15"/>
      <c r="SDQ247" s="10"/>
      <c r="SDR247" s="10"/>
      <c r="SDS247" s="21"/>
      <c r="SDT247" s="21"/>
      <c r="SDW247" s="21"/>
      <c r="SDX247" s="15"/>
      <c r="SDY247" s="15"/>
      <c r="SDZ247" s="15"/>
      <c r="SEA247" s="15"/>
      <c r="SEB247" s="15"/>
      <c r="SEC247" s="15"/>
      <c r="SED247" s="15"/>
      <c r="SEE247" s="15"/>
      <c r="SEF247" s="15"/>
      <c r="SEG247" s="15"/>
      <c r="SEH247" s="10"/>
      <c r="SEI247" s="10"/>
      <c r="SEJ247" s="21"/>
      <c r="SEK247" s="21"/>
      <c r="SEN247" s="21"/>
      <c r="SEO247" s="15"/>
      <c r="SEP247" s="15"/>
      <c r="SEQ247" s="15"/>
      <c r="SER247" s="15"/>
      <c r="SES247" s="15"/>
      <c r="SET247" s="15"/>
      <c r="SEU247" s="15"/>
      <c r="SEV247" s="15"/>
      <c r="SEW247" s="15"/>
      <c r="SEX247" s="15"/>
      <c r="SEY247" s="10"/>
      <c r="SEZ247" s="10"/>
      <c r="SFA247" s="21"/>
      <c r="SFB247" s="21"/>
      <c r="SFE247" s="21"/>
      <c r="SFF247" s="15"/>
      <c r="SFG247" s="15"/>
      <c r="SFH247" s="15"/>
      <c r="SFI247" s="15"/>
      <c r="SFJ247" s="15"/>
      <c r="SFK247" s="15"/>
      <c r="SFL247" s="15"/>
      <c r="SFM247" s="15"/>
      <c r="SFN247" s="15"/>
      <c r="SFO247" s="15"/>
      <c r="SFP247" s="10"/>
      <c r="SFQ247" s="10"/>
      <c r="SFR247" s="21"/>
      <c r="SFS247" s="21"/>
      <c r="SFV247" s="21"/>
      <c r="SFW247" s="15"/>
      <c r="SFX247" s="15"/>
      <c r="SFY247" s="15"/>
      <c r="SFZ247" s="15"/>
      <c r="SGA247" s="15"/>
      <c r="SGB247" s="15"/>
      <c r="SGC247" s="15"/>
      <c r="SGD247" s="15"/>
      <c r="SGE247" s="15"/>
      <c r="SGF247" s="15"/>
      <c r="SGG247" s="10"/>
      <c r="SGH247" s="10"/>
      <c r="SGI247" s="21"/>
      <c r="SGJ247" s="21"/>
      <c r="SGM247" s="21"/>
      <c r="SGN247" s="15"/>
      <c r="SGO247" s="15"/>
      <c r="SGP247" s="15"/>
      <c r="SGQ247" s="15"/>
      <c r="SGR247" s="15"/>
      <c r="SGS247" s="15"/>
      <c r="SGT247" s="15"/>
      <c r="SGU247" s="15"/>
      <c r="SGV247" s="15"/>
      <c r="SGW247" s="15"/>
      <c r="SGX247" s="10"/>
      <c r="SGY247" s="10"/>
      <c r="SGZ247" s="21"/>
      <c r="SHA247" s="21"/>
      <c r="SHD247" s="21"/>
      <c r="SHE247" s="15"/>
      <c r="SHF247" s="15"/>
      <c r="SHG247" s="15"/>
      <c r="SHH247" s="15"/>
      <c r="SHI247" s="15"/>
      <c r="SHJ247" s="15"/>
      <c r="SHK247" s="15"/>
      <c r="SHL247" s="15"/>
      <c r="SHM247" s="15"/>
      <c r="SHN247" s="15"/>
      <c r="SHO247" s="10"/>
      <c r="SHP247" s="10"/>
      <c r="SHQ247" s="21"/>
      <c r="SHR247" s="21"/>
      <c r="SHU247" s="21"/>
      <c r="SHV247" s="15"/>
      <c r="SHW247" s="15"/>
      <c r="SHX247" s="15"/>
      <c r="SHY247" s="15"/>
      <c r="SHZ247" s="15"/>
      <c r="SIA247" s="15"/>
      <c r="SIB247" s="15"/>
      <c r="SIC247" s="15"/>
      <c r="SID247" s="15"/>
      <c r="SIE247" s="15"/>
      <c r="SIF247" s="10"/>
      <c r="SIG247" s="10"/>
      <c r="SIH247" s="21"/>
      <c r="SII247" s="21"/>
      <c r="SIL247" s="21"/>
      <c r="SIM247" s="15"/>
      <c r="SIN247" s="15"/>
      <c r="SIO247" s="15"/>
      <c r="SIP247" s="15"/>
      <c r="SIQ247" s="15"/>
      <c r="SIR247" s="15"/>
      <c r="SIS247" s="15"/>
      <c r="SIT247" s="15"/>
      <c r="SIU247" s="15"/>
      <c r="SIV247" s="15"/>
      <c r="SIW247" s="10"/>
      <c r="SIX247" s="10"/>
      <c r="SIY247" s="21"/>
      <c r="SIZ247" s="21"/>
      <c r="SJC247" s="21"/>
      <c r="SJD247" s="15"/>
      <c r="SJE247" s="15"/>
      <c r="SJF247" s="15"/>
      <c r="SJG247" s="15"/>
      <c r="SJH247" s="15"/>
      <c r="SJI247" s="15"/>
      <c r="SJJ247" s="15"/>
      <c r="SJK247" s="15"/>
      <c r="SJL247" s="15"/>
      <c r="SJM247" s="15"/>
      <c r="SJN247" s="10"/>
      <c r="SJO247" s="10"/>
      <c r="SJP247" s="21"/>
      <c r="SJQ247" s="21"/>
      <c r="SJT247" s="21"/>
      <c r="SJU247" s="15"/>
      <c r="SJV247" s="15"/>
      <c r="SJW247" s="15"/>
      <c r="SJX247" s="15"/>
      <c r="SJY247" s="15"/>
      <c r="SJZ247" s="15"/>
      <c r="SKA247" s="15"/>
      <c r="SKB247" s="15"/>
      <c r="SKC247" s="15"/>
      <c r="SKD247" s="15"/>
      <c r="SKE247" s="10"/>
      <c r="SKF247" s="10"/>
      <c r="SKG247" s="21"/>
      <c r="SKH247" s="21"/>
      <c r="SKK247" s="21"/>
      <c r="SKL247" s="15"/>
      <c r="SKM247" s="15"/>
      <c r="SKN247" s="15"/>
      <c r="SKO247" s="15"/>
      <c r="SKP247" s="15"/>
      <c r="SKQ247" s="15"/>
      <c r="SKR247" s="15"/>
      <c r="SKS247" s="15"/>
      <c r="SKT247" s="15"/>
      <c r="SKU247" s="15"/>
      <c r="SKV247" s="10"/>
      <c r="SKW247" s="10"/>
      <c r="SKX247" s="21"/>
      <c r="SKY247" s="21"/>
      <c r="SLB247" s="21"/>
      <c r="SLC247" s="15"/>
      <c r="SLD247" s="15"/>
      <c r="SLE247" s="15"/>
      <c r="SLF247" s="15"/>
      <c r="SLG247" s="15"/>
      <c r="SLH247" s="15"/>
      <c r="SLI247" s="15"/>
      <c r="SLJ247" s="15"/>
      <c r="SLK247" s="15"/>
      <c r="SLL247" s="15"/>
      <c r="SLM247" s="10"/>
      <c r="SLN247" s="10"/>
      <c r="SLO247" s="21"/>
      <c r="SLP247" s="21"/>
      <c r="SLS247" s="21"/>
      <c r="SLT247" s="15"/>
      <c r="SLU247" s="15"/>
      <c r="SLV247" s="15"/>
      <c r="SLW247" s="15"/>
      <c r="SLX247" s="15"/>
      <c r="SLY247" s="15"/>
      <c r="SLZ247" s="15"/>
      <c r="SMA247" s="15"/>
      <c r="SMB247" s="15"/>
      <c r="SMC247" s="15"/>
      <c r="SMD247" s="10"/>
      <c r="SME247" s="10"/>
      <c r="SMF247" s="21"/>
      <c r="SMG247" s="21"/>
      <c r="SMJ247" s="21"/>
      <c r="SMK247" s="15"/>
      <c r="SML247" s="15"/>
      <c r="SMM247" s="15"/>
      <c r="SMN247" s="15"/>
      <c r="SMO247" s="15"/>
      <c r="SMP247" s="15"/>
      <c r="SMQ247" s="15"/>
      <c r="SMR247" s="15"/>
      <c r="SMS247" s="15"/>
      <c r="SMT247" s="15"/>
      <c r="SMU247" s="10"/>
      <c r="SMV247" s="10"/>
      <c r="SMW247" s="21"/>
      <c r="SMX247" s="21"/>
      <c r="SNA247" s="21"/>
      <c r="SNB247" s="15"/>
      <c r="SNC247" s="15"/>
      <c r="SND247" s="15"/>
      <c r="SNE247" s="15"/>
      <c r="SNF247" s="15"/>
      <c r="SNG247" s="15"/>
      <c r="SNH247" s="15"/>
      <c r="SNI247" s="15"/>
      <c r="SNJ247" s="15"/>
      <c r="SNK247" s="15"/>
      <c r="SNL247" s="10"/>
      <c r="SNM247" s="10"/>
      <c r="SNN247" s="21"/>
      <c r="SNO247" s="21"/>
      <c r="SNR247" s="21"/>
      <c r="SNS247" s="15"/>
      <c r="SNT247" s="15"/>
      <c r="SNU247" s="15"/>
      <c r="SNV247" s="15"/>
      <c r="SNW247" s="15"/>
      <c r="SNX247" s="15"/>
      <c r="SNY247" s="15"/>
      <c r="SNZ247" s="15"/>
      <c r="SOA247" s="15"/>
      <c r="SOB247" s="15"/>
      <c r="SOC247" s="10"/>
      <c r="SOD247" s="10"/>
      <c r="SOE247" s="21"/>
      <c r="SOF247" s="21"/>
      <c r="SOI247" s="21"/>
      <c r="SOJ247" s="15"/>
      <c r="SOK247" s="15"/>
      <c r="SOL247" s="15"/>
      <c r="SOM247" s="15"/>
      <c r="SON247" s="15"/>
      <c r="SOO247" s="15"/>
      <c r="SOP247" s="15"/>
      <c r="SOQ247" s="15"/>
      <c r="SOR247" s="15"/>
      <c r="SOS247" s="15"/>
      <c r="SOT247" s="10"/>
      <c r="SOU247" s="10"/>
      <c r="SOV247" s="21"/>
      <c r="SOW247" s="21"/>
      <c r="SOZ247" s="21"/>
      <c r="SPA247" s="15"/>
      <c r="SPB247" s="15"/>
      <c r="SPC247" s="15"/>
      <c r="SPD247" s="15"/>
      <c r="SPE247" s="15"/>
      <c r="SPF247" s="15"/>
      <c r="SPG247" s="15"/>
      <c r="SPH247" s="15"/>
      <c r="SPI247" s="15"/>
      <c r="SPJ247" s="15"/>
      <c r="SPK247" s="10"/>
      <c r="SPL247" s="10"/>
      <c r="SPM247" s="21"/>
      <c r="SPN247" s="21"/>
      <c r="SPQ247" s="21"/>
      <c r="SPR247" s="15"/>
      <c r="SPS247" s="15"/>
      <c r="SPT247" s="15"/>
      <c r="SPU247" s="15"/>
      <c r="SPV247" s="15"/>
      <c r="SPW247" s="15"/>
      <c r="SPX247" s="15"/>
      <c r="SPY247" s="15"/>
      <c r="SPZ247" s="15"/>
      <c r="SQA247" s="15"/>
      <c r="SQB247" s="10"/>
      <c r="SQC247" s="10"/>
      <c r="SQD247" s="21"/>
      <c r="SQE247" s="21"/>
      <c r="SQH247" s="21"/>
      <c r="SQI247" s="15"/>
      <c r="SQJ247" s="15"/>
      <c r="SQK247" s="15"/>
      <c r="SQL247" s="15"/>
      <c r="SQM247" s="15"/>
      <c r="SQN247" s="15"/>
      <c r="SQO247" s="15"/>
      <c r="SQP247" s="15"/>
      <c r="SQQ247" s="15"/>
      <c r="SQR247" s="15"/>
      <c r="SQS247" s="10"/>
      <c r="SQT247" s="10"/>
      <c r="SQU247" s="21"/>
      <c r="SQV247" s="21"/>
      <c r="SQY247" s="21"/>
      <c r="SQZ247" s="15"/>
      <c r="SRA247" s="15"/>
      <c r="SRB247" s="15"/>
      <c r="SRC247" s="15"/>
      <c r="SRD247" s="15"/>
      <c r="SRE247" s="15"/>
      <c r="SRF247" s="15"/>
      <c r="SRG247" s="15"/>
      <c r="SRH247" s="15"/>
      <c r="SRI247" s="15"/>
      <c r="SRJ247" s="10"/>
      <c r="SRK247" s="10"/>
      <c r="SRL247" s="21"/>
      <c r="SRM247" s="21"/>
      <c r="SRP247" s="21"/>
      <c r="SRQ247" s="15"/>
      <c r="SRR247" s="15"/>
      <c r="SRS247" s="15"/>
      <c r="SRT247" s="15"/>
      <c r="SRU247" s="15"/>
      <c r="SRV247" s="15"/>
      <c r="SRW247" s="15"/>
      <c r="SRX247" s="15"/>
      <c r="SRY247" s="15"/>
      <c r="SRZ247" s="15"/>
      <c r="SSA247" s="10"/>
      <c r="SSB247" s="10"/>
      <c r="SSC247" s="21"/>
      <c r="SSD247" s="21"/>
      <c r="SSG247" s="21"/>
      <c r="SSH247" s="15"/>
      <c r="SSI247" s="15"/>
      <c r="SSJ247" s="15"/>
      <c r="SSK247" s="15"/>
      <c r="SSL247" s="15"/>
      <c r="SSM247" s="15"/>
      <c r="SSN247" s="15"/>
      <c r="SSO247" s="15"/>
      <c r="SSP247" s="15"/>
      <c r="SSQ247" s="15"/>
      <c r="SSR247" s="10"/>
      <c r="SSS247" s="10"/>
      <c r="SST247" s="21"/>
      <c r="SSU247" s="21"/>
      <c r="SSX247" s="21"/>
      <c r="SSY247" s="15"/>
      <c r="SSZ247" s="15"/>
      <c r="STA247" s="15"/>
      <c r="STB247" s="15"/>
      <c r="STC247" s="15"/>
      <c r="STD247" s="15"/>
      <c r="STE247" s="15"/>
      <c r="STF247" s="15"/>
      <c r="STG247" s="15"/>
      <c r="STH247" s="15"/>
      <c r="STI247" s="10"/>
      <c r="STJ247" s="10"/>
      <c r="STK247" s="21"/>
      <c r="STL247" s="21"/>
      <c r="STO247" s="21"/>
      <c r="STP247" s="15"/>
      <c r="STQ247" s="15"/>
      <c r="STR247" s="15"/>
      <c r="STS247" s="15"/>
      <c r="STT247" s="15"/>
      <c r="STU247" s="15"/>
      <c r="STV247" s="15"/>
      <c r="STW247" s="15"/>
      <c r="STX247" s="15"/>
      <c r="STY247" s="15"/>
      <c r="STZ247" s="10"/>
      <c r="SUA247" s="10"/>
      <c r="SUB247" s="21"/>
      <c r="SUC247" s="21"/>
      <c r="SUF247" s="21"/>
      <c r="SUG247" s="15"/>
      <c r="SUH247" s="15"/>
      <c r="SUI247" s="15"/>
      <c r="SUJ247" s="15"/>
      <c r="SUK247" s="15"/>
      <c r="SUL247" s="15"/>
      <c r="SUM247" s="15"/>
      <c r="SUN247" s="15"/>
      <c r="SUO247" s="15"/>
      <c r="SUP247" s="15"/>
      <c r="SUQ247" s="10"/>
      <c r="SUR247" s="10"/>
      <c r="SUS247" s="21"/>
      <c r="SUT247" s="21"/>
      <c r="SUW247" s="21"/>
      <c r="SUX247" s="15"/>
      <c r="SUY247" s="15"/>
      <c r="SUZ247" s="15"/>
      <c r="SVA247" s="15"/>
      <c r="SVB247" s="15"/>
      <c r="SVC247" s="15"/>
      <c r="SVD247" s="15"/>
      <c r="SVE247" s="15"/>
      <c r="SVF247" s="15"/>
      <c r="SVG247" s="15"/>
      <c r="SVH247" s="10"/>
      <c r="SVI247" s="10"/>
      <c r="SVJ247" s="21"/>
      <c r="SVK247" s="21"/>
      <c r="SVN247" s="21"/>
      <c r="SVO247" s="15"/>
      <c r="SVP247" s="15"/>
      <c r="SVQ247" s="15"/>
      <c r="SVR247" s="15"/>
      <c r="SVS247" s="15"/>
      <c r="SVT247" s="15"/>
      <c r="SVU247" s="15"/>
      <c r="SVV247" s="15"/>
      <c r="SVW247" s="15"/>
      <c r="SVX247" s="15"/>
      <c r="SVY247" s="10"/>
      <c r="SVZ247" s="10"/>
      <c r="SWA247" s="21"/>
      <c r="SWB247" s="21"/>
      <c r="SWE247" s="21"/>
      <c r="SWF247" s="15"/>
      <c r="SWG247" s="15"/>
      <c r="SWH247" s="15"/>
      <c r="SWI247" s="15"/>
      <c r="SWJ247" s="15"/>
      <c r="SWK247" s="15"/>
      <c r="SWL247" s="15"/>
      <c r="SWM247" s="15"/>
      <c r="SWN247" s="15"/>
      <c r="SWO247" s="15"/>
      <c r="SWP247" s="10"/>
      <c r="SWQ247" s="10"/>
      <c r="SWR247" s="21"/>
      <c r="SWS247" s="21"/>
      <c r="SWV247" s="21"/>
      <c r="SWW247" s="15"/>
      <c r="SWX247" s="15"/>
      <c r="SWY247" s="15"/>
      <c r="SWZ247" s="15"/>
      <c r="SXA247" s="15"/>
      <c r="SXB247" s="15"/>
      <c r="SXC247" s="15"/>
      <c r="SXD247" s="15"/>
      <c r="SXE247" s="15"/>
      <c r="SXF247" s="15"/>
      <c r="SXG247" s="10"/>
      <c r="SXH247" s="10"/>
      <c r="SXI247" s="21"/>
      <c r="SXJ247" s="21"/>
      <c r="SXM247" s="21"/>
      <c r="SXN247" s="15"/>
      <c r="SXO247" s="15"/>
      <c r="SXP247" s="15"/>
      <c r="SXQ247" s="15"/>
      <c r="SXR247" s="15"/>
      <c r="SXS247" s="15"/>
      <c r="SXT247" s="15"/>
      <c r="SXU247" s="15"/>
      <c r="SXV247" s="15"/>
      <c r="SXW247" s="15"/>
      <c r="SXX247" s="10"/>
      <c r="SXY247" s="10"/>
      <c r="SXZ247" s="21"/>
      <c r="SYA247" s="21"/>
      <c r="SYD247" s="21"/>
      <c r="SYE247" s="15"/>
      <c r="SYF247" s="15"/>
      <c r="SYG247" s="15"/>
      <c r="SYH247" s="15"/>
      <c r="SYI247" s="15"/>
      <c r="SYJ247" s="15"/>
      <c r="SYK247" s="15"/>
      <c r="SYL247" s="15"/>
      <c r="SYM247" s="15"/>
      <c r="SYN247" s="15"/>
      <c r="SYO247" s="10"/>
      <c r="SYP247" s="10"/>
      <c r="SYQ247" s="21"/>
      <c r="SYR247" s="21"/>
      <c r="SYU247" s="21"/>
      <c r="SYV247" s="15"/>
      <c r="SYW247" s="15"/>
      <c r="SYX247" s="15"/>
      <c r="SYY247" s="15"/>
      <c r="SYZ247" s="15"/>
      <c r="SZA247" s="15"/>
      <c r="SZB247" s="15"/>
      <c r="SZC247" s="15"/>
      <c r="SZD247" s="15"/>
      <c r="SZE247" s="15"/>
      <c r="SZF247" s="10"/>
      <c r="SZG247" s="10"/>
      <c r="SZH247" s="21"/>
      <c r="SZI247" s="21"/>
      <c r="SZL247" s="21"/>
      <c r="SZM247" s="15"/>
      <c r="SZN247" s="15"/>
      <c r="SZO247" s="15"/>
      <c r="SZP247" s="15"/>
      <c r="SZQ247" s="15"/>
      <c r="SZR247" s="15"/>
      <c r="SZS247" s="15"/>
      <c r="SZT247" s="15"/>
      <c r="SZU247" s="15"/>
      <c r="SZV247" s="15"/>
      <c r="SZW247" s="10"/>
      <c r="SZX247" s="10"/>
      <c r="SZY247" s="21"/>
      <c r="SZZ247" s="21"/>
      <c r="TAC247" s="21"/>
      <c r="TAD247" s="15"/>
      <c r="TAE247" s="15"/>
      <c r="TAF247" s="15"/>
      <c r="TAG247" s="15"/>
      <c r="TAH247" s="15"/>
      <c r="TAI247" s="15"/>
      <c r="TAJ247" s="15"/>
      <c r="TAK247" s="15"/>
      <c r="TAL247" s="15"/>
      <c r="TAM247" s="15"/>
      <c r="TAN247" s="10"/>
      <c r="TAO247" s="10"/>
      <c r="TAP247" s="21"/>
      <c r="TAQ247" s="21"/>
      <c r="TAT247" s="21"/>
      <c r="TAU247" s="15"/>
      <c r="TAV247" s="15"/>
      <c r="TAW247" s="15"/>
      <c r="TAX247" s="15"/>
      <c r="TAY247" s="15"/>
      <c r="TAZ247" s="15"/>
      <c r="TBA247" s="15"/>
      <c r="TBB247" s="15"/>
      <c r="TBC247" s="15"/>
      <c r="TBD247" s="15"/>
      <c r="TBE247" s="10"/>
      <c r="TBF247" s="10"/>
      <c r="TBG247" s="21"/>
      <c r="TBH247" s="21"/>
      <c r="TBK247" s="21"/>
      <c r="TBL247" s="15"/>
      <c r="TBM247" s="15"/>
      <c r="TBN247" s="15"/>
      <c r="TBO247" s="15"/>
      <c r="TBP247" s="15"/>
      <c r="TBQ247" s="15"/>
      <c r="TBR247" s="15"/>
      <c r="TBS247" s="15"/>
      <c r="TBT247" s="15"/>
      <c r="TBU247" s="15"/>
      <c r="TBV247" s="10"/>
      <c r="TBW247" s="10"/>
      <c r="TBX247" s="21"/>
      <c r="TBY247" s="21"/>
      <c r="TCB247" s="21"/>
      <c r="TCC247" s="15"/>
      <c r="TCD247" s="15"/>
      <c r="TCE247" s="15"/>
      <c r="TCF247" s="15"/>
      <c r="TCG247" s="15"/>
      <c r="TCH247" s="15"/>
      <c r="TCI247" s="15"/>
      <c r="TCJ247" s="15"/>
      <c r="TCK247" s="15"/>
      <c r="TCL247" s="15"/>
      <c r="TCM247" s="10"/>
      <c r="TCN247" s="10"/>
      <c r="TCO247" s="21"/>
      <c r="TCP247" s="21"/>
      <c r="TCS247" s="21"/>
      <c r="TCT247" s="15"/>
      <c r="TCU247" s="15"/>
      <c r="TCV247" s="15"/>
      <c r="TCW247" s="15"/>
      <c r="TCX247" s="15"/>
      <c r="TCY247" s="15"/>
      <c r="TCZ247" s="15"/>
      <c r="TDA247" s="15"/>
      <c r="TDB247" s="15"/>
      <c r="TDC247" s="15"/>
      <c r="TDD247" s="10"/>
      <c r="TDE247" s="10"/>
      <c r="TDF247" s="21"/>
      <c r="TDG247" s="21"/>
      <c r="TDJ247" s="21"/>
      <c r="TDK247" s="15"/>
      <c r="TDL247" s="15"/>
      <c r="TDM247" s="15"/>
      <c r="TDN247" s="15"/>
      <c r="TDO247" s="15"/>
      <c r="TDP247" s="15"/>
      <c r="TDQ247" s="15"/>
      <c r="TDR247" s="15"/>
      <c r="TDS247" s="15"/>
      <c r="TDT247" s="15"/>
      <c r="TDU247" s="10"/>
      <c r="TDV247" s="10"/>
      <c r="TDW247" s="21"/>
      <c r="TDX247" s="21"/>
      <c r="TEA247" s="21"/>
      <c r="TEB247" s="15"/>
      <c r="TEC247" s="15"/>
      <c r="TED247" s="15"/>
      <c r="TEE247" s="15"/>
      <c r="TEF247" s="15"/>
      <c r="TEG247" s="15"/>
      <c r="TEH247" s="15"/>
      <c r="TEI247" s="15"/>
      <c r="TEJ247" s="15"/>
      <c r="TEK247" s="15"/>
      <c r="TEL247" s="10"/>
      <c r="TEM247" s="10"/>
      <c r="TEN247" s="21"/>
      <c r="TEO247" s="21"/>
      <c r="TER247" s="21"/>
      <c r="TES247" s="15"/>
      <c r="TET247" s="15"/>
      <c r="TEU247" s="15"/>
      <c r="TEV247" s="15"/>
      <c r="TEW247" s="15"/>
      <c r="TEX247" s="15"/>
      <c r="TEY247" s="15"/>
      <c r="TEZ247" s="15"/>
      <c r="TFA247" s="15"/>
      <c r="TFB247" s="15"/>
      <c r="TFC247" s="10"/>
      <c r="TFD247" s="10"/>
      <c r="TFE247" s="21"/>
      <c r="TFF247" s="21"/>
      <c r="TFI247" s="21"/>
      <c r="TFJ247" s="15"/>
      <c r="TFK247" s="15"/>
      <c r="TFL247" s="15"/>
      <c r="TFM247" s="15"/>
      <c r="TFN247" s="15"/>
      <c r="TFO247" s="15"/>
      <c r="TFP247" s="15"/>
      <c r="TFQ247" s="15"/>
      <c r="TFR247" s="15"/>
      <c r="TFS247" s="15"/>
      <c r="TFT247" s="10"/>
      <c r="TFU247" s="10"/>
      <c r="TFV247" s="21"/>
      <c r="TFW247" s="21"/>
      <c r="TFZ247" s="21"/>
      <c r="TGA247" s="15"/>
      <c r="TGB247" s="15"/>
      <c r="TGC247" s="15"/>
      <c r="TGD247" s="15"/>
      <c r="TGE247" s="15"/>
      <c r="TGF247" s="15"/>
      <c r="TGG247" s="15"/>
      <c r="TGH247" s="15"/>
      <c r="TGI247" s="15"/>
      <c r="TGJ247" s="15"/>
      <c r="TGK247" s="10"/>
      <c r="TGL247" s="10"/>
      <c r="TGM247" s="21"/>
      <c r="TGN247" s="21"/>
      <c r="TGQ247" s="21"/>
      <c r="TGR247" s="15"/>
      <c r="TGS247" s="15"/>
      <c r="TGT247" s="15"/>
      <c r="TGU247" s="15"/>
      <c r="TGV247" s="15"/>
      <c r="TGW247" s="15"/>
      <c r="TGX247" s="15"/>
      <c r="TGY247" s="15"/>
      <c r="TGZ247" s="15"/>
      <c r="THA247" s="15"/>
      <c r="THB247" s="10"/>
      <c r="THC247" s="10"/>
      <c r="THD247" s="21"/>
      <c r="THE247" s="21"/>
      <c r="THH247" s="21"/>
      <c r="THI247" s="15"/>
      <c r="THJ247" s="15"/>
      <c r="THK247" s="15"/>
      <c r="THL247" s="15"/>
      <c r="THM247" s="15"/>
      <c r="THN247" s="15"/>
      <c r="THO247" s="15"/>
      <c r="THP247" s="15"/>
      <c r="THQ247" s="15"/>
      <c r="THR247" s="15"/>
      <c r="THS247" s="10"/>
      <c r="THT247" s="10"/>
      <c r="THU247" s="21"/>
      <c r="THV247" s="21"/>
      <c r="THY247" s="21"/>
      <c r="THZ247" s="15"/>
      <c r="TIA247" s="15"/>
      <c r="TIB247" s="15"/>
      <c r="TIC247" s="15"/>
      <c r="TID247" s="15"/>
      <c r="TIE247" s="15"/>
      <c r="TIF247" s="15"/>
      <c r="TIG247" s="15"/>
      <c r="TIH247" s="15"/>
      <c r="TII247" s="15"/>
      <c r="TIJ247" s="10"/>
      <c r="TIK247" s="10"/>
      <c r="TIL247" s="21"/>
      <c r="TIM247" s="21"/>
      <c r="TIP247" s="21"/>
      <c r="TIQ247" s="15"/>
      <c r="TIR247" s="15"/>
      <c r="TIS247" s="15"/>
      <c r="TIT247" s="15"/>
      <c r="TIU247" s="15"/>
      <c r="TIV247" s="15"/>
      <c r="TIW247" s="15"/>
      <c r="TIX247" s="15"/>
      <c r="TIY247" s="15"/>
      <c r="TIZ247" s="15"/>
      <c r="TJA247" s="10"/>
      <c r="TJB247" s="10"/>
      <c r="TJC247" s="21"/>
      <c r="TJD247" s="21"/>
      <c r="TJG247" s="21"/>
      <c r="TJH247" s="15"/>
      <c r="TJI247" s="15"/>
      <c r="TJJ247" s="15"/>
      <c r="TJK247" s="15"/>
      <c r="TJL247" s="15"/>
      <c r="TJM247" s="15"/>
      <c r="TJN247" s="15"/>
      <c r="TJO247" s="15"/>
      <c r="TJP247" s="15"/>
      <c r="TJQ247" s="15"/>
      <c r="TJR247" s="10"/>
      <c r="TJS247" s="10"/>
      <c r="TJT247" s="21"/>
      <c r="TJU247" s="21"/>
      <c r="TJX247" s="21"/>
      <c r="TJY247" s="15"/>
      <c r="TJZ247" s="15"/>
      <c r="TKA247" s="15"/>
      <c r="TKB247" s="15"/>
      <c r="TKC247" s="15"/>
      <c r="TKD247" s="15"/>
      <c r="TKE247" s="15"/>
      <c r="TKF247" s="15"/>
      <c r="TKG247" s="15"/>
      <c r="TKH247" s="15"/>
      <c r="TKI247" s="10"/>
      <c r="TKJ247" s="10"/>
      <c r="TKK247" s="21"/>
      <c r="TKL247" s="21"/>
      <c r="TKO247" s="21"/>
      <c r="TKP247" s="15"/>
      <c r="TKQ247" s="15"/>
      <c r="TKR247" s="15"/>
      <c r="TKS247" s="15"/>
      <c r="TKT247" s="15"/>
      <c r="TKU247" s="15"/>
      <c r="TKV247" s="15"/>
      <c r="TKW247" s="15"/>
      <c r="TKX247" s="15"/>
      <c r="TKY247" s="15"/>
      <c r="TKZ247" s="10"/>
      <c r="TLA247" s="10"/>
      <c r="TLB247" s="21"/>
      <c r="TLC247" s="21"/>
      <c r="TLF247" s="21"/>
      <c r="TLG247" s="15"/>
      <c r="TLH247" s="15"/>
      <c r="TLI247" s="15"/>
      <c r="TLJ247" s="15"/>
      <c r="TLK247" s="15"/>
      <c r="TLL247" s="15"/>
      <c r="TLM247" s="15"/>
      <c r="TLN247" s="15"/>
      <c r="TLO247" s="15"/>
      <c r="TLP247" s="15"/>
      <c r="TLQ247" s="10"/>
      <c r="TLR247" s="10"/>
      <c r="TLS247" s="21"/>
      <c r="TLT247" s="21"/>
      <c r="TLW247" s="21"/>
      <c r="TLX247" s="15"/>
      <c r="TLY247" s="15"/>
      <c r="TLZ247" s="15"/>
      <c r="TMA247" s="15"/>
      <c r="TMB247" s="15"/>
      <c r="TMC247" s="15"/>
      <c r="TMD247" s="15"/>
      <c r="TME247" s="15"/>
      <c r="TMF247" s="15"/>
      <c r="TMG247" s="15"/>
      <c r="TMH247" s="10"/>
      <c r="TMI247" s="10"/>
      <c r="TMJ247" s="21"/>
      <c r="TMK247" s="21"/>
      <c r="TMN247" s="21"/>
      <c r="TMO247" s="15"/>
      <c r="TMP247" s="15"/>
      <c r="TMQ247" s="15"/>
      <c r="TMR247" s="15"/>
      <c r="TMS247" s="15"/>
      <c r="TMT247" s="15"/>
      <c r="TMU247" s="15"/>
      <c r="TMV247" s="15"/>
      <c r="TMW247" s="15"/>
      <c r="TMX247" s="15"/>
      <c r="TMY247" s="10"/>
      <c r="TMZ247" s="10"/>
      <c r="TNA247" s="21"/>
      <c r="TNB247" s="21"/>
      <c r="TNE247" s="21"/>
      <c r="TNF247" s="15"/>
      <c r="TNG247" s="15"/>
      <c r="TNH247" s="15"/>
      <c r="TNI247" s="15"/>
      <c r="TNJ247" s="15"/>
      <c r="TNK247" s="15"/>
      <c r="TNL247" s="15"/>
      <c r="TNM247" s="15"/>
      <c r="TNN247" s="15"/>
      <c r="TNO247" s="15"/>
      <c r="TNP247" s="10"/>
      <c r="TNQ247" s="10"/>
      <c r="TNR247" s="21"/>
      <c r="TNS247" s="21"/>
      <c r="TNV247" s="21"/>
      <c r="TNW247" s="15"/>
      <c r="TNX247" s="15"/>
      <c r="TNY247" s="15"/>
      <c r="TNZ247" s="15"/>
      <c r="TOA247" s="15"/>
      <c r="TOB247" s="15"/>
      <c r="TOC247" s="15"/>
      <c r="TOD247" s="15"/>
      <c r="TOE247" s="15"/>
      <c r="TOF247" s="15"/>
      <c r="TOG247" s="10"/>
      <c r="TOH247" s="10"/>
      <c r="TOI247" s="21"/>
      <c r="TOJ247" s="21"/>
      <c r="TOM247" s="21"/>
      <c r="TON247" s="15"/>
      <c r="TOO247" s="15"/>
      <c r="TOP247" s="15"/>
      <c r="TOQ247" s="15"/>
      <c r="TOR247" s="15"/>
      <c r="TOS247" s="15"/>
      <c r="TOT247" s="15"/>
      <c r="TOU247" s="15"/>
      <c r="TOV247" s="15"/>
      <c r="TOW247" s="15"/>
      <c r="TOX247" s="10"/>
      <c r="TOY247" s="10"/>
      <c r="TOZ247" s="21"/>
      <c r="TPA247" s="21"/>
      <c r="TPD247" s="21"/>
      <c r="TPE247" s="15"/>
      <c r="TPF247" s="15"/>
      <c r="TPG247" s="15"/>
      <c r="TPH247" s="15"/>
      <c r="TPI247" s="15"/>
      <c r="TPJ247" s="15"/>
      <c r="TPK247" s="15"/>
      <c r="TPL247" s="15"/>
      <c r="TPM247" s="15"/>
      <c r="TPN247" s="15"/>
      <c r="TPO247" s="10"/>
      <c r="TPP247" s="10"/>
      <c r="TPQ247" s="21"/>
      <c r="TPR247" s="21"/>
      <c r="TPU247" s="21"/>
      <c r="TPV247" s="15"/>
      <c r="TPW247" s="15"/>
      <c r="TPX247" s="15"/>
      <c r="TPY247" s="15"/>
      <c r="TPZ247" s="15"/>
      <c r="TQA247" s="15"/>
      <c r="TQB247" s="15"/>
      <c r="TQC247" s="15"/>
      <c r="TQD247" s="15"/>
      <c r="TQE247" s="15"/>
      <c r="TQF247" s="10"/>
      <c r="TQG247" s="10"/>
      <c r="TQH247" s="21"/>
      <c r="TQI247" s="21"/>
      <c r="TQL247" s="21"/>
      <c r="TQM247" s="15"/>
      <c r="TQN247" s="15"/>
      <c r="TQO247" s="15"/>
      <c r="TQP247" s="15"/>
      <c r="TQQ247" s="15"/>
      <c r="TQR247" s="15"/>
      <c r="TQS247" s="15"/>
      <c r="TQT247" s="15"/>
      <c r="TQU247" s="15"/>
      <c r="TQV247" s="15"/>
      <c r="TQW247" s="10"/>
      <c r="TQX247" s="10"/>
      <c r="TQY247" s="21"/>
      <c r="TQZ247" s="21"/>
      <c r="TRC247" s="21"/>
      <c r="TRD247" s="15"/>
      <c r="TRE247" s="15"/>
      <c r="TRF247" s="15"/>
      <c r="TRG247" s="15"/>
      <c r="TRH247" s="15"/>
      <c r="TRI247" s="15"/>
      <c r="TRJ247" s="15"/>
      <c r="TRK247" s="15"/>
      <c r="TRL247" s="15"/>
      <c r="TRM247" s="15"/>
      <c r="TRN247" s="10"/>
      <c r="TRO247" s="10"/>
      <c r="TRP247" s="21"/>
      <c r="TRQ247" s="21"/>
      <c r="TRT247" s="21"/>
      <c r="TRU247" s="15"/>
      <c r="TRV247" s="15"/>
      <c r="TRW247" s="15"/>
      <c r="TRX247" s="15"/>
      <c r="TRY247" s="15"/>
      <c r="TRZ247" s="15"/>
      <c r="TSA247" s="15"/>
      <c r="TSB247" s="15"/>
      <c r="TSC247" s="15"/>
      <c r="TSD247" s="15"/>
      <c r="TSE247" s="10"/>
      <c r="TSF247" s="10"/>
      <c r="TSG247" s="21"/>
      <c r="TSH247" s="21"/>
      <c r="TSK247" s="21"/>
      <c r="TSL247" s="15"/>
      <c r="TSM247" s="15"/>
      <c r="TSN247" s="15"/>
      <c r="TSO247" s="15"/>
      <c r="TSP247" s="15"/>
      <c r="TSQ247" s="15"/>
      <c r="TSR247" s="15"/>
      <c r="TSS247" s="15"/>
      <c r="TST247" s="15"/>
      <c r="TSU247" s="15"/>
      <c r="TSV247" s="10"/>
      <c r="TSW247" s="10"/>
      <c r="TSX247" s="21"/>
      <c r="TSY247" s="21"/>
      <c r="TTB247" s="21"/>
      <c r="TTC247" s="15"/>
      <c r="TTD247" s="15"/>
      <c r="TTE247" s="15"/>
      <c r="TTF247" s="15"/>
      <c r="TTG247" s="15"/>
      <c r="TTH247" s="15"/>
      <c r="TTI247" s="15"/>
      <c r="TTJ247" s="15"/>
      <c r="TTK247" s="15"/>
      <c r="TTL247" s="15"/>
      <c r="TTM247" s="10"/>
      <c r="TTN247" s="10"/>
      <c r="TTO247" s="21"/>
      <c r="TTP247" s="21"/>
      <c r="TTS247" s="21"/>
      <c r="TTT247" s="15"/>
      <c r="TTU247" s="15"/>
      <c r="TTV247" s="15"/>
      <c r="TTW247" s="15"/>
      <c r="TTX247" s="15"/>
      <c r="TTY247" s="15"/>
      <c r="TTZ247" s="15"/>
      <c r="TUA247" s="15"/>
      <c r="TUB247" s="15"/>
      <c r="TUC247" s="15"/>
      <c r="TUD247" s="10"/>
      <c r="TUE247" s="10"/>
      <c r="TUF247" s="21"/>
      <c r="TUG247" s="21"/>
      <c r="TUJ247" s="21"/>
      <c r="TUK247" s="15"/>
      <c r="TUL247" s="15"/>
      <c r="TUM247" s="15"/>
      <c r="TUN247" s="15"/>
      <c r="TUO247" s="15"/>
      <c r="TUP247" s="15"/>
      <c r="TUQ247" s="15"/>
      <c r="TUR247" s="15"/>
      <c r="TUS247" s="15"/>
      <c r="TUT247" s="15"/>
      <c r="TUU247" s="10"/>
      <c r="TUV247" s="10"/>
      <c r="TUW247" s="21"/>
      <c r="TUX247" s="21"/>
      <c r="TVA247" s="21"/>
      <c r="TVB247" s="15"/>
      <c r="TVC247" s="15"/>
      <c r="TVD247" s="15"/>
      <c r="TVE247" s="15"/>
      <c r="TVF247" s="15"/>
      <c r="TVG247" s="15"/>
      <c r="TVH247" s="15"/>
      <c r="TVI247" s="15"/>
      <c r="TVJ247" s="15"/>
      <c r="TVK247" s="15"/>
      <c r="TVL247" s="10"/>
      <c r="TVM247" s="10"/>
      <c r="TVN247" s="21"/>
      <c r="TVO247" s="21"/>
      <c r="TVR247" s="21"/>
      <c r="TVS247" s="15"/>
      <c r="TVT247" s="15"/>
      <c r="TVU247" s="15"/>
      <c r="TVV247" s="15"/>
      <c r="TVW247" s="15"/>
      <c r="TVX247" s="15"/>
      <c r="TVY247" s="15"/>
      <c r="TVZ247" s="15"/>
      <c r="TWA247" s="15"/>
      <c r="TWB247" s="15"/>
      <c r="TWC247" s="10"/>
      <c r="TWD247" s="10"/>
      <c r="TWE247" s="21"/>
      <c r="TWF247" s="21"/>
      <c r="TWI247" s="21"/>
      <c r="TWJ247" s="15"/>
      <c r="TWK247" s="15"/>
      <c r="TWL247" s="15"/>
      <c r="TWM247" s="15"/>
      <c r="TWN247" s="15"/>
      <c r="TWO247" s="15"/>
      <c r="TWP247" s="15"/>
      <c r="TWQ247" s="15"/>
      <c r="TWR247" s="15"/>
      <c r="TWS247" s="15"/>
      <c r="TWT247" s="10"/>
      <c r="TWU247" s="10"/>
      <c r="TWV247" s="21"/>
      <c r="TWW247" s="21"/>
      <c r="TWZ247" s="21"/>
      <c r="TXA247" s="15"/>
      <c r="TXB247" s="15"/>
      <c r="TXC247" s="15"/>
      <c r="TXD247" s="15"/>
      <c r="TXE247" s="15"/>
      <c r="TXF247" s="15"/>
      <c r="TXG247" s="15"/>
      <c r="TXH247" s="15"/>
      <c r="TXI247" s="15"/>
      <c r="TXJ247" s="15"/>
      <c r="TXK247" s="10"/>
      <c r="TXL247" s="10"/>
      <c r="TXM247" s="21"/>
      <c r="TXN247" s="21"/>
      <c r="TXQ247" s="21"/>
      <c r="TXR247" s="15"/>
      <c r="TXS247" s="15"/>
      <c r="TXT247" s="15"/>
      <c r="TXU247" s="15"/>
      <c r="TXV247" s="15"/>
      <c r="TXW247" s="15"/>
      <c r="TXX247" s="15"/>
      <c r="TXY247" s="15"/>
      <c r="TXZ247" s="15"/>
      <c r="TYA247" s="15"/>
      <c r="TYB247" s="10"/>
      <c r="TYC247" s="10"/>
      <c r="TYD247" s="21"/>
      <c r="TYE247" s="21"/>
      <c r="TYH247" s="21"/>
      <c r="TYI247" s="15"/>
      <c r="TYJ247" s="15"/>
      <c r="TYK247" s="15"/>
      <c r="TYL247" s="15"/>
      <c r="TYM247" s="15"/>
      <c r="TYN247" s="15"/>
      <c r="TYO247" s="15"/>
      <c r="TYP247" s="15"/>
      <c r="TYQ247" s="15"/>
      <c r="TYR247" s="15"/>
      <c r="TYS247" s="10"/>
      <c r="TYT247" s="10"/>
      <c r="TYU247" s="21"/>
      <c r="TYV247" s="21"/>
      <c r="TYY247" s="21"/>
      <c r="TYZ247" s="15"/>
      <c r="TZA247" s="15"/>
      <c r="TZB247" s="15"/>
      <c r="TZC247" s="15"/>
      <c r="TZD247" s="15"/>
      <c r="TZE247" s="15"/>
      <c r="TZF247" s="15"/>
      <c r="TZG247" s="15"/>
      <c r="TZH247" s="15"/>
      <c r="TZI247" s="15"/>
      <c r="TZJ247" s="10"/>
      <c r="TZK247" s="10"/>
      <c r="TZL247" s="21"/>
      <c r="TZM247" s="21"/>
      <c r="TZP247" s="21"/>
      <c r="TZQ247" s="15"/>
      <c r="TZR247" s="15"/>
      <c r="TZS247" s="15"/>
      <c r="TZT247" s="15"/>
      <c r="TZU247" s="15"/>
      <c r="TZV247" s="15"/>
      <c r="TZW247" s="15"/>
      <c r="TZX247" s="15"/>
      <c r="TZY247" s="15"/>
      <c r="TZZ247" s="15"/>
      <c r="UAA247" s="10"/>
      <c r="UAB247" s="10"/>
      <c r="UAC247" s="21"/>
      <c r="UAD247" s="21"/>
      <c r="UAG247" s="21"/>
      <c r="UAH247" s="15"/>
      <c r="UAI247" s="15"/>
      <c r="UAJ247" s="15"/>
      <c r="UAK247" s="15"/>
      <c r="UAL247" s="15"/>
      <c r="UAM247" s="15"/>
      <c r="UAN247" s="15"/>
      <c r="UAO247" s="15"/>
      <c r="UAP247" s="15"/>
      <c r="UAQ247" s="15"/>
      <c r="UAR247" s="10"/>
      <c r="UAS247" s="10"/>
      <c r="UAT247" s="21"/>
      <c r="UAU247" s="21"/>
      <c r="UAX247" s="21"/>
      <c r="UAY247" s="15"/>
      <c r="UAZ247" s="15"/>
      <c r="UBA247" s="15"/>
      <c r="UBB247" s="15"/>
      <c r="UBC247" s="15"/>
      <c r="UBD247" s="15"/>
      <c r="UBE247" s="15"/>
      <c r="UBF247" s="15"/>
      <c r="UBG247" s="15"/>
      <c r="UBH247" s="15"/>
      <c r="UBI247" s="10"/>
      <c r="UBJ247" s="10"/>
      <c r="UBK247" s="21"/>
      <c r="UBL247" s="21"/>
      <c r="UBO247" s="21"/>
      <c r="UBP247" s="15"/>
      <c r="UBQ247" s="15"/>
      <c r="UBR247" s="15"/>
      <c r="UBS247" s="15"/>
      <c r="UBT247" s="15"/>
      <c r="UBU247" s="15"/>
      <c r="UBV247" s="15"/>
      <c r="UBW247" s="15"/>
      <c r="UBX247" s="15"/>
      <c r="UBY247" s="15"/>
      <c r="UBZ247" s="10"/>
      <c r="UCA247" s="10"/>
      <c r="UCB247" s="21"/>
      <c r="UCC247" s="21"/>
      <c r="UCF247" s="21"/>
      <c r="UCG247" s="15"/>
      <c r="UCH247" s="15"/>
      <c r="UCI247" s="15"/>
      <c r="UCJ247" s="15"/>
      <c r="UCK247" s="15"/>
      <c r="UCL247" s="15"/>
      <c r="UCM247" s="15"/>
      <c r="UCN247" s="15"/>
      <c r="UCO247" s="15"/>
      <c r="UCP247" s="15"/>
      <c r="UCQ247" s="10"/>
      <c r="UCR247" s="10"/>
      <c r="UCS247" s="21"/>
      <c r="UCT247" s="21"/>
      <c r="UCW247" s="21"/>
      <c r="UCX247" s="15"/>
      <c r="UCY247" s="15"/>
      <c r="UCZ247" s="15"/>
      <c r="UDA247" s="15"/>
      <c r="UDB247" s="15"/>
      <c r="UDC247" s="15"/>
      <c r="UDD247" s="15"/>
      <c r="UDE247" s="15"/>
      <c r="UDF247" s="15"/>
      <c r="UDG247" s="15"/>
      <c r="UDH247" s="10"/>
      <c r="UDI247" s="10"/>
      <c r="UDJ247" s="21"/>
      <c r="UDK247" s="21"/>
      <c r="UDN247" s="21"/>
      <c r="UDO247" s="15"/>
      <c r="UDP247" s="15"/>
      <c r="UDQ247" s="15"/>
      <c r="UDR247" s="15"/>
      <c r="UDS247" s="15"/>
      <c r="UDT247" s="15"/>
      <c r="UDU247" s="15"/>
      <c r="UDV247" s="15"/>
      <c r="UDW247" s="15"/>
      <c r="UDX247" s="15"/>
      <c r="UDY247" s="10"/>
      <c r="UDZ247" s="10"/>
      <c r="UEA247" s="21"/>
      <c r="UEB247" s="21"/>
      <c r="UEE247" s="21"/>
      <c r="UEF247" s="15"/>
      <c r="UEG247" s="15"/>
      <c r="UEH247" s="15"/>
      <c r="UEI247" s="15"/>
      <c r="UEJ247" s="15"/>
      <c r="UEK247" s="15"/>
      <c r="UEL247" s="15"/>
      <c r="UEM247" s="15"/>
      <c r="UEN247" s="15"/>
      <c r="UEO247" s="15"/>
      <c r="UEP247" s="10"/>
      <c r="UEQ247" s="10"/>
      <c r="UER247" s="21"/>
      <c r="UES247" s="21"/>
      <c r="UEV247" s="21"/>
      <c r="UEW247" s="15"/>
      <c r="UEX247" s="15"/>
      <c r="UEY247" s="15"/>
      <c r="UEZ247" s="15"/>
      <c r="UFA247" s="15"/>
      <c r="UFB247" s="15"/>
      <c r="UFC247" s="15"/>
      <c r="UFD247" s="15"/>
      <c r="UFE247" s="15"/>
      <c r="UFF247" s="15"/>
      <c r="UFG247" s="10"/>
      <c r="UFH247" s="10"/>
      <c r="UFI247" s="21"/>
      <c r="UFJ247" s="21"/>
      <c r="UFM247" s="21"/>
      <c r="UFN247" s="15"/>
      <c r="UFO247" s="15"/>
      <c r="UFP247" s="15"/>
      <c r="UFQ247" s="15"/>
      <c r="UFR247" s="15"/>
      <c r="UFS247" s="15"/>
      <c r="UFT247" s="15"/>
      <c r="UFU247" s="15"/>
      <c r="UFV247" s="15"/>
      <c r="UFW247" s="15"/>
      <c r="UFX247" s="10"/>
      <c r="UFY247" s="10"/>
      <c r="UFZ247" s="21"/>
      <c r="UGA247" s="21"/>
      <c r="UGD247" s="21"/>
      <c r="UGE247" s="15"/>
      <c r="UGF247" s="15"/>
      <c r="UGG247" s="15"/>
      <c r="UGH247" s="15"/>
      <c r="UGI247" s="15"/>
      <c r="UGJ247" s="15"/>
      <c r="UGK247" s="15"/>
      <c r="UGL247" s="15"/>
      <c r="UGM247" s="15"/>
      <c r="UGN247" s="15"/>
      <c r="UGO247" s="10"/>
      <c r="UGP247" s="10"/>
      <c r="UGQ247" s="21"/>
      <c r="UGR247" s="21"/>
      <c r="UGU247" s="21"/>
      <c r="UGV247" s="15"/>
      <c r="UGW247" s="15"/>
      <c r="UGX247" s="15"/>
      <c r="UGY247" s="15"/>
      <c r="UGZ247" s="15"/>
      <c r="UHA247" s="15"/>
      <c r="UHB247" s="15"/>
      <c r="UHC247" s="15"/>
      <c r="UHD247" s="15"/>
      <c r="UHE247" s="15"/>
      <c r="UHF247" s="10"/>
      <c r="UHG247" s="10"/>
      <c r="UHH247" s="21"/>
      <c r="UHI247" s="21"/>
      <c r="UHL247" s="21"/>
      <c r="UHM247" s="15"/>
      <c r="UHN247" s="15"/>
      <c r="UHO247" s="15"/>
      <c r="UHP247" s="15"/>
      <c r="UHQ247" s="15"/>
      <c r="UHR247" s="15"/>
      <c r="UHS247" s="15"/>
      <c r="UHT247" s="15"/>
      <c r="UHU247" s="15"/>
      <c r="UHV247" s="15"/>
      <c r="UHW247" s="10"/>
      <c r="UHX247" s="10"/>
      <c r="UHY247" s="21"/>
      <c r="UHZ247" s="21"/>
      <c r="UIC247" s="21"/>
      <c r="UID247" s="15"/>
      <c r="UIE247" s="15"/>
      <c r="UIF247" s="15"/>
      <c r="UIG247" s="15"/>
      <c r="UIH247" s="15"/>
      <c r="UII247" s="15"/>
      <c r="UIJ247" s="15"/>
      <c r="UIK247" s="15"/>
      <c r="UIL247" s="15"/>
      <c r="UIM247" s="15"/>
      <c r="UIN247" s="10"/>
      <c r="UIO247" s="10"/>
      <c r="UIP247" s="21"/>
      <c r="UIQ247" s="21"/>
      <c r="UIT247" s="21"/>
      <c r="UIU247" s="15"/>
      <c r="UIV247" s="15"/>
      <c r="UIW247" s="15"/>
      <c r="UIX247" s="15"/>
      <c r="UIY247" s="15"/>
      <c r="UIZ247" s="15"/>
      <c r="UJA247" s="15"/>
      <c r="UJB247" s="15"/>
      <c r="UJC247" s="15"/>
      <c r="UJD247" s="15"/>
      <c r="UJE247" s="10"/>
      <c r="UJF247" s="10"/>
      <c r="UJG247" s="21"/>
      <c r="UJH247" s="21"/>
      <c r="UJK247" s="21"/>
      <c r="UJL247" s="15"/>
      <c r="UJM247" s="15"/>
      <c r="UJN247" s="15"/>
      <c r="UJO247" s="15"/>
      <c r="UJP247" s="15"/>
      <c r="UJQ247" s="15"/>
      <c r="UJR247" s="15"/>
      <c r="UJS247" s="15"/>
      <c r="UJT247" s="15"/>
      <c r="UJU247" s="15"/>
      <c r="UJV247" s="10"/>
      <c r="UJW247" s="10"/>
      <c r="UJX247" s="21"/>
      <c r="UJY247" s="21"/>
      <c r="UKB247" s="21"/>
      <c r="UKC247" s="15"/>
      <c r="UKD247" s="15"/>
      <c r="UKE247" s="15"/>
      <c r="UKF247" s="15"/>
      <c r="UKG247" s="15"/>
      <c r="UKH247" s="15"/>
      <c r="UKI247" s="15"/>
      <c r="UKJ247" s="15"/>
      <c r="UKK247" s="15"/>
      <c r="UKL247" s="15"/>
      <c r="UKM247" s="10"/>
      <c r="UKN247" s="10"/>
      <c r="UKO247" s="21"/>
      <c r="UKP247" s="21"/>
      <c r="UKS247" s="21"/>
      <c r="UKT247" s="15"/>
      <c r="UKU247" s="15"/>
      <c r="UKV247" s="15"/>
      <c r="UKW247" s="15"/>
      <c r="UKX247" s="15"/>
      <c r="UKY247" s="15"/>
      <c r="UKZ247" s="15"/>
      <c r="ULA247" s="15"/>
      <c r="ULB247" s="15"/>
      <c r="ULC247" s="15"/>
      <c r="ULD247" s="10"/>
      <c r="ULE247" s="10"/>
      <c r="ULF247" s="21"/>
      <c r="ULG247" s="21"/>
      <c r="ULJ247" s="21"/>
      <c r="ULK247" s="15"/>
      <c r="ULL247" s="15"/>
      <c r="ULM247" s="15"/>
      <c r="ULN247" s="15"/>
      <c r="ULO247" s="15"/>
      <c r="ULP247" s="15"/>
      <c r="ULQ247" s="15"/>
      <c r="ULR247" s="15"/>
      <c r="ULS247" s="15"/>
      <c r="ULT247" s="15"/>
      <c r="ULU247" s="10"/>
      <c r="ULV247" s="10"/>
      <c r="ULW247" s="21"/>
      <c r="ULX247" s="21"/>
      <c r="UMA247" s="21"/>
      <c r="UMB247" s="15"/>
      <c r="UMC247" s="15"/>
      <c r="UMD247" s="15"/>
      <c r="UME247" s="15"/>
      <c r="UMF247" s="15"/>
      <c r="UMG247" s="15"/>
      <c r="UMH247" s="15"/>
      <c r="UMI247" s="15"/>
      <c r="UMJ247" s="15"/>
      <c r="UMK247" s="15"/>
      <c r="UML247" s="10"/>
      <c r="UMM247" s="10"/>
      <c r="UMN247" s="21"/>
      <c r="UMO247" s="21"/>
      <c r="UMR247" s="21"/>
      <c r="UMS247" s="15"/>
      <c r="UMT247" s="15"/>
      <c r="UMU247" s="15"/>
      <c r="UMV247" s="15"/>
      <c r="UMW247" s="15"/>
      <c r="UMX247" s="15"/>
      <c r="UMY247" s="15"/>
      <c r="UMZ247" s="15"/>
      <c r="UNA247" s="15"/>
      <c r="UNB247" s="15"/>
      <c r="UNC247" s="10"/>
      <c r="UND247" s="10"/>
      <c r="UNE247" s="21"/>
      <c r="UNF247" s="21"/>
      <c r="UNI247" s="21"/>
      <c r="UNJ247" s="15"/>
      <c r="UNK247" s="15"/>
      <c r="UNL247" s="15"/>
      <c r="UNM247" s="15"/>
      <c r="UNN247" s="15"/>
      <c r="UNO247" s="15"/>
      <c r="UNP247" s="15"/>
      <c r="UNQ247" s="15"/>
      <c r="UNR247" s="15"/>
      <c r="UNS247" s="15"/>
      <c r="UNT247" s="10"/>
      <c r="UNU247" s="10"/>
      <c r="UNV247" s="21"/>
      <c r="UNW247" s="21"/>
      <c r="UNZ247" s="21"/>
      <c r="UOA247" s="15"/>
      <c r="UOB247" s="15"/>
      <c r="UOC247" s="15"/>
      <c r="UOD247" s="15"/>
      <c r="UOE247" s="15"/>
      <c r="UOF247" s="15"/>
      <c r="UOG247" s="15"/>
      <c r="UOH247" s="15"/>
      <c r="UOI247" s="15"/>
      <c r="UOJ247" s="15"/>
      <c r="UOK247" s="10"/>
      <c r="UOL247" s="10"/>
      <c r="UOM247" s="21"/>
      <c r="UON247" s="21"/>
      <c r="UOQ247" s="21"/>
      <c r="UOR247" s="15"/>
      <c r="UOS247" s="15"/>
      <c r="UOT247" s="15"/>
      <c r="UOU247" s="15"/>
      <c r="UOV247" s="15"/>
      <c r="UOW247" s="15"/>
      <c r="UOX247" s="15"/>
      <c r="UOY247" s="15"/>
      <c r="UOZ247" s="15"/>
      <c r="UPA247" s="15"/>
      <c r="UPB247" s="10"/>
      <c r="UPC247" s="10"/>
      <c r="UPD247" s="21"/>
      <c r="UPE247" s="21"/>
      <c r="UPH247" s="21"/>
      <c r="UPI247" s="15"/>
      <c r="UPJ247" s="15"/>
      <c r="UPK247" s="15"/>
      <c r="UPL247" s="15"/>
      <c r="UPM247" s="15"/>
      <c r="UPN247" s="15"/>
      <c r="UPO247" s="15"/>
      <c r="UPP247" s="15"/>
      <c r="UPQ247" s="15"/>
      <c r="UPR247" s="15"/>
      <c r="UPS247" s="10"/>
      <c r="UPT247" s="10"/>
      <c r="UPU247" s="21"/>
      <c r="UPV247" s="21"/>
      <c r="UPY247" s="21"/>
      <c r="UPZ247" s="15"/>
      <c r="UQA247" s="15"/>
      <c r="UQB247" s="15"/>
      <c r="UQC247" s="15"/>
      <c r="UQD247" s="15"/>
      <c r="UQE247" s="15"/>
      <c r="UQF247" s="15"/>
      <c r="UQG247" s="15"/>
      <c r="UQH247" s="15"/>
      <c r="UQI247" s="15"/>
      <c r="UQJ247" s="10"/>
      <c r="UQK247" s="10"/>
      <c r="UQL247" s="21"/>
      <c r="UQM247" s="21"/>
      <c r="UQP247" s="21"/>
      <c r="UQQ247" s="15"/>
      <c r="UQR247" s="15"/>
      <c r="UQS247" s="15"/>
      <c r="UQT247" s="15"/>
      <c r="UQU247" s="15"/>
      <c r="UQV247" s="15"/>
      <c r="UQW247" s="15"/>
      <c r="UQX247" s="15"/>
      <c r="UQY247" s="15"/>
      <c r="UQZ247" s="15"/>
      <c r="URA247" s="10"/>
      <c r="URB247" s="10"/>
      <c r="URC247" s="21"/>
      <c r="URD247" s="21"/>
      <c r="URG247" s="21"/>
      <c r="URH247" s="15"/>
      <c r="URI247" s="15"/>
      <c r="URJ247" s="15"/>
      <c r="URK247" s="15"/>
      <c r="URL247" s="15"/>
      <c r="URM247" s="15"/>
      <c r="URN247" s="15"/>
      <c r="URO247" s="15"/>
      <c r="URP247" s="15"/>
      <c r="URQ247" s="15"/>
      <c r="URR247" s="10"/>
      <c r="URS247" s="10"/>
      <c r="URT247" s="21"/>
      <c r="URU247" s="21"/>
      <c r="URX247" s="21"/>
      <c r="URY247" s="15"/>
      <c r="URZ247" s="15"/>
      <c r="USA247" s="15"/>
      <c r="USB247" s="15"/>
      <c r="USC247" s="15"/>
      <c r="USD247" s="15"/>
      <c r="USE247" s="15"/>
      <c r="USF247" s="15"/>
      <c r="USG247" s="15"/>
      <c r="USH247" s="15"/>
      <c r="USI247" s="10"/>
      <c r="USJ247" s="10"/>
      <c r="USK247" s="21"/>
      <c r="USL247" s="21"/>
      <c r="USO247" s="21"/>
      <c r="USP247" s="15"/>
      <c r="USQ247" s="15"/>
      <c r="USR247" s="15"/>
      <c r="USS247" s="15"/>
      <c r="UST247" s="15"/>
      <c r="USU247" s="15"/>
      <c r="USV247" s="15"/>
      <c r="USW247" s="15"/>
      <c r="USX247" s="15"/>
      <c r="USY247" s="15"/>
      <c r="USZ247" s="10"/>
      <c r="UTA247" s="10"/>
      <c r="UTB247" s="21"/>
      <c r="UTC247" s="21"/>
      <c r="UTF247" s="21"/>
      <c r="UTG247" s="15"/>
      <c r="UTH247" s="15"/>
      <c r="UTI247" s="15"/>
      <c r="UTJ247" s="15"/>
      <c r="UTK247" s="15"/>
      <c r="UTL247" s="15"/>
      <c r="UTM247" s="15"/>
      <c r="UTN247" s="15"/>
      <c r="UTO247" s="15"/>
      <c r="UTP247" s="15"/>
      <c r="UTQ247" s="10"/>
      <c r="UTR247" s="10"/>
      <c r="UTS247" s="21"/>
      <c r="UTT247" s="21"/>
      <c r="UTW247" s="21"/>
      <c r="UTX247" s="15"/>
      <c r="UTY247" s="15"/>
      <c r="UTZ247" s="15"/>
      <c r="UUA247" s="15"/>
      <c r="UUB247" s="15"/>
      <c r="UUC247" s="15"/>
      <c r="UUD247" s="15"/>
      <c r="UUE247" s="15"/>
      <c r="UUF247" s="15"/>
      <c r="UUG247" s="15"/>
      <c r="UUH247" s="10"/>
      <c r="UUI247" s="10"/>
      <c r="UUJ247" s="21"/>
      <c r="UUK247" s="21"/>
      <c r="UUN247" s="21"/>
      <c r="UUO247" s="15"/>
      <c r="UUP247" s="15"/>
      <c r="UUQ247" s="15"/>
      <c r="UUR247" s="15"/>
      <c r="UUS247" s="15"/>
      <c r="UUT247" s="15"/>
      <c r="UUU247" s="15"/>
      <c r="UUV247" s="15"/>
      <c r="UUW247" s="15"/>
      <c r="UUX247" s="15"/>
      <c r="UUY247" s="10"/>
      <c r="UUZ247" s="10"/>
      <c r="UVA247" s="21"/>
      <c r="UVB247" s="21"/>
      <c r="UVE247" s="21"/>
      <c r="UVF247" s="15"/>
      <c r="UVG247" s="15"/>
      <c r="UVH247" s="15"/>
      <c r="UVI247" s="15"/>
      <c r="UVJ247" s="15"/>
      <c r="UVK247" s="15"/>
      <c r="UVL247" s="15"/>
      <c r="UVM247" s="15"/>
      <c r="UVN247" s="15"/>
      <c r="UVO247" s="15"/>
      <c r="UVP247" s="10"/>
      <c r="UVQ247" s="10"/>
      <c r="UVR247" s="21"/>
      <c r="UVS247" s="21"/>
      <c r="UVV247" s="21"/>
      <c r="UVW247" s="15"/>
      <c r="UVX247" s="15"/>
      <c r="UVY247" s="15"/>
      <c r="UVZ247" s="15"/>
      <c r="UWA247" s="15"/>
      <c r="UWB247" s="15"/>
      <c r="UWC247" s="15"/>
      <c r="UWD247" s="15"/>
      <c r="UWE247" s="15"/>
      <c r="UWF247" s="15"/>
      <c r="UWG247" s="10"/>
      <c r="UWH247" s="10"/>
      <c r="UWI247" s="21"/>
      <c r="UWJ247" s="21"/>
      <c r="UWM247" s="21"/>
      <c r="UWN247" s="15"/>
      <c r="UWO247" s="15"/>
      <c r="UWP247" s="15"/>
      <c r="UWQ247" s="15"/>
      <c r="UWR247" s="15"/>
      <c r="UWS247" s="15"/>
      <c r="UWT247" s="15"/>
      <c r="UWU247" s="15"/>
      <c r="UWV247" s="15"/>
      <c r="UWW247" s="15"/>
      <c r="UWX247" s="10"/>
      <c r="UWY247" s="10"/>
      <c r="UWZ247" s="21"/>
      <c r="UXA247" s="21"/>
      <c r="UXD247" s="21"/>
      <c r="UXE247" s="15"/>
      <c r="UXF247" s="15"/>
      <c r="UXG247" s="15"/>
      <c r="UXH247" s="15"/>
      <c r="UXI247" s="15"/>
      <c r="UXJ247" s="15"/>
      <c r="UXK247" s="15"/>
      <c r="UXL247" s="15"/>
      <c r="UXM247" s="15"/>
      <c r="UXN247" s="15"/>
      <c r="UXO247" s="10"/>
      <c r="UXP247" s="10"/>
      <c r="UXQ247" s="21"/>
      <c r="UXR247" s="21"/>
      <c r="UXU247" s="21"/>
      <c r="UXV247" s="15"/>
      <c r="UXW247" s="15"/>
      <c r="UXX247" s="15"/>
      <c r="UXY247" s="15"/>
      <c r="UXZ247" s="15"/>
      <c r="UYA247" s="15"/>
      <c r="UYB247" s="15"/>
      <c r="UYC247" s="15"/>
      <c r="UYD247" s="15"/>
      <c r="UYE247" s="15"/>
      <c r="UYF247" s="10"/>
      <c r="UYG247" s="10"/>
      <c r="UYH247" s="21"/>
      <c r="UYI247" s="21"/>
      <c r="UYL247" s="21"/>
      <c r="UYM247" s="15"/>
      <c r="UYN247" s="15"/>
      <c r="UYO247" s="15"/>
      <c r="UYP247" s="15"/>
      <c r="UYQ247" s="15"/>
      <c r="UYR247" s="15"/>
      <c r="UYS247" s="15"/>
      <c r="UYT247" s="15"/>
      <c r="UYU247" s="15"/>
      <c r="UYV247" s="15"/>
      <c r="UYW247" s="10"/>
      <c r="UYX247" s="10"/>
      <c r="UYY247" s="21"/>
      <c r="UYZ247" s="21"/>
      <c r="UZC247" s="21"/>
      <c r="UZD247" s="15"/>
      <c r="UZE247" s="15"/>
      <c r="UZF247" s="15"/>
      <c r="UZG247" s="15"/>
      <c r="UZH247" s="15"/>
      <c r="UZI247" s="15"/>
      <c r="UZJ247" s="15"/>
      <c r="UZK247" s="15"/>
      <c r="UZL247" s="15"/>
      <c r="UZM247" s="15"/>
      <c r="UZN247" s="10"/>
      <c r="UZO247" s="10"/>
      <c r="UZP247" s="21"/>
      <c r="UZQ247" s="21"/>
      <c r="UZT247" s="21"/>
      <c r="UZU247" s="15"/>
      <c r="UZV247" s="15"/>
      <c r="UZW247" s="15"/>
      <c r="UZX247" s="15"/>
      <c r="UZY247" s="15"/>
      <c r="UZZ247" s="15"/>
      <c r="VAA247" s="15"/>
      <c r="VAB247" s="15"/>
      <c r="VAC247" s="15"/>
      <c r="VAD247" s="15"/>
      <c r="VAE247" s="10"/>
      <c r="VAF247" s="10"/>
      <c r="VAG247" s="21"/>
      <c r="VAH247" s="21"/>
      <c r="VAK247" s="21"/>
      <c r="VAL247" s="15"/>
      <c r="VAM247" s="15"/>
      <c r="VAN247" s="15"/>
      <c r="VAO247" s="15"/>
      <c r="VAP247" s="15"/>
      <c r="VAQ247" s="15"/>
      <c r="VAR247" s="15"/>
      <c r="VAS247" s="15"/>
      <c r="VAT247" s="15"/>
      <c r="VAU247" s="15"/>
      <c r="VAV247" s="10"/>
      <c r="VAW247" s="10"/>
      <c r="VAX247" s="21"/>
      <c r="VAY247" s="21"/>
      <c r="VBB247" s="21"/>
      <c r="VBC247" s="15"/>
      <c r="VBD247" s="15"/>
      <c r="VBE247" s="15"/>
      <c r="VBF247" s="15"/>
      <c r="VBG247" s="15"/>
      <c r="VBH247" s="15"/>
      <c r="VBI247" s="15"/>
      <c r="VBJ247" s="15"/>
      <c r="VBK247" s="15"/>
      <c r="VBL247" s="15"/>
      <c r="VBM247" s="10"/>
      <c r="VBN247" s="10"/>
      <c r="VBO247" s="21"/>
      <c r="VBP247" s="21"/>
      <c r="VBS247" s="21"/>
      <c r="VBT247" s="15"/>
      <c r="VBU247" s="15"/>
      <c r="VBV247" s="15"/>
      <c r="VBW247" s="15"/>
      <c r="VBX247" s="15"/>
      <c r="VBY247" s="15"/>
      <c r="VBZ247" s="15"/>
      <c r="VCA247" s="15"/>
      <c r="VCB247" s="15"/>
      <c r="VCC247" s="15"/>
      <c r="VCD247" s="10"/>
      <c r="VCE247" s="10"/>
      <c r="VCF247" s="21"/>
      <c r="VCG247" s="21"/>
      <c r="VCJ247" s="21"/>
      <c r="VCK247" s="15"/>
      <c r="VCL247" s="15"/>
      <c r="VCM247" s="15"/>
      <c r="VCN247" s="15"/>
      <c r="VCO247" s="15"/>
      <c r="VCP247" s="15"/>
      <c r="VCQ247" s="15"/>
      <c r="VCR247" s="15"/>
      <c r="VCS247" s="15"/>
      <c r="VCT247" s="15"/>
      <c r="VCU247" s="10"/>
      <c r="VCV247" s="10"/>
      <c r="VCW247" s="21"/>
      <c r="VCX247" s="21"/>
      <c r="VDA247" s="21"/>
      <c r="VDB247" s="15"/>
      <c r="VDC247" s="15"/>
      <c r="VDD247" s="15"/>
      <c r="VDE247" s="15"/>
      <c r="VDF247" s="15"/>
      <c r="VDG247" s="15"/>
      <c r="VDH247" s="15"/>
      <c r="VDI247" s="15"/>
      <c r="VDJ247" s="15"/>
      <c r="VDK247" s="15"/>
      <c r="VDL247" s="10"/>
      <c r="VDM247" s="10"/>
      <c r="VDN247" s="21"/>
      <c r="VDO247" s="21"/>
      <c r="VDR247" s="21"/>
      <c r="VDS247" s="15"/>
      <c r="VDT247" s="15"/>
      <c r="VDU247" s="15"/>
      <c r="VDV247" s="15"/>
      <c r="VDW247" s="15"/>
      <c r="VDX247" s="15"/>
      <c r="VDY247" s="15"/>
      <c r="VDZ247" s="15"/>
      <c r="VEA247" s="15"/>
      <c r="VEB247" s="15"/>
      <c r="VEC247" s="10"/>
      <c r="VED247" s="10"/>
      <c r="VEE247" s="21"/>
      <c r="VEF247" s="21"/>
      <c r="VEI247" s="21"/>
      <c r="VEJ247" s="15"/>
      <c r="VEK247" s="15"/>
      <c r="VEL247" s="15"/>
      <c r="VEM247" s="15"/>
      <c r="VEN247" s="15"/>
      <c r="VEO247" s="15"/>
      <c r="VEP247" s="15"/>
      <c r="VEQ247" s="15"/>
      <c r="VER247" s="15"/>
      <c r="VES247" s="15"/>
      <c r="VET247" s="10"/>
      <c r="VEU247" s="10"/>
      <c r="VEV247" s="21"/>
      <c r="VEW247" s="21"/>
      <c r="VEZ247" s="21"/>
      <c r="VFA247" s="15"/>
      <c r="VFB247" s="15"/>
      <c r="VFC247" s="15"/>
      <c r="VFD247" s="15"/>
      <c r="VFE247" s="15"/>
      <c r="VFF247" s="15"/>
      <c r="VFG247" s="15"/>
      <c r="VFH247" s="15"/>
      <c r="VFI247" s="15"/>
      <c r="VFJ247" s="15"/>
      <c r="VFK247" s="10"/>
      <c r="VFL247" s="10"/>
      <c r="VFM247" s="21"/>
      <c r="VFN247" s="21"/>
      <c r="VFQ247" s="21"/>
      <c r="VFR247" s="15"/>
      <c r="VFS247" s="15"/>
      <c r="VFT247" s="15"/>
      <c r="VFU247" s="15"/>
      <c r="VFV247" s="15"/>
      <c r="VFW247" s="15"/>
      <c r="VFX247" s="15"/>
      <c r="VFY247" s="15"/>
      <c r="VFZ247" s="15"/>
      <c r="VGA247" s="15"/>
      <c r="VGB247" s="10"/>
      <c r="VGC247" s="10"/>
      <c r="VGD247" s="21"/>
      <c r="VGE247" s="21"/>
      <c r="VGH247" s="21"/>
      <c r="VGI247" s="15"/>
      <c r="VGJ247" s="15"/>
      <c r="VGK247" s="15"/>
      <c r="VGL247" s="15"/>
      <c r="VGM247" s="15"/>
      <c r="VGN247" s="15"/>
      <c r="VGO247" s="15"/>
      <c r="VGP247" s="15"/>
      <c r="VGQ247" s="15"/>
      <c r="VGR247" s="15"/>
      <c r="VGS247" s="10"/>
      <c r="VGT247" s="10"/>
      <c r="VGU247" s="21"/>
      <c r="VGV247" s="21"/>
      <c r="VGY247" s="21"/>
      <c r="VGZ247" s="15"/>
      <c r="VHA247" s="15"/>
      <c r="VHB247" s="15"/>
      <c r="VHC247" s="15"/>
      <c r="VHD247" s="15"/>
      <c r="VHE247" s="15"/>
      <c r="VHF247" s="15"/>
      <c r="VHG247" s="15"/>
      <c r="VHH247" s="15"/>
      <c r="VHI247" s="15"/>
      <c r="VHJ247" s="10"/>
      <c r="VHK247" s="10"/>
      <c r="VHL247" s="21"/>
      <c r="VHM247" s="21"/>
      <c r="VHP247" s="21"/>
      <c r="VHQ247" s="15"/>
      <c r="VHR247" s="15"/>
      <c r="VHS247" s="15"/>
      <c r="VHT247" s="15"/>
      <c r="VHU247" s="15"/>
      <c r="VHV247" s="15"/>
      <c r="VHW247" s="15"/>
      <c r="VHX247" s="15"/>
      <c r="VHY247" s="15"/>
      <c r="VHZ247" s="15"/>
      <c r="VIA247" s="10"/>
      <c r="VIB247" s="10"/>
      <c r="VIC247" s="21"/>
      <c r="VID247" s="21"/>
      <c r="VIG247" s="21"/>
      <c r="VIH247" s="15"/>
      <c r="VII247" s="15"/>
      <c r="VIJ247" s="15"/>
      <c r="VIK247" s="15"/>
      <c r="VIL247" s="15"/>
      <c r="VIM247" s="15"/>
      <c r="VIN247" s="15"/>
      <c r="VIO247" s="15"/>
      <c r="VIP247" s="15"/>
      <c r="VIQ247" s="15"/>
      <c r="VIR247" s="10"/>
      <c r="VIS247" s="10"/>
      <c r="VIT247" s="21"/>
      <c r="VIU247" s="21"/>
      <c r="VIX247" s="21"/>
      <c r="VIY247" s="15"/>
      <c r="VIZ247" s="15"/>
      <c r="VJA247" s="15"/>
      <c r="VJB247" s="15"/>
      <c r="VJC247" s="15"/>
      <c r="VJD247" s="15"/>
      <c r="VJE247" s="15"/>
      <c r="VJF247" s="15"/>
      <c r="VJG247" s="15"/>
      <c r="VJH247" s="15"/>
      <c r="VJI247" s="10"/>
      <c r="VJJ247" s="10"/>
      <c r="VJK247" s="21"/>
      <c r="VJL247" s="21"/>
      <c r="VJO247" s="21"/>
      <c r="VJP247" s="15"/>
      <c r="VJQ247" s="15"/>
      <c r="VJR247" s="15"/>
      <c r="VJS247" s="15"/>
      <c r="VJT247" s="15"/>
      <c r="VJU247" s="15"/>
      <c r="VJV247" s="15"/>
      <c r="VJW247" s="15"/>
      <c r="VJX247" s="15"/>
      <c r="VJY247" s="15"/>
      <c r="VJZ247" s="10"/>
      <c r="VKA247" s="10"/>
      <c r="VKB247" s="21"/>
      <c r="VKC247" s="21"/>
      <c r="VKF247" s="21"/>
      <c r="VKG247" s="15"/>
      <c r="VKH247" s="15"/>
      <c r="VKI247" s="15"/>
      <c r="VKJ247" s="15"/>
      <c r="VKK247" s="15"/>
      <c r="VKL247" s="15"/>
      <c r="VKM247" s="15"/>
      <c r="VKN247" s="15"/>
      <c r="VKO247" s="15"/>
      <c r="VKP247" s="15"/>
      <c r="VKQ247" s="10"/>
      <c r="VKR247" s="10"/>
      <c r="VKS247" s="21"/>
      <c r="VKT247" s="21"/>
      <c r="VKW247" s="21"/>
      <c r="VKX247" s="15"/>
      <c r="VKY247" s="15"/>
      <c r="VKZ247" s="15"/>
      <c r="VLA247" s="15"/>
      <c r="VLB247" s="15"/>
      <c r="VLC247" s="15"/>
      <c r="VLD247" s="15"/>
      <c r="VLE247" s="15"/>
      <c r="VLF247" s="15"/>
      <c r="VLG247" s="15"/>
      <c r="VLH247" s="10"/>
      <c r="VLI247" s="10"/>
      <c r="VLJ247" s="21"/>
      <c r="VLK247" s="21"/>
      <c r="VLN247" s="21"/>
      <c r="VLO247" s="15"/>
      <c r="VLP247" s="15"/>
      <c r="VLQ247" s="15"/>
      <c r="VLR247" s="15"/>
      <c r="VLS247" s="15"/>
      <c r="VLT247" s="15"/>
      <c r="VLU247" s="15"/>
      <c r="VLV247" s="15"/>
      <c r="VLW247" s="15"/>
      <c r="VLX247" s="15"/>
      <c r="VLY247" s="10"/>
      <c r="VLZ247" s="10"/>
      <c r="VMA247" s="21"/>
      <c r="VMB247" s="21"/>
      <c r="VME247" s="21"/>
      <c r="VMF247" s="15"/>
      <c r="VMG247" s="15"/>
      <c r="VMH247" s="15"/>
      <c r="VMI247" s="15"/>
      <c r="VMJ247" s="15"/>
      <c r="VMK247" s="15"/>
      <c r="VML247" s="15"/>
      <c r="VMM247" s="15"/>
      <c r="VMN247" s="15"/>
      <c r="VMO247" s="15"/>
      <c r="VMP247" s="10"/>
      <c r="VMQ247" s="10"/>
      <c r="VMR247" s="21"/>
      <c r="VMS247" s="21"/>
      <c r="VMV247" s="21"/>
      <c r="VMW247" s="15"/>
      <c r="VMX247" s="15"/>
      <c r="VMY247" s="15"/>
      <c r="VMZ247" s="15"/>
      <c r="VNA247" s="15"/>
      <c r="VNB247" s="15"/>
      <c r="VNC247" s="15"/>
      <c r="VND247" s="15"/>
      <c r="VNE247" s="15"/>
      <c r="VNF247" s="15"/>
      <c r="VNG247" s="10"/>
      <c r="VNH247" s="10"/>
      <c r="VNI247" s="21"/>
      <c r="VNJ247" s="21"/>
      <c r="VNM247" s="21"/>
      <c r="VNN247" s="15"/>
      <c r="VNO247" s="15"/>
      <c r="VNP247" s="15"/>
      <c r="VNQ247" s="15"/>
      <c r="VNR247" s="15"/>
      <c r="VNS247" s="15"/>
      <c r="VNT247" s="15"/>
      <c r="VNU247" s="15"/>
      <c r="VNV247" s="15"/>
      <c r="VNW247" s="15"/>
      <c r="VNX247" s="10"/>
      <c r="VNY247" s="10"/>
      <c r="VNZ247" s="21"/>
      <c r="VOA247" s="21"/>
      <c r="VOD247" s="21"/>
      <c r="VOE247" s="15"/>
      <c r="VOF247" s="15"/>
      <c r="VOG247" s="15"/>
      <c r="VOH247" s="15"/>
      <c r="VOI247" s="15"/>
      <c r="VOJ247" s="15"/>
      <c r="VOK247" s="15"/>
      <c r="VOL247" s="15"/>
      <c r="VOM247" s="15"/>
      <c r="VON247" s="15"/>
      <c r="VOO247" s="10"/>
      <c r="VOP247" s="10"/>
      <c r="VOQ247" s="21"/>
      <c r="VOR247" s="21"/>
      <c r="VOU247" s="21"/>
      <c r="VOV247" s="15"/>
      <c r="VOW247" s="15"/>
      <c r="VOX247" s="15"/>
      <c r="VOY247" s="15"/>
      <c r="VOZ247" s="15"/>
      <c r="VPA247" s="15"/>
      <c r="VPB247" s="15"/>
      <c r="VPC247" s="15"/>
      <c r="VPD247" s="15"/>
      <c r="VPE247" s="15"/>
      <c r="VPF247" s="10"/>
      <c r="VPG247" s="10"/>
      <c r="VPH247" s="21"/>
      <c r="VPI247" s="21"/>
      <c r="VPL247" s="21"/>
      <c r="VPM247" s="15"/>
      <c r="VPN247" s="15"/>
      <c r="VPO247" s="15"/>
      <c r="VPP247" s="15"/>
      <c r="VPQ247" s="15"/>
      <c r="VPR247" s="15"/>
      <c r="VPS247" s="15"/>
      <c r="VPT247" s="15"/>
      <c r="VPU247" s="15"/>
      <c r="VPV247" s="15"/>
      <c r="VPW247" s="10"/>
      <c r="VPX247" s="10"/>
      <c r="VPY247" s="21"/>
      <c r="VPZ247" s="21"/>
      <c r="VQC247" s="21"/>
      <c r="VQD247" s="15"/>
      <c r="VQE247" s="15"/>
      <c r="VQF247" s="15"/>
      <c r="VQG247" s="15"/>
      <c r="VQH247" s="15"/>
      <c r="VQI247" s="15"/>
      <c r="VQJ247" s="15"/>
      <c r="VQK247" s="15"/>
      <c r="VQL247" s="15"/>
      <c r="VQM247" s="15"/>
      <c r="VQN247" s="10"/>
      <c r="VQO247" s="10"/>
      <c r="VQP247" s="21"/>
      <c r="VQQ247" s="21"/>
      <c r="VQT247" s="21"/>
      <c r="VQU247" s="15"/>
      <c r="VQV247" s="15"/>
      <c r="VQW247" s="15"/>
      <c r="VQX247" s="15"/>
      <c r="VQY247" s="15"/>
      <c r="VQZ247" s="15"/>
      <c r="VRA247" s="15"/>
      <c r="VRB247" s="15"/>
      <c r="VRC247" s="15"/>
      <c r="VRD247" s="15"/>
      <c r="VRE247" s="10"/>
      <c r="VRF247" s="10"/>
      <c r="VRG247" s="21"/>
      <c r="VRH247" s="21"/>
      <c r="VRK247" s="21"/>
      <c r="VRL247" s="15"/>
      <c r="VRM247" s="15"/>
      <c r="VRN247" s="15"/>
      <c r="VRO247" s="15"/>
      <c r="VRP247" s="15"/>
      <c r="VRQ247" s="15"/>
      <c r="VRR247" s="15"/>
      <c r="VRS247" s="15"/>
      <c r="VRT247" s="15"/>
      <c r="VRU247" s="15"/>
      <c r="VRV247" s="10"/>
      <c r="VRW247" s="10"/>
      <c r="VRX247" s="21"/>
      <c r="VRY247" s="21"/>
      <c r="VSB247" s="21"/>
      <c r="VSC247" s="15"/>
      <c r="VSD247" s="15"/>
      <c r="VSE247" s="15"/>
      <c r="VSF247" s="15"/>
      <c r="VSG247" s="15"/>
      <c r="VSH247" s="15"/>
      <c r="VSI247" s="15"/>
      <c r="VSJ247" s="15"/>
      <c r="VSK247" s="15"/>
      <c r="VSL247" s="15"/>
      <c r="VSM247" s="10"/>
      <c r="VSN247" s="10"/>
      <c r="VSO247" s="21"/>
      <c r="VSP247" s="21"/>
      <c r="VSS247" s="21"/>
      <c r="VST247" s="15"/>
      <c r="VSU247" s="15"/>
      <c r="VSV247" s="15"/>
      <c r="VSW247" s="15"/>
      <c r="VSX247" s="15"/>
      <c r="VSY247" s="15"/>
      <c r="VSZ247" s="15"/>
      <c r="VTA247" s="15"/>
      <c r="VTB247" s="15"/>
      <c r="VTC247" s="15"/>
      <c r="VTD247" s="10"/>
      <c r="VTE247" s="10"/>
      <c r="VTF247" s="21"/>
      <c r="VTG247" s="21"/>
      <c r="VTJ247" s="21"/>
      <c r="VTK247" s="15"/>
      <c r="VTL247" s="15"/>
      <c r="VTM247" s="15"/>
      <c r="VTN247" s="15"/>
      <c r="VTO247" s="15"/>
      <c r="VTP247" s="15"/>
      <c r="VTQ247" s="15"/>
      <c r="VTR247" s="15"/>
      <c r="VTS247" s="15"/>
      <c r="VTT247" s="15"/>
      <c r="VTU247" s="10"/>
      <c r="VTV247" s="10"/>
      <c r="VTW247" s="21"/>
      <c r="VTX247" s="21"/>
      <c r="VUA247" s="21"/>
      <c r="VUB247" s="15"/>
      <c r="VUC247" s="15"/>
      <c r="VUD247" s="15"/>
      <c r="VUE247" s="15"/>
      <c r="VUF247" s="15"/>
      <c r="VUG247" s="15"/>
      <c r="VUH247" s="15"/>
      <c r="VUI247" s="15"/>
      <c r="VUJ247" s="15"/>
      <c r="VUK247" s="15"/>
      <c r="VUL247" s="10"/>
      <c r="VUM247" s="10"/>
      <c r="VUN247" s="21"/>
      <c r="VUO247" s="21"/>
      <c r="VUR247" s="21"/>
      <c r="VUS247" s="15"/>
      <c r="VUT247" s="15"/>
      <c r="VUU247" s="15"/>
      <c r="VUV247" s="15"/>
      <c r="VUW247" s="15"/>
      <c r="VUX247" s="15"/>
      <c r="VUY247" s="15"/>
      <c r="VUZ247" s="15"/>
      <c r="VVA247" s="15"/>
      <c r="VVB247" s="15"/>
      <c r="VVC247" s="10"/>
      <c r="VVD247" s="10"/>
      <c r="VVE247" s="21"/>
      <c r="VVF247" s="21"/>
      <c r="VVI247" s="21"/>
      <c r="VVJ247" s="15"/>
      <c r="VVK247" s="15"/>
      <c r="VVL247" s="15"/>
      <c r="VVM247" s="15"/>
      <c r="VVN247" s="15"/>
      <c r="VVO247" s="15"/>
      <c r="VVP247" s="15"/>
      <c r="VVQ247" s="15"/>
      <c r="VVR247" s="15"/>
      <c r="VVS247" s="15"/>
      <c r="VVT247" s="10"/>
      <c r="VVU247" s="10"/>
      <c r="VVV247" s="21"/>
      <c r="VVW247" s="21"/>
      <c r="VVZ247" s="21"/>
      <c r="VWA247" s="15"/>
      <c r="VWB247" s="15"/>
      <c r="VWC247" s="15"/>
      <c r="VWD247" s="15"/>
      <c r="VWE247" s="15"/>
      <c r="VWF247" s="15"/>
      <c r="VWG247" s="15"/>
      <c r="VWH247" s="15"/>
      <c r="VWI247" s="15"/>
      <c r="VWJ247" s="15"/>
      <c r="VWK247" s="10"/>
      <c r="VWL247" s="10"/>
      <c r="VWM247" s="21"/>
      <c r="VWN247" s="21"/>
      <c r="VWQ247" s="21"/>
      <c r="VWR247" s="15"/>
      <c r="VWS247" s="15"/>
      <c r="VWT247" s="15"/>
      <c r="VWU247" s="15"/>
      <c r="VWV247" s="15"/>
      <c r="VWW247" s="15"/>
      <c r="VWX247" s="15"/>
      <c r="VWY247" s="15"/>
      <c r="VWZ247" s="15"/>
      <c r="VXA247" s="15"/>
      <c r="VXB247" s="10"/>
      <c r="VXC247" s="10"/>
      <c r="VXD247" s="21"/>
      <c r="VXE247" s="21"/>
      <c r="VXH247" s="21"/>
      <c r="VXI247" s="15"/>
      <c r="VXJ247" s="15"/>
      <c r="VXK247" s="15"/>
      <c r="VXL247" s="15"/>
      <c r="VXM247" s="15"/>
      <c r="VXN247" s="15"/>
      <c r="VXO247" s="15"/>
      <c r="VXP247" s="15"/>
      <c r="VXQ247" s="15"/>
      <c r="VXR247" s="15"/>
      <c r="VXS247" s="10"/>
      <c r="VXT247" s="10"/>
      <c r="VXU247" s="21"/>
      <c r="VXV247" s="21"/>
      <c r="VXY247" s="21"/>
      <c r="VXZ247" s="15"/>
      <c r="VYA247" s="15"/>
      <c r="VYB247" s="15"/>
      <c r="VYC247" s="15"/>
      <c r="VYD247" s="15"/>
      <c r="VYE247" s="15"/>
      <c r="VYF247" s="15"/>
      <c r="VYG247" s="15"/>
      <c r="VYH247" s="15"/>
      <c r="VYI247" s="15"/>
      <c r="VYJ247" s="10"/>
      <c r="VYK247" s="10"/>
      <c r="VYL247" s="21"/>
      <c r="VYM247" s="21"/>
      <c r="VYP247" s="21"/>
      <c r="VYQ247" s="15"/>
      <c r="VYR247" s="15"/>
      <c r="VYS247" s="15"/>
      <c r="VYT247" s="15"/>
      <c r="VYU247" s="15"/>
      <c r="VYV247" s="15"/>
      <c r="VYW247" s="15"/>
      <c r="VYX247" s="15"/>
      <c r="VYY247" s="15"/>
      <c r="VYZ247" s="15"/>
      <c r="VZA247" s="10"/>
      <c r="VZB247" s="10"/>
      <c r="VZC247" s="21"/>
      <c r="VZD247" s="21"/>
      <c r="VZG247" s="21"/>
      <c r="VZH247" s="15"/>
      <c r="VZI247" s="15"/>
      <c r="VZJ247" s="15"/>
      <c r="VZK247" s="15"/>
      <c r="VZL247" s="15"/>
      <c r="VZM247" s="15"/>
      <c r="VZN247" s="15"/>
      <c r="VZO247" s="15"/>
      <c r="VZP247" s="15"/>
      <c r="VZQ247" s="15"/>
      <c r="VZR247" s="10"/>
      <c r="VZS247" s="10"/>
      <c r="VZT247" s="21"/>
      <c r="VZU247" s="21"/>
      <c r="VZX247" s="21"/>
      <c r="VZY247" s="15"/>
      <c r="VZZ247" s="15"/>
      <c r="WAA247" s="15"/>
      <c r="WAB247" s="15"/>
      <c r="WAC247" s="15"/>
      <c r="WAD247" s="15"/>
      <c r="WAE247" s="15"/>
      <c r="WAF247" s="15"/>
      <c r="WAG247" s="15"/>
      <c r="WAH247" s="15"/>
      <c r="WAI247" s="10"/>
      <c r="WAJ247" s="10"/>
      <c r="WAK247" s="21"/>
      <c r="WAL247" s="21"/>
      <c r="WAO247" s="21"/>
      <c r="WAP247" s="15"/>
      <c r="WAQ247" s="15"/>
      <c r="WAR247" s="15"/>
      <c r="WAS247" s="15"/>
      <c r="WAT247" s="15"/>
      <c r="WAU247" s="15"/>
      <c r="WAV247" s="15"/>
      <c r="WAW247" s="15"/>
      <c r="WAX247" s="15"/>
      <c r="WAY247" s="15"/>
      <c r="WAZ247" s="10"/>
      <c r="WBA247" s="10"/>
      <c r="WBB247" s="21"/>
      <c r="WBC247" s="21"/>
      <c r="WBF247" s="21"/>
      <c r="WBG247" s="15"/>
      <c r="WBH247" s="15"/>
      <c r="WBI247" s="15"/>
      <c r="WBJ247" s="15"/>
      <c r="WBK247" s="15"/>
      <c r="WBL247" s="15"/>
      <c r="WBM247" s="15"/>
      <c r="WBN247" s="15"/>
      <c r="WBO247" s="15"/>
      <c r="WBP247" s="15"/>
      <c r="WBQ247" s="10"/>
      <c r="WBR247" s="10"/>
      <c r="WBS247" s="21"/>
      <c r="WBT247" s="21"/>
      <c r="WBW247" s="21"/>
      <c r="WBX247" s="15"/>
      <c r="WBY247" s="15"/>
      <c r="WBZ247" s="15"/>
      <c r="WCA247" s="15"/>
      <c r="WCB247" s="15"/>
      <c r="WCC247" s="15"/>
      <c r="WCD247" s="15"/>
      <c r="WCE247" s="15"/>
      <c r="WCF247" s="15"/>
      <c r="WCG247" s="15"/>
      <c r="WCH247" s="10"/>
      <c r="WCI247" s="10"/>
      <c r="WCJ247" s="21"/>
      <c r="WCK247" s="21"/>
      <c r="WCN247" s="21"/>
      <c r="WCO247" s="15"/>
      <c r="WCP247" s="15"/>
      <c r="WCQ247" s="15"/>
      <c r="WCR247" s="15"/>
      <c r="WCS247" s="15"/>
      <c r="WCT247" s="15"/>
      <c r="WCU247" s="15"/>
      <c r="WCV247" s="15"/>
      <c r="WCW247" s="15"/>
      <c r="WCX247" s="15"/>
      <c r="WCY247" s="10"/>
      <c r="WCZ247" s="10"/>
      <c r="WDA247" s="21"/>
      <c r="WDB247" s="21"/>
      <c r="WDE247" s="21"/>
      <c r="WDF247" s="15"/>
      <c r="WDG247" s="15"/>
      <c r="WDH247" s="15"/>
      <c r="WDI247" s="15"/>
      <c r="WDJ247" s="15"/>
      <c r="WDK247" s="15"/>
      <c r="WDL247" s="15"/>
      <c r="WDM247" s="15"/>
      <c r="WDN247" s="15"/>
      <c r="WDO247" s="15"/>
      <c r="WDP247" s="10"/>
      <c r="WDQ247" s="10"/>
      <c r="WDR247" s="21"/>
      <c r="WDS247" s="21"/>
      <c r="WDV247" s="21"/>
      <c r="WDW247" s="15"/>
      <c r="WDX247" s="15"/>
      <c r="WDY247" s="15"/>
      <c r="WDZ247" s="15"/>
      <c r="WEA247" s="15"/>
      <c r="WEB247" s="15"/>
      <c r="WEC247" s="15"/>
      <c r="WED247" s="15"/>
      <c r="WEE247" s="15"/>
      <c r="WEF247" s="15"/>
      <c r="WEG247" s="10"/>
      <c r="WEH247" s="10"/>
      <c r="WEI247" s="21"/>
      <c r="WEJ247" s="21"/>
      <c r="WEM247" s="21"/>
      <c r="WEN247" s="15"/>
      <c r="WEO247" s="15"/>
      <c r="WEP247" s="15"/>
      <c r="WEQ247" s="15"/>
      <c r="WER247" s="15"/>
      <c r="WES247" s="15"/>
      <c r="WET247" s="15"/>
      <c r="WEU247" s="15"/>
      <c r="WEV247" s="15"/>
      <c r="WEW247" s="15"/>
      <c r="WEX247" s="10"/>
      <c r="WEY247" s="10"/>
      <c r="WEZ247" s="21"/>
      <c r="WFA247" s="21"/>
      <c r="WFD247" s="21"/>
      <c r="WFE247" s="15"/>
      <c r="WFF247" s="15"/>
      <c r="WFG247" s="15"/>
      <c r="WFH247" s="15"/>
      <c r="WFI247" s="15"/>
      <c r="WFJ247" s="15"/>
      <c r="WFK247" s="15"/>
      <c r="WFL247" s="15"/>
      <c r="WFM247" s="15"/>
      <c r="WFN247" s="15"/>
      <c r="WFO247" s="10"/>
      <c r="WFP247" s="10"/>
      <c r="WFQ247" s="21"/>
      <c r="WFR247" s="21"/>
      <c r="WFU247" s="21"/>
      <c r="WFV247" s="15"/>
      <c r="WFW247" s="15"/>
      <c r="WFX247" s="15"/>
      <c r="WFY247" s="15"/>
      <c r="WFZ247" s="15"/>
      <c r="WGA247" s="15"/>
      <c r="WGB247" s="15"/>
      <c r="WGC247" s="15"/>
      <c r="WGD247" s="15"/>
      <c r="WGE247" s="15"/>
      <c r="WGF247" s="10"/>
      <c r="WGG247" s="10"/>
      <c r="WGH247" s="21"/>
      <c r="WGI247" s="21"/>
      <c r="WGL247" s="21"/>
      <c r="WGM247" s="15"/>
      <c r="WGN247" s="15"/>
      <c r="WGO247" s="15"/>
      <c r="WGP247" s="15"/>
      <c r="WGQ247" s="15"/>
      <c r="WGR247" s="15"/>
      <c r="WGS247" s="15"/>
      <c r="WGT247" s="15"/>
      <c r="WGU247" s="15"/>
      <c r="WGV247" s="15"/>
      <c r="WGW247" s="10"/>
      <c r="WGX247" s="10"/>
      <c r="WGY247" s="21"/>
      <c r="WGZ247" s="21"/>
      <c r="WHC247" s="21"/>
      <c r="WHD247" s="15"/>
      <c r="WHE247" s="15"/>
      <c r="WHF247" s="15"/>
      <c r="WHG247" s="15"/>
      <c r="WHH247" s="15"/>
      <c r="WHI247" s="15"/>
      <c r="WHJ247" s="15"/>
      <c r="WHK247" s="15"/>
      <c r="WHL247" s="15"/>
      <c r="WHM247" s="15"/>
      <c r="WHN247" s="10"/>
      <c r="WHO247" s="10"/>
      <c r="WHP247" s="21"/>
      <c r="WHQ247" s="21"/>
      <c r="WHT247" s="21"/>
      <c r="WHU247" s="15"/>
      <c r="WHV247" s="15"/>
      <c r="WHW247" s="15"/>
      <c r="WHX247" s="15"/>
      <c r="WHY247" s="15"/>
      <c r="WHZ247" s="15"/>
      <c r="WIA247" s="15"/>
      <c r="WIB247" s="15"/>
      <c r="WIC247" s="15"/>
      <c r="WID247" s="15"/>
      <c r="WIE247" s="10"/>
      <c r="WIF247" s="10"/>
      <c r="WIG247" s="21"/>
      <c r="WIH247" s="21"/>
      <c r="WIK247" s="21"/>
      <c r="WIL247" s="15"/>
      <c r="WIM247" s="15"/>
      <c r="WIN247" s="15"/>
      <c r="WIO247" s="15"/>
      <c r="WIP247" s="15"/>
      <c r="WIQ247" s="15"/>
      <c r="WIR247" s="15"/>
      <c r="WIS247" s="15"/>
      <c r="WIT247" s="15"/>
      <c r="WIU247" s="15"/>
      <c r="WIV247" s="10"/>
      <c r="WIW247" s="10"/>
      <c r="WIX247" s="21"/>
      <c r="WIY247" s="21"/>
      <c r="WJB247" s="21"/>
      <c r="WJC247" s="15"/>
      <c r="WJD247" s="15"/>
      <c r="WJE247" s="15"/>
      <c r="WJF247" s="15"/>
      <c r="WJG247" s="15"/>
      <c r="WJH247" s="15"/>
      <c r="WJI247" s="15"/>
      <c r="WJJ247" s="15"/>
      <c r="WJK247" s="15"/>
      <c r="WJL247" s="15"/>
      <c r="WJM247" s="10"/>
      <c r="WJN247" s="10"/>
      <c r="WJO247" s="21"/>
      <c r="WJP247" s="21"/>
      <c r="WJS247" s="21"/>
      <c r="WJT247" s="15"/>
      <c r="WJU247" s="15"/>
      <c r="WJV247" s="15"/>
      <c r="WJW247" s="15"/>
      <c r="WJX247" s="15"/>
      <c r="WJY247" s="15"/>
      <c r="WJZ247" s="15"/>
      <c r="WKA247" s="15"/>
      <c r="WKB247" s="15"/>
      <c r="WKC247" s="15"/>
      <c r="WKD247" s="10"/>
      <c r="WKE247" s="10"/>
      <c r="WKF247" s="21"/>
      <c r="WKG247" s="21"/>
      <c r="WKJ247" s="21"/>
      <c r="WKK247" s="15"/>
      <c r="WKL247" s="15"/>
      <c r="WKM247" s="15"/>
      <c r="WKN247" s="15"/>
      <c r="WKO247" s="15"/>
      <c r="WKP247" s="15"/>
      <c r="WKQ247" s="15"/>
      <c r="WKR247" s="15"/>
      <c r="WKS247" s="15"/>
      <c r="WKT247" s="15"/>
      <c r="WKU247" s="10"/>
      <c r="WKV247" s="10"/>
      <c r="WKW247" s="21"/>
      <c r="WKX247" s="21"/>
      <c r="WLA247" s="21"/>
      <c r="WLB247" s="15"/>
      <c r="WLC247" s="15"/>
      <c r="WLD247" s="15"/>
      <c r="WLE247" s="15"/>
      <c r="WLF247" s="15"/>
      <c r="WLG247" s="15"/>
      <c r="WLH247" s="15"/>
      <c r="WLI247" s="15"/>
      <c r="WLJ247" s="15"/>
      <c r="WLK247" s="15"/>
      <c r="WLL247" s="10"/>
      <c r="WLM247" s="10"/>
      <c r="WLN247" s="21"/>
      <c r="WLO247" s="21"/>
      <c r="WLR247" s="21"/>
      <c r="WLS247" s="15"/>
      <c r="WLT247" s="15"/>
      <c r="WLU247" s="15"/>
      <c r="WLV247" s="15"/>
      <c r="WLW247" s="15"/>
      <c r="WLX247" s="15"/>
      <c r="WLY247" s="15"/>
      <c r="WLZ247" s="15"/>
      <c r="WMA247" s="15"/>
      <c r="WMB247" s="15"/>
      <c r="WMC247" s="10"/>
      <c r="WMD247" s="10"/>
      <c r="WME247" s="21"/>
      <c r="WMF247" s="21"/>
      <c r="WMI247" s="21"/>
      <c r="WMJ247" s="15"/>
      <c r="WMK247" s="15"/>
      <c r="WML247" s="15"/>
      <c r="WMM247" s="15"/>
      <c r="WMN247" s="15"/>
      <c r="WMO247" s="15"/>
      <c r="WMP247" s="15"/>
      <c r="WMQ247" s="15"/>
      <c r="WMR247" s="15"/>
      <c r="WMS247" s="15"/>
      <c r="WMT247" s="10"/>
      <c r="WMU247" s="10"/>
      <c r="WMV247" s="21"/>
      <c r="WMW247" s="21"/>
      <c r="WMZ247" s="21"/>
      <c r="WNA247" s="15"/>
      <c r="WNB247" s="15"/>
      <c r="WNC247" s="15"/>
      <c r="WND247" s="15"/>
      <c r="WNE247" s="15"/>
      <c r="WNF247" s="15"/>
      <c r="WNG247" s="15"/>
      <c r="WNH247" s="15"/>
      <c r="WNI247" s="15"/>
      <c r="WNJ247" s="15"/>
      <c r="WNK247" s="10"/>
      <c r="WNL247" s="10"/>
      <c r="WNM247" s="21"/>
      <c r="WNN247" s="21"/>
      <c r="WNQ247" s="21"/>
      <c r="WNR247" s="15"/>
      <c r="WNS247" s="15"/>
      <c r="WNT247" s="15"/>
      <c r="WNU247" s="15"/>
      <c r="WNV247" s="15"/>
      <c r="WNW247" s="15"/>
      <c r="WNX247" s="15"/>
      <c r="WNY247" s="15"/>
      <c r="WNZ247" s="15"/>
      <c r="WOA247" s="15"/>
      <c r="WOB247" s="10"/>
      <c r="WOC247" s="10"/>
      <c r="WOD247" s="21"/>
      <c r="WOE247" s="21"/>
      <c r="WOH247" s="21"/>
      <c r="WOI247" s="15"/>
      <c r="WOJ247" s="15"/>
      <c r="WOK247" s="15"/>
      <c r="WOL247" s="15"/>
      <c r="WOM247" s="15"/>
      <c r="WON247" s="15"/>
      <c r="WOO247" s="15"/>
      <c r="WOP247" s="15"/>
      <c r="WOQ247" s="15"/>
      <c r="WOR247" s="15"/>
      <c r="WOS247" s="10"/>
      <c r="WOT247" s="10"/>
      <c r="WOU247" s="21"/>
      <c r="WOV247" s="21"/>
      <c r="WOY247" s="21"/>
      <c r="WOZ247" s="15"/>
      <c r="WPA247" s="15"/>
      <c r="WPB247" s="15"/>
      <c r="WPC247" s="15"/>
      <c r="WPD247" s="15"/>
      <c r="WPE247" s="15"/>
      <c r="WPF247" s="15"/>
      <c r="WPG247" s="15"/>
      <c r="WPH247" s="15"/>
      <c r="WPI247" s="15"/>
      <c r="WPJ247" s="10"/>
      <c r="WPK247" s="10"/>
      <c r="WPL247" s="21"/>
      <c r="WPM247" s="21"/>
      <c r="WPP247" s="21"/>
      <c r="WPQ247" s="15"/>
      <c r="WPR247" s="15"/>
      <c r="WPS247" s="15"/>
      <c r="WPT247" s="15"/>
      <c r="WPU247" s="15"/>
      <c r="WPV247" s="15"/>
      <c r="WPW247" s="15"/>
      <c r="WPX247" s="15"/>
      <c r="WPY247" s="15"/>
      <c r="WPZ247" s="15"/>
      <c r="WQA247" s="10"/>
      <c r="WQB247" s="10"/>
      <c r="WQC247" s="21"/>
      <c r="WQD247" s="21"/>
      <c r="WQG247" s="21"/>
      <c r="WQH247" s="15"/>
      <c r="WQI247" s="15"/>
      <c r="WQJ247" s="15"/>
      <c r="WQK247" s="15"/>
      <c r="WQL247" s="15"/>
      <c r="WQM247" s="15"/>
      <c r="WQN247" s="15"/>
      <c r="WQO247" s="15"/>
      <c r="WQP247" s="15"/>
      <c r="WQQ247" s="15"/>
      <c r="WQR247" s="10"/>
      <c r="WQS247" s="10"/>
      <c r="WQT247" s="21"/>
      <c r="WQU247" s="21"/>
      <c r="WQX247" s="21"/>
      <c r="WQY247" s="15"/>
      <c r="WQZ247" s="15"/>
      <c r="WRA247" s="15"/>
      <c r="WRB247" s="15"/>
      <c r="WRC247" s="15"/>
      <c r="WRD247" s="15"/>
      <c r="WRE247" s="15"/>
      <c r="WRF247" s="15"/>
      <c r="WRG247" s="15"/>
      <c r="WRH247" s="15"/>
      <c r="WRI247" s="10"/>
      <c r="WRJ247" s="10"/>
      <c r="WRK247" s="21"/>
      <c r="WRL247" s="21"/>
      <c r="WRO247" s="21"/>
      <c r="WRP247" s="15"/>
      <c r="WRQ247" s="15"/>
      <c r="WRR247" s="15"/>
      <c r="WRS247" s="15"/>
      <c r="WRT247" s="15"/>
      <c r="WRU247" s="15"/>
      <c r="WRV247" s="15"/>
      <c r="WRW247" s="15"/>
      <c r="WRX247" s="15"/>
      <c r="WRY247" s="15"/>
      <c r="WRZ247" s="10"/>
      <c r="WSA247" s="10"/>
      <c r="WSB247" s="21"/>
      <c r="WSC247" s="21"/>
      <c r="WSF247" s="21"/>
      <c r="WSG247" s="15"/>
      <c r="WSH247" s="15"/>
      <c r="WSI247" s="15"/>
      <c r="WSJ247" s="15"/>
      <c r="WSK247" s="15"/>
      <c r="WSL247" s="15"/>
      <c r="WSM247" s="15"/>
      <c r="WSN247" s="15"/>
      <c r="WSO247" s="15"/>
      <c r="WSP247" s="15"/>
      <c r="WSQ247" s="10"/>
      <c r="WSR247" s="10"/>
      <c r="WSS247" s="21"/>
      <c r="WST247" s="21"/>
      <c r="WSW247" s="21"/>
      <c r="WSX247" s="15"/>
      <c r="WSY247" s="15"/>
      <c r="WSZ247" s="15"/>
      <c r="WTA247" s="15"/>
      <c r="WTB247" s="15"/>
      <c r="WTC247" s="15"/>
      <c r="WTD247" s="15"/>
      <c r="WTE247" s="15"/>
      <c r="WTF247" s="15"/>
      <c r="WTG247" s="15"/>
      <c r="WTH247" s="10"/>
      <c r="WTI247" s="10"/>
      <c r="WTJ247" s="21"/>
      <c r="WTK247" s="21"/>
      <c r="WTN247" s="21"/>
      <c r="WTO247" s="15"/>
      <c r="WTP247" s="15"/>
      <c r="WTQ247" s="15"/>
      <c r="WTR247" s="15"/>
      <c r="WTS247" s="15"/>
      <c r="WTT247" s="15"/>
      <c r="WTU247" s="15"/>
      <c r="WTV247" s="15"/>
      <c r="WTW247" s="15"/>
      <c r="WTX247" s="15"/>
      <c r="WTY247" s="10"/>
      <c r="WTZ247" s="10"/>
      <c r="WUA247" s="21"/>
      <c r="WUB247" s="21"/>
      <c r="WUE247" s="21"/>
      <c r="WUF247" s="15"/>
      <c r="WUG247" s="15"/>
      <c r="WUH247" s="15"/>
      <c r="WUI247" s="15"/>
      <c r="WUJ247" s="15"/>
      <c r="WUK247" s="15"/>
      <c r="WUL247" s="15"/>
      <c r="WUM247" s="15"/>
      <c r="WUN247" s="15"/>
      <c r="WUO247" s="15"/>
      <c r="WUP247" s="10"/>
      <c r="WUQ247" s="10"/>
      <c r="WUR247" s="21"/>
      <c r="WUS247" s="21"/>
      <c r="WUV247" s="21"/>
      <c r="WUW247" s="15"/>
      <c r="WUX247" s="15"/>
      <c r="WUY247" s="15"/>
      <c r="WUZ247" s="15"/>
      <c r="WVA247" s="15"/>
      <c r="WVB247" s="15"/>
      <c r="WVC247" s="15"/>
      <c r="WVD247" s="15"/>
      <c r="WVE247" s="15"/>
      <c r="WVF247" s="15"/>
      <c r="WVG247" s="10"/>
      <c r="WVH247" s="10"/>
      <c r="WVI247" s="21"/>
      <c r="WVJ247" s="21"/>
      <c r="WVM247" s="21"/>
      <c r="WVN247" s="15"/>
      <c r="WVO247" s="15"/>
      <c r="WVP247" s="15"/>
      <c r="WVQ247" s="15"/>
      <c r="WVR247" s="15"/>
      <c r="WVS247" s="15"/>
      <c r="WVT247" s="15"/>
      <c r="WVU247" s="15"/>
      <c r="WVV247" s="15"/>
      <c r="WVW247" s="15"/>
      <c r="WVX247" s="10"/>
      <c r="WVY247" s="10"/>
      <c r="WVZ247" s="21"/>
      <c r="WWA247" s="21"/>
      <c r="WWD247" s="21"/>
      <c r="WWE247" s="15"/>
      <c r="WWF247" s="15"/>
      <c r="WWG247" s="15"/>
      <c r="WWH247" s="15"/>
      <c r="WWI247" s="15"/>
      <c r="WWJ247" s="15"/>
      <c r="WWK247" s="15"/>
      <c r="WWL247" s="15"/>
      <c r="WWM247" s="15"/>
      <c r="WWN247" s="15"/>
      <c r="WWO247" s="10"/>
      <c r="WWP247" s="10"/>
      <c r="WWQ247" s="21"/>
      <c r="WWR247" s="21"/>
      <c r="WWU247" s="21"/>
      <c r="WWV247" s="15"/>
      <c r="WWW247" s="15"/>
      <c r="WWX247" s="15"/>
      <c r="WWY247" s="15"/>
      <c r="WWZ247" s="15"/>
      <c r="WXA247" s="15"/>
      <c r="WXB247" s="15"/>
      <c r="WXC247" s="15"/>
      <c r="WXD247" s="15"/>
      <c r="WXE247" s="15"/>
      <c r="WXF247" s="10"/>
      <c r="WXG247" s="10"/>
      <c r="WXH247" s="21"/>
      <c r="WXI247" s="21"/>
      <c r="WXL247" s="21"/>
      <c r="WXM247" s="15"/>
      <c r="WXN247" s="15"/>
      <c r="WXO247" s="15"/>
      <c r="WXP247" s="15"/>
      <c r="WXQ247" s="15"/>
      <c r="WXR247" s="15"/>
      <c r="WXS247" s="15"/>
      <c r="WXT247" s="15"/>
      <c r="WXU247" s="15"/>
      <c r="WXV247" s="15"/>
      <c r="WXW247" s="10"/>
      <c r="WXX247" s="10"/>
      <c r="WXY247" s="21"/>
      <c r="WXZ247" s="21"/>
      <c r="WYC247" s="21"/>
      <c r="WYD247" s="15"/>
      <c r="WYE247" s="15"/>
      <c r="WYF247" s="15"/>
      <c r="WYG247" s="15"/>
      <c r="WYH247" s="15"/>
      <c r="WYI247" s="15"/>
      <c r="WYJ247" s="15"/>
      <c r="WYK247" s="15"/>
      <c r="WYL247" s="15"/>
      <c r="WYM247" s="15"/>
      <c r="WYN247" s="10"/>
      <c r="WYO247" s="10"/>
      <c r="WYP247" s="21"/>
      <c r="WYQ247" s="21"/>
      <c r="WYT247" s="21"/>
      <c r="WYU247" s="15"/>
      <c r="WYV247" s="15"/>
      <c r="WYW247" s="15"/>
      <c r="WYX247" s="15"/>
      <c r="WYY247" s="15"/>
      <c r="WYZ247" s="15"/>
      <c r="WZA247" s="15"/>
      <c r="WZB247" s="15"/>
      <c r="WZC247" s="15"/>
      <c r="WZD247" s="15"/>
      <c r="WZE247" s="10"/>
      <c r="WZF247" s="10"/>
      <c r="WZG247" s="21"/>
      <c r="WZH247" s="21"/>
      <c r="WZK247" s="21"/>
      <c r="WZL247" s="15"/>
      <c r="WZM247" s="15"/>
      <c r="WZN247" s="15"/>
      <c r="WZO247" s="15"/>
      <c r="WZP247" s="15"/>
      <c r="WZQ247" s="15"/>
      <c r="WZR247" s="15"/>
      <c r="WZS247" s="15"/>
      <c r="WZT247" s="15"/>
      <c r="WZU247" s="15"/>
      <c r="WZV247" s="10"/>
      <c r="WZW247" s="10"/>
      <c r="WZX247" s="21"/>
      <c r="WZY247" s="21"/>
      <c r="XAB247" s="21"/>
      <c r="XAC247" s="15"/>
      <c r="XAD247" s="15"/>
      <c r="XAE247" s="15"/>
      <c r="XAF247" s="15"/>
      <c r="XAG247" s="15"/>
      <c r="XAH247" s="15"/>
      <c r="XAI247" s="15"/>
      <c r="XAJ247" s="15"/>
      <c r="XAK247" s="15"/>
      <c r="XAL247" s="15"/>
      <c r="XAM247" s="10"/>
      <c r="XAN247" s="10"/>
      <c r="XAO247" s="21"/>
      <c r="XAP247" s="21"/>
      <c r="XAS247" s="21"/>
      <c r="XAT247" s="15"/>
      <c r="XAU247" s="15"/>
      <c r="XAV247" s="15"/>
      <c r="XAW247" s="15"/>
      <c r="XAX247" s="15"/>
      <c r="XAY247" s="15"/>
      <c r="XAZ247" s="15"/>
      <c r="XBA247" s="15"/>
      <c r="XBB247" s="15"/>
      <c r="XBC247" s="15"/>
      <c r="XBD247" s="10"/>
      <c r="XBE247" s="10"/>
      <c r="XBF247" s="21"/>
      <c r="XBG247" s="21"/>
      <c r="XBJ247" s="21"/>
      <c r="XBK247" s="15"/>
      <c r="XBL247" s="15"/>
      <c r="XBM247" s="15"/>
      <c r="XBN247" s="15"/>
      <c r="XBO247" s="15"/>
      <c r="XBP247" s="15"/>
      <c r="XBQ247" s="15"/>
      <c r="XBR247" s="15"/>
      <c r="XBS247" s="15"/>
      <c r="XBT247" s="15"/>
      <c r="XBU247" s="10"/>
      <c r="XBV247" s="10"/>
      <c r="XBW247" s="21"/>
      <c r="XBX247" s="21"/>
      <c r="XCA247" s="21"/>
      <c r="XCB247" s="15"/>
      <c r="XCC247" s="15"/>
      <c r="XCD247" s="15"/>
      <c r="XCE247" s="15"/>
      <c r="XCF247" s="15"/>
      <c r="XCG247" s="15"/>
      <c r="XCH247" s="15"/>
      <c r="XCI247" s="15"/>
      <c r="XCJ247" s="15"/>
      <c r="XCK247" s="15"/>
      <c r="XCL247" s="10"/>
      <c r="XCM247" s="10"/>
      <c r="XCN247" s="21"/>
      <c r="XCO247" s="21"/>
      <c r="XCR247" s="21"/>
      <c r="XCS247" s="15"/>
      <c r="XCT247" s="15"/>
      <c r="XCU247" s="15"/>
      <c r="XCV247" s="15"/>
      <c r="XCW247" s="15"/>
      <c r="XCX247" s="15"/>
      <c r="XCY247" s="15"/>
      <c r="XCZ247" s="15"/>
      <c r="XDA247" s="15"/>
      <c r="XDB247" s="15"/>
      <c r="XDC247" s="10"/>
      <c r="XDD247" s="10"/>
      <c r="XDE247" s="21"/>
      <c r="XDF247" s="21"/>
      <c r="XDI247" s="21"/>
      <c r="XDJ247" s="15"/>
      <c r="XDK247" s="15"/>
      <c r="XDL247" s="15"/>
      <c r="XDM247" s="15"/>
      <c r="XDN247" s="15"/>
      <c r="XDO247" s="15"/>
      <c r="XDP247" s="15"/>
      <c r="XDQ247" s="15"/>
      <c r="XDR247" s="15"/>
      <c r="XDS247" s="15"/>
      <c r="XDT247" s="10"/>
      <c r="XDU247" s="10"/>
      <c r="XDV247" s="21"/>
      <c r="XDW247" s="21"/>
      <c r="XDZ247" s="21"/>
      <c r="XEA247" s="15"/>
      <c r="XEB247" s="15"/>
      <c r="XEC247" s="15"/>
      <c r="XED247" s="15"/>
      <c r="XEE247" s="15"/>
      <c r="XEF247" s="15"/>
      <c r="XEG247" s="15"/>
      <c r="XEH247" s="15"/>
      <c r="XEI247" s="15"/>
      <c r="XEJ247" s="15"/>
      <c r="XEK247" s="10"/>
      <c r="XEL247" s="10"/>
      <c r="XEM247" s="21"/>
      <c r="XEN247" s="21"/>
      <c r="XEQ247" s="21"/>
      <c r="XER247" s="15"/>
      <c r="XES247" s="15"/>
      <c r="XET247" s="15"/>
      <c r="XEU247" s="15"/>
      <c r="XEV247" s="15"/>
      <c r="XEW247" s="15"/>
      <c r="XEX247" s="15"/>
      <c r="XEY247" s="15"/>
      <c r="XEZ247" s="15"/>
      <c r="XFA247" s="15"/>
      <c r="XFB247" s="10"/>
      <c r="XFC247" s="10"/>
      <c r="XFD247" s="21"/>
    </row>
    <row r="248" spans="1:4094 4097:8191 8194:12288 12291:16384" s="1" customFormat="1" ht="14.25" customHeight="1" x14ac:dyDescent="0.25">
      <c r="A248" s="31">
        <v>0</v>
      </c>
      <c r="B248" s="31">
        <v>1</v>
      </c>
      <c r="C248" s="31">
        <v>6</v>
      </c>
      <c r="D248" s="32" t="s">
        <v>517</v>
      </c>
      <c r="E248" s="32" t="s">
        <v>166</v>
      </c>
      <c r="F248" s="32" t="s">
        <v>518</v>
      </c>
      <c r="G248" s="32" t="s">
        <v>519</v>
      </c>
      <c r="H248" s="32" t="s">
        <v>352</v>
      </c>
      <c r="I248" s="31" t="s">
        <v>520</v>
      </c>
      <c r="J248" s="31">
        <v>99</v>
      </c>
      <c r="K248" s="33" t="s">
        <v>693</v>
      </c>
      <c r="L248" s="33">
        <v>40</v>
      </c>
      <c r="M248" s="34" t="s">
        <v>949</v>
      </c>
      <c r="N248" s="34" t="s">
        <v>1799</v>
      </c>
      <c r="O248" s="35">
        <v>1</v>
      </c>
      <c r="P248" s="35"/>
      <c r="Q248" s="32"/>
      <c r="S248" s="1">
        <f t="shared" si="91"/>
        <v>0</v>
      </c>
      <c r="T248" s="1">
        <f t="shared" si="92"/>
        <v>0</v>
      </c>
      <c r="U248" s="1">
        <f t="shared" si="93"/>
        <v>0</v>
      </c>
      <c r="V248" s="1">
        <f t="shared" si="94"/>
        <v>0</v>
      </c>
      <c r="W248" s="1">
        <f t="shared" si="95"/>
        <v>0</v>
      </c>
      <c r="X248" s="1">
        <f t="shared" si="96"/>
        <v>0</v>
      </c>
      <c r="Y248" s="1">
        <f t="shared" si="97"/>
        <v>0</v>
      </c>
      <c r="Z248" s="1">
        <f t="shared" si="98"/>
        <v>0</v>
      </c>
      <c r="AA248" s="1">
        <f t="shared" si="99"/>
        <v>0</v>
      </c>
      <c r="AB248" s="1">
        <f t="shared" si="100"/>
        <v>0</v>
      </c>
      <c r="AD248" s="1">
        <f t="shared" si="101"/>
        <v>0</v>
      </c>
      <c r="AE248" s="1">
        <f t="shared" si="102"/>
        <v>1</v>
      </c>
      <c r="AF248" s="1">
        <f t="shared" si="103"/>
        <v>0</v>
      </c>
      <c r="AG248" s="1">
        <f t="shared" si="104"/>
        <v>1</v>
      </c>
      <c r="AH248" s="1">
        <f t="shared" si="105"/>
        <v>0</v>
      </c>
      <c r="AI248" s="1">
        <f t="shared" si="106"/>
        <v>1</v>
      </c>
    </row>
    <row r="249" spans="1:4094 4097:8191 8194:12288 12291:16384" s="1" customFormat="1" ht="13.9" customHeight="1" x14ac:dyDescent="0.25">
      <c r="A249" s="38">
        <v>0</v>
      </c>
      <c r="B249" s="38">
        <v>1</v>
      </c>
      <c r="C249" s="38">
        <v>6</v>
      </c>
      <c r="D249" s="39" t="s">
        <v>1787</v>
      </c>
      <c r="E249" s="39" t="s">
        <v>1788</v>
      </c>
      <c r="F249" s="39" t="s">
        <v>1789</v>
      </c>
      <c r="G249" s="39"/>
      <c r="H249" s="39" t="s">
        <v>352</v>
      </c>
      <c r="I249" s="38" t="s">
        <v>1790</v>
      </c>
      <c r="J249" s="38"/>
      <c r="K249" s="40" t="s">
        <v>694</v>
      </c>
      <c r="L249" s="40"/>
      <c r="M249" s="41"/>
      <c r="N249" s="42"/>
      <c r="O249" s="43"/>
      <c r="P249" s="43">
        <v>1</v>
      </c>
      <c r="Q249" s="39"/>
      <c r="S249" s="1">
        <f t="shared" si="91"/>
        <v>0</v>
      </c>
      <c r="T249" s="1">
        <f t="shared" si="92"/>
        <v>0</v>
      </c>
      <c r="U249" s="1">
        <f t="shared" si="93"/>
        <v>0</v>
      </c>
      <c r="V249" s="1">
        <f t="shared" si="94"/>
        <v>0</v>
      </c>
      <c r="W249" s="1">
        <f t="shared" si="95"/>
        <v>0</v>
      </c>
      <c r="X249" s="1">
        <f t="shared" si="96"/>
        <v>0</v>
      </c>
      <c r="Y249" s="1">
        <f t="shared" si="97"/>
        <v>0</v>
      </c>
      <c r="Z249" s="1">
        <f t="shared" si="98"/>
        <v>0</v>
      </c>
      <c r="AA249" s="1">
        <f t="shared" si="99"/>
        <v>0</v>
      </c>
      <c r="AB249" s="1">
        <f t="shared" si="100"/>
        <v>0</v>
      </c>
      <c r="AD249" s="1">
        <f t="shared" si="101"/>
        <v>0</v>
      </c>
      <c r="AE249" s="1">
        <f t="shared" si="102"/>
        <v>0</v>
      </c>
      <c r="AF249" s="1">
        <f t="shared" si="103"/>
        <v>0</v>
      </c>
      <c r="AG249" s="1">
        <f t="shared" si="104"/>
        <v>0</v>
      </c>
      <c r="AH249" s="1">
        <f t="shared" si="105"/>
        <v>1</v>
      </c>
      <c r="AI249" s="1">
        <f t="shared" si="106"/>
        <v>0</v>
      </c>
    </row>
    <row r="250" spans="1:4094 4097:8191 8194:12288 12291:16384" s="1" customFormat="1" ht="14.25" customHeight="1" x14ac:dyDescent="0.25">
      <c r="A250" s="31">
        <v>0</v>
      </c>
      <c r="B250" s="31">
        <v>1</v>
      </c>
      <c r="C250" s="31">
        <v>6</v>
      </c>
      <c r="D250" s="32" t="s">
        <v>2035</v>
      </c>
      <c r="E250" s="32" t="s">
        <v>166</v>
      </c>
      <c r="F250" s="32" t="s">
        <v>2036</v>
      </c>
      <c r="G250" s="32"/>
      <c r="H250" s="32" t="s">
        <v>352</v>
      </c>
      <c r="I250" s="31" t="s">
        <v>2037</v>
      </c>
      <c r="J250" s="31"/>
      <c r="K250" s="33" t="s">
        <v>694</v>
      </c>
      <c r="L250" s="33"/>
      <c r="M250" s="34"/>
      <c r="N250" s="34" t="s">
        <v>1700</v>
      </c>
      <c r="O250" s="35">
        <v>1</v>
      </c>
      <c r="P250" s="35"/>
      <c r="Q250" s="32" t="s">
        <v>2038</v>
      </c>
      <c r="S250" s="1">
        <f t="shared" si="91"/>
        <v>0</v>
      </c>
      <c r="T250" s="1">
        <f t="shared" si="92"/>
        <v>0</v>
      </c>
      <c r="U250" s="1">
        <f t="shared" si="93"/>
        <v>0</v>
      </c>
      <c r="V250" s="1">
        <f t="shared" si="94"/>
        <v>0</v>
      </c>
      <c r="W250" s="1">
        <f t="shared" si="95"/>
        <v>0</v>
      </c>
      <c r="X250" s="1">
        <f t="shared" si="96"/>
        <v>0</v>
      </c>
      <c r="Y250" s="1">
        <f t="shared" si="97"/>
        <v>0</v>
      </c>
      <c r="Z250" s="1">
        <f t="shared" si="98"/>
        <v>0</v>
      </c>
      <c r="AA250" s="1">
        <f t="shared" si="99"/>
        <v>0</v>
      </c>
      <c r="AB250" s="1">
        <f t="shared" si="100"/>
        <v>0</v>
      </c>
      <c r="AD250" s="1">
        <f t="shared" si="101"/>
        <v>0</v>
      </c>
      <c r="AE250" s="1">
        <f t="shared" si="102"/>
        <v>1</v>
      </c>
      <c r="AF250" s="1">
        <f t="shared" si="103"/>
        <v>0</v>
      </c>
      <c r="AG250" s="1">
        <f t="shared" si="104"/>
        <v>1</v>
      </c>
      <c r="AH250" s="1">
        <f t="shared" si="105"/>
        <v>0</v>
      </c>
      <c r="AI250" s="1">
        <f t="shared" si="106"/>
        <v>1</v>
      </c>
    </row>
    <row r="251" spans="1:4094 4097:8191 8194:12288 12291:16384" s="1" customFormat="1" ht="13.9" customHeight="1" x14ac:dyDescent="0.25">
      <c r="A251" s="31">
        <v>0</v>
      </c>
      <c r="B251" s="31">
        <v>1</v>
      </c>
      <c r="C251" s="31">
        <v>6</v>
      </c>
      <c r="D251" s="32" t="s">
        <v>1443</v>
      </c>
      <c r="E251" s="32" t="s">
        <v>166</v>
      </c>
      <c r="F251" s="32" t="s">
        <v>1445</v>
      </c>
      <c r="G251" s="32" t="s">
        <v>1446</v>
      </c>
      <c r="H251" s="32" t="s">
        <v>352</v>
      </c>
      <c r="I251" s="31" t="s">
        <v>1444</v>
      </c>
      <c r="J251" s="31">
        <v>99</v>
      </c>
      <c r="K251" s="33" t="s">
        <v>694</v>
      </c>
      <c r="L251" s="33">
        <v>62</v>
      </c>
      <c r="M251" s="34"/>
      <c r="N251" s="34" t="s">
        <v>1701</v>
      </c>
      <c r="O251" s="35">
        <v>1</v>
      </c>
      <c r="P251" s="35"/>
      <c r="Q251" s="32"/>
      <c r="S251" s="1">
        <f t="shared" si="91"/>
        <v>0</v>
      </c>
      <c r="T251" s="1">
        <f t="shared" si="92"/>
        <v>0</v>
      </c>
      <c r="U251" s="1">
        <f t="shared" si="93"/>
        <v>0</v>
      </c>
      <c r="V251" s="1">
        <f t="shared" si="94"/>
        <v>0</v>
      </c>
      <c r="W251" s="1">
        <f t="shared" si="95"/>
        <v>0</v>
      </c>
      <c r="X251" s="1">
        <f t="shared" si="96"/>
        <v>0</v>
      </c>
      <c r="Y251" s="1">
        <f t="shared" si="97"/>
        <v>0</v>
      </c>
      <c r="Z251" s="1">
        <f t="shared" si="98"/>
        <v>0</v>
      </c>
      <c r="AA251" s="1">
        <f t="shared" si="99"/>
        <v>0</v>
      </c>
      <c r="AB251" s="1">
        <f t="shared" si="100"/>
        <v>0</v>
      </c>
      <c r="AD251" s="1">
        <f t="shared" si="101"/>
        <v>0</v>
      </c>
      <c r="AE251" s="1">
        <f t="shared" si="102"/>
        <v>1</v>
      </c>
      <c r="AF251" s="1">
        <f t="shared" si="103"/>
        <v>0</v>
      </c>
      <c r="AG251" s="1">
        <f t="shared" si="104"/>
        <v>1</v>
      </c>
      <c r="AH251" s="1">
        <f t="shared" si="105"/>
        <v>0</v>
      </c>
      <c r="AI251" s="1">
        <f t="shared" si="106"/>
        <v>1</v>
      </c>
    </row>
    <row r="252" spans="1:4094 4097:8191 8194:12288 12291:16384" s="1" customFormat="1" ht="14.25" customHeight="1" x14ac:dyDescent="0.25">
      <c r="A252" s="31">
        <v>0</v>
      </c>
      <c r="B252" s="31">
        <v>1</v>
      </c>
      <c r="C252" s="31">
        <v>6</v>
      </c>
      <c r="D252" s="32" t="s">
        <v>1165</v>
      </c>
      <c r="E252" s="32" t="s">
        <v>164</v>
      </c>
      <c r="F252" s="32" t="s">
        <v>1631</v>
      </c>
      <c r="G252" s="32" t="s">
        <v>212</v>
      </c>
      <c r="H252" s="32" t="s">
        <v>352</v>
      </c>
      <c r="I252" s="31" t="s">
        <v>1166</v>
      </c>
      <c r="J252" s="31">
        <v>1</v>
      </c>
      <c r="K252" s="33" t="s">
        <v>939</v>
      </c>
      <c r="L252" s="33" t="s">
        <v>678</v>
      </c>
      <c r="M252" s="34" t="s">
        <v>1533</v>
      </c>
      <c r="N252" s="34" t="s">
        <v>1707</v>
      </c>
      <c r="O252" s="35">
        <v>1</v>
      </c>
      <c r="P252" s="35"/>
      <c r="Q252" s="32"/>
      <c r="S252" s="1">
        <f t="shared" si="91"/>
        <v>1</v>
      </c>
      <c r="T252" s="1">
        <f t="shared" si="92"/>
        <v>0</v>
      </c>
      <c r="U252" s="1">
        <f t="shared" si="93"/>
        <v>0</v>
      </c>
      <c r="V252" s="1">
        <f t="shared" si="94"/>
        <v>0</v>
      </c>
      <c r="W252" s="1">
        <f t="shared" si="95"/>
        <v>0</v>
      </c>
      <c r="X252" s="1">
        <f t="shared" si="96"/>
        <v>0</v>
      </c>
      <c r="Y252" s="1">
        <f t="shared" si="97"/>
        <v>0</v>
      </c>
      <c r="Z252" s="1">
        <f t="shared" si="98"/>
        <v>0</v>
      </c>
      <c r="AA252" s="1">
        <f t="shared" si="99"/>
        <v>0</v>
      </c>
      <c r="AB252" s="1">
        <f t="shared" si="100"/>
        <v>0</v>
      </c>
      <c r="AD252" s="1">
        <f t="shared" si="101"/>
        <v>0</v>
      </c>
      <c r="AE252" s="1">
        <f t="shared" si="102"/>
        <v>1</v>
      </c>
      <c r="AF252" s="1">
        <f t="shared" si="103"/>
        <v>0</v>
      </c>
      <c r="AG252" s="1">
        <f t="shared" si="104"/>
        <v>1</v>
      </c>
      <c r="AH252" s="1">
        <f t="shared" si="105"/>
        <v>0</v>
      </c>
      <c r="AI252" s="1">
        <f t="shared" si="106"/>
        <v>1</v>
      </c>
    </row>
    <row r="253" spans="1:4094 4097:8191 8194:12288 12291:16384" s="1" customFormat="1" ht="14.25" customHeight="1" x14ac:dyDescent="0.25">
      <c r="A253" s="31">
        <v>0</v>
      </c>
      <c r="B253" s="31">
        <v>1</v>
      </c>
      <c r="C253" s="31">
        <v>6</v>
      </c>
      <c r="D253" s="32" t="s">
        <v>2016</v>
      </c>
      <c r="E253" s="32" t="s">
        <v>2017</v>
      </c>
      <c r="F253" s="32" t="s">
        <v>2018</v>
      </c>
      <c r="G253" s="32" t="s">
        <v>207</v>
      </c>
      <c r="H253" s="32" t="s">
        <v>352</v>
      </c>
      <c r="I253" s="31" t="s">
        <v>2019</v>
      </c>
      <c r="J253" s="31">
        <v>3</v>
      </c>
      <c r="K253" s="33" t="s">
        <v>694</v>
      </c>
      <c r="L253" s="33">
        <v>30</v>
      </c>
      <c r="M253" s="34" t="s">
        <v>2020</v>
      </c>
      <c r="N253" s="34" t="s">
        <v>1799</v>
      </c>
      <c r="O253" s="35">
        <v>1</v>
      </c>
      <c r="P253" s="35"/>
      <c r="Q253" s="32"/>
      <c r="S253" s="1">
        <f t="shared" si="91"/>
        <v>0</v>
      </c>
      <c r="T253" s="1">
        <f t="shared" si="92"/>
        <v>0</v>
      </c>
      <c r="U253" s="1">
        <f t="shared" si="93"/>
        <v>1</v>
      </c>
      <c r="V253" s="1">
        <f t="shared" si="94"/>
        <v>0</v>
      </c>
      <c r="W253" s="1">
        <f t="shared" si="95"/>
        <v>0</v>
      </c>
      <c r="X253" s="1">
        <f t="shared" si="96"/>
        <v>0</v>
      </c>
      <c r="Y253" s="1">
        <f t="shared" si="97"/>
        <v>0</v>
      </c>
      <c r="Z253" s="1">
        <f t="shared" si="98"/>
        <v>0</v>
      </c>
      <c r="AA253" s="1">
        <f t="shared" si="99"/>
        <v>0</v>
      </c>
      <c r="AB253" s="1">
        <f t="shared" si="100"/>
        <v>0</v>
      </c>
      <c r="AD253" s="1">
        <f t="shared" si="101"/>
        <v>0</v>
      </c>
      <c r="AE253" s="1">
        <f t="shared" si="102"/>
        <v>1</v>
      </c>
      <c r="AF253" s="1">
        <f t="shared" si="103"/>
        <v>0</v>
      </c>
      <c r="AG253" s="1">
        <f t="shared" si="104"/>
        <v>1</v>
      </c>
      <c r="AH253" s="1">
        <f t="shared" si="105"/>
        <v>0</v>
      </c>
      <c r="AI253" s="1">
        <f t="shared" si="106"/>
        <v>1</v>
      </c>
    </row>
    <row r="254" spans="1:4094 4097:8191 8194:12288 12291:16384" s="1" customFormat="1" ht="14.25" customHeight="1" x14ac:dyDescent="0.25">
      <c r="A254" s="31">
        <v>0</v>
      </c>
      <c r="B254" s="31">
        <v>1</v>
      </c>
      <c r="C254" s="31">
        <v>6</v>
      </c>
      <c r="D254" s="32" t="s">
        <v>97</v>
      </c>
      <c r="E254" s="32" t="s">
        <v>166</v>
      </c>
      <c r="F254" s="32" t="s">
        <v>294</v>
      </c>
      <c r="G254" s="32" t="s">
        <v>283</v>
      </c>
      <c r="H254" s="32" t="s">
        <v>352</v>
      </c>
      <c r="I254" s="31" t="s">
        <v>1095</v>
      </c>
      <c r="J254" s="31">
        <v>10</v>
      </c>
      <c r="K254" s="33" t="s">
        <v>933</v>
      </c>
      <c r="L254" s="33" t="s">
        <v>685</v>
      </c>
      <c r="M254" s="34" t="s">
        <v>696</v>
      </c>
      <c r="N254" s="34" t="s">
        <v>1701</v>
      </c>
      <c r="O254" s="35">
        <v>1</v>
      </c>
      <c r="P254" s="35"/>
      <c r="Q254" s="32"/>
      <c r="S254" s="1">
        <f t="shared" si="91"/>
        <v>0</v>
      </c>
      <c r="T254" s="1">
        <f t="shared" si="92"/>
        <v>0</v>
      </c>
      <c r="U254" s="1">
        <f t="shared" si="93"/>
        <v>0</v>
      </c>
      <c r="V254" s="1">
        <f t="shared" si="94"/>
        <v>0</v>
      </c>
      <c r="W254" s="1">
        <f t="shared" si="95"/>
        <v>0</v>
      </c>
      <c r="X254" s="1">
        <f t="shared" si="96"/>
        <v>0</v>
      </c>
      <c r="Y254" s="1">
        <f t="shared" si="97"/>
        <v>0</v>
      </c>
      <c r="Z254" s="1">
        <f t="shared" si="98"/>
        <v>0</v>
      </c>
      <c r="AA254" s="1">
        <f t="shared" si="99"/>
        <v>0</v>
      </c>
      <c r="AB254" s="1">
        <f t="shared" si="100"/>
        <v>1</v>
      </c>
      <c r="AD254" s="1">
        <f t="shared" si="101"/>
        <v>0</v>
      </c>
      <c r="AE254" s="1">
        <f t="shared" si="102"/>
        <v>1</v>
      </c>
      <c r="AF254" s="1">
        <f t="shared" si="103"/>
        <v>0</v>
      </c>
      <c r="AG254" s="1">
        <f t="shared" si="104"/>
        <v>1</v>
      </c>
      <c r="AH254" s="1">
        <f t="shared" si="105"/>
        <v>0</v>
      </c>
      <c r="AI254" s="1">
        <f t="shared" si="106"/>
        <v>1</v>
      </c>
    </row>
    <row r="255" spans="1:4094 4097:8191 8194:12288 12291:16384" s="1" customFormat="1" ht="14.25" customHeight="1" x14ac:dyDescent="0.25">
      <c r="A255" s="31">
        <v>0</v>
      </c>
      <c r="B255" s="31">
        <v>1</v>
      </c>
      <c r="C255" s="31">
        <v>6</v>
      </c>
      <c r="D255" s="32" t="s">
        <v>595</v>
      </c>
      <c r="E255" s="32" t="s">
        <v>164</v>
      </c>
      <c r="F255" s="32" t="s">
        <v>597</v>
      </c>
      <c r="G255" s="32" t="s">
        <v>39</v>
      </c>
      <c r="H255" s="32" t="s">
        <v>352</v>
      </c>
      <c r="I255" s="31" t="s">
        <v>596</v>
      </c>
      <c r="J255" s="31">
        <v>99</v>
      </c>
      <c r="K255" s="33" t="s">
        <v>933</v>
      </c>
      <c r="L255" s="33" t="s">
        <v>684</v>
      </c>
      <c r="M255" s="34" t="s">
        <v>947</v>
      </c>
      <c r="N255" s="34" t="s">
        <v>1701</v>
      </c>
      <c r="O255" s="35">
        <v>1</v>
      </c>
      <c r="P255" s="35"/>
      <c r="Q255" s="32"/>
      <c r="S255" s="1">
        <f t="shared" si="91"/>
        <v>0</v>
      </c>
      <c r="T255" s="1">
        <f t="shared" si="92"/>
        <v>0</v>
      </c>
      <c r="U255" s="1">
        <f t="shared" si="93"/>
        <v>0</v>
      </c>
      <c r="V255" s="1">
        <f t="shared" si="94"/>
        <v>0</v>
      </c>
      <c r="W255" s="1">
        <f t="shared" si="95"/>
        <v>0</v>
      </c>
      <c r="X255" s="1">
        <f t="shared" si="96"/>
        <v>0</v>
      </c>
      <c r="Y255" s="1">
        <f t="shared" si="97"/>
        <v>0</v>
      </c>
      <c r="Z255" s="1">
        <f t="shared" si="98"/>
        <v>0</v>
      </c>
      <c r="AA255" s="1">
        <f t="shared" si="99"/>
        <v>0</v>
      </c>
      <c r="AB255" s="1">
        <f t="shared" si="100"/>
        <v>0</v>
      </c>
      <c r="AD255" s="1">
        <f t="shared" si="101"/>
        <v>0</v>
      </c>
      <c r="AE255" s="1">
        <f t="shared" si="102"/>
        <v>1</v>
      </c>
      <c r="AF255" s="1">
        <f t="shared" si="103"/>
        <v>0</v>
      </c>
      <c r="AG255" s="1">
        <f t="shared" si="104"/>
        <v>1</v>
      </c>
      <c r="AH255" s="1">
        <f t="shared" si="105"/>
        <v>0</v>
      </c>
      <c r="AI255" s="1">
        <f t="shared" si="106"/>
        <v>1</v>
      </c>
    </row>
    <row r="256" spans="1:4094 4097:8191 8194:12288 12291:16384" s="1" customFormat="1" ht="14.25" customHeight="1" x14ac:dyDescent="0.25">
      <c r="A256" s="31">
        <v>0</v>
      </c>
      <c r="B256" s="31">
        <v>1</v>
      </c>
      <c r="C256" s="31">
        <v>6</v>
      </c>
      <c r="D256" s="32" t="s">
        <v>1134</v>
      </c>
      <c r="E256" s="32" t="s">
        <v>164</v>
      </c>
      <c r="F256" s="32" t="s">
        <v>1136</v>
      </c>
      <c r="G256" s="32" t="s">
        <v>219</v>
      </c>
      <c r="H256" s="32" t="s">
        <v>352</v>
      </c>
      <c r="I256" s="31" t="s">
        <v>1135</v>
      </c>
      <c r="J256" s="31">
        <v>8</v>
      </c>
      <c r="K256" s="33" t="s">
        <v>693</v>
      </c>
      <c r="L256" s="33" t="s">
        <v>1673</v>
      </c>
      <c r="M256" s="34" t="s">
        <v>1368</v>
      </c>
      <c r="N256" s="34" t="s">
        <v>1700</v>
      </c>
      <c r="O256" s="35">
        <v>1</v>
      </c>
      <c r="P256" s="35"/>
      <c r="Q256" s="32"/>
      <c r="S256" s="1">
        <f t="shared" si="91"/>
        <v>0</v>
      </c>
      <c r="T256" s="1">
        <f t="shared" si="92"/>
        <v>0</v>
      </c>
      <c r="U256" s="1">
        <f t="shared" si="93"/>
        <v>0</v>
      </c>
      <c r="V256" s="1">
        <f t="shared" si="94"/>
        <v>0</v>
      </c>
      <c r="W256" s="1">
        <f t="shared" si="95"/>
        <v>0</v>
      </c>
      <c r="X256" s="1">
        <f t="shared" si="96"/>
        <v>0</v>
      </c>
      <c r="Y256" s="1">
        <f t="shared" si="97"/>
        <v>0</v>
      </c>
      <c r="Z256" s="1">
        <f t="shared" si="98"/>
        <v>1</v>
      </c>
      <c r="AA256" s="1">
        <f t="shared" si="99"/>
        <v>0</v>
      </c>
      <c r="AB256" s="1">
        <f t="shared" si="100"/>
        <v>0</v>
      </c>
      <c r="AD256" s="1">
        <f t="shared" si="101"/>
        <v>0</v>
      </c>
      <c r="AE256" s="1">
        <f t="shared" si="102"/>
        <v>1</v>
      </c>
      <c r="AF256" s="1">
        <f t="shared" si="103"/>
        <v>0</v>
      </c>
      <c r="AG256" s="1">
        <f t="shared" si="104"/>
        <v>1</v>
      </c>
      <c r="AH256" s="1">
        <f t="shared" si="105"/>
        <v>0</v>
      </c>
      <c r="AI256" s="1">
        <f t="shared" si="106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6</v>
      </c>
      <c r="D257" s="32" t="s">
        <v>558</v>
      </c>
      <c r="E257" s="32" t="s">
        <v>166</v>
      </c>
      <c r="F257" s="32" t="s">
        <v>653</v>
      </c>
      <c r="G257" s="32" t="s">
        <v>201</v>
      </c>
      <c r="H257" s="32" t="s">
        <v>352</v>
      </c>
      <c r="I257" s="31" t="s">
        <v>575</v>
      </c>
      <c r="J257" s="31">
        <v>10</v>
      </c>
      <c r="K257" s="33" t="s">
        <v>939</v>
      </c>
      <c r="L257" s="33" t="s">
        <v>684</v>
      </c>
      <c r="M257" s="34" t="s">
        <v>696</v>
      </c>
      <c r="N257" s="34" t="s">
        <v>1700</v>
      </c>
      <c r="O257" s="35">
        <v>1</v>
      </c>
      <c r="P257" s="35"/>
      <c r="Q257" s="36"/>
      <c r="S257" s="1">
        <f t="shared" si="91"/>
        <v>0</v>
      </c>
      <c r="T257" s="1">
        <f t="shared" si="92"/>
        <v>0</v>
      </c>
      <c r="U257" s="1">
        <f t="shared" si="93"/>
        <v>0</v>
      </c>
      <c r="V257" s="1">
        <f t="shared" si="94"/>
        <v>0</v>
      </c>
      <c r="W257" s="1">
        <f t="shared" si="95"/>
        <v>0</v>
      </c>
      <c r="X257" s="1">
        <f t="shared" si="96"/>
        <v>0</v>
      </c>
      <c r="Y257" s="1">
        <f t="shared" si="97"/>
        <v>0</v>
      </c>
      <c r="Z257" s="1">
        <f t="shared" si="98"/>
        <v>0</v>
      </c>
      <c r="AA257" s="1">
        <f t="shared" si="99"/>
        <v>0</v>
      </c>
      <c r="AB257" s="1">
        <f t="shared" si="100"/>
        <v>1</v>
      </c>
      <c r="AD257" s="1">
        <f t="shared" si="101"/>
        <v>0</v>
      </c>
      <c r="AE257" s="1">
        <f t="shared" si="102"/>
        <v>1</v>
      </c>
      <c r="AF257" s="1">
        <f t="shared" si="103"/>
        <v>0</v>
      </c>
      <c r="AG257" s="1">
        <f t="shared" si="104"/>
        <v>1</v>
      </c>
      <c r="AH257" s="1">
        <f t="shared" si="105"/>
        <v>0</v>
      </c>
      <c r="AI257" s="1">
        <f t="shared" si="106"/>
        <v>1</v>
      </c>
    </row>
    <row r="258" spans="1:35" s="1" customFormat="1" ht="14.25" customHeight="1" x14ac:dyDescent="0.25">
      <c r="A258" s="31">
        <v>0</v>
      </c>
      <c r="B258" s="31">
        <v>1</v>
      </c>
      <c r="C258" s="31">
        <v>6</v>
      </c>
      <c r="D258" s="32" t="s">
        <v>876</v>
      </c>
      <c r="E258" s="32" t="s">
        <v>166</v>
      </c>
      <c r="F258" s="32" t="s">
        <v>916</v>
      </c>
      <c r="G258" s="32" t="s">
        <v>917</v>
      </c>
      <c r="H258" s="32" t="s">
        <v>352</v>
      </c>
      <c r="I258" s="31" t="s">
        <v>930</v>
      </c>
      <c r="J258" s="31">
        <v>99</v>
      </c>
      <c r="K258" s="33" t="s">
        <v>693</v>
      </c>
      <c r="L258" s="33" t="s">
        <v>680</v>
      </c>
      <c r="M258" s="34" t="s">
        <v>1369</v>
      </c>
      <c r="N258" s="34" t="s">
        <v>1713</v>
      </c>
      <c r="O258" s="35">
        <v>1</v>
      </c>
      <c r="P258" s="35"/>
      <c r="Q258" s="32"/>
      <c r="S258" s="1">
        <f t="shared" si="91"/>
        <v>0</v>
      </c>
      <c r="T258" s="1">
        <f t="shared" si="92"/>
        <v>0</v>
      </c>
      <c r="U258" s="1">
        <f t="shared" si="93"/>
        <v>0</v>
      </c>
      <c r="V258" s="1">
        <f t="shared" si="94"/>
        <v>0</v>
      </c>
      <c r="W258" s="1">
        <f t="shared" si="95"/>
        <v>0</v>
      </c>
      <c r="X258" s="1">
        <f t="shared" si="96"/>
        <v>0</v>
      </c>
      <c r="Y258" s="1">
        <f t="shared" si="97"/>
        <v>0</v>
      </c>
      <c r="Z258" s="1">
        <f t="shared" si="98"/>
        <v>0</v>
      </c>
      <c r="AA258" s="1">
        <f t="shared" si="99"/>
        <v>0</v>
      </c>
      <c r="AB258" s="1">
        <f t="shared" si="100"/>
        <v>0</v>
      </c>
      <c r="AD258" s="1">
        <f t="shared" si="101"/>
        <v>0</v>
      </c>
      <c r="AE258" s="1">
        <f t="shared" si="102"/>
        <v>1</v>
      </c>
      <c r="AF258" s="1">
        <f t="shared" si="103"/>
        <v>0</v>
      </c>
      <c r="AG258" s="1">
        <f t="shared" si="104"/>
        <v>1</v>
      </c>
      <c r="AH258" s="1">
        <f t="shared" si="105"/>
        <v>0</v>
      </c>
      <c r="AI258" s="1">
        <f t="shared" si="106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6</v>
      </c>
      <c r="D259" s="32" t="s">
        <v>99</v>
      </c>
      <c r="E259" s="32" t="s">
        <v>166</v>
      </c>
      <c r="F259" s="32" t="s">
        <v>654</v>
      </c>
      <c r="G259" s="32" t="s">
        <v>656</v>
      </c>
      <c r="H259" s="32" t="s">
        <v>352</v>
      </c>
      <c r="I259" s="31" t="s">
        <v>444</v>
      </c>
      <c r="J259" s="31">
        <v>99</v>
      </c>
      <c r="K259" s="33" t="s">
        <v>713</v>
      </c>
      <c r="L259" s="33" t="s">
        <v>687</v>
      </c>
      <c r="M259" s="34" t="s">
        <v>698</v>
      </c>
      <c r="N259" s="34" t="s">
        <v>1701</v>
      </c>
      <c r="O259" s="35">
        <v>1</v>
      </c>
      <c r="P259" s="35"/>
      <c r="Q259" s="32"/>
      <c r="S259" s="1">
        <f t="shared" si="91"/>
        <v>0</v>
      </c>
      <c r="T259" s="1">
        <f t="shared" si="92"/>
        <v>0</v>
      </c>
      <c r="U259" s="1">
        <f t="shared" si="93"/>
        <v>0</v>
      </c>
      <c r="V259" s="1">
        <f t="shared" si="94"/>
        <v>0</v>
      </c>
      <c r="W259" s="1">
        <f t="shared" si="95"/>
        <v>0</v>
      </c>
      <c r="X259" s="1">
        <f t="shared" si="96"/>
        <v>0</v>
      </c>
      <c r="Y259" s="1">
        <f t="shared" si="97"/>
        <v>0</v>
      </c>
      <c r="Z259" s="1">
        <f t="shared" si="98"/>
        <v>0</v>
      </c>
      <c r="AA259" s="1">
        <f t="shared" si="99"/>
        <v>0</v>
      </c>
      <c r="AB259" s="1">
        <f t="shared" si="100"/>
        <v>0</v>
      </c>
      <c r="AD259" s="1">
        <f t="shared" si="101"/>
        <v>0</v>
      </c>
      <c r="AE259" s="1">
        <f t="shared" si="102"/>
        <v>1</v>
      </c>
      <c r="AF259" s="1">
        <f t="shared" si="103"/>
        <v>0</v>
      </c>
      <c r="AG259" s="1">
        <f t="shared" si="104"/>
        <v>1</v>
      </c>
      <c r="AH259" s="1">
        <f t="shared" si="105"/>
        <v>0</v>
      </c>
      <c r="AI259" s="1">
        <f t="shared" si="106"/>
        <v>1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2" t="s">
        <v>86</v>
      </c>
      <c r="E260" s="32" t="s">
        <v>29</v>
      </c>
      <c r="F260" s="32" t="s">
        <v>655</v>
      </c>
      <c r="G260" s="32" t="s">
        <v>656</v>
      </c>
      <c r="H260" s="32" t="s">
        <v>352</v>
      </c>
      <c r="I260" s="31" t="s">
        <v>623</v>
      </c>
      <c r="J260" s="31">
        <v>99</v>
      </c>
      <c r="K260" s="33" t="s">
        <v>931</v>
      </c>
      <c r="L260" s="33" t="s">
        <v>684</v>
      </c>
      <c r="M260" s="34" t="s">
        <v>1370</v>
      </c>
      <c r="N260" s="34" t="s">
        <v>1687</v>
      </c>
      <c r="O260" s="35">
        <v>1</v>
      </c>
      <c r="P260" s="35">
        <v>1</v>
      </c>
      <c r="Q260" s="32"/>
      <c r="S260" s="1">
        <f t="shared" si="91"/>
        <v>0</v>
      </c>
      <c r="T260" s="1">
        <f t="shared" si="92"/>
        <v>0</v>
      </c>
      <c r="U260" s="1">
        <f t="shared" si="93"/>
        <v>0</v>
      </c>
      <c r="V260" s="1">
        <f t="shared" si="94"/>
        <v>0</v>
      </c>
      <c r="W260" s="1">
        <f t="shared" si="95"/>
        <v>0</v>
      </c>
      <c r="X260" s="1">
        <f t="shared" si="96"/>
        <v>0</v>
      </c>
      <c r="Y260" s="1">
        <f t="shared" si="97"/>
        <v>0</v>
      </c>
      <c r="Z260" s="1">
        <f t="shared" si="98"/>
        <v>0</v>
      </c>
      <c r="AA260" s="1">
        <f t="shared" si="99"/>
        <v>0</v>
      </c>
      <c r="AB260" s="1">
        <f t="shared" si="100"/>
        <v>0</v>
      </c>
      <c r="AD260" s="1">
        <f t="shared" si="101"/>
        <v>1</v>
      </c>
      <c r="AE260" s="1">
        <f t="shared" si="102"/>
        <v>0</v>
      </c>
      <c r="AF260" s="1">
        <f t="shared" si="103"/>
        <v>1</v>
      </c>
      <c r="AG260" s="1">
        <f t="shared" si="104"/>
        <v>0</v>
      </c>
      <c r="AH260" s="1">
        <f t="shared" si="105"/>
        <v>1</v>
      </c>
      <c r="AI260" s="1">
        <f t="shared" si="106"/>
        <v>0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2" t="s">
        <v>642</v>
      </c>
      <c r="E261" s="32" t="s">
        <v>29</v>
      </c>
      <c r="F261" s="32" t="s">
        <v>618</v>
      </c>
      <c r="G261" s="32" t="s">
        <v>231</v>
      </c>
      <c r="H261" s="32" t="s">
        <v>352</v>
      </c>
      <c r="I261" s="31" t="s">
        <v>619</v>
      </c>
      <c r="J261" s="31">
        <v>99</v>
      </c>
      <c r="K261" s="33" t="s">
        <v>704</v>
      </c>
      <c r="L261" s="33" t="s">
        <v>687</v>
      </c>
      <c r="M261" s="34" t="s">
        <v>950</v>
      </c>
      <c r="N261" s="34" t="s">
        <v>1799</v>
      </c>
      <c r="O261" s="35">
        <v>1</v>
      </c>
      <c r="P261" s="35"/>
      <c r="Q261" s="32"/>
      <c r="S261" s="1">
        <f t="shared" si="91"/>
        <v>0</v>
      </c>
      <c r="T261" s="1">
        <f t="shared" si="92"/>
        <v>0</v>
      </c>
      <c r="U261" s="1">
        <f t="shared" si="93"/>
        <v>0</v>
      </c>
      <c r="V261" s="1">
        <f t="shared" si="94"/>
        <v>0</v>
      </c>
      <c r="W261" s="1">
        <f t="shared" si="95"/>
        <v>0</v>
      </c>
      <c r="X261" s="1">
        <f t="shared" si="96"/>
        <v>0</v>
      </c>
      <c r="Y261" s="1">
        <f t="shared" si="97"/>
        <v>0</v>
      </c>
      <c r="Z261" s="1">
        <f t="shared" si="98"/>
        <v>0</v>
      </c>
      <c r="AA261" s="1">
        <f t="shared" si="99"/>
        <v>0</v>
      </c>
      <c r="AB261" s="1">
        <f t="shared" si="100"/>
        <v>0</v>
      </c>
      <c r="AD261" s="1">
        <f t="shared" si="101"/>
        <v>0</v>
      </c>
      <c r="AE261" s="1">
        <f t="shared" si="102"/>
        <v>1</v>
      </c>
      <c r="AF261" s="1">
        <f t="shared" si="103"/>
        <v>0</v>
      </c>
      <c r="AG261" s="1">
        <f t="shared" si="104"/>
        <v>1</v>
      </c>
      <c r="AH261" s="1">
        <f t="shared" si="105"/>
        <v>0</v>
      </c>
      <c r="AI261" s="1">
        <f t="shared" si="106"/>
        <v>1</v>
      </c>
    </row>
    <row r="262" spans="1:35" s="1" customFormat="1" ht="14.25" customHeight="1" x14ac:dyDescent="0.25">
      <c r="A262" s="15">
        <v>0</v>
      </c>
      <c r="B262" s="15">
        <v>1</v>
      </c>
      <c r="C262" s="15">
        <v>7</v>
      </c>
      <c r="D262" s="16" t="s">
        <v>960</v>
      </c>
      <c r="E262" s="16" t="s">
        <v>29</v>
      </c>
      <c r="F262" s="16" t="s">
        <v>961</v>
      </c>
      <c r="G262" s="16" t="s">
        <v>962</v>
      </c>
      <c r="H262" s="16" t="s">
        <v>352</v>
      </c>
      <c r="I262" s="15" t="s">
        <v>959</v>
      </c>
      <c r="J262" s="15">
        <v>99</v>
      </c>
      <c r="K262" s="10" t="s">
        <v>694</v>
      </c>
      <c r="L262" s="10">
        <v>20</v>
      </c>
      <c r="M262" s="19" t="s">
        <v>950</v>
      </c>
      <c r="N262" s="19"/>
      <c r="Q262" s="16"/>
      <c r="S262" s="1">
        <f t="shared" si="91"/>
        <v>0</v>
      </c>
      <c r="T262" s="1">
        <f t="shared" si="92"/>
        <v>0</v>
      </c>
      <c r="U262" s="1">
        <f t="shared" si="93"/>
        <v>0</v>
      </c>
      <c r="V262" s="1">
        <f t="shared" si="94"/>
        <v>0</v>
      </c>
      <c r="W262" s="1">
        <f t="shared" si="95"/>
        <v>0</v>
      </c>
      <c r="X262" s="1">
        <f t="shared" si="96"/>
        <v>0</v>
      </c>
      <c r="Y262" s="1">
        <f t="shared" si="97"/>
        <v>0</v>
      </c>
      <c r="Z262" s="1">
        <f t="shared" si="98"/>
        <v>0</v>
      </c>
      <c r="AA262" s="1">
        <f t="shared" si="99"/>
        <v>0</v>
      </c>
      <c r="AB262" s="1">
        <f t="shared" si="100"/>
        <v>0</v>
      </c>
      <c r="AD262" s="1">
        <f t="shared" si="101"/>
        <v>0</v>
      </c>
      <c r="AE262" s="1">
        <f t="shared" si="102"/>
        <v>0</v>
      </c>
      <c r="AF262" s="1">
        <f t="shared" si="103"/>
        <v>0</v>
      </c>
      <c r="AG262" s="1">
        <f t="shared" si="104"/>
        <v>0</v>
      </c>
      <c r="AH262" s="1">
        <f t="shared" si="105"/>
        <v>0</v>
      </c>
      <c r="AI262" s="1">
        <f t="shared" si="106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2" t="s">
        <v>583</v>
      </c>
      <c r="E263" s="32" t="s">
        <v>29</v>
      </c>
      <c r="F263" s="32" t="s">
        <v>584</v>
      </c>
      <c r="G263" s="32" t="s">
        <v>1050</v>
      </c>
      <c r="H263" s="32" t="s">
        <v>352</v>
      </c>
      <c r="I263" s="31" t="s">
        <v>585</v>
      </c>
      <c r="J263" s="31">
        <v>99</v>
      </c>
      <c r="K263" s="33" t="s">
        <v>694</v>
      </c>
      <c r="L263" s="33">
        <v>35</v>
      </c>
      <c r="M263" s="34" t="s">
        <v>1370</v>
      </c>
      <c r="N263" s="34" t="s">
        <v>1687</v>
      </c>
      <c r="O263" s="35">
        <v>1</v>
      </c>
      <c r="P263" s="35">
        <v>1</v>
      </c>
      <c r="Q263" s="32"/>
      <c r="S263" s="1">
        <f t="shared" si="91"/>
        <v>0</v>
      </c>
      <c r="T263" s="1">
        <f t="shared" si="92"/>
        <v>0</v>
      </c>
      <c r="U263" s="1">
        <f t="shared" si="93"/>
        <v>0</v>
      </c>
      <c r="V263" s="1">
        <f t="shared" si="94"/>
        <v>0</v>
      </c>
      <c r="W263" s="1">
        <f t="shared" si="95"/>
        <v>0</v>
      </c>
      <c r="X263" s="1">
        <f t="shared" si="96"/>
        <v>0</v>
      </c>
      <c r="Y263" s="1">
        <f t="shared" si="97"/>
        <v>0</v>
      </c>
      <c r="Z263" s="1">
        <f t="shared" si="98"/>
        <v>0</v>
      </c>
      <c r="AA263" s="1">
        <f t="shared" si="99"/>
        <v>0</v>
      </c>
      <c r="AB263" s="1">
        <f t="shared" si="100"/>
        <v>0</v>
      </c>
      <c r="AD263" s="1">
        <f t="shared" si="101"/>
        <v>1</v>
      </c>
      <c r="AE263" s="1">
        <f t="shared" si="102"/>
        <v>0</v>
      </c>
      <c r="AF263" s="1">
        <f t="shared" si="103"/>
        <v>1</v>
      </c>
      <c r="AG263" s="1">
        <f t="shared" si="104"/>
        <v>0</v>
      </c>
      <c r="AH263" s="1">
        <f t="shared" si="105"/>
        <v>1</v>
      </c>
      <c r="AI263" s="1">
        <f t="shared" si="106"/>
        <v>0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2" t="s">
        <v>1588</v>
      </c>
      <c r="E264" s="32" t="s">
        <v>29</v>
      </c>
      <c r="F264" s="32" t="s">
        <v>1642</v>
      </c>
      <c r="G264" s="32" t="s">
        <v>310</v>
      </c>
      <c r="H264" s="32" t="s">
        <v>352</v>
      </c>
      <c r="I264" s="31" t="s">
        <v>1589</v>
      </c>
      <c r="J264" s="31"/>
      <c r="K264" s="33" t="s">
        <v>704</v>
      </c>
      <c r="L264" s="33">
        <v>45</v>
      </c>
      <c r="M264" s="34" t="s">
        <v>1751</v>
      </c>
      <c r="N264" s="34" t="s">
        <v>1693</v>
      </c>
      <c r="O264" s="35">
        <v>1</v>
      </c>
      <c r="P264" s="35">
        <v>1</v>
      </c>
      <c r="Q264" s="32"/>
      <c r="S264" s="1">
        <f t="shared" si="91"/>
        <v>0</v>
      </c>
      <c r="T264" s="1">
        <f t="shared" si="92"/>
        <v>0</v>
      </c>
      <c r="U264" s="1">
        <f t="shared" si="93"/>
        <v>0</v>
      </c>
      <c r="V264" s="1">
        <f t="shared" si="94"/>
        <v>0</v>
      </c>
      <c r="W264" s="1">
        <f t="shared" si="95"/>
        <v>0</v>
      </c>
      <c r="X264" s="1">
        <f t="shared" si="96"/>
        <v>0</v>
      </c>
      <c r="Y264" s="1">
        <f t="shared" si="97"/>
        <v>0</v>
      </c>
      <c r="Z264" s="1">
        <f t="shared" si="98"/>
        <v>0</v>
      </c>
      <c r="AA264" s="1">
        <f t="shared" si="99"/>
        <v>0</v>
      </c>
      <c r="AB264" s="1">
        <f t="shared" si="100"/>
        <v>0</v>
      </c>
      <c r="AD264" s="1">
        <f t="shared" si="101"/>
        <v>1</v>
      </c>
      <c r="AE264" s="1">
        <f t="shared" si="102"/>
        <v>0</v>
      </c>
      <c r="AF264" s="1">
        <f t="shared" si="103"/>
        <v>1</v>
      </c>
      <c r="AG264" s="1">
        <f t="shared" si="104"/>
        <v>0</v>
      </c>
      <c r="AH264" s="1">
        <f t="shared" si="105"/>
        <v>1</v>
      </c>
      <c r="AI264" s="1">
        <f t="shared" si="106"/>
        <v>0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2" t="s">
        <v>840</v>
      </c>
      <c r="E265" s="32" t="s">
        <v>29</v>
      </c>
      <c r="F265" s="32" t="s">
        <v>841</v>
      </c>
      <c r="G265" s="32" t="s">
        <v>201</v>
      </c>
      <c r="H265" s="32" t="s">
        <v>352</v>
      </c>
      <c r="I265" s="31" t="s">
        <v>842</v>
      </c>
      <c r="J265" s="31">
        <v>10</v>
      </c>
      <c r="K265" s="33" t="s">
        <v>704</v>
      </c>
      <c r="L265" s="33" t="s">
        <v>684</v>
      </c>
      <c r="M265" s="34" t="s">
        <v>1370</v>
      </c>
      <c r="N265" s="34" t="s">
        <v>1707</v>
      </c>
      <c r="O265" s="35">
        <v>1</v>
      </c>
      <c r="P265" s="35"/>
      <c r="Q265" s="32"/>
      <c r="S265" s="1">
        <f t="shared" si="91"/>
        <v>0</v>
      </c>
      <c r="T265" s="1">
        <f t="shared" si="92"/>
        <v>0</v>
      </c>
      <c r="U265" s="1">
        <f t="shared" si="93"/>
        <v>0</v>
      </c>
      <c r="V265" s="1">
        <f t="shared" si="94"/>
        <v>0</v>
      </c>
      <c r="W265" s="1">
        <f t="shared" si="95"/>
        <v>0</v>
      </c>
      <c r="X265" s="1">
        <f t="shared" si="96"/>
        <v>0</v>
      </c>
      <c r="Y265" s="1">
        <f t="shared" si="97"/>
        <v>0</v>
      </c>
      <c r="Z265" s="1">
        <f t="shared" si="98"/>
        <v>0</v>
      </c>
      <c r="AA265" s="1">
        <f t="shared" si="99"/>
        <v>0</v>
      </c>
      <c r="AB265" s="1">
        <f t="shared" si="100"/>
        <v>1</v>
      </c>
      <c r="AD265" s="1">
        <f t="shared" si="101"/>
        <v>0</v>
      </c>
      <c r="AE265" s="1">
        <f t="shared" si="102"/>
        <v>1</v>
      </c>
      <c r="AF265" s="1">
        <f t="shared" si="103"/>
        <v>0</v>
      </c>
      <c r="AG265" s="1">
        <f t="shared" si="104"/>
        <v>1</v>
      </c>
      <c r="AH265" s="1">
        <f t="shared" si="105"/>
        <v>0</v>
      </c>
      <c r="AI265" s="1">
        <f t="shared" si="106"/>
        <v>1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2" t="s">
        <v>40</v>
      </c>
      <c r="E266" s="32" t="s">
        <v>29</v>
      </c>
      <c r="F266" s="32" t="s">
        <v>279</v>
      </c>
      <c r="G266" s="32" t="s">
        <v>229</v>
      </c>
      <c r="H266" s="32" t="s">
        <v>352</v>
      </c>
      <c r="I266" s="31" t="s">
        <v>433</v>
      </c>
      <c r="J266" s="31">
        <v>7</v>
      </c>
      <c r="K266" s="33" t="s">
        <v>704</v>
      </c>
      <c r="L266" s="33" t="s">
        <v>687</v>
      </c>
      <c r="M266" s="34" t="s">
        <v>950</v>
      </c>
      <c r="N266" s="34" t="s">
        <v>1687</v>
      </c>
      <c r="O266" s="35">
        <v>1</v>
      </c>
      <c r="P266" s="35">
        <v>1</v>
      </c>
      <c r="Q266" s="32"/>
      <c r="S266" s="1">
        <f t="shared" si="91"/>
        <v>0</v>
      </c>
      <c r="T266" s="1">
        <f t="shared" si="92"/>
        <v>0</v>
      </c>
      <c r="U266" s="1">
        <f t="shared" si="93"/>
        <v>0</v>
      </c>
      <c r="V266" s="1">
        <f t="shared" si="94"/>
        <v>0</v>
      </c>
      <c r="W266" s="1">
        <f t="shared" si="95"/>
        <v>0</v>
      </c>
      <c r="X266" s="1">
        <f t="shared" si="96"/>
        <v>0</v>
      </c>
      <c r="Y266" s="1">
        <f t="shared" si="97"/>
        <v>1</v>
      </c>
      <c r="Z266" s="1">
        <f t="shared" si="98"/>
        <v>0</v>
      </c>
      <c r="AA266" s="1">
        <f t="shared" si="99"/>
        <v>0</v>
      </c>
      <c r="AB266" s="1">
        <f t="shared" si="100"/>
        <v>0</v>
      </c>
      <c r="AD266" s="1">
        <f t="shared" si="101"/>
        <v>1</v>
      </c>
      <c r="AE266" s="1">
        <f t="shared" si="102"/>
        <v>0</v>
      </c>
      <c r="AF266" s="1">
        <f t="shared" si="103"/>
        <v>1</v>
      </c>
      <c r="AG266" s="1">
        <f t="shared" si="104"/>
        <v>0</v>
      </c>
      <c r="AH266" s="1">
        <f t="shared" si="105"/>
        <v>1</v>
      </c>
      <c r="AI266" s="1">
        <f t="shared" si="106"/>
        <v>0</v>
      </c>
    </row>
    <row r="267" spans="1:35" s="1" customFormat="1" ht="14.25" customHeight="1" x14ac:dyDescent="0.25">
      <c r="A267" s="31">
        <v>1</v>
      </c>
      <c r="B267" s="31">
        <v>1</v>
      </c>
      <c r="C267" s="31">
        <v>7</v>
      </c>
      <c r="D267" s="32" t="s">
        <v>40</v>
      </c>
      <c r="E267" s="32" t="s">
        <v>29</v>
      </c>
      <c r="F267" s="32" t="s">
        <v>1562</v>
      </c>
      <c r="G267" s="32" t="s">
        <v>39</v>
      </c>
      <c r="H267" s="32" t="s">
        <v>352</v>
      </c>
      <c r="I267" s="31" t="s">
        <v>1563</v>
      </c>
      <c r="J267" s="31">
        <v>99</v>
      </c>
      <c r="K267" s="33" t="s">
        <v>704</v>
      </c>
      <c r="L267" s="33" t="s">
        <v>687</v>
      </c>
      <c r="M267" s="34" t="s">
        <v>950</v>
      </c>
      <c r="N267" s="34" t="s">
        <v>1687</v>
      </c>
      <c r="O267" s="35">
        <v>1</v>
      </c>
      <c r="P267" s="35">
        <v>1</v>
      </c>
      <c r="Q267" s="32"/>
      <c r="S267" s="1">
        <f t="shared" si="91"/>
        <v>0</v>
      </c>
      <c r="T267" s="1">
        <f t="shared" si="92"/>
        <v>0</v>
      </c>
      <c r="U267" s="1">
        <f t="shared" si="93"/>
        <v>0</v>
      </c>
      <c r="V267" s="1">
        <f t="shared" si="94"/>
        <v>0</v>
      </c>
      <c r="W267" s="1">
        <f t="shared" si="95"/>
        <v>0</v>
      </c>
      <c r="X267" s="1">
        <f t="shared" si="96"/>
        <v>0</v>
      </c>
      <c r="Y267" s="1">
        <f t="shared" si="97"/>
        <v>0</v>
      </c>
      <c r="Z267" s="1">
        <f t="shared" si="98"/>
        <v>0</v>
      </c>
      <c r="AA267" s="1">
        <f t="shared" si="99"/>
        <v>0</v>
      </c>
      <c r="AB267" s="1">
        <f t="shared" si="100"/>
        <v>0</v>
      </c>
      <c r="AD267" s="1">
        <f t="shared" si="101"/>
        <v>1</v>
      </c>
      <c r="AE267" s="1">
        <f t="shared" si="102"/>
        <v>0</v>
      </c>
      <c r="AF267" s="1">
        <f t="shared" si="103"/>
        <v>0</v>
      </c>
      <c r="AG267" s="1">
        <f t="shared" si="104"/>
        <v>0</v>
      </c>
      <c r="AH267" s="1">
        <f t="shared" si="105"/>
        <v>0</v>
      </c>
      <c r="AI267" s="1">
        <f t="shared" si="106"/>
        <v>0</v>
      </c>
    </row>
    <row r="268" spans="1:35" s="1" customFormat="1" ht="14.25" customHeight="1" x14ac:dyDescent="0.25">
      <c r="A268" s="31">
        <v>0</v>
      </c>
      <c r="B268" s="31">
        <v>1</v>
      </c>
      <c r="C268" s="31">
        <v>7</v>
      </c>
      <c r="D268" s="32" t="s">
        <v>1447</v>
      </c>
      <c r="E268" s="32" t="s">
        <v>29</v>
      </c>
      <c r="F268" s="32" t="s">
        <v>981</v>
      </c>
      <c r="G268" s="32" t="s">
        <v>1079</v>
      </c>
      <c r="H268" s="32" t="s">
        <v>352</v>
      </c>
      <c r="I268" s="31" t="s">
        <v>1087</v>
      </c>
      <c r="J268" s="31">
        <v>10</v>
      </c>
      <c r="K268" s="33" t="s">
        <v>704</v>
      </c>
      <c r="L268" s="33" t="s">
        <v>685</v>
      </c>
      <c r="M268" s="34" t="s">
        <v>950</v>
      </c>
      <c r="N268" s="34" t="s">
        <v>1696</v>
      </c>
      <c r="O268" s="35">
        <v>1</v>
      </c>
      <c r="P268" s="35"/>
      <c r="Q268" s="32"/>
      <c r="S268" s="1">
        <f t="shared" si="91"/>
        <v>0</v>
      </c>
      <c r="T268" s="1">
        <f t="shared" si="92"/>
        <v>0</v>
      </c>
      <c r="U268" s="1">
        <f t="shared" si="93"/>
        <v>0</v>
      </c>
      <c r="V268" s="1">
        <f t="shared" si="94"/>
        <v>0</v>
      </c>
      <c r="W268" s="1">
        <f t="shared" si="95"/>
        <v>0</v>
      </c>
      <c r="X268" s="1">
        <f t="shared" si="96"/>
        <v>0</v>
      </c>
      <c r="Y268" s="1">
        <f t="shared" si="97"/>
        <v>0</v>
      </c>
      <c r="Z268" s="1">
        <f t="shared" si="98"/>
        <v>0</v>
      </c>
      <c r="AA268" s="1">
        <f t="shared" si="99"/>
        <v>0</v>
      </c>
      <c r="AB268" s="1">
        <f t="shared" si="100"/>
        <v>1</v>
      </c>
      <c r="AD268" s="1">
        <f t="shared" si="101"/>
        <v>0</v>
      </c>
      <c r="AE268" s="1">
        <f t="shared" si="102"/>
        <v>1</v>
      </c>
      <c r="AF268" s="1">
        <f t="shared" si="103"/>
        <v>0</v>
      </c>
      <c r="AG268" s="1">
        <f t="shared" si="104"/>
        <v>1</v>
      </c>
      <c r="AH268" s="1">
        <f t="shared" si="105"/>
        <v>0</v>
      </c>
      <c r="AI268" s="1">
        <f t="shared" si="106"/>
        <v>1</v>
      </c>
    </row>
    <row r="269" spans="1:35" s="1" customFormat="1" ht="14.25" customHeight="1" x14ac:dyDescent="0.25">
      <c r="A269" s="31">
        <v>0</v>
      </c>
      <c r="B269" s="31">
        <v>1</v>
      </c>
      <c r="C269" s="31">
        <v>7</v>
      </c>
      <c r="D269" s="36" t="s">
        <v>1448</v>
      </c>
      <c r="E269" s="32" t="s">
        <v>29</v>
      </c>
      <c r="F269" s="36" t="s">
        <v>979</v>
      </c>
      <c r="G269" s="36" t="s">
        <v>239</v>
      </c>
      <c r="H269" s="36" t="s">
        <v>352</v>
      </c>
      <c r="I269" s="37" t="s">
        <v>980</v>
      </c>
      <c r="J269" s="31">
        <v>1</v>
      </c>
      <c r="K269" s="33" t="s">
        <v>938</v>
      </c>
      <c r="L269" s="33" t="s">
        <v>685</v>
      </c>
      <c r="M269" s="34" t="s">
        <v>950</v>
      </c>
      <c r="N269" s="34" t="s">
        <v>1752</v>
      </c>
      <c r="O269" s="35">
        <v>1</v>
      </c>
      <c r="P269" s="35"/>
      <c r="Q269" s="36"/>
      <c r="S269" s="1">
        <f t="shared" si="91"/>
        <v>1</v>
      </c>
      <c r="T269" s="1">
        <f t="shared" si="92"/>
        <v>0</v>
      </c>
      <c r="U269" s="1">
        <f t="shared" si="93"/>
        <v>0</v>
      </c>
      <c r="V269" s="1">
        <f t="shared" si="94"/>
        <v>0</v>
      </c>
      <c r="W269" s="1">
        <f t="shared" si="95"/>
        <v>0</v>
      </c>
      <c r="X269" s="1">
        <f t="shared" si="96"/>
        <v>0</v>
      </c>
      <c r="Y269" s="1">
        <f t="shared" si="97"/>
        <v>0</v>
      </c>
      <c r="Z269" s="1">
        <f t="shared" si="98"/>
        <v>0</v>
      </c>
      <c r="AA269" s="1">
        <f t="shared" si="99"/>
        <v>0</v>
      </c>
      <c r="AB269" s="1">
        <f t="shared" si="100"/>
        <v>0</v>
      </c>
      <c r="AD269" s="1">
        <f t="shared" si="101"/>
        <v>0</v>
      </c>
      <c r="AE269" s="1">
        <f t="shared" si="102"/>
        <v>1</v>
      </c>
      <c r="AF269" s="1">
        <f t="shared" si="103"/>
        <v>0</v>
      </c>
      <c r="AG269" s="1">
        <f t="shared" si="104"/>
        <v>1</v>
      </c>
      <c r="AH269" s="1">
        <f t="shared" si="105"/>
        <v>0</v>
      </c>
      <c r="AI269" s="1">
        <f t="shared" si="106"/>
        <v>1</v>
      </c>
    </row>
    <row r="270" spans="1:35" s="1" customFormat="1" ht="14.25" customHeight="1" x14ac:dyDescent="0.25">
      <c r="A270" s="31">
        <v>1</v>
      </c>
      <c r="B270" s="31">
        <v>1</v>
      </c>
      <c r="C270" s="31">
        <v>7</v>
      </c>
      <c r="D270" s="36" t="s">
        <v>1448</v>
      </c>
      <c r="E270" s="32" t="s">
        <v>29</v>
      </c>
      <c r="F270" s="36" t="s">
        <v>2120</v>
      </c>
      <c r="G270" s="36" t="s">
        <v>219</v>
      </c>
      <c r="H270" s="36" t="s">
        <v>352</v>
      </c>
      <c r="I270" s="37" t="s">
        <v>2121</v>
      </c>
      <c r="J270" s="31">
        <v>8</v>
      </c>
      <c r="K270" s="33" t="s">
        <v>938</v>
      </c>
      <c r="L270" s="33" t="s">
        <v>685</v>
      </c>
      <c r="M270" s="34" t="s">
        <v>950</v>
      </c>
      <c r="N270" s="34" t="s">
        <v>1752</v>
      </c>
      <c r="O270" s="35">
        <v>1</v>
      </c>
      <c r="P270" s="35"/>
      <c r="Q270" s="36"/>
      <c r="S270" s="1">
        <f t="shared" si="91"/>
        <v>0</v>
      </c>
      <c r="T270" s="1">
        <f t="shared" si="92"/>
        <v>0</v>
      </c>
      <c r="U270" s="1">
        <f t="shared" si="93"/>
        <v>0</v>
      </c>
      <c r="V270" s="1">
        <f t="shared" si="94"/>
        <v>0</v>
      </c>
      <c r="W270" s="1">
        <f t="shared" si="95"/>
        <v>0</v>
      </c>
      <c r="X270" s="1">
        <f t="shared" si="96"/>
        <v>0</v>
      </c>
      <c r="Y270" s="1">
        <f t="shared" si="97"/>
        <v>0</v>
      </c>
      <c r="Z270" s="1">
        <f t="shared" si="98"/>
        <v>1</v>
      </c>
      <c r="AA270" s="1">
        <f t="shared" si="99"/>
        <v>0</v>
      </c>
      <c r="AB270" s="1">
        <f t="shared" si="100"/>
        <v>0</v>
      </c>
      <c r="AD270" s="1">
        <f t="shared" si="101"/>
        <v>0</v>
      </c>
      <c r="AE270" s="1">
        <f t="shared" si="102"/>
        <v>1</v>
      </c>
      <c r="AF270" s="1">
        <f t="shared" si="103"/>
        <v>0</v>
      </c>
      <c r="AG270" s="1">
        <f t="shared" si="104"/>
        <v>0</v>
      </c>
      <c r="AH270" s="1">
        <f t="shared" si="105"/>
        <v>0</v>
      </c>
      <c r="AI270" s="1">
        <f t="shared" si="106"/>
        <v>0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6" t="s">
        <v>877</v>
      </c>
      <c r="E271" s="32" t="s">
        <v>29</v>
      </c>
      <c r="F271" s="36" t="s">
        <v>878</v>
      </c>
      <c r="G271" s="36" t="s">
        <v>39</v>
      </c>
      <c r="H271" s="36" t="s">
        <v>353</v>
      </c>
      <c r="I271" s="37" t="s">
        <v>879</v>
      </c>
      <c r="J271" s="31">
        <v>11</v>
      </c>
      <c r="K271" s="33" t="s">
        <v>694</v>
      </c>
      <c r="L271" s="33">
        <v>35</v>
      </c>
      <c r="M271" s="34" t="s">
        <v>1370</v>
      </c>
      <c r="N271" s="34" t="s">
        <v>1799</v>
      </c>
      <c r="O271" s="35">
        <v>1</v>
      </c>
      <c r="P271" s="35"/>
      <c r="Q271" s="36" t="s">
        <v>1852</v>
      </c>
      <c r="S271" s="1">
        <f t="shared" si="91"/>
        <v>0</v>
      </c>
      <c r="T271" s="1">
        <f t="shared" si="92"/>
        <v>0</v>
      </c>
      <c r="U271" s="1">
        <f t="shared" si="93"/>
        <v>0</v>
      </c>
      <c r="V271" s="1">
        <f t="shared" si="94"/>
        <v>0</v>
      </c>
      <c r="W271" s="1">
        <f t="shared" si="95"/>
        <v>0</v>
      </c>
      <c r="X271" s="1">
        <f t="shared" si="96"/>
        <v>0</v>
      </c>
      <c r="Y271" s="1">
        <f t="shared" si="97"/>
        <v>0</v>
      </c>
      <c r="Z271" s="1">
        <f t="shared" si="98"/>
        <v>0</v>
      </c>
      <c r="AA271" s="1">
        <f t="shared" si="99"/>
        <v>0</v>
      </c>
      <c r="AB271" s="1">
        <f t="shared" si="100"/>
        <v>0</v>
      </c>
      <c r="AD271" s="1">
        <f t="shared" si="101"/>
        <v>0</v>
      </c>
      <c r="AE271" s="1">
        <f t="shared" si="102"/>
        <v>1</v>
      </c>
      <c r="AF271" s="1">
        <f t="shared" si="103"/>
        <v>0</v>
      </c>
      <c r="AG271" s="1">
        <f t="shared" si="104"/>
        <v>1</v>
      </c>
      <c r="AH271" s="1">
        <f t="shared" si="105"/>
        <v>0</v>
      </c>
      <c r="AI271" s="1">
        <f t="shared" si="106"/>
        <v>1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6" t="s">
        <v>1061</v>
      </c>
      <c r="E272" s="32" t="s">
        <v>29</v>
      </c>
      <c r="F272" s="36" t="s">
        <v>963</v>
      </c>
      <c r="G272" s="36" t="s">
        <v>202</v>
      </c>
      <c r="H272" s="36" t="s">
        <v>352</v>
      </c>
      <c r="I272" s="37" t="s">
        <v>964</v>
      </c>
      <c r="J272" s="31">
        <v>99</v>
      </c>
      <c r="K272" s="33" t="s">
        <v>704</v>
      </c>
      <c r="L272" s="33" t="s">
        <v>685</v>
      </c>
      <c r="M272" s="34" t="s">
        <v>1405</v>
      </c>
      <c r="N272" s="34" t="s">
        <v>1687</v>
      </c>
      <c r="O272" s="35">
        <v>1</v>
      </c>
      <c r="P272" s="35">
        <v>1</v>
      </c>
      <c r="Q272" s="36"/>
      <c r="S272" s="1">
        <f t="shared" si="91"/>
        <v>0</v>
      </c>
      <c r="T272" s="1">
        <f t="shared" si="92"/>
        <v>0</v>
      </c>
      <c r="U272" s="1">
        <f t="shared" si="93"/>
        <v>0</v>
      </c>
      <c r="V272" s="1">
        <f t="shared" si="94"/>
        <v>0</v>
      </c>
      <c r="W272" s="1">
        <f t="shared" si="95"/>
        <v>0</v>
      </c>
      <c r="X272" s="1">
        <f t="shared" si="96"/>
        <v>0</v>
      </c>
      <c r="Y272" s="1">
        <f t="shared" si="97"/>
        <v>0</v>
      </c>
      <c r="Z272" s="1">
        <f t="shared" si="98"/>
        <v>0</v>
      </c>
      <c r="AA272" s="1">
        <f t="shared" si="99"/>
        <v>0</v>
      </c>
      <c r="AB272" s="1">
        <f t="shared" si="100"/>
        <v>0</v>
      </c>
      <c r="AD272" s="1">
        <f t="shared" si="101"/>
        <v>1</v>
      </c>
      <c r="AE272" s="1">
        <f t="shared" si="102"/>
        <v>0</v>
      </c>
      <c r="AF272" s="1">
        <f t="shared" si="103"/>
        <v>1</v>
      </c>
      <c r="AG272" s="1">
        <f t="shared" si="104"/>
        <v>0</v>
      </c>
      <c r="AH272" s="1">
        <f t="shared" si="105"/>
        <v>1</v>
      </c>
      <c r="AI272" s="1">
        <f t="shared" si="106"/>
        <v>0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6" t="s">
        <v>809</v>
      </c>
      <c r="E273" s="32" t="s">
        <v>29</v>
      </c>
      <c r="F273" s="36" t="s">
        <v>810</v>
      </c>
      <c r="G273" s="36" t="s">
        <v>907</v>
      </c>
      <c r="H273" s="36" t="s">
        <v>352</v>
      </c>
      <c r="I273" s="37" t="s">
        <v>811</v>
      </c>
      <c r="J273" s="31">
        <v>99</v>
      </c>
      <c r="K273" s="33" t="s">
        <v>932</v>
      </c>
      <c r="L273" s="33" t="s">
        <v>685</v>
      </c>
      <c r="M273" s="34" t="s">
        <v>950</v>
      </c>
      <c r="N273" s="34" t="s">
        <v>1775</v>
      </c>
      <c r="O273" s="35">
        <v>1</v>
      </c>
      <c r="P273" s="35"/>
      <c r="Q273" s="36"/>
      <c r="S273" s="1">
        <f t="shared" si="91"/>
        <v>0</v>
      </c>
      <c r="T273" s="1">
        <f t="shared" si="92"/>
        <v>0</v>
      </c>
      <c r="U273" s="1">
        <f t="shared" si="93"/>
        <v>0</v>
      </c>
      <c r="V273" s="1">
        <f t="shared" si="94"/>
        <v>0</v>
      </c>
      <c r="W273" s="1">
        <f t="shared" si="95"/>
        <v>0</v>
      </c>
      <c r="X273" s="1">
        <f t="shared" si="96"/>
        <v>0</v>
      </c>
      <c r="Y273" s="1">
        <f t="shared" si="97"/>
        <v>0</v>
      </c>
      <c r="Z273" s="1">
        <f t="shared" si="98"/>
        <v>0</v>
      </c>
      <c r="AA273" s="1">
        <f t="shared" si="99"/>
        <v>0</v>
      </c>
      <c r="AB273" s="1">
        <f t="shared" si="100"/>
        <v>0</v>
      </c>
      <c r="AD273" s="1">
        <f t="shared" si="101"/>
        <v>0</v>
      </c>
      <c r="AE273" s="1">
        <f t="shared" si="102"/>
        <v>1</v>
      </c>
      <c r="AF273" s="1">
        <f t="shared" si="103"/>
        <v>0</v>
      </c>
      <c r="AG273" s="1">
        <f t="shared" si="104"/>
        <v>1</v>
      </c>
      <c r="AH273" s="1">
        <f t="shared" si="105"/>
        <v>0</v>
      </c>
      <c r="AI273" s="1">
        <f t="shared" si="106"/>
        <v>1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6" t="s">
        <v>1680</v>
      </c>
      <c r="E274" s="32" t="s">
        <v>29</v>
      </c>
      <c r="F274" s="36" t="s">
        <v>1681</v>
      </c>
      <c r="G274" s="36" t="s">
        <v>248</v>
      </c>
      <c r="H274" s="36" t="s">
        <v>352</v>
      </c>
      <c r="I274" s="37" t="s">
        <v>1682</v>
      </c>
      <c r="J274" s="31"/>
      <c r="K274" s="33" t="s">
        <v>694</v>
      </c>
      <c r="L274" s="33"/>
      <c r="M274" s="34"/>
      <c r="N274" s="34" t="s">
        <v>1687</v>
      </c>
      <c r="O274" s="35">
        <v>1</v>
      </c>
      <c r="P274" s="35">
        <v>1</v>
      </c>
      <c r="Q274" s="36"/>
      <c r="S274" s="1">
        <f t="shared" si="91"/>
        <v>0</v>
      </c>
      <c r="T274" s="1">
        <f t="shared" si="92"/>
        <v>0</v>
      </c>
      <c r="U274" s="1">
        <f t="shared" si="93"/>
        <v>0</v>
      </c>
      <c r="V274" s="1">
        <f t="shared" si="94"/>
        <v>0</v>
      </c>
      <c r="W274" s="1">
        <f t="shared" si="95"/>
        <v>0</v>
      </c>
      <c r="X274" s="1">
        <f t="shared" si="96"/>
        <v>0</v>
      </c>
      <c r="Y274" s="1">
        <f t="shared" si="97"/>
        <v>0</v>
      </c>
      <c r="Z274" s="1">
        <f t="shared" si="98"/>
        <v>0</v>
      </c>
      <c r="AA274" s="1">
        <f t="shared" si="99"/>
        <v>0</v>
      </c>
      <c r="AB274" s="1">
        <f t="shared" si="100"/>
        <v>0</v>
      </c>
      <c r="AD274" s="1">
        <f t="shared" si="101"/>
        <v>1</v>
      </c>
      <c r="AE274" s="1">
        <f t="shared" si="102"/>
        <v>0</v>
      </c>
      <c r="AF274" s="1">
        <f t="shared" si="103"/>
        <v>1</v>
      </c>
      <c r="AG274" s="1">
        <f t="shared" si="104"/>
        <v>0</v>
      </c>
      <c r="AH274" s="1">
        <f t="shared" si="105"/>
        <v>1</v>
      </c>
      <c r="AI274" s="1">
        <f t="shared" si="106"/>
        <v>0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2" t="s">
        <v>880</v>
      </c>
      <c r="E275" s="32" t="s">
        <v>29</v>
      </c>
      <c r="F275" s="32" t="s">
        <v>881</v>
      </c>
      <c r="G275" s="32" t="s">
        <v>227</v>
      </c>
      <c r="H275" s="32" t="s">
        <v>352</v>
      </c>
      <c r="I275" s="31" t="s">
        <v>882</v>
      </c>
      <c r="J275" s="31">
        <v>99</v>
      </c>
      <c r="K275" s="33" t="s">
        <v>704</v>
      </c>
      <c r="L275" s="33" t="s">
        <v>685</v>
      </c>
      <c r="M275" s="34" t="s">
        <v>1371</v>
      </c>
      <c r="N275" s="34" t="s">
        <v>1700</v>
      </c>
      <c r="O275" s="35">
        <v>1</v>
      </c>
      <c r="P275" s="35"/>
      <c r="Q275" s="32"/>
      <c r="S275" s="1">
        <f t="shared" si="91"/>
        <v>0</v>
      </c>
      <c r="T275" s="1">
        <f t="shared" si="92"/>
        <v>0</v>
      </c>
      <c r="U275" s="1">
        <f t="shared" si="93"/>
        <v>0</v>
      </c>
      <c r="V275" s="1">
        <f t="shared" si="94"/>
        <v>0</v>
      </c>
      <c r="W275" s="1">
        <f t="shared" si="95"/>
        <v>0</v>
      </c>
      <c r="X275" s="1">
        <f t="shared" si="96"/>
        <v>0</v>
      </c>
      <c r="Y275" s="1">
        <f t="shared" si="97"/>
        <v>0</v>
      </c>
      <c r="Z275" s="1">
        <f t="shared" si="98"/>
        <v>0</v>
      </c>
      <c r="AA275" s="1">
        <f t="shared" si="99"/>
        <v>0</v>
      </c>
      <c r="AB275" s="1">
        <f t="shared" si="100"/>
        <v>0</v>
      </c>
      <c r="AD275" s="1">
        <f t="shared" si="101"/>
        <v>0</v>
      </c>
      <c r="AE275" s="1">
        <f t="shared" si="102"/>
        <v>1</v>
      </c>
      <c r="AF275" s="1">
        <f t="shared" si="103"/>
        <v>0</v>
      </c>
      <c r="AG275" s="1">
        <f t="shared" si="104"/>
        <v>1</v>
      </c>
      <c r="AH275" s="1">
        <f t="shared" si="105"/>
        <v>0</v>
      </c>
      <c r="AI275" s="1">
        <f t="shared" si="106"/>
        <v>1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2" t="s">
        <v>88</v>
      </c>
      <c r="E276" s="32" t="s">
        <v>29</v>
      </c>
      <c r="F276" s="32" t="s">
        <v>280</v>
      </c>
      <c r="G276" s="32" t="s">
        <v>281</v>
      </c>
      <c r="H276" s="32" t="s">
        <v>352</v>
      </c>
      <c r="I276" s="31" t="s">
        <v>921</v>
      </c>
      <c r="J276" s="31">
        <v>99</v>
      </c>
      <c r="K276" s="33" t="s">
        <v>932</v>
      </c>
      <c r="L276" s="33" t="s">
        <v>685</v>
      </c>
      <c r="M276" s="34" t="s">
        <v>950</v>
      </c>
      <c r="N276" s="34" t="s">
        <v>1799</v>
      </c>
      <c r="O276" s="35">
        <v>1</v>
      </c>
      <c r="P276" s="35"/>
      <c r="Q276" s="32"/>
      <c r="S276" s="1">
        <f t="shared" si="91"/>
        <v>0</v>
      </c>
      <c r="T276" s="1">
        <f t="shared" si="92"/>
        <v>0</v>
      </c>
      <c r="U276" s="1">
        <f t="shared" si="93"/>
        <v>0</v>
      </c>
      <c r="V276" s="1">
        <f t="shared" si="94"/>
        <v>0</v>
      </c>
      <c r="W276" s="1">
        <f t="shared" si="95"/>
        <v>0</v>
      </c>
      <c r="X276" s="1">
        <f t="shared" si="96"/>
        <v>0</v>
      </c>
      <c r="Y276" s="1">
        <f t="shared" si="97"/>
        <v>0</v>
      </c>
      <c r="Z276" s="1">
        <f t="shared" si="98"/>
        <v>0</v>
      </c>
      <c r="AA276" s="1">
        <f t="shared" si="99"/>
        <v>0</v>
      </c>
      <c r="AB276" s="1">
        <f t="shared" si="100"/>
        <v>0</v>
      </c>
      <c r="AD276" s="1">
        <f t="shared" si="101"/>
        <v>0</v>
      </c>
      <c r="AE276" s="1">
        <f t="shared" si="102"/>
        <v>1</v>
      </c>
      <c r="AF276" s="1">
        <f t="shared" si="103"/>
        <v>0</v>
      </c>
      <c r="AG276" s="1">
        <f t="shared" si="104"/>
        <v>1</v>
      </c>
      <c r="AH276" s="1">
        <f t="shared" si="105"/>
        <v>0</v>
      </c>
      <c r="AI276" s="1">
        <f t="shared" si="106"/>
        <v>1</v>
      </c>
    </row>
    <row r="277" spans="1:35" s="1" customFormat="1" ht="14.25" customHeight="1" x14ac:dyDescent="0.25">
      <c r="A277" s="31">
        <v>0</v>
      </c>
      <c r="B277" s="31">
        <v>1</v>
      </c>
      <c r="C277" s="31">
        <v>7</v>
      </c>
      <c r="D277" s="36" t="s">
        <v>1597</v>
      </c>
      <c r="E277" s="32" t="s">
        <v>29</v>
      </c>
      <c r="F277" s="36" t="s">
        <v>1496</v>
      </c>
      <c r="G277" s="36" t="s">
        <v>39</v>
      </c>
      <c r="H277" s="36" t="s">
        <v>865</v>
      </c>
      <c r="I277" s="37" t="s">
        <v>1497</v>
      </c>
      <c r="J277" s="31">
        <v>17</v>
      </c>
      <c r="K277" s="33" t="s">
        <v>704</v>
      </c>
      <c r="L277" s="33" t="s">
        <v>688</v>
      </c>
      <c r="M277" s="34" t="s">
        <v>1420</v>
      </c>
      <c r="N277" s="34" t="s">
        <v>1687</v>
      </c>
      <c r="O277" s="35">
        <v>1</v>
      </c>
      <c r="P277" s="35">
        <v>1</v>
      </c>
      <c r="Q277" s="36"/>
      <c r="S277" s="1">
        <f t="shared" si="91"/>
        <v>0</v>
      </c>
      <c r="T277" s="1">
        <f t="shared" si="92"/>
        <v>0</v>
      </c>
      <c r="U277" s="1">
        <f t="shared" si="93"/>
        <v>0</v>
      </c>
      <c r="V277" s="1">
        <f t="shared" si="94"/>
        <v>0</v>
      </c>
      <c r="W277" s="1">
        <f t="shared" si="95"/>
        <v>0</v>
      </c>
      <c r="X277" s="1">
        <f t="shared" si="96"/>
        <v>0</v>
      </c>
      <c r="Y277" s="1">
        <f t="shared" si="97"/>
        <v>0</v>
      </c>
      <c r="Z277" s="1">
        <f t="shared" si="98"/>
        <v>0</v>
      </c>
      <c r="AA277" s="1">
        <f t="shared" si="99"/>
        <v>0</v>
      </c>
      <c r="AB277" s="1">
        <f t="shared" si="100"/>
        <v>0</v>
      </c>
      <c r="AD277" s="1">
        <f t="shared" si="101"/>
        <v>1</v>
      </c>
      <c r="AE277" s="1">
        <f t="shared" si="102"/>
        <v>0</v>
      </c>
      <c r="AF277" s="1">
        <f t="shared" si="103"/>
        <v>1</v>
      </c>
      <c r="AG277" s="1">
        <f t="shared" si="104"/>
        <v>0</v>
      </c>
      <c r="AH277" s="1">
        <f t="shared" si="105"/>
        <v>1</v>
      </c>
      <c r="AI277" s="1">
        <f t="shared" si="106"/>
        <v>0</v>
      </c>
    </row>
    <row r="278" spans="1:35" s="1" customFormat="1" ht="14.25" customHeight="1" x14ac:dyDescent="0.25">
      <c r="A278" s="31">
        <v>0</v>
      </c>
      <c r="B278" s="31">
        <v>1</v>
      </c>
      <c r="C278" s="31">
        <v>7</v>
      </c>
      <c r="D278" s="32" t="s">
        <v>1417</v>
      </c>
      <c r="E278" s="32" t="s">
        <v>29</v>
      </c>
      <c r="F278" s="32" t="s">
        <v>1418</v>
      </c>
      <c r="G278" s="32" t="s">
        <v>319</v>
      </c>
      <c r="H278" s="32" t="s">
        <v>352</v>
      </c>
      <c r="I278" s="31" t="s">
        <v>1419</v>
      </c>
      <c r="J278" s="31">
        <v>99</v>
      </c>
      <c r="K278" s="33" t="s">
        <v>694</v>
      </c>
      <c r="L278" s="33">
        <v>30</v>
      </c>
      <c r="M278" s="34" t="s">
        <v>1420</v>
      </c>
      <c r="N278" s="34" t="s">
        <v>1775</v>
      </c>
      <c r="O278" s="35">
        <v>1</v>
      </c>
      <c r="P278" s="35"/>
      <c r="Q278" s="32"/>
      <c r="S278" s="1">
        <f t="shared" ref="S278:S342" si="117">IF(J278=$S$7,1,0)</f>
        <v>0</v>
      </c>
      <c r="T278" s="1">
        <f t="shared" ref="T278:T342" si="118">IF(J278=$T$7,1,0)</f>
        <v>0</v>
      </c>
      <c r="U278" s="1">
        <f t="shared" ref="U278:U342" si="119">IF(J278=$U$7,1,0)</f>
        <v>0</v>
      </c>
      <c r="V278" s="1">
        <f t="shared" ref="V278:V342" si="120">IF(J278=$V$7,1,0)</f>
        <v>0</v>
      </c>
      <c r="W278" s="1">
        <f t="shared" ref="W278:W342" si="121">IF(J278=$W$7,1,0)</f>
        <v>0</v>
      </c>
      <c r="X278" s="1">
        <f t="shared" ref="X278:X342" si="122">IF(J278=$X$7,1,0)</f>
        <v>0</v>
      </c>
      <c r="Y278" s="1">
        <f t="shared" ref="Y278:Y342" si="123">IF(J278=$Y$7,1,0)</f>
        <v>0</v>
      </c>
      <c r="Z278" s="1">
        <f t="shared" ref="Z278:Z342" si="124">IF(J278=$Z$7,1,0)</f>
        <v>0</v>
      </c>
      <c r="AA278" s="1">
        <f t="shared" ref="AA278:AA342" si="125">IF(J278=$AA$7,1,0)</f>
        <v>0</v>
      </c>
      <c r="AB278" s="1">
        <f t="shared" ref="AB278:AB342" si="126">IF(J278=$AB$7,1,0)</f>
        <v>0</v>
      </c>
      <c r="AD278" s="1">
        <f t="shared" ref="AD278:AD342" si="127">+O278*P278</f>
        <v>0</v>
      </c>
      <c r="AE278" s="1">
        <f t="shared" ref="AE278:AE342" si="128">O278*(1-P278)</f>
        <v>1</v>
      </c>
      <c r="AF278" s="1">
        <f t="shared" si="103"/>
        <v>0</v>
      </c>
      <c r="AG278" s="1">
        <f t="shared" si="104"/>
        <v>1</v>
      </c>
      <c r="AH278" s="1">
        <f t="shared" si="105"/>
        <v>0</v>
      </c>
      <c r="AI278" s="1">
        <f t="shared" si="106"/>
        <v>1</v>
      </c>
    </row>
    <row r="279" spans="1:35" s="1" customFormat="1" ht="14.25" customHeight="1" x14ac:dyDescent="0.25">
      <c r="A279" s="31">
        <v>0</v>
      </c>
      <c r="B279" s="31">
        <v>1</v>
      </c>
      <c r="C279" s="31">
        <v>7</v>
      </c>
      <c r="D279" s="36" t="s">
        <v>827</v>
      </c>
      <c r="E279" s="32" t="s">
        <v>29</v>
      </c>
      <c r="F279" s="36" t="s">
        <v>828</v>
      </c>
      <c r="G279" s="36" t="s">
        <v>221</v>
      </c>
      <c r="H279" s="36" t="s">
        <v>352</v>
      </c>
      <c r="I279" s="37" t="s">
        <v>829</v>
      </c>
      <c r="J279" s="31">
        <v>99</v>
      </c>
      <c r="K279" s="33" t="s">
        <v>932</v>
      </c>
      <c r="L279" s="33" t="s">
        <v>685</v>
      </c>
      <c r="M279" s="34" t="s">
        <v>950</v>
      </c>
      <c r="N279" s="34" t="s">
        <v>1799</v>
      </c>
      <c r="O279" s="35">
        <v>1</v>
      </c>
      <c r="P279" s="35"/>
      <c r="Q279" s="36"/>
      <c r="S279" s="1">
        <f t="shared" si="117"/>
        <v>0</v>
      </c>
      <c r="T279" s="1">
        <f t="shared" si="118"/>
        <v>0</v>
      </c>
      <c r="U279" s="1">
        <f t="shared" si="119"/>
        <v>0</v>
      </c>
      <c r="V279" s="1">
        <f t="shared" si="120"/>
        <v>0</v>
      </c>
      <c r="W279" s="1">
        <f t="shared" si="121"/>
        <v>0</v>
      </c>
      <c r="X279" s="1">
        <f t="shared" si="122"/>
        <v>0</v>
      </c>
      <c r="Y279" s="1">
        <f t="shared" si="123"/>
        <v>0</v>
      </c>
      <c r="Z279" s="1">
        <f t="shared" si="124"/>
        <v>0</v>
      </c>
      <c r="AA279" s="1">
        <f t="shared" si="125"/>
        <v>0</v>
      </c>
      <c r="AB279" s="1">
        <f t="shared" si="126"/>
        <v>0</v>
      </c>
      <c r="AD279" s="1">
        <f t="shared" si="127"/>
        <v>0</v>
      </c>
      <c r="AE279" s="1">
        <f t="shared" si="128"/>
        <v>1</v>
      </c>
      <c r="AF279" s="1">
        <f t="shared" ref="AF279:AF343" si="129">+O279*P279*(1-A279)</f>
        <v>0</v>
      </c>
      <c r="AG279" s="1">
        <f t="shared" ref="AG279:AG343" si="130">O279*(1-P279)*(1-A279)</f>
        <v>1</v>
      </c>
      <c r="AH279" s="1">
        <f t="shared" ref="AH279:AH343" si="131">+P279*(1-A279)</f>
        <v>0</v>
      </c>
      <c r="AI279" s="1">
        <f t="shared" ref="AI279:AI343" si="132">+(1-A279)*(1-P279)</f>
        <v>1</v>
      </c>
    </row>
    <row r="280" spans="1:35" s="1" customFormat="1" ht="14.25" customHeight="1" x14ac:dyDescent="0.25">
      <c r="A280" s="31">
        <v>1</v>
      </c>
      <c r="B280" s="31">
        <v>1</v>
      </c>
      <c r="C280" s="31">
        <v>7</v>
      </c>
      <c r="D280" s="36" t="s">
        <v>827</v>
      </c>
      <c r="E280" s="32" t="s">
        <v>29</v>
      </c>
      <c r="F280" s="36" t="s">
        <v>909</v>
      </c>
      <c r="G280" s="36" t="s">
        <v>278</v>
      </c>
      <c r="H280" s="36" t="s">
        <v>352</v>
      </c>
      <c r="I280" s="37" t="s">
        <v>830</v>
      </c>
      <c r="J280" s="31">
        <v>99</v>
      </c>
      <c r="K280" s="33" t="s">
        <v>932</v>
      </c>
      <c r="L280" s="33" t="s">
        <v>685</v>
      </c>
      <c r="M280" s="34" t="s">
        <v>950</v>
      </c>
      <c r="N280" s="34" t="s">
        <v>1799</v>
      </c>
      <c r="O280" s="35">
        <v>1</v>
      </c>
      <c r="P280" s="35"/>
      <c r="Q280" s="36"/>
      <c r="S280" s="1">
        <f t="shared" si="117"/>
        <v>0</v>
      </c>
      <c r="T280" s="1">
        <f t="shared" si="118"/>
        <v>0</v>
      </c>
      <c r="U280" s="1">
        <f t="shared" si="119"/>
        <v>0</v>
      </c>
      <c r="V280" s="1">
        <f t="shared" si="120"/>
        <v>0</v>
      </c>
      <c r="W280" s="1">
        <f t="shared" si="121"/>
        <v>0</v>
      </c>
      <c r="X280" s="1">
        <f t="shared" si="122"/>
        <v>0</v>
      </c>
      <c r="Y280" s="1">
        <f t="shared" si="123"/>
        <v>0</v>
      </c>
      <c r="Z280" s="1">
        <f t="shared" si="124"/>
        <v>0</v>
      </c>
      <c r="AA280" s="1">
        <f t="shared" si="125"/>
        <v>0</v>
      </c>
      <c r="AB280" s="1">
        <f t="shared" si="126"/>
        <v>0</v>
      </c>
      <c r="AD280" s="1">
        <f t="shared" si="127"/>
        <v>0</v>
      </c>
      <c r="AE280" s="1">
        <f t="shared" si="128"/>
        <v>1</v>
      </c>
      <c r="AF280" s="1">
        <f t="shared" si="129"/>
        <v>0</v>
      </c>
      <c r="AG280" s="1">
        <f t="shared" si="130"/>
        <v>0</v>
      </c>
      <c r="AH280" s="1">
        <f t="shared" si="131"/>
        <v>0</v>
      </c>
      <c r="AI280" s="1">
        <f t="shared" si="132"/>
        <v>0</v>
      </c>
    </row>
    <row r="281" spans="1:35" s="1" customFormat="1" ht="14.25" customHeight="1" x14ac:dyDescent="0.25">
      <c r="A281" s="31">
        <v>0</v>
      </c>
      <c r="B281" s="31">
        <v>1</v>
      </c>
      <c r="C281" s="31">
        <v>7</v>
      </c>
      <c r="D281" s="32" t="s">
        <v>1185</v>
      </c>
      <c r="E281" s="32" t="s">
        <v>29</v>
      </c>
      <c r="F281" s="32" t="s">
        <v>1186</v>
      </c>
      <c r="G281" s="32" t="s">
        <v>237</v>
      </c>
      <c r="H281" s="32" t="s">
        <v>352</v>
      </c>
      <c r="I281" s="31" t="s">
        <v>1327</v>
      </c>
      <c r="J281" s="31">
        <v>99</v>
      </c>
      <c r="K281" s="33" t="s">
        <v>704</v>
      </c>
      <c r="L281" s="33" t="s">
        <v>685</v>
      </c>
      <c r="M281" s="34" t="s">
        <v>1372</v>
      </c>
      <c r="N281" s="34" t="s">
        <v>1707</v>
      </c>
      <c r="O281" s="35">
        <v>1</v>
      </c>
      <c r="P281" s="35"/>
      <c r="Q281" s="32"/>
      <c r="S281" s="1">
        <f t="shared" si="117"/>
        <v>0</v>
      </c>
      <c r="T281" s="1">
        <f t="shared" si="118"/>
        <v>0</v>
      </c>
      <c r="U281" s="1">
        <f t="shared" si="119"/>
        <v>0</v>
      </c>
      <c r="V281" s="1">
        <f t="shared" si="120"/>
        <v>0</v>
      </c>
      <c r="W281" s="1">
        <f t="shared" si="121"/>
        <v>0</v>
      </c>
      <c r="X281" s="1">
        <f t="shared" si="122"/>
        <v>0</v>
      </c>
      <c r="Y281" s="1">
        <f t="shared" si="123"/>
        <v>0</v>
      </c>
      <c r="Z281" s="1">
        <f t="shared" si="124"/>
        <v>0</v>
      </c>
      <c r="AA281" s="1">
        <f t="shared" si="125"/>
        <v>0</v>
      </c>
      <c r="AB281" s="1">
        <f t="shared" si="126"/>
        <v>0</v>
      </c>
      <c r="AD281" s="1">
        <f t="shared" si="127"/>
        <v>0</v>
      </c>
      <c r="AE281" s="1">
        <f t="shared" si="128"/>
        <v>1</v>
      </c>
      <c r="AF281" s="1">
        <f t="shared" si="129"/>
        <v>0</v>
      </c>
      <c r="AG281" s="1">
        <f t="shared" si="130"/>
        <v>1</v>
      </c>
      <c r="AH281" s="1">
        <f t="shared" si="131"/>
        <v>0</v>
      </c>
      <c r="AI281" s="1">
        <f t="shared" si="132"/>
        <v>1</v>
      </c>
    </row>
    <row r="282" spans="1:35" s="1" customFormat="1" ht="14.25" customHeight="1" x14ac:dyDescent="0.25">
      <c r="A282" s="31">
        <v>0</v>
      </c>
      <c r="B282" s="31">
        <v>1</v>
      </c>
      <c r="C282" s="31">
        <v>7</v>
      </c>
      <c r="D282" s="36" t="s">
        <v>1202</v>
      </c>
      <c r="E282" s="32" t="s">
        <v>29</v>
      </c>
      <c r="F282" s="36" t="s">
        <v>1203</v>
      </c>
      <c r="G282" s="36" t="s">
        <v>237</v>
      </c>
      <c r="H282" s="36" t="s">
        <v>352</v>
      </c>
      <c r="I282" s="37" t="s">
        <v>1204</v>
      </c>
      <c r="J282" s="31">
        <v>99</v>
      </c>
      <c r="K282" s="33" t="s">
        <v>704</v>
      </c>
      <c r="L282" s="33" t="s">
        <v>684</v>
      </c>
      <c r="M282" s="34" t="s">
        <v>1372</v>
      </c>
      <c r="N282" s="34" t="s">
        <v>1775</v>
      </c>
      <c r="O282" s="35">
        <v>1</v>
      </c>
      <c r="P282" s="35"/>
      <c r="Q282" s="36"/>
      <c r="S282" s="1">
        <f t="shared" si="117"/>
        <v>0</v>
      </c>
      <c r="T282" s="1">
        <f t="shared" si="118"/>
        <v>0</v>
      </c>
      <c r="U282" s="1">
        <f t="shared" si="119"/>
        <v>0</v>
      </c>
      <c r="V282" s="1">
        <f t="shared" si="120"/>
        <v>0</v>
      </c>
      <c r="W282" s="1">
        <f t="shared" si="121"/>
        <v>0</v>
      </c>
      <c r="X282" s="1">
        <f t="shared" si="122"/>
        <v>0</v>
      </c>
      <c r="Y282" s="1">
        <f t="shared" si="123"/>
        <v>0</v>
      </c>
      <c r="Z282" s="1">
        <f t="shared" si="124"/>
        <v>0</v>
      </c>
      <c r="AA282" s="1">
        <f t="shared" si="125"/>
        <v>0</v>
      </c>
      <c r="AB282" s="1">
        <f t="shared" si="126"/>
        <v>0</v>
      </c>
      <c r="AD282" s="1">
        <f t="shared" si="127"/>
        <v>0</v>
      </c>
      <c r="AE282" s="1">
        <f t="shared" si="128"/>
        <v>1</v>
      </c>
      <c r="AF282" s="1">
        <f t="shared" si="129"/>
        <v>0</v>
      </c>
      <c r="AG282" s="1">
        <f t="shared" si="130"/>
        <v>1</v>
      </c>
      <c r="AH282" s="1">
        <f t="shared" si="131"/>
        <v>0</v>
      </c>
      <c r="AI282" s="1">
        <f t="shared" si="132"/>
        <v>1</v>
      </c>
    </row>
    <row r="283" spans="1:35" s="1" customFormat="1" ht="14.25" customHeight="1" x14ac:dyDescent="0.25">
      <c r="A283" s="31">
        <v>0</v>
      </c>
      <c r="B283" s="31">
        <v>1</v>
      </c>
      <c r="C283" s="31">
        <v>7</v>
      </c>
      <c r="D283" s="36" t="s">
        <v>92</v>
      </c>
      <c r="E283" s="32" t="s">
        <v>29</v>
      </c>
      <c r="F283" s="36" t="s">
        <v>286</v>
      </c>
      <c r="G283" s="36" t="s">
        <v>189</v>
      </c>
      <c r="H283" s="36" t="s">
        <v>352</v>
      </c>
      <c r="I283" s="37" t="s">
        <v>438</v>
      </c>
      <c r="J283" s="31">
        <v>99</v>
      </c>
      <c r="K283" s="33" t="s">
        <v>704</v>
      </c>
      <c r="L283" s="33" t="s">
        <v>685</v>
      </c>
      <c r="M283" s="34" t="s">
        <v>1373</v>
      </c>
      <c r="N283" s="34" t="s">
        <v>1702</v>
      </c>
      <c r="O283" s="35">
        <v>1</v>
      </c>
      <c r="P283" s="35"/>
      <c r="Q283" s="36"/>
      <c r="S283" s="1">
        <f t="shared" si="117"/>
        <v>0</v>
      </c>
      <c r="T283" s="1">
        <f t="shared" si="118"/>
        <v>0</v>
      </c>
      <c r="U283" s="1">
        <f t="shared" si="119"/>
        <v>0</v>
      </c>
      <c r="V283" s="1">
        <f t="shared" si="120"/>
        <v>0</v>
      </c>
      <c r="W283" s="1">
        <f t="shared" si="121"/>
        <v>0</v>
      </c>
      <c r="X283" s="1">
        <f t="shared" si="122"/>
        <v>0</v>
      </c>
      <c r="Y283" s="1">
        <f t="shared" si="123"/>
        <v>0</v>
      </c>
      <c r="Z283" s="1">
        <f t="shared" si="124"/>
        <v>0</v>
      </c>
      <c r="AA283" s="1">
        <f t="shared" si="125"/>
        <v>0</v>
      </c>
      <c r="AB283" s="1">
        <f t="shared" si="126"/>
        <v>0</v>
      </c>
      <c r="AD283" s="1">
        <f t="shared" si="127"/>
        <v>0</v>
      </c>
      <c r="AE283" s="1">
        <f t="shared" si="128"/>
        <v>1</v>
      </c>
      <c r="AF283" s="1">
        <f t="shared" si="129"/>
        <v>0</v>
      </c>
      <c r="AG283" s="1">
        <f t="shared" si="130"/>
        <v>1</v>
      </c>
      <c r="AH283" s="1">
        <f t="shared" si="131"/>
        <v>0</v>
      </c>
      <c r="AI283" s="1">
        <f t="shared" si="132"/>
        <v>1</v>
      </c>
    </row>
    <row r="284" spans="1:35" s="1" customFormat="1" ht="14.25" customHeight="1" x14ac:dyDescent="0.25">
      <c r="A284" s="31">
        <v>0</v>
      </c>
      <c r="B284" s="31">
        <v>1</v>
      </c>
      <c r="C284" s="31">
        <v>7</v>
      </c>
      <c r="D284" s="32" t="s">
        <v>851</v>
      </c>
      <c r="E284" s="32" t="s">
        <v>29</v>
      </c>
      <c r="F284" s="32" t="s">
        <v>852</v>
      </c>
      <c r="G284" s="32" t="s">
        <v>193</v>
      </c>
      <c r="H284" s="32" t="s">
        <v>352</v>
      </c>
      <c r="I284" s="31" t="s">
        <v>853</v>
      </c>
      <c r="J284" s="31">
        <v>9</v>
      </c>
      <c r="K284" s="33" t="s">
        <v>704</v>
      </c>
      <c r="L284" s="33" t="s">
        <v>687</v>
      </c>
      <c r="M284" s="34" t="s">
        <v>699</v>
      </c>
      <c r="N284" s="34" t="s">
        <v>1696</v>
      </c>
      <c r="O284" s="35">
        <v>1</v>
      </c>
      <c r="P284" s="35"/>
      <c r="Q284" s="32"/>
      <c r="S284" s="1">
        <f t="shared" si="117"/>
        <v>0</v>
      </c>
      <c r="T284" s="1">
        <f t="shared" si="118"/>
        <v>0</v>
      </c>
      <c r="U284" s="1">
        <f t="shared" si="119"/>
        <v>0</v>
      </c>
      <c r="V284" s="1">
        <f t="shared" si="120"/>
        <v>0</v>
      </c>
      <c r="W284" s="1">
        <f t="shared" si="121"/>
        <v>0</v>
      </c>
      <c r="X284" s="1">
        <f t="shared" si="122"/>
        <v>0</v>
      </c>
      <c r="Y284" s="1">
        <f t="shared" si="123"/>
        <v>0</v>
      </c>
      <c r="Z284" s="1">
        <f t="shared" si="124"/>
        <v>0</v>
      </c>
      <c r="AA284" s="1">
        <f t="shared" si="125"/>
        <v>1</v>
      </c>
      <c r="AB284" s="1">
        <f t="shared" si="126"/>
        <v>0</v>
      </c>
      <c r="AD284" s="1">
        <f t="shared" si="127"/>
        <v>0</v>
      </c>
      <c r="AE284" s="1">
        <f t="shared" si="128"/>
        <v>1</v>
      </c>
      <c r="AF284" s="1">
        <f t="shared" si="129"/>
        <v>0</v>
      </c>
      <c r="AG284" s="1">
        <f t="shared" si="130"/>
        <v>1</v>
      </c>
      <c r="AH284" s="1">
        <f t="shared" si="131"/>
        <v>0</v>
      </c>
      <c r="AI284" s="1">
        <f t="shared" si="132"/>
        <v>1</v>
      </c>
    </row>
    <row r="285" spans="1:35" s="1" customFormat="1" ht="14.25" customHeight="1" x14ac:dyDescent="0.25">
      <c r="A285" s="31">
        <v>1</v>
      </c>
      <c r="B285" s="31">
        <v>1</v>
      </c>
      <c r="C285" s="31">
        <v>7</v>
      </c>
      <c r="D285" s="32" t="s">
        <v>851</v>
      </c>
      <c r="E285" s="32" t="s">
        <v>29</v>
      </c>
      <c r="F285" s="32" t="s">
        <v>1045</v>
      </c>
      <c r="G285" s="32" t="s">
        <v>319</v>
      </c>
      <c r="H285" s="32" t="s">
        <v>352</v>
      </c>
      <c r="I285" s="31" t="s">
        <v>1046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1696</v>
      </c>
      <c r="O285" s="35">
        <v>1</v>
      </c>
      <c r="P285" s="35"/>
      <c r="Q285" s="32"/>
      <c r="S285" s="1">
        <f t="shared" si="117"/>
        <v>0</v>
      </c>
      <c r="T285" s="1">
        <f t="shared" si="118"/>
        <v>0</v>
      </c>
      <c r="U285" s="1">
        <f t="shared" si="119"/>
        <v>0</v>
      </c>
      <c r="V285" s="1">
        <f t="shared" si="120"/>
        <v>0</v>
      </c>
      <c r="W285" s="1">
        <f t="shared" si="121"/>
        <v>0</v>
      </c>
      <c r="X285" s="1">
        <f t="shared" si="122"/>
        <v>0</v>
      </c>
      <c r="Y285" s="1">
        <f t="shared" si="123"/>
        <v>0</v>
      </c>
      <c r="Z285" s="1">
        <f t="shared" si="124"/>
        <v>0</v>
      </c>
      <c r="AA285" s="1">
        <f t="shared" si="125"/>
        <v>0</v>
      </c>
      <c r="AB285" s="1">
        <f t="shared" si="126"/>
        <v>0</v>
      </c>
      <c r="AD285" s="1">
        <f t="shared" si="127"/>
        <v>0</v>
      </c>
      <c r="AE285" s="1">
        <f t="shared" si="128"/>
        <v>1</v>
      </c>
      <c r="AF285" s="1">
        <f t="shared" si="129"/>
        <v>0</v>
      </c>
      <c r="AG285" s="1">
        <f t="shared" si="130"/>
        <v>0</v>
      </c>
      <c r="AH285" s="1">
        <f t="shared" si="131"/>
        <v>0</v>
      </c>
      <c r="AI285" s="1">
        <f t="shared" si="132"/>
        <v>0</v>
      </c>
    </row>
    <row r="286" spans="1:35" s="1" customFormat="1" ht="14.25" customHeight="1" x14ac:dyDescent="0.25">
      <c r="A286" s="31">
        <v>1</v>
      </c>
      <c r="B286" s="31">
        <v>1</v>
      </c>
      <c r="C286" s="31">
        <v>7</v>
      </c>
      <c r="D286" s="32" t="s">
        <v>851</v>
      </c>
      <c r="E286" s="32" t="s">
        <v>29</v>
      </c>
      <c r="F286" s="32" t="s">
        <v>1968</v>
      </c>
      <c r="G286" s="32" t="s">
        <v>193</v>
      </c>
      <c r="H286" s="32" t="s">
        <v>352</v>
      </c>
      <c r="I286" s="31" t="s">
        <v>853</v>
      </c>
      <c r="J286" s="31">
        <v>9</v>
      </c>
      <c r="K286" s="33" t="s">
        <v>704</v>
      </c>
      <c r="L286" s="33" t="s">
        <v>687</v>
      </c>
      <c r="M286" s="34" t="s">
        <v>699</v>
      </c>
      <c r="N286" s="34" t="s">
        <v>1696</v>
      </c>
      <c r="O286" s="35">
        <v>1</v>
      </c>
      <c r="P286" s="35"/>
      <c r="Q286" s="32"/>
      <c r="S286" s="1">
        <f t="shared" si="117"/>
        <v>0</v>
      </c>
      <c r="T286" s="1">
        <f t="shared" si="118"/>
        <v>0</v>
      </c>
      <c r="U286" s="1">
        <f t="shared" si="119"/>
        <v>0</v>
      </c>
      <c r="V286" s="1">
        <f t="shared" si="120"/>
        <v>0</v>
      </c>
      <c r="W286" s="1">
        <f t="shared" si="121"/>
        <v>0</v>
      </c>
      <c r="X286" s="1">
        <f t="shared" si="122"/>
        <v>0</v>
      </c>
      <c r="Y286" s="1">
        <f t="shared" si="123"/>
        <v>0</v>
      </c>
      <c r="Z286" s="1">
        <f t="shared" si="124"/>
        <v>0</v>
      </c>
      <c r="AA286" s="1">
        <f t="shared" si="125"/>
        <v>1</v>
      </c>
      <c r="AB286" s="1">
        <f t="shared" si="126"/>
        <v>0</v>
      </c>
      <c r="AD286" s="1">
        <f t="shared" si="127"/>
        <v>0</v>
      </c>
      <c r="AE286" s="1">
        <f t="shared" si="128"/>
        <v>1</v>
      </c>
      <c r="AF286" s="1">
        <f t="shared" si="129"/>
        <v>0</v>
      </c>
      <c r="AG286" s="1">
        <f t="shared" si="130"/>
        <v>0</v>
      </c>
      <c r="AH286" s="1">
        <f t="shared" si="131"/>
        <v>0</v>
      </c>
      <c r="AI286" s="1">
        <f t="shared" si="132"/>
        <v>0</v>
      </c>
    </row>
    <row r="287" spans="1:35" s="1" customFormat="1" ht="14.25" customHeight="1" x14ac:dyDescent="0.25">
      <c r="A287" s="31">
        <v>1</v>
      </c>
      <c r="B287" s="31">
        <v>1</v>
      </c>
      <c r="C287" s="31">
        <v>7</v>
      </c>
      <c r="D287" s="32" t="s">
        <v>851</v>
      </c>
      <c r="E287" s="32" t="s">
        <v>29</v>
      </c>
      <c r="F287" s="32" t="s">
        <v>1970</v>
      </c>
      <c r="G287" s="32" t="s">
        <v>208</v>
      </c>
      <c r="H287" s="32" t="s">
        <v>352</v>
      </c>
      <c r="I287" s="31" t="s">
        <v>1969</v>
      </c>
      <c r="J287" s="31">
        <v>99</v>
      </c>
      <c r="K287" s="33" t="s">
        <v>704</v>
      </c>
      <c r="L287" s="33" t="s">
        <v>687</v>
      </c>
      <c r="M287" s="34" t="s">
        <v>699</v>
      </c>
      <c r="N287" s="34" t="s">
        <v>1696</v>
      </c>
      <c r="O287" s="35">
        <v>1</v>
      </c>
      <c r="P287" s="35"/>
      <c r="Q287" s="32"/>
      <c r="S287" s="1">
        <f t="shared" si="117"/>
        <v>0</v>
      </c>
      <c r="T287" s="1">
        <f t="shared" si="118"/>
        <v>0</v>
      </c>
      <c r="U287" s="1">
        <f t="shared" si="119"/>
        <v>0</v>
      </c>
      <c r="V287" s="1">
        <f t="shared" si="120"/>
        <v>0</v>
      </c>
      <c r="W287" s="1">
        <f t="shared" si="121"/>
        <v>0</v>
      </c>
      <c r="X287" s="1">
        <f t="shared" si="122"/>
        <v>0</v>
      </c>
      <c r="Y287" s="1">
        <f t="shared" si="123"/>
        <v>0</v>
      </c>
      <c r="Z287" s="1">
        <f t="shared" si="124"/>
        <v>0</v>
      </c>
      <c r="AA287" s="1">
        <f t="shared" si="125"/>
        <v>0</v>
      </c>
      <c r="AB287" s="1">
        <f t="shared" si="126"/>
        <v>0</v>
      </c>
      <c r="AD287" s="1">
        <f t="shared" si="127"/>
        <v>0</v>
      </c>
      <c r="AE287" s="1">
        <f t="shared" si="128"/>
        <v>1</v>
      </c>
      <c r="AF287" s="1">
        <f t="shared" si="129"/>
        <v>0</v>
      </c>
      <c r="AG287" s="1">
        <f t="shared" si="130"/>
        <v>0</v>
      </c>
      <c r="AH287" s="1">
        <f t="shared" si="131"/>
        <v>0</v>
      </c>
      <c r="AI287" s="1">
        <f t="shared" si="132"/>
        <v>0</v>
      </c>
    </row>
    <row r="288" spans="1:35" s="1" customFormat="1" ht="14.25" customHeight="1" x14ac:dyDescent="0.25">
      <c r="A288" s="31">
        <v>1</v>
      </c>
      <c r="B288" s="31">
        <v>1</v>
      </c>
      <c r="C288" s="31">
        <v>7</v>
      </c>
      <c r="D288" s="32" t="s">
        <v>851</v>
      </c>
      <c r="E288" s="32" t="s">
        <v>29</v>
      </c>
      <c r="F288" s="36" t="s">
        <v>1639</v>
      </c>
      <c r="G288" s="36" t="s">
        <v>2122</v>
      </c>
      <c r="H288" s="32" t="s">
        <v>352</v>
      </c>
      <c r="I288" s="37" t="s">
        <v>2123</v>
      </c>
      <c r="J288" s="31">
        <v>99</v>
      </c>
      <c r="K288" s="33" t="s">
        <v>704</v>
      </c>
      <c r="L288" s="33" t="s">
        <v>687</v>
      </c>
      <c r="M288" s="34" t="s">
        <v>699</v>
      </c>
      <c r="N288" s="34" t="s">
        <v>1696</v>
      </c>
      <c r="O288" s="35">
        <v>1</v>
      </c>
      <c r="P288" s="35"/>
      <c r="Q288" s="32"/>
      <c r="S288" s="1">
        <f t="shared" si="117"/>
        <v>0</v>
      </c>
      <c r="T288" s="1">
        <f t="shared" si="118"/>
        <v>0</v>
      </c>
      <c r="U288" s="1">
        <f t="shared" si="119"/>
        <v>0</v>
      </c>
      <c r="V288" s="1">
        <f t="shared" si="120"/>
        <v>0</v>
      </c>
      <c r="W288" s="1">
        <f t="shared" si="121"/>
        <v>0</v>
      </c>
      <c r="X288" s="1">
        <f t="shared" si="122"/>
        <v>0</v>
      </c>
      <c r="Y288" s="1">
        <f t="shared" si="123"/>
        <v>0</v>
      </c>
      <c r="Z288" s="1">
        <f t="shared" si="124"/>
        <v>0</v>
      </c>
      <c r="AA288" s="1">
        <f t="shared" si="125"/>
        <v>0</v>
      </c>
      <c r="AB288" s="1">
        <f t="shared" si="126"/>
        <v>0</v>
      </c>
      <c r="AD288" s="1">
        <f t="shared" si="127"/>
        <v>0</v>
      </c>
      <c r="AE288" s="1">
        <f t="shared" si="128"/>
        <v>1</v>
      </c>
      <c r="AF288" s="1">
        <f t="shared" si="129"/>
        <v>0</v>
      </c>
      <c r="AG288" s="1">
        <f t="shared" si="130"/>
        <v>0</v>
      </c>
      <c r="AH288" s="1">
        <f t="shared" si="131"/>
        <v>0</v>
      </c>
      <c r="AI288" s="1">
        <f t="shared" si="132"/>
        <v>0</v>
      </c>
    </row>
    <row r="289" spans="1:35" s="1" customFormat="1" ht="14.25" customHeight="1" x14ac:dyDescent="0.25">
      <c r="A289" s="31">
        <v>0</v>
      </c>
      <c r="B289" s="31">
        <v>1</v>
      </c>
      <c r="C289" s="31">
        <v>7</v>
      </c>
      <c r="D289" s="36" t="s">
        <v>95</v>
      </c>
      <c r="E289" s="32" t="s">
        <v>29</v>
      </c>
      <c r="F289" s="36" t="s">
        <v>290</v>
      </c>
      <c r="G289" s="36" t="s">
        <v>291</v>
      </c>
      <c r="H289" s="36" t="s">
        <v>352</v>
      </c>
      <c r="I289" s="37" t="s">
        <v>1094</v>
      </c>
      <c r="J289" s="31">
        <v>99</v>
      </c>
      <c r="K289" s="33" t="s">
        <v>704</v>
      </c>
      <c r="L289" s="33" t="s">
        <v>687</v>
      </c>
      <c r="M289" s="34" t="s">
        <v>699</v>
      </c>
      <c r="N289" s="34" t="s">
        <v>1700</v>
      </c>
      <c r="O289" s="35">
        <v>1</v>
      </c>
      <c r="P289" s="35"/>
      <c r="Q289" s="36"/>
      <c r="S289" s="1">
        <f t="shared" si="117"/>
        <v>0</v>
      </c>
      <c r="T289" s="1">
        <f t="shared" si="118"/>
        <v>0</v>
      </c>
      <c r="U289" s="1">
        <f t="shared" si="119"/>
        <v>0</v>
      </c>
      <c r="V289" s="1">
        <f t="shared" si="120"/>
        <v>0</v>
      </c>
      <c r="W289" s="1">
        <f t="shared" si="121"/>
        <v>0</v>
      </c>
      <c r="X289" s="1">
        <f t="shared" si="122"/>
        <v>0</v>
      </c>
      <c r="Y289" s="1">
        <f t="shared" si="123"/>
        <v>0</v>
      </c>
      <c r="Z289" s="1">
        <f t="shared" si="124"/>
        <v>0</v>
      </c>
      <c r="AA289" s="1">
        <f t="shared" si="125"/>
        <v>0</v>
      </c>
      <c r="AB289" s="1">
        <f t="shared" si="126"/>
        <v>0</v>
      </c>
      <c r="AD289" s="1">
        <f t="shared" si="127"/>
        <v>0</v>
      </c>
      <c r="AE289" s="1">
        <f t="shared" si="128"/>
        <v>1</v>
      </c>
      <c r="AF289" s="1">
        <f t="shared" si="129"/>
        <v>0</v>
      </c>
      <c r="AG289" s="1">
        <f t="shared" si="130"/>
        <v>1</v>
      </c>
      <c r="AH289" s="1">
        <f t="shared" si="131"/>
        <v>0</v>
      </c>
      <c r="AI289" s="1">
        <f t="shared" si="132"/>
        <v>1</v>
      </c>
    </row>
    <row r="290" spans="1:35" s="1" customFormat="1" ht="14.25" customHeight="1" x14ac:dyDescent="0.25">
      <c r="A290" s="31">
        <v>0</v>
      </c>
      <c r="B290" s="31">
        <v>1</v>
      </c>
      <c r="C290" s="31">
        <v>7</v>
      </c>
      <c r="D290" s="36" t="s">
        <v>528</v>
      </c>
      <c r="E290" s="32" t="s">
        <v>29</v>
      </c>
      <c r="F290" s="36" t="s">
        <v>657</v>
      </c>
      <c r="G290" s="36" t="s">
        <v>39</v>
      </c>
      <c r="H290" s="36" t="s">
        <v>529</v>
      </c>
      <c r="I290" s="37" t="s">
        <v>1650</v>
      </c>
      <c r="J290" s="31">
        <v>14</v>
      </c>
      <c r="K290" s="33" t="s">
        <v>931</v>
      </c>
      <c r="L290" s="33">
        <v>40</v>
      </c>
      <c r="M290" s="34" t="s">
        <v>699</v>
      </c>
      <c r="N290" s="34" t="s">
        <v>1696</v>
      </c>
      <c r="O290" s="35">
        <v>1</v>
      </c>
      <c r="P290" s="35"/>
      <c r="Q290" s="36"/>
      <c r="S290" s="1">
        <f t="shared" si="117"/>
        <v>0</v>
      </c>
      <c r="T290" s="1">
        <f t="shared" si="118"/>
        <v>0</v>
      </c>
      <c r="U290" s="1">
        <f t="shared" si="119"/>
        <v>0</v>
      </c>
      <c r="V290" s="1">
        <f t="shared" si="120"/>
        <v>0</v>
      </c>
      <c r="W290" s="1">
        <f t="shared" si="121"/>
        <v>0</v>
      </c>
      <c r="X290" s="1">
        <f t="shared" si="122"/>
        <v>0</v>
      </c>
      <c r="Y290" s="1">
        <f t="shared" si="123"/>
        <v>0</v>
      </c>
      <c r="Z290" s="1">
        <f t="shared" si="124"/>
        <v>0</v>
      </c>
      <c r="AA290" s="1">
        <f t="shared" si="125"/>
        <v>0</v>
      </c>
      <c r="AB290" s="1">
        <f t="shared" si="126"/>
        <v>0</v>
      </c>
      <c r="AD290" s="1">
        <f t="shared" si="127"/>
        <v>0</v>
      </c>
      <c r="AE290" s="1">
        <f t="shared" si="128"/>
        <v>1</v>
      </c>
      <c r="AF290" s="1">
        <f t="shared" si="129"/>
        <v>0</v>
      </c>
      <c r="AG290" s="1">
        <f t="shared" si="130"/>
        <v>1</v>
      </c>
      <c r="AH290" s="1">
        <f t="shared" si="131"/>
        <v>0</v>
      </c>
      <c r="AI290" s="1">
        <f t="shared" si="132"/>
        <v>1</v>
      </c>
    </row>
    <row r="291" spans="1:35" s="1" customFormat="1" ht="14.25" customHeight="1" x14ac:dyDescent="0.25">
      <c r="A291" s="31">
        <v>0</v>
      </c>
      <c r="B291" s="31">
        <v>1</v>
      </c>
      <c r="C291" s="31">
        <v>7</v>
      </c>
      <c r="D291" s="36" t="s">
        <v>1289</v>
      </c>
      <c r="E291" s="32" t="s">
        <v>29</v>
      </c>
      <c r="F291" s="36" t="s">
        <v>1313</v>
      </c>
      <c r="G291" s="36" t="s">
        <v>39</v>
      </c>
      <c r="H291" s="36" t="s">
        <v>352</v>
      </c>
      <c r="I291" s="37" t="s">
        <v>1122</v>
      </c>
      <c r="J291" s="31">
        <v>99</v>
      </c>
      <c r="K291" s="33" t="s">
        <v>704</v>
      </c>
      <c r="L291" s="33" t="s">
        <v>684</v>
      </c>
      <c r="M291" s="34" t="s">
        <v>1374</v>
      </c>
      <c r="N291" s="34" t="s">
        <v>1693</v>
      </c>
      <c r="O291" s="35">
        <v>1</v>
      </c>
      <c r="P291" s="35">
        <v>1</v>
      </c>
      <c r="Q291" s="36"/>
      <c r="S291" s="1">
        <f t="shared" si="117"/>
        <v>0</v>
      </c>
      <c r="T291" s="1">
        <f t="shared" si="118"/>
        <v>0</v>
      </c>
      <c r="U291" s="1">
        <f t="shared" si="119"/>
        <v>0</v>
      </c>
      <c r="V291" s="1">
        <f t="shared" si="120"/>
        <v>0</v>
      </c>
      <c r="W291" s="1">
        <f t="shared" si="121"/>
        <v>0</v>
      </c>
      <c r="X291" s="1">
        <f t="shared" si="122"/>
        <v>0</v>
      </c>
      <c r="Y291" s="1">
        <f t="shared" si="123"/>
        <v>0</v>
      </c>
      <c r="Z291" s="1">
        <f t="shared" si="124"/>
        <v>0</v>
      </c>
      <c r="AA291" s="1">
        <f t="shared" si="125"/>
        <v>0</v>
      </c>
      <c r="AB291" s="1">
        <f t="shared" si="126"/>
        <v>0</v>
      </c>
      <c r="AD291" s="1">
        <f t="shared" si="127"/>
        <v>1</v>
      </c>
      <c r="AE291" s="1">
        <f t="shared" si="128"/>
        <v>0</v>
      </c>
      <c r="AF291" s="1">
        <f t="shared" si="129"/>
        <v>1</v>
      </c>
      <c r="AG291" s="1">
        <f t="shared" si="130"/>
        <v>0</v>
      </c>
      <c r="AH291" s="1">
        <f t="shared" si="131"/>
        <v>1</v>
      </c>
      <c r="AI291" s="1">
        <f t="shared" si="132"/>
        <v>0</v>
      </c>
    </row>
    <row r="292" spans="1:35" s="1" customFormat="1" ht="14.25" customHeight="1" x14ac:dyDescent="0.25">
      <c r="A292" s="31">
        <v>0</v>
      </c>
      <c r="B292" s="31">
        <v>1</v>
      </c>
      <c r="C292" s="31">
        <v>7</v>
      </c>
      <c r="D292" s="32" t="s">
        <v>96</v>
      </c>
      <c r="E292" s="32" t="s">
        <v>29</v>
      </c>
      <c r="F292" s="32" t="s">
        <v>293</v>
      </c>
      <c r="G292" s="32" t="s">
        <v>262</v>
      </c>
      <c r="H292" s="32" t="s">
        <v>352</v>
      </c>
      <c r="I292" s="31" t="s">
        <v>442</v>
      </c>
      <c r="J292" s="31">
        <v>1</v>
      </c>
      <c r="K292" s="33" t="s">
        <v>704</v>
      </c>
      <c r="L292" s="33" t="s">
        <v>685</v>
      </c>
      <c r="M292" s="34" t="s">
        <v>699</v>
      </c>
      <c r="N292" s="34" t="s">
        <v>1696</v>
      </c>
      <c r="O292" s="35">
        <v>1</v>
      </c>
      <c r="P292" s="35"/>
      <c r="Q292" s="32"/>
      <c r="S292" s="1">
        <f t="shared" si="117"/>
        <v>1</v>
      </c>
      <c r="T292" s="1">
        <f t="shared" si="118"/>
        <v>0</v>
      </c>
      <c r="U292" s="1">
        <f t="shared" si="119"/>
        <v>0</v>
      </c>
      <c r="V292" s="1">
        <f t="shared" si="120"/>
        <v>0</v>
      </c>
      <c r="W292" s="1">
        <f t="shared" si="121"/>
        <v>0</v>
      </c>
      <c r="X292" s="1">
        <f t="shared" si="122"/>
        <v>0</v>
      </c>
      <c r="Y292" s="1">
        <f t="shared" si="123"/>
        <v>0</v>
      </c>
      <c r="Z292" s="1">
        <f t="shared" si="124"/>
        <v>0</v>
      </c>
      <c r="AA292" s="1">
        <f t="shared" si="125"/>
        <v>0</v>
      </c>
      <c r="AB292" s="1">
        <f t="shared" si="126"/>
        <v>0</v>
      </c>
      <c r="AD292" s="1">
        <f t="shared" si="127"/>
        <v>0</v>
      </c>
      <c r="AE292" s="1">
        <f t="shared" si="128"/>
        <v>1</v>
      </c>
      <c r="AF292" s="1">
        <f t="shared" si="129"/>
        <v>0</v>
      </c>
      <c r="AG292" s="1">
        <f t="shared" si="130"/>
        <v>1</v>
      </c>
      <c r="AH292" s="1">
        <f t="shared" si="131"/>
        <v>0</v>
      </c>
      <c r="AI292" s="1">
        <f t="shared" si="132"/>
        <v>1</v>
      </c>
    </row>
    <row r="293" spans="1:35" s="1" customFormat="1" ht="14.25" customHeight="1" x14ac:dyDescent="0.25">
      <c r="A293" s="15">
        <v>0</v>
      </c>
      <c r="B293" s="15">
        <v>1</v>
      </c>
      <c r="C293" s="15">
        <v>7</v>
      </c>
      <c r="D293" s="16" t="s">
        <v>741</v>
      </c>
      <c r="E293" s="16" t="s">
        <v>29</v>
      </c>
      <c r="F293" s="20" t="s">
        <v>2044</v>
      </c>
      <c r="G293" s="16" t="s">
        <v>39</v>
      </c>
      <c r="H293" s="20" t="s">
        <v>365</v>
      </c>
      <c r="I293" s="21" t="s">
        <v>2045</v>
      </c>
      <c r="J293" s="15">
        <v>18</v>
      </c>
      <c r="K293" s="10" t="s">
        <v>694</v>
      </c>
      <c r="L293" s="10" t="s">
        <v>688</v>
      </c>
      <c r="M293" s="19" t="s">
        <v>699</v>
      </c>
      <c r="N293" s="17"/>
      <c r="Q293" s="16"/>
      <c r="S293" s="1">
        <f t="shared" si="117"/>
        <v>0</v>
      </c>
      <c r="T293" s="1">
        <f t="shared" si="118"/>
        <v>0</v>
      </c>
      <c r="U293" s="1">
        <f t="shared" si="119"/>
        <v>0</v>
      </c>
      <c r="V293" s="1">
        <f t="shared" si="120"/>
        <v>0</v>
      </c>
      <c r="W293" s="1">
        <f t="shared" si="121"/>
        <v>0</v>
      </c>
      <c r="X293" s="1">
        <f t="shared" si="122"/>
        <v>0</v>
      </c>
      <c r="Y293" s="1">
        <f t="shared" si="123"/>
        <v>0</v>
      </c>
      <c r="Z293" s="1">
        <f t="shared" si="124"/>
        <v>0</v>
      </c>
      <c r="AA293" s="1">
        <f t="shared" si="125"/>
        <v>0</v>
      </c>
      <c r="AB293" s="1">
        <f t="shared" si="126"/>
        <v>0</v>
      </c>
      <c r="AD293" s="1">
        <f t="shared" si="127"/>
        <v>0</v>
      </c>
      <c r="AE293" s="1">
        <f t="shared" si="128"/>
        <v>0</v>
      </c>
      <c r="AF293" s="1">
        <f t="shared" si="129"/>
        <v>0</v>
      </c>
      <c r="AG293" s="1">
        <f t="shared" si="130"/>
        <v>0</v>
      </c>
      <c r="AH293" s="1">
        <f t="shared" si="131"/>
        <v>0</v>
      </c>
      <c r="AI293" s="1">
        <f t="shared" si="132"/>
        <v>1</v>
      </c>
    </row>
    <row r="294" spans="1:35" s="1" customFormat="1" ht="14.25" customHeight="1" x14ac:dyDescent="0.25">
      <c r="A294" s="31">
        <v>0</v>
      </c>
      <c r="B294" s="31">
        <v>1</v>
      </c>
      <c r="C294" s="31">
        <v>7</v>
      </c>
      <c r="D294" s="36" t="s">
        <v>1480</v>
      </c>
      <c r="E294" s="32" t="s">
        <v>29</v>
      </c>
      <c r="F294" s="36" t="s">
        <v>1632</v>
      </c>
      <c r="G294" s="36" t="s">
        <v>1633</v>
      </c>
      <c r="H294" s="36" t="s">
        <v>352</v>
      </c>
      <c r="I294" s="37" t="s">
        <v>1481</v>
      </c>
      <c r="J294" s="31">
        <v>99</v>
      </c>
      <c r="K294" s="33" t="s">
        <v>704</v>
      </c>
      <c r="L294" s="33" t="s">
        <v>39</v>
      </c>
      <c r="M294" s="34" t="s">
        <v>39</v>
      </c>
      <c r="N294" s="34" t="s">
        <v>1687</v>
      </c>
      <c r="O294" s="35">
        <v>1</v>
      </c>
      <c r="P294" s="35">
        <v>1</v>
      </c>
      <c r="Q294" s="36"/>
      <c r="S294" s="1">
        <f t="shared" si="117"/>
        <v>0</v>
      </c>
      <c r="T294" s="1">
        <f t="shared" si="118"/>
        <v>0</v>
      </c>
      <c r="U294" s="1">
        <f t="shared" si="119"/>
        <v>0</v>
      </c>
      <c r="V294" s="1">
        <f t="shared" si="120"/>
        <v>0</v>
      </c>
      <c r="W294" s="1">
        <f t="shared" si="121"/>
        <v>0</v>
      </c>
      <c r="X294" s="1">
        <f t="shared" si="122"/>
        <v>0</v>
      </c>
      <c r="Y294" s="1">
        <f t="shared" si="123"/>
        <v>0</v>
      </c>
      <c r="Z294" s="1">
        <f t="shared" si="124"/>
        <v>0</v>
      </c>
      <c r="AA294" s="1">
        <f t="shared" si="125"/>
        <v>0</v>
      </c>
      <c r="AB294" s="1">
        <f t="shared" si="126"/>
        <v>0</v>
      </c>
      <c r="AD294" s="1">
        <f t="shared" si="127"/>
        <v>1</v>
      </c>
      <c r="AE294" s="1">
        <f t="shared" si="128"/>
        <v>0</v>
      </c>
      <c r="AF294" s="1">
        <f t="shared" si="129"/>
        <v>1</v>
      </c>
      <c r="AG294" s="1">
        <f t="shared" si="130"/>
        <v>0</v>
      </c>
      <c r="AH294" s="1">
        <f t="shared" si="131"/>
        <v>1</v>
      </c>
      <c r="AI294" s="1">
        <f t="shared" si="132"/>
        <v>0</v>
      </c>
    </row>
    <row r="295" spans="1:35" s="1" customFormat="1" ht="14.25" customHeight="1" x14ac:dyDescent="0.25">
      <c r="A295" s="31">
        <v>0</v>
      </c>
      <c r="B295" s="31">
        <v>1</v>
      </c>
      <c r="C295" s="31">
        <v>7</v>
      </c>
      <c r="D295" s="32" t="s">
        <v>1116</v>
      </c>
      <c r="E295" s="32" t="s">
        <v>29</v>
      </c>
      <c r="F295" s="32" t="s">
        <v>1117</v>
      </c>
      <c r="G295" s="32" t="s">
        <v>1119</v>
      </c>
      <c r="H295" s="32" t="s">
        <v>352</v>
      </c>
      <c r="I295" s="31" t="s">
        <v>1118</v>
      </c>
      <c r="J295" s="31">
        <v>99</v>
      </c>
      <c r="K295" s="33" t="s">
        <v>694</v>
      </c>
      <c r="L295" s="33">
        <v>30</v>
      </c>
      <c r="M295" s="34" t="s">
        <v>1375</v>
      </c>
      <c r="N295" s="34" t="s">
        <v>1799</v>
      </c>
      <c r="O295" s="35">
        <v>1</v>
      </c>
      <c r="P295" s="35"/>
      <c r="Q295" s="32"/>
      <c r="S295" s="1">
        <f t="shared" si="117"/>
        <v>0</v>
      </c>
      <c r="T295" s="1">
        <f t="shared" si="118"/>
        <v>0</v>
      </c>
      <c r="U295" s="1">
        <f t="shared" si="119"/>
        <v>0</v>
      </c>
      <c r="V295" s="1">
        <f t="shared" si="120"/>
        <v>0</v>
      </c>
      <c r="W295" s="1">
        <f t="shared" si="121"/>
        <v>0</v>
      </c>
      <c r="X295" s="1">
        <f t="shared" si="122"/>
        <v>0</v>
      </c>
      <c r="Y295" s="1">
        <f t="shared" si="123"/>
        <v>0</v>
      </c>
      <c r="Z295" s="1">
        <f t="shared" si="124"/>
        <v>0</v>
      </c>
      <c r="AA295" s="1">
        <f t="shared" si="125"/>
        <v>0</v>
      </c>
      <c r="AB295" s="1">
        <f t="shared" si="126"/>
        <v>0</v>
      </c>
      <c r="AD295" s="1">
        <f t="shared" si="127"/>
        <v>0</v>
      </c>
      <c r="AE295" s="1">
        <f t="shared" si="128"/>
        <v>1</v>
      </c>
      <c r="AF295" s="1">
        <f t="shared" si="129"/>
        <v>0</v>
      </c>
      <c r="AG295" s="1">
        <f t="shared" si="130"/>
        <v>1</v>
      </c>
      <c r="AH295" s="1">
        <f t="shared" si="131"/>
        <v>0</v>
      </c>
      <c r="AI295" s="1">
        <f t="shared" si="132"/>
        <v>1</v>
      </c>
    </row>
    <row r="296" spans="1:35" s="1" customFormat="1" ht="14.25" customHeight="1" x14ac:dyDescent="0.25">
      <c r="A296" s="31">
        <v>0</v>
      </c>
      <c r="B296" s="31">
        <v>1</v>
      </c>
      <c r="C296" s="31">
        <v>7</v>
      </c>
      <c r="D296" s="32" t="s">
        <v>98</v>
      </c>
      <c r="E296" s="32" t="s">
        <v>29</v>
      </c>
      <c r="F296" s="32" t="s">
        <v>295</v>
      </c>
      <c r="G296" s="32" t="s">
        <v>196</v>
      </c>
      <c r="H296" s="32" t="s">
        <v>352</v>
      </c>
      <c r="I296" s="31" t="s">
        <v>443</v>
      </c>
      <c r="J296" s="31">
        <v>9</v>
      </c>
      <c r="K296" s="33" t="s">
        <v>694</v>
      </c>
      <c r="L296" s="33">
        <v>30</v>
      </c>
      <c r="M296" s="34" t="s">
        <v>699</v>
      </c>
      <c r="N296" s="34" t="s">
        <v>1696</v>
      </c>
      <c r="O296" s="35">
        <v>1</v>
      </c>
      <c r="P296" s="35"/>
      <c r="Q296" s="32"/>
      <c r="S296" s="1">
        <f t="shared" si="117"/>
        <v>0</v>
      </c>
      <c r="T296" s="1">
        <f t="shared" si="118"/>
        <v>0</v>
      </c>
      <c r="U296" s="1">
        <f t="shared" si="119"/>
        <v>0</v>
      </c>
      <c r="V296" s="1">
        <f t="shared" si="120"/>
        <v>0</v>
      </c>
      <c r="W296" s="1">
        <f t="shared" si="121"/>
        <v>0</v>
      </c>
      <c r="X296" s="1">
        <f t="shared" si="122"/>
        <v>0</v>
      </c>
      <c r="Y296" s="1">
        <f t="shared" si="123"/>
        <v>0</v>
      </c>
      <c r="Z296" s="1">
        <f t="shared" si="124"/>
        <v>0</v>
      </c>
      <c r="AA296" s="1">
        <f t="shared" si="125"/>
        <v>1</v>
      </c>
      <c r="AB296" s="1">
        <f t="shared" si="126"/>
        <v>0</v>
      </c>
      <c r="AD296" s="1">
        <f t="shared" si="127"/>
        <v>0</v>
      </c>
      <c r="AE296" s="1">
        <f t="shared" si="128"/>
        <v>1</v>
      </c>
      <c r="AF296" s="1">
        <f t="shared" si="129"/>
        <v>0</v>
      </c>
      <c r="AG296" s="1">
        <f t="shared" si="130"/>
        <v>1</v>
      </c>
      <c r="AH296" s="1">
        <f t="shared" si="131"/>
        <v>0</v>
      </c>
      <c r="AI296" s="1">
        <f t="shared" si="132"/>
        <v>1</v>
      </c>
    </row>
    <row r="297" spans="1:35" s="1" customFormat="1" ht="14.25" customHeight="1" x14ac:dyDescent="0.25">
      <c r="A297" s="31">
        <v>0</v>
      </c>
      <c r="B297" s="31">
        <v>1</v>
      </c>
      <c r="C297" s="31">
        <v>7</v>
      </c>
      <c r="D297" s="32" t="s">
        <v>784</v>
      </c>
      <c r="E297" s="32" t="s">
        <v>29</v>
      </c>
      <c r="F297" s="32" t="s">
        <v>763</v>
      </c>
      <c r="G297" s="32" t="s">
        <v>785</v>
      </c>
      <c r="H297" s="32" t="s">
        <v>352</v>
      </c>
      <c r="I297" s="31" t="s">
        <v>929</v>
      </c>
      <c r="J297" s="31">
        <v>99</v>
      </c>
      <c r="K297" s="33" t="s">
        <v>704</v>
      </c>
      <c r="L297" s="33" t="s">
        <v>685</v>
      </c>
      <c r="M297" s="34" t="s">
        <v>699</v>
      </c>
      <c r="N297" s="34" t="s">
        <v>1775</v>
      </c>
      <c r="O297" s="35">
        <v>1</v>
      </c>
      <c r="P297" s="35"/>
      <c r="Q297" s="32"/>
      <c r="S297" s="1">
        <f t="shared" si="117"/>
        <v>0</v>
      </c>
      <c r="T297" s="1">
        <f t="shared" si="118"/>
        <v>0</v>
      </c>
      <c r="U297" s="1">
        <f t="shared" si="119"/>
        <v>0</v>
      </c>
      <c r="V297" s="1">
        <f t="shared" si="120"/>
        <v>0</v>
      </c>
      <c r="W297" s="1">
        <f t="shared" si="121"/>
        <v>0</v>
      </c>
      <c r="X297" s="1">
        <f t="shared" si="122"/>
        <v>0</v>
      </c>
      <c r="Y297" s="1">
        <f t="shared" si="123"/>
        <v>0</v>
      </c>
      <c r="Z297" s="1">
        <f t="shared" si="124"/>
        <v>0</v>
      </c>
      <c r="AA297" s="1">
        <f t="shared" si="125"/>
        <v>0</v>
      </c>
      <c r="AB297" s="1">
        <f t="shared" si="126"/>
        <v>0</v>
      </c>
      <c r="AD297" s="1">
        <f t="shared" si="127"/>
        <v>0</v>
      </c>
      <c r="AE297" s="1">
        <f t="shared" si="128"/>
        <v>1</v>
      </c>
      <c r="AF297" s="1">
        <f t="shared" si="129"/>
        <v>0</v>
      </c>
      <c r="AG297" s="1">
        <f t="shared" si="130"/>
        <v>1</v>
      </c>
      <c r="AH297" s="1">
        <f t="shared" si="131"/>
        <v>0</v>
      </c>
      <c r="AI297" s="1">
        <f t="shared" si="132"/>
        <v>1</v>
      </c>
    </row>
    <row r="298" spans="1:35" s="1" customFormat="1" ht="14.25" customHeight="1" x14ac:dyDescent="0.25">
      <c r="A298" s="31">
        <v>0</v>
      </c>
      <c r="B298" s="31">
        <v>1</v>
      </c>
      <c r="C298" s="31">
        <v>7</v>
      </c>
      <c r="D298" s="32" t="s">
        <v>1292</v>
      </c>
      <c r="E298" s="32" t="s">
        <v>29</v>
      </c>
      <c r="F298" s="32" t="s">
        <v>1315</v>
      </c>
      <c r="G298" s="32" t="s">
        <v>1153</v>
      </c>
      <c r="H298" s="32" t="s">
        <v>352</v>
      </c>
      <c r="I298" s="31" t="s">
        <v>1652</v>
      </c>
      <c r="J298" s="31">
        <v>99</v>
      </c>
      <c r="K298" s="33" t="s">
        <v>704</v>
      </c>
      <c r="L298" s="33" t="s">
        <v>685</v>
      </c>
      <c r="M298" s="34" t="s">
        <v>1376</v>
      </c>
      <c r="N298" s="34" t="s">
        <v>1713</v>
      </c>
      <c r="O298" s="35">
        <v>1</v>
      </c>
      <c r="P298" s="35"/>
      <c r="Q298" s="32"/>
      <c r="S298" s="1">
        <f t="shared" si="117"/>
        <v>0</v>
      </c>
      <c r="T298" s="1">
        <f t="shared" si="118"/>
        <v>0</v>
      </c>
      <c r="U298" s="1">
        <f t="shared" si="119"/>
        <v>0</v>
      </c>
      <c r="V298" s="1">
        <f t="shared" si="120"/>
        <v>0</v>
      </c>
      <c r="W298" s="1">
        <f t="shared" si="121"/>
        <v>0</v>
      </c>
      <c r="X298" s="1">
        <f t="shared" si="122"/>
        <v>0</v>
      </c>
      <c r="Y298" s="1">
        <f t="shared" si="123"/>
        <v>0</v>
      </c>
      <c r="Z298" s="1">
        <f t="shared" si="124"/>
        <v>0</v>
      </c>
      <c r="AA298" s="1">
        <f t="shared" si="125"/>
        <v>0</v>
      </c>
      <c r="AB298" s="1">
        <f t="shared" si="126"/>
        <v>0</v>
      </c>
      <c r="AD298" s="1">
        <f t="shared" si="127"/>
        <v>0</v>
      </c>
      <c r="AE298" s="1">
        <f t="shared" si="128"/>
        <v>1</v>
      </c>
      <c r="AF298" s="1">
        <f t="shared" si="129"/>
        <v>0</v>
      </c>
      <c r="AG298" s="1">
        <f t="shared" si="130"/>
        <v>1</v>
      </c>
      <c r="AH298" s="1">
        <f t="shared" si="131"/>
        <v>0</v>
      </c>
      <c r="AI298" s="1">
        <f t="shared" si="132"/>
        <v>1</v>
      </c>
    </row>
    <row r="299" spans="1:35" s="1" customFormat="1" ht="14.25" customHeight="1" x14ac:dyDescent="0.25">
      <c r="A299" s="31">
        <v>0</v>
      </c>
      <c r="B299" s="31">
        <v>1</v>
      </c>
      <c r="C299" s="31">
        <v>7</v>
      </c>
      <c r="D299" s="32" t="s">
        <v>1247</v>
      </c>
      <c r="E299" s="32" t="s">
        <v>29</v>
      </c>
      <c r="F299" s="32" t="s">
        <v>1248</v>
      </c>
      <c r="G299" s="32" t="s">
        <v>1249</v>
      </c>
      <c r="H299" s="32" t="s">
        <v>352</v>
      </c>
      <c r="I299" s="31" t="s">
        <v>1250</v>
      </c>
      <c r="J299" s="31">
        <v>99</v>
      </c>
      <c r="K299" s="33" t="s">
        <v>704</v>
      </c>
      <c r="L299" s="33" t="s">
        <v>685</v>
      </c>
      <c r="M299" s="34" t="s">
        <v>699</v>
      </c>
      <c r="N299" s="34" t="s">
        <v>1708</v>
      </c>
      <c r="O299" s="35">
        <v>1</v>
      </c>
      <c r="P299" s="35"/>
      <c r="Q299" s="32"/>
      <c r="S299" s="1">
        <f t="shared" si="117"/>
        <v>0</v>
      </c>
      <c r="T299" s="1">
        <f t="shared" si="118"/>
        <v>0</v>
      </c>
      <c r="U299" s="1">
        <f t="shared" si="119"/>
        <v>0</v>
      </c>
      <c r="V299" s="1">
        <f t="shared" si="120"/>
        <v>0</v>
      </c>
      <c r="W299" s="1">
        <f t="shared" si="121"/>
        <v>0</v>
      </c>
      <c r="X299" s="1">
        <f t="shared" si="122"/>
        <v>0</v>
      </c>
      <c r="Y299" s="1">
        <f t="shared" si="123"/>
        <v>0</v>
      </c>
      <c r="Z299" s="1">
        <f t="shared" si="124"/>
        <v>0</v>
      </c>
      <c r="AA299" s="1">
        <f t="shared" si="125"/>
        <v>0</v>
      </c>
      <c r="AB299" s="1">
        <f t="shared" si="126"/>
        <v>0</v>
      </c>
      <c r="AD299" s="1">
        <f t="shared" si="127"/>
        <v>0</v>
      </c>
      <c r="AE299" s="1">
        <f t="shared" si="128"/>
        <v>1</v>
      </c>
      <c r="AF299" s="1">
        <f t="shared" si="129"/>
        <v>0</v>
      </c>
      <c r="AG299" s="1">
        <f t="shared" si="130"/>
        <v>1</v>
      </c>
      <c r="AH299" s="1">
        <f t="shared" si="131"/>
        <v>0</v>
      </c>
      <c r="AI299" s="1">
        <f t="shared" si="132"/>
        <v>1</v>
      </c>
    </row>
    <row r="300" spans="1:35" s="1" customFormat="1" ht="14.25" customHeight="1" x14ac:dyDescent="0.25">
      <c r="A300" s="31">
        <v>0</v>
      </c>
      <c r="B300" s="31">
        <v>1</v>
      </c>
      <c r="C300" s="31">
        <v>7</v>
      </c>
      <c r="D300" s="32" t="s">
        <v>700</v>
      </c>
      <c r="E300" s="32" t="s">
        <v>29</v>
      </c>
      <c r="F300" s="32" t="s">
        <v>701</v>
      </c>
      <c r="G300" s="32" t="s">
        <v>183</v>
      </c>
      <c r="H300" s="32" t="s">
        <v>352</v>
      </c>
      <c r="I300" s="31" t="s">
        <v>702</v>
      </c>
      <c r="J300" s="31">
        <v>99</v>
      </c>
      <c r="K300" s="33" t="s">
        <v>932</v>
      </c>
      <c r="L300" s="33" t="s">
        <v>39</v>
      </c>
      <c r="M300" s="34" t="s">
        <v>39</v>
      </c>
      <c r="N300" s="34" t="s">
        <v>1693</v>
      </c>
      <c r="O300" s="35">
        <v>1</v>
      </c>
      <c r="P300" s="35">
        <v>1</v>
      </c>
      <c r="Q300" s="32"/>
      <c r="S300" s="1">
        <f t="shared" si="117"/>
        <v>0</v>
      </c>
      <c r="T300" s="1">
        <f t="shared" si="118"/>
        <v>0</v>
      </c>
      <c r="U300" s="1">
        <f t="shared" si="119"/>
        <v>0</v>
      </c>
      <c r="V300" s="1">
        <f t="shared" si="120"/>
        <v>0</v>
      </c>
      <c r="W300" s="1">
        <f t="shared" si="121"/>
        <v>0</v>
      </c>
      <c r="X300" s="1">
        <f t="shared" si="122"/>
        <v>0</v>
      </c>
      <c r="Y300" s="1">
        <f t="shared" si="123"/>
        <v>0</v>
      </c>
      <c r="Z300" s="1">
        <f t="shared" si="124"/>
        <v>0</v>
      </c>
      <c r="AA300" s="1">
        <f t="shared" si="125"/>
        <v>0</v>
      </c>
      <c r="AB300" s="1">
        <f t="shared" si="126"/>
        <v>0</v>
      </c>
      <c r="AD300" s="1">
        <f t="shared" si="127"/>
        <v>1</v>
      </c>
      <c r="AE300" s="1">
        <f t="shared" si="128"/>
        <v>0</v>
      </c>
      <c r="AF300" s="1">
        <f t="shared" si="129"/>
        <v>1</v>
      </c>
      <c r="AG300" s="1">
        <f t="shared" si="130"/>
        <v>0</v>
      </c>
      <c r="AH300" s="1">
        <f t="shared" si="131"/>
        <v>1</v>
      </c>
      <c r="AI300" s="1">
        <f t="shared" si="132"/>
        <v>0</v>
      </c>
    </row>
    <row r="301" spans="1:35" s="1" customFormat="1" ht="14.25" customHeight="1" x14ac:dyDescent="0.25">
      <c r="A301" s="31">
        <v>0</v>
      </c>
      <c r="B301" s="31">
        <v>1</v>
      </c>
      <c r="C301" s="31">
        <v>7</v>
      </c>
      <c r="D301" s="36" t="s">
        <v>2075</v>
      </c>
      <c r="E301" s="36" t="s">
        <v>29</v>
      </c>
      <c r="F301" s="36" t="s">
        <v>2076</v>
      </c>
      <c r="G301" s="36" t="s">
        <v>239</v>
      </c>
      <c r="H301" s="36" t="s">
        <v>352</v>
      </c>
      <c r="I301" s="37" t="s">
        <v>2077</v>
      </c>
      <c r="J301" s="31">
        <v>1</v>
      </c>
      <c r="K301" s="33" t="s">
        <v>694</v>
      </c>
      <c r="L301" s="33"/>
      <c r="M301" s="34"/>
      <c r="N301" s="34" t="s">
        <v>1700</v>
      </c>
      <c r="O301" s="35">
        <v>1</v>
      </c>
      <c r="P301" s="35"/>
      <c r="Q301" s="32" t="s">
        <v>2078</v>
      </c>
      <c r="S301" s="1">
        <f t="shared" si="117"/>
        <v>1</v>
      </c>
      <c r="T301" s="1">
        <f t="shared" si="118"/>
        <v>0</v>
      </c>
      <c r="U301" s="1">
        <f t="shared" si="119"/>
        <v>0</v>
      </c>
      <c r="V301" s="1">
        <f t="shared" si="120"/>
        <v>0</v>
      </c>
      <c r="W301" s="1">
        <f t="shared" si="121"/>
        <v>0</v>
      </c>
      <c r="X301" s="1">
        <f t="shared" si="122"/>
        <v>0</v>
      </c>
      <c r="Y301" s="1">
        <f t="shared" si="123"/>
        <v>0</v>
      </c>
      <c r="Z301" s="1">
        <f t="shared" si="124"/>
        <v>0</v>
      </c>
      <c r="AA301" s="1">
        <f t="shared" si="125"/>
        <v>0</v>
      </c>
      <c r="AB301" s="1">
        <f t="shared" si="126"/>
        <v>0</v>
      </c>
      <c r="AD301" s="1">
        <f t="shared" si="127"/>
        <v>0</v>
      </c>
      <c r="AE301" s="1">
        <f t="shared" si="128"/>
        <v>1</v>
      </c>
      <c r="AF301" s="1">
        <f t="shared" si="129"/>
        <v>0</v>
      </c>
      <c r="AG301" s="1">
        <f t="shared" si="130"/>
        <v>1</v>
      </c>
      <c r="AH301" s="1">
        <f t="shared" si="131"/>
        <v>0</v>
      </c>
      <c r="AI301" s="1">
        <f t="shared" si="132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532</v>
      </c>
      <c r="E302" s="32" t="s">
        <v>34</v>
      </c>
      <c r="F302" s="32" t="s">
        <v>533</v>
      </c>
      <c r="G302" s="32" t="s">
        <v>219</v>
      </c>
      <c r="H302" s="32" t="s">
        <v>352</v>
      </c>
      <c r="I302" s="31" t="s">
        <v>534</v>
      </c>
      <c r="J302" s="31">
        <v>8</v>
      </c>
      <c r="K302" s="33" t="s">
        <v>704</v>
      </c>
      <c r="L302" s="33" t="s">
        <v>704</v>
      </c>
      <c r="M302" s="34" t="s">
        <v>705</v>
      </c>
      <c r="N302" s="34" t="s">
        <v>1700</v>
      </c>
      <c r="O302" s="35">
        <v>1</v>
      </c>
      <c r="P302" s="35"/>
      <c r="Q302" s="32"/>
      <c r="S302" s="1">
        <f t="shared" si="117"/>
        <v>0</v>
      </c>
      <c r="T302" s="1">
        <f t="shared" si="118"/>
        <v>0</v>
      </c>
      <c r="U302" s="1">
        <f t="shared" si="119"/>
        <v>0</v>
      </c>
      <c r="V302" s="1">
        <f t="shared" si="120"/>
        <v>0</v>
      </c>
      <c r="W302" s="1">
        <f t="shared" si="121"/>
        <v>0</v>
      </c>
      <c r="X302" s="1">
        <f t="shared" si="122"/>
        <v>0</v>
      </c>
      <c r="Y302" s="1">
        <f t="shared" si="123"/>
        <v>0</v>
      </c>
      <c r="Z302" s="1">
        <f t="shared" si="124"/>
        <v>1</v>
      </c>
      <c r="AA302" s="1">
        <f t="shared" si="125"/>
        <v>0</v>
      </c>
      <c r="AB302" s="1">
        <f t="shared" si="126"/>
        <v>0</v>
      </c>
      <c r="AD302" s="1">
        <f t="shared" si="127"/>
        <v>0</v>
      </c>
      <c r="AE302" s="1">
        <f t="shared" si="128"/>
        <v>1</v>
      </c>
      <c r="AF302" s="1">
        <f t="shared" si="129"/>
        <v>0</v>
      </c>
      <c r="AG302" s="1">
        <f t="shared" si="130"/>
        <v>1</v>
      </c>
      <c r="AH302" s="1">
        <f t="shared" si="131"/>
        <v>0</v>
      </c>
      <c r="AI302" s="1">
        <f t="shared" si="132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1258</v>
      </c>
      <c r="E303" s="32" t="s">
        <v>555</v>
      </c>
      <c r="F303" s="32" t="s">
        <v>1259</v>
      </c>
      <c r="G303" s="32" t="s">
        <v>229</v>
      </c>
      <c r="H303" s="32" t="s">
        <v>352</v>
      </c>
      <c r="I303" s="31" t="s">
        <v>1260</v>
      </c>
      <c r="J303" s="31">
        <v>7</v>
      </c>
      <c r="K303" s="33" t="s">
        <v>704</v>
      </c>
      <c r="L303" s="33" t="s">
        <v>704</v>
      </c>
      <c r="M303" s="34" t="s">
        <v>705</v>
      </c>
      <c r="N303" s="34" t="s">
        <v>1708</v>
      </c>
      <c r="O303" s="35">
        <v>1</v>
      </c>
      <c r="P303" s="35"/>
      <c r="Q303" s="32"/>
      <c r="S303" s="1">
        <f t="shared" si="117"/>
        <v>0</v>
      </c>
      <c r="T303" s="1">
        <f t="shared" si="118"/>
        <v>0</v>
      </c>
      <c r="U303" s="1">
        <f t="shared" si="119"/>
        <v>0</v>
      </c>
      <c r="V303" s="1">
        <f t="shared" si="120"/>
        <v>0</v>
      </c>
      <c r="W303" s="1">
        <f t="shared" si="121"/>
        <v>0</v>
      </c>
      <c r="X303" s="1">
        <f t="shared" si="122"/>
        <v>0</v>
      </c>
      <c r="Y303" s="1">
        <f t="shared" si="123"/>
        <v>1</v>
      </c>
      <c r="Z303" s="1">
        <f t="shared" si="124"/>
        <v>0</v>
      </c>
      <c r="AA303" s="1">
        <f t="shared" si="125"/>
        <v>0</v>
      </c>
      <c r="AB303" s="1">
        <f t="shared" si="126"/>
        <v>0</v>
      </c>
      <c r="AD303" s="1">
        <f t="shared" si="127"/>
        <v>0</v>
      </c>
      <c r="AE303" s="1">
        <f t="shared" si="128"/>
        <v>1</v>
      </c>
      <c r="AF303" s="1">
        <f t="shared" si="129"/>
        <v>0</v>
      </c>
      <c r="AG303" s="1">
        <f t="shared" si="130"/>
        <v>1</v>
      </c>
      <c r="AH303" s="1">
        <f t="shared" si="131"/>
        <v>0</v>
      </c>
      <c r="AI303" s="1">
        <f t="shared" si="132"/>
        <v>1</v>
      </c>
    </row>
    <row r="304" spans="1:35" s="1" customFormat="1" ht="14.25" customHeight="1" x14ac:dyDescent="0.25">
      <c r="A304" s="31">
        <v>0</v>
      </c>
      <c r="B304" s="31">
        <v>2</v>
      </c>
      <c r="C304" s="31">
        <v>1</v>
      </c>
      <c r="D304" s="32" t="s">
        <v>1294</v>
      </c>
      <c r="E304" s="32" t="s">
        <v>555</v>
      </c>
      <c r="F304" s="32" t="s">
        <v>1932</v>
      </c>
      <c r="G304" s="32" t="s">
        <v>212</v>
      </c>
      <c r="H304" s="32" t="s">
        <v>352</v>
      </c>
      <c r="I304" s="31" t="s">
        <v>1128</v>
      </c>
      <c r="J304" s="31">
        <v>1</v>
      </c>
      <c r="K304" s="33" t="s">
        <v>931</v>
      </c>
      <c r="L304" s="33" t="s">
        <v>704</v>
      </c>
      <c r="M304" s="34" t="s">
        <v>705</v>
      </c>
      <c r="N304" s="34" t="s">
        <v>1713</v>
      </c>
      <c r="O304" s="35">
        <v>1</v>
      </c>
      <c r="P304" s="35"/>
      <c r="Q304" s="32"/>
      <c r="S304" s="1">
        <f t="shared" si="117"/>
        <v>1</v>
      </c>
      <c r="T304" s="1">
        <f t="shared" si="118"/>
        <v>0</v>
      </c>
      <c r="U304" s="1">
        <f t="shared" si="119"/>
        <v>0</v>
      </c>
      <c r="V304" s="1">
        <f t="shared" si="120"/>
        <v>0</v>
      </c>
      <c r="W304" s="1">
        <f t="shared" si="121"/>
        <v>0</v>
      </c>
      <c r="X304" s="1">
        <f t="shared" si="122"/>
        <v>0</v>
      </c>
      <c r="Y304" s="1">
        <f t="shared" si="123"/>
        <v>0</v>
      </c>
      <c r="Z304" s="1">
        <f t="shared" si="124"/>
        <v>0</v>
      </c>
      <c r="AA304" s="1">
        <f t="shared" si="125"/>
        <v>0</v>
      </c>
      <c r="AB304" s="1">
        <f t="shared" si="126"/>
        <v>0</v>
      </c>
      <c r="AD304" s="1">
        <f t="shared" si="127"/>
        <v>0</v>
      </c>
      <c r="AE304" s="1">
        <f t="shared" si="128"/>
        <v>1</v>
      </c>
      <c r="AF304" s="1">
        <f t="shared" si="129"/>
        <v>0</v>
      </c>
      <c r="AG304" s="1">
        <f t="shared" si="130"/>
        <v>1</v>
      </c>
      <c r="AH304" s="1">
        <f t="shared" si="131"/>
        <v>0</v>
      </c>
      <c r="AI304" s="1">
        <f t="shared" si="132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1295</v>
      </c>
      <c r="E305" s="32" t="s">
        <v>555</v>
      </c>
      <c r="F305" s="32" t="s">
        <v>1123</v>
      </c>
      <c r="G305" s="32" t="s">
        <v>283</v>
      </c>
      <c r="H305" s="32" t="s">
        <v>352</v>
      </c>
      <c r="I305" s="31" t="s">
        <v>1124</v>
      </c>
      <c r="J305" s="31">
        <v>10</v>
      </c>
      <c r="K305" s="33" t="s">
        <v>931</v>
      </c>
      <c r="L305" s="33" t="s">
        <v>704</v>
      </c>
      <c r="M305" s="34" t="s">
        <v>705</v>
      </c>
      <c r="N305" s="34" t="s">
        <v>1713</v>
      </c>
      <c r="O305" s="35">
        <v>1</v>
      </c>
      <c r="P305" s="35"/>
      <c r="Q305" s="32"/>
      <c r="S305" s="1">
        <f t="shared" si="117"/>
        <v>0</v>
      </c>
      <c r="T305" s="1">
        <f t="shared" si="118"/>
        <v>0</v>
      </c>
      <c r="U305" s="1">
        <f t="shared" si="119"/>
        <v>0</v>
      </c>
      <c r="V305" s="1">
        <f t="shared" si="120"/>
        <v>0</v>
      </c>
      <c r="W305" s="1">
        <f t="shared" si="121"/>
        <v>0</v>
      </c>
      <c r="X305" s="1">
        <f t="shared" si="122"/>
        <v>0</v>
      </c>
      <c r="Y305" s="1">
        <f t="shared" si="123"/>
        <v>0</v>
      </c>
      <c r="Z305" s="1">
        <f t="shared" si="124"/>
        <v>0</v>
      </c>
      <c r="AA305" s="1">
        <f t="shared" si="125"/>
        <v>0</v>
      </c>
      <c r="AB305" s="1">
        <f t="shared" si="126"/>
        <v>1</v>
      </c>
      <c r="AD305" s="1">
        <f t="shared" si="127"/>
        <v>0</v>
      </c>
      <c r="AE305" s="1">
        <f t="shared" si="128"/>
        <v>1</v>
      </c>
      <c r="AF305" s="1">
        <f t="shared" si="129"/>
        <v>0</v>
      </c>
      <c r="AG305" s="1">
        <f t="shared" si="130"/>
        <v>1</v>
      </c>
      <c r="AH305" s="1">
        <f t="shared" si="131"/>
        <v>0</v>
      </c>
      <c r="AI305" s="1">
        <f t="shared" si="132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2011</v>
      </c>
      <c r="E306" s="32" t="s">
        <v>36</v>
      </c>
      <c r="F306" s="32" t="s">
        <v>2012</v>
      </c>
      <c r="G306" s="32" t="s">
        <v>1446</v>
      </c>
      <c r="H306" s="32" t="s">
        <v>352</v>
      </c>
      <c r="I306" s="31" t="s">
        <v>2014</v>
      </c>
      <c r="J306" s="31">
        <v>99</v>
      </c>
      <c r="K306" s="33" t="s">
        <v>694</v>
      </c>
      <c r="L306" s="33">
        <v>7</v>
      </c>
      <c r="M306" s="34" t="s">
        <v>2013</v>
      </c>
      <c r="N306" s="34" t="s">
        <v>1693</v>
      </c>
      <c r="O306" s="35">
        <v>1</v>
      </c>
      <c r="P306" s="35">
        <v>1</v>
      </c>
      <c r="Q306" s="32" t="s">
        <v>2015</v>
      </c>
      <c r="S306" s="1">
        <f t="shared" si="117"/>
        <v>0</v>
      </c>
      <c r="T306" s="1">
        <f t="shared" si="118"/>
        <v>0</v>
      </c>
      <c r="U306" s="1">
        <f t="shared" si="119"/>
        <v>0</v>
      </c>
      <c r="V306" s="1">
        <f t="shared" si="120"/>
        <v>0</v>
      </c>
      <c r="W306" s="1">
        <f t="shared" si="121"/>
        <v>0</v>
      </c>
      <c r="X306" s="1">
        <f t="shared" si="122"/>
        <v>0</v>
      </c>
      <c r="Y306" s="1">
        <f t="shared" si="123"/>
        <v>0</v>
      </c>
      <c r="Z306" s="1">
        <f t="shared" si="124"/>
        <v>0</v>
      </c>
      <c r="AA306" s="1">
        <f t="shared" si="125"/>
        <v>0</v>
      </c>
      <c r="AB306" s="1">
        <f t="shared" si="126"/>
        <v>0</v>
      </c>
      <c r="AD306" s="1">
        <f t="shared" si="127"/>
        <v>1</v>
      </c>
      <c r="AE306" s="1">
        <f t="shared" si="128"/>
        <v>0</v>
      </c>
      <c r="AF306" s="1">
        <f t="shared" si="129"/>
        <v>1</v>
      </c>
      <c r="AG306" s="1">
        <f t="shared" si="130"/>
        <v>0</v>
      </c>
      <c r="AH306" s="1">
        <f t="shared" si="131"/>
        <v>1</v>
      </c>
      <c r="AI306" s="1">
        <f t="shared" si="132"/>
        <v>0</v>
      </c>
    </row>
    <row r="307" spans="1:35" s="1" customFormat="1" ht="14.25" customHeight="1" x14ac:dyDescent="0.25">
      <c r="A307" s="15">
        <v>0</v>
      </c>
      <c r="B307" s="15">
        <v>2</v>
      </c>
      <c r="C307" s="15">
        <v>1</v>
      </c>
      <c r="D307" s="16" t="s">
        <v>508</v>
      </c>
      <c r="E307" s="16" t="s">
        <v>34</v>
      </c>
      <c r="F307" s="16" t="s">
        <v>507</v>
      </c>
      <c r="G307" s="16" t="s">
        <v>542</v>
      </c>
      <c r="H307" s="16" t="s">
        <v>352</v>
      </c>
      <c r="I307" s="15" t="s">
        <v>1330</v>
      </c>
      <c r="J307" s="15">
        <v>99</v>
      </c>
      <c r="K307" s="10" t="s">
        <v>932</v>
      </c>
      <c r="L307" s="10" t="s">
        <v>704</v>
      </c>
      <c r="M307" s="19" t="s">
        <v>705</v>
      </c>
      <c r="N307" s="19"/>
      <c r="Q307" s="20" t="s">
        <v>1955</v>
      </c>
      <c r="S307" s="1">
        <f t="shared" si="117"/>
        <v>0</v>
      </c>
      <c r="T307" s="1">
        <f t="shared" si="118"/>
        <v>0</v>
      </c>
      <c r="U307" s="1">
        <f t="shared" si="119"/>
        <v>0</v>
      </c>
      <c r="V307" s="1">
        <f t="shared" si="120"/>
        <v>0</v>
      </c>
      <c r="W307" s="1">
        <f t="shared" si="121"/>
        <v>0</v>
      </c>
      <c r="X307" s="1">
        <f t="shared" si="122"/>
        <v>0</v>
      </c>
      <c r="Y307" s="1">
        <f t="shared" si="123"/>
        <v>0</v>
      </c>
      <c r="Z307" s="1">
        <f t="shared" si="124"/>
        <v>0</v>
      </c>
      <c r="AA307" s="1">
        <f t="shared" si="125"/>
        <v>0</v>
      </c>
      <c r="AB307" s="1">
        <f t="shared" si="126"/>
        <v>0</v>
      </c>
      <c r="AD307" s="1">
        <f t="shared" si="127"/>
        <v>0</v>
      </c>
      <c r="AE307" s="1">
        <f t="shared" si="128"/>
        <v>0</v>
      </c>
      <c r="AF307" s="1">
        <f t="shared" si="129"/>
        <v>0</v>
      </c>
      <c r="AG307" s="1">
        <f t="shared" si="130"/>
        <v>0</v>
      </c>
      <c r="AH307" s="1">
        <f t="shared" si="131"/>
        <v>0</v>
      </c>
      <c r="AI307" s="1">
        <f t="shared" si="132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1019</v>
      </c>
      <c r="E308" s="32" t="s">
        <v>36</v>
      </c>
      <c r="F308" s="32" t="s">
        <v>1620</v>
      </c>
      <c r="G308" s="32" t="s">
        <v>620</v>
      </c>
      <c r="H308" s="32" t="s">
        <v>352</v>
      </c>
      <c r="I308" s="31" t="s">
        <v>1020</v>
      </c>
      <c r="J308" s="31">
        <v>99</v>
      </c>
      <c r="K308" s="33" t="s">
        <v>936</v>
      </c>
      <c r="L308" s="33" t="s">
        <v>704</v>
      </c>
      <c r="M308" s="34" t="s">
        <v>705</v>
      </c>
      <c r="N308" s="34" t="s">
        <v>1693</v>
      </c>
      <c r="O308" s="35">
        <v>1</v>
      </c>
      <c r="P308" s="35">
        <v>1</v>
      </c>
      <c r="Q308" s="32" t="s">
        <v>1848</v>
      </c>
      <c r="S308" s="1">
        <f t="shared" si="117"/>
        <v>0</v>
      </c>
      <c r="T308" s="1">
        <f t="shared" si="118"/>
        <v>0</v>
      </c>
      <c r="U308" s="1">
        <f t="shared" si="119"/>
        <v>0</v>
      </c>
      <c r="V308" s="1">
        <f t="shared" si="120"/>
        <v>0</v>
      </c>
      <c r="W308" s="1">
        <f t="shared" si="121"/>
        <v>0</v>
      </c>
      <c r="X308" s="1">
        <f t="shared" si="122"/>
        <v>0</v>
      </c>
      <c r="Y308" s="1">
        <f t="shared" si="123"/>
        <v>0</v>
      </c>
      <c r="Z308" s="1">
        <f t="shared" si="124"/>
        <v>0</v>
      </c>
      <c r="AA308" s="1">
        <f t="shared" si="125"/>
        <v>0</v>
      </c>
      <c r="AB308" s="1">
        <f t="shared" si="126"/>
        <v>0</v>
      </c>
      <c r="AD308" s="1">
        <f t="shared" si="127"/>
        <v>1</v>
      </c>
      <c r="AE308" s="1">
        <f t="shared" si="128"/>
        <v>0</v>
      </c>
      <c r="AF308" s="1">
        <f t="shared" si="129"/>
        <v>1</v>
      </c>
      <c r="AG308" s="1">
        <f t="shared" si="130"/>
        <v>0</v>
      </c>
      <c r="AH308" s="1">
        <f t="shared" si="131"/>
        <v>1</v>
      </c>
      <c r="AI308" s="1">
        <f t="shared" si="132"/>
        <v>0</v>
      </c>
    </row>
    <row r="309" spans="1:35" s="1" customFormat="1" ht="14.25" customHeight="1" x14ac:dyDescent="0.25">
      <c r="A309" s="31">
        <v>1</v>
      </c>
      <c r="B309" s="31">
        <v>2</v>
      </c>
      <c r="C309" s="31">
        <v>1</v>
      </c>
      <c r="D309" s="32" t="s">
        <v>49</v>
      </c>
      <c r="E309" s="32" t="s">
        <v>1282</v>
      </c>
      <c r="F309" s="32" t="s">
        <v>190</v>
      </c>
      <c r="G309" s="32" t="s">
        <v>191</v>
      </c>
      <c r="H309" s="32" t="s">
        <v>352</v>
      </c>
      <c r="I309" s="31" t="s">
        <v>384</v>
      </c>
      <c r="J309" s="31">
        <v>99</v>
      </c>
      <c r="K309" s="33" t="s">
        <v>703</v>
      </c>
      <c r="L309" s="33" t="s">
        <v>704</v>
      </c>
      <c r="M309" s="34" t="s">
        <v>705</v>
      </c>
      <c r="N309" s="34" t="s">
        <v>1708</v>
      </c>
      <c r="O309" s="35">
        <v>1</v>
      </c>
      <c r="P309" s="35"/>
      <c r="Q309" s="32"/>
      <c r="S309" s="1">
        <f t="shared" si="117"/>
        <v>0</v>
      </c>
      <c r="T309" s="1">
        <f t="shared" si="118"/>
        <v>0</v>
      </c>
      <c r="U309" s="1">
        <f t="shared" si="119"/>
        <v>0</v>
      </c>
      <c r="V309" s="1">
        <f t="shared" si="120"/>
        <v>0</v>
      </c>
      <c r="W309" s="1">
        <f t="shared" si="121"/>
        <v>0</v>
      </c>
      <c r="X309" s="1">
        <f t="shared" si="122"/>
        <v>0</v>
      </c>
      <c r="Y309" s="1">
        <f t="shared" si="123"/>
        <v>0</v>
      </c>
      <c r="Z309" s="1">
        <f t="shared" si="124"/>
        <v>0</v>
      </c>
      <c r="AA309" s="1">
        <f t="shared" si="125"/>
        <v>0</v>
      </c>
      <c r="AB309" s="1">
        <f t="shared" si="126"/>
        <v>0</v>
      </c>
      <c r="AD309" s="1">
        <f t="shared" si="127"/>
        <v>0</v>
      </c>
      <c r="AE309" s="1">
        <f t="shared" si="128"/>
        <v>1</v>
      </c>
      <c r="AF309" s="1">
        <f t="shared" si="129"/>
        <v>0</v>
      </c>
      <c r="AG309" s="1">
        <f t="shared" si="130"/>
        <v>0</v>
      </c>
      <c r="AH309" s="1">
        <f t="shared" si="131"/>
        <v>0</v>
      </c>
      <c r="AI309" s="1">
        <f t="shared" si="132"/>
        <v>0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1051</v>
      </c>
      <c r="E310" s="32" t="s">
        <v>1282</v>
      </c>
      <c r="F310" s="32" t="s">
        <v>1066</v>
      </c>
      <c r="G310" s="32" t="s">
        <v>201</v>
      </c>
      <c r="H310" s="32" t="s">
        <v>352</v>
      </c>
      <c r="I310" s="31" t="s">
        <v>384</v>
      </c>
      <c r="J310" s="31">
        <v>10</v>
      </c>
      <c r="K310" s="33" t="s">
        <v>703</v>
      </c>
      <c r="L310" s="33" t="s">
        <v>704</v>
      </c>
      <c r="M310" s="34" t="s">
        <v>705</v>
      </c>
      <c r="N310" s="34" t="s">
        <v>1708</v>
      </c>
      <c r="O310" s="35">
        <v>1</v>
      </c>
      <c r="P310" s="35"/>
      <c r="Q310" s="32"/>
      <c r="S310" s="1">
        <f t="shared" si="117"/>
        <v>0</v>
      </c>
      <c r="T310" s="1">
        <f t="shared" si="118"/>
        <v>0</v>
      </c>
      <c r="U310" s="1">
        <f t="shared" si="119"/>
        <v>0</v>
      </c>
      <c r="V310" s="1">
        <f t="shared" si="120"/>
        <v>0</v>
      </c>
      <c r="W310" s="1">
        <f t="shared" si="121"/>
        <v>0</v>
      </c>
      <c r="X310" s="1">
        <f t="shared" si="122"/>
        <v>0</v>
      </c>
      <c r="Y310" s="1">
        <f t="shared" si="123"/>
        <v>0</v>
      </c>
      <c r="Z310" s="1">
        <f t="shared" si="124"/>
        <v>0</v>
      </c>
      <c r="AA310" s="1">
        <f t="shared" si="125"/>
        <v>0</v>
      </c>
      <c r="AB310" s="1">
        <f t="shared" si="126"/>
        <v>1</v>
      </c>
      <c r="AD310" s="1">
        <f t="shared" si="127"/>
        <v>0</v>
      </c>
      <c r="AE310" s="1">
        <f t="shared" si="128"/>
        <v>1</v>
      </c>
      <c r="AF310" s="1">
        <f t="shared" si="129"/>
        <v>0</v>
      </c>
      <c r="AG310" s="1">
        <f t="shared" si="130"/>
        <v>1</v>
      </c>
      <c r="AH310" s="1">
        <f t="shared" si="131"/>
        <v>0</v>
      </c>
      <c r="AI310" s="1">
        <f t="shared" si="132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1241</v>
      </c>
      <c r="E311" s="32" t="s">
        <v>555</v>
      </c>
      <c r="F311" s="32" t="s">
        <v>1242</v>
      </c>
      <c r="G311" s="32" t="s">
        <v>257</v>
      </c>
      <c r="H311" s="32" t="s">
        <v>352</v>
      </c>
      <c r="I311" s="31" t="s">
        <v>1243</v>
      </c>
      <c r="J311" s="31">
        <v>8</v>
      </c>
      <c r="K311" s="33" t="s">
        <v>931</v>
      </c>
      <c r="L311" s="33" t="s">
        <v>704</v>
      </c>
      <c r="M311" s="34" t="s">
        <v>705</v>
      </c>
      <c r="N311" s="34" t="s">
        <v>1700</v>
      </c>
      <c r="O311" s="35">
        <v>1</v>
      </c>
      <c r="P311" s="35"/>
      <c r="Q311" s="32"/>
      <c r="S311" s="1">
        <f t="shared" si="117"/>
        <v>0</v>
      </c>
      <c r="T311" s="1">
        <f t="shared" si="118"/>
        <v>0</v>
      </c>
      <c r="U311" s="1">
        <f t="shared" si="119"/>
        <v>0</v>
      </c>
      <c r="V311" s="1">
        <f t="shared" si="120"/>
        <v>0</v>
      </c>
      <c r="W311" s="1">
        <f t="shared" si="121"/>
        <v>0</v>
      </c>
      <c r="X311" s="1">
        <f t="shared" si="122"/>
        <v>0</v>
      </c>
      <c r="Y311" s="1">
        <f t="shared" si="123"/>
        <v>0</v>
      </c>
      <c r="Z311" s="1">
        <f t="shared" si="124"/>
        <v>1</v>
      </c>
      <c r="AA311" s="1">
        <f t="shared" si="125"/>
        <v>0</v>
      </c>
      <c r="AB311" s="1">
        <f t="shared" si="126"/>
        <v>0</v>
      </c>
      <c r="AD311" s="1">
        <f t="shared" si="127"/>
        <v>0</v>
      </c>
      <c r="AE311" s="1">
        <f t="shared" si="128"/>
        <v>1</v>
      </c>
      <c r="AF311" s="1">
        <f t="shared" si="129"/>
        <v>0</v>
      </c>
      <c r="AG311" s="1">
        <f t="shared" si="130"/>
        <v>1</v>
      </c>
      <c r="AH311" s="1">
        <f t="shared" si="131"/>
        <v>0</v>
      </c>
      <c r="AI311" s="1">
        <f t="shared" si="132"/>
        <v>1</v>
      </c>
    </row>
    <row r="312" spans="1:35" s="1" customFormat="1" ht="14.25" customHeight="1" x14ac:dyDescent="0.25">
      <c r="A312" s="15">
        <v>0</v>
      </c>
      <c r="B312" s="15">
        <v>2</v>
      </c>
      <c r="C312" s="15">
        <v>1</v>
      </c>
      <c r="D312" s="16" t="s">
        <v>48</v>
      </c>
      <c r="E312" s="16" t="s">
        <v>571</v>
      </c>
      <c r="F312" s="16" t="s">
        <v>188</v>
      </c>
      <c r="G312" s="16" t="s">
        <v>298</v>
      </c>
      <c r="H312" s="16" t="s">
        <v>352</v>
      </c>
      <c r="I312" s="15" t="s">
        <v>383</v>
      </c>
      <c r="J312" s="15">
        <v>99</v>
      </c>
      <c r="K312" s="10" t="s">
        <v>704</v>
      </c>
      <c r="L312" s="10" t="s">
        <v>704</v>
      </c>
      <c r="M312" s="19" t="s">
        <v>705</v>
      </c>
      <c r="N312" s="19"/>
      <c r="Q312" s="16"/>
      <c r="S312" s="1">
        <f t="shared" si="117"/>
        <v>0</v>
      </c>
      <c r="T312" s="1">
        <f t="shared" si="118"/>
        <v>0</v>
      </c>
      <c r="U312" s="1">
        <f t="shared" si="119"/>
        <v>0</v>
      </c>
      <c r="V312" s="1">
        <f t="shared" si="120"/>
        <v>0</v>
      </c>
      <c r="W312" s="1">
        <f t="shared" si="121"/>
        <v>0</v>
      </c>
      <c r="X312" s="1">
        <f t="shared" si="122"/>
        <v>0</v>
      </c>
      <c r="Y312" s="1">
        <f t="shared" si="123"/>
        <v>0</v>
      </c>
      <c r="Z312" s="1">
        <f t="shared" si="124"/>
        <v>0</v>
      </c>
      <c r="AA312" s="1">
        <f t="shared" si="125"/>
        <v>0</v>
      </c>
      <c r="AB312" s="1">
        <f t="shared" si="126"/>
        <v>0</v>
      </c>
      <c r="AD312" s="1">
        <f t="shared" si="127"/>
        <v>0</v>
      </c>
      <c r="AE312" s="1">
        <f t="shared" si="128"/>
        <v>0</v>
      </c>
      <c r="AF312" s="1">
        <f t="shared" si="129"/>
        <v>0</v>
      </c>
      <c r="AG312" s="1">
        <f t="shared" si="130"/>
        <v>0</v>
      </c>
      <c r="AH312" s="1">
        <f t="shared" si="131"/>
        <v>0</v>
      </c>
      <c r="AI312" s="1">
        <f t="shared" si="132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57</v>
      </c>
      <c r="E313" s="32" t="s">
        <v>161</v>
      </c>
      <c r="F313" s="32" t="s">
        <v>658</v>
      </c>
      <c r="G313" s="32" t="s">
        <v>220</v>
      </c>
      <c r="H313" s="32" t="s">
        <v>352</v>
      </c>
      <c r="I313" s="31" t="s">
        <v>394</v>
      </c>
      <c r="J313" s="31">
        <v>99</v>
      </c>
      <c r="K313" s="33" t="s">
        <v>938</v>
      </c>
      <c r="L313" s="33" t="s">
        <v>704</v>
      </c>
      <c r="M313" s="34" t="s">
        <v>705</v>
      </c>
      <c r="N313" s="34" t="s">
        <v>1696</v>
      </c>
      <c r="O313" s="35">
        <v>1</v>
      </c>
      <c r="P313" s="35"/>
      <c r="Q313" s="32"/>
      <c r="S313" s="1">
        <f t="shared" si="117"/>
        <v>0</v>
      </c>
      <c r="T313" s="1">
        <f t="shared" si="118"/>
        <v>0</v>
      </c>
      <c r="U313" s="1">
        <f t="shared" si="119"/>
        <v>0</v>
      </c>
      <c r="V313" s="1">
        <f t="shared" si="120"/>
        <v>0</v>
      </c>
      <c r="W313" s="1">
        <f t="shared" si="121"/>
        <v>0</v>
      </c>
      <c r="X313" s="1">
        <f t="shared" si="122"/>
        <v>0</v>
      </c>
      <c r="Y313" s="1">
        <f t="shared" si="123"/>
        <v>0</v>
      </c>
      <c r="Z313" s="1">
        <f t="shared" si="124"/>
        <v>0</v>
      </c>
      <c r="AA313" s="1">
        <f t="shared" si="125"/>
        <v>0</v>
      </c>
      <c r="AB313" s="1">
        <f t="shared" si="126"/>
        <v>0</v>
      </c>
      <c r="AD313" s="1">
        <f t="shared" si="127"/>
        <v>0</v>
      </c>
      <c r="AE313" s="1">
        <f t="shared" si="128"/>
        <v>1</v>
      </c>
      <c r="AF313" s="1">
        <f t="shared" si="129"/>
        <v>0</v>
      </c>
      <c r="AG313" s="1">
        <f t="shared" si="130"/>
        <v>1</v>
      </c>
      <c r="AH313" s="1">
        <f t="shared" si="131"/>
        <v>0</v>
      </c>
      <c r="AI313" s="1">
        <f t="shared" si="132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511</v>
      </c>
      <c r="E314" s="32" t="s">
        <v>555</v>
      </c>
      <c r="F314" s="32" t="s">
        <v>228</v>
      </c>
      <c r="G314" s="32" t="s">
        <v>229</v>
      </c>
      <c r="H314" s="32" t="s">
        <v>352</v>
      </c>
      <c r="I314" s="31" t="s">
        <v>398</v>
      </c>
      <c r="J314" s="31">
        <v>7</v>
      </c>
      <c r="K314" s="33" t="s">
        <v>931</v>
      </c>
      <c r="L314" s="33" t="s">
        <v>704</v>
      </c>
      <c r="M314" s="34" t="s">
        <v>705</v>
      </c>
      <c r="N314" s="34" t="s">
        <v>1701</v>
      </c>
      <c r="O314" s="35">
        <v>1</v>
      </c>
      <c r="P314" s="35"/>
      <c r="Q314" s="32"/>
      <c r="S314" s="1">
        <f t="shared" si="117"/>
        <v>0</v>
      </c>
      <c r="T314" s="1">
        <f t="shared" si="118"/>
        <v>0</v>
      </c>
      <c r="U314" s="1">
        <f t="shared" si="119"/>
        <v>0</v>
      </c>
      <c r="V314" s="1">
        <f t="shared" si="120"/>
        <v>0</v>
      </c>
      <c r="W314" s="1">
        <f t="shared" si="121"/>
        <v>0</v>
      </c>
      <c r="X314" s="1">
        <f t="shared" si="122"/>
        <v>0</v>
      </c>
      <c r="Y314" s="1">
        <f t="shared" si="123"/>
        <v>1</v>
      </c>
      <c r="Z314" s="1">
        <f t="shared" si="124"/>
        <v>0</v>
      </c>
      <c r="AA314" s="1">
        <f t="shared" si="125"/>
        <v>0</v>
      </c>
      <c r="AB314" s="1">
        <f t="shared" si="126"/>
        <v>0</v>
      </c>
      <c r="AD314" s="1">
        <f t="shared" si="127"/>
        <v>0</v>
      </c>
      <c r="AE314" s="1">
        <f t="shared" si="128"/>
        <v>1</v>
      </c>
      <c r="AF314" s="1">
        <f t="shared" si="129"/>
        <v>0</v>
      </c>
      <c r="AG314" s="1">
        <f t="shared" si="130"/>
        <v>1</v>
      </c>
      <c r="AH314" s="1">
        <f t="shared" si="131"/>
        <v>0</v>
      </c>
      <c r="AI314" s="1">
        <f t="shared" si="132"/>
        <v>1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554</v>
      </c>
      <c r="E315" s="32" t="s">
        <v>555</v>
      </c>
      <c r="F315" s="32" t="s">
        <v>556</v>
      </c>
      <c r="G315" s="32" t="s">
        <v>207</v>
      </c>
      <c r="H315" s="32" t="s">
        <v>352</v>
      </c>
      <c r="I315" s="31" t="s">
        <v>557</v>
      </c>
      <c r="J315" s="31">
        <v>3</v>
      </c>
      <c r="K315" s="33" t="s">
        <v>703</v>
      </c>
      <c r="L315" s="33" t="s">
        <v>704</v>
      </c>
      <c r="M315" s="34" t="s">
        <v>705</v>
      </c>
      <c r="N315" s="34" t="s">
        <v>1693</v>
      </c>
      <c r="O315" s="35">
        <v>1</v>
      </c>
      <c r="P315" s="35">
        <v>1</v>
      </c>
      <c r="Q315" s="32"/>
      <c r="S315" s="1">
        <f t="shared" si="117"/>
        <v>0</v>
      </c>
      <c r="T315" s="1">
        <f t="shared" si="118"/>
        <v>0</v>
      </c>
      <c r="U315" s="1">
        <f t="shared" si="119"/>
        <v>1</v>
      </c>
      <c r="V315" s="1">
        <f t="shared" si="120"/>
        <v>0</v>
      </c>
      <c r="W315" s="1">
        <f t="shared" si="121"/>
        <v>0</v>
      </c>
      <c r="X315" s="1">
        <f t="shared" si="122"/>
        <v>0</v>
      </c>
      <c r="Y315" s="1">
        <f t="shared" si="123"/>
        <v>0</v>
      </c>
      <c r="Z315" s="1">
        <f t="shared" si="124"/>
        <v>0</v>
      </c>
      <c r="AA315" s="1">
        <f t="shared" si="125"/>
        <v>0</v>
      </c>
      <c r="AB315" s="1">
        <f t="shared" si="126"/>
        <v>0</v>
      </c>
      <c r="AD315" s="1">
        <f t="shared" si="127"/>
        <v>1</v>
      </c>
      <c r="AE315" s="1">
        <f t="shared" si="128"/>
        <v>0</v>
      </c>
      <c r="AF315" s="1">
        <f t="shared" si="129"/>
        <v>1</v>
      </c>
      <c r="AG315" s="1">
        <f t="shared" si="130"/>
        <v>0</v>
      </c>
      <c r="AH315" s="1">
        <f t="shared" si="131"/>
        <v>1</v>
      </c>
      <c r="AI315" s="1">
        <f t="shared" si="132"/>
        <v>0</v>
      </c>
    </row>
    <row r="316" spans="1:35" s="1" customFormat="1" ht="14.25" customHeight="1" x14ac:dyDescent="0.25">
      <c r="A316" s="37">
        <v>0</v>
      </c>
      <c r="B316" s="37">
        <v>2</v>
      </c>
      <c r="C316" s="37">
        <v>1</v>
      </c>
      <c r="D316" s="36" t="s">
        <v>1030</v>
      </c>
      <c r="E316" s="36" t="s">
        <v>32</v>
      </c>
      <c r="F316" s="36" t="s">
        <v>1245</v>
      </c>
      <c r="G316" s="36" t="s">
        <v>531</v>
      </c>
      <c r="H316" s="36" t="s">
        <v>352</v>
      </c>
      <c r="I316" s="37" t="s">
        <v>1246</v>
      </c>
      <c r="J316" s="37">
        <v>6</v>
      </c>
      <c r="K316" s="50" t="s">
        <v>704</v>
      </c>
      <c r="L316" s="33" t="s">
        <v>704</v>
      </c>
      <c r="M316" s="34" t="s">
        <v>705</v>
      </c>
      <c r="N316" s="34" t="s">
        <v>1700</v>
      </c>
      <c r="O316" s="35">
        <v>1</v>
      </c>
      <c r="P316" s="35"/>
      <c r="Q316" s="36"/>
      <c r="S316" s="1">
        <f t="shared" si="117"/>
        <v>0</v>
      </c>
      <c r="T316" s="1">
        <f t="shared" si="118"/>
        <v>0</v>
      </c>
      <c r="U316" s="1">
        <f t="shared" si="119"/>
        <v>0</v>
      </c>
      <c r="V316" s="1">
        <f t="shared" si="120"/>
        <v>0</v>
      </c>
      <c r="W316" s="1">
        <f t="shared" si="121"/>
        <v>0</v>
      </c>
      <c r="X316" s="1">
        <f t="shared" si="122"/>
        <v>1</v>
      </c>
      <c r="Y316" s="1">
        <f t="shared" si="123"/>
        <v>0</v>
      </c>
      <c r="Z316" s="1">
        <f t="shared" si="124"/>
        <v>0</v>
      </c>
      <c r="AA316" s="1">
        <f t="shared" si="125"/>
        <v>0</v>
      </c>
      <c r="AB316" s="1">
        <f t="shared" si="126"/>
        <v>0</v>
      </c>
      <c r="AD316" s="1">
        <f t="shared" si="127"/>
        <v>0</v>
      </c>
      <c r="AE316" s="1">
        <f t="shared" si="128"/>
        <v>1</v>
      </c>
      <c r="AF316" s="1">
        <f t="shared" si="129"/>
        <v>0</v>
      </c>
      <c r="AG316" s="1">
        <f t="shared" si="130"/>
        <v>1</v>
      </c>
      <c r="AH316" s="1">
        <f t="shared" si="131"/>
        <v>0</v>
      </c>
      <c r="AI316" s="1">
        <f t="shared" si="132"/>
        <v>1</v>
      </c>
    </row>
    <row r="317" spans="1:35" s="1" customFormat="1" ht="14.25" customHeight="1" x14ac:dyDescent="0.25">
      <c r="A317" s="37">
        <v>0</v>
      </c>
      <c r="B317" s="37">
        <v>2</v>
      </c>
      <c r="C317" s="37">
        <v>1</v>
      </c>
      <c r="D317" s="36" t="s">
        <v>896</v>
      </c>
      <c r="E317" s="36" t="s">
        <v>1301</v>
      </c>
      <c r="F317" s="36" t="s">
        <v>770</v>
      </c>
      <c r="G317" s="36" t="s">
        <v>256</v>
      </c>
      <c r="H317" s="36" t="s">
        <v>352</v>
      </c>
      <c r="I317" s="37" t="s">
        <v>922</v>
      </c>
      <c r="J317" s="37">
        <v>99</v>
      </c>
      <c r="K317" s="50" t="s">
        <v>703</v>
      </c>
      <c r="L317" s="33" t="s">
        <v>704</v>
      </c>
      <c r="M317" s="34" t="s">
        <v>705</v>
      </c>
      <c r="N317" s="34" t="s">
        <v>1701</v>
      </c>
      <c r="O317" s="35">
        <v>1</v>
      </c>
      <c r="P317" s="35"/>
      <c r="Q317" s="36"/>
      <c r="S317" s="1">
        <f t="shared" si="117"/>
        <v>0</v>
      </c>
      <c r="T317" s="1">
        <f t="shared" si="118"/>
        <v>0</v>
      </c>
      <c r="U317" s="1">
        <f t="shared" si="119"/>
        <v>0</v>
      </c>
      <c r="V317" s="1">
        <f t="shared" si="120"/>
        <v>0</v>
      </c>
      <c r="W317" s="1">
        <f t="shared" si="121"/>
        <v>0</v>
      </c>
      <c r="X317" s="1">
        <f t="shared" si="122"/>
        <v>0</v>
      </c>
      <c r="Y317" s="1">
        <f t="shared" si="123"/>
        <v>0</v>
      </c>
      <c r="Z317" s="1">
        <f t="shared" si="124"/>
        <v>0</v>
      </c>
      <c r="AA317" s="1">
        <f t="shared" si="125"/>
        <v>0</v>
      </c>
      <c r="AB317" s="1">
        <f t="shared" si="126"/>
        <v>0</v>
      </c>
      <c r="AD317" s="1">
        <f t="shared" si="127"/>
        <v>0</v>
      </c>
      <c r="AE317" s="1">
        <f t="shared" si="128"/>
        <v>1</v>
      </c>
      <c r="AF317" s="1">
        <f t="shared" si="129"/>
        <v>0</v>
      </c>
      <c r="AG317" s="1">
        <f t="shared" si="130"/>
        <v>1</v>
      </c>
      <c r="AH317" s="1">
        <f t="shared" si="131"/>
        <v>0</v>
      </c>
      <c r="AI317" s="1">
        <f t="shared" si="132"/>
        <v>1</v>
      </c>
    </row>
    <row r="318" spans="1:35" s="1" customFormat="1" ht="14.25" customHeight="1" x14ac:dyDescent="0.25">
      <c r="A318" s="37">
        <v>0</v>
      </c>
      <c r="B318" s="37">
        <v>2</v>
      </c>
      <c r="C318" s="37">
        <v>1</v>
      </c>
      <c r="D318" s="36" t="s">
        <v>1723</v>
      </c>
      <c r="E318" s="36" t="s">
        <v>1724</v>
      </c>
      <c r="F318" s="36" t="s">
        <v>1725</v>
      </c>
      <c r="G318" s="36" t="s">
        <v>179</v>
      </c>
      <c r="H318" s="36" t="s">
        <v>352</v>
      </c>
      <c r="I318" s="37" t="s">
        <v>1726</v>
      </c>
      <c r="J318" s="37"/>
      <c r="K318" s="50" t="s">
        <v>694</v>
      </c>
      <c r="L318" s="33">
        <v>4</v>
      </c>
      <c r="M318" s="34" t="s">
        <v>705</v>
      </c>
      <c r="N318" s="34" t="s">
        <v>1696</v>
      </c>
      <c r="O318" s="35">
        <v>1</v>
      </c>
      <c r="P318" s="35"/>
      <c r="Q318" s="36"/>
      <c r="S318" s="1">
        <f t="shared" si="117"/>
        <v>0</v>
      </c>
      <c r="T318" s="1">
        <f t="shared" si="118"/>
        <v>0</v>
      </c>
      <c r="U318" s="1">
        <f t="shared" si="119"/>
        <v>0</v>
      </c>
      <c r="V318" s="1">
        <f t="shared" si="120"/>
        <v>0</v>
      </c>
      <c r="W318" s="1">
        <f t="shared" si="121"/>
        <v>0</v>
      </c>
      <c r="X318" s="1">
        <f t="shared" si="122"/>
        <v>0</v>
      </c>
      <c r="Y318" s="1">
        <f t="shared" si="123"/>
        <v>0</v>
      </c>
      <c r="Z318" s="1">
        <f t="shared" si="124"/>
        <v>0</v>
      </c>
      <c r="AA318" s="1">
        <f t="shared" si="125"/>
        <v>0</v>
      </c>
      <c r="AB318" s="1">
        <f t="shared" si="126"/>
        <v>0</v>
      </c>
      <c r="AD318" s="1">
        <f t="shared" si="127"/>
        <v>0</v>
      </c>
      <c r="AE318" s="1">
        <f t="shared" si="128"/>
        <v>1</v>
      </c>
      <c r="AF318" s="1">
        <f t="shared" si="129"/>
        <v>0</v>
      </c>
      <c r="AG318" s="1">
        <f t="shared" si="130"/>
        <v>1</v>
      </c>
      <c r="AH318" s="1">
        <f t="shared" si="131"/>
        <v>0</v>
      </c>
      <c r="AI318" s="1">
        <f t="shared" si="132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611</v>
      </c>
      <c r="E319" s="32" t="s">
        <v>612</v>
      </c>
      <c r="F319" s="32" t="s">
        <v>613</v>
      </c>
      <c r="G319" s="32" t="s">
        <v>614</v>
      </c>
      <c r="H319" s="32" t="s">
        <v>352</v>
      </c>
      <c r="I319" s="31" t="s">
        <v>615</v>
      </c>
      <c r="J319" s="31">
        <v>99</v>
      </c>
      <c r="K319" s="33" t="s">
        <v>703</v>
      </c>
      <c r="L319" s="33" t="s">
        <v>704</v>
      </c>
      <c r="M319" s="34" t="s">
        <v>705</v>
      </c>
      <c r="N319" s="34" t="s">
        <v>1708</v>
      </c>
      <c r="O319" s="35">
        <v>1</v>
      </c>
      <c r="P319" s="35"/>
      <c r="Q319" s="32"/>
      <c r="S319" s="1">
        <f t="shared" si="117"/>
        <v>0</v>
      </c>
      <c r="T319" s="1">
        <f t="shared" si="118"/>
        <v>0</v>
      </c>
      <c r="U319" s="1">
        <f t="shared" si="119"/>
        <v>0</v>
      </c>
      <c r="V319" s="1">
        <f t="shared" si="120"/>
        <v>0</v>
      </c>
      <c r="W319" s="1">
        <f t="shared" si="121"/>
        <v>0</v>
      </c>
      <c r="X319" s="1">
        <f t="shared" si="122"/>
        <v>0</v>
      </c>
      <c r="Y319" s="1">
        <f t="shared" si="123"/>
        <v>0</v>
      </c>
      <c r="Z319" s="1">
        <f t="shared" si="124"/>
        <v>0</v>
      </c>
      <c r="AA319" s="1">
        <f t="shared" si="125"/>
        <v>0</v>
      </c>
      <c r="AB319" s="1">
        <f t="shared" si="126"/>
        <v>0</v>
      </c>
      <c r="AD319" s="1">
        <f t="shared" si="127"/>
        <v>0</v>
      </c>
      <c r="AE319" s="1">
        <f t="shared" si="128"/>
        <v>1</v>
      </c>
      <c r="AF319" s="1">
        <f t="shared" si="129"/>
        <v>0</v>
      </c>
      <c r="AG319" s="1">
        <f t="shared" si="130"/>
        <v>1</v>
      </c>
      <c r="AH319" s="1">
        <f t="shared" si="131"/>
        <v>0</v>
      </c>
      <c r="AI319" s="1">
        <f t="shared" si="132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1057</v>
      </c>
      <c r="E320" s="32" t="s">
        <v>1302</v>
      </c>
      <c r="F320" s="32" t="s">
        <v>1624</v>
      </c>
      <c r="G320" s="32" t="s">
        <v>189</v>
      </c>
      <c r="H320" s="32" t="s">
        <v>352</v>
      </c>
      <c r="I320" s="31" t="s">
        <v>1811</v>
      </c>
      <c r="J320" s="31">
        <v>99</v>
      </c>
      <c r="K320" s="33" t="s">
        <v>703</v>
      </c>
      <c r="L320" s="33" t="s">
        <v>704</v>
      </c>
      <c r="M320" s="34" t="s">
        <v>705</v>
      </c>
      <c r="N320" s="34" t="s">
        <v>1696</v>
      </c>
      <c r="O320" s="35">
        <v>1</v>
      </c>
      <c r="P320" s="35"/>
      <c r="Q320" s="32"/>
      <c r="S320" s="1">
        <f t="shared" si="117"/>
        <v>0</v>
      </c>
      <c r="T320" s="1">
        <f t="shared" si="118"/>
        <v>0</v>
      </c>
      <c r="U320" s="1">
        <f t="shared" si="119"/>
        <v>0</v>
      </c>
      <c r="V320" s="1">
        <f t="shared" si="120"/>
        <v>0</v>
      </c>
      <c r="W320" s="1">
        <f t="shared" si="121"/>
        <v>0</v>
      </c>
      <c r="X320" s="1">
        <f t="shared" si="122"/>
        <v>0</v>
      </c>
      <c r="Y320" s="1">
        <f t="shared" si="123"/>
        <v>0</v>
      </c>
      <c r="Z320" s="1">
        <f t="shared" si="124"/>
        <v>0</v>
      </c>
      <c r="AA320" s="1">
        <f t="shared" si="125"/>
        <v>0</v>
      </c>
      <c r="AB320" s="1">
        <f t="shared" si="126"/>
        <v>0</v>
      </c>
      <c r="AD320" s="1">
        <f t="shared" si="127"/>
        <v>0</v>
      </c>
      <c r="AE320" s="1">
        <f t="shared" si="128"/>
        <v>1</v>
      </c>
      <c r="AF320" s="1">
        <f t="shared" si="129"/>
        <v>0</v>
      </c>
      <c r="AG320" s="1">
        <f t="shared" si="130"/>
        <v>1</v>
      </c>
      <c r="AH320" s="1">
        <f t="shared" si="131"/>
        <v>0</v>
      </c>
      <c r="AI320" s="1">
        <f t="shared" si="132"/>
        <v>1</v>
      </c>
    </row>
    <row r="321" spans="1:35" s="1" customFormat="1" ht="14.25" customHeight="1" x14ac:dyDescent="0.25">
      <c r="A321" s="15">
        <v>0</v>
      </c>
      <c r="B321" s="15">
        <v>2</v>
      </c>
      <c r="C321" s="15">
        <v>1</v>
      </c>
      <c r="D321" s="16" t="s">
        <v>643</v>
      </c>
      <c r="E321" s="16" t="s">
        <v>36</v>
      </c>
      <c r="F321" s="16" t="s">
        <v>659</v>
      </c>
      <c r="G321" s="16" t="s">
        <v>200</v>
      </c>
      <c r="H321" s="16" t="s">
        <v>352</v>
      </c>
      <c r="I321" s="15" t="s">
        <v>982</v>
      </c>
      <c r="J321" s="15">
        <v>99</v>
      </c>
      <c r="K321" s="10" t="s">
        <v>694</v>
      </c>
      <c r="L321" s="10">
        <v>4</v>
      </c>
      <c r="M321" s="19" t="s">
        <v>705</v>
      </c>
      <c r="N321" s="17"/>
      <c r="Q321" s="16"/>
      <c r="S321" s="1">
        <f t="shared" si="117"/>
        <v>0</v>
      </c>
      <c r="T321" s="1">
        <f t="shared" si="118"/>
        <v>0</v>
      </c>
      <c r="U321" s="1">
        <f t="shared" si="119"/>
        <v>0</v>
      </c>
      <c r="V321" s="1">
        <f t="shared" si="120"/>
        <v>0</v>
      </c>
      <c r="W321" s="1">
        <f t="shared" si="121"/>
        <v>0</v>
      </c>
      <c r="X321" s="1">
        <f t="shared" si="122"/>
        <v>0</v>
      </c>
      <c r="Y321" s="1">
        <f t="shared" si="123"/>
        <v>0</v>
      </c>
      <c r="Z321" s="1">
        <f t="shared" si="124"/>
        <v>0</v>
      </c>
      <c r="AA321" s="1">
        <f t="shared" si="125"/>
        <v>0</v>
      </c>
      <c r="AB321" s="1">
        <f t="shared" si="126"/>
        <v>0</v>
      </c>
      <c r="AD321" s="1">
        <f t="shared" si="127"/>
        <v>0</v>
      </c>
      <c r="AE321" s="1">
        <f t="shared" si="128"/>
        <v>0</v>
      </c>
      <c r="AF321" s="1">
        <f t="shared" si="129"/>
        <v>0</v>
      </c>
      <c r="AG321" s="1">
        <f t="shared" si="130"/>
        <v>0</v>
      </c>
      <c r="AH321" s="1">
        <f t="shared" si="131"/>
        <v>0</v>
      </c>
      <c r="AI321" s="1">
        <f t="shared" si="132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1232</v>
      </c>
      <c r="E322" s="32" t="s">
        <v>1233</v>
      </c>
      <c r="F322" s="32" t="s">
        <v>1234</v>
      </c>
      <c r="G322" s="32" t="s">
        <v>1137</v>
      </c>
      <c r="H322" s="32" t="s">
        <v>352</v>
      </c>
      <c r="I322" s="31" t="s">
        <v>1235</v>
      </c>
      <c r="J322" s="31">
        <v>11</v>
      </c>
      <c r="K322" s="33" t="s">
        <v>694</v>
      </c>
      <c r="L322" s="33">
        <v>6</v>
      </c>
      <c r="M322" s="34" t="s">
        <v>1688</v>
      </c>
      <c r="N322" s="34" t="s">
        <v>1799</v>
      </c>
      <c r="O322" s="35">
        <v>1</v>
      </c>
      <c r="P322" s="35"/>
      <c r="Q322" s="32"/>
      <c r="S322" s="1">
        <f t="shared" si="117"/>
        <v>0</v>
      </c>
      <c r="T322" s="1">
        <f t="shared" si="118"/>
        <v>0</v>
      </c>
      <c r="U322" s="1">
        <f t="shared" si="119"/>
        <v>0</v>
      </c>
      <c r="V322" s="1">
        <f t="shared" si="120"/>
        <v>0</v>
      </c>
      <c r="W322" s="1">
        <f t="shared" si="121"/>
        <v>0</v>
      </c>
      <c r="X322" s="1">
        <f t="shared" si="122"/>
        <v>0</v>
      </c>
      <c r="Y322" s="1">
        <f t="shared" si="123"/>
        <v>0</v>
      </c>
      <c r="Z322" s="1">
        <f t="shared" si="124"/>
        <v>0</v>
      </c>
      <c r="AA322" s="1">
        <f t="shared" si="125"/>
        <v>0</v>
      </c>
      <c r="AB322" s="1">
        <f t="shared" si="126"/>
        <v>0</v>
      </c>
      <c r="AD322" s="1">
        <f t="shared" si="127"/>
        <v>0</v>
      </c>
      <c r="AE322" s="1">
        <f t="shared" si="128"/>
        <v>1</v>
      </c>
      <c r="AF322" s="1">
        <f t="shared" si="129"/>
        <v>0</v>
      </c>
      <c r="AG322" s="1">
        <f t="shared" si="130"/>
        <v>1</v>
      </c>
      <c r="AH322" s="1">
        <f t="shared" si="131"/>
        <v>0</v>
      </c>
      <c r="AI322" s="1">
        <f t="shared" si="132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1099</v>
      </c>
      <c r="E323" s="32" t="s">
        <v>1282</v>
      </c>
      <c r="F323" s="32" t="s">
        <v>1097</v>
      </c>
      <c r="G323" s="32" t="s">
        <v>229</v>
      </c>
      <c r="H323" s="32" t="s">
        <v>352</v>
      </c>
      <c r="I323" s="31" t="s">
        <v>1098</v>
      </c>
      <c r="J323" s="31">
        <v>7</v>
      </c>
      <c r="K323" s="33" t="s">
        <v>704</v>
      </c>
      <c r="L323" s="33" t="s">
        <v>1669</v>
      </c>
      <c r="M323" s="34" t="s">
        <v>705</v>
      </c>
      <c r="N323" s="34" t="s">
        <v>1708</v>
      </c>
      <c r="O323" s="35">
        <v>1</v>
      </c>
      <c r="P323" s="35"/>
      <c r="Q323" s="32"/>
      <c r="S323" s="1">
        <f t="shared" si="117"/>
        <v>0</v>
      </c>
      <c r="T323" s="1">
        <f t="shared" si="118"/>
        <v>0</v>
      </c>
      <c r="U323" s="1">
        <f t="shared" si="119"/>
        <v>0</v>
      </c>
      <c r="V323" s="1">
        <f t="shared" si="120"/>
        <v>0</v>
      </c>
      <c r="W323" s="1">
        <f t="shared" si="121"/>
        <v>0</v>
      </c>
      <c r="X323" s="1">
        <f t="shared" si="122"/>
        <v>0</v>
      </c>
      <c r="Y323" s="1">
        <f t="shared" si="123"/>
        <v>1</v>
      </c>
      <c r="Z323" s="1">
        <f t="shared" si="124"/>
        <v>0</v>
      </c>
      <c r="AA323" s="1">
        <f t="shared" si="125"/>
        <v>0</v>
      </c>
      <c r="AB323" s="1">
        <f t="shared" si="126"/>
        <v>0</v>
      </c>
      <c r="AD323" s="1">
        <f t="shared" si="127"/>
        <v>0</v>
      </c>
      <c r="AE323" s="1">
        <f t="shared" si="128"/>
        <v>1</v>
      </c>
      <c r="AF323" s="1">
        <f t="shared" si="129"/>
        <v>0</v>
      </c>
      <c r="AG323" s="1">
        <f t="shared" si="130"/>
        <v>1</v>
      </c>
      <c r="AH323" s="1">
        <f t="shared" si="131"/>
        <v>0</v>
      </c>
      <c r="AI323" s="1">
        <f t="shared" si="132"/>
        <v>1</v>
      </c>
    </row>
    <row r="324" spans="1:35" s="1" customFormat="1" ht="14.25" customHeight="1" x14ac:dyDescent="0.25">
      <c r="A324" s="31">
        <v>0</v>
      </c>
      <c r="B324" s="31">
        <v>2</v>
      </c>
      <c r="C324" s="31">
        <v>1</v>
      </c>
      <c r="D324" s="32" t="s">
        <v>985</v>
      </c>
      <c r="E324" s="32" t="s">
        <v>1304</v>
      </c>
      <c r="F324" s="32" t="s">
        <v>986</v>
      </c>
      <c r="G324" s="32" t="s">
        <v>1077</v>
      </c>
      <c r="H324" s="32" t="s">
        <v>352</v>
      </c>
      <c r="I324" s="31" t="s">
        <v>406</v>
      </c>
      <c r="J324" s="31">
        <v>99</v>
      </c>
      <c r="K324" s="33" t="s">
        <v>704</v>
      </c>
      <c r="L324" s="33" t="s">
        <v>704</v>
      </c>
      <c r="M324" s="34" t="s">
        <v>705</v>
      </c>
      <c r="N324" s="34" t="s">
        <v>1696</v>
      </c>
      <c r="O324" s="35">
        <v>1</v>
      </c>
      <c r="P324" s="35"/>
      <c r="Q324" s="32"/>
      <c r="S324" s="1">
        <f t="shared" si="117"/>
        <v>0</v>
      </c>
      <c r="T324" s="1">
        <f t="shared" si="118"/>
        <v>0</v>
      </c>
      <c r="U324" s="1">
        <f t="shared" si="119"/>
        <v>0</v>
      </c>
      <c r="V324" s="1">
        <f t="shared" si="120"/>
        <v>0</v>
      </c>
      <c r="W324" s="1">
        <f t="shared" si="121"/>
        <v>0</v>
      </c>
      <c r="X324" s="1">
        <f t="shared" si="122"/>
        <v>0</v>
      </c>
      <c r="Y324" s="1">
        <f t="shared" si="123"/>
        <v>0</v>
      </c>
      <c r="Z324" s="1">
        <f t="shared" si="124"/>
        <v>0</v>
      </c>
      <c r="AA324" s="1">
        <f t="shared" si="125"/>
        <v>0</v>
      </c>
      <c r="AB324" s="1">
        <f t="shared" si="126"/>
        <v>0</v>
      </c>
      <c r="AD324" s="1">
        <f t="shared" si="127"/>
        <v>0</v>
      </c>
      <c r="AE324" s="1">
        <f t="shared" si="128"/>
        <v>1</v>
      </c>
      <c r="AF324" s="1">
        <f t="shared" si="129"/>
        <v>0</v>
      </c>
      <c r="AG324" s="1">
        <f t="shared" si="130"/>
        <v>1</v>
      </c>
      <c r="AH324" s="1">
        <f t="shared" si="131"/>
        <v>0</v>
      </c>
      <c r="AI324" s="1">
        <f t="shared" si="132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2" t="s">
        <v>1106</v>
      </c>
      <c r="E325" s="32" t="s">
        <v>555</v>
      </c>
      <c r="F325" s="32" t="s">
        <v>1321</v>
      </c>
      <c r="G325" s="32" t="s">
        <v>264</v>
      </c>
      <c r="H325" s="32" t="s">
        <v>352</v>
      </c>
      <c r="I325" s="31" t="s">
        <v>1107</v>
      </c>
      <c r="J325" s="31">
        <v>8</v>
      </c>
      <c r="K325" s="33" t="s">
        <v>703</v>
      </c>
      <c r="L325" s="33" t="s">
        <v>1669</v>
      </c>
      <c r="M325" s="34" t="s">
        <v>705</v>
      </c>
      <c r="N325" s="34" t="s">
        <v>1700</v>
      </c>
      <c r="O325" s="35">
        <v>1</v>
      </c>
      <c r="P325" s="35"/>
      <c r="Q325" s="32"/>
      <c r="S325" s="1">
        <f t="shared" si="117"/>
        <v>0</v>
      </c>
      <c r="T325" s="1">
        <f t="shared" si="118"/>
        <v>0</v>
      </c>
      <c r="U325" s="1">
        <f t="shared" si="119"/>
        <v>0</v>
      </c>
      <c r="V325" s="1">
        <f t="shared" si="120"/>
        <v>0</v>
      </c>
      <c r="W325" s="1">
        <f t="shared" si="121"/>
        <v>0</v>
      </c>
      <c r="X325" s="1">
        <f t="shared" si="122"/>
        <v>0</v>
      </c>
      <c r="Y325" s="1">
        <f t="shared" si="123"/>
        <v>0</v>
      </c>
      <c r="Z325" s="1">
        <f t="shared" si="124"/>
        <v>1</v>
      </c>
      <c r="AA325" s="1">
        <f t="shared" si="125"/>
        <v>0</v>
      </c>
      <c r="AB325" s="1">
        <f t="shared" si="126"/>
        <v>0</v>
      </c>
      <c r="AD325" s="1">
        <f t="shared" si="127"/>
        <v>0</v>
      </c>
      <c r="AE325" s="1">
        <f t="shared" si="128"/>
        <v>1</v>
      </c>
      <c r="AF325" s="1">
        <f t="shared" si="129"/>
        <v>0</v>
      </c>
      <c r="AG325" s="1">
        <f t="shared" si="130"/>
        <v>1</v>
      </c>
      <c r="AH325" s="1">
        <f t="shared" si="131"/>
        <v>0</v>
      </c>
      <c r="AI325" s="1">
        <f t="shared" si="132"/>
        <v>1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2" t="s">
        <v>1254</v>
      </c>
      <c r="E326" s="32" t="s">
        <v>1302</v>
      </c>
      <c r="F326" s="32" t="s">
        <v>1251</v>
      </c>
      <c r="G326" s="32" t="s">
        <v>1252</v>
      </c>
      <c r="H326" s="32" t="s">
        <v>352</v>
      </c>
      <c r="I326" s="31" t="s">
        <v>1253</v>
      </c>
      <c r="J326" s="31">
        <v>1</v>
      </c>
      <c r="K326" s="33" t="s">
        <v>703</v>
      </c>
      <c r="L326" s="33" t="s">
        <v>704</v>
      </c>
      <c r="M326" s="34" t="s">
        <v>705</v>
      </c>
      <c r="N326" s="34" t="s">
        <v>1713</v>
      </c>
      <c r="O326" s="35">
        <v>1</v>
      </c>
      <c r="P326" s="35"/>
      <c r="Q326" s="32" t="s">
        <v>1851</v>
      </c>
      <c r="S326" s="1">
        <f t="shared" si="117"/>
        <v>1</v>
      </c>
      <c r="T326" s="1">
        <f t="shared" si="118"/>
        <v>0</v>
      </c>
      <c r="U326" s="1">
        <f t="shared" si="119"/>
        <v>0</v>
      </c>
      <c r="V326" s="1">
        <f t="shared" si="120"/>
        <v>0</v>
      </c>
      <c r="W326" s="1">
        <f t="shared" si="121"/>
        <v>0</v>
      </c>
      <c r="X326" s="1">
        <f t="shared" si="122"/>
        <v>0</v>
      </c>
      <c r="Y326" s="1">
        <f t="shared" si="123"/>
        <v>0</v>
      </c>
      <c r="Z326" s="1">
        <f t="shared" si="124"/>
        <v>0</v>
      </c>
      <c r="AA326" s="1">
        <f t="shared" si="125"/>
        <v>0</v>
      </c>
      <c r="AB326" s="1">
        <f t="shared" si="126"/>
        <v>0</v>
      </c>
      <c r="AD326" s="1">
        <f t="shared" ref="AD326:AD331" si="133">+O326*P326</f>
        <v>0</v>
      </c>
      <c r="AE326" s="1">
        <f t="shared" ref="AE326:AE331" si="134">O326*(1-P326)</f>
        <v>1</v>
      </c>
      <c r="AF326" s="1">
        <f t="shared" ref="AF326:AF331" si="135">+O326*P326*(1-A326)</f>
        <v>0</v>
      </c>
      <c r="AG326" s="1">
        <f t="shared" ref="AG326:AG331" si="136">O326*(1-P326)*(1-A326)</f>
        <v>1</v>
      </c>
      <c r="AH326" s="1">
        <f t="shared" ref="AH326:AH331" si="137">+P326*(1-A326)</f>
        <v>0</v>
      </c>
      <c r="AI326" s="1">
        <f t="shared" ref="AI326:AI331" si="138">+(1-A326)*(1-P326)</f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1</v>
      </c>
      <c r="D327" s="32" t="s">
        <v>52</v>
      </c>
      <c r="E327" s="32" t="s">
        <v>32</v>
      </c>
      <c r="F327" s="32" t="s">
        <v>205</v>
      </c>
      <c r="G327" s="32" t="s">
        <v>206</v>
      </c>
      <c r="H327" s="32" t="s">
        <v>352</v>
      </c>
      <c r="I327" s="31" t="s">
        <v>389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1693</v>
      </c>
      <c r="O327" s="35">
        <v>1</v>
      </c>
      <c r="P327" s="35">
        <v>1</v>
      </c>
      <c r="Q327" s="32"/>
      <c r="S327" s="1">
        <f t="shared" si="117"/>
        <v>0</v>
      </c>
      <c r="T327" s="1">
        <f t="shared" si="118"/>
        <v>0</v>
      </c>
      <c r="U327" s="1">
        <f t="shared" si="119"/>
        <v>0</v>
      </c>
      <c r="V327" s="1">
        <f t="shared" si="120"/>
        <v>0</v>
      </c>
      <c r="W327" s="1">
        <f t="shared" si="121"/>
        <v>0</v>
      </c>
      <c r="X327" s="1">
        <f t="shared" si="122"/>
        <v>0</v>
      </c>
      <c r="Y327" s="1">
        <f t="shared" si="123"/>
        <v>0</v>
      </c>
      <c r="Z327" s="1">
        <f t="shared" si="124"/>
        <v>0</v>
      </c>
      <c r="AA327" s="1">
        <f t="shared" si="125"/>
        <v>0</v>
      </c>
      <c r="AB327" s="1">
        <f t="shared" si="126"/>
        <v>0</v>
      </c>
      <c r="AD327" s="1">
        <f t="shared" si="133"/>
        <v>1</v>
      </c>
      <c r="AE327" s="1">
        <f t="shared" si="134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s="1" customFormat="1" ht="14.25" customHeight="1" x14ac:dyDescent="0.25">
      <c r="A328" s="31">
        <v>0</v>
      </c>
      <c r="B328" s="31">
        <v>2</v>
      </c>
      <c r="C328" s="31">
        <v>1</v>
      </c>
      <c r="D328" s="36" t="s">
        <v>2150</v>
      </c>
      <c r="E328" s="36" t="s">
        <v>555</v>
      </c>
      <c r="F328" s="36" t="s">
        <v>2146</v>
      </c>
      <c r="G328" s="36" t="s">
        <v>531</v>
      </c>
      <c r="H328" s="36" t="s">
        <v>352</v>
      </c>
      <c r="I328" s="37" t="s">
        <v>2147</v>
      </c>
      <c r="J328" s="31">
        <v>6</v>
      </c>
      <c r="K328" s="33" t="s">
        <v>694</v>
      </c>
      <c r="L328" s="33"/>
      <c r="M328" s="34"/>
      <c r="N328" s="34" t="s">
        <v>1693</v>
      </c>
      <c r="O328" s="35">
        <v>1</v>
      </c>
      <c r="P328" s="35">
        <v>1</v>
      </c>
      <c r="Q328" s="32" t="s">
        <v>2148</v>
      </c>
      <c r="S328" s="1">
        <f t="shared" si="117"/>
        <v>0</v>
      </c>
      <c r="T328" s="1">
        <f t="shared" si="118"/>
        <v>0</v>
      </c>
      <c r="U328" s="1">
        <f t="shared" si="119"/>
        <v>0</v>
      </c>
      <c r="V328" s="1">
        <f t="shared" si="120"/>
        <v>0</v>
      </c>
      <c r="W328" s="1">
        <f t="shared" si="121"/>
        <v>0</v>
      </c>
      <c r="X328" s="1">
        <f t="shared" si="122"/>
        <v>1</v>
      </c>
      <c r="Y328" s="1">
        <f t="shared" si="123"/>
        <v>0</v>
      </c>
      <c r="Z328" s="1">
        <f t="shared" si="124"/>
        <v>0</v>
      </c>
      <c r="AA328" s="1">
        <f t="shared" si="125"/>
        <v>0</v>
      </c>
      <c r="AB328" s="1">
        <f t="shared" si="126"/>
        <v>0</v>
      </c>
      <c r="AD328" s="1">
        <f t="shared" si="133"/>
        <v>1</v>
      </c>
      <c r="AE328" s="1">
        <f t="shared" si="134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s="1" customFormat="1" ht="14.25" customHeight="1" x14ac:dyDescent="0.25">
      <c r="A329" s="31">
        <v>0</v>
      </c>
      <c r="B329" s="31">
        <v>2</v>
      </c>
      <c r="C329" s="31">
        <v>1</v>
      </c>
      <c r="D329" s="32" t="s">
        <v>73</v>
      </c>
      <c r="E329" s="32" t="s">
        <v>555</v>
      </c>
      <c r="F329" s="32" t="s">
        <v>1027</v>
      </c>
      <c r="G329" s="32" t="s">
        <v>189</v>
      </c>
      <c r="H329" s="32" t="s">
        <v>352</v>
      </c>
      <c r="I329" s="31" t="s">
        <v>419</v>
      </c>
      <c r="J329" s="31">
        <v>99</v>
      </c>
      <c r="K329" s="33" t="s">
        <v>931</v>
      </c>
      <c r="L329" s="33" t="s">
        <v>704</v>
      </c>
      <c r="M329" s="34" t="s">
        <v>705</v>
      </c>
      <c r="N329" s="34" t="s">
        <v>1696</v>
      </c>
      <c r="O329" s="35">
        <v>1</v>
      </c>
      <c r="P329" s="35"/>
      <c r="Q329" s="32"/>
      <c r="S329" s="1">
        <f t="shared" si="117"/>
        <v>0</v>
      </c>
      <c r="T329" s="1">
        <f t="shared" si="118"/>
        <v>0</v>
      </c>
      <c r="U329" s="1">
        <f t="shared" si="119"/>
        <v>0</v>
      </c>
      <c r="V329" s="1">
        <f t="shared" si="120"/>
        <v>0</v>
      </c>
      <c r="W329" s="1">
        <f t="shared" si="121"/>
        <v>0</v>
      </c>
      <c r="X329" s="1">
        <f t="shared" si="122"/>
        <v>0</v>
      </c>
      <c r="Y329" s="1">
        <f t="shared" si="123"/>
        <v>0</v>
      </c>
      <c r="Z329" s="1">
        <f t="shared" si="124"/>
        <v>0</v>
      </c>
      <c r="AA329" s="1">
        <f t="shared" si="125"/>
        <v>0</v>
      </c>
      <c r="AB329" s="1">
        <f t="shared" si="126"/>
        <v>0</v>
      </c>
      <c r="AD329" s="1">
        <f t="shared" si="133"/>
        <v>0</v>
      </c>
      <c r="AE329" s="1">
        <f t="shared" si="134"/>
        <v>1</v>
      </c>
      <c r="AF329" s="1">
        <f t="shared" si="135"/>
        <v>0</v>
      </c>
      <c r="AG329" s="1">
        <f t="shared" si="136"/>
        <v>1</v>
      </c>
      <c r="AH329" s="1">
        <f t="shared" si="137"/>
        <v>0</v>
      </c>
      <c r="AI329" s="1">
        <f t="shared" si="138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1</v>
      </c>
      <c r="D330" s="32" t="s">
        <v>47</v>
      </c>
      <c r="E330" s="32" t="s">
        <v>32</v>
      </c>
      <c r="F330" s="32" t="s">
        <v>186</v>
      </c>
      <c r="G330" s="32" t="s">
        <v>179</v>
      </c>
      <c r="H330" s="32" t="s">
        <v>352</v>
      </c>
      <c r="I330" s="31" t="s">
        <v>381</v>
      </c>
      <c r="J330" s="31">
        <v>10</v>
      </c>
      <c r="K330" s="33" t="s">
        <v>932</v>
      </c>
      <c r="L330" s="33" t="s">
        <v>704</v>
      </c>
      <c r="M330" s="34" t="s">
        <v>705</v>
      </c>
      <c r="N330" s="34" t="s">
        <v>1696</v>
      </c>
      <c r="O330" s="35">
        <v>1</v>
      </c>
      <c r="P330" s="35"/>
      <c r="Q330" s="32"/>
      <c r="S330" s="1">
        <f t="shared" si="117"/>
        <v>0</v>
      </c>
      <c r="T330" s="1">
        <f t="shared" si="118"/>
        <v>0</v>
      </c>
      <c r="U330" s="1">
        <f t="shared" si="119"/>
        <v>0</v>
      </c>
      <c r="V330" s="1">
        <f t="shared" si="120"/>
        <v>0</v>
      </c>
      <c r="W330" s="1">
        <f t="shared" si="121"/>
        <v>0</v>
      </c>
      <c r="X330" s="1">
        <f t="shared" si="122"/>
        <v>0</v>
      </c>
      <c r="Y330" s="1">
        <f t="shared" si="123"/>
        <v>0</v>
      </c>
      <c r="Z330" s="1">
        <f t="shared" si="124"/>
        <v>0</v>
      </c>
      <c r="AA330" s="1">
        <f t="shared" si="125"/>
        <v>0</v>
      </c>
      <c r="AB330" s="1">
        <f t="shared" si="126"/>
        <v>1</v>
      </c>
      <c r="AD330" s="1">
        <f t="shared" si="133"/>
        <v>0</v>
      </c>
      <c r="AE330" s="1">
        <f t="shared" si="134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1</v>
      </c>
      <c r="D331" s="32" t="s">
        <v>644</v>
      </c>
      <c r="E331" s="32" t="s">
        <v>159</v>
      </c>
      <c r="F331" s="32" t="s">
        <v>187</v>
      </c>
      <c r="G331" s="32" t="s">
        <v>660</v>
      </c>
      <c r="H331" s="32" t="s">
        <v>352</v>
      </c>
      <c r="I331" s="31" t="s">
        <v>382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1708</v>
      </c>
      <c r="O331" s="35">
        <v>1</v>
      </c>
      <c r="P331" s="35"/>
      <c r="Q331" s="32"/>
      <c r="S331" s="1">
        <f t="shared" si="117"/>
        <v>0</v>
      </c>
      <c r="T331" s="1">
        <f t="shared" si="118"/>
        <v>0</v>
      </c>
      <c r="U331" s="1">
        <f t="shared" si="119"/>
        <v>0</v>
      </c>
      <c r="V331" s="1">
        <f t="shared" si="120"/>
        <v>0</v>
      </c>
      <c r="W331" s="1">
        <f t="shared" si="121"/>
        <v>0</v>
      </c>
      <c r="X331" s="1">
        <f t="shared" si="122"/>
        <v>0</v>
      </c>
      <c r="Y331" s="1">
        <f t="shared" si="123"/>
        <v>0</v>
      </c>
      <c r="Z331" s="1">
        <f t="shared" si="124"/>
        <v>0</v>
      </c>
      <c r="AA331" s="1">
        <f t="shared" si="125"/>
        <v>0</v>
      </c>
      <c r="AB331" s="1">
        <f t="shared" si="126"/>
        <v>0</v>
      </c>
      <c r="AD331" s="1">
        <f t="shared" si="133"/>
        <v>0</v>
      </c>
      <c r="AE331" s="1">
        <f t="shared" si="134"/>
        <v>1</v>
      </c>
      <c r="AF331" s="1">
        <f t="shared" si="135"/>
        <v>0</v>
      </c>
      <c r="AG331" s="1">
        <f t="shared" si="136"/>
        <v>1</v>
      </c>
      <c r="AH331" s="1">
        <f t="shared" si="137"/>
        <v>0</v>
      </c>
      <c r="AI331" s="1">
        <f t="shared" si="138"/>
        <v>1</v>
      </c>
    </row>
    <row r="332" spans="1:35" s="1" customFormat="1" ht="14.25" customHeight="1" x14ac:dyDescent="0.25">
      <c r="A332" s="31">
        <v>0</v>
      </c>
      <c r="B332" s="31">
        <v>2</v>
      </c>
      <c r="C332" s="31">
        <v>1</v>
      </c>
      <c r="D332" s="32" t="s">
        <v>1272</v>
      </c>
      <c r="E332" s="32" t="s">
        <v>36</v>
      </c>
      <c r="F332" s="32" t="s">
        <v>1273</v>
      </c>
      <c r="G332" s="32" t="s">
        <v>257</v>
      </c>
      <c r="H332" s="32" t="s">
        <v>352</v>
      </c>
      <c r="I332" s="31" t="s">
        <v>1274</v>
      </c>
      <c r="J332" s="31">
        <v>8</v>
      </c>
      <c r="K332" s="33" t="s">
        <v>936</v>
      </c>
      <c r="L332" s="33" t="s">
        <v>704</v>
      </c>
      <c r="M332" s="34" t="s">
        <v>705</v>
      </c>
      <c r="N332" s="34" t="s">
        <v>1693</v>
      </c>
      <c r="O332" s="35">
        <v>1</v>
      </c>
      <c r="P332" s="35">
        <v>1</v>
      </c>
      <c r="Q332" s="32"/>
      <c r="S332" s="1">
        <f t="shared" si="117"/>
        <v>0</v>
      </c>
      <c r="T332" s="1">
        <f t="shared" si="118"/>
        <v>0</v>
      </c>
      <c r="U332" s="1">
        <f t="shared" si="119"/>
        <v>0</v>
      </c>
      <c r="V332" s="1">
        <f t="shared" si="120"/>
        <v>0</v>
      </c>
      <c r="W332" s="1">
        <f t="shared" si="121"/>
        <v>0</v>
      </c>
      <c r="X332" s="1">
        <f t="shared" si="122"/>
        <v>0</v>
      </c>
      <c r="Y332" s="1">
        <f t="shared" si="123"/>
        <v>0</v>
      </c>
      <c r="Z332" s="1">
        <f t="shared" si="124"/>
        <v>1</v>
      </c>
      <c r="AA332" s="1">
        <f t="shared" si="125"/>
        <v>0</v>
      </c>
      <c r="AB332" s="1">
        <f t="shared" si="126"/>
        <v>0</v>
      </c>
      <c r="AD332" s="1">
        <f t="shared" si="127"/>
        <v>1</v>
      </c>
      <c r="AE332" s="1">
        <f t="shared" si="128"/>
        <v>0</v>
      </c>
      <c r="AF332" s="1">
        <f t="shared" si="129"/>
        <v>1</v>
      </c>
      <c r="AG332" s="1">
        <f t="shared" si="130"/>
        <v>0</v>
      </c>
      <c r="AH332" s="1">
        <f t="shared" si="131"/>
        <v>1</v>
      </c>
      <c r="AI332" s="1">
        <f t="shared" si="132"/>
        <v>0</v>
      </c>
    </row>
    <row r="333" spans="1:35" s="1" customFormat="1" ht="14.25" customHeight="1" x14ac:dyDescent="0.25">
      <c r="A333" s="31">
        <v>0</v>
      </c>
      <c r="B333" s="31">
        <v>2</v>
      </c>
      <c r="C333" s="31">
        <v>1</v>
      </c>
      <c r="D333" s="32" t="s">
        <v>54</v>
      </c>
      <c r="E333" s="32" t="s">
        <v>555</v>
      </c>
      <c r="F333" s="32" t="s">
        <v>211</v>
      </c>
      <c r="G333" s="32" t="s">
        <v>212</v>
      </c>
      <c r="H333" s="32" t="s">
        <v>352</v>
      </c>
      <c r="I333" s="31" t="s">
        <v>391</v>
      </c>
      <c r="J333" s="31">
        <v>1</v>
      </c>
      <c r="K333" s="33" t="s">
        <v>932</v>
      </c>
      <c r="L333" s="33" t="s">
        <v>704</v>
      </c>
      <c r="M333" s="34" t="s">
        <v>39</v>
      </c>
      <c r="N333" s="34" t="s">
        <v>1696</v>
      </c>
      <c r="O333" s="35">
        <v>1</v>
      </c>
      <c r="P333" s="35"/>
      <c r="Q333" s="32"/>
      <c r="S333" s="1">
        <f t="shared" si="117"/>
        <v>1</v>
      </c>
      <c r="T333" s="1">
        <f t="shared" si="118"/>
        <v>0</v>
      </c>
      <c r="U333" s="1">
        <f t="shared" si="119"/>
        <v>0</v>
      </c>
      <c r="V333" s="1">
        <f t="shared" si="120"/>
        <v>0</v>
      </c>
      <c r="W333" s="1">
        <f t="shared" si="121"/>
        <v>0</v>
      </c>
      <c r="X333" s="1">
        <f t="shared" si="122"/>
        <v>0</v>
      </c>
      <c r="Y333" s="1">
        <f t="shared" si="123"/>
        <v>0</v>
      </c>
      <c r="Z333" s="1">
        <f t="shared" si="124"/>
        <v>0</v>
      </c>
      <c r="AA333" s="1">
        <f t="shared" si="125"/>
        <v>0</v>
      </c>
      <c r="AB333" s="1">
        <f t="shared" si="126"/>
        <v>0</v>
      </c>
      <c r="AD333" s="1">
        <f t="shared" si="127"/>
        <v>0</v>
      </c>
      <c r="AE333" s="1">
        <f t="shared" si="128"/>
        <v>1</v>
      </c>
      <c r="AF333" s="1">
        <f t="shared" si="129"/>
        <v>0</v>
      </c>
      <c r="AG333" s="1">
        <f t="shared" si="130"/>
        <v>1</v>
      </c>
      <c r="AH333" s="1">
        <f t="shared" si="131"/>
        <v>0</v>
      </c>
      <c r="AI333" s="1">
        <f t="shared" si="132"/>
        <v>1</v>
      </c>
    </row>
    <row r="334" spans="1:35" s="1" customFormat="1" ht="14.25" customHeight="1" x14ac:dyDescent="0.25">
      <c r="A334" s="31">
        <v>0</v>
      </c>
      <c r="B334" s="31">
        <v>2</v>
      </c>
      <c r="C334" s="31">
        <v>1</v>
      </c>
      <c r="D334" s="32" t="s">
        <v>61</v>
      </c>
      <c r="E334" s="32" t="s">
        <v>539</v>
      </c>
      <c r="F334" s="32" t="s">
        <v>232</v>
      </c>
      <c r="G334" s="32" t="s">
        <v>203</v>
      </c>
      <c r="H334" s="32" t="s">
        <v>352</v>
      </c>
      <c r="I334" s="31" t="s">
        <v>399</v>
      </c>
      <c r="J334" s="31">
        <v>7</v>
      </c>
      <c r="K334" s="33" t="s">
        <v>703</v>
      </c>
      <c r="L334" s="33" t="s">
        <v>704</v>
      </c>
      <c r="M334" s="34" t="s">
        <v>705</v>
      </c>
      <c r="N334" s="34" t="s">
        <v>1713</v>
      </c>
      <c r="O334" s="35">
        <v>1</v>
      </c>
      <c r="P334" s="35"/>
      <c r="Q334" s="32"/>
      <c r="S334" s="1">
        <f t="shared" si="117"/>
        <v>0</v>
      </c>
      <c r="T334" s="1">
        <f t="shared" si="118"/>
        <v>0</v>
      </c>
      <c r="U334" s="1">
        <f t="shared" si="119"/>
        <v>0</v>
      </c>
      <c r="V334" s="1">
        <f t="shared" si="120"/>
        <v>0</v>
      </c>
      <c r="W334" s="1">
        <f t="shared" si="121"/>
        <v>0</v>
      </c>
      <c r="X334" s="1">
        <f t="shared" si="122"/>
        <v>0</v>
      </c>
      <c r="Y334" s="1">
        <f t="shared" si="123"/>
        <v>1</v>
      </c>
      <c r="Z334" s="1">
        <f t="shared" si="124"/>
        <v>0</v>
      </c>
      <c r="AA334" s="1">
        <f t="shared" si="125"/>
        <v>0</v>
      </c>
      <c r="AB334" s="1">
        <f t="shared" si="126"/>
        <v>0</v>
      </c>
      <c r="AD334" s="1">
        <f t="shared" si="127"/>
        <v>0</v>
      </c>
      <c r="AE334" s="1">
        <f t="shared" si="128"/>
        <v>1</v>
      </c>
      <c r="AF334" s="1">
        <f t="shared" si="129"/>
        <v>0</v>
      </c>
      <c r="AG334" s="1">
        <f t="shared" si="130"/>
        <v>1</v>
      </c>
      <c r="AH334" s="1">
        <f t="shared" si="131"/>
        <v>0</v>
      </c>
      <c r="AI334" s="1">
        <f t="shared" si="132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1</v>
      </c>
      <c r="D335" s="32" t="s">
        <v>1608</v>
      </c>
      <c r="E335" s="32" t="s">
        <v>555</v>
      </c>
      <c r="F335" s="32" t="s">
        <v>1324</v>
      </c>
      <c r="G335" s="32" t="s">
        <v>1252</v>
      </c>
      <c r="H335" s="32" t="s">
        <v>352</v>
      </c>
      <c r="I335" s="31" t="s">
        <v>1139</v>
      </c>
      <c r="J335" s="31">
        <v>99</v>
      </c>
      <c r="K335" s="33" t="s">
        <v>703</v>
      </c>
      <c r="L335" s="33" t="s">
        <v>704</v>
      </c>
      <c r="M335" s="34" t="s">
        <v>705</v>
      </c>
      <c r="N335" s="34" t="s">
        <v>1700</v>
      </c>
      <c r="O335" s="35">
        <v>1</v>
      </c>
      <c r="P335" s="35"/>
      <c r="Q335" s="32" t="s">
        <v>1850</v>
      </c>
      <c r="S335" s="1">
        <f t="shared" si="117"/>
        <v>0</v>
      </c>
      <c r="T335" s="1">
        <f t="shared" si="118"/>
        <v>0</v>
      </c>
      <c r="U335" s="1">
        <f t="shared" si="119"/>
        <v>0</v>
      </c>
      <c r="V335" s="1">
        <f t="shared" si="120"/>
        <v>0</v>
      </c>
      <c r="W335" s="1">
        <f t="shared" si="121"/>
        <v>0</v>
      </c>
      <c r="X335" s="1">
        <f t="shared" si="122"/>
        <v>0</v>
      </c>
      <c r="Y335" s="1">
        <f t="shared" si="123"/>
        <v>0</v>
      </c>
      <c r="Z335" s="1">
        <f t="shared" si="124"/>
        <v>0</v>
      </c>
      <c r="AA335" s="1">
        <f t="shared" si="125"/>
        <v>0</v>
      </c>
      <c r="AB335" s="1">
        <f t="shared" si="126"/>
        <v>0</v>
      </c>
      <c r="AD335" s="1">
        <f t="shared" si="127"/>
        <v>0</v>
      </c>
      <c r="AE335" s="1">
        <f t="shared" si="128"/>
        <v>1</v>
      </c>
      <c r="AF335" s="1">
        <f t="shared" si="129"/>
        <v>0</v>
      </c>
      <c r="AG335" s="1">
        <f t="shared" si="130"/>
        <v>1</v>
      </c>
      <c r="AH335" s="1">
        <f t="shared" si="131"/>
        <v>0</v>
      </c>
      <c r="AI335" s="1">
        <f t="shared" si="132"/>
        <v>1</v>
      </c>
    </row>
    <row r="336" spans="1:35" s="1" customFormat="1" ht="14.25" customHeight="1" x14ac:dyDescent="0.25">
      <c r="A336" s="31">
        <v>0</v>
      </c>
      <c r="B336" s="31">
        <v>2</v>
      </c>
      <c r="C336" s="31">
        <v>1</v>
      </c>
      <c r="D336" s="32" t="s">
        <v>1734</v>
      </c>
      <c r="E336" s="32" t="s">
        <v>1735</v>
      </c>
      <c r="F336" s="32" t="s">
        <v>1736</v>
      </c>
      <c r="G336" s="32" t="s">
        <v>1737</v>
      </c>
      <c r="H336" s="32" t="s">
        <v>352</v>
      </c>
      <c r="I336" s="31"/>
      <c r="J336" s="31">
        <v>1</v>
      </c>
      <c r="K336" s="33" t="s">
        <v>694</v>
      </c>
      <c r="L336" s="33"/>
      <c r="M336" s="34"/>
      <c r="N336" s="34" t="s">
        <v>1696</v>
      </c>
      <c r="O336" s="35">
        <v>1</v>
      </c>
      <c r="P336" s="35"/>
      <c r="Q336" s="32" t="s">
        <v>1858</v>
      </c>
      <c r="S336" s="1">
        <f t="shared" si="117"/>
        <v>1</v>
      </c>
      <c r="T336" s="1">
        <f t="shared" si="118"/>
        <v>0</v>
      </c>
      <c r="U336" s="1">
        <f t="shared" si="119"/>
        <v>0</v>
      </c>
      <c r="V336" s="1">
        <f t="shared" si="120"/>
        <v>0</v>
      </c>
      <c r="W336" s="1">
        <f t="shared" si="121"/>
        <v>0</v>
      </c>
      <c r="X336" s="1">
        <f t="shared" si="122"/>
        <v>0</v>
      </c>
      <c r="Y336" s="1">
        <f t="shared" si="123"/>
        <v>0</v>
      </c>
      <c r="Z336" s="1">
        <f t="shared" si="124"/>
        <v>0</v>
      </c>
      <c r="AA336" s="1">
        <f t="shared" si="125"/>
        <v>0</v>
      </c>
      <c r="AB336" s="1">
        <f t="shared" si="126"/>
        <v>0</v>
      </c>
      <c r="AD336" s="1">
        <f t="shared" si="127"/>
        <v>0</v>
      </c>
      <c r="AE336" s="1">
        <f t="shared" si="128"/>
        <v>1</v>
      </c>
      <c r="AF336" s="1">
        <f t="shared" si="129"/>
        <v>0</v>
      </c>
      <c r="AG336" s="1">
        <f t="shared" si="130"/>
        <v>1</v>
      </c>
      <c r="AH336" s="1">
        <f t="shared" si="131"/>
        <v>0</v>
      </c>
      <c r="AI336" s="1">
        <f t="shared" si="132"/>
        <v>1</v>
      </c>
    </row>
    <row r="337" spans="1:35" s="1" customFormat="1" ht="14.25" customHeight="1" x14ac:dyDescent="0.25">
      <c r="A337" s="61">
        <v>0</v>
      </c>
      <c r="B337" s="61">
        <v>2</v>
      </c>
      <c r="C337" s="61">
        <v>1</v>
      </c>
      <c r="D337" s="62" t="s">
        <v>1286</v>
      </c>
      <c r="E337" s="62" t="s">
        <v>1306</v>
      </c>
      <c r="F337" s="62" t="s">
        <v>1269</v>
      </c>
      <c r="G337" s="62" t="s">
        <v>1270</v>
      </c>
      <c r="H337" s="62" t="s">
        <v>352</v>
      </c>
      <c r="I337" s="61" t="s">
        <v>1271</v>
      </c>
      <c r="J337" s="61">
        <v>99</v>
      </c>
      <c r="K337" s="63" t="s">
        <v>932</v>
      </c>
      <c r="L337" s="63" t="s">
        <v>704</v>
      </c>
      <c r="M337" s="64" t="s">
        <v>705</v>
      </c>
      <c r="N337" s="64" t="s">
        <v>1868</v>
      </c>
      <c r="O337" s="65">
        <v>1</v>
      </c>
      <c r="P337" s="65"/>
      <c r="Q337" s="62"/>
      <c r="S337" s="1">
        <f t="shared" si="117"/>
        <v>0</v>
      </c>
      <c r="T337" s="1">
        <f t="shared" si="118"/>
        <v>0</v>
      </c>
      <c r="U337" s="1">
        <f t="shared" si="119"/>
        <v>0</v>
      </c>
      <c r="V337" s="1">
        <f t="shared" si="120"/>
        <v>0</v>
      </c>
      <c r="W337" s="1">
        <f t="shared" si="121"/>
        <v>0</v>
      </c>
      <c r="X337" s="1">
        <f t="shared" si="122"/>
        <v>0</v>
      </c>
      <c r="Y337" s="1">
        <f t="shared" si="123"/>
        <v>0</v>
      </c>
      <c r="Z337" s="1">
        <f t="shared" si="124"/>
        <v>0</v>
      </c>
      <c r="AA337" s="1">
        <f t="shared" si="125"/>
        <v>0</v>
      </c>
      <c r="AB337" s="1">
        <f t="shared" si="126"/>
        <v>0</v>
      </c>
      <c r="AD337" s="1">
        <f t="shared" si="127"/>
        <v>0</v>
      </c>
      <c r="AE337" s="1">
        <f t="shared" si="128"/>
        <v>1</v>
      </c>
      <c r="AF337" s="1">
        <f t="shared" si="129"/>
        <v>0</v>
      </c>
      <c r="AG337" s="1">
        <f t="shared" si="130"/>
        <v>1</v>
      </c>
      <c r="AH337" s="1">
        <f t="shared" si="131"/>
        <v>0</v>
      </c>
      <c r="AI337" s="1">
        <f t="shared" si="132"/>
        <v>1</v>
      </c>
    </row>
    <row r="338" spans="1:35" s="1" customFormat="1" ht="14.25" customHeight="1" x14ac:dyDescent="0.25">
      <c r="A338" s="15">
        <v>0</v>
      </c>
      <c r="B338" s="15">
        <v>2</v>
      </c>
      <c r="C338" s="15">
        <v>1</v>
      </c>
      <c r="D338" s="16" t="s">
        <v>1281</v>
      </c>
      <c r="E338" s="16" t="s">
        <v>159</v>
      </c>
      <c r="F338" s="16" t="s">
        <v>1283</v>
      </c>
      <c r="G338" s="16" t="s">
        <v>1284</v>
      </c>
      <c r="H338" s="16" t="s">
        <v>352</v>
      </c>
      <c r="I338" s="15" t="s">
        <v>1285</v>
      </c>
      <c r="J338" s="15">
        <v>8</v>
      </c>
      <c r="K338" s="10" t="s">
        <v>704</v>
      </c>
      <c r="L338" s="10" t="s">
        <v>704</v>
      </c>
      <c r="M338" s="19" t="s">
        <v>705</v>
      </c>
      <c r="N338" s="19"/>
      <c r="Q338" s="16"/>
      <c r="S338" s="1">
        <f t="shared" si="117"/>
        <v>0</v>
      </c>
      <c r="T338" s="1">
        <f t="shared" si="118"/>
        <v>0</v>
      </c>
      <c r="U338" s="1">
        <f t="shared" si="119"/>
        <v>0</v>
      </c>
      <c r="V338" s="1">
        <f t="shared" si="120"/>
        <v>0</v>
      </c>
      <c r="W338" s="1">
        <f t="shared" si="121"/>
        <v>0</v>
      </c>
      <c r="X338" s="1">
        <f t="shared" si="122"/>
        <v>0</v>
      </c>
      <c r="Y338" s="1">
        <f t="shared" si="123"/>
        <v>0</v>
      </c>
      <c r="Z338" s="1">
        <f t="shared" si="124"/>
        <v>1</v>
      </c>
      <c r="AA338" s="1">
        <f t="shared" si="125"/>
        <v>0</v>
      </c>
      <c r="AB338" s="1">
        <f t="shared" si="126"/>
        <v>0</v>
      </c>
      <c r="AD338" s="1">
        <f t="shared" si="127"/>
        <v>0</v>
      </c>
      <c r="AE338" s="1">
        <f t="shared" si="128"/>
        <v>0</v>
      </c>
      <c r="AF338" s="1">
        <f t="shared" si="129"/>
        <v>0</v>
      </c>
      <c r="AG338" s="1">
        <f t="shared" si="130"/>
        <v>0</v>
      </c>
      <c r="AH338" s="1">
        <f t="shared" si="131"/>
        <v>0</v>
      </c>
      <c r="AI338" s="1">
        <f t="shared" si="132"/>
        <v>1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1607</v>
      </c>
      <c r="E339" s="32" t="s">
        <v>1140</v>
      </c>
      <c r="F339" s="32" t="s">
        <v>1640</v>
      </c>
      <c r="G339" s="32" t="s">
        <v>189</v>
      </c>
      <c r="H339" s="32" t="s">
        <v>352</v>
      </c>
      <c r="I339" s="31" t="s">
        <v>1568</v>
      </c>
      <c r="J339" s="31">
        <v>99</v>
      </c>
      <c r="K339" s="33" t="s">
        <v>704</v>
      </c>
      <c r="L339" s="33" t="s">
        <v>687</v>
      </c>
      <c r="M339" s="34" t="s">
        <v>1569</v>
      </c>
      <c r="N339" s="34" t="s">
        <v>1713</v>
      </c>
      <c r="O339" s="35">
        <v>1</v>
      </c>
      <c r="P339" s="35"/>
      <c r="Q339" s="32"/>
      <c r="S339" s="1">
        <f t="shared" si="117"/>
        <v>0</v>
      </c>
      <c r="T339" s="1">
        <f t="shared" si="118"/>
        <v>0</v>
      </c>
      <c r="U339" s="1">
        <f t="shared" si="119"/>
        <v>0</v>
      </c>
      <c r="V339" s="1">
        <f t="shared" si="120"/>
        <v>0</v>
      </c>
      <c r="W339" s="1">
        <f t="shared" si="121"/>
        <v>0</v>
      </c>
      <c r="X339" s="1">
        <f t="shared" si="122"/>
        <v>0</v>
      </c>
      <c r="Y339" s="1">
        <f t="shared" si="123"/>
        <v>0</v>
      </c>
      <c r="Z339" s="1">
        <f t="shared" si="124"/>
        <v>0</v>
      </c>
      <c r="AA339" s="1">
        <f t="shared" si="125"/>
        <v>0</v>
      </c>
      <c r="AB339" s="1">
        <f t="shared" si="126"/>
        <v>0</v>
      </c>
      <c r="AD339" s="1">
        <f t="shared" si="127"/>
        <v>0</v>
      </c>
      <c r="AE339" s="1">
        <f t="shared" si="128"/>
        <v>1</v>
      </c>
      <c r="AF339" s="1">
        <f t="shared" si="129"/>
        <v>0</v>
      </c>
      <c r="AG339" s="1">
        <f t="shared" si="130"/>
        <v>1</v>
      </c>
      <c r="AH339" s="1">
        <f t="shared" si="131"/>
        <v>0</v>
      </c>
      <c r="AI339" s="1">
        <f t="shared" si="132"/>
        <v>1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65</v>
      </c>
      <c r="E340" s="32" t="s">
        <v>163</v>
      </c>
      <c r="F340" s="32" t="s">
        <v>242</v>
      </c>
      <c r="G340" s="32" t="s">
        <v>199</v>
      </c>
      <c r="H340" s="32" t="s">
        <v>352</v>
      </c>
      <c r="I340" s="31" t="s">
        <v>405</v>
      </c>
      <c r="J340" s="31">
        <v>2</v>
      </c>
      <c r="K340" s="33" t="s">
        <v>932</v>
      </c>
      <c r="L340" s="33" t="s">
        <v>687</v>
      </c>
      <c r="M340" s="34" t="s">
        <v>706</v>
      </c>
      <c r="N340" s="34" t="s">
        <v>1696</v>
      </c>
      <c r="O340" s="35">
        <v>1</v>
      </c>
      <c r="P340" s="35"/>
      <c r="Q340" s="32"/>
      <c r="S340" s="1">
        <f t="shared" si="117"/>
        <v>0</v>
      </c>
      <c r="T340" s="1">
        <f t="shared" si="118"/>
        <v>1</v>
      </c>
      <c r="U340" s="1">
        <f t="shared" si="119"/>
        <v>0</v>
      </c>
      <c r="V340" s="1">
        <f t="shared" si="120"/>
        <v>0</v>
      </c>
      <c r="W340" s="1">
        <f t="shared" si="121"/>
        <v>0</v>
      </c>
      <c r="X340" s="1">
        <f t="shared" si="122"/>
        <v>0</v>
      </c>
      <c r="Y340" s="1">
        <f t="shared" si="123"/>
        <v>0</v>
      </c>
      <c r="Z340" s="1">
        <f t="shared" si="124"/>
        <v>0</v>
      </c>
      <c r="AA340" s="1">
        <f t="shared" si="125"/>
        <v>0</v>
      </c>
      <c r="AB340" s="1">
        <f t="shared" si="126"/>
        <v>0</v>
      </c>
      <c r="AD340" s="1">
        <f t="shared" si="127"/>
        <v>0</v>
      </c>
      <c r="AE340" s="1">
        <f t="shared" si="128"/>
        <v>1</v>
      </c>
      <c r="AF340" s="1">
        <f t="shared" si="129"/>
        <v>0</v>
      </c>
      <c r="AG340" s="1">
        <f t="shared" si="130"/>
        <v>1</v>
      </c>
      <c r="AH340" s="1">
        <f t="shared" si="131"/>
        <v>0</v>
      </c>
      <c r="AI340" s="1">
        <f t="shared" si="132"/>
        <v>1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1778</v>
      </c>
      <c r="E341" s="32" t="s">
        <v>1779</v>
      </c>
      <c r="F341" s="32" t="s">
        <v>1780</v>
      </c>
      <c r="G341" s="32" t="s">
        <v>195</v>
      </c>
      <c r="H341" s="32" t="s">
        <v>352</v>
      </c>
      <c r="I341" s="31" t="s">
        <v>1781</v>
      </c>
      <c r="J341" s="31"/>
      <c r="K341" s="33" t="s">
        <v>694</v>
      </c>
      <c r="L341" s="33">
        <v>20</v>
      </c>
      <c r="M341" s="34" t="s">
        <v>1782</v>
      </c>
      <c r="N341" s="34" t="s">
        <v>1700</v>
      </c>
      <c r="O341" s="35">
        <v>1</v>
      </c>
      <c r="P341" s="35"/>
      <c r="Q341" s="32"/>
      <c r="S341" s="1">
        <f t="shared" si="117"/>
        <v>0</v>
      </c>
      <c r="T341" s="1">
        <f t="shared" si="118"/>
        <v>0</v>
      </c>
      <c r="U341" s="1">
        <f t="shared" si="119"/>
        <v>0</v>
      </c>
      <c r="V341" s="1">
        <f t="shared" si="120"/>
        <v>0</v>
      </c>
      <c r="W341" s="1">
        <f t="shared" si="121"/>
        <v>0</v>
      </c>
      <c r="X341" s="1">
        <f t="shared" si="122"/>
        <v>0</v>
      </c>
      <c r="Y341" s="1">
        <f t="shared" si="123"/>
        <v>0</v>
      </c>
      <c r="Z341" s="1">
        <f t="shared" si="124"/>
        <v>0</v>
      </c>
      <c r="AA341" s="1">
        <f t="shared" si="125"/>
        <v>0</v>
      </c>
      <c r="AB341" s="1">
        <f t="shared" si="126"/>
        <v>0</v>
      </c>
      <c r="AD341" s="1">
        <f t="shared" si="127"/>
        <v>0</v>
      </c>
      <c r="AE341" s="1">
        <f t="shared" si="128"/>
        <v>1</v>
      </c>
      <c r="AF341" s="1">
        <f t="shared" si="129"/>
        <v>0</v>
      </c>
      <c r="AG341" s="1">
        <f t="shared" si="130"/>
        <v>1</v>
      </c>
      <c r="AH341" s="1">
        <f t="shared" si="131"/>
        <v>0</v>
      </c>
      <c r="AI341" s="1">
        <f t="shared" si="132"/>
        <v>1</v>
      </c>
    </row>
    <row r="342" spans="1:35" s="1" customFormat="1" ht="14.25" customHeight="1" x14ac:dyDescent="0.25">
      <c r="A342" s="37">
        <v>0</v>
      </c>
      <c r="B342" s="37">
        <v>2</v>
      </c>
      <c r="C342" s="37">
        <v>2</v>
      </c>
      <c r="D342" s="36" t="s">
        <v>2085</v>
      </c>
      <c r="E342" s="36" t="s">
        <v>2083</v>
      </c>
      <c r="F342" s="36" t="s">
        <v>2084</v>
      </c>
      <c r="G342" s="36" t="s">
        <v>256</v>
      </c>
      <c r="H342" s="36" t="s">
        <v>352</v>
      </c>
      <c r="I342" s="37" t="s">
        <v>30</v>
      </c>
      <c r="J342" s="37">
        <v>2</v>
      </c>
      <c r="K342" s="33" t="s">
        <v>694</v>
      </c>
      <c r="L342" s="33"/>
      <c r="M342" s="34"/>
      <c r="N342" s="34" t="s">
        <v>1687</v>
      </c>
      <c r="O342" s="35">
        <v>1</v>
      </c>
      <c r="P342" s="35">
        <v>1</v>
      </c>
      <c r="Q342" s="36"/>
      <c r="S342" s="1">
        <f t="shared" si="117"/>
        <v>0</v>
      </c>
      <c r="T342" s="1">
        <f t="shared" si="118"/>
        <v>1</v>
      </c>
      <c r="U342" s="1">
        <f t="shared" si="119"/>
        <v>0</v>
      </c>
      <c r="V342" s="1">
        <f t="shared" si="120"/>
        <v>0</v>
      </c>
      <c r="W342" s="1">
        <f t="shared" si="121"/>
        <v>0</v>
      </c>
      <c r="X342" s="1">
        <f t="shared" si="122"/>
        <v>0</v>
      </c>
      <c r="Y342" s="1">
        <f t="shared" si="123"/>
        <v>0</v>
      </c>
      <c r="Z342" s="1">
        <f t="shared" si="124"/>
        <v>0</v>
      </c>
      <c r="AA342" s="1">
        <f t="shared" si="125"/>
        <v>0</v>
      </c>
      <c r="AB342" s="1">
        <f t="shared" si="126"/>
        <v>0</v>
      </c>
      <c r="AD342" s="1">
        <f t="shared" si="127"/>
        <v>1</v>
      </c>
      <c r="AE342" s="1">
        <f t="shared" si="128"/>
        <v>0</v>
      </c>
      <c r="AF342" s="1">
        <f t="shared" si="129"/>
        <v>1</v>
      </c>
      <c r="AG342" s="1">
        <f t="shared" si="130"/>
        <v>0</v>
      </c>
      <c r="AH342" s="1">
        <f t="shared" si="131"/>
        <v>1</v>
      </c>
      <c r="AI342" s="1">
        <f t="shared" si="132"/>
        <v>0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1537</v>
      </c>
      <c r="E343" s="32" t="s">
        <v>1538</v>
      </c>
      <c r="F343" s="32" t="s">
        <v>1540</v>
      </c>
      <c r="G343" s="32" t="s">
        <v>1541</v>
      </c>
      <c r="H343" s="32" t="s">
        <v>352</v>
      </c>
      <c r="I343" s="31" t="s">
        <v>1539</v>
      </c>
      <c r="J343" s="31">
        <v>99</v>
      </c>
      <c r="K343" s="33" t="s">
        <v>694</v>
      </c>
      <c r="L343" s="33">
        <v>18</v>
      </c>
      <c r="M343" s="34" t="s">
        <v>1542</v>
      </c>
      <c r="N343" s="34" t="s">
        <v>1700</v>
      </c>
      <c r="O343" s="35">
        <v>1</v>
      </c>
      <c r="P343" s="35"/>
      <c r="Q343" s="32"/>
      <c r="S343" s="1">
        <f t="shared" ref="S343:S407" si="139">IF(J343=$S$7,1,0)</f>
        <v>0</v>
      </c>
      <c r="T343" s="1">
        <f t="shared" ref="T343:T407" si="140">IF(J343=$T$7,1,0)</f>
        <v>0</v>
      </c>
      <c r="U343" s="1">
        <f t="shared" ref="U343:U407" si="141">IF(J343=$U$7,1,0)</f>
        <v>0</v>
      </c>
      <c r="V343" s="1">
        <f t="shared" ref="V343:V407" si="142">IF(J343=$V$7,1,0)</f>
        <v>0</v>
      </c>
      <c r="W343" s="1">
        <f t="shared" ref="W343:W407" si="143">IF(J343=$W$7,1,0)</f>
        <v>0</v>
      </c>
      <c r="X343" s="1">
        <f t="shared" ref="X343:X407" si="144">IF(J343=$X$7,1,0)</f>
        <v>0</v>
      </c>
      <c r="Y343" s="1">
        <f t="shared" ref="Y343:Y407" si="145">IF(J343=$Y$7,1,0)</f>
        <v>0</v>
      </c>
      <c r="Z343" s="1">
        <f t="shared" ref="Z343:Z407" si="146">IF(J343=$Z$7,1,0)</f>
        <v>0</v>
      </c>
      <c r="AA343" s="1">
        <f t="shared" ref="AA343:AA407" si="147">IF(J343=$AA$7,1,0)</f>
        <v>0</v>
      </c>
      <c r="AB343" s="1">
        <f t="shared" ref="AB343:AB407" si="148">IF(J343=$AB$7,1,0)</f>
        <v>0</v>
      </c>
      <c r="AD343" s="1">
        <f t="shared" ref="AD343:AD407" si="149">+O343*P343</f>
        <v>0</v>
      </c>
      <c r="AE343" s="1">
        <f t="shared" ref="AE343:AE407" si="150">O343*(1-P343)</f>
        <v>1</v>
      </c>
      <c r="AF343" s="1">
        <f t="shared" si="129"/>
        <v>0</v>
      </c>
      <c r="AG343" s="1">
        <f t="shared" si="130"/>
        <v>1</v>
      </c>
      <c r="AH343" s="1">
        <f t="shared" si="131"/>
        <v>0</v>
      </c>
      <c r="AI343" s="1">
        <f t="shared" si="132"/>
        <v>1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64</v>
      </c>
      <c r="E344" s="32" t="s">
        <v>33</v>
      </c>
      <c r="F344" s="32" t="s">
        <v>240</v>
      </c>
      <c r="G344" s="32" t="s">
        <v>241</v>
      </c>
      <c r="H344" s="32" t="s">
        <v>352</v>
      </c>
      <c r="I344" s="31" t="s">
        <v>404</v>
      </c>
      <c r="J344" s="31">
        <v>1</v>
      </c>
      <c r="K344" s="33" t="s">
        <v>938</v>
      </c>
      <c r="L344" s="33" t="s">
        <v>707</v>
      </c>
      <c r="M344" s="34" t="s">
        <v>708</v>
      </c>
      <c r="N344" s="34" t="s">
        <v>1696</v>
      </c>
      <c r="O344" s="35">
        <v>1</v>
      </c>
      <c r="P344" s="35"/>
      <c r="Q344" s="32"/>
      <c r="S344" s="1">
        <f t="shared" si="139"/>
        <v>1</v>
      </c>
      <c r="T344" s="1">
        <f t="shared" si="140"/>
        <v>0</v>
      </c>
      <c r="U344" s="1">
        <f t="shared" si="141"/>
        <v>0</v>
      </c>
      <c r="V344" s="1">
        <f t="shared" si="142"/>
        <v>0</v>
      </c>
      <c r="W344" s="1">
        <f t="shared" si="143"/>
        <v>0</v>
      </c>
      <c r="X344" s="1">
        <f t="shared" si="144"/>
        <v>0</v>
      </c>
      <c r="Y344" s="1">
        <f t="shared" si="145"/>
        <v>0</v>
      </c>
      <c r="Z344" s="1">
        <f t="shared" si="146"/>
        <v>0</v>
      </c>
      <c r="AA344" s="1">
        <f t="shared" si="147"/>
        <v>0</v>
      </c>
      <c r="AB344" s="1">
        <f t="shared" si="148"/>
        <v>0</v>
      </c>
      <c r="AD344" s="1">
        <f t="shared" si="149"/>
        <v>0</v>
      </c>
      <c r="AE344" s="1">
        <f t="shared" si="150"/>
        <v>1</v>
      </c>
      <c r="AF344" s="1">
        <f t="shared" ref="AF344:AF408" si="151">+O344*P344*(1-A344)</f>
        <v>0</v>
      </c>
      <c r="AG344" s="1">
        <f t="shared" ref="AG344:AG408" si="152">O344*(1-P344)*(1-A344)</f>
        <v>1</v>
      </c>
      <c r="AH344" s="1">
        <f t="shared" ref="AH344:AH408" si="153">+P344*(1-A344)</f>
        <v>0</v>
      </c>
      <c r="AI344" s="1">
        <f t="shared" ref="AI344:AI408" si="154">+(1-A344)*(1-P344)</f>
        <v>1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62</v>
      </c>
      <c r="E345" s="32" t="s">
        <v>1063</v>
      </c>
      <c r="F345" s="32" t="s">
        <v>233</v>
      </c>
      <c r="G345" s="32" t="s">
        <v>234</v>
      </c>
      <c r="H345" s="32" t="s">
        <v>352</v>
      </c>
      <c r="I345" s="31" t="s">
        <v>1331</v>
      </c>
      <c r="J345" s="31">
        <v>99</v>
      </c>
      <c r="K345" s="33" t="s">
        <v>932</v>
      </c>
      <c r="L345" s="33" t="s">
        <v>707</v>
      </c>
      <c r="M345" s="34" t="s">
        <v>709</v>
      </c>
      <c r="N345" s="34" t="s">
        <v>1696</v>
      </c>
      <c r="O345" s="35">
        <v>1</v>
      </c>
      <c r="P345" s="35"/>
      <c r="Q345" s="32"/>
      <c r="S345" s="1">
        <f t="shared" si="139"/>
        <v>0</v>
      </c>
      <c r="T345" s="1">
        <f t="shared" si="140"/>
        <v>0</v>
      </c>
      <c r="U345" s="1">
        <f t="shared" si="141"/>
        <v>0</v>
      </c>
      <c r="V345" s="1">
        <f t="shared" si="142"/>
        <v>0</v>
      </c>
      <c r="W345" s="1">
        <f t="shared" si="143"/>
        <v>0</v>
      </c>
      <c r="X345" s="1">
        <f t="shared" si="144"/>
        <v>0</v>
      </c>
      <c r="Y345" s="1">
        <f t="shared" si="145"/>
        <v>0</v>
      </c>
      <c r="Z345" s="1">
        <f t="shared" si="146"/>
        <v>0</v>
      </c>
      <c r="AA345" s="1">
        <f t="shared" si="147"/>
        <v>0</v>
      </c>
      <c r="AB345" s="1">
        <f t="shared" si="148"/>
        <v>0</v>
      </c>
      <c r="AD345" s="1">
        <f t="shared" si="149"/>
        <v>0</v>
      </c>
      <c r="AE345" s="1">
        <f t="shared" si="150"/>
        <v>1</v>
      </c>
      <c r="AF345" s="1">
        <f t="shared" si="151"/>
        <v>0</v>
      </c>
      <c r="AG345" s="1">
        <f t="shared" si="152"/>
        <v>1</v>
      </c>
      <c r="AH345" s="1">
        <f t="shared" si="153"/>
        <v>0</v>
      </c>
      <c r="AI345" s="1">
        <f t="shared" si="154"/>
        <v>1</v>
      </c>
    </row>
    <row r="346" spans="1:35" s="1" customFormat="1" ht="14.25" customHeight="1" x14ac:dyDescent="0.25">
      <c r="A346" s="31">
        <v>0</v>
      </c>
      <c r="B346" s="31">
        <v>2</v>
      </c>
      <c r="C346" s="31">
        <v>2</v>
      </c>
      <c r="D346" s="32" t="s">
        <v>1676</v>
      </c>
      <c r="E346" s="32" t="s">
        <v>1678</v>
      </c>
      <c r="F346" s="32" t="s">
        <v>1677</v>
      </c>
      <c r="G346" s="32"/>
      <c r="H346" s="32" t="s">
        <v>352</v>
      </c>
      <c r="I346" s="31" t="s">
        <v>1679</v>
      </c>
      <c r="J346" s="31"/>
      <c r="K346" s="33" t="s">
        <v>694</v>
      </c>
      <c r="L346" s="33"/>
      <c r="M346" s="34"/>
      <c r="N346" s="34" t="s">
        <v>1687</v>
      </c>
      <c r="O346" s="35">
        <v>1</v>
      </c>
      <c r="P346" s="35">
        <v>1</v>
      </c>
      <c r="Q346" s="32"/>
      <c r="S346" s="1">
        <f t="shared" si="139"/>
        <v>0</v>
      </c>
      <c r="T346" s="1">
        <f t="shared" si="140"/>
        <v>0</v>
      </c>
      <c r="U346" s="1">
        <f t="shared" si="141"/>
        <v>0</v>
      </c>
      <c r="V346" s="1">
        <f t="shared" si="142"/>
        <v>0</v>
      </c>
      <c r="W346" s="1">
        <f t="shared" si="143"/>
        <v>0</v>
      </c>
      <c r="X346" s="1">
        <f t="shared" si="144"/>
        <v>0</v>
      </c>
      <c r="Y346" s="1">
        <f t="shared" si="145"/>
        <v>0</v>
      </c>
      <c r="Z346" s="1">
        <f t="shared" si="146"/>
        <v>0</v>
      </c>
      <c r="AA346" s="1">
        <f t="shared" si="147"/>
        <v>0</v>
      </c>
      <c r="AB346" s="1">
        <f t="shared" si="148"/>
        <v>0</v>
      </c>
      <c r="AD346" s="1">
        <f t="shared" si="149"/>
        <v>1</v>
      </c>
      <c r="AE346" s="1">
        <f t="shared" si="150"/>
        <v>0</v>
      </c>
      <c r="AF346" s="1">
        <f t="shared" si="151"/>
        <v>1</v>
      </c>
      <c r="AG346" s="1">
        <f t="shared" si="152"/>
        <v>0</v>
      </c>
      <c r="AH346" s="1">
        <f t="shared" si="153"/>
        <v>1</v>
      </c>
      <c r="AI346" s="1">
        <f t="shared" si="154"/>
        <v>0</v>
      </c>
    </row>
    <row r="347" spans="1:35" s="1" customFormat="1" ht="14.25" customHeight="1" x14ac:dyDescent="0.25">
      <c r="A347" s="31">
        <v>0</v>
      </c>
      <c r="B347" s="31">
        <v>2</v>
      </c>
      <c r="C347" s="31">
        <v>2</v>
      </c>
      <c r="D347" s="32" t="s">
        <v>768</v>
      </c>
      <c r="E347" s="32" t="s">
        <v>888</v>
      </c>
      <c r="F347" s="32" t="s">
        <v>1532</v>
      </c>
      <c r="G347" s="32" t="s">
        <v>229</v>
      </c>
      <c r="H347" s="32" t="s">
        <v>352</v>
      </c>
      <c r="I347" s="31" t="s">
        <v>1654</v>
      </c>
      <c r="J347" s="31">
        <v>7</v>
      </c>
      <c r="K347" s="33" t="s">
        <v>704</v>
      </c>
      <c r="L347" s="33">
        <v>20</v>
      </c>
      <c r="M347" s="34" t="s">
        <v>39</v>
      </c>
      <c r="N347" s="34" t="s">
        <v>1701</v>
      </c>
      <c r="O347" s="35">
        <v>1</v>
      </c>
      <c r="P347" s="35"/>
      <c r="Q347" s="32"/>
      <c r="S347" s="1">
        <f t="shared" si="139"/>
        <v>0</v>
      </c>
      <c r="T347" s="1">
        <f t="shared" si="140"/>
        <v>0</v>
      </c>
      <c r="U347" s="1">
        <f t="shared" si="141"/>
        <v>0</v>
      </c>
      <c r="V347" s="1">
        <f t="shared" si="142"/>
        <v>0</v>
      </c>
      <c r="W347" s="1">
        <f t="shared" si="143"/>
        <v>0</v>
      </c>
      <c r="X347" s="1">
        <f t="shared" si="144"/>
        <v>0</v>
      </c>
      <c r="Y347" s="1">
        <f t="shared" si="145"/>
        <v>1</v>
      </c>
      <c r="Z347" s="1">
        <f t="shared" si="146"/>
        <v>0</v>
      </c>
      <c r="AA347" s="1">
        <f t="shared" si="147"/>
        <v>0</v>
      </c>
      <c r="AB347" s="1">
        <f t="shared" si="148"/>
        <v>0</v>
      </c>
      <c r="AD347" s="1">
        <f t="shared" si="149"/>
        <v>0</v>
      </c>
      <c r="AE347" s="1">
        <f t="shared" si="150"/>
        <v>1</v>
      </c>
      <c r="AF347" s="1">
        <f t="shared" si="151"/>
        <v>0</v>
      </c>
      <c r="AG347" s="1">
        <f t="shared" si="152"/>
        <v>1</v>
      </c>
      <c r="AH347" s="1">
        <f t="shared" si="153"/>
        <v>0</v>
      </c>
      <c r="AI347" s="1">
        <f t="shared" si="154"/>
        <v>1</v>
      </c>
    </row>
    <row r="348" spans="1:35" s="1" customFormat="1" ht="14.25" customHeight="1" x14ac:dyDescent="0.25">
      <c r="A348" s="31">
        <v>0</v>
      </c>
      <c r="B348" s="31">
        <v>2</v>
      </c>
      <c r="C348" s="31">
        <v>2</v>
      </c>
      <c r="D348" s="32" t="s">
        <v>833</v>
      </c>
      <c r="E348" s="32" t="s">
        <v>537</v>
      </c>
      <c r="F348" s="32" t="s">
        <v>835</v>
      </c>
      <c r="G348" s="32" t="s">
        <v>219</v>
      </c>
      <c r="H348" s="32" t="s">
        <v>352</v>
      </c>
      <c r="I348" s="31" t="s">
        <v>836</v>
      </c>
      <c r="J348" s="31">
        <v>8</v>
      </c>
      <c r="K348" s="33" t="s">
        <v>704</v>
      </c>
      <c r="L348" s="33" t="s">
        <v>707</v>
      </c>
      <c r="M348" s="34" t="s">
        <v>1377</v>
      </c>
      <c r="N348" s="34" t="s">
        <v>1696</v>
      </c>
      <c r="O348" s="35">
        <v>1</v>
      </c>
      <c r="P348" s="35"/>
      <c r="Q348" s="32"/>
      <c r="S348" s="1">
        <f t="shared" si="139"/>
        <v>0</v>
      </c>
      <c r="T348" s="1">
        <f t="shared" si="140"/>
        <v>0</v>
      </c>
      <c r="U348" s="1">
        <f t="shared" si="141"/>
        <v>0</v>
      </c>
      <c r="V348" s="1">
        <f t="shared" si="142"/>
        <v>0</v>
      </c>
      <c r="W348" s="1">
        <f t="shared" si="143"/>
        <v>0</v>
      </c>
      <c r="X348" s="1">
        <f t="shared" si="144"/>
        <v>0</v>
      </c>
      <c r="Y348" s="1">
        <f t="shared" si="145"/>
        <v>0</v>
      </c>
      <c r="Z348" s="1">
        <f t="shared" si="146"/>
        <v>1</v>
      </c>
      <c r="AA348" s="1">
        <f t="shared" si="147"/>
        <v>0</v>
      </c>
      <c r="AB348" s="1">
        <f t="shared" si="148"/>
        <v>0</v>
      </c>
      <c r="AD348" s="1">
        <f t="shared" si="149"/>
        <v>0</v>
      </c>
      <c r="AE348" s="1">
        <f t="shared" si="150"/>
        <v>1</v>
      </c>
      <c r="AF348" s="1">
        <f t="shared" si="151"/>
        <v>0</v>
      </c>
      <c r="AG348" s="1">
        <f t="shared" si="152"/>
        <v>1</v>
      </c>
      <c r="AH348" s="1">
        <f t="shared" si="153"/>
        <v>0</v>
      </c>
      <c r="AI348" s="1">
        <f t="shared" si="154"/>
        <v>1</v>
      </c>
    </row>
    <row r="349" spans="1:35" s="1" customFormat="1" ht="14.25" customHeight="1" x14ac:dyDescent="0.25">
      <c r="A349" s="31">
        <v>1</v>
      </c>
      <c r="B349" s="31">
        <v>2</v>
      </c>
      <c r="C349" s="31">
        <v>2</v>
      </c>
      <c r="D349" s="32" t="s">
        <v>833</v>
      </c>
      <c r="E349" s="32" t="s">
        <v>537</v>
      </c>
      <c r="F349" s="32" t="s">
        <v>1320</v>
      </c>
      <c r="G349" s="32" t="s">
        <v>193</v>
      </c>
      <c r="H349" s="32" t="s">
        <v>352</v>
      </c>
      <c r="I349" s="31" t="s">
        <v>834</v>
      </c>
      <c r="J349" s="31">
        <v>9</v>
      </c>
      <c r="K349" s="33" t="s">
        <v>704</v>
      </c>
      <c r="L349" s="33" t="s">
        <v>707</v>
      </c>
      <c r="M349" s="34" t="s">
        <v>1377</v>
      </c>
      <c r="N349" s="34" t="s">
        <v>1696</v>
      </c>
      <c r="O349" s="35">
        <v>1</v>
      </c>
      <c r="P349" s="35"/>
      <c r="Q349" s="32"/>
      <c r="S349" s="1">
        <f t="shared" si="139"/>
        <v>0</v>
      </c>
      <c r="T349" s="1">
        <f t="shared" si="140"/>
        <v>0</v>
      </c>
      <c r="U349" s="1">
        <f t="shared" si="141"/>
        <v>0</v>
      </c>
      <c r="V349" s="1">
        <f t="shared" si="142"/>
        <v>0</v>
      </c>
      <c r="W349" s="1">
        <f t="shared" si="143"/>
        <v>0</v>
      </c>
      <c r="X349" s="1">
        <f t="shared" si="144"/>
        <v>0</v>
      </c>
      <c r="Y349" s="1">
        <f t="shared" si="145"/>
        <v>0</v>
      </c>
      <c r="Z349" s="1">
        <f t="shared" si="146"/>
        <v>0</v>
      </c>
      <c r="AA349" s="1">
        <f t="shared" si="147"/>
        <v>1</v>
      </c>
      <c r="AB349" s="1">
        <f t="shared" si="148"/>
        <v>0</v>
      </c>
      <c r="AD349" s="1">
        <f t="shared" si="149"/>
        <v>0</v>
      </c>
      <c r="AE349" s="1">
        <f t="shared" si="150"/>
        <v>1</v>
      </c>
      <c r="AF349" s="1">
        <f t="shared" si="151"/>
        <v>0</v>
      </c>
      <c r="AG349" s="1">
        <f t="shared" si="152"/>
        <v>0</v>
      </c>
      <c r="AH349" s="1">
        <f t="shared" si="153"/>
        <v>0</v>
      </c>
      <c r="AI349" s="1">
        <f t="shared" si="154"/>
        <v>0</v>
      </c>
    </row>
    <row r="350" spans="1:35" s="1" customFormat="1" ht="14.25" customHeight="1" x14ac:dyDescent="0.25">
      <c r="A350" s="31">
        <v>0</v>
      </c>
      <c r="B350" s="31">
        <v>2</v>
      </c>
      <c r="C350" s="31">
        <v>2</v>
      </c>
      <c r="D350" s="32" t="s">
        <v>897</v>
      </c>
      <c r="E350" s="32" t="s">
        <v>766</v>
      </c>
      <c r="F350" s="32" t="s">
        <v>767</v>
      </c>
      <c r="G350" s="32" t="s">
        <v>229</v>
      </c>
      <c r="H350" s="32" t="s">
        <v>352</v>
      </c>
      <c r="I350" s="31" t="s">
        <v>769</v>
      </c>
      <c r="J350" s="31">
        <v>7</v>
      </c>
      <c r="K350" s="33" t="s">
        <v>703</v>
      </c>
      <c r="L350" s="33">
        <v>15</v>
      </c>
      <c r="M350" s="34" t="s">
        <v>39</v>
      </c>
      <c r="N350" s="34" t="s">
        <v>1696</v>
      </c>
      <c r="O350" s="35">
        <v>1</v>
      </c>
      <c r="P350" s="35"/>
      <c r="Q350" s="32"/>
      <c r="S350" s="1">
        <f t="shared" si="139"/>
        <v>0</v>
      </c>
      <c r="T350" s="1">
        <f t="shared" si="140"/>
        <v>0</v>
      </c>
      <c r="U350" s="1">
        <f t="shared" si="141"/>
        <v>0</v>
      </c>
      <c r="V350" s="1">
        <f t="shared" si="142"/>
        <v>0</v>
      </c>
      <c r="W350" s="1">
        <f t="shared" si="143"/>
        <v>0</v>
      </c>
      <c r="X350" s="1">
        <f t="shared" si="144"/>
        <v>0</v>
      </c>
      <c r="Y350" s="1">
        <f t="shared" si="145"/>
        <v>1</v>
      </c>
      <c r="Z350" s="1">
        <f t="shared" si="146"/>
        <v>0</v>
      </c>
      <c r="AA350" s="1">
        <f t="shared" si="147"/>
        <v>0</v>
      </c>
      <c r="AB350" s="1">
        <f t="shared" si="148"/>
        <v>0</v>
      </c>
      <c r="AD350" s="1">
        <f t="shared" si="149"/>
        <v>0</v>
      </c>
      <c r="AE350" s="1">
        <f t="shared" si="150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2</v>
      </c>
      <c r="D351" s="32" t="s">
        <v>83</v>
      </c>
      <c r="E351" s="32" t="s">
        <v>156</v>
      </c>
      <c r="F351" s="32" t="s">
        <v>1822</v>
      </c>
      <c r="G351" s="32" t="s">
        <v>208</v>
      </c>
      <c r="H351" s="32" t="s">
        <v>352</v>
      </c>
      <c r="I351" s="31" t="s">
        <v>430</v>
      </c>
      <c r="J351" s="31">
        <v>99</v>
      </c>
      <c r="K351" s="33" t="s">
        <v>931</v>
      </c>
      <c r="L351" s="33" t="s">
        <v>695</v>
      </c>
      <c r="M351" s="34" t="s">
        <v>710</v>
      </c>
      <c r="N351" s="34" t="s">
        <v>1696</v>
      </c>
      <c r="O351" s="35">
        <v>1</v>
      </c>
      <c r="P351" s="35"/>
      <c r="Q351" s="32"/>
      <c r="S351" s="1">
        <f t="shared" si="139"/>
        <v>0</v>
      </c>
      <c r="T351" s="1">
        <f t="shared" si="140"/>
        <v>0</v>
      </c>
      <c r="U351" s="1">
        <f t="shared" si="141"/>
        <v>0</v>
      </c>
      <c r="V351" s="1">
        <f t="shared" si="142"/>
        <v>0</v>
      </c>
      <c r="W351" s="1">
        <f t="shared" si="143"/>
        <v>0</v>
      </c>
      <c r="X351" s="1">
        <f t="shared" si="144"/>
        <v>0</v>
      </c>
      <c r="Y351" s="1">
        <f t="shared" si="145"/>
        <v>0</v>
      </c>
      <c r="Z351" s="1">
        <f t="shared" si="146"/>
        <v>0</v>
      </c>
      <c r="AA351" s="1">
        <f t="shared" si="147"/>
        <v>0</v>
      </c>
      <c r="AB351" s="1">
        <f t="shared" si="148"/>
        <v>0</v>
      </c>
      <c r="AD351" s="1">
        <f t="shared" si="149"/>
        <v>0</v>
      </c>
      <c r="AE351" s="1">
        <f t="shared" si="150"/>
        <v>1</v>
      </c>
      <c r="AF351" s="1">
        <f t="shared" si="151"/>
        <v>0</v>
      </c>
      <c r="AG351" s="1">
        <f t="shared" si="152"/>
        <v>1</v>
      </c>
      <c r="AH351" s="1">
        <f t="shared" si="153"/>
        <v>0</v>
      </c>
      <c r="AI351" s="1">
        <f t="shared" si="154"/>
        <v>1</v>
      </c>
    </row>
    <row r="352" spans="1:35" s="1" customFormat="1" ht="14.25" customHeight="1" x14ac:dyDescent="0.25">
      <c r="A352" s="31">
        <v>0</v>
      </c>
      <c r="B352" s="31">
        <v>2</v>
      </c>
      <c r="C352" s="31">
        <v>2</v>
      </c>
      <c r="D352" s="32" t="s">
        <v>1525</v>
      </c>
      <c r="E352" s="32" t="s">
        <v>1302</v>
      </c>
      <c r="F352" s="32" t="s">
        <v>1526</v>
      </c>
      <c r="G352" s="32" t="s">
        <v>1138</v>
      </c>
      <c r="H352" s="32" t="s">
        <v>352</v>
      </c>
      <c r="I352" s="31" t="s">
        <v>1527</v>
      </c>
      <c r="J352" s="31">
        <v>1</v>
      </c>
      <c r="K352" s="33" t="s">
        <v>704</v>
      </c>
      <c r="L352" s="33" t="s">
        <v>39</v>
      </c>
      <c r="M352" s="34" t="s">
        <v>39</v>
      </c>
      <c r="N352" s="34" t="s">
        <v>1687</v>
      </c>
      <c r="O352" s="35">
        <v>1</v>
      </c>
      <c r="P352" s="35">
        <v>1</v>
      </c>
      <c r="Q352" s="32"/>
      <c r="S352" s="1">
        <f t="shared" si="139"/>
        <v>1</v>
      </c>
      <c r="T352" s="1">
        <f t="shared" si="140"/>
        <v>0</v>
      </c>
      <c r="U352" s="1">
        <f t="shared" si="141"/>
        <v>0</v>
      </c>
      <c r="V352" s="1">
        <f t="shared" si="142"/>
        <v>0</v>
      </c>
      <c r="W352" s="1">
        <f t="shared" si="143"/>
        <v>0</v>
      </c>
      <c r="X352" s="1">
        <f t="shared" si="144"/>
        <v>0</v>
      </c>
      <c r="Y352" s="1">
        <f t="shared" si="145"/>
        <v>0</v>
      </c>
      <c r="Z352" s="1">
        <f t="shared" si="146"/>
        <v>0</v>
      </c>
      <c r="AA352" s="1">
        <f t="shared" si="147"/>
        <v>0</v>
      </c>
      <c r="AB352" s="1">
        <f t="shared" si="148"/>
        <v>0</v>
      </c>
      <c r="AD352" s="1">
        <f t="shared" si="149"/>
        <v>1</v>
      </c>
      <c r="AE352" s="1">
        <f t="shared" si="150"/>
        <v>0</v>
      </c>
      <c r="AF352" s="1">
        <f t="shared" si="151"/>
        <v>1</v>
      </c>
      <c r="AG352" s="1">
        <f t="shared" si="152"/>
        <v>0</v>
      </c>
      <c r="AH352" s="1">
        <f t="shared" si="153"/>
        <v>1</v>
      </c>
      <c r="AI352" s="1">
        <f t="shared" si="154"/>
        <v>0</v>
      </c>
    </row>
    <row r="353" spans="1:35" s="1" customFormat="1" ht="14.25" customHeight="1" x14ac:dyDescent="0.25">
      <c r="A353" s="31">
        <v>0</v>
      </c>
      <c r="B353" s="31">
        <v>2</v>
      </c>
      <c r="C353" s="31">
        <v>2</v>
      </c>
      <c r="D353" s="32" t="s">
        <v>1697</v>
      </c>
      <c r="E353" s="32" t="s">
        <v>27</v>
      </c>
      <c r="F353" s="32" t="s">
        <v>1021</v>
      </c>
      <c r="G353" s="32" t="s">
        <v>219</v>
      </c>
      <c r="H353" s="32" t="s">
        <v>352</v>
      </c>
      <c r="I353" s="31" t="s">
        <v>1022</v>
      </c>
      <c r="J353" s="31">
        <v>8</v>
      </c>
      <c r="K353" s="33" t="s">
        <v>704</v>
      </c>
      <c r="L353" s="33">
        <v>25</v>
      </c>
      <c r="M353" s="34" t="s">
        <v>1698</v>
      </c>
      <c r="N353" s="34" t="s">
        <v>1687</v>
      </c>
      <c r="O353" s="35">
        <v>1</v>
      </c>
      <c r="P353" s="35">
        <v>1</v>
      </c>
      <c r="Q353" s="32"/>
      <c r="S353" s="1">
        <f t="shared" si="139"/>
        <v>0</v>
      </c>
      <c r="T353" s="1">
        <f t="shared" si="140"/>
        <v>0</v>
      </c>
      <c r="U353" s="1">
        <f t="shared" si="141"/>
        <v>0</v>
      </c>
      <c r="V353" s="1">
        <f t="shared" si="142"/>
        <v>0</v>
      </c>
      <c r="W353" s="1">
        <f t="shared" si="143"/>
        <v>0</v>
      </c>
      <c r="X353" s="1">
        <f t="shared" si="144"/>
        <v>0</v>
      </c>
      <c r="Y353" s="1">
        <f t="shared" si="145"/>
        <v>0</v>
      </c>
      <c r="Z353" s="1">
        <f t="shared" si="146"/>
        <v>1</v>
      </c>
      <c r="AA353" s="1">
        <f t="shared" si="147"/>
        <v>0</v>
      </c>
      <c r="AB353" s="1">
        <f t="shared" si="148"/>
        <v>0</v>
      </c>
      <c r="AD353" s="1">
        <f t="shared" si="149"/>
        <v>1</v>
      </c>
      <c r="AE353" s="1">
        <f t="shared" si="150"/>
        <v>0</v>
      </c>
      <c r="AF353" s="1">
        <f t="shared" si="151"/>
        <v>1</v>
      </c>
      <c r="AG353" s="1">
        <f t="shared" si="152"/>
        <v>0</v>
      </c>
      <c r="AH353" s="1">
        <f t="shared" si="153"/>
        <v>1</v>
      </c>
      <c r="AI353" s="1">
        <f t="shared" si="154"/>
        <v>0</v>
      </c>
    </row>
    <row r="354" spans="1:35" s="1" customFormat="1" ht="14.25" customHeight="1" x14ac:dyDescent="0.25">
      <c r="A354" s="31">
        <v>0</v>
      </c>
      <c r="B354" s="31">
        <v>2</v>
      </c>
      <c r="C354" s="31">
        <v>2</v>
      </c>
      <c r="D354" s="32" t="s">
        <v>45</v>
      </c>
      <c r="E354" s="32" t="s">
        <v>44</v>
      </c>
      <c r="F354" s="32" t="s">
        <v>661</v>
      </c>
      <c r="G354" s="32" t="s">
        <v>179</v>
      </c>
      <c r="H354" s="32" t="s">
        <v>352</v>
      </c>
      <c r="I354" s="31" t="s">
        <v>927</v>
      </c>
      <c r="J354" s="31">
        <v>10</v>
      </c>
      <c r="K354" s="33" t="s">
        <v>704</v>
      </c>
      <c r="L354" s="33" t="s">
        <v>711</v>
      </c>
      <c r="M354" s="34" t="s">
        <v>712</v>
      </c>
      <c r="N354" s="34" t="s">
        <v>1687</v>
      </c>
      <c r="O354" s="35">
        <v>1</v>
      </c>
      <c r="P354" s="35">
        <v>1</v>
      </c>
      <c r="Q354" s="32"/>
      <c r="S354" s="1">
        <f t="shared" si="139"/>
        <v>0</v>
      </c>
      <c r="T354" s="1">
        <f t="shared" si="140"/>
        <v>0</v>
      </c>
      <c r="U354" s="1">
        <f t="shared" si="141"/>
        <v>0</v>
      </c>
      <c r="V354" s="1">
        <f t="shared" si="142"/>
        <v>0</v>
      </c>
      <c r="W354" s="1">
        <f t="shared" si="143"/>
        <v>0</v>
      </c>
      <c r="X354" s="1">
        <f t="shared" si="144"/>
        <v>0</v>
      </c>
      <c r="Y354" s="1">
        <f t="shared" si="145"/>
        <v>0</v>
      </c>
      <c r="Z354" s="1">
        <f t="shared" si="146"/>
        <v>0</v>
      </c>
      <c r="AA354" s="1">
        <f t="shared" si="147"/>
        <v>0</v>
      </c>
      <c r="AB354" s="1">
        <f t="shared" si="148"/>
        <v>1</v>
      </c>
      <c r="AD354" s="1">
        <f t="shared" si="149"/>
        <v>1</v>
      </c>
      <c r="AE354" s="1">
        <f t="shared" si="150"/>
        <v>0</v>
      </c>
      <c r="AF354" s="1">
        <f t="shared" si="151"/>
        <v>1</v>
      </c>
      <c r="AG354" s="1">
        <f t="shared" si="152"/>
        <v>0</v>
      </c>
      <c r="AH354" s="1">
        <f t="shared" si="153"/>
        <v>1</v>
      </c>
      <c r="AI354" s="1">
        <f t="shared" si="154"/>
        <v>0</v>
      </c>
    </row>
    <row r="355" spans="1:35" s="1" customFormat="1" ht="14.25" customHeight="1" x14ac:dyDescent="0.25">
      <c r="A355" s="31">
        <v>0</v>
      </c>
      <c r="B355" s="31">
        <v>2</v>
      </c>
      <c r="C355" s="31">
        <v>2</v>
      </c>
      <c r="D355" s="32" t="s">
        <v>1411</v>
      </c>
      <c r="E355" s="32" t="s">
        <v>1614</v>
      </c>
      <c r="F355" s="32" t="s">
        <v>1629</v>
      </c>
      <c r="G355" s="32" t="s">
        <v>229</v>
      </c>
      <c r="H355" s="32" t="s">
        <v>352</v>
      </c>
      <c r="I355" s="31" t="s">
        <v>1412</v>
      </c>
      <c r="J355" s="31">
        <v>99</v>
      </c>
      <c r="K355" s="33" t="s">
        <v>932</v>
      </c>
      <c r="L355" s="33">
        <v>20</v>
      </c>
      <c r="M355" s="34" t="s">
        <v>39</v>
      </c>
      <c r="N355" s="34" t="s">
        <v>1687</v>
      </c>
      <c r="O355" s="35">
        <v>1</v>
      </c>
      <c r="P355" s="35">
        <v>1</v>
      </c>
      <c r="Q355" s="32"/>
      <c r="S355" s="1">
        <f t="shared" si="139"/>
        <v>0</v>
      </c>
      <c r="T355" s="1">
        <f t="shared" si="140"/>
        <v>0</v>
      </c>
      <c r="U355" s="1">
        <f t="shared" si="141"/>
        <v>0</v>
      </c>
      <c r="V355" s="1">
        <f t="shared" si="142"/>
        <v>0</v>
      </c>
      <c r="W355" s="1">
        <f t="shared" si="143"/>
        <v>0</v>
      </c>
      <c r="X355" s="1">
        <f t="shared" si="144"/>
        <v>0</v>
      </c>
      <c r="Y355" s="1">
        <f t="shared" si="145"/>
        <v>0</v>
      </c>
      <c r="Z355" s="1">
        <f t="shared" si="146"/>
        <v>0</v>
      </c>
      <c r="AA355" s="1">
        <f t="shared" si="147"/>
        <v>0</v>
      </c>
      <c r="AB355" s="1">
        <f t="shared" si="148"/>
        <v>0</v>
      </c>
      <c r="AD355" s="1">
        <f t="shared" si="149"/>
        <v>1</v>
      </c>
      <c r="AE355" s="1">
        <f t="shared" si="150"/>
        <v>0</v>
      </c>
      <c r="AF355" s="1">
        <f t="shared" si="151"/>
        <v>1</v>
      </c>
      <c r="AG355" s="1">
        <f t="shared" si="152"/>
        <v>0</v>
      </c>
      <c r="AH355" s="1">
        <f t="shared" si="153"/>
        <v>1</v>
      </c>
      <c r="AI355" s="1">
        <f t="shared" si="154"/>
        <v>0</v>
      </c>
    </row>
    <row r="356" spans="1:35" s="1" customFormat="1" ht="14.25" customHeight="1" x14ac:dyDescent="0.25">
      <c r="A356" s="58">
        <v>0</v>
      </c>
      <c r="B356" s="58">
        <v>2</v>
      </c>
      <c r="C356" s="58">
        <v>2</v>
      </c>
      <c r="D356" s="49" t="s">
        <v>1937</v>
      </c>
      <c r="E356" s="49" t="s">
        <v>2149</v>
      </c>
      <c r="F356" s="49" t="s">
        <v>1938</v>
      </c>
      <c r="G356" s="49" t="s">
        <v>178</v>
      </c>
      <c r="H356" s="49" t="s">
        <v>352</v>
      </c>
      <c r="I356" s="58" t="s">
        <v>1939</v>
      </c>
      <c r="J356" s="58"/>
      <c r="K356" s="58" t="s">
        <v>694</v>
      </c>
      <c r="L356" s="58"/>
      <c r="M356" s="49"/>
      <c r="N356" s="49"/>
      <c r="O356" s="59"/>
      <c r="P356" s="59">
        <v>1</v>
      </c>
      <c r="Q356" s="49"/>
      <c r="S356" s="1">
        <f t="shared" si="139"/>
        <v>0</v>
      </c>
      <c r="T356" s="1">
        <f t="shared" si="140"/>
        <v>0</v>
      </c>
      <c r="U356" s="1">
        <f t="shared" si="141"/>
        <v>0</v>
      </c>
      <c r="V356" s="1">
        <f t="shared" si="142"/>
        <v>0</v>
      </c>
      <c r="W356" s="1">
        <f t="shared" si="143"/>
        <v>0</v>
      </c>
      <c r="X356" s="1">
        <f t="shared" si="144"/>
        <v>0</v>
      </c>
      <c r="Y356" s="1">
        <f t="shared" si="145"/>
        <v>0</v>
      </c>
      <c r="Z356" s="1">
        <f t="shared" si="146"/>
        <v>0</v>
      </c>
      <c r="AA356" s="1">
        <f t="shared" si="147"/>
        <v>0</v>
      </c>
      <c r="AB356" s="1">
        <f t="shared" si="148"/>
        <v>0</v>
      </c>
      <c r="AD356" s="1">
        <f t="shared" si="149"/>
        <v>0</v>
      </c>
      <c r="AE356" s="1">
        <f t="shared" si="150"/>
        <v>0</v>
      </c>
      <c r="AF356" s="1">
        <f t="shared" si="151"/>
        <v>0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</row>
    <row r="357" spans="1:35" s="1" customFormat="1" ht="14.25" customHeight="1" x14ac:dyDescent="0.25">
      <c r="A357" s="31">
        <v>0</v>
      </c>
      <c r="B357" s="31">
        <v>2</v>
      </c>
      <c r="C357" s="31">
        <v>2</v>
      </c>
      <c r="D357" s="32" t="s">
        <v>598</v>
      </c>
      <c r="E357" s="32" t="s">
        <v>599</v>
      </c>
      <c r="F357" s="32" t="s">
        <v>600</v>
      </c>
      <c r="G357" s="32" t="s">
        <v>256</v>
      </c>
      <c r="H357" s="32" t="s">
        <v>352</v>
      </c>
      <c r="I357" s="31" t="s">
        <v>601</v>
      </c>
      <c r="J357" s="31">
        <v>99</v>
      </c>
      <c r="K357" s="33" t="s">
        <v>932</v>
      </c>
      <c r="L357" s="33" t="s">
        <v>695</v>
      </c>
      <c r="M357" s="34" t="s">
        <v>1378</v>
      </c>
      <c r="N357" s="34" t="s">
        <v>1696</v>
      </c>
      <c r="O357" s="35">
        <v>1</v>
      </c>
      <c r="P357" s="35"/>
      <c r="Q357" s="32"/>
      <c r="S357" s="1">
        <f t="shared" si="139"/>
        <v>0</v>
      </c>
      <c r="T357" s="1">
        <f t="shared" si="140"/>
        <v>0</v>
      </c>
      <c r="U357" s="1">
        <f t="shared" si="141"/>
        <v>0</v>
      </c>
      <c r="V357" s="1">
        <f t="shared" si="142"/>
        <v>0</v>
      </c>
      <c r="W357" s="1">
        <f t="shared" si="143"/>
        <v>0</v>
      </c>
      <c r="X357" s="1">
        <f t="shared" si="144"/>
        <v>0</v>
      </c>
      <c r="Y357" s="1">
        <f t="shared" si="145"/>
        <v>0</v>
      </c>
      <c r="Z357" s="1">
        <f t="shared" si="146"/>
        <v>0</v>
      </c>
      <c r="AA357" s="1">
        <f t="shared" si="147"/>
        <v>0</v>
      </c>
      <c r="AB357" s="1">
        <f t="shared" si="148"/>
        <v>0</v>
      </c>
      <c r="AD357" s="1">
        <f t="shared" si="149"/>
        <v>0</v>
      </c>
      <c r="AE357" s="1">
        <f t="shared" si="150"/>
        <v>1</v>
      </c>
      <c r="AF357" s="1">
        <f t="shared" si="151"/>
        <v>0</v>
      </c>
      <c r="AG357" s="1">
        <f t="shared" si="152"/>
        <v>1</v>
      </c>
      <c r="AH357" s="1">
        <f t="shared" si="153"/>
        <v>0</v>
      </c>
      <c r="AI357" s="1">
        <f t="shared" si="154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2</v>
      </c>
      <c r="D358" s="32" t="s">
        <v>1874</v>
      </c>
      <c r="E358" s="32" t="s">
        <v>1875</v>
      </c>
      <c r="F358" s="32" t="s">
        <v>1876</v>
      </c>
      <c r="G358" s="32" t="s">
        <v>183</v>
      </c>
      <c r="H358" s="32" t="s">
        <v>352</v>
      </c>
      <c r="I358" s="31" t="s">
        <v>1878</v>
      </c>
      <c r="J358" s="31">
        <v>99</v>
      </c>
      <c r="K358" s="33" t="s">
        <v>694</v>
      </c>
      <c r="L358" s="33"/>
      <c r="M358" s="34"/>
      <c r="N358" s="34" t="s">
        <v>1687</v>
      </c>
      <c r="O358" s="35">
        <v>1</v>
      </c>
      <c r="P358" s="35">
        <v>1</v>
      </c>
      <c r="Q358" s="32" t="s">
        <v>1877</v>
      </c>
      <c r="S358" s="1">
        <f t="shared" si="139"/>
        <v>0</v>
      </c>
      <c r="T358" s="1">
        <f t="shared" si="140"/>
        <v>0</v>
      </c>
      <c r="U358" s="1">
        <f t="shared" si="141"/>
        <v>0</v>
      </c>
      <c r="V358" s="1">
        <f t="shared" si="142"/>
        <v>0</v>
      </c>
      <c r="W358" s="1">
        <f t="shared" si="143"/>
        <v>0</v>
      </c>
      <c r="X358" s="1">
        <f t="shared" si="144"/>
        <v>0</v>
      </c>
      <c r="Y358" s="1">
        <f t="shared" si="145"/>
        <v>0</v>
      </c>
      <c r="Z358" s="1">
        <f t="shared" si="146"/>
        <v>0</v>
      </c>
      <c r="AA358" s="1">
        <f t="shared" si="147"/>
        <v>0</v>
      </c>
      <c r="AB358" s="1">
        <f t="shared" si="148"/>
        <v>0</v>
      </c>
      <c r="AD358" s="1">
        <f t="shared" si="149"/>
        <v>1</v>
      </c>
      <c r="AE358" s="1">
        <f t="shared" si="150"/>
        <v>0</v>
      </c>
      <c r="AF358" s="1">
        <f t="shared" si="151"/>
        <v>1</v>
      </c>
      <c r="AG358" s="1">
        <f t="shared" si="152"/>
        <v>0</v>
      </c>
      <c r="AH358" s="1">
        <f t="shared" si="153"/>
        <v>1</v>
      </c>
      <c r="AI358" s="1">
        <f t="shared" si="154"/>
        <v>0</v>
      </c>
    </row>
    <row r="359" spans="1:35" s="1" customFormat="1" ht="14.25" customHeight="1" x14ac:dyDescent="0.25">
      <c r="A359" s="31">
        <v>0</v>
      </c>
      <c r="B359" s="31">
        <v>2</v>
      </c>
      <c r="C359" s="31">
        <v>2</v>
      </c>
      <c r="D359" s="32" t="s">
        <v>1604</v>
      </c>
      <c r="E359" s="32" t="s">
        <v>1140</v>
      </c>
      <c r="F359" s="32" t="s">
        <v>1635</v>
      </c>
      <c r="G359" s="32" t="s">
        <v>179</v>
      </c>
      <c r="H359" s="32" t="s">
        <v>352</v>
      </c>
      <c r="I359" s="31" t="s">
        <v>1457</v>
      </c>
      <c r="J359" s="31">
        <v>10</v>
      </c>
      <c r="K359" s="33" t="s">
        <v>703</v>
      </c>
      <c r="L359" s="33">
        <v>15</v>
      </c>
      <c r="M359" s="34" t="s">
        <v>39</v>
      </c>
      <c r="N359" s="34" t="s">
        <v>1741</v>
      </c>
      <c r="O359" s="35">
        <v>1</v>
      </c>
      <c r="P359" s="35"/>
      <c r="Q359" s="32"/>
      <c r="S359" s="1">
        <f t="shared" si="139"/>
        <v>0</v>
      </c>
      <c r="T359" s="1">
        <f t="shared" si="140"/>
        <v>0</v>
      </c>
      <c r="U359" s="1">
        <f t="shared" si="141"/>
        <v>0</v>
      </c>
      <c r="V359" s="1">
        <f t="shared" si="142"/>
        <v>0</v>
      </c>
      <c r="W359" s="1">
        <f t="shared" si="143"/>
        <v>0</v>
      </c>
      <c r="X359" s="1">
        <f t="shared" si="144"/>
        <v>0</v>
      </c>
      <c r="Y359" s="1">
        <f t="shared" si="145"/>
        <v>0</v>
      </c>
      <c r="Z359" s="1">
        <f t="shared" si="146"/>
        <v>0</v>
      </c>
      <c r="AA359" s="1">
        <f t="shared" si="147"/>
        <v>0</v>
      </c>
      <c r="AB359" s="1">
        <f t="shared" si="148"/>
        <v>1</v>
      </c>
      <c r="AD359" s="1">
        <f t="shared" si="149"/>
        <v>0</v>
      </c>
      <c r="AE359" s="1">
        <f t="shared" si="150"/>
        <v>1</v>
      </c>
      <c r="AF359" s="1">
        <f t="shared" si="151"/>
        <v>0</v>
      </c>
      <c r="AG359" s="1">
        <f t="shared" si="152"/>
        <v>1</v>
      </c>
      <c r="AH359" s="1">
        <f t="shared" si="153"/>
        <v>0</v>
      </c>
      <c r="AI359" s="1">
        <f t="shared" si="154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2</v>
      </c>
      <c r="D360" s="32" t="s">
        <v>843</v>
      </c>
      <c r="E360" s="32" t="s">
        <v>540</v>
      </c>
      <c r="F360" s="32" t="s">
        <v>844</v>
      </c>
      <c r="G360" s="32" t="s">
        <v>312</v>
      </c>
      <c r="H360" s="32" t="s">
        <v>352</v>
      </c>
      <c r="I360" s="31" t="s">
        <v>845</v>
      </c>
      <c r="J360" s="31">
        <v>1</v>
      </c>
      <c r="K360" s="33" t="s">
        <v>703</v>
      </c>
      <c r="L360" s="33">
        <v>25</v>
      </c>
      <c r="M360" s="34" t="s">
        <v>39</v>
      </c>
      <c r="N360" s="34" t="s">
        <v>1696</v>
      </c>
      <c r="O360" s="35">
        <v>1</v>
      </c>
      <c r="P360" s="35"/>
      <c r="Q360" s="32"/>
      <c r="S360" s="1">
        <f t="shared" si="139"/>
        <v>1</v>
      </c>
      <c r="T360" s="1">
        <f t="shared" si="140"/>
        <v>0</v>
      </c>
      <c r="U360" s="1">
        <f t="shared" si="141"/>
        <v>0</v>
      </c>
      <c r="V360" s="1">
        <f t="shared" si="142"/>
        <v>0</v>
      </c>
      <c r="W360" s="1">
        <f t="shared" si="143"/>
        <v>0</v>
      </c>
      <c r="X360" s="1">
        <f t="shared" si="144"/>
        <v>0</v>
      </c>
      <c r="Y360" s="1">
        <f t="shared" si="145"/>
        <v>0</v>
      </c>
      <c r="Z360" s="1">
        <f t="shared" si="146"/>
        <v>0</v>
      </c>
      <c r="AA360" s="1">
        <f t="shared" si="147"/>
        <v>0</v>
      </c>
      <c r="AB360" s="1">
        <f t="shared" si="148"/>
        <v>0</v>
      </c>
      <c r="AD360" s="1">
        <f t="shared" si="149"/>
        <v>0</v>
      </c>
      <c r="AE360" s="1">
        <f t="shared" si="150"/>
        <v>1</v>
      </c>
      <c r="AF360" s="1">
        <f t="shared" si="151"/>
        <v>0</v>
      </c>
      <c r="AG360" s="1">
        <f t="shared" si="152"/>
        <v>1</v>
      </c>
      <c r="AH360" s="1">
        <f t="shared" si="153"/>
        <v>0</v>
      </c>
      <c r="AI360" s="1">
        <f t="shared" si="154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3</v>
      </c>
      <c r="D361" s="32" t="s">
        <v>562</v>
      </c>
      <c r="E361" s="32" t="s">
        <v>38</v>
      </c>
      <c r="F361" s="32" t="s">
        <v>236</v>
      </c>
      <c r="G361" s="32" t="s">
        <v>535</v>
      </c>
      <c r="H361" s="32" t="s">
        <v>352</v>
      </c>
      <c r="I361" s="31" t="s">
        <v>401</v>
      </c>
      <c r="J361" s="31">
        <v>1</v>
      </c>
      <c r="K361" s="33" t="s">
        <v>703</v>
      </c>
      <c r="L361" s="33" t="s">
        <v>715</v>
      </c>
      <c r="M361" s="34" t="s">
        <v>716</v>
      </c>
      <c r="N361" s="34" t="s">
        <v>1687</v>
      </c>
      <c r="O361" s="35">
        <v>1</v>
      </c>
      <c r="P361" s="35">
        <v>1</v>
      </c>
      <c r="Q361" s="32"/>
      <c r="S361" s="1">
        <f t="shared" si="139"/>
        <v>1</v>
      </c>
      <c r="T361" s="1">
        <f t="shared" si="140"/>
        <v>0</v>
      </c>
      <c r="U361" s="1">
        <f t="shared" si="141"/>
        <v>0</v>
      </c>
      <c r="V361" s="1">
        <f t="shared" si="142"/>
        <v>0</v>
      </c>
      <c r="W361" s="1">
        <f t="shared" si="143"/>
        <v>0</v>
      </c>
      <c r="X361" s="1">
        <f t="shared" si="144"/>
        <v>0</v>
      </c>
      <c r="Y361" s="1">
        <f t="shared" si="145"/>
        <v>0</v>
      </c>
      <c r="Z361" s="1">
        <f t="shared" si="146"/>
        <v>0</v>
      </c>
      <c r="AA361" s="1">
        <f t="shared" si="147"/>
        <v>0</v>
      </c>
      <c r="AB361" s="1">
        <f t="shared" si="148"/>
        <v>0</v>
      </c>
      <c r="AD361" s="1">
        <f t="shared" si="149"/>
        <v>1</v>
      </c>
      <c r="AE361" s="1">
        <f t="shared" si="150"/>
        <v>0</v>
      </c>
      <c r="AF361" s="1">
        <f t="shared" si="151"/>
        <v>1</v>
      </c>
      <c r="AG361" s="1">
        <f t="shared" si="152"/>
        <v>0</v>
      </c>
      <c r="AH361" s="1">
        <f t="shared" si="153"/>
        <v>1</v>
      </c>
      <c r="AI361" s="1">
        <f t="shared" si="154"/>
        <v>0</v>
      </c>
    </row>
    <row r="362" spans="1:35" s="1" customFormat="1" ht="14.25" customHeight="1" x14ac:dyDescent="0.25">
      <c r="A362" s="31">
        <v>0</v>
      </c>
      <c r="B362" s="31">
        <v>2</v>
      </c>
      <c r="C362" s="31">
        <v>3</v>
      </c>
      <c r="D362" s="32" t="s">
        <v>831</v>
      </c>
      <c r="E362" s="32" t="s">
        <v>34</v>
      </c>
      <c r="F362" s="32" t="s">
        <v>905</v>
      </c>
      <c r="G362" s="32" t="s">
        <v>630</v>
      </c>
      <c r="H362" s="32" t="s">
        <v>352</v>
      </c>
      <c r="I362" s="31" t="s">
        <v>832</v>
      </c>
      <c r="J362" s="31">
        <v>1</v>
      </c>
      <c r="K362" s="33" t="s">
        <v>931</v>
      </c>
      <c r="L362" s="33" t="s">
        <v>720</v>
      </c>
      <c r="M362" s="34" t="s">
        <v>714</v>
      </c>
      <c r="N362" s="34" t="s">
        <v>1696</v>
      </c>
      <c r="O362" s="35">
        <v>1</v>
      </c>
      <c r="P362" s="35"/>
      <c r="Q362" s="32"/>
      <c r="S362" s="1">
        <f t="shared" si="139"/>
        <v>1</v>
      </c>
      <c r="T362" s="1">
        <f t="shared" si="140"/>
        <v>0</v>
      </c>
      <c r="U362" s="1">
        <f t="shared" si="141"/>
        <v>0</v>
      </c>
      <c r="V362" s="1">
        <f t="shared" si="142"/>
        <v>0</v>
      </c>
      <c r="W362" s="1">
        <f t="shared" si="143"/>
        <v>0</v>
      </c>
      <c r="X362" s="1">
        <f t="shared" si="144"/>
        <v>0</v>
      </c>
      <c r="Y362" s="1">
        <f t="shared" si="145"/>
        <v>0</v>
      </c>
      <c r="Z362" s="1">
        <f t="shared" si="146"/>
        <v>0</v>
      </c>
      <c r="AA362" s="1">
        <f t="shared" si="147"/>
        <v>0</v>
      </c>
      <c r="AB362" s="1">
        <f t="shared" si="148"/>
        <v>0</v>
      </c>
      <c r="AD362" s="1">
        <f t="shared" si="149"/>
        <v>0</v>
      </c>
      <c r="AE362" s="1">
        <f t="shared" si="150"/>
        <v>1</v>
      </c>
      <c r="AF362" s="1">
        <f t="shared" si="151"/>
        <v>0</v>
      </c>
      <c r="AG362" s="1">
        <f t="shared" si="152"/>
        <v>1</v>
      </c>
      <c r="AH362" s="1">
        <f t="shared" si="153"/>
        <v>0</v>
      </c>
      <c r="AI362" s="1">
        <f t="shared" si="154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3</v>
      </c>
      <c r="D363" s="32" t="s">
        <v>774</v>
      </c>
      <c r="E363" s="32" t="s">
        <v>32</v>
      </c>
      <c r="F363" s="32" t="s">
        <v>775</v>
      </c>
      <c r="G363" s="32" t="s">
        <v>250</v>
      </c>
      <c r="H363" s="32" t="s">
        <v>352</v>
      </c>
      <c r="I363" s="31" t="s">
        <v>776</v>
      </c>
      <c r="J363" s="31">
        <v>99</v>
      </c>
      <c r="K363" s="33" t="s">
        <v>704</v>
      </c>
      <c r="L363" s="33" t="s">
        <v>713</v>
      </c>
      <c r="M363" s="34" t="s">
        <v>714</v>
      </c>
      <c r="N363" s="34" t="s">
        <v>1799</v>
      </c>
      <c r="O363" s="35">
        <v>1</v>
      </c>
      <c r="P363" s="35"/>
      <c r="Q363" s="32"/>
      <c r="S363" s="1">
        <f t="shared" si="139"/>
        <v>0</v>
      </c>
      <c r="T363" s="1">
        <f t="shared" si="140"/>
        <v>0</v>
      </c>
      <c r="U363" s="1">
        <f t="shared" si="141"/>
        <v>0</v>
      </c>
      <c r="V363" s="1">
        <f t="shared" si="142"/>
        <v>0</v>
      </c>
      <c r="W363" s="1">
        <f t="shared" si="143"/>
        <v>0</v>
      </c>
      <c r="X363" s="1">
        <f t="shared" si="144"/>
        <v>0</v>
      </c>
      <c r="Y363" s="1">
        <f t="shared" si="145"/>
        <v>0</v>
      </c>
      <c r="Z363" s="1">
        <f t="shared" si="146"/>
        <v>0</v>
      </c>
      <c r="AA363" s="1">
        <f t="shared" si="147"/>
        <v>0</v>
      </c>
      <c r="AB363" s="1">
        <f t="shared" si="148"/>
        <v>0</v>
      </c>
      <c r="AD363" s="1">
        <f t="shared" si="149"/>
        <v>0</v>
      </c>
      <c r="AE363" s="1">
        <f t="shared" si="150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3</v>
      </c>
      <c r="D364" s="32" t="s">
        <v>56</v>
      </c>
      <c r="E364" s="32" t="s">
        <v>160</v>
      </c>
      <c r="F364" s="32" t="s">
        <v>218</v>
      </c>
      <c r="G364" s="32" t="s">
        <v>195</v>
      </c>
      <c r="H364" s="32" t="s">
        <v>352</v>
      </c>
      <c r="I364" s="31" t="s">
        <v>547</v>
      </c>
      <c r="J364" s="31">
        <v>99</v>
      </c>
      <c r="K364" s="33" t="s">
        <v>704</v>
      </c>
      <c r="L364" s="33" t="s">
        <v>713</v>
      </c>
      <c r="M364" s="34" t="s">
        <v>714</v>
      </c>
      <c r="N364" s="34" t="s">
        <v>1775</v>
      </c>
      <c r="O364" s="35">
        <v>1</v>
      </c>
      <c r="P364" s="35"/>
      <c r="Q364" s="32"/>
      <c r="S364" s="1">
        <f t="shared" si="139"/>
        <v>0</v>
      </c>
      <c r="T364" s="1">
        <f t="shared" si="140"/>
        <v>0</v>
      </c>
      <c r="U364" s="1">
        <f t="shared" si="141"/>
        <v>0</v>
      </c>
      <c r="V364" s="1">
        <f t="shared" si="142"/>
        <v>0</v>
      </c>
      <c r="W364" s="1">
        <f t="shared" si="143"/>
        <v>0</v>
      </c>
      <c r="X364" s="1">
        <f t="shared" si="144"/>
        <v>0</v>
      </c>
      <c r="Y364" s="1">
        <f t="shared" si="145"/>
        <v>0</v>
      </c>
      <c r="Z364" s="1">
        <f t="shared" si="146"/>
        <v>0</v>
      </c>
      <c r="AA364" s="1">
        <f t="shared" si="147"/>
        <v>0</v>
      </c>
      <c r="AB364" s="1">
        <f t="shared" si="148"/>
        <v>0</v>
      </c>
      <c r="AD364" s="1">
        <f t="shared" si="149"/>
        <v>0</v>
      </c>
      <c r="AE364" s="1">
        <f t="shared" si="150"/>
        <v>1</v>
      </c>
      <c r="AF364" s="1">
        <f t="shared" si="151"/>
        <v>0</v>
      </c>
      <c r="AG364" s="1">
        <f t="shared" si="152"/>
        <v>1</v>
      </c>
      <c r="AH364" s="1">
        <f t="shared" si="153"/>
        <v>0</v>
      </c>
      <c r="AI364" s="1">
        <f t="shared" si="154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3</v>
      </c>
      <c r="D365" s="32" t="s">
        <v>1147</v>
      </c>
      <c r="E365" s="32" t="s">
        <v>1303</v>
      </c>
      <c r="F365" s="32" t="s">
        <v>1148</v>
      </c>
      <c r="G365" s="32" t="s">
        <v>300</v>
      </c>
      <c r="H365" s="32" t="s">
        <v>352</v>
      </c>
      <c r="I365" s="31" t="s">
        <v>1149</v>
      </c>
      <c r="J365" s="31">
        <v>1</v>
      </c>
      <c r="K365" s="33" t="s">
        <v>932</v>
      </c>
      <c r="L365" s="33" t="s">
        <v>684</v>
      </c>
      <c r="M365" s="34" t="s">
        <v>1379</v>
      </c>
      <c r="N365" s="34" t="s">
        <v>1696</v>
      </c>
      <c r="O365" s="35">
        <v>1</v>
      </c>
      <c r="P365" s="35"/>
      <c r="Q365" s="32"/>
      <c r="S365" s="1">
        <f t="shared" si="139"/>
        <v>1</v>
      </c>
      <c r="T365" s="1">
        <f t="shared" si="140"/>
        <v>0</v>
      </c>
      <c r="U365" s="1">
        <f t="shared" si="141"/>
        <v>0</v>
      </c>
      <c r="V365" s="1">
        <f t="shared" si="142"/>
        <v>0</v>
      </c>
      <c r="W365" s="1">
        <f t="shared" si="143"/>
        <v>0</v>
      </c>
      <c r="X365" s="1">
        <f t="shared" si="144"/>
        <v>0</v>
      </c>
      <c r="Y365" s="1">
        <f t="shared" si="145"/>
        <v>0</v>
      </c>
      <c r="Z365" s="1">
        <f t="shared" si="146"/>
        <v>0</v>
      </c>
      <c r="AA365" s="1">
        <f t="shared" si="147"/>
        <v>0</v>
      </c>
      <c r="AB365" s="1">
        <f t="shared" si="148"/>
        <v>0</v>
      </c>
      <c r="AD365" s="1">
        <f t="shared" si="149"/>
        <v>0</v>
      </c>
      <c r="AE365" s="1">
        <f t="shared" si="150"/>
        <v>1</v>
      </c>
      <c r="AF365" s="1">
        <f t="shared" si="151"/>
        <v>0</v>
      </c>
      <c r="AG365" s="1">
        <f t="shared" si="152"/>
        <v>1</v>
      </c>
      <c r="AH365" s="1">
        <f t="shared" si="153"/>
        <v>0</v>
      </c>
      <c r="AI365" s="1">
        <f t="shared" si="154"/>
        <v>1</v>
      </c>
    </row>
    <row r="366" spans="1:35" s="1" customFormat="1" ht="14.25" customHeight="1" x14ac:dyDescent="0.25">
      <c r="A366" s="31">
        <v>0</v>
      </c>
      <c r="B366" s="31">
        <v>2</v>
      </c>
      <c r="C366" s="31">
        <v>3</v>
      </c>
      <c r="D366" s="32" t="s">
        <v>1144</v>
      </c>
      <c r="E366" s="32" t="s">
        <v>1303</v>
      </c>
      <c r="F366" s="32" t="s">
        <v>1145</v>
      </c>
      <c r="G366" s="32" t="s">
        <v>1033</v>
      </c>
      <c r="H366" s="32" t="s">
        <v>352</v>
      </c>
      <c r="I366" s="31" t="s">
        <v>1146</v>
      </c>
      <c r="J366" s="31">
        <v>1</v>
      </c>
      <c r="K366" s="33" t="s">
        <v>704</v>
      </c>
      <c r="L366" s="33" t="s">
        <v>684</v>
      </c>
      <c r="M366" s="34" t="s">
        <v>1379</v>
      </c>
      <c r="N366" s="34" t="s">
        <v>1696</v>
      </c>
      <c r="O366" s="35">
        <v>1</v>
      </c>
      <c r="P366" s="35"/>
      <c r="Q366" s="32"/>
      <c r="S366" s="1">
        <f t="shared" si="139"/>
        <v>1</v>
      </c>
      <c r="T366" s="1">
        <f t="shared" si="140"/>
        <v>0</v>
      </c>
      <c r="U366" s="1">
        <f t="shared" si="141"/>
        <v>0</v>
      </c>
      <c r="V366" s="1">
        <f t="shared" si="142"/>
        <v>0</v>
      </c>
      <c r="W366" s="1">
        <f t="shared" si="143"/>
        <v>0</v>
      </c>
      <c r="X366" s="1">
        <f t="shared" si="144"/>
        <v>0</v>
      </c>
      <c r="Y366" s="1">
        <f t="shared" si="145"/>
        <v>0</v>
      </c>
      <c r="Z366" s="1">
        <f t="shared" si="146"/>
        <v>0</v>
      </c>
      <c r="AA366" s="1">
        <f t="shared" si="147"/>
        <v>0</v>
      </c>
      <c r="AB366" s="1">
        <f t="shared" si="148"/>
        <v>0</v>
      </c>
      <c r="AD366" s="1">
        <f t="shared" si="149"/>
        <v>0</v>
      </c>
      <c r="AE366" s="1">
        <f t="shared" si="150"/>
        <v>1</v>
      </c>
      <c r="AF366" s="1">
        <f t="shared" si="151"/>
        <v>0</v>
      </c>
      <c r="AG366" s="1">
        <f t="shared" si="152"/>
        <v>1</v>
      </c>
      <c r="AH366" s="1">
        <f t="shared" si="153"/>
        <v>0</v>
      </c>
      <c r="AI366" s="1">
        <f t="shared" si="154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3</v>
      </c>
      <c r="D367" s="32" t="s">
        <v>1262</v>
      </c>
      <c r="E367" s="32" t="s">
        <v>32</v>
      </c>
      <c r="F367" s="32" t="s">
        <v>1263</v>
      </c>
      <c r="G367" s="32" t="s">
        <v>221</v>
      </c>
      <c r="H367" s="32" t="s">
        <v>352</v>
      </c>
      <c r="I367" s="31" t="s">
        <v>1649</v>
      </c>
      <c r="J367" s="31">
        <v>99</v>
      </c>
      <c r="K367" s="33" t="s">
        <v>704</v>
      </c>
      <c r="L367" s="33" t="s">
        <v>707</v>
      </c>
      <c r="M367" s="34" t="s">
        <v>1264</v>
      </c>
      <c r="N367" s="34" t="s">
        <v>1687</v>
      </c>
      <c r="O367" s="35">
        <v>1</v>
      </c>
      <c r="P367" s="35">
        <v>1</v>
      </c>
      <c r="Q367" s="32"/>
      <c r="S367" s="1">
        <f t="shared" si="139"/>
        <v>0</v>
      </c>
      <c r="T367" s="1">
        <f t="shared" si="140"/>
        <v>0</v>
      </c>
      <c r="U367" s="1">
        <f t="shared" si="141"/>
        <v>0</v>
      </c>
      <c r="V367" s="1">
        <f t="shared" si="142"/>
        <v>0</v>
      </c>
      <c r="W367" s="1">
        <f t="shared" si="143"/>
        <v>0</v>
      </c>
      <c r="X367" s="1">
        <f t="shared" si="144"/>
        <v>0</v>
      </c>
      <c r="Y367" s="1">
        <f t="shared" si="145"/>
        <v>0</v>
      </c>
      <c r="Z367" s="1">
        <f t="shared" si="146"/>
        <v>0</v>
      </c>
      <c r="AA367" s="1">
        <f t="shared" si="147"/>
        <v>0</v>
      </c>
      <c r="AB367" s="1">
        <f t="shared" si="148"/>
        <v>0</v>
      </c>
      <c r="AD367" s="1">
        <f t="shared" si="149"/>
        <v>1</v>
      </c>
      <c r="AE367" s="1">
        <f t="shared" si="150"/>
        <v>0</v>
      </c>
      <c r="AF367" s="1">
        <f t="shared" si="151"/>
        <v>1</v>
      </c>
      <c r="AG367" s="1">
        <f t="shared" si="152"/>
        <v>0</v>
      </c>
      <c r="AH367" s="1">
        <f t="shared" si="153"/>
        <v>1</v>
      </c>
      <c r="AI367" s="1">
        <f t="shared" si="154"/>
        <v>0</v>
      </c>
    </row>
    <row r="368" spans="1:35" s="1" customFormat="1" ht="14.25" customHeight="1" x14ac:dyDescent="0.25">
      <c r="A368" s="31">
        <v>0</v>
      </c>
      <c r="B368" s="31">
        <v>2</v>
      </c>
      <c r="C368" s="31">
        <v>3</v>
      </c>
      <c r="D368" s="32" t="s">
        <v>742</v>
      </c>
      <c r="E368" s="32" t="s">
        <v>892</v>
      </c>
      <c r="F368" s="32" t="s">
        <v>743</v>
      </c>
      <c r="G368" s="32" t="s">
        <v>219</v>
      </c>
      <c r="H368" s="32" t="s">
        <v>352</v>
      </c>
      <c r="I368" s="31" t="s">
        <v>744</v>
      </c>
      <c r="J368" s="31">
        <v>8</v>
      </c>
      <c r="K368" s="33" t="s">
        <v>932</v>
      </c>
      <c r="L368" s="33" t="s">
        <v>720</v>
      </c>
      <c r="M368" s="34" t="s">
        <v>714</v>
      </c>
      <c r="N368" s="34" t="s">
        <v>1700</v>
      </c>
      <c r="O368" s="35">
        <v>1</v>
      </c>
      <c r="P368" s="35"/>
      <c r="Q368" s="32"/>
      <c r="S368" s="1">
        <f t="shared" si="139"/>
        <v>0</v>
      </c>
      <c r="T368" s="1">
        <f t="shared" si="140"/>
        <v>0</v>
      </c>
      <c r="U368" s="1">
        <f t="shared" si="141"/>
        <v>0</v>
      </c>
      <c r="V368" s="1">
        <f t="shared" si="142"/>
        <v>0</v>
      </c>
      <c r="W368" s="1">
        <f t="shared" si="143"/>
        <v>0</v>
      </c>
      <c r="X368" s="1">
        <f t="shared" si="144"/>
        <v>0</v>
      </c>
      <c r="Y368" s="1">
        <f t="shared" si="145"/>
        <v>0</v>
      </c>
      <c r="Z368" s="1">
        <f t="shared" si="146"/>
        <v>1</v>
      </c>
      <c r="AA368" s="1">
        <f t="shared" si="147"/>
        <v>0</v>
      </c>
      <c r="AB368" s="1">
        <f t="shared" si="148"/>
        <v>0</v>
      </c>
      <c r="AD368" s="1">
        <f t="shared" si="149"/>
        <v>0</v>
      </c>
      <c r="AE368" s="1">
        <f t="shared" si="150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</row>
    <row r="369" spans="1:35" s="1" customFormat="1" ht="14.25" customHeight="1" x14ac:dyDescent="0.25">
      <c r="A369" s="44">
        <v>0</v>
      </c>
      <c r="B369" s="44">
        <v>2</v>
      </c>
      <c r="C369" s="44">
        <v>3</v>
      </c>
      <c r="D369" s="45" t="s">
        <v>1458</v>
      </c>
      <c r="E369" s="45" t="s">
        <v>1459</v>
      </c>
      <c r="F369" s="45" t="s">
        <v>1460</v>
      </c>
      <c r="G369" s="45" t="s">
        <v>237</v>
      </c>
      <c r="H369" s="45" t="s">
        <v>352</v>
      </c>
      <c r="I369" s="44" t="s">
        <v>1461</v>
      </c>
      <c r="J369" s="44">
        <v>4</v>
      </c>
      <c r="K369" s="46" t="s">
        <v>703</v>
      </c>
      <c r="L369" s="46">
        <v>15</v>
      </c>
      <c r="M369" s="47" t="s">
        <v>39</v>
      </c>
      <c r="N369" s="47" t="s">
        <v>1753</v>
      </c>
      <c r="O369" s="48"/>
      <c r="P369" s="48"/>
      <c r="Q369" s="45"/>
      <c r="S369" s="1">
        <f t="shared" si="139"/>
        <v>0</v>
      </c>
      <c r="T369" s="1">
        <f t="shared" si="140"/>
        <v>0</v>
      </c>
      <c r="U369" s="1">
        <f t="shared" si="141"/>
        <v>0</v>
      </c>
      <c r="V369" s="1">
        <f t="shared" si="142"/>
        <v>1</v>
      </c>
      <c r="W369" s="1">
        <f t="shared" si="143"/>
        <v>0</v>
      </c>
      <c r="X369" s="1">
        <f t="shared" si="144"/>
        <v>0</v>
      </c>
      <c r="Y369" s="1">
        <f t="shared" si="145"/>
        <v>0</v>
      </c>
      <c r="Z369" s="1">
        <f t="shared" si="146"/>
        <v>0</v>
      </c>
      <c r="AA369" s="1">
        <f t="shared" si="147"/>
        <v>0</v>
      </c>
      <c r="AB369" s="1">
        <f t="shared" si="148"/>
        <v>0</v>
      </c>
      <c r="AD369" s="1">
        <f t="shared" si="149"/>
        <v>0</v>
      </c>
      <c r="AE369" s="1">
        <f t="shared" si="150"/>
        <v>0</v>
      </c>
      <c r="AF369" s="1">
        <f t="shared" si="151"/>
        <v>0</v>
      </c>
      <c r="AG369" s="1">
        <f t="shared" si="152"/>
        <v>0</v>
      </c>
      <c r="AH369" s="1">
        <f t="shared" si="153"/>
        <v>0</v>
      </c>
      <c r="AI369" s="1">
        <f t="shared" si="154"/>
        <v>1</v>
      </c>
    </row>
    <row r="370" spans="1:35" s="1" customFormat="1" ht="14.25" customHeight="1" x14ac:dyDescent="0.25">
      <c r="A370" s="31">
        <v>0</v>
      </c>
      <c r="B370" s="31">
        <v>2</v>
      </c>
      <c r="C370" s="31">
        <v>3</v>
      </c>
      <c r="D370" s="32" t="s">
        <v>1514</v>
      </c>
      <c r="E370" s="32" t="s">
        <v>1515</v>
      </c>
      <c r="F370" s="32" t="s">
        <v>1516</v>
      </c>
      <c r="G370" s="32" t="s">
        <v>1517</v>
      </c>
      <c r="H370" s="32" t="s">
        <v>352</v>
      </c>
      <c r="I370" s="31" t="s">
        <v>1518</v>
      </c>
      <c r="J370" s="31">
        <v>7</v>
      </c>
      <c r="K370" s="33" t="s">
        <v>932</v>
      </c>
      <c r="L370" s="33">
        <v>10</v>
      </c>
      <c r="M370" s="34" t="s">
        <v>39</v>
      </c>
      <c r="N370" s="34" t="s">
        <v>1696</v>
      </c>
      <c r="O370" s="35">
        <v>1</v>
      </c>
      <c r="P370" s="35"/>
      <c r="Q370" s="32"/>
      <c r="S370" s="1">
        <f t="shared" si="139"/>
        <v>0</v>
      </c>
      <c r="T370" s="1">
        <f t="shared" si="140"/>
        <v>0</v>
      </c>
      <c r="U370" s="1">
        <f t="shared" si="141"/>
        <v>0</v>
      </c>
      <c r="V370" s="1">
        <f t="shared" si="142"/>
        <v>0</v>
      </c>
      <c r="W370" s="1">
        <f t="shared" si="143"/>
        <v>0</v>
      </c>
      <c r="X370" s="1">
        <f t="shared" si="144"/>
        <v>0</v>
      </c>
      <c r="Y370" s="1">
        <f t="shared" si="145"/>
        <v>1</v>
      </c>
      <c r="Z370" s="1">
        <f t="shared" si="146"/>
        <v>0</v>
      </c>
      <c r="AA370" s="1">
        <f t="shared" si="147"/>
        <v>0</v>
      </c>
      <c r="AB370" s="1">
        <f t="shared" si="148"/>
        <v>0</v>
      </c>
      <c r="AD370" s="1">
        <f t="shared" si="149"/>
        <v>0</v>
      </c>
      <c r="AE370" s="1">
        <f t="shared" si="150"/>
        <v>1</v>
      </c>
      <c r="AF370" s="1">
        <f t="shared" si="151"/>
        <v>0</v>
      </c>
      <c r="AG370" s="1">
        <f t="shared" si="152"/>
        <v>1</v>
      </c>
      <c r="AH370" s="1">
        <f t="shared" si="153"/>
        <v>0</v>
      </c>
      <c r="AI370" s="1">
        <f t="shared" si="154"/>
        <v>1</v>
      </c>
    </row>
    <row r="371" spans="1:35" s="1" customFormat="1" ht="14.25" customHeight="1" x14ac:dyDescent="0.25">
      <c r="A371" s="31">
        <v>0</v>
      </c>
      <c r="B371" s="31">
        <v>2</v>
      </c>
      <c r="C371" s="31">
        <v>3</v>
      </c>
      <c r="D371" s="32" t="s">
        <v>822</v>
      </c>
      <c r="E371" s="32" t="s">
        <v>32</v>
      </c>
      <c r="F371" s="32" t="s">
        <v>824</v>
      </c>
      <c r="G371" s="32" t="s">
        <v>39</v>
      </c>
      <c r="H371" s="32" t="s">
        <v>352</v>
      </c>
      <c r="I371" s="31" t="s">
        <v>823</v>
      </c>
      <c r="J371" s="31">
        <v>1</v>
      </c>
      <c r="K371" s="33" t="s">
        <v>704</v>
      </c>
      <c r="L371" s="33" t="s">
        <v>685</v>
      </c>
      <c r="M371" s="34" t="s">
        <v>1379</v>
      </c>
      <c r="N371" s="34" t="s">
        <v>1696</v>
      </c>
      <c r="O371" s="35">
        <v>1</v>
      </c>
      <c r="P371" s="35"/>
      <c r="Q371" s="32"/>
      <c r="S371" s="1">
        <f t="shared" si="139"/>
        <v>1</v>
      </c>
      <c r="T371" s="1">
        <f t="shared" si="140"/>
        <v>0</v>
      </c>
      <c r="U371" s="1">
        <f t="shared" si="141"/>
        <v>0</v>
      </c>
      <c r="V371" s="1">
        <f t="shared" si="142"/>
        <v>0</v>
      </c>
      <c r="W371" s="1">
        <f t="shared" si="143"/>
        <v>0</v>
      </c>
      <c r="X371" s="1">
        <f t="shared" si="144"/>
        <v>0</v>
      </c>
      <c r="Y371" s="1">
        <f t="shared" si="145"/>
        <v>0</v>
      </c>
      <c r="Z371" s="1">
        <f t="shared" si="146"/>
        <v>0</v>
      </c>
      <c r="AA371" s="1">
        <f t="shared" si="147"/>
        <v>0</v>
      </c>
      <c r="AB371" s="1">
        <f t="shared" si="148"/>
        <v>0</v>
      </c>
      <c r="AD371" s="1">
        <f t="shared" si="149"/>
        <v>0</v>
      </c>
      <c r="AE371" s="1">
        <f t="shared" si="150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s="1" customFormat="1" ht="14.25" customHeight="1" x14ac:dyDescent="0.25">
      <c r="A372" s="15">
        <v>0</v>
      </c>
      <c r="B372" s="15">
        <v>2</v>
      </c>
      <c r="C372" s="15">
        <v>4</v>
      </c>
      <c r="D372" s="16" t="s">
        <v>745</v>
      </c>
      <c r="E372" s="16" t="s">
        <v>746</v>
      </c>
      <c r="F372" s="16" t="s">
        <v>747</v>
      </c>
      <c r="G372" s="16" t="s">
        <v>748</v>
      </c>
      <c r="H372" s="16" t="s">
        <v>352</v>
      </c>
      <c r="I372" s="15" t="s">
        <v>749</v>
      </c>
      <c r="J372" s="15">
        <v>99</v>
      </c>
      <c r="K372" s="10" t="s">
        <v>694</v>
      </c>
      <c r="L372" s="10">
        <v>15</v>
      </c>
      <c r="M372" s="19" t="s">
        <v>750</v>
      </c>
      <c r="N372" s="19"/>
      <c r="Q372" s="16"/>
      <c r="S372" s="1">
        <f t="shared" si="139"/>
        <v>0</v>
      </c>
      <c r="T372" s="1">
        <f t="shared" si="140"/>
        <v>0</v>
      </c>
      <c r="U372" s="1">
        <f t="shared" si="141"/>
        <v>0</v>
      </c>
      <c r="V372" s="1">
        <f t="shared" si="142"/>
        <v>0</v>
      </c>
      <c r="W372" s="1">
        <f t="shared" si="143"/>
        <v>0</v>
      </c>
      <c r="X372" s="1">
        <f t="shared" si="144"/>
        <v>0</v>
      </c>
      <c r="Y372" s="1">
        <f t="shared" si="145"/>
        <v>0</v>
      </c>
      <c r="Z372" s="1">
        <f t="shared" si="146"/>
        <v>0</v>
      </c>
      <c r="AA372" s="1">
        <f t="shared" si="147"/>
        <v>0</v>
      </c>
      <c r="AB372" s="1">
        <f t="shared" si="148"/>
        <v>0</v>
      </c>
      <c r="AD372" s="1">
        <f t="shared" si="149"/>
        <v>0</v>
      </c>
      <c r="AE372" s="1">
        <f t="shared" si="150"/>
        <v>0</v>
      </c>
      <c r="AF372" s="1">
        <f t="shared" si="151"/>
        <v>0</v>
      </c>
      <c r="AG372" s="1">
        <f t="shared" si="152"/>
        <v>0</v>
      </c>
      <c r="AH372" s="1">
        <f t="shared" si="153"/>
        <v>0</v>
      </c>
      <c r="AI372" s="1">
        <f t="shared" si="154"/>
        <v>1</v>
      </c>
    </row>
    <row r="373" spans="1:35" s="1" customFormat="1" ht="14.25" customHeight="1" x14ac:dyDescent="0.25">
      <c r="A373" s="31">
        <v>0</v>
      </c>
      <c r="B373" s="31">
        <v>2</v>
      </c>
      <c r="C373" s="31">
        <v>4</v>
      </c>
      <c r="D373" s="32" t="s">
        <v>779</v>
      </c>
      <c r="E373" s="32" t="s">
        <v>887</v>
      </c>
      <c r="F373" s="32" t="s">
        <v>904</v>
      </c>
      <c r="G373" s="32" t="s">
        <v>207</v>
      </c>
      <c r="H373" s="32" t="s">
        <v>352</v>
      </c>
      <c r="I373" s="31" t="s">
        <v>1329</v>
      </c>
      <c r="J373" s="31">
        <v>3</v>
      </c>
      <c r="K373" s="33" t="s">
        <v>694</v>
      </c>
      <c r="L373" s="33">
        <v>20</v>
      </c>
      <c r="M373" s="34" t="s">
        <v>1381</v>
      </c>
      <c r="N373" s="34" t="s">
        <v>1775</v>
      </c>
      <c r="O373" s="35">
        <v>1</v>
      </c>
      <c r="P373" s="35"/>
      <c r="Q373" s="32"/>
      <c r="S373" s="1">
        <f t="shared" si="139"/>
        <v>0</v>
      </c>
      <c r="T373" s="1">
        <f t="shared" si="140"/>
        <v>0</v>
      </c>
      <c r="U373" s="1">
        <f t="shared" si="141"/>
        <v>1</v>
      </c>
      <c r="V373" s="1">
        <f t="shared" si="142"/>
        <v>0</v>
      </c>
      <c r="W373" s="1">
        <f t="shared" si="143"/>
        <v>0</v>
      </c>
      <c r="X373" s="1">
        <f t="shared" si="144"/>
        <v>0</v>
      </c>
      <c r="Y373" s="1">
        <f t="shared" si="145"/>
        <v>0</v>
      </c>
      <c r="Z373" s="1">
        <f t="shared" si="146"/>
        <v>0</v>
      </c>
      <c r="AA373" s="1">
        <f t="shared" si="147"/>
        <v>0</v>
      </c>
      <c r="AB373" s="1">
        <f t="shared" si="148"/>
        <v>0</v>
      </c>
      <c r="AD373" s="1">
        <f t="shared" si="149"/>
        <v>0</v>
      </c>
      <c r="AE373" s="1">
        <f t="shared" si="150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s="1" customFormat="1" ht="14.25" customHeight="1" x14ac:dyDescent="0.25">
      <c r="A374" s="51">
        <v>0</v>
      </c>
      <c r="B374" s="51">
        <v>2</v>
      </c>
      <c r="C374" s="51">
        <v>4</v>
      </c>
      <c r="D374" s="52" t="s">
        <v>561</v>
      </c>
      <c r="E374" s="52" t="s">
        <v>37</v>
      </c>
      <c r="F374" s="52" t="s">
        <v>204</v>
      </c>
      <c r="G374" s="52" t="s">
        <v>39</v>
      </c>
      <c r="H374" s="52" t="s">
        <v>352</v>
      </c>
      <c r="I374" s="51" t="s">
        <v>387</v>
      </c>
      <c r="J374" s="51">
        <v>6</v>
      </c>
      <c r="K374" s="53" t="s">
        <v>694</v>
      </c>
      <c r="L374" s="53" t="s">
        <v>39</v>
      </c>
      <c r="M374" s="54" t="s">
        <v>39</v>
      </c>
      <c r="N374" s="55"/>
      <c r="O374" s="56"/>
      <c r="P374" s="56"/>
      <c r="Q374" s="52"/>
      <c r="S374" s="1">
        <f t="shared" si="139"/>
        <v>0</v>
      </c>
      <c r="T374" s="1">
        <f t="shared" si="140"/>
        <v>0</v>
      </c>
      <c r="U374" s="1">
        <f t="shared" si="141"/>
        <v>0</v>
      </c>
      <c r="V374" s="1">
        <f t="shared" si="142"/>
        <v>0</v>
      </c>
      <c r="W374" s="1">
        <f t="shared" si="143"/>
        <v>0</v>
      </c>
      <c r="X374" s="1">
        <f t="shared" si="144"/>
        <v>1</v>
      </c>
      <c r="Y374" s="1">
        <f t="shared" si="145"/>
        <v>0</v>
      </c>
      <c r="Z374" s="1">
        <f t="shared" si="146"/>
        <v>0</v>
      </c>
      <c r="AA374" s="1">
        <f t="shared" si="147"/>
        <v>0</v>
      </c>
      <c r="AB374" s="1">
        <f t="shared" si="148"/>
        <v>0</v>
      </c>
      <c r="AD374" s="1">
        <f t="shared" si="149"/>
        <v>0</v>
      </c>
      <c r="AE374" s="1">
        <f t="shared" si="150"/>
        <v>0</v>
      </c>
      <c r="AF374" s="1">
        <f t="shared" si="151"/>
        <v>0</v>
      </c>
      <c r="AG374" s="1">
        <f t="shared" si="152"/>
        <v>0</v>
      </c>
      <c r="AH374" s="1">
        <f t="shared" si="153"/>
        <v>0</v>
      </c>
      <c r="AI374" s="1">
        <f t="shared" si="154"/>
        <v>1</v>
      </c>
    </row>
    <row r="375" spans="1:35" s="1" customFormat="1" ht="14.25" customHeight="1" x14ac:dyDescent="0.25">
      <c r="A375" s="31">
        <v>0</v>
      </c>
      <c r="B375" s="31">
        <v>2</v>
      </c>
      <c r="C375" s="31">
        <v>4</v>
      </c>
      <c r="D375" s="32" t="s">
        <v>645</v>
      </c>
      <c r="E375" s="32" t="s">
        <v>889</v>
      </c>
      <c r="F375" s="32" t="s">
        <v>616</v>
      </c>
      <c r="G375" s="32" t="s">
        <v>339</v>
      </c>
      <c r="H375" s="32" t="s">
        <v>352</v>
      </c>
      <c r="I375" s="31" t="s">
        <v>617</v>
      </c>
      <c r="J375" s="31">
        <v>10</v>
      </c>
      <c r="K375" s="33" t="s">
        <v>931</v>
      </c>
      <c r="L375" s="33" t="s">
        <v>695</v>
      </c>
      <c r="M375" s="34" t="s">
        <v>1382</v>
      </c>
      <c r="N375" s="34" t="s">
        <v>1701</v>
      </c>
      <c r="O375" s="35">
        <v>1</v>
      </c>
      <c r="P375" s="35"/>
      <c r="Q375" s="32"/>
      <c r="S375" s="1">
        <f t="shared" si="139"/>
        <v>0</v>
      </c>
      <c r="T375" s="1">
        <f t="shared" si="140"/>
        <v>0</v>
      </c>
      <c r="U375" s="1">
        <f t="shared" si="141"/>
        <v>0</v>
      </c>
      <c r="V375" s="1">
        <f t="shared" si="142"/>
        <v>0</v>
      </c>
      <c r="W375" s="1">
        <f t="shared" si="143"/>
        <v>0</v>
      </c>
      <c r="X375" s="1">
        <f t="shared" si="144"/>
        <v>0</v>
      </c>
      <c r="Y375" s="1">
        <f t="shared" si="145"/>
        <v>0</v>
      </c>
      <c r="Z375" s="1">
        <f t="shared" si="146"/>
        <v>0</v>
      </c>
      <c r="AA375" s="1">
        <f t="shared" si="147"/>
        <v>0</v>
      </c>
      <c r="AB375" s="1">
        <f t="shared" si="148"/>
        <v>1</v>
      </c>
      <c r="AD375" s="1">
        <f t="shared" si="149"/>
        <v>0</v>
      </c>
      <c r="AE375" s="1">
        <f t="shared" si="150"/>
        <v>1</v>
      </c>
      <c r="AF375" s="1">
        <f t="shared" si="151"/>
        <v>0</v>
      </c>
      <c r="AG375" s="1">
        <f t="shared" si="152"/>
        <v>1</v>
      </c>
      <c r="AH375" s="1">
        <f t="shared" si="153"/>
        <v>0</v>
      </c>
      <c r="AI375" s="1">
        <f t="shared" si="154"/>
        <v>1</v>
      </c>
    </row>
    <row r="376" spans="1:35" s="1" customFormat="1" ht="14.25" customHeight="1" x14ac:dyDescent="0.25">
      <c r="A376" s="31">
        <v>0</v>
      </c>
      <c r="B376" s="31">
        <v>2</v>
      </c>
      <c r="C376" s="31">
        <v>4</v>
      </c>
      <c r="D376" s="32" t="s">
        <v>75</v>
      </c>
      <c r="E376" s="32" t="s">
        <v>35</v>
      </c>
      <c r="F376" s="32" t="s">
        <v>265</v>
      </c>
      <c r="G376" s="32" t="s">
        <v>212</v>
      </c>
      <c r="H376" s="32" t="s">
        <v>352</v>
      </c>
      <c r="I376" s="31" t="s">
        <v>923</v>
      </c>
      <c r="J376" s="31">
        <v>1</v>
      </c>
      <c r="K376" s="33" t="s">
        <v>704</v>
      </c>
      <c r="L376" s="33" t="s">
        <v>695</v>
      </c>
      <c r="M376" s="34" t="s">
        <v>1383</v>
      </c>
      <c r="N376" s="34" t="s">
        <v>1696</v>
      </c>
      <c r="O376" s="35">
        <v>1</v>
      </c>
      <c r="P376" s="35"/>
      <c r="Q376" s="32"/>
      <c r="S376" s="1">
        <f t="shared" si="139"/>
        <v>1</v>
      </c>
      <c r="T376" s="1">
        <f t="shared" si="140"/>
        <v>0</v>
      </c>
      <c r="U376" s="1">
        <f t="shared" si="141"/>
        <v>0</v>
      </c>
      <c r="V376" s="1">
        <f t="shared" si="142"/>
        <v>0</v>
      </c>
      <c r="W376" s="1">
        <f t="shared" si="143"/>
        <v>0</v>
      </c>
      <c r="X376" s="1">
        <f t="shared" si="144"/>
        <v>0</v>
      </c>
      <c r="Y376" s="1">
        <f t="shared" si="145"/>
        <v>0</v>
      </c>
      <c r="Z376" s="1">
        <f t="shared" si="146"/>
        <v>0</v>
      </c>
      <c r="AA376" s="1">
        <f t="shared" si="147"/>
        <v>0</v>
      </c>
      <c r="AB376" s="1">
        <f t="shared" si="148"/>
        <v>0</v>
      </c>
      <c r="AD376" s="1">
        <f t="shared" si="149"/>
        <v>0</v>
      </c>
      <c r="AE376" s="1">
        <f t="shared" si="150"/>
        <v>1</v>
      </c>
      <c r="AF376" s="1">
        <f t="shared" si="151"/>
        <v>0</v>
      </c>
      <c r="AG376" s="1">
        <f t="shared" si="152"/>
        <v>1</v>
      </c>
      <c r="AH376" s="1">
        <f t="shared" si="153"/>
        <v>0</v>
      </c>
      <c r="AI376" s="1">
        <f t="shared" si="154"/>
        <v>1</v>
      </c>
    </row>
    <row r="377" spans="1:35" s="1" customFormat="1" ht="14.25" customHeight="1" x14ac:dyDescent="0.25">
      <c r="A377" s="31">
        <v>0</v>
      </c>
      <c r="B377" s="31">
        <v>2</v>
      </c>
      <c r="C377" s="31">
        <v>4</v>
      </c>
      <c r="D377" s="32" t="s">
        <v>898</v>
      </c>
      <c r="E377" s="32" t="s">
        <v>891</v>
      </c>
      <c r="F377" s="32" t="s">
        <v>763</v>
      </c>
      <c r="G377" s="32" t="s">
        <v>283</v>
      </c>
      <c r="H377" s="32" t="s">
        <v>352</v>
      </c>
      <c r="I377" s="31" t="s">
        <v>924</v>
      </c>
      <c r="J377" s="31">
        <v>4</v>
      </c>
      <c r="K377" s="33" t="s">
        <v>704</v>
      </c>
      <c r="L377" s="33" t="s">
        <v>687</v>
      </c>
      <c r="M377" s="34" t="s">
        <v>1384</v>
      </c>
      <c r="N377" s="34" t="s">
        <v>1701</v>
      </c>
      <c r="O377" s="35">
        <v>1</v>
      </c>
      <c r="P377" s="35"/>
      <c r="Q377" s="32"/>
      <c r="S377" s="1">
        <f t="shared" si="139"/>
        <v>0</v>
      </c>
      <c r="T377" s="1">
        <f t="shared" si="140"/>
        <v>0</v>
      </c>
      <c r="U377" s="1">
        <f t="shared" si="141"/>
        <v>0</v>
      </c>
      <c r="V377" s="1">
        <f t="shared" si="142"/>
        <v>1</v>
      </c>
      <c r="W377" s="1">
        <f t="shared" si="143"/>
        <v>0</v>
      </c>
      <c r="X377" s="1">
        <f t="shared" si="144"/>
        <v>0</v>
      </c>
      <c r="Y377" s="1">
        <f t="shared" si="145"/>
        <v>0</v>
      </c>
      <c r="Z377" s="1">
        <f t="shared" si="146"/>
        <v>0</v>
      </c>
      <c r="AA377" s="1">
        <f t="shared" si="147"/>
        <v>0</v>
      </c>
      <c r="AB377" s="1">
        <f t="shared" si="148"/>
        <v>0</v>
      </c>
      <c r="AD377" s="1">
        <f t="shared" si="149"/>
        <v>0</v>
      </c>
      <c r="AE377" s="1">
        <f t="shared" si="150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s="1" customFormat="1" ht="14.25" customHeight="1" x14ac:dyDescent="0.25">
      <c r="A378" s="31">
        <v>0</v>
      </c>
      <c r="B378" s="31">
        <v>2</v>
      </c>
      <c r="C378" s="31">
        <v>4</v>
      </c>
      <c r="D378" s="32" t="s">
        <v>621</v>
      </c>
      <c r="E378" s="32" t="s">
        <v>676</v>
      </c>
      <c r="F378" s="32" t="s">
        <v>662</v>
      </c>
      <c r="G378" s="32" t="s">
        <v>620</v>
      </c>
      <c r="H378" s="32" t="s">
        <v>352</v>
      </c>
      <c r="I378" s="31" t="s">
        <v>622</v>
      </c>
      <c r="J378" s="31">
        <v>99</v>
      </c>
      <c r="K378" s="33" t="s">
        <v>932</v>
      </c>
      <c r="L378" s="33" t="s">
        <v>39</v>
      </c>
      <c r="M378" s="34" t="s">
        <v>39</v>
      </c>
      <c r="N378" s="34" t="s">
        <v>1693</v>
      </c>
      <c r="O378" s="35">
        <v>1</v>
      </c>
      <c r="P378" s="35">
        <v>1</v>
      </c>
      <c r="Q378" s="32" t="s">
        <v>1846</v>
      </c>
      <c r="S378" s="1">
        <f t="shared" si="139"/>
        <v>0</v>
      </c>
      <c r="T378" s="1">
        <f t="shared" si="140"/>
        <v>0</v>
      </c>
      <c r="U378" s="1">
        <f t="shared" si="141"/>
        <v>0</v>
      </c>
      <c r="V378" s="1">
        <f t="shared" si="142"/>
        <v>0</v>
      </c>
      <c r="W378" s="1">
        <f t="shared" si="143"/>
        <v>0</v>
      </c>
      <c r="X378" s="1">
        <f t="shared" si="144"/>
        <v>0</v>
      </c>
      <c r="Y378" s="1">
        <f t="shared" si="145"/>
        <v>0</v>
      </c>
      <c r="Z378" s="1">
        <f t="shared" si="146"/>
        <v>0</v>
      </c>
      <c r="AA378" s="1">
        <f t="shared" si="147"/>
        <v>0</v>
      </c>
      <c r="AB378" s="1">
        <f t="shared" si="148"/>
        <v>0</v>
      </c>
      <c r="AD378" s="1">
        <f t="shared" si="149"/>
        <v>1</v>
      </c>
      <c r="AE378" s="1">
        <f t="shared" si="150"/>
        <v>0</v>
      </c>
      <c r="AF378" s="1">
        <f t="shared" si="151"/>
        <v>1</v>
      </c>
      <c r="AG378" s="1">
        <f t="shared" si="152"/>
        <v>0</v>
      </c>
      <c r="AH378" s="1">
        <f t="shared" si="153"/>
        <v>1</v>
      </c>
      <c r="AI378" s="1">
        <f t="shared" si="154"/>
        <v>0</v>
      </c>
    </row>
    <row r="379" spans="1:35" s="1" customFormat="1" ht="14.25" customHeight="1" x14ac:dyDescent="0.25">
      <c r="A379" s="31">
        <v>0</v>
      </c>
      <c r="B379" s="31">
        <v>2</v>
      </c>
      <c r="C379" s="31">
        <v>4</v>
      </c>
      <c r="D379" s="32" t="s">
        <v>84</v>
      </c>
      <c r="E379" s="32" t="s">
        <v>35</v>
      </c>
      <c r="F379" s="32" t="s">
        <v>276</v>
      </c>
      <c r="G379" s="32" t="s">
        <v>223</v>
      </c>
      <c r="H379" s="32" t="s">
        <v>352</v>
      </c>
      <c r="I379" s="31" t="s">
        <v>431</v>
      </c>
      <c r="J379" s="31">
        <v>99</v>
      </c>
      <c r="K379" s="33" t="s">
        <v>931</v>
      </c>
      <c r="L379" s="33" t="s">
        <v>695</v>
      </c>
      <c r="M379" s="34" t="s">
        <v>717</v>
      </c>
      <c r="N379" s="34" t="s">
        <v>1713</v>
      </c>
      <c r="O379" s="35">
        <v>1</v>
      </c>
      <c r="P379" s="35"/>
      <c r="Q379" s="32"/>
      <c r="S379" s="1">
        <f t="shared" si="139"/>
        <v>0</v>
      </c>
      <c r="T379" s="1">
        <f t="shared" si="140"/>
        <v>0</v>
      </c>
      <c r="U379" s="1">
        <f t="shared" si="141"/>
        <v>0</v>
      </c>
      <c r="V379" s="1">
        <f t="shared" si="142"/>
        <v>0</v>
      </c>
      <c r="W379" s="1">
        <f t="shared" si="143"/>
        <v>0</v>
      </c>
      <c r="X379" s="1">
        <f t="shared" si="144"/>
        <v>0</v>
      </c>
      <c r="Y379" s="1">
        <f t="shared" si="145"/>
        <v>0</v>
      </c>
      <c r="Z379" s="1">
        <f t="shared" si="146"/>
        <v>0</v>
      </c>
      <c r="AA379" s="1">
        <f t="shared" si="147"/>
        <v>0</v>
      </c>
      <c r="AB379" s="1">
        <f t="shared" si="148"/>
        <v>0</v>
      </c>
      <c r="AD379" s="1">
        <f t="shared" si="149"/>
        <v>0</v>
      </c>
      <c r="AE379" s="1">
        <f t="shared" si="150"/>
        <v>1</v>
      </c>
      <c r="AF379" s="1">
        <f t="shared" si="151"/>
        <v>0</v>
      </c>
      <c r="AG379" s="1">
        <f t="shared" si="152"/>
        <v>1</v>
      </c>
      <c r="AH379" s="1">
        <f t="shared" si="153"/>
        <v>0</v>
      </c>
      <c r="AI379" s="1">
        <f t="shared" si="154"/>
        <v>1</v>
      </c>
    </row>
    <row r="380" spans="1:35" s="1" customFormat="1" ht="14.25" customHeight="1" x14ac:dyDescent="0.25">
      <c r="A380" s="31">
        <v>0</v>
      </c>
      <c r="B380" s="31">
        <v>2</v>
      </c>
      <c r="C380" s="31">
        <v>4</v>
      </c>
      <c r="D380" s="32" t="s">
        <v>860</v>
      </c>
      <c r="E380" s="32" t="s">
        <v>753</v>
      </c>
      <c r="F380" s="32" t="s">
        <v>858</v>
      </c>
      <c r="G380" s="32" t="s">
        <v>278</v>
      </c>
      <c r="H380" s="32" t="s">
        <v>352</v>
      </c>
      <c r="I380" s="31" t="s">
        <v>859</v>
      </c>
      <c r="J380" s="31">
        <v>99</v>
      </c>
      <c r="K380" s="33" t="s">
        <v>694</v>
      </c>
      <c r="L380" s="33">
        <v>25</v>
      </c>
      <c r="M380" s="34" t="s">
        <v>1385</v>
      </c>
      <c r="N380" s="34" t="s">
        <v>1799</v>
      </c>
      <c r="O380" s="35">
        <v>1</v>
      </c>
      <c r="P380" s="35"/>
      <c r="Q380" s="32"/>
      <c r="S380" s="1">
        <f t="shared" si="139"/>
        <v>0</v>
      </c>
      <c r="T380" s="1">
        <f t="shared" si="140"/>
        <v>0</v>
      </c>
      <c r="U380" s="1">
        <f t="shared" si="141"/>
        <v>0</v>
      </c>
      <c r="V380" s="1">
        <f t="shared" si="142"/>
        <v>0</v>
      </c>
      <c r="W380" s="1">
        <f t="shared" si="143"/>
        <v>0</v>
      </c>
      <c r="X380" s="1">
        <f t="shared" si="144"/>
        <v>0</v>
      </c>
      <c r="Y380" s="1">
        <f t="shared" si="145"/>
        <v>0</v>
      </c>
      <c r="Z380" s="1">
        <f t="shared" si="146"/>
        <v>0</v>
      </c>
      <c r="AA380" s="1">
        <f t="shared" si="147"/>
        <v>0</v>
      </c>
      <c r="AB380" s="1">
        <f t="shared" si="148"/>
        <v>0</v>
      </c>
      <c r="AD380" s="1">
        <f t="shared" si="149"/>
        <v>0</v>
      </c>
      <c r="AE380" s="1">
        <f t="shared" si="150"/>
        <v>1</v>
      </c>
      <c r="AF380" s="1">
        <f t="shared" si="151"/>
        <v>0</v>
      </c>
      <c r="AG380" s="1">
        <f t="shared" si="152"/>
        <v>1</v>
      </c>
      <c r="AH380" s="1">
        <f t="shared" si="153"/>
        <v>0</v>
      </c>
      <c r="AI380" s="1">
        <f t="shared" si="154"/>
        <v>1</v>
      </c>
    </row>
    <row r="381" spans="1:35" s="1" customFormat="1" ht="14.25" customHeight="1" x14ac:dyDescent="0.25">
      <c r="A381" s="31">
        <v>0</v>
      </c>
      <c r="B381" s="31">
        <v>2</v>
      </c>
      <c r="C381" s="31">
        <v>4</v>
      </c>
      <c r="D381" s="32" t="s">
        <v>901</v>
      </c>
      <c r="E381" s="32" t="s">
        <v>753</v>
      </c>
      <c r="F381" s="32" t="s">
        <v>825</v>
      </c>
      <c r="G381" s="32" t="s">
        <v>208</v>
      </c>
      <c r="H381" s="32" t="s">
        <v>352</v>
      </c>
      <c r="I381" s="31" t="s">
        <v>826</v>
      </c>
      <c r="J381" s="31">
        <v>99</v>
      </c>
      <c r="K381" s="33" t="s">
        <v>703</v>
      </c>
      <c r="L381" s="33" t="s">
        <v>695</v>
      </c>
      <c r="M381" s="34" t="s">
        <v>717</v>
      </c>
      <c r="N381" s="34" t="s">
        <v>1708</v>
      </c>
      <c r="O381" s="35">
        <v>1</v>
      </c>
      <c r="P381" s="35"/>
      <c r="Q381" s="32"/>
      <c r="S381" s="1">
        <f t="shared" si="139"/>
        <v>0</v>
      </c>
      <c r="T381" s="1">
        <f t="shared" si="140"/>
        <v>0</v>
      </c>
      <c r="U381" s="1">
        <f t="shared" si="141"/>
        <v>0</v>
      </c>
      <c r="V381" s="1">
        <f t="shared" si="142"/>
        <v>0</v>
      </c>
      <c r="W381" s="1">
        <f t="shared" si="143"/>
        <v>0</v>
      </c>
      <c r="X381" s="1">
        <f t="shared" si="144"/>
        <v>0</v>
      </c>
      <c r="Y381" s="1">
        <f t="shared" si="145"/>
        <v>0</v>
      </c>
      <c r="Z381" s="1">
        <f t="shared" si="146"/>
        <v>0</v>
      </c>
      <c r="AA381" s="1">
        <f t="shared" si="147"/>
        <v>0</v>
      </c>
      <c r="AB381" s="1">
        <f t="shared" si="148"/>
        <v>0</v>
      </c>
      <c r="AD381" s="1">
        <f t="shared" si="149"/>
        <v>0</v>
      </c>
      <c r="AE381" s="1">
        <f t="shared" si="150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s="1" customFormat="1" ht="14.25" customHeight="1" x14ac:dyDescent="0.25">
      <c r="A382" s="31">
        <v>0</v>
      </c>
      <c r="B382" s="31">
        <v>2</v>
      </c>
      <c r="C382" s="31">
        <v>4</v>
      </c>
      <c r="D382" s="32" t="s">
        <v>1971</v>
      </c>
      <c r="E382" s="32" t="s">
        <v>35</v>
      </c>
      <c r="F382" s="32" t="s">
        <v>1972</v>
      </c>
      <c r="G382" s="32" t="s">
        <v>208</v>
      </c>
      <c r="H382" s="32" t="s">
        <v>352</v>
      </c>
      <c r="I382" s="31" t="s">
        <v>1973</v>
      </c>
      <c r="J382" s="31">
        <v>99</v>
      </c>
      <c r="K382" s="33" t="s">
        <v>694</v>
      </c>
      <c r="L382" s="33">
        <v>25</v>
      </c>
      <c r="M382" s="34" t="s">
        <v>1975</v>
      </c>
      <c r="N382" s="34" t="s">
        <v>1799</v>
      </c>
      <c r="O382" s="35">
        <v>1</v>
      </c>
      <c r="P382" s="35"/>
      <c r="Q382" s="32" t="s">
        <v>1974</v>
      </c>
      <c r="S382" s="1">
        <f t="shared" si="139"/>
        <v>0</v>
      </c>
      <c r="T382" s="1">
        <f t="shared" si="140"/>
        <v>0</v>
      </c>
      <c r="U382" s="1">
        <f t="shared" si="141"/>
        <v>0</v>
      </c>
      <c r="V382" s="1">
        <f t="shared" si="142"/>
        <v>0</v>
      </c>
      <c r="W382" s="1">
        <f t="shared" si="143"/>
        <v>0</v>
      </c>
      <c r="X382" s="1">
        <f t="shared" si="144"/>
        <v>0</v>
      </c>
      <c r="Y382" s="1">
        <f t="shared" si="145"/>
        <v>0</v>
      </c>
      <c r="Z382" s="1">
        <f t="shared" si="146"/>
        <v>0</v>
      </c>
      <c r="AA382" s="1">
        <f t="shared" si="147"/>
        <v>0</v>
      </c>
      <c r="AB382" s="1">
        <f t="shared" si="148"/>
        <v>0</v>
      </c>
      <c r="AD382" s="1">
        <f t="shared" si="149"/>
        <v>0</v>
      </c>
      <c r="AE382" s="1">
        <f t="shared" si="150"/>
        <v>1</v>
      </c>
      <c r="AF382" s="1">
        <f t="shared" si="151"/>
        <v>0</v>
      </c>
      <c r="AG382" s="1">
        <f t="shared" si="152"/>
        <v>1</v>
      </c>
      <c r="AH382" s="1">
        <f t="shared" si="153"/>
        <v>0</v>
      </c>
      <c r="AI382" s="1">
        <f t="shared" si="154"/>
        <v>1</v>
      </c>
    </row>
    <row r="383" spans="1:35" s="1" customFormat="1" ht="14.25" customHeight="1" x14ac:dyDescent="0.25">
      <c r="A383" s="31">
        <v>0</v>
      </c>
      <c r="B383" s="31">
        <v>2</v>
      </c>
      <c r="C383" s="31">
        <v>4</v>
      </c>
      <c r="D383" s="32" t="s">
        <v>1192</v>
      </c>
      <c r="E383" s="32" t="s">
        <v>1191</v>
      </c>
      <c r="F383" s="32" t="s">
        <v>1193</v>
      </c>
      <c r="G383" s="32" t="s">
        <v>531</v>
      </c>
      <c r="H383" s="32" t="s">
        <v>352</v>
      </c>
      <c r="I383" s="31" t="s">
        <v>1194</v>
      </c>
      <c r="J383" s="31">
        <v>99</v>
      </c>
      <c r="K383" s="33" t="s">
        <v>704</v>
      </c>
      <c r="L383" s="33" t="s">
        <v>685</v>
      </c>
      <c r="M383" s="34" t="s">
        <v>1386</v>
      </c>
      <c r="N383" s="34" t="s">
        <v>1687</v>
      </c>
      <c r="O383" s="35">
        <v>1</v>
      </c>
      <c r="P383" s="35">
        <v>1</v>
      </c>
      <c r="Q383" s="32"/>
      <c r="S383" s="1">
        <f t="shared" si="139"/>
        <v>0</v>
      </c>
      <c r="T383" s="1">
        <f t="shared" si="140"/>
        <v>0</v>
      </c>
      <c r="U383" s="1">
        <f t="shared" si="141"/>
        <v>0</v>
      </c>
      <c r="V383" s="1">
        <f t="shared" si="142"/>
        <v>0</v>
      </c>
      <c r="W383" s="1">
        <f t="shared" si="143"/>
        <v>0</v>
      </c>
      <c r="X383" s="1">
        <f t="shared" si="144"/>
        <v>0</v>
      </c>
      <c r="Y383" s="1">
        <f t="shared" si="145"/>
        <v>0</v>
      </c>
      <c r="Z383" s="1">
        <f t="shared" si="146"/>
        <v>0</v>
      </c>
      <c r="AA383" s="1">
        <f t="shared" si="147"/>
        <v>0</v>
      </c>
      <c r="AB383" s="1">
        <f t="shared" si="148"/>
        <v>0</v>
      </c>
      <c r="AD383" s="1">
        <f t="shared" si="149"/>
        <v>1</v>
      </c>
      <c r="AE383" s="1">
        <f t="shared" si="150"/>
        <v>0</v>
      </c>
      <c r="AF383" s="1">
        <f t="shared" si="151"/>
        <v>1</v>
      </c>
      <c r="AG383" s="1">
        <f t="shared" si="152"/>
        <v>0</v>
      </c>
      <c r="AH383" s="1">
        <f t="shared" si="153"/>
        <v>1</v>
      </c>
      <c r="AI383" s="1">
        <f t="shared" si="154"/>
        <v>0</v>
      </c>
    </row>
    <row r="384" spans="1:35" s="1" customFormat="1" ht="14.25" customHeight="1" x14ac:dyDescent="0.25">
      <c r="A384" s="31">
        <v>0</v>
      </c>
      <c r="B384" s="31">
        <v>2</v>
      </c>
      <c r="C384" s="31">
        <v>4</v>
      </c>
      <c r="D384" s="32" t="s">
        <v>804</v>
      </c>
      <c r="E384" s="32" t="s">
        <v>582</v>
      </c>
      <c r="F384" s="32" t="s">
        <v>805</v>
      </c>
      <c r="G384" s="32" t="s">
        <v>915</v>
      </c>
      <c r="H384" s="32" t="s">
        <v>352</v>
      </c>
      <c r="I384" s="31" t="s">
        <v>928</v>
      </c>
      <c r="J384" s="31">
        <v>7</v>
      </c>
      <c r="K384" s="33" t="s">
        <v>703</v>
      </c>
      <c r="L384" s="33" t="s">
        <v>39</v>
      </c>
      <c r="M384" s="34" t="s">
        <v>39</v>
      </c>
      <c r="N384" s="34" t="s">
        <v>1687</v>
      </c>
      <c r="O384" s="35">
        <v>1</v>
      </c>
      <c r="P384" s="35">
        <v>1</v>
      </c>
      <c r="Q384" s="32"/>
      <c r="S384" s="1">
        <f t="shared" si="139"/>
        <v>0</v>
      </c>
      <c r="T384" s="1">
        <f t="shared" si="140"/>
        <v>0</v>
      </c>
      <c r="U384" s="1">
        <f t="shared" si="141"/>
        <v>0</v>
      </c>
      <c r="V384" s="1">
        <f t="shared" si="142"/>
        <v>0</v>
      </c>
      <c r="W384" s="1">
        <f t="shared" si="143"/>
        <v>0</v>
      </c>
      <c r="X384" s="1">
        <f t="shared" si="144"/>
        <v>0</v>
      </c>
      <c r="Y384" s="1">
        <f t="shared" si="145"/>
        <v>1</v>
      </c>
      <c r="Z384" s="1">
        <f t="shared" si="146"/>
        <v>0</v>
      </c>
      <c r="AA384" s="1">
        <f t="shared" si="147"/>
        <v>0</v>
      </c>
      <c r="AB384" s="1">
        <f t="shared" si="148"/>
        <v>0</v>
      </c>
      <c r="AD384" s="1">
        <f t="shared" si="149"/>
        <v>1</v>
      </c>
      <c r="AE384" s="1">
        <f t="shared" si="150"/>
        <v>0</v>
      </c>
      <c r="AF384" s="1">
        <f t="shared" si="151"/>
        <v>1</v>
      </c>
      <c r="AG384" s="1">
        <f t="shared" si="152"/>
        <v>0</v>
      </c>
      <c r="AH384" s="1">
        <f t="shared" si="153"/>
        <v>1</v>
      </c>
      <c r="AI384" s="1">
        <f t="shared" si="154"/>
        <v>0</v>
      </c>
    </row>
    <row r="385" spans="1:35" s="1" customFormat="1" ht="14.25" customHeight="1" x14ac:dyDescent="0.25">
      <c r="A385" s="31">
        <v>0</v>
      </c>
      <c r="B385" s="31">
        <v>2</v>
      </c>
      <c r="C385" s="31">
        <v>4</v>
      </c>
      <c r="D385" s="32" t="s">
        <v>1566</v>
      </c>
      <c r="E385" s="32" t="s">
        <v>1616</v>
      </c>
      <c r="F385" s="32" t="s">
        <v>1567</v>
      </c>
      <c r="G385" s="32" t="s">
        <v>331</v>
      </c>
      <c r="H385" s="32" t="s">
        <v>352</v>
      </c>
      <c r="I385" s="31" t="s">
        <v>30</v>
      </c>
      <c r="J385" s="31">
        <v>99</v>
      </c>
      <c r="K385" s="33" t="s">
        <v>704</v>
      </c>
      <c r="L385" s="33">
        <v>20</v>
      </c>
      <c r="M385" s="34" t="s">
        <v>39</v>
      </c>
      <c r="N385" s="34" t="s">
        <v>1707</v>
      </c>
      <c r="O385" s="35">
        <v>1</v>
      </c>
      <c r="P385" s="35"/>
      <c r="Q385" s="32"/>
      <c r="S385" s="1">
        <f t="shared" si="139"/>
        <v>0</v>
      </c>
      <c r="T385" s="1">
        <f t="shared" si="140"/>
        <v>0</v>
      </c>
      <c r="U385" s="1">
        <f t="shared" si="141"/>
        <v>0</v>
      </c>
      <c r="V385" s="1">
        <f t="shared" si="142"/>
        <v>0</v>
      </c>
      <c r="W385" s="1">
        <f t="shared" si="143"/>
        <v>0</v>
      </c>
      <c r="X385" s="1">
        <f t="shared" si="144"/>
        <v>0</v>
      </c>
      <c r="Y385" s="1">
        <f t="shared" si="145"/>
        <v>0</v>
      </c>
      <c r="Z385" s="1">
        <f t="shared" si="146"/>
        <v>0</v>
      </c>
      <c r="AA385" s="1">
        <f t="shared" si="147"/>
        <v>0</v>
      </c>
      <c r="AB385" s="1">
        <f t="shared" si="148"/>
        <v>0</v>
      </c>
      <c r="AD385" s="1">
        <f t="shared" si="149"/>
        <v>0</v>
      </c>
      <c r="AE385" s="1">
        <f t="shared" si="150"/>
        <v>1</v>
      </c>
      <c r="AF385" s="1">
        <f t="shared" si="151"/>
        <v>0</v>
      </c>
      <c r="AG385" s="1">
        <f t="shared" si="152"/>
        <v>1</v>
      </c>
      <c r="AH385" s="1">
        <f t="shared" si="153"/>
        <v>0</v>
      </c>
      <c r="AI385" s="1">
        <f t="shared" si="154"/>
        <v>1</v>
      </c>
    </row>
    <row r="386" spans="1:35" s="1" customFormat="1" ht="14.25" customHeight="1" x14ac:dyDescent="0.25">
      <c r="A386" s="15">
        <v>0</v>
      </c>
      <c r="B386" s="15">
        <v>2</v>
      </c>
      <c r="C386" s="15">
        <v>4</v>
      </c>
      <c r="D386" s="16" t="s">
        <v>2135</v>
      </c>
      <c r="E386" s="16" t="s">
        <v>2136</v>
      </c>
      <c r="F386" s="16" t="s">
        <v>2137</v>
      </c>
      <c r="G386" s="16" t="s">
        <v>278</v>
      </c>
      <c r="H386" s="16" t="s">
        <v>352</v>
      </c>
      <c r="I386" s="21" t="s">
        <v>2138</v>
      </c>
      <c r="J386" s="15">
        <v>99</v>
      </c>
      <c r="K386" s="10" t="s">
        <v>694</v>
      </c>
      <c r="L386" s="10">
        <v>30</v>
      </c>
      <c r="M386" s="19" t="s">
        <v>2139</v>
      </c>
      <c r="N386" s="19"/>
      <c r="Q386" s="16" t="s">
        <v>2140</v>
      </c>
      <c r="S386" s="1">
        <f t="shared" si="139"/>
        <v>0</v>
      </c>
      <c r="T386" s="1">
        <f t="shared" si="140"/>
        <v>0</v>
      </c>
      <c r="U386" s="1">
        <f t="shared" si="141"/>
        <v>0</v>
      </c>
      <c r="V386" s="1">
        <f t="shared" si="142"/>
        <v>0</v>
      </c>
      <c r="W386" s="1">
        <f t="shared" si="143"/>
        <v>0</v>
      </c>
      <c r="X386" s="1">
        <f t="shared" si="144"/>
        <v>0</v>
      </c>
      <c r="Y386" s="1">
        <f t="shared" si="145"/>
        <v>0</v>
      </c>
      <c r="Z386" s="1">
        <f t="shared" si="146"/>
        <v>0</v>
      </c>
      <c r="AA386" s="1">
        <f t="shared" si="147"/>
        <v>0</v>
      </c>
      <c r="AB386" s="1">
        <f t="shared" si="148"/>
        <v>0</v>
      </c>
      <c r="AD386" s="1">
        <f t="shared" ref="AD386:AD389" si="155">+O386*P386</f>
        <v>0</v>
      </c>
      <c r="AE386" s="1">
        <f t="shared" ref="AE386:AE389" si="156">O386*(1-P386)</f>
        <v>0</v>
      </c>
      <c r="AF386" s="1">
        <f t="shared" ref="AF386:AF389" si="157">+O386*P386*(1-A386)</f>
        <v>0</v>
      </c>
      <c r="AG386" s="1">
        <f t="shared" ref="AG386:AG389" si="158">O386*(1-P386)*(1-A386)</f>
        <v>0</v>
      </c>
      <c r="AH386" s="1">
        <f t="shared" ref="AH386:AH389" si="159">+P386*(1-A386)</f>
        <v>0</v>
      </c>
      <c r="AI386" s="1">
        <f t="shared" ref="AI386:AI389" si="160">+(1-A386)*(1-P386)</f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58</v>
      </c>
      <c r="E387" s="32" t="s">
        <v>44</v>
      </c>
      <c r="F387" s="32" t="s">
        <v>663</v>
      </c>
      <c r="G387" s="32" t="s">
        <v>222</v>
      </c>
      <c r="H387" s="32" t="s">
        <v>352</v>
      </c>
      <c r="I387" s="31" t="s">
        <v>395</v>
      </c>
      <c r="J387" s="31">
        <v>8</v>
      </c>
      <c r="K387" s="33" t="s">
        <v>704</v>
      </c>
      <c r="L387" s="33" t="s">
        <v>707</v>
      </c>
      <c r="M387" s="34" t="s">
        <v>1387</v>
      </c>
      <c r="N387" s="34" t="s">
        <v>1700</v>
      </c>
      <c r="O387" s="35">
        <v>1</v>
      </c>
      <c r="P387" s="35"/>
      <c r="Q387" s="32"/>
      <c r="S387" s="1">
        <f t="shared" si="139"/>
        <v>0</v>
      </c>
      <c r="T387" s="1">
        <f t="shared" si="140"/>
        <v>0</v>
      </c>
      <c r="U387" s="1">
        <f t="shared" si="141"/>
        <v>0</v>
      </c>
      <c r="V387" s="1">
        <f t="shared" si="142"/>
        <v>0</v>
      </c>
      <c r="W387" s="1">
        <f t="shared" si="143"/>
        <v>0</v>
      </c>
      <c r="X387" s="1">
        <f t="shared" si="144"/>
        <v>0</v>
      </c>
      <c r="Y387" s="1">
        <f t="shared" si="145"/>
        <v>0</v>
      </c>
      <c r="Z387" s="1">
        <f t="shared" si="146"/>
        <v>1</v>
      </c>
      <c r="AA387" s="1">
        <f t="shared" si="147"/>
        <v>0</v>
      </c>
      <c r="AB387" s="1">
        <f t="shared" si="148"/>
        <v>0</v>
      </c>
      <c r="AD387" s="1">
        <f t="shared" si="155"/>
        <v>0</v>
      </c>
      <c r="AE387" s="1">
        <f t="shared" si="156"/>
        <v>1</v>
      </c>
      <c r="AF387" s="1">
        <f t="shared" si="157"/>
        <v>0</v>
      </c>
      <c r="AG387" s="1">
        <f t="shared" si="158"/>
        <v>1</v>
      </c>
      <c r="AH387" s="1">
        <f t="shared" si="159"/>
        <v>0</v>
      </c>
      <c r="AI387" s="1">
        <f t="shared" si="160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813</v>
      </c>
      <c r="E388" s="32" t="s">
        <v>812</v>
      </c>
      <c r="F388" s="32" t="s">
        <v>903</v>
      </c>
      <c r="G388" s="32" t="s">
        <v>212</v>
      </c>
      <c r="H388" s="32" t="s">
        <v>352</v>
      </c>
      <c r="I388" s="31" t="s">
        <v>814</v>
      </c>
      <c r="J388" s="31">
        <v>1</v>
      </c>
      <c r="K388" s="33" t="s">
        <v>703</v>
      </c>
      <c r="L388" s="33" t="s">
        <v>684</v>
      </c>
      <c r="M388" s="34" t="s">
        <v>1388</v>
      </c>
      <c r="N388" s="34" t="s">
        <v>1696</v>
      </c>
      <c r="O388" s="35">
        <v>1</v>
      </c>
      <c r="P388" s="35"/>
      <c r="Q388" s="32"/>
      <c r="S388" s="1">
        <f t="shared" si="139"/>
        <v>1</v>
      </c>
      <c r="T388" s="1">
        <f t="shared" si="140"/>
        <v>0</v>
      </c>
      <c r="U388" s="1">
        <f t="shared" si="141"/>
        <v>0</v>
      </c>
      <c r="V388" s="1">
        <f t="shared" si="142"/>
        <v>0</v>
      </c>
      <c r="W388" s="1">
        <f t="shared" si="143"/>
        <v>0</v>
      </c>
      <c r="X388" s="1">
        <f t="shared" si="144"/>
        <v>0</v>
      </c>
      <c r="Y388" s="1">
        <f t="shared" si="145"/>
        <v>0</v>
      </c>
      <c r="Z388" s="1">
        <f t="shared" si="146"/>
        <v>0</v>
      </c>
      <c r="AA388" s="1">
        <f t="shared" si="147"/>
        <v>0</v>
      </c>
      <c r="AB388" s="1">
        <f t="shared" si="148"/>
        <v>0</v>
      </c>
      <c r="AD388" s="1">
        <f t="shared" si="155"/>
        <v>0</v>
      </c>
      <c r="AE388" s="1">
        <f t="shared" si="156"/>
        <v>1</v>
      </c>
      <c r="AF388" s="1">
        <f t="shared" si="157"/>
        <v>0</v>
      </c>
      <c r="AG388" s="1">
        <f t="shared" si="158"/>
        <v>1</v>
      </c>
      <c r="AH388" s="1">
        <f t="shared" si="159"/>
        <v>0</v>
      </c>
      <c r="AI388" s="1">
        <f t="shared" si="160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6" t="s">
        <v>2004</v>
      </c>
      <c r="E389" s="36" t="s">
        <v>169</v>
      </c>
      <c r="F389" s="36" t="s">
        <v>2005</v>
      </c>
      <c r="G389" s="36" t="s">
        <v>1495</v>
      </c>
      <c r="H389" s="36" t="s">
        <v>352</v>
      </c>
      <c r="I389" s="37" t="s">
        <v>2006</v>
      </c>
      <c r="J389" s="31">
        <v>5</v>
      </c>
      <c r="K389" s="33" t="s">
        <v>694</v>
      </c>
      <c r="L389" s="33"/>
      <c r="M389" s="34"/>
      <c r="N389" s="34" t="s">
        <v>1687</v>
      </c>
      <c r="O389" s="35">
        <v>1</v>
      </c>
      <c r="P389" s="35">
        <v>1</v>
      </c>
      <c r="Q389" s="36" t="s">
        <v>2007</v>
      </c>
      <c r="S389" s="1">
        <f t="shared" si="139"/>
        <v>0</v>
      </c>
      <c r="T389" s="1">
        <f t="shared" si="140"/>
        <v>0</v>
      </c>
      <c r="U389" s="1">
        <f t="shared" si="141"/>
        <v>0</v>
      </c>
      <c r="V389" s="1">
        <f t="shared" si="142"/>
        <v>0</v>
      </c>
      <c r="W389" s="1">
        <f t="shared" si="143"/>
        <v>1</v>
      </c>
      <c r="X389" s="1">
        <f t="shared" si="144"/>
        <v>0</v>
      </c>
      <c r="Y389" s="1">
        <f t="shared" si="145"/>
        <v>0</v>
      </c>
      <c r="Z389" s="1">
        <f t="shared" si="146"/>
        <v>0</v>
      </c>
      <c r="AA389" s="1">
        <f t="shared" si="147"/>
        <v>0</v>
      </c>
      <c r="AB389" s="1">
        <f t="shared" si="148"/>
        <v>0</v>
      </c>
      <c r="AD389" s="1">
        <f t="shared" si="155"/>
        <v>1</v>
      </c>
      <c r="AE389" s="1">
        <f t="shared" si="156"/>
        <v>0</v>
      </c>
      <c r="AF389" s="1">
        <f t="shared" si="157"/>
        <v>1</v>
      </c>
      <c r="AG389" s="1">
        <f t="shared" si="158"/>
        <v>0</v>
      </c>
      <c r="AH389" s="1">
        <f t="shared" si="159"/>
        <v>1</v>
      </c>
      <c r="AI389" s="1">
        <f t="shared" si="160"/>
        <v>0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65</v>
      </c>
      <c r="E390" s="32" t="s">
        <v>163</v>
      </c>
      <c r="F390" s="32" t="s">
        <v>543</v>
      </c>
      <c r="G390" s="32" t="s">
        <v>193</v>
      </c>
      <c r="H390" s="32" t="s">
        <v>352</v>
      </c>
      <c r="I390" s="31" t="s">
        <v>548</v>
      </c>
      <c r="J390" s="31">
        <v>9</v>
      </c>
      <c r="K390" s="33" t="s">
        <v>704</v>
      </c>
      <c r="L390" s="33" t="s">
        <v>678</v>
      </c>
      <c r="M390" s="34" t="s">
        <v>1406</v>
      </c>
      <c r="N390" s="34" t="s">
        <v>1713</v>
      </c>
      <c r="O390" s="35">
        <v>1</v>
      </c>
      <c r="P390" s="35"/>
      <c r="Q390" s="32"/>
      <c r="S390" s="1">
        <f t="shared" si="139"/>
        <v>0</v>
      </c>
      <c r="T390" s="1">
        <f t="shared" si="140"/>
        <v>0</v>
      </c>
      <c r="U390" s="1">
        <f t="shared" si="141"/>
        <v>0</v>
      </c>
      <c r="V390" s="1">
        <f t="shared" si="142"/>
        <v>0</v>
      </c>
      <c r="W390" s="1">
        <f t="shared" si="143"/>
        <v>0</v>
      </c>
      <c r="X390" s="1">
        <f t="shared" si="144"/>
        <v>0</v>
      </c>
      <c r="Y390" s="1">
        <f t="shared" si="145"/>
        <v>0</v>
      </c>
      <c r="Z390" s="1">
        <f t="shared" si="146"/>
        <v>0</v>
      </c>
      <c r="AA390" s="1">
        <f t="shared" si="147"/>
        <v>1</v>
      </c>
      <c r="AB390" s="1">
        <f t="shared" si="148"/>
        <v>0</v>
      </c>
      <c r="AD390" s="1">
        <f t="shared" si="149"/>
        <v>0</v>
      </c>
      <c r="AE390" s="1">
        <f t="shared" si="150"/>
        <v>1</v>
      </c>
      <c r="AF390" s="1">
        <f t="shared" si="151"/>
        <v>0</v>
      </c>
      <c r="AG390" s="1">
        <f t="shared" si="152"/>
        <v>1</v>
      </c>
      <c r="AH390" s="1">
        <f t="shared" si="153"/>
        <v>0</v>
      </c>
      <c r="AI390" s="1">
        <f t="shared" si="154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1449</v>
      </c>
      <c r="E391" s="32" t="s">
        <v>35</v>
      </c>
      <c r="F391" s="32" t="s">
        <v>1823</v>
      </c>
      <c r="G391" s="32" t="s">
        <v>221</v>
      </c>
      <c r="H391" s="32" t="s">
        <v>352</v>
      </c>
      <c r="I391" s="31" t="s">
        <v>1646</v>
      </c>
      <c r="J391" s="31">
        <v>99</v>
      </c>
      <c r="K391" s="33" t="s">
        <v>704</v>
      </c>
      <c r="L391" s="33">
        <v>25</v>
      </c>
      <c r="M391" s="34" t="s">
        <v>39</v>
      </c>
      <c r="N391" s="34" t="s">
        <v>1708</v>
      </c>
      <c r="O391" s="35">
        <v>1</v>
      </c>
      <c r="P391" s="35"/>
      <c r="Q391" s="32"/>
      <c r="S391" s="1">
        <f t="shared" si="139"/>
        <v>0</v>
      </c>
      <c r="T391" s="1">
        <f t="shared" si="140"/>
        <v>0</v>
      </c>
      <c r="U391" s="1">
        <f t="shared" si="141"/>
        <v>0</v>
      </c>
      <c r="V391" s="1">
        <f t="shared" si="142"/>
        <v>0</v>
      </c>
      <c r="W391" s="1">
        <f t="shared" si="143"/>
        <v>0</v>
      </c>
      <c r="X391" s="1">
        <f t="shared" si="144"/>
        <v>0</v>
      </c>
      <c r="Y391" s="1">
        <f t="shared" si="145"/>
        <v>0</v>
      </c>
      <c r="Z391" s="1">
        <f t="shared" si="146"/>
        <v>0</v>
      </c>
      <c r="AA391" s="1">
        <f t="shared" si="147"/>
        <v>0</v>
      </c>
      <c r="AB391" s="1">
        <f t="shared" si="148"/>
        <v>0</v>
      </c>
      <c r="AD391" s="1">
        <f t="shared" si="149"/>
        <v>0</v>
      </c>
      <c r="AE391" s="1">
        <f t="shared" si="150"/>
        <v>1</v>
      </c>
      <c r="AF391" s="1">
        <f t="shared" si="151"/>
        <v>0</v>
      </c>
      <c r="AG391" s="1">
        <f t="shared" si="152"/>
        <v>1</v>
      </c>
      <c r="AH391" s="1">
        <f t="shared" si="153"/>
        <v>0</v>
      </c>
      <c r="AI391" s="1">
        <f t="shared" si="154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1769</v>
      </c>
      <c r="E392" s="32" t="s">
        <v>753</v>
      </c>
      <c r="F392" s="32" t="s">
        <v>1770</v>
      </c>
      <c r="G392" s="32" t="s">
        <v>223</v>
      </c>
      <c r="H392" s="32" t="s">
        <v>352</v>
      </c>
      <c r="I392" s="31" t="s">
        <v>1771</v>
      </c>
      <c r="J392" s="31">
        <v>99</v>
      </c>
      <c r="K392" s="33" t="s">
        <v>1772</v>
      </c>
      <c r="L392" s="33">
        <v>40</v>
      </c>
      <c r="M392" s="34" t="s">
        <v>1773</v>
      </c>
      <c r="N392" s="34" t="s">
        <v>1799</v>
      </c>
      <c r="O392" s="35">
        <v>1</v>
      </c>
      <c r="P392" s="35"/>
      <c r="Q392" s="32"/>
      <c r="S392" s="1">
        <f t="shared" si="139"/>
        <v>0</v>
      </c>
      <c r="T392" s="1">
        <f t="shared" si="140"/>
        <v>0</v>
      </c>
      <c r="U392" s="1">
        <f t="shared" si="141"/>
        <v>0</v>
      </c>
      <c r="V392" s="1">
        <f t="shared" si="142"/>
        <v>0</v>
      </c>
      <c r="W392" s="1">
        <f t="shared" si="143"/>
        <v>0</v>
      </c>
      <c r="X392" s="1">
        <f t="shared" si="144"/>
        <v>0</v>
      </c>
      <c r="Y392" s="1">
        <f t="shared" si="145"/>
        <v>0</v>
      </c>
      <c r="Z392" s="1">
        <f t="shared" si="146"/>
        <v>0</v>
      </c>
      <c r="AA392" s="1">
        <f t="shared" si="147"/>
        <v>0</v>
      </c>
      <c r="AB392" s="1">
        <f t="shared" si="148"/>
        <v>0</v>
      </c>
      <c r="AD392" s="1">
        <f t="shared" si="149"/>
        <v>0</v>
      </c>
      <c r="AE392" s="1">
        <f t="shared" si="150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608</v>
      </c>
      <c r="E393" s="32" t="s">
        <v>677</v>
      </c>
      <c r="F393" s="32" t="s">
        <v>609</v>
      </c>
      <c r="G393" s="32" t="s">
        <v>285</v>
      </c>
      <c r="H393" s="32" t="s">
        <v>352</v>
      </c>
      <c r="I393" s="31" t="s">
        <v>610</v>
      </c>
      <c r="J393" s="31">
        <v>99</v>
      </c>
      <c r="K393" s="33" t="s">
        <v>703</v>
      </c>
      <c r="L393" s="33" t="s">
        <v>695</v>
      </c>
      <c r="M393" s="34" t="s">
        <v>1389</v>
      </c>
      <c r="N393" s="34" t="s">
        <v>1696</v>
      </c>
      <c r="O393" s="35">
        <v>1</v>
      </c>
      <c r="P393" s="35"/>
      <c r="Q393" s="32"/>
      <c r="S393" s="1">
        <f t="shared" si="139"/>
        <v>0</v>
      </c>
      <c r="T393" s="1">
        <f t="shared" si="140"/>
        <v>0</v>
      </c>
      <c r="U393" s="1">
        <f t="shared" si="141"/>
        <v>0</v>
      </c>
      <c r="V393" s="1">
        <f t="shared" si="142"/>
        <v>0</v>
      </c>
      <c r="W393" s="1">
        <f t="shared" si="143"/>
        <v>0</v>
      </c>
      <c r="X393" s="1">
        <f t="shared" si="144"/>
        <v>0</v>
      </c>
      <c r="Y393" s="1">
        <f t="shared" si="145"/>
        <v>0</v>
      </c>
      <c r="Z393" s="1">
        <f t="shared" si="146"/>
        <v>0</v>
      </c>
      <c r="AA393" s="1">
        <f t="shared" si="147"/>
        <v>0</v>
      </c>
      <c r="AB393" s="1">
        <f t="shared" si="148"/>
        <v>0</v>
      </c>
      <c r="AD393" s="1">
        <f t="shared" si="149"/>
        <v>0</v>
      </c>
      <c r="AE393" s="1">
        <f t="shared" si="150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1451</v>
      </c>
      <c r="E394" s="32" t="s">
        <v>753</v>
      </c>
      <c r="F394" s="32" t="s">
        <v>1452</v>
      </c>
      <c r="G394" s="32" t="s">
        <v>195</v>
      </c>
      <c r="H394" s="32" t="s">
        <v>352</v>
      </c>
      <c r="I394" s="31" t="s">
        <v>1453</v>
      </c>
      <c r="J394" s="31">
        <v>99</v>
      </c>
      <c r="K394" s="33" t="s">
        <v>931</v>
      </c>
      <c r="L394" s="33" t="s">
        <v>684</v>
      </c>
      <c r="M394" s="34" t="s">
        <v>1380</v>
      </c>
      <c r="N394" s="34" t="s">
        <v>1696</v>
      </c>
      <c r="O394" s="35">
        <v>1</v>
      </c>
      <c r="P394" s="35"/>
      <c r="Q394" s="32"/>
      <c r="S394" s="1">
        <f t="shared" si="139"/>
        <v>0</v>
      </c>
      <c r="T394" s="1">
        <f t="shared" si="140"/>
        <v>0</v>
      </c>
      <c r="U394" s="1">
        <f t="shared" si="141"/>
        <v>0</v>
      </c>
      <c r="V394" s="1">
        <f t="shared" si="142"/>
        <v>0</v>
      </c>
      <c r="W394" s="1">
        <f t="shared" si="143"/>
        <v>0</v>
      </c>
      <c r="X394" s="1">
        <f t="shared" si="144"/>
        <v>0</v>
      </c>
      <c r="Y394" s="1">
        <f t="shared" si="145"/>
        <v>0</v>
      </c>
      <c r="Z394" s="1">
        <f t="shared" si="146"/>
        <v>0</v>
      </c>
      <c r="AA394" s="1">
        <f t="shared" si="147"/>
        <v>0</v>
      </c>
      <c r="AB394" s="1">
        <f t="shared" si="148"/>
        <v>0</v>
      </c>
      <c r="AD394" s="1">
        <f t="shared" si="149"/>
        <v>0</v>
      </c>
      <c r="AE394" s="1">
        <f t="shared" si="150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756</v>
      </c>
      <c r="E395" s="32" t="s">
        <v>753</v>
      </c>
      <c r="F395" s="32" t="s">
        <v>758</v>
      </c>
      <c r="G395" s="32" t="s">
        <v>206</v>
      </c>
      <c r="H395" s="32" t="s">
        <v>352</v>
      </c>
      <c r="I395" s="31" t="s">
        <v>757</v>
      </c>
      <c r="J395" s="31">
        <v>99</v>
      </c>
      <c r="K395" s="33" t="s">
        <v>703</v>
      </c>
      <c r="L395" s="33" t="s">
        <v>685</v>
      </c>
      <c r="M395" s="34" t="s">
        <v>1390</v>
      </c>
      <c r="N395" s="34" t="s">
        <v>1696</v>
      </c>
      <c r="O395" s="35">
        <v>1</v>
      </c>
      <c r="P395" s="35"/>
      <c r="Q395" s="32"/>
      <c r="S395" s="1">
        <f t="shared" si="139"/>
        <v>0</v>
      </c>
      <c r="T395" s="1">
        <f t="shared" si="140"/>
        <v>0</v>
      </c>
      <c r="U395" s="1">
        <f t="shared" si="141"/>
        <v>0</v>
      </c>
      <c r="V395" s="1">
        <f t="shared" si="142"/>
        <v>0</v>
      </c>
      <c r="W395" s="1">
        <f t="shared" si="143"/>
        <v>0</v>
      </c>
      <c r="X395" s="1">
        <f t="shared" si="144"/>
        <v>0</v>
      </c>
      <c r="Y395" s="1">
        <f t="shared" si="145"/>
        <v>0</v>
      </c>
      <c r="Z395" s="1">
        <f t="shared" si="146"/>
        <v>0</v>
      </c>
      <c r="AA395" s="1">
        <f t="shared" si="147"/>
        <v>0</v>
      </c>
      <c r="AB395" s="1">
        <f t="shared" si="148"/>
        <v>0</v>
      </c>
      <c r="AD395" s="1">
        <f t="shared" si="149"/>
        <v>0</v>
      </c>
      <c r="AE395" s="1">
        <f t="shared" si="150"/>
        <v>1</v>
      </c>
      <c r="AF395" s="1">
        <f t="shared" si="151"/>
        <v>0</v>
      </c>
      <c r="AG395" s="1">
        <f t="shared" si="152"/>
        <v>1</v>
      </c>
      <c r="AH395" s="1">
        <f t="shared" si="153"/>
        <v>0</v>
      </c>
      <c r="AI395" s="1">
        <f t="shared" si="154"/>
        <v>1</v>
      </c>
    </row>
    <row r="396" spans="1:35" s="1" customFormat="1" ht="14.25" customHeight="1" x14ac:dyDescent="0.25">
      <c r="A396" s="31">
        <v>1</v>
      </c>
      <c r="B396" s="31">
        <v>2</v>
      </c>
      <c r="C396" s="31">
        <v>5</v>
      </c>
      <c r="D396" s="32" t="s">
        <v>756</v>
      </c>
      <c r="E396" s="32" t="s">
        <v>753</v>
      </c>
      <c r="F396" s="32" t="s">
        <v>983</v>
      </c>
      <c r="G396" s="32" t="s">
        <v>189</v>
      </c>
      <c r="H396" s="32" t="s">
        <v>352</v>
      </c>
      <c r="I396" s="31" t="s">
        <v>984</v>
      </c>
      <c r="J396" s="31">
        <v>99</v>
      </c>
      <c r="K396" s="33" t="s">
        <v>703</v>
      </c>
      <c r="L396" s="33" t="s">
        <v>685</v>
      </c>
      <c r="M396" s="34" t="s">
        <v>1390</v>
      </c>
      <c r="N396" s="34" t="s">
        <v>1696</v>
      </c>
      <c r="O396" s="35">
        <v>1</v>
      </c>
      <c r="P396" s="35"/>
      <c r="Q396" s="32"/>
      <c r="S396" s="1">
        <f t="shared" si="139"/>
        <v>0</v>
      </c>
      <c r="T396" s="1">
        <f t="shared" si="140"/>
        <v>0</v>
      </c>
      <c r="U396" s="1">
        <f t="shared" si="141"/>
        <v>0</v>
      </c>
      <c r="V396" s="1">
        <f t="shared" si="142"/>
        <v>0</v>
      </c>
      <c r="W396" s="1">
        <f t="shared" si="143"/>
        <v>0</v>
      </c>
      <c r="X396" s="1">
        <f t="shared" si="144"/>
        <v>0</v>
      </c>
      <c r="Y396" s="1">
        <f t="shared" si="145"/>
        <v>0</v>
      </c>
      <c r="Z396" s="1">
        <f t="shared" si="146"/>
        <v>0</v>
      </c>
      <c r="AA396" s="1">
        <f t="shared" si="147"/>
        <v>0</v>
      </c>
      <c r="AB396" s="1">
        <f t="shared" si="148"/>
        <v>0</v>
      </c>
      <c r="AD396" s="1">
        <f t="shared" si="149"/>
        <v>0</v>
      </c>
      <c r="AE396" s="1">
        <f t="shared" si="150"/>
        <v>1</v>
      </c>
      <c r="AF396" s="1">
        <f t="shared" si="151"/>
        <v>0</v>
      </c>
      <c r="AG396" s="1">
        <f t="shared" si="152"/>
        <v>0</v>
      </c>
      <c r="AH396" s="1">
        <f t="shared" si="153"/>
        <v>0</v>
      </c>
      <c r="AI396" s="1">
        <f t="shared" si="154"/>
        <v>0</v>
      </c>
    </row>
    <row r="397" spans="1:35" s="1" customFormat="1" ht="14.25" customHeight="1" x14ac:dyDescent="0.25">
      <c r="A397" s="15">
        <v>0</v>
      </c>
      <c r="B397" s="15">
        <v>2</v>
      </c>
      <c r="C397" s="15">
        <v>5</v>
      </c>
      <c r="D397" s="16" t="s">
        <v>895</v>
      </c>
      <c r="E397" s="16" t="s">
        <v>890</v>
      </c>
      <c r="F397" s="16" t="s">
        <v>908</v>
      </c>
      <c r="G397" s="16" t="s">
        <v>1317</v>
      </c>
      <c r="H397" s="16" t="s">
        <v>352</v>
      </c>
      <c r="I397" s="15" t="s">
        <v>751</v>
      </c>
      <c r="J397" s="15">
        <v>99</v>
      </c>
      <c r="K397" s="10" t="s">
        <v>694</v>
      </c>
      <c r="L397" s="10">
        <v>20</v>
      </c>
      <c r="M397" s="19" t="s">
        <v>1391</v>
      </c>
      <c r="N397" s="19"/>
      <c r="Q397" s="16"/>
      <c r="S397" s="1">
        <f t="shared" si="139"/>
        <v>0</v>
      </c>
      <c r="T397" s="1">
        <f t="shared" si="140"/>
        <v>0</v>
      </c>
      <c r="U397" s="1">
        <f t="shared" si="141"/>
        <v>0</v>
      </c>
      <c r="V397" s="1">
        <f t="shared" si="142"/>
        <v>0</v>
      </c>
      <c r="W397" s="1">
        <f t="shared" si="143"/>
        <v>0</v>
      </c>
      <c r="X397" s="1">
        <f t="shared" si="144"/>
        <v>0</v>
      </c>
      <c r="Y397" s="1">
        <f t="shared" si="145"/>
        <v>0</v>
      </c>
      <c r="Z397" s="1">
        <f t="shared" si="146"/>
        <v>0</v>
      </c>
      <c r="AA397" s="1">
        <f t="shared" si="147"/>
        <v>0</v>
      </c>
      <c r="AB397" s="1">
        <f t="shared" si="148"/>
        <v>0</v>
      </c>
      <c r="AD397" s="1">
        <f t="shared" si="149"/>
        <v>0</v>
      </c>
      <c r="AE397" s="1">
        <f t="shared" si="150"/>
        <v>0</v>
      </c>
      <c r="AF397" s="1">
        <f t="shared" si="151"/>
        <v>0</v>
      </c>
      <c r="AG397" s="1">
        <f t="shared" si="152"/>
        <v>0</v>
      </c>
      <c r="AH397" s="1">
        <f t="shared" si="153"/>
        <v>0</v>
      </c>
      <c r="AI397" s="1">
        <f t="shared" si="154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2" t="s">
        <v>1870</v>
      </c>
      <c r="E398" s="32"/>
      <c r="F398" s="32" t="s">
        <v>1871</v>
      </c>
      <c r="G398" s="32" t="s">
        <v>207</v>
      </c>
      <c r="H398" s="32" t="s">
        <v>352</v>
      </c>
      <c r="I398" s="31" t="s">
        <v>1872</v>
      </c>
      <c r="J398" s="31">
        <v>3</v>
      </c>
      <c r="K398" s="33" t="s">
        <v>694</v>
      </c>
      <c r="L398" s="33"/>
      <c r="M398" s="34"/>
      <c r="N398" s="34" t="s">
        <v>1687</v>
      </c>
      <c r="O398" s="35">
        <v>1</v>
      </c>
      <c r="P398" s="35">
        <v>1</v>
      </c>
      <c r="Q398" s="32" t="s">
        <v>1873</v>
      </c>
      <c r="S398" s="1">
        <f t="shared" si="139"/>
        <v>0</v>
      </c>
      <c r="T398" s="1">
        <f t="shared" si="140"/>
        <v>0</v>
      </c>
      <c r="U398" s="1">
        <f t="shared" si="141"/>
        <v>1</v>
      </c>
      <c r="V398" s="1">
        <f t="shared" si="142"/>
        <v>0</v>
      </c>
      <c r="W398" s="1">
        <f t="shared" si="143"/>
        <v>0</v>
      </c>
      <c r="X398" s="1">
        <f t="shared" si="144"/>
        <v>0</v>
      </c>
      <c r="Y398" s="1">
        <f t="shared" si="145"/>
        <v>0</v>
      </c>
      <c r="Z398" s="1">
        <f t="shared" si="146"/>
        <v>0</v>
      </c>
      <c r="AA398" s="1">
        <f t="shared" si="147"/>
        <v>0</v>
      </c>
      <c r="AB398" s="1">
        <f t="shared" si="148"/>
        <v>0</v>
      </c>
      <c r="AD398" s="1">
        <f t="shared" si="149"/>
        <v>1</v>
      </c>
      <c r="AE398" s="1">
        <f t="shared" si="150"/>
        <v>0</v>
      </c>
      <c r="AF398" s="1">
        <f t="shared" si="151"/>
        <v>1</v>
      </c>
      <c r="AG398" s="1">
        <f t="shared" si="152"/>
        <v>0</v>
      </c>
      <c r="AH398" s="1">
        <f t="shared" si="153"/>
        <v>1</v>
      </c>
      <c r="AI398" s="1">
        <f t="shared" si="154"/>
        <v>0</v>
      </c>
    </row>
    <row r="399" spans="1:35" s="1" customFormat="1" ht="14.25" customHeight="1" x14ac:dyDescent="0.25">
      <c r="A399" s="31">
        <v>0</v>
      </c>
      <c r="B399" s="31">
        <v>2</v>
      </c>
      <c r="C399" s="31">
        <v>5</v>
      </c>
      <c r="D399" s="32" t="s">
        <v>1238</v>
      </c>
      <c r="E399" s="32" t="s">
        <v>1239</v>
      </c>
      <c r="F399" s="32" t="s">
        <v>1240</v>
      </c>
      <c r="G399" s="32" t="s">
        <v>219</v>
      </c>
      <c r="H399" s="32" t="s">
        <v>352</v>
      </c>
      <c r="I399" s="31" t="s">
        <v>1683</v>
      </c>
      <c r="J399" s="31">
        <v>8</v>
      </c>
      <c r="K399" s="33" t="s">
        <v>704</v>
      </c>
      <c r="L399" s="33" t="s">
        <v>39</v>
      </c>
      <c r="M399" s="34" t="s">
        <v>39</v>
      </c>
      <c r="N399" s="34" t="s">
        <v>1687</v>
      </c>
      <c r="O399" s="35">
        <v>1</v>
      </c>
      <c r="P399" s="35">
        <v>1</v>
      </c>
      <c r="Q399" s="32"/>
      <c r="S399" s="1">
        <f t="shared" si="139"/>
        <v>0</v>
      </c>
      <c r="T399" s="1">
        <f t="shared" si="140"/>
        <v>0</v>
      </c>
      <c r="U399" s="1">
        <f t="shared" si="141"/>
        <v>0</v>
      </c>
      <c r="V399" s="1">
        <f t="shared" si="142"/>
        <v>0</v>
      </c>
      <c r="W399" s="1">
        <f t="shared" si="143"/>
        <v>0</v>
      </c>
      <c r="X399" s="1">
        <f t="shared" si="144"/>
        <v>0</v>
      </c>
      <c r="Y399" s="1">
        <f t="shared" si="145"/>
        <v>0</v>
      </c>
      <c r="Z399" s="1">
        <f t="shared" si="146"/>
        <v>1</v>
      </c>
      <c r="AA399" s="1">
        <f t="shared" si="147"/>
        <v>0</v>
      </c>
      <c r="AB399" s="1">
        <f t="shared" si="148"/>
        <v>0</v>
      </c>
      <c r="AD399" s="1">
        <f t="shared" si="149"/>
        <v>1</v>
      </c>
      <c r="AE399" s="1">
        <f t="shared" si="150"/>
        <v>0</v>
      </c>
      <c r="AF399" s="1">
        <f t="shared" si="151"/>
        <v>1</v>
      </c>
      <c r="AG399" s="1">
        <f t="shared" si="152"/>
        <v>0</v>
      </c>
      <c r="AH399" s="1">
        <f t="shared" si="153"/>
        <v>1</v>
      </c>
      <c r="AI399" s="1">
        <f t="shared" si="154"/>
        <v>0</v>
      </c>
    </row>
    <row r="400" spans="1:35" s="1" customFormat="1" ht="14.25" customHeight="1" x14ac:dyDescent="0.25">
      <c r="A400" s="31">
        <v>0</v>
      </c>
      <c r="B400" s="31">
        <v>2</v>
      </c>
      <c r="C400" s="31">
        <v>5</v>
      </c>
      <c r="D400" s="32" t="s">
        <v>1059</v>
      </c>
      <c r="E400" s="32" t="s">
        <v>154</v>
      </c>
      <c r="F400" s="32" t="s">
        <v>1043</v>
      </c>
      <c r="G400" s="32" t="s">
        <v>319</v>
      </c>
      <c r="H400" s="32" t="s">
        <v>352</v>
      </c>
      <c r="I400" s="31" t="s">
        <v>1044</v>
      </c>
      <c r="J400" s="31">
        <v>99</v>
      </c>
      <c r="K400" s="33" t="s">
        <v>704</v>
      </c>
      <c r="L400" s="33" t="s">
        <v>685</v>
      </c>
      <c r="M400" s="34" t="s">
        <v>1392</v>
      </c>
      <c r="N400" s="34" t="s">
        <v>1708</v>
      </c>
      <c r="O400" s="35">
        <v>1</v>
      </c>
      <c r="P400" s="35"/>
      <c r="Q400" s="32"/>
      <c r="S400" s="1">
        <f t="shared" si="139"/>
        <v>0</v>
      </c>
      <c r="T400" s="1">
        <f t="shared" si="140"/>
        <v>0</v>
      </c>
      <c r="U400" s="1">
        <f t="shared" si="141"/>
        <v>0</v>
      </c>
      <c r="V400" s="1">
        <f t="shared" si="142"/>
        <v>0</v>
      </c>
      <c r="W400" s="1">
        <f t="shared" si="143"/>
        <v>0</v>
      </c>
      <c r="X400" s="1">
        <f t="shared" si="144"/>
        <v>0</v>
      </c>
      <c r="Y400" s="1">
        <f t="shared" si="145"/>
        <v>0</v>
      </c>
      <c r="Z400" s="1">
        <f t="shared" si="146"/>
        <v>0</v>
      </c>
      <c r="AA400" s="1">
        <f t="shared" si="147"/>
        <v>0</v>
      </c>
      <c r="AB400" s="1">
        <f t="shared" si="148"/>
        <v>0</v>
      </c>
      <c r="AD400" s="1">
        <f t="shared" si="149"/>
        <v>0</v>
      </c>
      <c r="AE400" s="1">
        <f t="shared" si="150"/>
        <v>1</v>
      </c>
      <c r="AF400" s="1">
        <f t="shared" si="151"/>
        <v>0</v>
      </c>
      <c r="AG400" s="1">
        <f t="shared" si="152"/>
        <v>1</v>
      </c>
      <c r="AH400" s="1">
        <f t="shared" si="153"/>
        <v>0</v>
      </c>
      <c r="AI400" s="1">
        <f t="shared" si="154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5</v>
      </c>
      <c r="D401" s="32" t="s">
        <v>777</v>
      </c>
      <c r="E401" s="32" t="s">
        <v>753</v>
      </c>
      <c r="F401" s="32" t="s">
        <v>911</v>
      </c>
      <c r="G401" s="32" t="s">
        <v>219</v>
      </c>
      <c r="H401" s="32" t="s">
        <v>352</v>
      </c>
      <c r="I401" s="31" t="s">
        <v>778</v>
      </c>
      <c r="J401" s="31">
        <v>8</v>
      </c>
      <c r="K401" s="33" t="s">
        <v>694</v>
      </c>
      <c r="L401" s="33">
        <v>20</v>
      </c>
      <c r="M401" s="34" t="s">
        <v>1383</v>
      </c>
      <c r="N401" s="34" t="s">
        <v>1775</v>
      </c>
      <c r="O401" s="35">
        <v>1</v>
      </c>
      <c r="P401" s="35"/>
      <c r="Q401" s="32"/>
      <c r="S401" s="1">
        <f t="shared" si="139"/>
        <v>0</v>
      </c>
      <c r="T401" s="1">
        <f t="shared" si="140"/>
        <v>0</v>
      </c>
      <c r="U401" s="1">
        <f t="shared" si="141"/>
        <v>0</v>
      </c>
      <c r="V401" s="1">
        <f t="shared" si="142"/>
        <v>0</v>
      </c>
      <c r="W401" s="1">
        <f t="shared" si="143"/>
        <v>0</v>
      </c>
      <c r="X401" s="1">
        <f t="shared" si="144"/>
        <v>0</v>
      </c>
      <c r="Y401" s="1">
        <f t="shared" si="145"/>
        <v>0</v>
      </c>
      <c r="Z401" s="1">
        <f t="shared" si="146"/>
        <v>1</v>
      </c>
      <c r="AA401" s="1">
        <f t="shared" si="147"/>
        <v>0</v>
      </c>
      <c r="AB401" s="1">
        <f t="shared" si="148"/>
        <v>0</v>
      </c>
      <c r="AD401" s="1">
        <f t="shared" si="149"/>
        <v>0</v>
      </c>
      <c r="AE401" s="1">
        <f t="shared" si="150"/>
        <v>1</v>
      </c>
      <c r="AF401" s="1">
        <f t="shared" si="151"/>
        <v>0</v>
      </c>
      <c r="AG401" s="1">
        <f t="shared" si="152"/>
        <v>1</v>
      </c>
      <c r="AH401" s="1">
        <f t="shared" si="153"/>
        <v>0</v>
      </c>
      <c r="AI401" s="1">
        <f t="shared" si="154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5</v>
      </c>
      <c r="D402" s="32" t="s">
        <v>79</v>
      </c>
      <c r="E402" s="32" t="s">
        <v>158</v>
      </c>
      <c r="F402" s="32" t="s">
        <v>267</v>
      </c>
      <c r="G402" s="32" t="s">
        <v>212</v>
      </c>
      <c r="H402" s="32" t="s">
        <v>352</v>
      </c>
      <c r="I402" s="31" t="s">
        <v>423</v>
      </c>
      <c r="J402" s="31">
        <v>1</v>
      </c>
      <c r="K402" s="33" t="s">
        <v>932</v>
      </c>
      <c r="L402" s="33" t="s">
        <v>695</v>
      </c>
      <c r="M402" s="34" t="s">
        <v>718</v>
      </c>
      <c r="N402" s="34" t="s">
        <v>1696</v>
      </c>
      <c r="O402" s="35">
        <v>1</v>
      </c>
      <c r="P402" s="35"/>
      <c r="Q402" s="32"/>
      <c r="S402" s="1">
        <f t="shared" si="139"/>
        <v>1</v>
      </c>
      <c r="T402" s="1">
        <f t="shared" si="140"/>
        <v>0</v>
      </c>
      <c r="U402" s="1">
        <f t="shared" si="141"/>
        <v>0</v>
      </c>
      <c r="V402" s="1">
        <f t="shared" si="142"/>
        <v>0</v>
      </c>
      <c r="W402" s="1">
        <f t="shared" si="143"/>
        <v>0</v>
      </c>
      <c r="X402" s="1">
        <f t="shared" si="144"/>
        <v>0</v>
      </c>
      <c r="Y402" s="1">
        <f t="shared" si="145"/>
        <v>0</v>
      </c>
      <c r="Z402" s="1">
        <f t="shared" si="146"/>
        <v>0</v>
      </c>
      <c r="AA402" s="1">
        <f t="shared" si="147"/>
        <v>0</v>
      </c>
      <c r="AB402" s="1">
        <f t="shared" si="148"/>
        <v>0</v>
      </c>
      <c r="AD402" s="1">
        <f t="shared" si="149"/>
        <v>0</v>
      </c>
      <c r="AE402" s="1">
        <f t="shared" si="150"/>
        <v>1</v>
      </c>
      <c r="AF402" s="1">
        <f t="shared" si="151"/>
        <v>0</v>
      </c>
      <c r="AG402" s="1">
        <f t="shared" si="152"/>
        <v>1</v>
      </c>
      <c r="AH402" s="1">
        <f t="shared" si="153"/>
        <v>0</v>
      </c>
      <c r="AI402" s="1">
        <f t="shared" si="154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5</v>
      </c>
      <c r="D403" s="36" t="s">
        <v>2092</v>
      </c>
      <c r="E403" s="36" t="s">
        <v>812</v>
      </c>
      <c r="F403" s="36" t="s">
        <v>2093</v>
      </c>
      <c r="G403" s="36" t="s">
        <v>202</v>
      </c>
      <c r="H403" s="36" t="s">
        <v>352</v>
      </c>
      <c r="I403" s="37" t="s">
        <v>2094</v>
      </c>
      <c r="J403" s="31">
        <v>99</v>
      </c>
      <c r="K403" s="33" t="s">
        <v>694</v>
      </c>
      <c r="L403" s="33"/>
      <c r="M403" s="34"/>
      <c r="N403" s="34" t="s">
        <v>1687</v>
      </c>
      <c r="O403" s="35">
        <v>1</v>
      </c>
      <c r="P403" s="35">
        <v>1</v>
      </c>
      <c r="Q403" s="32"/>
      <c r="S403" s="1">
        <f t="shared" si="139"/>
        <v>0</v>
      </c>
      <c r="T403" s="1">
        <f t="shared" si="140"/>
        <v>0</v>
      </c>
      <c r="U403" s="1">
        <f t="shared" si="141"/>
        <v>0</v>
      </c>
      <c r="V403" s="1">
        <f t="shared" si="142"/>
        <v>0</v>
      </c>
      <c r="W403" s="1">
        <f t="shared" si="143"/>
        <v>0</v>
      </c>
      <c r="X403" s="1">
        <f t="shared" si="144"/>
        <v>0</v>
      </c>
      <c r="Y403" s="1">
        <f t="shared" si="145"/>
        <v>0</v>
      </c>
      <c r="Z403" s="1">
        <f t="shared" si="146"/>
        <v>0</v>
      </c>
      <c r="AA403" s="1">
        <f t="shared" si="147"/>
        <v>0</v>
      </c>
      <c r="AB403" s="1">
        <f t="shared" si="148"/>
        <v>0</v>
      </c>
      <c r="AD403" s="1">
        <f t="shared" si="149"/>
        <v>1</v>
      </c>
      <c r="AE403" s="1">
        <f t="shared" si="150"/>
        <v>0</v>
      </c>
      <c r="AF403" s="1">
        <f t="shared" si="151"/>
        <v>1</v>
      </c>
      <c r="AG403" s="1">
        <f t="shared" si="152"/>
        <v>0</v>
      </c>
      <c r="AH403" s="1">
        <f t="shared" si="153"/>
        <v>1</v>
      </c>
      <c r="AI403" s="1">
        <f t="shared" si="154"/>
        <v>0</v>
      </c>
    </row>
    <row r="404" spans="1:35" s="1" customFormat="1" ht="14.25" customHeight="1" x14ac:dyDescent="0.25">
      <c r="A404" s="31">
        <v>0</v>
      </c>
      <c r="B404" s="31">
        <v>2</v>
      </c>
      <c r="C404" s="31">
        <v>5</v>
      </c>
      <c r="D404" s="32" t="s">
        <v>2028</v>
      </c>
      <c r="E404" s="32" t="s">
        <v>171</v>
      </c>
      <c r="F404" s="32" t="s">
        <v>2029</v>
      </c>
      <c r="G404" s="32" t="s">
        <v>206</v>
      </c>
      <c r="H404" s="32" t="s">
        <v>352</v>
      </c>
      <c r="I404" s="31" t="s">
        <v>2030</v>
      </c>
      <c r="J404" s="31">
        <v>99</v>
      </c>
      <c r="K404" s="33" t="s">
        <v>694</v>
      </c>
      <c r="L404" s="33">
        <v>30</v>
      </c>
      <c r="M404" s="34" t="s">
        <v>947</v>
      </c>
      <c r="N404" s="34" t="s">
        <v>1696</v>
      </c>
      <c r="O404" s="35">
        <v>1</v>
      </c>
      <c r="P404" s="35"/>
      <c r="Q404" s="32" t="s">
        <v>2031</v>
      </c>
      <c r="S404" s="1">
        <f t="shared" si="139"/>
        <v>0</v>
      </c>
      <c r="T404" s="1">
        <f t="shared" si="140"/>
        <v>0</v>
      </c>
      <c r="U404" s="1">
        <f t="shared" si="141"/>
        <v>0</v>
      </c>
      <c r="V404" s="1">
        <f t="shared" si="142"/>
        <v>0</v>
      </c>
      <c r="W404" s="1">
        <f t="shared" si="143"/>
        <v>0</v>
      </c>
      <c r="X404" s="1">
        <f t="shared" si="144"/>
        <v>0</v>
      </c>
      <c r="Y404" s="1">
        <f t="shared" si="145"/>
        <v>0</v>
      </c>
      <c r="Z404" s="1">
        <f t="shared" si="146"/>
        <v>0</v>
      </c>
      <c r="AA404" s="1">
        <f t="shared" si="147"/>
        <v>0</v>
      </c>
      <c r="AB404" s="1">
        <f t="shared" si="148"/>
        <v>0</v>
      </c>
      <c r="AD404" s="1">
        <f t="shared" si="149"/>
        <v>0</v>
      </c>
      <c r="AE404" s="1">
        <f t="shared" si="150"/>
        <v>1</v>
      </c>
      <c r="AF404" s="1">
        <f t="shared" si="151"/>
        <v>0</v>
      </c>
      <c r="AG404" s="1">
        <f t="shared" si="152"/>
        <v>1</v>
      </c>
      <c r="AH404" s="1">
        <f t="shared" si="153"/>
        <v>0</v>
      </c>
      <c r="AI404" s="1">
        <f t="shared" si="154"/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5</v>
      </c>
      <c r="D405" s="32" t="s">
        <v>1603</v>
      </c>
      <c r="E405" s="32" t="s">
        <v>1615</v>
      </c>
      <c r="F405" s="32" t="s">
        <v>1512</v>
      </c>
      <c r="G405" s="32" t="s">
        <v>261</v>
      </c>
      <c r="H405" s="32" t="s">
        <v>352</v>
      </c>
      <c r="I405" s="31" t="s">
        <v>1513</v>
      </c>
      <c r="J405" s="31">
        <v>99</v>
      </c>
      <c r="K405" s="33" t="s">
        <v>932</v>
      </c>
      <c r="L405" s="33">
        <v>40</v>
      </c>
      <c r="M405" s="34" t="s">
        <v>39</v>
      </c>
      <c r="N405" s="34" t="s">
        <v>1775</v>
      </c>
      <c r="O405" s="35">
        <v>1</v>
      </c>
      <c r="P405" s="35"/>
      <c r="Q405" s="32"/>
      <c r="S405" s="1">
        <f t="shared" si="139"/>
        <v>0</v>
      </c>
      <c r="T405" s="1">
        <f t="shared" si="140"/>
        <v>0</v>
      </c>
      <c r="U405" s="1">
        <f t="shared" si="141"/>
        <v>0</v>
      </c>
      <c r="V405" s="1">
        <f t="shared" si="142"/>
        <v>0</v>
      </c>
      <c r="W405" s="1">
        <f t="shared" si="143"/>
        <v>0</v>
      </c>
      <c r="X405" s="1">
        <f t="shared" si="144"/>
        <v>0</v>
      </c>
      <c r="Y405" s="1">
        <f t="shared" si="145"/>
        <v>0</v>
      </c>
      <c r="Z405" s="1">
        <f t="shared" si="146"/>
        <v>0</v>
      </c>
      <c r="AA405" s="1">
        <f t="shared" si="147"/>
        <v>0</v>
      </c>
      <c r="AB405" s="1">
        <f t="shared" si="148"/>
        <v>0</v>
      </c>
      <c r="AD405" s="1">
        <f t="shared" si="149"/>
        <v>0</v>
      </c>
      <c r="AE405" s="1">
        <f t="shared" si="150"/>
        <v>1</v>
      </c>
      <c r="AF405" s="1">
        <f t="shared" si="151"/>
        <v>0</v>
      </c>
      <c r="AG405" s="1">
        <f t="shared" si="152"/>
        <v>1</v>
      </c>
      <c r="AH405" s="1">
        <f t="shared" si="153"/>
        <v>0</v>
      </c>
      <c r="AI405" s="1">
        <f t="shared" si="154"/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5</v>
      </c>
      <c r="D406" s="32" t="s">
        <v>1265</v>
      </c>
      <c r="E406" s="32" t="s">
        <v>27</v>
      </c>
      <c r="F406" s="32" t="s">
        <v>1266</v>
      </c>
      <c r="G406" s="32" t="s">
        <v>1267</v>
      </c>
      <c r="H406" s="32" t="s">
        <v>352</v>
      </c>
      <c r="I406" s="31" t="s">
        <v>1268</v>
      </c>
      <c r="J406" s="31">
        <v>99</v>
      </c>
      <c r="K406" s="33" t="s">
        <v>932</v>
      </c>
      <c r="L406" s="33" t="s">
        <v>39</v>
      </c>
      <c r="M406" s="34" t="s">
        <v>39</v>
      </c>
      <c r="N406" s="34" t="s">
        <v>1687</v>
      </c>
      <c r="O406" s="35">
        <v>1</v>
      </c>
      <c r="P406" s="35">
        <v>1</v>
      </c>
      <c r="Q406" s="36"/>
      <c r="S406" s="1">
        <f t="shared" si="139"/>
        <v>0</v>
      </c>
      <c r="T406" s="1">
        <f t="shared" si="140"/>
        <v>0</v>
      </c>
      <c r="U406" s="1">
        <f t="shared" si="141"/>
        <v>0</v>
      </c>
      <c r="V406" s="1">
        <f t="shared" si="142"/>
        <v>0</v>
      </c>
      <c r="W406" s="1">
        <f t="shared" si="143"/>
        <v>0</v>
      </c>
      <c r="X406" s="1">
        <f t="shared" si="144"/>
        <v>0</v>
      </c>
      <c r="Y406" s="1">
        <f t="shared" si="145"/>
        <v>0</v>
      </c>
      <c r="Z406" s="1">
        <f t="shared" si="146"/>
        <v>0</v>
      </c>
      <c r="AA406" s="1">
        <f t="shared" si="147"/>
        <v>0</v>
      </c>
      <c r="AB406" s="1">
        <f t="shared" si="148"/>
        <v>0</v>
      </c>
      <c r="AD406" s="1">
        <f t="shared" si="149"/>
        <v>1</v>
      </c>
      <c r="AE406" s="1">
        <f t="shared" si="150"/>
        <v>0</v>
      </c>
      <c r="AF406" s="1">
        <f t="shared" si="151"/>
        <v>1</v>
      </c>
      <c r="AG406" s="1">
        <f t="shared" si="152"/>
        <v>0</v>
      </c>
      <c r="AH406" s="1">
        <f t="shared" si="153"/>
        <v>1</v>
      </c>
      <c r="AI406" s="1">
        <f t="shared" si="154"/>
        <v>0</v>
      </c>
    </row>
    <row r="407" spans="1:35" s="1" customFormat="1" ht="14.25" customHeight="1" x14ac:dyDescent="0.25">
      <c r="A407" s="15">
        <v>0</v>
      </c>
      <c r="B407" s="15">
        <v>2</v>
      </c>
      <c r="C407" s="15">
        <v>5</v>
      </c>
      <c r="D407" s="16" t="s">
        <v>1564</v>
      </c>
      <c r="E407" s="16" t="s">
        <v>158</v>
      </c>
      <c r="F407" s="16" t="s">
        <v>2091</v>
      </c>
      <c r="G407" s="16" t="s">
        <v>1431</v>
      </c>
      <c r="H407" s="16" t="s">
        <v>352</v>
      </c>
      <c r="I407" s="15" t="s">
        <v>1432</v>
      </c>
      <c r="J407" s="15">
        <v>99</v>
      </c>
      <c r="K407" s="10" t="s">
        <v>704</v>
      </c>
      <c r="L407" s="10" t="s">
        <v>687</v>
      </c>
      <c r="M407" s="19" t="s">
        <v>1433</v>
      </c>
      <c r="N407" s="19"/>
      <c r="Q407" s="16"/>
      <c r="S407" s="1">
        <f t="shared" si="139"/>
        <v>0</v>
      </c>
      <c r="T407" s="1">
        <f t="shared" si="140"/>
        <v>0</v>
      </c>
      <c r="U407" s="1">
        <f t="shared" si="141"/>
        <v>0</v>
      </c>
      <c r="V407" s="1">
        <f t="shared" si="142"/>
        <v>0</v>
      </c>
      <c r="W407" s="1">
        <f t="shared" si="143"/>
        <v>0</v>
      </c>
      <c r="X407" s="1">
        <f t="shared" si="144"/>
        <v>0</v>
      </c>
      <c r="Y407" s="1">
        <f t="shared" si="145"/>
        <v>0</v>
      </c>
      <c r="Z407" s="1">
        <f t="shared" si="146"/>
        <v>0</v>
      </c>
      <c r="AA407" s="1">
        <f t="shared" si="147"/>
        <v>0</v>
      </c>
      <c r="AB407" s="1">
        <f t="shared" si="148"/>
        <v>0</v>
      </c>
      <c r="AD407" s="1">
        <f t="shared" si="149"/>
        <v>0</v>
      </c>
      <c r="AE407" s="1">
        <f t="shared" si="150"/>
        <v>0</v>
      </c>
      <c r="AF407" s="1">
        <f t="shared" si="151"/>
        <v>0</v>
      </c>
      <c r="AG407" s="1">
        <f t="shared" si="152"/>
        <v>0</v>
      </c>
      <c r="AH407" s="1">
        <f t="shared" si="153"/>
        <v>0</v>
      </c>
      <c r="AI407" s="1">
        <f t="shared" si="154"/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5</v>
      </c>
      <c r="D408" s="32" t="s">
        <v>1988</v>
      </c>
      <c r="E408" s="32" t="s">
        <v>1989</v>
      </c>
      <c r="F408" s="32" t="s">
        <v>1990</v>
      </c>
      <c r="G408" s="32" t="s">
        <v>1993</v>
      </c>
      <c r="H408" s="32" t="s">
        <v>352</v>
      </c>
      <c r="I408" s="31" t="s">
        <v>1991</v>
      </c>
      <c r="J408" s="31"/>
      <c r="K408" s="33" t="s">
        <v>1772</v>
      </c>
      <c r="L408" s="33"/>
      <c r="M408" s="34"/>
      <c r="N408" s="34" t="s">
        <v>1687</v>
      </c>
      <c r="O408" s="35">
        <v>1</v>
      </c>
      <c r="P408" s="35">
        <v>1</v>
      </c>
      <c r="Q408" s="32" t="s">
        <v>1992</v>
      </c>
      <c r="S408" s="1">
        <f t="shared" ref="S408:S471" si="161">IF(J408=$S$7,1,0)</f>
        <v>0</v>
      </c>
      <c r="T408" s="1">
        <f t="shared" ref="T408:T471" si="162">IF(J408=$T$7,1,0)</f>
        <v>0</v>
      </c>
      <c r="U408" s="1">
        <f t="shared" ref="U408:U471" si="163">IF(J408=$U$7,1,0)</f>
        <v>0</v>
      </c>
      <c r="V408" s="1">
        <f t="shared" ref="V408:V471" si="164">IF(J408=$V$7,1,0)</f>
        <v>0</v>
      </c>
      <c r="W408" s="1">
        <f t="shared" ref="W408:W471" si="165">IF(J408=$W$7,1,0)</f>
        <v>0</v>
      </c>
      <c r="X408" s="1">
        <f t="shared" ref="X408:X471" si="166">IF(J408=$X$7,1,0)</f>
        <v>0</v>
      </c>
      <c r="Y408" s="1">
        <f t="shared" ref="Y408:Y471" si="167">IF(J408=$Y$7,1,0)</f>
        <v>0</v>
      </c>
      <c r="Z408" s="1">
        <f t="shared" ref="Z408:Z471" si="168">IF(J408=$Z$7,1,0)</f>
        <v>0</v>
      </c>
      <c r="AA408" s="1">
        <f t="shared" ref="AA408:AA471" si="169">IF(J408=$AA$7,1,0)</f>
        <v>0</v>
      </c>
      <c r="AB408" s="1">
        <f t="shared" ref="AB408:AB471" si="170">IF(J408=$AB$7,1,0)</f>
        <v>0</v>
      </c>
      <c r="AD408" s="1">
        <f t="shared" ref="AD408:AD471" si="171">+O408*P408</f>
        <v>1</v>
      </c>
      <c r="AE408" s="1">
        <f t="shared" ref="AE408:AE471" si="172">O408*(1-P408)</f>
        <v>0</v>
      </c>
      <c r="AF408" s="1">
        <f t="shared" si="151"/>
        <v>1</v>
      </c>
      <c r="AG408" s="1">
        <f t="shared" si="152"/>
        <v>0</v>
      </c>
      <c r="AH408" s="1">
        <f t="shared" si="153"/>
        <v>1</v>
      </c>
      <c r="AI408" s="1">
        <f t="shared" si="154"/>
        <v>0</v>
      </c>
    </row>
    <row r="409" spans="1:35" s="1" customFormat="1" ht="14.25" customHeight="1" x14ac:dyDescent="0.25">
      <c r="A409" s="31">
        <v>0</v>
      </c>
      <c r="B409" s="31">
        <v>2</v>
      </c>
      <c r="C409" s="31">
        <v>5</v>
      </c>
      <c r="D409" s="32" t="s">
        <v>1730</v>
      </c>
      <c r="E409" s="32" t="s">
        <v>154</v>
      </c>
      <c r="F409" s="32" t="s">
        <v>1731</v>
      </c>
      <c r="G409" s="32" t="s">
        <v>648</v>
      </c>
      <c r="H409" s="32" t="s">
        <v>352</v>
      </c>
      <c r="I409" s="31" t="s">
        <v>1732</v>
      </c>
      <c r="J409" s="31"/>
      <c r="K409" s="33" t="s">
        <v>694</v>
      </c>
      <c r="L409" s="33">
        <v>40</v>
      </c>
      <c r="M409" s="34" t="s">
        <v>1733</v>
      </c>
      <c r="N409" s="34" t="s">
        <v>1696</v>
      </c>
      <c r="O409" s="35">
        <v>1</v>
      </c>
      <c r="P409" s="35"/>
      <c r="Q409" s="32"/>
      <c r="S409" s="1">
        <f t="shared" si="161"/>
        <v>0</v>
      </c>
      <c r="T409" s="1">
        <f t="shared" si="162"/>
        <v>0</v>
      </c>
      <c r="U409" s="1">
        <f t="shared" si="163"/>
        <v>0</v>
      </c>
      <c r="V409" s="1">
        <f t="shared" si="164"/>
        <v>0</v>
      </c>
      <c r="W409" s="1">
        <f t="shared" si="165"/>
        <v>0</v>
      </c>
      <c r="X409" s="1">
        <f t="shared" si="166"/>
        <v>0</v>
      </c>
      <c r="Y409" s="1">
        <f t="shared" si="167"/>
        <v>0</v>
      </c>
      <c r="Z409" s="1">
        <f t="shared" si="168"/>
        <v>0</v>
      </c>
      <c r="AA409" s="1">
        <f t="shared" si="169"/>
        <v>0</v>
      </c>
      <c r="AB409" s="1">
        <f t="shared" si="170"/>
        <v>0</v>
      </c>
      <c r="AD409" s="1">
        <f t="shared" si="171"/>
        <v>0</v>
      </c>
      <c r="AE409" s="1">
        <f t="shared" si="172"/>
        <v>1</v>
      </c>
      <c r="AF409" s="1">
        <f t="shared" ref="AF409:AF472" si="173">+O409*P409*(1-A409)</f>
        <v>0</v>
      </c>
      <c r="AG409" s="1">
        <f t="shared" ref="AG409:AG472" si="174">O409*(1-P409)*(1-A409)</f>
        <v>1</v>
      </c>
      <c r="AH409" s="1">
        <f t="shared" ref="AH409:AH472" si="175">+P409*(1-A409)</f>
        <v>0</v>
      </c>
      <c r="AI409" s="1">
        <f t="shared" ref="AI409:AI472" si="176">+(1-A409)*(1-P409)</f>
        <v>1</v>
      </c>
    </row>
    <row r="410" spans="1:35" s="1" customFormat="1" ht="14.25" customHeight="1" x14ac:dyDescent="0.25">
      <c r="A410" s="31">
        <v>0</v>
      </c>
      <c r="B410" s="31">
        <v>2</v>
      </c>
      <c r="C410" s="31">
        <v>5</v>
      </c>
      <c r="D410" s="32" t="s">
        <v>818</v>
      </c>
      <c r="E410" s="32" t="s">
        <v>812</v>
      </c>
      <c r="F410" s="32" t="s">
        <v>919</v>
      </c>
      <c r="G410" s="32" t="s">
        <v>179</v>
      </c>
      <c r="H410" s="32" t="s">
        <v>352</v>
      </c>
      <c r="I410" s="31" t="s">
        <v>1086</v>
      </c>
      <c r="J410" s="31">
        <v>10</v>
      </c>
      <c r="K410" s="33" t="s">
        <v>703</v>
      </c>
      <c r="L410" s="33" t="s">
        <v>684</v>
      </c>
      <c r="M410" s="34" t="s">
        <v>1393</v>
      </c>
      <c r="N410" s="34" t="s">
        <v>1707</v>
      </c>
      <c r="O410" s="35">
        <v>1</v>
      </c>
      <c r="P410" s="35"/>
      <c r="Q410" s="32"/>
      <c r="S410" s="1">
        <f t="shared" si="161"/>
        <v>0</v>
      </c>
      <c r="T410" s="1">
        <f t="shared" si="162"/>
        <v>0</v>
      </c>
      <c r="U410" s="1">
        <f t="shared" si="163"/>
        <v>0</v>
      </c>
      <c r="V410" s="1">
        <f t="shared" si="164"/>
        <v>0</v>
      </c>
      <c r="W410" s="1">
        <f t="shared" si="165"/>
        <v>0</v>
      </c>
      <c r="X410" s="1">
        <f t="shared" si="166"/>
        <v>0</v>
      </c>
      <c r="Y410" s="1">
        <f t="shared" si="167"/>
        <v>0</v>
      </c>
      <c r="Z410" s="1">
        <f t="shared" si="168"/>
        <v>0</v>
      </c>
      <c r="AA410" s="1">
        <f t="shared" si="169"/>
        <v>0</v>
      </c>
      <c r="AB410" s="1">
        <f t="shared" si="170"/>
        <v>1</v>
      </c>
      <c r="AD410" s="1">
        <f t="shared" si="171"/>
        <v>0</v>
      </c>
      <c r="AE410" s="1">
        <f t="shared" si="172"/>
        <v>1</v>
      </c>
      <c r="AF410" s="1">
        <f t="shared" si="173"/>
        <v>0</v>
      </c>
      <c r="AG410" s="1">
        <f t="shared" si="174"/>
        <v>1</v>
      </c>
      <c r="AH410" s="1">
        <f t="shared" si="175"/>
        <v>0</v>
      </c>
      <c r="AI410" s="1">
        <f t="shared" si="176"/>
        <v>1</v>
      </c>
    </row>
    <row r="411" spans="1:35" s="1" customFormat="1" ht="14.25" customHeight="1" x14ac:dyDescent="0.25">
      <c r="A411" s="51">
        <v>0</v>
      </c>
      <c r="B411" s="51">
        <v>2</v>
      </c>
      <c r="C411" s="51">
        <v>6</v>
      </c>
      <c r="D411" s="52" t="s">
        <v>1504</v>
      </c>
      <c r="E411" s="52" t="s">
        <v>27</v>
      </c>
      <c r="F411" s="52" t="s">
        <v>1506</v>
      </c>
      <c r="G411" s="52" t="s">
        <v>1495</v>
      </c>
      <c r="H411" s="52" t="s">
        <v>352</v>
      </c>
      <c r="I411" s="51" t="s">
        <v>1505</v>
      </c>
      <c r="J411" s="51">
        <v>5</v>
      </c>
      <c r="K411" s="53" t="s">
        <v>932</v>
      </c>
      <c r="L411" s="53" t="s">
        <v>39</v>
      </c>
      <c r="M411" s="54" t="s">
        <v>39</v>
      </c>
      <c r="N411" s="55"/>
      <c r="O411" s="56"/>
      <c r="P411" s="56"/>
      <c r="Q411" s="57" t="s">
        <v>1849</v>
      </c>
      <c r="S411" s="1">
        <f t="shared" si="161"/>
        <v>0</v>
      </c>
      <c r="T411" s="1">
        <f t="shared" si="162"/>
        <v>0</v>
      </c>
      <c r="U411" s="1">
        <f t="shared" si="163"/>
        <v>0</v>
      </c>
      <c r="V411" s="1">
        <f t="shared" si="164"/>
        <v>0</v>
      </c>
      <c r="W411" s="1">
        <f t="shared" si="165"/>
        <v>1</v>
      </c>
      <c r="X411" s="1">
        <f t="shared" si="166"/>
        <v>0</v>
      </c>
      <c r="Y411" s="1">
        <f t="shared" si="167"/>
        <v>0</v>
      </c>
      <c r="Z411" s="1">
        <f t="shared" si="168"/>
        <v>0</v>
      </c>
      <c r="AA411" s="1">
        <f t="shared" si="169"/>
        <v>0</v>
      </c>
      <c r="AB411" s="1">
        <f t="shared" si="170"/>
        <v>0</v>
      </c>
      <c r="AD411" s="1">
        <f t="shared" si="171"/>
        <v>0</v>
      </c>
      <c r="AE411" s="1">
        <f t="shared" si="172"/>
        <v>0</v>
      </c>
      <c r="AF411" s="1">
        <f t="shared" si="173"/>
        <v>0</v>
      </c>
      <c r="AG411" s="1">
        <f t="shared" si="174"/>
        <v>0</v>
      </c>
      <c r="AH411" s="1">
        <f t="shared" si="175"/>
        <v>0</v>
      </c>
      <c r="AI411" s="1">
        <f t="shared" si="176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6</v>
      </c>
      <c r="D412" s="32" t="s">
        <v>515</v>
      </c>
      <c r="E412" s="32" t="s">
        <v>31</v>
      </c>
      <c r="F412" s="32" t="s">
        <v>664</v>
      </c>
      <c r="G412" s="32" t="s">
        <v>199</v>
      </c>
      <c r="H412" s="32" t="s">
        <v>352</v>
      </c>
      <c r="I412" s="31" t="s">
        <v>516</v>
      </c>
      <c r="J412" s="31">
        <v>2</v>
      </c>
      <c r="K412" s="33" t="s">
        <v>931</v>
      </c>
      <c r="L412" s="33" t="s">
        <v>685</v>
      </c>
      <c r="M412" s="34" t="s">
        <v>1394</v>
      </c>
      <c r="N412" s="34" t="s">
        <v>1696</v>
      </c>
      <c r="O412" s="35">
        <v>1</v>
      </c>
      <c r="P412" s="35"/>
      <c r="Q412" s="32"/>
      <c r="S412" s="1">
        <f t="shared" si="161"/>
        <v>0</v>
      </c>
      <c r="T412" s="1">
        <f t="shared" si="162"/>
        <v>1</v>
      </c>
      <c r="U412" s="1">
        <f t="shared" si="163"/>
        <v>0</v>
      </c>
      <c r="V412" s="1">
        <f t="shared" si="164"/>
        <v>0</v>
      </c>
      <c r="W412" s="1">
        <f t="shared" si="165"/>
        <v>0</v>
      </c>
      <c r="X412" s="1">
        <f t="shared" si="166"/>
        <v>0</v>
      </c>
      <c r="Y412" s="1">
        <f t="shared" si="167"/>
        <v>0</v>
      </c>
      <c r="Z412" s="1">
        <f t="shared" si="168"/>
        <v>0</v>
      </c>
      <c r="AA412" s="1">
        <f t="shared" si="169"/>
        <v>0</v>
      </c>
      <c r="AB412" s="1">
        <f t="shared" si="170"/>
        <v>0</v>
      </c>
      <c r="AD412" s="1">
        <f t="shared" si="171"/>
        <v>0</v>
      </c>
      <c r="AE412" s="1">
        <f t="shared" si="172"/>
        <v>1</v>
      </c>
      <c r="AF412" s="1">
        <f t="shared" si="173"/>
        <v>0</v>
      </c>
      <c r="AG412" s="1">
        <f t="shared" si="174"/>
        <v>1</v>
      </c>
      <c r="AH412" s="1">
        <f t="shared" si="175"/>
        <v>0</v>
      </c>
      <c r="AI412" s="1">
        <f t="shared" si="176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6</v>
      </c>
      <c r="D413" s="32" t="s">
        <v>53</v>
      </c>
      <c r="E413" s="32" t="s">
        <v>31</v>
      </c>
      <c r="F413" s="32" t="s">
        <v>209</v>
      </c>
      <c r="G413" s="32" t="s">
        <v>210</v>
      </c>
      <c r="H413" s="32" t="s">
        <v>352</v>
      </c>
      <c r="I413" s="31" t="s">
        <v>390</v>
      </c>
      <c r="J413" s="31">
        <v>1</v>
      </c>
      <c r="K413" s="33" t="s">
        <v>703</v>
      </c>
      <c r="L413" s="33" t="s">
        <v>695</v>
      </c>
      <c r="M413" s="34" t="s">
        <v>719</v>
      </c>
      <c r="N413" s="34" t="s">
        <v>1696</v>
      </c>
      <c r="O413" s="35">
        <v>1</v>
      </c>
      <c r="P413" s="35"/>
      <c r="Q413" s="32"/>
      <c r="S413" s="1">
        <f t="shared" si="161"/>
        <v>1</v>
      </c>
      <c r="T413" s="1">
        <f t="shared" si="162"/>
        <v>0</v>
      </c>
      <c r="U413" s="1">
        <f t="shared" si="163"/>
        <v>0</v>
      </c>
      <c r="V413" s="1">
        <f t="shared" si="164"/>
        <v>0</v>
      </c>
      <c r="W413" s="1">
        <f t="shared" si="165"/>
        <v>0</v>
      </c>
      <c r="X413" s="1">
        <f t="shared" si="166"/>
        <v>0</v>
      </c>
      <c r="Y413" s="1">
        <f t="shared" si="167"/>
        <v>0</v>
      </c>
      <c r="Z413" s="1">
        <f t="shared" si="168"/>
        <v>0</v>
      </c>
      <c r="AA413" s="1">
        <f t="shared" si="169"/>
        <v>0</v>
      </c>
      <c r="AB413" s="1">
        <f t="shared" si="170"/>
        <v>0</v>
      </c>
      <c r="AD413" s="1">
        <f t="shared" si="171"/>
        <v>0</v>
      </c>
      <c r="AE413" s="1">
        <f t="shared" si="172"/>
        <v>1</v>
      </c>
      <c r="AF413" s="1">
        <f t="shared" si="173"/>
        <v>0</v>
      </c>
      <c r="AG413" s="1">
        <f t="shared" si="174"/>
        <v>1</v>
      </c>
      <c r="AH413" s="1">
        <f t="shared" si="175"/>
        <v>0</v>
      </c>
      <c r="AI413" s="1">
        <f t="shared" si="176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6</v>
      </c>
      <c r="D414" s="32" t="s">
        <v>1812</v>
      </c>
      <c r="E414" s="32" t="s">
        <v>1813</v>
      </c>
      <c r="F414" s="32" t="s">
        <v>1814</v>
      </c>
      <c r="G414" s="32"/>
      <c r="H414" s="32" t="s">
        <v>352</v>
      </c>
      <c r="I414" s="31" t="s">
        <v>1815</v>
      </c>
      <c r="J414" s="31">
        <v>99</v>
      </c>
      <c r="K414" s="33" t="s">
        <v>694</v>
      </c>
      <c r="L414" s="33">
        <v>25</v>
      </c>
      <c r="M414" s="34" t="s">
        <v>1816</v>
      </c>
      <c r="N414" s="34" t="s">
        <v>1696</v>
      </c>
      <c r="O414" s="35">
        <v>1</v>
      </c>
      <c r="P414" s="35"/>
      <c r="Q414" s="32" t="s">
        <v>1994</v>
      </c>
      <c r="S414" s="1">
        <f t="shared" si="161"/>
        <v>0</v>
      </c>
      <c r="T414" s="1">
        <f t="shared" si="162"/>
        <v>0</v>
      </c>
      <c r="U414" s="1">
        <f t="shared" si="163"/>
        <v>0</v>
      </c>
      <c r="V414" s="1">
        <f t="shared" si="164"/>
        <v>0</v>
      </c>
      <c r="W414" s="1">
        <f t="shared" si="165"/>
        <v>0</v>
      </c>
      <c r="X414" s="1">
        <f t="shared" si="166"/>
        <v>0</v>
      </c>
      <c r="Y414" s="1">
        <f t="shared" si="167"/>
        <v>0</v>
      </c>
      <c r="Z414" s="1">
        <f t="shared" si="168"/>
        <v>0</v>
      </c>
      <c r="AA414" s="1">
        <f t="shared" si="169"/>
        <v>0</v>
      </c>
      <c r="AB414" s="1">
        <f t="shared" si="170"/>
        <v>0</v>
      </c>
      <c r="AD414" s="1">
        <f t="shared" si="171"/>
        <v>0</v>
      </c>
      <c r="AE414" s="1">
        <f t="shared" si="172"/>
        <v>1</v>
      </c>
      <c r="AF414" s="1">
        <f t="shared" si="173"/>
        <v>0</v>
      </c>
      <c r="AG414" s="1">
        <f t="shared" si="174"/>
        <v>1</v>
      </c>
      <c r="AH414" s="1">
        <f t="shared" si="175"/>
        <v>0</v>
      </c>
      <c r="AI414" s="1">
        <f t="shared" si="176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6</v>
      </c>
      <c r="D415" s="32" t="s">
        <v>80</v>
      </c>
      <c r="E415" s="32" t="s">
        <v>31</v>
      </c>
      <c r="F415" s="32" t="s">
        <v>269</v>
      </c>
      <c r="G415" s="32" t="s">
        <v>223</v>
      </c>
      <c r="H415" s="32" t="s">
        <v>352</v>
      </c>
      <c r="I415" s="31" t="s">
        <v>670</v>
      </c>
      <c r="J415" s="31">
        <v>99</v>
      </c>
      <c r="K415" s="33" t="s">
        <v>932</v>
      </c>
      <c r="L415" s="33" t="s">
        <v>685</v>
      </c>
      <c r="M415" s="34" t="s">
        <v>1395</v>
      </c>
      <c r="N415" s="34" t="s">
        <v>1799</v>
      </c>
      <c r="O415" s="35">
        <v>1</v>
      </c>
      <c r="P415" s="35"/>
      <c r="Q415" s="32"/>
      <c r="S415" s="1">
        <f t="shared" si="161"/>
        <v>0</v>
      </c>
      <c r="T415" s="1">
        <f t="shared" si="162"/>
        <v>0</v>
      </c>
      <c r="U415" s="1">
        <f t="shared" si="163"/>
        <v>0</v>
      </c>
      <c r="V415" s="1">
        <f t="shared" si="164"/>
        <v>0</v>
      </c>
      <c r="W415" s="1">
        <f t="shared" si="165"/>
        <v>0</v>
      </c>
      <c r="X415" s="1">
        <f t="shared" si="166"/>
        <v>0</v>
      </c>
      <c r="Y415" s="1">
        <f t="shared" si="167"/>
        <v>0</v>
      </c>
      <c r="Z415" s="1">
        <f t="shared" si="168"/>
        <v>0</v>
      </c>
      <c r="AA415" s="1">
        <f t="shared" si="169"/>
        <v>0</v>
      </c>
      <c r="AB415" s="1">
        <f t="shared" si="170"/>
        <v>0</v>
      </c>
      <c r="AD415" s="1">
        <f t="shared" si="171"/>
        <v>0</v>
      </c>
      <c r="AE415" s="1">
        <f t="shared" si="172"/>
        <v>1</v>
      </c>
      <c r="AF415" s="1">
        <f t="shared" si="173"/>
        <v>0</v>
      </c>
      <c r="AG415" s="1">
        <f t="shared" si="174"/>
        <v>1</v>
      </c>
      <c r="AH415" s="1">
        <f t="shared" si="175"/>
        <v>0</v>
      </c>
      <c r="AI415" s="1">
        <f t="shared" si="176"/>
        <v>1</v>
      </c>
    </row>
    <row r="416" spans="1:35" s="1" customFormat="1" ht="14.25" customHeight="1" x14ac:dyDescent="0.25">
      <c r="A416" s="31">
        <v>0</v>
      </c>
      <c r="B416" s="31">
        <v>2</v>
      </c>
      <c r="C416" s="31">
        <v>6</v>
      </c>
      <c r="D416" s="32" t="s">
        <v>631</v>
      </c>
      <c r="E416" s="32" t="s">
        <v>31</v>
      </c>
      <c r="F416" s="32" t="s">
        <v>632</v>
      </c>
      <c r="G416" s="32" t="s">
        <v>239</v>
      </c>
      <c r="H416" s="32" t="s">
        <v>352</v>
      </c>
      <c r="I416" s="31" t="s">
        <v>633</v>
      </c>
      <c r="J416" s="31">
        <v>1</v>
      </c>
      <c r="K416" s="33" t="s">
        <v>704</v>
      </c>
      <c r="L416" s="33" t="s">
        <v>685</v>
      </c>
      <c r="M416" s="34" t="s">
        <v>1396</v>
      </c>
      <c r="N416" s="34" t="s">
        <v>1696</v>
      </c>
      <c r="O416" s="35">
        <v>1</v>
      </c>
      <c r="P416" s="35"/>
      <c r="Q416" s="32"/>
      <c r="S416" s="1">
        <f t="shared" si="161"/>
        <v>1</v>
      </c>
      <c r="T416" s="1">
        <f t="shared" si="162"/>
        <v>0</v>
      </c>
      <c r="U416" s="1">
        <f t="shared" si="163"/>
        <v>0</v>
      </c>
      <c r="V416" s="1">
        <f t="shared" si="164"/>
        <v>0</v>
      </c>
      <c r="W416" s="1">
        <f t="shared" si="165"/>
        <v>0</v>
      </c>
      <c r="X416" s="1">
        <f t="shared" si="166"/>
        <v>0</v>
      </c>
      <c r="Y416" s="1">
        <f t="shared" si="167"/>
        <v>0</v>
      </c>
      <c r="Z416" s="1">
        <f t="shared" si="168"/>
        <v>0</v>
      </c>
      <c r="AA416" s="1">
        <f t="shared" si="169"/>
        <v>0</v>
      </c>
      <c r="AB416" s="1">
        <f t="shared" si="170"/>
        <v>0</v>
      </c>
      <c r="AD416" s="1">
        <f t="shared" si="171"/>
        <v>0</v>
      </c>
      <c r="AE416" s="1">
        <f t="shared" si="172"/>
        <v>1</v>
      </c>
      <c r="AF416" s="1">
        <f t="shared" si="173"/>
        <v>0</v>
      </c>
      <c r="AG416" s="1">
        <f t="shared" si="174"/>
        <v>1</v>
      </c>
      <c r="AH416" s="1">
        <f t="shared" si="175"/>
        <v>0</v>
      </c>
      <c r="AI416" s="1">
        <f t="shared" si="176"/>
        <v>1</v>
      </c>
    </row>
    <row r="417" spans="1:35" s="1" customFormat="1" ht="14.25" customHeight="1" x14ac:dyDescent="0.25">
      <c r="A417" s="31">
        <v>0</v>
      </c>
      <c r="B417" s="31">
        <v>2</v>
      </c>
      <c r="C417" s="31">
        <v>6</v>
      </c>
      <c r="D417" s="32" t="s">
        <v>1060</v>
      </c>
      <c r="E417" s="32" t="s">
        <v>158</v>
      </c>
      <c r="F417" s="32" t="s">
        <v>197</v>
      </c>
      <c r="G417" s="32" t="s">
        <v>198</v>
      </c>
      <c r="H417" s="32" t="s">
        <v>352</v>
      </c>
      <c r="I417" s="31" t="s">
        <v>386</v>
      </c>
      <c r="J417" s="31">
        <v>99</v>
      </c>
      <c r="K417" s="33" t="s">
        <v>703</v>
      </c>
      <c r="L417" s="33" t="s">
        <v>707</v>
      </c>
      <c r="M417" s="34" t="s">
        <v>721</v>
      </c>
      <c r="N417" s="34" t="s">
        <v>1701</v>
      </c>
      <c r="O417" s="35">
        <v>1</v>
      </c>
      <c r="P417" s="35"/>
      <c r="Q417" s="32"/>
      <c r="S417" s="1">
        <f t="shared" si="161"/>
        <v>0</v>
      </c>
      <c r="T417" s="1">
        <f t="shared" si="162"/>
        <v>0</v>
      </c>
      <c r="U417" s="1">
        <f t="shared" si="163"/>
        <v>0</v>
      </c>
      <c r="V417" s="1">
        <f t="shared" si="164"/>
        <v>0</v>
      </c>
      <c r="W417" s="1">
        <f t="shared" si="165"/>
        <v>0</v>
      </c>
      <c r="X417" s="1">
        <f t="shared" si="166"/>
        <v>0</v>
      </c>
      <c r="Y417" s="1">
        <f t="shared" si="167"/>
        <v>0</v>
      </c>
      <c r="Z417" s="1">
        <f t="shared" si="168"/>
        <v>0</v>
      </c>
      <c r="AA417" s="1">
        <f t="shared" si="169"/>
        <v>0</v>
      </c>
      <c r="AB417" s="1">
        <f t="shared" si="170"/>
        <v>0</v>
      </c>
      <c r="AD417" s="1">
        <f t="shared" si="171"/>
        <v>0</v>
      </c>
      <c r="AE417" s="1">
        <f t="shared" si="172"/>
        <v>1</v>
      </c>
      <c r="AF417" s="1">
        <f t="shared" si="173"/>
        <v>0</v>
      </c>
      <c r="AG417" s="1">
        <f t="shared" si="174"/>
        <v>1</v>
      </c>
      <c r="AH417" s="1">
        <f t="shared" si="175"/>
        <v>0</v>
      </c>
      <c r="AI417" s="1">
        <f t="shared" si="176"/>
        <v>1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505</v>
      </c>
      <c r="E418" s="32" t="s">
        <v>155</v>
      </c>
      <c r="F418" s="32" t="s">
        <v>506</v>
      </c>
      <c r="G418" s="32" t="s">
        <v>39</v>
      </c>
      <c r="H418" s="32" t="s">
        <v>352</v>
      </c>
      <c r="I418" s="31" t="s">
        <v>920</v>
      </c>
      <c r="J418" s="31">
        <v>7</v>
      </c>
      <c r="K418" s="33" t="s">
        <v>932</v>
      </c>
      <c r="L418" s="33" t="s">
        <v>39</v>
      </c>
      <c r="M418" s="34" t="s">
        <v>39</v>
      </c>
      <c r="N418" s="34" t="s">
        <v>1687</v>
      </c>
      <c r="O418" s="35">
        <v>1</v>
      </c>
      <c r="P418" s="35">
        <v>1</v>
      </c>
      <c r="Q418" s="32"/>
      <c r="S418" s="1">
        <f t="shared" si="161"/>
        <v>0</v>
      </c>
      <c r="T418" s="1">
        <f t="shared" si="162"/>
        <v>0</v>
      </c>
      <c r="U418" s="1">
        <f t="shared" si="163"/>
        <v>0</v>
      </c>
      <c r="V418" s="1">
        <f t="shared" si="164"/>
        <v>0</v>
      </c>
      <c r="W418" s="1">
        <f t="shared" si="165"/>
        <v>0</v>
      </c>
      <c r="X418" s="1">
        <f t="shared" si="166"/>
        <v>0</v>
      </c>
      <c r="Y418" s="1">
        <f t="shared" si="167"/>
        <v>1</v>
      </c>
      <c r="Z418" s="1">
        <f t="shared" si="168"/>
        <v>0</v>
      </c>
      <c r="AA418" s="1">
        <f t="shared" si="169"/>
        <v>0</v>
      </c>
      <c r="AB418" s="1">
        <f t="shared" si="170"/>
        <v>0</v>
      </c>
      <c r="AD418" s="1">
        <f t="shared" si="171"/>
        <v>1</v>
      </c>
      <c r="AE418" s="1">
        <f t="shared" si="172"/>
        <v>0</v>
      </c>
      <c r="AF418" s="1">
        <f t="shared" si="173"/>
        <v>1</v>
      </c>
      <c r="AG418" s="1">
        <f t="shared" si="174"/>
        <v>0</v>
      </c>
      <c r="AH418" s="1">
        <f t="shared" si="175"/>
        <v>1</v>
      </c>
      <c r="AI418" s="1">
        <f t="shared" si="176"/>
        <v>0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70</v>
      </c>
      <c r="E419" s="32" t="s">
        <v>28</v>
      </c>
      <c r="F419" s="32" t="s">
        <v>665</v>
      </c>
      <c r="G419" s="32" t="s">
        <v>257</v>
      </c>
      <c r="H419" s="32" t="s">
        <v>352</v>
      </c>
      <c r="I419" s="31" t="s">
        <v>415</v>
      </c>
      <c r="J419" s="31">
        <v>8</v>
      </c>
      <c r="K419" s="33" t="s">
        <v>704</v>
      </c>
      <c r="L419" s="33" t="s">
        <v>704</v>
      </c>
      <c r="M419" s="34" t="s">
        <v>722</v>
      </c>
      <c r="N419" s="34" t="s">
        <v>1696</v>
      </c>
      <c r="O419" s="35">
        <v>1</v>
      </c>
      <c r="P419" s="35"/>
      <c r="Q419" s="32"/>
      <c r="S419" s="1">
        <f t="shared" si="161"/>
        <v>0</v>
      </c>
      <c r="T419" s="1">
        <f t="shared" si="162"/>
        <v>0</v>
      </c>
      <c r="U419" s="1">
        <f t="shared" si="163"/>
        <v>0</v>
      </c>
      <c r="V419" s="1">
        <f t="shared" si="164"/>
        <v>0</v>
      </c>
      <c r="W419" s="1">
        <f t="shared" si="165"/>
        <v>0</v>
      </c>
      <c r="X419" s="1">
        <f t="shared" si="166"/>
        <v>0</v>
      </c>
      <c r="Y419" s="1">
        <f t="shared" si="167"/>
        <v>0</v>
      </c>
      <c r="Z419" s="1">
        <f t="shared" si="168"/>
        <v>1</v>
      </c>
      <c r="AA419" s="1">
        <f t="shared" si="169"/>
        <v>0</v>
      </c>
      <c r="AB419" s="1">
        <f t="shared" si="170"/>
        <v>0</v>
      </c>
      <c r="AD419" s="1">
        <f t="shared" si="171"/>
        <v>0</v>
      </c>
      <c r="AE419" s="1">
        <f t="shared" si="172"/>
        <v>1</v>
      </c>
      <c r="AF419" s="1">
        <f t="shared" si="173"/>
        <v>0</v>
      </c>
      <c r="AG419" s="1">
        <f t="shared" si="174"/>
        <v>1</v>
      </c>
      <c r="AH419" s="1">
        <f t="shared" si="175"/>
        <v>0</v>
      </c>
      <c r="AI419" s="1">
        <f t="shared" si="176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646</v>
      </c>
      <c r="E420" s="32" t="s">
        <v>155</v>
      </c>
      <c r="F420" s="32" t="s">
        <v>577</v>
      </c>
      <c r="G420" s="32" t="s">
        <v>248</v>
      </c>
      <c r="H420" s="32" t="s">
        <v>352</v>
      </c>
      <c r="I420" s="31" t="s">
        <v>671</v>
      </c>
      <c r="J420" s="31">
        <v>7</v>
      </c>
      <c r="K420" s="33" t="s">
        <v>932</v>
      </c>
      <c r="L420" s="33" t="s">
        <v>39</v>
      </c>
      <c r="M420" s="34" t="s">
        <v>39</v>
      </c>
      <c r="N420" s="34" t="s">
        <v>1687</v>
      </c>
      <c r="O420" s="35">
        <v>1</v>
      </c>
      <c r="P420" s="35">
        <v>1</v>
      </c>
      <c r="Q420" s="32"/>
      <c r="S420" s="1">
        <f t="shared" si="161"/>
        <v>0</v>
      </c>
      <c r="T420" s="1">
        <f t="shared" si="162"/>
        <v>0</v>
      </c>
      <c r="U420" s="1">
        <f t="shared" si="163"/>
        <v>0</v>
      </c>
      <c r="V420" s="1">
        <f t="shared" si="164"/>
        <v>0</v>
      </c>
      <c r="W420" s="1">
        <f t="shared" si="165"/>
        <v>0</v>
      </c>
      <c r="X420" s="1">
        <f t="shared" si="166"/>
        <v>0</v>
      </c>
      <c r="Y420" s="1">
        <f t="shared" si="167"/>
        <v>1</v>
      </c>
      <c r="Z420" s="1">
        <f t="shared" si="168"/>
        <v>0</v>
      </c>
      <c r="AA420" s="1">
        <f t="shared" si="169"/>
        <v>0</v>
      </c>
      <c r="AB420" s="1">
        <f t="shared" si="170"/>
        <v>0</v>
      </c>
      <c r="AD420" s="1">
        <f t="shared" si="171"/>
        <v>1</v>
      </c>
      <c r="AE420" s="1">
        <f t="shared" si="172"/>
        <v>0</v>
      </c>
      <c r="AF420" s="1">
        <f t="shared" si="173"/>
        <v>1</v>
      </c>
      <c r="AG420" s="1">
        <f t="shared" si="174"/>
        <v>0</v>
      </c>
      <c r="AH420" s="1">
        <f t="shared" si="175"/>
        <v>1</v>
      </c>
      <c r="AI420" s="1">
        <f t="shared" si="176"/>
        <v>0</v>
      </c>
    </row>
    <row r="421" spans="1:35" s="1" customFormat="1" ht="14.25" customHeight="1" x14ac:dyDescent="0.25">
      <c r="A421" s="44">
        <v>0</v>
      </c>
      <c r="B421" s="44">
        <v>2</v>
      </c>
      <c r="C421" s="44">
        <v>7</v>
      </c>
      <c r="D421" s="45" t="s">
        <v>1595</v>
      </c>
      <c r="E421" s="45" t="s">
        <v>155</v>
      </c>
      <c r="F421" s="45" t="s">
        <v>1618</v>
      </c>
      <c r="G421" s="45" t="s">
        <v>212</v>
      </c>
      <c r="H421" s="45" t="s">
        <v>352</v>
      </c>
      <c r="I421" s="44" t="s">
        <v>586</v>
      </c>
      <c r="J421" s="44">
        <v>1</v>
      </c>
      <c r="K421" s="46" t="s">
        <v>703</v>
      </c>
      <c r="L421" s="46" t="s">
        <v>713</v>
      </c>
      <c r="M421" s="47" t="s">
        <v>1397</v>
      </c>
      <c r="N421" s="47" t="s">
        <v>1694</v>
      </c>
      <c r="O421" s="48"/>
      <c r="P421" s="48"/>
      <c r="Q421" s="45"/>
      <c r="S421" s="1">
        <f t="shared" si="161"/>
        <v>1</v>
      </c>
      <c r="T421" s="1">
        <f t="shared" si="162"/>
        <v>0</v>
      </c>
      <c r="U421" s="1">
        <f t="shared" si="163"/>
        <v>0</v>
      </c>
      <c r="V421" s="1">
        <f t="shared" si="164"/>
        <v>0</v>
      </c>
      <c r="W421" s="1">
        <f t="shared" si="165"/>
        <v>0</v>
      </c>
      <c r="X421" s="1">
        <f t="shared" si="166"/>
        <v>0</v>
      </c>
      <c r="Y421" s="1">
        <f t="shared" si="167"/>
        <v>0</v>
      </c>
      <c r="Z421" s="1">
        <f t="shared" si="168"/>
        <v>0</v>
      </c>
      <c r="AA421" s="1">
        <f t="shared" si="169"/>
        <v>0</v>
      </c>
      <c r="AB421" s="1">
        <f t="shared" si="170"/>
        <v>0</v>
      </c>
      <c r="AD421" s="1">
        <f t="shared" si="171"/>
        <v>0</v>
      </c>
      <c r="AE421" s="1">
        <f t="shared" si="172"/>
        <v>0</v>
      </c>
      <c r="AF421" s="1">
        <f t="shared" si="173"/>
        <v>0</v>
      </c>
      <c r="AG421" s="1">
        <f t="shared" si="174"/>
        <v>0</v>
      </c>
      <c r="AH421" s="1">
        <f t="shared" si="175"/>
        <v>0</v>
      </c>
      <c r="AI421" s="1">
        <f t="shared" si="176"/>
        <v>1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1047</v>
      </c>
      <c r="E422" s="32" t="s">
        <v>1023</v>
      </c>
      <c r="F422" s="32" t="s">
        <v>1048</v>
      </c>
      <c r="G422" s="32" t="s">
        <v>212</v>
      </c>
      <c r="H422" s="32" t="s">
        <v>352</v>
      </c>
      <c r="I422" s="31" t="s">
        <v>1049</v>
      </c>
      <c r="J422" s="31">
        <v>1</v>
      </c>
      <c r="K422" s="33" t="s">
        <v>932</v>
      </c>
      <c r="L422" s="33" t="s">
        <v>713</v>
      </c>
      <c r="M422" s="34" t="s">
        <v>1398</v>
      </c>
      <c r="N422" s="34" t="s">
        <v>1696</v>
      </c>
      <c r="O422" s="35">
        <v>1</v>
      </c>
      <c r="P422" s="35"/>
      <c r="Q422" s="32" t="s">
        <v>1867</v>
      </c>
      <c r="S422" s="1">
        <f t="shared" si="161"/>
        <v>1</v>
      </c>
      <c r="T422" s="1">
        <f t="shared" si="162"/>
        <v>0</v>
      </c>
      <c r="U422" s="1">
        <f t="shared" si="163"/>
        <v>0</v>
      </c>
      <c r="V422" s="1">
        <f t="shared" si="164"/>
        <v>0</v>
      </c>
      <c r="W422" s="1">
        <f t="shared" si="165"/>
        <v>0</v>
      </c>
      <c r="X422" s="1">
        <f t="shared" si="166"/>
        <v>0</v>
      </c>
      <c r="Y422" s="1">
        <f t="shared" si="167"/>
        <v>0</v>
      </c>
      <c r="Z422" s="1">
        <f t="shared" si="168"/>
        <v>0</v>
      </c>
      <c r="AA422" s="1">
        <f t="shared" si="169"/>
        <v>0</v>
      </c>
      <c r="AB422" s="1">
        <f t="shared" si="170"/>
        <v>0</v>
      </c>
      <c r="AD422" s="1">
        <f t="shared" si="171"/>
        <v>0</v>
      </c>
      <c r="AE422" s="1">
        <f t="shared" si="172"/>
        <v>1</v>
      </c>
      <c r="AF422" s="1">
        <f t="shared" si="173"/>
        <v>0</v>
      </c>
      <c r="AG422" s="1">
        <f t="shared" si="174"/>
        <v>1</v>
      </c>
      <c r="AH422" s="1">
        <f t="shared" si="175"/>
        <v>0</v>
      </c>
      <c r="AI422" s="1">
        <f t="shared" si="176"/>
        <v>1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2" t="s">
        <v>994</v>
      </c>
      <c r="E423" s="32" t="s">
        <v>155</v>
      </c>
      <c r="F423" s="32" t="s">
        <v>1065</v>
      </c>
      <c r="G423" s="32" t="s">
        <v>1075</v>
      </c>
      <c r="H423" s="32" t="s">
        <v>352</v>
      </c>
      <c r="I423" s="31" t="s">
        <v>995</v>
      </c>
      <c r="J423" s="31">
        <v>99</v>
      </c>
      <c r="K423" s="33" t="s">
        <v>704</v>
      </c>
      <c r="L423" s="33" t="s">
        <v>713</v>
      </c>
      <c r="M423" s="34" t="s">
        <v>1398</v>
      </c>
      <c r="N423" s="34" t="s">
        <v>1700</v>
      </c>
      <c r="O423" s="35">
        <v>1</v>
      </c>
      <c r="P423" s="35"/>
      <c r="Q423" s="32"/>
      <c r="S423" s="1">
        <f t="shared" si="161"/>
        <v>0</v>
      </c>
      <c r="T423" s="1">
        <f t="shared" si="162"/>
        <v>0</v>
      </c>
      <c r="U423" s="1">
        <f t="shared" si="163"/>
        <v>0</v>
      </c>
      <c r="V423" s="1">
        <f t="shared" si="164"/>
        <v>0</v>
      </c>
      <c r="W423" s="1">
        <f t="shared" si="165"/>
        <v>0</v>
      </c>
      <c r="X423" s="1">
        <f t="shared" si="166"/>
        <v>0</v>
      </c>
      <c r="Y423" s="1">
        <f t="shared" si="167"/>
        <v>0</v>
      </c>
      <c r="Z423" s="1">
        <f t="shared" si="168"/>
        <v>0</v>
      </c>
      <c r="AA423" s="1">
        <f t="shared" si="169"/>
        <v>0</v>
      </c>
      <c r="AB423" s="1">
        <f t="shared" si="170"/>
        <v>0</v>
      </c>
      <c r="AD423" s="1">
        <f t="shared" si="171"/>
        <v>0</v>
      </c>
      <c r="AE423" s="1">
        <f t="shared" si="172"/>
        <v>1</v>
      </c>
      <c r="AF423" s="1">
        <f t="shared" si="173"/>
        <v>0</v>
      </c>
      <c r="AG423" s="1">
        <f t="shared" si="174"/>
        <v>1</v>
      </c>
      <c r="AH423" s="1">
        <f t="shared" si="175"/>
        <v>0</v>
      </c>
      <c r="AI423" s="1">
        <f t="shared" si="176"/>
        <v>1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2" t="s">
        <v>1174</v>
      </c>
      <c r="E424" s="32" t="s">
        <v>1300</v>
      </c>
      <c r="F424" s="32" t="s">
        <v>1175</v>
      </c>
      <c r="G424" s="32" t="s">
        <v>39</v>
      </c>
      <c r="H424" s="32" t="s">
        <v>352</v>
      </c>
      <c r="I424" s="31" t="s">
        <v>1645</v>
      </c>
      <c r="J424" s="31">
        <v>99</v>
      </c>
      <c r="K424" s="33" t="s">
        <v>932</v>
      </c>
      <c r="L424" s="33" t="s">
        <v>720</v>
      </c>
      <c r="M424" s="34" t="s">
        <v>1399</v>
      </c>
      <c r="N424" s="34" t="s">
        <v>1700</v>
      </c>
      <c r="O424" s="35">
        <v>1</v>
      </c>
      <c r="P424" s="35"/>
      <c r="Q424" s="32"/>
      <c r="S424" s="1">
        <f t="shared" si="161"/>
        <v>0</v>
      </c>
      <c r="T424" s="1">
        <f t="shared" si="162"/>
        <v>0</v>
      </c>
      <c r="U424" s="1">
        <f t="shared" si="163"/>
        <v>0</v>
      </c>
      <c r="V424" s="1">
        <f t="shared" si="164"/>
        <v>0</v>
      </c>
      <c r="W424" s="1">
        <f t="shared" si="165"/>
        <v>0</v>
      </c>
      <c r="X424" s="1">
        <f t="shared" si="166"/>
        <v>0</v>
      </c>
      <c r="Y424" s="1">
        <f t="shared" si="167"/>
        <v>0</v>
      </c>
      <c r="Z424" s="1">
        <f t="shared" si="168"/>
        <v>0</v>
      </c>
      <c r="AA424" s="1">
        <f t="shared" si="169"/>
        <v>0</v>
      </c>
      <c r="AB424" s="1">
        <f t="shared" si="170"/>
        <v>0</v>
      </c>
      <c r="AD424" s="1">
        <f t="shared" si="171"/>
        <v>0</v>
      </c>
      <c r="AE424" s="1">
        <f t="shared" si="172"/>
        <v>1</v>
      </c>
      <c r="AF424" s="1">
        <f t="shared" si="173"/>
        <v>0</v>
      </c>
      <c r="AG424" s="1">
        <f t="shared" si="174"/>
        <v>1</v>
      </c>
      <c r="AH424" s="1">
        <f t="shared" si="175"/>
        <v>0</v>
      </c>
      <c r="AI424" s="1">
        <f t="shared" si="176"/>
        <v>1</v>
      </c>
    </row>
    <row r="425" spans="1:35" s="1" customFormat="1" ht="14.25" customHeight="1" x14ac:dyDescent="0.25">
      <c r="A425" s="31">
        <v>0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636</v>
      </c>
      <c r="G425" s="32" t="s">
        <v>531</v>
      </c>
      <c r="H425" s="32" t="s">
        <v>352</v>
      </c>
      <c r="I425" s="31" t="s">
        <v>392</v>
      </c>
      <c r="J425" s="31">
        <v>6</v>
      </c>
      <c r="K425" s="33" t="s">
        <v>703</v>
      </c>
      <c r="L425" s="33" t="s">
        <v>704</v>
      </c>
      <c r="M425" s="34" t="s">
        <v>722</v>
      </c>
      <c r="N425" s="34" t="s">
        <v>1713</v>
      </c>
      <c r="O425" s="35">
        <v>1</v>
      </c>
      <c r="P425" s="35"/>
      <c r="Q425" s="32"/>
      <c r="S425" s="1">
        <f t="shared" si="161"/>
        <v>0</v>
      </c>
      <c r="T425" s="1">
        <f t="shared" si="162"/>
        <v>0</v>
      </c>
      <c r="U425" s="1">
        <f t="shared" si="163"/>
        <v>0</v>
      </c>
      <c r="V425" s="1">
        <f t="shared" si="164"/>
        <v>0</v>
      </c>
      <c r="W425" s="1">
        <f t="shared" si="165"/>
        <v>0</v>
      </c>
      <c r="X425" s="1">
        <f t="shared" si="166"/>
        <v>1</v>
      </c>
      <c r="Y425" s="1">
        <f t="shared" si="167"/>
        <v>0</v>
      </c>
      <c r="Z425" s="1">
        <f t="shared" si="168"/>
        <v>0</v>
      </c>
      <c r="AA425" s="1">
        <f t="shared" si="169"/>
        <v>0</v>
      </c>
      <c r="AB425" s="1">
        <f t="shared" si="170"/>
        <v>0</v>
      </c>
      <c r="AD425" s="1">
        <f t="shared" si="171"/>
        <v>0</v>
      </c>
      <c r="AE425" s="1">
        <f t="shared" si="172"/>
        <v>1</v>
      </c>
      <c r="AF425" s="1">
        <f t="shared" si="173"/>
        <v>0</v>
      </c>
      <c r="AG425" s="1">
        <f t="shared" si="174"/>
        <v>1</v>
      </c>
      <c r="AH425" s="1">
        <f t="shared" si="175"/>
        <v>0</v>
      </c>
      <c r="AI425" s="1">
        <f t="shared" si="176"/>
        <v>1</v>
      </c>
    </row>
    <row r="426" spans="1:35" s="1" customFormat="1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215</v>
      </c>
      <c r="G426" s="32" t="s">
        <v>39</v>
      </c>
      <c r="H426" s="32" t="s">
        <v>352</v>
      </c>
      <c r="I426" s="31" t="s">
        <v>30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1713</v>
      </c>
      <c r="O426" s="35">
        <v>1</v>
      </c>
      <c r="P426" s="35"/>
      <c r="Q426" s="32"/>
      <c r="S426" s="1">
        <f t="shared" si="161"/>
        <v>0</v>
      </c>
      <c r="T426" s="1">
        <f t="shared" si="162"/>
        <v>0</v>
      </c>
      <c r="U426" s="1">
        <f t="shared" si="163"/>
        <v>0</v>
      </c>
      <c r="V426" s="1">
        <f t="shared" si="164"/>
        <v>0</v>
      </c>
      <c r="W426" s="1">
        <f t="shared" si="165"/>
        <v>0</v>
      </c>
      <c r="X426" s="1">
        <f t="shared" si="166"/>
        <v>0</v>
      </c>
      <c r="Y426" s="1">
        <f t="shared" si="167"/>
        <v>0</v>
      </c>
      <c r="Z426" s="1">
        <f t="shared" si="168"/>
        <v>0</v>
      </c>
      <c r="AA426" s="1">
        <f t="shared" si="169"/>
        <v>0</v>
      </c>
      <c r="AB426" s="1">
        <f t="shared" si="170"/>
        <v>0</v>
      </c>
      <c r="AD426" s="1">
        <f t="shared" si="171"/>
        <v>0</v>
      </c>
      <c r="AE426" s="1">
        <f t="shared" si="172"/>
        <v>1</v>
      </c>
      <c r="AF426" s="1">
        <f t="shared" si="173"/>
        <v>0</v>
      </c>
      <c r="AG426" s="1">
        <f t="shared" si="174"/>
        <v>0</v>
      </c>
      <c r="AH426" s="1">
        <f t="shared" si="175"/>
        <v>0</v>
      </c>
      <c r="AI426" s="1">
        <f t="shared" si="176"/>
        <v>0</v>
      </c>
    </row>
    <row r="427" spans="1:35" s="1" customFormat="1" ht="14.25" customHeight="1" x14ac:dyDescent="0.25">
      <c r="A427" s="31">
        <v>1</v>
      </c>
      <c r="B427" s="31">
        <v>2</v>
      </c>
      <c r="C427" s="31">
        <v>7</v>
      </c>
      <c r="D427" s="32" t="s">
        <v>55</v>
      </c>
      <c r="E427" s="32" t="s">
        <v>28</v>
      </c>
      <c r="F427" s="32" t="s">
        <v>214</v>
      </c>
      <c r="G427" s="32" t="s">
        <v>39</v>
      </c>
      <c r="H427" s="32" t="s">
        <v>352</v>
      </c>
      <c r="I427" s="31" t="s">
        <v>392</v>
      </c>
      <c r="J427" s="31">
        <v>99</v>
      </c>
      <c r="K427" s="33" t="s">
        <v>703</v>
      </c>
      <c r="L427" s="33" t="s">
        <v>704</v>
      </c>
      <c r="M427" s="34" t="s">
        <v>722</v>
      </c>
      <c r="N427" s="34" t="s">
        <v>1713</v>
      </c>
      <c r="O427" s="35">
        <v>1</v>
      </c>
      <c r="P427" s="35"/>
      <c r="Q427" s="32"/>
      <c r="S427" s="1">
        <f t="shared" si="161"/>
        <v>0</v>
      </c>
      <c r="T427" s="1">
        <f t="shared" si="162"/>
        <v>0</v>
      </c>
      <c r="U427" s="1">
        <f t="shared" si="163"/>
        <v>0</v>
      </c>
      <c r="V427" s="1">
        <f t="shared" si="164"/>
        <v>0</v>
      </c>
      <c r="W427" s="1">
        <f t="shared" si="165"/>
        <v>0</v>
      </c>
      <c r="X427" s="1">
        <f t="shared" si="166"/>
        <v>0</v>
      </c>
      <c r="Y427" s="1">
        <f t="shared" si="167"/>
        <v>0</v>
      </c>
      <c r="Z427" s="1">
        <f t="shared" si="168"/>
        <v>0</v>
      </c>
      <c r="AA427" s="1">
        <f t="shared" si="169"/>
        <v>0</v>
      </c>
      <c r="AB427" s="1">
        <f t="shared" si="170"/>
        <v>0</v>
      </c>
      <c r="AD427" s="1">
        <f t="shared" si="171"/>
        <v>0</v>
      </c>
      <c r="AE427" s="1">
        <f t="shared" si="172"/>
        <v>1</v>
      </c>
      <c r="AF427" s="1">
        <f t="shared" si="173"/>
        <v>0</v>
      </c>
      <c r="AG427" s="1">
        <f t="shared" si="174"/>
        <v>0</v>
      </c>
      <c r="AH427" s="1">
        <f t="shared" si="175"/>
        <v>0</v>
      </c>
      <c r="AI427" s="1">
        <f t="shared" si="176"/>
        <v>0</v>
      </c>
    </row>
    <row r="428" spans="1:35" s="1" customFormat="1" ht="14.25" customHeight="1" x14ac:dyDescent="0.25">
      <c r="A428" s="31">
        <v>1</v>
      </c>
      <c r="B428" s="31">
        <v>2</v>
      </c>
      <c r="C428" s="31">
        <v>7</v>
      </c>
      <c r="D428" s="32" t="s">
        <v>55</v>
      </c>
      <c r="E428" s="32" t="s">
        <v>28</v>
      </c>
      <c r="F428" s="32" t="s">
        <v>216</v>
      </c>
      <c r="G428" s="32" t="s">
        <v>217</v>
      </c>
      <c r="H428" s="32" t="s">
        <v>352</v>
      </c>
      <c r="I428" s="31" t="s">
        <v>393</v>
      </c>
      <c r="J428" s="31">
        <v>99</v>
      </c>
      <c r="K428" s="33" t="s">
        <v>703</v>
      </c>
      <c r="L428" s="33" t="s">
        <v>704</v>
      </c>
      <c r="M428" s="34" t="s">
        <v>722</v>
      </c>
      <c r="N428" s="34" t="s">
        <v>1713</v>
      </c>
      <c r="O428" s="35">
        <v>1</v>
      </c>
      <c r="P428" s="35"/>
      <c r="Q428" s="32"/>
      <c r="S428" s="1">
        <f t="shared" si="161"/>
        <v>0</v>
      </c>
      <c r="T428" s="1">
        <f t="shared" si="162"/>
        <v>0</v>
      </c>
      <c r="U428" s="1">
        <f t="shared" si="163"/>
        <v>0</v>
      </c>
      <c r="V428" s="1">
        <f t="shared" si="164"/>
        <v>0</v>
      </c>
      <c r="W428" s="1">
        <f t="shared" si="165"/>
        <v>0</v>
      </c>
      <c r="X428" s="1">
        <f t="shared" si="166"/>
        <v>0</v>
      </c>
      <c r="Y428" s="1">
        <f t="shared" si="167"/>
        <v>0</v>
      </c>
      <c r="Z428" s="1">
        <f t="shared" si="168"/>
        <v>0</v>
      </c>
      <c r="AA428" s="1">
        <f t="shared" si="169"/>
        <v>0</v>
      </c>
      <c r="AB428" s="1">
        <f t="shared" si="170"/>
        <v>0</v>
      </c>
      <c r="AD428" s="1">
        <f t="shared" si="171"/>
        <v>0</v>
      </c>
      <c r="AE428" s="1">
        <f t="shared" si="172"/>
        <v>1</v>
      </c>
      <c r="AF428" s="1">
        <f t="shared" si="173"/>
        <v>0</v>
      </c>
      <c r="AG428" s="1">
        <f t="shared" si="174"/>
        <v>0</v>
      </c>
      <c r="AH428" s="1">
        <f t="shared" si="175"/>
        <v>0</v>
      </c>
      <c r="AI428" s="1">
        <f t="shared" si="176"/>
        <v>0</v>
      </c>
    </row>
    <row r="429" spans="1:35" s="1" customFormat="1" ht="14.25" customHeight="1" x14ac:dyDescent="0.25">
      <c r="A429" s="31">
        <v>0</v>
      </c>
      <c r="B429" s="31">
        <v>2</v>
      </c>
      <c r="C429" s="31">
        <v>7</v>
      </c>
      <c r="D429" s="36" t="s">
        <v>1996</v>
      </c>
      <c r="E429" s="36" t="s">
        <v>155</v>
      </c>
      <c r="F429" s="36" t="s">
        <v>1997</v>
      </c>
      <c r="G429" s="36" t="s">
        <v>219</v>
      </c>
      <c r="H429" s="36" t="s">
        <v>352</v>
      </c>
      <c r="I429" s="37" t="s">
        <v>1998</v>
      </c>
      <c r="J429" s="31">
        <v>99</v>
      </c>
      <c r="K429" s="33" t="s">
        <v>694</v>
      </c>
      <c r="L429" s="33">
        <v>10</v>
      </c>
      <c r="M429" s="34" t="s">
        <v>1999</v>
      </c>
      <c r="N429" s="34" t="s">
        <v>1700</v>
      </c>
      <c r="O429" s="35">
        <v>1</v>
      </c>
      <c r="P429" s="35"/>
      <c r="Q429" s="32"/>
      <c r="S429" s="1">
        <f t="shared" si="161"/>
        <v>0</v>
      </c>
      <c r="T429" s="1">
        <f t="shared" si="162"/>
        <v>0</v>
      </c>
      <c r="U429" s="1">
        <f t="shared" si="163"/>
        <v>0</v>
      </c>
      <c r="V429" s="1">
        <f t="shared" si="164"/>
        <v>0</v>
      </c>
      <c r="W429" s="1">
        <f t="shared" si="165"/>
        <v>0</v>
      </c>
      <c r="X429" s="1">
        <f t="shared" si="166"/>
        <v>0</v>
      </c>
      <c r="Y429" s="1">
        <f t="shared" si="167"/>
        <v>0</v>
      </c>
      <c r="Z429" s="1">
        <f t="shared" si="168"/>
        <v>0</v>
      </c>
      <c r="AA429" s="1">
        <f t="shared" si="169"/>
        <v>0</v>
      </c>
      <c r="AB429" s="1">
        <f t="shared" si="170"/>
        <v>0</v>
      </c>
      <c r="AD429" s="1">
        <f t="shared" si="171"/>
        <v>0</v>
      </c>
      <c r="AE429" s="1">
        <f t="shared" si="172"/>
        <v>1</v>
      </c>
      <c r="AF429" s="1">
        <f t="shared" si="173"/>
        <v>0</v>
      </c>
      <c r="AG429" s="1">
        <f t="shared" si="174"/>
        <v>1</v>
      </c>
      <c r="AH429" s="1">
        <f t="shared" si="175"/>
        <v>0</v>
      </c>
      <c r="AI429" s="1">
        <f t="shared" si="176"/>
        <v>1</v>
      </c>
    </row>
    <row r="430" spans="1:35" s="1" customFormat="1" ht="14.25" customHeight="1" x14ac:dyDescent="0.25">
      <c r="A430" s="31">
        <v>0</v>
      </c>
      <c r="B430" s="31">
        <v>2</v>
      </c>
      <c r="C430" s="31">
        <v>7</v>
      </c>
      <c r="D430" s="36" t="s">
        <v>68</v>
      </c>
      <c r="E430" s="36" t="s">
        <v>28</v>
      </c>
      <c r="F430" s="36" t="s">
        <v>252</v>
      </c>
      <c r="G430" s="36" t="s">
        <v>253</v>
      </c>
      <c r="H430" s="36" t="s">
        <v>352</v>
      </c>
      <c r="I430" s="37" t="s">
        <v>412</v>
      </c>
      <c r="J430" s="31">
        <v>99</v>
      </c>
      <c r="K430" s="33" t="s">
        <v>704</v>
      </c>
      <c r="L430" s="33" t="s">
        <v>704</v>
      </c>
      <c r="M430" s="34" t="s">
        <v>722</v>
      </c>
      <c r="N430" s="34" t="s">
        <v>1775</v>
      </c>
      <c r="O430" s="35">
        <v>1</v>
      </c>
      <c r="P430" s="35"/>
      <c r="Q430" s="32"/>
      <c r="S430" s="1">
        <f t="shared" si="161"/>
        <v>0</v>
      </c>
      <c r="T430" s="1">
        <f t="shared" si="162"/>
        <v>0</v>
      </c>
      <c r="U430" s="1">
        <f t="shared" si="163"/>
        <v>0</v>
      </c>
      <c r="V430" s="1">
        <f t="shared" si="164"/>
        <v>0</v>
      </c>
      <c r="W430" s="1">
        <f t="shared" si="165"/>
        <v>0</v>
      </c>
      <c r="X430" s="1">
        <f t="shared" si="166"/>
        <v>0</v>
      </c>
      <c r="Y430" s="1">
        <f t="shared" si="167"/>
        <v>0</v>
      </c>
      <c r="Z430" s="1">
        <f t="shared" si="168"/>
        <v>0</v>
      </c>
      <c r="AA430" s="1">
        <f t="shared" si="169"/>
        <v>0</v>
      </c>
      <c r="AB430" s="1">
        <f t="shared" si="170"/>
        <v>0</v>
      </c>
      <c r="AD430" s="1">
        <f t="shared" si="171"/>
        <v>0</v>
      </c>
      <c r="AE430" s="1">
        <f t="shared" si="172"/>
        <v>1</v>
      </c>
      <c r="AF430" s="1">
        <f t="shared" si="173"/>
        <v>0</v>
      </c>
      <c r="AG430" s="1">
        <f t="shared" si="174"/>
        <v>1</v>
      </c>
      <c r="AH430" s="1">
        <f t="shared" si="175"/>
        <v>0</v>
      </c>
      <c r="AI430" s="1">
        <f t="shared" si="176"/>
        <v>1</v>
      </c>
    </row>
    <row r="431" spans="1:35" s="1" customFormat="1" ht="14.25" customHeight="1" x14ac:dyDescent="0.25">
      <c r="A431" s="31">
        <v>0</v>
      </c>
      <c r="B431" s="31">
        <v>2</v>
      </c>
      <c r="C431" s="31">
        <v>7</v>
      </c>
      <c r="D431" s="32" t="s">
        <v>1960</v>
      </c>
      <c r="E431" s="32" t="s">
        <v>28</v>
      </c>
      <c r="F431" s="32" t="s">
        <v>1962</v>
      </c>
      <c r="G431" s="32" t="s">
        <v>1081</v>
      </c>
      <c r="H431" s="32" t="s">
        <v>352</v>
      </c>
      <c r="I431" s="31" t="s">
        <v>1963</v>
      </c>
      <c r="J431" s="31">
        <v>1</v>
      </c>
      <c r="K431" s="33" t="s">
        <v>694</v>
      </c>
      <c r="L431" s="33"/>
      <c r="M431" s="34"/>
      <c r="N431" s="34" t="s">
        <v>1687</v>
      </c>
      <c r="O431" s="35">
        <v>1</v>
      </c>
      <c r="P431" s="35">
        <v>1</v>
      </c>
      <c r="Q431" s="32" t="s">
        <v>1965</v>
      </c>
      <c r="S431" s="1">
        <f t="shared" si="161"/>
        <v>1</v>
      </c>
      <c r="T431" s="1">
        <f t="shared" si="162"/>
        <v>0</v>
      </c>
      <c r="U431" s="1">
        <f t="shared" si="163"/>
        <v>0</v>
      </c>
      <c r="V431" s="1">
        <f t="shared" si="164"/>
        <v>0</v>
      </c>
      <c r="W431" s="1">
        <f t="shared" si="165"/>
        <v>0</v>
      </c>
      <c r="X431" s="1">
        <f t="shared" si="166"/>
        <v>0</v>
      </c>
      <c r="Y431" s="1">
        <f t="shared" si="167"/>
        <v>0</v>
      </c>
      <c r="Z431" s="1">
        <f t="shared" si="168"/>
        <v>0</v>
      </c>
      <c r="AA431" s="1">
        <f t="shared" si="169"/>
        <v>0</v>
      </c>
      <c r="AB431" s="1">
        <f t="shared" si="170"/>
        <v>0</v>
      </c>
      <c r="AD431" s="1">
        <f t="shared" si="171"/>
        <v>1</v>
      </c>
      <c r="AE431" s="1">
        <f t="shared" si="172"/>
        <v>0</v>
      </c>
      <c r="AF431" s="1">
        <f t="shared" si="173"/>
        <v>1</v>
      </c>
      <c r="AG431" s="1">
        <f t="shared" si="174"/>
        <v>0</v>
      </c>
      <c r="AH431" s="1">
        <f t="shared" si="175"/>
        <v>1</v>
      </c>
      <c r="AI431" s="1">
        <f t="shared" si="176"/>
        <v>0</v>
      </c>
    </row>
    <row r="432" spans="1:35" s="1" customFormat="1" ht="14.25" customHeight="1" x14ac:dyDescent="0.25">
      <c r="A432" s="31">
        <v>1</v>
      </c>
      <c r="B432" s="31">
        <v>2</v>
      </c>
      <c r="C432" s="31">
        <v>7</v>
      </c>
      <c r="D432" s="32" t="s">
        <v>1960</v>
      </c>
      <c r="E432" s="32" t="s">
        <v>28</v>
      </c>
      <c r="F432" s="32" t="s">
        <v>1961</v>
      </c>
      <c r="G432" s="36" t="s">
        <v>1967</v>
      </c>
      <c r="H432" s="32" t="s">
        <v>352</v>
      </c>
      <c r="I432" s="31" t="s">
        <v>1964</v>
      </c>
      <c r="J432" s="31">
        <v>8</v>
      </c>
      <c r="K432" s="33" t="s">
        <v>694</v>
      </c>
      <c r="L432" s="33"/>
      <c r="M432" s="34"/>
      <c r="N432" s="34" t="s">
        <v>1687</v>
      </c>
      <c r="O432" s="35">
        <v>1</v>
      </c>
      <c r="P432" s="35">
        <v>1</v>
      </c>
      <c r="Q432" s="32" t="s">
        <v>1966</v>
      </c>
      <c r="S432" s="1">
        <f t="shared" si="161"/>
        <v>0</v>
      </c>
      <c r="T432" s="1">
        <f t="shared" si="162"/>
        <v>0</v>
      </c>
      <c r="U432" s="1">
        <f t="shared" si="163"/>
        <v>0</v>
      </c>
      <c r="V432" s="1">
        <f t="shared" si="164"/>
        <v>0</v>
      </c>
      <c r="W432" s="1">
        <f t="shared" si="165"/>
        <v>0</v>
      </c>
      <c r="X432" s="1">
        <f t="shared" si="166"/>
        <v>0</v>
      </c>
      <c r="Y432" s="1">
        <f t="shared" si="167"/>
        <v>0</v>
      </c>
      <c r="Z432" s="1">
        <f t="shared" si="168"/>
        <v>1</v>
      </c>
      <c r="AA432" s="1">
        <f t="shared" si="169"/>
        <v>0</v>
      </c>
      <c r="AB432" s="1">
        <f t="shared" si="170"/>
        <v>0</v>
      </c>
      <c r="AD432" s="1">
        <f t="shared" si="171"/>
        <v>1</v>
      </c>
      <c r="AE432" s="1">
        <f t="shared" si="172"/>
        <v>0</v>
      </c>
      <c r="AF432" s="1">
        <f t="shared" si="173"/>
        <v>0</v>
      </c>
      <c r="AG432" s="1">
        <f t="shared" si="174"/>
        <v>0</v>
      </c>
      <c r="AH432" s="1">
        <f t="shared" si="175"/>
        <v>0</v>
      </c>
      <c r="AI432" s="1">
        <f t="shared" si="176"/>
        <v>0</v>
      </c>
    </row>
    <row r="433" spans="1:35" s="1" customFormat="1" ht="14.25" customHeight="1" x14ac:dyDescent="0.25">
      <c r="A433" s="31">
        <v>0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254</v>
      </c>
      <c r="G433" s="36" t="s">
        <v>206</v>
      </c>
      <c r="H433" s="32" t="s">
        <v>352</v>
      </c>
      <c r="I433" s="31" t="s">
        <v>413</v>
      </c>
      <c r="J433" s="31">
        <v>99</v>
      </c>
      <c r="K433" s="33" t="s">
        <v>932</v>
      </c>
      <c r="L433" s="33" t="s">
        <v>704</v>
      </c>
      <c r="M433" s="34" t="s">
        <v>722</v>
      </c>
      <c r="N433" s="34" t="s">
        <v>1693</v>
      </c>
      <c r="O433" s="35">
        <v>1</v>
      </c>
      <c r="P433" s="35">
        <v>1</v>
      </c>
      <c r="Q433" s="32"/>
      <c r="S433" s="1">
        <f t="shared" si="161"/>
        <v>0</v>
      </c>
      <c r="T433" s="1">
        <f t="shared" si="162"/>
        <v>0</v>
      </c>
      <c r="U433" s="1">
        <f t="shared" si="163"/>
        <v>0</v>
      </c>
      <c r="V433" s="1">
        <f t="shared" si="164"/>
        <v>0</v>
      </c>
      <c r="W433" s="1">
        <f t="shared" si="165"/>
        <v>0</v>
      </c>
      <c r="X433" s="1">
        <f t="shared" si="166"/>
        <v>0</v>
      </c>
      <c r="Y433" s="1">
        <f t="shared" si="167"/>
        <v>0</v>
      </c>
      <c r="Z433" s="1">
        <f t="shared" si="168"/>
        <v>0</v>
      </c>
      <c r="AA433" s="1">
        <f t="shared" si="169"/>
        <v>0</v>
      </c>
      <c r="AB433" s="1">
        <f t="shared" si="170"/>
        <v>0</v>
      </c>
      <c r="AD433" s="1">
        <f t="shared" si="171"/>
        <v>1</v>
      </c>
      <c r="AE433" s="1">
        <f t="shared" si="172"/>
        <v>0</v>
      </c>
      <c r="AF433" s="1">
        <f t="shared" si="173"/>
        <v>1</v>
      </c>
      <c r="AG433" s="1">
        <f t="shared" si="174"/>
        <v>0</v>
      </c>
      <c r="AH433" s="1">
        <f t="shared" si="175"/>
        <v>1</v>
      </c>
      <c r="AI433" s="1">
        <f t="shared" si="176"/>
        <v>0</v>
      </c>
    </row>
    <row r="434" spans="1:35" s="1" customFormat="1" ht="14.25" customHeight="1" x14ac:dyDescent="0.25">
      <c r="A434" s="31">
        <v>1</v>
      </c>
      <c r="B434" s="31">
        <v>2</v>
      </c>
      <c r="C434" s="31">
        <v>7</v>
      </c>
      <c r="D434" s="32" t="s">
        <v>69</v>
      </c>
      <c r="E434" s="32" t="s">
        <v>28</v>
      </c>
      <c r="F434" s="32" t="s">
        <v>1824</v>
      </c>
      <c r="G434" s="36" t="s">
        <v>255</v>
      </c>
      <c r="H434" s="32" t="s">
        <v>352</v>
      </c>
      <c r="I434" s="31" t="s">
        <v>414</v>
      </c>
      <c r="J434" s="31">
        <v>99</v>
      </c>
      <c r="K434" s="33" t="s">
        <v>932</v>
      </c>
      <c r="L434" s="33" t="s">
        <v>704</v>
      </c>
      <c r="M434" s="34" t="s">
        <v>722</v>
      </c>
      <c r="N434" s="34" t="s">
        <v>1693</v>
      </c>
      <c r="O434" s="35">
        <v>1</v>
      </c>
      <c r="P434" s="35">
        <v>1</v>
      </c>
      <c r="Q434" s="32"/>
      <c r="S434" s="1">
        <f t="shared" si="161"/>
        <v>0</v>
      </c>
      <c r="T434" s="1">
        <f t="shared" si="162"/>
        <v>0</v>
      </c>
      <c r="U434" s="1">
        <f t="shared" si="163"/>
        <v>0</v>
      </c>
      <c r="V434" s="1">
        <f t="shared" si="164"/>
        <v>0</v>
      </c>
      <c r="W434" s="1">
        <f t="shared" si="165"/>
        <v>0</v>
      </c>
      <c r="X434" s="1">
        <f t="shared" si="166"/>
        <v>0</v>
      </c>
      <c r="Y434" s="1">
        <f t="shared" si="167"/>
        <v>0</v>
      </c>
      <c r="Z434" s="1">
        <f t="shared" si="168"/>
        <v>0</v>
      </c>
      <c r="AA434" s="1">
        <f t="shared" si="169"/>
        <v>0</v>
      </c>
      <c r="AB434" s="1">
        <f t="shared" si="170"/>
        <v>0</v>
      </c>
      <c r="AD434" s="1">
        <f t="shared" si="171"/>
        <v>1</v>
      </c>
      <c r="AE434" s="1">
        <f t="shared" si="172"/>
        <v>0</v>
      </c>
      <c r="AF434" s="1">
        <f t="shared" si="173"/>
        <v>0</v>
      </c>
      <c r="AG434" s="1">
        <f t="shared" si="174"/>
        <v>0</v>
      </c>
      <c r="AH434" s="1">
        <f t="shared" si="175"/>
        <v>0</v>
      </c>
      <c r="AI434" s="1">
        <f t="shared" si="176"/>
        <v>0</v>
      </c>
    </row>
    <row r="435" spans="1:35" s="1" customFormat="1" ht="14.25" customHeight="1" x14ac:dyDescent="0.25">
      <c r="A435" s="31">
        <v>1</v>
      </c>
      <c r="B435" s="31">
        <v>2</v>
      </c>
      <c r="C435" s="31">
        <v>7</v>
      </c>
      <c r="D435" s="32" t="s">
        <v>69</v>
      </c>
      <c r="E435" s="32" t="s">
        <v>28</v>
      </c>
      <c r="F435" s="32" t="s">
        <v>563</v>
      </c>
      <c r="G435" s="36" t="s">
        <v>564</v>
      </c>
      <c r="H435" s="32" t="s">
        <v>352</v>
      </c>
      <c r="I435" s="31" t="s">
        <v>572</v>
      </c>
      <c r="J435" s="31">
        <v>99</v>
      </c>
      <c r="K435" s="33" t="s">
        <v>932</v>
      </c>
      <c r="L435" s="33" t="s">
        <v>704</v>
      </c>
      <c r="M435" s="34" t="s">
        <v>722</v>
      </c>
      <c r="N435" s="34" t="s">
        <v>1693</v>
      </c>
      <c r="O435" s="35">
        <v>1</v>
      </c>
      <c r="P435" s="35">
        <v>1</v>
      </c>
      <c r="Q435" s="32"/>
      <c r="S435" s="1">
        <f t="shared" si="161"/>
        <v>0</v>
      </c>
      <c r="T435" s="1">
        <f t="shared" si="162"/>
        <v>0</v>
      </c>
      <c r="U435" s="1">
        <f t="shared" si="163"/>
        <v>0</v>
      </c>
      <c r="V435" s="1">
        <f t="shared" si="164"/>
        <v>0</v>
      </c>
      <c r="W435" s="1">
        <f t="shared" si="165"/>
        <v>0</v>
      </c>
      <c r="X435" s="1">
        <f t="shared" si="166"/>
        <v>0</v>
      </c>
      <c r="Y435" s="1">
        <f t="shared" si="167"/>
        <v>0</v>
      </c>
      <c r="Z435" s="1">
        <f t="shared" si="168"/>
        <v>0</v>
      </c>
      <c r="AA435" s="1">
        <f t="shared" si="169"/>
        <v>0</v>
      </c>
      <c r="AB435" s="1">
        <f t="shared" si="170"/>
        <v>0</v>
      </c>
      <c r="AD435" s="1">
        <f t="shared" si="171"/>
        <v>1</v>
      </c>
      <c r="AE435" s="1">
        <f t="shared" si="172"/>
        <v>0</v>
      </c>
      <c r="AF435" s="1">
        <f t="shared" si="173"/>
        <v>0</v>
      </c>
      <c r="AG435" s="1">
        <f t="shared" si="174"/>
        <v>0</v>
      </c>
      <c r="AH435" s="1">
        <f t="shared" si="175"/>
        <v>0</v>
      </c>
      <c r="AI435" s="1">
        <f t="shared" si="176"/>
        <v>0</v>
      </c>
    </row>
    <row r="436" spans="1:35" s="1" customFormat="1" ht="14.25" customHeight="1" x14ac:dyDescent="0.25">
      <c r="A436" s="31">
        <v>0</v>
      </c>
      <c r="B436" s="31">
        <v>2</v>
      </c>
      <c r="C436" s="31">
        <v>7</v>
      </c>
      <c r="D436" s="32" t="s">
        <v>71</v>
      </c>
      <c r="E436" s="32" t="s">
        <v>28</v>
      </c>
      <c r="F436" s="32" t="s">
        <v>1316</v>
      </c>
      <c r="G436" s="36" t="s">
        <v>258</v>
      </c>
      <c r="H436" s="32" t="s">
        <v>352</v>
      </c>
      <c r="I436" s="31" t="s">
        <v>416</v>
      </c>
      <c r="J436" s="31">
        <v>99</v>
      </c>
      <c r="K436" s="33" t="s">
        <v>704</v>
      </c>
      <c r="L436" s="33" t="s">
        <v>704</v>
      </c>
      <c r="M436" s="34" t="s">
        <v>722</v>
      </c>
      <c r="N436" s="34" t="s">
        <v>1775</v>
      </c>
      <c r="O436" s="35">
        <v>1</v>
      </c>
      <c r="P436" s="35"/>
      <c r="Q436" s="32"/>
      <c r="S436" s="1">
        <f t="shared" si="161"/>
        <v>0</v>
      </c>
      <c r="T436" s="1">
        <f t="shared" si="162"/>
        <v>0</v>
      </c>
      <c r="U436" s="1">
        <f t="shared" si="163"/>
        <v>0</v>
      </c>
      <c r="V436" s="1">
        <f t="shared" si="164"/>
        <v>0</v>
      </c>
      <c r="W436" s="1">
        <f t="shared" si="165"/>
        <v>0</v>
      </c>
      <c r="X436" s="1">
        <f t="shared" si="166"/>
        <v>0</v>
      </c>
      <c r="Y436" s="1">
        <f t="shared" si="167"/>
        <v>0</v>
      </c>
      <c r="Z436" s="1">
        <f t="shared" si="168"/>
        <v>0</v>
      </c>
      <c r="AA436" s="1">
        <f t="shared" si="169"/>
        <v>0</v>
      </c>
      <c r="AB436" s="1">
        <f t="shared" si="170"/>
        <v>0</v>
      </c>
      <c r="AD436" s="1">
        <f t="shared" si="171"/>
        <v>0</v>
      </c>
      <c r="AE436" s="1">
        <f t="shared" si="172"/>
        <v>1</v>
      </c>
      <c r="AF436" s="1">
        <f t="shared" si="173"/>
        <v>0</v>
      </c>
      <c r="AG436" s="1">
        <f t="shared" si="174"/>
        <v>1</v>
      </c>
      <c r="AH436" s="1">
        <f t="shared" si="175"/>
        <v>0</v>
      </c>
      <c r="AI436" s="1">
        <f t="shared" si="176"/>
        <v>1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2" t="s">
        <v>1039</v>
      </c>
      <c r="E437" s="32" t="s">
        <v>28</v>
      </c>
      <c r="F437" s="32" t="s">
        <v>1040</v>
      </c>
      <c r="G437" s="36" t="s">
        <v>1041</v>
      </c>
      <c r="H437" s="32" t="s">
        <v>352</v>
      </c>
      <c r="I437" s="31" t="s">
        <v>1042</v>
      </c>
      <c r="J437" s="31">
        <v>99</v>
      </c>
      <c r="K437" s="33" t="s">
        <v>704</v>
      </c>
      <c r="L437" s="33" t="s">
        <v>704</v>
      </c>
      <c r="M437" s="34" t="s">
        <v>722</v>
      </c>
      <c r="N437" s="34" t="s">
        <v>1775</v>
      </c>
      <c r="O437" s="35">
        <v>1</v>
      </c>
      <c r="P437" s="35"/>
      <c r="Q437" s="32"/>
      <c r="S437" s="1">
        <f t="shared" si="161"/>
        <v>0</v>
      </c>
      <c r="T437" s="1">
        <f t="shared" si="162"/>
        <v>0</v>
      </c>
      <c r="U437" s="1">
        <f t="shared" si="163"/>
        <v>0</v>
      </c>
      <c r="V437" s="1">
        <f t="shared" si="164"/>
        <v>0</v>
      </c>
      <c r="W437" s="1">
        <f t="shared" si="165"/>
        <v>0</v>
      </c>
      <c r="X437" s="1">
        <f t="shared" si="166"/>
        <v>0</v>
      </c>
      <c r="Y437" s="1">
        <f t="shared" si="167"/>
        <v>0</v>
      </c>
      <c r="Z437" s="1">
        <f t="shared" si="168"/>
        <v>0</v>
      </c>
      <c r="AA437" s="1">
        <f t="shared" si="169"/>
        <v>0</v>
      </c>
      <c r="AB437" s="1">
        <f t="shared" si="170"/>
        <v>0</v>
      </c>
      <c r="AD437" s="1">
        <f t="shared" si="171"/>
        <v>0</v>
      </c>
      <c r="AE437" s="1">
        <f t="shared" si="172"/>
        <v>1</v>
      </c>
      <c r="AF437" s="1">
        <f t="shared" si="173"/>
        <v>0</v>
      </c>
      <c r="AG437" s="1">
        <f t="shared" si="174"/>
        <v>1</v>
      </c>
      <c r="AH437" s="1">
        <f t="shared" si="175"/>
        <v>0</v>
      </c>
      <c r="AI437" s="1">
        <f t="shared" si="176"/>
        <v>1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2" t="s">
        <v>1757</v>
      </c>
      <c r="E438" s="32" t="s">
        <v>155</v>
      </c>
      <c r="F438" s="32" t="s">
        <v>1758</v>
      </c>
      <c r="G438" s="32"/>
      <c r="H438" s="32" t="s">
        <v>352</v>
      </c>
      <c r="I438" s="31" t="s">
        <v>1759</v>
      </c>
      <c r="J438" s="31">
        <v>99</v>
      </c>
      <c r="K438" s="33" t="s">
        <v>694</v>
      </c>
      <c r="L438" s="33"/>
      <c r="M438" s="34"/>
      <c r="N438" s="34" t="s">
        <v>1687</v>
      </c>
      <c r="O438" s="35">
        <v>1</v>
      </c>
      <c r="P438" s="35">
        <v>1</v>
      </c>
      <c r="Q438" s="32"/>
      <c r="S438" s="1">
        <f t="shared" si="161"/>
        <v>0</v>
      </c>
      <c r="T438" s="1">
        <f t="shared" si="162"/>
        <v>0</v>
      </c>
      <c r="U438" s="1">
        <f t="shared" si="163"/>
        <v>0</v>
      </c>
      <c r="V438" s="1">
        <f t="shared" si="164"/>
        <v>0</v>
      </c>
      <c r="W438" s="1">
        <f t="shared" si="165"/>
        <v>0</v>
      </c>
      <c r="X438" s="1">
        <f t="shared" si="166"/>
        <v>0</v>
      </c>
      <c r="Y438" s="1">
        <f t="shared" si="167"/>
        <v>0</v>
      </c>
      <c r="Z438" s="1">
        <f t="shared" si="168"/>
        <v>0</v>
      </c>
      <c r="AA438" s="1">
        <f t="shared" si="169"/>
        <v>0</v>
      </c>
      <c r="AB438" s="1">
        <f t="shared" si="170"/>
        <v>0</v>
      </c>
      <c r="AD438" s="1">
        <f t="shared" si="171"/>
        <v>1</v>
      </c>
      <c r="AE438" s="1">
        <f t="shared" si="172"/>
        <v>0</v>
      </c>
      <c r="AF438" s="1">
        <f t="shared" si="173"/>
        <v>1</v>
      </c>
      <c r="AG438" s="1">
        <f t="shared" si="174"/>
        <v>0</v>
      </c>
      <c r="AH438" s="1">
        <f t="shared" si="175"/>
        <v>1</v>
      </c>
      <c r="AI438" s="1">
        <f t="shared" si="176"/>
        <v>0</v>
      </c>
    </row>
    <row r="439" spans="1:35" s="1" customFormat="1" ht="14.25" customHeight="1" x14ac:dyDescent="0.25">
      <c r="A439" s="31">
        <v>0</v>
      </c>
      <c r="B439" s="31">
        <v>2</v>
      </c>
      <c r="C439" s="31">
        <v>7</v>
      </c>
      <c r="D439" s="32" t="s">
        <v>1150</v>
      </c>
      <c r="E439" s="32" t="s">
        <v>155</v>
      </c>
      <c r="F439" s="32" t="s">
        <v>1151</v>
      </c>
      <c r="G439" s="32" t="s">
        <v>291</v>
      </c>
      <c r="H439" s="32" t="s">
        <v>352</v>
      </c>
      <c r="I439" s="31" t="s">
        <v>1152</v>
      </c>
      <c r="J439" s="31">
        <v>99</v>
      </c>
      <c r="K439" s="33" t="s">
        <v>704</v>
      </c>
      <c r="L439" s="33" t="s">
        <v>713</v>
      </c>
      <c r="M439" s="34" t="s">
        <v>1398</v>
      </c>
      <c r="N439" s="34" t="s">
        <v>1700</v>
      </c>
      <c r="O439" s="35">
        <v>1</v>
      </c>
      <c r="P439" s="35"/>
      <c r="Q439" s="32"/>
      <c r="S439" s="1">
        <f t="shared" si="161"/>
        <v>0</v>
      </c>
      <c r="T439" s="1">
        <f t="shared" si="162"/>
        <v>0</v>
      </c>
      <c r="U439" s="1">
        <f t="shared" si="163"/>
        <v>0</v>
      </c>
      <c r="V439" s="1">
        <f t="shared" si="164"/>
        <v>0</v>
      </c>
      <c r="W439" s="1">
        <f t="shared" si="165"/>
        <v>0</v>
      </c>
      <c r="X439" s="1">
        <f t="shared" si="166"/>
        <v>0</v>
      </c>
      <c r="Y439" s="1">
        <f t="shared" si="167"/>
        <v>0</v>
      </c>
      <c r="Z439" s="1">
        <f t="shared" si="168"/>
        <v>0</v>
      </c>
      <c r="AA439" s="1">
        <f t="shared" si="169"/>
        <v>0</v>
      </c>
      <c r="AB439" s="1">
        <f t="shared" si="170"/>
        <v>0</v>
      </c>
      <c r="AD439" s="1">
        <f t="shared" si="171"/>
        <v>0</v>
      </c>
      <c r="AE439" s="1">
        <f t="shared" si="172"/>
        <v>1</v>
      </c>
      <c r="AF439" s="1">
        <f t="shared" si="173"/>
        <v>0</v>
      </c>
      <c r="AG439" s="1">
        <f t="shared" si="174"/>
        <v>1</v>
      </c>
      <c r="AH439" s="1">
        <f t="shared" si="175"/>
        <v>0</v>
      </c>
      <c r="AI439" s="1">
        <f t="shared" si="176"/>
        <v>1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6" t="s">
        <v>2124</v>
      </c>
      <c r="E440" s="32" t="s">
        <v>155</v>
      </c>
      <c r="F440" s="32" t="s">
        <v>1950</v>
      </c>
      <c r="G440" s="32" t="s">
        <v>281</v>
      </c>
      <c r="H440" s="32" t="s">
        <v>352</v>
      </c>
      <c r="I440" s="31" t="s">
        <v>1951</v>
      </c>
      <c r="J440" s="31">
        <v>99</v>
      </c>
      <c r="K440" s="33" t="s">
        <v>694</v>
      </c>
      <c r="L440" s="33" t="s">
        <v>713</v>
      </c>
      <c r="M440" s="34" t="s">
        <v>723</v>
      </c>
      <c r="N440" s="34" t="s">
        <v>1687</v>
      </c>
      <c r="O440" s="35">
        <v>1</v>
      </c>
      <c r="P440" s="35">
        <v>1</v>
      </c>
      <c r="Q440" s="32"/>
      <c r="S440" s="1">
        <f t="shared" si="161"/>
        <v>0</v>
      </c>
      <c r="T440" s="1">
        <f t="shared" si="162"/>
        <v>0</v>
      </c>
      <c r="U440" s="1">
        <f t="shared" si="163"/>
        <v>0</v>
      </c>
      <c r="V440" s="1">
        <f t="shared" si="164"/>
        <v>0</v>
      </c>
      <c r="W440" s="1">
        <f t="shared" si="165"/>
        <v>0</v>
      </c>
      <c r="X440" s="1">
        <f t="shared" si="166"/>
        <v>0</v>
      </c>
      <c r="Y440" s="1">
        <f t="shared" si="167"/>
        <v>0</v>
      </c>
      <c r="Z440" s="1">
        <f t="shared" si="168"/>
        <v>0</v>
      </c>
      <c r="AA440" s="1">
        <f t="shared" si="169"/>
        <v>0</v>
      </c>
      <c r="AB440" s="1">
        <f t="shared" si="170"/>
        <v>0</v>
      </c>
      <c r="AD440" s="1">
        <f t="shared" si="171"/>
        <v>1</v>
      </c>
      <c r="AE440" s="1">
        <f t="shared" si="172"/>
        <v>0</v>
      </c>
      <c r="AF440" s="1">
        <f t="shared" si="173"/>
        <v>1</v>
      </c>
      <c r="AG440" s="1">
        <f t="shared" si="174"/>
        <v>0</v>
      </c>
      <c r="AH440" s="1">
        <f t="shared" si="175"/>
        <v>1</v>
      </c>
      <c r="AI440" s="1">
        <f t="shared" si="176"/>
        <v>0</v>
      </c>
    </row>
    <row r="441" spans="1:35" s="1" customFormat="1" ht="14.25" customHeight="1" x14ac:dyDescent="0.25">
      <c r="A441" s="31">
        <v>1</v>
      </c>
      <c r="B441" s="31">
        <v>2</v>
      </c>
      <c r="C441" s="31">
        <v>7</v>
      </c>
      <c r="D441" s="36" t="s">
        <v>2124</v>
      </c>
      <c r="E441" s="32" t="s">
        <v>155</v>
      </c>
      <c r="F441" s="32" t="s">
        <v>1952</v>
      </c>
      <c r="G441" s="32" t="s">
        <v>1953</v>
      </c>
      <c r="H441" s="32" t="s">
        <v>352</v>
      </c>
      <c r="I441" s="31" t="s">
        <v>1954</v>
      </c>
      <c r="J441" s="31">
        <v>99</v>
      </c>
      <c r="K441" s="33" t="s">
        <v>694</v>
      </c>
      <c r="L441" s="33" t="s">
        <v>713</v>
      </c>
      <c r="M441" s="34" t="s">
        <v>723</v>
      </c>
      <c r="N441" s="34" t="s">
        <v>1687</v>
      </c>
      <c r="O441" s="35">
        <v>1</v>
      </c>
      <c r="P441" s="35">
        <v>1</v>
      </c>
      <c r="Q441" s="32"/>
      <c r="S441" s="1">
        <f t="shared" si="161"/>
        <v>0</v>
      </c>
      <c r="T441" s="1">
        <f t="shared" si="162"/>
        <v>0</v>
      </c>
      <c r="U441" s="1">
        <f t="shared" si="163"/>
        <v>0</v>
      </c>
      <c r="V441" s="1">
        <f t="shared" si="164"/>
        <v>0</v>
      </c>
      <c r="W441" s="1">
        <f t="shared" si="165"/>
        <v>0</v>
      </c>
      <c r="X441" s="1">
        <f t="shared" si="166"/>
        <v>0</v>
      </c>
      <c r="Y441" s="1">
        <f t="shared" si="167"/>
        <v>0</v>
      </c>
      <c r="Z441" s="1">
        <f t="shared" si="168"/>
        <v>0</v>
      </c>
      <c r="AA441" s="1">
        <f t="shared" si="169"/>
        <v>0</v>
      </c>
      <c r="AB441" s="1">
        <f t="shared" si="170"/>
        <v>0</v>
      </c>
      <c r="AD441" s="1">
        <f t="shared" si="171"/>
        <v>1</v>
      </c>
      <c r="AE441" s="1">
        <f t="shared" si="172"/>
        <v>0</v>
      </c>
      <c r="AF441" s="1">
        <f t="shared" si="173"/>
        <v>0</v>
      </c>
      <c r="AG441" s="1">
        <f t="shared" si="174"/>
        <v>0</v>
      </c>
      <c r="AH441" s="1">
        <f t="shared" si="175"/>
        <v>0</v>
      </c>
      <c r="AI441" s="1">
        <f t="shared" si="176"/>
        <v>0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1125</v>
      </c>
      <c r="E442" s="32" t="s">
        <v>1126</v>
      </c>
      <c r="F442" s="36" t="s">
        <v>1827</v>
      </c>
      <c r="G442" s="32" t="s">
        <v>620</v>
      </c>
      <c r="H442" s="32" t="s">
        <v>352</v>
      </c>
      <c r="I442" s="31" t="s">
        <v>1127</v>
      </c>
      <c r="J442" s="31">
        <v>99</v>
      </c>
      <c r="K442" s="33" t="s">
        <v>704</v>
      </c>
      <c r="L442" s="33" t="s">
        <v>704</v>
      </c>
      <c r="M442" s="34" t="s">
        <v>722</v>
      </c>
      <c r="N442" s="34" t="s">
        <v>1696</v>
      </c>
      <c r="O442" s="35">
        <v>1</v>
      </c>
      <c r="P442" s="35"/>
      <c r="Q442" s="36" t="s">
        <v>1847</v>
      </c>
      <c r="S442" s="1">
        <f t="shared" si="161"/>
        <v>0</v>
      </c>
      <c r="T442" s="1">
        <f t="shared" si="162"/>
        <v>0</v>
      </c>
      <c r="U442" s="1">
        <f t="shared" si="163"/>
        <v>0</v>
      </c>
      <c r="V442" s="1">
        <f t="shared" si="164"/>
        <v>0</v>
      </c>
      <c r="W442" s="1">
        <f t="shared" si="165"/>
        <v>0</v>
      </c>
      <c r="X442" s="1">
        <f t="shared" si="166"/>
        <v>0</v>
      </c>
      <c r="Y442" s="1">
        <f t="shared" si="167"/>
        <v>0</v>
      </c>
      <c r="Z442" s="1">
        <f t="shared" si="168"/>
        <v>0</v>
      </c>
      <c r="AA442" s="1">
        <f t="shared" si="169"/>
        <v>0</v>
      </c>
      <c r="AB442" s="1">
        <f t="shared" si="170"/>
        <v>0</v>
      </c>
      <c r="AD442" s="1">
        <f t="shared" si="171"/>
        <v>0</v>
      </c>
      <c r="AE442" s="1">
        <f t="shared" si="172"/>
        <v>1</v>
      </c>
      <c r="AF442" s="1">
        <f t="shared" si="173"/>
        <v>0</v>
      </c>
      <c r="AG442" s="1">
        <f t="shared" si="174"/>
        <v>1</v>
      </c>
      <c r="AH442" s="1">
        <f t="shared" si="175"/>
        <v>0</v>
      </c>
      <c r="AI442" s="1">
        <f t="shared" si="176"/>
        <v>1</v>
      </c>
    </row>
    <row r="443" spans="1:35" s="1" customFormat="1" ht="14.25" customHeight="1" x14ac:dyDescent="0.25">
      <c r="A443" s="31">
        <v>0</v>
      </c>
      <c r="B443" s="31">
        <v>2</v>
      </c>
      <c r="C443" s="31">
        <v>7</v>
      </c>
      <c r="D443" s="32" t="s">
        <v>538</v>
      </c>
      <c r="E443" s="32" t="s">
        <v>157</v>
      </c>
      <c r="F443" s="32" t="s">
        <v>194</v>
      </c>
      <c r="G443" s="32" t="s">
        <v>195</v>
      </c>
      <c r="H443" s="32" t="s">
        <v>352</v>
      </c>
      <c r="I443" s="31" t="s">
        <v>546</v>
      </c>
      <c r="J443" s="31">
        <v>99</v>
      </c>
      <c r="K443" s="33" t="s">
        <v>932</v>
      </c>
      <c r="L443" s="33" t="s">
        <v>687</v>
      </c>
      <c r="M443" s="34" t="s">
        <v>1400</v>
      </c>
      <c r="N443" s="34" t="s">
        <v>1700</v>
      </c>
      <c r="O443" s="35">
        <v>1</v>
      </c>
      <c r="P443" s="35"/>
      <c r="Q443" s="32"/>
      <c r="S443" s="1">
        <f t="shared" si="161"/>
        <v>0</v>
      </c>
      <c r="T443" s="1">
        <f t="shared" si="162"/>
        <v>0</v>
      </c>
      <c r="U443" s="1">
        <f t="shared" si="163"/>
        <v>0</v>
      </c>
      <c r="V443" s="1">
        <f t="shared" si="164"/>
        <v>0</v>
      </c>
      <c r="W443" s="1">
        <f t="shared" si="165"/>
        <v>0</v>
      </c>
      <c r="X443" s="1">
        <f t="shared" si="166"/>
        <v>0</v>
      </c>
      <c r="Y443" s="1">
        <f t="shared" si="167"/>
        <v>0</v>
      </c>
      <c r="Z443" s="1">
        <f t="shared" si="168"/>
        <v>0</v>
      </c>
      <c r="AA443" s="1">
        <f t="shared" si="169"/>
        <v>0</v>
      </c>
      <c r="AB443" s="1">
        <f t="shared" si="170"/>
        <v>0</v>
      </c>
      <c r="AD443" s="1">
        <f t="shared" si="171"/>
        <v>0</v>
      </c>
      <c r="AE443" s="1">
        <f t="shared" si="172"/>
        <v>1</v>
      </c>
      <c r="AF443" s="1">
        <f t="shared" si="173"/>
        <v>0</v>
      </c>
      <c r="AG443" s="1">
        <f t="shared" si="174"/>
        <v>1</v>
      </c>
      <c r="AH443" s="1">
        <f t="shared" si="175"/>
        <v>0</v>
      </c>
      <c r="AI443" s="1">
        <f t="shared" si="176"/>
        <v>1</v>
      </c>
    </row>
    <row r="444" spans="1:35" s="1" customFormat="1" ht="14.25" customHeight="1" x14ac:dyDescent="0.25">
      <c r="A444" s="31">
        <v>0</v>
      </c>
      <c r="B444" s="31">
        <v>2</v>
      </c>
      <c r="C444" s="31">
        <v>7</v>
      </c>
      <c r="D444" s="32" t="s">
        <v>46</v>
      </c>
      <c r="E444" s="32" t="s">
        <v>155</v>
      </c>
      <c r="F444" s="32" t="s">
        <v>182</v>
      </c>
      <c r="G444" s="32" t="s">
        <v>178</v>
      </c>
      <c r="H444" s="32" t="s">
        <v>352</v>
      </c>
      <c r="I444" s="31" t="s">
        <v>380</v>
      </c>
      <c r="J444" s="31">
        <v>10</v>
      </c>
      <c r="K444" s="33" t="s">
        <v>932</v>
      </c>
      <c r="L444" s="33" t="s">
        <v>713</v>
      </c>
      <c r="M444" s="34" t="s">
        <v>1398</v>
      </c>
      <c r="N444" s="34" t="s">
        <v>1799</v>
      </c>
      <c r="O444" s="35">
        <v>1</v>
      </c>
      <c r="P444" s="35"/>
      <c r="Q444" s="32"/>
      <c r="S444" s="1">
        <f t="shared" si="161"/>
        <v>0</v>
      </c>
      <c r="T444" s="1">
        <f t="shared" si="162"/>
        <v>0</v>
      </c>
      <c r="U444" s="1">
        <f t="shared" si="163"/>
        <v>0</v>
      </c>
      <c r="V444" s="1">
        <f t="shared" si="164"/>
        <v>0</v>
      </c>
      <c r="W444" s="1">
        <f t="shared" si="165"/>
        <v>0</v>
      </c>
      <c r="X444" s="1">
        <f t="shared" si="166"/>
        <v>0</v>
      </c>
      <c r="Y444" s="1">
        <f t="shared" si="167"/>
        <v>0</v>
      </c>
      <c r="Z444" s="1">
        <f t="shared" si="168"/>
        <v>0</v>
      </c>
      <c r="AA444" s="1">
        <f t="shared" si="169"/>
        <v>0</v>
      </c>
      <c r="AB444" s="1">
        <f t="shared" si="170"/>
        <v>1</v>
      </c>
      <c r="AD444" s="1">
        <f t="shared" si="171"/>
        <v>0</v>
      </c>
      <c r="AE444" s="1">
        <f t="shared" si="172"/>
        <v>1</v>
      </c>
      <c r="AF444" s="1">
        <f t="shared" si="173"/>
        <v>0</v>
      </c>
      <c r="AG444" s="1">
        <f t="shared" si="174"/>
        <v>1</v>
      </c>
      <c r="AH444" s="1">
        <f t="shared" si="175"/>
        <v>0</v>
      </c>
      <c r="AI444" s="1">
        <f t="shared" si="176"/>
        <v>1</v>
      </c>
    </row>
    <row r="445" spans="1:35" s="1" customFormat="1" ht="14.25" customHeight="1" x14ac:dyDescent="0.25">
      <c r="A445" s="31">
        <v>0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247</v>
      </c>
      <c r="G445" s="32" t="s">
        <v>248</v>
      </c>
      <c r="H445" s="32" t="s">
        <v>352</v>
      </c>
      <c r="I445" s="31" t="s">
        <v>409</v>
      </c>
      <c r="J445" s="31">
        <v>7</v>
      </c>
      <c r="K445" s="33" t="s">
        <v>704</v>
      </c>
      <c r="L445" s="33" t="s">
        <v>704</v>
      </c>
      <c r="M445" s="34" t="s">
        <v>722</v>
      </c>
      <c r="N445" s="34" t="s">
        <v>1701</v>
      </c>
      <c r="O445" s="35">
        <v>1</v>
      </c>
      <c r="P445" s="35"/>
      <c r="Q445" s="32"/>
      <c r="S445" s="1">
        <f t="shared" si="161"/>
        <v>0</v>
      </c>
      <c r="T445" s="1">
        <f t="shared" si="162"/>
        <v>0</v>
      </c>
      <c r="U445" s="1">
        <f t="shared" si="163"/>
        <v>0</v>
      </c>
      <c r="V445" s="1">
        <f t="shared" si="164"/>
        <v>0</v>
      </c>
      <c r="W445" s="1">
        <f t="shared" si="165"/>
        <v>0</v>
      </c>
      <c r="X445" s="1">
        <f t="shared" si="166"/>
        <v>0</v>
      </c>
      <c r="Y445" s="1">
        <f t="shared" si="167"/>
        <v>1</v>
      </c>
      <c r="Z445" s="1">
        <f t="shared" si="168"/>
        <v>0</v>
      </c>
      <c r="AA445" s="1">
        <f t="shared" si="169"/>
        <v>0</v>
      </c>
      <c r="AB445" s="1">
        <f t="shared" si="170"/>
        <v>0</v>
      </c>
      <c r="AD445" s="1">
        <f t="shared" si="171"/>
        <v>0</v>
      </c>
      <c r="AE445" s="1">
        <f t="shared" si="172"/>
        <v>1</v>
      </c>
      <c r="AF445" s="1">
        <f t="shared" si="173"/>
        <v>0</v>
      </c>
      <c r="AG445" s="1">
        <f t="shared" si="174"/>
        <v>1</v>
      </c>
      <c r="AH445" s="1">
        <f t="shared" si="175"/>
        <v>0</v>
      </c>
      <c r="AI445" s="1">
        <f t="shared" si="176"/>
        <v>1</v>
      </c>
    </row>
    <row r="446" spans="1:35" s="1" customFormat="1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1016</v>
      </c>
      <c r="G446" s="32" t="s">
        <v>535</v>
      </c>
      <c r="H446" s="32" t="s">
        <v>352</v>
      </c>
      <c r="I446" s="31" t="s">
        <v>30</v>
      </c>
      <c r="J446" s="31">
        <v>1</v>
      </c>
      <c r="K446" s="33" t="s">
        <v>704</v>
      </c>
      <c r="L446" s="33" t="s">
        <v>704</v>
      </c>
      <c r="M446" s="34" t="s">
        <v>722</v>
      </c>
      <c r="N446" s="34" t="s">
        <v>1701</v>
      </c>
      <c r="O446" s="35">
        <v>1</v>
      </c>
      <c r="P446" s="35"/>
      <c r="Q446" s="32"/>
      <c r="S446" s="1">
        <f t="shared" si="161"/>
        <v>1</v>
      </c>
      <c r="T446" s="1">
        <f t="shared" si="162"/>
        <v>0</v>
      </c>
      <c r="U446" s="1">
        <f t="shared" si="163"/>
        <v>0</v>
      </c>
      <c r="V446" s="1">
        <f t="shared" si="164"/>
        <v>0</v>
      </c>
      <c r="W446" s="1">
        <f t="shared" si="165"/>
        <v>0</v>
      </c>
      <c r="X446" s="1">
        <f t="shared" si="166"/>
        <v>0</v>
      </c>
      <c r="Y446" s="1">
        <f t="shared" si="167"/>
        <v>0</v>
      </c>
      <c r="Z446" s="1">
        <f t="shared" si="168"/>
        <v>0</v>
      </c>
      <c r="AA446" s="1">
        <f t="shared" si="169"/>
        <v>0</v>
      </c>
      <c r="AB446" s="1">
        <f t="shared" si="170"/>
        <v>0</v>
      </c>
      <c r="AD446" s="1">
        <f t="shared" si="171"/>
        <v>0</v>
      </c>
      <c r="AE446" s="1">
        <f t="shared" si="172"/>
        <v>1</v>
      </c>
      <c r="AF446" s="1">
        <f t="shared" si="173"/>
        <v>0</v>
      </c>
      <c r="AG446" s="1">
        <f t="shared" si="174"/>
        <v>0</v>
      </c>
      <c r="AH446" s="1">
        <f t="shared" si="175"/>
        <v>0</v>
      </c>
      <c r="AI446" s="1">
        <f t="shared" si="176"/>
        <v>0</v>
      </c>
    </row>
    <row r="447" spans="1:35" s="1" customFormat="1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249</v>
      </c>
      <c r="G447" s="32" t="s">
        <v>199</v>
      </c>
      <c r="H447" s="32" t="s">
        <v>352</v>
      </c>
      <c r="I447" s="31" t="s">
        <v>410</v>
      </c>
      <c r="J447" s="31">
        <v>2</v>
      </c>
      <c r="K447" s="33" t="s">
        <v>704</v>
      </c>
      <c r="L447" s="33" t="s">
        <v>704</v>
      </c>
      <c r="M447" s="34" t="s">
        <v>722</v>
      </c>
      <c r="N447" s="34" t="s">
        <v>1701</v>
      </c>
      <c r="O447" s="35">
        <v>1</v>
      </c>
      <c r="P447" s="35"/>
      <c r="Q447" s="32"/>
      <c r="S447" s="1">
        <f t="shared" si="161"/>
        <v>0</v>
      </c>
      <c r="T447" s="1">
        <f t="shared" si="162"/>
        <v>1</v>
      </c>
      <c r="U447" s="1">
        <f t="shared" si="163"/>
        <v>0</v>
      </c>
      <c r="V447" s="1">
        <f t="shared" si="164"/>
        <v>0</v>
      </c>
      <c r="W447" s="1">
        <f t="shared" si="165"/>
        <v>0</v>
      </c>
      <c r="X447" s="1">
        <f t="shared" si="166"/>
        <v>0</v>
      </c>
      <c r="Y447" s="1">
        <f t="shared" si="167"/>
        <v>0</v>
      </c>
      <c r="Z447" s="1">
        <f t="shared" si="168"/>
        <v>0</v>
      </c>
      <c r="AA447" s="1">
        <f t="shared" si="169"/>
        <v>0</v>
      </c>
      <c r="AB447" s="1">
        <f t="shared" si="170"/>
        <v>0</v>
      </c>
      <c r="AD447" s="1">
        <f t="shared" si="171"/>
        <v>0</v>
      </c>
      <c r="AE447" s="1">
        <f t="shared" si="172"/>
        <v>1</v>
      </c>
      <c r="AF447" s="1">
        <f t="shared" si="173"/>
        <v>0</v>
      </c>
      <c r="AG447" s="1">
        <f t="shared" si="174"/>
        <v>0</v>
      </c>
      <c r="AH447" s="1">
        <f t="shared" si="175"/>
        <v>0</v>
      </c>
      <c r="AI447" s="1">
        <f t="shared" si="176"/>
        <v>0</v>
      </c>
    </row>
    <row r="448" spans="1:35" s="1" customFormat="1" ht="14.25" customHeight="1" x14ac:dyDescent="0.25">
      <c r="A448" s="31">
        <v>1</v>
      </c>
      <c r="B448" s="31">
        <v>2</v>
      </c>
      <c r="C448" s="31">
        <v>7</v>
      </c>
      <c r="D448" s="32" t="s">
        <v>67</v>
      </c>
      <c r="E448" s="32" t="s">
        <v>28</v>
      </c>
      <c r="F448" s="32" t="s">
        <v>246</v>
      </c>
      <c r="G448" s="32" t="s">
        <v>1318</v>
      </c>
      <c r="H448" s="32" t="s">
        <v>352</v>
      </c>
      <c r="I448" s="31" t="s">
        <v>30</v>
      </c>
      <c r="J448" s="31">
        <v>1</v>
      </c>
      <c r="K448" s="33" t="s">
        <v>704</v>
      </c>
      <c r="L448" s="33" t="s">
        <v>704</v>
      </c>
      <c r="M448" s="34" t="s">
        <v>722</v>
      </c>
      <c r="N448" s="34" t="s">
        <v>1701</v>
      </c>
      <c r="O448" s="35">
        <v>1</v>
      </c>
      <c r="P448" s="35"/>
      <c r="Q448" s="32" t="s">
        <v>1866</v>
      </c>
      <c r="S448" s="1">
        <f t="shared" si="161"/>
        <v>1</v>
      </c>
      <c r="T448" s="1">
        <f t="shared" si="162"/>
        <v>0</v>
      </c>
      <c r="U448" s="1">
        <f t="shared" si="163"/>
        <v>0</v>
      </c>
      <c r="V448" s="1">
        <f t="shared" si="164"/>
        <v>0</v>
      </c>
      <c r="W448" s="1">
        <f t="shared" si="165"/>
        <v>0</v>
      </c>
      <c r="X448" s="1">
        <f t="shared" si="166"/>
        <v>0</v>
      </c>
      <c r="Y448" s="1">
        <f t="shared" si="167"/>
        <v>0</v>
      </c>
      <c r="Z448" s="1">
        <f t="shared" si="168"/>
        <v>0</v>
      </c>
      <c r="AA448" s="1">
        <f t="shared" si="169"/>
        <v>0</v>
      </c>
      <c r="AB448" s="1">
        <f t="shared" si="170"/>
        <v>0</v>
      </c>
      <c r="AD448" s="1">
        <f t="shared" si="171"/>
        <v>0</v>
      </c>
      <c r="AE448" s="1">
        <f t="shared" si="172"/>
        <v>1</v>
      </c>
      <c r="AF448" s="1">
        <f t="shared" si="173"/>
        <v>0</v>
      </c>
      <c r="AG448" s="1">
        <f t="shared" si="174"/>
        <v>0</v>
      </c>
      <c r="AH448" s="1">
        <f t="shared" si="175"/>
        <v>0</v>
      </c>
      <c r="AI448" s="1">
        <f t="shared" si="176"/>
        <v>0</v>
      </c>
    </row>
    <row r="449" spans="1:35" s="1" customFormat="1" ht="14.25" customHeight="1" x14ac:dyDescent="0.25">
      <c r="A449" s="31">
        <v>1</v>
      </c>
      <c r="B449" s="31">
        <v>2</v>
      </c>
      <c r="C449" s="31">
        <v>7</v>
      </c>
      <c r="D449" s="32" t="s">
        <v>67</v>
      </c>
      <c r="E449" s="32" t="s">
        <v>28</v>
      </c>
      <c r="F449" s="32" t="s">
        <v>251</v>
      </c>
      <c r="G449" s="32" t="s">
        <v>193</v>
      </c>
      <c r="H449" s="32" t="s">
        <v>352</v>
      </c>
      <c r="I449" s="31" t="s">
        <v>411</v>
      </c>
      <c r="J449" s="31">
        <v>9</v>
      </c>
      <c r="K449" s="33" t="s">
        <v>704</v>
      </c>
      <c r="L449" s="33" t="s">
        <v>704</v>
      </c>
      <c r="M449" s="34" t="s">
        <v>722</v>
      </c>
      <c r="N449" s="34" t="s">
        <v>1701</v>
      </c>
      <c r="O449" s="35">
        <v>1</v>
      </c>
      <c r="P449" s="35"/>
      <c r="Q449" s="32"/>
      <c r="S449" s="1">
        <f t="shared" si="161"/>
        <v>0</v>
      </c>
      <c r="T449" s="1">
        <f t="shared" si="162"/>
        <v>0</v>
      </c>
      <c r="U449" s="1">
        <f t="shared" si="163"/>
        <v>0</v>
      </c>
      <c r="V449" s="1">
        <f t="shared" si="164"/>
        <v>0</v>
      </c>
      <c r="W449" s="1">
        <f t="shared" si="165"/>
        <v>0</v>
      </c>
      <c r="X449" s="1">
        <f t="shared" si="166"/>
        <v>0</v>
      </c>
      <c r="Y449" s="1">
        <f t="shared" si="167"/>
        <v>0</v>
      </c>
      <c r="Z449" s="1">
        <f t="shared" si="168"/>
        <v>0</v>
      </c>
      <c r="AA449" s="1">
        <f t="shared" si="169"/>
        <v>1</v>
      </c>
      <c r="AB449" s="1">
        <f t="shared" si="170"/>
        <v>0</v>
      </c>
      <c r="AD449" s="1">
        <f t="shared" si="171"/>
        <v>0</v>
      </c>
      <c r="AE449" s="1">
        <f t="shared" si="172"/>
        <v>1</v>
      </c>
      <c r="AF449" s="1">
        <f t="shared" si="173"/>
        <v>0</v>
      </c>
      <c r="AG449" s="1">
        <f t="shared" si="174"/>
        <v>0</v>
      </c>
      <c r="AH449" s="1">
        <f t="shared" si="175"/>
        <v>0</v>
      </c>
      <c r="AI449" s="1">
        <f t="shared" si="176"/>
        <v>0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1000</v>
      </c>
      <c r="E450" s="32" t="s">
        <v>28</v>
      </c>
      <c r="F450" s="32" t="s">
        <v>1001</v>
      </c>
      <c r="G450" s="32" t="s">
        <v>193</v>
      </c>
      <c r="H450" s="32" t="s">
        <v>352</v>
      </c>
      <c r="I450" s="31" t="s">
        <v>1002</v>
      </c>
      <c r="J450" s="31">
        <v>9</v>
      </c>
      <c r="K450" s="33" t="s">
        <v>703</v>
      </c>
      <c r="L450" s="33" t="s">
        <v>704</v>
      </c>
      <c r="M450" s="34" t="s">
        <v>722</v>
      </c>
      <c r="N450" s="34" t="s">
        <v>1696</v>
      </c>
      <c r="O450" s="35">
        <v>1</v>
      </c>
      <c r="P450" s="35"/>
      <c r="Q450" s="32"/>
      <c r="S450" s="1">
        <f t="shared" si="161"/>
        <v>0</v>
      </c>
      <c r="T450" s="1">
        <f t="shared" si="162"/>
        <v>0</v>
      </c>
      <c r="U450" s="1">
        <f t="shared" si="163"/>
        <v>0</v>
      </c>
      <c r="V450" s="1">
        <f t="shared" si="164"/>
        <v>0</v>
      </c>
      <c r="W450" s="1">
        <f t="shared" si="165"/>
        <v>0</v>
      </c>
      <c r="X450" s="1">
        <f t="shared" si="166"/>
        <v>0</v>
      </c>
      <c r="Y450" s="1">
        <f t="shared" si="167"/>
        <v>0</v>
      </c>
      <c r="Z450" s="1">
        <f t="shared" si="168"/>
        <v>0</v>
      </c>
      <c r="AA450" s="1">
        <f t="shared" si="169"/>
        <v>1</v>
      </c>
      <c r="AB450" s="1">
        <f t="shared" si="170"/>
        <v>0</v>
      </c>
      <c r="AD450" s="1">
        <f t="shared" si="171"/>
        <v>0</v>
      </c>
      <c r="AE450" s="1">
        <f t="shared" si="172"/>
        <v>1</v>
      </c>
      <c r="AF450" s="1">
        <f t="shared" si="173"/>
        <v>0</v>
      </c>
      <c r="AG450" s="1">
        <f t="shared" si="174"/>
        <v>1</v>
      </c>
      <c r="AH450" s="1">
        <f t="shared" si="175"/>
        <v>0</v>
      </c>
      <c r="AI450" s="1">
        <f t="shared" si="176"/>
        <v>1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1783</v>
      </c>
      <c r="E451" s="32" t="s">
        <v>1784</v>
      </c>
      <c r="F451" s="32" t="s">
        <v>1785</v>
      </c>
      <c r="G451" s="32" t="s">
        <v>206</v>
      </c>
      <c r="H451" s="32" t="s">
        <v>352</v>
      </c>
      <c r="I451" s="31" t="s">
        <v>30</v>
      </c>
      <c r="J451" s="31"/>
      <c r="K451" s="33" t="s">
        <v>694</v>
      </c>
      <c r="L451" s="33">
        <v>20</v>
      </c>
      <c r="M451" s="34" t="s">
        <v>1786</v>
      </c>
      <c r="N451" s="34" t="s">
        <v>1696</v>
      </c>
      <c r="O451" s="35">
        <v>1</v>
      </c>
      <c r="P451" s="35"/>
      <c r="Q451" s="32"/>
      <c r="S451" s="1">
        <f t="shared" si="161"/>
        <v>0</v>
      </c>
      <c r="T451" s="1">
        <f t="shared" si="162"/>
        <v>0</v>
      </c>
      <c r="U451" s="1">
        <f t="shared" si="163"/>
        <v>0</v>
      </c>
      <c r="V451" s="1">
        <f t="shared" si="164"/>
        <v>0</v>
      </c>
      <c r="W451" s="1">
        <f t="shared" si="165"/>
        <v>0</v>
      </c>
      <c r="X451" s="1">
        <f t="shared" si="166"/>
        <v>0</v>
      </c>
      <c r="Y451" s="1">
        <f t="shared" si="167"/>
        <v>0</v>
      </c>
      <c r="Z451" s="1">
        <f t="shared" si="168"/>
        <v>0</v>
      </c>
      <c r="AA451" s="1">
        <f t="shared" si="169"/>
        <v>0</v>
      </c>
      <c r="AB451" s="1">
        <f t="shared" si="170"/>
        <v>0</v>
      </c>
      <c r="AD451" s="1">
        <f t="shared" si="171"/>
        <v>0</v>
      </c>
      <c r="AE451" s="1">
        <f t="shared" si="172"/>
        <v>1</v>
      </c>
      <c r="AF451" s="1">
        <f t="shared" si="173"/>
        <v>0</v>
      </c>
      <c r="AG451" s="1">
        <f t="shared" si="174"/>
        <v>1</v>
      </c>
      <c r="AH451" s="1">
        <f t="shared" si="175"/>
        <v>0</v>
      </c>
      <c r="AI451" s="1">
        <f t="shared" si="176"/>
        <v>1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1056</v>
      </c>
      <c r="E452" s="32" t="s">
        <v>540</v>
      </c>
      <c r="F452" s="32" t="s">
        <v>1037</v>
      </c>
      <c r="G452" s="32" t="s">
        <v>237</v>
      </c>
      <c r="H452" s="32" t="s">
        <v>352</v>
      </c>
      <c r="I452" s="31" t="s">
        <v>1038</v>
      </c>
      <c r="J452" s="31">
        <v>99</v>
      </c>
      <c r="K452" s="33" t="s">
        <v>932</v>
      </c>
      <c r="L452" s="33" t="s">
        <v>713</v>
      </c>
      <c r="M452" s="34" t="s">
        <v>1401</v>
      </c>
      <c r="N452" s="34" t="s">
        <v>1696</v>
      </c>
      <c r="O452" s="35">
        <v>1</v>
      </c>
      <c r="P452" s="35"/>
      <c r="Q452" s="32"/>
      <c r="S452" s="1">
        <f t="shared" si="161"/>
        <v>0</v>
      </c>
      <c r="T452" s="1">
        <f t="shared" si="162"/>
        <v>0</v>
      </c>
      <c r="U452" s="1">
        <f t="shared" si="163"/>
        <v>0</v>
      </c>
      <c r="V452" s="1">
        <f t="shared" si="164"/>
        <v>0</v>
      </c>
      <c r="W452" s="1">
        <f t="shared" si="165"/>
        <v>0</v>
      </c>
      <c r="X452" s="1">
        <f t="shared" si="166"/>
        <v>0</v>
      </c>
      <c r="Y452" s="1">
        <f t="shared" si="167"/>
        <v>0</v>
      </c>
      <c r="Z452" s="1">
        <f t="shared" si="168"/>
        <v>0</v>
      </c>
      <c r="AA452" s="1">
        <f t="shared" si="169"/>
        <v>0</v>
      </c>
      <c r="AB452" s="1">
        <f t="shared" si="170"/>
        <v>0</v>
      </c>
      <c r="AD452" s="1">
        <f t="shared" si="171"/>
        <v>0</v>
      </c>
      <c r="AE452" s="1">
        <f t="shared" si="172"/>
        <v>1</v>
      </c>
      <c r="AF452" s="1">
        <f t="shared" si="173"/>
        <v>0</v>
      </c>
      <c r="AG452" s="1">
        <f t="shared" si="174"/>
        <v>1</v>
      </c>
      <c r="AH452" s="1">
        <f t="shared" si="175"/>
        <v>0</v>
      </c>
      <c r="AI452" s="1">
        <f t="shared" si="176"/>
        <v>1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2" t="s">
        <v>1195</v>
      </c>
      <c r="E453" s="32" t="s">
        <v>155</v>
      </c>
      <c r="F453" s="32" t="s">
        <v>1196</v>
      </c>
      <c r="G453" s="32" t="s">
        <v>250</v>
      </c>
      <c r="H453" s="32" t="s">
        <v>352</v>
      </c>
      <c r="I453" s="31" t="s">
        <v>1197</v>
      </c>
      <c r="J453" s="31">
        <v>99</v>
      </c>
      <c r="K453" s="33" t="s">
        <v>704</v>
      </c>
      <c r="L453" s="33">
        <v>10</v>
      </c>
      <c r="M453" s="34" t="s">
        <v>1699</v>
      </c>
      <c r="N453" s="34" t="s">
        <v>1687</v>
      </c>
      <c r="O453" s="35">
        <v>1</v>
      </c>
      <c r="P453" s="35">
        <v>1</v>
      </c>
      <c r="Q453" s="32"/>
      <c r="S453" s="1">
        <f t="shared" si="161"/>
        <v>0</v>
      </c>
      <c r="T453" s="1">
        <f t="shared" si="162"/>
        <v>0</v>
      </c>
      <c r="U453" s="1">
        <f t="shared" si="163"/>
        <v>0</v>
      </c>
      <c r="V453" s="1">
        <f t="shared" si="164"/>
        <v>0</v>
      </c>
      <c r="W453" s="1">
        <f t="shared" si="165"/>
        <v>0</v>
      </c>
      <c r="X453" s="1">
        <f t="shared" si="166"/>
        <v>0</v>
      </c>
      <c r="Y453" s="1">
        <f t="shared" si="167"/>
        <v>0</v>
      </c>
      <c r="Z453" s="1">
        <f t="shared" si="168"/>
        <v>0</v>
      </c>
      <c r="AA453" s="1">
        <f t="shared" si="169"/>
        <v>0</v>
      </c>
      <c r="AB453" s="1">
        <f t="shared" si="170"/>
        <v>0</v>
      </c>
      <c r="AD453" s="1">
        <f t="shared" si="171"/>
        <v>1</v>
      </c>
      <c r="AE453" s="1">
        <f t="shared" si="172"/>
        <v>0</v>
      </c>
      <c r="AF453" s="1">
        <f t="shared" si="173"/>
        <v>1</v>
      </c>
      <c r="AG453" s="1">
        <f t="shared" si="174"/>
        <v>0</v>
      </c>
      <c r="AH453" s="1">
        <f t="shared" si="175"/>
        <v>1</v>
      </c>
      <c r="AI453" s="1">
        <f t="shared" si="176"/>
        <v>0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6" t="s">
        <v>1754</v>
      </c>
      <c r="E454" s="36" t="s">
        <v>28</v>
      </c>
      <c r="F454" s="36" t="s">
        <v>1755</v>
      </c>
      <c r="G454" s="36" t="s">
        <v>179</v>
      </c>
      <c r="H454" s="36" t="s">
        <v>352</v>
      </c>
      <c r="I454" s="37" t="s">
        <v>1756</v>
      </c>
      <c r="J454" s="31">
        <v>10</v>
      </c>
      <c r="K454" s="33" t="s">
        <v>694</v>
      </c>
      <c r="L454" s="33">
        <v>10</v>
      </c>
      <c r="M454" s="34"/>
      <c r="N454" s="34" t="s">
        <v>1687</v>
      </c>
      <c r="O454" s="35">
        <v>1</v>
      </c>
      <c r="P454" s="35">
        <v>1</v>
      </c>
      <c r="Q454" s="36"/>
      <c r="S454" s="1">
        <f t="shared" si="161"/>
        <v>0</v>
      </c>
      <c r="T454" s="1">
        <f t="shared" si="162"/>
        <v>0</v>
      </c>
      <c r="U454" s="1">
        <f t="shared" si="163"/>
        <v>0</v>
      </c>
      <c r="V454" s="1">
        <f t="shared" si="164"/>
        <v>0</v>
      </c>
      <c r="W454" s="1">
        <f t="shared" si="165"/>
        <v>0</v>
      </c>
      <c r="X454" s="1">
        <f t="shared" si="166"/>
        <v>0</v>
      </c>
      <c r="Y454" s="1">
        <f t="shared" si="167"/>
        <v>0</v>
      </c>
      <c r="Z454" s="1">
        <f t="shared" si="168"/>
        <v>0</v>
      </c>
      <c r="AA454" s="1">
        <f t="shared" si="169"/>
        <v>0</v>
      </c>
      <c r="AB454" s="1">
        <f t="shared" si="170"/>
        <v>1</v>
      </c>
      <c r="AD454" s="1">
        <f t="shared" si="171"/>
        <v>1</v>
      </c>
      <c r="AE454" s="1">
        <f t="shared" si="172"/>
        <v>0</v>
      </c>
      <c r="AF454" s="1">
        <f t="shared" si="173"/>
        <v>1</v>
      </c>
      <c r="AG454" s="1">
        <f t="shared" si="174"/>
        <v>0</v>
      </c>
      <c r="AH454" s="1">
        <f t="shared" si="175"/>
        <v>1</v>
      </c>
      <c r="AI454" s="1">
        <f t="shared" si="176"/>
        <v>0</v>
      </c>
    </row>
    <row r="455" spans="1:35" s="1" customFormat="1" ht="14.25" customHeight="1" x14ac:dyDescent="0.25">
      <c r="A455" s="37">
        <v>0</v>
      </c>
      <c r="B455" s="37">
        <v>2</v>
      </c>
      <c r="C455" s="37">
        <v>7</v>
      </c>
      <c r="D455" s="36" t="s">
        <v>1546</v>
      </c>
      <c r="E455" s="36" t="s">
        <v>1612</v>
      </c>
      <c r="F455" s="36" t="s">
        <v>1547</v>
      </c>
      <c r="G455" s="36" t="s">
        <v>648</v>
      </c>
      <c r="H455" s="36" t="s">
        <v>352</v>
      </c>
      <c r="I455" s="37" t="s">
        <v>1548</v>
      </c>
      <c r="J455" s="37">
        <v>99</v>
      </c>
      <c r="K455" s="33" t="s">
        <v>704</v>
      </c>
      <c r="L455" s="33" t="s">
        <v>39</v>
      </c>
      <c r="M455" s="34" t="s">
        <v>39</v>
      </c>
      <c r="N455" s="34" t="s">
        <v>1687</v>
      </c>
      <c r="O455" s="35">
        <v>1</v>
      </c>
      <c r="P455" s="35">
        <v>1</v>
      </c>
      <c r="Q455" s="36"/>
      <c r="S455" s="1">
        <f t="shared" si="161"/>
        <v>0</v>
      </c>
      <c r="T455" s="1">
        <f t="shared" si="162"/>
        <v>0</v>
      </c>
      <c r="U455" s="1">
        <f t="shared" si="163"/>
        <v>0</v>
      </c>
      <c r="V455" s="1">
        <f t="shared" si="164"/>
        <v>0</v>
      </c>
      <c r="W455" s="1">
        <f t="shared" si="165"/>
        <v>0</v>
      </c>
      <c r="X455" s="1">
        <f t="shared" si="166"/>
        <v>0</v>
      </c>
      <c r="Y455" s="1">
        <f t="shared" si="167"/>
        <v>0</v>
      </c>
      <c r="Z455" s="1">
        <f t="shared" si="168"/>
        <v>0</v>
      </c>
      <c r="AA455" s="1">
        <f t="shared" si="169"/>
        <v>0</v>
      </c>
      <c r="AB455" s="1">
        <f t="shared" si="170"/>
        <v>0</v>
      </c>
      <c r="AD455" s="1">
        <f t="shared" si="171"/>
        <v>1</v>
      </c>
      <c r="AE455" s="1">
        <f t="shared" si="172"/>
        <v>0</v>
      </c>
      <c r="AF455" s="1">
        <f t="shared" si="173"/>
        <v>1</v>
      </c>
      <c r="AG455" s="1">
        <f t="shared" si="174"/>
        <v>0</v>
      </c>
      <c r="AH455" s="1">
        <f t="shared" si="175"/>
        <v>1</v>
      </c>
      <c r="AI455" s="1">
        <f t="shared" si="176"/>
        <v>0</v>
      </c>
    </row>
    <row r="456" spans="1:35" s="1" customFormat="1" ht="14.25" customHeight="1" x14ac:dyDescent="0.25">
      <c r="A456" s="37">
        <v>0</v>
      </c>
      <c r="B456" s="37">
        <v>2</v>
      </c>
      <c r="C456" s="37">
        <v>7</v>
      </c>
      <c r="D456" s="36" t="s">
        <v>2129</v>
      </c>
      <c r="E456" s="36" t="s">
        <v>2130</v>
      </c>
      <c r="F456" s="36" t="s">
        <v>2132</v>
      </c>
      <c r="G456" s="36" t="s">
        <v>2133</v>
      </c>
      <c r="H456" s="36" t="s">
        <v>352</v>
      </c>
      <c r="I456" s="37" t="s">
        <v>2131</v>
      </c>
      <c r="J456" s="37">
        <v>99</v>
      </c>
      <c r="K456" s="33" t="s">
        <v>694</v>
      </c>
      <c r="L456" s="33" t="s">
        <v>704</v>
      </c>
      <c r="M456" s="34" t="s">
        <v>722</v>
      </c>
      <c r="N456" s="34" t="s">
        <v>1693</v>
      </c>
      <c r="O456" s="35">
        <v>1</v>
      </c>
      <c r="P456" s="35">
        <v>1</v>
      </c>
      <c r="Q456" s="36" t="s">
        <v>2134</v>
      </c>
      <c r="S456" s="1">
        <f t="shared" si="161"/>
        <v>0</v>
      </c>
      <c r="T456" s="1">
        <f t="shared" si="162"/>
        <v>0</v>
      </c>
      <c r="U456" s="1">
        <f t="shared" si="163"/>
        <v>0</v>
      </c>
      <c r="V456" s="1">
        <f t="shared" si="164"/>
        <v>0</v>
      </c>
      <c r="W456" s="1">
        <f t="shared" si="165"/>
        <v>0</v>
      </c>
      <c r="X456" s="1">
        <f t="shared" si="166"/>
        <v>0</v>
      </c>
      <c r="Y456" s="1">
        <f t="shared" si="167"/>
        <v>0</v>
      </c>
      <c r="Z456" s="1">
        <f t="shared" si="168"/>
        <v>0</v>
      </c>
      <c r="AA456" s="1">
        <f t="shared" si="169"/>
        <v>0</v>
      </c>
      <c r="AB456" s="1">
        <f t="shared" si="170"/>
        <v>0</v>
      </c>
      <c r="AD456" s="1">
        <f t="shared" ref="AD456:AD458" si="177">+O456*P456</f>
        <v>1</v>
      </c>
      <c r="AE456" s="1">
        <f t="shared" ref="AE456:AE458" si="178">O456*(1-P456)</f>
        <v>0</v>
      </c>
      <c r="AF456" s="1">
        <f t="shared" ref="AF456:AF458" si="179">+O456*P456*(1-A456)</f>
        <v>1</v>
      </c>
      <c r="AG456" s="1">
        <f t="shared" ref="AG456:AG458" si="180">O456*(1-P456)*(1-A456)</f>
        <v>0</v>
      </c>
      <c r="AH456" s="1">
        <f t="shared" ref="AH456:AH458" si="181">+P456*(1-A456)</f>
        <v>1</v>
      </c>
      <c r="AI456" s="1">
        <f t="shared" ref="AI456:AI458" si="182">+(1-A456)*(1-P456)</f>
        <v>0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1498</v>
      </c>
      <c r="E457" s="32" t="s">
        <v>28</v>
      </c>
      <c r="F457" s="32" t="s">
        <v>1623</v>
      </c>
      <c r="G457" s="32" t="s">
        <v>285</v>
      </c>
      <c r="H457" s="32" t="s">
        <v>352</v>
      </c>
      <c r="I457" s="31" t="s">
        <v>1648</v>
      </c>
      <c r="J457" s="31">
        <v>99</v>
      </c>
      <c r="K457" s="33" t="s">
        <v>704</v>
      </c>
      <c r="L457" s="33" t="s">
        <v>704</v>
      </c>
      <c r="M457" s="34" t="s">
        <v>722</v>
      </c>
      <c r="N457" s="34" t="s">
        <v>1696</v>
      </c>
      <c r="O457" s="35">
        <v>1</v>
      </c>
      <c r="P457" s="35"/>
      <c r="Q457" s="32"/>
      <c r="S457" s="1">
        <f t="shared" si="161"/>
        <v>0</v>
      </c>
      <c r="T457" s="1">
        <f t="shared" si="162"/>
        <v>0</v>
      </c>
      <c r="U457" s="1">
        <f t="shared" si="163"/>
        <v>0</v>
      </c>
      <c r="V457" s="1">
        <f t="shared" si="164"/>
        <v>0</v>
      </c>
      <c r="W457" s="1">
        <f t="shared" si="165"/>
        <v>0</v>
      </c>
      <c r="X457" s="1">
        <f t="shared" si="166"/>
        <v>0</v>
      </c>
      <c r="Y457" s="1">
        <f t="shared" si="167"/>
        <v>0</v>
      </c>
      <c r="Z457" s="1">
        <f t="shared" si="168"/>
        <v>0</v>
      </c>
      <c r="AA457" s="1">
        <f t="shared" si="169"/>
        <v>0</v>
      </c>
      <c r="AB457" s="1">
        <f t="shared" si="170"/>
        <v>0</v>
      </c>
      <c r="AD457" s="1">
        <f t="shared" si="177"/>
        <v>0</v>
      </c>
      <c r="AE457" s="1">
        <f t="shared" si="178"/>
        <v>1</v>
      </c>
      <c r="AF457" s="1">
        <f t="shared" si="179"/>
        <v>0</v>
      </c>
      <c r="AG457" s="1">
        <f t="shared" si="180"/>
        <v>1</v>
      </c>
      <c r="AH457" s="1">
        <f t="shared" si="181"/>
        <v>0</v>
      </c>
      <c r="AI457" s="1">
        <f t="shared" si="182"/>
        <v>1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1296</v>
      </c>
      <c r="E458" s="32" t="s">
        <v>28</v>
      </c>
      <c r="F458" s="32" t="s">
        <v>565</v>
      </c>
      <c r="G458" s="32" t="s">
        <v>180</v>
      </c>
      <c r="H458" s="32" t="s">
        <v>352</v>
      </c>
      <c r="I458" s="31" t="s">
        <v>428</v>
      </c>
      <c r="J458" s="31">
        <v>7</v>
      </c>
      <c r="K458" s="33" t="s">
        <v>703</v>
      </c>
      <c r="L458" s="33" t="s">
        <v>704</v>
      </c>
      <c r="M458" s="34" t="s">
        <v>722</v>
      </c>
      <c r="N458" s="34" t="s">
        <v>1696</v>
      </c>
      <c r="O458" s="35">
        <v>1</v>
      </c>
      <c r="P458" s="35"/>
      <c r="Q458" s="32"/>
      <c r="S458" s="1">
        <f t="shared" si="161"/>
        <v>0</v>
      </c>
      <c r="T458" s="1">
        <f t="shared" si="162"/>
        <v>0</v>
      </c>
      <c r="U458" s="1">
        <f t="shared" si="163"/>
        <v>0</v>
      </c>
      <c r="V458" s="1">
        <f t="shared" si="164"/>
        <v>0</v>
      </c>
      <c r="W458" s="1">
        <f t="shared" si="165"/>
        <v>0</v>
      </c>
      <c r="X458" s="1">
        <f t="shared" si="166"/>
        <v>0</v>
      </c>
      <c r="Y458" s="1">
        <f t="shared" si="167"/>
        <v>1</v>
      </c>
      <c r="Z458" s="1">
        <f t="shared" si="168"/>
        <v>0</v>
      </c>
      <c r="AA458" s="1">
        <f t="shared" si="169"/>
        <v>0</v>
      </c>
      <c r="AB458" s="1">
        <f t="shared" si="170"/>
        <v>0</v>
      </c>
      <c r="AD458" s="1">
        <f t="shared" si="177"/>
        <v>0</v>
      </c>
      <c r="AE458" s="1">
        <f t="shared" si="178"/>
        <v>1</v>
      </c>
      <c r="AF458" s="1">
        <f t="shared" si="179"/>
        <v>0</v>
      </c>
      <c r="AG458" s="1">
        <f t="shared" si="180"/>
        <v>1</v>
      </c>
      <c r="AH458" s="1">
        <f t="shared" si="181"/>
        <v>0</v>
      </c>
      <c r="AI458" s="1">
        <f t="shared" si="182"/>
        <v>1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72</v>
      </c>
      <c r="E459" s="32" t="s">
        <v>28</v>
      </c>
      <c r="F459" s="32" t="s">
        <v>260</v>
      </c>
      <c r="G459" s="32" t="s">
        <v>219</v>
      </c>
      <c r="H459" s="32" t="s">
        <v>352</v>
      </c>
      <c r="I459" s="31" t="s">
        <v>418</v>
      </c>
      <c r="J459" s="31">
        <v>8</v>
      </c>
      <c r="K459" s="33" t="s">
        <v>704</v>
      </c>
      <c r="L459" s="33" t="s">
        <v>704</v>
      </c>
      <c r="M459" s="34" t="s">
        <v>722</v>
      </c>
      <c r="N459" s="34" t="s">
        <v>1696</v>
      </c>
      <c r="O459" s="35">
        <v>1</v>
      </c>
      <c r="P459" s="35"/>
      <c r="Q459" s="32"/>
      <c r="S459" s="1">
        <f t="shared" si="161"/>
        <v>0</v>
      </c>
      <c r="T459" s="1">
        <f t="shared" si="162"/>
        <v>0</v>
      </c>
      <c r="U459" s="1">
        <f t="shared" si="163"/>
        <v>0</v>
      </c>
      <c r="V459" s="1">
        <f t="shared" si="164"/>
        <v>0</v>
      </c>
      <c r="W459" s="1">
        <f t="shared" si="165"/>
        <v>0</v>
      </c>
      <c r="X459" s="1">
        <f t="shared" si="166"/>
        <v>0</v>
      </c>
      <c r="Y459" s="1">
        <f t="shared" si="167"/>
        <v>0</v>
      </c>
      <c r="Z459" s="1">
        <f t="shared" si="168"/>
        <v>1</v>
      </c>
      <c r="AA459" s="1">
        <f t="shared" si="169"/>
        <v>0</v>
      </c>
      <c r="AB459" s="1">
        <f t="shared" si="170"/>
        <v>0</v>
      </c>
      <c r="AD459" s="1">
        <f t="shared" si="171"/>
        <v>0</v>
      </c>
      <c r="AE459" s="1">
        <f t="shared" si="172"/>
        <v>1</v>
      </c>
      <c r="AF459" s="1">
        <f t="shared" si="173"/>
        <v>0</v>
      </c>
      <c r="AG459" s="1">
        <f t="shared" si="174"/>
        <v>1</v>
      </c>
      <c r="AH459" s="1">
        <f t="shared" si="175"/>
        <v>0</v>
      </c>
      <c r="AI459" s="1">
        <f t="shared" si="176"/>
        <v>1</v>
      </c>
    </row>
    <row r="460" spans="1:35" s="1" customFormat="1" ht="14.25" customHeight="1" x14ac:dyDescent="0.25">
      <c r="A460" s="31">
        <v>1</v>
      </c>
      <c r="B460" s="31">
        <v>2</v>
      </c>
      <c r="C460" s="31">
        <v>7</v>
      </c>
      <c r="D460" s="32" t="s">
        <v>72</v>
      </c>
      <c r="E460" s="32" t="s">
        <v>28</v>
      </c>
      <c r="F460" s="32" t="s">
        <v>259</v>
      </c>
      <c r="G460" s="32" t="s">
        <v>177</v>
      </c>
      <c r="H460" s="32" t="s">
        <v>352</v>
      </c>
      <c r="I460" s="31" t="s">
        <v>417</v>
      </c>
      <c r="J460" s="31">
        <v>1</v>
      </c>
      <c r="K460" s="33" t="s">
        <v>704</v>
      </c>
      <c r="L460" s="33" t="s">
        <v>704</v>
      </c>
      <c r="M460" s="34" t="s">
        <v>722</v>
      </c>
      <c r="N460" s="34" t="s">
        <v>1696</v>
      </c>
      <c r="O460" s="35">
        <v>1</v>
      </c>
      <c r="P460" s="35"/>
      <c r="Q460" s="32"/>
      <c r="S460" s="1">
        <f t="shared" si="161"/>
        <v>1</v>
      </c>
      <c r="T460" s="1">
        <f t="shared" si="162"/>
        <v>0</v>
      </c>
      <c r="U460" s="1">
        <f t="shared" si="163"/>
        <v>0</v>
      </c>
      <c r="V460" s="1">
        <f t="shared" si="164"/>
        <v>0</v>
      </c>
      <c r="W460" s="1">
        <f t="shared" si="165"/>
        <v>0</v>
      </c>
      <c r="X460" s="1">
        <f t="shared" si="166"/>
        <v>0</v>
      </c>
      <c r="Y460" s="1">
        <f t="shared" si="167"/>
        <v>0</v>
      </c>
      <c r="Z460" s="1">
        <f t="shared" si="168"/>
        <v>0</v>
      </c>
      <c r="AA460" s="1">
        <f t="shared" si="169"/>
        <v>0</v>
      </c>
      <c r="AB460" s="1">
        <f t="shared" si="170"/>
        <v>0</v>
      </c>
      <c r="AD460" s="1">
        <f t="shared" si="171"/>
        <v>0</v>
      </c>
      <c r="AE460" s="1">
        <f t="shared" si="172"/>
        <v>1</v>
      </c>
      <c r="AF460" s="1">
        <f t="shared" si="173"/>
        <v>0</v>
      </c>
      <c r="AG460" s="1">
        <f t="shared" si="174"/>
        <v>0</v>
      </c>
      <c r="AH460" s="1">
        <f t="shared" si="175"/>
        <v>0</v>
      </c>
      <c r="AI460" s="1">
        <f t="shared" si="176"/>
        <v>0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759</v>
      </c>
      <c r="E461" s="32" t="s">
        <v>28</v>
      </c>
      <c r="F461" s="32" t="s">
        <v>760</v>
      </c>
      <c r="G461" s="32" t="s">
        <v>278</v>
      </c>
      <c r="H461" s="32" t="s">
        <v>352</v>
      </c>
      <c r="I461" s="31" t="s">
        <v>761</v>
      </c>
      <c r="J461" s="31">
        <v>99</v>
      </c>
      <c r="K461" s="33" t="s">
        <v>704</v>
      </c>
      <c r="L461" s="33" t="s">
        <v>704</v>
      </c>
      <c r="M461" s="34" t="s">
        <v>722</v>
      </c>
      <c r="N461" s="34" t="s">
        <v>1696</v>
      </c>
      <c r="O461" s="35">
        <v>1</v>
      </c>
      <c r="P461" s="35"/>
      <c r="Q461" s="32"/>
      <c r="S461" s="1">
        <f t="shared" si="161"/>
        <v>0</v>
      </c>
      <c r="T461" s="1">
        <f t="shared" si="162"/>
        <v>0</v>
      </c>
      <c r="U461" s="1">
        <f t="shared" si="163"/>
        <v>0</v>
      </c>
      <c r="V461" s="1">
        <f t="shared" si="164"/>
        <v>0</v>
      </c>
      <c r="W461" s="1">
        <f t="shared" si="165"/>
        <v>0</v>
      </c>
      <c r="X461" s="1">
        <f t="shared" si="166"/>
        <v>0</v>
      </c>
      <c r="Y461" s="1">
        <f t="shared" si="167"/>
        <v>0</v>
      </c>
      <c r="Z461" s="1">
        <f t="shared" si="168"/>
        <v>0</v>
      </c>
      <c r="AA461" s="1">
        <f t="shared" si="169"/>
        <v>0</v>
      </c>
      <c r="AB461" s="1">
        <f t="shared" si="170"/>
        <v>0</v>
      </c>
      <c r="AD461" s="1">
        <f t="shared" si="171"/>
        <v>0</v>
      </c>
      <c r="AE461" s="1">
        <f t="shared" si="172"/>
        <v>1</v>
      </c>
      <c r="AF461" s="1">
        <f t="shared" si="173"/>
        <v>0</v>
      </c>
      <c r="AG461" s="1">
        <f t="shared" si="174"/>
        <v>1</v>
      </c>
      <c r="AH461" s="1">
        <f t="shared" si="175"/>
        <v>0</v>
      </c>
      <c r="AI461" s="1">
        <f t="shared" si="176"/>
        <v>1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85</v>
      </c>
      <c r="E462" s="32" t="s">
        <v>28</v>
      </c>
      <c r="F462" s="32" t="s">
        <v>277</v>
      </c>
      <c r="G462" s="32" t="s">
        <v>278</v>
      </c>
      <c r="H462" s="32" t="s">
        <v>352</v>
      </c>
      <c r="I462" s="31" t="s">
        <v>432</v>
      </c>
      <c r="J462" s="31">
        <v>99</v>
      </c>
      <c r="K462" s="33" t="s">
        <v>704</v>
      </c>
      <c r="L462" s="33" t="s">
        <v>704</v>
      </c>
      <c r="M462" s="34" t="s">
        <v>722</v>
      </c>
      <c r="N462" s="34" t="s">
        <v>1696</v>
      </c>
      <c r="O462" s="35">
        <v>1</v>
      </c>
      <c r="P462" s="35"/>
      <c r="Q462" s="32"/>
      <c r="S462" s="1">
        <f t="shared" si="161"/>
        <v>0</v>
      </c>
      <c r="T462" s="1">
        <f t="shared" si="162"/>
        <v>0</v>
      </c>
      <c r="U462" s="1">
        <f t="shared" si="163"/>
        <v>0</v>
      </c>
      <c r="V462" s="1">
        <f t="shared" si="164"/>
        <v>0</v>
      </c>
      <c r="W462" s="1">
        <f t="shared" si="165"/>
        <v>0</v>
      </c>
      <c r="X462" s="1">
        <f t="shared" si="166"/>
        <v>0</v>
      </c>
      <c r="Y462" s="1">
        <f t="shared" si="167"/>
        <v>0</v>
      </c>
      <c r="Z462" s="1">
        <f t="shared" si="168"/>
        <v>0</v>
      </c>
      <c r="AA462" s="1">
        <f t="shared" si="169"/>
        <v>0</v>
      </c>
      <c r="AB462" s="1">
        <f t="shared" si="170"/>
        <v>0</v>
      </c>
      <c r="AD462" s="1">
        <f t="shared" si="171"/>
        <v>0</v>
      </c>
      <c r="AE462" s="1">
        <f t="shared" si="172"/>
        <v>1</v>
      </c>
      <c r="AF462" s="1">
        <f t="shared" si="173"/>
        <v>0</v>
      </c>
      <c r="AG462" s="1">
        <f t="shared" si="174"/>
        <v>1</v>
      </c>
      <c r="AH462" s="1">
        <f t="shared" si="175"/>
        <v>0</v>
      </c>
      <c r="AI462" s="1">
        <f t="shared" si="176"/>
        <v>1</v>
      </c>
    </row>
    <row r="463" spans="1:35" s="1" customFormat="1" ht="14.25" customHeight="1" x14ac:dyDescent="0.25">
      <c r="A463" s="37">
        <v>0</v>
      </c>
      <c r="B463" s="37">
        <v>2</v>
      </c>
      <c r="C463" s="37">
        <v>7</v>
      </c>
      <c r="D463" s="36" t="s">
        <v>1886</v>
      </c>
      <c r="E463" s="36" t="s">
        <v>28</v>
      </c>
      <c r="F463" s="36" t="s">
        <v>1887</v>
      </c>
      <c r="G463" s="36" t="s">
        <v>184</v>
      </c>
      <c r="H463" s="36" t="s">
        <v>352</v>
      </c>
      <c r="I463" s="37" t="s">
        <v>1888</v>
      </c>
      <c r="J463" s="37">
        <v>99</v>
      </c>
      <c r="K463" s="33" t="s">
        <v>694</v>
      </c>
      <c r="L463" s="33">
        <v>4</v>
      </c>
      <c r="M463" s="34" t="s">
        <v>722</v>
      </c>
      <c r="N463" s="34" t="s">
        <v>1696</v>
      </c>
      <c r="O463" s="35">
        <v>1</v>
      </c>
      <c r="P463" s="35"/>
      <c r="Q463" s="36" t="s">
        <v>1889</v>
      </c>
      <c r="S463" s="1">
        <f t="shared" si="161"/>
        <v>0</v>
      </c>
      <c r="T463" s="1">
        <f t="shared" si="162"/>
        <v>0</v>
      </c>
      <c r="U463" s="1">
        <f t="shared" si="163"/>
        <v>0</v>
      </c>
      <c r="V463" s="1">
        <f t="shared" si="164"/>
        <v>0</v>
      </c>
      <c r="W463" s="1">
        <f t="shared" si="165"/>
        <v>0</v>
      </c>
      <c r="X463" s="1">
        <f t="shared" si="166"/>
        <v>0</v>
      </c>
      <c r="Y463" s="1">
        <f t="shared" si="167"/>
        <v>0</v>
      </c>
      <c r="Z463" s="1">
        <f t="shared" si="168"/>
        <v>0</v>
      </c>
      <c r="AA463" s="1">
        <f t="shared" si="169"/>
        <v>0</v>
      </c>
      <c r="AB463" s="1">
        <f t="shared" si="170"/>
        <v>0</v>
      </c>
      <c r="AD463" s="1">
        <f t="shared" si="171"/>
        <v>0</v>
      </c>
      <c r="AE463" s="1">
        <f t="shared" si="172"/>
        <v>1</v>
      </c>
      <c r="AF463" s="1">
        <f t="shared" si="173"/>
        <v>0</v>
      </c>
      <c r="AG463" s="1">
        <f t="shared" si="174"/>
        <v>1</v>
      </c>
      <c r="AH463" s="1">
        <f t="shared" si="175"/>
        <v>0</v>
      </c>
      <c r="AI463" s="1">
        <f t="shared" si="176"/>
        <v>1</v>
      </c>
    </row>
    <row r="464" spans="1:35" s="1" customFormat="1" ht="14.25" customHeight="1" x14ac:dyDescent="0.25">
      <c r="A464" s="37">
        <v>0</v>
      </c>
      <c r="B464" s="37">
        <v>2</v>
      </c>
      <c r="C464" s="37">
        <v>7</v>
      </c>
      <c r="D464" s="36" t="s">
        <v>549</v>
      </c>
      <c r="E464" s="36" t="s">
        <v>28</v>
      </c>
      <c r="F464" s="36" t="s">
        <v>1825</v>
      </c>
      <c r="G464" s="36" t="s">
        <v>552</v>
      </c>
      <c r="H464" s="36" t="s">
        <v>352</v>
      </c>
      <c r="I464" s="37" t="s">
        <v>553</v>
      </c>
      <c r="J464" s="37">
        <v>99</v>
      </c>
      <c r="K464" s="33" t="s">
        <v>704</v>
      </c>
      <c r="L464" s="33" t="s">
        <v>704</v>
      </c>
      <c r="M464" s="34" t="s">
        <v>722</v>
      </c>
      <c r="N464" s="34" t="s">
        <v>1775</v>
      </c>
      <c r="O464" s="35">
        <v>1</v>
      </c>
      <c r="P464" s="35"/>
      <c r="Q464" s="36"/>
      <c r="S464" s="1">
        <f t="shared" si="161"/>
        <v>0</v>
      </c>
      <c r="T464" s="1">
        <f t="shared" si="162"/>
        <v>0</v>
      </c>
      <c r="U464" s="1">
        <f t="shared" si="163"/>
        <v>0</v>
      </c>
      <c r="V464" s="1">
        <f t="shared" si="164"/>
        <v>0</v>
      </c>
      <c r="W464" s="1">
        <f t="shared" si="165"/>
        <v>0</v>
      </c>
      <c r="X464" s="1">
        <f t="shared" si="166"/>
        <v>0</v>
      </c>
      <c r="Y464" s="1">
        <f t="shared" si="167"/>
        <v>0</v>
      </c>
      <c r="Z464" s="1">
        <f t="shared" si="168"/>
        <v>0</v>
      </c>
      <c r="AA464" s="1">
        <f t="shared" si="169"/>
        <v>0</v>
      </c>
      <c r="AB464" s="1">
        <f t="shared" si="170"/>
        <v>0</v>
      </c>
      <c r="AD464" s="1">
        <f t="shared" si="171"/>
        <v>0</v>
      </c>
      <c r="AE464" s="1">
        <f t="shared" si="172"/>
        <v>1</v>
      </c>
      <c r="AF464" s="1">
        <f t="shared" si="173"/>
        <v>0</v>
      </c>
      <c r="AG464" s="1">
        <f t="shared" si="174"/>
        <v>1</v>
      </c>
      <c r="AH464" s="1">
        <f t="shared" si="175"/>
        <v>0</v>
      </c>
      <c r="AI464" s="1">
        <f t="shared" si="176"/>
        <v>1</v>
      </c>
    </row>
    <row r="465" spans="1:35" s="1" customFormat="1" ht="14.25" customHeight="1" x14ac:dyDescent="0.25">
      <c r="A465" s="37">
        <v>1</v>
      </c>
      <c r="B465" s="37">
        <v>2</v>
      </c>
      <c r="C465" s="37">
        <v>7</v>
      </c>
      <c r="D465" s="36" t="s">
        <v>549</v>
      </c>
      <c r="E465" s="36" t="s">
        <v>28</v>
      </c>
      <c r="F465" s="36" t="s">
        <v>1826</v>
      </c>
      <c r="G465" s="36" t="s">
        <v>550</v>
      </c>
      <c r="H465" s="36" t="s">
        <v>352</v>
      </c>
      <c r="I465" s="37" t="s">
        <v>551</v>
      </c>
      <c r="J465" s="37">
        <v>99</v>
      </c>
      <c r="K465" s="33" t="s">
        <v>704</v>
      </c>
      <c r="L465" s="33" t="s">
        <v>704</v>
      </c>
      <c r="M465" s="34" t="s">
        <v>722</v>
      </c>
      <c r="N465" s="34" t="s">
        <v>1775</v>
      </c>
      <c r="O465" s="35">
        <v>1</v>
      </c>
      <c r="P465" s="35"/>
      <c r="Q465" s="36"/>
      <c r="S465" s="1">
        <f t="shared" si="161"/>
        <v>0</v>
      </c>
      <c r="T465" s="1">
        <f t="shared" si="162"/>
        <v>0</v>
      </c>
      <c r="U465" s="1">
        <f t="shared" si="163"/>
        <v>0</v>
      </c>
      <c r="V465" s="1">
        <f t="shared" si="164"/>
        <v>0</v>
      </c>
      <c r="W465" s="1">
        <f t="shared" si="165"/>
        <v>0</v>
      </c>
      <c r="X465" s="1">
        <f t="shared" si="166"/>
        <v>0</v>
      </c>
      <c r="Y465" s="1">
        <f t="shared" si="167"/>
        <v>0</v>
      </c>
      <c r="Z465" s="1">
        <f t="shared" si="168"/>
        <v>0</v>
      </c>
      <c r="AA465" s="1">
        <f t="shared" si="169"/>
        <v>0</v>
      </c>
      <c r="AB465" s="1">
        <f t="shared" si="170"/>
        <v>0</v>
      </c>
      <c r="AD465" s="1">
        <f t="shared" si="171"/>
        <v>0</v>
      </c>
      <c r="AE465" s="1">
        <f t="shared" si="172"/>
        <v>1</v>
      </c>
      <c r="AF465" s="1">
        <f t="shared" si="173"/>
        <v>0</v>
      </c>
      <c r="AG465" s="1">
        <f t="shared" si="174"/>
        <v>0</v>
      </c>
      <c r="AH465" s="1">
        <f t="shared" si="175"/>
        <v>0</v>
      </c>
      <c r="AI465" s="1">
        <f t="shared" si="176"/>
        <v>0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1154</v>
      </c>
      <c r="E466" s="32" t="s">
        <v>28</v>
      </c>
      <c r="F466" s="32" t="s">
        <v>1638</v>
      </c>
      <c r="G466" s="32" t="s">
        <v>234</v>
      </c>
      <c r="H466" s="32" t="s">
        <v>352</v>
      </c>
      <c r="I466" s="31" t="s">
        <v>1332</v>
      </c>
      <c r="J466" s="31">
        <v>99</v>
      </c>
      <c r="K466" s="33" t="s">
        <v>703</v>
      </c>
      <c r="L466" s="33" t="s">
        <v>704</v>
      </c>
      <c r="M466" s="34" t="s">
        <v>722</v>
      </c>
      <c r="N466" s="34" t="s">
        <v>1696</v>
      </c>
      <c r="O466" s="35">
        <v>1</v>
      </c>
      <c r="P466" s="35"/>
      <c r="Q466" s="32"/>
      <c r="S466" s="1">
        <f t="shared" si="161"/>
        <v>0</v>
      </c>
      <c r="T466" s="1">
        <f t="shared" si="162"/>
        <v>0</v>
      </c>
      <c r="U466" s="1">
        <f t="shared" si="163"/>
        <v>0</v>
      </c>
      <c r="V466" s="1">
        <f t="shared" si="164"/>
        <v>0</v>
      </c>
      <c r="W466" s="1">
        <f t="shared" si="165"/>
        <v>0</v>
      </c>
      <c r="X466" s="1">
        <f t="shared" si="166"/>
        <v>0</v>
      </c>
      <c r="Y466" s="1">
        <f t="shared" si="167"/>
        <v>0</v>
      </c>
      <c r="Z466" s="1">
        <f t="shared" si="168"/>
        <v>0</v>
      </c>
      <c r="AA466" s="1">
        <f t="shared" si="169"/>
        <v>0</v>
      </c>
      <c r="AB466" s="1">
        <f t="shared" si="170"/>
        <v>0</v>
      </c>
      <c r="AD466" s="1">
        <f t="shared" si="171"/>
        <v>0</v>
      </c>
      <c r="AE466" s="1">
        <f t="shared" si="172"/>
        <v>1</v>
      </c>
      <c r="AF466" s="1">
        <f t="shared" si="173"/>
        <v>0</v>
      </c>
      <c r="AG466" s="1">
        <f t="shared" si="174"/>
        <v>1</v>
      </c>
      <c r="AH466" s="1">
        <f t="shared" si="175"/>
        <v>0</v>
      </c>
      <c r="AI466" s="1">
        <f t="shared" si="176"/>
        <v>1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1154</v>
      </c>
      <c r="E467" s="32" t="s">
        <v>28</v>
      </c>
      <c r="F467" s="32" t="s">
        <v>1639</v>
      </c>
      <c r="G467" s="32" t="s">
        <v>1319</v>
      </c>
      <c r="H467" s="32" t="s">
        <v>352</v>
      </c>
      <c r="I467" s="31" t="s">
        <v>1333</v>
      </c>
      <c r="J467" s="31">
        <v>99</v>
      </c>
      <c r="K467" s="33" t="s">
        <v>703</v>
      </c>
      <c r="L467" s="33" t="s">
        <v>704</v>
      </c>
      <c r="M467" s="34" t="s">
        <v>722</v>
      </c>
      <c r="N467" s="34" t="s">
        <v>1696</v>
      </c>
      <c r="O467" s="35">
        <v>1</v>
      </c>
      <c r="P467" s="35"/>
      <c r="Q467" s="32"/>
      <c r="S467" s="1">
        <f t="shared" si="161"/>
        <v>0</v>
      </c>
      <c r="T467" s="1">
        <f t="shared" si="162"/>
        <v>0</v>
      </c>
      <c r="U467" s="1">
        <f t="shared" si="163"/>
        <v>0</v>
      </c>
      <c r="V467" s="1">
        <f t="shared" si="164"/>
        <v>0</v>
      </c>
      <c r="W467" s="1">
        <f t="shared" si="165"/>
        <v>0</v>
      </c>
      <c r="X467" s="1">
        <f t="shared" si="166"/>
        <v>0</v>
      </c>
      <c r="Y467" s="1">
        <f t="shared" si="167"/>
        <v>0</v>
      </c>
      <c r="Z467" s="1">
        <f t="shared" si="168"/>
        <v>0</v>
      </c>
      <c r="AA467" s="1">
        <f t="shared" si="169"/>
        <v>0</v>
      </c>
      <c r="AB467" s="1">
        <f t="shared" si="170"/>
        <v>0</v>
      </c>
      <c r="AD467" s="1">
        <f t="shared" si="171"/>
        <v>0</v>
      </c>
      <c r="AE467" s="1">
        <f t="shared" si="172"/>
        <v>1</v>
      </c>
      <c r="AF467" s="1">
        <f t="shared" si="173"/>
        <v>0</v>
      </c>
      <c r="AG467" s="1">
        <f t="shared" si="174"/>
        <v>0</v>
      </c>
      <c r="AH467" s="1">
        <f t="shared" si="175"/>
        <v>0</v>
      </c>
      <c r="AI467" s="1">
        <f t="shared" si="176"/>
        <v>0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1222</v>
      </c>
      <c r="E468" s="32" t="s">
        <v>28</v>
      </c>
      <c r="F468" s="32" t="s">
        <v>1221</v>
      </c>
      <c r="G468" s="32" t="s">
        <v>1206</v>
      </c>
      <c r="H468" s="32" t="s">
        <v>352</v>
      </c>
      <c r="I468" s="31" t="s">
        <v>1223</v>
      </c>
      <c r="J468" s="31">
        <v>99</v>
      </c>
      <c r="K468" s="33" t="s">
        <v>694</v>
      </c>
      <c r="L468" s="33" t="s">
        <v>704</v>
      </c>
      <c r="M468" s="34" t="s">
        <v>722</v>
      </c>
      <c r="N468" s="34" t="s">
        <v>1696</v>
      </c>
      <c r="O468" s="35">
        <v>1</v>
      </c>
      <c r="P468" s="35"/>
      <c r="Q468" s="32"/>
      <c r="S468" s="1">
        <f t="shared" si="161"/>
        <v>0</v>
      </c>
      <c r="T468" s="1">
        <f t="shared" si="162"/>
        <v>0</v>
      </c>
      <c r="U468" s="1">
        <f t="shared" si="163"/>
        <v>0</v>
      </c>
      <c r="V468" s="1">
        <f t="shared" si="164"/>
        <v>0</v>
      </c>
      <c r="W468" s="1">
        <f t="shared" si="165"/>
        <v>0</v>
      </c>
      <c r="X468" s="1">
        <f t="shared" si="166"/>
        <v>0</v>
      </c>
      <c r="Y468" s="1">
        <f t="shared" si="167"/>
        <v>0</v>
      </c>
      <c r="Z468" s="1">
        <f t="shared" si="168"/>
        <v>0</v>
      </c>
      <c r="AA468" s="1">
        <f t="shared" si="169"/>
        <v>0</v>
      </c>
      <c r="AB468" s="1">
        <f t="shared" si="170"/>
        <v>0</v>
      </c>
      <c r="AD468" s="1">
        <f t="shared" si="171"/>
        <v>0</v>
      </c>
      <c r="AE468" s="1">
        <f t="shared" si="172"/>
        <v>1</v>
      </c>
      <c r="AF468" s="1">
        <f t="shared" si="173"/>
        <v>0</v>
      </c>
      <c r="AG468" s="1">
        <f t="shared" si="174"/>
        <v>1</v>
      </c>
      <c r="AH468" s="1">
        <f t="shared" si="175"/>
        <v>0</v>
      </c>
      <c r="AI468" s="1">
        <f t="shared" si="176"/>
        <v>1</v>
      </c>
    </row>
    <row r="469" spans="1:35" s="1" customFormat="1" ht="14.25" customHeight="1" x14ac:dyDescent="0.25">
      <c r="A469" s="31">
        <v>1</v>
      </c>
      <c r="B469" s="31">
        <v>2</v>
      </c>
      <c r="C469" s="31">
        <v>7</v>
      </c>
      <c r="D469" s="32" t="s">
        <v>1222</v>
      </c>
      <c r="E469" s="32" t="s">
        <v>28</v>
      </c>
      <c r="F469" s="32" t="s">
        <v>1220</v>
      </c>
      <c r="G469" s="32" t="s">
        <v>39</v>
      </c>
      <c r="H469" s="32" t="s">
        <v>352</v>
      </c>
      <c r="I469" s="31" t="s">
        <v>1224</v>
      </c>
      <c r="J469" s="31">
        <v>9</v>
      </c>
      <c r="K469" s="33" t="s">
        <v>694</v>
      </c>
      <c r="L469" s="33" t="s">
        <v>704</v>
      </c>
      <c r="M469" s="34" t="s">
        <v>722</v>
      </c>
      <c r="N469" s="34" t="s">
        <v>1696</v>
      </c>
      <c r="O469" s="35">
        <v>1</v>
      </c>
      <c r="P469" s="35"/>
      <c r="Q469" s="32"/>
      <c r="S469" s="1">
        <f t="shared" si="161"/>
        <v>0</v>
      </c>
      <c r="T469" s="1">
        <f t="shared" si="162"/>
        <v>0</v>
      </c>
      <c r="U469" s="1">
        <f t="shared" si="163"/>
        <v>0</v>
      </c>
      <c r="V469" s="1">
        <f t="shared" si="164"/>
        <v>0</v>
      </c>
      <c r="W469" s="1">
        <f t="shared" si="165"/>
        <v>0</v>
      </c>
      <c r="X469" s="1">
        <f t="shared" si="166"/>
        <v>0</v>
      </c>
      <c r="Y469" s="1">
        <f t="shared" si="167"/>
        <v>0</v>
      </c>
      <c r="Z469" s="1">
        <f t="shared" si="168"/>
        <v>0</v>
      </c>
      <c r="AA469" s="1">
        <f t="shared" si="169"/>
        <v>1</v>
      </c>
      <c r="AB469" s="1">
        <f t="shared" si="170"/>
        <v>0</v>
      </c>
      <c r="AD469" s="1">
        <f t="shared" si="171"/>
        <v>0</v>
      </c>
      <c r="AE469" s="1">
        <f t="shared" si="172"/>
        <v>1</v>
      </c>
      <c r="AF469" s="1">
        <f t="shared" si="173"/>
        <v>0</v>
      </c>
      <c r="AG469" s="1">
        <f t="shared" si="174"/>
        <v>0</v>
      </c>
      <c r="AH469" s="1">
        <f t="shared" si="175"/>
        <v>0</v>
      </c>
      <c r="AI469" s="1">
        <f t="shared" si="176"/>
        <v>0</v>
      </c>
    </row>
    <row r="470" spans="1:35" s="1" customFormat="1" ht="14.25" customHeight="1" x14ac:dyDescent="0.25">
      <c r="A470" s="31">
        <v>1</v>
      </c>
      <c r="B470" s="31">
        <v>2</v>
      </c>
      <c r="C470" s="31">
        <v>7</v>
      </c>
      <c r="D470" s="32" t="s">
        <v>1222</v>
      </c>
      <c r="E470" s="32" t="s">
        <v>28</v>
      </c>
      <c r="F470" s="36" t="s">
        <v>1774</v>
      </c>
      <c r="G470" s="36" t="s">
        <v>257</v>
      </c>
      <c r="H470" s="32" t="s">
        <v>352</v>
      </c>
      <c r="I470" s="37" t="s">
        <v>30</v>
      </c>
      <c r="J470" s="31">
        <v>8</v>
      </c>
      <c r="K470" s="33" t="s">
        <v>694</v>
      </c>
      <c r="L470" s="33" t="s">
        <v>704</v>
      </c>
      <c r="M470" s="34" t="s">
        <v>722</v>
      </c>
      <c r="N470" s="34" t="s">
        <v>1696</v>
      </c>
      <c r="O470" s="35">
        <v>1</v>
      </c>
      <c r="P470" s="35"/>
      <c r="Q470" s="32"/>
      <c r="S470" s="1">
        <f t="shared" si="161"/>
        <v>0</v>
      </c>
      <c r="T470" s="1">
        <f t="shared" si="162"/>
        <v>0</v>
      </c>
      <c r="U470" s="1">
        <f t="shared" si="163"/>
        <v>0</v>
      </c>
      <c r="V470" s="1">
        <f t="shared" si="164"/>
        <v>0</v>
      </c>
      <c r="W470" s="1">
        <f t="shared" si="165"/>
        <v>0</v>
      </c>
      <c r="X470" s="1">
        <f t="shared" si="166"/>
        <v>0</v>
      </c>
      <c r="Y470" s="1">
        <f t="shared" si="167"/>
        <v>0</v>
      </c>
      <c r="Z470" s="1">
        <f t="shared" si="168"/>
        <v>1</v>
      </c>
      <c r="AA470" s="1">
        <f t="shared" si="169"/>
        <v>0</v>
      </c>
      <c r="AB470" s="1">
        <f t="shared" si="170"/>
        <v>0</v>
      </c>
      <c r="AD470" s="1">
        <f t="shared" si="171"/>
        <v>0</v>
      </c>
      <c r="AE470" s="1">
        <f t="shared" si="172"/>
        <v>1</v>
      </c>
      <c r="AF470" s="1">
        <f t="shared" si="173"/>
        <v>0</v>
      </c>
      <c r="AG470" s="1">
        <f t="shared" si="174"/>
        <v>0</v>
      </c>
      <c r="AH470" s="1">
        <f t="shared" si="175"/>
        <v>0</v>
      </c>
      <c r="AI470" s="1">
        <f t="shared" si="176"/>
        <v>0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51</v>
      </c>
      <c r="E471" s="32" t="s">
        <v>28</v>
      </c>
      <c r="F471" s="32" t="s">
        <v>666</v>
      </c>
      <c r="G471" s="32" t="s">
        <v>184</v>
      </c>
      <c r="H471" s="32" t="s">
        <v>352</v>
      </c>
      <c r="I471" s="31" t="s">
        <v>388</v>
      </c>
      <c r="J471" s="31">
        <v>99</v>
      </c>
      <c r="K471" s="33" t="s">
        <v>703</v>
      </c>
      <c r="L471" s="33" t="s">
        <v>704</v>
      </c>
      <c r="M471" s="34" t="s">
        <v>722</v>
      </c>
      <c r="N471" s="34" t="s">
        <v>1701</v>
      </c>
      <c r="O471" s="35">
        <v>1</v>
      </c>
      <c r="P471" s="35"/>
      <c r="Q471" s="32"/>
      <c r="S471" s="1">
        <f t="shared" si="161"/>
        <v>0</v>
      </c>
      <c r="T471" s="1">
        <f t="shared" si="162"/>
        <v>0</v>
      </c>
      <c r="U471" s="1">
        <f t="shared" si="163"/>
        <v>0</v>
      </c>
      <c r="V471" s="1">
        <f t="shared" si="164"/>
        <v>0</v>
      </c>
      <c r="W471" s="1">
        <f t="shared" si="165"/>
        <v>0</v>
      </c>
      <c r="X471" s="1">
        <f t="shared" si="166"/>
        <v>0</v>
      </c>
      <c r="Y471" s="1">
        <f t="shared" si="167"/>
        <v>0</v>
      </c>
      <c r="Z471" s="1">
        <f t="shared" si="168"/>
        <v>0</v>
      </c>
      <c r="AA471" s="1">
        <f t="shared" si="169"/>
        <v>0</v>
      </c>
      <c r="AB471" s="1">
        <f t="shared" si="170"/>
        <v>0</v>
      </c>
      <c r="AD471" s="1">
        <f t="shared" si="171"/>
        <v>0</v>
      </c>
      <c r="AE471" s="1">
        <f t="shared" si="172"/>
        <v>1</v>
      </c>
      <c r="AF471" s="1">
        <f t="shared" si="173"/>
        <v>0</v>
      </c>
      <c r="AG471" s="1">
        <f t="shared" si="174"/>
        <v>1</v>
      </c>
      <c r="AH471" s="1">
        <f t="shared" si="175"/>
        <v>0</v>
      </c>
      <c r="AI471" s="1">
        <f t="shared" si="176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1058</v>
      </c>
      <c r="E472" s="32" t="s">
        <v>28</v>
      </c>
      <c r="F472" s="32" t="s">
        <v>975</v>
      </c>
      <c r="G472" s="32" t="s">
        <v>239</v>
      </c>
      <c r="H472" s="32" t="s">
        <v>352</v>
      </c>
      <c r="I472" s="31" t="s">
        <v>1083</v>
      </c>
      <c r="J472" s="31">
        <v>1</v>
      </c>
      <c r="K472" s="33" t="s">
        <v>703</v>
      </c>
      <c r="L472" s="33" t="s">
        <v>704</v>
      </c>
      <c r="M472" s="34" t="s">
        <v>722</v>
      </c>
      <c r="N472" s="34" t="s">
        <v>1696</v>
      </c>
      <c r="O472" s="35">
        <v>1</v>
      </c>
      <c r="P472" s="35"/>
      <c r="Q472" s="32"/>
      <c r="S472" s="1">
        <f t="shared" ref="S472:S515" si="183">IF(J472=$S$7,1,0)</f>
        <v>1</v>
      </c>
      <c r="T472" s="1">
        <f t="shared" ref="T472:T515" si="184">IF(J472=$T$7,1,0)</f>
        <v>0</v>
      </c>
      <c r="U472" s="1">
        <f t="shared" ref="U472:U515" si="185">IF(J472=$U$7,1,0)</f>
        <v>0</v>
      </c>
      <c r="V472" s="1">
        <f t="shared" ref="V472:V515" si="186">IF(J472=$V$7,1,0)</f>
        <v>0</v>
      </c>
      <c r="W472" s="1">
        <f t="shared" ref="W472:W515" si="187">IF(J472=$W$7,1,0)</f>
        <v>0</v>
      </c>
      <c r="X472" s="1">
        <f t="shared" ref="X472:X515" si="188">IF(J472=$X$7,1,0)</f>
        <v>0</v>
      </c>
      <c r="Y472" s="1">
        <f t="shared" ref="Y472:Y515" si="189">IF(J472=$Y$7,1,0)</f>
        <v>0</v>
      </c>
      <c r="Z472" s="1">
        <f t="shared" ref="Z472:Z515" si="190">IF(J472=$Z$7,1,0)</f>
        <v>0</v>
      </c>
      <c r="AA472" s="1">
        <f t="shared" ref="AA472:AA515" si="191">IF(J472=$AA$7,1,0)</f>
        <v>0</v>
      </c>
      <c r="AB472" s="1">
        <f t="shared" ref="AB472:AB515" si="192">IF(J472=$AB$7,1,0)</f>
        <v>0</v>
      </c>
      <c r="AD472" s="1">
        <f t="shared" ref="AD472:AD515" si="193">+O472*P472</f>
        <v>0</v>
      </c>
      <c r="AE472" s="1">
        <f t="shared" ref="AE472:AE515" si="194">O472*(1-P472)</f>
        <v>1</v>
      </c>
      <c r="AF472" s="1">
        <f t="shared" si="173"/>
        <v>0</v>
      </c>
      <c r="AG472" s="1">
        <f t="shared" si="174"/>
        <v>1</v>
      </c>
      <c r="AH472" s="1">
        <f t="shared" si="175"/>
        <v>0</v>
      </c>
      <c r="AI472" s="1">
        <f t="shared" si="176"/>
        <v>1</v>
      </c>
    </row>
    <row r="473" spans="1:35" s="1" customFormat="1" ht="14.25" customHeight="1" x14ac:dyDescent="0.25">
      <c r="A473" s="31">
        <v>1</v>
      </c>
      <c r="B473" s="31">
        <v>2</v>
      </c>
      <c r="C473" s="31">
        <v>7</v>
      </c>
      <c r="D473" s="32" t="s">
        <v>1058</v>
      </c>
      <c r="E473" s="32" t="s">
        <v>28</v>
      </c>
      <c r="F473" s="32" t="s">
        <v>976</v>
      </c>
      <c r="G473" s="32" t="s">
        <v>1076</v>
      </c>
      <c r="H473" s="32" t="s">
        <v>352</v>
      </c>
      <c r="I473" s="31" t="s">
        <v>1084</v>
      </c>
      <c r="J473" s="31">
        <v>1</v>
      </c>
      <c r="K473" s="33" t="s">
        <v>703</v>
      </c>
      <c r="L473" s="33" t="s">
        <v>704</v>
      </c>
      <c r="M473" s="34" t="s">
        <v>722</v>
      </c>
      <c r="N473" s="34" t="s">
        <v>1696</v>
      </c>
      <c r="O473" s="35">
        <v>1</v>
      </c>
      <c r="P473" s="35"/>
      <c r="Q473" s="32"/>
      <c r="S473" s="1">
        <f t="shared" si="183"/>
        <v>1</v>
      </c>
      <c r="T473" s="1">
        <f t="shared" si="184"/>
        <v>0</v>
      </c>
      <c r="U473" s="1">
        <f t="shared" si="185"/>
        <v>0</v>
      </c>
      <c r="V473" s="1">
        <f t="shared" si="186"/>
        <v>0</v>
      </c>
      <c r="W473" s="1">
        <f t="shared" si="187"/>
        <v>0</v>
      </c>
      <c r="X473" s="1">
        <f t="shared" si="188"/>
        <v>0</v>
      </c>
      <c r="Y473" s="1">
        <f t="shared" si="189"/>
        <v>0</v>
      </c>
      <c r="Z473" s="1">
        <f t="shared" si="190"/>
        <v>0</v>
      </c>
      <c r="AA473" s="1">
        <f t="shared" si="191"/>
        <v>0</v>
      </c>
      <c r="AB473" s="1">
        <f t="shared" si="192"/>
        <v>0</v>
      </c>
      <c r="AD473" s="1">
        <f t="shared" si="193"/>
        <v>0</v>
      </c>
      <c r="AE473" s="1">
        <f t="shared" si="194"/>
        <v>1</v>
      </c>
      <c r="AF473" s="1">
        <f t="shared" ref="AF473:AF515" si="195">+O473*P473*(1-A473)</f>
        <v>0</v>
      </c>
      <c r="AG473" s="1">
        <f t="shared" ref="AG473:AG515" si="196">O473*(1-P473)*(1-A473)</f>
        <v>0</v>
      </c>
      <c r="AH473" s="1">
        <f t="shared" ref="AH473:AH515" si="197">+P473*(1-A473)</f>
        <v>0</v>
      </c>
      <c r="AI473" s="1">
        <f t="shared" ref="AI473:AI515" si="198">+(1-A473)*(1-P473)</f>
        <v>0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1599</v>
      </c>
      <c r="E474" s="32" t="s">
        <v>155</v>
      </c>
      <c r="F474" s="32" t="s">
        <v>1454</v>
      </c>
      <c r="G474" s="32" t="s">
        <v>1455</v>
      </c>
      <c r="H474" s="32" t="s">
        <v>352</v>
      </c>
      <c r="I474" s="31" t="s">
        <v>1456</v>
      </c>
      <c r="J474" s="31">
        <v>99</v>
      </c>
      <c r="K474" s="33" t="s">
        <v>932</v>
      </c>
      <c r="L474" s="33" t="s">
        <v>713</v>
      </c>
      <c r="M474" s="34" t="s">
        <v>723</v>
      </c>
      <c r="N474" s="34" t="s">
        <v>1700</v>
      </c>
      <c r="O474" s="35">
        <v>1</v>
      </c>
      <c r="P474" s="35"/>
      <c r="Q474" s="32"/>
      <c r="S474" s="1">
        <f t="shared" si="183"/>
        <v>0</v>
      </c>
      <c r="T474" s="1">
        <f t="shared" si="184"/>
        <v>0</v>
      </c>
      <c r="U474" s="1">
        <f t="shared" si="185"/>
        <v>0</v>
      </c>
      <c r="V474" s="1">
        <f t="shared" si="186"/>
        <v>0</v>
      </c>
      <c r="W474" s="1">
        <f t="shared" si="187"/>
        <v>0</v>
      </c>
      <c r="X474" s="1">
        <f t="shared" si="188"/>
        <v>0</v>
      </c>
      <c r="Y474" s="1">
        <f t="shared" si="189"/>
        <v>0</v>
      </c>
      <c r="Z474" s="1">
        <f t="shared" si="190"/>
        <v>0</v>
      </c>
      <c r="AA474" s="1">
        <f t="shared" si="191"/>
        <v>0</v>
      </c>
      <c r="AB474" s="1">
        <f t="shared" si="192"/>
        <v>0</v>
      </c>
      <c r="AD474" s="1">
        <f t="shared" si="193"/>
        <v>0</v>
      </c>
      <c r="AE474" s="1">
        <f t="shared" si="194"/>
        <v>1</v>
      </c>
      <c r="AF474" s="1">
        <f t="shared" si="195"/>
        <v>0</v>
      </c>
      <c r="AG474" s="1">
        <f t="shared" si="196"/>
        <v>1</v>
      </c>
      <c r="AH474" s="1">
        <f t="shared" si="197"/>
        <v>0</v>
      </c>
      <c r="AI474" s="1">
        <f t="shared" si="198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82</v>
      </c>
      <c r="E475" s="32" t="s">
        <v>28</v>
      </c>
      <c r="F475" s="32" t="s">
        <v>273</v>
      </c>
      <c r="G475" s="32" t="s">
        <v>274</v>
      </c>
      <c r="H475" s="32" t="s">
        <v>352</v>
      </c>
      <c r="I475" s="31" t="s">
        <v>427</v>
      </c>
      <c r="J475" s="31">
        <v>7</v>
      </c>
      <c r="K475" s="33" t="s">
        <v>932</v>
      </c>
      <c r="L475" s="33" t="s">
        <v>931</v>
      </c>
      <c r="M475" s="34" t="s">
        <v>945</v>
      </c>
      <c r="N475" s="34" t="s">
        <v>1799</v>
      </c>
      <c r="O475" s="35">
        <v>1</v>
      </c>
      <c r="P475" s="35"/>
      <c r="Q475" s="32"/>
      <c r="S475" s="1">
        <f t="shared" si="183"/>
        <v>0</v>
      </c>
      <c r="T475" s="1">
        <f t="shared" si="184"/>
        <v>0</v>
      </c>
      <c r="U475" s="1">
        <f t="shared" si="185"/>
        <v>0</v>
      </c>
      <c r="V475" s="1">
        <f t="shared" si="186"/>
        <v>0</v>
      </c>
      <c r="W475" s="1">
        <f t="shared" si="187"/>
        <v>0</v>
      </c>
      <c r="X475" s="1">
        <f t="shared" si="188"/>
        <v>0</v>
      </c>
      <c r="Y475" s="1">
        <f t="shared" si="189"/>
        <v>1</v>
      </c>
      <c r="Z475" s="1">
        <f t="shared" si="190"/>
        <v>0</v>
      </c>
      <c r="AA475" s="1">
        <f t="shared" si="191"/>
        <v>0</v>
      </c>
      <c r="AB475" s="1">
        <f t="shared" si="192"/>
        <v>0</v>
      </c>
      <c r="AD475" s="1">
        <f t="shared" si="193"/>
        <v>0</v>
      </c>
      <c r="AE475" s="1">
        <f t="shared" si="194"/>
        <v>1</v>
      </c>
      <c r="AF475" s="1">
        <f t="shared" si="195"/>
        <v>0</v>
      </c>
      <c r="AG475" s="1">
        <f t="shared" si="196"/>
        <v>1</v>
      </c>
      <c r="AH475" s="1">
        <f t="shared" si="197"/>
        <v>0</v>
      </c>
      <c r="AI475" s="1">
        <f t="shared" si="198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76</v>
      </c>
      <c r="E476" s="32" t="s">
        <v>28</v>
      </c>
      <c r="F476" s="32" t="s">
        <v>1641</v>
      </c>
      <c r="G476" s="32" t="s">
        <v>189</v>
      </c>
      <c r="H476" s="32" t="s">
        <v>352</v>
      </c>
      <c r="I476" s="31" t="s">
        <v>421</v>
      </c>
      <c r="J476" s="31">
        <v>99</v>
      </c>
      <c r="K476" s="33" t="s">
        <v>931</v>
      </c>
      <c r="L476" s="33" t="s">
        <v>704</v>
      </c>
      <c r="M476" s="34" t="s">
        <v>722</v>
      </c>
      <c r="N476" s="34" t="s">
        <v>1696</v>
      </c>
      <c r="O476" s="35">
        <v>1</v>
      </c>
      <c r="P476" s="35"/>
      <c r="Q476" s="32"/>
      <c r="S476" s="1">
        <f t="shared" si="183"/>
        <v>0</v>
      </c>
      <c r="T476" s="1">
        <f t="shared" si="184"/>
        <v>0</v>
      </c>
      <c r="U476" s="1">
        <f t="shared" si="185"/>
        <v>0</v>
      </c>
      <c r="V476" s="1">
        <f t="shared" si="186"/>
        <v>0</v>
      </c>
      <c r="W476" s="1">
        <f t="shared" si="187"/>
        <v>0</v>
      </c>
      <c r="X476" s="1">
        <f t="shared" si="188"/>
        <v>0</v>
      </c>
      <c r="Y476" s="1">
        <f t="shared" si="189"/>
        <v>0</v>
      </c>
      <c r="Z476" s="1">
        <f t="shared" si="190"/>
        <v>0</v>
      </c>
      <c r="AA476" s="1">
        <f t="shared" si="191"/>
        <v>0</v>
      </c>
      <c r="AB476" s="1">
        <f t="shared" si="192"/>
        <v>0</v>
      </c>
      <c r="AD476" s="1">
        <f t="shared" si="193"/>
        <v>0</v>
      </c>
      <c r="AE476" s="1">
        <f t="shared" si="194"/>
        <v>1</v>
      </c>
      <c r="AF476" s="1">
        <f t="shared" si="195"/>
        <v>0</v>
      </c>
      <c r="AG476" s="1">
        <f t="shared" si="196"/>
        <v>1</v>
      </c>
      <c r="AH476" s="1">
        <f t="shared" si="197"/>
        <v>0</v>
      </c>
      <c r="AI476" s="1">
        <f t="shared" si="198"/>
        <v>1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6" t="s">
        <v>1976</v>
      </c>
      <c r="E477" s="32" t="s">
        <v>1980</v>
      </c>
      <c r="F477" s="36" t="s">
        <v>1977</v>
      </c>
      <c r="G477" s="36" t="s">
        <v>1978</v>
      </c>
      <c r="H477" s="36" t="s">
        <v>352</v>
      </c>
      <c r="I477" s="37" t="s">
        <v>1979</v>
      </c>
      <c r="J477" s="31">
        <v>99</v>
      </c>
      <c r="K477" s="33" t="s">
        <v>694</v>
      </c>
      <c r="L477" s="33">
        <v>20</v>
      </c>
      <c r="M477" s="34" t="s">
        <v>1982</v>
      </c>
      <c r="N477" s="34" t="s">
        <v>1700</v>
      </c>
      <c r="O477" s="35">
        <v>1</v>
      </c>
      <c r="P477" s="35"/>
      <c r="Q477" s="36" t="s">
        <v>1981</v>
      </c>
      <c r="S477" s="1">
        <f t="shared" si="183"/>
        <v>0</v>
      </c>
      <c r="T477" s="1">
        <f t="shared" si="184"/>
        <v>0</v>
      </c>
      <c r="U477" s="1">
        <f t="shared" si="185"/>
        <v>0</v>
      </c>
      <c r="V477" s="1">
        <f t="shared" si="186"/>
        <v>0</v>
      </c>
      <c r="W477" s="1">
        <f t="shared" si="187"/>
        <v>0</v>
      </c>
      <c r="X477" s="1">
        <f t="shared" si="188"/>
        <v>0</v>
      </c>
      <c r="Y477" s="1">
        <f t="shared" si="189"/>
        <v>0</v>
      </c>
      <c r="Z477" s="1">
        <f t="shared" si="190"/>
        <v>0</v>
      </c>
      <c r="AA477" s="1">
        <f t="shared" si="191"/>
        <v>0</v>
      </c>
      <c r="AB477" s="1">
        <f t="shared" si="192"/>
        <v>0</v>
      </c>
      <c r="AD477" s="1">
        <f t="shared" si="193"/>
        <v>0</v>
      </c>
      <c r="AE477" s="1">
        <f t="shared" si="194"/>
        <v>1</v>
      </c>
      <c r="AF477" s="1">
        <f t="shared" si="195"/>
        <v>0</v>
      </c>
      <c r="AG477" s="1">
        <f t="shared" si="196"/>
        <v>1</v>
      </c>
      <c r="AH477" s="1">
        <f t="shared" si="197"/>
        <v>0</v>
      </c>
      <c r="AI477" s="1">
        <f t="shared" si="198"/>
        <v>1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1601</v>
      </c>
      <c r="E478" s="32" t="s">
        <v>162</v>
      </c>
      <c r="F478" s="32" t="s">
        <v>243</v>
      </c>
      <c r="G478" s="32" t="s">
        <v>217</v>
      </c>
      <c r="H478" s="32" t="s">
        <v>352</v>
      </c>
      <c r="I478" s="31" t="s">
        <v>406</v>
      </c>
      <c r="J478" s="31">
        <v>99</v>
      </c>
      <c r="K478" s="33" t="s">
        <v>704</v>
      </c>
      <c r="L478" s="33" t="s">
        <v>713</v>
      </c>
      <c r="M478" s="34" t="s">
        <v>723</v>
      </c>
      <c r="N478" s="34" t="s">
        <v>1687</v>
      </c>
      <c r="O478" s="35">
        <v>1</v>
      </c>
      <c r="P478" s="35">
        <v>1</v>
      </c>
      <c r="Q478" s="32"/>
      <c r="S478" s="1">
        <f t="shared" si="183"/>
        <v>0</v>
      </c>
      <c r="T478" s="1">
        <f t="shared" si="184"/>
        <v>0</v>
      </c>
      <c r="U478" s="1">
        <f t="shared" si="185"/>
        <v>0</v>
      </c>
      <c r="V478" s="1">
        <f t="shared" si="186"/>
        <v>0</v>
      </c>
      <c r="W478" s="1">
        <f t="shared" si="187"/>
        <v>0</v>
      </c>
      <c r="X478" s="1">
        <f t="shared" si="188"/>
        <v>0</v>
      </c>
      <c r="Y478" s="1">
        <f t="shared" si="189"/>
        <v>0</v>
      </c>
      <c r="Z478" s="1">
        <f t="shared" si="190"/>
        <v>0</v>
      </c>
      <c r="AA478" s="1">
        <f t="shared" si="191"/>
        <v>0</v>
      </c>
      <c r="AB478" s="1">
        <f t="shared" si="192"/>
        <v>0</v>
      </c>
      <c r="AD478" s="1">
        <f t="shared" si="193"/>
        <v>1</v>
      </c>
      <c r="AE478" s="1">
        <f t="shared" si="194"/>
        <v>0</v>
      </c>
      <c r="AF478" s="1">
        <f t="shared" si="195"/>
        <v>1</v>
      </c>
      <c r="AG478" s="1">
        <f t="shared" si="196"/>
        <v>0</v>
      </c>
      <c r="AH478" s="1">
        <f t="shared" si="197"/>
        <v>1</v>
      </c>
      <c r="AI478" s="1">
        <f t="shared" si="198"/>
        <v>0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1499</v>
      </c>
      <c r="E479" s="32" t="s">
        <v>155</v>
      </c>
      <c r="F479" s="32" t="s">
        <v>1500</v>
      </c>
      <c r="G479" s="32" t="s">
        <v>39</v>
      </c>
      <c r="H479" s="32" t="s">
        <v>352</v>
      </c>
      <c r="I479" s="31" t="s">
        <v>1501</v>
      </c>
      <c r="J479" s="31">
        <v>99</v>
      </c>
      <c r="K479" s="33" t="s">
        <v>704</v>
      </c>
      <c r="L479" s="33" t="s">
        <v>713</v>
      </c>
      <c r="M479" s="34" t="s">
        <v>723</v>
      </c>
      <c r="N479" s="34" t="s">
        <v>1700</v>
      </c>
      <c r="O479" s="35">
        <v>1</v>
      </c>
      <c r="P479" s="35"/>
      <c r="Q479" s="32"/>
      <c r="S479" s="1">
        <f t="shared" si="183"/>
        <v>0</v>
      </c>
      <c r="T479" s="1">
        <f t="shared" si="184"/>
        <v>0</v>
      </c>
      <c r="U479" s="1">
        <f t="shared" si="185"/>
        <v>0</v>
      </c>
      <c r="V479" s="1">
        <f t="shared" si="186"/>
        <v>0</v>
      </c>
      <c r="W479" s="1">
        <f t="shared" si="187"/>
        <v>0</v>
      </c>
      <c r="X479" s="1">
        <f t="shared" si="188"/>
        <v>0</v>
      </c>
      <c r="Y479" s="1">
        <f t="shared" si="189"/>
        <v>0</v>
      </c>
      <c r="Z479" s="1">
        <f t="shared" si="190"/>
        <v>0</v>
      </c>
      <c r="AA479" s="1">
        <f t="shared" si="191"/>
        <v>0</v>
      </c>
      <c r="AB479" s="1">
        <f t="shared" si="192"/>
        <v>0</v>
      </c>
      <c r="AD479" s="1">
        <f t="shared" si="193"/>
        <v>0</v>
      </c>
      <c r="AE479" s="1">
        <f t="shared" si="194"/>
        <v>1</v>
      </c>
      <c r="AF479" s="1">
        <f t="shared" si="195"/>
        <v>0</v>
      </c>
      <c r="AG479" s="1">
        <f t="shared" si="196"/>
        <v>1</v>
      </c>
      <c r="AH479" s="1">
        <f t="shared" si="197"/>
        <v>0</v>
      </c>
      <c r="AI479" s="1">
        <f t="shared" si="198"/>
        <v>1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951</v>
      </c>
      <c r="G480" s="32" t="s">
        <v>1078</v>
      </c>
      <c r="H480" s="32" t="s">
        <v>352</v>
      </c>
      <c r="I480" s="31" t="s">
        <v>1085</v>
      </c>
      <c r="J480" s="31">
        <v>99</v>
      </c>
      <c r="K480" s="33" t="s">
        <v>704</v>
      </c>
      <c r="L480" s="33" t="s">
        <v>704</v>
      </c>
      <c r="M480" s="34" t="s">
        <v>722</v>
      </c>
      <c r="N480" s="34" t="s">
        <v>1696</v>
      </c>
      <c r="O480" s="35">
        <v>1</v>
      </c>
      <c r="P480" s="35"/>
      <c r="Q480" s="32"/>
      <c r="S480" s="1">
        <f t="shared" si="183"/>
        <v>0</v>
      </c>
      <c r="T480" s="1">
        <f t="shared" si="184"/>
        <v>0</v>
      </c>
      <c r="U480" s="1">
        <f t="shared" si="185"/>
        <v>0</v>
      </c>
      <c r="V480" s="1">
        <f t="shared" si="186"/>
        <v>0</v>
      </c>
      <c r="W480" s="1">
        <f t="shared" si="187"/>
        <v>0</v>
      </c>
      <c r="X480" s="1">
        <f t="shared" si="188"/>
        <v>0</v>
      </c>
      <c r="Y480" s="1">
        <f t="shared" si="189"/>
        <v>0</v>
      </c>
      <c r="Z480" s="1">
        <f t="shared" si="190"/>
        <v>0</v>
      </c>
      <c r="AA480" s="1">
        <f t="shared" si="191"/>
        <v>0</v>
      </c>
      <c r="AB480" s="1">
        <f t="shared" si="192"/>
        <v>0</v>
      </c>
      <c r="AD480" s="1">
        <f t="shared" si="193"/>
        <v>0</v>
      </c>
      <c r="AE480" s="1">
        <f t="shared" si="194"/>
        <v>1</v>
      </c>
      <c r="AF480" s="1">
        <f t="shared" si="195"/>
        <v>0</v>
      </c>
      <c r="AG480" s="1">
        <f t="shared" si="196"/>
        <v>1</v>
      </c>
      <c r="AH480" s="1">
        <f t="shared" si="197"/>
        <v>0</v>
      </c>
      <c r="AI480" s="1">
        <f t="shared" si="198"/>
        <v>1</v>
      </c>
    </row>
    <row r="481" spans="1:35" s="1" customFormat="1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244</v>
      </c>
      <c r="G481" s="32" t="s">
        <v>223</v>
      </c>
      <c r="H481" s="32" t="s">
        <v>352</v>
      </c>
      <c r="I481" s="31" t="s">
        <v>407</v>
      </c>
      <c r="J481" s="31">
        <v>99</v>
      </c>
      <c r="K481" s="33" t="s">
        <v>704</v>
      </c>
      <c r="L481" s="33" t="s">
        <v>704</v>
      </c>
      <c r="M481" s="34" t="s">
        <v>722</v>
      </c>
      <c r="N481" s="34" t="s">
        <v>1696</v>
      </c>
      <c r="O481" s="35">
        <v>1</v>
      </c>
      <c r="P481" s="35"/>
      <c r="Q481" s="32"/>
      <c r="S481" s="1">
        <f t="shared" si="183"/>
        <v>0</v>
      </c>
      <c r="T481" s="1">
        <f t="shared" si="184"/>
        <v>0</v>
      </c>
      <c r="U481" s="1">
        <f t="shared" si="185"/>
        <v>0</v>
      </c>
      <c r="V481" s="1">
        <f t="shared" si="186"/>
        <v>0</v>
      </c>
      <c r="W481" s="1">
        <f t="shared" si="187"/>
        <v>0</v>
      </c>
      <c r="X481" s="1">
        <f t="shared" si="188"/>
        <v>0</v>
      </c>
      <c r="Y481" s="1">
        <f t="shared" si="189"/>
        <v>0</v>
      </c>
      <c r="Z481" s="1">
        <f t="shared" si="190"/>
        <v>0</v>
      </c>
      <c r="AA481" s="1">
        <f t="shared" si="191"/>
        <v>0</v>
      </c>
      <c r="AB481" s="1">
        <f t="shared" si="192"/>
        <v>0</v>
      </c>
      <c r="AD481" s="1">
        <f t="shared" si="193"/>
        <v>0</v>
      </c>
      <c r="AE481" s="1">
        <f t="shared" si="194"/>
        <v>1</v>
      </c>
      <c r="AF481" s="1">
        <f t="shared" si="195"/>
        <v>0</v>
      </c>
      <c r="AG481" s="1">
        <f t="shared" si="196"/>
        <v>0</v>
      </c>
      <c r="AH481" s="1">
        <f t="shared" si="197"/>
        <v>0</v>
      </c>
      <c r="AI481" s="1">
        <f t="shared" si="198"/>
        <v>0</v>
      </c>
    </row>
    <row r="482" spans="1:35" s="1" customFormat="1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245</v>
      </c>
      <c r="G482" s="32" t="s">
        <v>219</v>
      </c>
      <c r="H482" s="32" t="s">
        <v>352</v>
      </c>
      <c r="I482" s="31" t="s">
        <v>408</v>
      </c>
      <c r="J482" s="31">
        <v>8</v>
      </c>
      <c r="K482" s="33" t="s">
        <v>704</v>
      </c>
      <c r="L482" s="33" t="s">
        <v>704</v>
      </c>
      <c r="M482" s="34" t="s">
        <v>722</v>
      </c>
      <c r="N482" s="34" t="s">
        <v>1696</v>
      </c>
      <c r="O482" s="35">
        <v>1</v>
      </c>
      <c r="P482" s="35"/>
      <c r="Q482" s="32" t="s">
        <v>1959</v>
      </c>
      <c r="S482" s="1">
        <f t="shared" si="183"/>
        <v>0</v>
      </c>
      <c r="T482" s="1">
        <f t="shared" si="184"/>
        <v>0</v>
      </c>
      <c r="U482" s="1">
        <f t="shared" si="185"/>
        <v>0</v>
      </c>
      <c r="V482" s="1">
        <f t="shared" si="186"/>
        <v>0</v>
      </c>
      <c r="W482" s="1">
        <f t="shared" si="187"/>
        <v>0</v>
      </c>
      <c r="X482" s="1">
        <f t="shared" si="188"/>
        <v>0</v>
      </c>
      <c r="Y482" s="1">
        <f t="shared" si="189"/>
        <v>0</v>
      </c>
      <c r="Z482" s="1">
        <f t="shared" si="190"/>
        <v>1</v>
      </c>
      <c r="AA482" s="1">
        <f t="shared" si="191"/>
        <v>0</v>
      </c>
      <c r="AB482" s="1">
        <f t="shared" si="192"/>
        <v>0</v>
      </c>
      <c r="AD482" s="1">
        <f t="shared" si="193"/>
        <v>0</v>
      </c>
      <c r="AE482" s="1">
        <f t="shared" si="194"/>
        <v>1</v>
      </c>
      <c r="AF482" s="1">
        <f t="shared" si="195"/>
        <v>0</v>
      </c>
      <c r="AG482" s="1">
        <f t="shared" si="196"/>
        <v>0</v>
      </c>
      <c r="AH482" s="1">
        <f t="shared" si="197"/>
        <v>0</v>
      </c>
      <c r="AI482" s="1">
        <f t="shared" si="198"/>
        <v>0</v>
      </c>
    </row>
    <row r="483" spans="1:35" s="1" customFormat="1" ht="14.25" customHeight="1" x14ac:dyDescent="0.25">
      <c r="A483" s="31">
        <v>1</v>
      </c>
      <c r="B483" s="31">
        <v>2</v>
      </c>
      <c r="C483" s="31">
        <v>7</v>
      </c>
      <c r="D483" s="32" t="s">
        <v>66</v>
      </c>
      <c r="E483" s="32" t="s">
        <v>28</v>
      </c>
      <c r="F483" s="32" t="s">
        <v>1011</v>
      </c>
      <c r="G483" s="32" t="s">
        <v>39</v>
      </c>
      <c r="H483" s="32" t="s">
        <v>352</v>
      </c>
      <c r="I483" s="31" t="s">
        <v>1012</v>
      </c>
      <c r="J483" s="31">
        <v>1</v>
      </c>
      <c r="K483" s="33" t="s">
        <v>704</v>
      </c>
      <c r="L483" s="33" t="s">
        <v>704</v>
      </c>
      <c r="M483" s="34" t="s">
        <v>722</v>
      </c>
      <c r="N483" s="34" t="s">
        <v>1696</v>
      </c>
      <c r="O483" s="35">
        <v>1</v>
      </c>
      <c r="P483" s="35"/>
      <c r="Q483" s="32"/>
      <c r="S483" s="1">
        <f t="shared" si="183"/>
        <v>1</v>
      </c>
      <c r="T483" s="1">
        <f t="shared" si="184"/>
        <v>0</v>
      </c>
      <c r="U483" s="1">
        <f t="shared" si="185"/>
        <v>0</v>
      </c>
      <c r="V483" s="1">
        <f t="shared" si="186"/>
        <v>0</v>
      </c>
      <c r="W483" s="1">
        <f t="shared" si="187"/>
        <v>0</v>
      </c>
      <c r="X483" s="1">
        <f t="shared" si="188"/>
        <v>0</v>
      </c>
      <c r="Y483" s="1">
        <f t="shared" si="189"/>
        <v>0</v>
      </c>
      <c r="Z483" s="1">
        <f t="shared" si="190"/>
        <v>0</v>
      </c>
      <c r="AA483" s="1">
        <f t="shared" si="191"/>
        <v>0</v>
      </c>
      <c r="AB483" s="1">
        <f t="shared" si="192"/>
        <v>0</v>
      </c>
      <c r="AD483" s="1">
        <f t="shared" si="193"/>
        <v>0</v>
      </c>
      <c r="AE483" s="1">
        <f t="shared" si="194"/>
        <v>1</v>
      </c>
      <c r="AF483" s="1">
        <f t="shared" si="195"/>
        <v>0</v>
      </c>
      <c r="AG483" s="1">
        <f t="shared" si="196"/>
        <v>0</v>
      </c>
      <c r="AH483" s="1">
        <f t="shared" si="197"/>
        <v>0</v>
      </c>
      <c r="AI483" s="1">
        <f t="shared" si="198"/>
        <v>0</v>
      </c>
    </row>
    <row r="484" spans="1:35" s="1" customFormat="1" ht="14.25" customHeight="1" x14ac:dyDescent="0.25">
      <c r="A484" s="31">
        <v>1</v>
      </c>
      <c r="B484" s="31">
        <v>2</v>
      </c>
      <c r="C484" s="31">
        <v>7</v>
      </c>
      <c r="D484" s="32" t="s">
        <v>66</v>
      </c>
      <c r="E484" s="32" t="s">
        <v>28</v>
      </c>
      <c r="F484" s="32" t="s">
        <v>1013</v>
      </c>
      <c r="G484" s="32" t="s">
        <v>300</v>
      </c>
      <c r="H484" s="32" t="s">
        <v>352</v>
      </c>
      <c r="I484" s="31" t="s">
        <v>1014</v>
      </c>
      <c r="J484" s="31">
        <v>1</v>
      </c>
      <c r="K484" s="33" t="s">
        <v>704</v>
      </c>
      <c r="L484" s="33" t="s">
        <v>704</v>
      </c>
      <c r="M484" s="34" t="s">
        <v>722</v>
      </c>
      <c r="N484" s="34" t="s">
        <v>1696</v>
      </c>
      <c r="O484" s="35">
        <v>1</v>
      </c>
      <c r="P484" s="35"/>
      <c r="Q484" s="32"/>
      <c r="S484" s="1">
        <f t="shared" si="183"/>
        <v>1</v>
      </c>
      <c r="T484" s="1">
        <f t="shared" si="184"/>
        <v>0</v>
      </c>
      <c r="U484" s="1">
        <f t="shared" si="185"/>
        <v>0</v>
      </c>
      <c r="V484" s="1">
        <f t="shared" si="186"/>
        <v>0</v>
      </c>
      <c r="W484" s="1">
        <f t="shared" si="187"/>
        <v>0</v>
      </c>
      <c r="X484" s="1">
        <f t="shared" si="188"/>
        <v>0</v>
      </c>
      <c r="Y484" s="1">
        <f t="shared" si="189"/>
        <v>0</v>
      </c>
      <c r="Z484" s="1">
        <f t="shared" si="190"/>
        <v>0</v>
      </c>
      <c r="AA484" s="1">
        <f t="shared" si="191"/>
        <v>0</v>
      </c>
      <c r="AB484" s="1">
        <f t="shared" si="192"/>
        <v>0</v>
      </c>
      <c r="AD484" s="1">
        <f t="shared" si="193"/>
        <v>0</v>
      </c>
      <c r="AE484" s="1">
        <f t="shared" si="194"/>
        <v>1</v>
      </c>
      <c r="AF484" s="1">
        <f t="shared" si="195"/>
        <v>0</v>
      </c>
      <c r="AG484" s="1">
        <f t="shared" si="196"/>
        <v>0</v>
      </c>
      <c r="AH484" s="1">
        <f t="shared" si="197"/>
        <v>0</v>
      </c>
      <c r="AI484" s="1">
        <f t="shared" si="198"/>
        <v>0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1534</v>
      </c>
      <c r="E485" s="32" t="s">
        <v>155</v>
      </c>
      <c r="F485" s="32" t="s">
        <v>1535</v>
      </c>
      <c r="G485" s="32" t="s">
        <v>206</v>
      </c>
      <c r="H485" s="32" t="s">
        <v>352</v>
      </c>
      <c r="I485" s="31" t="s">
        <v>1536</v>
      </c>
      <c r="J485" s="31">
        <v>99</v>
      </c>
      <c r="K485" s="33" t="s">
        <v>703</v>
      </c>
      <c r="L485" s="33" t="s">
        <v>713</v>
      </c>
      <c r="M485" s="34" t="s">
        <v>723</v>
      </c>
      <c r="N485" s="34" t="s">
        <v>1708</v>
      </c>
      <c r="O485" s="35">
        <v>1</v>
      </c>
      <c r="P485" s="35"/>
      <c r="Q485" s="32"/>
      <c r="S485" s="1">
        <f t="shared" si="183"/>
        <v>0</v>
      </c>
      <c r="T485" s="1">
        <f t="shared" si="184"/>
        <v>0</v>
      </c>
      <c r="U485" s="1">
        <f t="shared" si="185"/>
        <v>0</v>
      </c>
      <c r="V485" s="1">
        <f t="shared" si="186"/>
        <v>0</v>
      </c>
      <c r="W485" s="1">
        <f t="shared" si="187"/>
        <v>0</v>
      </c>
      <c r="X485" s="1">
        <f t="shared" si="188"/>
        <v>0</v>
      </c>
      <c r="Y485" s="1">
        <f t="shared" si="189"/>
        <v>0</v>
      </c>
      <c r="Z485" s="1">
        <f t="shared" si="190"/>
        <v>0</v>
      </c>
      <c r="AA485" s="1">
        <f t="shared" si="191"/>
        <v>0</v>
      </c>
      <c r="AB485" s="1">
        <f t="shared" si="192"/>
        <v>0</v>
      </c>
      <c r="AD485" s="1">
        <f t="shared" si="193"/>
        <v>0</v>
      </c>
      <c r="AE485" s="1">
        <f t="shared" si="194"/>
        <v>1</v>
      </c>
      <c r="AF485" s="1">
        <f t="shared" si="195"/>
        <v>0</v>
      </c>
      <c r="AG485" s="1">
        <f t="shared" si="196"/>
        <v>1</v>
      </c>
      <c r="AH485" s="1">
        <f t="shared" si="197"/>
        <v>0</v>
      </c>
      <c r="AI485" s="1">
        <f t="shared" si="198"/>
        <v>1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73</v>
      </c>
      <c r="E486" s="32" t="s">
        <v>28</v>
      </c>
      <c r="F486" s="32" t="s">
        <v>263</v>
      </c>
      <c r="G486" s="32" t="s">
        <v>193</v>
      </c>
      <c r="H486" s="32" t="s">
        <v>352</v>
      </c>
      <c r="I486" s="31" t="s">
        <v>419</v>
      </c>
      <c r="J486" s="31">
        <v>9</v>
      </c>
      <c r="K486" s="33" t="s">
        <v>703</v>
      </c>
      <c r="L486" s="33" t="s">
        <v>704</v>
      </c>
      <c r="M486" s="34" t="s">
        <v>722</v>
      </c>
      <c r="N486" s="34" t="s">
        <v>1696</v>
      </c>
      <c r="O486" s="35">
        <v>1</v>
      </c>
      <c r="P486" s="35"/>
      <c r="Q486" s="32"/>
      <c r="S486" s="1">
        <f t="shared" si="183"/>
        <v>0</v>
      </c>
      <c r="T486" s="1">
        <f t="shared" si="184"/>
        <v>0</v>
      </c>
      <c r="U486" s="1">
        <f t="shared" si="185"/>
        <v>0</v>
      </c>
      <c r="V486" s="1">
        <f t="shared" si="186"/>
        <v>0</v>
      </c>
      <c r="W486" s="1">
        <f t="shared" si="187"/>
        <v>0</v>
      </c>
      <c r="X486" s="1">
        <f t="shared" si="188"/>
        <v>0</v>
      </c>
      <c r="Y486" s="1">
        <f t="shared" si="189"/>
        <v>0</v>
      </c>
      <c r="Z486" s="1">
        <f t="shared" si="190"/>
        <v>0</v>
      </c>
      <c r="AA486" s="1">
        <f t="shared" si="191"/>
        <v>1</v>
      </c>
      <c r="AB486" s="1">
        <f t="shared" si="192"/>
        <v>0</v>
      </c>
      <c r="AD486" s="1">
        <f t="shared" si="193"/>
        <v>0</v>
      </c>
      <c r="AE486" s="1">
        <f t="shared" si="194"/>
        <v>1</v>
      </c>
      <c r="AF486" s="1">
        <f t="shared" si="195"/>
        <v>0</v>
      </c>
      <c r="AG486" s="1">
        <f t="shared" si="196"/>
        <v>1</v>
      </c>
      <c r="AH486" s="1">
        <f t="shared" si="197"/>
        <v>0</v>
      </c>
      <c r="AI486" s="1">
        <f t="shared" si="198"/>
        <v>1</v>
      </c>
    </row>
    <row r="487" spans="1:35" s="1" customFormat="1" ht="14.25" customHeight="1" x14ac:dyDescent="0.25">
      <c r="A487" s="31">
        <v>0</v>
      </c>
      <c r="B487" s="31">
        <v>2</v>
      </c>
      <c r="C487" s="31">
        <v>7</v>
      </c>
      <c r="D487" s="32" t="s">
        <v>59</v>
      </c>
      <c r="E487" s="32" t="s">
        <v>162</v>
      </c>
      <c r="F487" s="32" t="s">
        <v>224</v>
      </c>
      <c r="G487" s="32" t="s">
        <v>225</v>
      </c>
      <c r="H487" s="32" t="s">
        <v>352</v>
      </c>
      <c r="I487" s="31" t="s">
        <v>396</v>
      </c>
      <c r="J487" s="31">
        <v>99</v>
      </c>
      <c r="K487" s="33" t="s">
        <v>704</v>
      </c>
      <c r="L487" s="33" t="s">
        <v>713</v>
      </c>
      <c r="M487" s="34" t="s">
        <v>723</v>
      </c>
      <c r="N487" s="34" t="s">
        <v>1702</v>
      </c>
      <c r="O487" s="35">
        <v>1</v>
      </c>
      <c r="P487" s="35"/>
      <c r="Q487" s="32"/>
      <c r="S487" s="1">
        <f t="shared" si="183"/>
        <v>0</v>
      </c>
      <c r="T487" s="1">
        <f t="shared" si="184"/>
        <v>0</v>
      </c>
      <c r="U487" s="1">
        <f t="shared" si="185"/>
        <v>0</v>
      </c>
      <c r="V487" s="1">
        <f t="shared" si="186"/>
        <v>0</v>
      </c>
      <c r="W487" s="1">
        <f t="shared" si="187"/>
        <v>0</v>
      </c>
      <c r="X487" s="1">
        <f t="shared" si="188"/>
        <v>0</v>
      </c>
      <c r="Y487" s="1">
        <f t="shared" si="189"/>
        <v>0</v>
      </c>
      <c r="Z487" s="1">
        <f t="shared" si="190"/>
        <v>0</v>
      </c>
      <c r="AA487" s="1">
        <f t="shared" si="191"/>
        <v>0</v>
      </c>
      <c r="AB487" s="1">
        <f t="shared" si="192"/>
        <v>0</v>
      </c>
      <c r="AD487" s="1">
        <f t="shared" si="193"/>
        <v>0</v>
      </c>
      <c r="AE487" s="1">
        <f t="shared" si="194"/>
        <v>1</v>
      </c>
      <c r="AF487" s="1">
        <f t="shared" si="195"/>
        <v>0</v>
      </c>
      <c r="AG487" s="1">
        <f t="shared" si="196"/>
        <v>1</v>
      </c>
      <c r="AH487" s="1">
        <f t="shared" si="197"/>
        <v>0</v>
      </c>
      <c r="AI487" s="1">
        <f t="shared" si="198"/>
        <v>1</v>
      </c>
    </row>
    <row r="488" spans="1:35" s="1" customFormat="1" ht="14.25" customHeight="1" x14ac:dyDescent="0.25">
      <c r="A488" s="31">
        <v>0</v>
      </c>
      <c r="B488" s="31">
        <v>2</v>
      </c>
      <c r="C488" s="31">
        <v>7</v>
      </c>
      <c r="D488" s="32" t="s">
        <v>1052</v>
      </c>
      <c r="E488" s="32" t="s">
        <v>155</v>
      </c>
      <c r="F488" s="32" t="s">
        <v>1053</v>
      </c>
      <c r="G488" s="32" t="s">
        <v>219</v>
      </c>
      <c r="H488" s="32" t="s">
        <v>352</v>
      </c>
      <c r="I488" s="31" t="s">
        <v>1054</v>
      </c>
      <c r="J488" s="31">
        <v>8</v>
      </c>
      <c r="K488" s="33" t="s">
        <v>703</v>
      </c>
      <c r="L488" s="33" t="s">
        <v>713</v>
      </c>
      <c r="M488" s="34" t="s">
        <v>723</v>
      </c>
      <c r="N488" s="34" t="s">
        <v>1700</v>
      </c>
      <c r="O488" s="35">
        <v>1</v>
      </c>
      <c r="P488" s="35"/>
      <c r="Q488" s="32"/>
      <c r="S488" s="1">
        <f t="shared" si="183"/>
        <v>0</v>
      </c>
      <c r="T488" s="1">
        <f t="shared" si="184"/>
        <v>0</v>
      </c>
      <c r="U488" s="1">
        <f t="shared" si="185"/>
        <v>0</v>
      </c>
      <c r="V488" s="1">
        <f t="shared" si="186"/>
        <v>0</v>
      </c>
      <c r="W488" s="1">
        <f t="shared" si="187"/>
        <v>0</v>
      </c>
      <c r="X488" s="1">
        <f t="shared" si="188"/>
        <v>0</v>
      </c>
      <c r="Y488" s="1">
        <f t="shared" si="189"/>
        <v>0</v>
      </c>
      <c r="Z488" s="1">
        <f t="shared" si="190"/>
        <v>1</v>
      </c>
      <c r="AA488" s="1">
        <f t="shared" si="191"/>
        <v>0</v>
      </c>
      <c r="AB488" s="1">
        <f t="shared" si="192"/>
        <v>0</v>
      </c>
      <c r="AD488" s="1">
        <f t="shared" si="193"/>
        <v>0</v>
      </c>
      <c r="AE488" s="1">
        <f t="shared" si="194"/>
        <v>1</v>
      </c>
      <c r="AF488" s="1">
        <f t="shared" si="195"/>
        <v>0</v>
      </c>
      <c r="AG488" s="1">
        <f t="shared" si="196"/>
        <v>1</v>
      </c>
      <c r="AH488" s="1">
        <f t="shared" si="197"/>
        <v>0</v>
      </c>
      <c r="AI488" s="1">
        <f t="shared" si="198"/>
        <v>1</v>
      </c>
    </row>
    <row r="489" spans="1:35" s="1" customFormat="1" ht="14.25" customHeight="1" x14ac:dyDescent="0.25">
      <c r="A489" s="31">
        <v>0</v>
      </c>
      <c r="B489" s="31">
        <v>2</v>
      </c>
      <c r="C489" s="31">
        <v>7</v>
      </c>
      <c r="D489" s="32" t="s">
        <v>81</v>
      </c>
      <c r="E489" s="32" t="s">
        <v>155</v>
      </c>
      <c r="F489" s="32" t="s">
        <v>272</v>
      </c>
      <c r="G489" s="32" t="s">
        <v>253</v>
      </c>
      <c r="H489" s="32" t="s">
        <v>352</v>
      </c>
      <c r="I489" s="31" t="s">
        <v>426</v>
      </c>
      <c r="J489" s="31">
        <v>99</v>
      </c>
      <c r="K489" s="33" t="s">
        <v>704</v>
      </c>
      <c r="L489" s="33" t="s">
        <v>724</v>
      </c>
      <c r="M489" s="34" t="s">
        <v>725</v>
      </c>
      <c r="N489" s="34" t="s">
        <v>1708</v>
      </c>
      <c r="O489" s="35">
        <v>1</v>
      </c>
      <c r="P489" s="35"/>
      <c r="Q489" s="32"/>
      <c r="S489" s="1">
        <f t="shared" si="183"/>
        <v>0</v>
      </c>
      <c r="T489" s="1">
        <f t="shared" si="184"/>
        <v>0</v>
      </c>
      <c r="U489" s="1">
        <f t="shared" si="185"/>
        <v>0</v>
      </c>
      <c r="V489" s="1">
        <f t="shared" si="186"/>
        <v>0</v>
      </c>
      <c r="W489" s="1">
        <f t="shared" si="187"/>
        <v>0</v>
      </c>
      <c r="X489" s="1">
        <f t="shared" si="188"/>
        <v>0</v>
      </c>
      <c r="Y489" s="1">
        <f t="shared" si="189"/>
        <v>0</v>
      </c>
      <c r="Z489" s="1">
        <f t="shared" si="190"/>
        <v>0</v>
      </c>
      <c r="AA489" s="1">
        <f t="shared" si="191"/>
        <v>0</v>
      </c>
      <c r="AB489" s="1">
        <f t="shared" si="192"/>
        <v>0</v>
      </c>
      <c r="AD489" s="1">
        <f t="shared" si="193"/>
        <v>0</v>
      </c>
      <c r="AE489" s="1">
        <f t="shared" si="194"/>
        <v>1</v>
      </c>
      <c r="AF489" s="1">
        <f t="shared" si="195"/>
        <v>0</v>
      </c>
      <c r="AG489" s="1">
        <f t="shared" si="196"/>
        <v>1</v>
      </c>
      <c r="AH489" s="1">
        <f t="shared" si="197"/>
        <v>0</v>
      </c>
      <c r="AI489" s="1">
        <f t="shared" si="198"/>
        <v>1</v>
      </c>
    </row>
    <row r="490" spans="1:35" s="1" customFormat="1" ht="14.25" customHeight="1" x14ac:dyDescent="0.25">
      <c r="A490" s="37">
        <v>0</v>
      </c>
      <c r="B490" s="37">
        <v>2</v>
      </c>
      <c r="C490" s="37">
        <v>7</v>
      </c>
      <c r="D490" s="36" t="s">
        <v>1727</v>
      </c>
      <c r="E490" s="36" t="s">
        <v>1728</v>
      </c>
      <c r="F490" s="36" t="s">
        <v>1729</v>
      </c>
      <c r="G490" s="36" t="s">
        <v>189</v>
      </c>
      <c r="H490" s="36" t="s">
        <v>352</v>
      </c>
      <c r="I490" s="37"/>
      <c r="J490" s="37"/>
      <c r="K490" s="33" t="s">
        <v>694</v>
      </c>
      <c r="L490" s="33"/>
      <c r="M490" s="34"/>
      <c r="N490" s="34" t="s">
        <v>1687</v>
      </c>
      <c r="O490" s="35">
        <v>1</v>
      </c>
      <c r="P490" s="35">
        <v>1</v>
      </c>
      <c r="Q490" s="36"/>
      <c r="S490" s="1">
        <f t="shared" si="183"/>
        <v>0</v>
      </c>
      <c r="T490" s="1">
        <f t="shared" si="184"/>
        <v>0</v>
      </c>
      <c r="U490" s="1">
        <f t="shared" si="185"/>
        <v>0</v>
      </c>
      <c r="V490" s="1">
        <f t="shared" si="186"/>
        <v>0</v>
      </c>
      <c r="W490" s="1">
        <f t="shared" si="187"/>
        <v>0</v>
      </c>
      <c r="X490" s="1">
        <f t="shared" si="188"/>
        <v>0</v>
      </c>
      <c r="Y490" s="1">
        <f t="shared" si="189"/>
        <v>0</v>
      </c>
      <c r="Z490" s="1">
        <f t="shared" si="190"/>
        <v>0</v>
      </c>
      <c r="AA490" s="1">
        <f t="shared" si="191"/>
        <v>0</v>
      </c>
      <c r="AB490" s="1">
        <f t="shared" si="192"/>
        <v>0</v>
      </c>
      <c r="AD490" s="1">
        <f t="shared" si="193"/>
        <v>1</v>
      </c>
      <c r="AE490" s="1">
        <f t="shared" si="194"/>
        <v>0</v>
      </c>
      <c r="AF490" s="1">
        <f t="shared" si="195"/>
        <v>1</v>
      </c>
      <c r="AG490" s="1">
        <f t="shared" si="196"/>
        <v>0</v>
      </c>
      <c r="AH490" s="1">
        <f t="shared" si="197"/>
        <v>1</v>
      </c>
      <c r="AI490" s="1">
        <f t="shared" si="198"/>
        <v>0</v>
      </c>
    </row>
    <row r="491" spans="1:35" s="1" customFormat="1" ht="14.25" customHeight="1" x14ac:dyDescent="0.25">
      <c r="A491" s="37">
        <v>0</v>
      </c>
      <c r="B491" s="37">
        <v>2</v>
      </c>
      <c r="C491" s="37">
        <v>7</v>
      </c>
      <c r="D491" s="36" t="s">
        <v>510</v>
      </c>
      <c r="E491" s="36" t="s">
        <v>155</v>
      </c>
      <c r="F491" s="36" t="s">
        <v>567</v>
      </c>
      <c r="G491" s="36" t="s">
        <v>319</v>
      </c>
      <c r="H491" s="36" t="s">
        <v>352</v>
      </c>
      <c r="I491" s="37" t="s">
        <v>573</v>
      </c>
      <c r="J491" s="37">
        <v>99</v>
      </c>
      <c r="K491" s="33" t="s">
        <v>931</v>
      </c>
      <c r="L491" s="33" t="s">
        <v>713</v>
      </c>
      <c r="M491" s="34" t="s">
        <v>723</v>
      </c>
      <c r="N491" s="34" t="s">
        <v>1713</v>
      </c>
      <c r="O491" s="35">
        <v>1</v>
      </c>
      <c r="P491" s="35"/>
      <c r="Q491" s="36"/>
      <c r="S491" s="1">
        <f t="shared" si="183"/>
        <v>0</v>
      </c>
      <c r="T491" s="1">
        <f t="shared" si="184"/>
        <v>0</v>
      </c>
      <c r="U491" s="1">
        <f t="shared" si="185"/>
        <v>0</v>
      </c>
      <c r="V491" s="1">
        <f t="shared" si="186"/>
        <v>0</v>
      </c>
      <c r="W491" s="1">
        <f t="shared" si="187"/>
        <v>0</v>
      </c>
      <c r="X491" s="1">
        <f t="shared" si="188"/>
        <v>0</v>
      </c>
      <c r="Y491" s="1">
        <f t="shared" si="189"/>
        <v>0</v>
      </c>
      <c r="Z491" s="1">
        <f t="shared" si="190"/>
        <v>0</v>
      </c>
      <c r="AA491" s="1">
        <f t="shared" si="191"/>
        <v>0</v>
      </c>
      <c r="AB491" s="1">
        <f t="shared" si="192"/>
        <v>0</v>
      </c>
      <c r="AD491" s="1">
        <f t="shared" si="193"/>
        <v>0</v>
      </c>
      <c r="AE491" s="1">
        <f t="shared" si="194"/>
        <v>1</v>
      </c>
      <c r="AF491" s="1">
        <f t="shared" si="195"/>
        <v>0</v>
      </c>
      <c r="AG491" s="1">
        <f t="shared" si="196"/>
        <v>1</v>
      </c>
      <c r="AH491" s="1">
        <f t="shared" si="197"/>
        <v>0</v>
      </c>
      <c r="AI491" s="1">
        <f t="shared" si="198"/>
        <v>1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74</v>
      </c>
      <c r="E492" s="32" t="s">
        <v>155</v>
      </c>
      <c r="F492" s="32" t="s">
        <v>667</v>
      </c>
      <c r="G492" s="32" t="s">
        <v>264</v>
      </c>
      <c r="H492" s="32" t="s">
        <v>352</v>
      </c>
      <c r="I492" s="31" t="s">
        <v>420</v>
      </c>
      <c r="J492" s="31">
        <v>99</v>
      </c>
      <c r="K492" s="33" t="s">
        <v>703</v>
      </c>
      <c r="L492" s="33" t="s">
        <v>720</v>
      </c>
      <c r="M492" s="34" t="s">
        <v>723</v>
      </c>
      <c r="N492" s="34" t="s">
        <v>1696</v>
      </c>
      <c r="O492" s="35">
        <v>1</v>
      </c>
      <c r="P492" s="35"/>
      <c r="Q492" s="32"/>
      <c r="S492" s="1">
        <f t="shared" si="183"/>
        <v>0</v>
      </c>
      <c r="T492" s="1">
        <f t="shared" si="184"/>
        <v>0</v>
      </c>
      <c r="U492" s="1">
        <f t="shared" si="185"/>
        <v>0</v>
      </c>
      <c r="V492" s="1">
        <f t="shared" si="186"/>
        <v>0</v>
      </c>
      <c r="W492" s="1">
        <f t="shared" si="187"/>
        <v>0</v>
      </c>
      <c r="X492" s="1">
        <f t="shared" si="188"/>
        <v>0</v>
      </c>
      <c r="Y492" s="1">
        <f t="shared" si="189"/>
        <v>0</v>
      </c>
      <c r="Z492" s="1">
        <f t="shared" si="190"/>
        <v>0</v>
      </c>
      <c r="AA492" s="1">
        <f t="shared" si="191"/>
        <v>0</v>
      </c>
      <c r="AB492" s="1">
        <f t="shared" si="192"/>
        <v>0</v>
      </c>
      <c r="AD492" s="1">
        <f t="shared" si="193"/>
        <v>0</v>
      </c>
      <c r="AE492" s="1">
        <f t="shared" si="194"/>
        <v>1</v>
      </c>
      <c r="AF492" s="1">
        <f t="shared" si="195"/>
        <v>0</v>
      </c>
      <c r="AG492" s="1">
        <f t="shared" si="196"/>
        <v>1</v>
      </c>
      <c r="AH492" s="1">
        <f t="shared" si="197"/>
        <v>0</v>
      </c>
      <c r="AI492" s="1">
        <f t="shared" si="198"/>
        <v>1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1808</v>
      </c>
      <c r="E493" s="32" t="s">
        <v>155</v>
      </c>
      <c r="F493" s="32" t="s">
        <v>1809</v>
      </c>
      <c r="G493" s="32" t="s">
        <v>281</v>
      </c>
      <c r="H493" s="32" t="s">
        <v>352</v>
      </c>
      <c r="I493" s="31" t="s">
        <v>1810</v>
      </c>
      <c r="J493" s="31">
        <v>99</v>
      </c>
      <c r="K493" s="33" t="s">
        <v>694</v>
      </c>
      <c r="L493" s="33" t="s">
        <v>713</v>
      </c>
      <c r="M493" s="34" t="s">
        <v>723</v>
      </c>
      <c r="N493" s="34" t="s">
        <v>1708</v>
      </c>
      <c r="O493" s="35">
        <v>1</v>
      </c>
      <c r="P493" s="35"/>
      <c r="Q493" s="32"/>
      <c r="S493" s="1">
        <f t="shared" si="183"/>
        <v>0</v>
      </c>
      <c r="T493" s="1">
        <f t="shared" si="184"/>
        <v>0</v>
      </c>
      <c r="U493" s="1">
        <f t="shared" si="185"/>
        <v>0</v>
      </c>
      <c r="V493" s="1">
        <f t="shared" si="186"/>
        <v>0</v>
      </c>
      <c r="W493" s="1">
        <f t="shared" si="187"/>
        <v>0</v>
      </c>
      <c r="X493" s="1">
        <f t="shared" si="188"/>
        <v>0</v>
      </c>
      <c r="Y493" s="1">
        <f t="shared" si="189"/>
        <v>0</v>
      </c>
      <c r="Z493" s="1">
        <f t="shared" si="190"/>
        <v>0</v>
      </c>
      <c r="AA493" s="1">
        <f t="shared" si="191"/>
        <v>0</v>
      </c>
      <c r="AB493" s="1">
        <f t="shared" si="192"/>
        <v>0</v>
      </c>
      <c r="AD493" s="1">
        <f t="shared" si="193"/>
        <v>0</v>
      </c>
      <c r="AE493" s="1">
        <f t="shared" si="194"/>
        <v>1</v>
      </c>
      <c r="AF493" s="1">
        <f t="shared" si="195"/>
        <v>0</v>
      </c>
      <c r="AG493" s="1">
        <f t="shared" si="196"/>
        <v>1</v>
      </c>
      <c r="AH493" s="1">
        <f t="shared" si="197"/>
        <v>0</v>
      </c>
      <c r="AI493" s="1">
        <f t="shared" si="198"/>
        <v>1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60</v>
      </c>
      <c r="E494" s="32" t="s">
        <v>162</v>
      </c>
      <c r="F494" s="32" t="s">
        <v>226</v>
      </c>
      <c r="G494" s="32" t="s">
        <v>189</v>
      </c>
      <c r="H494" s="32" t="s">
        <v>352</v>
      </c>
      <c r="I494" s="31" t="s">
        <v>397</v>
      </c>
      <c r="J494" s="31">
        <v>99</v>
      </c>
      <c r="K494" s="33" t="s">
        <v>704</v>
      </c>
      <c r="L494" s="33" t="s">
        <v>713</v>
      </c>
      <c r="M494" s="34" t="s">
        <v>723</v>
      </c>
      <c r="N494" s="34" t="s">
        <v>1700</v>
      </c>
      <c r="O494" s="35">
        <v>1</v>
      </c>
      <c r="P494" s="35"/>
      <c r="Q494" s="32"/>
      <c r="S494" s="1">
        <f t="shared" si="183"/>
        <v>0</v>
      </c>
      <c r="T494" s="1">
        <f t="shared" si="184"/>
        <v>0</v>
      </c>
      <c r="U494" s="1">
        <f t="shared" si="185"/>
        <v>0</v>
      </c>
      <c r="V494" s="1">
        <f t="shared" si="186"/>
        <v>0</v>
      </c>
      <c r="W494" s="1">
        <f t="shared" si="187"/>
        <v>0</v>
      </c>
      <c r="X494" s="1">
        <f t="shared" si="188"/>
        <v>0</v>
      </c>
      <c r="Y494" s="1">
        <f t="shared" si="189"/>
        <v>0</v>
      </c>
      <c r="Z494" s="1">
        <f t="shared" si="190"/>
        <v>0</v>
      </c>
      <c r="AA494" s="1">
        <f t="shared" si="191"/>
        <v>0</v>
      </c>
      <c r="AB494" s="1">
        <f t="shared" si="192"/>
        <v>0</v>
      </c>
      <c r="AD494" s="1">
        <f t="shared" si="193"/>
        <v>0</v>
      </c>
      <c r="AE494" s="1">
        <f t="shared" si="194"/>
        <v>1</v>
      </c>
      <c r="AF494" s="1">
        <f t="shared" si="195"/>
        <v>0</v>
      </c>
      <c r="AG494" s="1">
        <f t="shared" si="196"/>
        <v>1</v>
      </c>
      <c r="AH494" s="1">
        <f t="shared" si="197"/>
        <v>0</v>
      </c>
      <c r="AI494" s="1">
        <f t="shared" si="198"/>
        <v>1</v>
      </c>
    </row>
    <row r="495" spans="1:35" s="1" customFormat="1" ht="14.25" customHeight="1" x14ac:dyDescent="0.25">
      <c r="A495" s="31">
        <v>0</v>
      </c>
      <c r="B495" s="31">
        <v>2</v>
      </c>
      <c r="C495" s="31">
        <v>7</v>
      </c>
      <c r="D495" s="32" t="s">
        <v>1297</v>
      </c>
      <c r="E495" s="32" t="s">
        <v>155</v>
      </c>
      <c r="F495" s="32" t="s">
        <v>1115</v>
      </c>
      <c r="G495" s="32" t="s">
        <v>191</v>
      </c>
      <c r="H495" s="32" t="s">
        <v>352</v>
      </c>
      <c r="I495" s="31" t="s">
        <v>1334</v>
      </c>
      <c r="J495" s="31">
        <v>99</v>
      </c>
      <c r="K495" s="33" t="s">
        <v>703</v>
      </c>
      <c r="L495" s="33" t="s">
        <v>39</v>
      </c>
      <c r="M495" s="34" t="s">
        <v>39</v>
      </c>
      <c r="N495" s="34" t="s">
        <v>1687</v>
      </c>
      <c r="O495" s="35">
        <v>1</v>
      </c>
      <c r="P495" s="35">
        <v>1</v>
      </c>
      <c r="Q495" s="32"/>
      <c r="S495" s="1">
        <f t="shared" si="183"/>
        <v>0</v>
      </c>
      <c r="T495" s="1">
        <f t="shared" si="184"/>
        <v>0</v>
      </c>
      <c r="U495" s="1">
        <f t="shared" si="185"/>
        <v>0</v>
      </c>
      <c r="V495" s="1">
        <f t="shared" si="186"/>
        <v>0</v>
      </c>
      <c r="W495" s="1">
        <f t="shared" si="187"/>
        <v>0</v>
      </c>
      <c r="X495" s="1">
        <f t="shared" si="188"/>
        <v>0</v>
      </c>
      <c r="Y495" s="1">
        <f t="shared" si="189"/>
        <v>0</v>
      </c>
      <c r="Z495" s="1">
        <f t="shared" si="190"/>
        <v>0</v>
      </c>
      <c r="AA495" s="1">
        <f t="shared" si="191"/>
        <v>0</v>
      </c>
      <c r="AB495" s="1">
        <f t="shared" si="192"/>
        <v>0</v>
      </c>
      <c r="AD495" s="1">
        <f t="shared" si="193"/>
        <v>1</v>
      </c>
      <c r="AE495" s="1">
        <f t="shared" si="194"/>
        <v>0</v>
      </c>
      <c r="AF495" s="1">
        <f t="shared" si="195"/>
        <v>1</v>
      </c>
      <c r="AG495" s="1">
        <f t="shared" si="196"/>
        <v>0</v>
      </c>
      <c r="AH495" s="1">
        <f t="shared" si="197"/>
        <v>1</v>
      </c>
      <c r="AI495" s="1">
        <f t="shared" si="198"/>
        <v>0</v>
      </c>
    </row>
    <row r="496" spans="1:35" s="1" customFormat="1" ht="14.25" customHeight="1" x14ac:dyDescent="0.25">
      <c r="A496" s="31">
        <v>0</v>
      </c>
      <c r="B496" s="31">
        <v>2</v>
      </c>
      <c r="C496" s="31">
        <v>7</v>
      </c>
      <c r="D496" s="32" t="s">
        <v>581</v>
      </c>
      <c r="E496" s="32" t="s">
        <v>1305</v>
      </c>
      <c r="F496" s="32" t="s">
        <v>668</v>
      </c>
      <c r="G496" s="32" t="s">
        <v>239</v>
      </c>
      <c r="H496" s="32" t="s">
        <v>352</v>
      </c>
      <c r="I496" s="31" t="s">
        <v>403</v>
      </c>
      <c r="J496" s="31">
        <v>1</v>
      </c>
      <c r="K496" s="33" t="s">
        <v>704</v>
      </c>
      <c r="L496" s="33" t="s">
        <v>1671</v>
      </c>
      <c r="M496" s="34" t="s">
        <v>1402</v>
      </c>
      <c r="N496" s="34" t="s">
        <v>1700</v>
      </c>
      <c r="O496" s="35">
        <v>1</v>
      </c>
      <c r="P496" s="35"/>
      <c r="Q496" s="32"/>
      <c r="S496" s="1">
        <f t="shared" si="183"/>
        <v>1</v>
      </c>
      <c r="T496" s="1">
        <f t="shared" si="184"/>
        <v>0</v>
      </c>
      <c r="U496" s="1">
        <f t="shared" si="185"/>
        <v>0</v>
      </c>
      <c r="V496" s="1">
        <f t="shared" si="186"/>
        <v>0</v>
      </c>
      <c r="W496" s="1">
        <f t="shared" si="187"/>
        <v>0</v>
      </c>
      <c r="X496" s="1">
        <f t="shared" si="188"/>
        <v>0</v>
      </c>
      <c r="Y496" s="1">
        <f t="shared" si="189"/>
        <v>0</v>
      </c>
      <c r="Z496" s="1">
        <f t="shared" si="190"/>
        <v>0</v>
      </c>
      <c r="AA496" s="1">
        <f t="shared" si="191"/>
        <v>0</v>
      </c>
      <c r="AB496" s="1">
        <f t="shared" si="192"/>
        <v>0</v>
      </c>
      <c r="AD496" s="1">
        <f t="shared" si="193"/>
        <v>0</v>
      </c>
      <c r="AE496" s="1">
        <f t="shared" si="194"/>
        <v>1</v>
      </c>
      <c r="AF496" s="1">
        <f t="shared" si="195"/>
        <v>0</v>
      </c>
      <c r="AG496" s="1">
        <f t="shared" si="196"/>
        <v>1</v>
      </c>
      <c r="AH496" s="1">
        <f t="shared" si="197"/>
        <v>0</v>
      </c>
      <c r="AI496" s="1">
        <f t="shared" si="198"/>
        <v>1</v>
      </c>
    </row>
    <row r="497" spans="1:35" s="1" customFormat="1" ht="14.25" customHeight="1" x14ac:dyDescent="0.25">
      <c r="A497" s="31">
        <v>1</v>
      </c>
      <c r="B497" s="31">
        <v>2</v>
      </c>
      <c r="C497" s="31">
        <v>7</v>
      </c>
      <c r="D497" s="32" t="s">
        <v>581</v>
      </c>
      <c r="E497" s="32" t="s">
        <v>1305</v>
      </c>
      <c r="F497" s="32" t="s">
        <v>238</v>
      </c>
      <c r="G497" s="32" t="s">
        <v>177</v>
      </c>
      <c r="H497" s="32" t="s">
        <v>352</v>
      </c>
      <c r="I497" s="31" t="s">
        <v>402</v>
      </c>
      <c r="J497" s="31">
        <v>1</v>
      </c>
      <c r="K497" s="33" t="s">
        <v>704</v>
      </c>
      <c r="L497" s="33" t="s">
        <v>1671</v>
      </c>
      <c r="M497" s="34" t="s">
        <v>1402</v>
      </c>
      <c r="N497" s="34" t="s">
        <v>1700</v>
      </c>
      <c r="O497" s="35">
        <v>1</v>
      </c>
      <c r="P497" s="35"/>
      <c r="Q497" s="36" t="s">
        <v>1860</v>
      </c>
      <c r="S497" s="1">
        <f t="shared" si="183"/>
        <v>1</v>
      </c>
      <c r="T497" s="1">
        <f t="shared" si="184"/>
        <v>0</v>
      </c>
      <c r="U497" s="1">
        <f t="shared" si="185"/>
        <v>0</v>
      </c>
      <c r="V497" s="1">
        <f t="shared" si="186"/>
        <v>0</v>
      </c>
      <c r="W497" s="1">
        <f t="shared" si="187"/>
        <v>0</v>
      </c>
      <c r="X497" s="1">
        <f t="shared" si="188"/>
        <v>0</v>
      </c>
      <c r="Y497" s="1">
        <f t="shared" si="189"/>
        <v>0</v>
      </c>
      <c r="Z497" s="1">
        <f t="shared" si="190"/>
        <v>0</v>
      </c>
      <c r="AA497" s="1">
        <f t="shared" si="191"/>
        <v>0</v>
      </c>
      <c r="AB497" s="1">
        <f t="shared" si="192"/>
        <v>0</v>
      </c>
      <c r="AD497" s="1">
        <f t="shared" si="193"/>
        <v>0</v>
      </c>
      <c r="AE497" s="1">
        <f t="shared" si="194"/>
        <v>1</v>
      </c>
      <c r="AF497" s="1">
        <f t="shared" si="195"/>
        <v>0</v>
      </c>
      <c r="AG497" s="1">
        <f t="shared" si="196"/>
        <v>0</v>
      </c>
      <c r="AH497" s="1">
        <f t="shared" si="197"/>
        <v>0</v>
      </c>
      <c r="AI497" s="1">
        <f t="shared" si="198"/>
        <v>0</v>
      </c>
    </row>
    <row r="498" spans="1:35" s="1" customFormat="1" ht="14.25" customHeight="1" x14ac:dyDescent="0.25">
      <c r="A498" s="31">
        <v>0</v>
      </c>
      <c r="B498" s="31">
        <v>2</v>
      </c>
      <c r="C498" s="31">
        <v>7</v>
      </c>
      <c r="D498" s="32" t="s">
        <v>1298</v>
      </c>
      <c r="E498" s="32" t="s">
        <v>155</v>
      </c>
      <c r="F498" s="32" t="s">
        <v>1322</v>
      </c>
      <c r="G498" s="32" t="s">
        <v>257</v>
      </c>
      <c r="H498" s="32" t="s">
        <v>352</v>
      </c>
      <c r="I498" s="31" t="s">
        <v>1208</v>
      </c>
      <c r="J498" s="31">
        <v>8</v>
      </c>
      <c r="K498" s="33" t="s">
        <v>932</v>
      </c>
      <c r="L498" s="33" t="s">
        <v>713</v>
      </c>
      <c r="M498" s="34" t="s">
        <v>723</v>
      </c>
      <c r="N498" s="34" t="s">
        <v>1700</v>
      </c>
      <c r="O498" s="35">
        <v>1</v>
      </c>
      <c r="P498" s="35"/>
      <c r="Q498" s="32"/>
      <c r="S498" s="1">
        <f t="shared" si="183"/>
        <v>0</v>
      </c>
      <c r="T498" s="1">
        <f t="shared" si="184"/>
        <v>0</v>
      </c>
      <c r="U498" s="1">
        <f t="shared" si="185"/>
        <v>0</v>
      </c>
      <c r="V498" s="1">
        <f t="shared" si="186"/>
        <v>0</v>
      </c>
      <c r="W498" s="1">
        <f t="shared" si="187"/>
        <v>0</v>
      </c>
      <c r="X498" s="1">
        <f t="shared" si="188"/>
        <v>0</v>
      </c>
      <c r="Y498" s="1">
        <f t="shared" si="189"/>
        <v>0</v>
      </c>
      <c r="Z498" s="1">
        <f t="shared" si="190"/>
        <v>1</v>
      </c>
      <c r="AA498" s="1">
        <f t="shared" si="191"/>
        <v>0</v>
      </c>
      <c r="AB498" s="1">
        <f t="shared" si="192"/>
        <v>0</v>
      </c>
      <c r="AD498" s="1">
        <f t="shared" si="193"/>
        <v>0</v>
      </c>
      <c r="AE498" s="1">
        <f t="shared" si="194"/>
        <v>1</v>
      </c>
      <c r="AF498" s="1">
        <f t="shared" si="195"/>
        <v>0</v>
      </c>
      <c r="AG498" s="1">
        <f t="shared" si="196"/>
        <v>1</v>
      </c>
      <c r="AH498" s="1">
        <f t="shared" si="197"/>
        <v>0</v>
      </c>
      <c r="AI498" s="1">
        <f t="shared" si="198"/>
        <v>1</v>
      </c>
    </row>
    <row r="499" spans="1:35" s="1" customFormat="1" ht="14.25" customHeight="1" x14ac:dyDescent="0.25">
      <c r="A499" s="31">
        <v>1</v>
      </c>
      <c r="B499" s="31">
        <v>2</v>
      </c>
      <c r="C499" s="31">
        <v>7</v>
      </c>
      <c r="D499" s="32" t="s">
        <v>1298</v>
      </c>
      <c r="E499" s="32" t="s">
        <v>155</v>
      </c>
      <c r="F499" s="32" t="s">
        <v>1187</v>
      </c>
      <c r="G499" s="32" t="s">
        <v>217</v>
      </c>
      <c r="H499" s="32" t="s">
        <v>352</v>
      </c>
      <c r="I499" s="31" t="s">
        <v>1208</v>
      </c>
      <c r="J499" s="31">
        <v>99</v>
      </c>
      <c r="K499" s="33" t="s">
        <v>932</v>
      </c>
      <c r="L499" s="33" t="s">
        <v>713</v>
      </c>
      <c r="M499" s="34" t="s">
        <v>723</v>
      </c>
      <c r="N499" s="34" t="s">
        <v>1700</v>
      </c>
      <c r="O499" s="35">
        <v>1</v>
      </c>
      <c r="P499" s="35"/>
      <c r="Q499" s="32"/>
      <c r="S499" s="1">
        <f t="shared" si="183"/>
        <v>0</v>
      </c>
      <c r="T499" s="1">
        <f t="shared" si="184"/>
        <v>0</v>
      </c>
      <c r="U499" s="1">
        <f t="shared" si="185"/>
        <v>0</v>
      </c>
      <c r="V499" s="1">
        <f t="shared" si="186"/>
        <v>0</v>
      </c>
      <c r="W499" s="1">
        <f t="shared" si="187"/>
        <v>0</v>
      </c>
      <c r="X499" s="1">
        <f t="shared" si="188"/>
        <v>0</v>
      </c>
      <c r="Y499" s="1">
        <f t="shared" si="189"/>
        <v>0</v>
      </c>
      <c r="Z499" s="1">
        <f t="shared" si="190"/>
        <v>0</v>
      </c>
      <c r="AA499" s="1">
        <f t="shared" si="191"/>
        <v>0</v>
      </c>
      <c r="AB499" s="1">
        <f t="shared" si="192"/>
        <v>0</v>
      </c>
      <c r="AD499" s="1">
        <f t="shared" si="193"/>
        <v>0</v>
      </c>
      <c r="AE499" s="1">
        <f t="shared" si="194"/>
        <v>1</v>
      </c>
      <c r="AF499" s="1">
        <f t="shared" si="195"/>
        <v>0</v>
      </c>
      <c r="AG499" s="1">
        <f t="shared" si="196"/>
        <v>0</v>
      </c>
      <c r="AH499" s="1">
        <f t="shared" si="197"/>
        <v>0</v>
      </c>
      <c r="AI499" s="1">
        <f t="shared" si="198"/>
        <v>0</v>
      </c>
    </row>
    <row r="500" spans="1:35" s="1" customFormat="1" ht="14.25" customHeight="1" x14ac:dyDescent="0.25">
      <c r="A500" s="31">
        <v>0</v>
      </c>
      <c r="B500" s="31">
        <v>2</v>
      </c>
      <c r="C500" s="31">
        <v>7</v>
      </c>
      <c r="D500" s="32" t="s">
        <v>1217</v>
      </c>
      <c r="E500" s="32" t="s">
        <v>155</v>
      </c>
      <c r="F500" s="32" t="s">
        <v>1219</v>
      </c>
      <c r="G500" s="32" t="s">
        <v>219</v>
      </c>
      <c r="H500" s="32" t="s">
        <v>352</v>
      </c>
      <c r="I500" s="31" t="s">
        <v>1335</v>
      </c>
      <c r="J500" s="31">
        <v>8</v>
      </c>
      <c r="K500" s="33" t="s">
        <v>931</v>
      </c>
      <c r="L500" s="33" t="s">
        <v>713</v>
      </c>
      <c r="M500" s="34" t="s">
        <v>723</v>
      </c>
      <c r="N500" s="34" t="s">
        <v>1696</v>
      </c>
      <c r="O500" s="35">
        <v>1</v>
      </c>
      <c r="P500" s="35"/>
      <c r="Q500" s="32"/>
      <c r="S500" s="1">
        <f t="shared" si="183"/>
        <v>0</v>
      </c>
      <c r="T500" s="1">
        <f t="shared" si="184"/>
        <v>0</v>
      </c>
      <c r="U500" s="1">
        <f t="shared" si="185"/>
        <v>0</v>
      </c>
      <c r="V500" s="1">
        <f t="shared" si="186"/>
        <v>0</v>
      </c>
      <c r="W500" s="1">
        <f t="shared" si="187"/>
        <v>0</v>
      </c>
      <c r="X500" s="1">
        <f t="shared" si="188"/>
        <v>0</v>
      </c>
      <c r="Y500" s="1">
        <f t="shared" si="189"/>
        <v>0</v>
      </c>
      <c r="Z500" s="1">
        <f t="shared" si="190"/>
        <v>1</v>
      </c>
      <c r="AA500" s="1">
        <f t="shared" si="191"/>
        <v>0</v>
      </c>
      <c r="AB500" s="1">
        <f t="shared" si="192"/>
        <v>0</v>
      </c>
      <c r="AD500" s="1">
        <f t="shared" si="193"/>
        <v>0</v>
      </c>
      <c r="AE500" s="1">
        <f t="shared" si="194"/>
        <v>1</v>
      </c>
      <c r="AF500" s="1">
        <f t="shared" si="195"/>
        <v>0</v>
      </c>
      <c r="AG500" s="1">
        <f t="shared" si="196"/>
        <v>1</v>
      </c>
      <c r="AH500" s="1">
        <f t="shared" si="197"/>
        <v>0</v>
      </c>
      <c r="AI500" s="1">
        <f t="shared" si="198"/>
        <v>1</v>
      </c>
    </row>
    <row r="501" spans="1:35" s="1" customFormat="1" ht="14.25" customHeight="1" x14ac:dyDescent="0.25">
      <c r="A501" s="31">
        <v>1</v>
      </c>
      <c r="B501" s="31">
        <v>2</v>
      </c>
      <c r="C501" s="31">
        <v>7</v>
      </c>
      <c r="D501" s="32" t="s">
        <v>1217</v>
      </c>
      <c r="E501" s="32" t="s">
        <v>155</v>
      </c>
      <c r="F501" s="32" t="s">
        <v>1323</v>
      </c>
      <c r="G501" s="32" t="s">
        <v>39</v>
      </c>
      <c r="H501" s="32" t="s">
        <v>353</v>
      </c>
      <c r="I501" s="31" t="s">
        <v>1218</v>
      </c>
      <c r="J501" s="31">
        <v>99</v>
      </c>
      <c r="K501" s="33" t="s">
        <v>931</v>
      </c>
      <c r="L501" s="33" t="s">
        <v>713</v>
      </c>
      <c r="M501" s="34" t="s">
        <v>723</v>
      </c>
      <c r="N501" s="34" t="s">
        <v>1696</v>
      </c>
      <c r="O501" s="35">
        <v>1</v>
      </c>
      <c r="P501" s="35"/>
      <c r="Q501" s="32" t="s">
        <v>1853</v>
      </c>
      <c r="S501" s="1">
        <f t="shared" si="183"/>
        <v>0</v>
      </c>
      <c r="T501" s="1">
        <f t="shared" si="184"/>
        <v>0</v>
      </c>
      <c r="U501" s="1">
        <f t="shared" si="185"/>
        <v>0</v>
      </c>
      <c r="V501" s="1">
        <f t="shared" si="186"/>
        <v>0</v>
      </c>
      <c r="W501" s="1">
        <f t="shared" si="187"/>
        <v>0</v>
      </c>
      <c r="X501" s="1">
        <f t="shared" si="188"/>
        <v>0</v>
      </c>
      <c r="Y501" s="1">
        <f t="shared" si="189"/>
        <v>0</v>
      </c>
      <c r="Z501" s="1">
        <f t="shared" si="190"/>
        <v>0</v>
      </c>
      <c r="AA501" s="1">
        <f t="shared" si="191"/>
        <v>0</v>
      </c>
      <c r="AB501" s="1">
        <f t="shared" si="192"/>
        <v>0</v>
      </c>
      <c r="AD501" s="1">
        <f t="shared" si="193"/>
        <v>0</v>
      </c>
      <c r="AE501" s="1">
        <f t="shared" si="194"/>
        <v>1</v>
      </c>
      <c r="AF501" s="1">
        <f t="shared" si="195"/>
        <v>0</v>
      </c>
      <c r="AG501" s="1">
        <f t="shared" si="196"/>
        <v>0</v>
      </c>
      <c r="AH501" s="1">
        <f t="shared" si="197"/>
        <v>0</v>
      </c>
      <c r="AI501" s="1">
        <f t="shared" si="198"/>
        <v>0</v>
      </c>
    </row>
    <row r="502" spans="1:35" s="1" customFormat="1" ht="14.25" customHeight="1" x14ac:dyDescent="0.25">
      <c r="A502" s="31">
        <v>1</v>
      </c>
      <c r="B502" s="31">
        <v>2</v>
      </c>
      <c r="C502" s="31">
        <v>7</v>
      </c>
      <c r="D502" s="32" t="s">
        <v>1217</v>
      </c>
      <c r="E502" s="32" t="s">
        <v>155</v>
      </c>
      <c r="F502" s="32" t="s">
        <v>1485</v>
      </c>
      <c r="G502" s="32" t="s">
        <v>234</v>
      </c>
      <c r="H502" s="32" t="s">
        <v>352</v>
      </c>
      <c r="I502" s="31" t="s">
        <v>1651</v>
      </c>
      <c r="J502" s="31">
        <v>99</v>
      </c>
      <c r="K502" s="33" t="s">
        <v>931</v>
      </c>
      <c r="L502" s="33" t="s">
        <v>713</v>
      </c>
      <c r="M502" s="34" t="s">
        <v>723</v>
      </c>
      <c r="N502" s="34" t="s">
        <v>1696</v>
      </c>
      <c r="O502" s="35">
        <v>1</v>
      </c>
      <c r="P502" s="35"/>
      <c r="Q502" s="32"/>
      <c r="S502" s="1">
        <f t="shared" si="183"/>
        <v>0</v>
      </c>
      <c r="T502" s="1">
        <f t="shared" si="184"/>
        <v>0</v>
      </c>
      <c r="U502" s="1">
        <f t="shared" si="185"/>
        <v>0</v>
      </c>
      <c r="V502" s="1">
        <f t="shared" si="186"/>
        <v>0</v>
      </c>
      <c r="W502" s="1">
        <f t="shared" si="187"/>
        <v>0</v>
      </c>
      <c r="X502" s="1">
        <f t="shared" si="188"/>
        <v>0</v>
      </c>
      <c r="Y502" s="1">
        <f t="shared" si="189"/>
        <v>0</v>
      </c>
      <c r="Z502" s="1">
        <f t="shared" si="190"/>
        <v>0</v>
      </c>
      <c r="AA502" s="1">
        <f t="shared" si="191"/>
        <v>0</v>
      </c>
      <c r="AB502" s="1">
        <f t="shared" si="192"/>
        <v>0</v>
      </c>
      <c r="AD502" s="1">
        <f t="shared" si="193"/>
        <v>0</v>
      </c>
      <c r="AE502" s="1">
        <f t="shared" si="194"/>
        <v>1</v>
      </c>
      <c r="AF502" s="1">
        <f t="shared" si="195"/>
        <v>0</v>
      </c>
      <c r="AG502" s="1">
        <f t="shared" si="196"/>
        <v>0</v>
      </c>
      <c r="AH502" s="1">
        <f t="shared" si="197"/>
        <v>0</v>
      </c>
      <c r="AI502" s="1">
        <f t="shared" si="198"/>
        <v>0</v>
      </c>
    </row>
    <row r="503" spans="1:35" s="1" customFormat="1" ht="14.25" customHeight="1" x14ac:dyDescent="0.25">
      <c r="A503" s="31">
        <v>0</v>
      </c>
      <c r="B503" s="31">
        <v>2</v>
      </c>
      <c r="C503" s="31">
        <v>7</v>
      </c>
      <c r="D503" s="32" t="s">
        <v>1800</v>
      </c>
      <c r="E503" s="32" t="s">
        <v>1801</v>
      </c>
      <c r="F503" s="32" t="s">
        <v>1802</v>
      </c>
      <c r="G503" s="32" t="s">
        <v>264</v>
      </c>
      <c r="H503" s="32" t="s">
        <v>352</v>
      </c>
      <c r="I503" s="31" t="s">
        <v>1803</v>
      </c>
      <c r="J503" s="31">
        <v>99</v>
      </c>
      <c r="K503" s="33" t="s">
        <v>694</v>
      </c>
      <c r="L503" s="33"/>
      <c r="M503" s="34"/>
      <c r="N503" s="34" t="s">
        <v>1687</v>
      </c>
      <c r="O503" s="35">
        <v>1</v>
      </c>
      <c r="P503" s="35">
        <v>1</v>
      </c>
      <c r="Q503" s="32"/>
      <c r="S503" s="1">
        <f t="shared" si="183"/>
        <v>0</v>
      </c>
      <c r="T503" s="1">
        <f t="shared" si="184"/>
        <v>0</v>
      </c>
      <c r="U503" s="1">
        <f t="shared" si="185"/>
        <v>0</v>
      </c>
      <c r="V503" s="1">
        <f t="shared" si="186"/>
        <v>0</v>
      </c>
      <c r="W503" s="1">
        <f t="shared" si="187"/>
        <v>0</v>
      </c>
      <c r="X503" s="1">
        <f t="shared" si="188"/>
        <v>0</v>
      </c>
      <c r="Y503" s="1">
        <f t="shared" si="189"/>
        <v>0</v>
      </c>
      <c r="Z503" s="1">
        <f t="shared" si="190"/>
        <v>0</v>
      </c>
      <c r="AA503" s="1">
        <f t="shared" si="191"/>
        <v>0</v>
      </c>
      <c r="AB503" s="1">
        <f t="shared" si="192"/>
        <v>0</v>
      </c>
      <c r="AD503" s="1">
        <f t="shared" si="193"/>
        <v>1</v>
      </c>
      <c r="AE503" s="1">
        <f t="shared" si="194"/>
        <v>0</v>
      </c>
      <c r="AF503" s="1">
        <f t="shared" si="195"/>
        <v>1</v>
      </c>
      <c r="AG503" s="1">
        <f t="shared" si="196"/>
        <v>0</v>
      </c>
      <c r="AH503" s="1">
        <f t="shared" si="197"/>
        <v>1</v>
      </c>
      <c r="AI503" s="1">
        <f t="shared" si="198"/>
        <v>0</v>
      </c>
    </row>
    <row r="504" spans="1:35" s="1" customFormat="1" ht="14.25" customHeight="1" x14ac:dyDescent="0.25">
      <c r="A504" s="31">
        <v>0</v>
      </c>
      <c r="B504" s="31">
        <v>2</v>
      </c>
      <c r="C504" s="31">
        <v>7</v>
      </c>
      <c r="D504" s="32" t="s">
        <v>1212</v>
      </c>
      <c r="E504" s="32" t="s">
        <v>28</v>
      </c>
      <c r="F504" s="32" t="s">
        <v>1205</v>
      </c>
      <c r="G504" s="32" t="s">
        <v>1206</v>
      </c>
      <c r="H504" s="32" t="s">
        <v>352</v>
      </c>
      <c r="I504" s="31" t="s">
        <v>1207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1696</v>
      </c>
      <c r="O504" s="35">
        <v>1</v>
      </c>
      <c r="P504" s="35"/>
      <c r="Q504" s="32"/>
      <c r="S504" s="1">
        <f t="shared" si="183"/>
        <v>0</v>
      </c>
      <c r="T504" s="1">
        <f t="shared" si="184"/>
        <v>0</v>
      </c>
      <c r="U504" s="1">
        <f t="shared" si="185"/>
        <v>0</v>
      </c>
      <c r="V504" s="1">
        <f t="shared" si="186"/>
        <v>0</v>
      </c>
      <c r="W504" s="1">
        <f t="shared" si="187"/>
        <v>0</v>
      </c>
      <c r="X504" s="1">
        <f t="shared" si="188"/>
        <v>0</v>
      </c>
      <c r="Y504" s="1">
        <f t="shared" si="189"/>
        <v>0</v>
      </c>
      <c r="Z504" s="1">
        <f t="shared" si="190"/>
        <v>0</v>
      </c>
      <c r="AA504" s="1">
        <f t="shared" si="191"/>
        <v>0</v>
      </c>
      <c r="AB504" s="1">
        <f t="shared" si="192"/>
        <v>0</v>
      </c>
      <c r="AD504" s="1">
        <f t="shared" si="193"/>
        <v>0</v>
      </c>
      <c r="AE504" s="1">
        <f t="shared" si="194"/>
        <v>1</v>
      </c>
      <c r="AF504" s="1">
        <f t="shared" si="195"/>
        <v>0</v>
      </c>
      <c r="AG504" s="1">
        <f t="shared" si="196"/>
        <v>1</v>
      </c>
      <c r="AH504" s="1">
        <f t="shared" si="197"/>
        <v>0</v>
      </c>
      <c r="AI504" s="1">
        <f t="shared" si="198"/>
        <v>1</v>
      </c>
    </row>
    <row r="505" spans="1:35" s="1" customFormat="1" ht="14.25" customHeight="1" x14ac:dyDescent="0.25">
      <c r="A505" s="31">
        <v>1</v>
      </c>
      <c r="B505" s="31">
        <v>2</v>
      </c>
      <c r="C505" s="31">
        <v>7</v>
      </c>
      <c r="D505" s="32" t="s">
        <v>1209</v>
      </c>
      <c r="E505" s="32" t="s">
        <v>28</v>
      </c>
      <c r="F505" s="32" t="s">
        <v>1210</v>
      </c>
      <c r="G505" s="32" t="s">
        <v>519</v>
      </c>
      <c r="H505" s="32" t="s">
        <v>352</v>
      </c>
      <c r="I505" s="31" t="s">
        <v>1211</v>
      </c>
      <c r="J505" s="31">
        <v>99</v>
      </c>
      <c r="K505" s="33" t="s">
        <v>703</v>
      </c>
      <c r="L505" s="33" t="s">
        <v>704</v>
      </c>
      <c r="M505" s="34" t="s">
        <v>722</v>
      </c>
      <c r="N505" s="34" t="s">
        <v>1696</v>
      </c>
      <c r="O505" s="35">
        <v>1</v>
      </c>
      <c r="P505" s="35"/>
      <c r="Q505" s="32"/>
      <c r="S505" s="1">
        <f t="shared" si="183"/>
        <v>0</v>
      </c>
      <c r="T505" s="1">
        <f t="shared" si="184"/>
        <v>0</v>
      </c>
      <c r="U505" s="1">
        <f t="shared" si="185"/>
        <v>0</v>
      </c>
      <c r="V505" s="1">
        <f t="shared" si="186"/>
        <v>0</v>
      </c>
      <c r="W505" s="1">
        <f t="shared" si="187"/>
        <v>0</v>
      </c>
      <c r="X505" s="1">
        <f t="shared" si="188"/>
        <v>0</v>
      </c>
      <c r="Y505" s="1">
        <f t="shared" si="189"/>
        <v>0</v>
      </c>
      <c r="Z505" s="1">
        <f t="shared" si="190"/>
        <v>0</v>
      </c>
      <c r="AA505" s="1">
        <f t="shared" si="191"/>
        <v>0</v>
      </c>
      <c r="AB505" s="1">
        <f t="shared" si="192"/>
        <v>0</v>
      </c>
      <c r="AD505" s="1">
        <f t="shared" si="193"/>
        <v>0</v>
      </c>
      <c r="AE505" s="1">
        <f t="shared" si="194"/>
        <v>1</v>
      </c>
      <c r="AF505" s="1">
        <f t="shared" si="195"/>
        <v>0</v>
      </c>
      <c r="AG505" s="1">
        <f t="shared" si="196"/>
        <v>0</v>
      </c>
      <c r="AH505" s="1">
        <f t="shared" si="197"/>
        <v>0</v>
      </c>
      <c r="AI505" s="1">
        <f t="shared" si="198"/>
        <v>0</v>
      </c>
    </row>
    <row r="506" spans="1:35" s="1" customFormat="1" ht="14.25" customHeight="1" x14ac:dyDescent="0.25">
      <c r="A506" s="31">
        <v>0</v>
      </c>
      <c r="B506" s="31">
        <v>2</v>
      </c>
      <c r="C506" s="31">
        <v>7</v>
      </c>
      <c r="D506" s="32" t="s">
        <v>1796</v>
      </c>
      <c r="E506" s="32" t="s">
        <v>1140</v>
      </c>
      <c r="F506" s="32" t="s">
        <v>1797</v>
      </c>
      <c r="G506" s="32"/>
      <c r="H506" s="32" t="s">
        <v>352</v>
      </c>
      <c r="I506" s="31" t="s">
        <v>1798</v>
      </c>
      <c r="J506" s="31">
        <v>6</v>
      </c>
      <c r="K506" s="33" t="s">
        <v>694</v>
      </c>
      <c r="L506" s="33"/>
      <c r="M506" s="34"/>
      <c r="N506" s="34" t="s">
        <v>1700</v>
      </c>
      <c r="O506" s="35">
        <v>1</v>
      </c>
      <c r="P506" s="35"/>
      <c r="Q506" s="32"/>
      <c r="S506" s="1">
        <f t="shared" si="183"/>
        <v>0</v>
      </c>
      <c r="T506" s="1">
        <f t="shared" si="184"/>
        <v>0</v>
      </c>
      <c r="U506" s="1">
        <f t="shared" si="185"/>
        <v>0</v>
      </c>
      <c r="V506" s="1">
        <f t="shared" si="186"/>
        <v>0</v>
      </c>
      <c r="W506" s="1">
        <f t="shared" si="187"/>
        <v>0</v>
      </c>
      <c r="X506" s="1">
        <f t="shared" si="188"/>
        <v>1</v>
      </c>
      <c r="Y506" s="1">
        <f t="shared" si="189"/>
        <v>0</v>
      </c>
      <c r="Z506" s="1">
        <f t="shared" si="190"/>
        <v>0</v>
      </c>
      <c r="AA506" s="1">
        <f t="shared" si="191"/>
        <v>0</v>
      </c>
      <c r="AB506" s="1">
        <f t="shared" si="192"/>
        <v>0</v>
      </c>
      <c r="AD506" s="1">
        <f t="shared" si="193"/>
        <v>0</v>
      </c>
      <c r="AE506" s="1">
        <f t="shared" si="194"/>
        <v>1</v>
      </c>
      <c r="AF506" s="1">
        <f t="shared" si="195"/>
        <v>0</v>
      </c>
      <c r="AG506" s="1">
        <f t="shared" si="196"/>
        <v>1</v>
      </c>
      <c r="AH506" s="1">
        <f t="shared" si="197"/>
        <v>0</v>
      </c>
      <c r="AI506" s="1">
        <f t="shared" si="198"/>
        <v>1</v>
      </c>
    </row>
    <row r="507" spans="1:35" s="1" customFormat="1" ht="14.25" customHeight="1" x14ac:dyDescent="0.25">
      <c r="A507" s="31">
        <v>0</v>
      </c>
      <c r="B507" s="31">
        <v>2</v>
      </c>
      <c r="C507" s="31">
        <v>7</v>
      </c>
      <c r="D507" s="32" t="s">
        <v>1421</v>
      </c>
      <c r="E507" s="32" t="s">
        <v>28</v>
      </c>
      <c r="F507" s="32" t="s">
        <v>1422</v>
      </c>
      <c r="G507" s="32" t="s">
        <v>1423</v>
      </c>
      <c r="H507" s="32" t="s">
        <v>352</v>
      </c>
      <c r="I507" s="31" t="s">
        <v>1424</v>
      </c>
      <c r="J507" s="31">
        <v>99</v>
      </c>
      <c r="K507" s="33" t="s">
        <v>703</v>
      </c>
      <c r="L507" s="33" t="s">
        <v>704</v>
      </c>
      <c r="M507" s="34" t="s">
        <v>722</v>
      </c>
      <c r="N507" s="34" t="s">
        <v>1696</v>
      </c>
      <c r="O507" s="35">
        <v>1</v>
      </c>
      <c r="P507" s="35"/>
      <c r="Q507" s="32" t="s">
        <v>1880</v>
      </c>
      <c r="S507" s="1">
        <f t="shared" si="183"/>
        <v>0</v>
      </c>
      <c r="T507" s="1">
        <f t="shared" si="184"/>
        <v>0</v>
      </c>
      <c r="U507" s="1">
        <f t="shared" si="185"/>
        <v>0</v>
      </c>
      <c r="V507" s="1">
        <f t="shared" si="186"/>
        <v>0</v>
      </c>
      <c r="W507" s="1">
        <f t="shared" si="187"/>
        <v>0</v>
      </c>
      <c r="X507" s="1">
        <f t="shared" si="188"/>
        <v>0</v>
      </c>
      <c r="Y507" s="1">
        <f t="shared" si="189"/>
        <v>0</v>
      </c>
      <c r="Z507" s="1">
        <f t="shared" si="190"/>
        <v>0</v>
      </c>
      <c r="AA507" s="1">
        <f t="shared" si="191"/>
        <v>0</v>
      </c>
      <c r="AB507" s="1">
        <f t="shared" si="192"/>
        <v>0</v>
      </c>
      <c r="AD507" s="1">
        <f t="shared" si="193"/>
        <v>0</v>
      </c>
      <c r="AE507" s="1">
        <f t="shared" si="194"/>
        <v>1</v>
      </c>
      <c r="AF507" s="1">
        <f t="shared" si="195"/>
        <v>0</v>
      </c>
      <c r="AG507" s="1">
        <f t="shared" si="196"/>
        <v>1</v>
      </c>
      <c r="AH507" s="1">
        <f t="shared" si="197"/>
        <v>0</v>
      </c>
      <c r="AI507" s="1">
        <f t="shared" si="198"/>
        <v>1</v>
      </c>
    </row>
    <row r="508" spans="1:35" s="1" customFormat="1" ht="14.25" customHeight="1" x14ac:dyDescent="0.25">
      <c r="A508" s="31">
        <v>0</v>
      </c>
      <c r="B508" s="31">
        <v>2</v>
      </c>
      <c r="C508" s="31">
        <v>7</v>
      </c>
      <c r="D508" s="32" t="s">
        <v>2079</v>
      </c>
      <c r="E508" s="32" t="s">
        <v>155</v>
      </c>
      <c r="F508" s="32" t="s">
        <v>2080</v>
      </c>
      <c r="G508" s="32" t="s">
        <v>552</v>
      </c>
      <c r="H508" s="32" t="s">
        <v>352</v>
      </c>
      <c r="I508" s="31" t="s">
        <v>2081</v>
      </c>
      <c r="J508" s="31">
        <v>99</v>
      </c>
      <c r="K508" s="33" t="s">
        <v>694</v>
      </c>
      <c r="L508" s="33">
        <v>7</v>
      </c>
      <c r="M508" s="34" t="s">
        <v>723</v>
      </c>
      <c r="N508" s="34" t="s">
        <v>1700</v>
      </c>
      <c r="O508" s="35">
        <v>1</v>
      </c>
      <c r="P508" s="35"/>
      <c r="Q508" s="32"/>
      <c r="S508" s="1">
        <f t="shared" si="183"/>
        <v>0</v>
      </c>
      <c r="T508" s="1">
        <f t="shared" si="184"/>
        <v>0</v>
      </c>
      <c r="U508" s="1">
        <f t="shared" si="185"/>
        <v>0</v>
      </c>
      <c r="V508" s="1">
        <f t="shared" si="186"/>
        <v>0</v>
      </c>
      <c r="W508" s="1">
        <f t="shared" si="187"/>
        <v>0</v>
      </c>
      <c r="X508" s="1">
        <f t="shared" si="188"/>
        <v>0</v>
      </c>
      <c r="Y508" s="1">
        <f t="shared" si="189"/>
        <v>0</v>
      </c>
      <c r="Z508" s="1">
        <f t="shared" si="190"/>
        <v>0</v>
      </c>
      <c r="AA508" s="1">
        <f t="shared" si="191"/>
        <v>0</v>
      </c>
      <c r="AB508" s="1">
        <f t="shared" si="192"/>
        <v>0</v>
      </c>
      <c r="AD508" s="1">
        <f t="shared" si="193"/>
        <v>0</v>
      </c>
      <c r="AE508" s="1">
        <f t="shared" si="194"/>
        <v>1</v>
      </c>
      <c r="AF508" s="1">
        <f t="shared" si="195"/>
        <v>0</v>
      </c>
      <c r="AG508" s="1">
        <f t="shared" si="196"/>
        <v>1</v>
      </c>
      <c r="AH508" s="1">
        <f t="shared" si="197"/>
        <v>0</v>
      </c>
      <c r="AI508" s="1">
        <f t="shared" si="198"/>
        <v>1</v>
      </c>
    </row>
    <row r="509" spans="1:35" s="1" customFormat="1" ht="14.25" customHeight="1" x14ac:dyDescent="0.25">
      <c r="A509" s="31">
        <v>1</v>
      </c>
      <c r="B509" s="31">
        <v>2</v>
      </c>
      <c r="C509" s="31">
        <v>7</v>
      </c>
      <c r="D509" s="32" t="s">
        <v>2079</v>
      </c>
      <c r="E509" s="32" t="s">
        <v>155</v>
      </c>
      <c r="F509" s="32" t="s">
        <v>2082</v>
      </c>
      <c r="G509" s="32" t="s">
        <v>203</v>
      </c>
      <c r="H509" s="32" t="s">
        <v>352</v>
      </c>
      <c r="I509" s="31" t="s">
        <v>2081</v>
      </c>
      <c r="J509" s="31">
        <v>7</v>
      </c>
      <c r="K509" s="33" t="s">
        <v>694</v>
      </c>
      <c r="L509" s="33">
        <v>7</v>
      </c>
      <c r="M509" s="34" t="s">
        <v>723</v>
      </c>
      <c r="N509" s="34" t="s">
        <v>1700</v>
      </c>
      <c r="O509" s="35">
        <v>1</v>
      </c>
      <c r="P509" s="35"/>
      <c r="Q509" s="32"/>
      <c r="S509" s="1">
        <f t="shared" si="183"/>
        <v>0</v>
      </c>
      <c r="T509" s="1">
        <f t="shared" si="184"/>
        <v>0</v>
      </c>
      <c r="U509" s="1">
        <f t="shared" si="185"/>
        <v>0</v>
      </c>
      <c r="V509" s="1">
        <f t="shared" si="186"/>
        <v>0</v>
      </c>
      <c r="W509" s="1">
        <f t="shared" si="187"/>
        <v>0</v>
      </c>
      <c r="X509" s="1">
        <f t="shared" si="188"/>
        <v>0</v>
      </c>
      <c r="Y509" s="1">
        <f t="shared" si="189"/>
        <v>1</v>
      </c>
      <c r="Z509" s="1">
        <f t="shared" si="190"/>
        <v>0</v>
      </c>
      <c r="AA509" s="1">
        <f t="shared" si="191"/>
        <v>0</v>
      </c>
      <c r="AB509" s="1">
        <f t="shared" si="192"/>
        <v>0</v>
      </c>
      <c r="AD509" s="1">
        <f t="shared" si="193"/>
        <v>0</v>
      </c>
      <c r="AE509" s="1">
        <f t="shared" si="194"/>
        <v>1</v>
      </c>
      <c r="AF509" s="1">
        <f t="shared" si="195"/>
        <v>0</v>
      </c>
      <c r="AG509" s="1">
        <f t="shared" si="196"/>
        <v>0</v>
      </c>
      <c r="AH509" s="1">
        <f t="shared" si="197"/>
        <v>0</v>
      </c>
      <c r="AI509" s="1">
        <f t="shared" si="198"/>
        <v>0</v>
      </c>
    </row>
    <row r="510" spans="1:35" s="1" customFormat="1" ht="14.25" customHeight="1" x14ac:dyDescent="0.25">
      <c r="A510" s="31">
        <v>0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568</v>
      </c>
      <c r="G510" s="32" t="s">
        <v>234</v>
      </c>
      <c r="H510" s="32" t="s">
        <v>352</v>
      </c>
      <c r="I510" s="31" t="s">
        <v>574</v>
      </c>
      <c r="J510" s="31">
        <v>99</v>
      </c>
      <c r="K510" s="33" t="s">
        <v>703</v>
      </c>
      <c r="L510" s="33" t="s">
        <v>720</v>
      </c>
      <c r="M510" s="34" t="s">
        <v>1403</v>
      </c>
      <c r="N510" s="34" t="s">
        <v>1700</v>
      </c>
      <c r="O510" s="35">
        <v>1</v>
      </c>
      <c r="P510" s="35"/>
      <c r="Q510" s="32"/>
      <c r="S510" s="1">
        <f t="shared" si="183"/>
        <v>0</v>
      </c>
      <c r="T510" s="1">
        <f t="shared" si="184"/>
        <v>0</v>
      </c>
      <c r="U510" s="1">
        <f t="shared" si="185"/>
        <v>0</v>
      </c>
      <c r="V510" s="1">
        <f t="shared" si="186"/>
        <v>0</v>
      </c>
      <c r="W510" s="1">
        <f t="shared" si="187"/>
        <v>0</v>
      </c>
      <c r="X510" s="1">
        <f t="shared" si="188"/>
        <v>0</v>
      </c>
      <c r="Y510" s="1">
        <f t="shared" si="189"/>
        <v>0</v>
      </c>
      <c r="Z510" s="1">
        <f t="shared" si="190"/>
        <v>0</v>
      </c>
      <c r="AA510" s="1">
        <f t="shared" si="191"/>
        <v>0</v>
      </c>
      <c r="AB510" s="1">
        <f t="shared" si="192"/>
        <v>0</v>
      </c>
      <c r="AD510" s="1">
        <f t="shared" si="193"/>
        <v>0</v>
      </c>
      <c r="AE510" s="1">
        <f t="shared" si="194"/>
        <v>1</v>
      </c>
      <c r="AF510" s="1">
        <f t="shared" si="195"/>
        <v>0</v>
      </c>
      <c r="AG510" s="1">
        <f t="shared" si="196"/>
        <v>1</v>
      </c>
      <c r="AH510" s="1">
        <f t="shared" si="197"/>
        <v>0</v>
      </c>
      <c r="AI510" s="1">
        <f t="shared" si="198"/>
        <v>1</v>
      </c>
    </row>
    <row r="511" spans="1:35" s="1" customFormat="1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270</v>
      </c>
      <c r="G511" s="32" t="s">
        <v>179</v>
      </c>
      <c r="H511" s="32" t="s">
        <v>352</v>
      </c>
      <c r="I511" s="31" t="s">
        <v>424</v>
      </c>
      <c r="J511" s="31">
        <v>10</v>
      </c>
      <c r="K511" s="33" t="s">
        <v>703</v>
      </c>
      <c r="L511" s="33" t="s">
        <v>720</v>
      </c>
      <c r="M511" s="34" t="s">
        <v>1403</v>
      </c>
      <c r="N511" s="34" t="s">
        <v>1700</v>
      </c>
      <c r="O511" s="35">
        <v>1</v>
      </c>
      <c r="P511" s="35"/>
      <c r="Q511" s="32"/>
      <c r="S511" s="1">
        <f t="shared" si="183"/>
        <v>0</v>
      </c>
      <c r="T511" s="1">
        <f t="shared" si="184"/>
        <v>0</v>
      </c>
      <c r="U511" s="1">
        <f t="shared" si="185"/>
        <v>0</v>
      </c>
      <c r="V511" s="1">
        <f t="shared" si="186"/>
        <v>0</v>
      </c>
      <c r="W511" s="1">
        <f t="shared" si="187"/>
        <v>0</v>
      </c>
      <c r="X511" s="1">
        <f t="shared" si="188"/>
        <v>0</v>
      </c>
      <c r="Y511" s="1">
        <f t="shared" si="189"/>
        <v>0</v>
      </c>
      <c r="Z511" s="1">
        <f t="shared" si="190"/>
        <v>0</v>
      </c>
      <c r="AA511" s="1">
        <f t="shared" si="191"/>
        <v>0</v>
      </c>
      <c r="AB511" s="1">
        <f t="shared" si="192"/>
        <v>1</v>
      </c>
      <c r="AD511" s="1">
        <f t="shared" si="193"/>
        <v>0</v>
      </c>
      <c r="AE511" s="1">
        <f t="shared" si="194"/>
        <v>1</v>
      </c>
      <c r="AF511" s="1">
        <f t="shared" si="195"/>
        <v>0</v>
      </c>
      <c r="AG511" s="1">
        <f t="shared" si="196"/>
        <v>0</v>
      </c>
      <c r="AH511" s="1">
        <f t="shared" si="197"/>
        <v>0</v>
      </c>
      <c r="AI511" s="1">
        <f t="shared" si="198"/>
        <v>0</v>
      </c>
    </row>
    <row r="512" spans="1:35" s="1" customFormat="1" ht="14.25" customHeight="1" x14ac:dyDescent="0.25">
      <c r="A512" s="31">
        <v>1</v>
      </c>
      <c r="B512" s="31">
        <v>2</v>
      </c>
      <c r="C512" s="31">
        <v>7</v>
      </c>
      <c r="D512" s="32" t="s">
        <v>43</v>
      </c>
      <c r="E512" s="32" t="s">
        <v>537</v>
      </c>
      <c r="F512" s="32" t="s">
        <v>271</v>
      </c>
      <c r="G512" s="32" t="s">
        <v>39</v>
      </c>
      <c r="H512" s="32" t="s">
        <v>352</v>
      </c>
      <c r="I512" s="31" t="s">
        <v>425</v>
      </c>
      <c r="J512" s="31">
        <v>5</v>
      </c>
      <c r="K512" s="33" t="s">
        <v>703</v>
      </c>
      <c r="L512" s="33" t="s">
        <v>720</v>
      </c>
      <c r="M512" s="34" t="s">
        <v>1403</v>
      </c>
      <c r="N512" s="34" t="s">
        <v>1700</v>
      </c>
      <c r="O512" s="35">
        <v>1</v>
      </c>
      <c r="P512" s="35"/>
      <c r="Q512" s="32"/>
      <c r="S512" s="1">
        <f t="shared" si="183"/>
        <v>0</v>
      </c>
      <c r="T512" s="1">
        <f t="shared" si="184"/>
        <v>0</v>
      </c>
      <c r="U512" s="1">
        <f t="shared" si="185"/>
        <v>0</v>
      </c>
      <c r="V512" s="1">
        <f t="shared" si="186"/>
        <v>0</v>
      </c>
      <c r="W512" s="1">
        <f t="shared" si="187"/>
        <v>1</v>
      </c>
      <c r="X512" s="1">
        <f t="shared" si="188"/>
        <v>0</v>
      </c>
      <c r="Y512" s="1">
        <f t="shared" si="189"/>
        <v>0</v>
      </c>
      <c r="Z512" s="1">
        <f t="shared" si="190"/>
        <v>0</v>
      </c>
      <c r="AA512" s="1">
        <f t="shared" si="191"/>
        <v>0</v>
      </c>
      <c r="AB512" s="1">
        <f t="shared" si="192"/>
        <v>0</v>
      </c>
      <c r="AD512" s="1">
        <f t="shared" si="193"/>
        <v>0</v>
      </c>
      <c r="AE512" s="1">
        <f t="shared" si="194"/>
        <v>1</v>
      </c>
      <c r="AF512" s="1">
        <f t="shared" si="195"/>
        <v>0</v>
      </c>
      <c r="AG512" s="1">
        <f t="shared" si="196"/>
        <v>0</v>
      </c>
      <c r="AH512" s="1">
        <f t="shared" si="197"/>
        <v>0</v>
      </c>
      <c r="AI512" s="1">
        <f t="shared" si="198"/>
        <v>0</v>
      </c>
    </row>
    <row r="513" spans="1:35" s="1" customFormat="1" ht="14.25" customHeight="1" x14ac:dyDescent="0.25">
      <c r="A513" s="31">
        <v>1</v>
      </c>
      <c r="B513" s="31">
        <v>2</v>
      </c>
      <c r="C513" s="31">
        <v>7</v>
      </c>
      <c r="D513" s="32" t="s">
        <v>43</v>
      </c>
      <c r="E513" s="32" t="s">
        <v>537</v>
      </c>
      <c r="F513" s="32" t="s">
        <v>275</v>
      </c>
      <c r="G513" s="32" t="s">
        <v>193</v>
      </c>
      <c r="H513" s="32" t="s">
        <v>352</v>
      </c>
      <c r="I513" s="31" t="s">
        <v>429</v>
      </c>
      <c r="J513" s="31">
        <v>9</v>
      </c>
      <c r="K513" s="33" t="s">
        <v>703</v>
      </c>
      <c r="L513" s="33" t="s">
        <v>720</v>
      </c>
      <c r="M513" s="34" t="s">
        <v>1403</v>
      </c>
      <c r="N513" s="34" t="s">
        <v>1700</v>
      </c>
      <c r="O513" s="35">
        <v>1</v>
      </c>
      <c r="P513" s="35"/>
      <c r="Q513" s="32"/>
      <c r="S513" s="1">
        <f t="shared" si="183"/>
        <v>0</v>
      </c>
      <c r="T513" s="1">
        <f t="shared" si="184"/>
        <v>0</v>
      </c>
      <c r="U513" s="1">
        <f t="shared" si="185"/>
        <v>0</v>
      </c>
      <c r="V513" s="1">
        <f t="shared" si="186"/>
        <v>0</v>
      </c>
      <c r="W513" s="1">
        <f t="shared" si="187"/>
        <v>0</v>
      </c>
      <c r="X513" s="1">
        <f t="shared" si="188"/>
        <v>0</v>
      </c>
      <c r="Y513" s="1">
        <f t="shared" si="189"/>
        <v>0</v>
      </c>
      <c r="Z513" s="1">
        <f t="shared" si="190"/>
        <v>0</v>
      </c>
      <c r="AA513" s="1">
        <f t="shared" si="191"/>
        <v>1</v>
      </c>
      <c r="AB513" s="1">
        <f t="shared" si="192"/>
        <v>0</v>
      </c>
      <c r="AD513" s="1">
        <f t="shared" si="193"/>
        <v>0</v>
      </c>
      <c r="AE513" s="1">
        <f t="shared" si="194"/>
        <v>1</v>
      </c>
      <c r="AF513" s="1">
        <f t="shared" si="195"/>
        <v>0</v>
      </c>
      <c r="AG513" s="1">
        <f t="shared" si="196"/>
        <v>0</v>
      </c>
      <c r="AH513" s="1">
        <f t="shared" si="197"/>
        <v>0</v>
      </c>
      <c r="AI513" s="1">
        <f t="shared" si="198"/>
        <v>0</v>
      </c>
    </row>
    <row r="514" spans="1:35" s="1" customFormat="1" ht="14.25" customHeight="1" x14ac:dyDescent="0.25">
      <c r="A514" s="31">
        <v>0</v>
      </c>
      <c r="B514" s="31">
        <v>2</v>
      </c>
      <c r="C514" s="31">
        <v>7</v>
      </c>
      <c r="D514" s="32" t="s">
        <v>1522</v>
      </c>
      <c r="E514" s="32" t="s">
        <v>28</v>
      </c>
      <c r="F514" s="32" t="s">
        <v>1523</v>
      </c>
      <c r="G514" s="32" t="s">
        <v>237</v>
      </c>
      <c r="H514" s="32" t="s">
        <v>352</v>
      </c>
      <c r="I514" s="31" t="s">
        <v>1655</v>
      </c>
      <c r="J514" s="31">
        <v>4</v>
      </c>
      <c r="K514" s="33" t="s">
        <v>704</v>
      </c>
      <c r="L514" s="33" t="s">
        <v>704</v>
      </c>
      <c r="M514" s="34" t="s">
        <v>722</v>
      </c>
      <c r="N514" s="34" t="s">
        <v>1696</v>
      </c>
      <c r="O514" s="35">
        <v>1</v>
      </c>
      <c r="P514" s="35"/>
      <c r="Q514" s="32"/>
      <c r="S514" s="1">
        <f t="shared" si="183"/>
        <v>0</v>
      </c>
      <c r="T514" s="1">
        <f t="shared" si="184"/>
        <v>0</v>
      </c>
      <c r="U514" s="1">
        <f t="shared" si="185"/>
        <v>0</v>
      </c>
      <c r="V514" s="1">
        <f t="shared" si="186"/>
        <v>1</v>
      </c>
      <c r="W514" s="1">
        <f t="shared" si="187"/>
        <v>0</v>
      </c>
      <c r="X514" s="1">
        <f t="shared" si="188"/>
        <v>0</v>
      </c>
      <c r="Y514" s="1">
        <f t="shared" si="189"/>
        <v>0</v>
      </c>
      <c r="Z514" s="1">
        <f t="shared" si="190"/>
        <v>0</v>
      </c>
      <c r="AA514" s="1">
        <f t="shared" si="191"/>
        <v>0</v>
      </c>
      <c r="AB514" s="1">
        <f t="shared" si="192"/>
        <v>0</v>
      </c>
      <c r="AD514" s="1">
        <f t="shared" si="193"/>
        <v>0</v>
      </c>
      <c r="AE514" s="1">
        <f t="shared" si="194"/>
        <v>1</v>
      </c>
      <c r="AF514" s="1">
        <f t="shared" si="195"/>
        <v>0</v>
      </c>
      <c r="AG514" s="1">
        <f t="shared" si="196"/>
        <v>1</v>
      </c>
      <c r="AH514" s="1">
        <f t="shared" si="197"/>
        <v>0</v>
      </c>
      <c r="AI514" s="1">
        <f t="shared" si="198"/>
        <v>1</v>
      </c>
    </row>
    <row r="515" spans="1:35" s="1" customFormat="1" ht="14.25" customHeight="1" x14ac:dyDescent="0.25">
      <c r="A515" s="31">
        <v>0</v>
      </c>
      <c r="B515" s="31">
        <v>2</v>
      </c>
      <c r="C515" s="31">
        <v>7</v>
      </c>
      <c r="D515" s="32" t="s">
        <v>63</v>
      </c>
      <c r="E515" s="32" t="s">
        <v>44</v>
      </c>
      <c r="F515" s="32" t="s">
        <v>235</v>
      </c>
      <c r="G515" s="32" t="s">
        <v>199</v>
      </c>
      <c r="H515" s="32" t="s">
        <v>352</v>
      </c>
      <c r="I515" s="31" t="s">
        <v>400</v>
      </c>
      <c r="J515" s="31">
        <v>2</v>
      </c>
      <c r="K515" s="33" t="s">
        <v>704</v>
      </c>
      <c r="L515" s="33" t="s">
        <v>713</v>
      </c>
      <c r="M515" s="34" t="s">
        <v>726</v>
      </c>
      <c r="N515" s="34" t="s">
        <v>1696</v>
      </c>
      <c r="O515" s="35">
        <v>1</v>
      </c>
      <c r="P515" s="35"/>
      <c r="Q515" s="32"/>
      <c r="S515" s="1">
        <f t="shared" si="183"/>
        <v>0</v>
      </c>
      <c r="T515" s="1">
        <f t="shared" si="184"/>
        <v>1</v>
      </c>
      <c r="U515" s="1">
        <f t="shared" si="185"/>
        <v>0</v>
      </c>
      <c r="V515" s="1">
        <f t="shared" si="186"/>
        <v>0</v>
      </c>
      <c r="W515" s="1">
        <f t="shared" si="187"/>
        <v>0</v>
      </c>
      <c r="X515" s="1">
        <f t="shared" si="188"/>
        <v>0</v>
      </c>
      <c r="Y515" s="1">
        <f t="shared" si="189"/>
        <v>0</v>
      </c>
      <c r="Z515" s="1">
        <f t="shared" si="190"/>
        <v>0</v>
      </c>
      <c r="AA515" s="1">
        <f t="shared" si="191"/>
        <v>0</v>
      </c>
      <c r="AB515" s="1">
        <f t="shared" si="192"/>
        <v>0</v>
      </c>
      <c r="AD515" s="1">
        <f t="shared" si="193"/>
        <v>0</v>
      </c>
      <c r="AE515" s="1">
        <f t="shared" si="194"/>
        <v>1</v>
      </c>
      <c r="AF515" s="1">
        <f t="shared" si="195"/>
        <v>0</v>
      </c>
      <c r="AG515" s="1">
        <f t="shared" si="196"/>
        <v>1</v>
      </c>
      <c r="AH515" s="1">
        <f t="shared" si="197"/>
        <v>0</v>
      </c>
      <c r="AI515" s="1">
        <f t="shared" si="198"/>
        <v>1</v>
      </c>
    </row>
    <row r="516" spans="1:35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35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35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35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35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35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35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35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35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35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35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35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35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L797" s="10"/>
      <c r="M797" s="19"/>
      <c r="N797" s="17"/>
      <c r="Q797" s="20"/>
    </row>
    <row r="798" spans="1:17" s="1" customFormat="1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L798" s="10"/>
      <c r="M798" s="19"/>
      <c r="N798" s="17"/>
      <c r="Q798" s="20"/>
    </row>
    <row r="799" spans="1:17" s="1" customFormat="1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L799" s="10"/>
      <c r="M799" s="19"/>
      <c r="N799" s="17"/>
      <c r="Q799" s="20"/>
    </row>
    <row r="800" spans="1:17" s="1" customFormat="1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L800" s="10"/>
      <c r="M800" s="19"/>
      <c r="N800" s="17"/>
      <c r="Q800" s="20"/>
    </row>
    <row r="801" spans="1:17" s="1" customFormat="1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L801" s="10"/>
      <c r="M801" s="19"/>
      <c r="N801" s="17"/>
      <c r="Q801" s="20"/>
    </row>
    <row r="802" spans="1:17" s="1" customFormat="1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L802" s="10"/>
      <c r="M802" s="19"/>
      <c r="N802" s="17"/>
      <c r="Q802" s="20"/>
    </row>
    <row r="803" spans="1:17" s="1" customFormat="1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L803" s="10"/>
      <c r="M803" s="19"/>
      <c r="N803" s="17"/>
      <c r="Q803" s="20"/>
    </row>
    <row r="804" spans="1:17" s="1" customFormat="1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L804" s="10"/>
      <c r="M804" s="19"/>
      <c r="N804" s="17"/>
      <c r="Q804" s="20"/>
    </row>
    <row r="805" spans="1:17" s="1" customFormat="1" ht="14.25" customHeight="1" x14ac:dyDescent="0.25">
      <c r="A805" s="15"/>
      <c r="B805" s="15"/>
      <c r="C805" s="15"/>
      <c r="D805" s="20"/>
      <c r="E805" s="20"/>
      <c r="F805" s="20"/>
      <c r="G805" s="20"/>
      <c r="H805" s="20"/>
      <c r="I805" s="21"/>
      <c r="J805" s="15"/>
      <c r="K805" s="21"/>
      <c r="L805" s="10"/>
      <c r="M805" s="19"/>
      <c r="N805" s="17"/>
      <c r="Q805" s="20"/>
    </row>
    <row r="806" spans="1:17" s="1" customFormat="1" ht="14.25" customHeight="1" x14ac:dyDescent="0.25">
      <c r="A806" s="15"/>
      <c r="B806" s="15"/>
      <c r="C806" s="15"/>
      <c r="D806" s="20"/>
      <c r="E806" s="20"/>
      <c r="F806" s="20"/>
      <c r="G806" s="20"/>
      <c r="H806" s="20"/>
      <c r="I806" s="21"/>
      <c r="J806" s="15"/>
      <c r="K806" s="21"/>
      <c r="L806" s="10"/>
      <c r="M806" s="19"/>
      <c r="N806" s="17"/>
      <c r="Q806" s="20"/>
    </row>
    <row r="807" spans="1:17" s="1" customFormat="1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L807" s="10"/>
      <c r="M807" s="19"/>
      <c r="N807" s="17"/>
      <c r="Q807" s="16"/>
    </row>
    <row r="808" spans="1:17" s="1" customFormat="1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L808" s="10"/>
      <c r="M808" s="19"/>
      <c r="N808" s="17"/>
      <c r="Q808" s="16"/>
    </row>
    <row r="809" spans="1:17" s="1" customFormat="1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L809" s="10"/>
      <c r="M809" s="19"/>
      <c r="N809" s="17"/>
      <c r="Q809" s="16"/>
    </row>
    <row r="810" spans="1:17" s="1" customFormat="1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L810" s="10"/>
      <c r="M810" s="19"/>
      <c r="N810" s="17"/>
      <c r="Q810" s="16"/>
    </row>
    <row r="811" spans="1:17" s="1" customFormat="1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L811" s="10"/>
      <c r="M811" s="17"/>
      <c r="N811" s="17"/>
      <c r="Q811" s="16"/>
    </row>
    <row r="812" spans="1:17" s="1" customFormat="1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L812" s="10"/>
      <c r="M812" s="17"/>
      <c r="N812" s="17"/>
      <c r="Q812" s="16"/>
    </row>
    <row r="813" spans="1:17" s="1" customFormat="1" ht="14.25" customHeight="1" x14ac:dyDescent="0.25">
      <c r="A813" s="15"/>
      <c r="B813" s="15"/>
      <c r="C813" s="15"/>
      <c r="D813" s="16"/>
      <c r="E813" s="16"/>
      <c r="F813" s="16"/>
      <c r="G813" s="16"/>
      <c r="H813" s="16"/>
      <c r="I813" s="15"/>
      <c r="J813" s="15"/>
      <c r="K813" s="10"/>
      <c r="L813" s="10"/>
      <c r="M813" s="17"/>
      <c r="N813" s="17"/>
      <c r="Q813" s="16"/>
    </row>
    <row r="814" spans="1:17" s="1" customFormat="1" ht="14.25" customHeight="1" x14ac:dyDescent="0.25">
      <c r="A814" s="15"/>
      <c r="B814" s="15"/>
      <c r="C814" s="15"/>
      <c r="D814" s="16"/>
      <c r="E814" s="16"/>
      <c r="F814" s="16"/>
      <c r="G814" s="16"/>
      <c r="H814" s="16"/>
      <c r="I814" s="15"/>
      <c r="J814" s="15"/>
      <c r="K814" s="10"/>
      <c r="L814" s="10"/>
      <c r="M814" s="17"/>
      <c r="N814" s="17"/>
      <c r="Q814" s="16"/>
    </row>
  </sheetData>
  <autoFilter ref="A7:Q515" xr:uid="{AEE30112-88BB-441D-AEFC-A7A733AB1798}">
    <sortState xmlns:xlrd2="http://schemas.microsoft.com/office/spreadsheetml/2017/richdata2" ref="A8:Q515">
      <sortCondition ref="B8:B515"/>
      <sortCondition ref="C8:C515"/>
      <sortCondition ref="D8:D515"/>
      <sortCondition ref="A8:A515"/>
    </sortState>
  </autoFilter>
  <sortState xmlns:xlrd2="http://schemas.microsoft.com/office/spreadsheetml/2017/richdata2" ref="A8:Q515">
    <sortCondition ref="B8:B515"/>
    <sortCondition ref="C8:C515"/>
    <sortCondition ref="D8:D515"/>
    <sortCondition ref="A8:A51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2026-10-05T06:48:42Z</dcterms:modified>
</cp:coreProperties>
</file>