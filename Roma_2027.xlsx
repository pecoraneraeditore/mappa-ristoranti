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2C72893-2E04-4279-8D6E-95A1C872DCF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golose'!$A$7:$Q$509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5" i="6" l="1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31" i="6"/>
  <c r="T239" i="6"/>
  <c r="T222" i="6"/>
  <c r="T230" i="6"/>
  <c r="T238" i="6"/>
  <c r="T122" i="6"/>
  <c r="T218" i="6"/>
  <c r="T221" i="6"/>
  <c r="T229" i="6"/>
  <c r="T237" i="6"/>
  <c r="T228" i="6"/>
  <c r="T236" i="6"/>
  <c r="T220" i="6"/>
  <c r="T227" i="6"/>
  <c r="T235" i="6"/>
  <c r="T144" i="6"/>
  <c r="T226" i="6"/>
  <c r="T234" i="6"/>
  <c r="T225" i="6"/>
  <c r="T233" i="6"/>
  <c r="T219" i="6"/>
  <c r="T224" i="6"/>
  <c r="T242" i="6"/>
  <c r="T258" i="6"/>
  <c r="T274" i="6"/>
  <c r="T29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306" i="6"/>
  <c r="T310" i="6"/>
  <c r="T314" i="6"/>
  <c r="T318" i="6"/>
  <c r="T322" i="6"/>
  <c r="T246" i="6"/>
  <c r="T262" i="6"/>
  <c r="T278" i="6"/>
  <c r="T294" i="6"/>
  <c r="T255" i="6"/>
  <c r="T271" i="6"/>
  <c r="T287" i="6"/>
  <c r="T303" i="6"/>
  <c r="T248" i="6"/>
  <c r="T264" i="6"/>
  <c r="T280" i="6"/>
  <c r="T296" i="6"/>
  <c r="T241" i="6"/>
  <c r="T257" i="6"/>
  <c r="T273" i="6"/>
  <c r="T289" i="6"/>
  <c r="T305" i="6"/>
  <c r="T309" i="6"/>
  <c r="T313" i="6"/>
  <c r="T317" i="6"/>
  <c r="T321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130" i="6"/>
  <c r="T250" i="6"/>
  <c r="T266" i="6"/>
  <c r="T282" i="6"/>
  <c r="T298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308" i="6"/>
  <c r="T312" i="6"/>
  <c r="T316" i="6"/>
  <c r="T320" i="6"/>
  <c r="T324" i="6"/>
  <c r="T254" i="6"/>
  <c r="T270" i="6"/>
  <c r="T286" i="6"/>
  <c r="T302" i="6"/>
  <c r="T247" i="6"/>
  <c r="T263" i="6"/>
  <c r="T279" i="6"/>
  <c r="T295" i="6"/>
  <c r="T315" i="6"/>
  <c r="T390" i="6"/>
  <c r="T265" i="6"/>
  <c r="T311" i="6"/>
  <c r="T232" i="6"/>
  <c r="T307" i="6"/>
  <c r="T389" i="6"/>
  <c r="T272" i="6"/>
  <c r="T388" i="6"/>
  <c r="T281" i="6"/>
  <c r="T387" i="6"/>
  <c r="T288" i="6"/>
  <c r="T386" i="6"/>
  <c r="T297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393" i="6"/>
  <c r="T240" i="6"/>
  <c r="T304" i="6"/>
  <c r="T385" i="6"/>
  <c r="T392" i="6"/>
  <c r="T249" i="6"/>
  <c r="T323" i="6"/>
  <c r="T453" i="6"/>
  <c r="T391" i="6"/>
  <c r="T458" i="6"/>
  <c r="T447" i="6"/>
  <c r="T463" i="6"/>
  <c r="T319" i="6"/>
  <c r="T452" i="6"/>
  <c r="T457" i="6"/>
  <c r="T468" i="6"/>
  <c r="T473" i="6"/>
  <c r="T475" i="6"/>
  <c r="T479" i="6"/>
  <c r="T482" i="6"/>
  <c r="T485" i="6"/>
  <c r="T489" i="6"/>
  <c r="T491" i="6"/>
  <c r="T494" i="6"/>
  <c r="T498" i="6"/>
  <c r="T502" i="6"/>
  <c r="T504" i="6"/>
  <c r="T507" i="6"/>
  <c r="T446" i="6"/>
  <c r="T462" i="6"/>
  <c r="T470" i="6"/>
  <c r="T476" i="6"/>
  <c r="T481" i="6"/>
  <c r="T484" i="6"/>
  <c r="T488" i="6"/>
  <c r="T493" i="6"/>
  <c r="T496" i="6"/>
  <c r="T500" i="6"/>
  <c r="T503" i="6"/>
  <c r="T506" i="6"/>
  <c r="T508" i="6"/>
  <c r="T451" i="6"/>
  <c r="T469" i="6"/>
  <c r="T472" i="6"/>
  <c r="T474" i="6"/>
  <c r="T477" i="6"/>
  <c r="T480" i="6"/>
  <c r="T483" i="6"/>
  <c r="T486" i="6"/>
  <c r="T490" i="6"/>
  <c r="T492" i="6"/>
  <c r="T495" i="6"/>
  <c r="T499" i="6"/>
  <c r="T501" i="6"/>
  <c r="T505" i="6"/>
  <c r="T509" i="6"/>
  <c r="T456" i="6"/>
  <c r="T467" i="6"/>
  <c r="T471" i="6"/>
  <c r="T478" i="6"/>
  <c r="T487" i="6"/>
  <c r="T497" i="6"/>
  <c r="T464" i="6"/>
  <c r="T445" i="6"/>
  <c r="T461" i="6"/>
  <c r="T466" i="6"/>
  <c r="T256" i="6"/>
  <c r="T450" i="6"/>
  <c r="T455" i="6"/>
  <c r="T448" i="6"/>
  <c r="T444" i="6"/>
  <c r="T460" i="6"/>
  <c r="T449" i="6"/>
  <c r="T465" i="6"/>
  <c r="T454" i="6"/>
  <c r="T459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5" i="6" l="1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31" i="6"/>
  <c r="U239" i="6"/>
  <c r="U145" i="6"/>
  <c r="U161" i="6"/>
  <c r="U177" i="6"/>
  <c r="U193" i="6"/>
  <c r="U209" i="6"/>
  <c r="U137" i="6"/>
  <c r="U154" i="6"/>
  <c r="U170" i="6"/>
  <c r="U186" i="6"/>
  <c r="U202" i="6"/>
  <c r="U222" i="6"/>
  <c r="U230" i="6"/>
  <c r="U238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7" i="6"/>
  <c r="U149" i="6"/>
  <c r="U165" i="6"/>
  <c r="U181" i="6"/>
  <c r="U197" i="6"/>
  <c r="U213" i="6"/>
  <c r="U158" i="6"/>
  <c r="U174" i="6"/>
  <c r="U190" i="6"/>
  <c r="U206" i="6"/>
  <c r="U228" i="6"/>
  <c r="U236" i="6"/>
  <c r="U151" i="6"/>
  <c r="U167" i="6"/>
  <c r="U183" i="6"/>
  <c r="U199" i="6"/>
  <c r="U215" i="6"/>
  <c r="U160" i="6"/>
  <c r="U176" i="6"/>
  <c r="U192" i="6"/>
  <c r="U208" i="6"/>
  <c r="U220" i="6"/>
  <c r="U227" i="6"/>
  <c r="U235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4" i="6"/>
  <c r="U155" i="6"/>
  <c r="U171" i="6"/>
  <c r="U187" i="6"/>
  <c r="U203" i="6"/>
  <c r="U108" i="6"/>
  <c r="U148" i="6"/>
  <c r="U164" i="6"/>
  <c r="U180" i="6"/>
  <c r="U196" i="6"/>
  <c r="U212" i="6"/>
  <c r="U225" i="6"/>
  <c r="U233" i="6"/>
  <c r="U232" i="6"/>
  <c r="U249" i="6"/>
  <c r="U265" i="6"/>
  <c r="U281" i="6"/>
  <c r="U297" i="6"/>
  <c r="U307" i="6"/>
  <c r="U311" i="6"/>
  <c r="U315" i="6"/>
  <c r="U319" i="6"/>
  <c r="U323" i="6"/>
  <c r="U189" i="6"/>
  <c r="U224" i="6"/>
  <c r="U242" i="6"/>
  <c r="U258" i="6"/>
  <c r="U274" i="6"/>
  <c r="U290" i="6"/>
  <c r="U251" i="6"/>
  <c r="U267" i="6"/>
  <c r="U283" i="6"/>
  <c r="U299" i="6"/>
  <c r="U198" i="6"/>
  <c r="U244" i="6"/>
  <c r="U260" i="6"/>
  <c r="U276" i="6"/>
  <c r="U292" i="6"/>
  <c r="U253" i="6"/>
  <c r="U269" i="6"/>
  <c r="U285" i="6"/>
  <c r="U301" i="6"/>
  <c r="U306" i="6"/>
  <c r="U310" i="6"/>
  <c r="U314" i="6"/>
  <c r="U318" i="6"/>
  <c r="U322" i="6"/>
  <c r="U205" i="6"/>
  <c r="U246" i="6"/>
  <c r="U262" i="6"/>
  <c r="U278" i="6"/>
  <c r="U294" i="6"/>
  <c r="U255" i="6"/>
  <c r="U271" i="6"/>
  <c r="U287" i="6"/>
  <c r="U303" i="6"/>
  <c r="U150" i="6"/>
  <c r="U214" i="6"/>
  <c r="U248" i="6"/>
  <c r="U264" i="6"/>
  <c r="U280" i="6"/>
  <c r="U296" i="6"/>
  <c r="U241" i="6"/>
  <c r="U257" i="6"/>
  <c r="U273" i="6"/>
  <c r="U289" i="6"/>
  <c r="U305" i="6"/>
  <c r="U309" i="6"/>
  <c r="U313" i="6"/>
  <c r="U317" i="6"/>
  <c r="U321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130" i="6"/>
  <c r="U157" i="6"/>
  <c r="U250" i="6"/>
  <c r="U266" i="6"/>
  <c r="U282" i="6"/>
  <c r="U298" i="6"/>
  <c r="U243" i="6"/>
  <c r="U259" i="6"/>
  <c r="U275" i="6"/>
  <c r="U291" i="6"/>
  <c r="U166" i="6"/>
  <c r="U219" i="6"/>
  <c r="U252" i="6"/>
  <c r="U268" i="6"/>
  <c r="U284" i="6"/>
  <c r="U300" i="6"/>
  <c r="U117" i="6"/>
  <c r="U245" i="6"/>
  <c r="U261" i="6"/>
  <c r="U277" i="6"/>
  <c r="U293" i="6"/>
  <c r="U308" i="6"/>
  <c r="U312" i="6"/>
  <c r="U316" i="6"/>
  <c r="U320" i="6"/>
  <c r="U324" i="6"/>
  <c r="U173" i="6"/>
  <c r="U254" i="6"/>
  <c r="U270" i="6"/>
  <c r="U286" i="6"/>
  <c r="U302" i="6"/>
  <c r="U256" i="6"/>
  <c r="U263" i="6"/>
  <c r="U182" i="6"/>
  <c r="U272" i="6"/>
  <c r="U279" i="6"/>
  <c r="U288" i="6"/>
  <c r="U295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393" i="6"/>
  <c r="U240" i="6"/>
  <c r="U304" i="6"/>
  <c r="U443" i="6"/>
  <c r="U448" i="6"/>
  <c r="U464" i="6"/>
  <c r="U453" i="6"/>
  <c r="U458" i="6"/>
  <c r="U447" i="6"/>
  <c r="U463" i="6"/>
  <c r="U459" i="6"/>
  <c r="U439" i="6"/>
  <c r="U452" i="6"/>
  <c r="U442" i="6"/>
  <c r="U457" i="6"/>
  <c r="U446" i="6"/>
  <c r="U462" i="6"/>
  <c r="U451" i="6"/>
  <c r="U45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247" i="6"/>
  <c r="U445" i="6"/>
  <c r="U461" i="6"/>
  <c r="U441" i="6"/>
  <c r="U450" i="6"/>
  <c r="U466" i="6"/>
  <c r="U440" i="6"/>
  <c r="U455" i="6"/>
  <c r="U444" i="6"/>
  <c r="U460" i="6"/>
  <c r="U449" i="6"/>
  <c r="U465" i="6"/>
  <c r="U454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5" i="6" l="1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2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159" i="6"/>
  <c r="V175" i="6"/>
  <c r="V191" i="6"/>
  <c r="V207" i="6"/>
  <c r="V152" i="6"/>
  <c r="V168" i="6"/>
  <c r="V184" i="6"/>
  <c r="V200" i="6"/>
  <c r="V216" i="6"/>
  <c r="V223" i="6"/>
  <c r="V231" i="6"/>
  <c r="V239" i="6"/>
  <c r="V145" i="6"/>
  <c r="V161" i="6"/>
  <c r="V177" i="6"/>
  <c r="V193" i="6"/>
  <c r="V209" i="6"/>
  <c r="V137" i="6"/>
  <c r="V154" i="6"/>
  <c r="V170" i="6"/>
  <c r="V186" i="6"/>
  <c r="V202" i="6"/>
  <c r="V222" i="6"/>
  <c r="V230" i="6"/>
  <c r="V238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7" i="6"/>
  <c r="V149" i="6"/>
  <c r="V165" i="6"/>
  <c r="V181" i="6"/>
  <c r="V197" i="6"/>
  <c r="V213" i="6"/>
  <c r="V158" i="6"/>
  <c r="V174" i="6"/>
  <c r="V190" i="6"/>
  <c r="V206" i="6"/>
  <c r="V228" i="6"/>
  <c r="V236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5" i="6"/>
  <c r="V153" i="6"/>
  <c r="V169" i="6"/>
  <c r="V185" i="6"/>
  <c r="V201" i="6"/>
  <c r="V217" i="6"/>
  <c r="V146" i="6"/>
  <c r="V162" i="6"/>
  <c r="V178" i="6"/>
  <c r="V194" i="6"/>
  <c r="V210" i="6"/>
  <c r="V226" i="6"/>
  <c r="V234" i="6"/>
  <c r="V155" i="6"/>
  <c r="V171" i="6"/>
  <c r="V187" i="6"/>
  <c r="V203" i="6"/>
  <c r="V180" i="6"/>
  <c r="V189" i="6"/>
  <c r="V196" i="6"/>
  <c r="V205" i="6"/>
  <c r="V148" i="6"/>
  <c r="V212" i="6"/>
  <c r="V233" i="6"/>
  <c r="V225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157" i="6"/>
  <c r="V108" i="6"/>
  <c r="V164" i="6"/>
  <c r="V219" i="6"/>
  <c r="V390" i="6"/>
  <c r="V173" i="6"/>
  <c r="V383" i="6"/>
  <c r="V389" i="6"/>
  <c r="V388" i="6"/>
  <c r="V382" i="6"/>
  <c r="V387" i="6"/>
  <c r="V386" i="6"/>
  <c r="V381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385" i="6"/>
  <c r="V393" i="6"/>
  <c r="V392" i="6"/>
  <c r="V437" i="6"/>
  <c r="V440" i="6"/>
  <c r="V459" i="6"/>
  <c r="V453" i="6"/>
  <c r="V443" i="6"/>
  <c r="V448" i="6"/>
  <c r="V464" i="6"/>
  <c r="V391" i="6"/>
  <c r="V458" i="6"/>
  <c r="V447" i="6"/>
  <c r="V463" i="6"/>
  <c r="V487" i="6"/>
  <c r="V493" i="6"/>
  <c r="V501" i="6"/>
  <c r="V507" i="6"/>
  <c r="V439" i="6"/>
  <c r="V452" i="6"/>
  <c r="V486" i="6"/>
  <c r="V497" i="6"/>
  <c r="V505" i="6"/>
  <c r="V454" i="6"/>
  <c r="V436" i="6"/>
  <c r="V442" i="6"/>
  <c r="V457" i="6"/>
  <c r="V488" i="6"/>
  <c r="V494" i="6"/>
  <c r="V500" i="6"/>
  <c r="V504" i="6"/>
  <c r="V446" i="6"/>
  <c r="V462" i="6"/>
  <c r="V496" i="6"/>
  <c r="V502" i="6"/>
  <c r="V508" i="6"/>
  <c r="V451" i="6"/>
  <c r="V468" i="6"/>
  <c r="V470" i="6"/>
  <c r="V471" i="6"/>
  <c r="V473" i="6"/>
  <c r="V475" i="6"/>
  <c r="V477" i="6"/>
  <c r="V478" i="6"/>
  <c r="V480" i="6"/>
  <c r="V482" i="6"/>
  <c r="V483" i="6"/>
  <c r="V485" i="6"/>
  <c r="V490" i="6"/>
  <c r="V491" i="6"/>
  <c r="V495" i="6"/>
  <c r="V498" i="6"/>
  <c r="V503" i="6"/>
  <c r="V506" i="6"/>
  <c r="V456" i="6"/>
  <c r="V467" i="6"/>
  <c r="V469" i="6"/>
  <c r="V472" i="6"/>
  <c r="V474" i="6"/>
  <c r="V476" i="6"/>
  <c r="V479" i="6"/>
  <c r="V481" i="6"/>
  <c r="V484" i="6"/>
  <c r="V489" i="6"/>
  <c r="V492" i="6"/>
  <c r="V499" i="6"/>
  <c r="V509" i="6"/>
  <c r="V438" i="6"/>
  <c r="V445" i="6"/>
  <c r="V461" i="6"/>
  <c r="V441" i="6"/>
  <c r="V450" i="6"/>
  <c r="V466" i="6"/>
  <c r="V384" i="6"/>
  <c r="V455" i="6"/>
  <c r="V380" i="6"/>
  <c r="V444" i="6"/>
  <c r="V460" i="6"/>
  <c r="V465" i="6"/>
  <c r="V449" i="6"/>
  <c r="V13" i="6"/>
  <c r="V14" i="6"/>
  <c r="V12" i="6"/>
  <c r="V9" i="6"/>
  <c r="W7" i="6"/>
  <c r="V10" i="6"/>
  <c r="V11" i="6"/>
  <c r="V8" i="6"/>
  <c r="U5" i="6"/>
  <c r="H5" i="6"/>
  <c r="W15" i="6" l="1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2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223" i="6"/>
  <c r="W231" i="6"/>
  <c r="W239" i="6"/>
  <c r="W222" i="6"/>
  <c r="W230" i="6"/>
  <c r="W238" i="6"/>
  <c r="W221" i="6"/>
  <c r="W229" i="6"/>
  <c r="W237" i="6"/>
  <c r="W228" i="6"/>
  <c r="W236" i="6"/>
  <c r="W220" i="6"/>
  <c r="W227" i="6"/>
  <c r="W235" i="6"/>
  <c r="W226" i="6"/>
  <c r="W234" i="6"/>
  <c r="W233" i="6"/>
  <c r="W225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4" i="6"/>
  <c r="W391" i="6"/>
  <c r="W390" i="6"/>
  <c r="W383" i="6"/>
  <c r="W389" i="6"/>
  <c r="W388" i="6"/>
  <c r="W382" i="6"/>
  <c r="W387" i="6"/>
  <c r="W386" i="6"/>
  <c r="W381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385" i="6"/>
  <c r="W393" i="6"/>
  <c r="W454" i="6"/>
  <c r="W459" i="6"/>
  <c r="W448" i="6"/>
  <c r="W464" i="6"/>
  <c r="W453" i="6"/>
  <c r="W458" i="6"/>
  <c r="W486" i="6"/>
  <c r="W496" i="6"/>
  <c r="W504" i="6"/>
  <c r="W447" i="6"/>
  <c r="W463" i="6"/>
  <c r="W487" i="6"/>
  <c r="W491" i="6"/>
  <c r="W497" i="6"/>
  <c r="W503" i="6"/>
  <c r="W508" i="6"/>
  <c r="W452" i="6"/>
  <c r="W484" i="6"/>
  <c r="W498" i="6"/>
  <c r="W505" i="6"/>
  <c r="W457" i="6"/>
  <c r="W489" i="6"/>
  <c r="W499" i="6"/>
  <c r="W507" i="6"/>
  <c r="W446" i="6"/>
  <c r="W462" i="6"/>
  <c r="W485" i="6"/>
  <c r="W493" i="6"/>
  <c r="W502" i="6"/>
  <c r="W509" i="6"/>
  <c r="W451" i="6"/>
  <c r="W490" i="6"/>
  <c r="W494" i="6"/>
  <c r="W500" i="6"/>
  <c r="W506" i="6"/>
  <c r="W392" i="6"/>
  <c r="W45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8" i="6"/>
  <c r="W492" i="6"/>
  <c r="W495" i="6"/>
  <c r="W501" i="6"/>
  <c r="W445" i="6"/>
  <c r="W461" i="6"/>
  <c r="W450" i="6"/>
  <c r="W466" i="6"/>
  <c r="W455" i="6"/>
  <c r="W444" i="6"/>
  <c r="W460" i="6"/>
  <c r="W449" i="6"/>
  <c r="W465" i="6"/>
  <c r="W13" i="6"/>
  <c r="W14" i="6"/>
  <c r="W12" i="6"/>
  <c r="W8" i="6"/>
  <c r="V5" i="6"/>
  <c r="X7" i="6"/>
  <c r="W10" i="6"/>
  <c r="W9" i="6"/>
  <c r="W11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7" i="6"/>
  <c r="X311" i="6"/>
  <c r="X315" i="6"/>
  <c r="X319" i="6"/>
  <c r="X323" i="6"/>
  <c r="X306" i="6"/>
  <c r="X310" i="6"/>
  <c r="X314" i="6"/>
  <c r="X318" i="6"/>
  <c r="X322" i="6"/>
  <c r="X305" i="6"/>
  <c r="X309" i="6"/>
  <c r="X313" i="6"/>
  <c r="X317" i="6"/>
  <c r="X321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08" i="6"/>
  <c r="X312" i="6"/>
  <c r="X316" i="6"/>
  <c r="X320" i="6"/>
  <c r="X324" i="6"/>
  <c r="X391" i="6"/>
  <c r="X390" i="6"/>
  <c r="X389" i="6"/>
  <c r="X388" i="6"/>
  <c r="X387" i="6"/>
  <c r="X386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393" i="6"/>
  <c r="X496" i="6"/>
  <c r="X503" i="6"/>
  <c r="X495" i="6"/>
  <c r="X505" i="6"/>
  <c r="X494" i="6"/>
  <c r="X502" i="6"/>
  <c r="X501" i="6"/>
  <c r="X508" i="6"/>
  <c r="X497" i="6"/>
  <c r="X504" i="6"/>
  <c r="X498" i="6"/>
  <c r="X509" i="6"/>
  <c r="X499" i="6"/>
  <c r="X507" i="6"/>
  <c r="X392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500" i="6"/>
  <c r="X506" i="6"/>
  <c r="X466" i="6"/>
  <c r="X13" i="6"/>
  <c r="X14" i="6"/>
  <c r="W5" i="6"/>
  <c r="X10" i="6"/>
  <c r="Y7" i="6"/>
  <c r="X9" i="6"/>
  <c r="X11" i="6"/>
  <c r="X12" i="6"/>
  <c r="X8" i="6"/>
  <c r="Y15" i="6" l="1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238" i="6"/>
  <c r="Y239" i="6"/>
  <c r="Y136" i="6"/>
  <c r="Y143" i="6"/>
  <c r="Y142" i="6"/>
  <c r="Y135" i="6"/>
  <c r="Y141" i="6"/>
  <c r="Y140" i="6"/>
  <c r="Y134" i="6"/>
  <c r="Y139" i="6"/>
  <c r="Y138" i="6"/>
  <c r="Y137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133" i="6"/>
  <c r="Y307" i="6"/>
  <c r="Y311" i="6"/>
  <c r="Y315" i="6"/>
  <c r="Y319" i="6"/>
  <c r="Y323" i="6"/>
  <c r="Y306" i="6"/>
  <c r="Y310" i="6"/>
  <c r="Y314" i="6"/>
  <c r="Y318" i="6"/>
  <c r="Y322" i="6"/>
  <c r="Y305" i="6"/>
  <c r="Y309" i="6"/>
  <c r="Y313" i="6"/>
  <c r="Y317" i="6"/>
  <c r="Y321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92" i="6"/>
  <c r="Y380" i="6"/>
  <c r="Y384" i="6"/>
  <c r="Y391" i="6"/>
  <c r="Y390" i="6"/>
  <c r="Y379" i="6"/>
  <c r="Y383" i="6"/>
  <c r="Y324" i="6"/>
  <c r="Y389" i="6"/>
  <c r="Y320" i="6"/>
  <c r="Y316" i="6"/>
  <c r="Y388" i="6"/>
  <c r="Y312" i="6"/>
  <c r="Y382" i="6"/>
  <c r="Y308" i="6"/>
  <c r="Y387" i="6"/>
  <c r="Y386" i="6"/>
  <c r="Y381" i="6"/>
  <c r="Y398" i="6"/>
  <c r="Y414" i="6"/>
  <c r="Y430" i="6"/>
  <c r="Y449" i="6"/>
  <c r="Y465" i="6"/>
  <c r="Y407" i="6"/>
  <c r="Y423" i="6"/>
  <c r="Y437" i="6"/>
  <c r="Y440" i="6"/>
  <c r="Y454" i="6"/>
  <c r="Y400" i="6"/>
  <c r="Y416" i="6"/>
  <c r="Y432" i="6"/>
  <c r="Y443" i="6"/>
  <c r="Y459" i="6"/>
  <c r="Y409" i="6"/>
  <c r="Y425" i="6"/>
  <c r="Y448" i="6"/>
  <c r="Y464" i="6"/>
  <c r="Y385" i="6"/>
  <c r="Y393" i="6"/>
  <c r="Y402" i="6"/>
  <c r="Y418" i="6"/>
  <c r="Y434" i="6"/>
  <c r="Y453" i="6"/>
  <c r="Y496" i="6"/>
  <c r="Y499" i="6"/>
  <c r="Y508" i="6"/>
  <c r="Y395" i="6"/>
  <c r="Y411" i="6"/>
  <c r="Y427" i="6"/>
  <c r="Y458" i="6"/>
  <c r="Y494" i="6"/>
  <c r="Y502" i="6"/>
  <c r="Y404" i="6"/>
  <c r="Y420" i="6"/>
  <c r="Y439" i="6"/>
  <c r="Y447" i="6"/>
  <c r="Y463" i="6"/>
  <c r="Y495" i="6"/>
  <c r="Y500" i="6"/>
  <c r="Y397" i="6"/>
  <c r="Y413" i="6"/>
  <c r="Y429" i="6"/>
  <c r="Y436" i="6"/>
  <c r="Y442" i="6"/>
  <c r="Y452" i="6"/>
  <c r="Y489" i="6"/>
  <c r="Y505" i="6"/>
  <c r="Y406" i="6"/>
  <c r="Y422" i="6"/>
  <c r="Y457" i="6"/>
  <c r="Y493" i="6"/>
  <c r="Y501" i="6"/>
  <c r="Y399" i="6"/>
  <c r="Y415" i="6"/>
  <c r="Y431" i="6"/>
  <c r="Y446" i="6"/>
  <c r="Y462" i="6"/>
  <c r="Y492" i="6"/>
  <c r="Y504" i="6"/>
  <c r="Y408" i="6"/>
  <c r="Y424" i="6"/>
  <c r="Y451" i="6"/>
  <c r="Y491" i="6"/>
  <c r="Y503" i="6"/>
  <c r="Y401" i="6"/>
  <c r="Y417" i="6"/>
  <c r="Y433" i="6"/>
  <c r="Y438" i="6"/>
  <c r="Y456" i="6"/>
  <c r="Y497" i="6"/>
  <c r="Y506" i="6"/>
  <c r="Y509" i="6"/>
  <c r="Y394" i="6"/>
  <c r="Y410" i="6"/>
  <c r="Y426" i="6"/>
  <c r="Y441" i="6"/>
  <c r="Y445" i="6"/>
  <c r="Y461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90" i="6"/>
  <c r="Y498" i="6"/>
  <c r="Y507" i="6"/>
  <c r="Y421" i="6"/>
  <c r="Y403" i="6"/>
  <c r="Y419" i="6"/>
  <c r="Y435" i="6"/>
  <c r="Y450" i="6"/>
  <c r="Y444" i="6"/>
  <c r="Y396" i="6"/>
  <c r="Y412" i="6"/>
  <c r="Y428" i="6"/>
  <c r="Y455" i="6"/>
  <c r="Y466" i="6"/>
  <c r="Y405" i="6"/>
  <c r="Y460" i="6"/>
  <c r="Y13" i="6"/>
  <c r="Y14" i="6"/>
  <c r="Y12" i="6"/>
  <c r="Y9" i="6"/>
  <c r="Y8" i="6"/>
  <c r="Y10" i="6"/>
  <c r="Y11" i="6"/>
  <c r="Z7" i="6"/>
  <c r="X5" i="6"/>
  <c r="Z15" i="6" l="1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3" i="6"/>
  <c r="Z224" i="6"/>
  <c r="Z232" i="6"/>
  <c r="Z223" i="6"/>
  <c r="Z231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222" i="6"/>
  <c r="Z230" i="6"/>
  <c r="Z238" i="6"/>
  <c r="Z221" i="6"/>
  <c r="Z229" i="6"/>
  <c r="Z237" i="6"/>
  <c r="Z228" i="6"/>
  <c r="Z236" i="6"/>
  <c r="Z138" i="6"/>
  <c r="Z227" i="6"/>
  <c r="Z235" i="6"/>
  <c r="Z234" i="6"/>
  <c r="Z226" i="6"/>
  <c r="Z307" i="6"/>
  <c r="Z311" i="6"/>
  <c r="Z315" i="6"/>
  <c r="Z319" i="6"/>
  <c r="Z323" i="6"/>
  <c r="Z306" i="6"/>
  <c r="Z310" i="6"/>
  <c r="Z314" i="6"/>
  <c r="Z318" i="6"/>
  <c r="Z322" i="6"/>
  <c r="Z305" i="6"/>
  <c r="Z309" i="6"/>
  <c r="Z313" i="6"/>
  <c r="Z317" i="6"/>
  <c r="Z321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24" i="6"/>
  <c r="Z320" i="6"/>
  <c r="Z316" i="6"/>
  <c r="Z312" i="6"/>
  <c r="Z308" i="6"/>
  <c r="Z405" i="6"/>
  <c r="Z421" i="6"/>
  <c r="Z444" i="6"/>
  <c r="Z460" i="6"/>
  <c r="Z398" i="6"/>
  <c r="Z414" i="6"/>
  <c r="Z430" i="6"/>
  <c r="Z449" i="6"/>
  <c r="Z465" i="6"/>
  <c r="Z454" i="6"/>
  <c r="Z407" i="6"/>
  <c r="Z423" i="6"/>
  <c r="Z437" i="6"/>
  <c r="Z440" i="6"/>
  <c r="Z400" i="6"/>
  <c r="Z416" i="6"/>
  <c r="Z432" i="6"/>
  <c r="Z443" i="6"/>
  <c r="Z459" i="6"/>
  <c r="Z409" i="6"/>
  <c r="Z425" i="6"/>
  <c r="Z448" i="6"/>
  <c r="Z464" i="6"/>
  <c r="Z402" i="6"/>
  <c r="Z418" i="6"/>
  <c r="Z434" i="6"/>
  <c r="Z453" i="6"/>
  <c r="Z395" i="6"/>
  <c r="Z411" i="6"/>
  <c r="Z427" i="6"/>
  <c r="Z458" i="6"/>
  <c r="Z463" i="6"/>
  <c r="Z455" i="6"/>
  <c r="Z404" i="6"/>
  <c r="Z420" i="6"/>
  <c r="Z439" i="6"/>
  <c r="Z447" i="6"/>
  <c r="Z397" i="6"/>
  <c r="Z413" i="6"/>
  <c r="Z429" i="6"/>
  <c r="Z436" i="6"/>
  <c r="Z442" i="6"/>
  <c r="Z452" i="6"/>
  <c r="Z406" i="6"/>
  <c r="Z422" i="6"/>
  <c r="Z457" i="6"/>
  <c r="Z399" i="6"/>
  <c r="Z415" i="6"/>
  <c r="Z431" i="6"/>
  <c r="Z446" i="6"/>
  <c r="Z462" i="6"/>
  <c r="Z412" i="6"/>
  <c r="Z408" i="6"/>
  <c r="Z424" i="6"/>
  <c r="Z451" i="6"/>
  <c r="Z396" i="6"/>
  <c r="Z466" i="6"/>
  <c r="Z401" i="6"/>
  <c r="Z417" i="6"/>
  <c r="Z433" i="6"/>
  <c r="Z438" i="6"/>
  <c r="Z456" i="6"/>
  <c r="Z394" i="6"/>
  <c r="Z410" i="6"/>
  <c r="Z426" i="6"/>
  <c r="Z441" i="6"/>
  <c r="Z445" i="6"/>
  <c r="Z461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403" i="6"/>
  <c r="Z419" i="6"/>
  <c r="Z435" i="6"/>
  <c r="Z450" i="6"/>
  <c r="Z428" i="6"/>
  <c r="Z13" i="6"/>
  <c r="Z14" i="6"/>
  <c r="Z12" i="6"/>
  <c r="Z8" i="6"/>
  <c r="Y5" i="6"/>
  <c r="AA7" i="6"/>
  <c r="Z10" i="6"/>
  <c r="Z9" i="6"/>
  <c r="Z11" i="6"/>
  <c r="AA15" i="6" l="1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3" i="6"/>
  <c r="AA224" i="6"/>
  <c r="AA232" i="6"/>
  <c r="AA223" i="6"/>
  <c r="AA231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222" i="6"/>
  <c r="AA230" i="6"/>
  <c r="AA238" i="6"/>
  <c r="AA221" i="6"/>
  <c r="AA229" i="6"/>
  <c r="AA237" i="6"/>
  <c r="AA228" i="6"/>
  <c r="AA236" i="6"/>
  <c r="AA138" i="6"/>
  <c r="AA227" i="6"/>
  <c r="AA235" i="6"/>
  <c r="AA234" i="6"/>
  <c r="AA226" i="6"/>
  <c r="AA334" i="6"/>
  <c r="AA350" i="6"/>
  <c r="AA366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327" i="6"/>
  <c r="AA343" i="6"/>
  <c r="AA359" i="6"/>
  <c r="AA375" i="6"/>
  <c r="AA392" i="6"/>
  <c r="AA336" i="6"/>
  <c r="AA352" i="6"/>
  <c r="AA368" i="6"/>
  <c r="AA380" i="6"/>
  <c r="AA384" i="6"/>
  <c r="AA329" i="6"/>
  <c r="AA345" i="6"/>
  <c r="AA361" i="6"/>
  <c r="AA377" i="6"/>
  <c r="AA391" i="6"/>
  <c r="AA338" i="6"/>
  <c r="AA354" i="6"/>
  <c r="AA370" i="6"/>
  <c r="AA331" i="6"/>
  <c r="AA347" i="6"/>
  <c r="AA363" i="6"/>
  <c r="AA390" i="6"/>
  <c r="AA340" i="6"/>
  <c r="AA356" i="6"/>
  <c r="AA372" i="6"/>
  <c r="AA379" i="6"/>
  <c r="AA383" i="6"/>
  <c r="AA333" i="6"/>
  <c r="AA349" i="6"/>
  <c r="AA365" i="6"/>
  <c r="AA389" i="6"/>
  <c r="AA326" i="6"/>
  <c r="AA342" i="6"/>
  <c r="AA358" i="6"/>
  <c r="AA374" i="6"/>
  <c r="AA335" i="6"/>
  <c r="AA351" i="6"/>
  <c r="AA367" i="6"/>
  <c r="AA388" i="6"/>
  <c r="AA328" i="6"/>
  <c r="AA344" i="6"/>
  <c r="AA360" i="6"/>
  <c r="AA376" i="6"/>
  <c r="AA382" i="6"/>
  <c r="AA337" i="6"/>
  <c r="AA353" i="6"/>
  <c r="AA369" i="6"/>
  <c r="AA387" i="6"/>
  <c r="AA330" i="6"/>
  <c r="AA346" i="6"/>
  <c r="AA362" i="6"/>
  <c r="AA378" i="6"/>
  <c r="AA339" i="6"/>
  <c r="AA355" i="6"/>
  <c r="AA371" i="6"/>
  <c r="AA386" i="6"/>
  <c r="AA332" i="6"/>
  <c r="AA341" i="6"/>
  <c r="AA348" i="6"/>
  <c r="AA381" i="6"/>
  <c r="AA385" i="6"/>
  <c r="AA357" i="6"/>
  <c r="AA325" i="6"/>
  <c r="AA364" i="6"/>
  <c r="AA373" i="6"/>
  <c r="AA467" i="6"/>
  <c r="AA469" i="6"/>
  <c r="AA470" i="6"/>
  <c r="AA472" i="6"/>
  <c r="AA474" i="6"/>
  <c r="AA476" i="6"/>
  <c r="AA478" i="6"/>
  <c r="AA480" i="6"/>
  <c r="AA482" i="6"/>
  <c r="AA484" i="6"/>
  <c r="AA486" i="6"/>
  <c r="AA488" i="6"/>
  <c r="AA490" i="6"/>
  <c r="AA492" i="6"/>
  <c r="AA494" i="6"/>
  <c r="AA495" i="6"/>
  <c r="AA498" i="6"/>
  <c r="AA500" i="6"/>
  <c r="AA503" i="6"/>
  <c r="AA505" i="6"/>
  <c r="AA507" i="6"/>
  <c r="AA509" i="6"/>
  <c r="AA468" i="6"/>
  <c r="AA471" i="6"/>
  <c r="AA473" i="6"/>
  <c r="AA475" i="6"/>
  <c r="AA477" i="6"/>
  <c r="AA479" i="6"/>
  <c r="AA481" i="6"/>
  <c r="AA483" i="6"/>
  <c r="AA485" i="6"/>
  <c r="AA487" i="6"/>
  <c r="AA489" i="6"/>
  <c r="AA491" i="6"/>
  <c r="AA493" i="6"/>
  <c r="AA496" i="6"/>
  <c r="AA497" i="6"/>
  <c r="AA499" i="6"/>
  <c r="AA501" i="6"/>
  <c r="AA502" i="6"/>
  <c r="AA504" i="6"/>
  <c r="AA506" i="6"/>
  <c r="AA508" i="6"/>
  <c r="AA13" i="6"/>
  <c r="AA14" i="6"/>
  <c r="AA11" i="6"/>
  <c r="Z5" i="6"/>
  <c r="AA8" i="6"/>
  <c r="AA10" i="6"/>
  <c r="AA12" i="6"/>
  <c r="AA9" i="6"/>
  <c r="AB7" i="6"/>
  <c r="AB15" i="6" l="1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4" i="6"/>
  <c r="AB225" i="6"/>
  <c r="AB233" i="6"/>
  <c r="AB224" i="6"/>
  <c r="AB232" i="6"/>
  <c r="AB139" i="6"/>
  <c r="AB223" i="6"/>
  <c r="AB231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222" i="6"/>
  <c r="AB230" i="6"/>
  <c r="AB238" i="6"/>
  <c r="AB221" i="6"/>
  <c r="AB229" i="6"/>
  <c r="AB237" i="6"/>
  <c r="AB220" i="6"/>
  <c r="AB228" i="6"/>
  <c r="AB236" i="6"/>
  <c r="AB235" i="6"/>
  <c r="AB227" i="6"/>
  <c r="AB325" i="6"/>
  <c r="AB341" i="6"/>
  <c r="AB357" i="6"/>
  <c r="AB373" i="6"/>
  <c r="AB385" i="6"/>
  <c r="AB334" i="6"/>
  <c r="AB350" i="6"/>
  <c r="AB366" i="6"/>
  <c r="AB393" i="6"/>
  <c r="AB394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327" i="6"/>
  <c r="AB343" i="6"/>
  <c r="AB359" i="6"/>
  <c r="AB375" i="6"/>
  <c r="AB392" i="6"/>
  <c r="AB336" i="6"/>
  <c r="AB352" i="6"/>
  <c r="AB368" i="6"/>
  <c r="AB380" i="6"/>
  <c r="AB384" i="6"/>
  <c r="AB329" i="6"/>
  <c r="AB345" i="6"/>
  <c r="AB361" i="6"/>
  <c r="AB377" i="6"/>
  <c r="AB391" i="6"/>
  <c r="AB338" i="6"/>
  <c r="AB354" i="6"/>
  <c r="AB370" i="6"/>
  <c r="AB331" i="6"/>
  <c r="AB347" i="6"/>
  <c r="AB363" i="6"/>
  <c r="AB390" i="6"/>
  <c r="AB340" i="6"/>
  <c r="AB356" i="6"/>
  <c r="AB372" i="6"/>
  <c r="AB379" i="6"/>
  <c r="AB383" i="6"/>
  <c r="AB333" i="6"/>
  <c r="AB349" i="6"/>
  <c r="AB365" i="6"/>
  <c r="AB389" i="6"/>
  <c r="AB326" i="6"/>
  <c r="AB342" i="6"/>
  <c r="AB358" i="6"/>
  <c r="AB374" i="6"/>
  <c r="AB335" i="6"/>
  <c r="AB351" i="6"/>
  <c r="AB367" i="6"/>
  <c r="AB388" i="6"/>
  <c r="AB328" i="6"/>
  <c r="AB344" i="6"/>
  <c r="AB360" i="6"/>
  <c r="AB376" i="6"/>
  <c r="AB382" i="6"/>
  <c r="AB337" i="6"/>
  <c r="AB353" i="6"/>
  <c r="AB369" i="6"/>
  <c r="AB387" i="6"/>
  <c r="AB330" i="6"/>
  <c r="AB346" i="6"/>
  <c r="AB362" i="6"/>
  <c r="AB378" i="6"/>
  <c r="AB473" i="6"/>
  <c r="AB497" i="6"/>
  <c r="AB470" i="6"/>
  <c r="AB498" i="6"/>
  <c r="AB332" i="6"/>
  <c r="AB481" i="6"/>
  <c r="AB496" i="6"/>
  <c r="AB485" i="6"/>
  <c r="AB507" i="6"/>
  <c r="AB339" i="6"/>
  <c r="AB472" i="6"/>
  <c r="AB502" i="6"/>
  <c r="AB506" i="6"/>
  <c r="AB348" i="6"/>
  <c r="AB381" i="6"/>
  <c r="AB501" i="6"/>
  <c r="AB476" i="6"/>
  <c r="AB484" i="6"/>
  <c r="AB492" i="6"/>
  <c r="AB504" i="6"/>
  <c r="AB355" i="6"/>
  <c r="AB491" i="6"/>
  <c r="AB471" i="6"/>
  <c r="AB482" i="6"/>
  <c r="AB493" i="6"/>
  <c r="AB508" i="6"/>
  <c r="AB364" i="6"/>
  <c r="AB468" i="6"/>
  <c r="AB477" i="6"/>
  <c r="AB483" i="6"/>
  <c r="AB490" i="6"/>
  <c r="AB495" i="6"/>
  <c r="AB505" i="6"/>
  <c r="AB479" i="6"/>
  <c r="AB489" i="6"/>
  <c r="AB499" i="6"/>
  <c r="AB509" i="6"/>
  <c r="AB371" i="6"/>
  <c r="AB467" i="6"/>
  <c r="AB475" i="6"/>
  <c r="AB480" i="6"/>
  <c r="AB487" i="6"/>
  <c r="AB494" i="6"/>
  <c r="AB503" i="6"/>
  <c r="AB386" i="6"/>
  <c r="AB486" i="6"/>
  <c r="AB469" i="6"/>
  <c r="AB474" i="6"/>
  <c r="AB478" i="6"/>
  <c r="AB488" i="6"/>
  <c r="AB500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<sst xmlns="http://schemas.openxmlformats.org/spreadsheetml/2006/main" count="4879" uniqueCount="2137">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</sst>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44" activePane="bottomLeft" state="frozen"/>
      <selection pane="bottomLeft" activeCell="A65" sqref="A65:XFD6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129</v>
      </c>
      <c r="G3" s="5">
        <f>+AF6</f>
        <v>124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284</v>
      </c>
      <c r="G4" s="7">
        <f>+AG6</f>
        <v>248</v>
      </c>
      <c r="H4" s="5">
        <f>+E4-G4</f>
        <v>85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461</v>
      </c>
      <c r="F5" s="8">
        <f>+F3+F4</f>
        <v>413</v>
      </c>
      <c r="G5" s="8">
        <f>+G3+G4</f>
        <v>372</v>
      </c>
      <c r="H5" s="8">
        <f>+H3+H4</f>
        <v>89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>SUM(S8:S2451)</f>
        <v>60</v>
      </c>
      <c r="T5" s="9">
        <f>SUM(T8:T2451)</f>
        <v>11</v>
      </c>
      <c r="U5" s="9">
        <f>SUM(U8:U2451)</f>
        <v>6</v>
      </c>
      <c r="V5" s="9">
        <f>SUM(V8:V2451)</f>
        <v>6</v>
      </c>
      <c r="W5" s="9">
        <f>SUM(W8:W2451)</f>
        <v>3</v>
      </c>
      <c r="X5" s="9">
        <f>SUM(X8:X2451)</f>
        <v>5</v>
      </c>
      <c r="Y5" s="9">
        <f>SUM(Y8:Y2451)</f>
        <v>18</v>
      </c>
      <c r="Z5" s="9">
        <f>SUM(Z8:Z2451)</f>
        <v>30</v>
      </c>
      <c r="AA5" s="9">
        <f>SUM(AA8:AA2451)</f>
        <v>18</v>
      </c>
      <c r="AB5" s="9">
        <f>SUM(AB8:AB2451)</f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SUM(AD8:AD1720)</f>
        <v>129</v>
      </c>
      <c r="AE6" s="1">
        <f>SUM(AE8:AE1720)</f>
        <v>284</v>
      </c>
      <c r="AF6" s="1">
        <f>SUM(AF8:AF1720)</f>
        <v>124</v>
      </c>
      <c r="AG6" s="1">
        <f>SUM(AG8:AG1720)</f>
        <v>248</v>
      </c>
      <c r="AH6" s="1">
        <f>SUM(AH8:AH1720)</f>
        <v>128</v>
      </c>
      <c r="AI6" s="1">
        <f>SUM(AI8:AI1720)</f>
        <v>333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1841</v>
      </c>
      <c r="S7" s="61">
        <v>1</v>
      </c>
      <c r="T7" s="61">
        <f>+S7+1</f>
        <v>2</v>
      </c>
      <c r="U7" s="61">
        <f t="shared" ref="U7:AB7" si="0">+T7+1</f>
        <v>3</v>
      </c>
      <c r="V7" s="61">
        <f t="shared" si="0"/>
        <v>4</v>
      </c>
      <c r="W7" s="61">
        <f t="shared" si="0"/>
        <v>5</v>
      </c>
      <c r="X7" s="61">
        <f t="shared" si="0"/>
        <v>6</v>
      </c>
      <c r="Y7" s="61">
        <f t="shared" si="0"/>
        <v>7</v>
      </c>
      <c r="Z7" s="61">
        <f t="shared" si="0"/>
        <v>8</v>
      </c>
      <c r="AA7" s="61">
        <f t="shared" si="0"/>
        <v>9</v>
      </c>
      <c r="AB7" s="61">
        <f t="shared" si="0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1">+O8*P8*(1-A8)</f>
        <v>0</v>
      </c>
      <c r="AG8" s="1">
        <f t="shared" ref="AG8:AG12" si="2">O8*(1-P8)*(1-A8)</f>
        <v>1</v>
      </c>
      <c r="AH8" s="1">
        <f t="shared" ref="AH8:AH12" si="3">+P8*(1-A8)</f>
        <v>0</v>
      </c>
      <c r="AI8" s="1">
        <f t="shared" ref="AI8:AI12" si="4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1"/>
        <v>1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945</v>
      </c>
      <c r="L10" s="46" t="s">
        <v>1668</v>
      </c>
      <c r="M10" s="47" t="s">
        <v>1347</v>
      </c>
      <c r="N10" s="47" t="s">
        <v>1770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1"/>
        <v>0</v>
      </c>
      <c r="AG10" s="1">
        <f t="shared" si="2"/>
        <v>0</v>
      </c>
      <c r="AH10" s="1">
        <f t="shared" si="3"/>
        <v>0</v>
      </c>
      <c r="AI10" s="1">
        <f t="shared" si="4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1"/>
        <v>0</v>
      </c>
      <c r="AG11" s="1">
        <f t="shared" si="2"/>
        <v>1</v>
      </c>
      <c r="AH11" s="1">
        <f t="shared" si="3"/>
        <v>0</v>
      </c>
      <c r="AI11" s="1">
        <f t="shared" si="4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1762</v>
      </c>
      <c r="O12" s="35">
        <v>1</v>
      </c>
      <c r="P12" s="35"/>
      <c r="Q12" s="32"/>
      <c r="S12" s="1">
        <f t="shared" ref="S12:S18" si="5">IF(J12=$S$7,1,0)</f>
        <v>0</v>
      </c>
      <c r="T12" s="1">
        <f t="shared" ref="T12:T18" si="6">IF(J12=$T$7,1,0)</f>
        <v>0</v>
      </c>
      <c r="U12" s="1">
        <f t="shared" ref="U12:U18" si="7">IF(J12=$U$7,1,0)</f>
        <v>0</v>
      </c>
      <c r="V12" s="1">
        <f t="shared" ref="V12:V18" si="8">IF(J12=$V$7,1,0)</f>
        <v>0</v>
      </c>
      <c r="W12" s="1">
        <f t="shared" ref="W12:W18" si="9">IF(J12=$W$7,1,0)</f>
        <v>0</v>
      </c>
      <c r="X12" s="1">
        <f t="shared" ref="X12:X18" si="10">IF(J12=$X$7,1,0)</f>
        <v>0</v>
      </c>
      <c r="Y12" s="1">
        <f t="shared" ref="Y12:Y18" si="11">IF(J12=$Y$7,1,0)</f>
        <v>0</v>
      </c>
      <c r="Z12" s="1">
        <f t="shared" ref="Z12:Z18" si="12">IF(J12=$Z$7,1,0)</f>
        <v>1</v>
      </c>
      <c r="AA12" s="1">
        <f t="shared" ref="AA12:AA18" si="13">IF(J12=$AA$7,1,0)</f>
        <v>0</v>
      </c>
      <c r="AB12" s="1">
        <f t="shared" ref="AB12:AB18" si="14">IF(J12=$AB$7,1,0)</f>
        <v>0</v>
      </c>
      <c r="AD12" s="1">
        <f t="shared" ref="AD12:AD18" si="15">+O12*P12</f>
        <v>0</v>
      </c>
      <c r="AE12" s="1">
        <f t="shared" ref="AE12:AE18" si="16">O12*(1-P12)</f>
        <v>1</v>
      </c>
      <c r="AF12" s="1">
        <f t="shared" si="1"/>
        <v>0</v>
      </c>
      <c r="AG12" s="1">
        <f t="shared" si="2"/>
        <v>1</v>
      </c>
      <c r="AH12" s="1">
        <f t="shared" si="3"/>
        <v>0</v>
      </c>
      <c r="AI12" s="1">
        <f t="shared" si="4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945</v>
      </c>
      <c r="L13" s="46" t="s">
        <v>1672</v>
      </c>
      <c r="M13" s="47" t="s">
        <v>1100</v>
      </c>
      <c r="N13" s="47" t="s">
        <v>1702</v>
      </c>
      <c r="O13" s="48"/>
      <c r="P13" s="48"/>
      <c r="Q13" s="45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0</v>
      </c>
      <c r="AF13" s="1">
        <f t="shared" ref="AF13:AF19" si="17">+O13*P13*(1-A13)</f>
        <v>0</v>
      </c>
      <c r="AG13" s="1">
        <f t="shared" ref="AG13:AG19" si="18">O13*(1-P13)*(1-A13)</f>
        <v>0</v>
      </c>
      <c r="AH13" s="1">
        <f t="shared" ref="AH13:AH19" si="19">+P13*(1-A13)</f>
        <v>0</v>
      </c>
      <c r="AI13" s="1">
        <f t="shared" ref="AI13:AI19" si="20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1710</v>
      </c>
      <c r="O14" s="35">
        <v>1</v>
      </c>
      <c r="P14" s="35"/>
      <c r="Q14" s="32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1</v>
      </c>
      <c r="AF14" s="1">
        <f t="shared" si="17"/>
        <v>0</v>
      </c>
      <c r="AG14" s="1">
        <f t="shared" si="18"/>
        <v>1</v>
      </c>
      <c r="AH14" s="1">
        <f t="shared" si="19"/>
        <v>0</v>
      </c>
      <c r="AI14" s="1">
        <f t="shared" si="20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2116</v>
      </c>
      <c r="N15" s="47" t="s">
        <v>1770</v>
      </c>
      <c r="O15" s="48"/>
      <c r="P15" s="48"/>
      <c r="Q15" s="45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0</v>
      </c>
      <c r="AF15" s="1">
        <f t="shared" si="17"/>
        <v>0</v>
      </c>
      <c r="AG15" s="1">
        <f t="shared" si="18"/>
        <v>0</v>
      </c>
      <c r="AH15" s="1">
        <f t="shared" si="19"/>
        <v>0</v>
      </c>
      <c r="AI15" s="1">
        <f t="shared" si="20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0</v>
      </c>
      <c r="AE16" s="1">
        <f t="shared" si="16"/>
        <v>0</v>
      </c>
      <c r="AF16" s="1">
        <f t="shared" si="17"/>
        <v>0</v>
      </c>
      <c r="AG16" s="1">
        <f t="shared" si="18"/>
        <v>0</v>
      </c>
      <c r="AH16" s="1">
        <f t="shared" si="19"/>
        <v>1</v>
      </c>
      <c r="AI16" s="1">
        <f t="shared" si="20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1717</v>
      </c>
      <c r="O17" s="35">
        <v>1</v>
      </c>
      <c r="P17" s="35"/>
      <c r="Q17" s="32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1</v>
      </c>
      <c r="AF17" s="1">
        <f t="shared" si="17"/>
        <v>0</v>
      </c>
      <c r="AG17" s="1">
        <f t="shared" si="18"/>
        <v>1</v>
      </c>
      <c r="AH17" s="1">
        <f t="shared" si="19"/>
        <v>0</v>
      </c>
      <c r="AI17" s="1">
        <f t="shared" si="20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1763</v>
      </c>
      <c r="O18" s="48"/>
      <c r="P18" s="48"/>
      <c r="Q18" s="45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7"/>
        <v>0</v>
      </c>
      <c r="AG18" s="1">
        <f t="shared" si="18"/>
        <v>0</v>
      </c>
      <c r="AH18" s="1">
        <f t="shared" si="19"/>
        <v>0</v>
      </c>
      <c r="AI18" s="1">
        <f t="shared" si="20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1810</v>
      </c>
      <c r="O19" s="35">
        <v>1</v>
      </c>
      <c r="P19" s="35"/>
      <c r="Q19" s="32"/>
      <c r="S19" s="1">
        <f t="shared" ref="S19:S81" si="21">IF(J19=$S$7,1,0)</f>
        <v>0</v>
      </c>
      <c r="T19" s="1">
        <f t="shared" ref="T19:T81" si="22">IF(J19=$T$7,1,0)</f>
        <v>0</v>
      </c>
      <c r="U19" s="1">
        <f t="shared" ref="U19:U81" si="23">IF(J19=$U$7,1,0)</f>
        <v>0</v>
      </c>
      <c r="V19" s="1">
        <f t="shared" ref="V19:V81" si="24">IF(J19=$V$7,1,0)</f>
        <v>0</v>
      </c>
      <c r="W19" s="1">
        <f t="shared" ref="W19:W81" si="25">IF(J19=$W$7,1,0)</f>
        <v>0</v>
      </c>
      <c r="X19" s="1">
        <f t="shared" ref="X19:X81" si="26">IF(J19=$X$7,1,0)</f>
        <v>0</v>
      </c>
      <c r="Y19" s="1">
        <f t="shared" ref="Y19:Y81" si="27">IF(J19=$Y$7,1,0)</f>
        <v>0</v>
      </c>
      <c r="Z19" s="1">
        <f t="shared" ref="Z19:Z81" si="28">IF(J19=$Z$7,1,0)</f>
        <v>0</v>
      </c>
      <c r="AA19" s="1">
        <f t="shared" ref="AA19:AA81" si="29">IF(J19=$AA$7,1,0)</f>
        <v>0</v>
      </c>
      <c r="AB19" s="1">
        <f t="shared" ref="AB19:AB81" si="30">IF(J19=$AB$7,1,0)</f>
        <v>0</v>
      </c>
      <c r="AD19" s="1">
        <f t="shared" ref="AD19:AD81" si="31">+O19*P19</f>
        <v>0</v>
      </c>
      <c r="AE19" s="1">
        <f t="shared" ref="AE19:AE81" si="32">O19*(1-P19)</f>
        <v>1</v>
      </c>
      <c r="AF19" s="1">
        <f t="shared" si="17"/>
        <v>0</v>
      </c>
      <c r="AG19" s="1">
        <f t="shared" si="18"/>
        <v>1</v>
      </c>
      <c r="AH19" s="1">
        <f t="shared" si="19"/>
        <v>0</v>
      </c>
      <c r="AI19" s="1">
        <f t="shared" si="20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1853</v>
      </c>
      <c r="S20" s="1">
        <f t="shared" si="21"/>
        <v>0</v>
      </c>
      <c r="T20" s="1">
        <f t="shared" si="22"/>
        <v>0</v>
      </c>
      <c r="U20" s="1">
        <f t="shared" si="23"/>
        <v>0</v>
      </c>
      <c r="V20" s="1">
        <f t="shared" si="24"/>
        <v>0</v>
      </c>
      <c r="W20" s="1">
        <f t="shared" si="25"/>
        <v>0</v>
      </c>
      <c r="X20" s="1">
        <f t="shared" si="26"/>
        <v>0</v>
      </c>
      <c r="Y20" s="1">
        <f t="shared" si="27"/>
        <v>0</v>
      </c>
      <c r="Z20" s="1">
        <f t="shared" si="28"/>
        <v>0</v>
      </c>
      <c r="AA20" s="1">
        <f t="shared" si="29"/>
        <v>0</v>
      </c>
      <c r="AB20" s="1">
        <f t="shared" si="30"/>
        <v>0</v>
      </c>
      <c r="AD20" s="1">
        <f t="shared" si="31"/>
        <v>1</v>
      </c>
      <c r="AE20" s="1">
        <f t="shared" si="32"/>
        <v>0</v>
      </c>
      <c r="AF20" s="1">
        <f t="shared" ref="AF20:AF82" si="33">+O20*P20*(1-A20)</f>
        <v>1</v>
      </c>
      <c r="AG20" s="1">
        <f t="shared" ref="AG20:AG82" si="34">O20*(1-P20)*(1-A20)</f>
        <v>0</v>
      </c>
      <c r="AH20" s="1">
        <f t="shared" ref="AH20:AH82" si="35">+P20*(1-A20)</f>
        <v>1</v>
      </c>
      <c r="AI20" s="1">
        <f t="shared" ref="AI20:AI82" si="36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1"/>
        <v>0</v>
      </c>
      <c r="T21" s="1">
        <f t="shared" si="22"/>
        <v>0</v>
      </c>
      <c r="U21" s="1">
        <f t="shared" si="23"/>
        <v>0</v>
      </c>
      <c r="V21" s="1">
        <f t="shared" si="24"/>
        <v>0</v>
      </c>
      <c r="W21" s="1">
        <f t="shared" si="25"/>
        <v>0</v>
      </c>
      <c r="X21" s="1">
        <f t="shared" si="26"/>
        <v>0</v>
      </c>
      <c r="Y21" s="1">
        <f t="shared" si="27"/>
        <v>0</v>
      </c>
      <c r="Z21" s="1">
        <f t="shared" si="28"/>
        <v>0</v>
      </c>
      <c r="AA21" s="1">
        <f t="shared" si="29"/>
        <v>0</v>
      </c>
      <c r="AB21" s="1">
        <f t="shared" si="30"/>
        <v>0</v>
      </c>
      <c r="AD21" s="1">
        <f t="shared" si="31"/>
        <v>1</v>
      </c>
      <c r="AE21" s="1">
        <f t="shared" si="32"/>
        <v>0</v>
      </c>
      <c r="AF21" s="1">
        <f t="shared" si="33"/>
        <v>1</v>
      </c>
      <c r="AG21" s="1">
        <f t="shared" si="34"/>
        <v>0</v>
      </c>
      <c r="AH21" s="1">
        <f t="shared" si="35"/>
        <v>1</v>
      </c>
      <c r="AI21" s="1">
        <f t="shared" si="3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1"/>
        <v>0</v>
      </c>
      <c r="T22" s="1">
        <f t="shared" si="22"/>
        <v>0</v>
      </c>
      <c r="U22" s="1">
        <f t="shared" si="23"/>
        <v>0</v>
      </c>
      <c r="V22" s="1">
        <f t="shared" si="24"/>
        <v>0</v>
      </c>
      <c r="W22" s="1">
        <f t="shared" si="25"/>
        <v>0</v>
      </c>
      <c r="X22" s="1">
        <f t="shared" si="26"/>
        <v>0</v>
      </c>
      <c r="Y22" s="1">
        <f t="shared" si="27"/>
        <v>0</v>
      </c>
      <c r="Z22" s="1">
        <f t="shared" si="28"/>
        <v>0</v>
      </c>
      <c r="AA22" s="1">
        <f t="shared" si="29"/>
        <v>0</v>
      </c>
      <c r="AB22" s="1">
        <f t="shared" si="30"/>
        <v>0</v>
      </c>
      <c r="AD22" s="1">
        <f t="shared" si="31"/>
        <v>1</v>
      </c>
      <c r="AE22" s="1">
        <f t="shared" si="32"/>
        <v>0</v>
      </c>
      <c r="AF22" s="1">
        <f t="shared" si="33"/>
        <v>1</v>
      </c>
      <c r="AG22" s="1">
        <f t="shared" si="34"/>
        <v>0</v>
      </c>
      <c r="AH22" s="1">
        <f t="shared" si="35"/>
        <v>1</v>
      </c>
      <c r="AI22" s="1">
        <f t="shared" si="3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1706</v>
      </c>
      <c r="O23" s="35">
        <v>1</v>
      </c>
      <c r="P23" s="35"/>
      <c r="Q23" s="32"/>
      <c r="S23" s="1">
        <f t="shared" si="21"/>
        <v>1</v>
      </c>
      <c r="T23" s="1">
        <f t="shared" si="22"/>
        <v>0</v>
      </c>
      <c r="U23" s="1">
        <f t="shared" si="23"/>
        <v>0</v>
      </c>
      <c r="V23" s="1">
        <f t="shared" si="24"/>
        <v>0</v>
      </c>
      <c r="W23" s="1">
        <f t="shared" si="25"/>
        <v>0</v>
      </c>
      <c r="X23" s="1">
        <f t="shared" si="26"/>
        <v>0</v>
      </c>
      <c r="Y23" s="1">
        <f t="shared" si="27"/>
        <v>0</v>
      </c>
      <c r="Z23" s="1">
        <f t="shared" si="28"/>
        <v>0</v>
      </c>
      <c r="AA23" s="1">
        <f t="shared" si="29"/>
        <v>0</v>
      </c>
      <c r="AB23" s="1">
        <f t="shared" si="30"/>
        <v>0</v>
      </c>
      <c r="AD23" s="1">
        <f t="shared" si="31"/>
        <v>0</v>
      </c>
      <c r="AE23" s="1">
        <f t="shared" si="32"/>
        <v>1</v>
      </c>
      <c r="AF23" s="1">
        <f t="shared" si="33"/>
        <v>0</v>
      </c>
      <c r="AG23" s="1">
        <f t="shared" si="34"/>
        <v>1</v>
      </c>
      <c r="AH23" s="1">
        <f t="shared" si="35"/>
        <v>0</v>
      </c>
      <c r="AI23" s="1">
        <f t="shared" si="3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1"/>
        <v>1</v>
      </c>
      <c r="T24" s="1">
        <f t="shared" si="22"/>
        <v>0</v>
      </c>
      <c r="U24" s="1">
        <f t="shared" si="23"/>
        <v>0</v>
      </c>
      <c r="V24" s="1">
        <f t="shared" si="24"/>
        <v>0</v>
      </c>
      <c r="W24" s="1">
        <f t="shared" si="25"/>
        <v>0</v>
      </c>
      <c r="X24" s="1">
        <f t="shared" si="26"/>
        <v>0</v>
      </c>
      <c r="Y24" s="1">
        <f t="shared" si="27"/>
        <v>0</v>
      </c>
      <c r="Z24" s="1">
        <f t="shared" si="28"/>
        <v>0</v>
      </c>
      <c r="AA24" s="1">
        <f t="shared" si="29"/>
        <v>0</v>
      </c>
      <c r="AB24" s="1">
        <f t="shared" si="30"/>
        <v>0</v>
      </c>
      <c r="AD24" s="1">
        <f t="shared" si="31"/>
        <v>1</v>
      </c>
      <c r="AE24" s="1">
        <f t="shared" si="32"/>
        <v>0</v>
      </c>
      <c r="AF24" s="1">
        <f t="shared" si="33"/>
        <v>1</v>
      </c>
      <c r="AG24" s="1">
        <f t="shared" si="34"/>
        <v>0</v>
      </c>
      <c r="AH24" s="1">
        <f t="shared" si="35"/>
        <v>1</v>
      </c>
      <c r="AI24" s="1">
        <f t="shared" si="3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1711</v>
      </c>
      <c r="O25" s="35">
        <v>1</v>
      </c>
      <c r="P25" s="35"/>
      <c r="Q25" s="32"/>
      <c r="S25" s="1">
        <f t="shared" si="21"/>
        <v>0</v>
      </c>
      <c r="T25" s="1">
        <f t="shared" si="22"/>
        <v>0</v>
      </c>
      <c r="U25" s="1">
        <f t="shared" si="23"/>
        <v>0</v>
      </c>
      <c r="V25" s="1">
        <f t="shared" si="24"/>
        <v>0</v>
      </c>
      <c r="W25" s="1">
        <f t="shared" si="25"/>
        <v>0</v>
      </c>
      <c r="X25" s="1">
        <f t="shared" si="26"/>
        <v>0</v>
      </c>
      <c r="Y25" s="1">
        <f t="shared" si="27"/>
        <v>0</v>
      </c>
      <c r="Z25" s="1">
        <f t="shared" si="28"/>
        <v>0</v>
      </c>
      <c r="AA25" s="1">
        <f t="shared" si="29"/>
        <v>0</v>
      </c>
      <c r="AB25" s="1">
        <f t="shared" si="30"/>
        <v>0</v>
      </c>
      <c r="AD25" s="1">
        <f t="shared" si="31"/>
        <v>0</v>
      </c>
      <c r="AE25" s="1">
        <f t="shared" si="32"/>
        <v>1</v>
      </c>
      <c r="AF25" s="1">
        <f t="shared" si="33"/>
        <v>0</v>
      </c>
      <c r="AG25" s="1">
        <f t="shared" si="34"/>
        <v>1</v>
      </c>
      <c r="AH25" s="1">
        <f t="shared" si="35"/>
        <v>0</v>
      </c>
      <c r="AI25" s="1">
        <f t="shared" si="36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2111</v>
      </c>
      <c r="S26" s="1">
        <f t="shared" si="21"/>
        <v>0</v>
      </c>
      <c r="T26" s="1">
        <f t="shared" si="22"/>
        <v>0</v>
      </c>
      <c r="U26" s="1">
        <f t="shared" si="23"/>
        <v>0</v>
      </c>
      <c r="V26" s="1">
        <f t="shared" si="24"/>
        <v>0</v>
      </c>
      <c r="W26" s="1">
        <f t="shared" si="25"/>
        <v>0</v>
      </c>
      <c r="X26" s="1">
        <f t="shared" si="26"/>
        <v>0</v>
      </c>
      <c r="Y26" s="1">
        <f t="shared" si="27"/>
        <v>0</v>
      </c>
      <c r="Z26" s="1">
        <f t="shared" si="28"/>
        <v>0</v>
      </c>
      <c r="AA26" s="1">
        <f t="shared" si="29"/>
        <v>0</v>
      </c>
      <c r="AB26" s="1">
        <f t="shared" si="30"/>
        <v>0</v>
      </c>
      <c r="AD26" s="1">
        <f t="shared" si="31"/>
        <v>1</v>
      </c>
      <c r="AE26" s="1">
        <f t="shared" si="32"/>
        <v>0</v>
      </c>
      <c r="AF26" s="1">
        <f t="shared" si="33"/>
        <v>1</v>
      </c>
      <c r="AG26" s="1">
        <f t="shared" si="34"/>
        <v>0</v>
      </c>
      <c r="AH26" s="1">
        <f t="shared" si="35"/>
        <v>1</v>
      </c>
      <c r="AI26" s="1">
        <f t="shared" si="36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1762</v>
      </c>
      <c r="O27" s="35">
        <v>1</v>
      </c>
      <c r="P27" s="35"/>
      <c r="Q27" s="32"/>
      <c r="S27" s="1">
        <f t="shared" si="21"/>
        <v>1</v>
      </c>
      <c r="T27" s="1">
        <f t="shared" si="22"/>
        <v>0</v>
      </c>
      <c r="U27" s="1">
        <f t="shared" si="23"/>
        <v>0</v>
      </c>
      <c r="V27" s="1">
        <f t="shared" si="24"/>
        <v>0</v>
      </c>
      <c r="W27" s="1">
        <f t="shared" si="25"/>
        <v>0</v>
      </c>
      <c r="X27" s="1">
        <f t="shared" si="26"/>
        <v>0</v>
      </c>
      <c r="Y27" s="1">
        <f t="shared" si="27"/>
        <v>0</v>
      </c>
      <c r="Z27" s="1">
        <f t="shared" si="28"/>
        <v>0</v>
      </c>
      <c r="AA27" s="1">
        <f t="shared" si="29"/>
        <v>0</v>
      </c>
      <c r="AB27" s="1">
        <f t="shared" si="30"/>
        <v>0</v>
      </c>
      <c r="AD27" s="1">
        <f t="shared" si="31"/>
        <v>0</v>
      </c>
      <c r="AE27" s="1">
        <f t="shared" si="32"/>
        <v>1</v>
      </c>
      <c r="AF27" s="1">
        <f t="shared" si="33"/>
        <v>0</v>
      </c>
      <c r="AG27" s="1">
        <f t="shared" si="34"/>
        <v>1</v>
      </c>
      <c r="AH27" s="1">
        <f t="shared" si="35"/>
        <v>0</v>
      </c>
      <c r="AI27" s="1">
        <f t="shared" si="3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1872</v>
      </c>
      <c r="S28" s="1">
        <f t="shared" si="21"/>
        <v>1</v>
      </c>
      <c r="T28" s="1">
        <f t="shared" si="22"/>
        <v>0</v>
      </c>
      <c r="U28" s="1">
        <f t="shared" si="23"/>
        <v>0</v>
      </c>
      <c r="V28" s="1">
        <f t="shared" si="24"/>
        <v>0</v>
      </c>
      <c r="W28" s="1">
        <f t="shared" si="25"/>
        <v>0</v>
      </c>
      <c r="X28" s="1">
        <f t="shared" si="26"/>
        <v>0</v>
      </c>
      <c r="Y28" s="1">
        <f t="shared" si="27"/>
        <v>0</v>
      </c>
      <c r="Z28" s="1">
        <f t="shared" si="28"/>
        <v>0</v>
      </c>
      <c r="AA28" s="1">
        <f t="shared" si="29"/>
        <v>0</v>
      </c>
      <c r="AB28" s="1">
        <f t="shared" si="30"/>
        <v>0</v>
      </c>
      <c r="AD28" s="1">
        <f t="shared" si="31"/>
        <v>1</v>
      </c>
      <c r="AE28" s="1">
        <f t="shared" si="32"/>
        <v>0</v>
      </c>
      <c r="AF28" s="1">
        <f t="shared" si="33"/>
        <v>1</v>
      </c>
      <c r="AG28" s="1">
        <f t="shared" si="34"/>
        <v>0</v>
      </c>
      <c r="AH28" s="1">
        <f t="shared" si="35"/>
        <v>1</v>
      </c>
      <c r="AI28" s="1">
        <f t="shared" si="3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1718</v>
      </c>
      <c r="O29" s="35">
        <v>1</v>
      </c>
      <c r="P29" s="35"/>
      <c r="Q29" s="32"/>
      <c r="S29" s="1">
        <f t="shared" si="21"/>
        <v>0</v>
      </c>
      <c r="T29" s="1">
        <f t="shared" si="22"/>
        <v>0</v>
      </c>
      <c r="U29" s="1">
        <f t="shared" si="23"/>
        <v>0</v>
      </c>
      <c r="V29" s="1">
        <f t="shared" si="24"/>
        <v>0</v>
      </c>
      <c r="W29" s="1">
        <f t="shared" si="25"/>
        <v>0</v>
      </c>
      <c r="X29" s="1">
        <f t="shared" si="26"/>
        <v>0</v>
      </c>
      <c r="Y29" s="1">
        <f t="shared" si="27"/>
        <v>0</v>
      </c>
      <c r="Z29" s="1">
        <f t="shared" si="28"/>
        <v>1</v>
      </c>
      <c r="AA29" s="1">
        <f t="shared" si="29"/>
        <v>0</v>
      </c>
      <c r="AB29" s="1">
        <f t="shared" si="30"/>
        <v>0</v>
      </c>
      <c r="AD29" s="1">
        <f t="shared" si="31"/>
        <v>0</v>
      </c>
      <c r="AE29" s="1">
        <f t="shared" si="32"/>
        <v>1</v>
      </c>
      <c r="AF29" s="1">
        <f t="shared" si="33"/>
        <v>0</v>
      </c>
      <c r="AG29" s="1">
        <f t="shared" si="34"/>
        <v>1</v>
      </c>
      <c r="AH29" s="1">
        <f t="shared" si="35"/>
        <v>0</v>
      </c>
      <c r="AI29" s="1">
        <f t="shared" si="36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1"/>
        <v>0</v>
      </c>
      <c r="T30" s="1">
        <f t="shared" si="22"/>
        <v>0</v>
      </c>
      <c r="U30" s="1">
        <f t="shared" si="23"/>
        <v>0</v>
      </c>
      <c r="V30" s="1">
        <f t="shared" si="24"/>
        <v>0</v>
      </c>
      <c r="W30" s="1">
        <f t="shared" si="25"/>
        <v>0</v>
      </c>
      <c r="X30" s="1">
        <f t="shared" si="26"/>
        <v>0</v>
      </c>
      <c r="Y30" s="1">
        <f t="shared" si="27"/>
        <v>0</v>
      </c>
      <c r="Z30" s="1">
        <f t="shared" si="28"/>
        <v>0</v>
      </c>
      <c r="AA30" s="1">
        <f t="shared" si="29"/>
        <v>0</v>
      </c>
      <c r="AB30" s="1">
        <f t="shared" si="30"/>
        <v>0</v>
      </c>
      <c r="AD30" s="1">
        <f t="shared" si="31"/>
        <v>1</v>
      </c>
      <c r="AE30" s="1">
        <f t="shared" si="32"/>
        <v>0</v>
      </c>
      <c r="AF30" s="1">
        <f t="shared" si="33"/>
        <v>1</v>
      </c>
      <c r="AG30" s="1">
        <f t="shared" si="34"/>
        <v>0</v>
      </c>
      <c r="AH30" s="1">
        <f t="shared" si="35"/>
        <v>1</v>
      </c>
      <c r="AI30" s="1">
        <f t="shared" si="3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1866</v>
      </c>
      <c r="S31" s="1">
        <f t="shared" si="21"/>
        <v>0</v>
      </c>
      <c r="T31" s="1">
        <f t="shared" si="22"/>
        <v>0</v>
      </c>
      <c r="U31" s="1">
        <f t="shared" si="23"/>
        <v>0</v>
      </c>
      <c r="V31" s="1">
        <f t="shared" si="24"/>
        <v>0</v>
      </c>
      <c r="W31" s="1">
        <f t="shared" si="25"/>
        <v>0</v>
      </c>
      <c r="X31" s="1">
        <f t="shared" si="26"/>
        <v>0</v>
      </c>
      <c r="Y31" s="1">
        <f t="shared" si="27"/>
        <v>0</v>
      </c>
      <c r="Z31" s="1">
        <f t="shared" si="28"/>
        <v>0</v>
      </c>
      <c r="AA31" s="1">
        <f t="shared" si="29"/>
        <v>0</v>
      </c>
      <c r="AB31" s="1">
        <f t="shared" si="30"/>
        <v>0</v>
      </c>
      <c r="AD31" s="1">
        <f t="shared" si="31"/>
        <v>0</v>
      </c>
      <c r="AE31" s="1">
        <f t="shared" si="32"/>
        <v>0</v>
      </c>
      <c r="AF31" s="1">
        <f t="shared" si="33"/>
        <v>0</v>
      </c>
      <c r="AG31" s="1">
        <f t="shared" si="34"/>
        <v>0</v>
      </c>
      <c r="AH31" s="1">
        <f t="shared" si="35"/>
        <v>0</v>
      </c>
      <c r="AI31" s="1">
        <f t="shared" si="3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1718</v>
      </c>
      <c r="O32" s="35">
        <v>1</v>
      </c>
      <c r="P32" s="35"/>
      <c r="Q32" s="36"/>
      <c r="S32" s="1">
        <f t="shared" si="21"/>
        <v>0</v>
      </c>
      <c r="T32" s="1">
        <f t="shared" si="22"/>
        <v>0</v>
      </c>
      <c r="U32" s="1">
        <f t="shared" si="23"/>
        <v>0</v>
      </c>
      <c r="V32" s="1">
        <f t="shared" si="24"/>
        <v>0</v>
      </c>
      <c r="W32" s="1">
        <f t="shared" si="25"/>
        <v>0</v>
      </c>
      <c r="X32" s="1">
        <f t="shared" si="26"/>
        <v>0</v>
      </c>
      <c r="Y32" s="1">
        <f t="shared" si="27"/>
        <v>0</v>
      </c>
      <c r="Z32" s="1">
        <f t="shared" si="28"/>
        <v>0</v>
      </c>
      <c r="AA32" s="1">
        <f t="shared" si="29"/>
        <v>1</v>
      </c>
      <c r="AB32" s="1">
        <f t="shared" si="30"/>
        <v>0</v>
      </c>
      <c r="AD32" s="1">
        <f t="shared" si="31"/>
        <v>0</v>
      </c>
      <c r="AE32" s="1">
        <f t="shared" si="32"/>
        <v>1</v>
      </c>
      <c r="AF32" s="1">
        <f t="shared" si="33"/>
        <v>0</v>
      </c>
      <c r="AG32" s="1">
        <f t="shared" si="34"/>
        <v>1</v>
      </c>
      <c r="AH32" s="1">
        <f t="shared" si="35"/>
        <v>0</v>
      </c>
      <c r="AI32" s="1">
        <f t="shared" si="3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1751</v>
      </c>
      <c r="O33" s="35">
        <v>1</v>
      </c>
      <c r="P33" s="35"/>
      <c r="Q33" s="36"/>
      <c r="S33" s="1">
        <f t="shared" si="21"/>
        <v>0</v>
      </c>
      <c r="T33" s="1">
        <f t="shared" si="22"/>
        <v>0</v>
      </c>
      <c r="U33" s="1">
        <f t="shared" si="23"/>
        <v>0</v>
      </c>
      <c r="V33" s="1">
        <f t="shared" si="24"/>
        <v>0</v>
      </c>
      <c r="W33" s="1">
        <f t="shared" si="25"/>
        <v>0</v>
      </c>
      <c r="X33" s="1">
        <f t="shared" si="26"/>
        <v>0</v>
      </c>
      <c r="Y33" s="1">
        <f t="shared" si="27"/>
        <v>0</v>
      </c>
      <c r="Z33" s="1">
        <f t="shared" si="28"/>
        <v>1</v>
      </c>
      <c r="AA33" s="1">
        <f t="shared" si="29"/>
        <v>0</v>
      </c>
      <c r="AB33" s="1">
        <f t="shared" si="30"/>
        <v>0</v>
      </c>
      <c r="AD33" s="1">
        <f t="shared" si="31"/>
        <v>0</v>
      </c>
      <c r="AE33" s="1">
        <f t="shared" si="32"/>
        <v>1</v>
      </c>
      <c r="AF33" s="1">
        <f t="shared" si="33"/>
        <v>0</v>
      </c>
      <c r="AG33" s="1">
        <f t="shared" si="34"/>
        <v>1</v>
      </c>
      <c r="AH33" s="1">
        <f t="shared" si="35"/>
        <v>0</v>
      </c>
      <c r="AI33" s="1">
        <f t="shared" si="3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1880</v>
      </c>
      <c r="S34" s="1">
        <f t="shared" si="21"/>
        <v>0</v>
      </c>
      <c r="T34" s="1">
        <f t="shared" si="22"/>
        <v>0</v>
      </c>
      <c r="U34" s="1">
        <f t="shared" si="23"/>
        <v>0</v>
      </c>
      <c r="V34" s="1">
        <f t="shared" si="24"/>
        <v>0</v>
      </c>
      <c r="W34" s="1">
        <f t="shared" si="25"/>
        <v>0</v>
      </c>
      <c r="X34" s="1">
        <f t="shared" si="26"/>
        <v>0</v>
      </c>
      <c r="Y34" s="1">
        <f t="shared" si="27"/>
        <v>0</v>
      </c>
      <c r="Z34" s="1">
        <f t="shared" si="28"/>
        <v>0</v>
      </c>
      <c r="AA34" s="1">
        <f t="shared" si="29"/>
        <v>0</v>
      </c>
      <c r="AB34" s="1">
        <f t="shared" si="30"/>
        <v>0</v>
      </c>
      <c r="AD34" s="1">
        <f t="shared" si="31"/>
        <v>1</v>
      </c>
      <c r="AE34" s="1">
        <f t="shared" si="32"/>
        <v>0</v>
      </c>
      <c r="AF34" s="1">
        <f t="shared" si="33"/>
        <v>1</v>
      </c>
      <c r="AG34" s="1">
        <f t="shared" si="34"/>
        <v>0</v>
      </c>
      <c r="AH34" s="1">
        <f t="shared" si="35"/>
        <v>1</v>
      </c>
      <c r="AI34" s="1">
        <f t="shared" si="3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1703</v>
      </c>
      <c r="O35" s="48"/>
      <c r="P35" s="48"/>
      <c r="Q35" s="57"/>
      <c r="S35" s="1">
        <f t="shared" si="21"/>
        <v>0</v>
      </c>
      <c r="T35" s="1">
        <f t="shared" si="22"/>
        <v>0</v>
      </c>
      <c r="U35" s="1">
        <f t="shared" si="23"/>
        <v>0</v>
      </c>
      <c r="V35" s="1">
        <f t="shared" si="24"/>
        <v>0</v>
      </c>
      <c r="W35" s="1">
        <f t="shared" si="25"/>
        <v>0</v>
      </c>
      <c r="X35" s="1">
        <f t="shared" si="26"/>
        <v>0</v>
      </c>
      <c r="Y35" s="1">
        <f t="shared" si="27"/>
        <v>0</v>
      </c>
      <c r="Z35" s="1">
        <f t="shared" si="28"/>
        <v>0</v>
      </c>
      <c r="AA35" s="1">
        <f t="shared" si="29"/>
        <v>0</v>
      </c>
      <c r="AB35" s="1">
        <f t="shared" si="30"/>
        <v>0</v>
      </c>
      <c r="AD35" s="1">
        <f t="shared" si="31"/>
        <v>0</v>
      </c>
      <c r="AE35" s="1">
        <f t="shared" si="32"/>
        <v>0</v>
      </c>
      <c r="AF35" s="1">
        <f t="shared" si="33"/>
        <v>0</v>
      </c>
      <c r="AG35" s="1">
        <f t="shared" si="34"/>
        <v>0</v>
      </c>
      <c r="AH35" s="1">
        <f t="shared" si="35"/>
        <v>0</v>
      </c>
      <c r="AI35" s="1">
        <f t="shared" si="36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1786</v>
      </c>
      <c r="O36" s="35">
        <v>1</v>
      </c>
      <c r="P36" s="35"/>
      <c r="Q36" s="36"/>
      <c r="S36" s="1">
        <f t="shared" si="21"/>
        <v>0</v>
      </c>
      <c r="T36" s="1">
        <f t="shared" si="22"/>
        <v>0</v>
      </c>
      <c r="U36" s="1">
        <f t="shared" si="23"/>
        <v>0</v>
      </c>
      <c r="V36" s="1">
        <f t="shared" si="24"/>
        <v>0</v>
      </c>
      <c r="W36" s="1">
        <f t="shared" si="25"/>
        <v>0</v>
      </c>
      <c r="X36" s="1">
        <f t="shared" si="26"/>
        <v>0</v>
      </c>
      <c r="Y36" s="1">
        <f t="shared" si="27"/>
        <v>0</v>
      </c>
      <c r="Z36" s="1">
        <f t="shared" si="28"/>
        <v>0</v>
      </c>
      <c r="AA36" s="1">
        <f t="shared" si="29"/>
        <v>0</v>
      </c>
      <c r="AB36" s="1">
        <f t="shared" si="30"/>
        <v>0</v>
      </c>
      <c r="AD36" s="1">
        <f t="shared" si="31"/>
        <v>0</v>
      </c>
      <c r="AE36" s="1">
        <f t="shared" si="32"/>
        <v>1</v>
      </c>
      <c r="AF36" s="1">
        <f t="shared" si="33"/>
        <v>0</v>
      </c>
      <c r="AG36" s="1">
        <f t="shared" si="34"/>
        <v>1</v>
      </c>
      <c r="AH36" s="1">
        <f t="shared" si="35"/>
        <v>0</v>
      </c>
      <c r="AI36" s="1">
        <f t="shared" si="3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1724</v>
      </c>
      <c r="E37" s="36" t="s">
        <v>154</v>
      </c>
      <c r="F37" s="36" t="s">
        <v>1725</v>
      </c>
      <c r="G37" s="36"/>
      <c r="H37" s="36" t="s">
        <v>1726</v>
      </c>
      <c r="I37" s="37" t="s">
        <v>1727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1"/>
        <v>0</v>
      </c>
      <c r="T37" s="1">
        <f t="shared" si="22"/>
        <v>0</v>
      </c>
      <c r="U37" s="1">
        <f t="shared" si="23"/>
        <v>0</v>
      </c>
      <c r="V37" s="1">
        <f t="shared" si="24"/>
        <v>0</v>
      </c>
      <c r="W37" s="1">
        <f t="shared" si="25"/>
        <v>0</v>
      </c>
      <c r="X37" s="1">
        <f t="shared" si="26"/>
        <v>0</v>
      </c>
      <c r="Y37" s="1">
        <f t="shared" si="27"/>
        <v>0</v>
      </c>
      <c r="Z37" s="1">
        <f t="shared" si="28"/>
        <v>0</v>
      </c>
      <c r="AA37" s="1">
        <f t="shared" si="29"/>
        <v>0</v>
      </c>
      <c r="AB37" s="1">
        <f t="shared" si="30"/>
        <v>0</v>
      </c>
      <c r="AD37" s="1">
        <f t="shared" si="31"/>
        <v>1</v>
      </c>
      <c r="AE37" s="1">
        <f t="shared" si="32"/>
        <v>0</v>
      </c>
      <c r="AF37" s="1">
        <f t="shared" si="33"/>
        <v>1</v>
      </c>
      <c r="AG37" s="1">
        <f t="shared" si="34"/>
        <v>0</v>
      </c>
      <c r="AH37" s="1">
        <f t="shared" si="35"/>
        <v>1</v>
      </c>
      <c r="AI37" s="1">
        <f t="shared" si="3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1710</v>
      </c>
      <c r="O38" s="35">
        <v>1</v>
      </c>
      <c r="P38" s="35"/>
      <c r="Q38" s="36"/>
      <c r="S38" s="1">
        <f t="shared" si="21"/>
        <v>1</v>
      </c>
      <c r="T38" s="1">
        <f t="shared" si="22"/>
        <v>0</v>
      </c>
      <c r="U38" s="1">
        <f t="shared" si="23"/>
        <v>0</v>
      </c>
      <c r="V38" s="1">
        <f t="shared" si="24"/>
        <v>0</v>
      </c>
      <c r="W38" s="1">
        <f t="shared" si="25"/>
        <v>0</v>
      </c>
      <c r="X38" s="1">
        <f t="shared" si="26"/>
        <v>0</v>
      </c>
      <c r="Y38" s="1">
        <f t="shared" si="27"/>
        <v>0</v>
      </c>
      <c r="Z38" s="1">
        <f t="shared" si="28"/>
        <v>0</v>
      </c>
      <c r="AA38" s="1">
        <f t="shared" si="29"/>
        <v>0</v>
      </c>
      <c r="AB38" s="1">
        <f t="shared" si="30"/>
        <v>0</v>
      </c>
      <c r="AD38" s="1">
        <f t="shared" si="31"/>
        <v>0</v>
      </c>
      <c r="AE38" s="1">
        <f t="shared" si="32"/>
        <v>1</v>
      </c>
      <c r="AF38" s="1">
        <f t="shared" si="33"/>
        <v>0</v>
      </c>
      <c r="AG38" s="1">
        <f t="shared" si="34"/>
        <v>1</v>
      </c>
      <c r="AH38" s="1">
        <f t="shared" si="35"/>
        <v>0</v>
      </c>
      <c r="AI38" s="1">
        <f t="shared" si="3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1713</v>
      </c>
      <c r="E39" s="36" t="s">
        <v>1714</v>
      </c>
      <c r="F39" s="36" t="s">
        <v>1715</v>
      </c>
      <c r="G39" s="36" t="s">
        <v>319</v>
      </c>
      <c r="H39" s="36" t="s">
        <v>352</v>
      </c>
      <c r="I39" s="37" t="s">
        <v>1716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1"/>
        <v>0</v>
      </c>
      <c r="T39" s="1">
        <f t="shared" si="22"/>
        <v>0</v>
      </c>
      <c r="U39" s="1">
        <f t="shared" si="23"/>
        <v>0</v>
      </c>
      <c r="V39" s="1">
        <f t="shared" si="24"/>
        <v>0</v>
      </c>
      <c r="W39" s="1">
        <f t="shared" si="25"/>
        <v>0</v>
      </c>
      <c r="X39" s="1">
        <f t="shared" si="26"/>
        <v>0</v>
      </c>
      <c r="Y39" s="1">
        <f t="shared" si="27"/>
        <v>0</v>
      </c>
      <c r="Z39" s="1">
        <f t="shared" si="28"/>
        <v>0</v>
      </c>
      <c r="AA39" s="1">
        <f t="shared" si="29"/>
        <v>0</v>
      </c>
      <c r="AB39" s="1">
        <f t="shared" si="30"/>
        <v>0</v>
      </c>
      <c r="AD39" s="1">
        <f t="shared" si="31"/>
        <v>1</v>
      </c>
      <c r="AE39" s="1">
        <f t="shared" si="32"/>
        <v>0</v>
      </c>
      <c r="AF39" s="1">
        <f t="shared" si="33"/>
        <v>1</v>
      </c>
      <c r="AG39" s="1">
        <f t="shared" si="34"/>
        <v>0</v>
      </c>
      <c r="AH39" s="1">
        <f t="shared" si="35"/>
        <v>1</v>
      </c>
      <c r="AI39" s="1">
        <f t="shared" si="3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1770</v>
      </c>
      <c r="O40" s="48"/>
      <c r="P40" s="48"/>
      <c r="Q40" s="57"/>
      <c r="S40" s="1">
        <f t="shared" si="21"/>
        <v>0</v>
      </c>
      <c r="T40" s="1">
        <f t="shared" si="22"/>
        <v>0</v>
      </c>
      <c r="U40" s="1">
        <f t="shared" si="23"/>
        <v>0</v>
      </c>
      <c r="V40" s="1">
        <f t="shared" si="24"/>
        <v>0</v>
      </c>
      <c r="W40" s="1">
        <f t="shared" si="25"/>
        <v>0</v>
      </c>
      <c r="X40" s="1">
        <f t="shared" si="26"/>
        <v>0</v>
      </c>
      <c r="Y40" s="1">
        <f t="shared" si="27"/>
        <v>0</v>
      </c>
      <c r="Z40" s="1">
        <f t="shared" si="28"/>
        <v>1</v>
      </c>
      <c r="AA40" s="1">
        <f t="shared" si="29"/>
        <v>0</v>
      </c>
      <c r="AB40" s="1">
        <f t="shared" si="30"/>
        <v>0</v>
      </c>
      <c r="AD40" s="1">
        <f t="shared" si="31"/>
        <v>0</v>
      </c>
      <c r="AE40" s="1">
        <f t="shared" si="32"/>
        <v>0</v>
      </c>
      <c r="AF40" s="1">
        <f t="shared" si="33"/>
        <v>0</v>
      </c>
      <c r="AG40" s="1">
        <f t="shared" si="34"/>
        <v>0</v>
      </c>
      <c r="AH40" s="1">
        <f t="shared" si="35"/>
        <v>0</v>
      </c>
      <c r="AI40" s="1">
        <f t="shared" si="3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1"/>
        <v>0</v>
      </c>
      <c r="T41" s="1">
        <f t="shared" si="22"/>
        <v>0</v>
      </c>
      <c r="U41" s="1">
        <f t="shared" si="23"/>
        <v>0</v>
      </c>
      <c r="V41" s="1">
        <f t="shared" si="24"/>
        <v>0</v>
      </c>
      <c r="W41" s="1">
        <f t="shared" si="25"/>
        <v>0</v>
      </c>
      <c r="X41" s="1">
        <f t="shared" si="26"/>
        <v>0</v>
      </c>
      <c r="Y41" s="1">
        <f t="shared" si="27"/>
        <v>0</v>
      </c>
      <c r="Z41" s="1">
        <f t="shared" si="28"/>
        <v>0</v>
      </c>
      <c r="AA41" s="1">
        <f t="shared" si="29"/>
        <v>0</v>
      </c>
      <c r="AB41" s="1">
        <f t="shared" si="30"/>
        <v>0</v>
      </c>
      <c r="AD41" s="1">
        <f t="shared" si="31"/>
        <v>1</v>
      </c>
      <c r="AE41" s="1">
        <f t="shared" si="32"/>
        <v>0</v>
      </c>
      <c r="AF41" s="1">
        <f t="shared" si="33"/>
        <v>1</v>
      </c>
      <c r="AG41" s="1">
        <f t="shared" si="34"/>
        <v>0</v>
      </c>
      <c r="AH41" s="1">
        <f t="shared" si="35"/>
        <v>1</v>
      </c>
      <c r="AI41" s="1">
        <f t="shared" si="3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1786</v>
      </c>
      <c r="O42" s="35">
        <v>1</v>
      </c>
      <c r="P42" s="35"/>
      <c r="Q42" s="32"/>
      <c r="S42" s="1">
        <f t="shared" si="21"/>
        <v>0</v>
      </c>
      <c r="T42" s="1">
        <f t="shared" si="22"/>
        <v>0</v>
      </c>
      <c r="U42" s="1">
        <f t="shared" si="23"/>
        <v>0</v>
      </c>
      <c r="V42" s="1">
        <f t="shared" si="24"/>
        <v>0</v>
      </c>
      <c r="W42" s="1">
        <f t="shared" si="25"/>
        <v>0</v>
      </c>
      <c r="X42" s="1">
        <f t="shared" si="26"/>
        <v>0</v>
      </c>
      <c r="Y42" s="1">
        <f t="shared" si="27"/>
        <v>0</v>
      </c>
      <c r="Z42" s="1">
        <f t="shared" si="28"/>
        <v>0</v>
      </c>
      <c r="AA42" s="1">
        <f t="shared" si="29"/>
        <v>0</v>
      </c>
      <c r="AB42" s="1">
        <f t="shared" si="30"/>
        <v>0</v>
      </c>
      <c r="AD42" s="1">
        <f t="shared" si="31"/>
        <v>0</v>
      </c>
      <c r="AE42" s="1">
        <f t="shared" si="32"/>
        <v>1</v>
      </c>
      <c r="AF42" s="1">
        <f t="shared" si="33"/>
        <v>0</v>
      </c>
      <c r="AG42" s="1">
        <f t="shared" si="34"/>
        <v>1</v>
      </c>
      <c r="AH42" s="1">
        <f t="shared" si="35"/>
        <v>0</v>
      </c>
      <c r="AI42" s="1">
        <f t="shared" si="3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1776</v>
      </c>
      <c r="E43" s="45" t="s">
        <v>174</v>
      </c>
      <c r="F43" s="45" t="s">
        <v>1777</v>
      </c>
      <c r="G43" s="45" t="s">
        <v>193</v>
      </c>
      <c r="H43" s="45" t="s">
        <v>352</v>
      </c>
      <c r="I43" s="44" t="s">
        <v>1778</v>
      </c>
      <c r="J43" s="44">
        <v>9</v>
      </c>
      <c r="K43" s="46" t="s">
        <v>694</v>
      </c>
      <c r="L43" s="46">
        <v>60</v>
      </c>
      <c r="M43" s="47" t="s">
        <v>1779</v>
      </c>
      <c r="N43" s="47" t="s">
        <v>1770</v>
      </c>
      <c r="O43" s="48"/>
      <c r="P43" s="48"/>
      <c r="Q43" s="45"/>
      <c r="S43" s="1">
        <f t="shared" si="21"/>
        <v>0</v>
      </c>
      <c r="T43" s="1">
        <f t="shared" si="22"/>
        <v>0</v>
      </c>
      <c r="U43" s="1">
        <f t="shared" si="23"/>
        <v>0</v>
      </c>
      <c r="V43" s="1">
        <f t="shared" si="24"/>
        <v>0</v>
      </c>
      <c r="W43" s="1">
        <f t="shared" si="25"/>
        <v>0</v>
      </c>
      <c r="X43" s="1">
        <f t="shared" si="26"/>
        <v>0</v>
      </c>
      <c r="Y43" s="1">
        <f t="shared" si="27"/>
        <v>0</v>
      </c>
      <c r="Z43" s="1">
        <f t="shared" si="28"/>
        <v>0</v>
      </c>
      <c r="AA43" s="1">
        <f t="shared" si="29"/>
        <v>1</v>
      </c>
      <c r="AB43" s="1">
        <f t="shared" si="30"/>
        <v>0</v>
      </c>
      <c r="AD43" s="1">
        <f t="shared" si="31"/>
        <v>0</v>
      </c>
      <c r="AE43" s="1">
        <f t="shared" si="32"/>
        <v>0</v>
      </c>
      <c r="AF43" s="1">
        <f t="shared" si="33"/>
        <v>0</v>
      </c>
      <c r="AG43" s="1">
        <f t="shared" si="34"/>
        <v>0</v>
      </c>
      <c r="AH43" s="1">
        <f t="shared" si="35"/>
        <v>0</v>
      </c>
      <c r="AI43" s="1">
        <f t="shared" si="36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1723</v>
      </c>
      <c r="O44" s="35">
        <v>1</v>
      </c>
      <c r="P44" s="35"/>
      <c r="Q44" s="32" t="s">
        <v>1867</v>
      </c>
      <c r="S44" s="1">
        <f t="shared" si="21"/>
        <v>0</v>
      </c>
      <c r="T44" s="1">
        <f t="shared" si="22"/>
        <v>1</v>
      </c>
      <c r="U44" s="1">
        <f t="shared" si="23"/>
        <v>0</v>
      </c>
      <c r="V44" s="1">
        <f t="shared" si="24"/>
        <v>0</v>
      </c>
      <c r="W44" s="1">
        <f t="shared" si="25"/>
        <v>0</v>
      </c>
      <c r="X44" s="1">
        <f t="shared" si="26"/>
        <v>0</v>
      </c>
      <c r="Y44" s="1">
        <f t="shared" si="27"/>
        <v>0</v>
      </c>
      <c r="Z44" s="1">
        <f t="shared" si="28"/>
        <v>0</v>
      </c>
      <c r="AA44" s="1">
        <f t="shared" si="29"/>
        <v>0</v>
      </c>
      <c r="AB44" s="1">
        <f t="shared" si="30"/>
        <v>0</v>
      </c>
      <c r="AD44" s="1">
        <f t="shared" si="31"/>
        <v>0</v>
      </c>
      <c r="AE44" s="1">
        <f t="shared" si="32"/>
        <v>1</v>
      </c>
      <c r="AF44" s="1">
        <f t="shared" si="33"/>
        <v>0</v>
      </c>
      <c r="AG44" s="1">
        <f t="shared" si="34"/>
        <v>1</v>
      </c>
      <c r="AH44" s="1">
        <f t="shared" si="35"/>
        <v>0</v>
      </c>
      <c r="AI44" s="1">
        <f t="shared" si="3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1"/>
        <v>0</v>
      </c>
      <c r="T45" s="1">
        <f t="shared" si="22"/>
        <v>0</v>
      </c>
      <c r="U45" s="1">
        <f t="shared" si="23"/>
        <v>0</v>
      </c>
      <c r="V45" s="1">
        <f t="shared" si="24"/>
        <v>0</v>
      </c>
      <c r="W45" s="1">
        <f t="shared" si="25"/>
        <v>0</v>
      </c>
      <c r="X45" s="1">
        <f t="shared" si="26"/>
        <v>0</v>
      </c>
      <c r="Y45" s="1">
        <f t="shared" si="27"/>
        <v>0</v>
      </c>
      <c r="Z45" s="1">
        <f t="shared" si="28"/>
        <v>0</v>
      </c>
      <c r="AA45" s="1">
        <f t="shared" si="29"/>
        <v>0</v>
      </c>
      <c r="AB45" s="1">
        <f t="shared" si="30"/>
        <v>0</v>
      </c>
      <c r="AD45" s="1">
        <f t="shared" si="31"/>
        <v>1</v>
      </c>
      <c r="AE45" s="1">
        <f t="shared" si="32"/>
        <v>0</v>
      </c>
      <c r="AF45" s="1">
        <f t="shared" si="33"/>
        <v>1</v>
      </c>
      <c r="AG45" s="1">
        <f t="shared" si="34"/>
        <v>0</v>
      </c>
      <c r="AH45" s="1">
        <f t="shared" si="35"/>
        <v>1</v>
      </c>
      <c r="AI45" s="1">
        <f t="shared" si="36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2124</v>
      </c>
      <c r="E46" s="32" t="s">
        <v>174</v>
      </c>
      <c r="F46" s="32" t="s">
        <v>2125</v>
      </c>
      <c r="G46" s="32" t="s">
        <v>177</v>
      </c>
      <c r="H46" s="32" t="s">
        <v>352</v>
      </c>
      <c r="I46" s="31" t="s">
        <v>2126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2127</v>
      </c>
      <c r="S46" s="1">
        <f t="shared" si="21"/>
        <v>1</v>
      </c>
      <c r="T46" s="1">
        <f t="shared" si="22"/>
        <v>0</v>
      </c>
      <c r="U46" s="1">
        <f t="shared" si="23"/>
        <v>0</v>
      </c>
      <c r="V46" s="1">
        <f t="shared" si="24"/>
        <v>0</v>
      </c>
      <c r="W46" s="1">
        <f t="shared" si="25"/>
        <v>0</v>
      </c>
      <c r="X46" s="1">
        <f t="shared" si="26"/>
        <v>0</v>
      </c>
      <c r="Y46" s="1">
        <f t="shared" si="27"/>
        <v>0</v>
      </c>
      <c r="Z46" s="1">
        <f t="shared" si="28"/>
        <v>0</v>
      </c>
      <c r="AA46" s="1">
        <f t="shared" si="29"/>
        <v>0</v>
      </c>
      <c r="AB46" s="1">
        <f t="shared" si="30"/>
        <v>0</v>
      </c>
      <c r="AD46" s="1">
        <f t="shared" si="31"/>
        <v>1</v>
      </c>
      <c r="AE46" s="1">
        <f t="shared" si="32"/>
        <v>0</v>
      </c>
      <c r="AF46" s="1">
        <f t="shared" si="33"/>
        <v>1</v>
      </c>
      <c r="AG46" s="1">
        <f t="shared" si="34"/>
        <v>0</v>
      </c>
      <c r="AH46" s="1">
        <f t="shared" si="35"/>
        <v>1</v>
      </c>
      <c r="AI46" s="1">
        <f t="shared" si="36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1786</v>
      </c>
      <c r="O47" s="35">
        <v>1</v>
      </c>
      <c r="P47" s="35"/>
      <c r="Q47" s="32"/>
      <c r="S47" s="1">
        <f t="shared" si="21"/>
        <v>0</v>
      </c>
      <c r="T47" s="1">
        <f t="shared" si="22"/>
        <v>0</v>
      </c>
      <c r="U47" s="1">
        <f t="shared" si="23"/>
        <v>0</v>
      </c>
      <c r="V47" s="1">
        <f t="shared" si="24"/>
        <v>0</v>
      </c>
      <c r="W47" s="1">
        <f t="shared" si="25"/>
        <v>0</v>
      </c>
      <c r="X47" s="1">
        <f t="shared" si="26"/>
        <v>0</v>
      </c>
      <c r="Y47" s="1">
        <f t="shared" si="27"/>
        <v>0</v>
      </c>
      <c r="Z47" s="1">
        <f t="shared" si="28"/>
        <v>0</v>
      </c>
      <c r="AA47" s="1">
        <f t="shared" si="29"/>
        <v>0</v>
      </c>
      <c r="AB47" s="1">
        <f t="shared" si="30"/>
        <v>0</v>
      </c>
      <c r="AD47" s="1">
        <f t="shared" si="31"/>
        <v>0</v>
      </c>
      <c r="AE47" s="1">
        <f t="shared" si="32"/>
        <v>1</v>
      </c>
      <c r="AF47" s="1">
        <f t="shared" si="33"/>
        <v>0</v>
      </c>
      <c r="AG47" s="1">
        <f t="shared" si="34"/>
        <v>1</v>
      </c>
      <c r="AH47" s="1">
        <f t="shared" si="35"/>
        <v>0</v>
      </c>
      <c r="AI47" s="1">
        <f t="shared" si="36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1"/>
        <v>0</v>
      </c>
      <c r="T48" s="1">
        <f t="shared" si="22"/>
        <v>0</v>
      </c>
      <c r="U48" s="1">
        <f t="shared" si="23"/>
        <v>0</v>
      </c>
      <c r="V48" s="1">
        <f t="shared" si="24"/>
        <v>0</v>
      </c>
      <c r="W48" s="1">
        <f t="shared" si="25"/>
        <v>0</v>
      </c>
      <c r="X48" s="1">
        <f t="shared" si="26"/>
        <v>0</v>
      </c>
      <c r="Y48" s="1">
        <f t="shared" si="27"/>
        <v>0</v>
      </c>
      <c r="Z48" s="1">
        <f t="shared" si="28"/>
        <v>0</v>
      </c>
      <c r="AA48" s="1">
        <f t="shared" si="29"/>
        <v>0</v>
      </c>
      <c r="AB48" s="1">
        <f t="shared" si="30"/>
        <v>0</v>
      </c>
      <c r="AD48" s="1">
        <f t="shared" si="31"/>
        <v>1</v>
      </c>
      <c r="AE48" s="1">
        <f t="shared" si="32"/>
        <v>0</v>
      </c>
      <c r="AF48" s="1">
        <f t="shared" si="33"/>
        <v>1</v>
      </c>
      <c r="AG48" s="1">
        <f t="shared" si="34"/>
        <v>0</v>
      </c>
      <c r="AH48" s="1">
        <f t="shared" si="35"/>
        <v>1</v>
      </c>
      <c r="AI48" s="1">
        <f t="shared" si="36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1751</v>
      </c>
      <c r="O49" s="35">
        <v>1</v>
      </c>
      <c r="P49" s="35"/>
      <c r="Q49" s="32"/>
      <c r="S49" s="1">
        <f t="shared" si="21"/>
        <v>0</v>
      </c>
      <c r="T49" s="1">
        <f t="shared" si="22"/>
        <v>1</v>
      </c>
      <c r="U49" s="1">
        <f t="shared" si="23"/>
        <v>0</v>
      </c>
      <c r="V49" s="1">
        <f t="shared" si="24"/>
        <v>0</v>
      </c>
      <c r="W49" s="1">
        <f t="shared" si="25"/>
        <v>0</v>
      </c>
      <c r="X49" s="1">
        <f t="shared" si="26"/>
        <v>0</v>
      </c>
      <c r="Y49" s="1">
        <f t="shared" si="27"/>
        <v>0</v>
      </c>
      <c r="Z49" s="1">
        <f t="shared" si="28"/>
        <v>0</v>
      </c>
      <c r="AA49" s="1">
        <f t="shared" si="29"/>
        <v>0</v>
      </c>
      <c r="AB49" s="1">
        <f t="shared" si="30"/>
        <v>0</v>
      </c>
      <c r="AD49" s="1">
        <f t="shared" si="31"/>
        <v>0</v>
      </c>
      <c r="AE49" s="1">
        <f t="shared" si="32"/>
        <v>1</v>
      </c>
      <c r="AF49" s="1">
        <f t="shared" si="33"/>
        <v>0</v>
      </c>
      <c r="AG49" s="1">
        <f t="shared" si="34"/>
        <v>1</v>
      </c>
      <c r="AH49" s="1">
        <f t="shared" si="35"/>
        <v>0</v>
      </c>
      <c r="AI49" s="1">
        <f t="shared" si="36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1703</v>
      </c>
      <c r="O50" s="48"/>
      <c r="P50" s="48"/>
      <c r="Q50" s="45"/>
      <c r="S50" s="1">
        <f t="shared" si="21"/>
        <v>0</v>
      </c>
      <c r="T50" s="1">
        <f t="shared" si="22"/>
        <v>0</v>
      </c>
      <c r="U50" s="1">
        <f t="shared" si="23"/>
        <v>0</v>
      </c>
      <c r="V50" s="1">
        <f t="shared" si="24"/>
        <v>0</v>
      </c>
      <c r="W50" s="1">
        <f t="shared" si="25"/>
        <v>0</v>
      </c>
      <c r="X50" s="1">
        <f t="shared" si="26"/>
        <v>0</v>
      </c>
      <c r="Y50" s="1">
        <f t="shared" si="27"/>
        <v>0</v>
      </c>
      <c r="Z50" s="1">
        <f t="shared" si="28"/>
        <v>1</v>
      </c>
      <c r="AA50" s="1">
        <f t="shared" si="29"/>
        <v>0</v>
      </c>
      <c r="AB50" s="1">
        <f t="shared" si="30"/>
        <v>0</v>
      </c>
      <c r="AD50" s="1">
        <f t="shared" si="31"/>
        <v>0</v>
      </c>
      <c r="AE50" s="1">
        <f t="shared" si="32"/>
        <v>0</v>
      </c>
      <c r="AF50" s="1">
        <f t="shared" si="33"/>
        <v>0</v>
      </c>
      <c r="AG50" s="1">
        <f t="shared" si="34"/>
        <v>0</v>
      </c>
      <c r="AH50" s="1">
        <f t="shared" si="35"/>
        <v>0</v>
      </c>
      <c r="AI50" s="1">
        <f t="shared" si="3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1"/>
        <v>0</v>
      </c>
      <c r="T51" s="1">
        <f t="shared" si="22"/>
        <v>0</v>
      </c>
      <c r="U51" s="1">
        <f t="shared" si="23"/>
        <v>0</v>
      </c>
      <c r="V51" s="1">
        <f t="shared" si="24"/>
        <v>0</v>
      </c>
      <c r="W51" s="1">
        <f t="shared" si="25"/>
        <v>0</v>
      </c>
      <c r="X51" s="1">
        <f t="shared" si="26"/>
        <v>0</v>
      </c>
      <c r="Y51" s="1">
        <f t="shared" si="27"/>
        <v>0</v>
      </c>
      <c r="Z51" s="1">
        <f t="shared" si="28"/>
        <v>0</v>
      </c>
      <c r="AA51" s="1">
        <f t="shared" si="29"/>
        <v>0</v>
      </c>
      <c r="AB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0</v>
      </c>
      <c r="AG51" s="1">
        <f t="shared" si="34"/>
        <v>0</v>
      </c>
      <c r="AH51" s="1">
        <f t="shared" si="35"/>
        <v>0</v>
      </c>
      <c r="AI51" s="1">
        <f t="shared" si="3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1710</v>
      </c>
      <c r="O52" s="35">
        <v>1</v>
      </c>
      <c r="P52" s="35"/>
      <c r="Q52" s="32"/>
      <c r="S52" s="1">
        <f t="shared" si="21"/>
        <v>0</v>
      </c>
      <c r="T52" s="1">
        <f t="shared" si="22"/>
        <v>0</v>
      </c>
      <c r="U52" s="1">
        <f t="shared" si="23"/>
        <v>0</v>
      </c>
      <c r="V52" s="1">
        <f t="shared" si="24"/>
        <v>0</v>
      </c>
      <c r="W52" s="1">
        <f t="shared" si="25"/>
        <v>0</v>
      </c>
      <c r="X52" s="1">
        <f t="shared" si="26"/>
        <v>0</v>
      </c>
      <c r="Y52" s="1">
        <f t="shared" si="27"/>
        <v>0</v>
      </c>
      <c r="Z52" s="1">
        <f t="shared" si="28"/>
        <v>0</v>
      </c>
      <c r="AA52" s="1">
        <f t="shared" si="29"/>
        <v>0</v>
      </c>
      <c r="AB52" s="1">
        <f t="shared" si="30"/>
        <v>0</v>
      </c>
      <c r="AD52" s="1">
        <f t="shared" si="31"/>
        <v>0</v>
      </c>
      <c r="AE52" s="1">
        <f t="shared" si="32"/>
        <v>1</v>
      </c>
      <c r="AF52" s="1">
        <f t="shared" si="33"/>
        <v>0</v>
      </c>
      <c r="AG52" s="1">
        <f t="shared" si="34"/>
        <v>1</v>
      </c>
      <c r="AH52" s="1">
        <f t="shared" si="35"/>
        <v>0</v>
      </c>
      <c r="AI52" s="1">
        <f t="shared" si="36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1956</v>
      </c>
      <c r="E53" s="32" t="s">
        <v>174</v>
      </c>
      <c r="F53" s="32" t="s">
        <v>1957</v>
      </c>
      <c r="G53" s="32" t="s">
        <v>1958</v>
      </c>
      <c r="H53" s="32" t="s">
        <v>352</v>
      </c>
      <c r="I53" s="31" t="s">
        <v>1959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1960</v>
      </c>
      <c r="S53" s="1">
        <f t="shared" si="21"/>
        <v>0</v>
      </c>
      <c r="T53" s="1">
        <f t="shared" si="22"/>
        <v>0</v>
      </c>
      <c r="U53" s="1">
        <f t="shared" si="23"/>
        <v>0</v>
      </c>
      <c r="V53" s="1">
        <f t="shared" si="24"/>
        <v>0</v>
      </c>
      <c r="W53" s="1">
        <f t="shared" si="25"/>
        <v>0</v>
      </c>
      <c r="X53" s="1">
        <f t="shared" si="26"/>
        <v>0</v>
      </c>
      <c r="Y53" s="1">
        <f t="shared" si="27"/>
        <v>0</v>
      </c>
      <c r="Z53" s="1">
        <f t="shared" si="28"/>
        <v>0</v>
      </c>
      <c r="AA53" s="1">
        <f t="shared" si="29"/>
        <v>0</v>
      </c>
      <c r="AB53" s="1">
        <f t="shared" si="30"/>
        <v>0</v>
      </c>
      <c r="AD53" s="1">
        <f t="shared" si="31"/>
        <v>1</v>
      </c>
      <c r="AE53" s="1">
        <f t="shared" si="32"/>
        <v>0</v>
      </c>
      <c r="AF53" s="1">
        <f t="shared" si="33"/>
        <v>1</v>
      </c>
      <c r="AG53" s="1">
        <f t="shared" si="34"/>
        <v>0</v>
      </c>
      <c r="AH53" s="1">
        <f t="shared" si="35"/>
        <v>1</v>
      </c>
      <c r="AI53" s="1">
        <f t="shared" si="36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1763</v>
      </c>
      <c r="O54" s="48"/>
      <c r="P54" s="48"/>
      <c r="Q54" s="45"/>
      <c r="S54" s="1">
        <f t="shared" si="21"/>
        <v>0</v>
      </c>
      <c r="T54" s="1">
        <f t="shared" si="22"/>
        <v>0</v>
      </c>
      <c r="U54" s="1">
        <f t="shared" si="23"/>
        <v>0</v>
      </c>
      <c r="V54" s="1">
        <f t="shared" si="24"/>
        <v>0</v>
      </c>
      <c r="W54" s="1">
        <f t="shared" si="25"/>
        <v>0</v>
      </c>
      <c r="X54" s="1">
        <f t="shared" si="26"/>
        <v>0</v>
      </c>
      <c r="Y54" s="1">
        <f t="shared" si="27"/>
        <v>0</v>
      </c>
      <c r="Z54" s="1">
        <f t="shared" si="28"/>
        <v>0</v>
      </c>
      <c r="AA54" s="1">
        <f t="shared" si="29"/>
        <v>0</v>
      </c>
      <c r="AB54" s="1">
        <f t="shared" si="30"/>
        <v>0</v>
      </c>
      <c r="AD54" s="1">
        <f t="shared" si="31"/>
        <v>0</v>
      </c>
      <c r="AE54" s="1">
        <f t="shared" si="32"/>
        <v>0</v>
      </c>
      <c r="AF54" s="1">
        <f t="shared" si="33"/>
        <v>0</v>
      </c>
      <c r="AG54" s="1">
        <f t="shared" si="34"/>
        <v>0</v>
      </c>
      <c r="AH54" s="1">
        <f t="shared" si="35"/>
        <v>0</v>
      </c>
      <c r="AI54" s="1">
        <f t="shared" si="3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1751</v>
      </c>
      <c r="O55" s="35">
        <v>1</v>
      </c>
      <c r="P55" s="35"/>
      <c r="Q55" s="32" t="s">
        <v>1870</v>
      </c>
      <c r="S55" s="1">
        <f t="shared" si="21"/>
        <v>1</v>
      </c>
      <c r="T55" s="1">
        <f t="shared" si="22"/>
        <v>0</v>
      </c>
      <c r="U55" s="1">
        <f t="shared" si="23"/>
        <v>0</v>
      </c>
      <c r="V55" s="1">
        <f t="shared" si="24"/>
        <v>0</v>
      </c>
      <c r="W55" s="1">
        <f t="shared" si="25"/>
        <v>0</v>
      </c>
      <c r="X55" s="1">
        <f t="shared" si="26"/>
        <v>0</v>
      </c>
      <c r="Y55" s="1">
        <f t="shared" si="27"/>
        <v>0</v>
      </c>
      <c r="Z55" s="1">
        <f t="shared" si="28"/>
        <v>0</v>
      </c>
      <c r="AA55" s="1">
        <f t="shared" si="29"/>
        <v>0</v>
      </c>
      <c r="AB55" s="1">
        <f t="shared" si="30"/>
        <v>0</v>
      </c>
      <c r="AD55" s="1">
        <f t="shared" si="31"/>
        <v>0</v>
      </c>
      <c r="AE55" s="1">
        <f t="shared" si="32"/>
        <v>1</v>
      </c>
      <c r="AF55" s="1">
        <f t="shared" si="33"/>
        <v>0</v>
      </c>
      <c r="AG55" s="1">
        <f t="shared" si="34"/>
        <v>1</v>
      </c>
      <c r="AH55" s="1">
        <f t="shared" si="35"/>
        <v>0</v>
      </c>
      <c r="AI55" s="1">
        <f t="shared" si="36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2082</v>
      </c>
      <c r="E56" s="16" t="s">
        <v>171</v>
      </c>
      <c r="F56" s="16" t="s">
        <v>2083</v>
      </c>
      <c r="G56" s="16"/>
      <c r="H56" s="16" t="s">
        <v>2084</v>
      </c>
      <c r="I56" s="15" t="s">
        <v>2085</v>
      </c>
      <c r="J56" s="15">
        <v>15</v>
      </c>
      <c r="K56" s="10" t="s">
        <v>694</v>
      </c>
      <c r="L56" s="10" t="s">
        <v>1705</v>
      </c>
      <c r="M56" s="19" t="s">
        <v>1100</v>
      </c>
      <c r="N56" s="17"/>
      <c r="Q56" s="16" t="s">
        <v>2086</v>
      </c>
      <c r="S56" s="1">
        <f t="shared" si="21"/>
        <v>0</v>
      </c>
      <c r="T56" s="1">
        <f t="shared" si="22"/>
        <v>0</v>
      </c>
      <c r="U56" s="1">
        <f t="shared" si="23"/>
        <v>0</v>
      </c>
      <c r="V56" s="1">
        <f t="shared" si="24"/>
        <v>0</v>
      </c>
      <c r="W56" s="1">
        <f t="shared" si="25"/>
        <v>0</v>
      </c>
      <c r="X56" s="1">
        <f t="shared" si="26"/>
        <v>0</v>
      </c>
      <c r="Y56" s="1">
        <f t="shared" si="27"/>
        <v>0</v>
      </c>
      <c r="Z56" s="1">
        <f t="shared" si="28"/>
        <v>0</v>
      </c>
      <c r="AA56" s="1">
        <f t="shared" si="29"/>
        <v>0</v>
      </c>
      <c r="AB56" s="1">
        <f t="shared" si="30"/>
        <v>0</v>
      </c>
      <c r="AD56" s="1">
        <f t="shared" si="31"/>
        <v>0</v>
      </c>
      <c r="AE56" s="1">
        <f t="shared" si="32"/>
        <v>0</v>
      </c>
      <c r="AF56" s="1">
        <f t="shared" si="33"/>
        <v>0</v>
      </c>
      <c r="AG56" s="1">
        <f t="shared" si="34"/>
        <v>0</v>
      </c>
      <c r="AH56" s="1">
        <f t="shared" si="35"/>
        <v>0</v>
      </c>
      <c r="AI56" s="1">
        <f t="shared" si="36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1717</v>
      </c>
      <c r="O57" s="35">
        <v>1</v>
      </c>
      <c r="P57" s="35"/>
      <c r="Q57" s="32" t="s">
        <v>2006</v>
      </c>
      <c r="S57" s="1">
        <f t="shared" si="21"/>
        <v>0</v>
      </c>
      <c r="T57" s="1">
        <f t="shared" si="22"/>
        <v>0</v>
      </c>
      <c r="U57" s="1">
        <f t="shared" si="23"/>
        <v>0</v>
      </c>
      <c r="V57" s="1">
        <f t="shared" si="24"/>
        <v>0</v>
      </c>
      <c r="W57" s="1">
        <f t="shared" si="25"/>
        <v>0</v>
      </c>
      <c r="X57" s="1">
        <f t="shared" si="26"/>
        <v>0</v>
      </c>
      <c r="Y57" s="1">
        <f t="shared" si="27"/>
        <v>0</v>
      </c>
      <c r="Z57" s="1">
        <f t="shared" si="28"/>
        <v>0</v>
      </c>
      <c r="AA57" s="1">
        <f t="shared" si="29"/>
        <v>0</v>
      </c>
      <c r="AB57" s="1">
        <f t="shared" si="30"/>
        <v>0</v>
      </c>
      <c r="AD57" s="1">
        <f t="shared" si="31"/>
        <v>0</v>
      </c>
      <c r="AE57" s="1">
        <f t="shared" si="32"/>
        <v>1</v>
      </c>
      <c r="AF57" s="1">
        <f t="shared" si="33"/>
        <v>0</v>
      </c>
      <c r="AG57" s="1">
        <f t="shared" si="34"/>
        <v>1</v>
      </c>
      <c r="AH57" s="1">
        <f t="shared" si="35"/>
        <v>0</v>
      </c>
      <c r="AI57" s="1">
        <f t="shared" si="36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1706</v>
      </c>
      <c r="O58" s="35">
        <v>1</v>
      </c>
      <c r="P58" s="35"/>
      <c r="Q58" s="32"/>
      <c r="S58" s="1">
        <f t="shared" si="21"/>
        <v>1</v>
      </c>
      <c r="T58" s="1">
        <f t="shared" si="22"/>
        <v>0</v>
      </c>
      <c r="U58" s="1">
        <f t="shared" si="23"/>
        <v>0</v>
      </c>
      <c r="V58" s="1">
        <f t="shared" si="24"/>
        <v>0</v>
      </c>
      <c r="W58" s="1">
        <f t="shared" si="25"/>
        <v>0</v>
      </c>
      <c r="X58" s="1">
        <f t="shared" si="26"/>
        <v>0</v>
      </c>
      <c r="Y58" s="1">
        <f t="shared" si="27"/>
        <v>0</v>
      </c>
      <c r="Z58" s="1">
        <f t="shared" si="28"/>
        <v>0</v>
      </c>
      <c r="AA58" s="1">
        <f t="shared" si="29"/>
        <v>0</v>
      </c>
      <c r="AB58" s="1">
        <f t="shared" si="30"/>
        <v>0</v>
      </c>
      <c r="AD58" s="1">
        <f t="shared" si="31"/>
        <v>0</v>
      </c>
      <c r="AE58" s="1">
        <f t="shared" si="32"/>
        <v>1</v>
      </c>
      <c r="AF58" s="1">
        <f t="shared" si="33"/>
        <v>0</v>
      </c>
      <c r="AG58" s="1">
        <f t="shared" si="34"/>
        <v>1</v>
      </c>
      <c r="AH58" s="1">
        <f t="shared" si="35"/>
        <v>0</v>
      </c>
      <c r="AI58" s="1">
        <f t="shared" si="3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1846</v>
      </c>
      <c r="S59" s="1">
        <f t="shared" si="21"/>
        <v>0</v>
      </c>
      <c r="T59" s="1">
        <f t="shared" si="22"/>
        <v>0</v>
      </c>
      <c r="U59" s="1">
        <f t="shared" si="23"/>
        <v>0</v>
      </c>
      <c r="V59" s="1">
        <f t="shared" si="24"/>
        <v>0</v>
      </c>
      <c r="W59" s="1">
        <f t="shared" si="25"/>
        <v>0</v>
      </c>
      <c r="X59" s="1">
        <f t="shared" si="26"/>
        <v>0</v>
      </c>
      <c r="Y59" s="1">
        <f t="shared" si="27"/>
        <v>0</v>
      </c>
      <c r="Z59" s="1">
        <f t="shared" si="28"/>
        <v>0</v>
      </c>
      <c r="AA59" s="1">
        <f t="shared" si="29"/>
        <v>0</v>
      </c>
      <c r="AB59" s="1">
        <f t="shared" si="30"/>
        <v>0</v>
      </c>
      <c r="AD59" s="1">
        <f t="shared" si="31"/>
        <v>0</v>
      </c>
      <c r="AE59" s="1">
        <f t="shared" si="32"/>
        <v>0</v>
      </c>
      <c r="AF59" s="1">
        <f t="shared" si="33"/>
        <v>0</v>
      </c>
      <c r="AG59" s="1">
        <f t="shared" si="34"/>
        <v>0</v>
      </c>
      <c r="AH59" s="1">
        <f t="shared" si="35"/>
        <v>0</v>
      </c>
      <c r="AI59" s="1">
        <f t="shared" si="36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1845</v>
      </c>
      <c r="S60" s="1">
        <f t="shared" si="21"/>
        <v>0</v>
      </c>
      <c r="T60" s="1">
        <f t="shared" si="22"/>
        <v>0</v>
      </c>
      <c r="U60" s="1">
        <f t="shared" si="23"/>
        <v>0</v>
      </c>
      <c r="V60" s="1">
        <f t="shared" si="24"/>
        <v>0</v>
      </c>
      <c r="W60" s="1">
        <f t="shared" si="25"/>
        <v>0</v>
      </c>
      <c r="X60" s="1">
        <f t="shared" si="26"/>
        <v>0</v>
      </c>
      <c r="Y60" s="1">
        <f t="shared" si="27"/>
        <v>0</v>
      </c>
      <c r="Z60" s="1">
        <f t="shared" si="28"/>
        <v>0</v>
      </c>
      <c r="AA60" s="1">
        <f t="shared" si="29"/>
        <v>0</v>
      </c>
      <c r="AB60" s="1">
        <f t="shared" si="30"/>
        <v>0</v>
      </c>
      <c r="AD60" s="1">
        <f t="shared" si="31"/>
        <v>0</v>
      </c>
      <c r="AE60" s="1">
        <f t="shared" si="32"/>
        <v>0</v>
      </c>
      <c r="AF60" s="1">
        <f t="shared" si="33"/>
        <v>0</v>
      </c>
      <c r="AG60" s="1">
        <f t="shared" si="34"/>
        <v>0</v>
      </c>
      <c r="AH60" s="1">
        <f t="shared" si="35"/>
        <v>0</v>
      </c>
      <c r="AI60" s="1">
        <f t="shared" si="36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1"/>
        <v>0</v>
      </c>
      <c r="T61" s="1">
        <f t="shared" si="22"/>
        <v>0</v>
      </c>
      <c r="U61" s="1">
        <f t="shared" si="23"/>
        <v>0</v>
      </c>
      <c r="V61" s="1">
        <f t="shared" si="24"/>
        <v>0</v>
      </c>
      <c r="W61" s="1">
        <f t="shared" si="25"/>
        <v>0</v>
      </c>
      <c r="X61" s="1">
        <f t="shared" si="26"/>
        <v>0</v>
      </c>
      <c r="Y61" s="1">
        <f t="shared" si="27"/>
        <v>0</v>
      </c>
      <c r="Z61" s="1">
        <f t="shared" si="28"/>
        <v>0</v>
      </c>
      <c r="AA61" s="1">
        <f t="shared" si="29"/>
        <v>0</v>
      </c>
      <c r="AB61" s="1">
        <f t="shared" si="30"/>
        <v>0</v>
      </c>
      <c r="AD61" s="1">
        <f t="shared" si="31"/>
        <v>0</v>
      </c>
      <c r="AE61" s="1">
        <f t="shared" si="32"/>
        <v>0</v>
      </c>
      <c r="AF61" s="1">
        <f t="shared" si="33"/>
        <v>0</v>
      </c>
      <c r="AG61" s="1">
        <f t="shared" si="34"/>
        <v>0</v>
      </c>
      <c r="AH61" s="1">
        <f t="shared" si="35"/>
        <v>0</v>
      </c>
      <c r="AI61" s="1">
        <f t="shared" si="36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1"/>
        <v>0</v>
      </c>
      <c r="T62" s="1">
        <f t="shared" si="22"/>
        <v>0</v>
      </c>
      <c r="U62" s="1">
        <f t="shared" si="23"/>
        <v>0</v>
      </c>
      <c r="V62" s="1">
        <f t="shared" si="24"/>
        <v>0</v>
      </c>
      <c r="W62" s="1">
        <f t="shared" si="25"/>
        <v>0</v>
      </c>
      <c r="X62" s="1">
        <f t="shared" si="26"/>
        <v>0</v>
      </c>
      <c r="Y62" s="1">
        <f t="shared" si="27"/>
        <v>0</v>
      </c>
      <c r="Z62" s="1">
        <f t="shared" si="28"/>
        <v>0</v>
      </c>
      <c r="AA62" s="1">
        <f t="shared" si="29"/>
        <v>0</v>
      </c>
      <c r="AB62" s="1">
        <f t="shared" si="30"/>
        <v>0</v>
      </c>
      <c r="AD62" s="1">
        <f t="shared" si="31"/>
        <v>1</v>
      </c>
      <c r="AE62" s="1">
        <f t="shared" si="32"/>
        <v>0</v>
      </c>
      <c r="AF62" s="1">
        <f t="shared" si="33"/>
        <v>1</v>
      </c>
      <c r="AG62" s="1">
        <f t="shared" si="34"/>
        <v>0</v>
      </c>
      <c r="AH62" s="1">
        <f t="shared" si="35"/>
        <v>1</v>
      </c>
      <c r="AI62" s="1">
        <f t="shared" si="3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1865</v>
      </c>
      <c r="S63" s="1">
        <f t="shared" si="21"/>
        <v>0</v>
      </c>
      <c r="T63" s="1">
        <f t="shared" si="22"/>
        <v>0</v>
      </c>
      <c r="U63" s="1">
        <f t="shared" si="23"/>
        <v>0</v>
      </c>
      <c r="V63" s="1">
        <f t="shared" si="24"/>
        <v>0</v>
      </c>
      <c r="W63" s="1">
        <f t="shared" si="25"/>
        <v>0</v>
      </c>
      <c r="X63" s="1">
        <f t="shared" si="26"/>
        <v>0</v>
      </c>
      <c r="Y63" s="1">
        <f t="shared" si="27"/>
        <v>0</v>
      </c>
      <c r="Z63" s="1">
        <f t="shared" si="28"/>
        <v>0</v>
      </c>
      <c r="AA63" s="1">
        <f t="shared" si="29"/>
        <v>0</v>
      </c>
      <c r="AB63" s="1">
        <f t="shared" si="30"/>
        <v>0</v>
      </c>
      <c r="AD63" s="1">
        <f t="shared" si="31"/>
        <v>1</v>
      </c>
      <c r="AE63" s="1">
        <f t="shared" si="32"/>
        <v>0</v>
      </c>
      <c r="AF63" s="1">
        <f t="shared" si="33"/>
        <v>1</v>
      </c>
      <c r="AG63" s="1">
        <f t="shared" si="34"/>
        <v>0</v>
      </c>
      <c r="AH63" s="1">
        <f t="shared" si="35"/>
        <v>1</v>
      </c>
      <c r="AI63" s="1">
        <f t="shared" si="3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1"/>
        <v>0</v>
      </c>
      <c r="T64" s="1">
        <f t="shared" si="22"/>
        <v>0</v>
      </c>
      <c r="U64" s="1">
        <f t="shared" si="23"/>
        <v>0</v>
      </c>
      <c r="V64" s="1">
        <f t="shared" si="24"/>
        <v>0</v>
      </c>
      <c r="W64" s="1">
        <f t="shared" si="25"/>
        <v>0</v>
      </c>
      <c r="X64" s="1">
        <f t="shared" si="26"/>
        <v>0</v>
      </c>
      <c r="Y64" s="1">
        <f t="shared" si="27"/>
        <v>0</v>
      </c>
      <c r="Z64" s="1">
        <f t="shared" si="28"/>
        <v>0</v>
      </c>
      <c r="AA64" s="1">
        <f t="shared" si="29"/>
        <v>0</v>
      </c>
      <c r="AB64" s="1">
        <f t="shared" si="30"/>
        <v>0</v>
      </c>
      <c r="AD64" s="1">
        <f t="shared" si="31"/>
        <v>1</v>
      </c>
      <c r="AE64" s="1">
        <f t="shared" si="32"/>
        <v>0</v>
      </c>
      <c r="AF64" s="1">
        <f t="shared" si="33"/>
        <v>1</v>
      </c>
      <c r="AG64" s="1">
        <f t="shared" si="34"/>
        <v>0</v>
      </c>
      <c r="AH64" s="1">
        <f t="shared" si="35"/>
        <v>1</v>
      </c>
      <c r="AI64" s="1">
        <f t="shared" si="36"/>
        <v>0</v>
      </c>
    </row>
    <row r="65" spans="1:35" s="1" customFormat="1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1711</v>
      </c>
      <c r="O65" s="35">
        <v>1</v>
      </c>
      <c r="P65" s="35"/>
      <c r="Q65" s="32"/>
      <c r="S65" s="1">
        <f t="shared" si="21"/>
        <v>0</v>
      </c>
      <c r="T65" s="1">
        <f t="shared" si="22"/>
        <v>0</v>
      </c>
      <c r="U65" s="1">
        <f t="shared" si="23"/>
        <v>0</v>
      </c>
      <c r="V65" s="1">
        <f t="shared" si="24"/>
        <v>0</v>
      </c>
      <c r="W65" s="1">
        <f t="shared" si="25"/>
        <v>0</v>
      </c>
      <c r="X65" s="1">
        <f t="shared" si="26"/>
        <v>0</v>
      </c>
      <c r="Y65" s="1">
        <f t="shared" si="27"/>
        <v>0</v>
      </c>
      <c r="Z65" s="1">
        <f t="shared" si="28"/>
        <v>0</v>
      </c>
      <c r="AA65" s="1">
        <f t="shared" si="29"/>
        <v>0</v>
      </c>
      <c r="AB65" s="1">
        <f t="shared" si="30"/>
        <v>0</v>
      </c>
      <c r="AD65" s="1">
        <f t="shared" si="31"/>
        <v>0</v>
      </c>
      <c r="AE65" s="1">
        <f t="shared" si="32"/>
        <v>1</v>
      </c>
      <c r="AF65" s="1">
        <f t="shared" si="33"/>
        <v>0</v>
      </c>
      <c r="AG65" s="1">
        <f t="shared" si="34"/>
        <v>1</v>
      </c>
      <c r="AH65" s="1">
        <f t="shared" si="35"/>
        <v>0</v>
      </c>
      <c r="AI65" s="1">
        <f t="shared" si="36"/>
        <v>1</v>
      </c>
    </row>
    <row r="66" spans="1:35" s="1" customFormat="1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1"/>
        <v>0</v>
      </c>
      <c r="T66" s="1">
        <f t="shared" si="22"/>
        <v>0</v>
      </c>
      <c r="U66" s="1">
        <f t="shared" si="23"/>
        <v>0</v>
      </c>
      <c r="V66" s="1">
        <f t="shared" si="24"/>
        <v>0</v>
      </c>
      <c r="W66" s="1">
        <f t="shared" si="25"/>
        <v>0</v>
      </c>
      <c r="X66" s="1">
        <f t="shared" si="26"/>
        <v>0</v>
      </c>
      <c r="Y66" s="1">
        <f t="shared" si="27"/>
        <v>0</v>
      </c>
      <c r="Z66" s="1">
        <f t="shared" si="28"/>
        <v>0</v>
      </c>
      <c r="AA66" s="1">
        <f t="shared" si="29"/>
        <v>0</v>
      </c>
      <c r="AB66" s="1">
        <f t="shared" si="30"/>
        <v>0</v>
      </c>
      <c r="AD66" s="1">
        <f t="shared" si="31"/>
        <v>0</v>
      </c>
      <c r="AE66" s="1">
        <f t="shared" si="32"/>
        <v>0</v>
      </c>
      <c r="AF66" s="1">
        <f t="shared" si="33"/>
        <v>0</v>
      </c>
      <c r="AG66" s="1">
        <f t="shared" si="34"/>
        <v>0</v>
      </c>
      <c r="AH66" s="1">
        <f t="shared" si="35"/>
        <v>0</v>
      </c>
      <c r="AI66" s="1">
        <f t="shared" si="36"/>
        <v>1</v>
      </c>
    </row>
    <row r="67" spans="1:35" s="1" customFormat="1" ht="14.25" customHeight="1" x14ac:dyDescent="0.25">
      <c r="A67" s="15">
        <v>0</v>
      </c>
      <c r="B67" s="15">
        <v>1</v>
      </c>
      <c r="C67" s="15">
        <v>2</v>
      </c>
      <c r="D67" s="20" t="s">
        <v>2117</v>
      </c>
      <c r="E67" s="16" t="s">
        <v>174</v>
      </c>
      <c r="F67" s="20" t="s">
        <v>2122</v>
      </c>
      <c r="G67" s="16"/>
      <c r="H67" s="20" t="s">
        <v>2119</v>
      </c>
      <c r="I67" s="21" t="s">
        <v>2118</v>
      </c>
      <c r="J67" s="15">
        <v>16</v>
      </c>
      <c r="K67" s="10" t="s">
        <v>694</v>
      </c>
      <c r="L67" s="10" t="s">
        <v>2120</v>
      </c>
      <c r="M67" s="19" t="s">
        <v>2121</v>
      </c>
      <c r="N67" s="17"/>
      <c r="Q67" s="16" t="s">
        <v>2123</v>
      </c>
      <c r="S67" s="1">
        <f t="shared" si="21"/>
        <v>0</v>
      </c>
      <c r="T67" s="1">
        <f t="shared" si="22"/>
        <v>0</v>
      </c>
      <c r="U67" s="1">
        <f t="shared" si="23"/>
        <v>0</v>
      </c>
      <c r="V67" s="1">
        <f t="shared" si="24"/>
        <v>0</v>
      </c>
      <c r="W67" s="1">
        <f t="shared" si="25"/>
        <v>0</v>
      </c>
      <c r="X67" s="1">
        <f t="shared" si="26"/>
        <v>0</v>
      </c>
      <c r="Y67" s="1">
        <f t="shared" si="27"/>
        <v>0</v>
      </c>
      <c r="Z67" s="1">
        <f t="shared" si="28"/>
        <v>0</v>
      </c>
      <c r="AA67" s="1">
        <f t="shared" si="29"/>
        <v>0</v>
      </c>
      <c r="AB67" s="1">
        <f t="shared" si="30"/>
        <v>0</v>
      </c>
      <c r="AD67" s="1">
        <f t="shared" si="31"/>
        <v>0</v>
      </c>
      <c r="AE67" s="1">
        <f t="shared" si="32"/>
        <v>0</v>
      </c>
      <c r="AF67" s="1">
        <f t="shared" si="33"/>
        <v>0</v>
      </c>
      <c r="AG67" s="1">
        <f t="shared" si="34"/>
        <v>0</v>
      </c>
      <c r="AH67" s="1">
        <f t="shared" si="35"/>
        <v>0</v>
      </c>
      <c r="AI67" s="1">
        <f t="shared" si="36"/>
        <v>1</v>
      </c>
    </row>
    <row r="68" spans="1:35" s="1" customFormat="1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1770</v>
      </c>
      <c r="O68" s="48"/>
      <c r="P68" s="48"/>
      <c r="Q68" s="45"/>
      <c r="S68" s="1">
        <f t="shared" si="21"/>
        <v>0</v>
      </c>
      <c r="T68" s="1">
        <f t="shared" si="22"/>
        <v>0</v>
      </c>
      <c r="U68" s="1">
        <f t="shared" si="23"/>
        <v>0</v>
      </c>
      <c r="V68" s="1">
        <f t="shared" si="24"/>
        <v>0</v>
      </c>
      <c r="W68" s="1">
        <f t="shared" si="25"/>
        <v>0</v>
      </c>
      <c r="X68" s="1">
        <f t="shared" si="26"/>
        <v>0</v>
      </c>
      <c r="Y68" s="1">
        <f t="shared" si="27"/>
        <v>0</v>
      </c>
      <c r="Z68" s="1">
        <f t="shared" si="28"/>
        <v>0</v>
      </c>
      <c r="AA68" s="1">
        <f t="shared" si="29"/>
        <v>0</v>
      </c>
      <c r="AB68" s="1">
        <f t="shared" si="30"/>
        <v>0</v>
      </c>
      <c r="AD68" s="1">
        <f t="shared" si="31"/>
        <v>0</v>
      </c>
      <c r="AE68" s="1">
        <f t="shared" si="32"/>
        <v>0</v>
      </c>
      <c r="AF68" s="1">
        <f t="shared" si="33"/>
        <v>0</v>
      </c>
      <c r="AG68" s="1">
        <f t="shared" si="34"/>
        <v>0</v>
      </c>
      <c r="AH68" s="1">
        <f t="shared" si="35"/>
        <v>0</v>
      </c>
      <c r="AI68" s="1">
        <f t="shared" si="36"/>
        <v>1</v>
      </c>
    </row>
    <row r="69" spans="1:35" s="1" customFormat="1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1711</v>
      </c>
      <c r="O69" s="35">
        <v>1</v>
      </c>
      <c r="P69" s="35"/>
      <c r="Q69" s="32"/>
      <c r="S69" s="1">
        <f t="shared" si="21"/>
        <v>0</v>
      </c>
      <c r="T69" s="1">
        <f t="shared" si="22"/>
        <v>0</v>
      </c>
      <c r="U69" s="1">
        <f t="shared" si="23"/>
        <v>0</v>
      </c>
      <c r="V69" s="1">
        <f t="shared" si="24"/>
        <v>0</v>
      </c>
      <c r="W69" s="1">
        <f t="shared" si="25"/>
        <v>0</v>
      </c>
      <c r="X69" s="1">
        <f t="shared" si="26"/>
        <v>0</v>
      </c>
      <c r="Y69" s="1">
        <f t="shared" si="27"/>
        <v>0</v>
      </c>
      <c r="Z69" s="1">
        <f t="shared" si="28"/>
        <v>0</v>
      </c>
      <c r="AA69" s="1">
        <f t="shared" si="29"/>
        <v>0</v>
      </c>
      <c r="AB69" s="1">
        <f t="shared" si="30"/>
        <v>0</v>
      </c>
      <c r="AD69" s="1">
        <f t="shared" si="31"/>
        <v>0</v>
      </c>
      <c r="AE69" s="1">
        <f t="shared" si="32"/>
        <v>1</v>
      </c>
      <c r="AF69" s="1">
        <f t="shared" si="33"/>
        <v>0</v>
      </c>
      <c r="AG69" s="1">
        <f t="shared" si="34"/>
        <v>1</v>
      </c>
      <c r="AH69" s="1">
        <f t="shared" si="35"/>
        <v>0</v>
      </c>
      <c r="AI69" s="1">
        <f t="shared" si="36"/>
        <v>1</v>
      </c>
    </row>
    <row r="70" spans="1:35" s="1" customFormat="1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2044</v>
      </c>
      <c r="G70" s="32" t="s">
        <v>2045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2046</v>
      </c>
      <c r="S70" s="1">
        <f t="shared" si="21"/>
        <v>1</v>
      </c>
      <c r="T70" s="1">
        <f t="shared" si="22"/>
        <v>0</v>
      </c>
      <c r="U70" s="1">
        <f t="shared" si="23"/>
        <v>0</v>
      </c>
      <c r="V70" s="1">
        <f t="shared" si="24"/>
        <v>0</v>
      </c>
      <c r="W70" s="1">
        <f t="shared" si="25"/>
        <v>0</v>
      </c>
      <c r="X70" s="1">
        <f t="shared" si="26"/>
        <v>0</v>
      </c>
      <c r="Y70" s="1">
        <f t="shared" si="27"/>
        <v>0</v>
      </c>
      <c r="Z70" s="1">
        <f t="shared" si="28"/>
        <v>0</v>
      </c>
      <c r="AA70" s="1">
        <f t="shared" si="29"/>
        <v>0</v>
      </c>
      <c r="AB70" s="1">
        <f t="shared" si="30"/>
        <v>0</v>
      </c>
      <c r="AD70" s="1">
        <f t="shared" si="31"/>
        <v>1</v>
      </c>
      <c r="AE70" s="1">
        <f t="shared" si="32"/>
        <v>0</v>
      </c>
      <c r="AF70" s="1">
        <f t="shared" si="33"/>
        <v>1</v>
      </c>
      <c r="AG70" s="1">
        <f t="shared" si="34"/>
        <v>0</v>
      </c>
      <c r="AH70" s="1">
        <f t="shared" si="35"/>
        <v>1</v>
      </c>
      <c r="AI70" s="1">
        <f t="shared" si="36"/>
        <v>0</v>
      </c>
    </row>
    <row r="71" spans="1:35" s="1" customFormat="1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1"/>
        <v>0</v>
      </c>
      <c r="T71" s="1">
        <f t="shared" si="22"/>
        <v>0</v>
      </c>
      <c r="U71" s="1">
        <f t="shared" si="23"/>
        <v>0</v>
      </c>
      <c r="V71" s="1">
        <f t="shared" si="24"/>
        <v>0</v>
      </c>
      <c r="W71" s="1">
        <f t="shared" si="25"/>
        <v>0</v>
      </c>
      <c r="X71" s="1">
        <f t="shared" si="26"/>
        <v>0</v>
      </c>
      <c r="Y71" s="1">
        <f t="shared" si="27"/>
        <v>0</v>
      </c>
      <c r="Z71" s="1">
        <f t="shared" si="28"/>
        <v>0</v>
      </c>
      <c r="AA71" s="1">
        <f t="shared" si="29"/>
        <v>0</v>
      </c>
      <c r="AB71" s="1">
        <f t="shared" si="30"/>
        <v>0</v>
      </c>
      <c r="AD71" s="1">
        <f t="shared" si="31"/>
        <v>1</v>
      </c>
      <c r="AE71" s="1">
        <f t="shared" si="32"/>
        <v>0</v>
      </c>
      <c r="AF71" s="1">
        <f t="shared" si="33"/>
        <v>1</v>
      </c>
      <c r="AG71" s="1">
        <f t="shared" si="34"/>
        <v>0</v>
      </c>
      <c r="AH71" s="1">
        <f t="shared" si="35"/>
        <v>1</v>
      </c>
      <c r="AI71" s="1">
        <f t="shared" si="36"/>
        <v>0</v>
      </c>
    </row>
    <row r="72" spans="1:35" s="1" customFormat="1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1"/>
        <v>1</v>
      </c>
      <c r="T72" s="1">
        <f t="shared" si="22"/>
        <v>0</v>
      </c>
      <c r="U72" s="1">
        <f t="shared" si="23"/>
        <v>0</v>
      </c>
      <c r="V72" s="1">
        <f t="shared" si="24"/>
        <v>0</v>
      </c>
      <c r="W72" s="1">
        <f t="shared" si="25"/>
        <v>0</v>
      </c>
      <c r="X72" s="1">
        <f t="shared" si="26"/>
        <v>0</v>
      </c>
      <c r="Y72" s="1">
        <f t="shared" si="27"/>
        <v>0</v>
      </c>
      <c r="Z72" s="1">
        <f t="shared" si="28"/>
        <v>0</v>
      </c>
      <c r="AA72" s="1">
        <f t="shared" si="29"/>
        <v>0</v>
      </c>
      <c r="AB72" s="1">
        <f t="shared" si="30"/>
        <v>0</v>
      </c>
      <c r="AD72" s="1">
        <f t="shared" si="31"/>
        <v>0</v>
      </c>
      <c r="AE72" s="1">
        <f t="shared" si="32"/>
        <v>0</v>
      </c>
      <c r="AF72" s="1">
        <f t="shared" si="33"/>
        <v>0</v>
      </c>
      <c r="AG72" s="1">
        <f t="shared" si="34"/>
        <v>0</v>
      </c>
      <c r="AH72" s="1">
        <f t="shared" si="35"/>
        <v>0</v>
      </c>
      <c r="AI72" s="1">
        <f t="shared" si="36"/>
        <v>1</v>
      </c>
    </row>
    <row r="73" spans="1:35" s="1" customFormat="1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1942</v>
      </c>
      <c r="S73" s="1">
        <f t="shared" si="21"/>
        <v>0</v>
      </c>
      <c r="T73" s="1">
        <f t="shared" si="22"/>
        <v>0</v>
      </c>
      <c r="U73" s="1">
        <f t="shared" si="23"/>
        <v>0</v>
      </c>
      <c r="V73" s="1">
        <f t="shared" si="24"/>
        <v>0</v>
      </c>
      <c r="W73" s="1">
        <f t="shared" si="25"/>
        <v>0</v>
      </c>
      <c r="X73" s="1">
        <f t="shared" si="26"/>
        <v>0</v>
      </c>
      <c r="Y73" s="1">
        <f t="shared" si="27"/>
        <v>0</v>
      </c>
      <c r="Z73" s="1">
        <f t="shared" si="28"/>
        <v>0</v>
      </c>
      <c r="AA73" s="1">
        <f t="shared" si="29"/>
        <v>0</v>
      </c>
      <c r="AB73" s="1">
        <f t="shared" si="30"/>
        <v>0</v>
      </c>
      <c r="AD73" s="1">
        <f t="shared" si="31"/>
        <v>1</v>
      </c>
      <c r="AE73" s="1">
        <f t="shared" si="32"/>
        <v>0</v>
      </c>
      <c r="AF73" s="1">
        <f t="shared" si="33"/>
        <v>1</v>
      </c>
      <c r="AG73" s="1">
        <f t="shared" si="34"/>
        <v>0</v>
      </c>
      <c r="AH73" s="1">
        <f t="shared" si="35"/>
        <v>1</v>
      </c>
      <c r="AI73" s="1">
        <f t="shared" si="36"/>
        <v>0</v>
      </c>
    </row>
    <row r="74" spans="1:35" s="1" customFormat="1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1"/>
        <v>0</v>
      </c>
      <c r="T74" s="1">
        <f t="shared" si="22"/>
        <v>0</v>
      </c>
      <c r="U74" s="1">
        <f t="shared" si="23"/>
        <v>0</v>
      </c>
      <c r="V74" s="1">
        <f t="shared" si="24"/>
        <v>0</v>
      </c>
      <c r="W74" s="1">
        <f t="shared" si="25"/>
        <v>0</v>
      </c>
      <c r="X74" s="1">
        <f t="shared" si="26"/>
        <v>0</v>
      </c>
      <c r="Y74" s="1">
        <f t="shared" si="27"/>
        <v>0</v>
      </c>
      <c r="Z74" s="1">
        <f t="shared" si="28"/>
        <v>0</v>
      </c>
      <c r="AA74" s="1">
        <f t="shared" si="29"/>
        <v>0</v>
      </c>
      <c r="AB74" s="1">
        <f t="shared" si="30"/>
        <v>0</v>
      </c>
      <c r="AD74" s="1">
        <f t="shared" si="31"/>
        <v>1</v>
      </c>
      <c r="AE74" s="1">
        <f t="shared" si="32"/>
        <v>0</v>
      </c>
      <c r="AF74" s="1">
        <f t="shared" si="33"/>
        <v>1</v>
      </c>
      <c r="AG74" s="1">
        <f t="shared" si="34"/>
        <v>0</v>
      </c>
      <c r="AH74" s="1">
        <f t="shared" si="35"/>
        <v>1</v>
      </c>
      <c r="AI74" s="1">
        <f t="shared" si="36"/>
        <v>0</v>
      </c>
    </row>
    <row r="75" spans="1:35" s="1" customFormat="1" ht="14.25" customHeight="1" x14ac:dyDescent="0.25">
      <c r="A75" s="31">
        <v>0</v>
      </c>
      <c r="B75" s="31">
        <v>1</v>
      </c>
      <c r="C75" s="31">
        <v>2</v>
      </c>
      <c r="D75" s="32" t="s">
        <v>2011</v>
      </c>
      <c r="E75" s="32" t="s">
        <v>1938</v>
      </c>
      <c r="F75" s="32" t="s">
        <v>2012</v>
      </c>
      <c r="G75" s="32" t="s">
        <v>283</v>
      </c>
      <c r="H75" s="32" t="s">
        <v>352</v>
      </c>
      <c r="I75" s="31" t="s">
        <v>2013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2014</v>
      </c>
      <c r="S75" s="1">
        <f t="shared" si="21"/>
        <v>0</v>
      </c>
      <c r="T75" s="1">
        <f t="shared" si="22"/>
        <v>0</v>
      </c>
      <c r="U75" s="1">
        <f t="shared" si="23"/>
        <v>0</v>
      </c>
      <c r="V75" s="1">
        <f t="shared" si="24"/>
        <v>0</v>
      </c>
      <c r="W75" s="1">
        <f t="shared" si="25"/>
        <v>0</v>
      </c>
      <c r="X75" s="1">
        <f t="shared" si="26"/>
        <v>0</v>
      </c>
      <c r="Y75" s="1">
        <f t="shared" si="27"/>
        <v>0</v>
      </c>
      <c r="Z75" s="1">
        <f t="shared" si="28"/>
        <v>0</v>
      </c>
      <c r="AA75" s="1">
        <f t="shared" si="29"/>
        <v>0</v>
      </c>
      <c r="AB75" s="1">
        <f t="shared" si="30"/>
        <v>1</v>
      </c>
      <c r="AD75" s="1">
        <f t="shared" si="31"/>
        <v>1</v>
      </c>
      <c r="AE75" s="1">
        <f t="shared" si="32"/>
        <v>0</v>
      </c>
      <c r="AF75" s="1">
        <f t="shared" si="33"/>
        <v>1</v>
      </c>
      <c r="AG75" s="1">
        <f t="shared" si="34"/>
        <v>0</v>
      </c>
      <c r="AH75" s="1">
        <f t="shared" si="35"/>
        <v>1</v>
      </c>
      <c r="AI75" s="1">
        <f t="shared" si="36"/>
        <v>0</v>
      </c>
    </row>
    <row r="76" spans="1:35" s="1" customFormat="1" ht="14.25" customHeight="1" x14ac:dyDescent="0.25">
      <c r="A76" s="31">
        <v>0</v>
      </c>
      <c r="B76" s="31">
        <v>1</v>
      </c>
      <c r="C76" s="31">
        <v>2</v>
      </c>
      <c r="D76" s="36" t="s">
        <v>1967</v>
      </c>
      <c r="E76" s="32" t="s">
        <v>174</v>
      </c>
      <c r="F76" s="36" t="s">
        <v>1968</v>
      </c>
      <c r="G76" s="36" t="s">
        <v>219</v>
      </c>
      <c r="H76" s="36" t="s">
        <v>352</v>
      </c>
      <c r="I76" s="37" t="s">
        <v>1969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1"/>
        <v>0</v>
      </c>
      <c r="T76" s="1">
        <f t="shared" si="22"/>
        <v>0</v>
      </c>
      <c r="U76" s="1">
        <f t="shared" si="23"/>
        <v>0</v>
      </c>
      <c r="V76" s="1">
        <f t="shared" si="24"/>
        <v>0</v>
      </c>
      <c r="W76" s="1">
        <f t="shared" si="25"/>
        <v>0</v>
      </c>
      <c r="X76" s="1">
        <f t="shared" si="26"/>
        <v>0</v>
      </c>
      <c r="Y76" s="1">
        <f t="shared" si="27"/>
        <v>0</v>
      </c>
      <c r="Z76" s="1">
        <f t="shared" si="28"/>
        <v>1</v>
      </c>
      <c r="AA76" s="1">
        <f t="shared" si="29"/>
        <v>0</v>
      </c>
      <c r="AB76" s="1">
        <f t="shared" si="30"/>
        <v>0</v>
      </c>
      <c r="AD76" s="1">
        <f t="shared" si="31"/>
        <v>1</v>
      </c>
      <c r="AE76" s="1">
        <f t="shared" si="32"/>
        <v>0</v>
      </c>
      <c r="AF76" s="1">
        <f t="shared" si="33"/>
        <v>1</v>
      </c>
      <c r="AG76" s="1">
        <f t="shared" si="34"/>
        <v>0</v>
      </c>
      <c r="AH76" s="1">
        <f t="shared" si="35"/>
        <v>1</v>
      </c>
      <c r="AI76" s="1">
        <f t="shared" si="36"/>
        <v>0</v>
      </c>
    </row>
    <row r="77" spans="1:35" s="1" customFormat="1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1723</v>
      </c>
      <c r="O77" s="35">
        <v>1</v>
      </c>
      <c r="P77" s="35"/>
      <c r="Q77" s="32"/>
      <c r="S77" s="1">
        <f t="shared" si="21"/>
        <v>0</v>
      </c>
      <c r="T77" s="1">
        <f t="shared" si="22"/>
        <v>0</v>
      </c>
      <c r="U77" s="1">
        <f t="shared" si="23"/>
        <v>0</v>
      </c>
      <c r="V77" s="1">
        <f t="shared" si="24"/>
        <v>0</v>
      </c>
      <c r="W77" s="1">
        <f t="shared" si="25"/>
        <v>0</v>
      </c>
      <c r="X77" s="1">
        <f t="shared" si="26"/>
        <v>0</v>
      </c>
      <c r="Y77" s="1">
        <f t="shared" si="27"/>
        <v>0</v>
      </c>
      <c r="Z77" s="1">
        <f t="shared" si="28"/>
        <v>0</v>
      </c>
      <c r="AA77" s="1">
        <f t="shared" si="29"/>
        <v>0</v>
      </c>
      <c r="AB77" s="1">
        <f t="shared" si="30"/>
        <v>0</v>
      </c>
      <c r="AD77" s="1">
        <f t="shared" si="31"/>
        <v>0</v>
      </c>
      <c r="AE77" s="1">
        <f t="shared" si="32"/>
        <v>1</v>
      </c>
      <c r="AF77" s="1">
        <f t="shared" si="33"/>
        <v>0</v>
      </c>
      <c r="AG77" s="1">
        <f t="shared" si="34"/>
        <v>1</v>
      </c>
      <c r="AH77" s="1">
        <f t="shared" si="35"/>
        <v>0</v>
      </c>
      <c r="AI77" s="1">
        <f t="shared" si="36"/>
        <v>1</v>
      </c>
    </row>
    <row r="78" spans="1:35" s="1" customFormat="1" ht="14.25" customHeight="1" x14ac:dyDescent="0.25">
      <c r="A78" s="31">
        <v>0</v>
      </c>
      <c r="B78" s="31">
        <v>1</v>
      </c>
      <c r="C78" s="31">
        <v>2</v>
      </c>
      <c r="D78" s="32" t="s">
        <v>1803</v>
      </c>
      <c r="E78" s="32" t="s">
        <v>173</v>
      </c>
      <c r="F78" s="32" t="s">
        <v>1804</v>
      </c>
      <c r="G78" s="32"/>
      <c r="H78" s="32" t="s">
        <v>1805</v>
      </c>
      <c r="I78" s="31" t="s">
        <v>1806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1706</v>
      </c>
      <c r="O78" s="35">
        <v>1</v>
      </c>
      <c r="P78" s="35"/>
      <c r="Q78" s="32"/>
      <c r="S78" s="1">
        <f t="shared" si="21"/>
        <v>0</v>
      </c>
      <c r="T78" s="1">
        <f t="shared" si="22"/>
        <v>0</v>
      </c>
      <c r="U78" s="1">
        <f t="shared" si="23"/>
        <v>0</v>
      </c>
      <c r="V78" s="1">
        <f t="shared" si="24"/>
        <v>0</v>
      </c>
      <c r="W78" s="1">
        <f t="shared" si="25"/>
        <v>0</v>
      </c>
      <c r="X78" s="1">
        <f t="shared" si="26"/>
        <v>0</v>
      </c>
      <c r="Y78" s="1">
        <f t="shared" si="27"/>
        <v>0</v>
      </c>
      <c r="Z78" s="1">
        <f t="shared" si="28"/>
        <v>0</v>
      </c>
      <c r="AA78" s="1">
        <f t="shared" si="29"/>
        <v>0</v>
      </c>
      <c r="AB78" s="1">
        <f t="shared" si="30"/>
        <v>0</v>
      </c>
      <c r="AD78" s="1">
        <f t="shared" si="31"/>
        <v>0</v>
      </c>
      <c r="AE78" s="1">
        <f t="shared" si="32"/>
        <v>1</v>
      </c>
      <c r="AF78" s="1">
        <f t="shared" si="33"/>
        <v>0</v>
      </c>
      <c r="AG78" s="1">
        <f t="shared" si="34"/>
        <v>1</v>
      </c>
      <c r="AH78" s="1">
        <f t="shared" si="35"/>
        <v>0</v>
      </c>
      <c r="AI78" s="1">
        <f t="shared" si="36"/>
        <v>1</v>
      </c>
    </row>
    <row r="79" spans="1:35" s="1" customFormat="1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1"/>
        <v>0</v>
      </c>
      <c r="T79" s="1">
        <f t="shared" si="22"/>
        <v>0</v>
      </c>
      <c r="U79" s="1">
        <f t="shared" si="23"/>
        <v>0</v>
      </c>
      <c r="V79" s="1">
        <f t="shared" si="24"/>
        <v>0</v>
      </c>
      <c r="W79" s="1">
        <f t="shared" si="25"/>
        <v>0</v>
      </c>
      <c r="X79" s="1">
        <f t="shared" si="26"/>
        <v>0</v>
      </c>
      <c r="Y79" s="1">
        <f t="shared" si="27"/>
        <v>0</v>
      </c>
      <c r="Z79" s="1">
        <f t="shared" si="28"/>
        <v>0</v>
      </c>
      <c r="AA79" s="1">
        <f t="shared" si="29"/>
        <v>0</v>
      </c>
      <c r="AB79" s="1">
        <f t="shared" si="30"/>
        <v>0</v>
      </c>
      <c r="AD79" s="1">
        <f t="shared" si="31"/>
        <v>1</v>
      </c>
      <c r="AE79" s="1">
        <f t="shared" si="32"/>
        <v>0</v>
      </c>
      <c r="AF79" s="1">
        <f t="shared" si="33"/>
        <v>1</v>
      </c>
      <c r="AG79" s="1">
        <f t="shared" si="34"/>
        <v>0</v>
      </c>
      <c r="AH79" s="1">
        <f t="shared" si="35"/>
        <v>1</v>
      </c>
      <c r="AI79" s="1">
        <f t="shared" si="36"/>
        <v>0</v>
      </c>
    </row>
    <row r="80" spans="1:35" s="1" customFormat="1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1711</v>
      </c>
      <c r="O80" s="35">
        <v>1</v>
      </c>
      <c r="P80" s="35"/>
      <c r="Q80" s="36"/>
      <c r="S80" s="1">
        <f t="shared" si="21"/>
        <v>0</v>
      </c>
      <c r="T80" s="1">
        <f t="shared" si="22"/>
        <v>0</v>
      </c>
      <c r="U80" s="1">
        <f t="shared" si="23"/>
        <v>0</v>
      </c>
      <c r="V80" s="1">
        <f t="shared" si="24"/>
        <v>0</v>
      </c>
      <c r="W80" s="1">
        <f t="shared" si="25"/>
        <v>0</v>
      </c>
      <c r="X80" s="1">
        <f t="shared" si="26"/>
        <v>0</v>
      </c>
      <c r="Y80" s="1">
        <f t="shared" si="27"/>
        <v>0</v>
      </c>
      <c r="Z80" s="1">
        <f t="shared" si="28"/>
        <v>0</v>
      </c>
      <c r="AA80" s="1">
        <f t="shared" si="29"/>
        <v>0</v>
      </c>
      <c r="AB80" s="1">
        <f t="shared" si="30"/>
        <v>0</v>
      </c>
      <c r="AD80" s="1">
        <f t="shared" si="31"/>
        <v>0</v>
      </c>
      <c r="AE80" s="1">
        <f t="shared" si="32"/>
        <v>1</v>
      </c>
      <c r="AF80" s="1">
        <f t="shared" si="33"/>
        <v>0</v>
      </c>
      <c r="AG80" s="1">
        <f t="shared" si="34"/>
        <v>1</v>
      </c>
      <c r="AH80" s="1">
        <f t="shared" si="35"/>
        <v>0</v>
      </c>
      <c r="AI80" s="1">
        <f t="shared" si="36"/>
        <v>1</v>
      </c>
    </row>
    <row r="81" spans="1:35" s="1" customFormat="1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1751</v>
      </c>
      <c r="O81" s="35">
        <v>1</v>
      </c>
      <c r="P81" s="35"/>
      <c r="Q81" s="36"/>
      <c r="S81" s="1">
        <f t="shared" si="21"/>
        <v>0</v>
      </c>
      <c r="T81" s="1">
        <f t="shared" si="22"/>
        <v>0</v>
      </c>
      <c r="U81" s="1">
        <f t="shared" si="23"/>
        <v>0</v>
      </c>
      <c r="V81" s="1">
        <f t="shared" si="24"/>
        <v>0</v>
      </c>
      <c r="W81" s="1">
        <f t="shared" si="25"/>
        <v>0</v>
      </c>
      <c r="X81" s="1">
        <f t="shared" si="26"/>
        <v>0</v>
      </c>
      <c r="Y81" s="1">
        <f t="shared" si="27"/>
        <v>0</v>
      </c>
      <c r="Z81" s="1">
        <f t="shared" si="28"/>
        <v>0</v>
      </c>
      <c r="AA81" s="1">
        <f t="shared" si="29"/>
        <v>0</v>
      </c>
      <c r="AB81" s="1">
        <f t="shared" si="30"/>
        <v>0</v>
      </c>
      <c r="AD81" s="1">
        <f t="shared" si="31"/>
        <v>0</v>
      </c>
      <c r="AE81" s="1">
        <f t="shared" si="32"/>
        <v>1</v>
      </c>
      <c r="AF81" s="1">
        <f t="shared" si="33"/>
        <v>0</v>
      </c>
      <c r="AG81" s="1">
        <f t="shared" si="34"/>
        <v>1</v>
      </c>
      <c r="AH81" s="1">
        <f t="shared" si="35"/>
        <v>0</v>
      </c>
      <c r="AI81" s="1">
        <f t="shared" si="36"/>
        <v>1</v>
      </c>
    </row>
    <row r="82" spans="1:35" s="1" customFormat="1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7">IF(J82=$S$7,1,0)</f>
        <v>0</v>
      </c>
      <c r="T82" s="1">
        <f t="shared" ref="T82:T145" si="38">IF(J82=$T$7,1,0)</f>
        <v>0</v>
      </c>
      <c r="U82" s="1">
        <f t="shared" ref="U82:U145" si="39">IF(J82=$U$7,1,0)</f>
        <v>0</v>
      </c>
      <c r="V82" s="1">
        <f t="shared" ref="V82:V145" si="40">IF(J82=$V$7,1,0)</f>
        <v>0</v>
      </c>
      <c r="W82" s="1">
        <f t="shared" ref="W82:W145" si="41">IF(J82=$W$7,1,0)</f>
        <v>0</v>
      </c>
      <c r="X82" s="1">
        <f t="shared" ref="X82:X145" si="42">IF(J82=$X$7,1,0)</f>
        <v>0</v>
      </c>
      <c r="Y82" s="1">
        <f t="shared" ref="Y82:Y145" si="43">IF(J82=$Y$7,1,0)</f>
        <v>0</v>
      </c>
      <c r="Z82" s="1">
        <f t="shared" ref="Z82:Z145" si="44">IF(J82=$Z$7,1,0)</f>
        <v>0</v>
      </c>
      <c r="AA82" s="1">
        <f t="shared" ref="AA82:AA145" si="45">IF(J82=$AA$7,1,0)</f>
        <v>0</v>
      </c>
      <c r="AB82" s="1">
        <f t="shared" ref="AB82:AB145" si="46">IF(J82=$AB$7,1,0)</f>
        <v>0</v>
      </c>
      <c r="AD82" s="1">
        <f t="shared" ref="AD82:AD145" si="47">+O82*P82</f>
        <v>1</v>
      </c>
      <c r="AE82" s="1">
        <f t="shared" ref="AE82:AE145" si="48">O82*(1-P82)</f>
        <v>0</v>
      </c>
      <c r="AF82" s="1">
        <f t="shared" si="33"/>
        <v>1</v>
      </c>
      <c r="AG82" s="1">
        <f t="shared" si="34"/>
        <v>0</v>
      </c>
      <c r="AH82" s="1">
        <f t="shared" si="35"/>
        <v>1</v>
      </c>
      <c r="AI82" s="1">
        <f t="shared" si="36"/>
        <v>0</v>
      </c>
    </row>
    <row r="83" spans="1:35" s="1" customFormat="1" ht="14.25" customHeight="1" x14ac:dyDescent="0.25">
      <c r="A83" s="31">
        <v>0</v>
      </c>
      <c r="B83" s="31">
        <v>1</v>
      </c>
      <c r="C83" s="31">
        <v>3</v>
      </c>
      <c r="D83" s="36" t="s">
        <v>1760</v>
      </c>
      <c r="E83" s="32" t="s">
        <v>169</v>
      </c>
      <c r="F83" s="36" t="s">
        <v>1758</v>
      </c>
      <c r="G83" s="36" t="s">
        <v>231</v>
      </c>
      <c r="H83" s="36" t="s">
        <v>352</v>
      </c>
      <c r="I83" s="37" t="s">
        <v>1759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7"/>
        <v>0</v>
      </c>
      <c r="T83" s="1">
        <f t="shared" si="38"/>
        <v>0</v>
      </c>
      <c r="U83" s="1">
        <f t="shared" si="39"/>
        <v>0</v>
      </c>
      <c r="V83" s="1">
        <f t="shared" si="40"/>
        <v>0</v>
      </c>
      <c r="W83" s="1">
        <f t="shared" si="41"/>
        <v>0</v>
      </c>
      <c r="X83" s="1">
        <f t="shared" si="42"/>
        <v>0</v>
      </c>
      <c r="Y83" s="1">
        <f t="shared" si="43"/>
        <v>0</v>
      </c>
      <c r="Z83" s="1">
        <f t="shared" si="44"/>
        <v>0</v>
      </c>
      <c r="AA83" s="1">
        <f t="shared" si="45"/>
        <v>0</v>
      </c>
      <c r="AB83" s="1">
        <f t="shared" si="46"/>
        <v>0</v>
      </c>
      <c r="AD83" s="1">
        <f t="shared" si="47"/>
        <v>1</v>
      </c>
      <c r="AE83" s="1">
        <f t="shared" si="48"/>
        <v>0</v>
      </c>
      <c r="AF83" s="1">
        <f t="shared" ref="AF83:AF146" si="49">+O83*P83*(1-A83)</f>
        <v>1</v>
      </c>
      <c r="AG83" s="1">
        <f t="shared" ref="AG83:AG146" si="50">O83*(1-P83)*(1-A83)</f>
        <v>0</v>
      </c>
      <c r="AH83" s="1">
        <f t="shared" ref="AH83:AH146" si="51">+P83*(1-A83)</f>
        <v>1</v>
      </c>
      <c r="AI83" s="1">
        <f t="shared" ref="AI83:AI146" si="52">+(1-A83)*(1-P83)</f>
        <v>0</v>
      </c>
    </row>
    <row r="84" spans="1:35" s="1" customFormat="1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1711</v>
      </c>
      <c r="O84" s="35">
        <v>1</v>
      </c>
      <c r="P84" s="35"/>
      <c r="Q84" s="36"/>
      <c r="S84" s="1">
        <f t="shared" si="37"/>
        <v>0</v>
      </c>
      <c r="T84" s="1">
        <f t="shared" si="38"/>
        <v>0</v>
      </c>
      <c r="U84" s="1">
        <f t="shared" si="39"/>
        <v>0</v>
      </c>
      <c r="V84" s="1">
        <f t="shared" si="40"/>
        <v>0</v>
      </c>
      <c r="W84" s="1">
        <f t="shared" si="41"/>
        <v>0</v>
      </c>
      <c r="X84" s="1">
        <f t="shared" si="42"/>
        <v>0</v>
      </c>
      <c r="Y84" s="1">
        <f t="shared" si="43"/>
        <v>0</v>
      </c>
      <c r="Z84" s="1">
        <f t="shared" si="44"/>
        <v>0</v>
      </c>
      <c r="AA84" s="1">
        <f t="shared" si="45"/>
        <v>0</v>
      </c>
      <c r="AB84" s="1">
        <f t="shared" si="46"/>
        <v>0</v>
      </c>
      <c r="AD84" s="1">
        <f t="shared" si="47"/>
        <v>0</v>
      </c>
      <c r="AE84" s="1">
        <f t="shared" si="48"/>
        <v>1</v>
      </c>
      <c r="AF84" s="1">
        <f t="shared" si="49"/>
        <v>0</v>
      </c>
      <c r="AG84" s="1">
        <f t="shared" si="50"/>
        <v>1</v>
      </c>
      <c r="AH84" s="1">
        <f t="shared" si="51"/>
        <v>0</v>
      </c>
      <c r="AI84" s="1">
        <f t="shared" si="52"/>
        <v>1</v>
      </c>
    </row>
    <row r="85" spans="1:35" s="1" customFormat="1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1786</v>
      </c>
      <c r="O85" s="35">
        <v>1</v>
      </c>
      <c r="P85" s="35"/>
      <c r="Q85" s="36" t="s">
        <v>1842</v>
      </c>
      <c r="S85" s="1">
        <f t="shared" si="37"/>
        <v>0</v>
      </c>
      <c r="T85" s="1">
        <f t="shared" si="38"/>
        <v>0</v>
      </c>
      <c r="U85" s="1">
        <f t="shared" si="39"/>
        <v>0</v>
      </c>
      <c r="V85" s="1">
        <f t="shared" si="40"/>
        <v>0</v>
      </c>
      <c r="W85" s="1">
        <f t="shared" si="41"/>
        <v>0</v>
      </c>
      <c r="X85" s="1">
        <f t="shared" si="42"/>
        <v>0</v>
      </c>
      <c r="Y85" s="1">
        <f t="shared" si="43"/>
        <v>0</v>
      </c>
      <c r="Z85" s="1">
        <f t="shared" si="44"/>
        <v>0</v>
      </c>
      <c r="AA85" s="1">
        <f t="shared" si="45"/>
        <v>0</v>
      </c>
      <c r="AB85" s="1">
        <f t="shared" si="46"/>
        <v>0</v>
      </c>
      <c r="AD85" s="1">
        <f t="shared" si="47"/>
        <v>0</v>
      </c>
      <c r="AE85" s="1">
        <f t="shared" si="48"/>
        <v>1</v>
      </c>
      <c r="AF85" s="1">
        <f t="shared" si="49"/>
        <v>0</v>
      </c>
      <c r="AG85" s="1">
        <f t="shared" si="50"/>
        <v>1</v>
      </c>
      <c r="AH85" s="1">
        <f t="shared" si="51"/>
        <v>0</v>
      </c>
      <c r="AI85" s="1">
        <f t="shared" si="52"/>
        <v>1</v>
      </c>
    </row>
    <row r="86" spans="1:35" s="1" customFormat="1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7"/>
        <v>0</v>
      </c>
      <c r="T86" s="1">
        <f t="shared" si="38"/>
        <v>0</v>
      </c>
      <c r="U86" s="1">
        <f t="shared" si="39"/>
        <v>0</v>
      </c>
      <c r="V86" s="1">
        <f t="shared" si="40"/>
        <v>0</v>
      </c>
      <c r="W86" s="1">
        <f t="shared" si="41"/>
        <v>0</v>
      </c>
      <c r="X86" s="1">
        <f t="shared" si="42"/>
        <v>0</v>
      </c>
      <c r="Y86" s="1">
        <f t="shared" si="43"/>
        <v>0</v>
      </c>
      <c r="Z86" s="1">
        <f t="shared" si="44"/>
        <v>0</v>
      </c>
      <c r="AA86" s="1">
        <f t="shared" si="45"/>
        <v>0</v>
      </c>
      <c r="AB86" s="1">
        <f t="shared" si="46"/>
        <v>0</v>
      </c>
      <c r="AD86" s="1">
        <f t="shared" si="47"/>
        <v>1</v>
      </c>
      <c r="AE86" s="1">
        <f t="shared" si="48"/>
        <v>0</v>
      </c>
      <c r="AF86" s="1">
        <f t="shared" si="49"/>
        <v>1</v>
      </c>
      <c r="AG86" s="1">
        <f t="shared" si="50"/>
        <v>0</v>
      </c>
      <c r="AH86" s="1">
        <f t="shared" si="51"/>
        <v>1</v>
      </c>
      <c r="AI86" s="1">
        <f t="shared" si="52"/>
        <v>0</v>
      </c>
    </row>
    <row r="87" spans="1:35" s="1" customFormat="1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1706</v>
      </c>
      <c r="O87" s="35">
        <v>1</v>
      </c>
      <c r="P87" s="35"/>
      <c r="Q87" s="36"/>
      <c r="S87" s="1">
        <f t="shared" si="37"/>
        <v>0</v>
      </c>
      <c r="T87" s="1">
        <f t="shared" si="38"/>
        <v>0</v>
      </c>
      <c r="U87" s="1">
        <f t="shared" si="39"/>
        <v>0</v>
      </c>
      <c r="V87" s="1">
        <f t="shared" si="40"/>
        <v>0</v>
      </c>
      <c r="W87" s="1">
        <f t="shared" si="41"/>
        <v>0</v>
      </c>
      <c r="X87" s="1">
        <f t="shared" si="42"/>
        <v>1</v>
      </c>
      <c r="Y87" s="1">
        <f t="shared" si="43"/>
        <v>0</v>
      </c>
      <c r="Z87" s="1">
        <f t="shared" si="44"/>
        <v>0</v>
      </c>
      <c r="AA87" s="1">
        <f t="shared" si="45"/>
        <v>0</v>
      </c>
      <c r="AB87" s="1">
        <f t="shared" si="46"/>
        <v>0</v>
      </c>
      <c r="AD87" s="1">
        <f t="shared" si="47"/>
        <v>0</v>
      </c>
      <c r="AE87" s="1">
        <f t="shared" si="48"/>
        <v>1</v>
      </c>
      <c r="AF87" s="1">
        <f t="shared" si="49"/>
        <v>0</v>
      </c>
      <c r="AG87" s="1">
        <f t="shared" si="50"/>
        <v>1</v>
      </c>
      <c r="AH87" s="1">
        <f t="shared" si="51"/>
        <v>0</v>
      </c>
      <c r="AI87" s="1">
        <f t="shared" si="52"/>
        <v>1</v>
      </c>
    </row>
    <row r="88" spans="1:35" s="1" customFormat="1" ht="14.25" customHeight="1" x14ac:dyDescent="0.25">
      <c r="A88" s="31">
        <v>0</v>
      </c>
      <c r="B88" s="31">
        <v>1</v>
      </c>
      <c r="C88" s="31">
        <v>3</v>
      </c>
      <c r="D88" s="36" t="s">
        <v>2063</v>
      </c>
      <c r="E88" s="32" t="s">
        <v>169</v>
      </c>
      <c r="F88" s="36" t="s">
        <v>2064</v>
      </c>
      <c r="G88" s="36" t="s">
        <v>206</v>
      </c>
      <c r="H88" s="36" t="s">
        <v>352</v>
      </c>
      <c r="I88" s="37" t="s">
        <v>2065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2066</v>
      </c>
      <c r="S88" s="1">
        <f t="shared" si="37"/>
        <v>0</v>
      </c>
      <c r="T88" s="1">
        <f t="shared" si="38"/>
        <v>0</v>
      </c>
      <c r="U88" s="1">
        <f t="shared" si="39"/>
        <v>0</v>
      </c>
      <c r="V88" s="1">
        <f t="shared" si="40"/>
        <v>0</v>
      </c>
      <c r="W88" s="1">
        <f t="shared" si="41"/>
        <v>0</v>
      </c>
      <c r="X88" s="1">
        <f t="shared" si="42"/>
        <v>0</v>
      </c>
      <c r="Y88" s="1">
        <f t="shared" si="43"/>
        <v>0</v>
      </c>
      <c r="Z88" s="1">
        <f t="shared" si="44"/>
        <v>0</v>
      </c>
      <c r="AA88" s="1">
        <f t="shared" si="45"/>
        <v>0</v>
      </c>
      <c r="AB88" s="1">
        <f t="shared" si="46"/>
        <v>0</v>
      </c>
      <c r="AD88" s="1">
        <f t="shared" si="47"/>
        <v>1</v>
      </c>
      <c r="AE88" s="1">
        <f t="shared" si="48"/>
        <v>0</v>
      </c>
      <c r="AF88" s="1">
        <f t="shared" si="49"/>
        <v>1</v>
      </c>
      <c r="AG88" s="1">
        <f t="shared" si="50"/>
        <v>0</v>
      </c>
      <c r="AH88" s="1">
        <f t="shared" si="51"/>
        <v>1</v>
      </c>
      <c r="AI88" s="1">
        <f t="shared" si="52"/>
        <v>0</v>
      </c>
    </row>
    <row r="89" spans="1:35" s="1" customFormat="1" ht="14.25" customHeight="1" x14ac:dyDescent="0.25">
      <c r="A89" s="15">
        <v>0</v>
      </c>
      <c r="B89" s="15">
        <v>1</v>
      </c>
      <c r="C89" s="15">
        <v>3</v>
      </c>
      <c r="D89" s="16" t="s">
        <v>1748</v>
      </c>
      <c r="E89" s="16" t="s">
        <v>171</v>
      </c>
      <c r="F89" s="16" t="s">
        <v>1750</v>
      </c>
      <c r="G89" s="16"/>
      <c r="H89" s="16" t="s">
        <v>362</v>
      </c>
      <c r="I89" s="15" t="s">
        <v>1749</v>
      </c>
      <c r="J89" s="15">
        <v>17</v>
      </c>
      <c r="K89" s="10" t="s">
        <v>694</v>
      </c>
      <c r="L89" s="10" t="s">
        <v>1705</v>
      </c>
      <c r="M89" s="19" t="s">
        <v>682</v>
      </c>
      <c r="N89" s="17"/>
      <c r="Q89" s="20" t="s">
        <v>1874</v>
      </c>
      <c r="S89" s="1">
        <f t="shared" si="37"/>
        <v>0</v>
      </c>
      <c r="T89" s="1">
        <f t="shared" si="38"/>
        <v>0</v>
      </c>
      <c r="U89" s="1">
        <f t="shared" si="39"/>
        <v>0</v>
      </c>
      <c r="V89" s="1">
        <f t="shared" si="40"/>
        <v>0</v>
      </c>
      <c r="W89" s="1">
        <f t="shared" si="41"/>
        <v>0</v>
      </c>
      <c r="X89" s="1">
        <f t="shared" si="42"/>
        <v>0</v>
      </c>
      <c r="Y89" s="1">
        <f t="shared" si="43"/>
        <v>0</v>
      </c>
      <c r="Z89" s="1">
        <f t="shared" si="44"/>
        <v>0</v>
      </c>
      <c r="AA89" s="1">
        <f t="shared" si="45"/>
        <v>0</v>
      </c>
      <c r="AB89" s="1">
        <f t="shared" si="46"/>
        <v>0</v>
      </c>
      <c r="AD89" s="1">
        <f t="shared" si="47"/>
        <v>0</v>
      </c>
      <c r="AE89" s="1">
        <f t="shared" si="48"/>
        <v>0</v>
      </c>
      <c r="AF89" s="1">
        <f t="shared" si="49"/>
        <v>0</v>
      </c>
      <c r="AG89" s="1">
        <f t="shared" si="50"/>
        <v>0</v>
      </c>
      <c r="AH89" s="1">
        <f t="shared" si="51"/>
        <v>0</v>
      </c>
      <c r="AI89" s="1">
        <f t="shared" si="52"/>
        <v>1</v>
      </c>
    </row>
    <row r="90" spans="1:35" s="1" customFormat="1" ht="14.25" customHeight="1" x14ac:dyDescent="0.25">
      <c r="A90" s="31">
        <v>0</v>
      </c>
      <c r="B90" s="31">
        <v>1</v>
      </c>
      <c r="C90" s="31">
        <v>3</v>
      </c>
      <c r="D90" s="32" t="s">
        <v>1771</v>
      </c>
      <c r="E90" s="32" t="s">
        <v>171</v>
      </c>
      <c r="F90" s="32" t="s">
        <v>1772</v>
      </c>
      <c r="G90" s="32" t="s">
        <v>1773</v>
      </c>
      <c r="H90" s="32" t="s">
        <v>352</v>
      </c>
      <c r="I90" s="31" t="s">
        <v>1774</v>
      </c>
      <c r="J90" s="31">
        <v>1</v>
      </c>
      <c r="K90" s="33" t="s">
        <v>694</v>
      </c>
      <c r="L90" s="33">
        <v>60</v>
      </c>
      <c r="M90" s="34" t="s">
        <v>1775</v>
      </c>
      <c r="N90" s="34" t="s">
        <v>1810</v>
      </c>
      <c r="O90" s="35">
        <v>1</v>
      </c>
      <c r="P90" s="35"/>
      <c r="Q90" s="32"/>
      <c r="S90" s="1">
        <f t="shared" si="37"/>
        <v>1</v>
      </c>
      <c r="T90" s="1">
        <f t="shared" si="38"/>
        <v>0</v>
      </c>
      <c r="U90" s="1">
        <f t="shared" si="39"/>
        <v>0</v>
      </c>
      <c r="V90" s="1">
        <f t="shared" si="40"/>
        <v>0</v>
      </c>
      <c r="W90" s="1">
        <f t="shared" si="41"/>
        <v>0</v>
      </c>
      <c r="X90" s="1">
        <f t="shared" si="42"/>
        <v>0</v>
      </c>
      <c r="Y90" s="1">
        <f t="shared" si="43"/>
        <v>0</v>
      </c>
      <c r="Z90" s="1">
        <f t="shared" si="44"/>
        <v>0</v>
      </c>
      <c r="AA90" s="1">
        <f t="shared" si="45"/>
        <v>0</v>
      </c>
      <c r="AB90" s="1">
        <f t="shared" si="46"/>
        <v>0</v>
      </c>
      <c r="AD90" s="1">
        <f t="shared" si="47"/>
        <v>0</v>
      </c>
      <c r="AE90" s="1">
        <f t="shared" si="48"/>
        <v>1</v>
      </c>
      <c r="AF90" s="1">
        <f t="shared" si="49"/>
        <v>0</v>
      </c>
      <c r="AG90" s="1">
        <f t="shared" si="50"/>
        <v>1</v>
      </c>
      <c r="AH90" s="1">
        <f t="shared" si="51"/>
        <v>0</v>
      </c>
      <c r="AI90" s="1">
        <f t="shared" si="52"/>
        <v>1</v>
      </c>
    </row>
    <row r="91" spans="1:35" s="1" customFormat="1" ht="14.25" customHeight="1" x14ac:dyDescent="0.25">
      <c r="A91" s="31">
        <v>0</v>
      </c>
      <c r="B91" s="31">
        <v>1</v>
      </c>
      <c r="C91" s="31">
        <v>3</v>
      </c>
      <c r="D91" s="36" t="s">
        <v>2021</v>
      </c>
      <c r="E91" s="36" t="s">
        <v>175</v>
      </c>
      <c r="F91" s="36" t="s">
        <v>2019</v>
      </c>
      <c r="G91" s="36" t="s">
        <v>219</v>
      </c>
      <c r="H91" s="36" t="s">
        <v>352</v>
      </c>
      <c r="I91" s="37" t="s">
        <v>2020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7"/>
        <v>0</v>
      </c>
      <c r="T91" s="1">
        <f t="shared" si="38"/>
        <v>0</v>
      </c>
      <c r="U91" s="1">
        <f t="shared" si="39"/>
        <v>0</v>
      </c>
      <c r="V91" s="1">
        <f t="shared" si="40"/>
        <v>0</v>
      </c>
      <c r="W91" s="1">
        <f t="shared" si="41"/>
        <v>0</v>
      </c>
      <c r="X91" s="1">
        <f t="shared" si="42"/>
        <v>0</v>
      </c>
      <c r="Y91" s="1">
        <f t="shared" si="43"/>
        <v>0</v>
      </c>
      <c r="Z91" s="1">
        <f t="shared" si="44"/>
        <v>1</v>
      </c>
      <c r="AA91" s="1">
        <f t="shared" si="45"/>
        <v>0</v>
      </c>
      <c r="AB91" s="1">
        <f t="shared" si="46"/>
        <v>0</v>
      </c>
      <c r="AD91" s="1">
        <f t="shared" si="47"/>
        <v>1</v>
      </c>
      <c r="AE91" s="1">
        <f t="shared" si="48"/>
        <v>0</v>
      </c>
      <c r="AF91" s="1">
        <f t="shared" si="49"/>
        <v>1</v>
      </c>
      <c r="AG91" s="1">
        <f t="shared" si="50"/>
        <v>0</v>
      </c>
      <c r="AH91" s="1">
        <f t="shared" si="51"/>
        <v>1</v>
      </c>
      <c r="AI91" s="1">
        <f t="shared" si="52"/>
        <v>0</v>
      </c>
    </row>
    <row r="92" spans="1:35" s="1" customFormat="1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1717</v>
      </c>
      <c r="O92" s="35">
        <v>1</v>
      </c>
      <c r="P92" s="35"/>
      <c r="Q92" s="36"/>
      <c r="S92" s="1">
        <f t="shared" si="37"/>
        <v>0</v>
      </c>
      <c r="T92" s="1">
        <f t="shared" si="38"/>
        <v>0</v>
      </c>
      <c r="U92" s="1">
        <f t="shared" si="39"/>
        <v>0</v>
      </c>
      <c r="V92" s="1">
        <f t="shared" si="40"/>
        <v>0</v>
      </c>
      <c r="W92" s="1">
        <f t="shared" si="41"/>
        <v>0</v>
      </c>
      <c r="X92" s="1">
        <f t="shared" si="42"/>
        <v>0</v>
      </c>
      <c r="Y92" s="1">
        <f t="shared" si="43"/>
        <v>0</v>
      </c>
      <c r="Z92" s="1">
        <f t="shared" si="44"/>
        <v>1</v>
      </c>
      <c r="AA92" s="1">
        <f t="shared" si="45"/>
        <v>0</v>
      </c>
      <c r="AB92" s="1">
        <f t="shared" si="46"/>
        <v>0</v>
      </c>
      <c r="AD92" s="1">
        <f t="shared" si="47"/>
        <v>0</v>
      </c>
      <c r="AE92" s="1">
        <f t="shared" si="48"/>
        <v>1</v>
      </c>
      <c r="AF92" s="1">
        <f t="shared" si="49"/>
        <v>0</v>
      </c>
      <c r="AG92" s="1">
        <f t="shared" si="50"/>
        <v>1</v>
      </c>
      <c r="AH92" s="1">
        <f t="shared" si="51"/>
        <v>0</v>
      </c>
      <c r="AI92" s="1">
        <f t="shared" si="52"/>
        <v>1</v>
      </c>
    </row>
    <row r="93" spans="1:35" s="1" customFormat="1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1840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1770</v>
      </c>
      <c r="O93" s="48"/>
      <c r="P93" s="48"/>
      <c r="Q93" s="45"/>
      <c r="S93" s="1">
        <f t="shared" si="37"/>
        <v>1</v>
      </c>
      <c r="T93" s="1">
        <f t="shared" si="38"/>
        <v>0</v>
      </c>
      <c r="U93" s="1">
        <f t="shared" si="39"/>
        <v>0</v>
      </c>
      <c r="V93" s="1">
        <f t="shared" si="40"/>
        <v>0</v>
      </c>
      <c r="W93" s="1">
        <f t="shared" si="41"/>
        <v>0</v>
      </c>
      <c r="X93" s="1">
        <f t="shared" si="42"/>
        <v>0</v>
      </c>
      <c r="Y93" s="1">
        <f t="shared" si="43"/>
        <v>0</v>
      </c>
      <c r="Z93" s="1">
        <f t="shared" si="44"/>
        <v>0</v>
      </c>
      <c r="AA93" s="1">
        <f t="shared" si="45"/>
        <v>0</v>
      </c>
      <c r="AB93" s="1">
        <f t="shared" si="46"/>
        <v>0</v>
      </c>
      <c r="AD93" s="1">
        <f t="shared" si="47"/>
        <v>0</v>
      </c>
      <c r="AE93" s="1">
        <f t="shared" si="48"/>
        <v>0</v>
      </c>
      <c r="AF93" s="1">
        <f t="shared" si="49"/>
        <v>0</v>
      </c>
      <c r="AG93" s="1">
        <f t="shared" si="50"/>
        <v>0</v>
      </c>
      <c r="AH93" s="1">
        <f t="shared" si="51"/>
        <v>0</v>
      </c>
      <c r="AI93" s="1">
        <f t="shared" si="52"/>
        <v>1</v>
      </c>
    </row>
    <row r="94" spans="1:35" s="1" customFormat="1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7"/>
        <v>0</v>
      </c>
      <c r="T94" s="1">
        <f t="shared" si="38"/>
        <v>0</v>
      </c>
      <c r="U94" s="1">
        <f t="shared" si="39"/>
        <v>0</v>
      </c>
      <c r="V94" s="1">
        <f t="shared" si="40"/>
        <v>0</v>
      </c>
      <c r="W94" s="1">
        <f t="shared" si="41"/>
        <v>0</v>
      </c>
      <c r="X94" s="1">
        <f t="shared" si="42"/>
        <v>0</v>
      </c>
      <c r="Y94" s="1">
        <f t="shared" si="43"/>
        <v>0</v>
      </c>
      <c r="Z94" s="1">
        <f t="shared" si="44"/>
        <v>0</v>
      </c>
      <c r="AA94" s="1">
        <f t="shared" si="45"/>
        <v>0</v>
      </c>
      <c r="AB94" s="1">
        <f t="shared" si="46"/>
        <v>0</v>
      </c>
      <c r="AD94" s="1">
        <f t="shared" si="47"/>
        <v>0</v>
      </c>
      <c r="AE94" s="1">
        <f t="shared" si="48"/>
        <v>0</v>
      </c>
      <c r="AF94" s="1">
        <f t="shared" si="49"/>
        <v>0</v>
      </c>
      <c r="AG94" s="1">
        <f t="shared" si="50"/>
        <v>0</v>
      </c>
      <c r="AH94" s="1">
        <f t="shared" si="51"/>
        <v>0</v>
      </c>
      <c r="AI94" s="1">
        <f t="shared" si="52"/>
        <v>1</v>
      </c>
    </row>
    <row r="95" spans="1:35" s="1" customFormat="1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1706</v>
      </c>
      <c r="O95" s="35">
        <v>1</v>
      </c>
      <c r="P95" s="35"/>
      <c r="Q95" s="32"/>
      <c r="S95" s="1">
        <f t="shared" si="37"/>
        <v>1</v>
      </c>
      <c r="T95" s="1">
        <f t="shared" si="38"/>
        <v>0</v>
      </c>
      <c r="U95" s="1">
        <f t="shared" si="39"/>
        <v>0</v>
      </c>
      <c r="V95" s="1">
        <f t="shared" si="40"/>
        <v>0</v>
      </c>
      <c r="W95" s="1">
        <f t="shared" si="41"/>
        <v>0</v>
      </c>
      <c r="X95" s="1">
        <f t="shared" si="42"/>
        <v>0</v>
      </c>
      <c r="Y95" s="1">
        <f t="shared" si="43"/>
        <v>0</v>
      </c>
      <c r="Z95" s="1">
        <f t="shared" si="44"/>
        <v>0</v>
      </c>
      <c r="AA95" s="1">
        <f t="shared" si="45"/>
        <v>0</v>
      </c>
      <c r="AB95" s="1">
        <f t="shared" si="46"/>
        <v>0</v>
      </c>
      <c r="AD95" s="1">
        <f t="shared" si="47"/>
        <v>0</v>
      </c>
      <c r="AE95" s="1">
        <f t="shared" si="48"/>
        <v>1</v>
      </c>
      <c r="AF95" s="1">
        <f t="shared" si="49"/>
        <v>0</v>
      </c>
      <c r="AG95" s="1">
        <f t="shared" si="50"/>
        <v>1</v>
      </c>
      <c r="AH95" s="1">
        <f t="shared" si="51"/>
        <v>0</v>
      </c>
      <c r="AI95" s="1">
        <f t="shared" si="52"/>
        <v>1</v>
      </c>
    </row>
    <row r="96" spans="1:35" s="1" customFormat="1" ht="14.25" customHeight="1" x14ac:dyDescent="0.25">
      <c r="A96" s="15">
        <v>0</v>
      </c>
      <c r="B96" s="15">
        <v>1</v>
      </c>
      <c r="C96" s="15">
        <v>3</v>
      </c>
      <c r="D96" s="20" t="s">
        <v>1910</v>
      </c>
      <c r="E96" s="20" t="s">
        <v>1938</v>
      </c>
      <c r="F96" s="20" t="s">
        <v>1939</v>
      </c>
      <c r="G96" s="20"/>
      <c r="H96" s="20" t="s">
        <v>1937</v>
      </c>
      <c r="I96" s="21" t="s">
        <v>1940</v>
      </c>
      <c r="J96" s="15">
        <v>18</v>
      </c>
      <c r="K96" s="10" t="s">
        <v>694</v>
      </c>
      <c r="L96" s="10" t="s">
        <v>1705</v>
      </c>
      <c r="M96" s="19" t="s">
        <v>952</v>
      </c>
      <c r="N96" s="17"/>
      <c r="Q96" s="20" t="s">
        <v>1941</v>
      </c>
      <c r="S96" s="1">
        <f t="shared" si="37"/>
        <v>0</v>
      </c>
      <c r="T96" s="1">
        <f t="shared" si="38"/>
        <v>0</v>
      </c>
      <c r="U96" s="1">
        <f t="shared" si="39"/>
        <v>0</v>
      </c>
      <c r="V96" s="1">
        <f t="shared" si="40"/>
        <v>0</v>
      </c>
      <c r="W96" s="1">
        <f t="shared" si="41"/>
        <v>0</v>
      </c>
      <c r="X96" s="1">
        <f t="shared" si="42"/>
        <v>0</v>
      </c>
      <c r="Y96" s="1">
        <f t="shared" si="43"/>
        <v>0</v>
      </c>
      <c r="Z96" s="1">
        <f t="shared" si="44"/>
        <v>0</v>
      </c>
      <c r="AA96" s="1">
        <f t="shared" si="45"/>
        <v>0</v>
      </c>
      <c r="AB96" s="1">
        <f t="shared" si="46"/>
        <v>0</v>
      </c>
      <c r="AD96" s="1">
        <f t="shared" si="47"/>
        <v>0</v>
      </c>
      <c r="AE96" s="1">
        <f t="shared" si="48"/>
        <v>0</v>
      </c>
      <c r="AF96" s="1">
        <f t="shared" si="49"/>
        <v>0</v>
      </c>
      <c r="AG96" s="1">
        <f t="shared" si="50"/>
        <v>0</v>
      </c>
      <c r="AH96" s="1">
        <f t="shared" si="51"/>
        <v>0</v>
      </c>
      <c r="AI96" s="1">
        <f t="shared" si="52"/>
        <v>1</v>
      </c>
    </row>
    <row r="97" spans="1:35" s="1" customFormat="1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7"/>
        <v>0</v>
      </c>
      <c r="T97" s="1">
        <f t="shared" si="38"/>
        <v>0</v>
      </c>
      <c r="U97" s="1">
        <f t="shared" si="39"/>
        <v>0</v>
      </c>
      <c r="V97" s="1">
        <f t="shared" si="40"/>
        <v>0</v>
      </c>
      <c r="W97" s="1">
        <f t="shared" si="41"/>
        <v>0</v>
      </c>
      <c r="X97" s="1">
        <f t="shared" si="42"/>
        <v>0</v>
      </c>
      <c r="Y97" s="1">
        <f t="shared" si="43"/>
        <v>0</v>
      </c>
      <c r="Z97" s="1">
        <f t="shared" si="44"/>
        <v>0</v>
      </c>
      <c r="AA97" s="1">
        <f t="shared" si="45"/>
        <v>0</v>
      </c>
      <c r="AB97" s="1">
        <f t="shared" si="46"/>
        <v>0</v>
      </c>
      <c r="AD97" s="1">
        <f t="shared" si="47"/>
        <v>1</v>
      </c>
      <c r="AE97" s="1">
        <f t="shared" si="48"/>
        <v>0</v>
      </c>
      <c r="AF97" s="1">
        <f t="shared" si="49"/>
        <v>1</v>
      </c>
      <c r="AG97" s="1">
        <f t="shared" si="50"/>
        <v>0</v>
      </c>
      <c r="AH97" s="1">
        <f t="shared" si="51"/>
        <v>1</v>
      </c>
      <c r="AI97" s="1">
        <f t="shared" si="52"/>
        <v>0</v>
      </c>
    </row>
    <row r="98" spans="1:35" s="1" customFormat="1" ht="14.25" customHeight="1" x14ac:dyDescent="0.25">
      <c r="A98" s="31">
        <v>0</v>
      </c>
      <c r="B98" s="31">
        <v>1</v>
      </c>
      <c r="C98" s="31">
        <v>3</v>
      </c>
      <c r="D98" s="36" t="s">
        <v>1815</v>
      </c>
      <c r="E98" s="36" t="s">
        <v>171</v>
      </c>
      <c r="F98" s="36" t="s">
        <v>1816</v>
      </c>
      <c r="G98" s="36"/>
      <c r="H98" s="36" t="s">
        <v>1817</v>
      </c>
      <c r="I98" s="37" t="s">
        <v>1818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1852</v>
      </c>
      <c r="S98" s="1">
        <f t="shared" si="37"/>
        <v>0</v>
      </c>
      <c r="T98" s="1">
        <f t="shared" si="38"/>
        <v>0</v>
      </c>
      <c r="U98" s="1">
        <f t="shared" si="39"/>
        <v>0</v>
      </c>
      <c r="V98" s="1">
        <f t="shared" si="40"/>
        <v>0</v>
      </c>
      <c r="W98" s="1">
        <f t="shared" si="41"/>
        <v>0</v>
      </c>
      <c r="X98" s="1">
        <f t="shared" si="42"/>
        <v>0</v>
      </c>
      <c r="Y98" s="1">
        <f t="shared" si="43"/>
        <v>0</v>
      </c>
      <c r="Z98" s="1">
        <f t="shared" si="44"/>
        <v>0</v>
      </c>
      <c r="AA98" s="1">
        <f t="shared" si="45"/>
        <v>0</v>
      </c>
      <c r="AB98" s="1">
        <f t="shared" si="46"/>
        <v>0</v>
      </c>
      <c r="AD98" s="1">
        <f t="shared" si="47"/>
        <v>1</v>
      </c>
      <c r="AE98" s="1">
        <f t="shared" si="48"/>
        <v>0</v>
      </c>
      <c r="AF98" s="1">
        <f t="shared" si="49"/>
        <v>1</v>
      </c>
      <c r="AG98" s="1">
        <f t="shared" si="50"/>
        <v>0</v>
      </c>
      <c r="AH98" s="1">
        <f t="shared" si="51"/>
        <v>1</v>
      </c>
      <c r="AI98" s="1">
        <f t="shared" si="52"/>
        <v>0</v>
      </c>
    </row>
    <row r="99" spans="1:35" s="1" customFormat="1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1810</v>
      </c>
      <c r="O99" s="35">
        <v>1</v>
      </c>
      <c r="P99" s="35"/>
      <c r="Q99" s="32"/>
      <c r="S99" s="1">
        <f t="shared" si="37"/>
        <v>0</v>
      </c>
      <c r="T99" s="1">
        <f t="shared" si="38"/>
        <v>0</v>
      </c>
      <c r="U99" s="1">
        <f t="shared" si="39"/>
        <v>0</v>
      </c>
      <c r="V99" s="1">
        <f t="shared" si="40"/>
        <v>0</v>
      </c>
      <c r="W99" s="1">
        <f t="shared" si="41"/>
        <v>0</v>
      </c>
      <c r="X99" s="1">
        <f t="shared" si="42"/>
        <v>0</v>
      </c>
      <c r="Y99" s="1">
        <f t="shared" si="43"/>
        <v>0</v>
      </c>
      <c r="Z99" s="1">
        <f t="shared" si="44"/>
        <v>0</v>
      </c>
      <c r="AA99" s="1">
        <f t="shared" si="45"/>
        <v>0</v>
      </c>
      <c r="AB99" s="1">
        <f t="shared" si="46"/>
        <v>0</v>
      </c>
      <c r="AD99" s="1">
        <f t="shared" si="47"/>
        <v>0</v>
      </c>
      <c r="AE99" s="1">
        <f t="shared" si="48"/>
        <v>1</v>
      </c>
      <c r="AF99" s="1">
        <f t="shared" si="49"/>
        <v>0</v>
      </c>
      <c r="AG99" s="1">
        <f t="shared" si="50"/>
        <v>1</v>
      </c>
      <c r="AH99" s="1">
        <f t="shared" si="51"/>
        <v>0</v>
      </c>
      <c r="AI99" s="1">
        <f t="shared" si="52"/>
        <v>1</v>
      </c>
    </row>
    <row r="100" spans="1:35" s="1" customFormat="1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1876</v>
      </c>
      <c r="S100" s="1">
        <f t="shared" si="37"/>
        <v>0</v>
      </c>
      <c r="T100" s="1">
        <f t="shared" si="38"/>
        <v>0</v>
      </c>
      <c r="U100" s="1">
        <f t="shared" si="39"/>
        <v>0</v>
      </c>
      <c r="V100" s="1">
        <f t="shared" si="40"/>
        <v>0</v>
      </c>
      <c r="W100" s="1">
        <f t="shared" si="41"/>
        <v>0</v>
      </c>
      <c r="X100" s="1">
        <f t="shared" si="42"/>
        <v>0</v>
      </c>
      <c r="Y100" s="1">
        <f t="shared" si="43"/>
        <v>0</v>
      </c>
      <c r="Z100" s="1">
        <f t="shared" si="44"/>
        <v>0</v>
      </c>
      <c r="AA100" s="1">
        <f t="shared" si="45"/>
        <v>0</v>
      </c>
      <c r="AB100" s="1">
        <f t="shared" si="46"/>
        <v>0</v>
      </c>
      <c r="AD100" s="1">
        <f t="shared" si="47"/>
        <v>1</v>
      </c>
      <c r="AE100" s="1">
        <f t="shared" si="48"/>
        <v>0</v>
      </c>
      <c r="AF100" s="1">
        <f t="shared" si="49"/>
        <v>1</v>
      </c>
      <c r="AG100" s="1">
        <f t="shared" si="50"/>
        <v>0</v>
      </c>
      <c r="AH100" s="1">
        <f t="shared" si="51"/>
        <v>1</v>
      </c>
      <c r="AI100" s="1">
        <f t="shared" si="52"/>
        <v>0</v>
      </c>
    </row>
    <row r="101" spans="1:35" s="1" customFormat="1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1710</v>
      </c>
      <c r="O101" s="35">
        <v>1</v>
      </c>
      <c r="P101" s="35"/>
      <c r="Q101" s="36" t="s">
        <v>1849</v>
      </c>
      <c r="S101" s="1">
        <f t="shared" si="37"/>
        <v>0</v>
      </c>
      <c r="T101" s="1">
        <f t="shared" si="38"/>
        <v>0</v>
      </c>
      <c r="U101" s="1">
        <f t="shared" si="39"/>
        <v>0</v>
      </c>
      <c r="V101" s="1">
        <f t="shared" si="40"/>
        <v>0</v>
      </c>
      <c r="W101" s="1">
        <f t="shared" si="41"/>
        <v>0</v>
      </c>
      <c r="X101" s="1">
        <f t="shared" si="42"/>
        <v>0</v>
      </c>
      <c r="Y101" s="1">
        <f t="shared" si="43"/>
        <v>0</v>
      </c>
      <c r="Z101" s="1">
        <f t="shared" si="44"/>
        <v>0</v>
      </c>
      <c r="AA101" s="1">
        <f t="shared" si="45"/>
        <v>0</v>
      </c>
      <c r="AB101" s="1">
        <f t="shared" si="46"/>
        <v>0</v>
      </c>
      <c r="AD101" s="1">
        <f t="shared" si="47"/>
        <v>0</v>
      </c>
      <c r="AE101" s="1">
        <f t="shared" si="48"/>
        <v>1</v>
      </c>
      <c r="AF101" s="1">
        <f t="shared" si="49"/>
        <v>0</v>
      </c>
      <c r="AG101" s="1">
        <f t="shared" si="50"/>
        <v>1</v>
      </c>
      <c r="AH101" s="1">
        <f t="shared" si="51"/>
        <v>0</v>
      </c>
      <c r="AI101" s="1">
        <f t="shared" si="52"/>
        <v>1</v>
      </c>
    </row>
    <row r="102" spans="1:35" s="1" customFormat="1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7"/>
        <v>0</v>
      </c>
      <c r="T102" s="1">
        <f t="shared" si="38"/>
        <v>0</v>
      </c>
      <c r="U102" s="1">
        <f t="shared" si="39"/>
        <v>0</v>
      </c>
      <c r="V102" s="1">
        <f t="shared" si="40"/>
        <v>0</v>
      </c>
      <c r="W102" s="1">
        <f t="shared" si="41"/>
        <v>0</v>
      </c>
      <c r="X102" s="1">
        <f t="shared" si="42"/>
        <v>0</v>
      </c>
      <c r="Y102" s="1">
        <f t="shared" si="43"/>
        <v>1</v>
      </c>
      <c r="Z102" s="1">
        <f t="shared" si="44"/>
        <v>0</v>
      </c>
      <c r="AA102" s="1">
        <f t="shared" si="45"/>
        <v>0</v>
      </c>
      <c r="AB102" s="1">
        <f t="shared" si="46"/>
        <v>0</v>
      </c>
      <c r="AD102" s="1">
        <f t="shared" si="47"/>
        <v>1</v>
      </c>
      <c r="AE102" s="1">
        <f t="shared" si="48"/>
        <v>0</v>
      </c>
      <c r="AF102" s="1">
        <f t="shared" si="49"/>
        <v>1</v>
      </c>
      <c r="AG102" s="1">
        <f t="shared" si="50"/>
        <v>0</v>
      </c>
      <c r="AH102" s="1">
        <f t="shared" si="51"/>
        <v>1</v>
      </c>
      <c r="AI102" s="1">
        <f t="shared" si="52"/>
        <v>0</v>
      </c>
    </row>
    <row r="103" spans="1:35" s="1" customFormat="1" ht="14.25" customHeight="1" x14ac:dyDescent="0.25">
      <c r="A103" s="31">
        <v>0</v>
      </c>
      <c r="B103" s="31">
        <v>1</v>
      </c>
      <c r="C103" s="31">
        <v>3</v>
      </c>
      <c r="D103" s="36" t="s">
        <v>1892</v>
      </c>
      <c r="E103" s="32" t="s">
        <v>1893</v>
      </c>
      <c r="F103" s="36" t="s">
        <v>1894</v>
      </c>
      <c r="G103" s="36"/>
      <c r="H103" s="36" t="s">
        <v>364</v>
      </c>
      <c r="I103" s="37" t="s">
        <v>1896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1895</v>
      </c>
      <c r="S103" s="1">
        <f t="shared" si="37"/>
        <v>0</v>
      </c>
      <c r="T103" s="1">
        <f t="shared" si="38"/>
        <v>0</v>
      </c>
      <c r="U103" s="1">
        <f t="shared" si="39"/>
        <v>0</v>
      </c>
      <c r="V103" s="1">
        <f t="shared" si="40"/>
        <v>0</v>
      </c>
      <c r="W103" s="1">
        <f t="shared" si="41"/>
        <v>0</v>
      </c>
      <c r="X103" s="1">
        <f t="shared" si="42"/>
        <v>0</v>
      </c>
      <c r="Y103" s="1">
        <f t="shared" si="43"/>
        <v>0</v>
      </c>
      <c r="Z103" s="1">
        <f t="shared" si="44"/>
        <v>0</v>
      </c>
      <c r="AA103" s="1">
        <f t="shared" si="45"/>
        <v>0</v>
      </c>
      <c r="AB103" s="1">
        <f t="shared" si="46"/>
        <v>0</v>
      </c>
      <c r="AD103" s="1">
        <f t="shared" si="47"/>
        <v>1</v>
      </c>
      <c r="AE103" s="1">
        <f t="shared" si="48"/>
        <v>0</v>
      </c>
      <c r="AF103" s="1">
        <f t="shared" si="49"/>
        <v>1</v>
      </c>
      <c r="AG103" s="1">
        <f t="shared" si="50"/>
        <v>0</v>
      </c>
      <c r="AH103" s="1">
        <f t="shared" si="51"/>
        <v>1</v>
      </c>
      <c r="AI103" s="1">
        <f t="shared" si="52"/>
        <v>0</v>
      </c>
    </row>
    <row r="104" spans="1:35" s="1" customFormat="1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1763</v>
      </c>
      <c r="O104" s="48"/>
      <c r="P104" s="48"/>
      <c r="Q104" s="45"/>
      <c r="S104" s="1">
        <f t="shared" si="37"/>
        <v>0</v>
      </c>
      <c r="T104" s="1">
        <f t="shared" si="38"/>
        <v>0</v>
      </c>
      <c r="U104" s="1">
        <f t="shared" si="39"/>
        <v>0</v>
      </c>
      <c r="V104" s="1">
        <f t="shared" si="40"/>
        <v>0</v>
      </c>
      <c r="W104" s="1">
        <f t="shared" si="41"/>
        <v>0</v>
      </c>
      <c r="X104" s="1">
        <f t="shared" si="42"/>
        <v>0</v>
      </c>
      <c r="Y104" s="1">
        <f t="shared" si="43"/>
        <v>0</v>
      </c>
      <c r="Z104" s="1">
        <f t="shared" si="44"/>
        <v>0</v>
      </c>
      <c r="AA104" s="1">
        <f t="shared" si="45"/>
        <v>0</v>
      </c>
      <c r="AB104" s="1">
        <f t="shared" si="46"/>
        <v>0</v>
      </c>
      <c r="AD104" s="1">
        <f t="shared" si="47"/>
        <v>0</v>
      </c>
      <c r="AE104" s="1">
        <f t="shared" si="48"/>
        <v>0</v>
      </c>
      <c r="AF104" s="1">
        <f t="shared" si="49"/>
        <v>0</v>
      </c>
      <c r="AG104" s="1">
        <f t="shared" si="50"/>
        <v>0</v>
      </c>
      <c r="AH104" s="1">
        <f t="shared" si="51"/>
        <v>0</v>
      </c>
      <c r="AI104" s="1">
        <f t="shared" si="52"/>
        <v>1</v>
      </c>
    </row>
    <row r="105" spans="1:35" s="1" customFormat="1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7"/>
        <v>0</v>
      </c>
      <c r="T105" s="1">
        <f t="shared" si="38"/>
        <v>0</v>
      </c>
      <c r="U105" s="1">
        <f t="shared" si="39"/>
        <v>0</v>
      </c>
      <c r="V105" s="1">
        <f t="shared" si="40"/>
        <v>0</v>
      </c>
      <c r="W105" s="1">
        <f t="shared" si="41"/>
        <v>0</v>
      </c>
      <c r="X105" s="1">
        <f t="shared" si="42"/>
        <v>0</v>
      </c>
      <c r="Y105" s="1">
        <f t="shared" si="43"/>
        <v>0</v>
      </c>
      <c r="Z105" s="1">
        <f t="shared" si="44"/>
        <v>0</v>
      </c>
      <c r="AA105" s="1">
        <f t="shared" si="45"/>
        <v>0</v>
      </c>
      <c r="AB105" s="1">
        <f t="shared" si="46"/>
        <v>0</v>
      </c>
      <c r="AD105" s="1">
        <f t="shared" si="47"/>
        <v>1</v>
      </c>
      <c r="AE105" s="1">
        <f t="shared" si="48"/>
        <v>0</v>
      </c>
      <c r="AF105" s="1">
        <f t="shared" si="49"/>
        <v>1</v>
      </c>
      <c r="AG105" s="1">
        <f t="shared" si="50"/>
        <v>0</v>
      </c>
      <c r="AH105" s="1">
        <f t="shared" si="51"/>
        <v>1</v>
      </c>
      <c r="AI105" s="1">
        <f t="shared" si="52"/>
        <v>0</v>
      </c>
    </row>
    <row r="106" spans="1:35" s="1" customFormat="1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1706</v>
      </c>
      <c r="O106" s="35">
        <v>1</v>
      </c>
      <c r="P106" s="35"/>
      <c r="Q106" s="32"/>
      <c r="S106" s="1">
        <f t="shared" si="37"/>
        <v>0</v>
      </c>
      <c r="T106" s="1">
        <f t="shared" si="38"/>
        <v>0</v>
      </c>
      <c r="U106" s="1">
        <f t="shared" si="39"/>
        <v>0</v>
      </c>
      <c r="V106" s="1">
        <f t="shared" si="40"/>
        <v>0</v>
      </c>
      <c r="W106" s="1">
        <f t="shared" si="41"/>
        <v>0</v>
      </c>
      <c r="X106" s="1">
        <f t="shared" si="42"/>
        <v>0</v>
      </c>
      <c r="Y106" s="1">
        <f t="shared" si="43"/>
        <v>0</v>
      </c>
      <c r="Z106" s="1">
        <f t="shared" si="44"/>
        <v>0</v>
      </c>
      <c r="AA106" s="1">
        <f t="shared" si="45"/>
        <v>0</v>
      </c>
      <c r="AB106" s="1">
        <f t="shared" si="46"/>
        <v>0</v>
      </c>
      <c r="AD106" s="1">
        <f t="shared" si="47"/>
        <v>0</v>
      </c>
      <c r="AE106" s="1">
        <f t="shared" si="48"/>
        <v>1</v>
      </c>
      <c r="AF106" s="1">
        <f t="shared" si="49"/>
        <v>0</v>
      </c>
      <c r="AG106" s="1">
        <f t="shared" si="50"/>
        <v>1</v>
      </c>
      <c r="AH106" s="1">
        <f t="shared" si="51"/>
        <v>0</v>
      </c>
      <c r="AI106" s="1">
        <f t="shared" si="52"/>
        <v>1</v>
      </c>
    </row>
    <row r="107" spans="1:35" s="1" customFormat="1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1704</v>
      </c>
      <c r="O107" s="48"/>
      <c r="P107" s="48"/>
      <c r="Q107" s="45"/>
      <c r="S107" s="1">
        <f t="shared" si="37"/>
        <v>0</v>
      </c>
      <c r="T107" s="1">
        <f t="shared" si="38"/>
        <v>0</v>
      </c>
      <c r="U107" s="1">
        <f t="shared" si="39"/>
        <v>0</v>
      </c>
      <c r="V107" s="1">
        <f t="shared" si="40"/>
        <v>0</v>
      </c>
      <c r="W107" s="1">
        <f t="shared" si="41"/>
        <v>0</v>
      </c>
      <c r="X107" s="1">
        <f t="shared" si="42"/>
        <v>0</v>
      </c>
      <c r="Y107" s="1">
        <f t="shared" si="43"/>
        <v>0</v>
      </c>
      <c r="Z107" s="1">
        <f t="shared" si="44"/>
        <v>0</v>
      </c>
      <c r="AA107" s="1">
        <f t="shared" si="45"/>
        <v>0</v>
      </c>
      <c r="AB107" s="1">
        <f t="shared" si="46"/>
        <v>0</v>
      </c>
      <c r="AD107" s="1">
        <f t="shared" si="47"/>
        <v>0</v>
      </c>
      <c r="AE107" s="1">
        <f t="shared" si="48"/>
        <v>0</v>
      </c>
      <c r="AF107" s="1">
        <f t="shared" si="49"/>
        <v>0</v>
      </c>
      <c r="AG107" s="1">
        <f t="shared" si="50"/>
        <v>0</v>
      </c>
      <c r="AH107" s="1">
        <f t="shared" si="51"/>
        <v>0</v>
      </c>
      <c r="AI107" s="1">
        <f t="shared" si="52"/>
        <v>1</v>
      </c>
    </row>
    <row r="108" spans="1:35" s="1" customFormat="1" ht="14.25" customHeight="1" x14ac:dyDescent="0.25">
      <c r="A108" s="31">
        <v>0</v>
      </c>
      <c r="B108" s="31">
        <v>1</v>
      </c>
      <c r="C108" s="31">
        <v>3</v>
      </c>
      <c r="D108" s="36" t="s">
        <v>2128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1810</v>
      </c>
      <c r="O108" s="35">
        <v>1</v>
      </c>
      <c r="P108" s="35"/>
      <c r="Q108" s="36"/>
      <c r="S108" s="1">
        <f t="shared" si="37"/>
        <v>0</v>
      </c>
      <c r="T108" s="1">
        <f t="shared" si="38"/>
        <v>0</v>
      </c>
      <c r="U108" s="1">
        <f t="shared" si="39"/>
        <v>0</v>
      </c>
      <c r="V108" s="1">
        <f t="shared" si="40"/>
        <v>0</v>
      </c>
      <c r="W108" s="1">
        <f t="shared" si="41"/>
        <v>0</v>
      </c>
      <c r="X108" s="1">
        <f t="shared" si="42"/>
        <v>0</v>
      </c>
      <c r="Y108" s="1">
        <f t="shared" si="43"/>
        <v>0</v>
      </c>
      <c r="Z108" s="1">
        <f t="shared" si="44"/>
        <v>0</v>
      </c>
      <c r="AA108" s="1">
        <f t="shared" si="45"/>
        <v>0</v>
      </c>
      <c r="AB108" s="1">
        <f t="shared" si="46"/>
        <v>0</v>
      </c>
      <c r="AD108" s="1">
        <f t="shared" si="47"/>
        <v>0</v>
      </c>
      <c r="AE108" s="1">
        <f t="shared" si="48"/>
        <v>1</v>
      </c>
      <c r="AF108" s="1">
        <f t="shared" si="49"/>
        <v>0</v>
      </c>
      <c r="AG108" s="1">
        <f t="shared" si="50"/>
        <v>1</v>
      </c>
      <c r="AH108" s="1">
        <f t="shared" si="51"/>
        <v>0</v>
      </c>
      <c r="AI108" s="1">
        <f t="shared" si="52"/>
        <v>1</v>
      </c>
    </row>
    <row r="109" spans="1:35" s="1" customFormat="1" ht="14.25" customHeight="1" x14ac:dyDescent="0.25">
      <c r="A109" s="44">
        <v>0</v>
      </c>
      <c r="B109" s="44">
        <v>1</v>
      </c>
      <c r="C109" s="44">
        <v>3</v>
      </c>
      <c r="D109" s="45" t="s">
        <v>2113</v>
      </c>
      <c r="E109" s="45" t="s">
        <v>169</v>
      </c>
      <c r="F109" s="45" t="s">
        <v>2112</v>
      </c>
      <c r="G109" s="45"/>
      <c r="H109" s="45" t="s">
        <v>352</v>
      </c>
      <c r="I109" s="44" t="s">
        <v>2114</v>
      </c>
      <c r="J109" s="44">
        <v>99</v>
      </c>
      <c r="K109" s="46" t="s">
        <v>694</v>
      </c>
      <c r="L109" s="46"/>
      <c r="M109" s="47"/>
      <c r="N109" s="47" t="s">
        <v>1763</v>
      </c>
      <c r="O109" s="48"/>
      <c r="P109" s="48"/>
      <c r="Q109" s="45" t="s">
        <v>2115</v>
      </c>
      <c r="S109" s="1">
        <f t="shared" si="37"/>
        <v>0</v>
      </c>
      <c r="T109" s="1">
        <f t="shared" si="38"/>
        <v>0</v>
      </c>
      <c r="U109" s="1">
        <f t="shared" si="39"/>
        <v>0</v>
      </c>
      <c r="V109" s="1">
        <f t="shared" si="40"/>
        <v>0</v>
      </c>
      <c r="W109" s="1">
        <f t="shared" si="41"/>
        <v>0</v>
      </c>
      <c r="X109" s="1">
        <f t="shared" si="42"/>
        <v>0</v>
      </c>
      <c r="Y109" s="1">
        <f t="shared" si="43"/>
        <v>0</v>
      </c>
      <c r="Z109" s="1">
        <f t="shared" si="44"/>
        <v>0</v>
      </c>
      <c r="AA109" s="1">
        <f t="shared" si="45"/>
        <v>0</v>
      </c>
      <c r="AB109" s="1">
        <f t="shared" si="46"/>
        <v>0</v>
      </c>
      <c r="AD109" s="1">
        <f t="shared" si="47"/>
        <v>0</v>
      </c>
      <c r="AE109" s="1">
        <f t="shared" si="48"/>
        <v>0</v>
      </c>
      <c r="AF109" s="1">
        <f t="shared" si="49"/>
        <v>0</v>
      </c>
      <c r="AG109" s="1">
        <f t="shared" si="50"/>
        <v>0</v>
      </c>
      <c r="AH109" s="1">
        <f t="shared" si="51"/>
        <v>0</v>
      </c>
      <c r="AI109" s="1">
        <f t="shared" si="52"/>
        <v>1</v>
      </c>
    </row>
    <row r="110" spans="1:35" s="1" customFormat="1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1844</v>
      </c>
      <c r="S110" s="1">
        <f t="shared" si="37"/>
        <v>0</v>
      </c>
      <c r="T110" s="1">
        <f t="shared" si="38"/>
        <v>0</v>
      </c>
      <c r="U110" s="1">
        <f t="shared" si="39"/>
        <v>0</v>
      </c>
      <c r="V110" s="1">
        <f t="shared" si="40"/>
        <v>0</v>
      </c>
      <c r="W110" s="1">
        <f t="shared" si="41"/>
        <v>0</v>
      </c>
      <c r="X110" s="1">
        <f t="shared" si="42"/>
        <v>0</v>
      </c>
      <c r="Y110" s="1">
        <f t="shared" si="43"/>
        <v>0</v>
      </c>
      <c r="Z110" s="1">
        <f t="shared" si="44"/>
        <v>0</v>
      </c>
      <c r="AA110" s="1">
        <f t="shared" si="45"/>
        <v>0</v>
      </c>
      <c r="AB110" s="1">
        <f t="shared" si="46"/>
        <v>0</v>
      </c>
      <c r="AD110" s="1">
        <f t="shared" si="47"/>
        <v>0</v>
      </c>
      <c r="AE110" s="1">
        <f t="shared" si="48"/>
        <v>0</v>
      </c>
      <c r="AF110" s="1">
        <f t="shared" si="49"/>
        <v>0</v>
      </c>
      <c r="AG110" s="1">
        <f t="shared" si="50"/>
        <v>0</v>
      </c>
      <c r="AH110" s="1">
        <f t="shared" si="51"/>
        <v>0</v>
      </c>
      <c r="AI110" s="1">
        <f t="shared" si="52"/>
        <v>1</v>
      </c>
    </row>
    <row r="111" spans="1:35" s="1" customFormat="1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1706</v>
      </c>
      <c r="O111" s="35">
        <v>1</v>
      </c>
      <c r="P111" s="35"/>
      <c r="Q111" s="32"/>
      <c r="S111" s="1">
        <f t="shared" si="37"/>
        <v>0</v>
      </c>
      <c r="T111" s="1">
        <f t="shared" si="38"/>
        <v>0</v>
      </c>
      <c r="U111" s="1">
        <f t="shared" si="39"/>
        <v>0</v>
      </c>
      <c r="V111" s="1">
        <f t="shared" si="40"/>
        <v>0</v>
      </c>
      <c r="W111" s="1">
        <f t="shared" si="41"/>
        <v>0</v>
      </c>
      <c r="X111" s="1">
        <f t="shared" si="42"/>
        <v>0</v>
      </c>
      <c r="Y111" s="1">
        <f t="shared" si="43"/>
        <v>0</v>
      </c>
      <c r="Z111" s="1">
        <f t="shared" si="44"/>
        <v>0</v>
      </c>
      <c r="AA111" s="1">
        <f t="shared" si="45"/>
        <v>0</v>
      </c>
      <c r="AB111" s="1">
        <f t="shared" si="46"/>
        <v>0</v>
      </c>
      <c r="AD111" s="1">
        <f t="shared" si="47"/>
        <v>0</v>
      </c>
      <c r="AE111" s="1">
        <f t="shared" si="48"/>
        <v>1</v>
      </c>
      <c r="AF111" s="1">
        <f t="shared" si="49"/>
        <v>0</v>
      </c>
      <c r="AG111" s="1">
        <f t="shared" si="50"/>
        <v>1</v>
      </c>
      <c r="AH111" s="1">
        <f t="shared" si="51"/>
        <v>0</v>
      </c>
      <c r="AI111" s="1">
        <f t="shared" si="52"/>
        <v>1</v>
      </c>
    </row>
    <row r="112" spans="1:35" s="1" customFormat="1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1711</v>
      </c>
      <c r="O112" s="35">
        <v>1</v>
      </c>
      <c r="P112" s="35"/>
      <c r="Q112" s="32"/>
      <c r="S112" s="1">
        <f t="shared" si="37"/>
        <v>0</v>
      </c>
      <c r="T112" s="1">
        <f t="shared" si="38"/>
        <v>0</v>
      </c>
      <c r="U112" s="1">
        <f t="shared" si="39"/>
        <v>0</v>
      </c>
      <c r="V112" s="1">
        <f t="shared" si="40"/>
        <v>0</v>
      </c>
      <c r="W112" s="1">
        <f t="shared" si="41"/>
        <v>0</v>
      </c>
      <c r="X112" s="1">
        <f t="shared" si="42"/>
        <v>0</v>
      </c>
      <c r="Y112" s="1">
        <f t="shared" si="43"/>
        <v>0</v>
      </c>
      <c r="Z112" s="1">
        <f t="shared" si="44"/>
        <v>0</v>
      </c>
      <c r="AA112" s="1">
        <f t="shared" si="45"/>
        <v>0</v>
      </c>
      <c r="AB112" s="1">
        <f t="shared" si="46"/>
        <v>0</v>
      </c>
      <c r="AD112" s="1">
        <f t="shared" si="47"/>
        <v>0</v>
      </c>
      <c r="AE112" s="1">
        <f t="shared" si="48"/>
        <v>1</v>
      </c>
      <c r="AF112" s="1">
        <f t="shared" si="49"/>
        <v>0</v>
      </c>
      <c r="AG112" s="1">
        <f t="shared" si="50"/>
        <v>1</v>
      </c>
      <c r="AH112" s="1">
        <f t="shared" si="51"/>
        <v>0</v>
      </c>
      <c r="AI112" s="1">
        <f t="shared" si="52"/>
        <v>1</v>
      </c>
    </row>
    <row r="113" spans="1:35" s="1" customFormat="1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1762</v>
      </c>
      <c r="O113" s="35">
        <v>1</v>
      </c>
      <c r="P113" s="35"/>
      <c r="Q113" s="32"/>
      <c r="S113" s="1">
        <f t="shared" si="37"/>
        <v>0</v>
      </c>
      <c r="T113" s="1">
        <f t="shared" si="38"/>
        <v>0</v>
      </c>
      <c r="U113" s="1">
        <f t="shared" si="39"/>
        <v>0</v>
      </c>
      <c r="V113" s="1">
        <f t="shared" si="40"/>
        <v>0</v>
      </c>
      <c r="W113" s="1">
        <f t="shared" si="41"/>
        <v>0</v>
      </c>
      <c r="X113" s="1">
        <f t="shared" si="42"/>
        <v>0</v>
      </c>
      <c r="Y113" s="1">
        <f t="shared" si="43"/>
        <v>0</v>
      </c>
      <c r="Z113" s="1">
        <f t="shared" si="44"/>
        <v>0</v>
      </c>
      <c r="AA113" s="1">
        <f t="shared" si="45"/>
        <v>0</v>
      </c>
      <c r="AB113" s="1">
        <f t="shared" si="46"/>
        <v>0</v>
      </c>
      <c r="AD113" s="1">
        <f t="shared" si="47"/>
        <v>0</v>
      </c>
      <c r="AE113" s="1">
        <f t="shared" si="48"/>
        <v>1</v>
      </c>
      <c r="AF113" s="1">
        <f t="shared" si="49"/>
        <v>0</v>
      </c>
      <c r="AG113" s="1">
        <f t="shared" si="50"/>
        <v>1</v>
      </c>
      <c r="AH113" s="1">
        <f t="shared" si="51"/>
        <v>0</v>
      </c>
      <c r="AI113" s="1">
        <f t="shared" si="52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7"/>
        <v>0</v>
      </c>
      <c r="T114" s="1">
        <f t="shared" si="38"/>
        <v>0</v>
      </c>
      <c r="U114" s="1">
        <f t="shared" si="39"/>
        <v>0</v>
      </c>
      <c r="V114" s="1">
        <f t="shared" si="40"/>
        <v>0</v>
      </c>
      <c r="W114" s="1">
        <f t="shared" si="41"/>
        <v>0</v>
      </c>
      <c r="X114" s="1">
        <f t="shared" si="42"/>
        <v>0</v>
      </c>
      <c r="Y114" s="1">
        <f t="shared" si="43"/>
        <v>0</v>
      </c>
      <c r="Z114" s="1">
        <f t="shared" si="44"/>
        <v>0</v>
      </c>
      <c r="AA114" s="1">
        <f t="shared" si="45"/>
        <v>0</v>
      </c>
      <c r="AB114" s="1">
        <f t="shared" si="46"/>
        <v>0</v>
      </c>
      <c r="AD114" s="1">
        <f t="shared" si="47"/>
        <v>1</v>
      </c>
      <c r="AE114" s="1">
        <f t="shared" si="48"/>
        <v>0</v>
      </c>
      <c r="AF114" s="1">
        <f t="shared" si="49"/>
        <v>1</v>
      </c>
      <c r="AG114" s="1">
        <f t="shared" si="50"/>
        <v>0</v>
      </c>
      <c r="AH114" s="1">
        <f t="shared" si="51"/>
        <v>1</v>
      </c>
      <c r="AI114" s="1">
        <f t="shared" si="52"/>
        <v>0</v>
      </c>
    </row>
    <row r="115" spans="1:35" s="1" customFormat="1" ht="14.25" customHeight="1" x14ac:dyDescent="0.25">
      <c r="A115" s="15">
        <v>0</v>
      </c>
      <c r="B115" s="15">
        <v>1</v>
      </c>
      <c r="C115" s="15">
        <v>3</v>
      </c>
      <c r="D115" s="20" t="s">
        <v>2076</v>
      </c>
      <c r="E115" s="20" t="s">
        <v>171</v>
      </c>
      <c r="F115" s="20" t="s">
        <v>2077</v>
      </c>
      <c r="G115" s="16"/>
      <c r="H115" s="20" t="s">
        <v>2078</v>
      </c>
      <c r="I115" s="21" t="s">
        <v>2079</v>
      </c>
      <c r="J115" s="15">
        <v>12</v>
      </c>
      <c r="K115" s="10" t="s">
        <v>694</v>
      </c>
      <c r="L115" s="10">
        <v>40</v>
      </c>
      <c r="M115" s="19" t="s">
        <v>1364</v>
      </c>
      <c r="N115" s="17"/>
      <c r="Q115" s="16" t="s">
        <v>2080</v>
      </c>
      <c r="S115" s="1">
        <f t="shared" si="37"/>
        <v>0</v>
      </c>
      <c r="T115" s="1">
        <f t="shared" si="38"/>
        <v>0</v>
      </c>
      <c r="U115" s="1">
        <f t="shared" si="39"/>
        <v>0</v>
      </c>
      <c r="V115" s="1">
        <f t="shared" si="40"/>
        <v>0</v>
      </c>
      <c r="W115" s="1">
        <f t="shared" si="41"/>
        <v>0</v>
      </c>
      <c r="X115" s="1">
        <f t="shared" si="42"/>
        <v>0</v>
      </c>
      <c r="Y115" s="1">
        <f t="shared" si="43"/>
        <v>0</v>
      </c>
      <c r="Z115" s="1">
        <f t="shared" si="44"/>
        <v>0</v>
      </c>
      <c r="AA115" s="1">
        <f t="shared" si="45"/>
        <v>0</v>
      </c>
      <c r="AB115" s="1">
        <f t="shared" si="46"/>
        <v>0</v>
      </c>
      <c r="AD115" s="1">
        <f t="shared" si="47"/>
        <v>0</v>
      </c>
      <c r="AE115" s="1">
        <f t="shared" si="48"/>
        <v>0</v>
      </c>
      <c r="AF115" s="1">
        <f t="shared" si="49"/>
        <v>0</v>
      </c>
      <c r="AG115" s="1">
        <f t="shared" si="50"/>
        <v>0</v>
      </c>
      <c r="AH115" s="1">
        <f t="shared" si="51"/>
        <v>0</v>
      </c>
      <c r="AI115" s="1">
        <f t="shared" si="52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1710</v>
      </c>
      <c r="O116" s="35">
        <v>1</v>
      </c>
      <c r="P116" s="35"/>
      <c r="Q116" s="32"/>
      <c r="S116" s="1">
        <f t="shared" si="37"/>
        <v>0</v>
      </c>
      <c r="T116" s="1">
        <f t="shared" si="38"/>
        <v>0</v>
      </c>
      <c r="U116" s="1">
        <f t="shared" si="39"/>
        <v>0</v>
      </c>
      <c r="V116" s="1">
        <f t="shared" si="40"/>
        <v>0</v>
      </c>
      <c r="W116" s="1">
        <f t="shared" si="41"/>
        <v>0</v>
      </c>
      <c r="X116" s="1">
        <f t="shared" si="42"/>
        <v>0</v>
      </c>
      <c r="Y116" s="1">
        <f t="shared" si="43"/>
        <v>0</v>
      </c>
      <c r="Z116" s="1">
        <f t="shared" si="44"/>
        <v>0</v>
      </c>
      <c r="AA116" s="1">
        <f t="shared" si="45"/>
        <v>0</v>
      </c>
      <c r="AB116" s="1">
        <f t="shared" si="46"/>
        <v>0</v>
      </c>
      <c r="AD116" s="1">
        <f t="shared" si="47"/>
        <v>0</v>
      </c>
      <c r="AE116" s="1">
        <f t="shared" si="48"/>
        <v>1</v>
      </c>
      <c r="AF116" s="1">
        <f t="shared" si="49"/>
        <v>0</v>
      </c>
      <c r="AG116" s="1">
        <f t="shared" si="50"/>
        <v>1</v>
      </c>
      <c r="AH116" s="1">
        <f t="shared" si="51"/>
        <v>0</v>
      </c>
      <c r="AI116" s="1">
        <f t="shared" si="52"/>
        <v>1</v>
      </c>
    </row>
    <row r="117" spans="1:35" s="1" customFormat="1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7"/>
        <v>0</v>
      </c>
      <c r="T117" s="1">
        <f t="shared" si="38"/>
        <v>0</v>
      </c>
      <c r="U117" s="1">
        <f t="shared" si="39"/>
        <v>0</v>
      </c>
      <c r="V117" s="1">
        <f t="shared" si="40"/>
        <v>0</v>
      </c>
      <c r="W117" s="1">
        <f t="shared" si="41"/>
        <v>0</v>
      </c>
      <c r="X117" s="1">
        <f t="shared" si="42"/>
        <v>0</v>
      </c>
      <c r="Y117" s="1">
        <f t="shared" si="43"/>
        <v>0</v>
      </c>
      <c r="Z117" s="1">
        <f t="shared" si="44"/>
        <v>0</v>
      </c>
      <c r="AA117" s="1">
        <f t="shared" si="45"/>
        <v>0</v>
      </c>
      <c r="AB117" s="1">
        <f t="shared" si="46"/>
        <v>0</v>
      </c>
      <c r="AD117" s="1">
        <f t="shared" si="47"/>
        <v>1</v>
      </c>
      <c r="AE117" s="1">
        <f t="shared" si="48"/>
        <v>0</v>
      </c>
      <c r="AF117" s="1">
        <f t="shared" si="49"/>
        <v>1</v>
      </c>
      <c r="AG117" s="1">
        <f t="shared" si="50"/>
        <v>0</v>
      </c>
      <c r="AH117" s="1">
        <f t="shared" si="51"/>
        <v>1</v>
      </c>
      <c r="AI117" s="1">
        <f t="shared" si="52"/>
        <v>0</v>
      </c>
    </row>
    <row r="118" spans="1:35" s="1" customFormat="1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1843</v>
      </c>
      <c r="S118" s="1">
        <f t="shared" si="37"/>
        <v>0</v>
      </c>
      <c r="T118" s="1">
        <f t="shared" si="38"/>
        <v>0</v>
      </c>
      <c r="U118" s="1">
        <f t="shared" si="39"/>
        <v>0</v>
      </c>
      <c r="V118" s="1">
        <f t="shared" si="40"/>
        <v>0</v>
      </c>
      <c r="W118" s="1">
        <f t="shared" si="41"/>
        <v>0</v>
      </c>
      <c r="X118" s="1">
        <f t="shared" si="42"/>
        <v>0</v>
      </c>
      <c r="Y118" s="1">
        <f t="shared" si="43"/>
        <v>0</v>
      </c>
      <c r="Z118" s="1">
        <f t="shared" si="44"/>
        <v>0</v>
      </c>
      <c r="AA118" s="1">
        <f t="shared" si="45"/>
        <v>0</v>
      </c>
      <c r="AB118" s="1">
        <f t="shared" si="46"/>
        <v>0</v>
      </c>
      <c r="AD118" s="1">
        <f t="shared" si="47"/>
        <v>0</v>
      </c>
      <c r="AE118" s="1">
        <f t="shared" si="48"/>
        <v>0</v>
      </c>
      <c r="AF118" s="1">
        <f t="shared" si="49"/>
        <v>0</v>
      </c>
      <c r="AG118" s="1">
        <f t="shared" si="50"/>
        <v>0</v>
      </c>
      <c r="AH118" s="1">
        <f t="shared" si="51"/>
        <v>0</v>
      </c>
      <c r="AI118" s="1">
        <f t="shared" si="52"/>
        <v>1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1711</v>
      </c>
      <c r="O119" s="35">
        <v>1</v>
      </c>
      <c r="P119" s="35"/>
      <c r="Q119" s="32"/>
      <c r="S119" s="1">
        <f t="shared" si="37"/>
        <v>0</v>
      </c>
      <c r="T119" s="1">
        <f t="shared" si="38"/>
        <v>0</v>
      </c>
      <c r="U119" s="1">
        <f t="shared" si="39"/>
        <v>0</v>
      </c>
      <c r="V119" s="1">
        <f t="shared" si="40"/>
        <v>0</v>
      </c>
      <c r="W119" s="1">
        <f t="shared" si="41"/>
        <v>0</v>
      </c>
      <c r="X119" s="1">
        <f t="shared" si="42"/>
        <v>0</v>
      </c>
      <c r="Y119" s="1">
        <f t="shared" si="43"/>
        <v>0</v>
      </c>
      <c r="Z119" s="1">
        <f t="shared" si="44"/>
        <v>0</v>
      </c>
      <c r="AA119" s="1">
        <f t="shared" si="45"/>
        <v>0</v>
      </c>
      <c r="AB119" s="1">
        <f t="shared" si="46"/>
        <v>0</v>
      </c>
      <c r="AD119" s="1">
        <f t="shared" si="47"/>
        <v>0</v>
      </c>
      <c r="AE119" s="1">
        <f t="shared" si="48"/>
        <v>1</v>
      </c>
      <c r="AF119" s="1">
        <f t="shared" si="49"/>
        <v>0</v>
      </c>
      <c r="AG119" s="1">
        <f t="shared" si="50"/>
        <v>1</v>
      </c>
      <c r="AH119" s="1">
        <f t="shared" si="51"/>
        <v>0</v>
      </c>
      <c r="AI119" s="1">
        <f t="shared" si="52"/>
        <v>1</v>
      </c>
    </row>
    <row r="120" spans="1:35" s="1" customFormat="1" ht="14.25" customHeight="1" x14ac:dyDescent="0.25">
      <c r="A120" s="44">
        <v>0</v>
      </c>
      <c r="B120" s="44">
        <v>1</v>
      </c>
      <c r="C120" s="44">
        <v>3</v>
      </c>
      <c r="D120" s="45" t="s">
        <v>106</v>
      </c>
      <c r="E120" s="45" t="s">
        <v>169</v>
      </c>
      <c r="F120" s="45" t="s">
        <v>303</v>
      </c>
      <c r="G120" s="45" t="s">
        <v>39</v>
      </c>
      <c r="H120" s="45" t="s">
        <v>358</v>
      </c>
      <c r="I120" s="44" t="s">
        <v>451</v>
      </c>
      <c r="J120" s="44">
        <v>18</v>
      </c>
      <c r="K120" s="46" t="s">
        <v>693</v>
      </c>
      <c r="L120" s="46">
        <v>55</v>
      </c>
      <c r="M120" s="47" t="s">
        <v>682</v>
      </c>
      <c r="N120" s="47" t="s">
        <v>1700</v>
      </c>
      <c r="O120" s="48"/>
      <c r="P120" s="48"/>
      <c r="Q120" s="45"/>
      <c r="S120" s="1">
        <f t="shared" si="37"/>
        <v>0</v>
      </c>
      <c r="T120" s="1">
        <f t="shared" si="38"/>
        <v>0</v>
      </c>
      <c r="U120" s="1">
        <f t="shared" si="39"/>
        <v>0</v>
      </c>
      <c r="V120" s="1">
        <f t="shared" si="40"/>
        <v>0</v>
      </c>
      <c r="W120" s="1">
        <f t="shared" si="41"/>
        <v>0</v>
      </c>
      <c r="X120" s="1">
        <f t="shared" si="42"/>
        <v>0</v>
      </c>
      <c r="Y120" s="1">
        <f t="shared" si="43"/>
        <v>0</v>
      </c>
      <c r="Z120" s="1">
        <f t="shared" si="44"/>
        <v>0</v>
      </c>
      <c r="AA120" s="1">
        <f t="shared" si="45"/>
        <v>0</v>
      </c>
      <c r="AB120" s="1">
        <f t="shared" si="46"/>
        <v>0</v>
      </c>
      <c r="AD120" s="1">
        <f t="shared" si="47"/>
        <v>0</v>
      </c>
      <c r="AE120" s="1">
        <f t="shared" si="48"/>
        <v>0</v>
      </c>
      <c r="AF120" s="1">
        <f t="shared" si="49"/>
        <v>0</v>
      </c>
      <c r="AG120" s="1">
        <f t="shared" si="50"/>
        <v>0</v>
      </c>
      <c r="AH120" s="1">
        <f t="shared" si="51"/>
        <v>0</v>
      </c>
      <c r="AI120" s="1">
        <f t="shared" si="52"/>
        <v>1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1711</v>
      </c>
      <c r="O121" s="35">
        <v>1</v>
      </c>
      <c r="P121" s="35"/>
      <c r="Q121" s="32"/>
      <c r="S121" s="1">
        <f t="shared" si="37"/>
        <v>0</v>
      </c>
      <c r="T121" s="1">
        <f t="shared" si="38"/>
        <v>0</v>
      </c>
      <c r="U121" s="1">
        <f t="shared" si="39"/>
        <v>0</v>
      </c>
      <c r="V121" s="1">
        <f t="shared" si="40"/>
        <v>0</v>
      </c>
      <c r="W121" s="1">
        <f t="shared" si="41"/>
        <v>0</v>
      </c>
      <c r="X121" s="1">
        <f t="shared" si="42"/>
        <v>0</v>
      </c>
      <c r="Y121" s="1">
        <f t="shared" si="43"/>
        <v>0</v>
      </c>
      <c r="Z121" s="1">
        <f t="shared" si="44"/>
        <v>0</v>
      </c>
      <c r="AA121" s="1">
        <f t="shared" si="45"/>
        <v>0</v>
      </c>
      <c r="AB121" s="1">
        <f t="shared" si="46"/>
        <v>0</v>
      </c>
      <c r="AD121" s="1">
        <f t="shared" si="47"/>
        <v>0</v>
      </c>
      <c r="AE121" s="1">
        <f t="shared" si="48"/>
        <v>1</v>
      </c>
      <c r="AF121" s="1">
        <f t="shared" si="49"/>
        <v>0</v>
      </c>
      <c r="AG121" s="1">
        <f t="shared" si="50"/>
        <v>1</v>
      </c>
      <c r="AH121" s="1">
        <f t="shared" si="51"/>
        <v>0</v>
      </c>
      <c r="AI121" s="1">
        <f t="shared" si="52"/>
        <v>1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7"/>
        <v>0</v>
      </c>
      <c r="T122" s="1">
        <f t="shared" si="38"/>
        <v>0</v>
      </c>
      <c r="U122" s="1">
        <f t="shared" si="39"/>
        <v>0</v>
      </c>
      <c r="V122" s="1">
        <f t="shared" si="40"/>
        <v>0</v>
      </c>
      <c r="W122" s="1">
        <f t="shared" si="41"/>
        <v>0</v>
      </c>
      <c r="X122" s="1">
        <f t="shared" si="42"/>
        <v>0</v>
      </c>
      <c r="Y122" s="1">
        <f t="shared" si="43"/>
        <v>0</v>
      </c>
      <c r="Z122" s="1">
        <f t="shared" si="44"/>
        <v>0</v>
      </c>
      <c r="AA122" s="1">
        <f t="shared" si="45"/>
        <v>0</v>
      </c>
      <c r="AB122" s="1">
        <f t="shared" si="46"/>
        <v>0</v>
      </c>
      <c r="AD122" s="1">
        <f t="shared" si="47"/>
        <v>0</v>
      </c>
      <c r="AE122" s="1">
        <f t="shared" si="48"/>
        <v>0</v>
      </c>
      <c r="AF122" s="1">
        <f t="shared" si="49"/>
        <v>0</v>
      </c>
      <c r="AG122" s="1">
        <f t="shared" si="50"/>
        <v>0</v>
      </c>
      <c r="AH122" s="1">
        <f t="shared" si="51"/>
        <v>0</v>
      </c>
      <c r="AI122" s="1">
        <f t="shared" si="52"/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1994</v>
      </c>
      <c r="S123" s="1">
        <f t="shared" si="37"/>
        <v>0</v>
      </c>
      <c r="T123" s="1">
        <f t="shared" si="38"/>
        <v>0</v>
      </c>
      <c r="U123" s="1">
        <f t="shared" si="39"/>
        <v>0</v>
      </c>
      <c r="V123" s="1">
        <f t="shared" si="40"/>
        <v>0</v>
      </c>
      <c r="W123" s="1">
        <f t="shared" si="41"/>
        <v>0</v>
      </c>
      <c r="X123" s="1">
        <f t="shared" si="42"/>
        <v>0</v>
      </c>
      <c r="Y123" s="1">
        <f t="shared" si="43"/>
        <v>0</v>
      </c>
      <c r="Z123" s="1">
        <f t="shared" si="44"/>
        <v>0</v>
      </c>
      <c r="AA123" s="1">
        <f t="shared" si="45"/>
        <v>0</v>
      </c>
      <c r="AB123" s="1">
        <f t="shared" si="46"/>
        <v>0</v>
      </c>
      <c r="AD123" s="1">
        <f t="shared" si="47"/>
        <v>1</v>
      </c>
      <c r="AE123" s="1">
        <f t="shared" si="48"/>
        <v>0</v>
      </c>
      <c r="AF123" s="1">
        <f t="shared" si="49"/>
        <v>1</v>
      </c>
      <c r="AG123" s="1">
        <f t="shared" si="50"/>
        <v>0</v>
      </c>
      <c r="AH123" s="1">
        <f t="shared" si="51"/>
        <v>1</v>
      </c>
      <c r="AI123" s="1">
        <f t="shared" si="52"/>
        <v>0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1706</v>
      </c>
      <c r="O124" s="35">
        <v>1</v>
      </c>
      <c r="P124" s="35"/>
      <c r="Q124" s="32"/>
      <c r="S124" s="1">
        <f t="shared" si="37"/>
        <v>0</v>
      </c>
      <c r="T124" s="1">
        <f t="shared" si="38"/>
        <v>0</v>
      </c>
      <c r="U124" s="1">
        <f t="shared" si="39"/>
        <v>0</v>
      </c>
      <c r="V124" s="1">
        <f t="shared" si="40"/>
        <v>0</v>
      </c>
      <c r="W124" s="1">
        <f t="shared" si="41"/>
        <v>0</v>
      </c>
      <c r="X124" s="1">
        <f t="shared" si="42"/>
        <v>0</v>
      </c>
      <c r="Y124" s="1">
        <f t="shared" si="43"/>
        <v>0</v>
      </c>
      <c r="Z124" s="1">
        <f t="shared" si="44"/>
        <v>0</v>
      </c>
      <c r="AA124" s="1">
        <f t="shared" si="45"/>
        <v>0</v>
      </c>
      <c r="AB124" s="1">
        <f t="shared" si="46"/>
        <v>0</v>
      </c>
      <c r="AD124" s="1">
        <f t="shared" si="47"/>
        <v>0</v>
      </c>
      <c r="AE124" s="1">
        <f t="shared" si="48"/>
        <v>1</v>
      </c>
      <c r="AF124" s="1">
        <f t="shared" si="49"/>
        <v>0</v>
      </c>
      <c r="AG124" s="1">
        <f t="shared" si="50"/>
        <v>1</v>
      </c>
      <c r="AH124" s="1">
        <f t="shared" si="51"/>
        <v>0</v>
      </c>
      <c r="AI124" s="1">
        <f t="shared" si="52"/>
        <v>1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2098</v>
      </c>
      <c r="E125" s="16" t="s">
        <v>169</v>
      </c>
      <c r="F125" s="16" t="s">
        <v>2100</v>
      </c>
      <c r="G125" s="16"/>
      <c r="H125" s="16" t="s">
        <v>372</v>
      </c>
      <c r="I125" s="15" t="s">
        <v>2101</v>
      </c>
      <c r="J125" s="15">
        <v>11</v>
      </c>
      <c r="K125" s="10" t="s">
        <v>694</v>
      </c>
      <c r="L125" s="10">
        <v>50</v>
      </c>
      <c r="M125" s="19" t="s">
        <v>2099</v>
      </c>
      <c r="N125" s="17"/>
      <c r="Q125" s="16" t="s">
        <v>2102</v>
      </c>
      <c r="S125" s="1">
        <f t="shared" si="37"/>
        <v>0</v>
      </c>
      <c r="T125" s="1">
        <f t="shared" si="38"/>
        <v>0</v>
      </c>
      <c r="U125" s="1">
        <f t="shared" si="39"/>
        <v>0</v>
      </c>
      <c r="V125" s="1">
        <f t="shared" si="40"/>
        <v>0</v>
      </c>
      <c r="W125" s="1">
        <f t="shared" si="41"/>
        <v>0</v>
      </c>
      <c r="X125" s="1">
        <f t="shared" si="42"/>
        <v>0</v>
      </c>
      <c r="Y125" s="1">
        <f t="shared" si="43"/>
        <v>0</v>
      </c>
      <c r="Z125" s="1">
        <f t="shared" si="44"/>
        <v>0</v>
      </c>
      <c r="AA125" s="1">
        <f t="shared" si="45"/>
        <v>0</v>
      </c>
      <c r="AB125" s="1">
        <f t="shared" si="46"/>
        <v>0</v>
      </c>
      <c r="AD125" s="1">
        <f t="shared" si="47"/>
        <v>0</v>
      </c>
      <c r="AE125" s="1">
        <f t="shared" si="48"/>
        <v>0</v>
      </c>
      <c r="AF125" s="1">
        <f t="shared" si="49"/>
        <v>0</v>
      </c>
      <c r="AG125" s="1">
        <f t="shared" si="50"/>
        <v>0</v>
      </c>
      <c r="AH125" s="1">
        <f t="shared" si="51"/>
        <v>0</v>
      </c>
      <c r="AI125" s="1">
        <f t="shared" si="52"/>
        <v>1</v>
      </c>
    </row>
    <row r="126" spans="1:35" s="1" customFormat="1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1786</v>
      </c>
      <c r="O126" s="35">
        <v>1</v>
      </c>
      <c r="P126" s="35"/>
      <c r="Q126" s="32"/>
      <c r="S126" s="1">
        <f t="shared" si="37"/>
        <v>0</v>
      </c>
      <c r="T126" s="1">
        <f t="shared" si="38"/>
        <v>0</v>
      </c>
      <c r="U126" s="1">
        <f t="shared" si="39"/>
        <v>0</v>
      </c>
      <c r="V126" s="1">
        <f t="shared" si="40"/>
        <v>0</v>
      </c>
      <c r="W126" s="1">
        <f t="shared" si="41"/>
        <v>0</v>
      </c>
      <c r="X126" s="1">
        <f t="shared" si="42"/>
        <v>0</v>
      </c>
      <c r="Y126" s="1">
        <f t="shared" si="43"/>
        <v>0</v>
      </c>
      <c r="Z126" s="1">
        <f t="shared" si="44"/>
        <v>0</v>
      </c>
      <c r="AA126" s="1">
        <f t="shared" si="45"/>
        <v>0</v>
      </c>
      <c r="AB126" s="1">
        <f t="shared" si="46"/>
        <v>0</v>
      </c>
      <c r="AD126" s="1">
        <f t="shared" si="47"/>
        <v>0</v>
      </c>
      <c r="AE126" s="1">
        <f t="shared" si="48"/>
        <v>1</v>
      </c>
      <c r="AF126" s="1">
        <f t="shared" si="49"/>
        <v>0</v>
      </c>
      <c r="AG126" s="1">
        <f t="shared" si="50"/>
        <v>1</v>
      </c>
      <c r="AH126" s="1">
        <f t="shared" si="51"/>
        <v>0</v>
      </c>
      <c r="AI126" s="1">
        <f t="shared" si="52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7"/>
        <v>0</v>
      </c>
      <c r="T127" s="1">
        <f t="shared" si="38"/>
        <v>0</v>
      </c>
      <c r="U127" s="1">
        <f t="shared" si="39"/>
        <v>0</v>
      </c>
      <c r="V127" s="1">
        <f t="shared" si="40"/>
        <v>0</v>
      </c>
      <c r="W127" s="1">
        <f t="shared" si="41"/>
        <v>0</v>
      </c>
      <c r="X127" s="1">
        <f t="shared" si="42"/>
        <v>0</v>
      </c>
      <c r="Y127" s="1">
        <f t="shared" si="43"/>
        <v>0</v>
      </c>
      <c r="Z127" s="1">
        <f t="shared" si="44"/>
        <v>0</v>
      </c>
      <c r="AA127" s="1">
        <f t="shared" si="45"/>
        <v>0</v>
      </c>
      <c r="AB127" s="1">
        <f t="shared" si="46"/>
        <v>0</v>
      </c>
      <c r="AD127" s="1">
        <f t="shared" si="47"/>
        <v>1</v>
      </c>
      <c r="AE127" s="1">
        <f t="shared" si="48"/>
        <v>0</v>
      </c>
      <c r="AF127" s="1">
        <f t="shared" si="49"/>
        <v>1</v>
      </c>
      <c r="AG127" s="1">
        <f t="shared" si="50"/>
        <v>0</v>
      </c>
      <c r="AH127" s="1">
        <f t="shared" si="51"/>
        <v>1</v>
      </c>
      <c r="AI127" s="1">
        <f t="shared" si="52"/>
        <v>0</v>
      </c>
    </row>
    <row r="128" spans="1:35" s="1" customFormat="1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7"/>
        <v>0</v>
      </c>
      <c r="T128" s="1">
        <f t="shared" si="38"/>
        <v>0</v>
      </c>
      <c r="U128" s="1">
        <f t="shared" si="39"/>
        <v>0</v>
      </c>
      <c r="V128" s="1">
        <f t="shared" si="40"/>
        <v>0</v>
      </c>
      <c r="W128" s="1">
        <f t="shared" si="41"/>
        <v>0</v>
      </c>
      <c r="X128" s="1">
        <f t="shared" si="42"/>
        <v>0</v>
      </c>
      <c r="Y128" s="1">
        <f t="shared" si="43"/>
        <v>0</v>
      </c>
      <c r="Z128" s="1">
        <f t="shared" si="44"/>
        <v>0</v>
      </c>
      <c r="AA128" s="1">
        <f t="shared" si="45"/>
        <v>0</v>
      </c>
      <c r="AB128" s="1">
        <f t="shared" si="46"/>
        <v>0</v>
      </c>
      <c r="AD128" s="1">
        <f t="shared" si="47"/>
        <v>0</v>
      </c>
      <c r="AE128" s="1">
        <f t="shared" si="48"/>
        <v>0</v>
      </c>
      <c r="AF128" s="1">
        <f t="shared" si="49"/>
        <v>0</v>
      </c>
      <c r="AG128" s="1">
        <f t="shared" si="50"/>
        <v>0</v>
      </c>
      <c r="AH128" s="1">
        <f t="shared" si="51"/>
        <v>0</v>
      </c>
      <c r="AI128" s="1">
        <f t="shared" si="52"/>
        <v>1</v>
      </c>
    </row>
    <row r="129" spans="1:35" s="1" customFormat="1" ht="14.25" customHeight="1" x14ac:dyDescent="0.25">
      <c r="A129" s="15">
        <v>0</v>
      </c>
      <c r="B129" s="15">
        <v>1</v>
      </c>
      <c r="C129" s="15">
        <v>3</v>
      </c>
      <c r="D129" s="20" t="s">
        <v>1936</v>
      </c>
      <c r="E129" s="20" t="s">
        <v>171</v>
      </c>
      <c r="F129" s="20" t="s">
        <v>1933</v>
      </c>
      <c r="G129" s="20"/>
      <c r="H129" s="20" t="s">
        <v>1934</v>
      </c>
      <c r="I129" s="21" t="s">
        <v>1932</v>
      </c>
      <c r="J129" s="15">
        <v>17</v>
      </c>
      <c r="K129" s="10" t="s">
        <v>694</v>
      </c>
      <c r="L129" s="10" t="s">
        <v>1705</v>
      </c>
      <c r="M129" s="19" t="s">
        <v>952</v>
      </c>
      <c r="N129" s="17"/>
      <c r="Q129" s="20" t="s">
        <v>1935</v>
      </c>
      <c r="S129" s="1">
        <f t="shared" si="37"/>
        <v>0</v>
      </c>
      <c r="T129" s="1">
        <f t="shared" si="38"/>
        <v>0</v>
      </c>
      <c r="U129" s="1">
        <f t="shared" si="39"/>
        <v>0</v>
      </c>
      <c r="V129" s="1">
        <f t="shared" si="40"/>
        <v>0</v>
      </c>
      <c r="W129" s="1">
        <f t="shared" si="41"/>
        <v>0</v>
      </c>
      <c r="X129" s="1">
        <f t="shared" si="42"/>
        <v>0</v>
      </c>
      <c r="Y129" s="1">
        <f t="shared" si="43"/>
        <v>0</v>
      </c>
      <c r="Z129" s="1">
        <f t="shared" si="44"/>
        <v>0</v>
      </c>
      <c r="AA129" s="1">
        <f t="shared" si="45"/>
        <v>0</v>
      </c>
      <c r="AB129" s="1">
        <f t="shared" si="46"/>
        <v>0</v>
      </c>
      <c r="AD129" s="1">
        <f t="shared" si="47"/>
        <v>0</v>
      </c>
      <c r="AE129" s="1">
        <f t="shared" si="48"/>
        <v>0</v>
      </c>
      <c r="AF129" s="1">
        <f t="shared" si="49"/>
        <v>0</v>
      </c>
      <c r="AG129" s="1">
        <f t="shared" si="50"/>
        <v>0</v>
      </c>
      <c r="AH129" s="1">
        <f t="shared" si="51"/>
        <v>0</v>
      </c>
      <c r="AI129" s="1">
        <f t="shared" si="52"/>
        <v>1</v>
      </c>
    </row>
    <row r="130" spans="1:35" s="1" customFormat="1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1828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1705</v>
      </c>
      <c r="M130" s="47" t="s">
        <v>1365</v>
      </c>
      <c r="N130" s="47" t="s">
        <v>1763</v>
      </c>
      <c r="O130" s="48"/>
      <c r="P130" s="48"/>
      <c r="Q130" s="57" t="s">
        <v>1850</v>
      </c>
      <c r="S130" s="1">
        <f t="shared" si="37"/>
        <v>0</v>
      </c>
      <c r="T130" s="1">
        <f t="shared" si="38"/>
        <v>0</v>
      </c>
      <c r="U130" s="1">
        <f t="shared" si="39"/>
        <v>0</v>
      </c>
      <c r="V130" s="1">
        <f t="shared" si="40"/>
        <v>0</v>
      </c>
      <c r="W130" s="1">
        <f t="shared" si="41"/>
        <v>0</v>
      </c>
      <c r="X130" s="1">
        <f t="shared" si="42"/>
        <v>0</v>
      </c>
      <c r="Y130" s="1">
        <f t="shared" si="43"/>
        <v>0</v>
      </c>
      <c r="Z130" s="1">
        <f t="shared" si="44"/>
        <v>0</v>
      </c>
      <c r="AA130" s="1">
        <f t="shared" si="45"/>
        <v>0</v>
      </c>
      <c r="AB130" s="1">
        <f t="shared" si="46"/>
        <v>0</v>
      </c>
      <c r="AD130" s="1">
        <f t="shared" si="47"/>
        <v>0</v>
      </c>
      <c r="AE130" s="1">
        <f t="shared" si="48"/>
        <v>0</v>
      </c>
      <c r="AF130" s="1">
        <f t="shared" si="49"/>
        <v>0</v>
      </c>
      <c r="AG130" s="1">
        <f t="shared" si="50"/>
        <v>0</v>
      </c>
      <c r="AH130" s="1">
        <f t="shared" si="51"/>
        <v>0</v>
      </c>
      <c r="AI130" s="1">
        <f t="shared" si="52"/>
        <v>1</v>
      </c>
    </row>
    <row r="131" spans="1:35" s="1" customFormat="1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2081</v>
      </c>
      <c r="S131" s="1">
        <f t="shared" si="37"/>
        <v>0</v>
      </c>
      <c r="T131" s="1">
        <f t="shared" si="38"/>
        <v>0</v>
      </c>
      <c r="U131" s="1">
        <f t="shared" si="39"/>
        <v>0</v>
      </c>
      <c r="V131" s="1">
        <f t="shared" si="40"/>
        <v>0</v>
      </c>
      <c r="W131" s="1">
        <f t="shared" si="41"/>
        <v>0</v>
      </c>
      <c r="X131" s="1">
        <f t="shared" si="42"/>
        <v>0</v>
      </c>
      <c r="Y131" s="1">
        <f t="shared" si="43"/>
        <v>0</v>
      </c>
      <c r="Z131" s="1">
        <f t="shared" si="44"/>
        <v>0</v>
      </c>
      <c r="AA131" s="1">
        <f t="shared" si="45"/>
        <v>0</v>
      </c>
      <c r="AB131" s="1">
        <f t="shared" si="46"/>
        <v>0</v>
      </c>
      <c r="AD131" s="1">
        <f t="shared" si="47"/>
        <v>1</v>
      </c>
      <c r="AE131" s="1">
        <f t="shared" si="48"/>
        <v>0</v>
      </c>
      <c r="AF131" s="1">
        <f t="shared" si="49"/>
        <v>1</v>
      </c>
      <c r="AG131" s="1">
        <f t="shared" si="50"/>
        <v>0</v>
      </c>
      <c r="AH131" s="1">
        <f t="shared" si="51"/>
        <v>1</v>
      </c>
      <c r="AI131" s="1">
        <f t="shared" si="52"/>
        <v>0</v>
      </c>
    </row>
    <row r="132" spans="1:35" s="1" customFormat="1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1717</v>
      </c>
      <c r="O132" s="35">
        <v>1</v>
      </c>
      <c r="P132" s="35"/>
      <c r="Q132" s="32"/>
      <c r="S132" s="1">
        <f t="shared" si="37"/>
        <v>1</v>
      </c>
      <c r="T132" s="1">
        <f t="shared" si="38"/>
        <v>0</v>
      </c>
      <c r="U132" s="1">
        <f t="shared" si="39"/>
        <v>0</v>
      </c>
      <c r="V132" s="1">
        <f t="shared" si="40"/>
        <v>0</v>
      </c>
      <c r="W132" s="1">
        <f t="shared" si="41"/>
        <v>0</v>
      </c>
      <c r="X132" s="1">
        <f t="shared" si="42"/>
        <v>0</v>
      </c>
      <c r="Y132" s="1">
        <f t="shared" si="43"/>
        <v>0</v>
      </c>
      <c r="Z132" s="1">
        <f t="shared" si="44"/>
        <v>0</v>
      </c>
      <c r="AA132" s="1">
        <f t="shared" si="45"/>
        <v>0</v>
      </c>
      <c r="AB132" s="1">
        <f t="shared" si="46"/>
        <v>0</v>
      </c>
      <c r="AD132" s="1">
        <f t="shared" si="47"/>
        <v>0</v>
      </c>
      <c r="AE132" s="1">
        <f t="shared" si="48"/>
        <v>1</v>
      </c>
      <c r="AF132" s="1">
        <f t="shared" si="49"/>
        <v>0</v>
      </c>
      <c r="AG132" s="1">
        <f t="shared" si="50"/>
        <v>1</v>
      </c>
      <c r="AH132" s="1">
        <f t="shared" si="51"/>
        <v>0</v>
      </c>
      <c r="AI132" s="1">
        <f t="shared" si="52"/>
        <v>1</v>
      </c>
    </row>
    <row r="133" spans="1:35" s="1" customFormat="1" ht="14.25" customHeight="1" x14ac:dyDescent="0.25">
      <c r="A133" s="31">
        <v>0</v>
      </c>
      <c r="B133" s="31">
        <v>1</v>
      </c>
      <c r="C133" s="31">
        <v>3</v>
      </c>
      <c r="D133" s="36" t="s">
        <v>2051</v>
      </c>
      <c r="E133" s="36" t="s">
        <v>171</v>
      </c>
      <c r="F133" s="36" t="s">
        <v>2052</v>
      </c>
      <c r="G133" s="32"/>
      <c r="H133" s="36" t="s">
        <v>2053</v>
      </c>
      <c r="I133" s="37" t="s">
        <v>2054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2055</v>
      </c>
      <c r="S133" s="1">
        <f t="shared" si="37"/>
        <v>0</v>
      </c>
      <c r="T133" s="1">
        <f t="shared" si="38"/>
        <v>0</v>
      </c>
      <c r="U133" s="1">
        <f t="shared" si="39"/>
        <v>0</v>
      </c>
      <c r="V133" s="1">
        <f t="shared" si="40"/>
        <v>0</v>
      </c>
      <c r="W133" s="1">
        <f t="shared" si="41"/>
        <v>0</v>
      </c>
      <c r="X133" s="1">
        <f t="shared" si="42"/>
        <v>0</v>
      </c>
      <c r="Y133" s="1">
        <f t="shared" si="43"/>
        <v>0</v>
      </c>
      <c r="Z133" s="1">
        <f t="shared" si="44"/>
        <v>0</v>
      </c>
      <c r="AA133" s="1">
        <f t="shared" si="45"/>
        <v>0</v>
      </c>
      <c r="AB133" s="1">
        <f t="shared" si="46"/>
        <v>0</v>
      </c>
      <c r="AD133" s="1">
        <f t="shared" si="47"/>
        <v>1</v>
      </c>
      <c r="AE133" s="1">
        <f t="shared" si="48"/>
        <v>0</v>
      </c>
      <c r="AF133" s="1">
        <f t="shared" si="49"/>
        <v>1</v>
      </c>
      <c r="AG133" s="1">
        <f t="shared" si="50"/>
        <v>0</v>
      </c>
      <c r="AH133" s="1">
        <f t="shared" si="51"/>
        <v>1</v>
      </c>
      <c r="AI133" s="1">
        <f t="shared" si="52"/>
        <v>0</v>
      </c>
    </row>
    <row r="134" spans="1:35" s="1" customFormat="1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1710</v>
      </c>
      <c r="O134" s="35">
        <v>1</v>
      </c>
      <c r="P134" s="35"/>
      <c r="Q134" s="36" t="s">
        <v>1855</v>
      </c>
      <c r="S134" s="1">
        <f t="shared" si="37"/>
        <v>0</v>
      </c>
      <c r="T134" s="1">
        <f t="shared" si="38"/>
        <v>0</v>
      </c>
      <c r="U134" s="1">
        <f t="shared" si="39"/>
        <v>0</v>
      </c>
      <c r="V134" s="1">
        <f t="shared" si="40"/>
        <v>0</v>
      </c>
      <c r="W134" s="1">
        <f t="shared" si="41"/>
        <v>0</v>
      </c>
      <c r="X134" s="1">
        <f t="shared" si="42"/>
        <v>0</v>
      </c>
      <c r="Y134" s="1">
        <f t="shared" si="43"/>
        <v>0</v>
      </c>
      <c r="Z134" s="1">
        <f t="shared" si="44"/>
        <v>0</v>
      </c>
      <c r="AA134" s="1">
        <f t="shared" si="45"/>
        <v>0</v>
      </c>
      <c r="AB134" s="1">
        <f t="shared" si="46"/>
        <v>0</v>
      </c>
      <c r="AD134" s="1">
        <f t="shared" si="47"/>
        <v>0</v>
      </c>
      <c r="AE134" s="1">
        <f t="shared" si="48"/>
        <v>1</v>
      </c>
      <c r="AF134" s="1">
        <f t="shared" si="49"/>
        <v>0</v>
      </c>
      <c r="AG134" s="1">
        <f t="shared" si="50"/>
        <v>1</v>
      </c>
      <c r="AH134" s="1">
        <f t="shared" si="51"/>
        <v>0</v>
      </c>
      <c r="AI134" s="1">
        <f t="shared" si="52"/>
        <v>1</v>
      </c>
    </row>
    <row r="135" spans="1:35" s="1" customFormat="1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1705</v>
      </c>
      <c r="M135" s="19" t="s">
        <v>39</v>
      </c>
      <c r="N135" s="17"/>
      <c r="Q135" s="16"/>
      <c r="S135" s="1">
        <f t="shared" si="37"/>
        <v>0</v>
      </c>
      <c r="T135" s="1">
        <f t="shared" si="38"/>
        <v>0</v>
      </c>
      <c r="U135" s="1">
        <f t="shared" si="39"/>
        <v>0</v>
      </c>
      <c r="V135" s="1">
        <f t="shared" si="40"/>
        <v>0</v>
      </c>
      <c r="W135" s="1">
        <f t="shared" si="41"/>
        <v>0</v>
      </c>
      <c r="X135" s="1">
        <f t="shared" si="42"/>
        <v>0</v>
      </c>
      <c r="Y135" s="1">
        <f t="shared" si="43"/>
        <v>0</v>
      </c>
      <c r="Z135" s="1">
        <f t="shared" si="44"/>
        <v>0</v>
      </c>
      <c r="AA135" s="1">
        <f t="shared" si="45"/>
        <v>0</v>
      </c>
      <c r="AB135" s="1">
        <f t="shared" si="46"/>
        <v>0</v>
      </c>
      <c r="AD135" s="1">
        <f t="shared" si="47"/>
        <v>0</v>
      </c>
      <c r="AE135" s="1">
        <f t="shared" si="48"/>
        <v>0</v>
      </c>
      <c r="AF135" s="1">
        <f t="shared" si="49"/>
        <v>0</v>
      </c>
      <c r="AG135" s="1">
        <f t="shared" si="50"/>
        <v>0</v>
      </c>
      <c r="AH135" s="1">
        <f t="shared" si="51"/>
        <v>0</v>
      </c>
      <c r="AI135" s="1">
        <f t="shared" si="52"/>
        <v>1</v>
      </c>
    </row>
    <row r="136" spans="1:35" s="1" customFormat="1" ht="14.25" customHeight="1" x14ac:dyDescent="0.25">
      <c r="A136" s="31">
        <v>0</v>
      </c>
      <c r="B136" s="31">
        <v>1</v>
      </c>
      <c r="C136" s="31">
        <v>3</v>
      </c>
      <c r="D136" s="36" t="s">
        <v>2107</v>
      </c>
      <c r="E136" s="36" t="s">
        <v>171</v>
      </c>
      <c r="F136" s="36" t="s">
        <v>2108</v>
      </c>
      <c r="G136" s="32"/>
      <c r="H136" s="36" t="s">
        <v>360</v>
      </c>
      <c r="I136" s="37" t="s">
        <v>2109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1706</v>
      </c>
      <c r="O136" s="35">
        <v>1</v>
      </c>
      <c r="P136" s="35"/>
      <c r="Q136" s="32" t="s">
        <v>2110</v>
      </c>
      <c r="S136" s="1">
        <f t="shared" si="37"/>
        <v>0</v>
      </c>
      <c r="T136" s="1">
        <f t="shared" si="38"/>
        <v>0</v>
      </c>
      <c r="U136" s="1">
        <f t="shared" si="39"/>
        <v>0</v>
      </c>
      <c r="V136" s="1">
        <f t="shared" si="40"/>
        <v>0</v>
      </c>
      <c r="W136" s="1">
        <f t="shared" si="41"/>
        <v>0</v>
      </c>
      <c r="X136" s="1">
        <f t="shared" si="42"/>
        <v>0</v>
      </c>
      <c r="Y136" s="1">
        <f t="shared" si="43"/>
        <v>0</v>
      </c>
      <c r="Z136" s="1">
        <f t="shared" si="44"/>
        <v>0</v>
      </c>
      <c r="AA136" s="1">
        <f t="shared" si="45"/>
        <v>0</v>
      </c>
      <c r="AB136" s="1">
        <f t="shared" si="46"/>
        <v>0</v>
      </c>
      <c r="AD136" s="1">
        <f t="shared" si="47"/>
        <v>0</v>
      </c>
      <c r="AE136" s="1">
        <f t="shared" si="48"/>
        <v>1</v>
      </c>
      <c r="AF136" s="1">
        <f t="shared" si="49"/>
        <v>0</v>
      </c>
      <c r="AG136" s="1">
        <f t="shared" si="50"/>
        <v>1</v>
      </c>
      <c r="AH136" s="1">
        <f t="shared" si="51"/>
        <v>0</v>
      </c>
      <c r="AI136" s="1">
        <f t="shared" si="52"/>
        <v>1</v>
      </c>
    </row>
    <row r="137" spans="1:35" s="1" customFormat="1" ht="14.25" customHeight="1" x14ac:dyDescent="0.25">
      <c r="A137" s="15">
        <v>0</v>
      </c>
      <c r="B137" s="15">
        <v>1</v>
      </c>
      <c r="C137" s="15">
        <v>3</v>
      </c>
      <c r="D137" s="20" t="s">
        <v>2058</v>
      </c>
      <c r="E137" s="20" t="s">
        <v>859</v>
      </c>
      <c r="F137" s="20" t="s">
        <v>2059</v>
      </c>
      <c r="G137" s="16"/>
      <c r="H137" s="20" t="s">
        <v>2060</v>
      </c>
      <c r="I137" s="21" t="s">
        <v>2061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2062</v>
      </c>
      <c r="S137" s="1">
        <f t="shared" si="37"/>
        <v>0</v>
      </c>
      <c r="T137" s="1">
        <f t="shared" si="38"/>
        <v>0</v>
      </c>
      <c r="U137" s="1">
        <f t="shared" si="39"/>
        <v>0</v>
      </c>
      <c r="V137" s="1">
        <f t="shared" si="40"/>
        <v>0</v>
      </c>
      <c r="W137" s="1">
        <f t="shared" si="41"/>
        <v>0</v>
      </c>
      <c r="X137" s="1">
        <f t="shared" si="42"/>
        <v>0</v>
      </c>
      <c r="Y137" s="1">
        <f t="shared" si="43"/>
        <v>0</v>
      </c>
      <c r="Z137" s="1">
        <f t="shared" si="44"/>
        <v>0</v>
      </c>
      <c r="AA137" s="1">
        <f t="shared" si="45"/>
        <v>0</v>
      </c>
      <c r="AB137" s="1">
        <f t="shared" si="46"/>
        <v>0</v>
      </c>
      <c r="AD137" s="1">
        <f t="shared" si="47"/>
        <v>0</v>
      </c>
      <c r="AE137" s="1">
        <f t="shared" si="48"/>
        <v>0</v>
      </c>
      <c r="AF137" s="1">
        <f t="shared" si="49"/>
        <v>0</v>
      </c>
      <c r="AG137" s="1">
        <f t="shared" si="50"/>
        <v>0</v>
      </c>
      <c r="AH137" s="1">
        <f t="shared" si="51"/>
        <v>0</v>
      </c>
      <c r="AI137" s="1">
        <f t="shared" si="52"/>
        <v>1</v>
      </c>
    </row>
    <row r="138" spans="1:35" s="1" customFormat="1" ht="14.25" customHeight="1" x14ac:dyDescent="0.25">
      <c r="A138" s="15">
        <v>0</v>
      </c>
      <c r="B138" s="15">
        <v>1</v>
      </c>
      <c r="C138" s="15">
        <v>3</v>
      </c>
      <c r="D138" s="20" t="s">
        <v>1909</v>
      </c>
      <c r="E138" s="20" t="s">
        <v>171</v>
      </c>
      <c r="F138" s="20" t="s">
        <v>1929</v>
      </c>
      <c r="G138" s="20"/>
      <c r="H138" s="20" t="s">
        <v>1928</v>
      </c>
      <c r="I138" s="21" t="s">
        <v>1930</v>
      </c>
      <c r="J138" s="15">
        <v>15</v>
      </c>
      <c r="K138" s="10" t="s">
        <v>694</v>
      </c>
      <c r="L138" s="10" t="s">
        <v>1705</v>
      </c>
      <c r="M138" s="19" t="s">
        <v>952</v>
      </c>
      <c r="N138" s="17"/>
      <c r="Q138" s="20" t="s">
        <v>1931</v>
      </c>
      <c r="S138" s="1">
        <f t="shared" si="37"/>
        <v>0</v>
      </c>
      <c r="T138" s="1">
        <f t="shared" si="38"/>
        <v>0</v>
      </c>
      <c r="U138" s="1">
        <f t="shared" si="39"/>
        <v>0</v>
      </c>
      <c r="V138" s="1">
        <f t="shared" si="40"/>
        <v>0</v>
      </c>
      <c r="W138" s="1">
        <f t="shared" si="41"/>
        <v>0</v>
      </c>
      <c r="X138" s="1">
        <f t="shared" si="42"/>
        <v>0</v>
      </c>
      <c r="Y138" s="1">
        <f t="shared" si="43"/>
        <v>0</v>
      </c>
      <c r="Z138" s="1">
        <f t="shared" si="44"/>
        <v>0</v>
      </c>
      <c r="AA138" s="1">
        <f t="shared" si="45"/>
        <v>0</v>
      </c>
      <c r="AB138" s="1">
        <f t="shared" si="46"/>
        <v>0</v>
      </c>
      <c r="AD138" s="1">
        <f t="shared" si="47"/>
        <v>0</v>
      </c>
      <c r="AE138" s="1">
        <f t="shared" si="48"/>
        <v>0</v>
      </c>
      <c r="AF138" s="1">
        <f t="shared" si="49"/>
        <v>0</v>
      </c>
      <c r="AG138" s="1">
        <f t="shared" si="50"/>
        <v>0</v>
      </c>
      <c r="AH138" s="1">
        <f t="shared" si="51"/>
        <v>0</v>
      </c>
      <c r="AI138" s="1">
        <f t="shared" si="52"/>
        <v>1</v>
      </c>
    </row>
    <row r="139" spans="1:35" s="1" customFormat="1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7"/>
        <v>0</v>
      </c>
      <c r="T139" s="1">
        <f t="shared" si="38"/>
        <v>0</v>
      </c>
      <c r="U139" s="1">
        <f t="shared" si="39"/>
        <v>0</v>
      </c>
      <c r="V139" s="1">
        <f t="shared" si="40"/>
        <v>0</v>
      </c>
      <c r="W139" s="1">
        <f t="shared" si="41"/>
        <v>0</v>
      </c>
      <c r="X139" s="1">
        <f t="shared" si="42"/>
        <v>0</v>
      </c>
      <c r="Y139" s="1">
        <f t="shared" si="43"/>
        <v>0</v>
      </c>
      <c r="Z139" s="1">
        <f t="shared" si="44"/>
        <v>0</v>
      </c>
      <c r="AA139" s="1">
        <f t="shared" si="45"/>
        <v>0</v>
      </c>
      <c r="AB139" s="1">
        <f t="shared" si="46"/>
        <v>0</v>
      </c>
      <c r="AD139" s="1">
        <f t="shared" si="47"/>
        <v>1</v>
      </c>
      <c r="AE139" s="1">
        <f t="shared" si="48"/>
        <v>0</v>
      </c>
      <c r="AF139" s="1">
        <f t="shared" si="49"/>
        <v>1</v>
      </c>
      <c r="AG139" s="1">
        <f t="shared" si="50"/>
        <v>0</v>
      </c>
      <c r="AH139" s="1">
        <f t="shared" si="51"/>
        <v>1</v>
      </c>
      <c r="AI139" s="1">
        <f t="shared" si="52"/>
        <v>0</v>
      </c>
    </row>
    <row r="140" spans="1:35" s="1" customFormat="1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1706</v>
      </c>
      <c r="O140" s="35">
        <v>1</v>
      </c>
      <c r="P140" s="35"/>
      <c r="Q140" s="36" t="s">
        <v>1848</v>
      </c>
      <c r="S140" s="1">
        <f t="shared" si="37"/>
        <v>0</v>
      </c>
      <c r="T140" s="1">
        <f t="shared" si="38"/>
        <v>0</v>
      </c>
      <c r="U140" s="1">
        <f t="shared" si="39"/>
        <v>0</v>
      </c>
      <c r="V140" s="1">
        <f t="shared" si="40"/>
        <v>0</v>
      </c>
      <c r="W140" s="1">
        <f t="shared" si="41"/>
        <v>0</v>
      </c>
      <c r="X140" s="1">
        <f t="shared" si="42"/>
        <v>0</v>
      </c>
      <c r="Y140" s="1">
        <f t="shared" si="43"/>
        <v>0</v>
      </c>
      <c r="Z140" s="1">
        <f t="shared" si="44"/>
        <v>0</v>
      </c>
      <c r="AA140" s="1">
        <f t="shared" si="45"/>
        <v>0</v>
      </c>
      <c r="AB140" s="1">
        <f t="shared" si="46"/>
        <v>0</v>
      </c>
      <c r="AD140" s="1">
        <f t="shared" si="47"/>
        <v>0</v>
      </c>
      <c r="AE140" s="1">
        <f t="shared" si="48"/>
        <v>1</v>
      </c>
      <c r="AF140" s="1">
        <f t="shared" si="49"/>
        <v>0</v>
      </c>
      <c r="AG140" s="1">
        <f t="shared" si="50"/>
        <v>1</v>
      </c>
      <c r="AH140" s="1">
        <f t="shared" si="51"/>
        <v>0</v>
      </c>
      <c r="AI140" s="1">
        <f t="shared" si="52"/>
        <v>1</v>
      </c>
    </row>
    <row r="141" spans="1:35" s="1" customFormat="1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2129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7"/>
        <v>0</v>
      </c>
      <c r="T141" s="1">
        <f t="shared" si="38"/>
        <v>0</v>
      </c>
      <c r="U141" s="1">
        <f t="shared" si="39"/>
        <v>0</v>
      </c>
      <c r="V141" s="1">
        <f t="shared" si="40"/>
        <v>0</v>
      </c>
      <c r="W141" s="1">
        <f t="shared" si="41"/>
        <v>0</v>
      </c>
      <c r="X141" s="1">
        <f t="shared" si="42"/>
        <v>0</v>
      </c>
      <c r="Y141" s="1">
        <f t="shared" si="43"/>
        <v>0</v>
      </c>
      <c r="Z141" s="1">
        <f t="shared" si="44"/>
        <v>0</v>
      </c>
      <c r="AA141" s="1">
        <f t="shared" si="45"/>
        <v>0</v>
      </c>
      <c r="AB141" s="1">
        <f t="shared" si="46"/>
        <v>0</v>
      </c>
      <c r="AD141" s="1">
        <f t="shared" si="47"/>
        <v>1</v>
      </c>
      <c r="AE141" s="1">
        <f t="shared" si="48"/>
        <v>0</v>
      </c>
      <c r="AF141" s="1">
        <f t="shared" si="49"/>
        <v>1</v>
      </c>
      <c r="AG141" s="1">
        <f t="shared" si="50"/>
        <v>0</v>
      </c>
      <c r="AH141" s="1">
        <f t="shared" si="51"/>
        <v>1</v>
      </c>
      <c r="AI141" s="1">
        <f t="shared" si="52"/>
        <v>0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1786</v>
      </c>
      <c r="O142" s="35">
        <v>1</v>
      </c>
      <c r="P142" s="35"/>
      <c r="Q142" s="36"/>
      <c r="S142" s="1">
        <f t="shared" si="37"/>
        <v>0</v>
      </c>
      <c r="T142" s="1">
        <f t="shared" si="38"/>
        <v>0</v>
      </c>
      <c r="U142" s="1">
        <f t="shared" si="39"/>
        <v>0</v>
      </c>
      <c r="V142" s="1">
        <f t="shared" si="40"/>
        <v>0</v>
      </c>
      <c r="W142" s="1">
        <f t="shared" si="41"/>
        <v>0</v>
      </c>
      <c r="X142" s="1">
        <f t="shared" si="42"/>
        <v>0</v>
      </c>
      <c r="Y142" s="1">
        <f t="shared" si="43"/>
        <v>0</v>
      </c>
      <c r="Z142" s="1">
        <f t="shared" si="44"/>
        <v>0</v>
      </c>
      <c r="AA142" s="1">
        <f t="shared" si="45"/>
        <v>0</v>
      </c>
      <c r="AB142" s="1">
        <f t="shared" si="46"/>
        <v>0</v>
      </c>
      <c r="AD142" s="1">
        <f t="shared" si="47"/>
        <v>0</v>
      </c>
      <c r="AE142" s="1">
        <f t="shared" si="48"/>
        <v>1</v>
      </c>
      <c r="AF142" s="1">
        <f t="shared" si="49"/>
        <v>0</v>
      </c>
      <c r="AG142" s="1">
        <f t="shared" si="50"/>
        <v>1</v>
      </c>
      <c r="AH142" s="1">
        <f t="shared" si="51"/>
        <v>0</v>
      </c>
      <c r="AI142" s="1">
        <f t="shared" si="52"/>
        <v>1</v>
      </c>
    </row>
    <row r="143" spans="1:35" s="1" customFormat="1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1705</v>
      </c>
      <c r="M143" s="34" t="s">
        <v>39</v>
      </c>
      <c r="N143" s="34" t="s">
        <v>1710</v>
      </c>
      <c r="O143" s="35">
        <v>1</v>
      </c>
      <c r="P143" s="35"/>
      <c r="Q143" s="32"/>
      <c r="S143" s="1">
        <f t="shared" si="37"/>
        <v>0</v>
      </c>
      <c r="T143" s="1">
        <f t="shared" si="38"/>
        <v>0</v>
      </c>
      <c r="U143" s="1">
        <f t="shared" si="39"/>
        <v>0</v>
      </c>
      <c r="V143" s="1">
        <f t="shared" si="40"/>
        <v>0</v>
      </c>
      <c r="W143" s="1">
        <f t="shared" si="41"/>
        <v>0</v>
      </c>
      <c r="X143" s="1">
        <f t="shared" si="42"/>
        <v>0</v>
      </c>
      <c r="Y143" s="1">
        <f t="shared" si="43"/>
        <v>0</v>
      </c>
      <c r="Z143" s="1">
        <f t="shared" si="44"/>
        <v>0</v>
      </c>
      <c r="AA143" s="1">
        <f t="shared" si="45"/>
        <v>0</v>
      </c>
      <c r="AB143" s="1">
        <f t="shared" si="46"/>
        <v>0</v>
      </c>
      <c r="AD143" s="1">
        <f t="shared" si="47"/>
        <v>0</v>
      </c>
      <c r="AE143" s="1">
        <f t="shared" si="48"/>
        <v>1</v>
      </c>
      <c r="AF143" s="1">
        <f t="shared" si="49"/>
        <v>0</v>
      </c>
      <c r="AG143" s="1">
        <f t="shared" si="50"/>
        <v>1</v>
      </c>
      <c r="AH143" s="1">
        <f t="shared" si="51"/>
        <v>0</v>
      </c>
      <c r="AI143" s="1">
        <f t="shared" si="52"/>
        <v>1</v>
      </c>
    </row>
    <row r="144" spans="1:35" s="1" customFormat="1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7"/>
        <v>0</v>
      </c>
      <c r="T144" s="1">
        <f t="shared" si="38"/>
        <v>0</v>
      </c>
      <c r="U144" s="1">
        <f t="shared" si="39"/>
        <v>0</v>
      </c>
      <c r="V144" s="1">
        <f t="shared" si="40"/>
        <v>0</v>
      </c>
      <c r="W144" s="1">
        <f t="shared" si="41"/>
        <v>0</v>
      </c>
      <c r="X144" s="1">
        <f t="shared" si="42"/>
        <v>0</v>
      </c>
      <c r="Y144" s="1">
        <f t="shared" si="43"/>
        <v>0</v>
      </c>
      <c r="Z144" s="1">
        <f t="shared" si="44"/>
        <v>0</v>
      </c>
      <c r="AA144" s="1">
        <f t="shared" si="45"/>
        <v>0</v>
      </c>
      <c r="AB144" s="1">
        <f t="shared" si="46"/>
        <v>0</v>
      </c>
      <c r="AD144" s="1">
        <f t="shared" si="47"/>
        <v>0</v>
      </c>
      <c r="AE144" s="1">
        <f t="shared" si="48"/>
        <v>0</v>
      </c>
      <c r="AF144" s="1">
        <f t="shared" si="49"/>
        <v>0</v>
      </c>
      <c r="AG144" s="1">
        <f t="shared" si="50"/>
        <v>0</v>
      </c>
      <c r="AH144" s="1">
        <f t="shared" si="51"/>
        <v>0</v>
      </c>
      <c r="AI144" s="1">
        <f t="shared" si="52"/>
        <v>1</v>
      </c>
    </row>
    <row r="145" spans="1:35" s="1" customFormat="1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7"/>
        <v>0</v>
      </c>
      <c r="T145" s="1">
        <f t="shared" si="38"/>
        <v>0</v>
      </c>
      <c r="U145" s="1">
        <f t="shared" si="39"/>
        <v>0</v>
      </c>
      <c r="V145" s="1">
        <f t="shared" si="40"/>
        <v>0</v>
      </c>
      <c r="W145" s="1">
        <f t="shared" si="41"/>
        <v>0</v>
      </c>
      <c r="X145" s="1">
        <f t="shared" si="42"/>
        <v>0</v>
      </c>
      <c r="Y145" s="1">
        <f t="shared" si="43"/>
        <v>0</v>
      </c>
      <c r="Z145" s="1">
        <f t="shared" si="44"/>
        <v>0</v>
      </c>
      <c r="AA145" s="1">
        <f t="shared" si="45"/>
        <v>0</v>
      </c>
      <c r="AB145" s="1">
        <f t="shared" si="46"/>
        <v>0</v>
      </c>
      <c r="AD145" s="1">
        <f t="shared" si="47"/>
        <v>1</v>
      </c>
      <c r="AE145" s="1">
        <f t="shared" si="48"/>
        <v>0</v>
      </c>
      <c r="AF145" s="1">
        <f t="shared" si="49"/>
        <v>1</v>
      </c>
      <c r="AG145" s="1">
        <f t="shared" si="50"/>
        <v>0</v>
      </c>
      <c r="AH145" s="1">
        <f t="shared" si="51"/>
        <v>1</v>
      </c>
      <c r="AI145" s="1">
        <f t="shared" si="52"/>
        <v>0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3">IF(J146=$S$7,1,0)</f>
        <v>0</v>
      </c>
      <c r="T146" s="1">
        <f t="shared" ref="T146:T209" si="54">IF(J146=$T$7,1,0)</f>
        <v>0</v>
      </c>
      <c r="U146" s="1">
        <f t="shared" ref="U146:U209" si="55">IF(J146=$U$7,1,0)</f>
        <v>0</v>
      </c>
      <c r="V146" s="1">
        <f t="shared" ref="V146:V209" si="56">IF(J146=$V$7,1,0)</f>
        <v>0</v>
      </c>
      <c r="W146" s="1">
        <f t="shared" ref="W146:W209" si="57">IF(J146=$W$7,1,0)</f>
        <v>0</v>
      </c>
      <c r="X146" s="1">
        <f t="shared" ref="X146:X209" si="58">IF(J146=$X$7,1,0)</f>
        <v>0</v>
      </c>
      <c r="Y146" s="1">
        <f t="shared" ref="Y146:Y209" si="59">IF(J146=$Y$7,1,0)</f>
        <v>0</v>
      </c>
      <c r="Z146" s="1">
        <f t="shared" ref="Z146:Z209" si="60">IF(J146=$Z$7,1,0)</f>
        <v>0</v>
      </c>
      <c r="AA146" s="1">
        <f t="shared" ref="AA146:AA209" si="61">IF(J146=$AA$7,1,0)</f>
        <v>0</v>
      </c>
      <c r="AB146" s="1">
        <f t="shared" ref="AB146:AB209" si="62">IF(J146=$AB$7,1,0)</f>
        <v>0</v>
      </c>
      <c r="AD146" s="1">
        <f t="shared" ref="AD146:AD209" si="63">+O146*P146</f>
        <v>1</v>
      </c>
      <c r="AE146" s="1">
        <f t="shared" ref="AE146:AE209" si="64">O146*(1-P146)</f>
        <v>0</v>
      </c>
      <c r="AF146" s="1">
        <f t="shared" si="49"/>
        <v>1</v>
      </c>
      <c r="AG146" s="1">
        <f t="shared" si="50"/>
        <v>0</v>
      </c>
      <c r="AH146" s="1">
        <f t="shared" si="51"/>
        <v>1</v>
      </c>
      <c r="AI146" s="1">
        <f t="shared" si="52"/>
        <v>0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1762</v>
      </c>
      <c r="O147" s="35">
        <v>1</v>
      </c>
      <c r="P147" s="35"/>
      <c r="Q147" s="32"/>
      <c r="S147" s="1">
        <f t="shared" si="53"/>
        <v>0</v>
      </c>
      <c r="T147" s="1">
        <f t="shared" si="54"/>
        <v>0</v>
      </c>
      <c r="U147" s="1">
        <f t="shared" si="55"/>
        <v>0</v>
      </c>
      <c r="V147" s="1">
        <f t="shared" si="56"/>
        <v>0</v>
      </c>
      <c r="W147" s="1">
        <f t="shared" si="57"/>
        <v>0</v>
      </c>
      <c r="X147" s="1">
        <f t="shared" si="58"/>
        <v>0</v>
      </c>
      <c r="Y147" s="1">
        <f t="shared" si="59"/>
        <v>0</v>
      </c>
      <c r="Z147" s="1">
        <f t="shared" si="60"/>
        <v>0</v>
      </c>
      <c r="AA147" s="1">
        <f t="shared" si="61"/>
        <v>0</v>
      </c>
      <c r="AB147" s="1">
        <f t="shared" si="62"/>
        <v>0</v>
      </c>
      <c r="AD147" s="1">
        <f t="shared" si="63"/>
        <v>0</v>
      </c>
      <c r="AE147" s="1">
        <f t="shared" si="64"/>
        <v>1</v>
      </c>
      <c r="AF147" s="1">
        <f t="shared" ref="AF147:AF210" si="65">+O147*P147*(1-A147)</f>
        <v>0</v>
      </c>
      <c r="AG147" s="1">
        <f t="shared" ref="AG147:AG210" si="66">O147*(1-P147)*(1-A147)</f>
        <v>1</v>
      </c>
      <c r="AH147" s="1">
        <f t="shared" ref="AH147:AH210" si="67">+P147*(1-A147)</f>
        <v>0</v>
      </c>
      <c r="AI147" s="1">
        <f t="shared" ref="AI147:AI210" si="68">+(1-A147)*(1-P147)</f>
        <v>1</v>
      </c>
    </row>
    <row r="148" spans="1:35" s="1" customFormat="1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1763</v>
      </c>
      <c r="O148" s="48"/>
      <c r="P148" s="48"/>
      <c r="Q148" s="45"/>
      <c r="S148" s="1">
        <f t="shared" si="53"/>
        <v>0</v>
      </c>
      <c r="T148" s="1">
        <f t="shared" si="54"/>
        <v>0</v>
      </c>
      <c r="U148" s="1">
        <f t="shared" si="55"/>
        <v>0</v>
      </c>
      <c r="V148" s="1">
        <f t="shared" si="56"/>
        <v>0</v>
      </c>
      <c r="W148" s="1">
        <f t="shared" si="57"/>
        <v>0</v>
      </c>
      <c r="X148" s="1">
        <f t="shared" si="58"/>
        <v>0</v>
      </c>
      <c r="Y148" s="1">
        <f t="shared" si="59"/>
        <v>0</v>
      </c>
      <c r="Z148" s="1">
        <f t="shared" si="60"/>
        <v>0</v>
      </c>
      <c r="AA148" s="1">
        <f t="shared" si="61"/>
        <v>0</v>
      </c>
      <c r="AB148" s="1">
        <f t="shared" si="62"/>
        <v>0</v>
      </c>
      <c r="AD148" s="1">
        <f t="shared" si="63"/>
        <v>0</v>
      </c>
      <c r="AE148" s="1">
        <f t="shared" si="64"/>
        <v>0</v>
      </c>
      <c r="AF148" s="1">
        <f t="shared" si="65"/>
        <v>0</v>
      </c>
      <c r="AG148" s="1">
        <f t="shared" si="66"/>
        <v>0</v>
      </c>
      <c r="AH148" s="1">
        <f t="shared" si="67"/>
        <v>0</v>
      </c>
      <c r="AI148" s="1">
        <f t="shared" si="68"/>
        <v>1</v>
      </c>
    </row>
    <row r="149" spans="1:35" s="1" customFormat="1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3"/>
        <v>0</v>
      </c>
      <c r="T149" s="1">
        <f t="shared" si="54"/>
        <v>0</v>
      </c>
      <c r="U149" s="1">
        <f t="shared" si="55"/>
        <v>0</v>
      </c>
      <c r="V149" s="1">
        <f t="shared" si="56"/>
        <v>0</v>
      </c>
      <c r="W149" s="1">
        <f t="shared" si="57"/>
        <v>0</v>
      </c>
      <c r="X149" s="1">
        <f t="shared" si="58"/>
        <v>0</v>
      </c>
      <c r="Y149" s="1">
        <f t="shared" si="59"/>
        <v>0</v>
      </c>
      <c r="Z149" s="1">
        <f t="shared" si="60"/>
        <v>0</v>
      </c>
      <c r="AA149" s="1">
        <f t="shared" si="61"/>
        <v>0</v>
      </c>
      <c r="AB149" s="1">
        <f t="shared" si="62"/>
        <v>0</v>
      </c>
      <c r="AD149" s="1">
        <f t="shared" si="63"/>
        <v>0</v>
      </c>
      <c r="AE149" s="1">
        <f t="shared" si="64"/>
        <v>0</v>
      </c>
      <c r="AF149" s="1">
        <f t="shared" si="65"/>
        <v>0</v>
      </c>
      <c r="AG149" s="1">
        <f t="shared" si="66"/>
        <v>0</v>
      </c>
      <c r="AH149" s="1">
        <f t="shared" si="67"/>
        <v>0</v>
      </c>
      <c r="AI149" s="1">
        <f t="shared" si="68"/>
        <v>1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3"/>
        <v>0</v>
      </c>
      <c r="T150" s="1">
        <f t="shared" si="54"/>
        <v>0</v>
      </c>
      <c r="U150" s="1">
        <f t="shared" si="55"/>
        <v>0</v>
      </c>
      <c r="V150" s="1">
        <f t="shared" si="56"/>
        <v>1</v>
      </c>
      <c r="W150" s="1">
        <f t="shared" si="57"/>
        <v>0</v>
      </c>
      <c r="X150" s="1">
        <f t="shared" si="58"/>
        <v>0</v>
      </c>
      <c r="Y150" s="1">
        <f t="shared" si="59"/>
        <v>0</v>
      </c>
      <c r="Z150" s="1">
        <f t="shared" si="60"/>
        <v>0</v>
      </c>
      <c r="AA150" s="1">
        <f t="shared" si="61"/>
        <v>0</v>
      </c>
      <c r="AB150" s="1">
        <f t="shared" si="62"/>
        <v>0</v>
      </c>
      <c r="AD150" s="1">
        <f t="shared" si="63"/>
        <v>1</v>
      </c>
      <c r="AE150" s="1">
        <f t="shared" si="64"/>
        <v>0</v>
      </c>
      <c r="AF150" s="1">
        <f t="shared" si="65"/>
        <v>1</v>
      </c>
      <c r="AG150" s="1">
        <f t="shared" si="66"/>
        <v>0</v>
      </c>
      <c r="AH150" s="1">
        <f t="shared" si="67"/>
        <v>1</v>
      </c>
      <c r="AI150" s="1">
        <f t="shared" si="68"/>
        <v>0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3"/>
        <v>0</v>
      </c>
      <c r="T151" s="1">
        <f t="shared" si="54"/>
        <v>0</v>
      </c>
      <c r="U151" s="1">
        <f t="shared" si="55"/>
        <v>0</v>
      </c>
      <c r="V151" s="1">
        <f t="shared" si="56"/>
        <v>0</v>
      </c>
      <c r="W151" s="1">
        <f t="shared" si="57"/>
        <v>0</v>
      </c>
      <c r="X151" s="1">
        <f t="shared" si="58"/>
        <v>0</v>
      </c>
      <c r="Y151" s="1">
        <f t="shared" si="59"/>
        <v>0</v>
      </c>
      <c r="Z151" s="1">
        <f t="shared" si="60"/>
        <v>0</v>
      </c>
      <c r="AA151" s="1">
        <f t="shared" si="61"/>
        <v>0</v>
      </c>
      <c r="AB151" s="1">
        <f t="shared" si="62"/>
        <v>0</v>
      </c>
      <c r="AD151" s="1">
        <f t="shared" si="63"/>
        <v>1</v>
      </c>
      <c r="AE151" s="1">
        <f t="shared" si="64"/>
        <v>0</v>
      </c>
      <c r="AF151" s="1">
        <f t="shared" si="65"/>
        <v>1</v>
      </c>
      <c r="AG151" s="1">
        <f t="shared" si="66"/>
        <v>0</v>
      </c>
      <c r="AH151" s="1">
        <f t="shared" si="67"/>
        <v>1</v>
      </c>
      <c r="AI151" s="1">
        <f t="shared" si="68"/>
        <v>0</v>
      </c>
    </row>
    <row r="152" spans="1:35" s="1" customFormat="1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3"/>
        <v>0</v>
      </c>
      <c r="T152" s="1">
        <f t="shared" si="54"/>
        <v>0</v>
      </c>
      <c r="U152" s="1">
        <f t="shared" si="55"/>
        <v>0</v>
      </c>
      <c r="V152" s="1">
        <f t="shared" si="56"/>
        <v>0</v>
      </c>
      <c r="W152" s="1">
        <f t="shared" si="57"/>
        <v>0</v>
      </c>
      <c r="X152" s="1">
        <f t="shared" si="58"/>
        <v>0</v>
      </c>
      <c r="Y152" s="1">
        <f t="shared" si="59"/>
        <v>0</v>
      </c>
      <c r="Z152" s="1">
        <f t="shared" si="60"/>
        <v>0</v>
      </c>
      <c r="AA152" s="1">
        <f t="shared" si="61"/>
        <v>0</v>
      </c>
      <c r="AB152" s="1">
        <f t="shared" si="62"/>
        <v>0</v>
      </c>
      <c r="AD152" s="1">
        <f t="shared" si="63"/>
        <v>0</v>
      </c>
      <c r="AE152" s="1">
        <f t="shared" si="64"/>
        <v>0</v>
      </c>
      <c r="AF152" s="1">
        <f t="shared" si="65"/>
        <v>0</v>
      </c>
      <c r="AG152" s="1">
        <f t="shared" si="66"/>
        <v>0</v>
      </c>
      <c r="AH152" s="1">
        <f t="shared" si="67"/>
        <v>1</v>
      </c>
      <c r="AI152" s="1">
        <f t="shared" si="68"/>
        <v>0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3"/>
        <v>0</v>
      </c>
      <c r="T153" s="1">
        <f t="shared" si="54"/>
        <v>0</v>
      </c>
      <c r="U153" s="1">
        <f t="shared" si="55"/>
        <v>1</v>
      </c>
      <c r="V153" s="1">
        <f t="shared" si="56"/>
        <v>0</v>
      </c>
      <c r="W153" s="1">
        <f t="shared" si="57"/>
        <v>0</v>
      </c>
      <c r="X153" s="1">
        <f t="shared" si="58"/>
        <v>0</v>
      </c>
      <c r="Y153" s="1">
        <f t="shared" si="59"/>
        <v>0</v>
      </c>
      <c r="Z153" s="1">
        <f t="shared" si="60"/>
        <v>0</v>
      </c>
      <c r="AA153" s="1">
        <f t="shared" si="61"/>
        <v>0</v>
      </c>
      <c r="AB153" s="1">
        <f t="shared" si="62"/>
        <v>0</v>
      </c>
      <c r="AD153" s="1">
        <f t="shared" si="63"/>
        <v>1</v>
      </c>
      <c r="AE153" s="1">
        <f t="shared" si="64"/>
        <v>0</v>
      </c>
      <c r="AF153" s="1">
        <f t="shared" si="65"/>
        <v>1</v>
      </c>
      <c r="AG153" s="1">
        <f t="shared" si="66"/>
        <v>0</v>
      </c>
      <c r="AH153" s="1">
        <f t="shared" si="67"/>
        <v>1</v>
      </c>
      <c r="AI153" s="1">
        <f t="shared" si="68"/>
        <v>0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1717</v>
      </c>
      <c r="O154" s="35">
        <v>1</v>
      </c>
      <c r="P154" s="35"/>
      <c r="Q154" s="32"/>
      <c r="S154" s="1">
        <f t="shared" si="53"/>
        <v>0</v>
      </c>
      <c r="T154" s="1">
        <f t="shared" si="54"/>
        <v>0</v>
      </c>
      <c r="U154" s="1">
        <f t="shared" si="55"/>
        <v>0</v>
      </c>
      <c r="V154" s="1">
        <f t="shared" si="56"/>
        <v>0</v>
      </c>
      <c r="W154" s="1">
        <f t="shared" si="57"/>
        <v>0</v>
      </c>
      <c r="X154" s="1">
        <f t="shared" si="58"/>
        <v>0</v>
      </c>
      <c r="Y154" s="1">
        <f t="shared" si="59"/>
        <v>0</v>
      </c>
      <c r="Z154" s="1">
        <f t="shared" si="60"/>
        <v>0</v>
      </c>
      <c r="AA154" s="1">
        <f t="shared" si="61"/>
        <v>0</v>
      </c>
      <c r="AB154" s="1">
        <f t="shared" si="62"/>
        <v>0</v>
      </c>
      <c r="AD154" s="1">
        <f t="shared" si="63"/>
        <v>0</v>
      </c>
      <c r="AE154" s="1">
        <f t="shared" si="64"/>
        <v>1</v>
      </c>
      <c r="AF154" s="1">
        <f t="shared" si="65"/>
        <v>0</v>
      </c>
      <c r="AG154" s="1">
        <f t="shared" si="66"/>
        <v>1</v>
      </c>
      <c r="AH154" s="1">
        <f t="shared" si="67"/>
        <v>0</v>
      </c>
      <c r="AI154" s="1">
        <f t="shared" si="68"/>
        <v>1</v>
      </c>
    </row>
    <row r="155" spans="1:35" s="1" customFormat="1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3"/>
        <v>0</v>
      </c>
      <c r="T155" s="1">
        <f t="shared" si="54"/>
        <v>0</v>
      </c>
      <c r="U155" s="1">
        <f t="shared" si="55"/>
        <v>0</v>
      </c>
      <c r="V155" s="1">
        <f t="shared" si="56"/>
        <v>0</v>
      </c>
      <c r="W155" s="1">
        <f t="shared" si="57"/>
        <v>0</v>
      </c>
      <c r="X155" s="1">
        <f t="shared" si="58"/>
        <v>0</v>
      </c>
      <c r="Y155" s="1">
        <f t="shared" si="59"/>
        <v>0</v>
      </c>
      <c r="Z155" s="1">
        <f t="shared" si="60"/>
        <v>0</v>
      </c>
      <c r="AA155" s="1">
        <f t="shared" si="61"/>
        <v>0</v>
      </c>
      <c r="AB155" s="1">
        <f t="shared" si="62"/>
        <v>0</v>
      </c>
      <c r="AD155" s="1">
        <f t="shared" si="63"/>
        <v>0</v>
      </c>
      <c r="AE155" s="1">
        <f t="shared" si="64"/>
        <v>0</v>
      </c>
      <c r="AF155" s="1">
        <f t="shared" si="65"/>
        <v>0</v>
      </c>
      <c r="AG155" s="1">
        <f t="shared" si="66"/>
        <v>0</v>
      </c>
      <c r="AH155" s="1">
        <f t="shared" si="67"/>
        <v>0</v>
      </c>
      <c r="AI155" s="1">
        <f t="shared" si="68"/>
        <v>1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6" t="s">
        <v>1753</v>
      </c>
      <c r="E156" s="36" t="s">
        <v>1754</v>
      </c>
      <c r="F156" s="36" t="s">
        <v>1755</v>
      </c>
      <c r="G156" s="36" t="s">
        <v>1756</v>
      </c>
      <c r="H156" s="36" t="s">
        <v>352</v>
      </c>
      <c r="I156" s="37" t="s">
        <v>1757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3"/>
        <v>0</v>
      </c>
      <c r="T156" s="1">
        <f t="shared" si="54"/>
        <v>0</v>
      </c>
      <c r="U156" s="1">
        <f t="shared" si="55"/>
        <v>0</v>
      </c>
      <c r="V156" s="1">
        <f t="shared" si="56"/>
        <v>0</v>
      </c>
      <c r="W156" s="1">
        <f t="shared" si="57"/>
        <v>0</v>
      </c>
      <c r="X156" s="1">
        <f t="shared" si="58"/>
        <v>0</v>
      </c>
      <c r="Y156" s="1">
        <f t="shared" si="59"/>
        <v>0</v>
      </c>
      <c r="Z156" s="1">
        <f t="shared" si="60"/>
        <v>0</v>
      </c>
      <c r="AA156" s="1">
        <f t="shared" si="61"/>
        <v>0</v>
      </c>
      <c r="AB156" s="1">
        <f t="shared" si="62"/>
        <v>0</v>
      </c>
      <c r="AD156" s="1">
        <f t="shared" si="63"/>
        <v>1</v>
      </c>
      <c r="AE156" s="1">
        <f t="shared" si="64"/>
        <v>0</v>
      </c>
      <c r="AF156" s="1">
        <f t="shared" si="65"/>
        <v>1</v>
      </c>
      <c r="AG156" s="1">
        <f t="shared" si="66"/>
        <v>0</v>
      </c>
      <c r="AH156" s="1">
        <f t="shared" si="67"/>
        <v>1</v>
      </c>
      <c r="AI156" s="1">
        <f t="shared" si="68"/>
        <v>0</v>
      </c>
    </row>
    <row r="157" spans="1:35" s="1" customFormat="1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1705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3"/>
        <v>0</v>
      </c>
      <c r="T157" s="1">
        <f t="shared" si="54"/>
        <v>0</v>
      </c>
      <c r="U157" s="1">
        <f t="shared" si="55"/>
        <v>0</v>
      </c>
      <c r="V157" s="1">
        <f t="shared" si="56"/>
        <v>0</v>
      </c>
      <c r="W157" s="1">
        <f t="shared" si="57"/>
        <v>0</v>
      </c>
      <c r="X157" s="1">
        <f t="shared" si="58"/>
        <v>0</v>
      </c>
      <c r="Y157" s="1">
        <f t="shared" si="59"/>
        <v>0</v>
      </c>
      <c r="Z157" s="1">
        <f t="shared" si="60"/>
        <v>0</v>
      </c>
      <c r="AA157" s="1">
        <f t="shared" si="61"/>
        <v>0</v>
      </c>
      <c r="AB157" s="1">
        <f t="shared" si="62"/>
        <v>0</v>
      </c>
      <c r="AD157" s="1">
        <f t="shared" si="63"/>
        <v>1</v>
      </c>
      <c r="AE157" s="1">
        <f t="shared" si="64"/>
        <v>0</v>
      </c>
      <c r="AF157" s="1">
        <f t="shared" si="65"/>
        <v>1</v>
      </c>
      <c r="AG157" s="1">
        <f t="shared" si="66"/>
        <v>0</v>
      </c>
      <c r="AH157" s="1">
        <f t="shared" si="67"/>
        <v>1</v>
      </c>
      <c r="AI157" s="1">
        <f t="shared" si="68"/>
        <v>0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1710</v>
      </c>
      <c r="O158" s="35">
        <v>1</v>
      </c>
      <c r="P158" s="35"/>
      <c r="Q158" s="32"/>
      <c r="S158" s="1">
        <f t="shared" si="53"/>
        <v>0</v>
      </c>
      <c r="T158" s="1">
        <f t="shared" si="54"/>
        <v>0</v>
      </c>
      <c r="U158" s="1">
        <f t="shared" si="55"/>
        <v>0</v>
      </c>
      <c r="V158" s="1">
        <f t="shared" si="56"/>
        <v>0</v>
      </c>
      <c r="W158" s="1">
        <f t="shared" si="57"/>
        <v>0</v>
      </c>
      <c r="X158" s="1">
        <f t="shared" si="58"/>
        <v>0</v>
      </c>
      <c r="Y158" s="1">
        <f t="shared" si="59"/>
        <v>0</v>
      </c>
      <c r="Z158" s="1">
        <f t="shared" si="60"/>
        <v>0</v>
      </c>
      <c r="AA158" s="1">
        <f t="shared" si="61"/>
        <v>0</v>
      </c>
      <c r="AB158" s="1">
        <f t="shared" si="62"/>
        <v>0</v>
      </c>
      <c r="AD158" s="1">
        <f t="shared" si="63"/>
        <v>0</v>
      </c>
      <c r="AE158" s="1">
        <f t="shared" si="64"/>
        <v>1</v>
      </c>
      <c r="AF158" s="1">
        <f t="shared" si="65"/>
        <v>0</v>
      </c>
      <c r="AG158" s="1">
        <f t="shared" si="66"/>
        <v>1</v>
      </c>
      <c r="AH158" s="1">
        <f t="shared" si="67"/>
        <v>0</v>
      </c>
      <c r="AI158" s="1">
        <f t="shared" si="68"/>
        <v>1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3"/>
        <v>0</v>
      </c>
      <c r="T159" s="1">
        <f t="shared" si="54"/>
        <v>0</v>
      </c>
      <c r="U159" s="1">
        <f t="shared" si="55"/>
        <v>0</v>
      </c>
      <c r="V159" s="1">
        <f t="shared" si="56"/>
        <v>1</v>
      </c>
      <c r="W159" s="1">
        <f t="shared" si="57"/>
        <v>0</v>
      </c>
      <c r="X159" s="1">
        <f t="shared" si="58"/>
        <v>0</v>
      </c>
      <c r="Y159" s="1">
        <f t="shared" si="59"/>
        <v>0</v>
      </c>
      <c r="Z159" s="1">
        <f t="shared" si="60"/>
        <v>0</v>
      </c>
      <c r="AA159" s="1">
        <f t="shared" si="61"/>
        <v>0</v>
      </c>
      <c r="AB159" s="1">
        <f t="shared" si="62"/>
        <v>0</v>
      </c>
      <c r="AD159" s="1">
        <f t="shared" si="63"/>
        <v>1</v>
      </c>
      <c r="AE159" s="1">
        <f t="shared" si="64"/>
        <v>0</v>
      </c>
      <c r="AF159" s="1">
        <f t="shared" si="65"/>
        <v>1</v>
      </c>
      <c r="AG159" s="1">
        <f t="shared" si="66"/>
        <v>0</v>
      </c>
      <c r="AH159" s="1">
        <f t="shared" si="67"/>
        <v>1</v>
      </c>
      <c r="AI159" s="1">
        <f t="shared" si="68"/>
        <v>0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1711</v>
      </c>
      <c r="O160" s="35">
        <v>1</v>
      </c>
      <c r="P160" s="35"/>
      <c r="Q160" s="32"/>
      <c r="S160" s="1">
        <f t="shared" si="53"/>
        <v>0</v>
      </c>
      <c r="T160" s="1">
        <f t="shared" si="54"/>
        <v>0</v>
      </c>
      <c r="U160" s="1">
        <f t="shared" si="55"/>
        <v>0</v>
      </c>
      <c r="V160" s="1">
        <f t="shared" si="56"/>
        <v>0</v>
      </c>
      <c r="W160" s="1">
        <f t="shared" si="57"/>
        <v>0</v>
      </c>
      <c r="X160" s="1">
        <f t="shared" si="58"/>
        <v>0</v>
      </c>
      <c r="Y160" s="1">
        <f t="shared" si="59"/>
        <v>0</v>
      </c>
      <c r="Z160" s="1">
        <f t="shared" si="60"/>
        <v>0</v>
      </c>
      <c r="AA160" s="1">
        <f t="shared" si="61"/>
        <v>0</v>
      </c>
      <c r="AB160" s="1">
        <f t="shared" si="62"/>
        <v>0</v>
      </c>
      <c r="AD160" s="1">
        <f t="shared" si="63"/>
        <v>0</v>
      </c>
      <c r="AE160" s="1">
        <f t="shared" si="64"/>
        <v>1</v>
      </c>
      <c r="AF160" s="1">
        <f t="shared" si="65"/>
        <v>0</v>
      </c>
      <c r="AG160" s="1">
        <f t="shared" si="66"/>
        <v>1</v>
      </c>
      <c r="AH160" s="1">
        <f t="shared" si="67"/>
        <v>0</v>
      </c>
      <c r="AI160" s="1">
        <f t="shared" si="68"/>
        <v>1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6" t="s">
        <v>2033</v>
      </c>
      <c r="E161" s="36" t="s">
        <v>171</v>
      </c>
      <c r="F161" s="36" t="s">
        <v>2034</v>
      </c>
      <c r="G161" s="32"/>
      <c r="H161" s="36" t="s">
        <v>603</v>
      </c>
      <c r="I161" s="37" t="s">
        <v>2035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2036</v>
      </c>
      <c r="S161" s="1">
        <f t="shared" si="53"/>
        <v>0</v>
      </c>
      <c r="T161" s="1">
        <f t="shared" si="54"/>
        <v>0</v>
      </c>
      <c r="U161" s="1">
        <f t="shared" si="55"/>
        <v>0</v>
      </c>
      <c r="V161" s="1">
        <f t="shared" si="56"/>
        <v>0</v>
      </c>
      <c r="W161" s="1">
        <f t="shared" si="57"/>
        <v>0</v>
      </c>
      <c r="X161" s="1">
        <f t="shared" si="58"/>
        <v>0</v>
      </c>
      <c r="Y161" s="1">
        <f t="shared" si="59"/>
        <v>0</v>
      </c>
      <c r="Z161" s="1">
        <f t="shared" si="60"/>
        <v>0</v>
      </c>
      <c r="AA161" s="1">
        <f t="shared" si="61"/>
        <v>0</v>
      </c>
      <c r="AB161" s="1">
        <f t="shared" si="62"/>
        <v>0</v>
      </c>
      <c r="AD161" s="1">
        <f t="shared" si="63"/>
        <v>1</v>
      </c>
      <c r="AE161" s="1">
        <f t="shared" si="64"/>
        <v>0</v>
      </c>
      <c r="AF161" s="1">
        <f t="shared" si="65"/>
        <v>1</v>
      </c>
      <c r="AG161" s="1">
        <f t="shared" si="66"/>
        <v>0</v>
      </c>
      <c r="AH161" s="1">
        <f t="shared" si="67"/>
        <v>1</v>
      </c>
      <c r="AI161" s="1">
        <f t="shared" si="68"/>
        <v>0</v>
      </c>
    </row>
    <row r="162" spans="1:35" s="1" customFormat="1" ht="14.25" customHeight="1" x14ac:dyDescent="0.25">
      <c r="A162" s="15">
        <v>0</v>
      </c>
      <c r="B162" s="15">
        <v>1</v>
      </c>
      <c r="C162" s="15">
        <v>3</v>
      </c>
      <c r="D162" s="20" t="s">
        <v>1907</v>
      </c>
      <c r="E162" s="20" t="s">
        <v>171</v>
      </c>
      <c r="F162" s="20" t="s">
        <v>1922</v>
      </c>
      <c r="G162" s="20"/>
      <c r="H162" s="20" t="s">
        <v>1921</v>
      </c>
      <c r="I162" s="21" t="s">
        <v>1920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1923</v>
      </c>
      <c r="S162" s="1">
        <f t="shared" si="53"/>
        <v>0</v>
      </c>
      <c r="T162" s="1">
        <f t="shared" si="54"/>
        <v>0</v>
      </c>
      <c r="U162" s="1">
        <f t="shared" si="55"/>
        <v>0</v>
      </c>
      <c r="V162" s="1">
        <f t="shared" si="56"/>
        <v>0</v>
      </c>
      <c r="W162" s="1">
        <f t="shared" si="57"/>
        <v>0</v>
      </c>
      <c r="X162" s="1">
        <f t="shared" si="58"/>
        <v>0</v>
      </c>
      <c r="Y162" s="1">
        <f t="shared" si="59"/>
        <v>0</v>
      </c>
      <c r="Z162" s="1">
        <f t="shared" si="60"/>
        <v>0</v>
      </c>
      <c r="AA162" s="1">
        <f t="shared" si="61"/>
        <v>0</v>
      </c>
      <c r="AB162" s="1">
        <f t="shared" si="62"/>
        <v>0</v>
      </c>
      <c r="AD162" s="1">
        <f t="shared" si="63"/>
        <v>0</v>
      </c>
      <c r="AE162" s="1">
        <f t="shared" si="64"/>
        <v>0</v>
      </c>
      <c r="AF162" s="1">
        <f t="shared" si="65"/>
        <v>0</v>
      </c>
      <c r="AG162" s="1">
        <f t="shared" si="66"/>
        <v>0</v>
      </c>
      <c r="AH162" s="1">
        <f t="shared" si="67"/>
        <v>0</v>
      </c>
      <c r="AI162" s="1">
        <f t="shared" si="68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1710</v>
      </c>
      <c r="O163" s="35">
        <v>1</v>
      </c>
      <c r="P163" s="35"/>
      <c r="Q163" s="32"/>
      <c r="S163" s="1">
        <f t="shared" si="53"/>
        <v>0</v>
      </c>
      <c r="T163" s="1">
        <f t="shared" si="54"/>
        <v>0</v>
      </c>
      <c r="U163" s="1">
        <f t="shared" si="55"/>
        <v>0</v>
      </c>
      <c r="V163" s="1">
        <f t="shared" si="56"/>
        <v>0</v>
      </c>
      <c r="W163" s="1">
        <f t="shared" si="57"/>
        <v>0</v>
      </c>
      <c r="X163" s="1">
        <f t="shared" si="58"/>
        <v>0</v>
      </c>
      <c r="Y163" s="1">
        <f t="shared" si="59"/>
        <v>0</v>
      </c>
      <c r="Z163" s="1">
        <f t="shared" si="60"/>
        <v>0</v>
      </c>
      <c r="AA163" s="1">
        <f t="shared" si="61"/>
        <v>0</v>
      </c>
      <c r="AB163" s="1">
        <f t="shared" si="62"/>
        <v>0</v>
      </c>
      <c r="AD163" s="1">
        <f t="shared" si="63"/>
        <v>0</v>
      </c>
      <c r="AE163" s="1">
        <f t="shared" si="64"/>
        <v>1</v>
      </c>
      <c r="AF163" s="1">
        <f t="shared" si="65"/>
        <v>0</v>
      </c>
      <c r="AG163" s="1">
        <f t="shared" si="66"/>
        <v>1</v>
      </c>
      <c r="AH163" s="1">
        <f t="shared" si="67"/>
        <v>0</v>
      </c>
      <c r="AI163" s="1">
        <f t="shared" si="68"/>
        <v>1</v>
      </c>
    </row>
    <row r="164" spans="1:35" s="1" customFormat="1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1873</v>
      </c>
      <c r="S164" s="1">
        <f t="shared" si="53"/>
        <v>0</v>
      </c>
      <c r="T164" s="1">
        <f t="shared" si="54"/>
        <v>0</v>
      </c>
      <c r="U164" s="1">
        <f t="shared" si="55"/>
        <v>0</v>
      </c>
      <c r="V164" s="1">
        <f t="shared" si="56"/>
        <v>0</v>
      </c>
      <c r="W164" s="1">
        <f t="shared" si="57"/>
        <v>0</v>
      </c>
      <c r="X164" s="1">
        <f t="shared" si="58"/>
        <v>0</v>
      </c>
      <c r="Y164" s="1">
        <f t="shared" si="59"/>
        <v>0</v>
      </c>
      <c r="Z164" s="1">
        <f t="shared" si="60"/>
        <v>0</v>
      </c>
      <c r="AA164" s="1">
        <f t="shared" si="61"/>
        <v>0</v>
      </c>
      <c r="AB164" s="1">
        <f t="shared" si="62"/>
        <v>0</v>
      </c>
      <c r="AD164" s="1">
        <f t="shared" si="63"/>
        <v>1</v>
      </c>
      <c r="AE164" s="1">
        <f t="shared" si="64"/>
        <v>0</v>
      </c>
      <c r="AF164" s="1">
        <f t="shared" si="65"/>
        <v>1</v>
      </c>
      <c r="AG164" s="1">
        <f t="shared" si="66"/>
        <v>0</v>
      </c>
      <c r="AH164" s="1">
        <f t="shared" si="67"/>
        <v>1</v>
      </c>
      <c r="AI164" s="1">
        <f t="shared" si="68"/>
        <v>0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1830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1710</v>
      </c>
      <c r="O165" s="35">
        <v>1</v>
      </c>
      <c r="P165" s="35"/>
      <c r="Q165" s="32" t="s">
        <v>1856</v>
      </c>
      <c r="S165" s="1">
        <f t="shared" si="53"/>
        <v>0</v>
      </c>
      <c r="T165" s="1">
        <f t="shared" si="54"/>
        <v>0</v>
      </c>
      <c r="U165" s="1">
        <f t="shared" si="55"/>
        <v>0</v>
      </c>
      <c r="V165" s="1">
        <f t="shared" si="56"/>
        <v>0</v>
      </c>
      <c r="W165" s="1">
        <f t="shared" si="57"/>
        <v>0</v>
      </c>
      <c r="X165" s="1">
        <f t="shared" si="58"/>
        <v>0</v>
      </c>
      <c r="Y165" s="1">
        <f t="shared" si="59"/>
        <v>0</v>
      </c>
      <c r="Z165" s="1">
        <f t="shared" si="60"/>
        <v>0</v>
      </c>
      <c r="AA165" s="1">
        <f t="shared" si="61"/>
        <v>0</v>
      </c>
      <c r="AB165" s="1">
        <f t="shared" si="62"/>
        <v>0</v>
      </c>
      <c r="AD165" s="1">
        <f t="shared" si="63"/>
        <v>0</v>
      </c>
      <c r="AE165" s="1">
        <f t="shared" si="64"/>
        <v>1</v>
      </c>
      <c r="AF165" s="1">
        <f t="shared" si="65"/>
        <v>0</v>
      </c>
      <c r="AG165" s="1">
        <f t="shared" si="66"/>
        <v>1</v>
      </c>
      <c r="AH165" s="1">
        <f t="shared" si="67"/>
        <v>0</v>
      </c>
      <c r="AI165" s="1">
        <f t="shared" si="68"/>
        <v>1</v>
      </c>
    </row>
    <row r="166" spans="1:35" s="1" customFormat="1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1847</v>
      </c>
      <c r="S166" s="1">
        <f t="shared" si="53"/>
        <v>0</v>
      </c>
      <c r="T166" s="1">
        <f t="shared" si="54"/>
        <v>0</v>
      </c>
      <c r="U166" s="1">
        <f t="shared" si="55"/>
        <v>0</v>
      </c>
      <c r="V166" s="1">
        <f t="shared" si="56"/>
        <v>0</v>
      </c>
      <c r="W166" s="1">
        <f t="shared" si="57"/>
        <v>0</v>
      </c>
      <c r="X166" s="1">
        <f t="shared" si="58"/>
        <v>0</v>
      </c>
      <c r="Y166" s="1">
        <f t="shared" si="59"/>
        <v>0</v>
      </c>
      <c r="Z166" s="1">
        <f t="shared" si="60"/>
        <v>0</v>
      </c>
      <c r="AA166" s="1">
        <f t="shared" si="61"/>
        <v>0</v>
      </c>
      <c r="AB166" s="1">
        <f t="shared" si="62"/>
        <v>0</v>
      </c>
      <c r="AD166" s="1">
        <f t="shared" si="63"/>
        <v>0</v>
      </c>
      <c r="AE166" s="1">
        <f t="shared" si="64"/>
        <v>0</v>
      </c>
      <c r="AF166" s="1">
        <f t="shared" si="65"/>
        <v>0</v>
      </c>
      <c r="AG166" s="1">
        <f t="shared" si="66"/>
        <v>0</v>
      </c>
      <c r="AH166" s="1">
        <f t="shared" si="67"/>
        <v>0</v>
      </c>
      <c r="AI166" s="1">
        <f t="shared" si="68"/>
        <v>1</v>
      </c>
    </row>
    <row r="167" spans="1:35" s="1" customFormat="1" ht="14.25" customHeight="1" x14ac:dyDescent="0.25">
      <c r="A167" s="44">
        <v>0</v>
      </c>
      <c r="B167" s="44">
        <v>1</v>
      </c>
      <c r="C167" s="44">
        <v>3</v>
      </c>
      <c r="D167" s="45" t="s">
        <v>887</v>
      </c>
      <c r="E167" s="45" t="s">
        <v>171</v>
      </c>
      <c r="F167" s="45" t="s">
        <v>1077</v>
      </c>
      <c r="G167" s="45" t="s">
        <v>39</v>
      </c>
      <c r="H167" s="45" t="s">
        <v>889</v>
      </c>
      <c r="I167" s="44" t="s">
        <v>888</v>
      </c>
      <c r="J167" s="44">
        <v>11</v>
      </c>
      <c r="K167" s="46" t="s">
        <v>938</v>
      </c>
      <c r="L167" s="46">
        <v>60</v>
      </c>
      <c r="M167" s="47" t="s">
        <v>39</v>
      </c>
      <c r="N167" s="47" t="s">
        <v>1704</v>
      </c>
      <c r="O167" s="48"/>
      <c r="P167" s="48"/>
      <c r="Q167" s="45"/>
      <c r="S167" s="1">
        <f t="shared" si="53"/>
        <v>0</v>
      </c>
      <c r="T167" s="1">
        <f t="shared" si="54"/>
        <v>0</v>
      </c>
      <c r="U167" s="1">
        <f t="shared" si="55"/>
        <v>0</v>
      </c>
      <c r="V167" s="1">
        <f t="shared" si="56"/>
        <v>0</v>
      </c>
      <c r="W167" s="1">
        <f t="shared" si="57"/>
        <v>0</v>
      </c>
      <c r="X167" s="1">
        <f t="shared" si="58"/>
        <v>0</v>
      </c>
      <c r="Y167" s="1">
        <f t="shared" si="59"/>
        <v>0</v>
      </c>
      <c r="Z167" s="1">
        <f t="shared" si="60"/>
        <v>0</v>
      </c>
      <c r="AA167" s="1">
        <f t="shared" si="61"/>
        <v>0</v>
      </c>
      <c r="AB167" s="1">
        <f t="shared" si="62"/>
        <v>0</v>
      </c>
      <c r="AD167" s="1">
        <f t="shared" si="63"/>
        <v>0</v>
      </c>
      <c r="AE167" s="1">
        <f t="shared" si="64"/>
        <v>0</v>
      </c>
      <c r="AF167" s="1">
        <f t="shared" si="65"/>
        <v>0</v>
      </c>
      <c r="AG167" s="1">
        <f t="shared" si="66"/>
        <v>0</v>
      </c>
      <c r="AH167" s="1">
        <f t="shared" si="67"/>
        <v>0</v>
      </c>
      <c r="AI167" s="1">
        <f t="shared" si="68"/>
        <v>1</v>
      </c>
    </row>
    <row r="168" spans="1:35" s="1" customFormat="1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1810</v>
      </c>
      <c r="O168" s="35">
        <v>1</v>
      </c>
      <c r="P168" s="35"/>
      <c r="Q168" s="36"/>
      <c r="S168" s="1">
        <f t="shared" si="53"/>
        <v>0</v>
      </c>
      <c r="T168" s="1">
        <f t="shared" si="54"/>
        <v>0</v>
      </c>
      <c r="U168" s="1">
        <f t="shared" si="55"/>
        <v>0</v>
      </c>
      <c r="V168" s="1">
        <f t="shared" si="56"/>
        <v>0</v>
      </c>
      <c r="W168" s="1">
        <f t="shared" si="57"/>
        <v>0</v>
      </c>
      <c r="X168" s="1">
        <f t="shared" si="58"/>
        <v>0</v>
      </c>
      <c r="Y168" s="1">
        <f t="shared" si="59"/>
        <v>0</v>
      </c>
      <c r="Z168" s="1">
        <f t="shared" si="60"/>
        <v>0</v>
      </c>
      <c r="AA168" s="1">
        <f t="shared" si="61"/>
        <v>0</v>
      </c>
      <c r="AB168" s="1">
        <f t="shared" si="62"/>
        <v>0</v>
      </c>
      <c r="AD168" s="1">
        <f t="shared" si="63"/>
        <v>0</v>
      </c>
      <c r="AE168" s="1">
        <f t="shared" si="64"/>
        <v>1</v>
      </c>
      <c r="AF168" s="1">
        <f t="shared" si="65"/>
        <v>0</v>
      </c>
      <c r="AG168" s="1">
        <f t="shared" si="66"/>
        <v>1</v>
      </c>
      <c r="AH168" s="1">
        <f t="shared" si="67"/>
        <v>0</v>
      </c>
      <c r="AI168" s="1">
        <f t="shared" si="68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1786</v>
      </c>
      <c r="O169" s="35">
        <v>1</v>
      </c>
      <c r="P169" s="35"/>
      <c r="Q169" s="36"/>
      <c r="S169" s="1">
        <f t="shared" si="53"/>
        <v>0</v>
      </c>
      <c r="T169" s="1">
        <f t="shared" si="54"/>
        <v>0</v>
      </c>
      <c r="U169" s="1">
        <f t="shared" si="55"/>
        <v>0</v>
      </c>
      <c r="V169" s="1">
        <f t="shared" si="56"/>
        <v>0</v>
      </c>
      <c r="W169" s="1">
        <f t="shared" si="57"/>
        <v>0</v>
      </c>
      <c r="X169" s="1">
        <f t="shared" si="58"/>
        <v>0</v>
      </c>
      <c r="Y169" s="1">
        <f t="shared" si="59"/>
        <v>0</v>
      </c>
      <c r="Z169" s="1">
        <f t="shared" si="60"/>
        <v>0</v>
      </c>
      <c r="AA169" s="1">
        <f t="shared" si="61"/>
        <v>0</v>
      </c>
      <c r="AB169" s="1">
        <f t="shared" si="62"/>
        <v>0</v>
      </c>
      <c r="AD169" s="1">
        <f t="shared" si="63"/>
        <v>0</v>
      </c>
      <c r="AE169" s="1">
        <f t="shared" si="64"/>
        <v>1</v>
      </c>
      <c r="AF169" s="1">
        <f t="shared" si="65"/>
        <v>0</v>
      </c>
      <c r="AG169" s="1">
        <f t="shared" si="66"/>
        <v>1</v>
      </c>
      <c r="AH169" s="1">
        <f t="shared" si="67"/>
        <v>0</v>
      </c>
      <c r="AI169" s="1">
        <f t="shared" si="68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1995</v>
      </c>
      <c r="E170" s="32" t="s">
        <v>171</v>
      </c>
      <c r="F170" s="32" t="s">
        <v>1996</v>
      </c>
      <c r="G170" s="32"/>
      <c r="H170" s="32" t="s">
        <v>352</v>
      </c>
      <c r="I170" s="31" t="s">
        <v>1997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1998</v>
      </c>
      <c r="S170" s="1">
        <f t="shared" si="53"/>
        <v>0</v>
      </c>
      <c r="T170" s="1">
        <f t="shared" si="54"/>
        <v>0</v>
      </c>
      <c r="U170" s="1">
        <f t="shared" si="55"/>
        <v>0</v>
      </c>
      <c r="V170" s="1">
        <f t="shared" si="56"/>
        <v>0</v>
      </c>
      <c r="W170" s="1">
        <f t="shared" si="57"/>
        <v>0</v>
      </c>
      <c r="X170" s="1">
        <f t="shared" si="58"/>
        <v>0</v>
      </c>
      <c r="Y170" s="1">
        <f t="shared" si="59"/>
        <v>0</v>
      </c>
      <c r="Z170" s="1">
        <f t="shared" si="60"/>
        <v>0</v>
      </c>
      <c r="AA170" s="1">
        <f t="shared" si="61"/>
        <v>0</v>
      </c>
      <c r="AB170" s="1">
        <f t="shared" si="62"/>
        <v>0</v>
      </c>
      <c r="AD170" s="1">
        <f t="shared" si="63"/>
        <v>1</v>
      </c>
      <c r="AE170" s="1">
        <f t="shared" si="64"/>
        <v>0</v>
      </c>
      <c r="AF170" s="1">
        <f t="shared" si="65"/>
        <v>1</v>
      </c>
      <c r="AG170" s="1">
        <f t="shared" si="66"/>
        <v>0</v>
      </c>
      <c r="AH170" s="1">
        <f t="shared" si="67"/>
        <v>1</v>
      </c>
      <c r="AI170" s="1">
        <f t="shared" si="68"/>
        <v>0</v>
      </c>
    </row>
    <row r="171" spans="1:35" s="1" customFormat="1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3"/>
        <v>0</v>
      </c>
      <c r="T171" s="1">
        <f t="shared" si="54"/>
        <v>0</v>
      </c>
      <c r="U171" s="1">
        <f t="shared" si="55"/>
        <v>0</v>
      </c>
      <c r="V171" s="1">
        <f t="shared" si="56"/>
        <v>0</v>
      </c>
      <c r="W171" s="1">
        <f t="shared" si="57"/>
        <v>0</v>
      </c>
      <c r="X171" s="1">
        <f t="shared" si="58"/>
        <v>0</v>
      </c>
      <c r="Y171" s="1">
        <f t="shared" si="59"/>
        <v>0</v>
      </c>
      <c r="Z171" s="1">
        <f t="shared" si="60"/>
        <v>0</v>
      </c>
      <c r="AA171" s="1">
        <f t="shared" si="61"/>
        <v>0</v>
      </c>
      <c r="AB171" s="1">
        <f t="shared" si="62"/>
        <v>0</v>
      </c>
      <c r="AD171" s="1">
        <f t="shared" si="63"/>
        <v>0</v>
      </c>
      <c r="AE171" s="1">
        <f t="shared" si="64"/>
        <v>0</v>
      </c>
      <c r="AF171" s="1">
        <f t="shared" si="65"/>
        <v>0</v>
      </c>
      <c r="AG171" s="1">
        <f t="shared" si="66"/>
        <v>0</v>
      </c>
      <c r="AH171" s="1">
        <f t="shared" si="67"/>
        <v>0</v>
      </c>
      <c r="AI171" s="1">
        <f t="shared" si="68"/>
        <v>1</v>
      </c>
    </row>
    <row r="172" spans="1:35" s="1" customFormat="1" ht="14.25" customHeight="1" x14ac:dyDescent="0.25">
      <c r="A172" s="15">
        <v>0</v>
      </c>
      <c r="B172" s="15">
        <v>1</v>
      </c>
      <c r="C172" s="15">
        <v>3</v>
      </c>
      <c r="D172" s="20" t="s">
        <v>1906</v>
      </c>
      <c r="E172" s="20" t="s">
        <v>171</v>
      </c>
      <c r="F172" s="20" t="s">
        <v>1916</v>
      </c>
      <c r="G172" s="20"/>
      <c r="H172" s="20" t="s">
        <v>1917</v>
      </c>
      <c r="I172" s="21" t="s">
        <v>1918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1915</v>
      </c>
      <c r="S172" s="1">
        <f t="shared" si="53"/>
        <v>0</v>
      </c>
      <c r="T172" s="1">
        <f t="shared" si="54"/>
        <v>0</v>
      </c>
      <c r="U172" s="1">
        <f t="shared" si="55"/>
        <v>0</v>
      </c>
      <c r="V172" s="1">
        <f t="shared" si="56"/>
        <v>0</v>
      </c>
      <c r="W172" s="1">
        <f t="shared" si="57"/>
        <v>0</v>
      </c>
      <c r="X172" s="1">
        <f t="shared" si="58"/>
        <v>0</v>
      </c>
      <c r="Y172" s="1">
        <f t="shared" si="59"/>
        <v>0</v>
      </c>
      <c r="Z172" s="1">
        <f t="shared" si="60"/>
        <v>0</v>
      </c>
      <c r="AA172" s="1">
        <f t="shared" si="61"/>
        <v>0</v>
      </c>
      <c r="AB172" s="1">
        <f t="shared" si="62"/>
        <v>0</v>
      </c>
      <c r="AD172" s="1">
        <f t="shared" si="63"/>
        <v>0</v>
      </c>
      <c r="AE172" s="1">
        <f t="shared" si="64"/>
        <v>0</v>
      </c>
      <c r="AF172" s="1">
        <f t="shared" si="65"/>
        <v>0</v>
      </c>
      <c r="AG172" s="1">
        <f t="shared" si="66"/>
        <v>0</v>
      </c>
      <c r="AH172" s="1">
        <f t="shared" si="67"/>
        <v>0</v>
      </c>
      <c r="AI172" s="1">
        <f t="shared" si="68"/>
        <v>1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1751</v>
      </c>
      <c r="O173" s="35">
        <v>1</v>
      </c>
      <c r="P173" s="35"/>
      <c r="Q173" s="36"/>
      <c r="S173" s="1">
        <f t="shared" si="53"/>
        <v>0</v>
      </c>
      <c r="T173" s="1">
        <f t="shared" si="54"/>
        <v>0</v>
      </c>
      <c r="U173" s="1">
        <f t="shared" si="55"/>
        <v>1</v>
      </c>
      <c r="V173" s="1">
        <f t="shared" si="56"/>
        <v>0</v>
      </c>
      <c r="W173" s="1">
        <f t="shared" si="57"/>
        <v>0</v>
      </c>
      <c r="X173" s="1">
        <f t="shared" si="58"/>
        <v>0</v>
      </c>
      <c r="Y173" s="1">
        <f t="shared" si="59"/>
        <v>0</v>
      </c>
      <c r="Z173" s="1">
        <f t="shared" si="60"/>
        <v>0</v>
      </c>
      <c r="AA173" s="1">
        <f t="shared" si="61"/>
        <v>0</v>
      </c>
      <c r="AB173" s="1">
        <f t="shared" si="62"/>
        <v>0</v>
      </c>
      <c r="AD173" s="1">
        <f t="shared" si="63"/>
        <v>0</v>
      </c>
      <c r="AE173" s="1">
        <f t="shared" si="64"/>
        <v>1</v>
      </c>
      <c r="AF173" s="1">
        <f t="shared" si="65"/>
        <v>0</v>
      </c>
      <c r="AG173" s="1">
        <f t="shared" si="66"/>
        <v>1</v>
      </c>
      <c r="AH173" s="1">
        <f t="shared" si="67"/>
        <v>0</v>
      </c>
      <c r="AI173" s="1">
        <f t="shared" si="68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2071</v>
      </c>
      <c r="E174" s="32" t="s">
        <v>174</v>
      </c>
      <c r="F174" s="32" t="s">
        <v>2072</v>
      </c>
      <c r="G174" s="32"/>
      <c r="H174" s="32" t="s">
        <v>2073</v>
      </c>
      <c r="I174" s="37" t="s">
        <v>2074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2075</v>
      </c>
      <c r="S174" s="1">
        <f t="shared" si="53"/>
        <v>0</v>
      </c>
      <c r="T174" s="1">
        <f t="shared" si="54"/>
        <v>0</v>
      </c>
      <c r="U174" s="1">
        <f t="shared" si="55"/>
        <v>0</v>
      </c>
      <c r="V174" s="1">
        <f t="shared" si="56"/>
        <v>0</v>
      </c>
      <c r="W174" s="1">
        <f t="shared" si="57"/>
        <v>0</v>
      </c>
      <c r="X174" s="1">
        <f t="shared" si="58"/>
        <v>0</v>
      </c>
      <c r="Y174" s="1">
        <f t="shared" si="59"/>
        <v>0</v>
      </c>
      <c r="Z174" s="1">
        <f t="shared" si="60"/>
        <v>0</v>
      </c>
      <c r="AA174" s="1">
        <f t="shared" si="61"/>
        <v>0</v>
      </c>
      <c r="AB174" s="1">
        <f t="shared" si="62"/>
        <v>0</v>
      </c>
      <c r="AD174" s="1">
        <f t="shared" si="63"/>
        <v>1</v>
      </c>
      <c r="AE174" s="1">
        <f t="shared" si="64"/>
        <v>0</v>
      </c>
      <c r="AF174" s="1">
        <f t="shared" si="65"/>
        <v>1</v>
      </c>
      <c r="AG174" s="1">
        <f t="shared" si="66"/>
        <v>0</v>
      </c>
      <c r="AH174" s="1">
        <f t="shared" si="67"/>
        <v>1</v>
      </c>
      <c r="AI174" s="1">
        <f t="shared" si="68"/>
        <v>0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1911</v>
      </c>
      <c r="E175" s="32" t="s">
        <v>171</v>
      </c>
      <c r="F175" s="32" t="s">
        <v>1913</v>
      </c>
      <c r="G175" s="32"/>
      <c r="H175" s="32" t="s">
        <v>1914</v>
      </c>
      <c r="I175" s="37" t="s">
        <v>1912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1710</v>
      </c>
      <c r="O175" s="35">
        <v>1</v>
      </c>
      <c r="P175" s="35"/>
      <c r="Q175" s="36" t="s">
        <v>1919</v>
      </c>
      <c r="S175" s="1">
        <f t="shared" si="53"/>
        <v>0</v>
      </c>
      <c r="T175" s="1">
        <f t="shared" si="54"/>
        <v>0</v>
      </c>
      <c r="U175" s="1">
        <f t="shared" si="55"/>
        <v>0</v>
      </c>
      <c r="V175" s="1">
        <f t="shared" si="56"/>
        <v>0</v>
      </c>
      <c r="W175" s="1">
        <f t="shared" si="57"/>
        <v>0</v>
      </c>
      <c r="X175" s="1">
        <f t="shared" si="58"/>
        <v>0</v>
      </c>
      <c r="Y175" s="1">
        <f t="shared" si="59"/>
        <v>0</v>
      </c>
      <c r="Z175" s="1">
        <f t="shared" si="60"/>
        <v>0</v>
      </c>
      <c r="AA175" s="1">
        <f t="shared" si="61"/>
        <v>0</v>
      </c>
      <c r="AB175" s="1">
        <f t="shared" si="62"/>
        <v>0</v>
      </c>
      <c r="AD175" s="1">
        <f t="shared" si="63"/>
        <v>0</v>
      </c>
      <c r="AE175" s="1">
        <f t="shared" si="64"/>
        <v>1</v>
      </c>
      <c r="AF175" s="1">
        <f t="shared" si="65"/>
        <v>0</v>
      </c>
      <c r="AG175" s="1">
        <f t="shared" si="66"/>
        <v>1</v>
      </c>
      <c r="AH175" s="1">
        <f t="shared" si="67"/>
        <v>0</v>
      </c>
      <c r="AI175" s="1">
        <f t="shared" si="68"/>
        <v>1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1711</v>
      </c>
      <c r="O176" s="35">
        <v>1</v>
      </c>
      <c r="P176" s="35"/>
      <c r="Q176" s="32"/>
      <c r="S176" s="1">
        <f t="shared" si="53"/>
        <v>0</v>
      </c>
      <c r="T176" s="1">
        <f t="shared" si="54"/>
        <v>0</v>
      </c>
      <c r="U176" s="1">
        <f t="shared" si="55"/>
        <v>0</v>
      </c>
      <c r="V176" s="1">
        <f t="shared" si="56"/>
        <v>0</v>
      </c>
      <c r="W176" s="1">
        <f t="shared" si="57"/>
        <v>0</v>
      </c>
      <c r="X176" s="1">
        <f t="shared" si="58"/>
        <v>0</v>
      </c>
      <c r="Y176" s="1">
        <f t="shared" si="59"/>
        <v>0</v>
      </c>
      <c r="Z176" s="1">
        <f t="shared" si="60"/>
        <v>0</v>
      </c>
      <c r="AA176" s="1">
        <f t="shared" si="61"/>
        <v>0</v>
      </c>
      <c r="AB176" s="1">
        <f t="shared" si="62"/>
        <v>0</v>
      </c>
      <c r="AD176" s="1">
        <f t="shared" si="63"/>
        <v>0</v>
      </c>
      <c r="AE176" s="1">
        <f t="shared" si="64"/>
        <v>1</v>
      </c>
      <c r="AF176" s="1">
        <f t="shared" si="65"/>
        <v>0</v>
      </c>
      <c r="AG176" s="1">
        <f t="shared" si="66"/>
        <v>1</v>
      </c>
      <c r="AH176" s="1">
        <f t="shared" si="67"/>
        <v>0</v>
      </c>
      <c r="AI176" s="1">
        <f t="shared" si="68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3"/>
        <v>0</v>
      </c>
      <c r="T177" s="1">
        <f t="shared" si="54"/>
        <v>0</v>
      </c>
      <c r="U177" s="1">
        <f t="shared" si="55"/>
        <v>0</v>
      </c>
      <c r="V177" s="1">
        <f t="shared" si="56"/>
        <v>0</v>
      </c>
      <c r="W177" s="1">
        <f t="shared" si="57"/>
        <v>0</v>
      </c>
      <c r="X177" s="1">
        <f t="shared" si="58"/>
        <v>0</v>
      </c>
      <c r="Y177" s="1">
        <f t="shared" si="59"/>
        <v>0</v>
      </c>
      <c r="Z177" s="1">
        <f t="shared" si="60"/>
        <v>0</v>
      </c>
      <c r="AA177" s="1">
        <f t="shared" si="61"/>
        <v>1</v>
      </c>
      <c r="AB177" s="1">
        <f t="shared" si="62"/>
        <v>0</v>
      </c>
      <c r="AD177" s="1">
        <f t="shared" si="63"/>
        <v>1</v>
      </c>
      <c r="AE177" s="1">
        <f t="shared" si="64"/>
        <v>0</v>
      </c>
      <c r="AF177" s="1">
        <f t="shared" si="65"/>
        <v>1</v>
      </c>
      <c r="AG177" s="1">
        <f t="shared" si="66"/>
        <v>0</v>
      </c>
      <c r="AH177" s="1">
        <f t="shared" si="67"/>
        <v>1</v>
      </c>
      <c r="AI177" s="1">
        <f t="shared" si="68"/>
        <v>0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1786</v>
      </c>
      <c r="O178" s="35">
        <v>1</v>
      </c>
      <c r="P178" s="35"/>
      <c r="Q178" s="32"/>
      <c r="S178" s="1">
        <f t="shared" si="53"/>
        <v>0</v>
      </c>
      <c r="T178" s="1">
        <f t="shared" si="54"/>
        <v>0</v>
      </c>
      <c r="U178" s="1">
        <f t="shared" si="55"/>
        <v>0</v>
      </c>
      <c r="V178" s="1">
        <f t="shared" si="56"/>
        <v>0</v>
      </c>
      <c r="W178" s="1">
        <f t="shared" si="57"/>
        <v>0</v>
      </c>
      <c r="X178" s="1">
        <f t="shared" si="58"/>
        <v>0</v>
      </c>
      <c r="Y178" s="1">
        <f t="shared" si="59"/>
        <v>0</v>
      </c>
      <c r="Z178" s="1">
        <f t="shared" si="60"/>
        <v>0</v>
      </c>
      <c r="AA178" s="1">
        <f t="shared" si="61"/>
        <v>0</v>
      </c>
      <c r="AB178" s="1">
        <f t="shared" si="62"/>
        <v>0</v>
      </c>
      <c r="AD178" s="1">
        <f t="shared" si="63"/>
        <v>0</v>
      </c>
      <c r="AE178" s="1">
        <f t="shared" si="64"/>
        <v>1</v>
      </c>
      <c r="AF178" s="1">
        <f t="shared" si="65"/>
        <v>0</v>
      </c>
      <c r="AG178" s="1">
        <f t="shared" si="66"/>
        <v>1</v>
      </c>
      <c r="AH178" s="1">
        <f t="shared" si="67"/>
        <v>0</v>
      </c>
      <c r="AI178" s="1">
        <f t="shared" si="68"/>
        <v>1</v>
      </c>
    </row>
    <row r="179" spans="1:35" s="1" customFormat="1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3"/>
        <v>0</v>
      </c>
      <c r="T179" s="1">
        <f t="shared" si="54"/>
        <v>0</v>
      </c>
      <c r="U179" s="1">
        <f t="shared" si="55"/>
        <v>0</v>
      </c>
      <c r="V179" s="1">
        <f t="shared" si="56"/>
        <v>0</v>
      </c>
      <c r="W179" s="1">
        <f t="shared" si="57"/>
        <v>0</v>
      </c>
      <c r="X179" s="1">
        <f t="shared" si="58"/>
        <v>0</v>
      </c>
      <c r="Y179" s="1">
        <f t="shared" si="59"/>
        <v>0</v>
      </c>
      <c r="Z179" s="1">
        <f t="shared" si="60"/>
        <v>0</v>
      </c>
      <c r="AA179" s="1">
        <f t="shared" si="61"/>
        <v>0</v>
      </c>
      <c r="AB179" s="1">
        <f t="shared" si="62"/>
        <v>0</v>
      </c>
      <c r="AD179" s="1">
        <f t="shared" si="63"/>
        <v>0</v>
      </c>
      <c r="AE179" s="1">
        <f t="shared" si="64"/>
        <v>0</v>
      </c>
      <c r="AF179" s="1">
        <f t="shared" si="65"/>
        <v>0</v>
      </c>
      <c r="AG179" s="1">
        <f t="shared" si="66"/>
        <v>0</v>
      </c>
      <c r="AH179" s="1">
        <f t="shared" si="67"/>
        <v>0</v>
      </c>
      <c r="AI179" s="1">
        <f t="shared" si="68"/>
        <v>1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1851</v>
      </c>
      <c r="S180" s="1">
        <f t="shared" si="53"/>
        <v>0</v>
      </c>
      <c r="T180" s="1">
        <f t="shared" si="54"/>
        <v>0</v>
      </c>
      <c r="U180" s="1">
        <f t="shared" si="55"/>
        <v>0</v>
      </c>
      <c r="V180" s="1">
        <f t="shared" si="56"/>
        <v>0</v>
      </c>
      <c r="W180" s="1">
        <f t="shared" si="57"/>
        <v>0</v>
      </c>
      <c r="X180" s="1">
        <f t="shared" si="58"/>
        <v>0</v>
      </c>
      <c r="Y180" s="1">
        <f t="shared" si="59"/>
        <v>0</v>
      </c>
      <c r="Z180" s="1">
        <f t="shared" si="60"/>
        <v>0</v>
      </c>
      <c r="AA180" s="1">
        <f t="shared" si="61"/>
        <v>0</v>
      </c>
      <c r="AB180" s="1">
        <f t="shared" si="62"/>
        <v>0</v>
      </c>
      <c r="AD180" s="1">
        <f t="shared" si="63"/>
        <v>1</v>
      </c>
      <c r="AE180" s="1">
        <f t="shared" si="64"/>
        <v>0</v>
      </c>
      <c r="AF180" s="1">
        <f t="shared" si="65"/>
        <v>1</v>
      </c>
      <c r="AG180" s="1">
        <f t="shared" si="66"/>
        <v>0</v>
      </c>
      <c r="AH180" s="1">
        <f t="shared" si="67"/>
        <v>1</v>
      </c>
      <c r="AI180" s="1">
        <f t="shared" si="68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6" t="s">
        <v>1802</v>
      </c>
      <c r="E181" s="32" t="s">
        <v>1068</v>
      </c>
      <c r="F181" s="32" t="s">
        <v>1787</v>
      </c>
      <c r="G181" s="32"/>
      <c r="H181" s="32" t="s">
        <v>370</v>
      </c>
      <c r="I181" s="31" t="s">
        <v>1788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3"/>
        <v>0</v>
      </c>
      <c r="T181" s="1">
        <f t="shared" si="54"/>
        <v>0</v>
      </c>
      <c r="U181" s="1">
        <f t="shared" si="55"/>
        <v>0</v>
      </c>
      <c r="V181" s="1">
        <f t="shared" si="56"/>
        <v>0</v>
      </c>
      <c r="W181" s="1">
        <f t="shared" si="57"/>
        <v>0</v>
      </c>
      <c r="X181" s="1">
        <f t="shared" si="58"/>
        <v>0</v>
      </c>
      <c r="Y181" s="1">
        <f t="shared" si="59"/>
        <v>0</v>
      </c>
      <c r="Z181" s="1">
        <f t="shared" si="60"/>
        <v>0</v>
      </c>
      <c r="AA181" s="1">
        <f t="shared" si="61"/>
        <v>0</v>
      </c>
      <c r="AB181" s="1">
        <f t="shared" si="62"/>
        <v>0</v>
      </c>
      <c r="AD181" s="1">
        <f t="shared" si="63"/>
        <v>1</v>
      </c>
      <c r="AE181" s="1">
        <f t="shared" si="64"/>
        <v>0</v>
      </c>
      <c r="AF181" s="1">
        <f t="shared" si="65"/>
        <v>1</v>
      </c>
      <c r="AG181" s="1">
        <f t="shared" si="66"/>
        <v>0</v>
      </c>
      <c r="AH181" s="1">
        <f t="shared" si="67"/>
        <v>1</v>
      </c>
      <c r="AI181" s="1">
        <f t="shared" si="68"/>
        <v>0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3"/>
        <v>0</v>
      </c>
      <c r="T182" s="1">
        <f t="shared" si="54"/>
        <v>0</v>
      </c>
      <c r="U182" s="1">
        <f t="shared" si="55"/>
        <v>0</v>
      </c>
      <c r="V182" s="1">
        <f t="shared" si="56"/>
        <v>0</v>
      </c>
      <c r="W182" s="1">
        <f t="shared" si="57"/>
        <v>0</v>
      </c>
      <c r="X182" s="1">
        <f t="shared" si="58"/>
        <v>0</v>
      </c>
      <c r="Y182" s="1">
        <f t="shared" si="59"/>
        <v>0</v>
      </c>
      <c r="Z182" s="1">
        <f t="shared" si="60"/>
        <v>0</v>
      </c>
      <c r="AA182" s="1">
        <f t="shared" si="61"/>
        <v>0</v>
      </c>
      <c r="AB182" s="1">
        <f t="shared" si="62"/>
        <v>0</v>
      </c>
      <c r="AD182" s="1">
        <f t="shared" si="63"/>
        <v>1</v>
      </c>
      <c r="AE182" s="1">
        <f t="shared" si="64"/>
        <v>0</v>
      </c>
      <c r="AF182" s="1">
        <f t="shared" si="65"/>
        <v>1</v>
      </c>
      <c r="AG182" s="1">
        <f t="shared" si="66"/>
        <v>0</v>
      </c>
      <c r="AH182" s="1">
        <f t="shared" si="67"/>
        <v>1</v>
      </c>
      <c r="AI182" s="1">
        <f t="shared" si="68"/>
        <v>0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3"/>
        <v>0</v>
      </c>
      <c r="T183" s="1">
        <f t="shared" si="54"/>
        <v>0</v>
      </c>
      <c r="U183" s="1">
        <f t="shared" si="55"/>
        <v>0</v>
      </c>
      <c r="V183" s="1">
        <f t="shared" si="56"/>
        <v>0</v>
      </c>
      <c r="W183" s="1">
        <f t="shared" si="57"/>
        <v>0</v>
      </c>
      <c r="X183" s="1">
        <f t="shared" si="58"/>
        <v>0</v>
      </c>
      <c r="Y183" s="1">
        <f t="shared" si="59"/>
        <v>0</v>
      </c>
      <c r="Z183" s="1">
        <f t="shared" si="60"/>
        <v>0</v>
      </c>
      <c r="AA183" s="1">
        <f t="shared" si="61"/>
        <v>0</v>
      </c>
      <c r="AB183" s="1">
        <f t="shared" si="62"/>
        <v>0</v>
      </c>
      <c r="AD183" s="1">
        <f t="shared" si="63"/>
        <v>1</v>
      </c>
      <c r="AE183" s="1">
        <f t="shared" si="64"/>
        <v>0</v>
      </c>
      <c r="AF183" s="1">
        <f t="shared" si="65"/>
        <v>1</v>
      </c>
      <c r="AG183" s="1">
        <f t="shared" si="66"/>
        <v>0</v>
      </c>
      <c r="AH183" s="1">
        <f t="shared" si="67"/>
        <v>1</v>
      </c>
      <c r="AI183" s="1">
        <f t="shared" si="68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1944</v>
      </c>
      <c r="E184" s="32" t="s">
        <v>1945</v>
      </c>
      <c r="F184" s="32" t="s">
        <v>1946</v>
      </c>
      <c r="G184" s="32" t="s">
        <v>531</v>
      </c>
      <c r="H184" s="32" t="s">
        <v>352</v>
      </c>
      <c r="I184" s="31" t="s">
        <v>1947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3"/>
        <v>0</v>
      </c>
      <c r="T184" s="1">
        <f t="shared" si="54"/>
        <v>0</v>
      </c>
      <c r="U184" s="1">
        <f t="shared" si="55"/>
        <v>0</v>
      </c>
      <c r="V184" s="1">
        <f t="shared" si="56"/>
        <v>0</v>
      </c>
      <c r="W184" s="1">
        <f t="shared" si="57"/>
        <v>0</v>
      </c>
      <c r="X184" s="1">
        <f t="shared" si="58"/>
        <v>0</v>
      </c>
      <c r="Y184" s="1">
        <f t="shared" si="59"/>
        <v>0</v>
      </c>
      <c r="Z184" s="1">
        <f t="shared" si="60"/>
        <v>0</v>
      </c>
      <c r="AA184" s="1">
        <f t="shared" si="61"/>
        <v>0</v>
      </c>
      <c r="AB184" s="1">
        <f t="shared" si="62"/>
        <v>0</v>
      </c>
      <c r="AD184" s="1">
        <f t="shared" si="63"/>
        <v>1</v>
      </c>
      <c r="AE184" s="1">
        <f t="shared" si="64"/>
        <v>0</v>
      </c>
      <c r="AF184" s="1">
        <f t="shared" si="65"/>
        <v>1</v>
      </c>
      <c r="AG184" s="1">
        <f t="shared" si="66"/>
        <v>0</v>
      </c>
      <c r="AH184" s="1">
        <f t="shared" si="67"/>
        <v>1</v>
      </c>
      <c r="AI184" s="1">
        <f t="shared" si="68"/>
        <v>0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3"/>
        <v>0</v>
      </c>
      <c r="T185" s="1">
        <f t="shared" si="54"/>
        <v>0</v>
      </c>
      <c r="U185" s="1">
        <f t="shared" si="55"/>
        <v>0</v>
      </c>
      <c r="V185" s="1">
        <f t="shared" si="56"/>
        <v>1</v>
      </c>
      <c r="W185" s="1">
        <f t="shared" si="57"/>
        <v>0</v>
      </c>
      <c r="X185" s="1">
        <f t="shared" si="58"/>
        <v>0</v>
      </c>
      <c r="Y185" s="1">
        <f t="shared" si="59"/>
        <v>0</v>
      </c>
      <c r="Z185" s="1">
        <f t="shared" si="60"/>
        <v>0</v>
      </c>
      <c r="AA185" s="1">
        <f t="shared" si="61"/>
        <v>0</v>
      </c>
      <c r="AB185" s="1">
        <f t="shared" si="62"/>
        <v>0</v>
      </c>
      <c r="AD185" s="1">
        <f t="shared" si="63"/>
        <v>1</v>
      </c>
      <c r="AE185" s="1">
        <f t="shared" si="64"/>
        <v>0</v>
      </c>
      <c r="AF185" s="1">
        <f t="shared" si="65"/>
        <v>1</v>
      </c>
      <c r="AG185" s="1">
        <f t="shared" si="66"/>
        <v>0</v>
      </c>
      <c r="AH185" s="1">
        <f t="shared" si="67"/>
        <v>1</v>
      </c>
      <c r="AI185" s="1">
        <f t="shared" si="68"/>
        <v>0</v>
      </c>
    </row>
    <row r="186" spans="1:35" s="1" customFormat="1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3"/>
        <v>0</v>
      </c>
      <c r="T186" s="1">
        <f t="shared" si="54"/>
        <v>0</v>
      </c>
      <c r="U186" s="1">
        <f t="shared" si="55"/>
        <v>0</v>
      </c>
      <c r="V186" s="1">
        <f t="shared" si="56"/>
        <v>0</v>
      </c>
      <c r="W186" s="1">
        <f t="shared" si="57"/>
        <v>0</v>
      </c>
      <c r="X186" s="1">
        <f t="shared" si="58"/>
        <v>0</v>
      </c>
      <c r="Y186" s="1">
        <f t="shared" si="59"/>
        <v>0</v>
      </c>
      <c r="Z186" s="1">
        <f t="shared" si="60"/>
        <v>0</v>
      </c>
      <c r="AA186" s="1">
        <f t="shared" si="61"/>
        <v>0</v>
      </c>
      <c r="AB186" s="1">
        <f t="shared" si="62"/>
        <v>0</v>
      </c>
      <c r="AD186" s="1">
        <f t="shared" si="63"/>
        <v>0</v>
      </c>
      <c r="AE186" s="1">
        <f t="shared" si="64"/>
        <v>0</v>
      </c>
      <c r="AF186" s="1">
        <f t="shared" si="65"/>
        <v>0</v>
      </c>
      <c r="AG186" s="1">
        <f t="shared" si="66"/>
        <v>0</v>
      </c>
      <c r="AH186" s="1">
        <f t="shared" si="67"/>
        <v>0</v>
      </c>
      <c r="AI186" s="1">
        <f t="shared" si="68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1706</v>
      </c>
      <c r="O187" s="35">
        <v>1</v>
      </c>
      <c r="P187" s="35"/>
      <c r="Q187" s="32"/>
      <c r="S187" s="1">
        <f t="shared" si="53"/>
        <v>0</v>
      </c>
      <c r="T187" s="1">
        <f t="shared" si="54"/>
        <v>0</v>
      </c>
      <c r="U187" s="1">
        <f t="shared" si="55"/>
        <v>0</v>
      </c>
      <c r="V187" s="1">
        <f t="shared" si="56"/>
        <v>0</v>
      </c>
      <c r="W187" s="1">
        <f t="shared" si="57"/>
        <v>0</v>
      </c>
      <c r="X187" s="1">
        <f t="shared" si="58"/>
        <v>0</v>
      </c>
      <c r="Y187" s="1">
        <f t="shared" si="59"/>
        <v>0</v>
      </c>
      <c r="Z187" s="1">
        <f t="shared" si="60"/>
        <v>0</v>
      </c>
      <c r="AA187" s="1">
        <f t="shared" si="61"/>
        <v>0</v>
      </c>
      <c r="AB187" s="1">
        <f t="shared" si="62"/>
        <v>0</v>
      </c>
      <c r="AD187" s="1">
        <f t="shared" si="63"/>
        <v>0</v>
      </c>
      <c r="AE187" s="1">
        <f t="shared" si="64"/>
        <v>1</v>
      </c>
      <c r="AF187" s="1">
        <f t="shared" si="65"/>
        <v>0</v>
      </c>
      <c r="AG187" s="1">
        <f t="shared" si="66"/>
        <v>1</v>
      </c>
      <c r="AH187" s="1">
        <f t="shared" si="67"/>
        <v>0</v>
      </c>
      <c r="AI187" s="1">
        <f t="shared" si="68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1706</v>
      </c>
      <c r="O188" s="35">
        <v>1</v>
      </c>
      <c r="P188" s="35"/>
      <c r="Q188" s="32"/>
      <c r="S188" s="1">
        <f t="shared" si="53"/>
        <v>0</v>
      </c>
      <c r="T188" s="1">
        <f t="shared" si="54"/>
        <v>0</v>
      </c>
      <c r="U188" s="1">
        <f t="shared" si="55"/>
        <v>0</v>
      </c>
      <c r="V188" s="1">
        <f t="shared" si="56"/>
        <v>0</v>
      </c>
      <c r="W188" s="1">
        <f t="shared" si="57"/>
        <v>0</v>
      </c>
      <c r="X188" s="1">
        <f t="shared" si="58"/>
        <v>0</v>
      </c>
      <c r="Y188" s="1">
        <f t="shared" si="59"/>
        <v>0</v>
      </c>
      <c r="Z188" s="1">
        <f t="shared" si="60"/>
        <v>0</v>
      </c>
      <c r="AA188" s="1">
        <f t="shared" si="61"/>
        <v>0</v>
      </c>
      <c r="AB188" s="1">
        <f t="shared" si="62"/>
        <v>0</v>
      </c>
      <c r="AD188" s="1">
        <f t="shared" si="63"/>
        <v>0</v>
      </c>
      <c r="AE188" s="1">
        <f t="shared" si="64"/>
        <v>1</v>
      </c>
      <c r="AF188" s="1">
        <f t="shared" si="65"/>
        <v>0</v>
      </c>
      <c r="AG188" s="1">
        <f t="shared" si="66"/>
        <v>1</v>
      </c>
      <c r="AH188" s="1">
        <f t="shared" si="67"/>
        <v>0</v>
      </c>
      <c r="AI188" s="1">
        <f t="shared" si="68"/>
        <v>1</v>
      </c>
    </row>
    <row r="189" spans="1:35" s="1" customFormat="1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3"/>
        <v>0</v>
      </c>
      <c r="T189" s="1">
        <f t="shared" si="54"/>
        <v>0</v>
      </c>
      <c r="U189" s="1">
        <f t="shared" si="55"/>
        <v>0</v>
      </c>
      <c r="V189" s="1">
        <f t="shared" si="56"/>
        <v>0</v>
      </c>
      <c r="W189" s="1">
        <f t="shared" si="57"/>
        <v>0</v>
      </c>
      <c r="X189" s="1">
        <f t="shared" si="58"/>
        <v>0</v>
      </c>
      <c r="Y189" s="1">
        <f t="shared" si="59"/>
        <v>0</v>
      </c>
      <c r="Z189" s="1">
        <f t="shared" si="60"/>
        <v>0</v>
      </c>
      <c r="AA189" s="1">
        <f t="shared" si="61"/>
        <v>0</v>
      </c>
      <c r="AB189" s="1">
        <f t="shared" si="62"/>
        <v>0</v>
      </c>
      <c r="AD189" s="1">
        <f t="shared" si="63"/>
        <v>0</v>
      </c>
      <c r="AE189" s="1">
        <f t="shared" si="64"/>
        <v>0</v>
      </c>
      <c r="AF189" s="1">
        <f t="shared" si="65"/>
        <v>0</v>
      </c>
      <c r="AG189" s="1">
        <f t="shared" si="66"/>
        <v>0</v>
      </c>
      <c r="AH189" s="1">
        <f t="shared" si="67"/>
        <v>0</v>
      </c>
      <c r="AI189" s="1">
        <f t="shared" si="68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1706</v>
      </c>
      <c r="O190" s="35">
        <v>1</v>
      </c>
      <c r="P190" s="35"/>
      <c r="Q190" s="32" t="s">
        <v>1890</v>
      </c>
      <c r="S190" s="1">
        <f t="shared" si="53"/>
        <v>0</v>
      </c>
      <c r="T190" s="1">
        <f t="shared" si="54"/>
        <v>0</v>
      </c>
      <c r="U190" s="1">
        <f t="shared" si="55"/>
        <v>0</v>
      </c>
      <c r="V190" s="1">
        <f t="shared" si="56"/>
        <v>0</v>
      </c>
      <c r="W190" s="1">
        <f t="shared" si="57"/>
        <v>0</v>
      </c>
      <c r="X190" s="1">
        <f t="shared" si="58"/>
        <v>0</v>
      </c>
      <c r="Y190" s="1">
        <f t="shared" si="59"/>
        <v>0</v>
      </c>
      <c r="Z190" s="1">
        <f t="shared" si="60"/>
        <v>0</v>
      </c>
      <c r="AA190" s="1">
        <f t="shared" si="61"/>
        <v>0</v>
      </c>
      <c r="AB190" s="1">
        <f t="shared" si="62"/>
        <v>0</v>
      </c>
      <c r="AD190" s="1">
        <f t="shared" si="63"/>
        <v>0</v>
      </c>
      <c r="AE190" s="1">
        <f t="shared" si="64"/>
        <v>1</v>
      </c>
      <c r="AF190" s="1">
        <f t="shared" si="65"/>
        <v>0</v>
      </c>
      <c r="AG190" s="1">
        <f t="shared" si="66"/>
        <v>1</v>
      </c>
      <c r="AH190" s="1">
        <f t="shared" si="67"/>
        <v>0</v>
      </c>
      <c r="AI190" s="1">
        <f t="shared" si="68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1710</v>
      </c>
      <c r="O191" s="35">
        <v>1</v>
      </c>
      <c r="P191" s="35"/>
      <c r="Q191" s="32"/>
      <c r="S191" s="1">
        <f t="shared" si="53"/>
        <v>0</v>
      </c>
      <c r="T191" s="1">
        <f t="shared" si="54"/>
        <v>0</v>
      </c>
      <c r="U191" s="1">
        <f t="shared" si="55"/>
        <v>0</v>
      </c>
      <c r="V191" s="1">
        <f t="shared" si="56"/>
        <v>0</v>
      </c>
      <c r="W191" s="1">
        <f t="shared" si="57"/>
        <v>0</v>
      </c>
      <c r="X191" s="1">
        <f t="shared" si="58"/>
        <v>0</v>
      </c>
      <c r="Y191" s="1">
        <f t="shared" si="59"/>
        <v>0</v>
      </c>
      <c r="Z191" s="1">
        <f t="shared" si="60"/>
        <v>0</v>
      </c>
      <c r="AA191" s="1">
        <f t="shared" si="61"/>
        <v>0</v>
      </c>
      <c r="AB191" s="1">
        <f t="shared" si="62"/>
        <v>0</v>
      </c>
      <c r="AD191" s="1">
        <f t="shared" si="63"/>
        <v>0</v>
      </c>
      <c r="AE191" s="1">
        <f t="shared" si="64"/>
        <v>1</v>
      </c>
      <c r="AF191" s="1">
        <f t="shared" si="65"/>
        <v>0</v>
      </c>
      <c r="AG191" s="1">
        <f t="shared" si="66"/>
        <v>1</v>
      </c>
      <c r="AH191" s="1">
        <f t="shared" si="67"/>
        <v>0</v>
      </c>
      <c r="AI191" s="1">
        <f t="shared" si="68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1711</v>
      </c>
      <c r="O192" s="35">
        <v>1</v>
      </c>
      <c r="P192" s="35"/>
      <c r="Q192" s="32"/>
      <c r="S192" s="1">
        <f t="shared" si="53"/>
        <v>0</v>
      </c>
      <c r="T192" s="1">
        <f t="shared" si="54"/>
        <v>0</v>
      </c>
      <c r="U192" s="1">
        <f t="shared" si="55"/>
        <v>0</v>
      </c>
      <c r="V192" s="1">
        <f t="shared" si="56"/>
        <v>0</v>
      </c>
      <c r="W192" s="1">
        <f t="shared" si="57"/>
        <v>0</v>
      </c>
      <c r="X192" s="1">
        <f t="shared" si="58"/>
        <v>0</v>
      </c>
      <c r="Y192" s="1">
        <f t="shared" si="59"/>
        <v>0</v>
      </c>
      <c r="Z192" s="1">
        <f t="shared" si="60"/>
        <v>0</v>
      </c>
      <c r="AA192" s="1">
        <f t="shared" si="61"/>
        <v>0</v>
      </c>
      <c r="AB192" s="1">
        <f t="shared" si="62"/>
        <v>0</v>
      </c>
      <c r="AD192" s="1">
        <f t="shared" si="63"/>
        <v>0</v>
      </c>
      <c r="AE192" s="1">
        <f t="shared" si="64"/>
        <v>1</v>
      </c>
      <c r="AF192" s="1">
        <f t="shared" si="65"/>
        <v>0</v>
      </c>
      <c r="AG192" s="1">
        <f t="shared" si="66"/>
        <v>1</v>
      </c>
      <c r="AH192" s="1">
        <f t="shared" si="67"/>
        <v>0</v>
      </c>
      <c r="AI192" s="1">
        <f t="shared" si="68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3"/>
        <v>0</v>
      </c>
      <c r="T193" s="1">
        <f t="shared" si="54"/>
        <v>1</v>
      </c>
      <c r="U193" s="1">
        <f t="shared" si="55"/>
        <v>0</v>
      </c>
      <c r="V193" s="1">
        <f t="shared" si="56"/>
        <v>0</v>
      </c>
      <c r="W193" s="1">
        <f t="shared" si="57"/>
        <v>0</v>
      </c>
      <c r="X193" s="1">
        <f t="shared" si="58"/>
        <v>0</v>
      </c>
      <c r="Y193" s="1">
        <f t="shared" si="59"/>
        <v>0</v>
      </c>
      <c r="Z193" s="1">
        <f t="shared" si="60"/>
        <v>0</v>
      </c>
      <c r="AA193" s="1">
        <f t="shared" si="61"/>
        <v>0</v>
      </c>
      <c r="AB193" s="1">
        <f t="shared" si="62"/>
        <v>0</v>
      </c>
      <c r="AD193" s="1">
        <f t="shared" si="63"/>
        <v>1</v>
      </c>
      <c r="AE193" s="1">
        <f t="shared" si="64"/>
        <v>0</v>
      </c>
      <c r="AF193" s="1">
        <f t="shared" si="65"/>
        <v>1</v>
      </c>
      <c r="AG193" s="1">
        <f t="shared" si="66"/>
        <v>0</v>
      </c>
      <c r="AH193" s="1">
        <f t="shared" si="67"/>
        <v>1</v>
      </c>
      <c r="AI193" s="1">
        <f t="shared" si="68"/>
        <v>0</v>
      </c>
    </row>
    <row r="194" spans="1:35" s="1" customFormat="1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1762</v>
      </c>
      <c r="O194" s="35">
        <v>1</v>
      </c>
      <c r="P194" s="35"/>
      <c r="Q194" s="32"/>
      <c r="S194" s="1">
        <f t="shared" si="53"/>
        <v>0</v>
      </c>
      <c r="T194" s="1">
        <f t="shared" si="54"/>
        <v>0</v>
      </c>
      <c r="U194" s="1">
        <f t="shared" si="55"/>
        <v>0</v>
      </c>
      <c r="V194" s="1">
        <f t="shared" si="56"/>
        <v>0</v>
      </c>
      <c r="W194" s="1">
        <f t="shared" si="57"/>
        <v>0</v>
      </c>
      <c r="X194" s="1">
        <f t="shared" si="58"/>
        <v>0</v>
      </c>
      <c r="Y194" s="1">
        <f t="shared" si="59"/>
        <v>0</v>
      </c>
      <c r="Z194" s="1">
        <f t="shared" si="60"/>
        <v>0</v>
      </c>
      <c r="AA194" s="1">
        <f t="shared" si="61"/>
        <v>1</v>
      </c>
      <c r="AB194" s="1">
        <f t="shared" si="62"/>
        <v>0</v>
      </c>
      <c r="AD194" s="1">
        <f t="shared" si="63"/>
        <v>0</v>
      </c>
      <c r="AE194" s="1">
        <f t="shared" si="64"/>
        <v>1</v>
      </c>
      <c r="AF194" s="1">
        <f t="shared" si="65"/>
        <v>0</v>
      </c>
      <c r="AG194" s="1">
        <f t="shared" si="66"/>
        <v>1</v>
      </c>
      <c r="AH194" s="1">
        <f t="shared" si="67"/>
        <v>0</v>
      </c>
      <c r="AI194" s="1">
        <f t="shared" si="68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1706</v>
      </c>
      <c r="O195" s="35">
        <v>1</v>
      </c>
      <c r="P195" s="35"/>
      <c r="Q195" s="32"/>
      <c r="S195" s="1">
        <f t="shared" si="53"/>
        <v>1</v>
      </c>
      <c r="T195" s="1">
        <f t="shared" si="54"/>
        <v>0</v>
      </c>
      <c r="U195" s="1">
        <f t="shared" si="55"/>
        <v>0</v>
      </c>
      <c r="V195" s="1">
        <f t="shared" si="56"/>
        <v>0</v>
      </c>
      <c r="W195" s="1">
        <f t="shared" si="57"/>
        <v>0</v>
      </c>
      <c r="X195" s="1">
        <f t="shared" si="58"/>
        <v>0</v>
      </c>
      <c r="Y195" s="1">
        <f t="shared" si="59"/>
        <v>0</v>
      </c>
      <c r="Z195" s="1">
        <f t="shared" si="60"/>
        <v>0</v>
      </c>
      <c r="AA195" s="1">
        <f t="shared" si="61"/>
        <v>0</v>
      </c>
      <c r="AB195" s="1">
        <f t="shared" si="62"/>
        <v>0</v>
      </c>
      <c r="AD195" s="1">
        <f t="shared" si="63"/>
        <v>0</v>
      </c>
      <c r="AE195" s="1">
        <f t="shared" si="64"/>
        <v>1</v>
      </c>
      <c r="AF195" s="1">
        <f t="shared" si="65"/>
        <v>0</v>
      </c>
      <c r="AG195" s="1">
        <f t="shared" si="66"/>
        <v>1</v>
      </c>
      <c r="AH195" s="1">
        <f t="shared" si="67"/>
        <v>0</v>
      </c>
      <c r="AI195" s="1">
        <f t="shared" si="68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4</v>
      </c>
      <c r="D196" s="36" t="s">
        <v>2130</v>
      </c>
      <c r="E196" s="32" t="s">
        <v>757</v>
      </c>
      <c r="F196" s="36" t="s">
        <v>2037</v>
      </c>
      <c r="G196" s="36" t="s">
        <v>212</v>
      </c>
      <c r="H196" s="36" t="s">
        <v>352</v>
      </c>
      <c r="I196" s="37" t="s">
        <v>2038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2039</v>
      </c>
      <c r="S196" s="1">
        <f t="shared" si="53"/>
        <v>1</v>
      </c>
      <c r="T196" s="1">
        <f t="shared" si="54"/>
        <v>0</v>
      </c>
      <c r="U196" s="1">
        <f t="shared" si="55"/>
        <v>0</v>
      </c>
      <c r="V196" s="1">
        <f t="shared" si="56"/>
        <v>0</v>
      </c>
      <c r="W196" s="1">
        <f t="shared" si="57"/>
        <v>0</v>
      </c>
      <c r="X196" s="1">
        <f t="shared" si="58"/>
        <v>0</v>
      </c>
      <c r="Y196" s="1">
        <f t="shared" si="59"/>
        <v>0</v>
      </c>
      <c r="Z196" s="1">
        <f t="shared" si="60"/>
        <v>0</v>
      </c>
      <c r="AA196" s="1">
        <f t="shared" si="61"/>
        <v>0</v>
      </c>
      <c r="AB196" s="1">
        <f t="shared" si="62"/>
        <v>0</v>
      </c>
      <c r="AD196" s="1">
        <f t="shared" si="63"/>
        <v>1</v>
      </c>
      <c r="AE196" s="1">
        <f t="shared" si="64"/>
        <v>0</v>
      </c>
      <c r="AF196" s="1">
        <f t="shared" si="65"/>
        <v>1</v>
      </c>
      <c r="AG196" s="1">
        <f t="shared" si="66"/>
        <v>0</v>
      </c>
      <c r="AH196" s="1">
        <f t="shared" si="67"/>
        <v>1</v>
      </c>
      <c r="AI196" s="1">
        <f t="shared" si="68"/>
        <v>0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1706</v>
      </c>
      <c r="O197" s="35">
        <v>1</v>
      </c>
      <c r="P197" s="35"/>
      <c r="Q197" s="32"/>
      <c r="S197" s="1">
        <f t="shared" si="53"/>
        <v>0</v>
      </c>
      <c r="T197" s="1">
        <f t="shared" si="54"/>
        <v>0</v>
      </c>
      <c r="U197" s="1">
        <f t="shared" si="55"/>
        <v>0</v>
      </c>
      <c r="V197" s="1">
        <f t="shared" si="56"/>
        <v>0</v>
      </c>
      <c r="W197" s="1">
        <f t="shared" si="57"/>
        <v>0</v>
      </c>
      <c r="X197" s="1">
        <f t="shared" si="58"/>
        <v>0</v>
      </c>
      <c r="Y197" s="1">
        <f t="shared" si="59"/>
        <v>0</v>
      </c>
      <c r="Z197" s="1">
        <f t="shared" si="60"/>
        <v>0</v>
      </c>
      <c r="AA197" s="1">
        <f t="shared" si="61"/>
        <v>0</v>
      </c>
      <c r="AB197" s="1">
        <f t="shared" si="62"/>
        <v>0</v>
      </c>
      <c r="AD197" s="1">
        <f t="shared" si="63"/>
        <v>0</v>
      </c>
      <c r="AE197" s="1">
        <f t="shared" si="64"/>
        <v>1</v>
      </c>
      <c r="AF197" s="1">
        <f t="shared" si="65"/>
        <v>0</v>
      </c>
      <c r="AG197" s="1">
        <f t="shared" si="66"/>
        <v>1</v>
      </c>
      <c r="AH197" s="1">
        <f t="shared" si="67"/>
        <v>0</v>
      </c>
      <c r="AI197" s="1">
        <f t="shared" si="68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3"/>
        <v>0</v>
      </c>
      <c r="T198" s="1">
        <f t="shared" si="54"/>
        <v>1</v>
      </c>
      <c r="U198" s="1">
        <f t="shared" si="55"/>
        <v>0</v>
      </c>
      <c r="V198" s="1">
        <f t="shared" si="56"/>
        <v>0</v>
      </c>
      <c r="W198" s="1">
        <f t="shared" si="57"/>
        <v>0</v>
      </c>
      <c r="X198" s="1">
        <f t="shared" si="58"/>
        <v>0</v>
      </c>
      <c r="Y198" s="1">
        <f t="shared" si="59"/>
        <v>0</v>
      </c>
      <c r="Z198" s="1">
        <f t="shared" si="60"/>
        <v>0</v>
      </c>
      <c r="AA198" s="1">
        <f t="shared" si="61"/>
        <v>0</v>
      </c>
      <c r="AB198" s="1">
        <f t="shared" si="62"/>
        <v>0</v>
      </c>
      <c r="AD198" s="1">
        <f t="shared" si="63"/>
        <v>1</v>
      </c>
      <c r="AE198" s="1">
        <f t="shared" si="64"/>
        <v>0</v>
      </c>
      <c r="AF198" s="1">
        <f t="shared" si="65"/>
        <v>1</v>
      </c>
      <c r="AG198" s="1">
        <f t="shared" si="66"/>
        <v>0</v>
      </c>
      <c r="AH198" s="1">
        <f t="shared" si="67"/>
        <v>1</v>
      </c>
      <c r="AI198" s="1">
        <f t="shared" si="68"/>
        <v>0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1706</v>
      </c>
      <c r="O199" s="35">
        <v>1</v>
      </c>
      <c r="P199" s="35"/>
      <c r="Q199" s="32"/>
      <c r="S199" s="1">
        <f t="shared" si="53"/>
        <v>0</v>
      </c>
      <c r="T199" s="1">
        <f t="shared" si="54"/>
        <v>0</v>
      </c>
      <c r="U199" s="1">
        <f t="shared" si="55"/>
        <v>0</v>
      </c>
      <c r="V199" s="1">
        <f t="shared" si="56"/>
        <v>0</v>
      </c>
      <c r="W199" s="1">
        <f t="shared" si="57"/>
        <v>0</v>
      </c>
      <c r="X199" s="1">
        <f t="shared" si="58"/>
        <v>0</v>
      </c>
      <c r="Y199" s="1">
        <f t="shared" si="59"/>
        <v>0</v>
      </c>
      <c r="Z199" s="1">
        <f t="shared" si="60"/>
        <v>0</v>
      </c>
      <c r="AA199" s="1">
        <f t="shared" si="61"/>
        <v>1</v>
      </c>
      <c r="AB199" s="1">
        <f t="shared" si="62"/>
        <v>0</v>
      </c>
      <c r="AD199" s="1">
        <f t="shared" si="63"/>
        <v>0</v>
      </c>
      <c r="AE199" s="1">
        <f t="shared" si="64"/>
        <v>1</v>
      </c>
      <c r="AF199" s="1">
        <f t="shared" si="65"/>
        <v>0</v>
      </c>
      <c r="AG199" s="1">
        <f t="shared" si="66"/>
        <v>1</v>
      </c>
      <c r="AH199" s="1">
        <f t="shared" si="67"/>
        <v>0</v>
      </c>
      <c r="AI199" s="1">
        <f t="shared" si="68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1951</v>
      </c>
      <c r="E200" s="32" t="s">
        <v>165</v>
      </c>
      <c r="F200" s="32" t="s">
        <v>1952</v>
      </c>
      <c r="G200" s="32" t="s">
        <v>1955</v>
      </c>
      <c r="H200" s="32" t="s">
        <v>352</v>
      </c>
      <c r="I200" s="31" t="s">
        <v>1953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1706</v>
      </c>
      <c r="O200" s="35">
        <v>1</v>
      </c>
      <c r="P200" s="35"/>
      <c r="Q200" s="32" t="s">
        <v>1954</v>
      </c>
      <c r="S200" s="1">
        <f t="shared" si="53"/>
        <v>0</v>
      </c>
      <c r="T200" s="1">
        <f t="shared" si="54"/>
        <v>0</v>
      </c>
      <c r="U200" s="1">
        <f t="shared" si="55"/>
        <v>0</v>
      </c>
      <c r="V200" s="1">
        <f t="shared" si="56"/>
        <v>0</v>
      </c>
      <c r="W200" s="1">
        <f t="shared" si="57"/>
        <v>0</v>
      </c>
      <c r="X200" s="1">
        <f t="shared" si="58"/>
        <v>0</v>
      </c>
      <c r="Y200" s="1">
        <f t="shared" si="59"/>
        <v>0</v>
      </c>
      <c r="Z200" s="1">
        <f t="shared" si="60"/>
        <v>0</v>
      </c>
      <c r="AA200" s="1">
        <f t="shared" si="61"/>
        <v>0</v>
      </c>
      <c r="AB200" s="1">
        <f t="shared" si="62"/>
        <v>0</v>
      </c>
      <c r="AD200" s="1">
        <f t="shared" si="63"/>
        <v>0</v>
      </c>
      <c r="AE200" s="1">
        <f t="shared" si="64"/>
        <v>1</v>
      </c>
      <c r="AF200" s="1">
        <f t="shared" si="65"/>
        <v>0</v>
      </c>
      <c r="AG200" s="1">
        <f t="shared" si="66"/>
        <v>1</v>
      </c>
      <c r="AH200" s="1">
        <f t="shared" si="67"/>
        <v>0</v>
      </c>
      <c r="AI200" s="1">
        <f t="shared" si="68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1751</v>
      </c>
      <c r="O201" s="35">
        <v>1</v>
      </c>
      <c r="P201" s="35"/>
      <c r="Q201" s="32"/>
      <c r="S201" s="1">
        <f t="shared" si="53"/>
        <v>0</v>
      </c>
      <c r="T201" s="1">
        <f t="shared" si="54"/>
        <v>0</v>
      </c>
      <c r="U201" s="1">
        <f t="shared" si="55"/>
        <v>0</v>
      </c>
      <c r="V201" s="1">
        <f t="shared" si="56"/>
        <v>0</v>
      </c>
      <c r="W201" s="1">
        <f t="shared" si="57"/>
        <v>0</v>
      </c>
      <c r="X201" s="1">
        <f t="shared" si="58"/>
        <v>0</v>
      </c>
      <c r="Y201" s="1">
        <f t="shared" si="59"/>
        <v>0</v>
      </c>
      <c r="Z201" s="1">
        <f t="shared" si="60"/>
        <v>0</v>
      </c>
      <c r="AA201" s="1">
        <f t="shared" si="61"/>
        <v>0</v>
      </c>
      <c r="AB201" s="1">
        <f t="shared" si="62"/>
        <v>1</v>
      </c>
      <c r="AD201" s="1">
        <f t="shared" si="63"/>
        <v>0</v>
      </c>
      <c r="AE201" s="1">
        <f t="shared" si="64"/>
        <v>1</v>
      </c>
      <c r="AF201" s="1">
        <f t="shared" si="65"/>
        <v>0</v>
      </c>
      <c r="AG201" s="1">
        <f t="shared" si="66"/>
        <v>1</v>
      </c>
      <c r="AH201" s="1">
        <f t="shared" si="67"/>
        <v>0</v>
      </c>
      <c r="AI201" s="1">
        <f t="shared" si="68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1706</v>
      </c>
      <c r="O202" s="35">
        <v>1</v>
      </c>
      <c r="P202" s="35"/>
      <c r="Q202" s="32"/>
      <c r="S202" s="1">
        <f t="shared" si="53"/>
        <v>0</v>
      </c>
      <c r="T202" s="1">
        <f t="shared" si="54"/>
        <v>0</v>
      </c>
      <c r="U202" s="1">
        <f t="shared" si="55"/>
        <v>0</v>
      </c>
      <c r="V202" s="1">
        <f t="shared" si="56"/>
        <v>0</v>
      </c>
      <c r="W202" s="1">
        <f t="shared" si="57"/>
        <v>0</v>
      </c>
      <c r="X202" s="1">
        <f t="shared" si="58"/>
        <v>0</v>
      </c>
      <c r="Y202" s="1">
        <f t="shared" si="59"/>
        <v>0</v>
      </c>
      <c r="Z202" s="1">
        <f t="shared" si="60"/>
        <v>1</v>
      </c>
      <c r="AA202" s="1">
        <f t="shared" si="61"/>
        <v>0</v>
      </c>
      <c r="AB202" s="1">
        <f t="shared" si="62"/>
        <v>0</v>
      </c>
      <c r="AD202" s="1">
        <f t="shared" si="63"/>
        <v>0</v>
      </c>
      <c r="AE202" s="1">
        <f t="shared" si="64"/>
        <v>1</v>
      </c>
      <c r="AF202" s="1">
        <f t="shared" si="65"/>
        <v>0</v>
      </c>
      <c r="AG202" s="1">
        <f t="shared" si="66"/>
        <v>1</v>
      </c>
      <c r="AH202" s="1">
        <f t="shared" si="67"/>
        <v>0</v>
      </c>
      <c r="AI202" s="1">
        <f t="shared" si="68"/>
        <v>1</v>
      </c>
    </row>
    <row r="203" spans="1:35" s="1" customFormat="1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1706</v>
      </c>
      <c r="O203" s="35">
        <v>1</v>
      </c>
      <c r="P203" s="35"/>
      <c r="Q203" s="32"/>
      <c r="S203" s="1">
        <f t="shared" si="53"/>
        <v>0</v>
      </c>
      <c r="T203" s="1">
        <f t="shared" si="54"/>
        <v>0</v>
      </c>
      <c r="U203" s="1">
        <f t="shared" si="55"/>
        <v>0</v>
      </c>
      <c r="V203" s="1">
        <f t="shared" si="56"/>
        <v>0</v>
      </c>
      <c r="W203" s="1">
        <f t="shared" si="57"/>
        <v>0</v>
      </c>
      <c r="X203" s="1">
        <f t="shared" si="58"/>
        <v>0</v>
      </c>
      <c r="Y203" s="1">
        <f t="shared" si="59"/>
        <v>0</v>
      </c>
      <c r="Z203" s="1">
        <f t="shared" si="60"/>
        <v>0</v>
      </c>
      <c r="AA203" s="1">
        <f t="shared" si="61"/>
        <v>0</v>
      </c>
      <c r="AB203" s="1">
        <f t="shared" si="62"/>
        <v>1</v>
      </c>
      <c r="AD203" s="1">
        <f t="shared" si="63"/>
        <v>0</v>
      </c>
      <c r="AE203" s="1">
        <f t="shared" si="64"/>
        <v>1</v>
      </c>
      <c r="AF203" s="1">
        <f t="shared" si="65"/>
        <v>0</v>
      </c>
      <c r="AG203" s="1">
        <f t="shared" si="66"/>
        <v>0</v>
      </c>
      <c r="AH203" s="1">
        <f t="shared" si="67"/>
        <v>0</v>
      </c>
      <c r="AI203" s="1">
        <f t="shared" si="68"/>
        <v>0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1706</v>
      </c>
      <c r="O204" s="35">
        <v>1</v>
      </c>
      <c r="P204" s="35"/>
      <c r="Q204" s="32"/>
      <c r="S204" s="1">
        <f t="shared" si="53"/>
        <v>1</v>
      </c>
      <c r="T204" s="1">
        <f t="shared" si="54"/>
        <v>0</v>
      </c>
      <c r="U204" s="1">
        <f t="shared" si="55"/>
        <v>0</v>
      </c>
      <c r="V204" s="1">
        <f t="shared" si="56"/>
        <v>0</v>
      </c>
      <c r="W204" s="1">
        <f t="shared" si="57"/>
        <v>0</v>
      </c>
      <c r="X204" s="1">
        <f t="shared" si="58"/>
        <v>0</v>
      </c>
      <c r="Y204" s="1">
        <f t="shared" si="59"/>
        <v>0</v>
      </c>
      <c r="Z204" s="1">
        <f t="shared" si="60"/>
        <v>0</v>
      </c>
      <c r="AA204" s="1">
        <f t="shared" si="61"/>
        <v>0</v>
      </c>
      <c r="AB204" s="1">
        <f t="shared" si="62"/>
        <v>0</v>
      </c>
      <c r="AD204" s="1">
        <f t="shared" si="63"/>
        <v>0</v>
      </c>
      <c r="AE204" s="1">
        <f t="shared" si="64"/>
        <v>1</v>
      </c>
      <c r="AF204" s="1">
        <f t="shared" si="65"/>
        <v>0</v>
      </c>
      <c r="AG204" s="1">
        <f t="shared" si="66"/>
        <v>1</v>
      </c>
      <c r="AH204" s="1">
        <f t="shared" si="67"/>
        <v>0</v>
      </c>
      <c r="AI204" s="1">
        <f t="shared" si="68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2067</v>
      </c>
      <c r="E205" s="32" t="s">
        <v>165</v>
      </c>
      <c r="F205" s="32" t="s">
        <v>2068</v>
      </c>
      <c r="G205" s="32" t="s">
        <v>193</v>
      </c>
      <c r="H205" s="32" t="s">
        <v>352</v>
      </c>
      <c r="I205" s="31" t="s">
        <v>2069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2070</v>
      </c>
      <c r="S205" s="1">
        <f t="shared" si="53"/>
        <v>0</v>
      </c>
      <c r="T205" s="1">
        <f t="shared" si="54"/>
        <v>0</v>
      </c>
      <c r="U205" s="1">
        <f t="shared" si="55"/>
        <v>0</v>
      </c>
      <c r="V205" s="1">
        <f t="shared" si="56"/>
        <v>0</v>
      </c>
      <c r="W205" s="1">
        <f t="shared" si="57"/>
        <v>0</v>
      </c>
      <c r="X205" s="1">
        <f t="shared" si="58"/>
        <v>0</v>
      </c>
      <c r="Y205" s="1">
        <f t="shared" si="59"/>
        <v>0</v>
      </c>
      <c r="Z205" s="1">
        <f t="shared" si="60"/>
        <v>0</v>
      </c>
      <c r="AA205" s="1">
        <f t="shared" si="61"/>
        <v>1</v>
      </c>
      <c r="AB205" s="1">
        <f t="shared" si="62"/>
        <v>0</v>
      </c>
      <c r="AD205" s="1">
        <f t="shared" si="63"/>
        <v>1</v>
      </c>
      <c r="AE205" s="1">
        <f t="shared" si="64"/>
        <v>0</v>
      </c>
      <c r="AF205" s="1">
        <f t="shared" si="65"/>
        <v>1</v>
      </c>
      <c r="AG205" s="1">
        <f t="shared" si="66"/>
        <v>0</v>
      </c>
      <c r="AH205" s="1">
        <f t="shared" si="67"/>
        <v>1</v>
      </c>
      <c r="AI205" s="1">
        <f t="shared" si="68"/>
        <v>0</v>
      </c>
    </row>
    <row r="206" spans="1:35" s="1" customFormat="1" ht="14.25" customHeight="1" x14ac:dyDescent="0.25">
      <c r="A206" s="15">
        <v>0</v>
      </c>
      <c r="B206" s="15">
        <v>1</v>
      </c>
      <c r="C206" s="15">
        <v>5</v>
      </c>
      <c r="D206" s="20" t="s">
        <v>1908</v>
      </c>
      <c r="E206" s="20" t="s">
        <v>876</v>
      </c>
      <c r="F206" s="20" t="s">
        <v>1925</v>
      </c>
      <c r="G206" s="20"/>
      <c r="H206" s="20" t="s">
        <v>1926</v>
      </c>
      <c r="I206" s="21" t="s">
        <v>1924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1927</v>
      </c>
      <c r="S206" s="1">
        <f t="shared" si="53"/>
        <v>0</v>
      </c>
      <c r="T206" s="1">
        <f t="shared" si="54"/>
        <v>0</v>
      </c>
      <c r="U206" s="1">
        <f t="shared" si="55"/>
        <v>0</v>
      </c>
      <c r="V206" s="1">
        <f t="shared" si="56"/>
        <v>0</v>
      </c>
      <c r="W206" s="1">
        <f t="shared" si="57"/>
        <v>0</v>
      </c>
      <c r="X206" s="1">
        <f t="shared" si="58"/>
        <v>0</v>
      </c>
      <c r="Y206" s="1">
        <f t="shared" si="59"/>
        <v>0</v>
      </c>
      <c r="Z206" s="1">
        <f t="shared" si="60"/>
        <v>0</v>
      </c>
      <c r="AA206" s="1">
        <f t="shared" si="61"/>
        <v>0</v>
      </c>
      <c r="AB206" s="1">
        <f t="shared" si="62"/>
        <v>0</v>
      </c>
      <c r="AD206" s="1">
        <f t="shared" si="63"/>
        <v>0</v>
      </c>
      <c r="AE206" s="1">
        <f t="shared" si="64"/>
        <v>0</v>
      </c>
      <c r="AF206" s="1">
        <f t="shared" si="65"/>
        <v>0</v>
      </c>
      <c r="AG206" s="1">
        <f t="shared" si="66"/>
        <v>0</v>
      </c>
      <c r="AH206" s="1">
        <f t="shared" si="67"/>
        <v>0</v>
      </c>
      <c r="AI206" s="1">
        <f t="shared" si="68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1854</v>
      </c>
      <c r="S207" s="1">
        <f t="shared" si="53"/>
        <v>0</v>
      </c>
      <c r="T207" s="1">
        <f t="shared" si="54"/>
        <v>0</v>
      </c>
      <c r="U207" s="1">
        <f t="shared" si="55"/>
        <v>0</v>
      </c>
      <c r="V207" s="1">
        <f t="shared" si="56"/>
        <v>0</v>
      </c>
      <c r="W207" s="1">
        <f t="shared" si="57"/>
        <v>0</v>
      </c>
      <c r="X207" s="1">
        <f t="shared" si="58"/>
        <v>0</v>
      </c>
      <c r="Y207" s="1">
        <f t="shared" si="59"/>
        <v>0</v>
      </c>
      <c r="Z207" s="1">
        <f t="shared" si="60"/>
        <v>0</v>
      </c>
      <c r="AA207" s="1">
        <f t="shared" si="61"/>
        <v>0</v>
      </c>
      <c r="AB207" s="1">
        <f t="shared" si="62"/>
        <v>0</v>
      </c>
      <c r="AD207" s="1">
        <f t="shared" si="63"/>
        <v>1</v>
      </c>
      <c r="AE207" s="1">
        <f t="shared" si="64"/>
        <v>0</v>
      </c>
      <c r="AF207" s="1">
        <f t="shared" si="65"/>
        <v>1</v>
      </c>
      <c r="AG207" s="1">
        <f t="shared" si="66"/>
        <v>0</v>
      </c>
      <c r="AH207" s="1">
        <f t="shared" si="67"/>
        <v>1</v>
      </c>
      <c r="AI207" s="1">
        <f t="shared" si="68"/>
        <v>0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1706</v>
      </c>
      <c r="O208" s="35">
        <v>1</v>
      </c>
      <c r="P208" s="35"/>
      <c r="Q208" s="32"/>
      <c r="S208" s="1">
        <f t="shared" si="53"/>
        <v>0</v>
      </c>
      <c r="T208" s="1">
        <f t="shared" si="54"/>
        <v>0</v>
      </c>
      <c r="U208" s="1">
        <f t="shared" si="55"/>
        <v>0</v>
      </c>
      <c r="V208" s="1">
        <f t="shared" si="56"/>
        <v>0</v>
      </c>
      <c r="W208" s="1">
        <f t="shared" si="57"/>
        <v>0</v>
      </c>
      <c r="X208" s="1">
        <f t="shared" si="58"/>
        <v>0</v>
      </c>
      <c r="Y208" s="1">
        <f t="shared" si="59"/>
        <v>0</v>
      </c>
      <c r="Z208" s="1">
        <f t="shared" si="60"/>
        <v>0</v>
      </c>
      <c r="AA208" s="1">
        <f t="shared" si="61"/>
        <v>0</v>
      </c>
      <c r="AB208" s="1">
        <f t="shared" si="62"/>
        <v>0</v>
      </c>
      <c r="AD208" s="1">
        <f t="shared" si="63"/>
        <v>0</v>
      </c>
      <c r="AE208" s="1">
        <f t="shared" si="64"/>
        <v>1</v>
      </c>
      <c r="AF208" s="1">
        <f t="shared" si="65"/>
        <v>0</v>
      </c>
      <c r="AG208" s="1">
        <f t="shared" si="66"/>
        <v>1</v>
      </c>
      <c r="AH208" s="1">
        <f t="shared" si="67"/>
        <v>0</v>
      </c>
      <c r="AI208" s="1">
        <f t="shared" si="68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1786</v>
      </c>
      <c r="O209" s="35">
        <v>1</v>
      </c>
      <c r="P209" s="35"/>
      <c r="Q209" s="32"/>
      <c r="S209" s="1">
        <f t="shared" si="53"/>
        <v>0</v>
      </c>
      <c r="T209" s="1">
        <f t="shared" si="54"/>
        <v>0</v>
      </c>
      <c r="U209" s="1">
        <f t="shared" si="55"/>
        <v>0</v>
      </c>
      <c r="V209" s="1">
        <f t="shared" si="56"/>
        <v>0</v>
      </c>
      <c r="W209" s="1">
        <f t="shared" si="57"/>
        <v>0</v>
      </c>
      <c r="X209" s="1">
        <f t="shared" si="58"/>
        <v>0</v>
      </c>
      <c r="Y209" s="1">
        <f t="shared" si="59"/>
        <v>0</v>
      </c>
      <c r="Z209" s="1">
        <f t="shared" si="60"/>
        <v>0</v>
      </c>
      <c r="AA209" s="1">
        <f t="shared" si="61"/>
        <v>0</v>
      </c>
      <c r="AB209" s="1">
        <f t="shared" si="62"/>
        <v>0</v>
      </c>
      <c r="AD209" s="1">
        <f t="shared" si="63"/>
        <v>0</v>
      </c>
      <c r="AE209" s="1">
        <f t="shared" si="64"/>
        <v>1</v>
      </c>
      <c r="AF209" s="1">
        <f t="shared" si="65"/>
        <v>0</v>
      </c>
      <c r="AG209" s="1">
        <f t="shared" si="66"/>
        <v>1</v>
      </c>
      <c r="AH209" s="1">
        <f t="shared" si="67"/>
        <v>0</v>
      </c>
      <c r="AI209" s="1">
        <f t="shared" si="68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1831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1710</v>
      </c>
      <c r="O210" s="35">
        <v>1</v>
      </c>
      <c r="P210" s="35"/>
      <c r="Q210" s="32"/>
      <c r="S210" s="1">
        <f t="shared" ref="S210:S273" si="69">IF(J210=$S$7,1,0)</f>
        <v>0</v>
      </c>
      <c r="T210" s="1">
        <f t="shared" ref="T210:T273" si="70">IF(J210=$T$7,1,0)</f>
        <v>0</v>
      </c>
      <c r="U210" s="1">
        <f t="shared" ref="U210:U273" si="71">IF(J210=$U$7,1,0)</f>
        <v>0</v>
      </c>
      <c r="V210" s="1">
        <f t="shared" ref="V210:V273" si="72">IF(J210=$V$7,1,0)</f>
        <v>0</v>
      </c>
      <c r="W210" s="1">
        <f t="shared" ref="W210:W273" si="73">IF(J210=$W$7,1,0)</f>
        <v>0</v>
      </c>
      <c r="X210" s="1">
        <f t="shared" ref="X210:X273" si="74">IF(J210=$X$7,1,0)</f>
        <v>0</v>
      </c>
      <c r="Y210" s="1">
        <f t="shared" ref="Y210:Y273" si="75">IF(J210=$Y$7,1,0)</f>
        <v>0</v>
      </c>
      <c r="Z210" s="1">
        <f t="shared" ref="Z210:Z273" si="76">IF(J210=$Z$7,1,0)</f>
        <v>0</v>
      </c>
      <c r="AA210" s="1">
        <f t="shared" ref="AA210:AA273" si="77">IF(J210=$AA$7,1,0)</f>
        <v>0</v>
      </c>
      <c r="AB210" s="1">
        <f t="shared" ref="AB210:AB273" si="78">IF(J210=$AB$7,1,0)</f>
        <v>0</v>
      </c>
      <c r="AD210" s="1">
        <f t="shared" ref="AD210:AD273" si="79">+O210*P210</f>
        <v>0</v>
      </c>
      <c r="AE210" s="1">
        <f t="shared" ref="AE210:AE273" si="80">O210*(1-P210)</f>
        <v>1</v>
      </c>
      <c r="AF210" s="1">
        <f t="shared" si="65"/>
        <v>0</v>
      </c>
      <c r="AG210" s="1">
        <f t="shared" si="66"/>
        <v>1</v>
      </c>
      <c r="AH210" s="1">
        <f t="shared" si="67"/>
        <v>0</v>
      </c>
      <c r="AI210" s="1">
        <f t="shared" si="68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1711</v>
      </c>
      <c r="O211" s="35">
        <v>1</v>
      </c>
      <c r="P211" s="35"/>
      <c r="Q211" s="32"/>
      <c r="S211" s="1">
        <f t="shared" si="69"/>
        <v>0</v>
      </c>
      <c r="T211" s="1">
        <f t="shared" si="70"/>
        <v>0</v>
      </c>
      <c r="U211" s="1">
        <f t="shared" si="71"/>
        <v>0</v>
      </c>
      <c r="V211" s="1">
        <f t="shared" si="72"/>
        <v>0</v>
      </c>
      <c r="W211" s="1">
        <f t="shared" si="73"/>
        <v>0</v>
      </c>
      <c r="X211" s="1">
        <f t="shared" si="74"/>
        <v>0</v>
      </c>
      <c r="Y211" s="1">
        <f t="shared" si="75"/>
        <v>0</v>
      </c>
      <c r="Z211" s="1">
        <f t="shared" si="76"/>
        <v>0</v>
      </c>
      <c r="AA211" s="1">
        <f t="shared" si="77"/>
        <v>0</v>
      </c>
      <c r="AB211" s="1">
        <f t="shared" si="78"/>
        <v>0</v>
      </c>
      <c r="AD211" s="1">
        <f t="shared" si="79"/>
        <v>0</v>
      </c>
      <c r="AE211" s="1">
        <f t="shared" si="80"/>
        <v>1</v>
      </c>
      <c r="AF211" s="1">
        <f t="shared" ref="AF211:AF274" si="81">+O211*P211*(1-A211)</f>
        <v>0</v>
      </c>
      <c r="AG211" s="1">
        <f t="shared" ref="AG211:AG274" si="82">O211*(1-P211)*(1-A211)</f>
        <v>1</v>
      </c>
      <c r="AH211" s="1">
        <f t="shared" ref="AH211:AH274" si="83">+P211*(1-A211)</f>
        <v>0</v>
      </c>
      <c r="AI211" s="1">
        <f t="shared" ref="AI211:AI274" si="84">+(1-A211)*(1-P211)</f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69"/>
        <v>0</v>
      </c>
      <c r="T212" s="1">
        <f t="shared" si="70"/>
        <v>0</v>
      </c>
      <c r="U212" s="1">
        <f t="shared" si="71"/>
        <v>0</v>
      </c>
      <c r="V212" s="1">
        <f t="shared" si="72"/>
        <v>0</v>
      </c>
      <c r="W212" s="1">
        <f t="shared" si="73"/>
        <v>0</v>
      </c>
      <c r="X212" s="1">
        <f t="shared" si="74"/>
        <v>0</v>
      </c>
      <c r="Y212" s="1">
        <f t="shared" si="75"/>
        <v>0</v>
      </c>
      <c r="Z212" s="1">
        <f t="shared" si="76"/>
        <v>0</v>
      </c>
      <c r="AA212" s="1">
        <f t="shared" si="77"/>
        <v>0</v>
      </c>
      <c r="AB212" s="1">
        <f t="shared" si="78"/>
        <v>0</v>
      </c>
      <c r="AD212" s="1">
        <f t="shared" si="79"/>
        <v>1</v>
      </c>
      <c r="AE212" s="1">
        <f t="shared" si="80"/>
        <v>0</v>
      </c>
      <c r="AF212" s="1">
        <f t="shared" si="81"/>
        <v>1</v>
      </c>
      <c r="AG212" s="1">
        <f t="shared" si="82"/>
        <v>0</v>
      </c>
      <c r="AH212" s="1">
        <f t="shared" si="83"/>
        <v>1</v>
      </c>
      <c r="AI212" s="1">
        <f t="shared" si="84"/>
        <v>0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1717</v>
      </c>
      <c r="O213" s="35">
        <v>1</v>
      </c>
      <c r="P213" s="35"/>
      <c r="Q213" s="32"/>
      <c r="S213" s="1">
        <f t="shared" si="69"/>
        <v>0</v>
      </c>
      <c r="T213" s="1">
        <f t="shared" si="70"/>
        <v>0</v>
      </c>
      <c r="U213" s="1">
        <f t="shared" si="71"/>
        <v>0</v>
      </c>
      <c r="V213" s="1">
        <f t="shared" si="72"/>
        <v>0</v>
      </c>
      <c r="W213" s="1">
        <f t="shared" si="73"/>
        <v>0</v>
      </c>
      <c r="X213" s="1">
        <f t="shared" si="74"/>
        <v>0</v>
      </c>
      <c r="Y213" s="1">
        <f t="shared" si="75"/>
        <v>0</v>
      </c>
      <c r="Z213" s="1">
        <f t="shared" si="76"/>
        <v>0</v>
      </c>
      <c r="AA213" s="1">
        <f t="shared" si="77"/>
        <v>0</v>
      </c>
      <c r="AB213" s="1">
        <f t="shared" si="78"/>
        <v>0</v>
      </c>
      <c r="AD213" s="1">
        <f t="shared" si="79"/>
        <v>0</v>
      </c>
      <c r="AE213" s="1">
        <f t="shared" si="80"/>
        <v>1</v>
      </c>
      <c r="AF213" s="1">
        <f t="shared" si="81"/>
        <v>0</v>
      </c>
      <c r="AG213" s="1">
        <f t="shared" si="82"/>
        <v>1</v>
      </c>
      <c r="AH213" s="1">
        <f t="shared" si="83"/>
        <v>0</v>
      </c>
      <c r="AI213" s="1">
        <f t="shared" si="84"/>
        <v>1</v>
      </c>
    </row>
    <row r="214" spans="1:35" s="1" customFormat="1" ht="14.25" customHeight="1" x14ac:dyDescent="0.25">
      <c r="A214" s="15">
        <v>0</v>
      </c>
      <c r="B214" s="15">
        <v>1</v>
      </c>
      <c r="C214" s="15">
        <v>5</v>
      </c>
      <c r="D214" s="16" t="s">
        <v>1901</v>
      </c>
      <c r="E214" s="16" t="s">
        <v>876</v>
      </c>
      <c r="F214" s="16" t="s">
        <v>1903</v>
      </c>
      <c r="G214" s="16"/>
      <c r="H214" s="16" t="s">
        <v>1902</v>
      </c>
      <c r="I214" s="15" t="s">
        <v>1904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1905</v>
      </c>
      <c r="S214" s="1">
        <f t="shared" si="69"/>
        <v>0</v>
      </c>
      <c r="T214" s="1">
        <f t="shared" si="70"/>
        <v>0</v>
      </c>
      <c r="U214" s="1">
        <f t="shared" si="71"/>
        <v>0</v>
      </c>
      <c r="V214" s="1">
        <f t="shared" si="72"/>
        <v>0</v>
      </c>
      <c r="W214" s="1">
        <f t="shared" si="73"/>
        <v>0</v>
      </c>
      <c r="X214" s="1">
        <f t="shared" si="74"/>
        <v>0</v>
      </c>
      <c r="Y214" s="1">
        <f t="shared" si="75"/>
        <v>0</v>
      </c>
      <c r="Z214" s="1">
        <f t="shared" si="76"/>
        <v>0</v>
      </c>
      <c r="AA214" s="1">
        <f t="shared" si="77"/>
        <v>0</v>
      </c>
      <c r="AB214" s="1">
        <f t="shared" si="78"/>
        <v>0</v>
      </c>
      <c r="AD214" s="1">
        <f t="shared" si="79"/>
        <v>0</v>
      </c>
      <c r="AE214" s="1">
        <f t="shared" si="80"/>
        <v>0</v>
      </c>
      <c r="AF214" s="1">
        <f t="shared" si="81"/>
        <v>0</v>
      </c>
      <c r="AG214" s="1">
        <f t="shared" si="82"/>
        <v>0</v>
      </c>
      <c r="AH214" s="1">
        <f t="shared" si="83"/>
        <v>0</v>
      </c>
      <c r="AI214" s="1">
        <f t="shared" si="84"/>
        <v>1</v>
      </c>
    </row>
    <row r="215" spans="1:35" s="1" customFormat="1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69"/>
        <v>0</v>
      </c>
      <c r="T215" s="1">
        <f t="shared" si="70"/>
        <v>0</v>
      </c>
      <c r="U215" s="1">
        <f t="shared" si="71"/>
        <v>0</v>
      </c>
      <c r="V215" s="1">
        <f t="shared" si="72"/>
        <v>0</v>
      </c>
      <c r="W215" s="1">
        <f t="shared" si="73"/>
        <v>0</v>
      </c>
      <c r="X215" s="1">
        <f t="shared" si="74"/>
        <v>0</v>
      </c>
      <c r="Y215" s="1">
        <f t="shared" si="75"/>
        <v>0</v>
      </c>
      <c r="Z215" s="1">
        <f t="shared" si="76"/>
        <v>0</v>
      </c>
      <c r="AA215" s="1">
        <f t="shared" si="77"/>
        <v>0</v>
      </c>
      <c r="AB215" s="1">
        <f t="shared" si="78"/>
        <v>0</v>
      </c>
      <c r="AD215" s="1">
        <f t="shared" si="79"/>
        <v>0</v>
      </c>
      <c r="AE215" s="1">
        <f t="shared" si="80"/>
        <v>0</v>
      </c>
      <c r="AF215" s="1">
        <f t="shared" si="81"/>
        <v>0</v>
      </c>
      <c r="AG215" s="1">
        <f t="shared" si="82"/>
        <v>0</v>
      </c>
      <c r="AH215" s="1">
        <f t="shared" si="83"/>
        <v>0</v>
      </c>
      <c r="AI215" s="1">
        <f t="shared" si="84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1706</v>
      </c>
      <c r="O216" s="35">
        <v>1</v>
      </c>
      <c r="P216" s="35"/>
      <c r="Q216" s="32"/>
      <c r="S216" s="1">
        <f t="shared" si="69"/>
        <v>0</v>
      </c>
      <c r="T216" s="1">
        <f t="shared" si="70"/>
        <v>0</v>
      </c>
      <c r="U216" s="1">
        <f t="shared" si="71"/>
        <v>0</v>
      </c>
      <c r="V216" s="1">
        <f t="shared" si="72"/>
        <v>0</v>
      </c>
      <c r="W216" s="1">
        <f t="shared" si="73"/>
        <v>0</v>
      </c>
      <c r="X216" s="1">
        <f t="shared" si="74"/>
        <v>0</v>
      </c>
      <c r="Y216" s="1">
        <f t="shared" si="75"/>
        <v>0</v>
      </c>
      <c r="Z216" s="1">
        <f t="shared" si="76"/>
        <v>0</v>
      </c>
      <c r="AA216" s="1">
        <f t="shared" si="77"/>
        <v>0</v>
      </c>
      <c r="AB216" s="1">
        <f t="shared" si="78"/>
        <v>0</v>
      </c>
      <c r="AD216" s="1">
        <f t="shared" si="79"/>
        <v>0</v>
      </c>
      <c r="AE216" s="1">
        <f t="shared" si="80"/>
        <v>1</v>
      </c>
      <c r="AF216" s="1">
        <f t="shared" si="81"/>
        <v>0</v>
      </c>
      <c r="AG216" s="1">
        <f t="shared" si="82"/>
        <v>1</v>
      </c>
      <c r="AH216" s="1">
        <f t="shared" si="83"/>
        <v>0</v>
      </c>
      <c r="AI216" s="1">
        <f t="shared" si="84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1875</v>
      </c>
      <c r="S217" s="1">
        <f t="shared" si="69"/>
        <v>0</v>
      </c>
      <c r="T217" s="1">
        <f t="shared" si="70"/>
        <v>0</v>
      </c>
      <c r="U217" s="1">
        <f t="shared" si="71"/>
        <v>0</v>
      </c>
      <c r="V217" s="1">
        <f t="shared" si="72"/>
        <v>0</v>
      </c>
      <c r="W217" s="1">
        <f t="shared" si="73"/>
        <v>0</v>
      </c>
      <c r="X217" s="1">
        <f t="shared" si="74"/>
        <v>0</v>
      </c>
      <c r="Y217" s="1">
        <f t="shared" si="75"/>
        <v>0</v>
      </c>
      <c r="Z217" s="1">
        <f t="shared" si="76"/>
        <v>0</v>
      </c>
      <c r="AA217" s="1">
        <f t="shared" si="77"/>
        <v>0</v>
      </c>
      <c r="AB217" s="1">
        <f t="shared" si="78"/>
        <v>0</v>
      </c>
      <c r="AD217" s="1">
        <f t="shared" si="79"/>
        <v>1</v>
      </c>
      <c r="AE217" s="1">
        <f t="shared" si="80"/>
        <v>0</v>
      </c>
      <c r="AF217" s="1">
        <f t="shared" si="81"/>
        <v>1</v>
      </c>
      <c r="AG217" s="1">
        <f t="shared" si="82"/>
        <v>0</v>
      </c>
      <c r="AH217" s="1">
        <f t="shared" si="83"/>
        <v>1</v>
      </c>
      <c r="AI217" s="1">
        <f t="shared" si="84"/>
        <v>0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69"/>
        <v>0</v>
      </c>
      <c r="T218" s="1">
        <f t="shared" si="70"/>
        <v>0</v>
      </c>
      <c r="U218" s="1">
        <f t="shared" si="71"/>
        <v>0</v>
      </c>
      <c r="V218" s="1">
        <f t="shared" si="72"/>
        <v>0</v>
      </c>
      <c r="W218" s="1">
        <f t="shared" si="73"/>
        <v>0</v>
      </c>
      <c r="X218" s="1">
        <f t="shared" si="74"/>
        <v>0</v>
      </c>
      <c r="Y218" s="1">
        <f t="shared" si="75"/>
        <v>0</v>
      </c>
      <c r="Z218" s="1">
        <f t="shared" si="76"/>
        <v>0</v>
      </c>
      <c r="AA218" s="1">
        <f t="shared" si="77"/>
        <v>0</v>
      </c>
      <c r="AB218" s="1">
        <f t="shared" si="78"/>
        <v>1</v>
      </c>
      <c r="AD218" s="1">
        <f t="shared" si="79"/>
        <v>1</v>
      </c>
      <c r="AE218" s="1">
        <f t="shared" si="80"/>
        <v>0</v>
      </c>
      <c r="AF218" s="1">
        <f t="shared" si="81"/>
        <v>1</v>
      </c>
      <c r="AG218" s="1">
        <f t="shared" si="82"/>
        <v>0</v>
      </c>
      <c r="AH218" s="1">
        <f t="shared" si="83"/>
        <v>1</v>
      </c>
      <c r="AI218" s="1">
        <f t="shared" si="84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69"/>
        <v>0</v>
      </c>
      <c r="T219" s="1">
        <f t="shared" si="70"/>
        <v>0</v>
      </c>
      <c r="U219" s="1">
        <f t="shared" si="71"/>
        <v>0</v>
      </c>
      <c r="V219" s="1">
        <f t="shared" si="72"/>
        <v>0</v>
      </c>
      <c r="W219" s="1">
        <f t="shared" si="73"/>
        <v>0</v>
      </c>
      <c r="X219" s="1">
        <f t="shared" si="74"/>
        <v>0</v>
      </c>
      <c r="Y219" s="1">
        <f t="shared" si="75"/>
        <v>0</v>
      </c>
      <c r="Z219" s="1">
        <f t="shared" si="76"/>
        <v>0</v>
      </c>
      <c r="AA219" s="1">
        <f t="shared" si="77"/>
        <v>0</v>
      </c>
      <c r="AB219" s="1">
        <f t="shared" si="78"/>
        <v>1</v>
      </c>
      <c r="AD219" s="1">
        <f t="shared" si="79"/>
        <v>1</v>
      </c>
      <c r="AE219" s="1">
        <f t="shared" si="80"/>
        <v>0</v>
      </c>
      <c r="AF219" s="1">
        <f t="shared" si="81"/>
        <v>1</v>
      </c>
      <c r="AG219" s="1">
        <f t="shared" si="82"/>
        <v>0</v>
      </c>
      <c r="AH219" s="1">
        <f t="shared" si="83"/>
        <v>1</v>
      </c>
      <c r="AI219" s="1">
        <f t="shared" si="84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1719</v>
      </c>
      <c r="E220" s="32" t="s">
        <v>165</v>
      </c>
      <c r="F220" s="32" t="s">
        <v>1720</v>
      </c>
      <c r="G220" s="32" t="s">
        <v>1721</v>
      </c>
      <c r="H220" s="32" t="s">
        <v>352</v>
      </c>
      <c r="I220" s="31" t="s">
        <v>1722</v>
      </c>
      <c r="J220" s="31">
        <v>1</v>
      </c>
      <c r="K220" s="33" t="s">
        <v>694</v>
      </c>
      <c r="L220" s="33"/>
      <c r="M220" s="34"/>
      <c r="N220" s="34" t="s">
        <v>1710</v>
      </c>
      <c r="O220" s="35">
        <v>1</v>
      </c>
      <c r="P220" s="35"/>
      <c r="Q220" s="32"/>
      <c r="S220" s="1">
        <f t="shared" si="69"/>
        <v>1</v>
      </c>
      <c r="T220" s="1">
        <f t="shared" si="70"/>
        <v>0</v>
      </c>
      <c r="U220" s="1">
        <f t="shared" si="71"/>
        <v>0</v>
      </c>
      <c r="V220" s="1">
        <f t="shared" si="72"/>
        <v>0</v>
      </c>
      <c r="W220" s="1">
        <f t="shared" si="73"/>
        <v>0</v>
      </c>
      <c r="X220" s="1">
        <f t="shared" si="74"/>
        <v>0</v>
      </c>
      <c r="Y220" s="1">
        <f t="shared" si="75"/>
        <v>0</v>
      </c>
      <c r="Z220" s="1">
        <f t="shared" si="76"/>
        <v>0</v>
      </c>
      <c r="AA220" s="1">
        <f t="shared" si="77"/>
        <v>0</v>
      </c>
      <c r="AB220" s="1">
        <f t="shared" si="78"/>
        <v>0</v>
      </c>
      <c r="AD220" s="1">
        <f t="shared" si="79"/>
        <v>0</v>
      </c>
      <c r="AE220" s="1">
        <f t="shared" si="80"/>
        <v>1</v>
      </c>
      <c r="AF220" s="1">
        <f t="shared" si="81"/>
        <v>0</v>
      </c>
      <c r="AG220" s="1">
        <f t="shared" si="82"/>
        <v>1</v>
      </c>
      <c r="AH220" s="1">
        <f t="shared" si="83"/>
        <v>0</v>
      </c>
      <c r="AI220" s="1">
        <f t="shared" si="84"/>
        <v>1</v>
      </c>
    </row>
    <row r="221" spans="1:35" s="1" customFormat="1" ht="14.25" customHeight="1" x14ac:dyDescent="0.25">
      <c r="A221" s="44">
        <v>0</v>
      </c>
      <c r="B221" s="44">
        <v>1</v>
      </c>
      <c r="C221" s="44">
        <v>5</v>
      </c>
      <c r="D221" s="45" t="s">
        <v>1007</v>
      </c>
      <c r="E221" s="45" t="s">
        <v>1068</v>
      </c>
      <c r="F221" s="45" t="s">
        <v>1008</v>
      </c>
      <c r="G221" s="45" t="s">
        <v>193</v>
      </c>
      <c r="H221" s="45" t="s">
        <v>352</v>
      </c>
      <c r="I221" s="44" t="s">
        <v>1009</v>
      </c>
      <c r="J221" s="44">
        <v>9</v>
      </c>
      <c r="K221" s="46" t="s">
        <v>713</v>
      </c>
      <c r="L221" s="46" t="s">
        <v>1670</v>
      </c>
      <c r="M221" s="47" t="s">
        <v>1571</v>
      </c>
      <c r="N221" s="47" t="s">
        <v>1701</v>
      </c>
      <c r="O221" s="48"/>
      <c r="P221" s="48"/>
      <c r="Q221" s="45"/>
      <c r="S221" s="1">
        <f t="shared" si="69"/>
        <v>0</v>
      </c>
      <c r="T221" s="1">
        <f t="shared" si="70"/>
        <v>0</v>
      </c>
      <c r="U221" s="1">
        <f t="shared" si="71"/>
        <v>0</v>
      </c>
      <c r="V221" s="1">
        <f t="shared" si="72"/>
        <v>0</v>
      </c>
      <c r="W221" s="1">
        <f t="shared" si="73"/>
        <v>0</v>
      </c>
      <c r="X221" s="1">
        <f t="shared" si="74"/>
        <v>0</v>
      </c>
      <c r="Y221" s="1">
        <f t="shared" si="75"/>
        <v>0</v>
      </c>
      <c r="Z221" s="1">
        <f t="shared" si="76"/>
        <v>0</v>
      </c>
      <c r="AA221" s="1">
        <f t="shared" si="77"/>
        <v>1</v>
      </c>
      <c r="AB221" s="1">
        <f t="shared" si="78"/>
        <v>0</v>
      </c>
      <c r="AD221" s="1">
        <f t="shared" si="79"/>
        <v>0</v>
      </c>
      <c r="AE221" s="1">
        <f t="shared" si="80"/>
        <v>0</v>
      </c>
      <c r="AF221" s="1">
        <f t="shared" si="81"/>
        <v>0</v>
      </c>
      <c r="AG221" s="1">
        <f t="shared" si="82"/>
        <v>0</v>
      </c>
      <c r="AH221" s="1">
        <f t="shared" si="83"/>
        <v>0</v>
      </c>
      <c r="AI221" s="1">
        <f t="shared" si="84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1762</v>
      </c>
      <c r="O222" s="35">
        <v>1</v>
      </c>
      <c r="P222" s="35"/>
      <c r="Q222" s="32"/>
      <c r="S222" s="1">
        <f t="shared" si="69"/>
        <v>1</v>
      </c>
      <c r="T222" s="1">
        <f t="shared" si="70"/>
        <v>0</v>
      </c>
      <c r="U222" s="1">
        <f t="shared" si="71"/>
        <v>0</v>
      </c>
      <c r="V222" s="1">
        <f t="shared" si="72"/>
        <v>0</v>
      </c>
      <c r="W222" s="1">
        <f t="shared" si="73"/>
        <v>0</v>
      </c>
      <c r="X222" s="1">
        <f t="shared" si="74"/>
        <v>0</v>
      </c>
      <c r="Y222" s="1">
        <f t="shared" si="75"/>
        <v>0</v>
      </c>
      <c r="Z222" s="1">
        <f t="shared" si="76"/>
        <v>0</v>
      </c>
      <c r="AA222" s="1">
        <f t="shared" si="77"/>
        <v>0</v>
      </c>
      <c r="AB222" s="1">
        <f t="shared" si="78"/>
        <v>0</v>
      </c>
      <c r="AD222" s="1">
        <f t="shared" si="79"/>
        <v>0</v>
      </c>
      <c r="AE222" s="1">
        <f t="shared" si="80"/>
        <v>1</v>
      </c>
      <c r="AF222" s="1">
        <f t="shared" si="81"/>
        <v>0</v>
      </c>
      <c r="AG222" s="1">
        <f t="shared" si="82"/>
        <v>1</v>
      </c>
      <c r="AH222" s="1">
        <f t="shared" si="83"/>
        <v>0</v>
      </c>
      <c r="AI222" s="1">
        <f t="shared" si="84"/>
        <v>1</v>
      </c>
    </row>
    <row r="223" spans="1:35" s="1" customFormat="1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1786</v>
      </c>
      <c r="O223" s="35">
        <v>1</v>
      </c>
      <c r="P223" s="35"/>
      <c r="Q223" s="32"/>
      <c r="S223" s="1">
        <f t="shared" si="69"/>
        <v>0</v>
      </c>
      <c r="T223" s="1">
        <f t="shared" si="70"/>
        <v>0</v>
      </c>
      <c r="U223" s="1">
        <f t="shared" si="71"/>
        <v>0</v>
      </c>
      <c r="V223" s="1">
        <f t="shared" si="72"/>
        <v>0</v>
      </c>
      <c r="W223" s="1">
        <f t="shared" si="73"/>
        <v>0</v>
      </c>
      <c r="X223" s="1">
        <f t="shared" si="74"/>
        <v>0</v>
      </c>
      <c r="Y223" s="1">
        <f t="shared" si="75"/>
        <v>0</v>
      </c>
      <c r="Z223" s="1">
        <f t="shared" si="76"/>
        <v>0</v>
      </c>
      <c r="AA223" s="1">
        <f t="shared" si="77"/>
        <v>0</v>
      </c>
      <c r="AB223" s="1">
        <f t="shared" si="78"/>
        <v>0</v>
      </c>
      <c r="AD223" s="1">
        <f t="shared" si="79"/>
        <v>0</v>
      </c>
      <c r="AE223" s="1">
        <f t="shared" si="80"/>
        <v>1</v>
      </c>
      <c r="AF223" s="1">
        <f t="shared" si="81"/>
        <v>0</v>
      </c>
      <c r="AG223" s="1">
        <f t="shared" si="82"/>
        <v>1</v>
      </c>
      <c r="AH223" s="1">
        <f t="shared" si="83"/>
        <v>0</v>
      </c>
      <c r="AI223" s="1">
        <f t="shared" si="84"/>
        <v>1</v>
      </c>
    </row>
    <row r="224" spans="1:35" s="1" customFormat="1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69"/>
        <v>0</v>
      </c>
      <c r="T224" s="1">
        <f t="shared" si="70"/>
        <v>0</v>
      </c>
      <c r="U224" s="1">
        <f t="shared" si="71"/>
        <v>0</v>
      </c>
      <c r="V224" s="1">
        <f t="shared" si="72"/>
        <v>0</v>
      </c>
      <c r="W224" s="1">
        <f t="shared" si="73"/>
        <v>0</v>
      </c>
      <c r="X224" s="1">
        <f t="shared" si="74"/>
        <v>0</v>
      </c>
      <c r="Y224" s="1">
        <f t="shared" si="75"/>
        <v>0</v>
      </c>
      <c r="Z224" s="1">
        <f t="shared" si="76"/>
        <v>0</v>
      </c>
      <c r="AA224" s="1">
        <f t="shared" si="77"/>
        <v>0</v>
      </c>
      <c r="AB224" s="1">
        <f t="shared" si="78"/>
        <v>0</v>
      </c>
      <c r="AD224" s="1">
        <f t="shared" si="79"/>
        <v>0</v>
      </c>
      <c r="AE224" s="1">
        <f t="shared" si="80"/>
        <v>0</v>
      </c>
      <c r="AF224" s="1">
        <f t="shared" si="81"/>
        <v>0</v>
      </c>
      <c r="AG224" s="1">
        <f t="shared" si="82"/>
        <v>0</v>
      </c>
      <c r="AH224" s="1">
        <f t="shared" si="83"/>
        <v>0</v>
      </c>
      <c r="AI224" s="1">
        <f t="shared" si="84"/>
        <v>1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1705</v>
      </c>
      <c r="M225" s="34" t="s">
        <v>951</v>
      </c>
      <c r="N225" s="34" t="s">
        <v>1710</v>
      </c>
      <c r="O225" s="35">
        <v>1</v>
      </c>
      <c r="P225" s="35"/>
      <c r="Q225" s="32"/>
      <c r="S225" s="1">
        <f t="shared" si="69"/>
        <v>0</v>
      </c>
      <c r="T225" s="1">
        <f t="shared" si="70"/>
        <v>0</v>
      </c>
      <c r="U225" s="1">
        <f t="shared" si="71"/>
        <v>0</v>
      </c>
      <c r="V225" s="1">
        <f t="shared" si="72"/>
        <v>0</v>
      </c>
      <c r="W225" s="1">
        <f t="shared" si="73"/>
        <v>0</v>
      </c>
      <c r="X225" s="1">
        <f t="shared" si="74"/>
        <v>0</v>
      </c>
      <c r="Y225" s="1">
        <f t="shared" si="75"/>
        <v>0</v>
      </c>
      <c r="Z225" s="1">
        <f t="shared" si="76"/>
        <v>0</v>
      </c>
      <c r="AA225" s="1">
        <f t="shared" si="77"/>
        <v>0</v>
      </c>
      <c r="AB225" s="1">
        <f t="shared" si="78"/>
        <v>0</v>
      </c>
      <c r="AD225" s="1">
        <f t="shared" si="79"/>
        <v>0</v>
      </c>
      <c r="AE225" s="1">
        <f t="shared" si="80"/>
        <v>1</v>
      </c>
      <c r="AF225" s="1">
        <f t="shared" si="81"/>
        <v>0</v>
      </c>
      <c r="AG225" s="1">
        <f t="shared" si="82"/>
        <v>1</v>
      </c>
      <c r="AH225" s="1">
        <f t="shared" si="83"/>
        <v>0</v>
      </c>
      <c r="AI225" s="1">
        <f t="shared" si="84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69"/>
        <v>0</v>
      </c>
      <c r="T226" s="1">
        <f t="shared" si="70"/>
        <v>0</v>
      </c>
      <c r="U226" s="1">
        <f t="shared" si="71"/>
        <v>0</v>
      </c>
      <c r="V226" s="1">
        <f t="shared" si="72"/>
        <v>0</v>
      </c>
      <c r="W226" s="1">
        <f t="shared" si="73"/>
        <v>0</v>
      </c>
      <c r="X226" s="1">
        <f t="shared" si="74"/>
        <v>0</v>
      </c>
      <c r="Y226" s="1">
        <f t="shared" si="75"/>
        <v>0</v>
      </c>
      <c r="Z226" s="1">
        <f t="shared" si="76"/>
        <v>0</v>
      </c>
      <c r="AA226" s="1">
        <f t="shared" si="77"/>
        <v>0</v>
      </c>
      <c r="AB226" s="1">
        <f t="shared" si="78"/>
        <v>0</v>
      </c>
      <c r="AD226" s="1">
        <f t="shared" si="79"/>
        <v>1</v>
      </c>
      <c r="AE226" s="1">
        <f t="shared" si="80"/>
        <v>0</v>
      </c>
      <c r="AF226" s="1">
        <f t="shared" si="81"/>
        <v>1</v>
      </c>
      <c r="AG226" s="1">
        <f t="shared" si="82"/>
        <v>0</v>
      </c>
      <c r="AH226" s="1">
        <f t="shared" si="83"/>
        <v>1</v>
      </c>
      <c r="AI226" s="1">
        <f t="shared" si="84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1711</v>
      </c>
      <c r="O227" s="35">
        <v>1</v>
      </c>
      <c r="P227" s="35"/>
      <c r="Q227" s="36"/>
      <c r="S227" s="1">
        <f t="shared" si="69"/>
        <v>0</v>
      </c>
      <c r="T227" s="1">
        <f t="shared" si="70"/>
        <v>0</v>
      </c>
      <c r="U227" s="1">
        <f t="shared" si="71"/>
        <v>0</v>
      </c>
      <c r="V227" s="1">
        <f t="shared" si="72"/>
        <v>0</v>
      </c>
      <c r="W227" s="1">
        <f t="shared" si="73"/>
        <v>0</v>
      </c>
      <c r="X227" s="1">
        <f t="shared" si="74"/>
        <v>0</v>
      </c>
      <c r="Y227" s="1">
        <f t="shared" si="75"/>
        <v>0</v>
      </c>
      <c r="Z227" s="1">
        <f t="shared" si="76"/>
        <v>0</v>
      </c>
      <c r="AA227" s="1">
        <f t="shared" si="77"/>
        <v>0</v>
      </c>
      <c r="AB227" s="1">
        <f t="shared" si="78"/>
        <v>0</v>
      </c>
      <c r="AD227" s="1">
        <f t="shared" si="79"/>
        <v>0</v>
      </c>
      <c r="AE227" s="1">
        <f t="shared" si="80"/>
        <v>1</v>
      </c>
      <c r="AF227" s="1">
        <f t="shared" si="81"/>
        <v>0</v>
      </c>
      <c r="AG227" s="1">
        <f t="shared" si="82"/>
        <v>1</v>
      </c>
      <c r="AH227" s="1">
        <f t="shared" si="83"/>
        <v>0</v>
      </c>
      <c r="AI227" s="1">
        <f t="shared" si="84"/>
        <v>1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1868</v>
      </c>
      <c r="S228" s="1">
        <f t="shared" si="69"/>
        <v>0</v>
      </c>
      <c r="T228" s="1">
        <f t="shared" si="70"/>
        <v>0</v>
      </c>
      <c r="U228" s="1">
        <f t="shared" si="71"/>
        <v>0</v>
      </c>
      <c r="V228" s="1">
        <f t="shared" si="72"/>
        <v>0</v>
      </c>
      <c r="W228" s="1">
        <f t="shared" si="73"/>
        <v>0</v>
      </c>
      <c r="X228" s="1">
        <f t="shared" si="74"/>
        <v>0</v>
      </c>
      <c r="Y228" s="1">
        <f t="shared" si="75"/>
        <v>0</v>
      </c>
      <c r="Z228" s="1">
        <f t="shared" si="76"/>
        <v>0</v>
      </c>
      <c r="AA228" s="1">
        <f t="shared" si="77"/>
        <v>0</v>
      </c>
      <c r="AB228" s="1">
        <f t="shared" si="78"/>
        <v>0</v>
      </c>
      <c r="AD228" s="1">
        <f t="shared" si="79"/>
        <v>1</v>
      </c>
      <c r="AE228" s="1">
        <f t="shared" si="80"/>
        <v>0</v>
      </c>
      <c r="AF228" s="1">
        <f t="shared" si="81"/>
        <v>1</v>
      </c>
      <c r="AG228" s="1">
        <f t="shared" si="82"/>
        <v>0</v>
      </c>
      <c r="AH228" s="1">
        <f t="shared" si="83"/>
        <v>1</v>
      </c>
      <c r="AI228" s="1">
        <f t="shared" si="84"/>
        <v>0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69"/>
        <v>1</v>
      </c>
      <c r="T229" s="1">
        <f t="shared" si="70"/>
        <v>0</v>
      </c>
      <c r="U229" s="1">
        <f t="shared" si="71"/>
        <v>0</v>
      </c>
      <c r="V229" s="1">
        <f t="shared" si="72"/>
        <v>0</v>
      </c>
      <c r="W229" s="1">
        <f t="shared" si="73"/>
        <v>0</v>
      </c>
      <c r="X229" s="1">
        <f t="shared" si="74"/>
        <v>0</v>
      </c>
      <c r="Y229" s="1">
        <f t="shared" si="75"/>
        <v>0</v>
      </c>
      <c r="Z229" s="1">
        <f t="shared" si="76"/>
        <v>0</v>
      </c>
      <c r="AA229" s="1">
        <f t="shared" si="77"/>
        <v>0</v>
      </c>
      <c r="AB229" s="1">
        <f t="shared" si="78"/>
        <v>0</v>
      </c>
      <c r="AD229" s="1">
        <f t="shared" si="79"/>
        <v>1</v>
      </c>
      <c r="AE229" s="1">
        <f t="shared" si="80"/>
        <v>0</v>
      </c>
      <c r="AF229" s="1">
        <f t="shared" si="81"/>
        <v>1</v>
      </c>
      <c r="AG229" s="1">
        <f t="shared" si="82"/>
        <v>0</v>
      </c>
      <c r="AH229" s="1">
        <f t="shared" si="83"/>
        <v>1</v>
      </c>
      <c r="AI229" s="1">
        <f t="shared" si="84"/>
        <v>0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1710</v>
      </c>
      <c r="O230" s="35">
        <v>1</v>
      </c>
      <c r="P230" s="35"/>
      <c r="Q230" s="32"/>
      <c r="S230" s="1">
        <f t="shared" si="69"/>
        <v>0</v>
      </c>
      <c r="T230" s="1">
        <f t="shared" si="70"/>
        <v>0</v>
      </c>
      <c r="U230" s="1">
        <f t="shared" si="71"/>
        <v>0</v>
      </c>
      <c r="V230" s="1">
        <f t="shared" si="72"/>
        <v>0</v>
      </c>
      <c r="W230" s="1">
        <f t="shared" si="73"/>
        <v>0</v>
      </c>
      <c r="X230" s="1">
        <f t="shared" si="74"/>
        <v>0</v>
      </c>
      <c r="Y230" s="1">
        <f t="shared" si="75"/>
        <v>1</v>
      </c>
      <c r="Z230" s="1">
        <f t="shared" si="76"/>
        <v>0</v>
      </c>
      <c r="AA230" s="1">
        <f t="shared" si="77"/>
        <v>0</v>
      </c>
      <c r="AB230" s="1">
        <f t="shared" si="78"/>
        <v>0</v>
      </c>
      <c r="AD230" s="1">
        <f t="shared" si="79"/>
        <v>0</v>
      </c>
      <c r="AE230" s="1">
        <f t="shared" si="80"/>
        <v>1</v>
      </c>
      <c r="AF230" s="1">
        <f t="shared" si="81"/>
        <v>0</v>
      </c>
      <c r="AG230" s="1">
        <f t="shared" si="82"/>
        <v>1</v>
      </c>
      <c r="AH230" s="1">
        <f t="shared" si="83"/>
        <v>0</v>
      </c>
      <c r="AI230" s="1">
        <f t="shared" si="84"/>
        <v>1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90</v>
      </c>
      <c r="E231" s="32" t="s">
        <v>164</v>
      </c>
      <c r="F231" s="36" t="s">
        <v>1832</v>
      </c>
      <c r="G231" s="32" t="s">
        <v>239</v>
      </c>
      <c r="H231" s="32" t="s">
        <v>352</v>
      </c>
      <c r="I231" s="31" t="s">
        <v>436</v>
      </c>
      <c r="J231" s="31">
        <v>1</v>
      </c>
      <c r="K231" s="33" t="s">
        <v>945</v>
      </c>
      <c r="L231" s="33" t="s">
        <v>39</v>
      </c>
      <c r="M231" s="34" t="s">
        <v>39</v>
      </c>
      <c r="N231" s="34" t="s">
        <v>1693</v>
      </c>
      <c r="O231" s="35">
        <v>1</v>
      </c>
      <c r="P231" s="35">
        <v>1</v>
      </c>
      <c r="Q231" s="32"/>
      <c r="S231" s="1">
        <f t="shared" si="69"/>
        <v>1</v>
      </c>
      <c r="T231" s="1">
        <f t="shared" si="70"/>
        <v>0</v>
      </c>
      <c r="U231" s="1">
        <f t="shared" si="71"/>
        <v>0</v>
      </c>
      <c r="V231" s="1">
        <f t="shared" si="72"/>
        <v>0</v>
      </c>
      <c r="W231" s="1">
        <f t="shared" si="73"/>
        <v>0</v>
      </c>
      <c r="X231" s="1">
        <f t="shared" si="74"/>
        <v>0</v>
      </c>
      <c r="Y231" s="1">
        <f t="shared" si="75"/>
        <v>0</v>
      </c>
      <c r="Z231" s="1">
        <f t="shared" si="76"/>
        <v>0</v>
      </c>
      <c r="AA231" s="1">
        <f t="shared" si="77"/>
        <v>0</v>
      </c>
      <c r="AB231" s="1">
        <f t="shared" si="78"/>
        <v>0</v>
      </c>
      <c r="AD231" s="1">
        <f t="shared" si="79"/>
        <v>1</v>
      </c>
      <c r="AE231" s="1">
        <f t="shared" si="80"/>
        <v>0</v>
      </c>
      <c r="AF231" s="1">
        <f t="shared" si="81"/>
        <v>1</v>
      </c>
      <c r="AG231" s="1">
        <f t="shared" si="82"/>
        <v>0</v>
      </c>
      <c r="AH231" s="1">
        <f t="shared" si="83"/>
        <v>1</v>
      </c>
      <c r="AI231" s="1">
        <f t="shared" si="84"/>
        <v>0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91</v>
      </c>
      <c r="E232" s="32" t="s">
        <v>166</v>
      </c>
      <c r="F232" s="32" t="s">
        <v>284</v>
      </c>
      <c r="G232" s="32" t="s">
        <v>199</v>
      </c>
      <c r="H232" s="32" t="s">
        <v>352</v>
      </c>
      <c r="I232" s="31" t="s">
        <v>437</v>
      </c>
      <c r="J232" s="31">
        <v>2</v>
      </c>
      <c r="K232" s="33" t="s">
        <v>943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69"/>
        <v>0</v>
      </c>
      <c r="T232" s="1">
        <f t="shared" si="70"/>
        <v>1</v>
      </c>
      <c r="U232" s="1">
        <f t="shared" si="71"/>
        <v>0</v>
      </c>
      <c r="V232" s="1">
        <f t="shared" si="72"/>
        <v>0</v>
      </c>
      <c r="W232" s="1">
        <f t="shared" si="73"/>
        <v>0</v>
      </c>
      <c r="X232" s="1">
        <f t="shared" si="74"/>
        <v>0</v>
      </c>
      <c r="Y232" s="1">
        <f t="shared" si="75"/>
        <v>0</v>
      </c>
      <c r="Z232" s="1">
        <f t="shared" si="76"/>
        <v>0</v>
      </c>
      <c r="AA232" s="1">
        <f t="shared" si="77"/>
        <v>0</v>
      </c>
      <c r="AB232" s="1">
        <f t="shared" si="78"/>
        <v>0</v>
      </c>
      <c r="AD232" s="1">
        <f t="shared" si="79"/>
        <v>1</v>
      </c>
      <c r="AE232" s="1">
        <f t="shared" si="80"/>
        <v>0</v>
      </c>
      <c r="AF232" s="1">
        <f t="shared" si="81"/>
        <v>1</v>
      </c>
      <c r="AG232" s="1">
        <f t="shared" si="82"/>
        <v>0</v>
      </c>
      <c r="AH232" s="1">
        <f t="shared" si="83"/>
        <v>1</v>
      </c>
      <c r="AI232" s="1">
        <f t="shared" si="84"/>
        <v>0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1250</v>
      </c>
      <c r="E233" s="32" t="s">
        <v>166</v>
      </c>
      <c r="F233" s="32" t="s">
        <v>1126</v>
      </c>
      <c r="G233" s="32" t="s">
        <v>1316</v>
      </c>
      <c r="H233" s="32" t="s">
        <v>352</v>
      </c>
      <c r="I233" s="31" t="s">
        <v>1127</v>
      </c>
      <c r="J233" s="31">
        <v>99</v>
      </c>
      <c r="K233" s="33" t="s">
        <v>693</v>
      </c>
      <c r="L233" s="33">
        <v>45</v>
      </c>
      <c r="M233" s="34" t="s">
        <v>39</v>
      </c>
      <c r="N233" s="34" t="s">
        <v>1706</v>
      </c>
      <c r="O233" s="35">
        <v>1</v>
      </c>
      <c r="P233" s="35"/>
      <c r="Q233" s="32"/>
      <c r="S233" s="1">
        <f t="shared" si="69"/>
        <v>0</v>
      </c>
      <c r="T233" s="1">
        <f t="shared" si="70"/>
        <v>0</v>
      </c>
      <c r="U233" s="1">
        <f t="shared" si="71"/>
        <v>0</v>
      </c>
      <c r="V233" s="1">
        <f t="shared" si="72"/>
        <v>0</v>
      </c>
      <c r="W233" s="1">
        <f t="shared" si="73"/>
        <v>0</v>
      </c>
      <c r="X233" s="1">
        <f t="shared" si="74"/>
        <v>0</v>
      </c>
      <c r="Y233" s="1">
        <f t="shared" si="75"/>
        <v>0</v>
      </c>
      <c r="Z233" s="1">
        <f t="shared" si="76"/>
        <v>0</v>
      </c>
      <c r="AA233" s="1">
        <f t="shared" si="77"/>
        <v>0</v>
      </c>
      <c r="AB233" s="1">
        <f t="shared" si="78"/>
        <v>0</v>
      </c>
      <c r="AD233" s="1">
        <f t="shared" si="79"/>
        <v>0</v>
      </c>
      <c r="AE233" s="1">
        <f t="shared" si="80"/>
        <v>1</v>
      </c>
      <c r="AF233" s="1">
        <f t="shared" si="81"/>
        <v>0</v>
      </c>
      <c r="AG233" s="1">
        <f t="shared" si="82"/>
        <v>1</v>
      </c>
      <c r="AH233" s="1">
        <f t="shared" si="83"/>
        <v>0</v>
      </c>
      <c r="AI233" s="1">
        <f t="shared" si="84"/>
        <v>1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6" t="s">
        <v>2131</v>
      </c>
      <c r="E234" s="32" t="s">
        <v>166</v>
      </c>
      <c r="F234" s="32" t="s">
        <v>1728</v>
      </c>
      <c r="G234" s="32"/>
      <c r="H234" s="32" t="s">
        <v>352</v>
      </c>
      <c r="I234" s="31" t="s">
        <v>1729</v>
      </c>
      <c r="J234" s="31"/>
      <c r="K234" s="33" t="s">
        <v>694</v>
      </c>
      <c r="L234" s="33"/>
      <c r="M234" s="34"/>
      <c r="N234" s="34" t="s">
        <v>1693</v>
      </c>
      <c r="O234" s="35">
        <v>1</v>
      </c>
      <c r="P234" s="35">
        <v>1</v>
      </c>
      <c r="Q234" s="32"/>
      <c r="S234" s="1">
        <f t="shared" si="69"/>
        <v>0</v>
      </c>
      <c r="T234" s="1">
        <f t="shared" si="70"/>
        <v>0</v>
      </c>
      <c r="U234" s="1">
        <f t="shared" si="71"/>
        <v>0</v>
      </c>
      <c r="V234" s="1">
        <f t="shared" si="72"/>
        <v>0</v>
      </c>
      <c r="W234" s="1">
        <f t="shared" si="73"/>
        <v>0</v>
      </c>
      <c r="X234" s="1">
        <f t="shared" si="74"/>
        <v>0</v>
      </c>
      <c r="Y234" s="1">
        <f t="shared" si="75"/>
        <v>0</v>
      </c>
      <c r="Z234" s="1">
        <f t="shared" si="76"/>
        <v>0</v>
      </c>
      <c r="AA234" s="1">
        <f t="shared" si="77"/>
        <v>0</v>
      </c>
      <c r="AB234" s="1">
        <f t="shared" si="78"/>
        <v>0</v>
      </c>
      <c r="AD234" s="1">
        <f t="shared" si="79"/>
        <v>1</v>
      </c>
      <c r="AE234" s="1">
        <f t="shared" si="80"/>
        <v>0</v>
      </c>
      <c r="AF234" s="1">
        <f t="shared" si="81"/>
        <v>1</v>
      </c>
      <c r="AG234" s="1">
        <f t="shared" si="82"/>
        <v>0</v>
      </c>
      <c r="AH234" s="1">
        <f t="shared" si="83"/>
        <v>1</v>
      </c>
      <c r="AI234" s="1">
        <f t="shared" si="84"/>
        <v>0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1752</v>
      </c>
      <c r="E235" s="32" t="s">
        <v>166</v>
      </c>
      <c r="F235" s="32" t="s">
        <v>1730</v>
      </c>
      <c r="G235" s="32"/>
      <c r="H235" s="32" t="s">
        <v>352</v>
      </c>
      <c r="I235" s="31" t="s">
        <v>1731</v>
      </c>
      <c r="J235" s="31"/>
      <c r="K235" s="33" t="s">
        <v>694</v>
      </c>
      <c r="L235" s="33">
        <v>30</v>
      </c>
      <c r="M235" s="34" t="s">
        <v>1732</v>
      </c>
      <c r="N235" s="34" t="s">
        <v>1710</v>
      </c>
      <c r="O235" s="35">
        <v>1</v>
      </c>
      <c r="P235" s="35"/>
      <c r="Q235" s="32"/>
      <c r="S235" s="1">
        <f t="shared" si="69"/>
        <v>0</v>
      </c>
      <c r="T235" s="1">
        <f t="shared" si="70"/>
        <v>0</v>
      </c>
      <c r="U235" s="1">
        <f t="shared" si="71"/>
        <v>0</v>
      </c>
      <c r="V235" s="1">
        <f t="shared" si="72"/>
        <v>0</v>
      </c>
      <c r="W235" s="1">
        <f t="shared" si="73"/>
        <v>0</v>
      </c>
      <c r="X235" s="1">
        <f t="shared" si="74"/>
        <v>0</v>
      </c>
      <c r="Y235" s="1">
        <f t="shared" si="75"/>
        <v>0</v>
      </c>
      <c r="Z235" s="1">
        <f t="shared" si="76"/>
        <v>0</v>
      </c>
      <c r="AA235" s="1">
        <f t="shared" si="77"/>
        <v>0</v>
      </c>
      <c r="AB235" s="1">
        <f t="shared" si="78"/>
        <v>0</v>
      </c>
      <c r="AD235" s="1">
        <f t="shared" si="79"/>
        <v>0</v>
      </c>
      <c r="AE235" s="1">
        <f t="shared" si="80"/>
        <v>1</v>
      </c>
      <c r="AF235" s="1">
        <f t="shared" si="81"/>
        <v>0</v>
      </c>
      <c r="AG235" s="1">
        <f t="shared" si="82"/>
        <v>1</v>
      </c>
      <c r="AH235" s="1">
        <f t="shared" si="83"/>
        <v>0</v>
      </c>
      <c r="AI235" s="1">
        <f t="shared" si="84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995</v>
      </c>
      <c r="E236" s="32" t="s">
        <v>166</v>
      </c>
      <c r="F236" s="32" t="s">
        <v>996</v>
      </c>
      <c r="G236" s="32" t="s">
        <v>1084</v>
      </c>
      <c r="H236" s="32" t="s">
        <v>352</v>
      </c>
      <c r="I236" s="31" t="s">
        <v>997</v>
      </c>
      <c r="J236" s="31">
        <v>99</v>
      </c>
      <c r="K236" s="33" t="s">
        <v>945</v>
      </c>
      <c r="L236" s="33" t="s">
        <v>39</v>
      </c>
      <c r="M236" s="34" t="s">
        <v>39</v>
      </c>
      <c r="N236" s="34" t="s">
        <v>1693</v>
      </c>
      <c r="O236" s="35">
        <v>1</v>
      </c>
      <c r="P236" s="35">
        <v>1</v>
      </c>
      <c r="Q236" s="32"/>
      <c r="S236" s="1">
        <f t="shared" si="69"/>
        <v>0</v>
      </c>
      <c r="T236" s="1">
        <f t="shared" si="70"/>
        <v>0</v>
      </c>
      <c r="U236" s="1">
        <f t="shared" si="71"/>
        <v>0</v>
      </c>
      <c r="V236" s="1">
        <f t="shared" si="72"/>
        <v>0</v>
      </c>
      <c r="W236" s="1">
        <f t="shared" si="73"/>
        <v>0</v>
      </c>
      <c r="X236" s="1">
        <f t="shared" si="74"/>
        <v>0</v>
      </c>
      <c r="Y236" s="1">
        <f t="shared" si="75"/>
        <v>0</v>
      </c>
      <c r="Z236" s="1">
        <f t="shared" si="76"/>
        <v>0</v>
      </c>
      <c r="AA236" s="1">
        <f t="shared" si="77"/>
        <v>0</v>
      </c>
      <c r="AB236" s="1">
        <f t="shared" si="78"/>
        <v>0</v>
      </c>
      <c r="AD236" s="1">
        <f t="shared" si="79"/>
        <v>1</v>
      </c>
      <c r="AE236" s="1">
        <f t="shared" si="80"/>
        <v>0</v>
      </c>
      <c r="AF236" s="1">
        <f t="shared" si="81"/>
        <v>1</v>
      </c>
      <c r="AG236" s="1">
        <f t="shared" si="82"/>
        <v>0</v>
      </c>
      <c r="AH236" s="1">
        <f t="shared" si="83"/>
        <v>1</v>
      </c>
      <c r="AI236" s="1">
        <f t="shared" si="84"/>
        <v>0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93</v>
      </c>
      <c r="E237" s="32" t="s">
        <v>168</v>
      </c>
      <c r="F237" s="32" t="s">
        <v>287</v>
      </c>
      <c r="G237" s="32" t="s">
        <v>193</v>
      </c>
      <c r="H237" s="32" t="s">
        <v>352</v>
      </c>
      <c r="I237" s="31" t="s">
        <v>439</v>
      </c>
      <c r="J237" s="31">
        <v>9</v>
      </c>
      <c r="K237" s="33" t="s">
        <v>693</v>
      </c>
      <c r="L237" s="33" t="s">
        <v>685</v>
      </c>
      <c r="M237" s="34" t="s">
        <v>697</v>
      </c>
      <c r="N237" s="34" t="s">
        <v>1710</v>
      </c>
      <c r="O237" s="35">
        <v>1</v>
      </c>
      <c r="P237" s="35"/>
      <c r="Q237" s="32"/>
      <c r="S237" s="1">
        <f t="shared" si="69"/>
        <v>0</v>
      </c>
      <c r="T237" s="1">
        <f t="shared" si="70"/>
        <v>0</v>
      </c>
      <c r="U237" s="1">
        <f t="shared" si="71"/>
        <v>0</v>
      </c>
      <c r="V237" s="1">
        <f t="shared" si="72"/>
        <v>0</v>
      </c>
      <c r="W237" s="1">
        <f t="shared" si="73"/>
        <v>0</v>
      </c>
      <c r="X237" s="1">
        <f t="shared" si="74"/>
        <v>0</v>
      </c>
      <c r="Y237" s="1">
        <f t="shared" si="75"/>
        <v>0</v>
      </c>
      <c r="Z237" s="1">
        <f t="shared" si="76"/>
        <v>0</v>
      </c>
      <c r="AA237" s="1">
        <f t="shared" si="77"/>
        <v>1</v>
      </c>
      <c r="AB237" s="1">
        <f t="shared" si="78"/>
        <v>0</v>
      </c>
      <c r="AD237" s="1">
        <f t="shared" si="79"/>
        <v>0</v>
      </c>
      <c r="AE237" s="1">
        <f t="shared" si="80"/>
        <v>1</v>
      </c>
      <c r="AF237" s="1">
        <f t="shared" si="81"/>
        <v>0</v>
      </c>
      <c r="AG237" s="1">
        <f t="shared" si="82"/>
        <v>1</v>
      </c>
      <c r="AH237" s="1">
        <f t="shared" si="83"/>
        <v>0</v>
      </c>
      <c r="AI237" s="1">
        <f t="shared" si="84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1576</v>
      </c>
      <c r="E238" s="32" t="s">
        <v>1577</v>
      </c>
      <c r="F238" s="32" t="s">
        <v>1578</v>
      </c>
      <c r="G238" s="32" t="s">
        <v>191</v>
      </c>
      <c r="H238" s="32" t="s">
        <v>352</v>
      </c>
      <c r="I238" s="31" t="s">
        <v>1579</v>
      </c>
      <c r="J238" s="31">
        <v>10</v>
      </c>
      <c r="K238" s="33" t="s">
        <v>937</v>
      </c>
      <c r="L238" s="33" t="s">
        <v>678</v>
      </c>
      <c r="M238" s="34" t="s">
        <v>1580</v>
      </c>
      <c r="N238" s="34" t="s">
        <v>1706</v>
      </c>
      <c r="O238" s="35">
        <v>1</v>
      </c>
      <c r="P238" s="35"/>
      <c r="Q238" s="32"/>
      <c r="S238" s="1">
        <f t="shared" si="69"/>
        <v>0</v>
      </c>
      <c r="T238" s="1">
        <f t="shared" si="70"/>
        <v>0</v>
      </c>
      <c r="U238" s="1">
        <f t="shared" si="71"/>
        <v>0</v>
      </c>
      <c r="V238" s="1">
        <f t="shared" si="72"/>
        <v>0</v>
      </c>
      <c r="W238" s="1">
        <f t="shared" si="73"/>
        <v>0</v>
      </c>
      <c r="X238" s="1">
        <f t="shared" si="74"/>
        <v>0</v>
      </c>
      <c r="Y238" s="1">
        <f t="shared" si="75"/>
        <v>0</v>
      </c>
      <c r="Z238" s="1">
        <f t="shared" si="76"/>
        <v>0</v>
      </c>
      <c r="AA238" s="1">
        <f t="shared" si="77"/>
        <v>0</v>
      </c>
      <c r="AB238" s="1">
        <f t="shared" si="78"/>
        <v>1</v>
      </c>
      <c r="AD238" s="1">
        <f t="shared" si="79"/>
        <v>0</v>
      </c>
      <c r="AE238" s="1">
        <f t="shared" si="80"/>
        <v>1</v>
      </c>
      <c r="AF238" s="1">
        <f t="shared" si="81"/>
        <v>0</v>
      </c>
      <c r="AG238" s="1">
        <f t="shared" si="82"/>
        <v>1</v>
      </c>
      <c r="AH238" s="1">
        <f t="shared" si="83"/>
        <v>0</v>
      </c>
      <c r="AI238" s="1">
        <f t="shared" si="84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94</v>
      </c>
      <c r="E239" s="32" t="s">
        <v>164</v>
      </c>
      <c r="F239" s="32" t="s">
        <v>288</v>
      </c>
      <c r="G239" s="32" t="s">
        <v>289</v>
      </c>
      <c r="H239" s="32" t="s">
        <v>352</v>
      </c>
      <c r="I239" s="31" t="s">
        <v>440</v>
      </c>
      <c r="J239" s="31">
        <v>7</v>
      </c>
      <c r="K239" s="33" t="s">
        <v>693</v>
      </c>
      <c r="L239" s="33" t="s">
        <v>685</v>
      </c>
      <c r="M239" s="34" t="s">
        <v>689</v>
      </c>
      <c r="N239" s="34" t="s">
        <v>1711</v>
      </c>
      <c r="O239" s="35">
        <v>1</v>
      </c>
      <c r="P239" s="35"/>
      <c r="Q239" s="32"/>
      <c r="S239" s="1">
        <f t="shared" si="69"/>
        <v>0</v>
      </c>
      <c r="T239" s="1">
        <f t="shared" si="70"/>
        <v>0</v>
      </c>
      <c r="U239" s="1">
        <f t="shared" si="71"/>
        <v>0</v>
      </c>
      <c r="V239" s="1">
        <f t="shared" si="72"/>
        <v>0</v>
      </c>
      <c r="W239" s="1">
        <f t="shared" si="73"/>
        <v>0</v>
      </c>
      <c r="X239" s="1">
        <f t="shared" si="74"/>
        <v>0</v>
      </c>
      <c r="Y239" s="1">
        <f t="shared" si="75"/>
        <v>1</v>
      </c>
      <c r="Z239" s="1">
        <f t="shared" si="76"/>
        <v>0</v>
      </c>
      <c r="AA239" s="1">
        <f t="shared" si="77"/>
        <v>0</v>
      </c>
      <c r="AB239" s="1">
        <f t="shared" si="78"/>
        <v>0</v>
      </c>
      <c r="AD239" s="1">
        <f t="shared" si="79"/>
        <v>0</v>
      </c>
      <c r="AE239" s="1">
        <f t="shared" si="80"/>
        <v>1</v>
      </c>
      <c r="AF239" s="1">
        <f t="shared" si="81"/>
        <v>0</v>
      </c>
      <c r="AG239" s="1">
        <f t="shared" si="82"/>
        <v>1</v>
      </c>
      <c r="AH239" s="1">
        <f t="shared" si="83"/>
        <v>0</v>
      </c>
      <c r="AI239" s="1">
        <f t="shared" si="84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1066</v>
      </c>
      <c r="E240" s="32" t="s">
        <v>166</v>
      </c>
      <c r="F240" s="32" t="s">
        <v>652</v>
      </c>
      <c r="G240" s="32" t="s">
        <v>178</v>
      </c>
      <c r="H240" s="32" t="s">
        <v>352</v>
      </c>
      <c r="I240" s="31" t="s">
        <v>379</v>
      </c>
      <c r="J240" s="31">
        <v>10</v>
      </c>
      <c r="K240" s="33" t="s">
        <v>713</v>
      </c>
      <c r="L240" s="33" t="s">
        <v>695</v>
      </c>
      <c r="M240" s="34" t="s">
        <v>698</v>
      </c>
      <c r="N240" s="34" t="s">
        <v>1712</v>
      </c>
      <c r="O240" s="35">
        <v>1</v>
      </c>
      <c r="P240" s="35"/>
      <c r="Q240" s="32"/>
      <c r="R240" s="15"/>
      <c r="S240" s="1">
        <f t="shared" si="69"/>
        <v>0</v>
      </c>
      <c r="T240" s="1">
        <f t="shared" si="70"/>
        <v>0</v>
      </c>
      <c r="U240" s="1">
        <f t="shared" si="71"/>
        <v>0</v>
      </c>
      <c r="V240" s="1">
        <f t="shared" si="72"/>
        <v>0</v>
      </c>
      <c r="W240" s="1">
        <f t="shared" si="73"/>
        <v>0</v>
      </c>
      <c r="X240" s="1">
        <f t="shared" si="74"/>
        <v>0</v>
      </c>
      <c r="Y240" s="1">
        <f t="shared" si="75"/>
        <v>0</v>
      </c>
      <c r="Z240" s="1">
        <f t="shared" si="76"/>
        <v>0</v>
      </c>
      <c r="AA240" s="1">
        <f t="shared" si="77"/>
        <v>0</v>
      </c>
      <c r="AB240" s="1">
        <f t="shared" si="78"/>
        <v>1</v>
      </c>
      <c r="AD240" s="1">
        <f t="shared" si="79"/>
        <v>0</v>
      </c>
      <c r="AE240" s="1">
        <f t="shared" si="80"/>
        <v>1</v>
      </c>
      <c r="AF240" s="1">
        <f t="shared" si="81"/>
        <v>0</v>
      </c>
      <c r="AG240" s="1">
        <f t="shared" si="82"/>
        <v>1</v>
      </c>
      <c r="AH240" s="1">
        <f t="shared" si="83"/>
        <v>0</v>
      </c>
      <c r="AI240" s="1">
        <f t="shared" si="84"/>
        <v>1</v>
      </c>
      <c r="AJ240" s="15"/>
      <c r="AK240" s="15"/>
      <c r="AL240" s="16"/>
      <c r="AM240" s="16"/>
      <c r="AN240" s="16"/>
      <c r="AO240" s="16"/>
      <c r="AP240" s="16"/>
      <c r="AQ240" s="15"/>
      <c r="AR240" s="15"/>
      <c r="AS240" s="10"/>
      <c r="AT240" s="10"/>
      <c r="AU240" s="19"/>
      <c r="AV240" s="19"/>
      <c r="AY240" s="16"/>
      <c r="AZ240" s="15"/>
      <c r="BA240" s="15"/>
      <c r="BB240" s="15"/>
      <c r="BC240" s="16"/>
      <c r="BD240" s="16"/>
      <c r="BE240" s="16"/>
      <c r="BF240" s="16"/>
      <c r="BG240" s="16"/>
      <c r="BH240" s="15"/>
      <c r="BI240" s="15"/>
      <c r="BJ240" s="10"/>
      <c r="BK240" s="10"/>
      <c r="BL240" s="19"/>
      <c r="BM240" s="19"/>
      <c r="BP240" s="16"/>
      <c r="BQ240" s="15"/>
      <c r="BR240" s="15"/>
      <c r="BS240" s="15"/>
      <c r="BT240" s="16"/>
      <c r="BU240" s="16"/>
      <c r="BV240" s="16"/>
      <c r="BW240" s="16"/>
      <c r="BX240" s="16"/>
      <c r="BY240" s="15"/>
      <c r="BZ240" s="15"/>
      <c r="CA240" s="10"/>
      <c r="CB240" s="10"/>
      <c r="CC240" s="19"/>
      <c r="CD240" s="19"/>
      <c r="CG240" s="16"/>
      <c r="CH240" s="15"/>
      <c r="CI240" s="15"/>
      <c r="CJ240" s="15"/>
      <c r="CK240" s="16"/>
      <c r="CL240" s="16"/>
      <c r="CM240" s="16"/>
      <c r="CN240" s="16"/>
      <c r="CO240" s="16"/>
      <c r="CP240" s="15"/>
      <c r="CQ240" s="15"/>
      <c r="CR240" s="10"/>
      <c r="CS240" s="10"/>
      <c r="CT240" s="19"/>
      <c r="CU240" s="19"/>
      <c r="CX240" s="16"/>
      <c r="CY240" s="15"/>
      <c r="CZ240" s="15"/>
      <c r="DA240" s="15"/>
      <c r="DB240" s="16"/>
      <c r="DC240" s="16"/>
      <c r="DD240" s="16"/>
      <c r="DE240" s="16"/>
      <c r="DF240" s="16"/>
      <c r="DG240" s="15"/>
      <c r="DH240" s="15"/>
      <c r="DI240" s="10"/>
      <c r="DJ240" s="10"/>
      <c r="DK240" s="19"/>
      <c r="DL240" s="19"/>
      <c r="DO240" s="16"/>
      <c r="DP240" s="15"/>
      <c r="DQ240" s="15"/>
      <c r="DR240" s="15"/>
      <c r="DS240" s="16"/>
      <c r="DT240" s="16"/>
      <c r="DU240" s="16"/>
      <c r="DV240" s="16"/>
      <c r="DW240" s="16"/>
      <c r="DX240" s="15"/>
      <c r="DY240" s="15"/>
      <c r="DZ240" s="10"/>
      <c r="EA240" s="10"/>
      <c r="EB240" s="19"/>
      <c r="EC240" s="19"/>
      <c r="EF240" s="16"/>
      <c r="EG240" s="15"/>
      <c r="EH240" s="15"/>
      <c r="EI240" s="15"/>
      <c r="EJ240" s="16"/>
      <c r="EK240" s="16"/>
      <c r="EL240" s="16"/>
      <c r="EM240" s="16"/>
      <c r="EN240" s="16"/>
      <c r="EO240" s="15"/>
      <c r="EP240" s="15"/>
      <c r="EQ240" s="10"/>
      <c r="ER240" s="10"/>
      <c r="ES240" s="19"/>
      <c r="ET240" s="19"/>
      <c r="EW240" s="16"/>
      <c r="EX240" s="15"/>
      <c r="EY240" s="15"/>
      <c r="EZ240" s="15"/>
      <c r="FA240" s="16"/>
      <c r="FB240" s="16"/>
      <c r="FC240" s="16"/>
      <c r="FD240" s="16"/>
      <c r="FE240" s="16"/>
      <c r="FF240" s="15"/>
      <c r="FG240" s="15"/>
      <c r="FH240" s="10"/>
      <c r="FI240" s="10"/>
      <c r="FJ240" s="19"/>
      <c r="FK240" s="19"/>
      <c r="FN240" s="16"/>
      <c r="FO240" s="15"/>
      <c r="FP240" s="15"/>
      <c r="FQ240" s="15"/>
      <c r="FR240" s="16"/>
      <c r="FS240" s="16"/>
      <c r="FT240" s="16"/>
      <c r="FU240" s="16"/>
      <c r="FV240" s="16"/>
      <c r="FW240" s="15"/>
      <c r="FX240" s="15"/>
      <c r="FY240" s="10"/>
      <c r="FZ240" s="10"/>
      <c r="GA240" s="19"/>
      <c r="GB240" s="19"/>
      <c r="GE240" s="16"/>
      <c r="GF240" s="15"/>
      <c r="GG240" s="15"/>
      <c r="GH240" s="15"/>
      <c r="GI240" s="16"/>
      <c r="GJ240" s="16"/>
      <c r="GK240" s="16"/>
      <c r="GL240" s="16"/>
      <c r="GM240" s="16"/>
      <c r="GN240" s="15"/>
      <c r="GO240" s="15"/>
      <c r="GP240" s="10"/>
      <c r="GQ240" s="10"/>
      <c r="GR240" s="19"/>
      <c r="GS240" s="19"/>
      <c r="GV240" s="16"/>
      <c r="GW240" s="15"/>
      <c r="GX240" s="15"/>
      <c r="GY240" s="15"/>
      <c r="GZ240" s="16"/>
      <c r="HA240" s="16"/>
      <c r="HB240" s="16"/>
      <c r="HC240" s="16"/>
      <c r="HD240" s="16"/>
      <c r="HE240" s="15"/>
      <c r="HF240" s="15"/>
      <c r="HG240" s="10"/>
      <c r="HH240" s="10"/>
      <c r="HI240" s="19"/>
      <c r="HJ240" s="19"/>
      <c r="HM240" s="16"/>
      <c r="HN240" s="15"/>
      <c r="HO240" s="15"/>
      <c r="HP240" s="15"/>
      <c r="HQ240" s="16"/>
      <c r="HR240" s="16"/>
      <c r="HS240" s="16"/>
      <c r="HT240" s="16"/>
      <c r="HU240" s="16"/>
      <c r="HV240" s="15"/>
      <c r="HW240" s="15"/>
      <c r="HX240" s="10"/>
      <c r="HY240" s="10"/>
      <c r="HZ240" s="19"/>
      <c r="IA240" s="19"/>
      <c r="ID240" s="16"/>
      <c r="IE240" s="15"/>
      <c r="IF240" s="15"/>
      <c r="IG240" s="15"/>
      <c r="IH240" s="16"/>
      <c r="II240" s="16"/>
      <c r="IJ240" s="16"/>
      <c r="IK240" s="16"/>
      <c r="IL240" s="16"/>
      <c r="IM240" s="15"/>
      <c r="IN240" s="15"/>
      <c r="IO240" s="10"/>
      <c r="IP240" s="10"/>
      <c r="IQ240" s="19"/>
      <c r="IR240" s="19"/>
      <c r="IU240" s="16"/>
      <c r="IV240" s="15"/>
      <c r="IW240" s="15"/>
      <c r="IX240" s="15"/>
      <c r="IY240" s="16"/>
      <c r="IZ240" s="16"/>
      <c r="JA240" s="16"/>
      <c r="JB240" s="16"/>
      <c r="JC240" s="16"/>
      <c r="JD240" s="15"/>
      <c r="JE240" s="15"/>
      <c r="JF240" s="10"/>
      <c r="JG240" s="10"/>
      <c r="JH240" s="19"/>
      <c r="JI240" s="19"/>
      <c r="JL240" s="16"/>
      <c r="JM240" s="15"/>
      <c r="JN240" s="15"/>
      <c r="JO240" s="15"/>
      <c r="JP240" s="16"/>
      <c r="JQ240" s="16"/>
      <c r="JR240" s="16"/>
      <c r="JS240" s="16"/>
      <c r="JT240" s="16"/>
      <c r="JU240" s="15"/>
      <c r="JV240" s="15"/>
      <c r="JW240" s="10"/>
      <c r="JX240" s="10"/>
      <c r="JY240" s="19"/>
      <c r="JZ240" s="19"/>
      <c r="KC240" s="16"/>
      <c r="KD240" s="15"/>
      <c r="KE240" s="15"/>
      <c r="KF240" s="15"/>
      <c r="KG240" s="16"/>
      <c r="KH240" s="16"/>
      <c r="KI240" s="16"/>
      <c r="KJ240" s="16"/>
      <c r="KK240" s="16"/>
      <c r="KL240" s="15"/>
      <c r="KM240" s="15"/>
      <c r="KN240" s="10"/>
      <c r="KO240" s="10"/>
      <c r="KP240" s="19"/>
      <c r="KQ240" s="19"/>
      <c r="KT240" s="16"/>
      <c r="KU240" s="15"/>
      <c r="KV240" s="15"/>
      <c r="KW240" s="15"/>
      <c r="KX240" s="16"/>
      <c r="KY240" s="16"/>
      <c r="KZ240" s="16"/>
      <c r="LA240" s="16"/>
      <c r="LB240" s="16"/>
      <c r="LC240" s="15"/>
      <c r="LD240" s="15"/>
      <c r="LE240" s="10"/>
      <c r="LF240" s="10"/>
      <c r="LG240" s="19"/>
      <c r="LH240" s="19"/>
      <c r="LK240" s="16"/>
      <c r="LL240" s="15"/>
      <c r="LM240" s="15"/>
      <c r="LN240" s="15"/>
      <c r="LO240" s="16"/>
      <c r="LP240" s="16"/>
      <c r="LQ240" s="16"/>
      <c r="LR240" s="16"/>
      <c r="LS240" s="16"/>
      <c r="LT240" s="15"/>
      <c r="LU240" s="15"/>
      <c r="LV240" s="10"/>
      <c r="LW240" s="10"/>
      <c r="LX240" s="19"/>
      <c r="LY240" s="19"/>
      <c r="MB240" s="16"/>
      <c r="MC240" s="15"/>
      <c r="MD240" s="15"/>
      <c r="ME240" s="15"/>
      <c r="MF240" s="16"/>
      <c r="MG240" s="16"/>
      <c r="MH240" s="16"/>
      <c r="MI240" s="16"/>
      <c r="MJ240" s="16"/>
      <c r="MK240" s="15"/>
      <c r="ML240" s="15"/>
      <c r="MM240" s="10"/>
      <c r="MN240" s="10"/>
      <c r="MO240" s="19"/>
      <c r="MP240" s="19"/>
      <c r="MS240" s="16"/>
      <c r="MT240" s="15"/>
      <c r="MU240" s="15"/>
      <c r="MV240" s="15"/>
      <c r="MW240" s="16"/>
      <c r="MX240" s="16"/>
      <c r="MY240" s="16"/>
      <c r="MZ240" s="16"/>
      <c r="NA240" s="16"/>
      <c r="NB240" s="15"/>
      <c r="NC240" s="15"/>
      <c r="ND240" s="10"/>
      <c r="NE240" s="10"/>
      <c r="NF240" s="19"/>
      <c r="NG240" s="19"/>
      <c r="NJ240" s="16"/>
      <c r="NK240" s="15"/>
      <c r="NL240" s="15"/>
      <c r="NM240" s="15"/>
      <c r="NN240" s="16"/>
      <c r="NO240" s="16"/>
      <c r="NP240" s="16"/>
      <c r="NQ240" s="16"/>
      <c r="NR240" s="16"/>
      <c r="NS240" s="15"/>
      <c r="NT240" s="15"/>
      <c r="NU240" s="10"/>
      <c r="NV240" s="10"/>
      <c r="NW240" s="19"/>
      <c r="NX240" s="19"/>
      <c r="OA240" s="16"/>
      <c r="OB240" s="15"/>
      <c r="OC240" s="15"/>
      <c r="OD240" s="15"/>
      <c r="OE240" s="16"/>
      <c r="OF240" s="16"/>
      <c r="OG240" s="16"/>
      <c r="OH240" s="16"/>
      <c r="OI240" s="16"/>
      <c r="OJ240" s="15"/>
      <c r="OK240" s="15"/>
      <c r="OL240" s="10"/>
      <c r="OM240" s="10"/>
      <c r="ON240" s="19"/>
      <c r="OO240" s="19"/>
      <c r="OR240" s="16"/>
      <c r="OS240" s="15"/>
      <c r="OT240" s="15"/>
      <c r="OU240" s="15"/>
      <c r="OV240" s="16"/>
      <c r="OW240" s="16"/>
      <c r="OX240" s="16"/>
      <c r="OY240" s="16"/>
      <c r="OZ240" s="16"/>
      <c r="PA240" s="15"/>
      <c r="PB240" s="15"/>
      <c r="PC240" s="10"/>
      <c r="PD240" s="10"/>
      <c r="PE240" s="19"/>
      <c r="PF240" s="19"/>
      <c r="PI240" s="16"/>
      <c r="PJ240" s="15"/>
      <c r="PK240" s="15"/>
      <c r="PL240" s="15"/>
      <c r="PM240" s="16"/>
      <c r="PN240" s="16"/>
      <c r="PO240" s="16"/>
      <c r="PP240" s="16"/>
      <c r="PQ240" s="16"/>
      <c r="PR240" s="15"/>
      <c r="PS240" s="15"/>
      <c r="PT240" s="10"/>
      <c r="PU240" s="10"/>
      <c r="PV240" s="19"/>
      <c r="PW240" s="19"/>
      <c r="PZ240" s="16"/>
      <c r="QA240" s="15"/>
      <c r="QB240" s="15"/>
      <c r="QC240" s="15"/>
      <c r="QD240" s="16"/>
      <c r="QE240" s="16"/>
      <c r="QF240" s="16"/>
      <c r="QG240" s="16"/>
      <c r="QH240" s="16"/>
      <c r="QI240" s="15"/>
      <c r="QJ240" s="15"/>
      <c r="QK240" s="10"/>
      <c r="QL240" s="10"/>
      <c r="QM240" s="19"/>
      <c r="QN240" s="19"/>
      <c r="QQ240" s="16"/>
      <c r="QR240" s="15"/>
      <c r="QS240" s="15"/>
      <c r="QT240" s="15"/>
      <c r="QU240" s="16"/>
      <c r="QV240" s="16"/>
      <c r="QW240" s="16"/>
      <c r="QX240" s="16"/>
      <c r="QY240" s="16"/>
      <c r="QZ240" s="15"/>
      <c r="RA240" s="15"/>
      <c r="RB240" s="10"/>
      <c r="RC240" s="10"/>
      <c r="RD240" s="19"/>
      <c r="RE240" s="19"/>
      <c r="RH240" s="16"/>
      <c r="RI240" s="15"/>
      <c r="RJ240" s="15"/>
      <c r="RK240" s="15"/>
      <c r="RL240" s="16"/>
      <c r="RM240" s="16"/>
      <c r="RN240" s="16"/>
      <c r="RO240" s="16"/>
      <c r="RP240" s="16"/>
      <c r="RQ240" s="15"/>
      <c r="RR240" s="15"/>
      <c r="RS240" s="10"/>
      <c r="RT240" s="10"/>
      <c r="RU240" s="19"/>
      <c r="RV240" s="19"/>
      <c r="RY240" s="16"/>
      <c r="RZ240" s="15"/>
      <c r="SA240" s="15"/>
      <c r="SB240" s="15"/>
      <c r="SC240" s="16"/>
      <c r="SD240" s="16"/>
      <c r="SE240" s="16"/>
      <c r="SF240" s="16"/>
      <c r="SG240" s="16"/>
      <c r="SH240" s="15"/>
      <c r="SI240" s="15"/>
      <c r="SJ240" s="10"/>
      <c r="SK240" s="10"/>
      <c r="SL240" s="19"/>
      <c r="SM240" s="19"/>
      <c r="SP240" s="16"/>
      <c r="SQ240" s="15"/>
      <c r="SR240" s="15"/>
      <c r="SS240" s="15"/>
      <c r="ST240" s="16"/>
      <c r="SU240" s="16"/>
      <c r="SV240" s="16"/>
      <c r="SW240" s="16"/>
      <c r="SX240" s="16"/>
      <c r="SY240" s="15"/>
      <c r="SZ240" s="15"/>
      <c r="TA240" s="10"/>
      <c r="TB240" s="10"/>
      <c r="TC240" s="19"/>
      <c r="TD240" s="19"/>
      <c r="TG240" s="16"/>
      <c r="TH240" s="15"/>
      <c r="TI240" s="15"/>
      <c r="TJ240" s="15"/>
      <c r="TK240" s="16"/>
      <c r="TL240" s="16"/>
      <c r="TM240" s="16"/>
      <c r="TN240" s="16"/>
      <c r="TO240" s="16"/>
      <c r="TP240" s="15"/>
      <c r="TQ240" s="15"/>
      <c r="TR240" s="10"/>
      <c r="TS240" s="10"/>
      <c r="TT240" s="19"/>
      <c r="TU240" s="19"/>
      <c r="TX240" s="16"/>
      <c r="TY240" s="15"/>
      <c r="TZ240" s="15"/>
      <c r="UA240" s="15"/>
      <c r="UB240" s="16"/>
      <c r="UC240" s="16"/>
      <c r="UD240" s="16"/>
      <c r="UE240" s="16"/>
      <c r="UF240" s="16"/>
      <c r="UG240" s="15"/>
      <c r="UH240" s="15"/>
      <c r="UI240" s="10"/>
      <c r="UJ240" s="10"/>
      <c r="UK240" s="19"/>
      <c r="UL240" s="19"/>
      <c r="UO240" s="16"/>
      <c r="UP240" s="15"/>
      <c r="UQ240" s="15"/>
      <c r="UR240" s="15"/>
      <c r="US240" s="16"/>
      <c r="UT240" s="16"/>
      <c r="UU240" s="16"/>
      <c r="UV240" s="16"/>
      <c r="UW240" s="16"/>
      <c r="UX240" s="15"/>
      <c r="UY240" s="15"/>
      <c r="UZ240" s="10"/>
      <c r="VA240" s="10"/>
      <c r="VB240" s="19"/>
      <c r="VC240" s="19"/>
      <c r="VF240" s="16"/>
      <c r="VG240" s="15"/>
      <c r="VH240" s="15"/>
      <c r="VI240" s="15"/>
      <c r="VJ240" s="16"/>
      <c r="VK240" s="16"/>
      <c r="VL240" s="16"/>
      <c r="VM240" s="16"/>
      <c r="VN240" s="16"/>
      <c r="VO240" s="15"/>
      <c r="VP240" s="15"/>
      <c r="VQ240" s="10"/>
      <c r="VR240" s="10"/>
      <c r="VS240" s="19"/>
      <c r="VT240" s="19"/>
      <c r="VW240" s="16"/>
      <c r="VX240" s="15"/>
      <c r="VY240" s="15"/>
      <c r="VZ240" s="15"/>
      <c r="WA240" s="16"/>
      <c r="WB240" s="16"/>
      <c r="WC240" s="16"/>
      <c r="WD240" s="16"/>
      <c r="WE240" s="16"/>
      <c r="WF240" s="15"/>
      <c r="WG240" s="15"/>
      <c r="WH240" s="10"/>
      <c r="WI240" s="10"/>
      <c r="WJ240" s="19"/>
      <c r="WK240" s="19"/>
      <c r="WN240" s="16"/>
      <c r="WO240" s="15"/>
      <c r="WP240" s="15"/>
      <c r="WQ240" s="15"/>
      <c r="WR240" s="16"/>
      <c r="WS240" s="16"/>
      <c r="WT240" s="16"/>
      <c r="WU240" s="16"/>
      <c r="WV240" s="16"/>
      <c r="WW240" s="15"/>
      <c r="WX240" s="15"/>
      <c r="WY240" s="10"/>
      <c r="WZ240" s="10"/>
      <c r="XA240" s="19"/>
      <c r="XB240" s="19"/>
      <c r="XE240" s="16"/>
      <c r="XF240" s="15"/>
      <c r="XG240" s="15"/>
      <c r="XH240" s="15"/>
      <c r="XI240" s="16"/>
      <c r="XJ240" s="16"/>
      <c r="XK240" s="16"/>
      <c r="XL240" s="16"/>
      <c r="XM240" s="16"/>
      <c r="XN240" s="15"/>
      <c r="XO240" s="15"/>
      <c r="XP240" s="10"/>
      <c r="XQ240" s="10"/>
      <c r="XR240" s="19"/>
      <c r="XS240" s="19"/>
      <c r="XV240" s="16"/>
      <c r="XW240" s="15"/>
      <c r="XX240" s="15"/>
      <c r="XY240" s="15"/>
      <c r="XZ240" s="16"/>
      <c r="YA240" s="16"/>
      <c r="YB240" s="16"/>
      <c r="YC240" s="16"/>
      <c r="YD240" s="16"/>
      <c r="YE240" s="15"/>
      <c r="YF240" s="15"/>
      <c r="YG240" s="10"/>
      <c r="YH240" s="10"/>
      <c r="YI240" s="19"/>
      <c r="YJ240" s="19"/>
      <c r="YM240" s="16"/>
      <c r="YN240" s="15"/>
      <c r="YO240" s="15"/>
      <c r="YP240" s="15"/>
      <c r="YQ240" s="16"/>
      <c r="YR240" s="16"/>
      <c r="YS240" s="16"/>
      <c r="YT240" s="16"/>
      <c r="YU240" s="16"/>
      <c r="YV240" s="15"/>
      <c r="YW240" s="15"/>
      <c r="YX240" s="10"/>
      <c r="YY240" s="10"/>
      <c r="YZ240" s="19"/>
      <c r="ZA240" s="19"/>
      <c r="ZD240" s="16"/>
      <c r="ZE240" s="15"/>
      <c r="ZF240" s="15"/>
      <c r="ZG240" s="15"/>
      <c r="ZH240" s="16"/>
      <c r="ZI240" s="16"/>
      <c r="ZJ240" s="16"/>
      <c r="ZK240" s="16"/>
      <c r="ZL240" s="16"/>
      <c r="ZM240" s="15"/>
      <c r="ZN240" s="15"/>
      <c r="ZO240" s="10"/>
      <c r="ZP240" s="10"/>
      <c r="ZQ240" s="19"/>
      <c r="ZR240" s="19"/>
      <c r="ZU240" s="16"/>
      <c r="ZV240" s="15"/>
      <c r="ZW240" s="15"/>
      <c r="ZX240" s="15"/>
      <c r="ZY240" s="16"/>
      <c r="ZZ240" s="16"/>
      <c r="AAA240" s="16"/>
      <c r="AAB240" s="16"/>
      <c r="AAC240" s="16"/>
      <c r="AAD240" s="15"/>
      <c r="AAE240" s="15"/>
      <c r="AAF240" s="10"/>
      <c r="AAG240" s="10"/>
      <c r="AAH240" s="19"/>
      <c r="AAI240" s="19"/>
      <c r="AAL240" s="16"/>
      <c r="AAM240" s="15"/>
      <c r="AAN240" s="15"/>
      <c r="AAO240" s="15"/>
      <c r="AAP240" s="16"/>
      <c r="AAQ240" s="16"/>
      <c r="AAR240" s="16"/>
      <c r="AAS240" s="16"/>
      <c r="AAT240" s="16"/>
      <c r="AAU240" s="15"/>
      <c r="AAV240" s="15"/>
      <c r="AAW240" s="10"/>
      <c r="AAX240" s="10"/>
      <c r="AAY240" s="19"/>
      <c r="AAZ240" s="19"/>
      <c r="ABC240" s="16"/>
      <c r="ABD240" s="15"/>
      <c r="ABE240" s="15"/>
      <c r="ABF240" s="15"/>
      <c r="ABG240" s="16"/>
      <c r="ABH240" s="16"/>
      <c r="ABI240" s="16"/>
      <c r="ABJ240" s="16"/>
      <c r="ABK240" s="16"/>
      <c r="ABL240" s="15"/>
      <c r="ABM240" s="15"/>
      <c r="ABN240" s="10"/>
      <c r="ABO240" s="10"/>
      <c r="ABP240" s="19"/>
      <c r="ABQ240" s="19"/>
      <c r="ABT240" s="16"/>
      <c r="ABU240" s="15"/>
      <c r="ABV240" s="15"/>
      <c r="ABW240" s="15"/>
      <c r="ABX240" s="16"/>
      <c r="ABY240" s="16"/>
      <c r="ABZ240" s="16"/>
      <c r="ACA240" s="16"/>
      <c r="ACB240" s="16"/>
      <c r="ACC240" s="15"/>
      <c r="ACD240" s="15"/>
      <c r="ACE240" s="10"/>
      <c r="ACF240" s="10"/>
      <c r="ACG240" s="19"/>
      <c r="ACH240" s="19"/>
      <c r="ACK240" s="16"/>
      <c r="ACL240" s="15"/>
      <c r="ACM240" s="15"/>
      <c r="ACN240" s="15"/>
      <c r="ACO240" s="16"/>
      <c r="ACP240" s="16"/>
      <c r="ACQ240" s="16"/>
      <c r="ACR240" s="16"/>
      <c r="ACS240" s="16"/>
      <c r="ACT240" s="15"/>
      <c r="ACU240" s="15"/>
      <c r="ACV240" s="10"/>
      <c r="ACW240" s="10"/>
      <c r="ACX240" s="19"/>
      <c r="ACY240" s="19"/>
      <c r="ADB240" s="16"/>
      <c r="ADC240" s="15"/>
      <c r="ADD240" s="15"/>
      <c r="ADE240" s="15"/>
      <c r="ADF240" s="16"/>
      <c r="ADG240" s="16"/>
      <c r="ADH240" s="16"/>
      <c r="ADI240" s="16"/>
      <c r="ADJ240" s="16"/>
      <c r="ADK240" s="15"/>
      <c r="ADL240" s="15"/>
      <c r="ADM240" s="10"/>
      <c r="ADN240" s="10"/>
      <c r="ADO240" s="19"/>
      <c r="ADP240" s="19"/>
      <c r="ADS240" s="16"/>
      <c r="ADT240" s="15"/>
      <c r="ADU240" s="15"/>
      <c r="ADV240" s="15"/>
      <c r="ADW240" s="16"/>
      <c r="ADX240" s="16"/>
      <c r="ADY240" s="16"/>
      <c r="ADZ240" s="16"/>
      <c r="AEA240" s="16"/>
      <c r="AEB240" s="15"/>
      <c r="AEC240" s="15"/>
      <c r="AED240" s="10"/>
      <c r="AEE240" s="10"/>
      <c r="AEF240" s="19"/>
      <c r="AEG240" s="19"/>
      <c r="AEJ240" s="16"/>
      <c r="AEK240" s="15"/>
      <c r="AEL240" s="15"/>
      <c r="AEM240" s="15"/>
      <c r="AEN240" s="16"/>
      <c r="AEO240" s="16"/>
      <c r="AEP240" s="16"/>
      <c r="AEQ240" s="16"/>
      <c r="AER240" s="16"/>
      <c r="AES240" s="15"/>
      <c r="AET240" s="15"/>
      <c r="AEU240" s="10"/>
      <c r="AEV240" s="10"/>
      <c r="AEW240" s="19"/>
      <c r="AEX240" s="19"/>
      <c r="AFA240" s="16"/>
      <c r="AFB240" s="15"/>
      <c r="AFC240" s="15"/>
      <c r="AFD240" s="15"/>
      <c r="AFE240" s="16"/>
      <c r="AFF240" s="16"/>
      <c r="AFG240" s="16"/>
      <c r="AFH240" s="16"/>
      <c r="AFI240" s="16"/>
      <c r="AFJ240" s="15"/>
      <c r="AFK240" s="15"/>
      <c r="AFL240" s="10"/>
      <c r="AFM240" s="10"/>
      <c r="AFN240" s="19"/>
      <c r="AFO240" s="19"/>
      <c r="AFR240" s="16"/>
      <c r="AFS240" s="15"/>
      <c r="AFT240" s="15"/>
      <c r="AFU240" s="15"/>
      <c r="AFV240" s="16"/>
      <c r="AFW240" s="16"/>
      <c r="AFX240" s="16"/>
      <c r="AFY240" s="16"/>
      <c r="AFZ240" s="16"/>
      <c r="AGA240" s="15"/>
      <c r="AGB240" s="15"/>
      <c r="AGC240" s="10"/>
      <c r="AGD240" s="10"/>
      <c r="AGE240" s="19"/>
      <c r="AGF240" s="19"/>
      <c r="AGI240" s="16"/>
      <c r="AGJ240" s="15"/>
      <c r="AGK240" s="15"/>
      <c r="AGL240" s="15"/>
      <c r="AGM240" s="16"/>
      <c r="AGN240" s="16"/>
      <c r="AGO240" s="16"/>
      <c r="AGP240" s="16"/>
      <c r="AGQ240" s="16"/>
      <c r="AGR240" s="15"/>
      <c r="AGS240" s="15"/>
      <c r="AGT240" s="10"/>
      <c r="AGU240" s="10"/>
      <c r="AGV240" s="19"/>
      <c r="AGW240" s="19"/>
      <c r="AGZ240" s="16"/>
      <c r="AHA240" s="15"/>
      <c r="AHB240" s="15"/>
      <c r="AHC240" s="15"/>
      <c r="AHD240" s="16"/>
      <c r="AHE240" s="16"/>
      <c r="AHF240" s="16"/>
      <c r="AHG240" s="16"/>
      <c r="AHH240" s="16"/>
      <c r="AHI240" s="15"/>
      <c r="AHJ240" s="15"/>
      <c r="AHK240" s="10"/>
      <c r="AHL240" s="10"/>
      <c r="AHM240" s="19"/>
      <c r="AHN240" s="19"/>
      <c r="AHQ240" s="16"/>
      <c r="AHR240" s="15"/>
      <c r="AHS240" s="15"/>
      <c r="AHT240" s="15"/>
      <c r="AHU240" s="16"/>
      <c r="AHV240" s="16"/>
      <c r="AHW240" s="16"/>
      <c r="AHX240" s="16"/>
      <c r="AHY240" s="16"/>
      <c r="AHZ240" s="15"/>
      <c r="AIA240" s="15"/>
      <c r="AIB240" s="10"/>
      <c r="AIC240" s="10"/>
      <c r="AID240" s="19"/>
      <c r="AIE240" s="19"/>
      <c r="AIH240" s="16"/>
      <c r="AII240" s="15"/>
      <c r="AIJ240" s="15"/>
      <c r="AIK240" s="15"/>
      <c r="AIL240" s="16"/>
      <c r="AIM240" s="16"/>
      <c r="AIN240" s="16"/>
      <c r="AIO240" s="16"/>
      <c r="AIP240" s="16"/>
      <c r="AIQ240" s="15"/>
      <c r="AIR240" s="15"/>
      <c r="AIS240" s="10"/>
      <c r="AIT240" s="10"/>
      <c r="AIU240" s="19"/>
      <c r="AIV240" s="19"/>
      <c r="AIY240" s="16"/>
      <c r="AIZ240" s="15"/>
      <c r="AJA240" s="15"/>
      <c r="AJB240" s="15"/>
      <c r="AJC240" s="16"/>
      <c r="AJD240" s="16"/>
      <c r="AJE240" s="16"/>
      <c r="AJF240" s="16"/>
      <c r="AJG240" s="16"/>
      <c r="AJH240" s="15"/>
      <c r="AJI240" s="15"/>
      <c r="AJJ240" s="10"/>
      <c r="AJK240" s="10"/>
      <c r="AJL240" s="19"/>
      <c r="AJM240" s="19"/>
      <c r="AJP240" s="16"/>
      <c r="AJQ240" s="15"/>
      <c r="AJR240" s="15"/>
      <c r="AJS240" s="15"/>
      <c r="AJT240" s="16"/>
      <c r="AJU240" s="16"/>
      <c r="AJV240" s="16"/>
      <c r="AJW240" s="16"/>
      <c r="AJX240" s="16"/>
      <c r="AJY240" s="15"/>
      <c r="AJZ240" s="15"/>
      <c r="AKA240" s="10"/>
      <c r="AKB240" s="10"/>
      <c r="AKC240" s="19"/>
      <c r="AKD240" s="19"/>
      <c r="AKG240" s="16"/>
      <c r="AKH240" s="15"/>
      <c r="AKI240" s="15"/>
      <c r="AKJ240" s="15"/>
      <c r="AKK240" s="16"/>
      <c r="AKL240" s="16"/>
      <c r="AKM240" s="16"/>
      <c r="AKN240" s="16"/>
      <c r="AKO240" s="16"/>
      <c r="AKP240" s="15"/>
      <c r="AKQ240" s="15"/>
      <c r="AKR240" s="10"/>
      <c r="AKS240" s="10"/>
      <c r="AKT240" s="19"/>
      <c r="AKU240" s="19"/>
      <c r="AKX240" s="16"/>
      <c r="AKY240" s="15"/>
      <c r="AKZ240" s="15"/>
      <c r="ALA240" s="15"/>
      <c r="ALB240" s="16"/>
      <c r="ALC240" s="16"/>
      <c r="ALD240" s="16"/>
      <c r="ALE240" s="16"/>
      <c r="ALF240" s="16"/>
      <c r="ALG240" s="15"/>
      <c r="ALH240" s="15"/>
      <c r="ALI240" s="10"/>
      <c r="ALJ240" s="10"/>
      <c r="ALK240" s="19"/>
      <c r="ALL240" s="19"/>
      <c r="ALO240" s="16"/>
      <c r="ALP240" s="15"/>
      <c r="ALQ240" s="15"/>
      <c r="ALR240" s="15"/>
      <c r="ALS240" s="16"/>
      <c r="ALT240" s="16"/>
      <c r="ALU240" s="16"/>
      <c r="ALV240" s="16"/>
      <c r="ALW240" s="16"/>
      <c r="ALX240" s="15"/>
      <c r="ALY240" s="15"/>
      <c r="ALZ240" s="10"/>
      <c r="AMA240" s="10"/>
      <c r="AMB240" s="19"/>
      <c r="AMC240" s="19"/>
      <c r="AMF240" s="16"/>
      <c r="AMG240" s="15"/>
      <c r="AMH240" s="15"/>
      <c r="AMI240" s="15"/>
      <c r="AMJ240" s="16"/>
      <c r="AMK240" s="16"/>
      <c r="AML240" s="16"/>
      <c r="AMM240" s="16"/>
      <c r="AMN240" s="16"/>
      <c r="AMO240" s="15"/>
      <c r="AMP240" s="15"/>
      <c r="AMQ240" s="10"/>
      <c r="AMR240" s="10"/>
      <c r="AMS240" s="19"/>
      <c r="AMT240" s="19"/>
      <c r="AMW240" s="16"/>
      <c r="AMX240" s="15"/>
      <c r="AMY240" s="15"/>
      <c r="AMZ240" s="15"/>
      <c r="ANA240" s="16"/>
      <c r="ANB240" s="16"/>
      <c r="ANC240" s="16"/>
      <c r="AND240" s="16"/>
      <c r="ANE240" s="16"/>
      <c r="ANF240" s="15"/>
      <c r="ANG240" s="15"/>
      <c r="ANH240" s="10"/>
      <c r="ANI240" s="10"/>
      <c r="ANJ240" s="19"/>
      <c r="ANK240" s="19"/>
      <c r="ANN240" s="16"/>
      <c r="ANO240" s="15"/>
      <c r="ANP240" s="15"/>
      <c r="ANQ240" s="15"/>
      <c r="ANR240" s="16"/>
      <c r="ANS240" s="16"/>
      <c r="ANT240" s="16"/>
      <c r="ANU240" s="16"/>
      <c r="ANV240" s="16"/>
      <c r="ANW240" s="15"/>
      <c r="ANX240" s="15"/>
      <c r="ANY240" s="10"/>
      <c r="ANZ240" s="10"/>
      <c r="AOA240" s="19"/>
      <c r="AOB240" s="19"/>
      <c r="AOE240" s="16"/>
      <c r="AOF240" s="15"/>
      <c r="AOG240" s="15"/>
      <c r="AOH240" s="15"/>
      <c r="AOI240" s="16"/>
      <c r="AOJ240" s="16"/>
      <c r="AOK240" s="16"/>
      <c r="AOL240" s="16"/>
      <c r="AOM240" s="16"/>
      <c r="AON240" s="15"/>
      <c r="AOO240" s="15"/>
      <c r="AOP240" s="10"/>
      <c r="AOQ240" s="10"/>
      <c r="AOR240" s="19"/>
      <c r="AOS240" s="19"/>
      <c r="AOV240" s="16"/>
      <c r="AOW240" s="15"/>
      <c r="AOX240" s="15"/>
      <c r="AOY240" s="15"/>
      <c r="AOZ240" s="16"/>
      <c r="APA240" s="16"/>
      <c r="APB240" s="16"/>
      <c r="APC240" s="16"/>
      <c r="APD240" s="16"/>
      <c r="APE240" s="15"/>
      <c r="APF240" s="15"/>
      <c r="APG240" s="10"/>
      <c r="APH240" s="10"/>
      <c r="API240" s="19"/>
      <c r="APJ240" s="19"/>
      <c r="APM240" s="16"/>
      <c r="APN240" s="15"/>
      <c r="APO240" s="15"/>
      <c r="APP240" s="15"/>
      <c r="APQ240" s="16"/>
      <c r="APR240" s="16"/>
      <c r="APS240" s="16"/>
      <c r="APT240" s="16"/>
      <c r="APU240" s="16"/>
      <c r="APV240" s="15"/>
      <c r="APW240" s="15"/>
      <c r="APX240" s="10"/>
      <c r="APY240" s="10"/>
      <c r="APZ240" s="19"/>
      <c r="AQA240" s="19"/>
      <c r="AQD240" s="16"/>
      <c r="AQE240" s="15"/>
      <c r="AQF240" s="15"/>
      <c r="AQG240" s="15"/>
      <c r="AQH240" s="16"/>
      <c r="AQI240" s="16"/>
      <c r="AQJ240" s="16"/>
      <c r="AQK240" s="16"/>
      <c r="AQL240" s="16"/>
      <c r="AQM240" s="15"/>
      <c r="AQN240" s="15"/>
      <c r="AQO240" s="10"/>
      <c r="AQP240" s="10"/>
      <c r="AQQ240" s="19"/>
      <c r="AQR240" s="19"/>
      <c r="AQU240" s="16"/>
      <c r="AQV240" s="15"/>
      <c r="AQW240" s="15"/>
      <c r="AQX240" s="15"/>
      <c r="AQY240" s="16"/>
      <c r="AQZ240" s="16"/>
      <c r="ARA240" s="16"/>
      <c r="ARB240" s="16"/>
      <c r="ARC240" s="16"/>
      <c r="ARD240" s="15"/>
      <c r="ARE240" s="15"/>
      <c r="ARF240" s="10"/>
      <c r="ARG240" s="10"/>
      <c r="ARH240" s="19"/>
      <c r="ARI240" s="19"/>
      <c r="ARL240" s="16"/>
      <c r="ARM240" s="15"/>
      <c r="ARN240" s="15"/>
      <c r="ARO240" s="15"/>
      <c r="ARP240" s="16"/>
      <c r="ARQ240" s="16"/>
      <c r="ARR240" s="16"/>
      <c r="ARS240" s="16"/>
      <c r="ART240" s="16"/>
      <c r="ARU240" s="15"/>
      <c r="ARV240" s="15"/>
      <c r="ARW240" s="10"/>
      <c r="ARX240" s="10"/>
      <c r="ARY240" s="19"/>
      <c r="ARZ240" s="19"/>
      <c r="ASC240" s="16"/>
      <c r="ASD240" s="15"/>
      <c r="ASE240" s="15"/>
      <c r="ASF240" s="15"/>
      <c r="ASG240" s="16"/>
      <c r="ASH240" s="16"/>
      <c r="ASI240" s="16"/>
      <c r="ASJ240" s="16"/>
      <c r="ASK240" s="16"/>
      <c r="ASL240" s="15"/>
      <c r="ASM240" s="15"/>
      <c r="ASN240" s="10"/>
      <c r="ASO240" s="10"/>
      <c r="ASP240" s="19"/>
      <c r="ASQ240" s="19"/>
      <c r="AST240" s="16"/>
      <c r="ASU240" s="15"/>
      <c r="ASV240" s="15"/>
      <c r="ASW240" s="15"/>
      <c r="ASX240" s="16"/>
      <c r="ASY240" s="16"/>
      <c r="ASZ240" s="16"/>
      <c r="ATA240" s="16"/>
      <c r="ATB240" s="16"/>
      <c r="ATC240" s="15"/>
      <c r="ATD240" s="15"/>
      <c r="ATE240" s="10"/>
      <c r="ATF240" s="10"/>
      <c r="ATG240" s="19"/>
      <c r="ATH240" s="19"/>
      <c r="ATK240" s="16"/>
      <c r="ATL240" s="15"/>
      <c r="ATM240" s="15"/>
      <c r="ATN240" s="15"/>
      <c r="ATO240" s="16"/>
      <c r="ATP240" s="16"/>
      <c r="ATQ240" s="16"/>
      <c r="ATR240" s="16"/>
      <c r="ATS240" s="16"/>
      <c r="ATT240" s="15"/>
      <c r="ATU240" s="15"/>
      <c r="ATV240" s="10"/>
      <c r="ATW240" s="10"/>
      <c r="ATX240" s="19"/>
      <c r="ATY240" s="19"/>
      <c r="AUB240" s="16"/>
      <c r="AUC240" s="15"/>
      <c r="AUD240" s="15"/>
      <c r="AUE240" s="15"/>
      <c r="AUF240" s="16"/>
      <c r="AUG240" s="16"/>
      <c r="AUH240" s="16"/>
      <c r="AUI240" s="16"/>
      <c r="AUJ240" s="16"/>
      <c r="AUK240" s="15"/>
      <c r="AUL240" s="15"/>
      <c r="AUM240" s="10"/>
      <c r="AUN240" s="10"/>
      <c r="AUO240" s="19"/>
      <c r="AUP240" s="19"/>
      <c r="AUS240" s="16"/>
      <c r="AUT240" s="15"/>
      <c r="AUU240" s="15"/>
      <c r="AUV240" s="15"/>
      <c r="AUW240" s="16"/>
      <c r="AUX240" s="16"/>
      <c r="AUY240" s="16"/>
      <c r="AUZ240" s="16"/>
      <c r="AVA240" s="16"/>
      <c r="AVB240" s="15"/>
      <c r="AVC240" s="15"/>
      <c r="AVD240" s="10"/>
      <c r="AVE240" s="10"/>
      <c r="AVF240" s="19"/>
      <c r="AVG240" s="19"/>
      <c r="AVJ240" s="16"/>
      <c r="AVK240" s="15"/>
      <c r="AVL240" s="15"/>
      <c r="AVM240" s="15"/>
      <c r="AVN240" s="16"/>
      <c r="AVO240" s="16"/>
      <c r="AVP240" s="16"/>
      <c r="AVQ240" s="16"/>
      <c r="AVR240" s="16"/>
      <c r="AVS240" s="15"/>
      <c r="AVT240" s="15"/>
      <c r="AVU240" s="10"/>
      <c r="AVV240" s="10"/>
      <c r="AVW240" s="19"/>
      <c r="AVX240" s="19"/>
      <c r="AWA240" s="16"/>
      <c r="AWB240" s="15"/>
      <c r="AWC240" s="15"/>
      <c r="AWD240" s="15"/>
      <c r="AWE240" s="16"/>
      <c r="AWF240" s="16"/>
      <c r="AWG240" s="16"/>
      <c r="AWH240" s="16"/>
      <c r="AWI240" s="16"/>
      <c r="AWJ240" s="15"/>
      <c r="AWK240" s="15"/>
      <c r="AWL240" s="10"/>
      <c r="AWM240" s="10"/>
      <c r="AWN240" s="19"/>
      <c r="AWO240" s="19"/>
      <c r="AWR240" s="16"/>
      <c r="AWS240" s="15"/>
      <c r="AWT240" s="15"/>
      <c r="AWU240" s="15"/>
      <c r="AWV240" s="16"/>
      <c r="AWW240" s="16"/>
      <c r="AWX240" s="16"/>
      <c r="AWY240" s="16"/>
      <c r="AWZ240" s="16"/>
      <c r="AXA240" s="15"/>
      <c r="AXB240" s="15"/>
      <c r="AXC240" s="10"/>
      <c r="AXD240" s="10"/>
      <c r="AXE240" s="19"/>
      <c r="AXF240" s="19"/>
      <c r="AXI240" s="16"/>
      <c r="AXJ240" s="15"/>
      <c r="AXK240" s="15"/>
      <c r="AXL240" s="15"/>
      <c r="AXM240" s="16"/>
      <c r="AXN240" s="16"/>
      <c r="AXO240" s="16"/>
      <c r="AXP240" s="16"/>
      <c r="AXQ240" s="16"/>
      <c r="AXR240" s="15"/>
      <c r="AXS240" s="15"/>
      <c r="AXT240" s="10"/>
      <c r="AXU240" s="10"/>
      <c r="AXV240" s="19"/>
      <c r="AXW240" s="19"/>
      <c r="AXZ240" s="16"/>
      <c r="AYA240" s="15"/>
      <c r="AYB240" s="15"/>
      <c r="AYC240" s="15"/>
      <c r="AYD240" s="16"/>
      <c r="AYE240" s="16"/>
      <c r="AYF240" s="16"/>
      <c r="AYG240" s="16"/>
      <c r="AYH240" s="16"/>
      <c r="AYI240" s="15"/>
      <c r="AYJ240" s="15"/>
      <c r="AYK240" s="10"/>
      <c r="AYL240" s="10"/>
      <c r="AYM240" s="19"/>
      <c r="AYN240" s="19"/>
      <c r="AYQ240" s="16"/>
      <c r="AYR240" s="15"/>
      <c r="AYS240" s="15"/>
      <c r="AYT240" s="15"/>
      <c r="AYU240" s="16"/>
      <c r="AYV240" s="16"/>
      <c r="AYW240" s="16"/>
      <c r="AYX240" s="16"/>
      <c r="AYY240" s="16"/>
      <c r="AYZ240" s="15"/>
      <c r="AZA240" s="15"/>
      <c r="AZB240" s="10"/>
      <c r="AZC240" s="10"/>
      <c r="AZD240" s="19"/>
      <c r="AZE240" s="19"/>
      <c r="AZH240" s="16"/>
      <c r="AZI240" s="15"/>
      <c r="AZJ240" s="15"/>
      <c r="AZK240" s="15"/>
      <c r="AZL240" s="16"/>
      <c r="AZM240" s="16"/>
      <c r="AZN240" s="16"/>
      <c r="AZO240" s="16"/>
      <c r="AZP240" s="16"/>
      <c r="AZQ240" s="15"/>
      <c r="AZR240" s="15"/>
      <c r="AZS240" s="10"/>
      <c r="AZT240" s="10"/>
      <c r="AZU240" s="19"/>
      <c r="AZV240" s="19"/>
      <c r="AZY240" s="16"/>
      <c r="AZZ240" s="15"/>
      <c r="BAA240" s="15"/>
      <c r="BAB240" s="15"/>
      <c r="BAC240" s="16"/>
      <c r="BAD240" s="16"/>
      <c r="BAE240" s="16"/>
      <c r="BAF240" s="16"/>
      <c r="BAG240" s="16"/>
      <c r="BAH240" s="15"/>
      <c r="BAI240" s="15"/>
      <c r="BAJ240" s="10"/>
      <c r="BAK240" s="10"/>
      <c r="BAL240" s="19"/>
      <c r="BAM240" s="19"/>
      <c r="BAP240" s="16"/>
      <c r="BAQ240" s="15"/>
      <c r="BAR240" s="15"/>
      <c r="BAS240" s="15"/>
      <c r="BAT240" s="16"/>
      <c r="BAU240" s="16"/>
      <c r="BAV240" s="16"/>
      <c r="BAW240" s="16"/>
      <c r="BAX240" s="16"/>
      <c r="BAY240" s="15"/>
      <c r="BAZ240" s="15"/>
      <c r="BBA240" s="10"/>
      <c r="BBB240" s="10"/>
      <c r="BBC240" s="19"/>
      <c r="BBD240" s="19"/>
      <c r="BBG240" s="16"/>
      <c r="BBH240" s="15"/>
      <c r="BBI240" s="15"/>
      <c r="BBJ240" s="15"/>
      <c r="BBK240" s="16"/>
      <c r="BBL240" s="16"/>
      <c r="BBM240" s="16"/>
      <c r="BBN240" s="16"/>
      <c r="BBO240" s="16"/>
      <c r="BBP240" s="15"/>
      <c r="BBQ240" s="15"/>
      <c r="BBR240" s="10"/>
      <c r="BBS240" s="10"/>
      <c r="BBT240" s="19"/>
      <c r="BBU240" s="19"/>
      <c r="BBX240" s="16"/>
      <c r="BBY240" s="15"/>
      <c r="BBZ240" s="15"/>
      <c r="BCA240" s="15"/>
      <c r="BCB240" s="16"/>
      <c r="BCC240" s="16"/>
      <c r="BCD240" s="16"/>
      <c r="BCE240" s="16"/>
      <c r="BCF240" s="16"/>
      <c r="BCG240" s="15"/>
      <c r="BCH240" s="15"/>
      <c r="BCI240" s="10"/>
      <c r="BCJ240" s="10"/>
      <c r="BCK240" s="19"/>
      <c r="BCL240" s="19"/>
      <c r="BCO240" s="16"/>
      <c r="BCP240" s="15"/>
      <c r="BCQ240" s="15"/>
      <c r="BCR240" s="15"/>
      <c r="BCS240" s="16"/>
      <c r="BCT240" s="16"/>
      <c r="BCU240" s="16"/>
      <c r="BCV240" s="16"/>
      <c r="BCW240" s="16"/>
      <c r="BCX240" s="15"/>
      <c r="BCY240" s="15"/>
      <c r="BCZ240" s="10"/>
      <c r="BDA240" s="10"/>
      <c r="BDB240" s="19"/>
      <c r="BDC240" s="19"/>
      <c r="BDF240" s="16"/>
      <c r="BDG240" s="15"/>
      <c r="BDH240" s="15"/>
      <c r="BDI240" s="15"/>
      <c r="BDJ240" s="16"/>
      <c r="BDK240" s="16"/>
      <c r="BDL240" s="16"/>
      <c r="BDM240" s="16"/>
      <c r="BDN240" s="16"/>
      <c r="BDO240" s="15"/>
      <c r="BDP240" s="15"/>
      <c r="BDQ240" s="10"/>
      <c r="BDR240" s="10"/>
      <c r="BDS240" s="19"/>
      <c r="BDT240" s="19"/>
      <c r="BDW240" s="16"/>
      <c r="BDX240" s="15"/>
      <c r="BDY240" s="15"/>
      <c r="BDZ240" s="15"/>
      <c r="BEA240" s="16"/>
      <c r="BEB240" s="16"/>
      <c r="BEC240" s="16"/>
      <c r="BED240" s="16"/>
      <c r="BEE240" s="16"/>
      <c r="BEF240" s="15"/>
      <c r="BEG240" s="15"/>
      <c r="BEH240" s="10"/>
      <c r="BEI240" s="10"/>
      <c r="BEJ240" s="19"/>
      <c r="BEK240" s="19"/>
      <c r="BEN240" s="16"/>
      <c r="BEO240" s="15"/>
      <c r="BEP240" s="15"/>
      <c r="BEQ240" s="15"/>
      <c r="BER240" s="16"/>
      <c r="BES240" s="16"/>
      <c r="BET240" s="16"/>
      <c r="BEU240" s="16"/>
      <c r="BEV240" s="16"/>
      <c r="BEW240" s="15"/>
      <c r="BEX240" s="15"/>
      <c r="BEY240" s="10"/>
      <c r="BEZ240" s="10"/>
      <c r="BFA240" s="19"/>
      <c r="BFB240" s="19"/>
      <c r="BFE240" s="16"/>
      <c r="BFF240" s="15"/>
      <c r="BFG240" s="15"/>
      <c r="BFH240" s="15"/>
      <c r="BFI240" s="16"/>
      <c r="BFJ240" s="16"/>
      <c r="BFK240" s="16"/>
      <c r="BFL240" s="16"/>
      <c r="BFM240" s="16"/>
      <c r="BFN240" s="15"/>
      <c r="BFO240" s="15"/>
      <c r="BFP240" s="10"/>
      <c r="BFQ240" s="10"/>
      <c r="BFR240" s="19"/>
      <c r="BFS240" s="19"/>
      <c r="BFV240" s="16"/>
      <c r="BFW240" s="15"/>
      <c r="BFX240" s="15"/>
      <c r="BFY240" s="15"/>
      <c r="BFZ240" s="16"/>
      <c r="BGA240" s="16"/>
      <c r="BGB240" s="16"/>
      <c r="BGC240" s="16"/>
      <c r="BGD240" s="16"/>
      <c r="BGE240" s="15"/>
      <c r="BGF240" s="15"/>
      <c r="BGG240" s="10"/>
      <c r="BGH240" s="10"/>
      <c r="BGI240" s="19"/>
      <c r="BGJ240" s="19"/>
      <c r="BGM240" s="16"/>
      <c r="BGN240" s="15"/>
      <c r="BGO240" s="15"/>
      <c r="BGP240" s="15"/>
      <c r="BGQ240" s="16"/>
      <c r="BGR240" s="16"/>
      <c r="BGS240" s="16"/>
      <c r="BGT240" s="16"/>
      <c r="BGU240" s="16"/>
      <c r="BGV240" s="15"/>
      <c r="BGW240" s="15"/>
      <c r="BGX240" s="10"/>
      <c r="BGY240" s="10"/>
      <c r="BGZ240" s="19"/>
      <c r="BHA240" s="19"/>
      <c r="BHD240" s="16"/>
      <c r="BHE240" s="15"/>
      <c r="BHF240" s="15"/>
      <c r="BHG240" s="15"/>
      <c r="BHH240" s="16"/>
      <c r="BHI240" s="16"/>
      <c r="BHJ240" s="16"/>
      <c r="BHK240" s="16"/>
      <c r="BHL240" s="16"/>
      <c r="BHM240" s="15"/>
      <c r="BHN240" s="15"/>
      <c r="BHO240" s="10"/>
      <c r="BHP240" s="10"/>
      <c r="BHQ240" s="19"/>
      <c r="BHR240" s="19"/>
      <c r="BHU240" s="16"/>
      <c r="BHV240" s="15"/>
      <c r="BHW240" s="15"/>
      <c r="BHX240" s="15"/>
      <c r="BHY240" s="16"/>
      <c r="BHZ240" s="16"/>
      <c r="BIA240" s="16"/>
      <c r="BIB240" s="16"/>
      <c r="BIC240" s="16"/>
      <c r="BID240" s="15"/>
      <c r="BIE240" s="15"/>
      <c r="BIF240" s="10"/>
      <c r="BIG240" s="10"/>
      <c r="BIH240" s="19"/>
      <c r="BII240" s="19"/>
      <c r="BIL240" s="16"/>
      <c r="BIM240" s="15"/>
      <c r="BIN240" s="15"/>
      <c r="BIO240" s="15"/>
      <c r="BIP240" s="16"/>
      <c r="BIQ240" s="16"/>
      <c r="BIR240" s="16"/>
      <c r="BIS240" s="16"/>
      <c r="BIT240" s="16"/>
      <c r="BIU240" s="15"/>
      <c r="BIV240" s="15"/>
      <c r="BIW240" s="10"/>
      <c r="BIX240" s="10"/>
      <c r="BIY240" s="19"/>
      <c r="BIZ240" s="19"/>
      <c r="BJC240" s="16"/>
      <c r="BJD240" s="15"/>
      <c r="BJE240" s="15"/>
      <c r="BJF240" s="15"/>
      <c r="BJG240" s="16"/>
      <c r="BJH240" s="16"/>
      <c r="BJI240" s="16"/>
      <c r="BJJ240" s="16"/>
      <c r="BJK240" s="16"/>
      <c r="BJL240" s="15"/>
      <c r="BJM240" s="15"/>
      <c r="BJN240" s="10"/>
      <c r="BJO240" s="10"/>
      <c r="BJP240" s="19"/>
      <c r="BJQ240" s="19"/>
      <c r="BJT240" s="16"/>
      <c r="BJU240" s="15"/>
      <c r="BJV240" s="15"/>
      <c r="BJW240" s="15"/>
      <c r="BJX240" s="16"/>
      <c r="BJY240" s="16"/>
      <c r="BJZ240" s="16"/>
      <c r="BKA240" s="16"/>
      <c r="BKB240" s="16"/>
      <c r="BKC240" s="15"/>
      <c r="BKD240" s="15"/>
      <c r="BKE240" s="10"/>
      <c r="BKF240" s="10"/>
      <c r="BKG240" s="19"/>
      <c r="BKH240" s="19"/>
      <c r="BKK240" s="16"/>
      <c r="BKL240" s="15"/>
      <c r="BKM240" s="15"/>
      <c r="BKN240" s="15"/>
      <c r="BKO240" s="16"/>
      <c r="BKP240" s="16"/>
      <c r="BKQ240" s="16"/>
      <c r="BKR240" s="16"/>
      <c r="BKS240" s="16"/>
      <c r="BKT240" s="15"/>
      <c r="BKU240" s="15"/>
      <c r="BKV240" s="10"/>
      <c r="BKW240" s="10"/>
      <c r="BKX240" s="19"/>
      <c r="BKY240" s="19"/>
      <c r="BLB240" s="16"/>
      <c r="BLC240" s="15"/>
      <c r="BLD240" s="15"/>
      <c r="BLE240" s="15"/>
      <c r="BLF240" s="16"/>
      <c r="BLG240" s="16"/>
      <c r="BLH240" s="16"/>
      <c r="BLI240" s="16"/>
      <c r="BLJ240" s="16"/>
      <c r="BLK240" s="15"/>
      <c r="BLL240" s="15"/>
      <c r="BLM240" s="10"/>
      <c r="BLN240" s="10"/>
      <c r="BLO240" s="19"/>
      <c r="BLP240" s="19"/>
      <c r="BLS240" s="16"/>
      <c r="BLT240" s="15"/>
      <c r="BLU240" s="15"/>
      <c r="BLV240" s="15"/>
      <c r="BLW240" s="16"/>
      <c r="BLX240" s="16"/>
      <c r="BLY240" s="16"/>
      <c r="BLZ240" s="16"/>
      <c r="BMA240" s="16"/>
      <c r="BMB240" s="15"/>
      <c r="BMC240" s="15"/>
      <c r="BMD240" s="10"/>
      <c r="BME240" s="10"/>
      <c r="BMF240" s="19"/>
      <c r="BMG240" s="19"/>
      <c r="BMJ240" s="16"/>
      <c r="BMK240" s="15"/>
      <c r="BML240" s="15"/>
      <c r="BMM240" s="15"/>
      <c r="BMN240" s="16"/>
      <c r="BMO240" s="16"/>
      <c r="BMP240" s="16"/>
      <c r="BMQ240" s="16"/>
      <c r="BMR240" s="16"/>
      <c r="BMS240" s="15"/>
      <c r="BMT240" s="15"/>
      <c r="BMU240" s="10"/>
      <c r="BMV240" s="10"/>
      <c r="BMW240" s="19"/>
      <c r="BMX240" s="19"/>
      <c r="BNA240" s="16"/>
      <c r="BNB240" s="15"/>
      <c r="BNC240" s="15"/>
      <c r="BND240" s="15"/>
      <c r="BNE240" s="16"/>
      <c r="BNF240" s="16"/>
      <c r="BNG240" s="16"/>
      <c r="BNH240" s="16"/>
      <c r="BNI240" s="16"/>
      <c r="BNJ240" s="15"/>
      <c r="BNK240" s="15"/>
      <c r="BNL240" s="10"/>
      <c r="BNM240" s="10"/>
      <c r="BNN240" s="19"/>
      <c r="BNO240" s="19"/>
      <c r="BNR240" s="16"/>
      <c r="BNS240" s="15"/>
      <c r="BNT240" s="15"/>
      <c r="BNU240" s="15"/>
      <c r="BNV240" s="16"/>
      <c r="BNW240" s="16"/>
      <c r="BNX240" s="16"/>
      <c r="BNY240" s="16"/>
      <c r="BNZ240" s="16"/>
      <c r="BOA240" s="15"/>
      <c r="BOB240" s="15"/>
      <c r="BOC240" s="10"/>
      <c r="BOD240" s="10"/>
      <c r="BOE240" s="19"/>
      <c r="BOF240" s="19"/>
      <c r="BOI240" s="16"/>
      <c r="BOJ240" s="15"/>
      <c r="BOK240" s="15"/>
      <c r="BOL240" s="15"/>
      <c r="BOM240" s="16"/>
      <c r="BON240" s="16"/>
      <c r="BOO240" s="16"/>
      <c r="BOP240" s="16"/>
      <c r="BOQ240" s="16"/>
      <c r="BOR240" s="15"/>
      <c r="BOS240" s="15"/>
      <c r="BOT240" s="10"/>
      <c r="BOU240" s="10"/>
      <c r="BOV240" s="19"/>
      <c r="BOW240" s="19"/>
      <c r="BOZ240" s="16"/>
      <c r="BPA240" s="15"/>
      <c r="BPB240" s="15"/>
      <c r="BPC240" s="15"/>
      <c r="BPD240" s="16"/>
      <c r="BPE240" s="16"/>
      <c r="BPF240" s="16"/>
      <c r="BPG240" s="16"/>
      <c r="BPH240" s="16"/>
      <c r="BPI240" s="15"/>
      <c r="BPJ240" s="15"/>
      <c r="BPK240" s="10"/>
      <c r="BPL240" s="10"/>
      <c r="BPM240" s="19"/>
      <c r="BPN240" s="19"/>
      <c r="BPQ240" s="16"/>
      <c r="BPR240" s="15"/>
      <c r="BPS240" s="15"/>
      <c r="BPT240" s="15"/>
      <c r="BPU240" s="16"/>
      <c r="BPV240" s="16"/>
      <c r="BPW240" s="16"/>
      <c r="BPX240" s="16"/>
      <c r="BPY240" s="16"/>
      <c r="BPZ240" s="15"/>
      <c r="BQA240" s="15"/>
      <c r="BQB240" s="10"/>
      <c r="BQC240" s="10"/>
      <c r="BQD240" s="19"/>
      <c r="BQE240" s="19"/>
      <c r="BQH240" s="16"/>
      <c r="BQI240" s="15"/>
      <c r="BQJ240" s="15"/>
      <c r="BQK240" s="15"/>
      <c r="BQL240" s="16"/>
      <c r="BQM240" s="16"/>
      <c r="BQN240" s="16"/>
      <c r="BQO240" s="16"/>
      <c r="BQP240" s="16"/>
      <c r="BQQ240" s="15"/>
      <c r="BQR240" s="15"/>
      <c r="BQS240" s="10"/>
      <c r="BQT240" s="10"/>
      <c r="BQU240" s="19"/>
      <c r="BQV240" s="19"/>
      <c r="BQY240" s="16"/>
      <c r="BQZ240" s="15"/>
      <c r="BRA240" s="15"/>
      <c r="BRB240" s="15"/>
      <c r="BRC240" s="16"/>
      <c r="BRD240" s="16"/>
      <c r="BRE240" s="16"/>
      <c r="BRF240" s="16"/>
      <c r="BRG240" s="16"/>
      <c r="BRH240" s="15"/>
      <c r="BRI240" s="15"/>
      <c r="BRJ240" s="10"/>
      <c r="BRK240" s="10"/>
      <c r="BRL240" s="19"/>
      <c r="BRM240" s="19"/>
      <c r="BRP240" s="16"/>
      <c r="BRQ240" s="15"/>
      <c r="BRR240" s="15"/>
      <c r="BRS240" s="15"/>
      <c r="BRT240" s="16"/>
      <c r="BRU240" s="16"/>
      <c r="BRV240" s="16"/>
      <c r="BRW240" s="16"/>
      <c r="BRX240" s="16"/>
      <c r="BRY240" s="15"/>
      <c r="BRZ240" s="15"/>
      <c r="BSA240" s="10"/>
      <c r="BSB240" s="10"/>
      <c r="BSC240" s="19"/>
      <c r="BSD240" s="19"/>
      <c r="BSG240" s="16"/>
      <c r="BSH240" s="15"/>
      <c r="BSI240" s="15"/>
      <c r="BSJ240" s="15"/>
      <c r="BSK240" s="16"/>
      <c r="BSL240" s="16"/>
      <c r="BSM240" s="16"/>
      <c r="BSN240" s="16"/>
      <c r="BSO240" s="16"/>
      <c r="BSP240" s="15"/>
      <c r="BSQ240" s="15"/>
      <c r="BSR240" s="10"/>
      <c r="BSS240" s="10"/>
      <c r="BST240" s="19"/>
      <c r="BSU240" s="19"/>
      <c r="BSX240" s="16"/>
      <c r="BSY240" s="15"/>
      <c r="BSZ240" s="15"/>
      <c r="BTA240" s="15"/>
      <c r="BTB240" s="16"/>
      <c r="BTC240" s="16"/>
      <c r="BTD240" s="16"/>
      <c r="BTE240" s="16"/>
      <c r="BTF240" s="16"/>
      <c r="BTG240" s="15"/>
      <c r="BTH240" s="15"/>
      <c r="BTI240" s="10"/>
      <c r="BTJ240" s="10"/>
      <c r="BTK240" s="19"/>
      <c r="BTL240" s="19"/>
      <c r="BTO240" s="16"/>
      <c r="BTP240" s="15"/>
      <c r="BTQ240" s="15"/>
      <c r="BTR240" s="15"/>
      <c r="BTS240" s="16"/>
      <c r="BTT240" s="16"/>
      <c r="BTU240" s="16"/>
      <c r="BTV240" s="16"/>
      <c r="BTW240" s="16"/>
      <c r="BTX240" s="15"/>
      <c r="BTY240" s="15"/>
      <c r="BTZ240" s="10"/>
      <c r="BUA240" s="10"/>
      <c r="BUB240" s="19"/>
      <c r="BUC240" s="19"/>
      <c r="BUF240" s="16"/>
      <c r="BUG240" s="15"/>
      <c r="BUH240" s="15"/>
      <c r="BUI240" s="15"/>
      <c r="BUJ240" s="16"/>
      <c r="BUK240" s="16"/>
      <c r="BUL240" s="16"/>
      <c r="BUM240" s="16"/>
      <c r="BUN240" s="16"/>
      <c r="BUO240" s="15"/>
      <c r="BUP240" s="15"/>
      <c r="BUQ240" s="10"/>
      <c r="BUR240" s="10"/>
      <c r="BUS240" s="19"/>
      <c r="BUT240" s="19"/>
      <c r="BUW240" s="16"/>
      <c r="BUX240" s="15"/>
      <c r="BUY240" s="15"/>
      <c r="BUZ240" s="15"/>
      <c r="BVA240" s="16"/>
      <c r="BVB240" s="16"/>
      <c r="BVC240" s="16"/>
      <c r="BVD240" s="16"/>
      <c r="BVE240" s="16"/>
      <c r="BVF240" s="15"/>
      <c r="BVG240" s="15"/>
      <c r="BVH240" s="10"/>
      <c r="BVI240" s="10"/>
      <c r="BVJ240" s="19"/>
      <c r="BVK240" s="19"/>
      <c r="BVN240" s="16"/>
      <c r="BVO240" s="15"/>
      <c r="BVP240" s="15"/>
      <c r="BVQ240" s="15"/>
      <c r="BVR240" s="16"/>
      <c r="BVS240" s="16"/>
      <c r="BVT240" s="16"/>
      <c r="BVU240" s="16"/>
      <c r="BVV240" s="16"/>
      <c r="BVW240" s="15"/>
      <c r="BVX240" s="15"/>
      <c r="BVY240" s="10"/>
      <c r="BVZ240" s="10"/>
      <c r="BWA240" s="19"/>
      <c r="BWB240" s="19"/>
      <c r="BWE240" s="16"/>
      <c r="BWF240" s="15"/>
      <c r="BWG240" s="15"/>
      <c r="BWH240" s="15"/>
      <c r="BWI240" s="16"/>
      <c r="BWJ240" s="16"/>
      <c r="BWK240" s="16"/>
      <c r="BWL240" s="16"/>
      <c r="BWM240" s="16"/>
      <c r="BWN240" s="15"/>
      <c r="BWO240" s="15"/>
      <c r="BWP240" s="10"/>
      <c r="BWQ240" s="10"/>
      <c r="BWR240" s="19"/>
      <c r="BWS240" s="19"/>
      <c r="BWV240" s="16"/>
      <c r="BWW240" s="15"/>
      <c r="BWX240" s="15"/>
      <c r="BWY240" s="15"/>
      <c r="BWZ240" s="16"/>
      <c r="BXA240" s="16"/>
      <c r="BXB240" s="16"/>
      <c r="BXC240" s="16"/>
      <c r="BXD240" s="16"/>
      <c r="BXE240" s="15"/>
      <c r="BXF240" s="15"/>
      <c r="BXG240" s="10"/>
      <c r="BXH240" s="10"/>
      <c r="BXI240" s="19"/>
      <c r="BXJ240" s="19"/>
      <c r="BXM240" s="16"/>
      <c r="BXN240" s="15"/>
      <c r="BXO240" s="15"/>
      <c r="BXP240" s="15"/>
      <c r="BXQ240" s="16"/>
      <c r="BXR240" s="16"/>
      <c r="BXS240" s="16"/>
      <c r="BXT240" s="16"/>
      <c r="BXU240" s="16"/>
      <c r="BXV240" s="15"/>
      <c r="BXW240" s="15"/>
      <c r="BXX240" s="10"/>
      <c r="BXY240" s="10"/>
      <c r="BXZ240" s="19"/>
      <c r="BYA240" s="19"/>
      <c r="BYD240" s="16"/>
      <c r="BYE240" s="15"/>
      <c r="BYF240" s="15"/>
      <c r="BYG240" s="15"/>
      <c r="BYH240" s="16"/>
      <c r="BYI240" s="16"/>
      <c r="BYJ240" s="16"/>
      <c r="BYK240" s="16"/>
      <c r="BYL240" s="16"/>
      <c r="BYM240" s="15"/>
      <c r="BYN240" s="15"/>
      <c r="BYO240" s="10"/>
      <c r="BYP240" s="10"/>
      <c r="BYQ240" s="19"/>
      <c r="BYR240" s="19"/>
      <c r="BYU240" s="16"/>
      <c r="BYV240" s="15"/>
      <c r="BYW240" s="15"/>
      <c r="BYX240" s="15"/>
      <c r="BYY240" s="16"/>
      <c r="BYZ240" s="16"/>
      <c r="BZA240" s="16"/>
      <c r="BZB240" s="16"/>
      <c r="BZC240" s="16"/>
      <c r="BZD240" s="15"/>
      <c r="BZE240" s="15"/>
      <c r="BZF240" s="10"/>
      <c r="BZG240" s="10"/>
      <c r="BZH240" s="19"/>
      <c r="BZI240" s="19"/>
      <c r="BZL240" s="16"/>
      <c r="BZM240" s="15"/>
      <c r="BZN240" s="15"/>
      <c r="BZO240" s="15"/>
      <c r="BZP240" s="16"/>
      <c r="BZQ240" s="16"/>
      <c r="BZR240" s="16"/>
      <c r="BZS240" s="16"/>
      <c r="BZT240" s="16"/>
      <c r="BZU240" s="15"/>
      <c r="BZV240" s="15"/>
      <c r="BZW240" s="10"/>
      <c r="BZX240" s="10"/>
      <c r="BZY240" s="19"/>
      <c r="BZZ240" s="19"/>
      <c r="CAC240" s="16"/>
      <c r="CAD240" s="15"/>
      <c r="CAE240" s="15"/>
      <c r="CAF240" s="15"/>
      <c r="CAG240" s="16"/>
      <c r="CAH240" s="16"/>
      <c r="CAI240" s="16"/>
      <c r="CAJ240" s="16"/>
      <c r="CAK240" s="16"/>
      <c r="CAL240" s="15"/>
      <c r="CAM240" s="15"/>
      <c r="CAN240" s="10"/>
      <c r="CAO240" s="10"/>
      <c r="CAP240" s="19"/>
      <c r="CAQ240" s="19"/>
      <c r="CAT240" s="16"/>
      <c r="CAU240" s="15"/>
      <c r="CAV240" s="15"/>
      <c r="CAW240" s="15"/>
      <c r="CAX240" s="16"/>
      <c r="CAY240" s="16"/>
      <c r="CAZ240" s="16"/>
      <c r="CBA240" s="16"/>
      <c r="CBB240" s="16"/>
      <c r="CBC240" s="15"/>
      <c r="CBD240" s="15"/>
      <c r="CBE240" s="10"/>
      <c r="CBF240" s="10"/>
      <c r="CBG240" s="19"/>
      <c r="CBH240" s="19"/>
      <c r="CBK240" s="16"/>
      <c r="CBL240" s="15"/>
      <c r="CBM240" s="15"/>
      <c r="CBN240" s="15"/>
      <c r="CBO240" s="16"/>
      <c r="CBP240" s="16"/>
      <c r="CBQ240" s="16"/>
      <c r="CBR240" s="16"/>
      <c r="CBS240" s="16"/>
      <c r="CBT240" s="15"/>
      <c r="CBU240" s="15"/>
      <c r="CBV240" s="10"/>
      <c r="CBW240" s="10"/>
      <c r="CBX240" s="19"/>
      <c r="CBY240" s="19"/>
      <c r="CCB240" s="16"/>
      <c r="CCC240" s="15"/>
      <c r="CCD240" s="15"/>
      <c r="CCE240" s="15"/>
      <c r="CCF240" s="16"/>
      <c r="CCG240" s="16"/>
      <c r="CCH240" s="16"/>
      <c r="CCI240" s="16"/>
      <c r="CCJ240" s="16"/>
      <c r="CCK240" s="15"/>
      <c r="CCL240" s="15"/>
      <c r="CCM240" s="10"/>
      <c r="CCN240" s="10"/>
      <c r="CCO240" s="19"/>
      <c r="CCP240" s="19"/>
      <c r="CCS240" s="16"/>
      <c r="CCT240" s="15"/>
      <c r="CCU240" s="15"/>
      <c r="CCV240" s="15"/>
      <c r="CCW240" s="16"/>
      <c r="CCX240" s="16"/>
      <c r="CCY240" s="16"/>
      <c r="CCZ240" s="16"/>
      <c r="CDA240" s="16"/>
      <c r="CDB240" s="15"/>
      <c r="CDC240" s="15"/>
      <c r="CDD240" s="10"/>
      <c r="CDE240" s="10"/>
      <c r="CDF240" s="19"/>
      <c r="CDG240" s="19"/>
      <c r="CDJ240" s="16"/>
      <c r="CDK240" s="15"/>
      <c r="CDL240" s="15"/>
      <c r="CDM240" s="15"/>
      <c r="CDN240" s="16"/>
      <c r="CDO240" s="16"/>
      <c r="CDP240" s="16"/>
      <c r="CDQ240" s="16"/>
      <c r="CDR240" s="16"/>
      <c r="CDS240" s="15"/>
      <c r="CDT240" s="15"/>
      <c r="CDU240" s="10"/>
      <c r="CDV240" s="10"/>
      <c r="CDW240" s="19"/>
      <c r="CDX240" s="19"/>
      <c r="CEA240" s="16"/>
      <c r="CEB240" s="15"/>
      <c r="CEC240" s="15"/>
      <c r="CED240" s="15"/>
      <c r="CEE240" s="16"/>
      <c r="CEF240" s="16"/>
      <c r="CEG240" s="16"/>
      <c r="CEH240" s="16"/>
      <c r="CEI240" s="16"/>
      <c r="CEJ240" s="15"/>
      <c r="CEK240" s="15"/>
      <c r="CEL240" s="10"/>
      <c r="CEM240" s="10"/>
      <c r="CEN240" s="19"/>
      <c r="CEO240" s="19"/>
      <c r="CER240" s="16"/>
      <c r="CES240" s="15"/>
      <c r="CET240" s="15"/>
      <c r="CEU240" s="15"/>
      <c r="CEV240" s="16"/>
      <c r="CEW240" s="16"/>
      <c r="CEX240" s="16"/>
      <c r="CEY240" s="16"/>
      <c r="CEZ240" s="16"/>
      <c r="CFA240" s="15"/>
      <c r="CFB240" s="15"/>
      <c r="CFC240" s="10"/>
      <c r="CFD240" s="10"/>
      <c r="CFE240" s="19"/>
      <c r="CFF240" s="19"/>
      <c r="CFI240" s="16"/>
      <c r="CFJ240" s="15"/>
      <c r="CFK240" s="15"/>
      <c r="CFL240" s="15"/>
      <c r="CFM240" s="16"/>
      <c r="CFN240" s="16"/>
      <c r="CFO240" s="16"/>
      <c r="CFP240" s="16"/>
      <c r="CFQ240" s="16"/>
      <c r="CFR240" s="15"/>
      <c r="CFS240" s="15"/>
      <c r="CFT240" s="10"/>
      <c r="CFU240" s="10"/>
      <c r="CFV240" s="19"/>
      <c r="CFW240" s="19"/>
      <c r="CFZ240" s="16"/>
      <c r="CGA240" s="15"/>
      <c r="CGB240" s="15"/>
      <c r="CGC240" s="15"/>
      <c r="CGD240" s="16"/>
      <c r="CGE240" s="16"/>
      <c r="CGF240" s="16"/>
      <c r="CGG240" s="16"/>
      <c r="CGH240" s="16"/>
      <c r="CGI240" s="15"/>
      <c r="CGJ240" s="15"/>
      <c r="CGK240" s="10"/>
      <c r="CGL240" s="10"/>
      <c r="CGM240" s="19"/>
      <c r="CGN240" s="19"/>
      <c r="CGQ240" s="16"/>
      <c r="CGR240" s="15"/>
      <c r="CGS240" s="15"/>
      <c r="CGT240" s="15"/>
      <c r="CGU240" s="16"/>
      <c r="CGV240" s="16"/>
      <c r="CGW240" s="16"/>
      <c r="CGX240" s="16"/>
      <c r="CGY240" s="16"/>
      <c r="CGZ240" s="15"/>
      <c r="CHA240" s="15"/>
      <c r="CHB240" s="10"/>
      <c r="CHC240" s="10"/>
      <c r="CHD240" s="19"/>
      <c r="CHE240" s="19"/>
      <c r="CHH240" s="16"/>
      <c r="CHI240" s="15"/>
      <c r="CHJ240" s="15"/>
      <c r="CHK240" s="15"/>
      <c r="CHL240" s="16"/>
      <c r="CHM240" s="16"/>
      <c r="CHN240" s="16"/>
      <c r="CHO240" s="16"/>
      <c r="CHP240" s="16"/>
      <c r="CHQ240" s="15"/>
      <c r="CHR240" s="15"/>
      <c r="CHS240" s="10"/>
      <c r="CHT240" s="10"/>
      <c r="CHU240" s="19"/>
      <c r="CHV240" s="19"/>
      <c r="CHY240" s="16"/>
      <c r="CHZ240" s="15"/>
      <c r="CIA240" s="15"/>
      <c r="CIB240" s="15"/>
      <c r="CIC240" s="16"/>
      <c r="CID240" s="16"/>
      <c r="CIE240" s="16"/>
      <c r="CIF240" s="16"/>
      <c r="CIG240" s="16"/>
      <c r="CIH240" s="15"/>
      <c r="CII240" s="15"/>
      <c r="CIJ240" s="10"/>
      <c r="CIK240" s="10"/>
      <c r="CIL240" s="19"/>
      <c r="CIM240" s="19"/>
      <c r="CIP240" s="16"/>
      <c r="CIQ240" s="15"/>
      <c r="CIR240" s="15"/>
      <c r="CIS240" s="15"/>
      <c r="CIT240" s="16"/>
      <c r="CIU240" s="16"/>
      <c r="CIV240" s="16"/>
      <c r="CIW240" s="16"/>
      <c r="CIX240" s="16"/>
      <c r="CIY240" s="15"/>
      <c r="CIZ240" s="15"/>
      <c r="CJA240" s="10"/>
      <c r="CJB240" s="10"/>
      <c r="CJC240" s="19"/>
      <c r="CJD240" s="19"/>
      <c r="CJG240" s="16"/>
      <c r="CJH240" s="15"/>
      <c r="CJI240" s="15"/>
      <c r="CJJ240" s="15"/>
      <c r="CJK240" s="16"/>
      <c r="CJL240" s="16"/>
      <c r="CJM240" s="16"/>
      <c r="CJN240" s="16"/>
      <c r="CJO240" s="16"/>
      <c r="CJP240" s="15"/>
      <c r="CJQ240" s="15"/>
      <c r="CJR240" s="10"/>
      <c r="CJS240" s="10"/>
      <c r="CJT240" s="19"/>
      <c r="CJU240" s="19"/>
      <c r="CJX240" s="16"/>
      <c r="CJY240" s="15"/>
      <c r="CJZ240" s="15"/>
      <c r="CKA240" s="15"/>
      <c r="CKB240" s="16"/>
      <c r="CKC240" s="16"/>
      <c r="CKD240" s="16"/>
      <c r="CKE240" s="16"/>
      <c r="CKF240" s="16"/>
      <c r="CKG240" s="15"/>
      <c r="CKH240" s="15"/>
      <c r="CKI240" s="10"/>
      <c r="CKJ240" s="10"/>
      <c r="CKK240" s="19"/>
      <c r="CKL240" s="19"/>
      <c r="CKO240" s="16"/>
      <c r="CKP240" s="15"/>
      <c r="CKQ240" s="15"/>
      <c r="CKR240" s="15"/>
      <c r="CKS240" s="16"/>
      <c r="CKT240" s="16"/>
      <c r="CKU240" s="16"/>
      <c r="CKV240" s="16"/>
      <c r="CKW240" s="16"/>
      <c r="CKX240" s="15"/>
      <c r="CKY240" s="15"/>
      <c r="CKZ240" s="10"/>
      <c r="CLA240" s="10"/>
      <c r="CLB240" s="19"/>
      <c r="CLC240" s="19"/>
      <c r="CLF240" s="16"/>
      <c r="CLG240" s="15"/>
      <c r="CLH240" s="15"/>
      <c r="CLI240" s="15"/>
      <c r="CLJ240" s="16"/>
      <c r="CLK240" s="16"/>
      <c r="CLL240" s="16"/>
      <c r="CLM240" s="16"/>
      <c r="CLN240" s="16"/>
      <c r="CLO240" s="15"/>
      <c r="CLP240" s="15"/>
      <c r="CLQ240" s="10"/>
      <c r="CLR240" s="10"/>
      <c r="CLS240" s="19"/>
      <c r="CLT240" s="19"/>
      <c r="CLW240" s="16"/>
      <c r="CLX240" s="15"/>
      <c r="CLY240" s="15"/>
      <c r="CLZ240" s="15"/>
      <c r="CMA240" s="16"/>
      <c r="CMB240" s="16"/>
      <c r="CMC240" s="16"/>
      <c r="CMD240" s="16"/>
      <c r="CME240" s="16"/>
      <c r="CMF240" s="15"/>
      <c r="CMG240" s="15"/>
      <c r="CMH240" s="10"/>
      <c r="CMI240" s="10"/>
      <c r="CMJ240" s="19"/>
      <c r="CMK240" s="19"/>
      <c r="CMN240" s="16"/>
      <c r="CMO240" s="15"/>
      <c r="CMP240" s="15"/>
      <c r="CMQ240" s="15"/>
      <c r="CMR240" s="16"/>
      <c r="CMS240" s="16"/>
      <c r="CMT240" s="16"/>
      <c r="CMU240" s="16"/>
      <c r="CMV240" s="16"/>
      <c r="CMW240" s="15"/>
      <c r="CMX240" s="15"/>
      <c r="CMY240" s="10"/>
      <c r="CMZ240" s="10"/>
      <c r="CNA240" s="19"/>
      <c r="CNB240" s="19"/>
      <c r="CNE240" s="16"/>
      <c r="CNF240" s="15"/>
      <c r="CNG240" s="15"/>
      <c r="CNH240" s="15"/>
      <c r="CNI240" s="16"/>
      <c r="CNJ240" s="16"/>
      <c r="CNK240" s="16"/>
      <c r="CNL240" s="16"/>
      <c r="CNM240" s="16"/>
      <c r="CNN240" s="15"/>
      <c r="CNO240" s="15"/>
      <c r="CNP240" s="10"/>
      <c r="CNQ240" s="10"/>
      <c r="CNR240" s="19"/>
      <c r="CNS240" s="19"/>
      <c r="CNV240" s="16"/>
      <c r="CNW240" s="15"/>
      <c r="CNX240" s="15"/>
      <c r="CNY240" s="15"/>
      <c r="CNZ240" s="16"/>
      <c r="COA240" s="16"/>
      <c r="COB240" s="16"/>
      <c r="COC240" s="16"/>
      <c r="COD240" s="16"/>
      <c r="COE240" s="15"/>
      <c r="COF240" s="15"/>
      <c r="COG240" s="10"/>
      <c r="COH240" s="10"/>
      <c r="COI240" s="19"/>
      <c r="COJ240" s="19"/>
      <c r="COM240" s="16"/>
      <c r="CON240" s="15"/>
      <c r="COO240" s="15"/>
      <c r="COP240" s="15"/>
      <c r="COQ240" s="16"/>
      <c r="COR240" s="16"/>
      <c r="COS240" s="16"/>
      <c r="COT240" s="16"/>
      <c r="COU240" s="16"/>
      <c r="COV240" s="15"/>
      <c r="COW240" s="15"/>
      <c r="COX240" s="10"/>
      <c r="COY240" s="10"/>
      <c r="COZ240" s="19"/>
      <c r="CPA240" s="19"/>
      <c r="CPD240" s="16"/>
      <c r="CPE240" s="15"/>
      <c r="CPF240" s="15"/>
      <c r="CPG240" s="15"/>
      <c r="CPH240" s="16"/>
      <c r="CPI240" s="16"/>
      <c r="CPJ240" s="16"/>
      <c r="CPK240" s="16"/>
      <c r="CPL240" s="16"/>
      <c r="CPM240" s="15"/>
      <c r="CPN240" s="15"/>
      <c r="CPO240" s="10"/>
      <c r="CPP240" s="10"/>
      <c r="CPQ240" s="19"/>
      <c r="CPR240" s="19"/>
      <c r="CPU240" s="16"/>
      <c r="CPV240" s="15"/>
      <c r="CPW240" s="15"/>
      <c r="CPX240" s="15"/>
      <c r="CPY240" s="16"/>
      <c r="CPZ240" s="16"/>
      <c r="CQA240" s="16"/>
      <c r="CQB240" s="16"/>
      <c r="CQC240" s="16"/>
      <c r="CQD240" s="15"/>
      <c r="CQE240" s="15"/>
      <c r="CQF240" s="10"/>
      <c r="CQG240" s="10"/>
      <c r="CQH240" s="19"/>
      <c r="CQI240" s="19"/>
      <c r="CQL240" s="16"/>
      <c r="CQM240" s="15"/>
      <c r="CQN240" s="15"/>
      <c r="CQO240" s="15"/>
      <c r="CQP240" s="16"/>
      <c r="CQQ240" s="16"/>
      <c r="CQR240" s="16"/>
      <c r="CQS240" s="16"/>
      <c r="CQT240" s="16"/>
      <c r="CQU240" s="15"/>
      <c r="CQV240" s="15"/>
      <c r="CQW240" s="10"/>
      <c r="CQX240" s="10"/>
      <c r="CQY240" s="19"/>
      <c r="CQZ240" s="19"/>
      <c r="CRC240" s="16"/>
      <c r="CRD240" s="15"/>
      <c r="CRE240" s="15"/>
      <c r="CRF240" s="15"/>
      <c r="CRG240" s="16"/>
      <c r="CRH240" s="16"/>
      <c r="CRI240" s="16"/>
      <c r="CRJ240" s="16"/>
      <c r="CRK240" s="16"/>
      <c r="CRL240" s="15"/>
      <c r="CRM240" s="15"/>
      <c r="CRN240" s="10"/>
      <c r="CRO240" s="10"/>
      <c r="CRP240" s="19"/>
      <c r="CRQ240" s="19"/>
      <c r="CRT240" s="16"/>
      <c r="CRU240" s="15"/>
      <c r="CRV240" s="15"/>
      <c r="CRW240" s="15"/>
      <c r="CRX240" s="16"/>
      <c r="CRY240" s="16"/>
      <c r="CRZ240" s="16"/>
      <c r="CSA240" s="16"/>
      <c r="CSB240" s="16"/>
      <c r="CSC240" s="15"/>
      <c r="CSD240" s="15"/>
      <c r="CSE240" s="10"/>
      <c r="CSF240" s="10"/>
      <c r="CSG240" s="19"/>
      <c r="CSH240" s="19"/>
      <c r="CSK240" s="16"/>
      <c r="CSL240" s="15"/>
      <c r="CSM240" s="15"/>
      <c r="CSN240" s="15"/>
      <c r="CSO240" s="16"/>
      <c r="CSP240" s="16"/>
      <c r="CSQ240" s="16"/>
      <c r="CSR240" s="16"/>
      <c r="CSS240" s="16"/>
      <c r="CST240" s="15"/>
      <c r="CSU240" s="15"/>
      <c r="CSV240" s="10"/>
      <c r="CSW240" s="10"/>
      <c r="CSX240" s="19"/>
      <c r="CSY240" s="19"/>
      <c r="CTB240" s="16"/>
      <c r="CTC240" s="15"/>
      <c r="CTD240" s="15"/>
      <c r="CTE240" s="15"/>
      <c r="CTF240" s="16"/>
      <c r="CTG240" s="16"/>
      <c r="CTH240" s="16"/>
      <c r="CTI240" s="16"/>
      <c r="CTJ240" s="16"/>
      <c r="CTK240" s="15"/>
      <c r="CTL240" s="15"/>
      <c r="CTM240" s="10"/>
      <c r="CTN240" s="10"/>
      <c r="CTO240" s="19"/>
      <c r="CTP240" s="19"/>
      <c r="CTS240" s="16"/>
      <c r="CTT240" s="15"/>
      <c r="CTU240" s="15"/>
      <c r="CTV240" s="15"/>
      <c r="CTW240" s="16"/>
      <c r="CTX240" s="16"/>
      <c r="CTY240" s="16"/>
      <c r="CTZ240" s="16"/>
      <c r="CUA240" s="16"/>
      <c r="CUB240" s="15"/>
      <c r="CUC240" s="15"/>
      <c r="CUD240" s="10"/>
      <c r="CUE240" s="10"/>
      <c r="CUF240" s="19"/>
      <c r="CUG240" s="19"/>
      <c r="CUJ240" s="16"/>
      <c r="CUK240" s="15"/>
      <c r="CUL240" s="15"/>
      <c r="CUM240" s="15"/>
      <c r="CUN240" s="16"/>
      <c r="CUO240" s="16"/>
      <c r="CUP240" s="16"/>
      <c r="CUQ240" s="16"/>
      <c r="CUR240" s="16"/>
      <c r="CUS240" s="15"/>
      <c r="CUT240" s="15"/>
      <c r="CUU240" s="10"/>
      <c r="CUV240" s="10"/>
      <c r="CUW240" s="19"/>
      <c r="CUX240" s="19"/>
      <c r="CVA240" s="16"/>
      <c r="CVB240" s="15"/>
      <c r="CVC240" s="15"/>
      <c r="CVD240" s="15"/>
      <c r="CVE240" s="16"/>
      <c r="CVF240" s="16"/>
      <c r="CVG240" s="16"/>
      <c r="CVH240" s="16"/>
      <c r="CVI240" s="16"/>
      <c r="CVJ240" s="15"/>
      <c r="CVK240" s="15"/>
      <c r="CVL240" s="10"/>
      <c r="CVM240" s="10"/>
      <c r="CVN240" s="19"/>
      <c r="CVO240" s="19"/>
      <c r="CVR240" s="16"/>
      <c r="CVS240" s="15"/>
      <c r="CVT240" s="15"/>
      <c r="CVU240" s="15"/>
      <c r="CVV240" s="16"/>
      <c r="CVW240" s="16"/>
      <c r="CVX240" s="16"/>
      <c r="CVY240" s="16"/>
      <c r="CVZ240" s="16"/>
      <c r="CWA240" s="15"/>
      <c r="CWB240" s="15"/>
      <c r="CWC240" s="10"/>
      <c r="CWD240" s="10"/>
      <c r="CWE240" s="19"/>
      <c r="CWF240" s="19"/>
      <c r="CWI240" s="16"/>
      <c r="CWJ240" s="15"/>
      <c r="CWK240" s="15"/>
      <c r="CWL240" s="15"/>
      <c r="CWM240" s="16"/>
      <c r="CWN240" s="16"/>
      <c r="CWO240" s="16"/>
      <c r="CWP240" s="16"/>
      <c r="CWQ240" s="16"/>
      <c r="CWR240" s="15"/>
      <c r="CWS240" s="15"/>
      <c r="CWT240" s="10"/>
      <c r="CWU240" s="10"/>
      <c r="CWV240" s="19"/>
      <c r="CWW240" s="19"/>
      <c r="CWZ240" s="16"/>
      <c r="CXA240" s="15"/>
      <c r="CXB240" s="15"/>
      <c r="CXC240" s="15"/>
      <c r="CXD240" s="16"/>
      <c r="CXE240" s="16"/>
      <c r="CXF240" s="16"/>
      <c r="CXG240" s="16"/>
      <c r="CXH240" s="16"/>
      <c r="CXI240" s="15"/>
      <c r="CXJ240" s="15"/>
      <c r="CXK240" s="10"/>
      <c r="CXL240" s="10"/>
      <c r="CXM240" s="19"/>
      <c r="CXN240" s="19"/>
      <c r="CXQ240" s="16"/>
      <c r="CXR240" s="15"/>
      <c r="CXS240" s="15"/>
      <c r="CXT240" s="15"/>
      <c r="CXU240" s="16"/>
      <c r="CXV240" s="16"/>
      <c r="CXW240" s="16"/>
      <c r="CXX240" s="16"/>
      <c r="CXY240" s="16"/>
      <c r="CXZ240" s="15"/>
      <c r="CYA240" s="15"/>
      <c r="CYB240" s="10"/>
      <c r="CYC240" s="10"/>
      <c r="CYD240" s="19"/>
      <c r="CYE240" s="19"/>
      <c r="CYH240" s="16"/>
      <c r="CYI240" s="15"/>
      <c r="CYJ240" s="15"/>
      <c r="CYK240" s="15"/>
      <c r="CYL240" s="16"/>
      <c r="CYM240" s="16"/>
      <c r="CYN240" s="16"/>
      <c r="CYO240" s="16"/>
      <c r="CYP240" s="16"/>
      <c r="CYQ240" s="15"/>
      <c r="CYR240" s="15"/>
      <c r="CYS240" s="10"/>
      <c r="CYT240" s="10"/>
      <c r="CYU240" s="19"/>
      <c r="CYV240" s="19"/>
      <c r="CYY240" s="16"/>
      <c r="CYZ240" s="15"/>
      <c r="CZA240" s="15"/>
      <c r="CZB240" s="15"/>
      <c r="CZC240" s="16"/>
      <c r="CZD240" s="16"/>
      <c r="CZE240" s="16"/>
      <c r="CZF240" s="16"/>
      <c r="CZG240" s="16"/>
      <c r="CZH240" s="15"/>
      <c r="CZI240" s="15"/>
      <c r="CZJ240" s="10"/>
      <c r="CZK240" s="10"/>
      <c r="CZL240" s="19"/>
      <c r="CZM240" s="19"/>
      <c r="CZP240" s="16"/>
      <c r="CZQ240" s="15"/>
      <c r="CZR240" s="15"/>
      <c r="CZS240" s="15"/>
      <c r="CZT240" s="16"/>
      <c r="CZU240" s="16"/>
      <c r="CZV240" s="16"/>
      <c r="CZW240" s="16"/>
      <c r="CZX240" s="16"/>
      <c r="CZY240" s="15"/>
      <c r="CZZ240" s="15"/>
      <c r="DAA240" s="10"/>
      <c r="DAB240" s="10"/>
      <c r="DAC240" s="19"/>
      <c r="DAD240" s="19"/>
      <c r="DAG240" s="16"/>
      <c r="DAH240" s="15"/>
      <c r="DAI240" s="15"/>
      <c r="DAJ240" s="15"/>
      <c r="DAK240" s="16"/>
      <c r="DAL240" s="16"/>
      <c r="DAM240" s="16"/>
      <c r="DAN240" s="16"/>
      <c r="DAO240" s="16"/>
      <c r="DAP240" s="15"/>
      <c r="DAQ240" s="15"/>
      <c r="DAR240" s="10"/>
      <c r="DAS240" s="10"/>
      <c r="DAT240" s="19"/>
      <c r="DAU240" s="19"/>
      <c r="DAX240" s="16"/>
      <c r="DAY240" s="15"/>
      <c r="DAZ240" s="15"/>
      <c r="DBA240" s="15"/>
      <c r="DBB240" s="16"/>
      <c r="DBC240" s="16"/>
      <c r="DBD240" s="16"/>
      <c r="DBE240" s="16"/>
      <c r="DBF240" s="16"/>
      <c r="DBG240" s="15"/>
      <c r="DBH240" s="15"/>
      <c r="DBI240" s="10"/>
      <c r="DBJ240" s="10"/>
      <c r="DBK240" s="19"/>
      <c r="DBL240" s="19"/>
      <c r="DBO240" s="16"/>
      <c r="DBP240" s="15"/>
      <c r="DBQ240" s="15"/>
      <c r="DBR240" s="15"/>
      <c r="DBS240" s="16"/>
      <c r="DBT240" s="16"/>
      <c r="DBU240" s="16"/>
      <c r="DBV240" s="16"/>
      <c r="DBW240" s="16"/>
      <c r="DBX240" s="15"/>
      <c r="DBY240" s="15"/>
      <c r="DBZ240" s="10"/>
      <c r="DCA240" s="10"/>
      <c r="DCB240" s="19"/>
      <c r="DCC240" s="19"/>
      <c r="DCF240" s="16"/>
      <c r="DCG240" s="15"/>
      <c r="DCH240" s="15"/>
      <c r="DCI240" s="15"/>
      <c r="DCJ240" s="16"/>
      <c r="DCK240" s="16"/>
      <c r="DCL240" s="16"/>
      <c r="DCM240" s="16"/>
      <c r="DCN240" s="16"/>
      <c r="DCO240" s="15"/>
      <c r="DCP240" s="15"/>
      <c r="DCQ240" s="10"/>
      <c r="DCR240" s="10"/>
      <c r="DCS240" s="19"/>
      <c r="DCT240" s="19"/>
      <c r="DCW240" s="16"/>
      <c r="DCX240" s="15"/>
      <c r="DCY240" s="15"/>
      <c r="DCZ240" s="15"/>
      <c r="DDA240" s="16"/>
      <c r="DDB240" s="16"/>
      <c r="DDC240" s="16"/>
      <c r="DDD240" s="16"/>
      <c r="DDE240" s="16"/>
      <c r="DDF240" s="15"/>
      <c r="DDG240" s="15"/>
      <c r="DDH240" s="10"/>
      <c r="DDI240" s="10"/>
      <c r="DDJ240" s="19"/>
      <c r="DDK240" s="19"/>
      <c r="DDN240" s="16"/>
      <c r="DDO240" s="15"/>
      <c r="DDP240" s="15"/>
      <c r="DDQ240" s="15"/>
      <c r="DDR240" s="16"/>
      <c r="DDS240" s="16"/>
      <c r="DDT240" s="16"/>
      <c r="DDU240" s="16"/>
      <c r="DDV240" s="16"/>
      <c r="DDW240" s="15"/>
      <c r="DDX240" s="15"/>
      <c r="DDY240" s="10"/>
      <c r="DDZ240" s="10"/>
      <c r="DEA240" s="19"/>
      <c r="DEB240" s="19"/>
      <c r="DEE240" s="16"/>
      <c r="DEF240" s="15"/>
      <c r="DEG240" s="15"/>
      <c r="DEH240" s="15"/>
      <c r="DEI240" s="16"/>
      <c r="DEJ240" s="16"/>
      <c r="DEK240" s="16"/>
      <c r="DEL240" s="16"/>
      <c r="DEM240" s="16"/>
      <c r="DEN240" s="15"/>
      <c r="DEO240" s="15"/>
      <c r="DEP240" s="10"/>
      <c r="DEQ240" s="10"/>
      <c r="DER240" s="19"/>
      <c r="DES240" s="19"/>
      <c r="DEV240" s="16"/>
      <c r="DEW240" s="15"/>
      <c r="DEX240" s="15"/>
      <c r="DEY240" s="15"/>
      <c r="DEZ240" s="16"/>
      <c r="DFA240" s="16"/>
      <c r="DFB240" s="16"/>
      <c r="DFC240" s="16"/>
      <c r="DFD240" s="16"/>
      <c r="DFE240" s="15"/>
      <c r="DFF240" s="15"/>
      <c r="DFG240" s="10"/>
      <c r="DFH240" s="10"/>
      <c r="DFI240" s="19"/>
      <c r="DFJ240" s="19"/>
      <c r="DFM240" s="16"/>
      <c r="DFN240" s="15"/>
      <c r="DFO240" s="15"/>
      <c r="DFP240" s="15"/>
      <c r="DFQ240" s="16"/>
      <c r="DFR240" s="16"/>
      <c r="DFS240" s="16"/>
      <c r="DFT240" s="16"/>
      <c r="DFU240" s="16"/>
      <c r="DFV240" s="15"/>
      <c r="DFW240" s="15"/>
      <c r="DFX240" s="10"/>
      <c r="DFY240" s="10"/>
      <c r="DFZ240" s="19"/>
      <c r="DGA240" s="19"/>
      <c r="DGD240" s="16"/>
      <c r="DGE240" s="15"/>
      <c r="DGF240" s="15"/>
      <c r="DGG240" s="15"/>
      <c r="DGH240" s="16"/>
      <c r="DGI240" s="16"/>
      <c r="DGJ240" s="16"/>
      <c r="DGK240" s="16"/>
      <c r="DGL240" s="16"/>
      <c r="DGM240" s="15"/>
      <c r="DGN240" s="15"/>
      <c r="DGO240" s="10"/>
      <c r="DGP240" s="10"/>
      <c r="DGQ240" s="19"/>
      <c r="DGR240" s="19"/>
      <c r="DGU240" s="16"/>
      <c r="DGV240" s="15"/>
      <c r="DGW240" s="15"/>
      <c r="DGX240" s="15"/>
      <c r="DGY240" s="16"/>
      <c r="DGZ240" s="16"/>
      <c r="DHA240" s="16"/>
      <c r="DHB240" s="16"/>
      <c r="DHC240" s="16"/>
      <c r="DHD240" s="15"/>
      <c r="DHE240" s="15"/>
      <c r="DHF240" s="10"/>
      <c r="DHG240" s="10"/>
      <c r="DHH240" s="19"/>
      <c r="DHI240" s="19"/>
      <c r="DHL240" s="16"/>
      <c r="DHM240" s="15"/>
      <c r="DHN240" s="15"/>
      <c r="DHO240" s="15"/>
      <c r="DHP240" s="16"/>
      <c r="DHQ240" s="16"/>
      <c r="DHR240" s="16"/>
      <c r="DHS240" s="16"/>
      <c r="DHT240" s="16"/>
      <c r="DHU240" s="15"/>
      <c r="DHV240" s="15"/>
      <c r="DHW240" s="10"/>
      <c r="DHX240" s="10"/>
      <c r="DHY240" s="19"/>
      <c r="DHZ240" s="19"/>
      <c r="DIC240" s="16"/>
      <c r="DID240" s="15"/>
      <c r="DIE240" s="15"/>
      <c r="DIF240" s="15"/>
      <c r="DIG240" s="16"/>
      <c r="DIH240" s="16"/>
      <c r="DII240" s="16"/>
      <c r="DIJ240" s="16"/>
      <c r="DIK240" s="16"/>
      <c r="DIL240" s="15"/>
      <c r="DIM240" s="15"/>
      <c r="DIN240" s="10"/>
      <c r="DIO240" s="10"/>
      <c r="DIP240" s="19"/>
      <c r="DIQ240" s="19"/>
      <c r="DIT240" s="16"/>
      <c r="DIU240" s="15"/>
      <c r="DIV240" s="15"/>
      <c r="DIW240" s="15"/>
      <c r="DIX240" s="16"/>
      <c r="DIY240" s="16"/>
      <c r="DIZ240" s="16"/>
      <c r="DJA240" s="16"/>
      <c r="DJB240" s="16"/>
      <c r="DJC240" s="15"/>
      <c r="DJD240" s="15"/>
      <c r="DJE240" s="10"/>
      <c r="DJF240" s="10"/>
      <c r="DJG240" s="19"/>
      <c r="DJH240" s="19"/>
      <c r="DJK240" s="16"/>
      <c r="DJL240" s="15"/>
      <c r="DJM240" s="15"/>
      <c r="DJN240" s="15"/>
      <c r="DJO240" s="16"/>
      <c r="DJP240" s="16"/>
      <c r="DJQ240" s="16"/>
      <c r="DJR240" s="16"/>
      <c r="DJS240" s="16"/>
      <c r="DJT240" s="15"/>
      <c r="DJU240" s="15"/>
      <c r="DJV240" s="10"/>
      <c r="DJW240" s="10"/>
      <c r="DJX240" s="19"/>
      <c r="DJY240" s="19"/>
      <c r="DKB240" s="16"/>
      <c r="DKC240" s="15"/>
      <c r="DKD240" s="15"/>
      <c r="DKE240" s="15"/>
      <c r="DKF240" s="16"/>
      <c r="DKG240" s="16"/>
      <c r="DKH240" s="16"/>
      <c r="DKI240" s="16"/>
      <c r="DKJ240" s="16"/>
      <c r="DKK240" s="15"/>
      <c r="DKL240" s="15"/>
      <c r="DKM240" s="10"/>
      <c r="DKN240" s="10"/>
      <c r="DKO240" s="19"/>
      <c r="DKP240" s="19"/>
      <c r="DKS240" s="16"/>
      <c r="DKT240" s="15"/>
      <c r="DKU240" s="15"/>
      <c r="DKV240" s="15"/>
      <c r="DKW240" s="16"/>
      <c r="DKX240" s="16"/>
      <c r="DKY240" s="16"/>
      <c r="DKZ240" s="16"/>
      <c r="DLA240" s="16"/>
      <c r="DLB240" s="15"/>
      <c r="DLC240" s="15"/>
      <c r="DLD240" s="10"/>
      <c r="DLE240" s="10"/>
      <c r="DLF240" s="19"/>
      <c r="DLG240" s="19"/>
      <c r="DLJ240" s="16"/>
      <c r="DLK240" s="15"/>
      <c r="DLL240" s="15"/>
      <c r="DLM240" s="15"/>
      <c r="DLN240" s="16"/>
      <c r="DLO240" s="16"/>
      <c r="DLP240" s="16"/>
      <c r="DLQ240" s="16"/>
      <c r="DLR240" s="16"/>
      <c r="DLS240" s="15"/>
      <c r="DLT240" s="15"/>
      <c r="DLU240" s="10"/>
      <c r="DLV240" s="10"/>
      <c r="DLW240" s="19"/>
      <c r="DLX240" s="19"/>
      <c r="DMA240" s="16"/>
      <c r="DMB240" s="15"/>
      <c r="DMC240" s="15"/>
      <c r="DMD240" s="15"/>
      <c r="DME240" s="16"/>
      <c r="DMF240" s="16"/>
      <c r="DMG240" s="16"/>
      <c r="DMH240" s="16"/>
      <c r="DMI240" s="16"/>
      <c r="DMJ240" s="15"/>
      <c r="DMK240" s="15"/>
      <c r="DML240" s="10"/>
      <c r="DMM240" s="10"/>
      <c r="DMN240" s="19"/>
      <c r="DMO240" s="19"/>
      <c r="DMR240" s="16"/>
      <c r="DMS240" s="15"/>
      <c r="DMT240" s="15"/>
      <c r="DMU240" s="15"/>
      <c r="DMV240" s="16"/>
      <c r="DMW240" s="16"/>
      <c r="DMX240" s="16"/>
      <c r="DMY240" s="16"/>
      <c r="DMZ240" s="16"/>
      <c r="DNA240" s="15"/>
      <c r="DNB240" s="15"/>
      <c r="DNC240" s="10"/>
      <c r="DND240" s="10"/>
      <c r="DNE240" s="19"/>
      <c r="DNF240" s="19"/>
      <c r="DNI240" s="16"/>
      <c r="DNJ240" s="15"/>
      <c r="DNK240" s="15"/>
      <c r="DNL240" s="15"/>
      <c r="DNM240" s="16"/>
      <c r="DNN240" s="16"/>
      <c r="DNO240" s="16"/>
      <c r="DNP240" s="16"/>
      <c r="DNQ240" s="16"/>
      <c r="DNR240" s="15"/>
      <c r="DNS240" s="15"/>
      <c r="DNT240" s="10"/>
      <c r="DNU240" s="10"/>
      <c r="DNV240" s="19"/>
      <c r="DNW240" s="19"/>
      <c r="DNZ240" s="16"/>
      <c r="DOA240" s="15"/>
      <c r="DOB240" s="15"/>
      <c r="DOC240" s="15"/>
      <c r="DOD240" s="16"/>
      <c r="DOE240" s="16"/>
      <c r="DOF240" s="16"/>
      <c r="DOG240" s="16"/>
      <c r="DOH240" s="16"/>
      <c r="DOI240" s="15"/>
      <c r="DOJ240" s="15"/>
      <c r="DOK240" s="10"/>
      <c r="DOL240" s="10"/>
      <c r="DOM240" s="19"/>
      <c r="DON240" s="19"/>
      <c r="DOQ240" s="16"/>
      <c r="DOR240" s="15"/>
      <c r="DOS240" s="15"/>
      <c r="DOT240" s="15"/>
      <c r="DOU240" s="16"/>
      <c r="DOV240" s="16"/>
      <c r="DOW240" s="16"/>
      <c r="DOX240" s="16"/>
      <c r="DOY240" s="16"/>
      <c r="DOZ240" s="15"/>
      <c r="DPA240" s="15"/>
      <c r="DPB240" s="10"/>
      <c r="DPC240" s="10"/>
      <c r="DPD240" s="19"/>
      <c r="DPE240" s="19"/>
      <c r="DPH240" s="16"/>
      <c r="DPI240" s="15"/>
      <c r="DPJ240" s="15"/>
      <c r="DPK240" s="15"/>
      <c r="DPL240" s="16"/>
      <c r="DPM240" s="16"/>
      <c r="DPN240" s="16"/>
      <c r="DPO240" s="16"/>
      <c r="DPP240" s="16"/>
      <c r="DPQ240" s="15"/>
      <c r="DPR240" s="15"/>
      <c r="DPS240" s="10"/>
      <c r="DPT240" s="10"/>
      <c r="DPU240" s="19"/>
      <c r="DPV240" s="19"/>
      <c r="DPY240" s="16"/>
      <c r="DPZ240" s="15"/>
      <c r="DQA240" s="15"/>
      <c r="DQB240" s="15"/>
      <c r="DQC240" s="16"/>
      <c r="DQD240" s="16"/>
      <c r="DQE240" s="16"/>
      <c r="DQF240" s="16"/>
      <c r="DQG240" s="16"/>
      <c r="DQH240" s="15"/>
      <c r="DQI240" s="15"/>
      <c r="DQJ240" s="10"/>
      <c r="DQK240" s="10"/>
      <c r="DQL240" s="19"/>
      <c r="DQM240" s="19"/>
      <c r="DQP240" s="16"/>
      <c r="DQQ240" s="15"/>
      <c r="DQR240" s="15"/>
      <c r="DQS240" s="15"/>
      <c r="DQT240" s="16"/>
      <c r="DQU240" s="16"/>
      <c r="DQV240" s="16"/>
      <c r="DQW240" s="16"/>
      <c r="DQX240" s="16"/>
      <c r="DQY240" s="15"/>
      <c r="DQZ240" s="15"/>
      <c r="DRA240" s="10"/>
      <c r="DRB240" s="10"/>
      <c r="DRC240" s="19"/>
      <c r="DRD240" s="19"/>
      <c r="DRG240" s="16"/>
      <c r="DRH240" s="15"/>
      <c r="DRI240" s="15"/>
      <c r="DRJ240" s="15"/>
      <c r="DRK240" s="16"/>
      <c r="DRL240" s="16"/>
      <c r="DRM240" s="16"/>
      <c r="DRN240" s="16"/>
      <c r="DRO240" s="16"/>
      <c r="DRP240" s="15"/>
      <c r="DRQ240" s="15"/>
      <c r="DRR240" s="10"/>
      <c r="DRS240" s="10"/>
      <c r="DRT240" s="19"/>
      <c r="DRU240" s="19"/>
      <c r="DRX240" s="16"/>
      <c r="DRY240" s="15"/>
      <c r="DRZ240" s="15"/>
      <c r="DSA240" s="15"/>
      <c r="DSB240" s="16"/>
      <c r="DSC240" s="16"/>
      <c r="DSD240" s="16"/>
      <c r="DSE240" s="16"/>
      <c r="DSF240" s="16"/>
      <c r="DSG240" s="15"/>
      <c r="DSH240" s="15"/>
      <c r="DSI240" s="10"/>
      <c r="DSJ240" s="10"/>
      <c r="DSK240" s="19"/>
      <c r="DSL240" s="19"/>
      <c r="DSO240" s="16"/>
      <c r="DSP240" s="15"/>
      <c r="DSQ240" s="15"/>
      <c r="DSR240" s="15"/>
      <c r="DSS240" s="16"/>
      <c r="DST240" s="16"/>
      <c r="DSU240" s="16"/>
      <c r="DSV240" s="16"/>
      <c r="DSW240" s="16"/>
      <c r="DSX240" s="15"/>
      <c r="DSY240" s="15"/>
      <c r="DSZ240" s="10"/>
      <c r="DTA240" s="10"/>
      <c r="DTB240" s="19"/>
      <c r="DTC240" s="19"/>
      <c r="DTF240" s="16"/>
      <c r="DTG240" s="15"/>
      <c r="DTH240" s="15"/>
      <c r="DTI240" s="15"/>
      <c r="DTJ240" s="16"/>
      <c r="DTK240" s="16"/>
      <c r="DTL240" s="16"/>
      <c r="DTM240" s="16"/>
      <c r="DTN240" s="16"/>
      <c r="DTO240" s="15"/>
      <c r="DTP240" s="15"/>
      <c r="DTQ240" s="10"/>
      <c r="DTR240" s="10"/>
      <c r="DTS240" s="19"/>
      <c r="DTT240" s="19"/>
      <c r="DTW240" s="16"/>
      <c r="DTX240" s="15"/>
      <c r="DTY240" s="15"/>
      <c r="DTZ240" s="15"/>
      <c r="DUA240" s="16"/>
      <c r="DUB240" s="16"/>
      <c r="DUC240" s="16"/>
      <c r="DUD240" s="16"/>
      <c r="DUE240" s="16"/>
      <c r="DUF240" s="15"/>
      <c r="DUG240" s="15"/>
      <c r="DUH240" s="10"/>
      <c r="DUI240" s="10"/>
      <c r="DUJ240" s="19"/>
      <c r="DUK240" s="19"/>
      <c r="DUN240" s="16"/>
      <c r="DUO240" s="15"/>
      <c r="DUP240" s="15"/>
      <c r="DUQ240" s="15"/>
      <c r="DUR240" s="16"/>
      <c r="DUS240" s="16"/>
      <c r="DUT240" s="16"/>
      <c r="DUU240" s="16"/>
      <c r="DUV240" s="16"/>
      <c r="DUW240" s="15"/>
      <c r="DUX240" s="15"/>
      <c r="DUY240" s="10"/>
      <c r="DUZ240" s="10"/>
      <c r="DVA240" s="19"/>
      <c r="DVB240" s="19"/>
      <c r="DVE240" s="16"/>
      <c r="DVF240" s="15"/>
      <c r="DVG240" s="15"/>
      <c r="DVH240" s="15"/>
      <c r="DVI240" s="16"/>
      <c r="DVJ240" s="16"/>
      <c r="DVK240" s="16"/>
      <c r="DVL240" s="16"/>
      <c r="DVM240" s="16"/>
      <c r="DVN240" s="15"/>
      <c r="DVO240" s="15"/>
      <c r="DVP240" s="10"/>
      <c r="DVQ240" s="10"/>
      <c r="DVR240" s="19"/>
      <c r="DVS240" s="19"/>
      <c r="DVV240" s="16"/>
      <c r="DVW240" s="15"/>
      <c r="DVX240" s="15"/>
      <c r="DVY240" s="15"/>
      <c r="DVZ240" s="16"/>
      <c r="DWA240" s="16"/>
      <c r="DWB240" s="16"/>
      <c r="DWC240" s="16"/>
      <c r="DWD240" s="16"/>
      <c r="DWE240" s="15"/>
      <c r="DWF240" s="15"/>
      <c r="DWG240" s="10"/>
      <c r="DWH240" s="10"/>
      <c r="DWI240" s="19"/>
      <c r="DWJ240" s="19"/>
      <c r="DWM240" s="16"/>
      <c r="DWN240" s="15"/>
      <c r="DWO240" s="15"/>
      <c r="DWP240" s="15"/>
      <c r="DWQ240" s="16"/>
      <c r="DWR240" s="16"/>
      <c r="DWS240" s="16"/>
      <c r="DWT240" s="16"/>
      <c r="DWU240" s="16"/>
      <c r="DWV240" s="15"/>
      <c r="DWW240" s="15"/>
      <c r="DWX240" s="10"/>
      <c r="DWY240" s="10"/>
      <c r="DWZ240" s="19"/>
      <c r="DXA240" s="19"/>
      <c r="DXD240" s="16"/>
      <c r="DXE240" s="15"/>
      <c r="DXF240" s="15"/>
      <c r="DXG240" s="15"/>
      <c r="DXH240" s="16"/>
      <c r="DXI240" s="16"/>
      <c r="DXJ240" s="16"/>
      <c r="DXK240" s="16"/>
      <c r="DXL240" s="16"/>
      <c r="DXM240" s="15"/>
      <c r="DXN240" s="15"/>
      <c r="DXO240" s="10"/>
      <c r="DXP240" s="10"/>
      <c r="DXQ240" s="19"/>
      <c r="DXR240" s="19"/>
      <c r="DXU240" s="16"/>
      <c r="DXV240" s="15"/>
      <c r="DXW240" s="15"/>
      <c r="DXX240" s="15"/>
      <c r="DXY240" s="16"/>
      <c r="DXZ240" s="16"/>
      <c r="DYA240" s="16"/>
      <c r="DYB240" s="16"/>
      <c r="DYC240" s="16"/>
      <c r="DYD240" s="15"/>
      <c r="DYE240" s="15"/>
      <c r="DYF240" s="10"/>
      <c r="DYG240" s="10"/>
      <c r="DYH240" s="19"/>
      <c r="DYI240" s="19"/>
      <c r="DYL240" s="16"/>
      <c r="DYM240" s="15"/>
      <c r="DYN240" s="15"/>
      <c r="DYO240" s="15"/>
      <c r="DYP240" s="16"/>
      <c r="DYQ240" s="16"/>
      <c r="DYR240" s="16"/>
      <c r="DYS240" s="16"/>
      <c r="DYT240" s="16"/>
      <c r="DYU240" s="15"/>
      <c r="DYV240" s="15"/>
      <c r="DYW240" s="10"/>
      <c r="DYX240" s="10"/>
      <c r="DYY240" s="19"/>
      <c r="DYZ240" s="19"/>
      <c r="DZC240" s="16"/>
      <c r="DZD240" s="15"/>
      <c r="DZE240" s="15"/>
      <c r="DZF240" s="15"/>
      <c r="DZG240" s="16"/>
      <c r="DZH240" s="16"/>
      <c r="DZI240" s="16"/>
      <c r="DZJ240" s="16"/>
      <c r="DZK240" s="16"/>
      <c r="DZL240" s="15"/>
      <c r="DZM240" s="15"/>
      <c r="DZN240" s="10"/>
      <c r="DZO240" s="10"/>
      <c r="DZP240" s="19"/>
      <c r="DZQ240" s="19"/>
      <c r="DZT240" s="16"/>
      <c r="DZU240" s="15"/>
      <c r="DZV240" s="15"/>
      <c r="DZW240" s="15"/>
      <c r="DZX240" s="16"/>
      <c r="DZY240" s="16"/>
      <c r="DZZ240" s="16"/>
      <c r="EAA240" s="16"/>
      <c r="EAB240" s="16"/>
      <c r="EAC240" s="15"/>
      <c r="EAD240" s="15"/>
      <c r="EAE240" s="10"/>
      <c r="EAF240" s="10"/>
      <c r="EAG240" s="19"/>
      <c r="EAH240" s="19"/>
      <c r="EAK240" s="16"/>
      <c r="EAL240" s="15"/>
      <c r="EAM240" s="15"/>
      <c r="EAN240" s="15"/>
      <c r="EAO240" s="16"/>
      <c r="EAP240" s="16"/>
      <c r="EAQ240" s="16"/>
      <c r="EAR240" s="16"/>
      <c r="EAS240" s="16"/>
      <c r="EAT240" s="15"/>
      <c r="EAU240" s="15"/>
      <c r="EAV240" s="10"/>
      <c r="EAW240" s="10"/>
      <c r="EAX240" s="19"/>
      <c r="EAY240" s="19"/>
      <c r="EBB240" s="16"/>
      <c r="EBC240" s="15"/>
      <c r="EBD240" s="15"/>
      <c r="EBE240" s="15"/>
      <c r="EBF240" s="16"/>
      <c r="EBG240" s="16"/>
      <c r="EBH240" s="16"/>
      <c r="EBI240" s="16"/>
      <c r="EBJ240" s="16"/>
      <c r="EBK240" s="15"/>
      <c r="EBL240" s="15"/>
      <c r="EBM240" s="10"/>
      <c r="EBN240" s="10"/>
      <c r="EBO240" s="19"/>
      <c r="EBP240" s="19"/>
      <c r="EBS240" s="16"/>
      <c r="EBT240" s="15"/>
      <c r="EBU240" s="15"/>
      <c r="EBV240" s="15"/>
      <c r="EBW240" s="16"/>
      <c r="EBX240" s="16"/>
      <c r="EBY240" s="16"/>
      <c r="EBZ240" s="16"/>
      <c r="ECA240" s="16"/>
      <c r="ECB240" s="15"/>
      <c r="ECC240" s="15"/>
      <c r="ECD240" s="10"/>
      <c r="ECE240" s="10"/>
      <c r="ECF240" s="19"/>
      <c r="ECG240" s="19"/>
      <c r="ECJ240" s="16"/>
      <c r="ECK240" s="15"/>
      <c r="ECL240" s="15"/>
      <c r="ECM240" s="15"/>
      <c r="ECN240" s="16"/>
      <c r="ECO240" s="16"/>
      <c r="ECP240" s="16"/>
      <c r="ECQ240" s="16"/>
      <c r="ECR240" s="16"/>
      <c r="ECS240" s="15"/>
      <c r="ECT240" s="15"/>
      <c r="ECU240" s="10"/>
      <c r="ECV240" s="10"/>
      <c r="ECW240" s="19"/>
      <c r="ECX240" s="19"/>
      <c r="EDA240" s="16"/>
      <c r="EDB240" s="15"/>
      <c r="EDC240" s="15"/>
      <c r="EDD240" s="15"/>
      <c r="EDE240" s="16"/>
      <c r="EDF240" s="16"/>
      <c r="EDG240" s="16"/>
      <c r="EDH240" s="16"/>
      <c r="EDI240" s="16"/>
      <c r="EDJ240" s="15"/>
      <c r="EDK240" s="15"/>
      <c r="EDL240" s="10"/>
      <c r="EDM240" s="10"/>
      <c r="EDN240" s="19"/>
      <c r="EDO240" s="19"/>
      <c r="EDR240" s="16"/>
      <c r="EDS240" s="15"/>
      <c r="EDT240" s="15"/>
      <c r="EDU240" s="15"/>
      <c r="EDV240" s="16"/>
      <c r="EDW240" s="16"/>
      <c r="EDX240" s="16"/>
      <c r="EDY240" s="16"/>
      <c r="EDZ240" s="16"/>
      <c r="EEA240" s="15"/>
      <c r="EEB240" s="15"/>
      <c r="EEC240" s="10"/>
      <c r="EED240" s="10"/>
      <c r="EEE240" s="19"/>
      <c r="EEF240" s="19"/>
      <c r="EEI240" s="16"/>
      <c r="EEJ240" s="15"/>
      <c r="EEK240" s="15"/>
      <c r="EEL240" s="15"/>
      <c r="EEM240" s="16"/>
      <c r="EEN240" s="16"/>
      <c r="EEO240" s="16"/>
      <c r="EEP240" s="16"/>
      <c r="EEQ240" s="16"/>
      <c r="EER240" s="15"/>
      <c r="EES240" s="15"/>
      <c r="EET240" s="10"/>
      <c r="EEU240" s="10"/>
      <c r="EEV240" s="19"/>
      <c r="EEW240" s="19"/>
      <c r="EEZ240" s="16"/>
      <c r="EFA240" s="15"/>
      <c r="EFB240" s="15"/>
      <c r="EFC240" s="15"/>
      <c r="EFD240" s="16"/>
      <c r="EFE240" s="16"/>
      <c r="EFF240" s="16"/>
      <c r="EFG240" s="16"/>
      <c r="EFH240" s="16"/>
      <c r="EFI240" s="15"/>
      <c r="EFJ240" s="15"/>
      <c r="EFK240" s="10"/>
      <c r="EFL240" s="10"/>
      <c r="EFM240" s="19"/>
      <c r="EFN240" s="19"/>
      <c r="EFQ240" s="16"/>
      <c r="EFR240" s="15"/>
      <c r="EFS240" s="15"/>
      <c r="EFT240" s="15"/>
      <c r="EFU240" s="16"/>
      <c r="EFV240" s="16"/>
      <c r="EFW240" s="16"/>
      <c r="EFX240" s="16"/>
      <c r="EFY240" s="16"/>
      <c r="EFZ240" s="15"/>
      <c r="EGA240" s="15"/>
      <c r="EGB240" s="10"/>
      <c r="EGC240" s="10"/>
      <c r="EGD240" s="19"/>
      <c r="EGE240" s="19"/>
      <c r="EGH240" s="16"/>
      <c r="EGI240" s="15"/>
      <c r="EGJ240" s="15"/>
      <c r="EGK240" s="15"/>
      <c r="EGL240" s="16"/>
      <c r="EGM240" s="16"/>
      <c r="EGN240" s="16"/>
      <c r="EGO240" s="16"/>
      <c r="EGP240" s="16"/>
      <c r="EGQ240" s="15"/>
      <c r="EGR240" s="15"/>
      <c r="EGS240" s="10"/>
      <c r="EGT240" s="10"/>
      <c r="EGU240" s="19"/>
      <c r="EGV240" s="19"/>
      <c r="EGY240" s="16"/>
      <c r="EGZ240" s="15"/>
      <c r="EHA240" s="15"/>
      <c r="EHB240" s="15"/>
      <c r="EHC240" s="16"/>
      <c r="EHD240" s="16"/>
      <c r="EHE240" s="16"/>
      <c r="EHF240" s="16"/>
      <c r="EHG240" s="16"/>
      <c r="EHH240" s="15"/>
      <c r="EHI240" s="15"/>
      <c r="EHJ240" s="10"/>
      <c r="EHK240" s="10"/>
      <c r="EHL240" s="19"/>
      <c r="EHM240" s="19"/>
      <c r="EHP240" s="16"/>
      <c r="EHQ240" s="15"/>
      <c r="EHR240" s="15"/>
      <c r="EHS240" s="15"/>
      <c r="EHT240" s="16"/>
      <c r="EHU240" s="16"/>
      <c r="EHV240" s="16"/>
      <c r="EHW240" s="16"/>
      <c r="EHX240" s="16"/>
      <c r="EHY240" s="15"/>
      <c r="EHZ240" s="15"/>
      <c r="EIA240" s="10"/>
      <c r="EIB240" s="10"/>
      <c r="EIC240" s="19"/>
      <c r="EID240" s="19"/>
      <c r="EIG240" s="16"/>
      <c r="EIH240" s="15"/>
      <c r="EII240" s="15"/>
      <c r="EIJ240" s="15"/>
      <c r="EIK240" s="16"/>
      <c r="EIL240" s="16"/>
      <c r="EIM240" s="16"/>
      <c r="EIN240" s="16"/>
      <c r="EIO240" s="16"/>
      <c r="EIP240" s="15"/>
      <c r="EIQ240" s="15"/>
      <c r="EIR240" s="10"/>
      <c r="EIS240" s="10"/>
      <c r="EIT240" s="19"/>
      <c r="EIU240" s="19"/>
      <c r="EIX240" s="16"/>
      <c r="EIY240" s="15"/>
      <c r="EIZ240" s="15"/>
      <c r="EJA240" s="15"/>
      <c r="EJB240" s="16"/>
      <c r="EJC240" s="16"/>
      <c r="EJD240" s="16"/>
      <c r="EJE240" s="16"/>
      <c r="EJF240" s="16"/>
      <c r="EJG240" s="15"/>
      <c r="EJH240" s="15"/>
      <c r="EJI240" s="10"/>
      <c r="EJJ240" s="10"/>
      <c r="EJK240" s="19"/>
      <c r="EJL240" s="19"/>
      <c r="EJO240" s="16"/>
      <c r="EJP240" s="15"/>
      <c r="EJQ240" s="15"/>
      <c r="EJR240" s="15"/>
      <c r="EJS240" s="16"/>
      <c r="EJT240" s="16"/>
      <c r="EJU240" s="16"/>
      <c r="EJV240" s="16"/>
      <c r="EJW240" s="16"/>
      <c r="EJX240" s="15"/>
      <c r="EJY240" s="15"/>
      <c r="EJZ240" s="10"/>
      <c r="EKA240" s="10"/>
      <c r="EKB240" s="19"/>
      <c r="EKC240" s="19"/>
      <c r="EKF240" s="16"/>
      <c r="EKG240" s="15"/>
      <c r="EKH240" s="15"/>
      <c r="EKI240" s="15"/>
      <c r="EKJ240" s="16"/>
      <c r="EKK240" s="16"/>
      <c r="EKL240" s="16"/>
      <c r="EKM240" s="16"/>
      <c r="EKN240" s="16"/>
      <c r="EKO240" s="15"/>
      <c r="EKP240" s="15"/>
      <c r="EKQ240" s="10"/>
      <c r="EKR240" s="10"/>
      <c r="EKS240" s="19"/>
      <c r="EKT240" s="19"/>
      <c r="EKW240" s="16"/>
      <c r="EKX240" s="15"/>
      <c r="EKY240" s="15"/>
      <c r="EKZ240" s="15"/>
      <c r="ELA240" s="16"/>
      <c r="ELB240" s="16"/>
      <c r="ELC240" s="16"/>
      <c r="ELD240" s="16"/>
      <c r="ELE240" s="16"/>
      <c r="ELF240" s="15"/>
      <c r="ELG240" s="15"/>
      <c r="ELH240" s="10"/>
      <c r="ELI240" s="10"/>
      <c r="ELJ240" s="19"/>
      <c r="ELK240" s="19"/>
      <c r="ELN240" s="16"/>
      <c r="ELO240" s="15"/>
      <c r="ELP240" s="15"/>
      <c r="ELQ240" s="15"/>
      <c r="ELR240" s="16"/>
      <c r="ELS240" s="16"/>
      <c r="ELT240" s="16"/>
      <c r="ELU240" s="16"/>
      <c r="ELV240" s="16"/>
      <c r="ELW240" s="15"/>
      <c r="ELX240" s="15"/>
      <c r="ELY240" s="10"/>
      <c r="ELZ240" s="10"/>
      <c r="EMA240" s="19"/>
      <c r="EMB240" s="19"/>
      <c r="EME240" s="16"/>
      <c r="EMF240" s="15"/>
      <c r="EMG240" s="15"/>
      <c r="EMH240" s="15"/>
      <c r="EMI240" s="16"/>
      <c r="EMJ240" s="16"/>
      <c r="EMK240" s="16"/>
      <c r="EML240" s="16"/>
      <c r="EMM240" s="16"/>
      <c r="EMN240" s="15"/>
      <c r="EMO240" s="15"/>
      <c r="EMP240" s="10"/>
      <c r="EMQ240" s="10"/>
      <c r="EMR240" s="19"/>
      <c r="EMS240" s="19"/>
      <c r="EMV240" s="16"/>
      <c r="EMW240" s="15"/>
      <c r="EMX240" s="15"/>
      <c r="EMY240" s="15"/>
      <c r="EMZ240" s="16"/>
      <c r="ENA240" s="16"/>
      <c r="ENB240" s="16"/>
      <c r="ENC240" s="16"/>
      <c r="END240" s="16"/>
      <c r="ENE240" s="15"/>
      <c r="ENF240" s="15"/>
      <c r="ENG240" s="10"/>
      <c r="ENH240" s="10"/>
      <c r="ENI240" s="19"/>
      <c r="ENJ240" s="19"/>
      <c r="ENM240" s="16"/>
      <c r="ENN240" s="15"/>
      <c r="ENO240" s="15"/>
      <c r="ENP240" s="15"/>
      <c r="ENQ240" s="16"/>
      <c r="ENR240" s="16"/>
      <c r="ENS240" s="16"/>
      <c r="ENT240" s="16"/>
      <c r="ENU240" s="16"/>
      <c r="ENV240" s="15"/>
      <c r="ENW240" s="15"/>
      <c r="ENX240" s="10"/>
      <c r="ENY240" s="10"/>
      <c r="ENZ240" s="19"/>
      <c r="EOA240" s="19"/>
      <c r="EOD240" s="16"/>
      <c r="EOE240" s="15"/>
      <c r="EOF240" s="15"/>
      <c r="EOG240" s="15"/>
      <c r="EOH240" s="16"/>
      <c r="EOI240" s="16"/>
      <c r="EOJ240" s="16"/>
      <c r="EOK240" s="16"/>
      <c r="EOL240" s="16"/>
      <c r="EOM240" s="15"/>
      <c r="EON240" s="15"/>
      <c r="EOO240" s="10"/>
      <c r="EOP240" s="10"/>
      <c r="EOQ240" s="19"/>
      <c r="EOR240" s="19"/>
      <c r="EOU240" s="16"/>
      <c r="EOV240" s="15"/>
      <c r="EOW240" s="15"/>
      <c r="EOX240" s="15"/>
      <c r="EOY240" s="16"/>
      <c r="EOZ240" s="16"/>
      <c r="EPA240" s="16"/>
      <c r="EPB240" s="16"/>
      <c r="EPC240" s="16"/>
      <c r="EPD240" s="15"/>
      <c r="EPE240" s="15"/>
      <c r="EPF240" s="10"/>
      <c r="EPG240" s="10"/>
      <c r="EPH240" s="19"/>
      <c r="EPI240" s="19"/>
      <c r="EPL240" s="16"/>
      <c r="EPM240" s="15"/>
      <c r="EPN240" s="15"/>
      <c r="EPO240" s="15"/>
      <c r="EPP240" s="16"/>
      <c r="EPQ240" s="16"/>
      <c r="EPR240" s="16"/>
      <c r="EPS240" s="16"/>
      <c r="EPT240" s="16"/>
      <c r="EPU240" s="15"/>
      <c r="EPV240" s="15"/>
      <c r="EPW240" s="10"/>
      <c r="EPX240" s="10"/>
      <c r="EPY240" s="19"/>
      <c r="EPZ240" s="19"/>
      <c r="EQC240" s="16"/>
      <c r="EQD240" s="15"/>
      <c r="EQE240" s="15"/>
      <c r="EQF240" s="15"/>
      <c r="EQG240" s="16"/>
      <c r="EQH240" s="16"/>
      <c r="EQI240" s="16"/>
      <c r="EQJ240" s="16"/>
      <c r="EQK240" s="16"/>
      <c r="EQL240" s="15"/>
      <c r="EQM240" s="15"/>
      <c r="EQN240" s="10"/>
      <c r="EQO240" s="10"/>
      <c r="EQP240" s="19"/>
      <c r="EQQ240" s="19"/>
      <c r="EQT240" s="16"/>
      <c r="EQU240" s="15"/>
      <c r="EQV240" s="15"/>
      <c r="EQW240" s="15"/>
      <c r="EQX240" s="16"/>
      <c r="EQY240" s="16"/>
      <c r="EQZ240" s="16"/>
      <c r="ERA240" s="16"/>
      <c r="ERB240" s="16"/>
      <c r="ERC240" s="15"/>
      <c r="ERD240" s="15"/>
      <c r="ERE240" s="10"/>
      <c r="ERF240" s="10"/>
      <c r="ERG240" s="19"/>
      <c r="ERH240" s="19"/>
      <c r="ERK240" s="16"/>
      <c r="ERL240" s="15"/>
      <c r="ERM240" s="15"/>
      <c r="ERN240" s="15"/>
      <c r="ERO240" s="16"/>
      <c r="ERP240" s="16"/>
      <c r="ERQ240" s="16"/>
      <c r="ERR240" s="16"/>
      <c r="ERS240" s="16"/>
      <c r="ERT240" s="15"/>
      <c r="ERU240" s="15"/>
      <c r="ERV240" s="10"/>
      <c r="ERW240" s="10"/>
      <c r="ERX240" s="19"/>
      <c r="ERY240" s="19"/>
      <c r="ESB240" s="16"/>
      <c r="ESC240" s="15"/>
      <c r="ESD240" s="15"/>
      <c r="ESE240" s="15"/>
      <c r="ESF240" s="16"/>
      <c r="ESG240" s="16"/>
      <c r="ESH240" s="16"/>
      <c r="ESI240" s="16"/>
      <c r="ESJ240" s="16"/>
      <c r="ESK240" s="15"/>
      <c r="ESL240" s="15"/>
      <c r="ESM240" s="10"/>
      <c r="ESN240" s="10"/>
      <c r="ESO240" s="19"/>
      <c r="ESP240" s="19"/>
      <c r="ESS240" s="16"/>
      <c r="EST240" s="15"/>
      <c r="ESU240" s="15"/>
      <c r="ESV240" s="15"/>
      <c r="ESW240" s="16"/>
      <c r="ESX240" s="16"/>
      <c r="ESY240" s="16"/>
      <c r="ESZ240" s="16"/>
      <c r="ETA240" s="16"/>
      <c r="ETB240" s="15"/>
      <c r="ETC240" s="15"/>
      <c r="ETD240" s="10"/>
      <c r="ETE240" s="10"/>
      <c r="ETF240" s="19"/>
      <c r="ETG240" s="19"/>
      <c r="ETJ240" s="16"/>
      <c r="ETK240" s="15"/>
      <c r="ETL240" s="15"/>
      <c r="ETM240" s="15"/>
      <c r="ETN240" s="16"/>
      <c r="ETO240" s="16"/>
      <c r="ETP240" s="16"/>
      <c r="ETQ240" s="16"/>
      <c r="ETR240" s="16"/>
      <c r="ETS240" s="15"/>
      <c r="ETT240" s="15"/>
      <c r="ETU240" s="10"/>
      <c r="ETV240" s="10"/>
      <c r="ETW240" s="19"/>
      <c r="ETX240" s="19"/>
      <c r="EUA240" s="16"/>
      <c r="EUB240" s="15"/>
      <c r="EUC240" s="15"/>
      <c r="EUD240" s="15"/>
      <c r="EUE240" s="16"/>
      <c r="EUF240" s="16"/>
      <c r="EUG240" s="16"/>
      <c r="EUH240" s="16"/>
      <c r="EUI240" s="16"/>
      <c r="EUJ240" s="15"/>
      <c r="EUK240" s="15"/>
      <c r="EUL240" s="10"/>
      <c r="EUM240" s="10"/>
      <c r="EUN240" s="19"/>
      <c r="EUO240" s="19"/>
      <c r="EUR240" s="16"/>
      <c r="EUS240" s="15"/>
      <c r="EUT240" s="15"/>
      <c r="EUU240" s="15"/>
      <c r="EUV240" s="16"/>
      <c r="EUW240" s="16"/>
      <c r="EUX240" s="16"/>
      <c r="EUY240" s="16"/>
      <c r="EUZ240" s="16"/>
      <c r="EVA240" s="15"/>
      <c r="EVB240" s="15"/>
      <c r="EVC240" s="10"/>
      <c r="EVD240" s="10"/>
      <c r="EVE240" s="19"/>
      <c r="EVF240" s="19"/>
      <c r="EVI240" s="16"/>
      <c r="EVJ240" s="15"/>
      <c r="EVK240" s="15"/>
      <c r="EVL240" s="15"/>
      <c r="EVM240" s="16"/>
      <c r="EVN240" s="16"/>
      <c r="EVO240" s="16"/>
      <c r="EVP240" s="16"/>
      <c r="EVQ240" s="16"/>
      <c r="EVR240" s="15"/>
      <c r="EVS240" s="15"/>
      <c r="EVT240" s="10"/>
      <c r="EVU240" s="10"/>
      <c r="EVV240" s="19"/>
      <c r="EVW240" s="19"/>
      <c r="EVZ240" s="16"/>
      <c r="EWA240" s="15"/>
      <c r="EWB240" s="15"/>
      <c r="EWC240" s="15"/>
      <c r="EWD240" s="16"/>
      <c r="EWE240" s="16"/>
      <c r="EWF240" s="16"/>
      <c r="EWG240" s="16"/>
      <c r="EWH240" s="16"/>
      <c r="EWI240" s="15"/>
      <c r="EWJ240" s="15"/>
      <c r="EWK240" s="10"/>
      <c r="EWL240" s="10"/>
      <c r="EWM240" s="19"/>
      <c r="EWN240" s="19"/>
      <c r="EWQ240" s="16"/>
      <c r="EWR240" s="15"/>
      <c r="EWS240" s="15"/>
      <c r="EWT240" s="15"/>
      <c r="EWU240" s="16"/>
      <c r="EWV240" s="16"/>
      <c r="EWW240" s="16"/>
      <c r="EWX240" s="16"/>
      <c r="EWY240" s="16"/>
      <c r="EWZ240" s="15"/>
      <c r="EXA240" s="15"/>
      <c r="EXB240" s="10"/>
      <c r="EXC240" s="10"/>
      <c r="EXD240" s="19"/>
      <c r="EXE240" s="19"/>
      <c r="EXH240" s="16"/>
      <c r="EXI240" s="15"/>
      <c r="EXJ240" s="15"/>
      <c r="EXK240" s="15"/>
      <c r="EXL240" s="16"/>
      <c r="EXM240" s="16"/>
      <c r="EXN240" s="16"/>
      <c r="EXO240" s="16"/>
      <c r="EXP240" s="16"/>
      <c r="EXQ240" s="15"/>
      <c r="EXR240" s="15"/>
      <c r="EXS240" s="10"/>
      <c r="EXT240" s="10"/>
      <c r="EXU240" s="19"/>
      <c r="EXV240" s="19"/>
      <c r="EXY240" s="16"/>
      <c r="EXZ240" s="15"/>
      <c r="EYA240" s="15"/>
      <c r="EYB240" s="15"/>
      <c r="EYC240" s="16"/>
      <c r="EYD240" s="16"/>
      <c r="EYE240" s="16"/>
      <c r="EYF240" s="16"/>
      <c r="EYG240" s="16"/>
      <c r="EYH240" s="15"/>
      <c r="EYI240" s="15"/>
      <c r="EYJ240" s="10"/>
      <c r="EYK240" s="10"/>
      <c r="EYL240" s="19"/>
      <c r="EYM240" s="19"/>
      <c r="EYP240" s="16"/>
      <c r="EYQ240" s="15"/>
      <c r="EYR240" s="15"/>
      <c r="EYS240" s="15"/>
      <c r="EYT240" s="16"/>
      <c r="EYU240" s="16"/>
      <c r="EYV240" s="16"/>
      <c r="EYW240" s="16"/>
      <c r="EYX240" s="16"/>
      <c r="EYY240" s="15"/>
      <c r="EYZ240" s="15"/>
      <c r="EZA240" s="10"/>
      <c r="EZB240" s="10"/>
      <c r="EZC240" s="19"/>
      <c r="EZD240" s="19"/>
      <c r="EZG240" s="16"/>
      <c r="EZH240" s="15"/>
      <c r="EZI240" s="15"/>
      <c r="EZJ240" s="15"/>
      <c r="EZK240" s="16"/>
      <c r="EZL240" s="16"/>
      <c r="EZM240" s="16"/>
      <c r="EZN240" s="16"/>
      <c r="EZO240" s="16"/>
      <c r="EZP240" s="15"/>
      <c r="EZQ240" s="15"/>
      <c r="EZR240" s="10"/>
      <c r="EZS240" s="10"/>
      <c r="EZT240" s="19"/>
      <c r="EZU240" s="19"/>
      <c r="EZX240" s="16"/>
      <c r="EZY240" s="15"/>
      <c r="EZZ240" s="15"/>
      <c r="FAA240" s="15"/>
      <c r="FAB240" s="16"/>
      <c r="FAC240" s="16"/>
      <c r="FAD240" s="16"/>
      <c r="FAE240" s="16"/>
      <c r="FAF240" s="16"/>
      <c r="FAG240" s="15"/>
      <c r="FAH240" s="15"/>
      <c r="FAI240" s="10"/>
      <c r="FAJ240" s="10"/>
      <c r="FAK240" s="19"/>
      <c r="FAL240" s="19"/>
      <c r="FAO240" s="16"/>
      <c r="FAP240" s="15"/>
      <c r="FAQ240" s="15"/>
      <c r="FAR240" s="15"/>
      <c r="FAS240" s="16"/>
      <c r="FAT240" s="16"/>
      <c r="FAU240" s="16"/>
      <c r="FAV240" s="16"/>
      <c r="FAW240" s="16"/>
      <c r="FAX240" s="15"/>
      <c r="FAY240" s="15"/>
      <c r="FAZ240" s="10"/>
      <c r="FBA240" s="10"/>
      <c r="FBB240" s="19"/>
      <c r="FBC240" s="19"/>
      <c r="FBF240" s="16"/>
      <c r="FBG240" s="15"/>
      <c r="FBH240" s="15"/>
      <c r="FBI240" s="15"/>
      <c r="FBJ240" s="16"/>
      <c r="FBK240" s="16"/>
      <c r="FBL240" s="16"/>
      <c r="FBM240" s="16"/>
      <c r="FBN240" s="16"/>
      <c r="FBO240" s="15"/>
      <c r="FBP240" s="15"/>
      <c r="FBQ240" s="10"/>
      <c r="FBR240" s="10"/>
      <c r="FBS240" s="19"/>
      <c r="FBT240" s="19"/>
      <c r="FBW240" s="16"/>
      <c r="FBX240" s="15"/>
      <c r="FBY240" s="15"/>
      <c r="FBZ240" s="15"/>
      <c r="FCA240" s="16"/>
      <c r="FCB240" s="16"/>
      <c r="FCC240" s="16"/>
      <c r="FCD240" s="16"/>
      <c r="FCE240" s="16"/>
      <c r="FCF240" s="15"/>
      <c r="FCG240" s="15"/>
      <c r="FCH240" s="10"/>
      <c r="FCI240" s="10"/>
      <c r="FCJ240" s="19"/>
      <c r="FCK240" s="19"/>
      <c r="FCN240" s="16"/>
      <c r="FCO240" s="15"/>
      <c r="FCP240" s="15"/>
      <c r="FCQ240" s="15"/>
      <c r="FCR240" s="16"/>
      <c r="FCS240" s="16"/>
      <c r="FCT240" s="16"/>
      <c r="FCU240" s="16"/>
      <c r="FCV240" s="16"/>
      <c r="FCW240" s="15"/>
      <c r="FCX240" s="15"/>
      <c r="FCY240" s="10"/>
      <c r="FCZ240" s="10"/>
      <c r="FDA240" s="19"/>
      <c r="FDB240" s="19"/>
      <c r="FDE240" s="16"/>
      <c r="FDF240" s="15"/>
      <c r="FDG240" s="15"/>
      <c r="FDH240" s="15"/>
      <c r="FDI240" s="16"/>
      <c r="FDJ240" s="16"/>
      <c r="FDK240" s="16"/>
      <c r="FDL240" s="16"/>
      <c r="FDM240" s="16"/>
      <c r="FDN240" s="15"/>
      <c r="FDO240" s="15"/>
      <c r="FDP240" s="10"/>
      <c r="FDQ240" s="10"/>
      <c r="FDR240" s="19"/>
      <c r="FDS240" s="19"/>
      <c r="FDV240" s="16"/>
      <c r="FDW240" s="15"/>
      <c r="FDX240" s="15"/>
      <c r="FDY240" s="15"/>
      <c r="FDZ240" s="16"/>
      <c r="FEA240" s="16"/>
      <c r="FEB240" s="16"/>
      <c r="FEC240" s="16"/>
      <c r="FED240" s="16"/>
      <c r="FEE240" s="15"/>
      <c r="FEF240" s="15"/>
      <c r="FEG240" s="10"/>
      <c r="FEH240" s="10"/>
      <c r="FEI240" s="19"/>
      <c r="FEJ240" s="19"/>
      <c r="FEM240" s="16"/>
      <c r="FEN240" s="15"/>
      <c r="FEO240" s="15"/>
      <c r="FEP240" s="15"/>
      <c r="FEQ240" s="16"/>
      <c r="FER240" s="16"/>
      <c r="FES240" s="16"/>
      <c r="FET240" s="16"/>
      <c r="FEU240" s="16"/>
      <c r="FEV240" s="15"/>
      <c r="FEW240" s="15"/>
      <c r="FEX240" s="10"/>
      <c r="FEY240" s="10"/>
      <c r="FEZ240" s="19"/>
      <c r="FFA240" s="19"/>
      <c r="FFD240" s="16"/>
      <c r="FFE240" s="15"/>
      <c r="FFF240" s="15"/>
      <c r="FFG240" s="15"/>
      <c r="FFH240" s="16"/>
      <c r="FFI240" s="16"/>
      <c r="FFJ240" s="16"/>
      <c r="FFK240" s="16"/>
      <c r="FFL240" s="16"/>
      <c r="FFM240" s="15"/>
      <c r="FFN240" s="15"/>
      <c r="FFO240" s="10"/>
      <c r="FFP240" s="10"/>
      <c r="FFQ240" s="19"/>
      <c r="FFR240" s="19"/>
      <c r="FFU240" s="16"/>
      <c r="FFV240" s="15"/>
      <c r="FFW240" s="15"/>
      <c r="FFX240" s="15"/>
      <c r="FFY240" s="16"/>
      <c r="FFZ240" s="16"/>
      <c r="FGA240" s="16"/>
      <c r="FGB240" s="16"/>
      <c r="FGC240" s="16"/>
      <c r="FGD240" s="15"/>
      <c r="FGE240" s="15"/>
      <c r="FGF240" s="10"/>
      <c r="FGG240" s="10"/>
      <c r="FGH240" s="19"/>
      <c r="FGI240" s="19"/>
      <c r="FGL240" s="16"/>
      <c r="FGM240" s="15"/>
      <c r="FGN240" s="15"/>
      <c r="FGO240" s="15"/>
      <c r="FGP240" s="16"/>
      <c r="FGQ240" s="16"/>
      <c r="FGR240" s="16"/>
      <c r="FGS240" s="16"/>
      <c r="FGT240" s="16"/>
      <c r="FGU240" s="15"/>
      <c r="FGV240" s="15"/>
      <c r="FGW240" s="10"/>
      <c r="FGX240" s="10"/>
      <c r="FGY240" s="19"/>
      <c r="FGZ240" s="19"/>
      <c r="FHC240" s="16"/>
      <c r="FHD240" s="15"/>
      <c r="FHE240" s="15"/>
      <c r="FHF240" s="15"/>
      <c r="FHG240" s="16"/>
      <c r="FHH240" s="16"/>
      <c r="FHI240" s="16"/>
      <c r="FHJ240" s="16"/>
      <c r="FHK240" s="16"/>
      <c r="FHL240" s="15"/>
      <c r="FHM240" s="15"/>
      <c r="FHN240" s="10"/>
      <c r="FHO240" s="10"/>
      <c r="FHP240" s="19"/>
      <c r="FHQ240" s="19"/>
      <c r="FHT240" s="16"/>
      <c r="FHU240" s="15"/>
      <c r="FHV240" s="15"/>
      <c r="FHW240" s="15"/>
      <c r="FHX240" s="16"/>
      <c r="FHY240" s="16"/>
      <c r="FHZ240" s="16"/>
      <c r="FIA240" s="16"/>
      <c r="FIB240" s="16"/>
      <c r="FIC240" s="15"/>
      <c r="FID240" s="15"/>
      <c r="FIE240" s="10"/>
      <c r="FIF240" s="10"/>
      <c r="FIG240" s="19"/>
      <c r="FIH240" s="19"/>
      <c r="FIK240" s="16"/>
      <c r="FIL240" s="15"/>
      <c r="FIM240" s="15"/>
      <c r="FIN240" s="15"/>
      <c r="FIO240" s="16"/>
      <c r="FIP240" s="16"/>
      <c r="FIQ240" s="16"/>
      <c r="FIR240" s="16"/>
      <c r="FIS240" s="16"/>
      <c r="FIT240" s="15"/>
      <c r="FIU240" s="15"/>
      <c r="FIV240" s="10"/>
      <c r="FIW240" s="10"/>
      <c r="FIX240" s="19"/>
      <c r="FIY240" s="19"/>
      <c r="FJB240" s="16"/>
      <c r="FJC240" s="15"/>
      <c r="FJD240" s="15"/>
      <c r="FJE240" s="15"/>
      <c r="FJF240" s="16"/>
      <c r="FJG240" s="16"/>
      <c r="FJH240" s="16"/>
      <c r="FJI240" s="16"/>
      <c r="FJJ240" s="16"/>
      <c r="FJK240" s="15"/>
      <c r="FJL240" s="15"/>
      <c r="FJM240" s="10"/>
      <c r="FJN240" s="10"/>
      <c r="FJO240" s="19"/>
      <c r="FJP240" s="19"/>
      <c r="FJS240" s="16"/>
      <c r="FJT240" s="15"/>
      <c r="FJU240" s="15"/>
      <c r="FJV240" s="15"/>
      <c r="FJW240" s="16"/>
      <c r="FJX240" s="16"/>
      <c r="FJY240" s="16"/>
      <c r="FJZ240" s="16"/>
      <c r="FKA240" s="16"/>
      <c r="FKB240" s="15"/>
      <c r="FKC240" s="15"/>
      <c r="FKD240" s="10"/>
      <c r="FKE240" s="10"/>
      <c r="FKF240" s="19"/>
      <c r="FKG240" s="19"/>
      <c r="FKJ240" s="16"/>
      <c r="FKK240" s="15"/>
      <c r="FKL240" s="15"/>
      <c r="FKM240" s="15"/>
      <c r="FKN240" s="16"/>
      <c r="FKO240" s="16"/>
      <c r="FKP240" s="16"/>
      <c r="FKQ240" s="16"/>
      <c r="FKR240" s="16"/>
      <c r="FKS240" s="15"/>
      <c r="FKT240" s="15"/>
      <c r="FKU240" s="10"/>
      <c r="FKV240" s="10"/>
      <c r="FKW240" s="19"/>
      <c r="FKX240" s="19"/>
      <c r="FLA240" s="16"/>
      <c r="FLB240" s="15"/>
      <c r="FLC240" s="15"/>
      <c r="FLD240" s="15"/>
      <c r="FLE240" s="16"/>
      <c r="FLF240" s="16"/>
      <c r="FLG240" s="16"/>
      <c r="FLH240" s="16"/>
      <c r="FLI240" s="16"/>
      <c r="FLJ240" s="15"/>
      <c r="FLK240" s="15"/>
      <c r="FLL240" s="10"/>
      <c r="FLM240" s="10"/>
      <c r="FLN240" s="19"/>
      <c r="FLO240" s="19"/>
      <c r="FLR240" s="16"/>
      <c r="FLS240" s="15"/>
      <c r="FLT240" s="15"/>
      <c r="FLU240" s="15"/>
      <c r="FLV240" s="16"/>
      <c r="FLW240" s="16"/>
      <c r="FLX240" s="16"/>
      <c r="FLY240" s="16"/>
      <c r="FLZ240" s="16"/>
      <c r="FMA240" s="15"/>
      <c r="FMB240" s="15"/>
      <c r="FMC240" s="10"/>
      <c r="FMD240" s="10"/>
      <c r="FME240" s="19"/>
      <c r="FMF240" s="19"/>
      <c r="FMI240" s="16"/>
      <c r="FMJ240" s="15"/>
      <c r="FMK240" s="15"/>
      <c r="FML240" s="15"/>
      <c r="FMM240" s="16"/>
      <c r="FMN240" s="16"/>
      <c r="FMO240" s="16"/>
      <c r="FMP240" s="16"/>
      <c r="FMQ240" s="16"/>
      <c r="FMR240" s="15"/>
      <c r="FMS240" s="15"/>
      <c r="FMT240" s="10"/>
      <c r="FMU240" s="10"/>
      <c r="FMV240" s="19"/>
      <c r="FMW240" s="19"/>
      <c r="FMZ240" s="16"/>
      <c r="FNA240" s="15"/>
      <c r="FNB240" s="15"/>
      <c r="FNC240" s="15"/>
      <c r="FND240" s="16"/>
      <c r="FNE240" s="16"/>
      <c r="FNF240" s="16"/>
      <c r="FNG240" s="16"/>
      <c r="FNH240" s="16"/>
      <c r="FNI240" s="15"/>
      <c r="FNJ240" s="15"/>
      <c r="FNK240" s="10"/>
      <c r="FNL240" s="10"/>
      <c r="FNM240" s="19"/>
      <c r="FNN240" s="19"/>
      <c r="FNQ240" s="16"/>
      <c r="FNR240" s="15"/>
      <c r="FNS240" s="15"/>
      <c r="FNT240" s="15"/>
      <c r="FNU240" s="16"/>
      <c r="FNV240" s="16"/>
      <c r="FNW240" s="16"/>
      <c r="FNX240" s="16"/>
      <c r="FNY240" s="16"/>
      <c r="FNZ240" s="15"/>
      <c r="FOA240" s="15"/>
      <c r="FOB240" s="10"/>
      <c r="FOC240" s="10"/>
      <c r="FOD240" s="19"/>
      <c r="FOE240" s="19"/>
      <c r="FOH240" s="16"/>
      <c r="FOI240" s="15"/>
      <c r="FOJ240" s="15"/>
      <c r="FOK240" s="15"/>
      <c r="FOL240" s="16"/>
      <c r="FOM240" s="16"/>
      <c r="FON240" s="16"/>
      <c r="FOO240" s="16"/>
      <c r="FOP240" s="16"/>
      <c r="FOQ240" s="15"/>
      <c r="FOR240" s="15"/>
      <c r="FOS240" s="10"/>
      <c r="FOT240" s="10"/>
      <c r="FOU240" s="19"/>
      <c r="FOV240" s="19"/>
      <c r="FOY240" s="16"/>
      <c r="FOZ240" s="15"/>
      <c r="FPA240" s="15"/>
      <c r="FPB240" s="15"/>
      <c r="FPC240" s="16"/>
      <c r="FPD240" s="16"/>
      <c r="FPE240" s="16"/>
      <c r="FPF240" s="16"/>
      <c r="FPG240" s="16"/>
      <c r="FPH240" s="15"/>
      <c r="FPI240" s="15"/>
      <c r="FPJ240" s="10"/>
      <c r="FPK240" s="10"/>
      <c r="FPL240" s="19"/>
      <c r="FPM240" s="19"/>
      <c r="FPP240" s="16"/>
      <c r="FPQ240" s="15"/>
      <c r="FPR240" s="15"/>
      <c r="FPS240" s="15"/>
      <c r="FPT240" s="16"/>
      <c r="FPU240" s="16"/>
      <c r="FPV240" s="16"/>
      <c r="FPW240" s="16"/>
      <c r="FPX240" s="16"/>
      <c r="FPY240" s="15"/>
      <c r="FPZ240" s="15"/>
      <c r="FQA240" s="10"/>
      <c r="FQB240" s="10"/>
      <c r="FQC240" s="19"/>
      <c r="FQD240" s="19"/>
      <c r="FQG240" s="16"/>
      <c r="FQH240" s="15"/>
      <c r="FQI240" s="15"/>
      <c r="FQJ240" s="15"/>
      <c r="FQK240" s="16"/>
      <c r="FQL240" s="16"/>
      <c r="FQM240" s="16"/>
      <c r="FQN240" s="16"/>
      <c r="FQO240" s="16"/>
      <c r="FQP240" s="15"/>
      <c r="FQQ240" s="15"/>
      <c r="FQR240" s="10"/>
      <c r="FQS240" s="10"/>
      <c r="FQT240" s="19"/>
      <c r="FQU240" s="19"/>
      <c r="FQX240" s="16"/>
      <c r="FQY240" s="15"/>
      <c r="FQZ240" s="15"/>
      <c r="FRA240" s="15"/>
      <c r="FRB240" s="16"/>
      <c r="FRC240" s="16"/>
      <c r="FRD240" s="16"/>
      <c r="FRE240" s="16"/>
      <c r="FRF240" s="16"/>
      <c r="FRG240" s="15"/>
      <c r="FRH240" s="15"/>
      <c r="FRI240" s="10"/>
      <c r="FRJ240" s="10"/>
      <c r="FRK240" s="19"/>
      <c r="FRL240" s="19"/>
      <c r="FRO240" s="16"/>
      <c r="FRP240" s="15"/>
      <c r="FRQ240" s="15"/>
      <c r="FRR240" s="15"/>
      <c r="FRS240" s="16"/>
      <c r="FRT240" s="16"/>
      <c r="FRU240" s="16"/>
      <c r="FRV240" s="16"/>
      <c r="FRW240" s="16"/>
      <c r="FRX240" s="15"/>
      <c r="FRY240" s="15"/>
      <c r="FRZ240" s="10"/>
      <c r="FSA240" s="10"/>
      <c r="FSB240" s="19"/>
      <c r="FSC240" s="19"/>
      <c r="FSF240" s="16"/>
      <c r="FSG240" s="15"/>
      <c r="FSH240" s="15"/>
      <c r="FSI240" s="15"/>
      <c r="FSJ240" s="16"/>
      <c r="FSK240" s="16"/>
      <c r="FSL240" s="16"/>
      <c r="FSM240" s="16"/>
      <c r="FSN240" s="16"/>
      <c r="FSO240" s="15"/>
      <c r="FSP240" s="15"/>
      <c r="FSQ240" s="10"/>
      <c r="FSR240" s="10"/>
      <c r="FSS240" s="19"/>
      <c r="FST240" s="19"/>
      <c r="FSW240" s="16"/>
      <c r="FSX240" s="15"/>
      <c r="FSY240" s="15"/>
      <c r="FSZ240" s="15"/>
      <c r="FTA240" s="16"/>
      <c r="FTB240" s="16"/>
      <c r="FTC240" s="16"/>
      <c r="FTD240" s="16"/>
      <c r="FTE240" s="16"/>
      <c r="FTF240" s="15"/>
      <c r="FTG240" s="15"/>
      <c r="FTH240" s="10"/>
      <c r="FTI240" s="10"/>
      <c r="FTJ240" s="19"/>
      <c r="FTK240" s="19"/>
      <c r="FTN240" s="16"/>
      <c r="FTO240" s="15"/>
      <c r="FTP240" s="15"/>
      <c r="FTQ240" s="15"/>
      <c r="FTR240" s="16"/>
      <c r="FTS240" s="16"/>
      <c r="FTT240" s="16"/>
      <c r="FTU240" s="16"/>
      <c r="FTV240" s="16"/>
      <c r="FTW240" s="15"/>
      <c r="FTX240" s="15"/>
      <c r="FTY240" s="10"/>
      <c r="FTZ240" s="10"/>
      <c r="FUA240" s="19"/>
      <c r="FUB240" s="19"/>
      <c r="FUE240" s="16"/>
      <c r="FUF240" s="15"/>
      <c r="FUG240" s="15"/>
      <c r="FUH240" s="15"/>
      <c r="FUI240" s="16"/>
      <c r="FUJ240" s="16"/>
      <c r="FUK240" s="16"/>
      <c r="FUL240" s="16"/>
      <c r="FUM240" s="16"/>
      <c r="FUN240" s="15"/>
      <c r="FUO240" s="15"/>
      <c r="FUP240" s="10"/>
      <c r="FUQ240" s="10"/>
      <c r="FUR240" s="19"/>
      <c r="FUS240" s="19"/>
      <c r="FUV240" s="16"/>
      <c r="FUW240" s="15"/>
      <c r="FUX240" s="15"/>
      <c r="FUY240" s="15"/>
      <c r="FUZ240" s="16"/>
      <c r="FVA240" s="16"/>
      <c r="FVB240" s="16"/>
      <c r="FVC240" s="16"/>
      <c r="FVD240" s="16"/>
      <c r="FVE240" s="15"/>
      <c r="FVF240" s="15"/>
      <c r="FVG240" s="10"/>
      <c r="FVH240" s="10"/>
      <c r="FVI240" s="19"/>
      <c r="FVJ240" s="19"/>
      <c r="FVM240" s="16"/>
      <c r="FVN240" s="15"/>
      <c r="FVO240" s="15"/>
      <c r="FVP240" s="15"/>
      <c r="FVQ240" s="16"/>
      <c r="FVR240" s="16"/>
      <c r="FVS240" s="16"/>
      <c r="FVT240" s="16"/>
      <c r="FVU240" s="16"/>
      <c r="FVV240" s="15"/>
      <c r="FVW240" s="15"/>
      <c r="FVX240" s="10"/>
      <c r="FVY240" s="10"/>
      <c r="FVZ240" s="19"/>
      <c r="FWA240" s="19"/>
      <c r="FWD240" s="16"/>
      <c r="FWE240" s="15"/>
      <c r="FWF240" s="15"/>
      <c r="FWG240" s="15"/>
      <c r="FWH240" s="16"/>
      <c r="FWI240" s="16"/>
      <c r="FWJ240" s="16"/>
      <c r="FWK240" s="16"/>
      <c r="FWL240" s="16"/>
      <c r="FWM240" s="15"/>
      <c r="FWN240" s="15"/>
      <c r="FWO240" s="10"/>
      <c r="FWP240" s="10"/>
      <c r="FWQ240" s="19"/>
      <c r="FWR240" s="19"/>
      <c r="FWU240" s="16"/>
      <c r="FWV240" s="15"/>
      <c r="FWW240" s="15"/>
      <c r="FWX240" s="15"/>
      <c r="FWY240" s="16"/>
      <c r="FWZ240" s="16"/>
      <c r="FXA240" s="16"/>
      <c r="FXB240" s="16"/>
      <c r="FXC240" s="16"/>
      <c r="FXD240" s="15"/>
      <c r="FXE240" s="15"/>
      <c r="FXF240" s="10"/>
      <c r="FXG240" s="10"/>
      <c r="FXH240" s="19"/>
      <c r="FXI240" s="19"/>
      <c r="FXL240" s="16"/>
      <c r="FXM240" s="15"/>
      <c r="FXN240" s="15"/>
      <c r="FXO240" s="15"/>
      <c r="FXP240" s="16"/>
      <c r="FXQ240" s="16"/>
      <c r="FXR240" s="16"/>
      <c r="FXS240" s="16"/>
      <c r="FXT240" s="16"/>
      <c r="FXU240" s="15"/>
      <c r="FXV240" s="15"/>
      <c r="FXW240" s="10"/>
      <c r="FXX240" s="10"/>
      <c r="FXY240" s="19"/>
      <c r="FXZ240" s="19"/>
      <c r="FYC240" s="16"/>
      <c r="FYD240" s="15"/>
      <c r="FYE240" s="15"/>
      <c r="FYF240" s="15"/>
      <c r="FYG240" s="16"/>
      <c r="FYH240" s="16"/>
      <c r="FYI240" s="16"/>
      <c r="FYJ240" s="16"/>
      <c r="FYK240" s="16"/>
      <c r="FYL240" s="15"/>
      <c r="FYM240" s="15"/>
      <c r="FYN240" s="10"/>
      <c r="FYO240" s="10"/>
      <c r="FYP240" s="19"/>
      <c r="FYQ240" s="19"/>
      <c r="FYT240" s="16"/>
      <c r="FYU240" s="15"/>
      <c r="FYV240" s="15"/>
      <c r="FYW240" s="15"/>
      <c r="FYX240" s="16"/>
      <c r="FYY240" s="16"/>
      <c r="FYZ240" s="16"/>
      <c r="FZA240" s="16"/>
      <c r="FZB240" s="16"/>
      <c r="FZC240" s="15"/>
      <c r="FZD240" s="15"/>
      <c r="FZE240" s="10"/>
      <c r="FZF240" s="10"/>
      <c r="FZG240" s="19"/>
      <c r="FZH240" s="19"/>
      <c r="FZK240" s="16"/>
      <c r="FZL240" s="15"/>
      <c r="FZM240" s="15"/>
      <c r="FZN240" s="15"/>
      <c r="FZO240" s="16"/>
      <c r="FZP240" s="16"/>
      <c r="FZQ240" s="16"/>
      <c r="FZR240" s="16"/>
      <c r="FZS240" s="16"/>
      <c r="FZT240" s="15"/>
      <c r="FZU240" s="15"/>
      <c r="FZV240" s="10"/>
      <c r="FZW240" s="10"/>
      <c r="FZX240" s="19"/>
      <c r="FZY240" s="19"/>
      <c r="GAB240" s="16"/>
      <c r="GAC240" s="15"/>
      <c r="GAD240" s="15"/>
      <c r="GAE240" s="15"/>
      <c r="GAF240" s="16"/>
      <c r="GAG240" s="16"/>
      <c r="GAH240" s="16"/>
      <c r="GAI240" s="16"/>
      <c r="GAJ240" s="16"/>
      <c r="GAK240" s="15"/>
      <c r="GAL240" s="15"/>
      <c r="GAM240" s="10"/>
      <c r="GAN240" s="10"/>
      <c r="GAO240" s="19"/>
      <c r="GAP240" s="19"/>
      <c r="GAS240" s="16"/>
      <c r="GAT240" s="15"/>
      <c r="GAU240" s="15"/>
      <c r="GAV240" s="15"/>
      <c r="GAW240" s="16"/>
      <c r="GAX240" s="16"/>
      <c r="GAY240" s="16"/>
      <c r="GAZ240" s="16"/>
      <c r="GBA240" s="16"/>
      <c r="GBB240" s="15"/>
      <c r="GBC240" s="15"/>
      <c r="GBD240" s="10"/>
      <c r="GBE240" s="10"/>
      <c r="GBF240" s="19"/>
      <c r="GBG240" s="19"/>
      <c r="GBJ240" s="16"/>
      <c r="GBK240" s="15"/>
      <c r="GBL240" s="15"/>
      <c r="GBM240" s="15"/>
      <c r="GBN240" s="16"/>
      <c r="GBO240" s="16"/>
      <c r="GBP240" s="16"/>
      <c r="GBQ240" s="16"/>
      <c r="GBR240" s="16"/>
      <c r="GBS240" s="15"/>
      <c r="GBT240" s="15"/>
      <c r="GBU240" s="10"/>
      <c r="GBV240" s="10"/>
      <c r="GBW240" s="19"/>
      <c r="GBX240" s="19"/>
      <c r="GCA240" s="16"/>
      <c r="GCB240" s="15"/>
      <c r="GCC240" s="15"/>
      <c r="GCD240" s="15"/>
      <c r="GCE240" s="16"/>
      <c r="GCF240" s="16"/>
      <c r="GCG240" s="16"/>
      <c r="GCH240" s="16"/>
      <c r="GCI240" s="16"/>
      <c r="GCJ240" s="15"/>
      <c r="GCK240" s="15"/>
      <c r="GCL240" s="10"/>
      <c r="GCM240" s="10"/>
      <c r="GCN240" s="19"/>
      <c r="GCO240" s="19"/>
      <c r="GCR240" s="16"/>
      <c r="GCS240" s="15"/>
      <c r="GCT240" s="15"/>
      <c r="GCU240" s="15"/>
      <c r="GCV240" s="16"/>
      <c r="GCW240" s="16"/>
      <c r="GCX240" s="16"/>
      <c r="GCY240" s="16"/>
      <c r="GCZ240" s="16"/>
      <c r="GDA240" s="15"/>
      <c r="GDB240" s="15"/>
      <c r="GDC240" s="10"/>
      <c r="GDD240" s="10"/>
      <c r="GDE240" s="19"/>
      <c r="GDF240" s="19"/>
      <c r="GDI240" s="16"/>
      <c r="GDJ240" s="15"/>
      <c r="GDK240" s="15"/>
      <c r="GDL240" s="15"/>
      <c r="GDM240" s="16"/>
      <c r="GDN240" s="16"/>
      <c r="GDO240" s="16"/>
      <c r="GDP240" s="16"/>
      <c r="GDQ240" s="16"/>
      <c r="GDR240" s="15"/>
      <c r="GDS240" s="15"/>
      <c r="GDT240" s="10"/>
      <c r="GDU240" s="10"/>
      <c r="GDV240" s="19"/>
      <c r="GDW240" s="19"/>
      <c r="GDZ240" s="16"/>
      <c r="GEA240" s="15"/>
      <c r="GEB240" s="15"/>
      <c r="GEC240" s="15"/>
      <c r="GED240" s="16"/>
      <c r="GEE240" s="16"/>
      <c r="GEF240" s="16"/>
      <c r="GEG240" s="16"/>
      <c r="GEH240" s="16"/>
      <c r="GEI240" s="15"/>
      <c r="GEJ240" s="15"/>
      <c r="GEK240" s="10"/>
      <c r="GEL240" s="10"/>
      <c r="GEM240" s="19"/>
      <c r="GEN240" s="19"/>
      <c r="GEQ240" s="16"/>
      <c r="GER240" s="15"/>
      <c r="GES240" s="15"/>
      <c r="GET240" s="15"/>
      <c r="GEU240" s="16"/>
      <c r="GEV240" s="16"/>
      <c r="GEW240" s="16"/>
      <c r="GEX240" s="16"/>
      <c r="GEY240" s="16"/>
      <c r="GEZ240" s="15"/>
      <c r="GFA240" s="15"/>
      <c r="GFB240" s="10"/>
      <c r="GFC240" s="10"/>
      <c r="GFD240" s="19"/>
      <c r="GFE240" s="19"/>
      <c r="GFH240" s="16"/>
      <c r="GFI240" s="15"/>
      <c r="GFJ240" s="15"/>
      <c r="GFK240" s="15"/>
      <c r="GFL240" s="16"/>
      <c r="GFM240" s="16"/>
      <c r="GFN240" s="16"/>
      <c r="GFO240" s="16"/>
      <c r="GFP240" s="16"/>
      <c r="GFQ240" s="15"/>
      <c r="GFR240" s="15"/>
      <c r="GFS240" s="10"/>
      <c r="GFT240" s="10"/>
      <c r="GFU240" s="19"/>
      <c r="GFV240" s="19"/>
      <c r="GFY240" s="16"/>
      <c r="GFZ240" s="15"/>
      <c r="GGA240" s="15"/>
      <c r="GGB240" s="15"/>
      <c r="GGC240" s="16"/>
      <c r="GGD240" s="16"/>
      <c r="GGE240" s="16"/>
      <c r="GGF240" s="16"/>
      <c r="GGG240" s="16"/>
      <c r="GGH240" s="15"/>
      <c r="GGI240" s="15"/>
      <c r="GGJ240" s="10"/>
      <c r="GGK240" s="10"/>
      <c r="GGL240" s="19"/>
      <c r="GGM240" s="19"/>
      <c r="GGP240" s="16"/>
      <c r="GGQ240" s="15"/>
      <c r="GGR240" s="15"/>
      <c r="GGS240" s="15"/>
      <c r="GGT240" s="16"/>
      <c r="GGU240" s="16"/>
      <c r="GGV240" s="16"/>
      <c r="GGW240" s="16"/>
      <c r="GGX240" s="16"/>
      <c r="GGY240" s="15"/>
      <c r="GGZ240" s="15"/>
      <c r="GHA240" s="10"/>
      <c r="GHB240" s="10"/>
      <c r="GHC240" s="19"/>
      <c r="GHD240" s="19"/>
      <c r="GHG240" s="16"/>
      <c r="GHH240" s="15"/>
      <c r="GHI240" s="15"/>
      <c r="GHJ240" s="15"/>
      <c r="GHK240" s="16"/>
      <c r="GHL240" s="16"/>
      <c r="GHM240" s="16"/>
      <c r="GHN240" s="16"/>
      <c r="GHO240" s="16"/>
      <c r="GHP240" s="15"/>
      <c r="GHQ240" s="15"/>
      <c r="GHR240" s="10"/>
      <c r="GHS240" s="10"/>
      <c r="GHT240" s="19"/>
      <c r="GHU240" s="19"/>
      <c r="GHX240" s="16"/>
      <c r="GHY240" s="15"/>
      <c r="GHZ240" s="15"/>
      <c r="GIA240" s="15"/>
      <c r="GIB240" s="16"/>
      <c r="GIC240" s="16"/>
      <c r="GID240" s="16"/>
      <c r="GIE240" s="16"/>
      <c r="GIF240" s="16"/>
      <c r="GIG240" s="15"/>
      <c r="GIH240" s="15"/>
      <c r="GII240" s="10"/>
      <c r="GIJ240" s="10"/>
      <c r="GIK240" s="19"/>
      <c r="GIL240" s="19"/>
      <c r="GIO240" s="16"/>
      <c r="GIP240" s="15"/>
      <c r="GIQ240" s="15"/>
      <c r="GIR240" s="15"/>
      <c r="GIS240" s="16"/>
      <c r="GIT240" s="16"/>
      <c r="GIU240" s="16"/>
      <c r="GIV240" s="16"/>
      <c r="GIW240" s="16"/>
      <c r="GIX240" s="15"/>
      <c r="GIY240" s="15"/>
      <c r="GIZ240" s="10"/>
      <c r="GJA240" s="10"/>
      <c r="GJB240" s="19"/>
      <c r="GJC240" s="19"/>
      <c r="GJF240" s="16"/>
      <c r="GJG240" s="15"/>
      <c r="GJH240" s="15"/>
      <c r="GJI240" s="15"/>
      <c r="GJJ240" s="16"/>
      <c r="GJK240" s="16"/>
      <c r="GJL240" s="16"/>
      <c r="GJM240" s="16"/>
      <c r="GJN240" s="16"/>
      <c r="GJO240" s="15"/>
      <c r="GJP240" s="15"/>
      <c r="GJQ240" s="10"/>
      <c r="GJR240" s="10"/>
      <c r="GJS240" s="19"/>
      <c r="GJT240" s="19"/>
      <c r="GJW240" s="16"/>
      <c r="GJX240" s="15"/>
      <c r="GJY240" s="15"/>
      <c r="GJZ240" s="15"/>
      <c r="GKA240" s="16"/>
      <c r="GKB240" s="16"/>
      <c r="GKC240" s="16"/>
      <c r="GKD240" s="16"/>
      <c r="GKE240" s="16"/>
      <c r="GKF240" s="15"/>
      <c r="GKG240" s="15"/>
      <c r="GKH240" s="10"/>
      <c r="GKI240" s="10"/>
      <c r="GKJ240" s="19"/>
      <c r="GKK240" s="19"/>
      <c r="GKN240" s="16"/>
      <c r="GKO240" s="15"/>
      <c r="GKP240" s="15"/>
      <c r="GKQ240" s="15"/>
      <c r="GKR240" s="16"/>
      <c r="GKS240" s="16"/>
      <c r="GKT240" s="16"/>
      <c r="GKU240" s="16"/>
      <c r="GKV240" s="16"/>
      <c r="GKW240" s="15"/>
      <c r="GKX240" s="15"/>
      <c r="GKY240" s="10"/>
      <c r="GKZ240" s="10"/>
      <c r="GLA240" s="19"/>
      <c r="GLB240" s="19"/>
      <c r="GLE240" s="16"/>
      <c r="GLF240" s="15"/>
      <c r="GLG240" s="15"/>
      <c r="GLH240" s="15"/>
      <c r="GLI240" s="16"/>
      <c r="GLJ240" s="16"/>
      <c r="GLK240" s="16"/>
      <c r="GLL240" s="16"/>
      <c r="GLM240" s="16"/>
      <c r="GLN240" s="15"/>
      <c r="GLO240" s="15"/>
      <c r="GLP240" s="10"/>
      <c r="GLQ240" s="10"/>
      <c r="GLR240" s="19"/>
      <c r="GLS240" s="19"/>
      <c r="GLV240" s="16"/>
      <c r="GLW240" s="15"/>
      <c r="GLX240" s="15"/>
      <c r="GLY240" s="15"/>
      <c r="GLZ240" s="16"/>
      <c r="GMA240" s="16"/>
      <c r="GMB240" s="16"/>
      <c r="GMC240" s="16"/>
      <c r="GMD240" s="16"/>
      <c r="GME240" s="15"/>
      <c r="GMF240" s="15"/>
      <c r="GMG240" s="10"/>
      <c r="GMH240" s="10"/>
      <c r="GMI240" s="19"/>
      <c r="GMJ240" s="19"/>
      <c r="GMM240" s="16"/>
      <c r="GMN240" s="15"/>
      <c r="GMO240" s="15"/>
      <c r="GMP240" s="15"/>
      <c r="GMQ240" s="16"/>
      <c r="GMR240" s="16"/>
      <c r="GMS240" s="16"/>
      <c r="GMT240" s="16"/>
      <c r="GMU240" s="16"/>
      <c r="GMV240" s="15"/>
      <c r="GMW240" s="15"/>
      <c r="GMX240" s="10"/>
      <c r="GMY240" s="10"/>
      <c r="GMZ240" s="19"/>
      <c r="GNA240" s="19"/>
      <c r="GND240" s="16"/>
      <c r="GNE240" s="15"/>
      <c r="GNF240" s="15"/>
      <c r="GNG240" s="15"/>
      <c r="GNH240" s="16"/>
      <c r="GNI240" s="16"/>
      <c r="GNJ240" s="16"/>
      <c r="GNK240" s="16"/>
      <c r="GNL240" s="16"/>
      <c r="GNM240" s="15"/>
      <c r="GNN240" s="15"/>
      <c r="GNO240" s="10"/>
      <c r="GNP240" s="10"/>
      <c r="GNQ240" s="19"/>
      <c r="GNR240" s="19"/>
      <c r="GNU240" s="16"/>
      <c r="GNV240" s="15"/>
      <c r="GNW240" s="15"/>
      <c r="GNX240" s="15"/>
      <c r="GNY240" s="16"/>
      <c r="GNZ240" s="16"/>
      <c r="GOA240" s="16"/>
      <c r="GOB240" s="16"/>
      <c r="GOC240" s="16"/>
      <c r="GOD240" s="15"/>
      <c r="GOE240" s="15"/>
      <c r="GOF240" s="10"/>
      <c r="GOG240" s="10"/>
      <c r="GOH240" s="19"/>
      <c r="GOI240" s="19"/>
      <c r="GOL240" s="16"/>
      <c r="GOM240" s="15"/>
      <c r="GON240" s="15"/>
      <c r="GOO240" s="15"/>
      <c r="GOP240" s="16"/>
      <c r="GOQ240" s="16"/>
      <c r="GOR240" s="16"/>
      <c r="GOS240" s="16"/>
      <c r="GOT240" s="16"/>
      <c r="GOU240" s="15"/>
      <c r="GOV240" s="15"/>
      <c r="GOW240" s="10"/>
      <c r="GOX240" s="10"/>
      <c r="GOY240" s="19"/>
      <c r="GOZ240" s="19"/>
      <c r="GPC240" s="16"/>
      <c r="GPD240" s="15"/>
      <c r="GPE240" s="15"/>
      <c r="GPF240" s="15"/>
      <c r="GPG240" s="16"/>
      <c r="GPH240" s="16"/>
      <c r="GPI240" s="16"/>
      <c r="GPJ240" s="16"/>
      <c r="GPK240" s="16"/>
      <c r="GPL240" s="15"/>
      <c r="GPM240" s="15"/>
      <c r="GPN240" s="10"/>
      <c r="GPO240" s="10"/>
      <c r="GPP240" s="19"/>
      <c r="GPQ240" s="19"/>
      <c r="GPT240" s="16"/>
      <c r="GPU240" s="15"/>
      <c r="GPV240" s="15"/>
      <c r="GPW240" s="15"/>
      <c r="GPX240" s="16"/>
      <c r="GPY240" s="16"/>
      <c r="GPZ240" s="16"/>
      <c r="GQA240" s="16"/>
      <c r="GQB240" s="16"/>
      <c r="GQC240" s="15"/>
      <c r="GQD240" s="15"/>
      <c r="GQE240" s="10"/>
      <c r="GQF240" s="10"/>
      <c r="GQG240" s="19"/>
      <c r="GQH240" s="19"/>
      <c r="GQK240" s="16"/>
      <c r="GQL240" s="15"/>
      <c r="GQM240" s="15"/>
      <c r="GQN240" s="15"/>
      <c r="GQO240" s="16"/>
      <c r="GQP240" s="16"/>
      <c r="GQQ240" s="16"/>
      <c r="GQR240" s="16"/>
      <c r="GQS240" s="16"/>
      <c r="GQT240" s="15"/>
      <c r="GQU240" s="15"/>
      <c r="GQV240" s="10"/>
      <c r="GQW240" s="10"/>
      <c r="GQX240" s="19"/>
      <c r="GQY240" s="19"/>
      <c r="GRB240" s="16"/>
      <c r="GRC240" s="15"/>
      <c r="GRD240" s="15"/>
      <c r="GRE240" s="15"/>
      <c r="GRF240" s="16"/>
      <c r="GRG240" s="16"/>
      <c r="GRH240" s="16"/>
      <c r="GRI240" s="16"/>
      <c r="GRJ240" s="16"/>
      <c r="GRK240" s="15"/>
      <c r="GRL240" s="15"/>
      <c r="GRM240" s="10"/>
      <c r="GRN240" s="10"/>
      <c r="GRO240" s="19"/>
      <c r="GRP240" s="19"/>
      <c r="GRS240" s="16"/>
      <c r="GRT240" s="15"/>
      <c r="GRU240" s="15"/>
      <c r="GRV240" s="15"/>
      <c r="GRW240" s="16"/>
      <c r="GRX240" s="16"/>
      <c r="GRY240" s="16"/>
      <c r="GRZ240" s="16"/>
      <c r="GSA240" s="16"/>
      <c r="GSB240" s="15"/>
      <c r="GSC240" s="15"/>
      <c r="GSD240" s="10"/>
      <c r="GSE240" s="10"/>
      <c r="GSF240" s="19"/>
      <c r="GSG240" s="19"/>
      <c r="GSJ240" s="16"/>
      <c r="GSK240" s="15"/>
      <c r="GSL240" s="15"/>
      <c r="GSM240" s="15"/>
      <c r="GSN240" s="16"/>
      <c r="GSO240" s="16"/>
      <c r="GSP240" s="16"/>
      <c r="GSQ240" s="16"/>
      <c r="GSR240" s="16"/>
      <c r="GSS240" s="15"/>
      <c r="GST240" s="15"/>
      <c r="GSU240" s="10"/>
      <c r="GSV240" s="10"/>
      <c r="GSW240" s="19"/>
      <c r="GSX240" s="19"/>
      <c r="GTA240" s="16"/>
      <c r="GTB240" s="15"/>
      <c r="GTC240" s="15"/>
      <c r="GTD240" s="15"/>
      <c r="GTE240" s="16"/>
      <c r="GTF240" s="16"/>
      <c r="GTG240" s="16"/>
      <c r="GTH240" s="16"/>
      <c r="GTI240" s="16"/>
      <c r="GTJ240" s="15"/>
      <c r="GTK240" s="15"/>
      <c r="GTL240" s="10"/>
      <c r="GTM240" s="10"/>
      <c r="GTN240" s="19"/>
      <c r="GTO240" s="19"/>
      <c r="GTR240" s="16"/>
      <c r="GTS240" s="15"/>
      <c r="GTT240" s="15"/>
      <c r="GTU240" s="15"/>
      <c r="GTV240" s="16"/>
      <c r="GTW240" s="16"/>
      <c r="GTX240" s="16"/>
      <c r="GTY240" s="16"/>
      <c r="GTZ240" s="16"/>
      <c r="GUA240" s="15"/>
      <c r="GUB240" s="15"/>
      <c r="GUC240" s="10"/>
      <c r="GUD240" s="10"/>
      <c r="GUE240" s="19"/>
      <c r="GUF240" s="19"/>
      <c r="GUI240" s="16"/>
      <c r="GUJ240" s="15"/>
      <c r="GUK240" s="15"/>
      <c r="GUL240" s="15"/>
      <c r="GUM240" s="16"/>
      <c r="GUN240" s="16"/>
      <c r="GUO240" s="16"/>
      <c r="GUP240" s="16"/>
      <c r="GUQ240" s="16"/>
      <c r="GUR240" s="15"/>
      <c r="GUS240" s="15"/>
      <c r="GUT240" s="10"/>
      <c r="GUU240" s="10"/>
      <c r="GUV240" s="19"/>
      <c r="GUW240" s="19"/>
      <c r="GUZ240" s="16"/>
      <c r="GVA240" s="15"/>
      <c r="GVB240" s="15"/>
      <c r="GVC240" s="15"/>
      <c r="GVD240" s="16"/>
      <c r="GVE240" s="16"/>
      <c r="GVF240" s="16"/>
      <c r="GVG240" s="16"/>
      <c r="GVH240" s="16"/>
      <c r="GVI240" s="15"/>
      <c r="GVJ240" s="15"/>
      <c r="GVK240" s="10"/>
      <c r="GVL240" s="10"/>
      <c r="GVM240" s="19"/>
      <c r="GVN240" s="19"/>
      <c r="GVQ240" s="16"/>
      <c r="GVR240" s="15"/>
      <c r="GVS240" s="15"/>
      <c r="GVT240" s="15"/>
      <c r="GVU240" s="16"/>
      <c r="GVV240" s="16"/>
      <c r="GVW240" s="16"/>
      <c r="GVX240" s="16"/>
      <c r="GVY240" s="16"/>
      <c r="GVZ240" s="15"/>
      <c r="GWA240" s="15"/>
      <c r="GWB240" s="10"/>
      <c r="GWC240" s="10"/>
      <c r="GWD240" s="19"/>
      <c r="GWE240" s="19"/>
      <c r="GWH240" s="16"/>
      <c r="GWI240" s="15"/>
      <c r="GWJ240" s="15"/>
      <c r="GWK240" s="15"/>
      <c r="GWL240" s="16"/>
      <c r="GWM240" s="16"/>
      <c r="GWN240" s="16"/>
      <c r="GWO240" s="16"/>
      <c r="GWP240" s="16"/>
      <c r="GWQ240" s="15"/>
      <c r="GWR240" s="15"/>
      <c r="GWS240" s="10"/>
      <c r="GWT240" s="10"/>
      <c r="GWU240" s="19"/>
      <c r="GWV240" s="19"/>
      <c r="GWY240" s="16"/>
      <c r="GWZ240" s="15"/>
      <c r="GXA240" s="15"/>
      <c r="GXB240" s="15"/>
      <c r="GXC240" s="16"/>
      <c r="GXD240" s="16"/>
      <c r="GXE240" s="16"/>
      <c r="GXF240" s="16"/>
      <c r="GXG240" s="16"/>
      <c r="GXH240" s="15"/>
      <c r="GXI240" s="15"/>
      <c r="GXJ240" s="10"/>
      <c r="GXK240" s="10"/>
      <c r="GXL240" s="19"/>
      <c r="GXM240" s="19"/>
      <c r="GXP240" s="16"/>
      <c r="GXQ240" s="15"/>
      <c r="GXR240" s="15"/>
      <c r="GXS240" s="15"/>
      <c r="GXT240" s="16"/>
      <c r="GXU240" s="16"/>
      <c r="GXV240" s="16"/>
      <c r="GXW240" s="16"/>
      <c r="GXX240" s="16"/>
      <c r="GXY240" s="15"/>
      <c r="GXZ240" s="15"/>
      <c r="GYA240" s="10"/>
      <c r="GYB240" s="10"/>
      <c r="GYC240" s="19"/>
      <c r="GYD240" s="19"/>
      <c r="GYG240" s="16"/>
      <c r="GYH240" s="15"/>
      <c r="GYI240" s="15"/>
      <c r="GYJ240" s="15"/>
      <c r="GYK240" s="16"/>
      <c r="GYL240" s="16"/>
      <c r="GYM240" s="16"/>
      <c r="GYN240" s="16"/>
      <c r="GYO240" s="16"/>
      <c r="GYP240" s="15"/>
      <c r="GYQ240" s="15"/>
      <c r="GYR240" s="10"/>
      <c r="GYS240" s="10"/>
      <c r="GYT240" s="19"/>
      <c r="GYU240" s="19"/>
      <c r="GYX240" s="16"/>
      <c r="GYY240" s="15"/>
      <c r="GYZ240" s="15"/>
      <c r="GZA240" s="15"/>
      <c r="GZB240" s="16"/>
      <c r="GZC240" s="16"/>
      <c r="GZD240" s="16"/>
      <c r="GZE240" s="16"/>
      <c r="GZF240" s="16"/>
      <c r="GZG240" s="15"/>
      <c r="GZH240" s="15"/>
      <c r="GZI240" s="10"/>
      <c r="GZJ240" s="10"/>
      <c r="GZK240" s="19"/>
      <c r="GZL240" s="19"/>
      <c r="GZO240" s="16"/>
      <c r="GZP240" s="15"/>
      <c r="GZQ240" s="15"/>
      <c r="GZR240" s="15"/>
      <c r="GZS240" s="16"/>
      <c r="GZT240" s="16"/>
      <c r="GZU240" s="16"/>
      <c r="GZV240" s="16"/>
      <c r="GZW240" s="16"/>
      <c r="GZX240" s="15"/>
      <c r="GZY240" s="15"/>
      <c r="GZZ240" s="10"/>
      <c r="HAA240" s="10"/>
      <c r="HAB240" s="19"/>
      <c r="HAC240" s="19"/>
      <c r="HAF240" s="16"/>
      <c r="HAG240" s="15"/>
      <c r="HAH240" s="15"/>
      <c r="HAI240" s="15"/>
      <c r="HAJ240" s="16"/>
      <c r="HAK240" s="16"/>
      <c r="HAL240" s="16"/>
      <c r="HAM240" s="16"/>
      <c r="HAN240" s="16"/>
      <c r="HAO240" s="15"/>
      <c r="HAP240" s="15"/>
      <c r="HAQ240" s="10"/>
      <c r="HAR240" s="10"/>
      <c r="HAS240" s="19"/>
      <c r="HAT240" s="19"/>
      <c r="HAW240" s="16"/>
      <c r="HAX240" s="15"/>
      <c r="HAY240" s="15"/>
      <c r="HAZ240" s="15"/>
      <c r="HBA240" s="16"/>
      <c r="HBB240" s="16"/>
      <c r="HBC240" s="16"/>
      <c r="HBD240" s="16"/>
      <c r="HBE240" s="16"/>
      <c r="HBF240" s="15"/>
      <c r="HBG240" s="15"/>
      <c r="HBH240" s="10"/>
      <c r="HBI240" s="10"/>
      <c r="HBJ240" s="19"/>
      <c r="HBK240" s="19"/>
      <c r="HBN240" s="16"/>
      <c r="HBO240" s="15"/>
      <c r="HBP240" s="15"/>
      <c r="HBQ240" s="15"/>
      <c r="HBR240" s="16"/>
      <c r="HBS240" s="16"/>
      <c r="HBT240" s="16"/>
      <c r="HBU240" s="16"/>
      <c r="HBV240" s="16"/>
      <c r="HBW240" s="15"/>
      <c r="HBX240" s="15"/>
      <c r="HBY240" s="10"/>
      <c r="HBZ240" s="10"/>
      <c r="HCA240" s="19"/>
      <c r="HCB240" s="19"/>
      <c r="HCE240" s="16"/>
      <c r="HCF240" s="15"/>
      <c r="HCG240" s="15"/>
      <c r="HCH240" s="15"/>
      <c r="HCI240" s="16"/>
      <c r="HCJ240" s="16"/>
      <c r="HCK240" s="16"/>
      <c r="HCL240" s="16"/>
      <c r="HCM240" s="16"/>
      <c r="HCN240" s="15"/>
      <c r="HCO240" s="15"/>
      <c r="HCP240" s="10"/>
      <c r="HCQ240" s="10"/>
      <c r="HCR240" s="19"/>
      <c r="HCS240" s="19"/>
      <c r="HCV240" s="16"/>
      <c r="HCW240" s="15"/>
      <c r="HCX240" s="15"/>
      <c r="HCY240" s="15"/>
      <c r="HCZ240" s="16"/>
      <c r="HDA240" s="16"/>
      <c r="HDB240" s="16"/>
      <c r="HDC240" s="16"/>
      <c r="HDD240" s="16"/>
      <c r="HDE240" s="15"/>
      <c r="HDF240" s="15"/>
      <c r="HDG240" s="10"/>
      <c r="HDH240" s="10"/>
      <c r="HDI240" s="19"/>
      <c r="HDJ240" s="19"/>
      <c r="HDM240" s="16"/>
      <c r="HDN240" s="15"/>
      <c r="HDO240" s="15"/>
      <c r="HDP240" s="15"/>
      <c r="HDQ240" s="16"/>
      <c r="HDR240" s="16"/>
      <c r="HDS240" s="16"/>
      <c r="HDT240" s="16"/>
      <c r="HDU240" s="16"/>
      <c r="HDV240" s="15"/>
      <c r="HDW240" s="15"/>
      <c r="HDX240" s="10"/>
      <c r="HDY240" s="10"/>
      <c r="HDZ240" s="19"/>
      <c r="HEA240" s="19"/>
      <c r="HED240" s="16"/>
      <c r="HEE240" s="15"/>
      <c r="HEF240" s="15"/>
      <c r="HEG240" s="15"/>
      <c r="HEH240" s="16"/>
      <c r="HEI240" s="16"/>
      <c r="HEJ240" s="16"/>
      <c r="HEK240" s="16"/>
      <c r="HEL240" s="16"/>
      <c r="HEM240" s="15"/>
      <c r="HEN240" s="15"/>
      <c r="HEO240" s="10"/>
      <c r="HEP240" s="10"/>
      <c r="HEQ240" s="19"/>
      <c r="HER240" s="19"/>
      <c r="HEU240" s="16"/>
      <c r="HEV240" s="15"/>
      <c r="HEW240" s="15"/>
      <c r="HEX240" s="15"/>
      <c r="HEY240" s="16"/>
      <c r="HEZ240" s="16"/>
      <c r="HFA240" s="16"/>
      <c r="HFB240" s="16"/>
      <c r="HFC240" s="16"/>
      <c r="HFD240" s="15"/>
      <c r="HFE240" s="15"/>
      <c r="HFF240" s="10"/>
      <c r="HFG240" s="10"/>
      <c r="HFH240" s="19"/>
      <c r="HFI240" s="19"/>
      <c r="HFL240" s="16"/>
      <c r="HFM240" s="15"/>
      <c r="HFN240" s="15"/>
      <c r="HFO240" s="15"/>
      <c r="HFP240" s="16"/>
      <c r="HFQ240" s="16"/>
      <c r="HFR240" s="16"/>
      <c r="HFS240" s="16"/>
      <c r="HFT240" s="16"/>
      <c r="HFU240" s="15"/>
      <c r="HFV240" s="15"/>
      <c r="HFW240" s="10"/>
      <c r="HFX240" s="10"/>
      <c r="HFY240" s="19"/>
      <c r="HFZ240" s="19"/>
      <c r="HGC240" s="16"/>
      <c r="HGD240" s="15"/>
      <c r="HGE240" s="15"/>
      <c r="HGF240" s="15"/>
      <c r="HGG240" s="16"/>
      <c r="HGH240" s="16"/>
      <c r="HGI240" s="16"/>
      <c r="HGJ240" s="16"/>
      <c r="HGK240" s="16"/>
      <c r="HGL240" s="15"/>
      <c r="HGM240" s="15"/>
      <c r="HGN240" s="10"/>
      <c r="HGO240" s="10"/>
      <c r="HGP240" s="19"/>
      <c r="HGQ240" s="19"/>
      <c r="HGT240" s="16"/>
      <c r="HGU240" s="15"/>
      <c r="HGV240" s="15"/>
      <c r="HGW240" s="15"/>
      <c r="HGX240" s="16"/>
      <c r="HGY240" s="16"/>
      <c r="HGZ240" s="16"/>
      <c r="HHA240" s="16"/>
      <c r="HHB240" s="16"/>
      <c r="HHC240" s="15"/>
      <c r="HHD240" s="15"/>
      <c r="HHE240" s="10"/>
      <c r="HHF240" s="10"/>
      <c r="HHG240" s="19"/>
      <c r="HHH240" s="19"/>
      <c r="HHK240" s="16"/>
      <c r="HHL240" s="15"/>
      <c r="HHM240" s="15"/>
      <c r="HHN240" s="15"/>
      <c r="HHO240" s="16"/>
      <c r="HHP240" s="16"/>
      <c r="HHQ240" s="16"/>
      <c r="HHR240" s="16"/>
      <c r="HHS240" s="16"/>
      <c r="HHT240" s="15"/>
      <c r="HHU240" s="15"/>
      <c r="HHV240" s="10"/>
      <c r="HHW240" s="10"/>
      <c r="HHX240" s="19"/>
      <c r="HHY240" s="19"/>
      <c r="HIB240" s="16"/>
      <c r="HIC240" s="15"/>
      <c r="HID240" s="15"/>
      <c r="HIE240" s="15"/>
      <c r="HIF240" s="16"/>
      <c r="HIG240" s="16"/>
      <c r="HIH240" s="16"/>
      <c r="HII240" s="16"/>
      <c r="HIJ240" s="16"/>
      <c r="HIK240" s="15"/>
      <c r="HIL240" s="15"/>
      <c r="HIM240" s="10"/>
      <c r="HIN240" s="10"/>
      <c r="HIO240" s="19"/>
      <c r="HIP240" s="19"/>
      <c r="HIS240" s="16"/>
      <c r="HIT240" s="15"/>
      <c r="HIU240" s="15"/>
      <c r="HIV240" s="15"/>
      <c r="HIW240" s="16"/>
      <c r="HIX240" s="16"/>
      <c r="HIY240" s="16"/>
      <c r="HIZ240" s="16"/>
      <c r="HJA240" s="16"/>
      <c r="HJB240" s="15"/>
      <c r="HJC240" s="15"/>
      <c r="HJD240" s="10"/>
      <c r="HJE240" s="10"/>
      <c r="HJF240" s="19"/>
      <c r="HJG240" s="19"/>
      <c r="HJJ240" s="16"/>
      <c r="HJK240" s="15"/>
      <c r="HJL240" s="15"/>
      <c r="HJM240" s="15"/>
      <c r="HJN240" s="16"/>
      <c r="HJO240" s="16"/>
      <c r="HJP240" s="16"/>
      <c r="HJQ240" s="16"/>
      <c r="HJR240" s="16"/>
      <c r="HJS240" s="15"/>
      <c r="HJT240" s="15"/>
      <c r="HJU240" s="10"/>
      <c r="HJV240" s="10"/>
      <c r="HJW240" s="19"/>
      <c r="HJX240" s="19"/>
      <c r="HKA240" s="16"/>
      <c r="HKB240" s="15"/>
      <c r="HKC240" s="15"/>
      <c r="HKD240" s="15"/>
      <c r="HKE240" s="16"/>
      <c r="HKF240" s="16"/>
      <c r="HKG240" s="16"/>
      <c r="HKH240" s="16"/>
      <c r="HKI240" s="16"/>
      <c r="HKJ240" s="15"/>
      <c r="HKK240" s="15"/>
      <c r="HKL240" s="10"/>
      <c r="HKM240" s="10"/>
      <c r="HKN240" s="19"/>
      <c r="HKO240" s="19"/>
      <c r="HKR240" s="16"/>
      <c r="HKS240" s="15"/>
      <c r="HKT240" s="15"/>
      <c r="HKU240" s="15"/>
      <c r="HKV240" s="16"/>
      <c r="HKW240" s="16"/>
      <c r="HKX240" s="16"/>
      <c r="HKY240" s="16"/>
      <c r="HKZ240" s="16"/>
      <c r="HLA240" s="15"/>
      <c r="HLB240" s="15"/>
      <c r="HLC240" s="10"/>
      <c r="HLD240" s="10"/>
      <c r="HLE240" s="19"/>
      <c r="HLF240" s="19"/>
      <c r="HLI240" s="16"/>
      <c r="HLJ240" s="15"/>
      <c r="HLK240" s="15"/>
      <c r="HLL240" s="15"/>
      <c r="HLM240" s="16"/>
      <c r="HLN240" s="16"/>
      <c r="HLO240" s="16"/>
      <c r="HLP240" s="16"/>
      <c r="HLQ240" s="16"/>
      <c r="HLR240" s="15"/>
      <c r="HLS240" s="15"/>
      <c r="HLT240" s="10"/>
      <c r="HLU240" s="10"/>
      <c r="HLV240" s="19"/>
      <c r="HLW240" s="19"/>
      <c r="HLZ240" s="16"/>
      <c r="HMA240" s="15"/>
      <c r="HMB240" s="15"/>
      <c r="HMC240" s="15"/>
      <c r="HMD240" s="16"/>
      <c r="HME240" s="16"/>
      <c r="HMF240" s="16"/>
      <c r="HMG240" s="16"/>
      <c r="HMH240" s="16"/>
      <c r="HMI240" s="15"/>
      <c r="HMJ240" s="15"/>
      <c r="HMK240" s="10"/>
      <c r="HML240" s="10"/>
      <c r="HMM240" s="19"/>
      <c r="HMN240" s="19"/>
      <c r="HMQ240" s="16"/>
      <c r="HMR240" s="15"/>
      <c r="HMS240" s="15"/>
      <c r="HMT240" s="15"/>
      <c r="HMU240" s="16"/>
      <c r="HMV240" s="16"/>
      <c r="HMW240" s="16"/>
      <c r="HMX240" s="16"/>
      <c r="HMY240" s="16"/>
      <c r="HMZ240" s="15"/>
      <c r="HNA240" s="15"/>
      <c r="HNB240" s="10"/>
      <c r="HNC240" s="10"/>
      <c r="HND240" s="19"/>
      <c r="HNE240" s="19"/>
      <c r="HNH240" s="16"/>
      <c r="HNI240" s="15"/>
      <c r="HNJ240" s="15"/>
      <c r="HNK240" s="15"/>
      <c r="HNL240" s="16"/>
      <c r="HNM240" s="16"/>
      <c r="HNN240" s="16"/>
      <c r="HNO240" s="16"/>
      <c r="HNP240" s="16"/>
      <c r="HNQ240" s="15"/>
      <c r="HNR240" s="15"/>
      <c r="HNS240" s="10"/>
      <c r="HNT240" s="10"/>
      <c r="HNU240" s="19"/>
      <c r="HNV240" s="19"/>
      <c r="HNY240" s="16"/>
      <c r="HNZ240" s="15"/>
      <c r="HOA240" s="15"/>
      <c r="HOB240" s="15"/>
      <c r="HOC240" s="16"/>
      <c r="HOD240" s="16"/>
      <c r="HOE240" s="16"/>
      <c r="HOF240" s="16"/>
      <c r="HOG240" s="16"/>
      <c r="HOH240" s="15"/>
      <c r="HOI240" s="15"/>
      <c r="HOJ240" s="10"/>
      <c r="HOK240" s="10"/>
      <c r="HOL240" s="19"/>
      <c r="HOM240" s="19"/>
      <c r="HOP240" s="16"/>
      <c r="HOQ240" s="15"/>
      <c r="HOR240" s="15"/>
      <c r="HOS240" s="15"/>
      <c r="HOT240" s="16"/>
      <c r="HOU240" s="16"/>
      <c r="HOV240" s="16"/>
      <c r="HOW240" s="16"/>
      <c r="HOX240" s="16"/>
      <c r="HOY240" s="15"/>
      <c r="HOZ240" s="15"/>
      <c r="HPA240" s="10"/>
      <c r="HPB240" s="10"/>
      <c r="HPC240" s="19"/>
      <c r="HPD240" s="19"/>
      <c r="HPG240" s="16"/>
      <c r="HPH240" s="15"/>
      <c r="HPI240" s="15"/>
      <c r="HPJ240" s="15"/>
      <c r="HPK240" s="16"/>
      <c r="HPL240" s="16"/>
      <c r="HPM240" s="16"/>
      <c r="HPN240" s="16"/>
      <c r="HPO240" s="16"/>
      <c r="HPP240" s="15"/>
      <c r="HPQ240" s="15"/>
      <c r="HPR240" s="10"/>
      <c r="HPS240" s="10"/>
      <c r="HPT240" s="19"/>
      <c r="HPU240" s="19"/>
      <c r="HPX240" s="16"/>
      <c r="HPY240" s="15"/>
      <c r="HPZ240" s="15"/>
      <c r="HQA240" s="15"/>
      <c r="HQB240" s="16"/>
      <c r="HQC240" s="16"/>
      <c r="HQD240" s="16"/>
      <c r="HQE240" s="16"/>
      <c r="HQF240" s="16"/>
      <c r="HQG240" s="15"/>
      <c r="HQH240" s="15"/>
      <c r="HQI240" s="10"/>
      <c r="HQJ240" s="10"/>
      <c r="HQK240" s="19"/>
      <c r="HQL240" s="19"/>
      <c r="HQO240" s="16"/>
      <c r="HQP240" s="15"/>
      <c r="HQQ240" s="15"/>
      <c r="HQR240" s="15"/>
      <c r="HQS240" s="16"/>
      <c r="HQT240" s="16"/>
      <c r="HQU240" s="16"/>
      <c r="HQV240" s="16"/>
      <c r="HQW240" s="16"/>
      <c r="HQX240" s="15"/>
      <c r="HQY240" s="15"/>
      <c r="HQZ240" s="10"/>
      <c r="HRA240" s="10"/>
      <c r="HRB240" s="19"/>
      <c r="HRC240" s="19"/>
      <c r="HRF240" s="16"/>
      <c r="HRG240" s="15"/>
      <c r="HRH240" s="15"/>
      <c r="HRI240" s="15"/>
      <c r="HRJ240" s="16"/>
      <c r="HRK240" s="16"/>
      <c r="HRL240" s="16"/>
      <c r="HRM240" s="16"/>
      <c r="HRN240" s="16"/>
      <c r="HRO240" s="15"/>
      <c r="HRP240" s="15"/>
      <c r="HRQ240" s="10"/>
      <c r="HRR240" s="10"/>
      <c r="HRS240" s="19"/>
      <c r="HRT240" s="19"/>
      <c r="HRW240" s="16"/>
      <c r="HRX240" s="15"/>
      <c r="HRY240" s="15"/>
      <c r="HRZ240" s="15"/>
      <c r="HSA240" s="16"/>
      <c r="HSB240" s="16"/>
      <c r="HSC240" s="16"/>
      <c r="HSD240" s="16"/>
      <c r="HSE240" s="16"/>
      <c r="HSF240" s="15"/>
      <c r="HSG240" s="15"/>
      <c r="HSH240" s="10"/>
      <c r="HSI240" s="10"/>
      <c r="HSJ240" s="19"/>
      <c r="HSK240" s="19"/>
      <c r="HSN240" s="16"/>
      <c r="HSO240" s="15"/>
      <c r="HSP240" s="15"/>
      <c r="HSQ240" s="15"/>
      <c r="HSR240" s="16"/>
      <c r="HSS240" s="16"/>
      <c r="HST240" s="16"/>
      <c r="HSU240" s="16"/>
      <c r="HSV240" s="16"/>
      <c r="HSW240" s="15"/>
      <c r="HSX240" s="15"/>
      <c r="HSY240" s="10"/>
      <c r="HSZ240" s="10"/>
      <c r="HTA240" s="19"/>
      <c r="HTB240" s="19"/>
      <c r="HTE240" s="16"/>
      <c r="HTF240" s="15"/>
      <c r="HTG240" s="15"/>
      <c r="HTH240" s="15"/>
      <c r="HTI240" s="16"/>
      <c r="HTJ240" s="16"/>
      <c r="HTK240" s="16"/>
      <c r="HTL240" s="16"/>
      <c r="HTM240" s="16"/>
      <c r="HTN240" s="15"/>
      <c r="HTO240" s="15"/>
      <c r="HTP240" s="10"/>
      <c r="HTQ240" s="10"/>
      <c r="HTR240" s="19"/>
      <c r="HTS240" s="19"/>
      <c r="HTV240" s="16"/>
      <c r="HTW240" s="15"/>
      <c r="HTX240" s="15"/>
      <c r="HTY240" s="15"/>
      <c r="HTZ240" s="16"/>
      <c r="HUA240" s="16"/>
      <c r="HUB240" s="16"/>
      <c r="HUC240" s="16"/>
      <c r="HUD240" s="16"/>
      <c r="HUE240" s="15"/>
      <c r="HUF240" s="15"/>
      <c r="HUG240" s="10"/>
      <c r="HUH240" s="10"/>
      <c r="HUI240" s="19"/>
      <c r="HUJ240" s="19"/>
      <c r="HUM240" s="16"/>
      <c r="HUN240" s="15"/>
      <c r="HUO240" s="15"/>
      <c r="HUP240" s="15"/>
      <c r="HUQ240" s="16"/>
      <c r="HUR240" s="16"/>
      <c r="HUS240" s="16"/>
      <c r="HUT240" s="16"/>
      <c r="HUU240" s="16"/>
      <c r="HUV240" s="15"/>
      <c r="HUW240" s="15"/>
      <c r="HUX240" s="10"/>
      <c r="HUY240" s="10"/>
      <c r="HUZ240" s="19"/>
      <c r="HVA240" s="19"/>
      <c r="HVD240" s="16"/>
      <c r="HVE240" s="15"/>
      <c r="HVF240" s="15"/>
      <c r="HVG240" s="15"/>
      <c r="HVH240" s="16"/>
      <c r="HVI240" s="16"/>
      <c r="HVJ240" s="16"/>
      <c r="HVK240" s="16"/>
      <c r="HVL240" s="16"/>
      <c r="HVM240" s="15"/>
      <c r="HVN240" s="15"/>
      <c r="HVO240" s="10"/>
      <c r="HVP240" s="10"/>
      <c r="HVQ240" s="19"/>
      <c r="HVR240" s="19"/>
      <c r="HVU240" s="16"/>
      <c r="HVV240" s="15"/>
      <c r="HVW240" s="15"/>
      <c r="HVX240" s="15"/>
      <c r="HVY240" s="16"/>
      <c r="HVZ240" s="16"/>
      <c r="HWA240" s="16"/>
      <c r="HWB240" s="16"/>
      <c r="HWC240" s="16"/>
      <c r="HWD240" s="15"/>
      <c r="HWE240" s="15"/>
      <c r="HWF240" s="10"/>
      <c r="HWG240" s="10"/>
      <c r="HWH240" s="19"/>
      <c r="HWI240" s="19"/>
      <c r="HWL240" s="16"/>
      <c r="HWM240" s="15"/>
      <c r="HWN240" s="15"/>
      <c r="HWO240" s="15"/>
      <c r="HWP240" s="16"/>
      <c r="HWQ240" s="16"/>
      <c r="HWR240" s="16"/>
      <c r="HWS240" s="16"/>
      <c r="HWT240" s="16"/>
      <c r="HWU240" s="15"/>
      <c r="HWV240" s="15"/>
      <c r="HWW240" s="10"/>
      <c r="HWX240" s="10"/>
      <c r="HWY240" s="19"/>
      <c r="HWZ240" s="19"/>
      <c r="HXC240" s="16"/>
      <c r="HXD240" s="15"/>
      <c r="HXE240" s="15"/>
      <c r="HXF240" s="15"/>
      <c r="HXG240" s="16"/>
      <c r="HXH240" s="16"/>
      <c r="HXI240" s="16"/>
      <c r="HXJ240" s="16"/>
      <c r="HXK240" s="16"/>
      <c r="HXL240" s="15"/>
      <c r="HXM240" s="15"/>
      <c r="HXN240" s="10"/>
      <c r="HXO240" s="10"/>
      <c r="HXP240" s="19"/>
      <c r="HXQ240" s="19"/>
      <c r="HXT240" s="16"/>
      <c r="HXU240" s="15"/>
      <c r="HXV240" s="15"/>
      <c r="HXW240" s="15"/>
      <c r="HXX240" s="16"/>
      <c r="HXY240" s="16"/>
      <c r="HXZ240" s="16"/>
      <c r="HYA240" s="16"/>
      <c r="HYB240" s="16"/>
      <c r="HYC240" s="15"/>
      <c r="HYD240" s="15"/>
      <c r="HYE240" s="10"/>
      <c r="HYF240" s="10"/>
      <c r="HYG240" s="19"/>
      <c r="HYH240" s="19"/>
      <c r="HYK240" s="16"/>
      <c r="HYL240" s="15"/>
      <c r="HYM240" s="15"/>
      <c r="HYN240" s="15"/>
      <c r="HYO240" s="16"/>
      <c r="HYP240" s="16"/>
      <c r="HYQ240" s="16"/>
      <c r="HYR240" s="16"/>
      <c r="HYS240" s="16"/>
      <c r="HYT240" s="15"/>
      <c r="HYU240" s="15"/>
      <c r="HYV240" s="10"/>
      <c r="HYW240" s="10"/>
      <c r="HYX240" s="19"/>
      <c r="HYY240" s="19"/>
      <c r="HZB240" s="16"/>
      <c r="HZC240" s="15"/>
      <c r="HZD240" s="15"/>
      <c r="HZE240" s="15"/>
      <c r="HZF240" s="16"/>
      <c r="HZG240" s="16"/>
      <c r="HZH240" s="16"/>
      <c r="HZI240" s="16"/>
      <c r="HZJ240" s="16"/>
      <c r="HZK240" s="15"/>
      <c r="HZL240" s="15"/>
      <c r="HZM240" s="10"/>
      <c r="HZN240" s="10"/>
      <c r="HZO240" s="19"/>
      <c r="HZP240" s="19"/>
      <c r="HZS240" s="16"/>
      <c r="HZT240" s="15"/>
      <c r="HZU240" s="15"/>
      <c r="HZV240" s="15"/>
      <c r="HZW240" s="16"/>
      <c r="HZX240" s="16"/>
      <c r="HZY240" s="16"/>
      <c r="HZZ240" s="16"/>
      <c r="IAA240" s="16"/>
      <c r="IAB240" s="15"/>
      <c r="IAC240" s="15"/>
      <c r="IAD240" s="10"/>
      <c r="IAE240" s="10"/>
      <c r="IAF240" s="19"/>
      <c r="IAG240" s="19"/>
      <c r="IAJ240" s="16"/>
      <c r="IAK240" s="15"/>
      <c r="IAL240" s="15"/>
      <c r="IAM240" s="15"/>
      <c r="IAN240" s="16"/>
      <c r="IAO240" s="16"/>
      <c r="IAP240" s="16"/>
      <c r="IAQ240" s="16"/>
      <c r="IAR240" s="16"/>
      <c r="IAS240" s="15"/>
      <c r="IAT240" s="15"/>
      <c r="IAU240" s="10"/>
      <c r="IAV240" s="10"/>
      <c r="IAW240" s="19"/>
      <c r="IAX240" s="19"/>
      <c r="IBA240" s="16"/>
      <c r="IBB240" s="15"/>
      <c r="IBC240" s="15"/>
      <c r="IBD240" s="15"/>
      <c r="IBE240" s="16"/>
      <c r="IBF240" s="16"/>
      <c r="IBG240" s="16"/>
      <c r="IBH240" s="16"/>
      <c r="IBI240" s="16"/>
      <c r="IBJ240" s="15"/>
      <c r="IBK240" s="15"/>
      <c r="IBL240" s="10"/>
      <c r="IBM240" s="10"/>
      <c r="IBN240" s="19"/>
      <c r="IBO240" s="19"/>
      <c r="IBR240" s="16"/>
      <c r="IBS240" s="15"/>
      <c r="IBT240" s="15"/>
      <c r="IBU240" s="15"/>
      <c r="IBV240" s="16"/>
      <c r="IBW240" s="16"/>
      <c r="IBX240" s="16"/>
      <c r="IBY240" s="16"/>
      <c r="IBZ240" s="16"/>
      <c r="ICA240" s="15"/>
      <c r="ICB240" s="15"/>
      <c r="ICC240" s="10"/>
      <c r="ICD240" s="10"/>
      <c r="ICE240" s="19"/>
      <c r="ICF240" s="19"/>
      <c r="ICI240" s="16"/>
      <c r="ICJ240" s="15"/>
      <c r="ICK240" s="15"/>
      <c r="ICL240" s="15"/>
      <c r="ICM240" s="16"/>
      <c r="ICN240" s="16"/>
      <c r="ICO240" s="16"/>
      <c r="ICP240" s="16"/>
      <c r="ICQ240" s="16"/>
      <c r="ICR240" s="15"/>
      <c r="ICS240" s="15"/>
      <c r="ICT240" s="10"/>
      <c r="ICU240" s="10"/>
      <c r="ICV240" s="19"/>
      <c r="ICW240" s="19"/>
      <c r="ICZ240" s="16"/>
      <c r="IDA240" s="15"/>
      <c r="IDB240" s="15"/>
      <c r="IDC240" s="15"/>
      <c r="IDD240" s="16"/>
      <c r="IDE240" s="16"/>
      <c r="IDF240" s="16"/>
      <c r="IDG240" s="16"/>
      <c r="IDH240" s="16"/>
      <c r="IDI240" s="15"/>
      <c r="IDJ240" s="15"/>
      <c r="IDK240" s="10"/>
      <c r="IDL240" s="10"/>
      <c r="IDM240" s="19"/>
      <c r="IDN240" s="19"/>
      <c r="IDQ240" s="16"/>
      <c r="IDR240" s="15"/>
      <c r="IDS240" s="15"/>
      <c r="IDT240" s="15"/>
      <c r="IDU240" s="16"/>
      <c r="IDV240" s="16"/>
      <c r="IDW240" s="16"/>
      <c r="IDX240" s="16"/>
      <c r="IDY240" s="16"/>
      <c r="IDZ240" s="15"/>
      <c r="IEA240" s="15"/>
      <c r="IEB240" s="10"/>
      <c r="IEC240" s="10"/>
      <c r="IED240" s="19"/>
      <c r="IEE240" s="19"/>
      <c r="IEH240" s="16"/>
      <c r="IEI240" s="15"/>
      <c r="IEJ240" s="15"/>
      <c r="IEK240" s="15"/>
      <c r="IEL240" s="16"/>
      <c r="IEM240" s="16"/>
      <c r="IEN240" s="16"/>
      <c r="IEO240" s="16"/>
      <c r="IEP240" s="16"/>
      <c r="IEQ240" s="15"/>
      <c r="IER240" s="15"/>
      <c r="IES240" s="10"/>
      <c r="IET240" s="10"/>
      <c r="IEU240" s="19"/>
      <c r="IEV240" s="19"/>
      <c r="IEY240" s="16"/>
      <c r="IEZ240" s="15"/>
      <c r="IFA240" s="15"/>
      <c r="IFB240" s="15"/>
      <c r="IFC240" s="16"/>
      <c r="IFD240" s="16"/>
      <c r="IFE240" s="16"/>
      <c r="IFF240" s="16"/>
      <c r="IFG240" s="16"/>
      <c r="IFH240" s="15"/>
      <c r="IFI240" s="15"/>
      <c r="IFJ240" s="10"/>
      <c r="IFK240" s="10"/>
      <c r="IFL240" s="19"/>
      <c r="IFM240" s="19"/>
      <c r="IFP240" s="16"/>
      <c r="IFQ240" s="15"/>
      <c r="IFR240" s="15"/>
      <c r="IFS240" s="15"/>
      <c r="IFT240" s="16"/>
      <c r="IFU240" s="16"/>
      <c r="IFV240" s="16"/>
      <c r="IFW240" s="16"/>
      <c r="IFX240" s="16"/>
      <c r="IFY240" s="15"/>
      <c r="IFZ240" s="15"/>
      <c r="IGA240" s="10"/>
      <c r="IGB240" s="10"/>
      <c r="IGC240" s="19"/>
      <c r="IGD240" s="19"/>
      <c r="IGG240" s="16"/>
      <c r="IGH240" s="15"/>
      <c r="IGI240" s="15"/>
      <c r="IGJ240" s="15"/>
      <c r="IGK240" s="16"/>
      <c r="IGL240" s="16"/>
      <c r="IGM240" s="16"/>
      <c r="IGN240" s="16"/>
      <c r="IGO240" s="16"/>
      <c r="IGP240" s="15"/>
      <c r="IGQ240" s="15"/>
      <c r="IGR240" s="10"/>
      <c r="IGS240" s="10"/>
      <c r="IGT240" s="19"/>
      <c r="IGU240" s="19"/>
      <c r="IGX240" s="16"/>
      <c r="IGY240" s="15"/>
      <c r="IGZ240" s="15"/>
      <c r="IHA240" s="15"/>
      <c r="IHB240" s="16"/>
      <c r="IHC240" s="16"/>
      <c r="IHD240" s="16"/>
      <c r="IHE240" s="16"/>
      <c r="IHF240" s="16"/>
      <c r="IHG240" s="15"/>
      <c r="IHH240" s="15"/>
      <c r="IHI240" s="10"/>
      <c r="IHJ240" s="10"/>
      <c r="IHK240" s="19"/>
      <c r="IHL240" s="19"/>
      <c r="IHO240" s="16"/>
      <c r="IHP240" s="15"/>
      <c r="IHQ240" s="15"/>
      <c r="IHR240" s="15"/>
      <c r="IHS240" s="16"/>
      <c r="IHT240" s="16"/>
      <c r="IHU240" s="16"/>
      <c r="IHV240" s="16"/>
      <c r="IHW240" s="16"/>
      <c r="IHX240" s="15"/>
      <c r="IHY240" s="15"/>
      <c r="IHZ240" s="10"/>
      <c r="IIA240" s="10"/>
      <c r="IIB240" s="19"/>
      <c r="IIC240" s="19"/>
      <c r="IIF240" s="16"/>
      <c r="IIG240" s="15"/>
      <c r="IIH240" s="15"/>
      <c r="III240" s="15"/>
      <c r="IIJ240" s="16"/>
      <c r="IIK240" s="16"/>
      <c r="IIL240" s="16"/>
      <c r="IIM240" s="16"/>
      <c r="IIN240" s="16"/>
      <c r="IIO240" s="15"/>
      <c r="IIP240" s="15"/>
      <c r="IIQ240" s="10"/>
      <c r="IIR240" s="10"/>
      <c r="IIS240" s="19"/>
      <c r="IIT240" s="19"/>
      <c r="IIW240" s="16"/>
      <c r="IIX240" s="15"/>
      <c r="IIY240" s="15"/>
      <c r="IIZ240" s="15"/>
      <c r="IJA240" s="16"/>
      <c r="IJB240" s="16"/>
      <c r="IJC240" s="16"/>
      <c r="IJD240" s="16"/>
      <c r="IJE240" s="16"/>
      <c r="IJF240" s="15"/>
      <c r="IJG240" s="15"/>
      <c r="IJH240" s="10"/>
      <c r="IJI240" s="10"/>
      <c r="IJJ240" s="19"/>
      <c r="IJK240" s="19"/>
      <c r="IJN240" s="16"/>
      <c r="IJO240" s="15"/>
      <c r="IJP240" s="15"/>
      <c r="IJQ240" s="15"/>
      <c r="IJR240" s="16"/>
      <c r="IJS240" s="16"/>
      <c r="IJT240" s="16"/>
      <c r="IJU240" s="16"/>
      <c r="IJV240" s="16"/>
      <c r="IJW240" s="15"/>
      <c r="IJX240" s="15"/>
      <c r="IJY240" s="10"/>
      <c r="IJZ240" s="10"/>
      <c r="IKA240" s="19"/>
      <c r="IKB240" s="19"/>
      <c r="IKE240" s="16"/>
      <c r="IKF240" s="15"/>
      <c r="IKG240" s="15"/>
      <c r="IKH240" s="15"/>
      <c r="IKI240" s="16"/>
      <c r="IKJ240" s="16"/>
      <c r="IKK240" s="16"/>
      <c r="IKL240" s="16"/>
      <c r="IKM240" s="16"/>
      <c r="IKN240" s="15"/>
      <c r="IKO240" s="15"/>
      <c r="IKP240" s="10"/>
      <c r="IKQ240" s="10"/>
      <c r="IKR240" s="19"/>
      <c r="IKS240" s="19"/>
      <c r="IKV240" s="16"/>
      <c r="IKW240" s="15"/>
      <c r="IKX240" s="15"/>
      <c r="IKY240" s="15"/>
      <c r="IKZ240" s="16"/>
      <c r="ILA240" s="16"/>
      <c r="ILB240" s="16"/>
      <c r="ILC240" s="16"/>
      <c r="ILD240" s="16"/>
      <c r="ILE240" s="15"/>
      <c r="ILF240" s="15"/>
      <c r="ILG240" s="10"/>
      <c r="ILH240" s="10"/>
      <c r="ILI240" s="19"/>
      <c r="ILJ240" s="19"/>
      <c r="ILM240" s="16"/>
      <c r="ILN240" s="15"/>
      <c r="ILO240" s="15"/>
      <c r="ILP240" s="15"/>
      <c r="ILQ240" s="16"/>
      <c r="ILR240" s="16"/>
      <c r="ILS240" s="16"/>
      <c r="ILT240" s="16"/>
      <c r="ILU240" s="16"/>
      <c r="ILV240" s="15"/>
      <c r="ILW240" s="15"/>
      <c r="ILX240" s="10"/>
      <c r="ILY240" s="10"/>
      <c r="ILZ240" s="19"/>
      <c r="IMA240" s="19"/>
      <c r="IMD240" s="16"/>
      <c r="IME240" s="15"/>
      <c r="IMF240" s="15"/>
      <c r="IMG240" s="15"/>
      <c r="IMH240" s="16"/>
      <c r="IMI240" s="16"/>
      <c r="IMJ240" s="16"/>
      <c r="IMK240" s="16"/>
      <c r="IML240" s="16"/>
      <c r="IMM240" s="15"/>
      <c r="IMN240" s="15"/>
      <c r="IMO240" s="10"/>
      <c r="IMP240" s="10"/>
      <c r="IMQ240" s="19"/>
      <c r="IMR240" s="19"/>
      <c r="IMU240" s="16"/>
      <c r="IMV240" s="15"/>
      <c r="IMW240" s="15"/>
      <c r="IMX240" s="15"/>
      <c r="IMY240" s="16"/>
      <c r="IMZ240" s="16"/>
      <c r="INA240" s="16"/>
      <c r="INB240" s="16"/>
      <c r="INC240" s="16"/>
      <c r="IND240" s="15"/>
      <c r="INE240" s="15"/>
      <c r="INF240" s="10"/>
      <c r="ING240" s="10"/>
      <c r="INH240" s="19"/>
      <c r="INI240" s="19"/>
      <c r="INL240" s="16"/>
      <c r="INM240" s="15"/>
      <c r="INN240" s="15"/>
      <c r="INO240" s="15"/>
      <c r="INP240" s="16"/>
      <c r="INQ240" s="16"/>
      <c r="INR240" s="16"/>
      <c r="INS240" s="16"/>
      <c r="INT240" s="16"/>
      <c r="INU240" s="15"/>
      <c r="INV240" s="15"/>
      <c r="INW240" s="10"/>
      <c r="INX240" s="10"/>
      <c r="INY240" s="19"/>
      <c r="INZ240" s="19"/>
      <c r="IOC240" s="16"/>
      <c r="IOD240" s="15"/>
      <c r="IOE240" s="15"/>
      <c r="IOF240" s="15"/>
      <c r="IOG240" s="16"/>
      <c r="IOH240" s="16"/>
      <c r="IOI240" s="16"/>
      <c r="IOJ240" s="16"/>
      <c r="IOK240" s="16"/>
      <c r="IOL240" s="15"/>
      <c r="IOM240" s="15"/>
      <c r="ION240" s="10"/>
      <c r="IOO240" s="10"/>
      <c r="IOP240" s="19"/>
      <c r="IOQ240" s="19"/>
      <c r="IOT240" s="16"/>
      <c r="IOU240" s="15"/>
      <c r="IOV240" s="15"/>
      <c r="IOW240" s="15"/>
      <c r="IOX240" s="16"/>
      <c r="IOY240" s="16"/>
      <c r="IOZ240" s="16"/>
      <c r="IPA240" s="16"/>
      <c r="IPB240" s="16"/>
      <c r="IPC240" s="15"/>
      <c r="IPD240" s="15"/>
      <c r="IPE240" s="10"/>
      <c r="IPF240" s="10"/>
      <c r="IPG240" s="19"/>
      <c r="IPH240" s="19"/>
      <c r="IPK240" s="16"/>
      <c r="IPL240" s="15"/>
      <c r="IPM240" s="15"/>
      <c r="IPN240" s="15"/>
      <c r="IPO240" s="16"/>
      <c r="IPP240" s="16"/>
      <c r="IPQ240" s="16"/>
      <c r="IPR240" s="16"/>
      <c r="IPS240" s="16"/>
      <c r="IPT240" s="15"/>
      <c r="IPU240" s="15"/>
      <c r="IPV240" s="10"/>
      <c r="IPW240" s="10"/>
      <c r="IPX240" s="19"/>
      <c r="IPY240" s="19"/>
      <c r="IQB240" s="16"/>
      <c r="IQC240" s="15"/>
      <c r="IQD240" s="15"/>
      <c r="IQE240" s="15"/>
      <c r="IQF240" s="16"/>
      <c r="IQG240" s="16"/>
      <c r="IQH240" s="16"/>
      <c r="IQI240" s="16"/>
      <c r="IQJ240" s="16"/>
      <c r="IQK240" s="15"/>
      <c r="IQL240" s="15"/>
      <c r="IQM240" s="10"/>
      <c r="IQN240" s="10"/>
      <c r="IQO240" s="19"/>
      <c r="IQP240" s="19"/>
      <c r="IQS240" s="16"/>
      <c r="IQT240" s="15"/>
      <c r="IQU240" s="15"/>
      <c r="IQV240" s="15"/>
      <c r="IQW240" s="16"/>
      <c r="IQX240" s="16"/>
      <c r="IQY240" s="16"/>
      <c r="IQZ240" s="16"/>
      <c r="IRA240" s="16"/>
      <c r="IRB240" s="15"/>
      <c r="IRC240" s="15"/>
      <c r="IRD240" s="10"/>
      <c r="IRE240" s="10"/>
      <c r="IRF240" s="19"/>
      <c r="IRG240" s="19"/>
      <c r="IRJ240" s="16"/>
      <c r="IRK240" s="15"/>
      <c r="IRL240" s="15"/>
      <c r="IRM240" s="15"/>
      <c r="IRN240" s="16"/>
      <c r="IRO240" s="16"/>
      <c r="IRP240" s="16"/>
      <c r="IRQ240" s="16"/>
      <c r="IRR240" s="16"/>
      <c r="IRS240" s="15"/>
      <c r="IRT240" s="15"/>
      <c r="IRU240" s="10"/>
      <c r="IRV240" s="10"/>
      <c r="IRW240" s="19"/>
      <c r="IRX240" s="19"/>
      <c r="ISA240" s="16"/>
      <c r="ISB240" s="15"/>
      <c r="ISC240" s="15"/>
      <c r="ISD240" s="15"/>
      <c r="ISE240" s="16"/>
      <c r="ISF240" s="16"/>
      <c r="ISG240" s="16"/>
      <c r="ISH240" s="16"/>
      <c r="ISI240" s="16"/>
      <c r="ISJ240" s="15"/>
      <c r="ISK240" s="15"/>
      <c r="ISL240" s="10"/>
      <c r="ISM240" s="10"/>
      <c r="ISN240" s="19"/>
      <c r="ISO240" s="19"/>
      <c r="ISR240" s="16"/>
      <c r="ISS240" s="15"/>
      <c r="IST240" s="15"/>
      <c r="ISU240" s="15"/>
      <c r="ISV240" s="16"/>
      <c r="ISW240" s="16"/>
      <c r="ISX240" s="16"/>
      <c r="ISY240" s="16"/>
      <c r="ISZ240" s="16"/>
      <c r="ITA240" s="15"/>
      <c r="ITB240" s="15"/>
      <c r="ITC240" s="10"/>
      <c r="ITD240" s="10"/>
      <c r="ITE240" s="19"/>
      <c r="ITF240" s="19"/>
      <c r="ITI240" s="16"/>
      <c r="ITJ240" s="15"/>
      <c r="ITK240" s="15"/>
      <c r="ITL240" s="15"/>
      <c r="ITM240" s="16"/>
      <c r="ITN240" s="16"/>
      <c r="ITO240" s="16"/>
      <c r="ITP240" s="16"/>
      <c r="ITQ240" s="16"/>
      <c r="ITR240" s="15"/>
      <c r="ITS240" s="15"/>
      <c r="ITT240" s="10"/>
      <c r="ITU240" s="10"/>
      <c r="ITV240" s="19"/>
      <c r="ITW240" s="19"/>
      <c r="ITZ240" s="16"/>
      <c r="IUA240" s="15"/>
      <c r="IUB240" s="15"/>
      <c r="IUC240" s="15"/>
      <c r="IUD240" s="16"/>
      <c r="IUE240" s="16"/>
      <c r="IUF240" s="16"/>
      <c r="IUG240" s="16"/>
      <c r="IUH240" s="16"/>
      <c r="IUI240" s="15"/>
      <c r="IUJ240" s="15"/>
      <c r="IUK240" s="10"/>
      <c r="IUL240" s="10"/>
      <c r="IUM240" s="19"/>
      <c r="IUN240" s="19"/>
      <c r="IUQ240" s="16"/>
      <c r="IUR240" s="15"/>
      <c r="IUS240" s="15"/>
      <c r="IUT240" s="15"/>
      <c r="IUU240" s="16"/>
      <c r="IUV240" s="16"/>
      <c r="IUW240" s="16"/>
      <c r="IUX240" s="16"/>
      <c r="IUY240" s="16"/>
      <c r="IUZ240" s="15"/>
      <c r="IVA240" s="15"/>
      <c r="IVB240" s="10"/>
      <c r="IVC240" s="10"/>
      <c r="IVD240" s="19"/>
      <c r="IVE240" s="19"/>
      <c r="IVH240" s="16"/>
      <c r="IVI240" s="15"/>
      <c r="IVJ240" s="15"/>
      <c r="IVK240" s="15"/>
      <c r="IVL240" s="16"/>
      <c r="IVM240" s="16"/>
      <c r="IVN240" s="16"/>
      <c r="IVO240" s="16"/>
      <c r="IVP240" s="16"/>
      <c r="IVQ240" s="15"/>
      <c r="IVR240" s="15"/>
      <c r="IVS240" s="10"/>
      <c r="IVT240" s="10"/>
      <c r="IVU240" s="19"/>
      <c r="IVV240" s="19"/>
      <c r="IVY240" s="16"/>
      <c r="IVZ240" s="15"/>
      <c r="IWA240" s="15"/>
      <c r="IWB240" s="15"/>
      <c r="IWC240" s="16"/>
      <c r="IWD240" s="16"/>
      <c r="IWE240" s="16"/>
      <c r="IWF240" s="16"/>
      <c r="IWG240" s="16"/>
      <c r="IWH240" s="15"/>
      <c r="IWI240" s="15"/>
      <c r="IWJ240" s="10"/>
      <c r="IWK240" s="10"/>
      <c r="IWL240" s="19"/>
      <c r="IWM240" s="19"/>
      <c r="IWP240" s="16"/>
      <c r="IWQ240" s="15"/>
      <c r="IWR240" s="15"/>
      <c r="IWS240" s="15"/>
      <c r="IWT240" s="16"/>
      <c r="IWU240" s="16"/>
      <c r="IWV240" s="16"/>
      <c r="IWW240" s="16"/>
      <c r="IWX240" s="16"/>
      <c r="IWY240" s="15"/>
      <c r="IWZ240" s="15"/>
      <c r="IXA240" s="10"/>
      <c r="IXB240" s="10"/>
      <c r="IXC240" s="19"/>
      <c r="IXD240" s="19"/>
      <c r="IXG240" s="16"/>
      <c r="IXH240" s="15"/>
      <c r="IXI240" s="15"/>
      <c r="IXJ240" s="15"/>
      <c r="IXK240" s="16"/>
      <c r="IXL240" s="16"/>
      <c r="IXM240" s="16"/>
      <c r="IXN240" s="16"/>
      <c r="IXO240" s="16"/>
      <c r="IXP240" s="15"/>
      <c r="IXQ240" s="15"/>
      <c r="IXR240" s="10"/>
      <c r="IXS240" s="10"/>
      <c r="IXT240" s="19"/>
      <c r="IXU240" s="19"/>
      <c r="IXX240" s="16"/>
      <c r="IXY240" s="15"/>
      <c r="IXZ240" s="15"/>
      <c r="IYA240" s="15"/>
      <c r="IYB240" s="16"/>
      <c r="IYC240" s="16"/>
      <c r="IYD240" s="16"/>
      <c r="IYE240" s="16"/>
      <c r="IYF240" s="16"/>
      <c r="IYG240" s="15"/>
      <c r="IYH240" s="15"/>
      <c r="IYI240" s="10"/>
      <c r="IYJ240" s="10"/>
      <c r="IYK240" s="19"/>
      <c r="IYL240" s="19"/>
      <c r="IYO240" s="16"/>
      <c r="IYP240" s="15"/>
      <c r="IYQ240" s="15"/>
      <c r="IYR240" s="15"/>
      <c r="IYS240" s="16"/>
      <c r="IYT240" s="16"/>
      <c r="IYU240" s="16"/>
      <c r="IYV240" s="16"/>
      <c r="IYW240" s="16"/>
      <c r="IYX240" s="15"/>
      <c r="IYY240" s="15"/>
      <c r="IYZ240" s="10"/>
      <c r="IZA240" s="10"/>
      <c r="IZB240" s="19"/>
      <c r="IZC240" s="19"/>
      <c r="IZF240" s="16"/>
      <c r="IZG240" s="15"/>
      <c r="IZH240" s="15"/>
      <c r="IZI240" s="15"/>
      <c r="IZJ240" s="16"/>
      <c r="IZK240" s="16"/>
      <c r="IZL240" s="16"/>
      <c r="IZM240" s="16"/>
      <c r="IZN240" s="16"/>
      <c r="IZO240" s="15"/>
      <c r="IZP240" s="15"/>
      <c r="IZQ240" s="10"/>
      <c r="IZR240" s="10"/>
      <c r="IZS240" s="19"/>
      <c r="IZT240" s="19"/>
      <c r="IZW240" s="16"/>
      <c r="IZX240" s="15"/>
      <c r="IZY240" s="15"/>
      <c r="IZZ240" s="15"/>
      <c r="JAA240" s="16"/>
      <c r="JAB240" s="16"/>
      <c r="JAC240" s="16"/>
      <c r="JAD240" s="16"/>
      <c r="JAE240" s="16"/>
      <c r="JAF240" s="15"/>
      <c r="JAG240" s="15"/>
      <c r="JAH240" s="10"/>
      <c r="JAI240" s="10"/>
      <c r="JAJ240" s="19"/>
      <c r="JAK240" s="19"/>
      <c r="JAN240" s="16"/>
      <c r="JAO240" s="15"/>
      <c r="JAP240" s="15"/>
      <c r="JAQ240" s="15"/>
      <c r="JAR240" s="16"/>
      <c r="JAS240" s="16"/>
      <c r="JAT240" s="16"/>
      <c r="JAU240" s="16"/>
      <c r="JAV240" s="16"/>
      <c r="JAW240" s="15"/>
      <c r="JAX240" s="15"/>
      <c r="JAY240" s="10"/>
      <c r="JAZ240" s="10"/>
      <c r="JBA240" s="19"/>
      <c r="JBB240" s="19"/>
      <c r="JBE240" s="16"/>
      <c r="JBF240" s="15"/>
      <c r="JBG240" s="15"/>
      <c r="JBH240" s="15"/>
      <c r="JBI240" s="16"/>
      <c r="JBJ240" s="16"/>
      <c r="JBK240" s="16"/>
      <c r="JBL240" s="16"/>
      <c r="JBM240" s="16"/>
      <c r="JBN240" s="15"/>
      <c r="JBO240" s="15"/>
      <c r="JBP240" s="10"/>
      <c r="JBQ240" s="10"/>
      <c r="JBR240" s="19"/>
      <c r="JBS240" s="19"/>
      <c r="JBV240" s="16"/>
      <c r="JBW240" s="15"/>
      <c r="JBX240" s="15"/>
      <c r="JBY240" s="15"/>
      <c r="JBZ240" s="16"/>
      <c r="JCA240" s="16"/>
      <c r="JCB240" s="16"/>
      <c r="JCC240" s="16"/>
      <c r="JCD240" s="16"/>
      <c r="JCE240" s="15"/>
      <c r="JCF240" s="15"/>
      <c r="JCG240" s="10"/>
      <c r="JCH240" s="10"/>
      <c r="JCI240" s="19"/>
      <c r="JCJ240" s="19"/>
      <c r="JCM240" s="16"/>
      <c r="JCN240" s="15"/>
      <c r="JCO240" s="15"/>
      <c r="JCP240" s="15"/>
      <c r="JCQ240" s="16"/>
      <c r="JCR240" s="16"/>
      <c r="JCS240" s="16"/>
      <c r="JCT240" s="16"/>
      <c r="JCU240" s="16"/>
      <c r="JCV240" s="15"/>
      <c r="JCW240" s="15"/>
      <c r="JCX240" s="10"/>
      <c r="JCY240" s="10"/>
      <c r="JCZ240" s="19"/>
      <c r="JDA240" s="19"/>
      <c r="JDD240" s="16"/>
      <c r="JDE240" s="15"/>
      <c r="JDF240" s="15"/>
      <c r="JDG240" s="15"/>
      <c r="JDH240" s="16"/>
      <c r="JDI240" s="16"/>
      <c r="JDJ240" s="16"/>
      <c r="JDK240" s="16"/>
      <c r="JDL240" s="16"/>
      <c r="JDM240" s="15"/>
      <c r="JDN240" s="15"/>
      <c r="JDO240" s="10"/>
      <c r="JDP240" s="10"/>
      <c r="JDQ240" s="19"/>
      <c r="JDR240" s="19"/>
      <c r="JDU240" s="16"/>
      <c r="JDV240" s="15"/>
      <c r="JDW240" s="15"/>
      <c r="JDX240" s="15"/>
      <c r="JDY240" s="16"/>
      <c r="JDZ240" s="16"/>
      <c r="JEA240" s="16"/>
      <c r="JEB240" s="16"/>
      <c r="JEC240" s="16"/>
      <c r="JED240" s="15"/>
      <c r="JEE240" s="15"/>
      <c r="JEF240" s="10"/>
      <c r="JEG240" s="10"/>
      <c r="JEH240" s="19"/>
      <c r="JEI240" s="19"/>
      <c r="JEL240" s="16"/>
      <c r="JEM240" s="15"/>
      <c r="JEN240" s="15"/>
      <c r="JEO240" s="15"/>
      <c r="JEP240" s="16"/>
      <c r="JEQ240" s="16"/>
      <c r="JER240" s="16"/>
      <c r="JES240" s="16"/>
      <c r="JET240" s="16"/>
      <c r="JEU240" s="15"/>
      <c r="JEV240" s="15"/>
      <c r="JEW240" s="10"/>
      <c r="JEX240" s="10"/>
      <c r="JEY240" s="19"/>
      <c r="JEZ240" s="19"/>
      <c r="JFC240" s="16"/>
      <c r="JFD240" s="15"/>
      <c r="JFE240" s="15"/>
      <c r="JFF240" s="15"/>
      <c r="JFG240" s="16"/>
      <c r="JFH240" s="16"/>
      <c r="JFI240" s="16"/>
      <c r="JFJ240" s="16"/>
      <c r="JFK240" s="16"/>
      <c r="JFL240" s="15"/>
      <c r="JFM240" s="15"/>
      <c r="JFN240" s="10"/>
      <c r="JFO240" s="10"/>
      <c r="JFP240" s="19"/>
      <c r="JFQ240" s="19"/>
      <c r="JFT240" s="16"/>
      <c r="JFU240" s="15"/>
      <c r="JFV240" s="15"/>
      <c r="JFW240" s="15"/>
      <c r="JFX240" s="16"/>
      <c r="JFY240" s="16"/>
      <c r="JFZ240" s="16"/>
      <c r="JGA240" s="16"/>
      <c r="JGB240" s="16"/>
      <c r="JGC240" s="15"/>
      <c r="JGD240" s="15"/>
      <c r="JGE240" s="10"/>
      <c r="JGF240" s="10"/>
      <c r="JGG240" s="19"/>
      <c r="JGH240" s="19"/>
      <c r="JGK240" s="16"/>
      <c r="JGL240" s="15"/>
      <c r="JGM240" s="15"/>
      <c r="JGN240" s="15"/>
      <c r="JGO240" s="16"/>
      <c r="JGP240" s="16"/>
      <c r="JGQ240" s="16"/>
      <c r="JGR240" s="16"/>
      <c r="JGS240" s="16"/>
      <c r="JGT240" s="15"/>
      <c r="JGU240" s="15"/>
      <c r="JGV240" s="10"/>
      <c r="JGW240" s="10"/>
      <c r="JGX240" s="19"/>
      <c r="JGY240" s="19"/>
      <c r="JHB240" s="16"/>
      <c r="JHC240" s="15"/>
      <c r="JHD240" s="15"/>
      <c r="JHE240" s="15"/>
      <c r="JHF240" s="16"/>
      <c r="JHG240" s="16"/>
      <c r="JHH240" s="16"/>
      <c r="JHI240" s="16"/>
      <c r="JHJ240" s="16"/>
      <c r="JHK240" s="15"/>
      <c r="JHL240" s="15"/>
      <c r="JHM240" s="10"/>
      <c r="JHN240" s="10"/>
      <c r="JHO240" s="19"/>
      <c r="JHP240" s="19"/>
      <c r="JHS240" s="16"/>
      <c r="JHT240" s="15"/>
      <c r="JHU240" s="15"/>
      <c r="JHV240" s="15"/>
      <c r="JHW240" s="16"/>
      <c r="JHX240" s="16"/>
      <c r="JHY240" s="16"/>
      <c r="JHZ240" s="16"/>
      <c r="JIA240" s="16"/>
      <c r="JIB240" s="15"/>
      <c r="JIC240" s="15"/>
      <c r="JID240" s="10"/>
      <c r="JIE240" s="10"/>
      <c r="JIF240" s="19"/>
      <c r="JIG240" s="19"/>
      <c r="JIJ240" s="16"/>
      <c r="JIK240" s="15"/>
      <c r="JIL240" s="15"/>
      <c r="JIM240" s="15"/>
      <c r="JIN240" s="16"/>
      <c r="JIO240" s="16"/>
      <c r="JIP240" s="16"/>
      <c r="JIQ240" s="16"/>
      <c r="JIR240" s="16"/>
      <c r="JIS240" s="15"/>
      <c r="JIT240" s="15"/>
      <c r="JIU240" s="10"/>
      <c r="JIV240" s="10"/>
      <c r="JIW240" s="19"/>
      <c r="JIX240" s="19"/>
      <c r="JJA240" s="16"/>
      <c r="JJB240" s="15"/>
      <c r="JJC240" s="15"/>
      <c r="JJD240" s="15"/>
      <c r="JJE240" s="16"/>
      <c r="JJF240" s="16"/>
      <c r="JJG240" s="16"/>
      <c r="JJH240" s="16"/>
      <c r="JJI240" s="16"/>
      <c r="JJJ240" s="15"/>
      <c r="JJK240" s="15"/>
      <c r="JJL240" s="10"/>
      <c r="JJM240" s="10"/>
      <c r="JJN240" s="19"/>
      <c r="JJO240" s="19"/>
      <c r="JJR240" s="16"/>
      <c r="JJS240" s="15"/>
      <c r="JJT240" s="15"/>
      <c r="JJU240" s="15"/>
      <c r="JJV240" s="16"/>
      <c r="JJW240" s="16"/>
      <c r="JJX240" s="16"/>
      <c r="JJY240" s="16"/>
      <c r="JJZ240" s="16"/>
      <c r="JKA240" s="15"/>
      <c r="JKB240" s="15"/>
      <c r="JKC240" s="10"/>
      <c r="JKD240" s="10"/>
      <c r="JKE240" s="19"/>
      <c r="JKF240" s="19"/>
      <c r="JKI240" s="16"/>
      <c r="JKJ240" s="15"/>
      <c r="JKK240" s="15"/>
      <c r="JKL240" s="15"/>
      <c r="JKM240" s="16"/>
      <c r="JKN240" s="16"/>
      <c r="JKO240" s="16"/>
      <c r="JKP240" s="16"/>
      <c r="JKQ240" s="16"/>
      <c r="JKR240" s="15"/>
      <c r="JKS240" s="15"/>
      <c r="JKT240" s="10"/>
      <c r="JKU240" s="10"/>
      <c r="JKV240" s="19"/>
      <c r="JKW240" s="19"/>
      <c r="JKZ240" s="16"/>
      <c r="JLA240" s="15"/>
      <c r="JLB240" s="15"/>
      <c r="JLC240" s="15"/>
      <c r="JLD240" s="16"/>
      <c r="JLE240" s="16"/>
      <c r="JLF240" s="16"/>
      <c r="JLG240" s="16"/>
      <c r="JLH240" s="16"/>
      <c r="JLI240" s="15"/>
      <c r="JLJ240" s="15"/>
      <c r="JLK240" s="10"/>
      <c r="JLL240" s="10"/>
      <c r="JLM240" s="19"/>
      <c r="JLN240" s="19"/>
      <c r="JLQ240" s="16"/>
      <c r="JLR240" s="15"/>
      <c r="JLS240" s="15"/>
      <c r="JLT240" s="15"/>
      <c r="JLU240" s="16"/>
      <c r="JLV240" s="16"/>
      <c r="JLW240" s="16"/>
      <c r="JLX240" s="16"/>
      <c r="JLY240" s="16"/>
      <c r="JLZ240" s="15"/>
      <c r="JMA240" s="15"/>
      <c r="JMB240" s="10"/>
      <c r="JMC240" s="10"/>
      <c r="JMD240" s="19"/>
      <c r="JME240" s="19"/>
      <c r="JMH240" s="16"/>
      <c r="JMI240" s="15"/>
      <c r="JMJ240" s="15"/>
      <c r="JMK240" s="15"/>
      <c r="JML240" s="16"/>
      <c r="JMM240" s="16"/>
      <c r="JMN240" s="16"/>
      <c r="JMO240" s="16"/>
      <c r="JMP240" s="16"/>
      <c r="JMQ240" s="15"/>
      <c r="JMR240" s="15"/>
      <c r="JMS240" s="10"/>
      <c r="JMT240" s="10"/>
      <c r="JMU240" s="19"/>
      <c r="JMV240" s="19"/>
      <c r="JMY240" s="16"/>
      <c r="JMZ240" s="15"/>
      <c r="JNA240" s="15"/>
      <c r="JNB240" s="15"/>
      <c r="JNC240" s="16"/>
      <c r="JND240" s="16"/>
      <c r="JNE240" s="16"/>
      <c r="JNF240" s="16"/>
      <c r="JNG240" s="16"/>
      <c r="JNH240" s="15"/>
      <c r="JNI240" s="15"/>
      <c r="JNJ240" s="10"/>
      <c r="JNK240" s="10"/>
      <c r="JNL240" s="19"/>
      <c r="JNM240" s="19"/>
      <c r="JNP240" s="16"/>
      <c r="JNQ240" s="15"/>
      <c r="JNR240" s="15"/>
      <c r="JNS240" s="15"/>
      <c r="JNT240" s="16"/>
      <c r="JNU240" s="16"/>
      <c r="JNV240" s="16"/>
      <c r="JNW240" s="16"/>
      <c r="JNX240" s="16"/>
      <c r="JNY240" s="15"/>
      <c r="JNZ240" s="15"/>
      <c r="JOA240" s="10"/>
      <c r="JOB240" s="10"/>
      <c r="JOC240" s="19"/>
      <c r="JOD240" s="19"/>
      <c r="JOG240" s="16"/>
      <c r="JOH240" s="15"/>
      <c r="JOI240" s="15"/>
      <c r="JOJ240" s="15"/>
      <c r="JOK240" s="16"/>
      <c r="JOL240" s="16"/>
      <c r="JOM240" s="16"/>
      <c r="JON240" s="16"/>
      <c r="JOO240" s="16"/>
      <c r="JOP240" s="15"/>
      <c r="JOQ240" s="15"/>
      <c r="JOR240" s="10"/>
      <c r="JOS240" s="10"/>
      <c r="JOT240" s="19"/>
      <c r="JOU240" s="19"/>
      <c r="JOX240" s="16"/>
      <c r="JOY240" s="15"/>
      <c r="JOZ240" s="15"/>
      <c r="JPA240" s="15"/>
      <c r="JPB240" s="16"/>
      <c r="JPC240" s="16"/>
      <c r="JPD240" s="16"/>
      <c r="JPE240" s="16"/>
      <c r="JPF240" s="16"/>
      <c r="JPG240" s="15"/>
      <c r="JPH240" s="15"/>
      <c r="JPI240" s="10"/>
      <c r="JPJ240" s="10"/>
      <c r="JPK240" s="19"/>
      <c r="JPL240" s="19"/>
      <c r="JPO240" s="16"/>
      <c r="JPP240" s="15"/>
      <c r="JPQ240" s="15"/>
      <c r="JPR240" s="15"/>
      <c r="JPS240" s="16"/>
      <c r="JPT240" s="16"/>
      <c r="JPU240" s="16"/>
      <c r="JPV240" s="16"/>
      <c r="JPW240" s="16"/>
      <c r="JPX240" s="15"/>
      <c r="JPY240" s="15"/>
      <c r="JPZ240" s="10"/>
      <c r="JQA240" s="10"/>
      <c r="JQB240" s="19"/>
      <c r="JQC240" s="19"/>
      <c r="JQF240" s="16"/>
      <c r="JQG240" s="15"/>
      <c r="JQH240" s="15"/>
      <c r="JQI240" s="15"/>
      <c r="JQJ240" s="16"/>
      <c r="JQK240" s="16"/>
      <c r="JQL240" s="16"/>
      <c r="JQM240" s="16"/>
      <c r="JQN240" s="16"/>
      <c r="JQO240" s="15"/>
      <c r="JQP240" s="15"/>
      <c r="JQQ240" s="10"/>
      <c r="JQR240" s="10"/>
      <c r="JQS240" s="19"/>
      <c r="JQT240" s="19"/>
      <c r="JQW240" s="16"/>
      <c r="JQX240" s="15"/>
      <c r="JQY240" s="15"/>
      <c r="JQZ240" s="15"/>
      <c r="JRA240" s="16"/>
      <c r="JRB240" s="16"/>
      <c r="JRC240" s="16"/>
      <c r="JRD240" s="16"/>
      <c r="JRE240" s="16"/>
      <c r="JRF240" s="15"/>
      <c r="JRG240" s="15"/>
      <c r="JRH240" s="10"/>
      <c r="JRI240" s="10"/>
      <c r="JRJ240" s="19"/>
      <c r="JRK240" s="19"/>
      <c r="JRN240" s="16"/>
      <c r="JRO240" s="15"/>
      <c r="JRP240" s="15"/>
      <c r="JRQ240" s="15"/>
      <c r="JRR240" s="16"/>
      <c r="JRS240" s="16"/>
      <c r="JRT240" s="16"/>
      <c r="JRU240" s="16"/>
      <c r="JRV240" s="16"/>
      <c r="JRW240" s="15"/>
      <c r="JRX240" s="15"/>
      <c r="JRY240" s="10"/>
      <c r="JRZ240" s="10"/>
      <c r="JSA240" s="19"/>
      <c r="JSB240" s="19"/>
      <c r="JSE240" s="16"/>
      <c r="JSF240" s="15"/>
      <c r="JSG240" s="15"/>
      <c r="JSH240" s="15"/>
      <c r="JSI240" s="16"/>
      <c r="JSJ240" s="16"/>
      <c r="JSK240" s="16"/>
      <c r="JSL240" s="16"/>
      <c r="JSM240" s="16"/>
      <c r="JSN240" s="15"/>
      <c r="JSO240" s="15"/>
      <c r="JSP240" s="10"/>
      <c r="JSQ240" s="10"/>
      <c r="JSR240" s="19"/>
      <c r="JSS240" s="19"/>
      <c r="JSV240" s="16"/>
      <c r="JSW240" s="15"/>
      <c r="JSX240" s="15"/>
      <c r="JSY240" s="15"/>
      <c r="JSZ240" s="16"/>
      <c r="JTA240" s="16"/>
      <c r="JTB240" s="16"/>
      <c r="JTC240" s="16"/>
      <c r="JTD240" s="16"/>
      <c r="JTE240" s="15"/>
      <c r="JTF240" s="15"/>
      <c r="JTG240" s="10"/>
      <c r="JTH240" s="10"/>
      <c r="JTI240" s="19"/>
      <c r="JTJ240" s="19"/>
      <c r="JTM240" s="16"/>
      <c r="JTN240" s="15"/>
      <c r="JTO240" s="15"/>
      <c r="JTP240" s="15"/>
      <c r="JTQ240" s="16"/>
      <c r="JTR240" s="16"/>
      <c r="JTS240" s="16"/>
      <c r="JTT240" s="16"/>
      <c r="JTU240" s="16"/>
      <c r="JTV240" s="15"/>
      <c r="JTW240" s="15"/>
      <c r="JTX240" s="10"/>
      <c r="JTY240" s="10"/>
      <c r="JTZ240" s="19"/>
      <c r="JUA240" s="19"/>
      <c r="JUD240" s="16"/>
      <c r="JUE240" s="15"/>
      <c r="JUF240" s="15"/>
      <c r="JUG240" s="15"/>
      <c r="JUH240" s="16"/>
      <c r="JUI240" s="16"/>
      <c r="JUJ240" s="16"/>
      <c r="JUK240" s="16"/>
      <c r="JUL240" s="16"/>
      <c r="JUM240" s="15"/>
      <c r="JUN240" s="15"/>
      <c r="JUO240" s="10"/>
      <c r="JUP240" s="10"/>
      <c r="JUQ240" s="19"/>
      <c r="JUR240" s="19"/>
      <c r="JUU240" s="16"/>
      <c r="JUV240" s="15"/>
      <c r="JUW240" s="15"/>
      <c r="JUX240" s="15"/>
      <c r="JUY240" s="16"/>
      <c r="JUZ240" s="16"/>
      <c r="JVA240" s="16"/>
      <c r="JVB240" s="16"/>
      <c r="JVC240" s="16"/>
      <c r="JVD240" s="15"/>
      <c r="JVE240" s="15"/>
      <c r="JVF240" s="10"/>
      <c r="JVG240" s="10"/>
      <c r="JVH240" s="19"/>
      <c r="JVI240" s="19"/>
      <c r="JVL240" s="16"/>
      <c r="JVM240" s="15"/>
      <c r="JVN240" s="15"/>
      <c r="JVO240" s="15"/>
      <c r="JVP240" s="16"/>
      <c r="JVQ240" s="16"/>
      <c r="JVR240" s="16"/>
      <c r="JVS240" s="16"/>
      <c r="JVT240" s="16"/>
      <c r="JVU240" s="15"/>
      <c r="JVV240" s="15"/>
      <c r="JVW240" s="10"/>
      <c r="JVX240" s="10"/>
      <c r="JVY240" s="19"/>
      <c r="JVZ240" s="19"/>
      <c r="JWC240" s="16"/>
      <c r="JWD240" s="15"/>
      <c r="JWE240" s="15"/>
      <c r="JWF240" s="15"/>
      <c r="JWG240" s="16"/>
      <c r="JWH240" s="16"/>
      <c r="JWI240" s="16"/>
      <c r="JWJ240" s="16"/>
      <c r="JWK240" s="16"/>
      <c r="JWL240" s="15"/>
      <c r="JWM240" s="15"/>
      <c r="JWN240" s="10"/>
      <c r="JWO240" s="10"/>
      <c r="JWP240" s="19"/>
      <c r="JWQ240" s="19"/>
      <c r="JWT240" s="16"/>
      <c r="JWU240" s="15"/>
      <c r="JWV240" s="15"/>
      <c r="JWW240" s="15"/>
      <c r="JWX240" s="16"/>
      <c r="JWY240" s="16"/>
      <c r="JWZ240" s="16"/>
      <c r="JXA240" s="16"/>
      <c r="JXB240" s="16"/>
      <c r="JXC240" s="15"/>
      <c r="JXD240" s="15"/>
      <c r="JXE240" s="10"/>
      <c r="JXF240" s="10"/>
      <c r="JXG240" s="19"/>
      <c r="JXH240" s="19"/>
      <c r="JXK240" s="16"/>
      <c r="JXL240" s="15"/>
      <c r="JXM240" s="15"/>
      <c r="JXN240" s="15"/>
      <c r="JXO240" s="16"/>
      <c r="JXP240" s="16"/>
      <c r="JXQ240" s="16"/>
      <c r="JXR240" s="16"/>
      <c r="JXS240" s="16"/>
      <c r="JXT240" s="15"/>
      <c r="JXU240" s="15"/>
      <c r="JXV240" s="10"/>
      <c r="JXW240" s="10"/>
      <c r="JXX240" s="19"/>
      <c r="JXY240" s="19"/>
      <c r="JYB240" s="16"/>
      <c r="JYC240" s="15"/>
      <c r="JYD240" s="15"/>
      <c r="JYE240" s="15"/>
      <c r="JYF240" s="16"/>
      <c r="JYG240" s="16"/>
      <c r="JYH240" s="16"/>
      <c r="JYI240" s="16"/>
      <c r="JYJ240" s="16"/>
      <c r="JYK240" s="15"/>
      <c r="JYL240" s="15"/>
      <c r="JYM240" s="10"/>
      <c r="JYN240" s="10"/>
      <c r="JYO240" s="19"/>
      <c r="JYP240" s="19"/>
      <c r="JYS240" s="16"/>
      <c r="JYT240" s="15"/>
      <c r="JYU240" s="15"/>
      <c r="JYV240" s="15"/>
      <c r="JYW240" s="16"/>
      <c r="JYX240" s="16"/>
      <c r="JYY240" s="16"/>
      <c r="JYZ240" s="16"/>
      <c r="JZA240" s="16"/>
      <c r="JZB240" s="15"/>
      <c r="JZC240" s="15"/>
      <c r="JZD240" s="10"/>
      <c r="JZE240" s="10"/>
      <c r="JZF240" s="19"/>
      <c r="JZG240" s="19"/>
      <c r="JZJ240" s="16"/>
      <c r="JZK240" s="15"/>
      <c r="JZL240" s="15"/>
      <c r="JZM240" s="15"/>
      <c r="JZN240" s="16"/>
      <c r="JZO240" s="16"/>
      <c r="JZP240" s="16"/>
      <c r="JZQ240" s="16"/>
      <c r="JZR240" s="16"/>
      <c r="JZS240" s="15"/>
      <c r="JZT240" s="15"/>
      <c r="JZU240" s="10"/>
      <c r="JZV240" s="10"/>
      <c r="JZW240" s="19"/>
      <c r="JZX240" s="19"/>
      <c r="KAA240" s="16"/>
      <c r="KAB240" s="15"/>
      <c r="KAC240" s="15"/>
      <c r="KAD240" s="15"/>
      <c r="KAE240" s="16"/>
      <c r="KAF240" s="16"/>
      <c r="KAG240" s="16"/>
      <c r="KAH240" s="16"/>
      <c r="KAI240" s="16"/>
      <c r="KAJ240" s="15"/>
      <c r="KAK240" s="15"/>
      <c r="KAL240" s="10"/>
      <c r="KAM240" s="10"/>
      <c r="KAN240" s="19"/>
      <c r="KAO240" s="19"/>
      <c r="KAR240" s="16"/>
      <c r="KAS240" s="15"/>
      <c r="KAT240" s="15"/>
      <c r="KAU240" s="15"/>
      <c r="KAV240" s="16"/>
      <c r="KAW240" s="16"/>
      <c r="KAX240" s="16"/>
      <c r="KAY240" s="16"/>
      <c r="KAZ240" s="16"/>
      <c r="KBA240" s="15"/>
      <c r="KBB240" s="15"/>
      <c r="KBC240" s="10"/>
      <c r="KBD240" s="10"/>
      <c r="KBE240" s="19"/>
      <c r="KBF240" s="19"/>
      <c r="KBI240" s="16"/>
      <c r="KBJ240" s="15"/>
      <c r="KBK240" s="15"/>
      <c r="KBL240" s="15"/>
      <c r="KBM240" s="16"/>
      <c r="KBN240" s="16"/>
      <c r="KBO240" s="16"/>
      <c r="KBP240" s="16"/>
      <c r="KBQ240" s="16"/>
      <c r="KBR240" s="15"/>
      <c r="KBS240" s="15"/>
      <c r="KBT240" s="10"/>
      <c r="KBU240" s="10"/>
      <c r="KBV240" s="19"/>
      <c r="KBW240" s="19"/>
      <c r="KBZ240" s="16"/>
      <c r="KCA240" s="15"/>
      <c r="KCB240" s="15"/>
      <c r="KCC240" s="15"/>
      <c r="KCD240" s="16"/>
      <c r="KCE240" s="16"/>
      <c r="KCF240" s="16"/>
      <c r="KCG240" s="16"/>
      <c r="KCH240" s="16"/>
      <c r="KCI240" s="15"/>
      <c r="KCJ240" s="15"/>
      <c r="KCK240" s="10"/>
      <c r="KCL240" s="10"/>
      <c r="KCM240" s="19"/>
      <c r="KCN240" s="19"/>
      <c r="KCQ240" s="16"/>
      <c r="KCR240" s="15"/>
      <c r="KCS240" s="15"/>
      <c r="KCT240" s="15"/>
      <c r="KCU240" s="16"/>
      <c r="KCV240" s="16"/>
      <c r="KCW240" s="16"/>
      <c r="KCX240" s="16"/>
      <c r="KCY240" s="16"/>
      <c r="KCZ240" s="15"/>
      <c r="KDA240" s="15"/>
      <c r="KDB240" s="10"/>
      <c r="KDC240" s="10"/>
      <c r="KDD240" s="19"/>
      <c r="KDE240" s="19"/>
      <c r="KDH240" s="16"/>
      <c r="KDI240" s="15"/>
      <c r="KDJ240" s="15"/>
      <c r="KDK240" s="15"/>
      <c r="KDL240" s="16"/>
      <c r="KDM240" s="16"/>
      <c r="KDN240" s="16"/>
      <c r="KDO240" s="16"/>
      <c r="KDP240" s="16"/>
      <c r="KDQ240" s="15"/>
      <c r="KDR240" s="15"/>
      <c r="KDS240" s="10"/>
      <c r="KDT240" s="10"/>
      <c r="KDU240" s="19"/>
      <c r="KDV240" s="19"/>
      <c r="KDY240" s="16"/>
      <c r="KDZ240" s="15"/>
      <c r="KEA240" s="15"/>
      <c r="KEB240" s="15"/>
      <c r="KEC240" s="16"/>
      <c r="KED240" s="16"/>
      <c r="KEE240" s="16"/>
      <c r="KEF240" s="16"/>
      <c r="KEG240" s="16"/>
      <c r="KEH240" s="15"/>
      <c r="KEI240" s="15"/>
      <c r="KEJ240" s="10"/>
      <c r="KEK240" s="10"/>
      <c r="KEL240" s="19"/>
      <c r="KEM240" s="19"/>
      <c r="KEP240" s="16"/>
      <c r="KEQ240" s="15"/>
      <c r="KER240" s="15"/>
      <c r="KES240" s="15"/>
      <c r="KET240" s="16"/>
      <c r="KEU240" s="16"/>
      <c r="KEV240" s="16"/>
      <c r="KEW240" s="16"/>
      <c r="KEX240" s="16"/>
      <c r="KEY240" s="15"/>
      <c r="KEZ240" s="15"/>
      <c r="KFA240" s="10"/>
      <c r="KFB240" s="10"/>
      <c r="KFC240" s="19"/>
      <c r="KFD240" s="19"/>
      <c r="KFG240" s="16"/>
      <c r="KFH240" s="15"/>
      <c r="KFI240" s="15"/>
      <c r="KFJ240" s="15"/>
      <c r="KFK240" s="16"/>
      <c r="KFL240" s="16"/>
      <c r="KFM240" s="16"/>
      <c r="KFN240" s="16"/>
      <c r="KFO240" s="16"/>
      <c r="KFP240" s="15"/>
      <c r="KFQ240" s="15"/>
      <c r="KFR240" s="10"/>
      <c r="KFS240" s="10"/>
      <c r="KFT240" s="19"/>
      <c r="KFU240" s="19"/>
      <c r="KFX240" s="16"/>
      <c r="KFY240" s="15"/>
      <c r="KFZ240" s="15"/>
      <c r="KGA240" s="15"/>
      <c r="KGB240" s="16"/>
      <c r="KGC240" s="16"/>
      <c r="KGD240" s="16"/>
      <c r="KGE240" s="16"/>
      <c r="KGF240" s="16"/>
      <c r="KGG240" s="15"/>
      <c r="KGH240" s="15"/>
      <c r="KGI240" s="10"/>
      <c r="KGJ240" s="10"/>
      <c r="KGK240" s="19"/>
      <c r="KGL240" s="19"/>
      <c r="KGO240" s="16"/>
      <c r="KGP240" s="15"/>
      <c r="KGQ240" s="15"/>
      <c r="KGR240" s="15"/>
      <c r="KGS240" s="16"/>
      <c r="KGT240" s="16"/>
      <c r="KGU240" s="16"/>
      <c r="KGV240" s="16"/>
      <c r="KGW240" s="16"/>
      <c r="KGX240" s="15"/>
      <c r="KGY240" s="15"/>
      <c r="KGZ240" s="10"/>
      <c r="KHA240" s="10"/>
      <c r="KHB240" s="19"/>
      <c r="KHC240" s="19"/>
      <c r="KHF240" s="16"/>
      <c r="KHG240" s="15"/>
      <c r="KHH240" s="15"/>
      <c r="KHI240" s="15"/>
      <c r="KHJ240" s="16"/>
      <c r="KHK240" s="16"/>
      <c r="KHL240" s="16"/>
      <c r="KHM240" s="16"/>
      <c r="KHN240" s="16"/>
      <c r="KHO240" s="15"/>
      <c r="KHP240" s="15"/>
      <c r="KHQ240" s="10"/>
      <c r="KHR240" s="10"/>
      <c r="KHS240" s="19"/>
      <c r="KHT240" s="19"/>
      <c r="KHW240" s="16"/>
      <c r="KHX240" s="15"/>
      <c r="KHY240" s="15"/>
      <c r="KHZ240" s="15"/>
      <c r="KIA240" s="16"/>
      <c r="KIB240" s="16"/>
      <c r="KIC240" s="16"/>
      <c r="KID240" s="16"/>
      <c r="KIE240" s="16"/>
      <c r="KIF240" s="15"/>
      <c r="KIG240" s="15"/>
      <c r="KIH240" s="10"/>
      <c r="KII240" s="10"/>
      <c r="KIJ240" s="19"/>
      <c r="KIK240" s="19"/>
      <c r="KIN240" s="16"/>
      <c r="KIO240" s="15"/>
      <c r="KIP240" s="15"/>
      <c r="KIQ240" s="15"/>
      <c r="KIR240" s="16"/>
      <c r="KIS240" s="16"/>
      <c r="KIT240" s="16"/>
      <c r="KIU240" s="16"/>
      <c r="KIV240" s="16"/>
      <c r="KIW240" s="15"/>
      <c r="KIX240" s="15"/>
      <c r="KIY240" s="10"/>
      <c r="KIZ240" s="10"/>
      <c r="KJA240" s="19"/>
      <c r="KJB240" s="19"/>
      <c r="KJE240" s="16"/>
      <c r="KJF240" s="15"/>
      <c r="KJG240" s="15"/>
      <c r="KJH240" s="15"/>
      <c r="KJI240" s="16"/>
      <c r="KJJ240" s="16"/>
      <c r="KJK240" s="16"/>
      <c r="KJL240" s="16"/>
      <c r="KJM240" s="16"/>
      <c r="KJN240" s="15"/>
      <c r="KJO240" s="15"/>
      <c r="KJP240" s="10"/>
      <c r="KJQ240" s="10"/>
      <c r="KJR240" s="19"/>
      <c r="KJS240" s="19"/>
      <c r="KJV240" s="16"/>
      <c r="KJW240" s="15"/>
      <c r="KJX240" s="15"/>
      <c r="KJY240" s="15"/>
      <c r="KJZ240" s="16"/>
      <c r="KKA240" s="16"/>
      <c r="KKB240" s="16"/>
      <c r="KKC240" s="16"/>
      <c r="KKD240" s="16"/>
      <c r="KKE240" s="15"/>
      <c r="KKF240" s="15"/>
      <c r="KKG240" s="10"/>
      <c r="KKH240" s="10"/>
      <c r="KKI240" s="19"/>
      <c r="KKJ240" s="19"/>
      <c r="KKM240" s="16"/>
      <c r="KKN240" s="15"/>
      <c r="KKO240" s="15"/>
      <c r="KKP240" s="15"/>
      <c r="KKQ240" s="16"/>
      <c r="KKR240" s="16"/>
      <c r="KKS240" s="16"/>
      <c r="KKT240" s="16"/>
      <c r="KKU240" s="16"/>
      <c r="KKV240" s="15"/>
      <c r="KKW240" s="15"/>
      <c r="KKX240" s="10"/>
      <c r="KKY240" s="10"/>
      <c r="KKZ240" s="19"/>
      <c r="KLA240" s="19"/>
      <c r="KLD240" s="16"/>
      <c r="KLE240" s="15"/>
      <c r="KLF240" s="15"/>
      <c r="KLG240" s="15"/>
      <c r="KLH240" s="16"/>
      <c r="KLI240" s="16"/>
      <c r="KLJ240" s="16"/>
      <c r="KLK240" s="16"/>
      <c r="KLL240" s="16"/>
      <c r="KLM240" s="15"/>
      <c r="KLN240" s="15"/>
      <c r="KLO240" s="10"/>
      <c r="KLP240" s="10"/>
      <c r="KLQ240" s="19"/>
      <c r="KLR240" s="19"/>
      <c r="KLU240" s="16"/>
      <c r="KLV240" s="15"/>
      <c r="KLW240" s="15"/>
      <c r="KLX240" s="15"/>
      <c r="KLY240" s="16"/>
      <c r="KLZ240" s="16"/>
      <c r="KMA240" s="16"/>
      <c r="KMB240" s="16"/>
      <c r="KMC240" s="16"/>
      <c r="KMD240" s="15"/>
      <c r="KME240" s="15"/>
      <c r="KMF240" s="10"/>
      <c r="KMG240" s="10"/>
      <c r="KMH240" s="19"/>
      <c r="KMI240" s="19"/>
      <c r="KML240" s="16"/>
      <c r="KMM240" s="15"/>
      <c r="KMN240" s="15"/>
      <c r="KMO240" s="15"/>
      <c r="KMP240" s="16"/>
      <c r="KMQ240" s="16"/>
      <c r="KMR240" s="16"/>
      <c r="KMS240" s="16"/>
      <c r="KMT240" s="16"/>
      <c r="KMU240" s="15"/>
      <c r="KMV240" s="15"/>
      <c r="KMW240" s="10"/>
      <c r="KMX240" s="10"/>
      <c r="KMY240" s="19"/>
      <c r="KMZ240" s="19"/>
      <c r="KNC240" s="16"/>
      <c r="KND240" s="15"/>
      <c r="KNE240" s="15"/>
      <c r="KNF240" s="15"/>
      <c r="KNG240" s="16"/>
      <c r="KNH240" s="16"/>
      <c r="KNI240" s="16"/>
      <c r="KNJ240" s="16"/>
      <c r="KNK240" s="16"/>
      <c r="KNL240" s="15"/>
      <c r="KNM240" s="15"/>
      <c r="KNN240" s="10"/>
      <c r="KNO240" s="10"/>
      <c r="KNP240" s="19"/>
      <c r="KNQ240" s="19"/>
      <c r="KNT240" s="16"/>
      <c r="KNU240" s="15"/>
      <c r="KNV240" s="15"/>
      <c r="KNW240" s="15"/>
      <c r="KNX240" s="16"/>
      <c r="KNY240" s="16"/>
      <c r="KNZ240" s="16"/>
      <c r="KOA240" s="16"/>
      <c r="KOB240" s="16"/>
      <c r="KOC240" s="15"/>
      <c r="KOD240" s="15"/>
      <c r="KOE240" s="10"/>
      <c r="KOF240" s="10"/>
      <c r="KOG240" s="19"/>
      <c r="KOH240" s="19"/>
      <c r="KOK240" s="16"/>
      <c r="KOL240" s="15"/>
      <c r="KOM240" s="15"/>
      <c r="KON240" s="15"/>
      <c r="KOO240" s="16"/>
      <c r="KOP240" s="16"/>
      <c r="KOQ240" s="16"/>
      <c r="KOR240" s="16"/>
      <c r="KOS240" s="16"/>
      <c r="KOT240" s="15"/>
      <c r="KOU240" s="15"/>
      <c r="KOV240" s="10"/>
      <c r="KOW240" s="10"/>
      <c r="KOX240" s="19"/>
      <c r="KOY240" s="19"/>
      <c r="KPB240" s="16"/>
      <c r="KPC240" s="15"/>
      <c r="KPD240" s="15"/>
      <c r="KPE240" s="15"/>
      <c r="KPF240" s="16"/>
      <c r="KPG240" s="16"/>
      <c r="KPH240" s="16"/>
      <c r="KPI240" s="16"/>
      <c r="KPJ240" s="16"/>
      <c r="KPK240" s="15"/>
      <c r="KPL240" s="15"/>
      <c r="KPM240" s="10"/>
      <c r="KPN240" s="10"/>
      <c r="KPO240" s="19"/>
      <c r="KPP240" s="19"/>
      <c r="KPS240" s="16"/>
      <c r="KPT240" s="15"/>
      <c r="KPU240" s="15"/>
      <c r="KPV240" s="15"/>
      <c r="KPW240" s="16"/>
      <c r="KPX240" s="16"/>
      <c r="KPY240" s="16"/>
      <c r="KPZ240" s="16"/>
      <c r="KQA240" s="16"/>
      <c r="KQB240" s="15"/>
      <c r="KQC240" s="15"/>
      <c r="KQD240" s="10"/>
      <c r="KQE240" s="10"/>
      <c r="KQF240" s="19"/>
      <c r="KQG240" s="19"/>
      <c r="KQJ240" s="16"/>
      <c r="KQK240" s="15"/>
      <c r="KQL240" s="15"/>
      <c r="KQM240" s="15"/>
      <c r="KQN240" s="16"/>
      <c r="KQO240" s="16"/>
      <c r="KQP240" s="16"/>
      <c r="KQQ240" s="16"/>
      <c r="KQR240" s="16"/>
      <c r="KQS240" s="15"/>
      <c r="KQT240" s="15"/>
      <c r="KQU240" s="10"/>
      <c r="KQV240" s="10"/>
      <c r="KQW240" s="19"/>
      <c r="KQX240" s="19"/>
      <c r="KRA240" s="16"/>
      <c r="KRB240" s="15"/>
      <c r="KRC240" s="15"/>
      <c r="KRD240" s="15"/>
      <c r="KRE240" s="16"/>
      <c r="KRF240" s="16"/>
      <c r="KRG240" s="16"/>
      <c r="KRH240" s="16"/>
      <c r="KRI240" s="16"/>
      <c r="KRJ240" s="15"/>
      <c r="KRK240" s="15"/>
      <c r="KRL240" s="10"/>
      <c r="KRM240" s="10"/>
      <c r="KRN240" s="19"/>
      <c r="KRO240" s="19"/>
      <c r="KRR240" s="16"/>
      <c r="KRS240" s="15"/>
      <c r="KRT240" s="15"/>
      <c r="KRU240" s="15"/>
      <c r="KRV240" s="16"/>
      <c r="KRW240" s="16"/>
      <c r="KRX240" s="16"/>
      <c r="KRY240" s="16"/>
      <c r="KRZ240" s="16"/>
      <c r="KSA240" s="15"/>
      <c r="KSB240" s="15"/>
      <c r="KSC240" s="10"/>
      <c r="KSD240" s="10"/>
      <c r="KSE240" s="19"/>
      <c r="KSF240" s="19"/>
      <c r="KSI240" s="16"/>
      <c r="KSJ240" s="15"/>
      <c r="KSK240" s="15"/>
      <c r="KSL240" s="15"/>
      <c r="KSM240" s="16"/>
      <c r="KSN240" s="16"/>
      <c r="KSO240" s="16"/>
      <c r="KSP240" s="16"/>
      <c r="KSQ240" s="16"/>
      <c r="KSR240" s="15"/>
      <c r="KSS240" s="15"/>
      <c r="KST240" s="10"/>
      <c r="KSU240" s="10"/>
      <c r="KSV240" s="19"/>
      <c r="KSW240" s="19"/>
      <c r="KSZ240" s="16"/>
      <c r="KTA240" s="15"/>
      <c r="KTB240" s="15"/>
      <c r="KTC240" s="15"/>
      <c r="KTD240" s="16"/>
      <c r="KTE240" s="16"/>
      <c r="KTF240" s="16"/>
      <c r="KTG240" s="16"/>
      <c r="KTH240" s="16"/>
      <c r="KTI240" s="15"/>
      <c r="KTJ240" s="15"/>
      <c r="KTK240" s="10"/>
      <c r="KTL240" s="10"/>
      <c r="KTM240" s="19"/>
      <c r="KTN240" s="19"/>
      <c r="KTQ240" s="16"/>
      <c r="KTR240" s="15"/>
      <c r="KTS240" s="15"/>
      <c r="KTT240" s="15"/>
      <c r="KTU240" s="16"/>
      <c r="KTV240" s="16"/>
      <c r="KTW240" s="16"/>
      <c r="KTX240" s="16"/>
      <c r="KTY240" s="16"/>
      <c r="KTZ240" s="15"/>
      <c r="KUA240" s="15"/>
      <c r="KUB240" s="10"/>
      <c r="KUC240" s="10"/>
      <c r="KUD240" s="19"/>
      <c r="KUE240" s="19"/>
      <c r="KUH240" s="16"/>
      <c r="KUI240" s="15"/>
      <c r="KUJ240" s="15"/>
      <c r="KUK240" s="15"/>
      <c r="KUL240" s="16"/>
      <c r="KUM240" s="16"/>
      <c r="KUN240" s="16"/>
      <c r="KUO240" s="16"/>
      <c r="KUP240" s="16"/>
      <c r="KUQ240" s="15"/>
      <c r="KUR240" s="15"/>
      <c r="KUS240" s="10"/>
      <c r="KUT240" s="10"/>
      <c r="KUU240" s="19"/>
      <c r="KUV240" s="19"/>
      <c r="KUY240" s="16"/>
      <c r="KUZ240" s="15"/>
      <c r="KVA240" s="15"/>
      <c r="KVB240" s="15"/>
      <c r="KVC240" s="16"/>
      <c r="KVD240" s="16"/>
      <c r="KVE240" s="16"/>
      <c r="KVF240" s="16"/>
      <c r="KVG240" s="16"/>
      <c r="KVH240" s="15"/>
      <c r="KVI240" s="15"/>
      <c r="KVJ240" s="10"/>
      <c r="KVK240" s="10"/>
      <c r="KVL240" s="19"/>
      <c r="KVM240" s="19"/>
      <c r="KVP240" s="16"/>
      <c r="KVQ240" s="15"/>
      <c r="KVR240" s="15"/>
      <c r="KVS240" s="15"/>
      <c r="KVT240" s="16"/>
      <c r="KVU240" s="16"/>
      <c r="KVV240" s="16"/>
      <c r="KVW240" s="16"/>
      <c r="KVX240" s="16"/>
      <c r="KVY240" s="15"/>
      <c r="KVZ240" s="15"/>
      <c r="KWA240" s="10"/>
      <c r="KWB240" s="10"/>
      <c r="KWC240" s="19"/>
      <c r="KWD240" s="19"/>
      <c r="KWG240" s="16"/>
      <c r="KWH240" s="15"/>
      <c r="KWI240" s="15"/>
      <c r="KWJ240" s="15"/>
      <c r="KWK240" s="16"/>
      <c r="KWL240" s="16"/>
      <c r="KWM240" s="16"/>
      <c r="KWN240" s="16"/>
      <c r="KWO240" s="16"/>
      <c r="KWP240" s="15"/>
      <c r="KWQ240" s="15"/>
      <c r="KWR240" s="10"/>
      <c r="KWS240" s="10"/>
      <c r="KWT240" s="19"/>
      <c r="KWU240" s="19"/>
      <c r="KWX240" s="16"/>
      <c r="KWY240" s="15"/>
      <c r="KWZ240" s="15"/>
      <c r="KXA240" s="15"/>
      <c r="KXB240" s="16"/>
      <c r="KXC240" s="16"/>
      <c r="KXD240" s="16"/>
      <c r="KXE240" s="16"/>
      <c r="KXF240" s="16"/>
      <c r="KXG240" s="15"/>
      <c r="KXH240" s="15"/>
      <c r="KXI240" s="10"/>
      <c r="KXJ240" s="10"/>
      <c r="KXK240" s="19"/>
      <c r="KXL240" s="19"/>
      <c r="KXO240" s="16"/>
      <c r="KXP240" s="15"/>
      <c r="KXQ240" s="15"/>
      <c r="KXR240" s="15"/>
      <c r="KXS240" s="16"/>
      <c r="KXT240" s="16"/>
      <c r="KXU240" s="16"/>
      <c r="KXV240" s="16"/>
      <c r="KXW240" s="16"/>
      <c r="KXX240" s="15"/>
      <c r="KXY240" s="15"/>
      <c r="KXZ240" s="10"/>
      <c r="KYA240" s="10"/>
      <c r="KYB240" s="19"/>
      <c r="KYC240" s="19"/>
      <c r="KYF240" s="16"/>
      <c r="KYG240" s="15"/>
      <c r="KYH240" s="15"/>
      <c r="KYI240" s="15"/>
      <c r="KYJ240" s="16"/>
      <c r="KYK240" s="16"/>
      <c r="KYL240" s="16"/>
      <c r="KYM240" s="16"/>
      <c r="KYN240" s="16"/>
      <c r="KYO240" s="15"/>
      <c r="KYP240" s="15"/>
      <c r="KYQ240" s="10"/>
      <c r="KYR240" s="10"/>
      <c r="KYS240" s="19"/>
      <c r="KYT240" s="19"/>
      <c r="KYW240" s="16"/>
      <c r="KYX240" s="15"/>
      <c r="KYY240" s="15"/>
      <c r="KYZ240" s="15"/>
      <c r="KZA240" s="16"/>
      <c r="KZB240" s="16"/>
      <c r="KZC240" s="16"/>
      <c r="KZD240" s="16"/>
      <c r="KZE240" s="16"/>
      <c r="KZF240" s="15"/>
      <c r="KZG240" s="15"/>
      <c r="KZH240" s="10"/>
      <c r="KZI240" s="10"/>
      <c r="KZJ240" s="19"/>
      <c r="KZK240" s="19"/>
      <c r="KZN240" s="16"/>
      <c r="KZO240" s="15"/>
      <c r="KZP240" s="15"/>
      <c r="KZQ240" s="15"/>
      <c r="KZR240" s="16"/>
      <c r="KZS240" s="16"/>
      <c r="KZT240" s="16"/>
      <c r="KZU240" s="16"/>
      <c r="KZV240" s="16"/>
      <c r="KZW240" s="15"/>
      <c r="KZX240" s="15"/>
      <c r="KZY240" s="10"/>
      <c r="KZZ240" s="10"/>
      <c r="LAA240" s="19"/>
      <c r="LAB240" s="19"/>
      <c r="LAE240" s="16"/>
      <c r="LAF240" s="15"/>
      <c r="LAG240" s="15"/>
      <c r="LAH240" s="15"/>
      <c r="LAI240" s="16"/>
      <c r="LAJ240" s="16"/>
      <c r="LAK240" s="16"/>
      <c r="LAL240" s="16"/>
      <c r="LAM240" s="16"/>
      <c r="LAN240" s="15"/>
      <c r="LAO240" s="15"/>
      <c r="LAP240" s="10"/>
      <c r="LAQ240" s="10"/>
      <c r="LAR240" s="19"/>
      <c r="LAS240" s="19"/>
      <c r="LAV240" s="16"/>
      <c r="LAW240" s="15"/>
      <c r="LAX240" s="15"/>
      <c r="LAY240" s="15"/>
      <c r="LAZ240" s="16"/>
      <c r="LBA240" s="16"/>
      <c r="LBB240" s="16"/>
      <c r="LBC240" s="16"/>
      <c r="LBD240" s="16"/>
      <c r="LBE240" s="15"/>
      <c r="LBF240" s="15"/>
      <c r="LBG240" s="10"/>
      <c r="LBH240" s="10"/>
      <c r="LBI240" s="19"/>
      <c r="LBJ240" s="19"/>
      <c r="LBM240" s="16"/>
      <c r="LBN240" s="15"/>
      <c r="LBO240" s="15"/>
      <c r="LBP240" s="15"/>
      <c r="LBQ240" s="16"/>
      <c r="LBR240" s="16"/>
      <c r="LBS240" s="16"/>
      <c r="LBT240" s="16"/>
      <c r="LBU240" s="16"/>
      <c r="LBV240" s="15"/>
      <c r="LBW240" s="15"/>
      <c r="LBX240" s="10"/>
      <c r="LBY240" s="10"/>
      <c r="LBZ240" s="19"/>
      <c r="LCA240" s="19"/>
      <c r="LCD240" s="16"/>
      <c r="LCE240" s="15"/>
      <c r="LCF240" s="15"/>
      <c r="LCG240" s="15"/>
      <c r="LCH240" s="16"/>
      <c r="LCI240" s="16"/>
      <c r="LCJ240" s="16"/>
      <c r="LCK240" s="16"/>
      <c r="LCL240" s="16"/>
      <c r="LCM240" s="15"/>
      <c r="LCN240" s="15"/>
      <c r="LCO240" s="10"/>
      <c r="LCP240" s="10"/>
      <c r="LCQ240" s="19"/>
      <c r="LCR240" s="19"/>
      <c r="LCU240" s="16"/>
      <c r="LCV240" s="15"/>
      <c r="LCW240" s="15"/>
      <c r="LCX240" s="15"/>
      <c r="LCY240" s="16"/>
      <c r="LCZ240" s="16"/>
      <c r="LDA240" s="16"/>
      <c r="LDB240" s="16"/>
      <c r="LDC240" s="16"/>
      <c r="LDD240" s="15"/>
      <c r="LDE240" s="15"/>
      <c r="LDF240" s="10"/>
      <c r="LDG240" s="10"/>
      <c r="LDH240" s="19"/>
      <c r="LDI240" s="19"/>
      <c r="LDL240" s="16"/>
      <c r="LDM240" s="15"/>
      <c r="LDN240" s="15"/>
      <c r="LDO240" s="15"/>
      <c r="LDP240" s="16"/>
      <c r="LDQ240" s="16"/>
      <c r="LDR240" s="16"/>
      <c r="LDS240" s="16"/>
      <c r="LDT240" s="16"/>
      <c r="LDU240" s="15"/>
      <c r="LDV240" s="15"/>
      <c r="LDW240" s="10"/>
      <c r="LDX240" s="10"/>
      <c r="LDY240" s="19"/>
      <c r="LDZ240" s="19"/>
      <c r="LEC240" s="16"/>
      <c r="LED240" s="15"/>
      <c r="LEE240" s="15"/>
      <c r="LEF240" s="15"/>
      <c r="LEG240" s="16"/>
      <c r="LEH240" s="16"/>
      <c r="LEI240" s="16"/>
      <c r="LEJ240" s="16"/>
      <c r="LEK240" s="16"/>
      <c r="LEL240" s="15"/>
      <c r="LEM240" s="15"/>
      <c r="LEN240" s="10"/>
      <c r="LEO240" s="10"/>
      <c r="LEP240" s="19"/>
      <c r="LEQ240" s="19"/>
      <c r="LET240" s="16"/>
      <c r="LEU240" s="15"/>
      <c r="LEV240" s="15"/>
      <c r="LEW240" s="15"/>
      <c r="LEX240" s="16"/>
      <c r="LEY240" s="16"/>
      <c r="LEZ240" s="16"/>
      <c r="LFA240" s="16"/>
      <c r="LFB240" s="16"/>
      <c r="LFC240" s="15"/>
      <c r="LFD240" s="15"/>
      <c r="LFE240" s="10"/>
      <c r="LFF240" s="10"/>
      <c r="LFG240" s="19"/>
      <c r="LFH240" s="19"/>
      <c r="LFK240" s="16"/>
      <c r="LFL240" s="15"/>
      <c r="LFM240" s="15"/>
      <c r="LFN240" s="15"/>
      <c r="LFO240" s="16"/>
      <c r="LFP240" s="16"/>
      <c r="LFQ240" s="16"/>
      <c r="LFR240" s="16"/>
      <c r="LFS240" s="16"/>
      <c r="LFT240" s="15"/>
      <c r="LFU240" s="15"/>
      <c r="LFV240" s="10"/>
      <c r="LFW240" s="10"/>
      <c r="LFX240" s="19"/>
      <c r="LFY240" s="19"/>
      <c r="LGB240" s="16"/>
      <c r="LGC240" s="15"/>
      <c r="LGD240" s="15"/>
      <c r="LGE240" s="15"/>
      <c r="LGF240" s="16"/>
      <c r="LGG240" s="16"/>
      <c r="LGH240" s="16"/>
      <c r="LGI240" s="16"/>
      <c r="LGJ240" s="16"/>
      <c r="LGK240" s="15"/>
      <c r="LGL240" s="15"/>
      <c r="LGM240" s="10"/>
      <c r="LGN240" s="10"/>
      <c r="LGO240" s="19"/>
      <c r="LGP240" s="19"/>
      <c r="LGS240" s="16"/>
      <c r="LGT240" s="15"/>
      <c r="LGU240" s="15"/>
      <c r="LGV240" s="15"/>
      <c r="LGW240" s="16"/>
      <c r="LGX240" s="16"/>
      <c r="LGY240" s="16"/>
      <c r="LGZ240" s="16"/>
      <c r="LHA240" s="16"/>
      <c r="LHB240" s="15"/>
      <c r="LHC240" s="15"/>
      <c r="LHD240" s="10"/>
      <c r="LHE240" s="10"/>
      <c r="LHF240" s="19"/>
      <c r="LHG240" s="19"/>
      <c r="LHJ240" s="16"/>
      <c r="LHK240" s="15"/>
      <c r="LHL240" s="15"/>
      <c r="LHM240" s="15"/>
      <c r="LHN240" s="16"/>
      <c r="LHO240" s="16"/>
      <c r="LHP240" s="16"/>
      <c r="LHQ240" s="16"/>
      <c r="LHR240" s="16"/>
      <c r="LHS240" s="15"/>
      <c r="LHT240" s="15"/>
      <c r="LHU240" s="10"/>
      <c r="LHV240" s="10"/>
      <c r="LHW240" s="19"/>
      <c r="LHX240" s="19"/>
      <c r="LIA240" s="16"/>
      <c r="LIB240" s="15"/>
      <c r="LIC240" s="15"/>
      <c r="LID240" s="15"/>
      <c r="LIE240" s="16"/>
      <c r="LIF240" s="16"/>
      <c r="LIG240" s="16"/>
      <c r="LIH240" s="16"/>
      <c r="LII240" s="16"/>
      <c r="LIJ240" s="15"/>
      <c r="LIK240" s="15"/>
      <c r="LIL240" s="10"/>
      <c r="LIM240" s="10"/>
      <c r="LIN240" s="19"/>
      <c r="LIO240" s="19"/>
      <c r="LIR240" s="16"/>
      <c r="LIS240" s="15"/>
      <c r="LIT240" s="15"/>
      <c r="LIU240" s="15"/>
      <c r="LIV240" s="16"/>
      <c r="LIW240" s="16"/>
      <c r="LIX240" s="16"/>
      <c r="LIY240" s="16"/>
      <c r="LIZ240" s="16"/>
      <c r="LJA240" s="15"/>
      <c r="LJB240" s="15"/>
      <c r="LJC240" s="10"/>
      <c r="LJD240" s="10"/>
      <c r="LJE240" s="19"/>
      <c r="LJF240" s="19"/>
      <c r="LJI240" s="16"/>
      <c r="LJJ240" s="15"/>
      <c r="LJK240" s="15"/>
      <c r="LJL240" s="15"/>
      <c r="LJM240" s="16"/>
      <c r="LJN240" s="16"/>
      <c r="LJO240" s="16"/>
      <c r="LJP240" s="16"/>
      <c r="LJQ240" s="16"/>
      <c r="LJR240" s="15"/>
      <c r="LJS240" s="15"/>
      <c r="LJT240" s="10"/>
      <c r="LJU240" s="10"/>
      <c r="LJV240" s="19"/>
      <c r="LJW240" s="19"/>
      <c r="LJZ240" s="16"/>
      <c r="LKA240" s="15"/>
      <c r="LKB240" s="15"/>
      <c r="LKC240" s="15"/>
      <c r="LKD240" s="16"/>
      <c r="LKE240" s="16"/>
      <c r="LKF240" s="16"/>
      <c r="LKG240" s="16"/>
      <c r="LKH240" s="16"/>
      <c r="LKI240" s="15"/>
      <c r="LKJ240" s="15"/>
      <c r="LKK240" s="10"/>
      <c r="LKL240" s="10"/>
      <c r="LKM240" s="19"/>
      <c r="LKN240" s="19"/>
      <c r="LKQ240" s="16"/>
      <c r="LKR240" s="15"/>
      <c r="LKS240" s="15"/>
      <c r="LKT240" s="15"/>
      <c r="LKU240" s="16"/>
      <c r="LKV240" s="16"/>
      <c r="LKW240" s="16"/>
      <c r="LKX240" s="16"/>
      <c r="LKY240" s="16"/>
      <c r="LKZ240" s="15"/>
      <c r="LLA240" s="15"/>
      <c r="LLB240" s="10"/>
      <c r="LLC240" s="10"/>
      <c r="LLD240" s="19"/>
      <c r="LLE240" s="19"/>
      <c r="LLH240" s="16"/>
      <c r="LLI240" s="15"/>
      <c r="LLJ240" s="15"/>
      <c r="LLK240" s="15"/>
      <c r="LLL240" s="16"/>
      <c r="LLM240" s="16"/>
      <c r="LLN240" s="16"/>
      <c r="LLO240" s="16"/>
      <c r="LLP240" s="16"/>
      <c r="LLQ240" s="15"/>
      <c r="LLR240" s="15"/>
      <c r="LLS240" s="10"/>
      <c r="LLT240" s="10"/>
      <c r="LLU240" s="19"/>
      <c r="LLV240" s="19"/>
      <c r="LLY240" s="16"/>
      <c r="LLZ240" s="15"/>
      <c r="LMA240" s="15"/>
      <c r="LMB240" s="15"/>
      <c r="LMC240" s="16"/>
      <c r="LMD240" s="16"/>
      <c r="LME240" s="16"/>
      <c r="LMF240" s="16"/>
      <c r="LMG240" s="16"/>
      <c r="LMH240" s="15"/>
      <c r="LMI240" s="15"/>
      <c r="LMJ240" s="10"/>
      <c r="LMK240" s="10"/>
      <c r="LML240" s="19"/>
      <c r="LMM240" s="19"/>
      <c r="LMP240" s="16"/>
      <c r="LMQ240" s="15"/>
      <c r="LMR240" s="15"/>
      <c r="LMS240" s="15"/>
      <c r="LMT240" s="16"/>
      <c r="LMU240" s="16"/>
      <c r="LMV240" s="16"/>
      <c r="LMW240" s="16"/>
      <c r="LMX240" s="16"/>
      <c r="LMY240" s="15"/>
      <c r="LMZ240" s="15"/>
      <c r="LNA240" s="10"/>
      <c r="LNB240" s="10"/>
      <c r="LNC240" s="19"/>
      <c r="LND240" s="19"/>
      <c r="LNG240" s="16"/>
      <c r="LNH240" s="15"/>
      <c r="LNI240" s="15"/>
      <c r="LNJ240" s="15"/>
      <c r="LNK240" s="16"/>
      <c r="LNL240" s="16"/>
      <c r="LNM240" s="16"/>
      <c r="LNN240" s="16"/>
      <c r="LNO240" s="16"/>
      <c r="LNP240" s="15"/>
      <c r="LNQ240" s="15"/>
      <c r="LNR240" s="10"/>
      <c r="LNS240" s="10"/>
      <c r="LNT240" s="19"/>
      <c r="LNU240" s="19"/>
      <c r="LNX240" s="16"/>
      <c r="LNY240" s="15"/>
      <c r="LNZ240" s="15"/>
      <c r="LOA240" s="15"/>
      <c r="LOB240" s="16"/>
      <c r="LOC240" s="16"/>
      <c r="LOD240" s="16"/>
      <c r="LOE240" s="16"/>
      <c r="LOF240" s="16"/>
      <c r="LOG240" s="15"/>
      <c r="LOH240" s="15"/>
      <c r="LOI240" s="10"/>
      <c r="LOJ240" s="10"/>
      <c r="LOK240" s="19"/>
      <c r="LOL240" s="19"/>
      <c r="LOO240" s="16"/>
      <c r="LOP240" s="15"/>
      <c r="LOQ240" s="15"/>
      <c r="LOR240" s="15"/>
      <c r="LOS240" s="16"/>
      <c r="LOT240" s="16"/>
      <c r="LOU240" s="16"/>
      <c r="LOV240" s="16"/>
      <c r="LOW240" s="16"/>
      <c r="LOX240" s="15"/>
      <c r="LOY240" s="15"/>
      <c r="LOZ240" s="10"/>
      <c r="LPA240" s="10"/>
      <c r="LPB240" s="19"/>
      <c r="LPC240" s="19"/>
      <c r="LPF240" s="16"/>
      <c r="LPG240" s="15"/>
      <c r="LPH240" s="15"/>
      <c r="LPI240" s="15"/>
      <c r="LPJ240" s="16"/>
      <c r="LPK240" s="16"/>
      <c r="LPL240" s="16"/>
      <c r="LPM240" s="16"/>
      <c r="LPN240" s="16"/>
      <c r="LPO240" s="15"/>
      <c r="LPP240" s="15"/>
      <c r="LPQ240" s="10"/>
      <c r="LPR240" s="10"/>
      <c r="LPS240" s="19"/>
      <c r="LPT240" s="19"/>
      <c r="LPW240" s="16"/>
      <c r="LPX240" s="15"/>
      <c r="LPY240" s="15"/>
      <c r="LPZ240" s="15"/>
      <c r="LQA240" s="16"/>
      <c r="LQB240" s="16"/>
      <c r="LQC240" s="16"/>
      <c r="LQD240" s="16"/>
      <c r="LQE240" s="16"/>
      <c r="LQF240" s="15"/>
      <c r="LQG240" s="15"/>
      <c r="LQH240" s="10"/>
      <c r="LQI240" s="10"/>
      <c r="LQJ240" s="19"/>
      <c r="LQK240" s="19"/>
      <c r="LQN240" s="16"/>
      <c r="LQO240" s="15"/>
      <c r="LQP240" s="15"/>
      <c r="LQQ240" s="15"/>
      <c r="LQR240" s="16"/>
      <c r="LQS240" s="16"/>
      <c r="LQT240" s="16"/>
      <c r="LQU240" s="16"/>
      <c r="LQV240" s="16"/>
      <c r="LQW240" s="15"/>
      <c r="LQX240" s="15"/>
      <c r="LQY240" s="10"/>
      <c r="LQZ240" s="10"/>
      <c r="LRA240" s="19"/>
      <c r="LRB240" s="19"/>
      <c r="LRE240" s="16"/>
      <c r="LRF240" s="15"/>
      <c r="LRG240" s="15"/>
      <c r="LRH240" s="15"/>
      <c r="LRI240" s="16"/>
      <c r="LRJ240" s="16"/>
      <c r="LRK240" s="16"/>
      <c r="LRL240" s="16"/>
      <c r="LRM240" s="16"/>
      <c r="LRN240" s="15"/>
      <c r="LRO240" s="15"/>
      <c r="LRP240" s="10"/>
      <c r="LRQ240" s="10"/>
      <c r="LRR240" s="19"/>
      <c r="LRS240" s="19"/>
      <c r="LRV240" s="16"/>
      <c r="LRW240" s="15"/>
      <c r="LRX240" s="15"/>
      <c r="LRY240" s="15"/>
      <c r="LRZ240" s="16"/>
      <c r="LSA240" s="16"/>
      <c r="LSB240" s="16"/>
      <c r="LSC240" s="16"/>
      <c r="LSD240" s="16"/>
      <c r="LSE240" s="15"/>
      <c r="LSF240" s="15"/>
      <c r="LSG240" s="10"/>
      <c r="LSH240" s="10"/>
      <c r="LSI240" s="19"/>
      <c r="LSJ240" s="19"/>
      <c r="LSM240" s="16"/>
      <c r="LSN240" s="15"/>
      <c r="LSO240" s="15"/>
      <c r="LSP240" s="15"/>
      <c r="LSQ240" s="16"/>
      <c r="LSR240" s="16"/>
      <c r="LSS240" s="16"/>
      <c r="LST240" s="16"/>
      <c r="LSU240" s="16"/>
      <c r="LSV240" s="15"/>
      <c r="LSW240" s="15"/>
      <c r="LSX240" s="10"/>
      <c r="LSY240" s="10"/>
      <c r="LSZ240" s="19"/>
      <c r="LTA240" s="19"/>
      <c r="LTD240" s="16"/>
      <c r="LTE240" s="15"/>
      <c r="LTF240" s="15"/>
      <c r="LTG240" s="15"/>
      <c r="LTH240" s="16"/>
      <c r="LTI240" s="16"/>
      <c r="LTJ240" s="16"/>
      <c r="LTK240" s="16"/>
      <c r="LTL240" s="16"/>
      <c r="LTM240" s="15"/>
      <c r="LTN240" s="15"/>
      <c r="LTO240" s="10"/>
      <c r="LTP240" s="10"/>
      <c r="LTQ240" s="19"/>
      <c r="LTR240" s="19"/>
      <c r="LTU240" s="16"/>
      <c r="LTV240" s="15"/>
      <c r="LTW240" s="15"/>
      <c r="LTX240" s="15"/>
      <c r="LTY240" s="16"/>
      <c r="LTZ240" s="16"/>
      <c r="LUA240" s="16"/>
      <c r="LUB240" s="16"/>
      <c r="LUC240" s="16"/>
      <c r="LUD240" s="15"/>
      <c r="LUE240" s="15"/>
      <c r="LUF240" s="10"/>
      <c r="LUG240" s="10"/>
      <c r="LUH240" s="19"/>
      <c r="LUI240" s="19"/>
      <c r="LUL240" s="16"/>
      <c r="LUM240" s="15"/>
      <c r="LUN240" s="15"/>
      <c r="LUO240" s="15"/>
      <c r="LUP240" s="16"/>
      <c r="LUQ240" s="16"/>
      <c r="LUR240" s="16"/>
      <c r="LUS240" s="16"/>
      <c r="LUT240" s="16"/>
      <c r="LUU240" s="15"/>
      <c r="LUV240" s="15"/>
      <c r="LUW240" s="10"/>
      <c r="LUX240" s="10"/>
      <c r="LUY240" s="19"/>
      <c r="LUZ240" s="19"/>
      <c r="LVC240" s="16"/>
      <c r="LVD240" s="15"/>
      <c r="LVE240" s="15"/>
      <c r="LVF240" s="15"/>
      <c r="LVG240" s="16"/>
      <c r="LVH240" s="16"/>
      <c r="LVI240" s="16"/>
      <c r="LVJ240" s="16"/>
      <c r="LVK240" s="16"/>
      <c r="LVL240" s="15"/>
      <c r="LVM240" s="15"/>
      <c r="LVN240" s="10"/>
      <c r="LVO240" s="10"/>
      <c r="LVP240" s="19"/>
      <c r="LVQ240" s="19"/>
      <c r="LVT240" s="16"/>
      <c r="LVU240" s="15"/>
      <c r="LVV240" s="15"/>
      <c r="LVW240" s="15"/>
      <c r="LVX240" s="16"/>
      <c r="LVY240" s="16"/>
      <c r="LVZ240" s="16"/>
      <c r="LWA240" s="16"/>
      <c r="LWB240" s="16"/>
      <c r="LWC240" s="15"/>
      <c r="LWD240" s="15"/>
      <c r="LWE240" s="10"/>
      <c r="LWF240" s="10"/>
      <c r="LWG240" s="19"/>
      <c r="LWH240" s="19"/>
      <c r="LWK240" s="16"/>
      <c r="LWL240" s="15"/>
      <c r="LWM240" s="15"/>
      <c r="LWN240" s="15"/>
      <c r="LWO240" s="16"/>
      <c r="LWP240" s="16"/>
      <c r="LWQ240" s="16"/>
      <c r="LWR240" s="16"/>
      <c r="LWS240" s="16"/>
      <c r="LWT240" s="15"/>
      <c r="LWU240" s="15"/>
      <c r="LWV240" s="10"/>
      <c r="LWW240" s="10"/>
      <c r="LWX240" s="19"/>
      <c r="LWY240" s="19"/>
      <c r="LXB240" s="16"/>
      <c r="LXC240" s="15"/>
      <c r="LXD240" s="15"/>
      <c r="LXE240" s="15"/>
      <c r="LXF240" s="16"/>
      <c r="LXG240" s="16"/>
      <c r="LXH240" s="16"/>
      <c r="LXI240" s="16"/>
      <c r="LXJ240" s="16"/>
      <c r="LXK240" s="15"/>
      <c r="LXL240" s="15"/>
      <c r="LXM240" s="10"/>
      <c r="LXN240" s="10"/>
      <c r="LXO240" s="19"/>
      <c r="LXP240" s="19"/>
      <c r="LXS240" s="16"/>
      <c r="LXT240" s="15"/>
      <c r="LXU240" s="15"/>
      <c r="LXV240" s="15"/>
      <c r="LXW240" s="16"/>
      <c r="LXX240" s="16"/>
      <c r="LXY240" s="16"/>
      <c r="LXZ240" s="16"/>
      <c r="LYA240" s="16"/>
      <c r="LYB240" s="15"/>
      <c r="LYC240" s="15"/>
      <c r="LYD240" s="10"/>
      <c r="LYE240" s="10"/>
      <c r="LYF240" s="19"/>
      <c r="LYG240" s="19"/>
      <c r="LYJ240" s="16"/>
      <c r="LYK240" s="15"/>
      <c r="LYL240" s="15"/>
      <c r="LYM240" s="15"/>
      <c r="LYN240" s="16"/>
      <c r="LYO240" s="16"/>
      <c r="LYP240" s="16"/>
      <c r="LYQ240" s="16"/>
      <c r="LYR240" s="16"/>
      <c r="LYS240" s="15"/>
      <c r="LYT240" s="15"/>
      <c r="LYU240" s="10"/>
      <c r="LYV240" s="10"/>
      <c r="LYW240" s="19"/>
      <c r="LYX240" s="19"/>
      <c r="LZA240" s="16"/>
      <c r="LZB240" s="15"/>
      <c r="LZC240" s="15"/>
      <c r="LZD240" s="15"/>
      <c r="LZE240" s="16"/>
      <c r="LZF240" s="16"/>
      <c r="LZG240" s="16"/>
      <c r="LZH240" s="16"/>
      <c r="LZI240" s="16"/>
      <c r="LZJ240" s="15"/>
      <c r="LZK240" s="15"/>
      <c r="LZL240" s="10"/>
      <c r="LZM240" s="10"/>
      <c r="LZN240" s="19"/>
      <c r="LZO240" s="19"/>
      <c r="LZR240" s="16"/>
      <c r="LZS240" s="15"/>
      <c r="LZT240" s="15"/>
      <c r="LZU240" s="15"/>
      <c r="LZV240" s="16"/>
      <c r="LZW240" s="16"/>
      <c r="LZX240" s="16"/>
      <c r="LZY240" s="16"/>
      <c r="LZZ240" s="16"/>
      <c r="MAA240" s="15"/>
      <c r="MAB240" s="15"/>
      <c r="MAC240" s="10"/>
      <c r="MAD240" s="10"/>
      <c r="MAE240" s="19"/>
      <c r="MAF240" s="19"/>
      <c r="MAI240" s="16"/>
      <c r="MAJ240" s="15"/>
      <c r="MAK240" s="15"/>
      <c r="MAL240" s="15"/>
      <c r="MAM240" s="16"/>
      <c r="MAN240" s="16"/>
      <c r="MAO240" s="16"/>
      <c r="MAP240" s="16"/>
      <c r="MAQ240" s="16"/>
      <c r="MAR240" s="15"/>
      <c r="MAS240" s="15"/>
      <c r="MAT240" s="10"/>
      <c r="MAU240" s="10"/>
      <c r="MAV240" s="19"/>
      <c r="MAW240" s="19"/>
      <c r="MAZ240" s="16"/>
      <c r="MBA240" s="15"/>
      <c r="MBB240" s="15"/>
      <c r="MBC240" s="15"/>
      <c r="MBD240" s="16"/>
      <c r="MBE240" s="16"/>
      <c r="MBF240" s="16"/>
      <c r="MBG240" s="16"/>
      <c r="MBH240" s="16"/>
      <c r="MBI240" s="15"/>
      <c r="MBJ240" s="15"/>
      <c r="MBK240" s="10"/>
      <c r="MBL240" s="10"/>
      <c r="MBM240" s="19"/>
      <c r="MBN240" s="19"/>
      <c r="MBQ240" s="16"/>
      <c r="MBR240" s="15"/>
      <c r="MBS240" s="15"/>
      <c r="MBT240" s="15"/>
      <c r="MBU240" s="16"/>
      <c r="MBV240" s="16"/>
      <c r="MBW240" s="16"/>
      <c r="MBX240" s="16"/>
      <c r="MBY240" s="16"/>
      <c r="MBZ240" s="15"/>
      <c r="MCA240" s="15"/>
      <c r="MCB240" s="10"/>
      <c r="MCC240" s="10"/>
      <c r="MCD240" s="19"/>
      <c r="MCE240" s="19"/>
      <c r="MCH240" s="16"/>
      <c r="MCI240" s="15"/>
      <c r="MCJ240" s="15"/>
      <c r="MCK240" s="15"/>
      <c r="MCL240" s="16"/>
      <c r="MCM240" s="16"/>
      <c r="MCN240" s="16"/>
      <c r="MCO240" s="16"/>
      <c r="MCP240" s="16"/>
      <c r="MCQ240" s="15"/>
      <c r="MCR240" s="15"/>
      <c r="MCS240" s="10"/>
      <c r="MCT240" s="10"/>
      <c r="MCU240" s="19"/>
      <c r="MCV240" s="19"/>
      <c r="MCY240" s="16"/>
      <c r="MCZ240" s="15"/>
      <c r="MDA240" s="15"/>
      <c r="MDB240" s="15"/>
      <c r="MDC240" s="16"/>
      <c r="MDD240" s="16"/>
      <c r="MDE240" s="16"/>
      <c r="MDF240" s="16"/>
      <c r="MDG240" s="16"/>
      <c r="MDH240" s="15"/>
      <c r="MDI240" s="15"/>
      <c r="MDJ240" s="10"/>
      <c r="MDK240" s="10"/>
      <c r="MDL240" s="19"/>
      <c r="MDM240" s="19"/>
      <c r="MDP240" s="16"/>
      <c r="MDQ240" s="15"/>
      <c r="MDR240" s="15"/>
      <c r="MDS240" s="15"/>
      <c r="MDT240" s="16"/>
      <c r="MDU240" s="16"/>
      <c r="MDV240" s="16"/>
      <c r="MDW240" s="16"/>
      <c r="MDX240" s="16"/>
      <c r="MDY240" s="15"/>
      <c r="MDZ240" s="15"/>
      <c r="MEA240" s="10"/>
      <c r="MEB240" s="10"/>
      <c r="MEC240" s="19"/>
      <c r="MED240" s="19"/>
      <c r="MEG240" s="16"/>
      <c r="MEH240" s="15"/>
      <c r="MEI240" s="15"/>
      <c r="MEJ240" s="15"/>
      <c r="MEK240" s="16"/>
      <c r="MEL240" s="16"/>
      <c r="MEM240" s="16"/>
      <c r="MEN240" s="16"/>
      <c r="MEO240" s="16"/>
      <c r="MEP240" s="15"/>
      <c r="MEQ240" s="15"/>
      <c r="MER240" s="10"/>
      <c r="MES240" s="10"/>
      <c r="MET240" s="19"/>
      <c r="MEU240" s="19"/>
      <c r="MEX240" s="16"/>
      <c r="MEY240" s="15"/>
      <c r="MEZ240" s="15"/>
      <c r="MFA240" s="15"/>
      <c r="MFB240" s="16"/>
      <c r="MFC240" s="16"/>
      <c r="MFD240" s="16"/>
      <c r="MFE240" s="16"/>
      <c r="MFF240" s="16"/>
      <c r="MFG240" s="15"/>
      <c r="MFH240" s="15"/>
      <c r="MFI240" s="10"/>
      <c r="MFJ240" s="10"/>
      <c r="MFK240" s="19"/>
      <c r="MFL240" s="19"/>
      <c r="MFO240" s="16"/>
      <c r="MFP240" s="15"/>
      <c r="MFQ240" s="15"/>
      <c r="MFR240" s="15"/>
      <c r="MFS240" s="16"/>
      <c r="MFT240" s="16"/>
      <c r="MFU240" s="16"/>
      <c r="MFV240" s="16"/>
      <c r="MFW240" s="16"/>
      <c r="MFX240" s="15"/>
      <c r="MFY240" s="15"/>
      <c r="MFZ240" s="10"/>
      <c r="MGA240" s="10"/>
      <c r="MGB240" s="19"/>
      <c r="MGC240" s="19"/>
      <c r="MGF240" s="16"/>
      <c r="MGG240" s="15"/>
      <c r="MGH240" s="15"/>
      <c r="MGI240" s="15"/>
      <c r="MGJ240" s="16"/>
      <c r="MGK240" s="16"/>
      <c r="MGL240" s="16"/>
      <c r="MGM240" s="16"/>
      <c r="MGN240" s="16"/>
      <c r="MGO240" s="15"/>
      <c r="MGP240" s="15"/>
      <c r="MGQ240" s="10"/>
      <c r="MGR240" s="10"/>
      <c r="MGS240" s="19"/>
      <c r="MGT240" s="19"/>
      <c r="MGW240" s="16"/>
      <c r="MGX240" s="15"/>
      <c r="MGY240" s="15"/>
      <c r="MGZ240" s="15"/>
      <c r="MHA240" s="16"/>
      <c r="MHB240" s="16"/>
      <c r="MHC240" s="16"/>
      <c r="MHD240" s="16"/>
      <c r="MHE240" s="16"/>
      <c r="MHF240" s="15"/>
      <c r="MHG240" s="15"/>
      <c r="MHH240" s="10"/>
      <c r="MHI240" s="10"/>
      <c r="MHJ240" s="19"/>
      <c r="MHK240" s="19"/>
      <c r="MHN240" s="16"/>
      <c r="MHO240" s="15"/>
      <c r="MHP240" s="15"/>
      <c r="MHQ240" s="15"/>
      <c r="MHR240" s="16"/>
      <c r="MHS240" s="16"/>
      <c r="MHT240" s="16"/>
      <c r="MHU240" s="16"/>
      <c r="MHV240" s="16"/>
      <c r="MHW240" s="15"/>
      <c r="MHX240" s="15"/>
      <c r="MHY240" s="10"/>
      <c r="MHZ240" s="10"/>
      <c r="MIA240" s="19"/>
      <c r="MIB240" s="19"/>
      <c r="MIE240" s="16"/>
      <c r="MIF240" s="15"/>
      <c r="MIG240" s="15"/>
      <c r="MIH240" s="15"/>
      <c r="MII240" s="16"/>
      <c r="MIJ240" s="16"/>
      <c r="MIK240" s="16"/>
      <c r="MIL240" s="16"/>
      <c r="MIM240" s="16"/>
      <c r="MIN240" s="15"/>
      <c r="MIO240" s="15"/>
      <c r="MIP240" s="10"/>
      <c r="MIQ240" s="10"/>
      <c r="MIR240" s="19"/>
      <c r="MIS240" s="19"/>
      <c r="MIV240" s="16"/>
      <c r="MIW240" s="15"/>
      <c r="MIX240" s="15"/>
      <c r="MIY240" s="15"/>
      <c r="MIZ240" s="16"/>
      <c r="MJA240" s="16"/>
      <c r="MJB240" s="16"/>
      <c r="MJC240" s="16"/>
      <c r="MJD240" s="16"/>
      <c r="MJE240" s="15"/>
      <c r="MJF240" s="15"/>
      <c r="MJG240" s="10"/>
      <c r="MJH240" s="10"/>
      <c r="MJI240" s="19"/>
      <c r="MJJ240" s="19"/>
      <c r="MJM240" s="16"/>
      <c r="MJN240" s="15"/>
      <c r="MJO240" s="15"/>
      <c r="MJP240" s="15"/>
      <c r="MJQ240" s="16"/>
      <c r="MJR240" s="16"/>
      <c r="MJS240" s="16"/>
      <c r="MJT240" s="16"/>
      <c r="MJU240" s="16"/>
      <c r="MJV240" s="15"/>
      <c r="MJW240" s="15"/>
      <c r="MJX240" s="10"/>
      <c r="MJY240" s="10"/>
      <c r="MJZ240" s="19"/>
      <c r="MKA240" s="19"/>
      <c r="MKD240" s="16"/>
      <c r="MKE240" s="15"/>
      <c r="MKF240" s="15"/>
      <c r="MKG240" s="15"/>
      <c r="MKH240" s="16"/>
      <c r="MKI240" s="16"/>
      <c r="MKJ240" s="16"/>
      <c r="MKK240" s="16"/>
      <c r="MKL240" s="16"/>
      <c r="MKM240" s="15"/>
      <c r="MKN240" s="15"/>
      <c r="MKO240" s="10"/>
      <c r="MKP240" s="10"/>
      <c r="MKQ240" s="19"/>
      <c r="MKR240" s="19"/>
      <c r="MKU240" s="16"/>
      <c r="MKV240" s="15"/>
      <c r="MKW240" s="15"/>
      <c r="MKX240" s="15"/>
      <c r="MKY240" s="16"/>
      <c r="MKZ240" s="16"/>
      <c r="MLA240" s="16"/>
      <c r="MLB240" s="16"/>
      <c r="MLC240" s="16"/>
      <c r="MLD240" s="15"/>
      <c r="MLE240" s="15"/>
      <c r="MLF240" s="10"/>
      <c r="MLG240" s="10"/>
      <c r="MLH240" s="19"/>
      <c r="MLI240" s="19"/>
      <c r="MLL240" s="16"/>
      <c r="MLM240" s="15"/>
      <c r="MLN240" s="15"/>
      <c r="MLO240" s="15"/>
      <c r="MLP240" s="16"/>
      <c r="MLQ240" s="16"/>
      <c r="MLR240" s="16"/>
      <c r="MLS240" s="16"/>
      <c r="MLT240" s="16"/>
      <c r="MLU240" s="15"/>
      <c r="MLV240" s="15"/>
      <c r="MLW240" s="10"/>
      <c r="MLX240" s="10"/>
      <c r="MLY240" s="19"/>
      <c r="MLZ240" s="19"/>
      <c r="MMC240" s="16"/>
      <c r="MMD240" s="15"/>
      <c r="MME240" s="15"/>
      <c r="MMF240" s="15"/>
      <c r="MMG240" s="16"/>
      <c r="MMH240" s="16"/>
      <c r="MMI240" s="16"/>
      <c r="MMJ240" s="16"/>
      <c r="MMK240" s="16"/>
      <c r="MML240" s="15"/>
      <c r="MMM240" s="15"/>
      <c r="MMN240" s="10"/>
      <c r="MMO240" s="10"/>
      <c r="MMP240" s="19"/>
      <c r="MMQ240" s="19"/>
      <c r="MMT240" s="16"/>
      <c r="MMU240" s="15"/>
      <c r="MMV240" s="15"/>
      <c r="MMW240" s="15"/>
      <c r="MMX240" s="16"/>
      <c r="MMY240" s="16"/>
      <c r="MMZ240" s="16"/>
      <c r="MNA240" s="16"/>
      <c r="MNB240" s="16"/>
      <c r="MNC240" s="15"/>
      <c r="MND240" s="15"/>
      <c r="MNE240" s="10"/>
      <c r="MNF240" s="10"/>
      <c r="MNG240" s="19"/>
      <c r="MNH240" s="19"/>
      <c r="MNK240" s="16"/>
      <c r="MNL240" s="15"/>
      <c r="MNM240" s="15"/>
      <c r="MNN240" s="15"/>
      <c r="MNO240" s="16"/>
      <c r="MNP240" s="16"/>
      <c r="MNQ240" s="16"/>
      <c r="MNR240" s="16"/>
      <c r="MNS240" s="16"/>
      <c r="MNT240" s="15"/>
      <c r="MNU240" s="15"/>
      <c r="MNV240" s="10"/>
      <c r="MNW240" s="10"/>
      <c r="MNX240" s="19"/>
      <c r="MNY240" s="19"/>
      <c r="MOB240" s="16"/>
      <c r="MOC240" s="15"/>
      <c r="MOD240" s="15"/>
      <c r="MOE240" s="15"/>
      <c r="MOF240" s="16"/>
      <c r="MOG240" s="16"/>
      <c r="MOH240" s="16"/>
      <c r="MOI240" s="16"/>
      <c r="MOJ240" s="16"/>
      <c r="MOK240" s="15"/>
      <c r="MOL240" s="15"/>
      <c r="MOM240" s="10"/>
      <c r="MON240" s="10"/>
      <c r="MOO240" s="19"/>
      <c r="MOP240" s="19"/>
      <c r="MOS240" s="16"/>
      <c r="MOT240" s="15"/>
      <c r="MOU240" s="15"/>
      <c r="MOV240" s="15"/>
      <c r="MOW240" s="16"/>
      <c r="MOX240" s="16"/>
      <c r="MOY240" s="16"/>
      <c r="MOZ240" s="16"/>
      <c r="MPA240" s="16"/>
      <c r="MPB240" s="15"/>
      <c r="MPC240" s="15"/>
      <c r="MPD240" s="10"/>
      <c r="MPE240" s="10"/>
      <c r="MPF240" s="19"/>
      <c r="MPG240" s="19"/>
      <c r="MPJ240" s="16"/>
      <c r="MPK240" s="15"/>
      <c r="MPL240" s="15"/>
      <c r="MPM240" s="15"/>
      <c r="MPN240" s="16"/>
      <c r="MPO240" s="16"/>
      <c r="MPP240" s="16"/>
      <c r="MPQ240" s="16"/>
      <c r="MPR240" s="16"/>
      <c r="MPS240" s="15"/>
      <c r="MPT240" s="15"/>
      <c r="MPU240" s="10"/>
      <c r="MPV240" s="10"/>
      <c r="MPW240" s="19"/>
      <c r="MPX240" s="19"/>
      <c r="MQA240" s="16"/>
      <c r="MQB240" s="15"/>
      <c r="MQC240" s="15"/>
      <c r="MQD240" s="15"/>
      <c r="MQE240" s="16"/>
      <c r="MQF240" s="16"/>
      <c r="MQG240" s="16"/>
      <c r="MQH240" s="16"/>
      <c r="MQI240" s="16"/>
      <c r="MQJ240" s="15"/>
      <c r="MQK240" s="15"/>
      <c r="MQL240" s="10"/>
      <c r="MQM240" s="10"/>
      <c r="MQN240" s="19"/>
      <c r="MQO240" s="19"/>
      <c r="MQR240" s="16"/>
      <c r="MQS240" s="15"/>
      <c r="MQT240" s="15"/>
      <c r="MQU240" s="15"/>
      <c r="MQV240" s="16"/>
      <c r="MQW240" s="16"/>
      <c r="MQX240" s="16"/>
      <c r="MQY240" s="16"/>
      <c r="MQZ240" s="16"/>
      <c r="MRA240" s="15"/>
      <c r="MRB240" s="15"/>
      <c r="MRC240" s="10"/>
      <c r="MRD240" s="10"/>
      <c r="MRE240" s="19"/>
      <c r="MRF240" s="19"/>
      <c r="MRI240" s="16"/>
      <c r="MRJ240" s="15"/>
      <c r="MRK240" s="15"/>
      <c r="MRL240" s="15"/>
      <c r="MRM240" s="16"/>
      <c r="MRN240" s="16"/>
      <c r="MRO240" s="16"/>
      <c r="MRP240" s="16"/>
      <c r="MRQ240" s="16"/>
      <c r="MRR240" s="15"/>
      <c r="MRS240" s="15"/>
      <c r="MRT240" s="10"/>
      <c r="MRU240" s="10"/>
      <c r="MRV240" s="19"/>
      <c r="MRW240" s="19"/>
      <c r="MRZ240" s="16"/>
      <c r="MSA240" s="15"/>
      <c r="MSB240" s="15"/>
      <c r="MSC240" s="15"/>
      <c r="MSD240" s="16"/>
      <c r="MSE240" s="16"/>
      <c r="MSF240" s="16"/>
      <c r="MSG240" s="16"/>
      <c r="MSH240" s="16"/>
      <c r="MSI240" s="15"/>
      <c r="MSJ240" s="15"/>
      <c r="MSK240" s="10"/>
      <c r="MSL240" s="10"/>
      <c r="MSM240" s="19"/>
      <c r="MSN240" s="19"/>
      <c r="MSQ240" s="16"/>
      <c r="MSR240" s="15"/>
      <c r="MSS240" s="15"/>
      <c r="MST240" s="15"/>
      <c r="MSU240" s="16"/>
      <c r="MSV240" s="16"/>
      <c r="MSW240" s="16"/>
      <c r="MSX240" s="16"/>
      <c r="MSY240" s="16"/>
      <c r="MSZ240" s="15"/>
      <c r="MTA240" s="15"/>
      <c r="MTB240" s="10"/>
      <c r="MTC240" s="10"/>
      <c r="MTD240" s="19"/>
      <c r="MTE240" s="19"/>
      <c r="MTH240" s="16"/>
      <c r="MTI240" s="15"/>
      <c r="MTJ240" s="15"/>
      <c r="MTK240" s="15"/>
      <c r="MTL240" s="16"/>
      <c r="MTM240" s="16"/>
      <c r="MTN240" s="16"/>
      <c r="MTO240" s="16"/>
      <c r="MTP240" s="16"/>
      <c r="MTQ240" s="15"/>
      <c r="MTR240" s="15"/>
      <c r="MTS240" s="10"/>
      <c r="MTT240" s="10"/>
      <c r="MTU240" s="19"/>
      <c r="MTV240" s="19"/>
      <c r="MTY240" s="16"/>
      <c r="MTZ240" s="15"/>
      <c r="MUA240" s="15"/>
      <c r="MUB240" s="15"/>
      <c r="MUC240" s="16"/>
      <c r="MUD240" s="16"/>
      <c r="MUE240" s="16"/>
      <c r="MUF240" s="16"/>
      <c r="MUG240" s="16"/>
      <c r="MUH240" s="15"/>
      <c r="MUI240" s="15"/>
      <c r="MUJ240" s="10"/>
      <c r="MUK240" s="10"/>
      <c r="MUL240" s="19"/>
      <c r="MUM240" s="19"/>
      <c r="MUP240" s="16"/>
      <c r="MUQ240" s="15"/>
      <c r="MUR240" s="15"/>
      <c r="MUS240" s="15"/>
      <c r="MUT240" s="16"/>
      <c r="MUU240" s="16"/>
      <c r="MUV240" s="16"/>
      <c r="MUW240" s="16"/>
      <c r="MUX240" s="16"/>
      <c r="MUY240" s="15"/>
      <c r="MUZ240" s="15"/>
      <c r="MVA240" s="10"/>
      <c r="MVB240" s="10"/>
      <c r="MVC240" s="19"/>
      <c r="MVD240" s="19"/>
      <c r="MVG240" s="16"/>
      <c r="MVH240" s="15"/>
      <c r="MVI240" s="15"/>
      <c r="MVJ240" s="15"/>
      <c r="MVK240" s="16"/>
      <c r="MVL240" s="16"/>
      <c r="MVM240" s="16"/>
      <c r="MVN240" s="16"/>
      <c r="MVO240" s="16"/>
      <c r="MVP240" s="15"/>
      <c r="MVQ240" s="15"/>
      <c r="MVR240" s="10"/>
      <c r="MVS240" s="10"/>
      <c r="MVT240" s="19"/>
      <c r="MVU240" s="19"/>
      <c r="MVX240" s="16"/>
      <c r="MVY240" s="15"/>
      <c r="MVZ240" s="15"/>
      <c r="MWA240" s="15"/>
      <c r="MWB240" s="16"/>
      <c r="MWC240" s="16"/>
      <c r="MWD240" s="16"/>
      <c r="MWE240" s="16"/>
      <c r="MWF240" s="16"/>
      <c r="MWG240" s="15"/>
      <c r="MWH240" s="15"/>
      <c r="MWI240" s="10"/>
      <c r="MWJ240" s="10"/>
      <c r="MWK240" s="19"/>
      <c r="MWL240" s="19"/>
      <c r="MWO240" s="16"/>
      <c r="MWP240" s="15"/>
      <c r="MWQ240" s="15"/>
      <c r="MWR240" s="15"/>
      <c r="MWS240" s="16"/>
      <c r="MWT240" s="16"/>
      <c r="MWU240" s="16"/>
      <c r="MWV240" s="16"/>
      <c r="MWW240" s="16"/>
      <c r="MWX240" s="15"/>
      <c r="MWY240" s="15"/>
      <c r="MWZ240" s="10"/>
      <c r="MXA240" s="10"/>
      <c r="MXB240" s="19"/>
      <c r="MXC240" s="19"/>
      <c r="MXF240" s="16"/>
      <c r="MXG240" s="15"/>
      <c r="MXH240" s="15"/>
      <c r="MXI240" s="15"/>
      <c r="MXJ240" s="16"/>
      <c r="MXK240" s="16"/>
      <c r="MXL240" s="16"/>
      <c r="MXM240" s="16"/>
      <c r="MXN240" s="16"/>
      <c r="MXO240" s="15"/>
      <c r="MXP240" s="15"/>
      <c r="MXQ240" s="10"/>
      <c r="MXR240" s="10"/>
      <c r="MXS240" s="19"/>
      <c r="MXT240" s="19"/>
      <c r="MXW240" s="16"/>
      <c r="MXX240" s="15"/>
      <c r="MXY240" s="15"/>
      <c r="MXZ240" s="15"/>
      <c r="MYA240" s="16"/>
      <c r="MYB240" s="16"/>
      <c r="MYC240" s="16"/>
      <c r="MYD240" s="16"/>
      <c r="MYE240" s="16"/>
      <c r="MYF240" s="15"/>
      <c r="MYG240" s="15"/>
      <c r="MYH240" s="10"/>
      <c r="MYI240" s="10"/>
      <c r="MYJ240" s="19"/>
      <c r="MYK240" s="19"/>
      <c r="MYN240" s="16"/>
      <c r="MYO240" s="15"/>
      <c r="MYP240" s="15"/>
      <c r="MYQ240" s="15"/>
      <c r="MYR240" s="16"/>
      <c r="MYS240" s="16"/>
      <c r="MYT240" s="16"/>
      <c r="MYU240" s="16"/>
      <c r="MYV240" s="16"/>
      <c r="MYW240" s="15"/>
      <c r="MYX240" s="15"/>
      <c r="MYY240" s="10"/>
      <c r="MYZ240" s="10"/>
      <c r="MZA240" s="19"/>
      <c r="MZB240" s="19"/>
      <c r="MZE240" s="16"/>
      <c r="MZF240" s="15"/>
      <c r="MZG240" s="15"/>
      <c r="MZH240" s="15"/>
      <c r="MZI240" s="16"/>
      <c r="MZJ240" s="16"/>
      <c r="MZK240" s="16"/>
      <c r="MZL240" s="16"/>
      <c r="MZM240" s="16"/>
      <c r="MZN240" s="15"/>
      <c r="MZO240" s="15"/>
      <c r="MZP240" s="10"/>
      <c r="MZQ240" s="10"/>
      <c r="MZR240" s="19"/>
      <c r="MZS240" s="19"/>
      <c r="MZV240" s="16"/>
      <c r="MZW240" s="15"/>
      <c r="MZX240" s="15"/>
      <c r="MZY240" s="15"/>
      <c r="MZZ240" s="16"/>
      <c r="NAA240" s="16"/>
      <c r="NAB240" s="16"/>
      <c r="NAC240" s="16"/>
      <c r="NAD240" s="16"/>
      <c r="NAE240" s="15"/>
      <c r="NAF240" s="15"/>
      <c r="NAG240" s="10"/>
      <c r="NAH240" s="10"/>
      <c r="NAI240" s="19"/>
      <c r="NAJ240" s="19"/>
      <c r="NAM240" s="16"/>
      <c r="NAN240" s="15"/>
      <c r="NAO240" s="15"/>
      <c r="NAP240" s="15"/>
      <c r="NAQ240" s="16"/>
      <c r="NAR240" s="16"/>
      <c r="NAS240" s="16"/>
      <c r="NAT240" s="16"/>
      <c r="NAU240" s="16"/>
      <c r="NAV240" s="15"/>
      <c r="NAW240" s="15"/>
      <c r="NAX240" s="10"/>
      <c r="NAY240" s="10"/>
      <c r="NAZ240" s="19"/>
      <c r="NBA240" s="19"/>
      <c r="NBD240" s="16"/>
      <c r="NBE240" s="15"/>
      <c r="NBF240" s="15"/>
      <c r="NBG240" s="15"/>
      <c r="NBH240" s="16"/>
      <c r="NBI240" s="16"/>
      <c r="NBJ240" s="16"/>
      <c r="NBK240" s="16"/>
      <c r="NBL240" s="16"/>
      <c r="NBM240" s="15"/>
      <c r="NBN240" s="15"/>
      <c r="NBO240" s="10"/>
      <c r="NBP240" s="10"/>
      <c r="NBQ240" s="19"/>
      <c r="NBR240" s="19"/>
      <c r="NBU240" s="16"/>
      <c r="NBV240" s="15"/>
      <c r="NBW240" s="15"/>
      <c r="NBX240" s="15"/>
      <c r="NBY240" s="16"/>
      <c r="NBZ240" s="16"/>
      <c r="NCA240" s="16"/>
      <c r="NCB240" s="16"/>
      <c r="NCC240" s="16"/>
      <c r="NCD240" s="15"/>
      <c r="NCE240" s="15"/>
      <c r="NCF240" s="10"/>
      <c r="NCG240" s="10"/>
      <c r="NCH240" s="19"/>
      <c r="NCI240" s="19"/>
      <c r="NCL240" s="16"/>
      <c r="NCM240" s="15"/>
      <c r="NCN240" s="15"/>
      <c r="NCO240" s="15"/>
      <c r="NCP240" s="16"/>
      <c r="NCQ240" s="16"/>
      <c r="NCR240" s="16"/>
      <c r="NCS240" s="16"/>
      <c r="NCT240" s="16"/>
      <c r="NCU240" s="15"/>
      <c r="NCV240" s="15"/>
      <c r="NCW240" s="10"/>
      <c r="NCX240" s="10"/>
      <c r="NCY240" s="19"/>
      <c r="NCZ240" s="19"/>
      <c r="NDC240" s="16"/>
      <c r="NDD240" s="15"/>
      <c r="NDE240" s="15"/>
      <c r="NDF240" s="15"/>
      <c r="NDG240" s="16"/>
      <c r="NDH240" s="16"/>
      <c r="NDI240" s="16"/>
      <c r="NDJ240" s="16"/>
      <c r="NDK240" s="16"/>
      <c r="NDL240" s="15"/>
      <c r="NDM240" s="15"/>
      <c r="NDN240" s="10"/>
      <c r="NDO240" s="10"/>
      <c r="NDP240" s="19"/>
      <c r="NDQ240" s="19"/>
      <c r="NDT240" s="16"/>
      <c r="NDU240" s="15"/>
      <c r="NDV240" s="15"/>
      <c r="NDW240" s="15"/>
      <c r="NDX240" s="16"/>
      <c r="NDY240" s="16"/>
      <c r="NDZ240" s="16"/>
      <c r="NEA240" s="16"/>
      <c r="NEB240" s="16"/>
      <c r="NEC240" s="15"/>
      <c r="NED240" s="15"/>
      <c r="NEE240" s="10"/>
      <c r="NEF240" s="10"/>
      <c r="NEG240" s="19"/>
      <c r="NEH240" s="19"/>
      <c r="NEK240" s="16"/>
      <c r="NEL240" s="15"/>
      <c r="NEM240" s="15"/>
      <c r="NEN240" s="15"/>
      <c r="NEO240" s="16"/>
      <c r="NEP240" s="16"/>
      <c r="NEQ240" s="16"/>
      <c r="NER240" s="16"/>
      <c r="NES240" s="16"/>
      <c r="NET240" s="15"/>
      <c r="NEU240" s="15"/>
      <c r="NEV240" s="10"/>
      <c r="NEW240" s="10"/>
      <c r="NEX240" s="19"/>
      <c r="NEY240" s="19"/>
      <c r="NFB240" s="16"/>
      <c r="NFC240" s="15"/>
      <c r="NFD240" s="15"/>
      <c r="NFE240" s="15"/>
      <c r="NFF240" s="16"/>
      <c r="NFG240" s="16"/>
      <c r="NFH240" s="16"/>
      <c r="NFI240" s="16"/>
      <c r="NFJ240" s="16"/>
      <c r="NFK240" s="15"/>
      <c r="NFL240" s="15"/>
      <c r="NFM240" s="10"/>
      <c r="NFN240" s="10"/>
      <c r="NFO240" s="19"/>
      <c r="NFP240" s="19"/>
      <c r="NFS240" s="16"/>
      <c r="NFT240" s="15"/>
      <c r="NFU240" s="15"/>
      <c r="NFV240" s="15"/>
      <c r="NFW240" s="16"/>
      <c r="NFX240" s="16"/>
      <c r="NFY240" s="16"/>
      <c r="NFZ240" s="16"/>
      <c r="NGA240" s="16"/>
      <c r="NGB240" s="15"/>
      <c r="NGC240" s="15"/>
      <c r="NGD240" s="10"/>
      <c r="NGE240" s="10"/>
      <c r="NGF240" s="19"/>
      <c r="NGG240" s="19"/>
      <c r="NGJ240" s="16"/>
      <c r="NGK240" s="15"/>
      <c r="NGL240" s="15"/>
      <c r="NGM240" s="15"/>
      <c r="NGN240" s="16"/>
      <c r="NGO240" s="16"/>
      <c r="NGP240" s="16"/>
      <c r="NGQ240" s="16"/>
      <c r="NGR240" s="16"/>
      <c r="NGS240" s="15"/>
      <c r="NGT240" s="15"/>
      <c r="NGU240" s="10"/>
      <c r="NGV240" s="10"/>
      <c r="NGW240" s="19"/>
      <c r="NGX240" s="19"/>
      <c r="NHA240" s="16"/>
      <c r="NHB240" s="15"/>
      <c r="NHC240" s="15"/>
      <c r="NHD240" s="15"/>
      <c r="NHE240" s="16"/>
      <c r="NHF240" s="16"/>
      <c r="NHG240" s="16"/>
      <c r="NHH240" s="16"/>
      <c r="NHI240" s="16"/>
      <c r="NHJ240" s="15"/>
      <c r="NHK240" s="15"/>
      <c r="NHL240" s="10"/>
      <c r="NHM240" s="10"/>
      <c r="NHN240" s="19"/>
      <c r="NHO240" s="19"/>
      <c r="NHR240" s="16"/>
      <c r="NHS240" s="15"/>
      <c r="NHT240" s="15"/>
      <c r="NHU240" s="15"/>
      <c r="NHV240" s="16"/>
      <c r="NHW240" s="16"/>
      <c r="NHX240" s="16"/>
      <c r="NHY240" s="16"/>
      <c r="NHZ240" s="16"/>
      <c r="NIA240" s="15"/>
      <c r="NIB240" s="15"/>
      <c r="NIC240" s="10"/>
      <c r="NID240" s="10"/>
      <c r="NIE240" s="19"/>
      <c r="NIF240" s="19"/>
      <c r="NII240" s="16"/>
      <c r="NIJ240" s="15"/>
      <c r="NIK240" s="15"/>
      <c r="NIL240" s="15"/>
      <c r="NIM240" s="16"/>
      <c r="NIN240" s="16"/>
      <c r="NIO240" s="16"/>
      <c r="NIP240" s="16"/>
      <c r="NIQ240" s="16"/>
      <c r="NIR240" s="15"/>
      <c r="NIS240" s="15"/>
      <c r="NIT240" s="10"/>
      <c r="NIU240" s="10"/>
      <c r="NIV240" s="19"/>
      <c r="NIW240" s="19"/>
      <c r="NIZ240" s="16"/>
      <c r="NJA240" s="15"/>
      <c r="NJB240" s="15"/>
      <c r="NJC240" s="15"/>
      <c r="NJD240" s="16"/>
      <c r="NJE240" s="16"/>
      <c r="NJF240" s="16"/>
      <c r="NJG240" s="16"/>
      <c r="NJH240" s="16"/>
      <c r="NJI240" s="15"/>
      <c r="NJJ240" s="15"/>
      <c r="NJK240" s="10"/>
      <c r="NJL240" s="10"/>
      <c r="NJM240" s="19"/>
      <c r="NJN240" s="19"/>
      <c r="NJQ240" s="16"/>
      <c r="NJR240" s="15"/>
      <c r="NJS240" s="15"/>
      <c r="NJT240" s="15"/>
      <c r="NJU240" s="16"/>
      <c r="NJV240" s="16"/>
      <c r="NJW240" s="16"/>
      <c r="NJX240" s="16"/>
      <c r="NJY240" s="16"/>
      <c r="NJZ240" s="15"/>
      <c r="NKA240" s="15"/>
      <c r="NKB240" s="10"/>
      <c r="NKC240" s="10"/>
      <c r="NKD240" s="19"/>
      <c r="NKE240" s="19"/>
      <c r="NKH240" s="16"/>
      <c r="NKI240" s="15"/>
      <c r="NKJ240" s="15"/>
      <c r="NKK240" s="15"/>
      <c r="NKL240" s="16"/>
      <c r="NKM240" s="16"/>
      <c r="NKN240" s="16"/>
      <c r="NKO240" s="16"/>
      <c r="NKP240" s="16"/>
      <c r="NKQ240" s="15"/>
      <c r="NKR240" s="15"/>
      <c r="NKS240" s="10"/>
      <c r="NKT240" s="10"/>
      <c r="NKU240" s="19"/>
      <c r="NKV240" s="19"/>
      <c r="NKY240" s="16"/>
      <c r="NKZ240" s="15"/>
      <c r="NLA240" s="15"/>
      <c r="NLB240" s="15"/>
      <c r="NLC240" s="16"/>
      <c r="NLD240" s="16"/>
      <c r="NLE240" s="16"/>
      <c r="NLF240" s="16"/>
      <c r="NLG240" s="16"/>
      <c r="NLH240" s="15"/>
      <c r="NLI240" s="15"/>
      <c r="NLJ240" s="10"/>
      <c r="NLK240" s="10"/>
      <c r="NLL240" s="19"/>
      <c r="NLM240" s="19"/>
      <c r="NLP240" s="16"/>
      <c r="NLQ240" s="15"/>
      <c r="NLR240" s="15"/>
      <c r="NLS240" s="15"/>
      <c r="NLT240" s="16"/>
      <c r="NLU240" s="16"/>
      <c r="NLV240" s="16"/>
      <c r="NLW240" s="16"/>
      <c r="NLX240" s="16"/>
      <c r="NLY240" s="15"/>
      <c r="NLZ240" s="15"/>
      <c r="NMA240" s="10"/>
      <c r="NMB240" s="10"/>
      <c r="NMC240" s="19"/>
      <c r="NMD240" s="19"/>
      <c r="NMG240" s="16"/>
      <c r="NMH240" s="15"/>
      <c r="NMI240" s="15"/>
      <c r="NMJ240" s="15"/>
      <c r="NMK240" s="16"/>
      <c r="NML240" s="16"/>
      <c r="NMM240" s="16"/>
      <c r="NMN240" s="16"/>
      <c r="NMO240" s="16"/>
      <c r="NMP240" s="15"/>
      <c r="NMQ240" s="15"/>
      <c r="NMR240" s="10"/>
      <c r="NMS240" s="10"/>
      <c r="NMT240" s="19"/>
      <c r="NMU240" s="19"/>
      <c r="NMX240" s="16"/>
      <c r="NMY240" s="15"/>
      <c r="NMZ240" s="15"/>
      <c r="NNA240" s="15"/>
      <c r="NNB240" s="16"/>
      <c r="NNC240" s="16"/>
      <c r="NND240" s="16"/>
      <c r="NNE240" s="16"/>
      <c r="NNF240" s="16"/>
      <c r="NNG240" s="15"/>
      <c r="NNH240" s="15"/>
      <c r="NNI240" s="10"/>
      <c r="NNJ240" s="10"/>
      <c r="NNK240" s="19"/>
      <c r="NNL240" s="19"/>
      <c r="NNO240" s="16"/>
      <c r="NNP240" s="15"/>
      <c r="NNQ240" s="15"/>
      <c r="NNR240" s="15"/>
      <c r="NNS240" s="16"/>
      <c r="NNT240" s="16"/>
      <c r="NNU240" s="16"/>
      <c r="NNV240" s="16"/>
      <c r="NNW240" s="16"/>
      <c r="NNX240" s="15"/>
      <c r="NNY240" s="15"/>
      <c r="NNZ240" s="10"/>
      <c r="NOA240" s="10"/>
      <c r="NOB240" s="19"/>
      <c r="NOC240" s="19"/>
      <c r="NOF240" s="16"/>
      <c r="NOG240" s="15"/>
      <c r="NOH240" s="15"/>
      <c r="NOI240" s="15"/>
      <c r="NOJ240" s="16"/>
      <c r="NOK240" s="16"/>
      <c r="NOL240" s="16"/>
      <c r="NOM240" s="16"/>
      <c r="NON240" s="16"/>
      <c r="NOO240" s="15"/>
      <c r="NOP240" s="15"/>
      <c r="NOQ240" s="10"/>
      <c r="NOR240" s="10"/>
      <c r="NOS240" s="19"/>
      <c r="NOT240" s="19"/>
      <c r="NOW240" s="16"/>
      <c r="NOX240" s="15"/>
      <c r="NOY240" s="15"/>
      <c r="NOZ240" s="15"/>
      <c r="NPA240" s="16"/>
      <c r="NPB240" s="16"/>
      <c r="NPC240" s="16"/>
      <c r="NPD240" s="16"/>
      <c r="NPE240" s="16"/>
      <c r="NPF240" s="15"/>
      <c r="NPG240" s="15"/>
      <c r="NPH240" s="10"/>
      <c r="NPI240" s="10"/>
      <c r="NPJ240" s="19"/>
      <c r="NPK240" s="19"/>
      <c r="NPN240" s="16"/>
      <c r="NPO240" s="15"/>
      <c r="NPP240" s="15"/>
      <c r="NPQ240" s="15"/>
      <c r="NPR240" s="16"/>
      <c r="NPS240" s="16"/>
      <c r="NPT240" s="16"/>
      <c r="NPU240" s="16"/>
      <c r="NPV240" s="16"/>
      <c r="NPW240" s="15"/>
      <c r="NPX240" s="15"/>
      <c r="NPY240" s="10"/>
      <c r="NPZ240" s="10"/>
      <c r="NQA240" s="19"/>
      <c r="NQB240" s="19"/>
      <c r="NQE240" s="16"/>
      <c r="NQF240" s="15"/>
      <c r="NQG240" s="15"/>
      <c r="NQH240" s="15"/>
      <c r="NQI240" s="16"/>
      <c r="NQJ240" s="16"/>
      <c r="NQK240" s="16"/>
      <c r="NQL240" s="16"/>
      <c r="NQM240" s="16"/>
      <c r="NQN240" s="15"/>
      <c r="NQO240" s="15"/>
      <c r="NQP240" s="10"/>
      <c r="NQQ240" s="10"/>
      <c r="NQR240" s="19"/>
      <c r="NQS240" s="19"/>
      <c r="NQV240" s="16"/>
      <c r="NQW240" s="15"/>
      <c r="NQX240" s="15"/>
      <c r="NQY240" s="15"/>
      <c r="NQZ240" s="16"/>
      <c r="NRA240" s="16"/>
      <c r="NRB240" s="16"/>
      <c r="NRC240" s="16"/>
      <c r="NRD240" s="16"/>
      <c r="NRE240" s="15"/>
      <c r="NRF240" s="15"/>
      <c r="NRG240" s="10"/>
      <c r="NRH240" s="10"/>
      <c r="NRI240" s="19"/>
      <c r="NRJ240" s="19"/>
      <c r="NRM240" s="16"/>
      <c r="NRN240" s="15"/>
      <c r="NRO240" s="15"/>
      <c r="NRP240" s="15"/>
      <c r="NRQ240" s="16"/>
      <c r="NRR240" s="16"/>
      <c r="NRS240" s="16"/>
      <c r="NRT240" s="16"/>
      <c r="NRU240" s="16"/>
      <c r="NRV240" s="15"/>
      <c r="NRW240" s="15"/>
      <c r="NRX240" s="10"/>
      <c r="NRY240" s="10"/>
      <c r="NRZ240" s="19"/>
      <c r="NSA240" s="19"/>
      <c r="NSD240" s="16"/>
      <c r="NSE240" s="15"/>
      <c r="NSF240" s="15"/>
      <c r="NSG240" s="15"/>
      <c r="NSH240" s="16"/>
      <c r="NSI240" s="16"/>
      <c r="NSJ240" s="16"/>
      <c r="NSK240" s="16"/>
      <c r="NSL240" s="16"/>
      <c r="NSM240" s="15"/>
      <c r="NSN240" s="15"/>
      <c r="NSO240" s="10"/>
      <c r="NSP240" s="10"/>
      <c r="NSQ240" s="19"/>
      <c r="NSR240" s="19"/>
      <c r="NSU240" s="16"/>
      <c r="NSV240" s="15"/>
      <c r="NSW240" s="15"/>
      <c r="NSX240" s="15"/>
      <c r="NSY240" s="16"/>
      <c r="NSZ240" s="16"/>
      <c r="NTA240" s="16"/>
      <c r="NTB240" s="16"/>
      <c r="NTC240" s="16"/>
      <c r="NTD240" s="15"/>
      <c r="NTE240" s="15"/>
      <c r="NTF240" s="10"/>
      <c r="NTG240" s="10"/>
      <c r="NTH240" s="19"/>
      <c r="NTI240" s="19"/>
      <c r="NTL240" s="16"/>
      <c r="NTM240" s="15"/>
      <c r="NTN240" s="15"/>
      <c r="NTO240" s="15"/>
      <c r="NTP240" s="16"/>
      <c r="NTQ240" s="16"/>
      <c r="NTR240" s="16"/>
      <c r="NTS240" s="16"/>
      <c r="NTT240" s="16"/>
      <c r="NTU240" s="15"/>
      <c r="NTV240" s="15"/>
      <c r="NTW240" s="10"/>
      <c r="NTX240" s="10"/>
      <c r="NTY240" s="19"/>
      <c r="NTZ240" s="19"/>
      <c r="NUC240" s="16"/>
      <c r="NUD240" s="15"/>
      <c r="NUE240" s="15"/>
      <c r="NUF240" s="15"/>
      <c r="NUG240" s="16"/>
      <c r="NUH240" s="16"/>
      <c r="NUI240" s="16"/>
      <c r="NUJ240" s="16"/>
      <c r="NUK240" s="16"/>
      <c r="NUL240" s="15"/>
      <c r="NUM240" s="15"/>
      <c r="NUN240" s="10"/>
      <c r="NUO240" s="10"/>
      <c r="NUP240" s="19"/>
      <c r="NUQ240" s="19"/>
      <c r="NUT240" s="16"/>
      <c r="NUU240" s="15"/>
      <c r="NUV240" s="15"/>
      <c r="NUW240" s="15"/>
      <c r="NUX240" s="16"/>
      <c r="NUY240" s="16"/>
      <c r="NUZ240" s="16"/>
      <c r="NVA240" s="16"/>
      <c r="NVB240" s="16"/>
      <c r="NVC240" s="15"/>
      <c r="NVD240" s="15"/>
      <c r="NVE240" s="10"/>
      <c r="NVF240" s="10"/>
      <c r="NVG240" s="19"/>
      <c r="NVH240" s="19"/>
      <c r="NVK240" s="16"/>
      <c r="NVL240" s="15"/>
      <c r="NVM240" s="15"/>
      <c r="NVN240" s="15"/>
      <c r="NVO240" s="16"/>
      <c r="NVP240" s="16"/>
      <c r="NVQ240" s="16"/>
      <c r="NVR240" s="16"/>
      <c r="NVS240" s="16"/>
      <c r="NVT240" s="15"/>
      <c r="NVU240" s="15"/>
      <c r="NVV240" s="10"/>
      <c r="NVW240" s="10"/>
      <c r="NVX240" s="19"/>
      <c r="NVY240" s="19"/>
      <c r="NWB240" s="16"/>
      <c r="NWC240" s="15"/>
      <c r="NWD240" s="15"/>
      <c r="NWE240" s="15"/>
      <c r="NWF240" s="16"/>
      <c r="NWG240" s="16"/>
      <c r="NWH240" s="16"/>
      <c r="NWI240" s="16"/>
      <c r="NWJ240" s="16"/>
      <c r="NWK240" s="15"/>
      <c r="NWL240" s="15"/>
      <c r="NWM240" s="10"/>
      <c r="NWN240" s="10"/>
      <c r="NWO240" s="19"/>
      <c r="NWP240" s="19"/>
      <c r="NWS240" s="16"/>
      <c r="NWT240" s="15"/>
      <c r="NWU240" s="15"/>
      <c r="NWV240" s="15"/>
      <c r="NWW240" s="16"/>
      <c r="NWX240" s="16"/>
      <c r="NWY240" s="16"/>
      <c r="NWZ240" s="16"/>
      <c r="NXA240" s="16"/>
      <c r="NXB240" s="15"/>
      <c r="NXC240" s="15"/>
      <c r="NXD240" s="10"/>
      <c r="NXE240" s="10"/>
      <c r="NXF240" s="19"/>
      <c r="NXG240" s="19"/>
      <c r="NXJ240" s="16"/>
      <c r="NXK240" s="15"/>
      <c r="NXL240" s="15"/>
      <c r="NXM240" s="15"/>
      <c r="NXN240" s="16"/>
      <c r="NXO240" s="16"/>
      <c r="NXP240" s="16"/>
      <c r="NXQ240" s="16"/>
      <c r="NXR240" s="16"/>
      <c r="NXS240" s="15"/>
      <c r="NXT240" s="15"/>
      <c r="NXU240" s="10"/>
      <c r="NXV240" s="10"/>
      <c r="NXW240" s="19"/>
      <c r="NXX240" s="19"/>
      <c r="NYA240" s="16"/>
      <c r="NYB240" s="15"/>
      <c r="NYC240" s="15"/>
      <c r="NYD240" s="15"/>
      <c r="NYE240" s="16"/>
      <c r="NYF240" s="16"/>
      <c r="NYG240" s="16"/>
      <c r="NYH240" s="16"/>
      <c r="NYI240" s="16"/>
      <c r="NYJ240" s="15"/>
      <c r="NYK240" s="15"/>
      <c r="NYL240" s="10"/>
      <c r="NYM240" s="10"/>
      <c r="NYN240" s="19"/>
      <c r="NYO240" s="19"/>
      <c r="NYR240" s="16"/>
      <c r="NYS240" s="15"/>
      <c r="NYT240" s="15"/>
      <c r="NYU240" s="15"/>
      <c r="NYV240" s="16"/>
      <c r="NYW240" s="16"/>
      <c r="NYX240" s="16"/>
      <c r="NYY240" s="16"/>
      <c r="NYZ240" s="16"/>
      <c r="NZA240" s="15"/>
      <c r="NZB240" s="15"/>
      <c r="NZC240" s="10"/>
      <c r="NZD240" s="10"/>
      <c r="NZE240" s="19"/>
      <c r="NZF240" s="19"/>
      <c r="NZI240" s="16"/>
      <c r="NZJ240" s="15"/>
      <c r="NZK240" s="15"/>
      <c r="NZL240" s="15"/>
      <c r="NZM240" s="16"/>
      <c r="NZN240" s="16"/>
      <c r="NZO240" s="16"/>
      <c r="NZP240" s="16"/>
      <c r="NZQ240" s="16"/>
      <c r="NZR240" s="15"/>
      <c r="NZS240" s="15"/>
      <c r="NZT240" s="10"/>
      <c r="NZU240" s="10"/>
      <c r="NZV240" s="19"/>
      <c r="NZW240" s="19"/>
      <c r="NZZ240" s="16"/>
      <c r="OAA240" s="15"/>
      <c r="OAB240" s="15"/>
      <c r="OAC240" s="15"/>
      <c r="OAD240" s="16"/>
      <c r="OAE240" s="16"/>
      <c r="OAF240" s="16"/>
      <c r="OAG240" s="16"/>
      <c r="OAH240" s="16"/>
      <c r="OAI240" s="15"/>
      <c r="OAJ240" s="15"/>
      <c r="OAK240" s="10"/>
      <c r="OAL240" s="10"/>
      <c r="OAM240" s="19"/>
      <c r="OAN240" s="19"/>
      <c r="OAQ240" s="16"/>
      <c r="OAR240" s="15"/>
      <c r="OAS240" s="15"/>
      <c r="OAT240" s="15"/>
      <c r="OAU240" s="16"/>
      <c r="OAV240" s="16"/>
      <c r="OAW240" s="16"/>
      <c r="OAX240" s="16"/>
      <c r="OAY240" s="16"/>
      <c r="OAZ240" s="15"/>
      <c r="OBA240" s="15"/>
      <c r="OBB240" s="10"/>
      <c r="OBC240" s="10"/>
      <c r="OBD240" s="19"/>
      <c r="OBE240" s="19"/>
      <c r="OBH240" s="16"/>
      <c r="OBI240" s="15"/>
      <c r="OBJ240" s="15"/>
      <c r="OBK240" s="15"/>
      <c r="OBL240" s="16"/>
      <c r="OBM240" s="16"/>
      <c r="OBN240" s="16"/>
      <c r="OBO240" s="16"/>
      <c r="OBP240" s="16"/>
      <c r="OBQ240" s="15"/>
      <c r="OBR240" s="15"/>
      <c r="OBS240" s="10"/>
      <c r="OBT240" s="10"/>
      <c r="OBU240" s="19"/>
      <c r="OBV240" s="19"/>
      <c r="OBY240" s="16"/>
      <c r="OBZ240" s="15"/>
      <c r="OCA240" s="15"/>
      <c r="OCB240" s="15"/>
      <c r="OCC240" s="16"/>
      <c r="OCD240" s="16"/>
      <c r="OCE240" s="16"/>
      <c r="OCF240" s="16"/>
      <c r="OCG240" s="16"/>
      <c r="OCH240" s="15"/>
      <c r="OCI240" s="15"/>
      <c r="OCJ240" s="10"/>
      <c r="OCK240" s="10"/>
      <c r="OCL240" s="19"/>
      <c r="OCM240" s="19"/>
      <c r="OCP240" s="16"/>
      <c r="OCQ240" s="15"/>
      <c r="OCR240" s="15"/>
      <c r="OCS240" s="15"/>
      <c r="OCT240" s="16"/>
      <c r="OCU240" s="16"/>
      <c r="OCV240" s="16"/>
      <c r="OCW240" s="16"/>
      <c r="OCX240" s="16"/>
      <c r="OCY240" s="15"/>
      <c r="OCZ240" s="15"/>
      <c r="ODA240" s="10"/>
      <c r="ODB240" s="10"/>
      <c r="ODC240" s="19"/>
      <c r="ODD240" s="19"/>
      <c r="ODG240" s="16"/>
      <c r="ODH240" s="15"/>
      <c r="ODI240" s="15"/>
      <c r="ODJ240" s="15"/>
      <c r="ODK240" s="16"/>
      <c r="ODL240" s="16"/>
      <c r="ODM240" s="16"/>
      <c r="ODN240" s="16"/>
      <c r="ODO240" s="16"/>
      <c r="ODP240" s="15"/>
      <c r="ODQ240" s="15"/>
      <c r="ODR240" s="10"/>
      <c r="ODS240" s="10"/>
      <c r="ODT240" s="19"/>
      <c r="ODU240" s="19"/>
      <c r="ODX240" s="16"/>
      <c r="ODY240" s="15"/>
      <c r="ODZ240" s="15"/>
      <c r="OEA240" s="15"/>
      <c r="OEB240" s="16"/>
      <c r="OEC240" s="16"/>
      <c r="OED240" s="16"/>
      <c r="OEE240" s="16"/>
      <c r="OEF240" s="16"/>
      <c r="OEG240" s="15"/>
      <c r="OEH240" s="15"/>
      <c r="OEI240" s="10"/>
      <c r="OEJ240" s="10"/>
      <c r="OEK240" s="19"/>
      <c r="OEL240" s="19"/>
      <c r="OEO240" s="16"/>
      <c r="OEP240" s="15"/>
      <c r="OEQ240" s="15"/>
      <c r="OER240" s="15"/>
      <c r="OES240" s="16"/>
      <c r="OET240" s="16"/>
      <c r="OEU240" s="16"/>
      <c r="OEV240" s="16"/>
      <c r="OEW240" s="16"/>
      <c r="OEX240" s="15"/>
      <c r="OEY240" s="15"/>
      <c r="OEZ240" s="10"/>
      <c r="OFA240" s="10"/>
      <c r="OFB240" s="19"/>
      <c r="OFC240" s="19"/>
      <c r="OFF240" s="16"/>
      <c r="OFG240" s="15"/>
      <c r="OFH240" s="15"/>
      <c r="OFI240" s="15"/>
      <c r="OFJ240" s="16"/>
      <c r="OFK240" s="16"/>
      <c r="OFL240" s="16"/>
      <c r="OFM240" s="16"/>
      <c r="OFN240" s="16"/>
      <c r="OFO240" s="15"/>
      <c r="OFP240" s="15"/>
      <c r="OFQ240" s="10"/>
      <c r="OFR240" s="10"/>
      <c r="OFS240" s="19"/>
      <c r="OFT240" s="19"/>
      <c r="OFW240" s="16"/>
      <c r="OFX240" s="15"/>
      <c r="OFY240" s="15"/>
      <c r="OFZ240" s="15"/>
      <c r="OGA240" s="16"/>
      <c r="OGB240" s="16"/>
      <c r="OGC240" s="16"/>
      <c r="OGD240" s="16"/>
      <c r="OGE240" s="16"/>
      <c r="OGF240" s="15"/>
      <c r="OGG240" s="15"/>
      <c r="OGH240" s="10"/>
      <c r="OGI240" s="10"/>
      <c r="OGJ240" s="19"/>
      <c r="OGK240" s="19"/>
      <c r="OGN240" s="16"/>
      <c r="OGO240" s="15"/>
      <c r="OGP240" s="15"/>
      <c r="OGQ240" s="15"/>
      <c r="OGR240" s="16"/>
      <c r="OGS240" s="16"/>
      <c r="OGT240" s="16"/>
      <c r="OGU240" s="16"/>
      <c r="OGV240" s="16"/>
      <c r="OGW240" s="15"/>
      <c r="OGX240" s="15"/>
      <c r="OGY240" s="10"/>
      <c r="OGZ240" s="10"/>
      <c r="OHA240" s="19"/>
      <c r="OHB240" s="19"/>
      <c r="OHE240" s="16"/>
      <c r="OHF240" s="15"/>
      <c r="OHG240" s="15"/>
      <c r="OHH240" s="15"/>
      <c r="OHI240" s="16"/>
      <c r="OHJ240" s="16"/>
      <c r="OHK240" s="16"/>
      <c r="OHL240" s="16"/>
      <c r="OHM240" s="16"/>
      <c r="OHN240" s="15"/>
      <c r="OHO240" s="15"/>
      <c r="OHP240" s="10"/>
      <c r="OHQ240" s="10"/>
      <c r="OHR240" s="19"/>
      <c r="OHS240" s="19"/>
      <c r="OHV240" s="16"/>
      <c r="OHW240" s="15"/>
      <c r="OHX240" s="15"/>
      <c r="OHY240" s="15"/>
      <c r="OHZ240" s="16"/>
      <c r="OIA240" s="16"/>
      <c r="OIB240" s="16"/>
      <c r="OIC240" s="16"/>
      <c r="OID240" s="16"/>
      <c r="OIE240" s="15"/>
      <c r="OIF240" s="15"/>
      <c r="OIG240" s="10"/>
      <c r="OIH240" s="10"/>
      <c r="OII240" s="19"/>
      <c r="OIJ240" s="19"/>
      <c r="OIM240" s="16"/>
      <c r="OIN240" s="15"/>
      <c r="OIO240" s="15"/>
      <c r="OIP240" s="15"/>
      <c r="OIQ240" s="16"/>
      <c r="OIR240" s="16"/>
      <c r="OIS240" s="16"/>
      <c r="OIT240" s="16"/>
      <c r="OIU240" s="16"/>
      <c r="OIV240" s="15"/>
      <c r="OIW240" s="15"/>
      <c r="OIX240" s="10"/>
      <c r="OIY240" s="10"/>
      <c r="OIZ240" s="19"/>
      <c r="OJA240" s="19"/>
      <c r="OJD240" s="16"/>
      <c r="OJE240" s="15"/>
      <c r="OJF240" s="15"/>
      <c r="OJG240" s="15"/>
      <c r="OJH240" s="16"/>
      <c r="OJI240" s="16"/>
      <c r="OJJ240" s="16"/>
      <c r="OJK240" s="16"/>
      <c r="OJL240" s="16"/>
      <c r="OJM240" s="15"/>
      <c r="OJN240" s="15"/>
      <c r="OJO240" s="10"/>
      <c r="OJP240" s="10"/>
      <c r="OJQ240" s="19"/>
      <c r="OJR240" s="19"/>
      <c r="OJU240" s="16"/>
      <c r="OJV240" s="15"/>
      <c r="OJW240" s="15"/>
      <c r="OJX240" s="15"/>
      <c r="OJY240" s="16"/>
      <c r="OJZ240" s="16"/>
      <c r="OKA240" s="16"/>
      <c r="OKB240" s="16"/>
      <c r="OKC240" s="16"/>
      <c r="OKD240" s="15"/>
      <c r="OKE240" s="15"/>
      <c r="OKF240" s="10"/>
      <c r="OKG240" s="10"/>
      <c r="OKH240" s="19"/>
      <c r="OKI240" s="19"/>
      <c r="OKL240" s="16"/>
      <c r="OKM240" s="15"/>
      <c r="OKN240" s="15"/>
      <c r="OKO240" s="15"/>
      <c r="OKP240" s="16"/>
      <c r="OKQ240" s="16"/>
      <c r="OKR240" s="16"/>
      <c r="OKS240" s="16"/>
      <c r="OKT240" s="16"/>
      <c r="OKU240" s="15"/>
      <c r="OKV240" s="15"/>
      <c r="OKW240" s="10"/>
      <c r="OKX240" s="10"/>
      <c r="OKY240" s="19"/>
      <c r="OKZ240" s="19"/>
      <c r="OLC240" s="16"/>
      <c r="OLD240" s="15"/>
      <c r="OLE240" s="15"/>
      <c r="OLF240" s="15"/>
      <c r="OLG240" s="16"/>
      <c r="OLH240" s="16"/>
      <c r="OLI240" s="16"/>
      <c r="OLJ240" s="16"/>
      <c r="OLK240" s="16"/>
      <c r="OLL240" s="15"/>
      <c r="OLM240" s="15"/>
      <c r="OLN240" s="10"/>
      <c r="OLO240" s="10"/>
      <c r="OLP240" s="19"/>
      <c r="OLQ240" s="19"/>
      <c r="OLT240" s="16"/>
      <c r="OLU240" s="15"/>
      <c r="OLV240" s="15"/>
      <c r="OLW240" s="15"/>
      <c r="OLX240" s="16"/>
      <c r="OLY240" s="16"/>
      <c r="OLZ240" s="16"/>
      <c r="OMA240" s="16"/>
      <c r="OMB240" s="16"/>
      <c r="OMC240" s="15"/>
      <c r="OMD240" s="15"/>
      <c r="OME240" s="10"/>
      <c r="OMF240" s="10"/>
      <c r="OMG240" s="19"/>
      <c r="OMH240" s="19"/>
      <c r="OMK240" s="16"/>
      <c r="OML240" s="15"/>
      <c r="OMM240" s="15"/>
      <c r="OMN240" s="15"/>
      <c r="OMO240" s="16"/>
      <c r="OMP240" s="16"/>
      <c r="OMQ240" s="16"/>
      <c r="OMR240" s="16"/>
      <c r="OMS240" s="16"/>
      <c r="OMT240" s="15"/>
      <c r="OMU240" s="15"/>
      <c r="OMV240" s="10"/>
      <c r="OMW240" s="10"/>
      <c r="OMX240" s="19"/>
      <c r="OMY240" s="19"/>
      <c r="ONB240" s="16"/>
      <c r="ONC240" s="15"/>
      <c r="OND240" s="15"/>
      <c r="ONE240" s="15"/>
      <c r="ONF240" s="16"/>
      <c r="ONG240" s="16"/>
      <c r="ONH240" s="16"/>
      <c r="ONI240" s="16"/>
      <c r="ONJ240" s="16"/>
      <c r="ONK240" s="15"/>
      <c r="ONL240" s="15"/>
      <c r="ONM240" s="10"/>
      <c r="ONN240" s="10"/>
      <c r="ONO240" s="19"/>
      <c r="ONP240" s="19"/>
      <c r="ONS240" s="16"/>
      <c r="ONT240" s="15"/>
      <c r="ONU240" s="15"/>
      <c r="ONV240" s="15"/>
      <c r="ONW240" s="16"/>
      <c r="ONX240" s="16"/>
      <c r="ONY240" s="16"/>
      <c r="ONZ240" s="16"/>
      <c r="OOA240" s="16"/>
      <c r="OOB240" s="15"/>
      <c r="OOC240" s="15"/>
      <c r="OOD240" s="10"/>
      <c r="OOE240" s="10"/>
      <c r="OOF240" s="19"/>
      <c r="OOG240" s="19"/>
      <c r="OOJ240" s="16"/>
      <c r="OOK240" s="15"/>
      <c r="OOL240" s="15"/>
      <c r="OOM240" s="15"/>
      <c r="OON240" s="16"/>
      <c r="OOO240" s="16"/>
      <c r="OOP240" s="16"/>
      <c r="OOQ240" s="16"/>
      <c r="OOR240" s="16"/>
      <c r="OOS240" s="15"/>
      <c r="OOT240" s="15"/>
      <c r="OOU240" s="10"/>
      <c r="OOV240" s="10"/>
      <c r="OOW240" s="19"/>
      <c r="OOX240" s="19"/>
      <c r="OPA240" s="16"/>
      <c r="OPB240" s="15"/>
      <c r="OPC240" s="15"/>
      <c r="OPD240" s="15"/>
      <c r="OPE240" s="16"/>
      <c r="OPF240" s="16"/>
      <c r="OPG240" s="16"/>
      <c r="OPH240" s="16"/>
      <c r="OPI240" s="16"/>
      <c r="OPJ240" s="15"/>
      <c r="OPK240" s="15"/>
      <c r="OPL240" s="10"/>
      <c r="OPM240" s="10"/>
      <c r="OPN240" s="19"/>
      <c r="OPO240" s="19"/>
      <c r="OPR240" s="16"/>
      <c r="OPS240" s="15"/>
      <c r="OPT240" s="15"/>
      <c r="OPU240" s="15"/>
      <c r="OPV240" s="16"/>
      <c r="OPW240" s="16"/>
      <c r="OPX240" s="16"/>
      <c r="OPY240" s="16"/>
      <c r="OPZ240" s="16"/>
      <c r="OQA240" s="15"/>
      <c r="OQB240" s="15"/>
      <c r="OQC240" s="10"/>
      <c r="OQD240" s="10"/>
      <c r="OQE240" s="19"/>
      <c r="OQF240" s="19"/>
      <c r="OQI240" s="16"/>
      <c r="OQJ240" s="15"/>
      <c r="OQK240" s="15"/>
      <c r="OQL240" s="15"/>
      <c r="OQM240" s="16"/>
      <c r="OQN240" s="16"/>
      <c r="OQO240" s="16"/>
      <c r="OQP240" s="16"/>
      <c r="OQQ240" s="16"/>
      <c r="OQR240" s="15"/>
      <c r="OQS240" s="15"/>
      <c r="OQT240" s="10"/>
      <c r="OQU240" s="10"/>
      <c r="OQV240" s="19"/>
      <c r="OQW240" s="19"/>
      <c r="OQZ240" s="16"/>
      <c r="ORA240" s="15"/>
      <c r="ORB240" s="15"/>
      <c r="ORC240" s="15"/>
      <c r="ORD240" s="16"/>
      <c r="ORE240" s="16"/>
      <c r="ORF240" s="16"/>
      <c r="ORG240" s="16"/>
      <c r="ORH240" s="16"/>
      <c r="ORI240" s="15"/>
      <c r="ORJ240" s="15"/>
      <c r="ORK240" s="10"/>
      <c r="ORL240" s="10"/>
      <c r="ORM240" s="19"/>
      <c r="ORN240" s="19"/>
      <c r="ORQ240" s="16"/>
      <c r="ORR240" s="15"/>
      <c r="ORS240" s="15"/>
      <c r="ORT240" s="15"/>
      <c r="ORU240" s="16"/>
      <c r="ORV240" s="16"/>
      <c r="ORW240" s="16"/>
      <c r="ORX240" s="16"/>
      <c r="ORY240" s="16"/>
      <c r="ORZ240" s="15"/>
      <c r="OSA240" s="15"/>
      <c r="OSB240" s="10"/>
      <c r="OSC240" s="10"/>
      <c r="OSD240" s="19"/>
      <c r="OSE240" s="19"/>
      <c r="OSH240" s="16"/>
      <c r="OSI240" s="15"/>
      <c r="OSJ240" s="15"/>
      <c r="OSK240" s="15"/>
      <c r="OSL240" s="16"/>
      <c r="OSM240" s="16"/>
      <c r="OSN240" s="16"/>
      <c r="OSO240" s="16"/>
      <c r="OSP240" s="16"/>
      <c r="OSQ240" s="15"/>
      <c r="OSR240" s="15"/>
      <c r="OSS240" s="10"/>
      <c r="OST240" s="10"/>
      <c r="OSU240" s="19"/>
      <c r="OSV240" s="19"/>
      <c r="OSY240" s="16"/>
      <c r="OSZ240" s="15"/>
      <c r="OTA240" s="15"/>
      <c r="OTB240" s="15"/>
      <c r="OTC240" s="16"/>
      <c r="OTD240" s="16"/>
      <c r="OTE240" s="16"/>
      <c r="OTF240" s="16"/>
      <c r="OTG240" s="16"/>
      <c r="OTH240" s="15"/>
      <c r="OTI240" s="15"/>
      <c r="OTJ240" s="10"/>
      <c r="OTK240" s="10"/>
      <c r="OTL240" s="19"/>
      <c r="OTM240" s="19"/>
      <c r="OTP240" s="16"/>
      <c r="OTQ240" s="15"/>
      <c r="OTR240" s="15"/>
      <c r="OTS240" s="15"/>
      <c r="OTT240" s="16"/>
      <c r="OTU240" s="16"/>
      <c r="OTV240" s="16"/>
      <c r="OTW240" s="16"/>
      <c r="OTX240" s="16"/>
      <c r="OTY240" s="15"/>
      <c r="OTZ240" s="15"/>
      <c r="OUA240" s="10"/>
      <c r="OUB240" s="10"/>
      <c r="OUC240" s="19"/>
      <c r="OUD240" s="19"/>
      <c r="OUG240" s="16"/>
      <c r="OUH240" s="15"/>
      <c r="OUI240" s="15"/>
      <c r="OUJ240" s="15"/>
      <c r="OUK240" s="16"/>
      <c r="OUL240" s="16"/>
      <c r="OUM240" s="16"/>
      <c r="OUN240" s="16"/>
      <c r="OUO240" s="16"/>
      <c r="OUP240" s="15"/>
      <c r="OUQ240" s="15"/>
      <c r="OUR240" s="10"/>
      <c r="OUS240" s="10"/>
      <c r="OUT240" s="19"/>
      <c r="OUU240" s="19"/>
      <c r="OUX240" s="16"/>
      <c r="OUY240" s="15"/>
      <c r="OUZ240" s="15"/>
      <c r="OVA240" s="15"/>
      <c r="OVB240" s="16"/>
      <c r="OVC240" s="16"/>
      <c r="OVD240" s="16"/>
      <c r="OVE240" s="16"/>
      <c r="OVF240" s="16"/>
      <c r="OVG240" s="15"/>
      <c r="OVH240" s="15"/>
      <c r="OVI240" s="10"/>
      <c r="OVJ240" s="10"/>
      <c r="OVK240" s="19"/>
      <c r="OVL240" s="19"/>
      <c r="OVO240" s="16"/>
      <c r="OVP240" s="15"/>
      <c r="OVQ240" s="15"/>
      <c r="OVR240" s="15"/>
      <c r="OVS240" s="16"/>
      <c r="OVT240" s="16"/>
      <c r="OVU240" s="16"/>
      <c r="OVV240" s="16"/>
      <c r="OVW240" s="16"/>
      <c r="OVX240" s="15"/>
      <c r="OVY240" s="15"/>
      <c r="OVZ240" s="10"/>
      <c r="OWA240" s="10"/>
      <c r="OWB240" s="19"/>
      <c r="OWC240" s="19"/>
      <c r="OWF240" s="16"/>
      <c r="OWG240" s="15"/>
      <c r="OWH240" s="15"/>
      <c r="OWI240" s="15"/>
      <c r="OWJ240" s="16"/>
      <c r="OWK240" s="16"/>
      <c r="OWL240" s="16"/>
      <c r="OWM240" s="16"/>
      <c r="OWN240" s="16"/>
      <c r="OWO240" s="15"/>
      <c r="OWP240" s="15"/>
      <c r="OWQ240" s="10"/>
      <c r="OWR240" s="10"/>
      <c r="OWS240" s="19"/>
      <c r="OWT240" s="19"/>
      <c r="OWW240" s="16"/>
      <c r="OWX240" s="15"/>
      <c r="OWY240" s="15"/>
      <c r="OWZ240" s="15"/>
      <c r="OXA240" s="16"/>
      <c r="OXB240" s="16"/>
      <c r="OXC240" s="16"/>
      <c r="OXD240" s="16"/>
      <c r="OXE240" s="16"/>
      <c r="OXF240" s="15"/>
      <c r="OXG240" s="15"/>
      <c r="OXH240" s="10"/>
      <c r="OXI240" s="10"/>
      <c r="OXJ240" s="19"/>
      <c r="OXK240" s="19"/>
      <c r="OXN240" s="16"/>
      <c r="OXO240" s="15"/>
      <c r="OXP240" s="15"/>
      <c r="OXQ240" s="15"/>
      <c r="OXR240" s="16"/>
      <c r="OXS240" s="16"/>
      <c r="OXT240" s="16"/>
      <c r="OXU240" s="16"/>
      <c r="OXV240" s="16"/>
      <c r="OXW240" s="15"/>
      <c r="OXX240" s="15"/>
      <c r="OXY240" s="10"/>
      <c r="OXZ240" s="10"/>
      <c r="OYA240" s="19"/>
      <c r="OYB240" s="19"/>
      <c r="OYE240" s="16"/>
      <c r="OYF240" s="15"/>
      <c r="OYG240" s="15"/>
      <c r="OYH240" s="15"/>
      <c r="OYI240" s="16"/>
      <c r="OYJ240" s="16"/>
      <c r="OYK240" s="16"/>
      <c r="OYL240" s="16"/>
      <c r="OYM240" s="16"/>
      <c r="OYN240" s="15"/>
      <c r="OYO240" s="15"/>
      <c r="OYP240" s="10"/>
      <c r="OYQ240" s="10"/>
      <c r="OYR240" s="19"/>
      <c r="OYS240" s="19"/>
      <c r="OYV240" s="16"/>
      <c r="OYW240" s="15"/>
      <c r="OYX240" s="15"/>
      <c r="OYY240" s="15"/>
      <c r="OYZ240" s="16"/>
      <c r="OZA240" s="16"/>
      <c r="OZB240" s="16"/>
      <c r="OZC240" s="16"/>
      <c r="OZD240" s="16"/>
      <c r="OZE240" s="15"/>
      <c r="OZF240" s="15"/>
      <c r="OZG240" s="10"/>
      <c r="OZH240" s="10"/>
      <c r="OZI240" s="19"/>
      <c r="OZJ240" s="19"/>
      <c r="OZM240" s="16"/>
      <c r="OZN240" s="15"/>
      <c r="OZO240" s="15"/>
      <c r="OZP240" s="15"/>
      <c r="OZQ240" s="16"/>
      <c r="OZR240" s="16"/>
      <c r="OZS240" s="16"/>
      <c r="OZT240" s="16"/>
      <c r="OZU240" s="16"/>
      <c r="OZV240" s="15"/>
      <c r="OZW240" s="15"/>
      <c r="OZX240" s="10"/>
      <c r="OZY240" s="10"/>
      <c r="OZZ240" s="19"/>
      <c r="PAA240" s="19"/>
      <c r="PAD240" s="16"/>
      <c r="PAE240" s="15"/>
      <c r="PAF240" s="15"/>
      <c r="PAG240" s="15"/>
      <c r="PAH240" s="16"/>
      <c r="PAI240" s="16"/>
      <c r="PAJ240" s="16"/>
      <c r="PAK240" s="16"/>
      <c r="PAL240" s="16"/>
      <c r="PAM240" s="15"/>
      <c r="PAN240" s="15"/>
      <c r="PAO240" s="10"/>
      <c r="PAP240" s="10"/>
      <c r="PAQ240" s="19"/>
      <c r="PAR240" s="19"/>
      <c r="PAU240" s="16"/>
      <c r="PAV240" s="15"/>
      <c r="PAW240" s="15"/>
      <c r="PAX240" s="15"/>
      <c r="PAY240" s="16"/>
      <c r="PAZ240" s="16"/>
      <c r="PBA240" s="16"/>
      <c r="PBB240" s="16"/>
      <c r="PBC240" s="16"/>
      <c r="PBD240" s="15"/>
      <c r="PBE240" s="15"/>
      <c r="PBF240" s="10"/>
      <c r="PBG240" s="10"/>
      <c r="PBH240" s="19"/>
      <c r="PBI240" s="19"/>
      <c r="PBL240" s="16"/>
      <c r="PBM240" s="15"/>
      <c r="PBN240" s="15"/>
      <c r="PBO240" s="15"/>
      <c r="PBP240" s="16"/>
      <c r="PBQ240" s="16"/>
      <c r="PBR240" s="16"/>
      <c r="PBS240" s="16"/>
      <c r="PBT240" s="16"/>
      <c r="PBU240" s="15"/>
      <c r="PBV240" s="15"/>
      <c r="PBW240" s="10"/>
      <c r="PBX240" s="10"/>
      <c r="PBY240" s="19"/>
      <c r="PBZ240" s="19"/>
      <c r="PCC240" s="16"/>
      <c r="PCD240" s="15"/>
      <c r="PCE240" s="15"/>
      <c r="PCF240" s="15"/>
      <c r="PCG240" s="16"/>
      <c r="PCH240" s="16"/>
      <c r="PCI240" s="16"/>
      <c r="PCJ240" s="16"/>
      <c r="PCK240" s="16"/>
      <c r="PCL240" s="15"/>
      <c r="PCM240" s="15"/>
      <c r="PCN240" s="10"/>
      <c r="PCO240" s="10"/>
      <c r="PCP240" s="19"/>
      <c r="PCQ240" s="19"/>
      <c r="PCT240" s="16"/>
      <c r="PCU240" s="15"/>
      <c r="PCV240" s="15"/>
      <c r="PCW240" s="15"/>
      <c r="PCX240" s="16"/>
      <c r="PCY240" s="16"/>
      <c r="PCZ240" s="16"/>
      <c r="PDA240" s="16"/>
      <c r="PDB240" s="16"/>
      <c r="PDC240" s="15"/>
      <c r="PDD240" s="15"/>
      <c r="PDE240" s="10"/>
      <c r="PDF240" s="10"/>
      <c r="PDG240" s="19"/>
      <c r="PDH240" s="19"/>
      <c r="PDK240" s="16"/>
      <c r="PDL240" s="15"/>
      <c r="PDM240" s="15"/>
      <c r="PDN240" s="15"/>
      <c r="PDO240" s="16"/>
      <c r="PDP240" s="16"/>
      <c r="PDQ240" s="16"/>
      <c r="PDR240" s="16"/>
      <c r="PDS240" s="16"/>
      <c r="PDT240" s="15"/>
      <c r="PDU240" s="15"/>
      <c r="PDV240" s="10"/>
      <c r="PDW240" s="10"/>
      <c r="PDX240" s="19"/>
      <c r="PDY240" s="19"/>
      <c r="PEB240" s="16"/>
      <c r="PEC240" s="15"/>
      <c r="PED240" s="15"/>
      <c r="PEE240" s="15"/>
      <c r="PEF240" s="16"/>
      <c r="PEG240" s="16"/>
      <c r="PEH240" s="16"/>
      <c r="PEI240" s="16"/>
      <c r="PEJ240" s="16"/>
      <c r="PEK240" s="15"/>
      <c r="PEL240" s="15"/>
      <c r="PEM240" s="10"/>
      <c r="PEN240" s="10"/>
      <c r="PEO240" s="19"/>
      <c r="PEP240" s="19"/>
      <c r="PES240" s="16"/>
      <c r="PET240" s="15"/>
      <c r="PEU240" s="15"/>
      <c r="PEV240" s="15"/>
      <c r="PEW240" s="16"/>
      <c r="PEX240" s="16"/>
      <c r="PEY240" s="16"/>
      <c r="PEZ240" s="16"/>
      <c r="PFA240" s="16"/>
      <c r="PFB240" s="15"/>
      <c r="PFC240" s="15"/>
      <c r="PFD240" s="10"/>
      <c r="PFE240" s="10"/>
      <c r="PFF240" s="19"/>
      <c r="PFG240" s="19"/>
      <c r="PFJ240" s="16"/>
      <c r="PFK240" s="15"/>
      <c r="PFL240" s="15"/>
      <c r="PFM240" s="15"/>
      <c r="PFN240" s="16"/>
      <c r="PFO240" s="16"/>
      <c r="PFP240" s="16"/>
      <c r="PFQ240" s="16"/>
      <c r="PFR240" s="16"/>
      <c r="PFS240" s="15"/>
      <c r="PFT240" s="15"/>
      <c r="PFU240" s="10"/>
      <c r="PFV240" s="10"/>
      <c r="PFW240" s="19"/>
      <c r="PFX240" s="19"/>
      <c r="PGA240" s="16"/>
      <c r="PGB240" s="15"/>
      <c r="PGC240" s="15"/>
      <c r="PGD240" s="15"/>
      <c r="PGE240" s="16"/>
      <c r="PGF240" s="16"/>
      <c r="PGG240" s="16"/>
      <c r="PGH240" s="16"/>
      <c r="PGI240" s="16"/>
      <c r="PGJ240" s="15"/>
      <c r="PGK240" s="15"/>
      <c r="PGL240" s="10"/>
      <c r="PGM240" s="10"/>
      <c r="PGN240" s="19"/>
      <c r="PGO240" s="19"/>
      <c r="PGR240" s="16"/>
      <c r="PGS240" s="15"/>
      <c r="PGT240" s="15"/>
      <c r="PGU240" s="15"/>
      <c r="PGV240" s="16"/>
      <c r="PGW240" s="16"/>
      <c r="PGX240" s="16"/>
      <c r="PGY240" s="16"/>
      <c r="PGZ240" s="16"/>
      <c r="PHA240" s="15"/>
      <c r="PHB240" s="15"/>
      <c r="PHC240" s="10"/>
      <c r="PHD240" s="10"/>
      <c r="PHE240" s="19"/>
      <c r="PHF240" s="19"/>
      <c r="PHI240" s="16"/>
      <c r="PHJ240" s="15"/>
      <c r="PHK240" s="15"/>
      <c r="PHL240" s="15"/>
      <c r="PHM240" s="16"/>
      <c r="PHN240" s="16"/>
      <c r="PHO240" s="16"/>
      <c r="PHP240" s="16"/>
      <c r="PHQ240" s="16"/>
      <c r="PHR240" s="15"/>
      <c r="PHS240" s="15"/>
      <c r="PHT240" s="10"/>
      <c r="PHU240" s="10"/>
      <c r="PHV240" s="19"/>
      <c r="PHW240" s="19"/>
      <c r="PHZ240" s="16"/>
      <c r="PIA240" s="15"/>
      <c r="PIB240" s="15"/>
      <c r="PIC240" s="15"/>
      <c r="PID240" s="16"/>
      <c r="PIE240" s="16"/>
      <c r="PIF240" s="16"/>
      <c r="PIG240" s="16"/>
      <c r="PIH240" s="16"/>
      <c r="PII240" s="15"/>
      <c r="PIJ240" s="15"/>
      <c r="PIK240" s="10"/>
      <c r="PIL240" s="10"/>
      <c r="PIM240" s="19"/>
      <c r="PIN240" s="19"/>
      <c r="PIQ240" s="16"/>
      <c r="PIR240" s="15"/>
      <c r="PIS240" s="15"/>
      <c r="PIT240" s="15"/>
      <c r="PIU240" s="16"/>
      <c r="PIV240" s="16"/>
      <c r="PIW240" s="16"/>
      <c r="PIX240" s="16"/>
      <c r="PIY240" s="16"/>
      <c r="PIZ240" s="15"/>
      <c r="PJA240" s="15"/>
      <c r="PJB240" s="10"/>
      <c r="PJC240" s="10"/>
      <c r="PJD240" s="19"/>
      <c r="PJE240" s="19"/>
      <c r="PJH240" s="16"/>
      <c r="PJI240" s="15"/>
      <c r="PJJ240" s="15"/>
      <c r="PJK240" s="15"/>
      <c r="PJL240" s="16"/>
      <c r="PJM240" s="16"/>
      <c r="PJN240" s="16"/>
      <c r="PJO240" s="16"/>
      <c r="PJP240" s="16"/>
      <c r="PJQ240" s="15"/>
      <c r="PJR240" s="15"/>
      <c r="PJS240" s="10"/>
      <c r="PJT240" s="10"/>
      <c r="PJU240" s="19"/>
      <c r="PJV240" s="19"/>
      <c r="PJY240" s="16"/>
      <c r="PJZ240" s="15"/>
      <c r="PKA240" s="15"/>
      <c r="PKB240" s="15"/>
      <c r="PKC240" s="16"/>
      <c r="PKD240" s="16"/>
      <c r="PKE240" s="16"/>
      <c r="PKF240" s="16"/>
      <c r="PKG240" s="16"/>
      <c r="PKH240" s="15"/>
      <c r="PKI240" s="15"/>
      <c r="PKJ240" s="10"/>
      <c r="PKK240" s="10"/>
      <c r="PKL240" s="19"/>
      <c r="PKM240" s="19"/>
      <c r="PKP240" s="16"/>
      <c r="PKQ240" s="15"/>
      <c r="PKR240" s="15"/>
      <c r="PKS240" s="15"/>
      <c r="PKT240" s="16"/>
      <c r="PKU240" s="16"/>
      <c r="PKV240" s="16"/>
      <c r="PKW240" s="16"/>
      <c r="PKX240" s="16"/>
      <c r="PKY240" s="15"/>
      <c r="PKZ240" s="15"/>
      <c r="PLA240" s="10"/>
      <c r="PLB240" s="10"/>
      <c r="PLC240" s="19"/>
      <c r="PLD240" s="19"/>
      <c r="PLG240" s="16"/>
      <c r="PLH240" s="15"/>
      <c r="PLI240" s="15"/>
      <c r="PLJ240" s="15"/>
      <c r="PLK240" s="16"/>
      <c r="PLL240" s="16"/>
      <c r="PLM240" s="16"/>
      <c r="PLN240" s="16"/>
      <c r="PLO240" s="16"/>
      <c r="PLP240" s="15"/>
      <c r="PLQ240" s="15"/>
      <c r="PLR240" s="10"/>
      <c r="PLS240" s="10"/>
      <c r="PLT240" s="19"/>
      <c r="PLU240" s="19"/>
      <c r="PLX240" s="16"/>
      <c r="PLY240" s="15"/>
      <c r="PLZ240" s="15"/>
      <c r="PMA240" s="15"/>
      <c r="PMB240" s="16"/>
      <c r="PMC240" s="16"/>
      <c r="PMD240" s="16"/>
      <c r="PME240" s="16"/>
      <c r="PMF240" s="16"/>
      <c r="PMG240" s="15"/>
      <c r="PMH240" s="15"/>
      <c r="PMI240" s="10"/>
      <c r="PMJ240" s="10"/>
      <c r="PMK240" s="19"/>
      <c r="PML240" s="19"/>
      <c r="PMO240" s="16"/>
      <c r="PMP240" s="15"/>
      <c r="PMQ240" s="15"/>
      <c r="PMR240" s="15"/>
      <c r="PMS240" s="16"/>
      <c r="PMT240" s="16"/>
      <c r="PMU240" s="16"/>
      <c r="PMV240" s="16"/>
      <c r="PMW240" s="16"/>
      <c r="PMX240" s="15"/>
      <c r="PMY240" s="15"/>
      <c r="PMZ240" s="10"/>
      <c r="PNA240" s="10"/>
      <c r="PNB240" s="19"/>
      <c r="PNC240" s="19"/>
      <c r="PNF240" s="16"/>
      <c r="PNG240" s="15"/>
      <c r="PNH240" s="15"/>
      <c r="PNI240" s="15"/>
      <c r="PNJ240" s="16"/>
      <c r="PNK240" s="16"/>
      <c r="PNL240" s="16"/>
      <c r="PNM240" s="16"/>
      <c r="PNN240" s="16"/>
      <c r="PNO240" s="15"/>
      <c r="PNP240" s="15"/>
      <c r="PNQ240" s="10"/>
      <c r="PNR240" s="10"/>
      <c r="PNS240" s="19"/>
      <c r="PNT240" s="19"/>
      <c r="PNW240" s="16"/>
      <c r="PNX240" s="15"/>
      <c r="PNY240" s="15"/>
      <c r="PNZ240" s="15"/>
      <c r="POA240" s="16"/>
      <c r="POB240" s="16"/>
      <c r="POC240" s="16"/>
      <c r="POD240" s="16"/>
      <c r="POE240" s="16"/>
      <c r="POF240" s="15"/>
      <c r="POG240" s="15"/>
      <c r="POH240" s="10"/>
      <c r="POI240" s="10"/>
      <c r="POJ240" s="19"/>
      <c r="POK240" s="19"/>
      <c r="PON240" s="16"/>
      <c r="POO240" s="15"/>
      <c r="POP240" s="15"/>
      <c r="POQ240" s="15"/>
      <c r="POR240" s="16"/>
      <c r="POS240" s="16"/>
      <c r="POT240" s="16"/>
      <c r="POU240" s="16"/>
      <c r="POV240" s="16"/>
      <c r="POW240" s="15"/>
      <c r="POX240" s="15"/>
      <c r="POY240" s="10"/>
      <c r="POZ240" s="10"/>
      <c r="PPA240" s="19"/>
      <c r="PPB240" s="19"/>
      <c r="PPE240" s="16"/>
      <c r="PPF240" s="15"/>
      <c r="PPG240" s="15"/>
      <c r="PPH240" s="15"/>
      <c r="PPI240" s="16"/>
      <c r="PPJ240" s="16"/>
      <c r="PPK240" s="16"/>
      <c r="PPL240" s="16"/>
      <c r="PPM240" s="16"/>
      <c r="PPN240" s="15"/>
      <c r="PPO240" s="15"/>
      <c r="PPP240" s="10"/>
      <c r="PPQ240" s="10"/>
      <c r="PPR240" s="19"/>
      <c r="PPS240" s="19"/>
      <c r="PPV240" s="16"/>
      <c r="PPW240" s="15"/>
      <c r="PPX240" s="15"/>
      <c r="PPY240" s="15"/>
      <c r="PPZ240" s="16"/>
      <c r="PQA240" s="16"/>
      <c r="PQB240" s="16"/>
      <c r="PQC240" s="16"/>
      <c r="PQD240" s="16"/>
      <c r="PQE240" s="15"/>
      <c r="PQF240" s="15"/>
      <c r="PQG240" s="10"/>
      <c r="PQH240" s="10"/>
      <c r="PQI240" s="19"/>
      <c r="PQJ240" s="19"/>
      <c r="PQM240" s="16"/>
      <c r="PQN240" s="15"/>
      <c r="PQO240" s="15"/>
      <c r="PQP240" s="15"/>
      <c r="PQQ240" s="16"/>
      <c r="PQR240" s="16"/>
      <c r="PQS240" s="16"/>
      <c r="PQT240" s="16"/>
      <c r="PQU240" s="16"/>
      <c r="PQV240" s="15"/>
      <c r="PQW240" s="15"/>
      <c r="PQX240" s="10"/>
      <c r="PQY240" s="10"/>
      <c r="PQZ240" s="19"/>
      <c r="PRA240" s="19"/>
      <c r="PRD240" s="16"/>
      <c r="PRE240" s="15"/>
      <c r="PRF240" s="15"/>
      <c r="PRG240" s="15"/>
      <c r="PRH240" s="16"/>
      <c r="PRI240" s="16"/>
      <c r="PRJ240" s="16"/>
      <c r="PRK240" s="16"/>
      <c r="PRL240" s="16"/>
      <c r="PRM240" s="15"/>
      <c r="PRN240" s="15"/>
      <c r="PRO240" s="10"/>
      <c r="PRP240" s="10"/>
      <c r="PRQ240" s="19"/>
      <c r="PRR240" s="19"/>
      <c r="PRU240" s="16"/>
      <c r="PRV240" s="15"/>
      <c r="PRW240" s="15"/>
      <c r="PRX240" s="15"/>
      <c r="PRY240" s="16"/>
      <c r="PRZ240" s="16"/>
      <c r="PSA240" s="16"/>
      <c r="PSB240" s="16"/>
      <c r="PSC240" s="16"/>
      <c r="PSD240" s="15"/>
      <c r="PSE240" s="15"/>
      <c r="PSF240" s="10"/>
      <c r="PSG240" s="10"/>
      <c r="PSH240" s="19"/>
      <c r="PSI240" s="19"/>
      <c r="PSL240" s="16"/>
      <c r="PSM240" s="15"/>
      <c r="PSN240" s="15"/>
      <c r="PSO240" s="15"/>
      <c r="PSP240" s="16"/>
      <c r="PSQ240" s="16"/>
      <c r="PSR240" s="16"/>
      <c r="PSS240" s="16"/>
      <c r="PST240" s="16"/>
      <c r="PSU240" s="15"/>
      <c r="PSV240" s="15"/>
      <c r="PSW240" s="10"/>
      <c r="PSX240" s="10"/>
      <c r="PSY240" s="19"/>
      <c r="PSZ240" s="19"/>
      <c r="PTC240" s="16"/>
      <c r="PTD240" s="15"/>
      <c r="PTE240" s="15"/>
      <c r="PTF240" s="15"/>
      <c r="PTG240" s="16"/>
      <c r="PTH240" s="16"/>
      <c r="PTI240" s="16"/>
      <c r="PTJ240" s="16"/>
      <c r="PTK240" s="16"/>
      <c r="PTL240" s="15"/>
      <c r="PTM240" s="15"/>
      <c r="PTN240" s="10"/>
      <c r="PTO240" s="10"/>
      <c r="PTP240" s="19"/>
      <c r="PTQ240" s="19"/>
      <c r="PTT240" s="16"/>
      <c r="PTU240" s="15"/>
      <c r="PTV240" s="15"/>
      <c r="PTW240" s="15"/>
      <c r="PTX240" s="16"/>
      <c r="PTY240" s="16"/>
      <c r="PTZ240" s="16"/>
      <c r="PUA240" s="16"/>
      <c r="PUB240" s="16"/>
      <c r="PUC240" s="15"/>
      <c r="PUD240" s="15"/>
      <c r="PUE240" s="10"/>
      <c r="PUF240" s="10"/>
      <c r="PUG240" s="19"/>
      <c r="PUH240" s="19"/>
      <c r="PUK240" s="16"/>
      <c r="PUL240" s="15"/>
      <c r="PUM240" s="15"/>
      <c r="PUN240" s="15"/>
      <c r="PUO240" s="16"/>
      <c r="PUP240" s="16"/>
      <c r="PUQ240" s="16"/>
      <c r="PUR240" s="16"/>
      <c r="PUS240" s="16"/>
      <c r="PUT240" s="15"/>
      <c r="PUU240" s="15"/>
      <c r="PUV240" s="10"/>
      <c r="PUW240" s="10"/>
      <c r="PUX240" s="19"/>
      <c r="PUY240" s="19"/>
      <c r="PVB240" s="16"/>
      <c r="PVC240" s="15"/>
      <c r="PVD240" s="15"/>
      <c r="PVE240" s="15"/>
      <c r="PVF240" s="16"/>
      <c r="PVG240" s="16"/>
      <c r="PVH240" s="16"/>
      <c r="PVI240" s="16"/>
      <c r="PVJ240" s="16"/>
      <c r="PVK240" s="15"/>
      <c r="PVL240" s="15"/>
      <c r="PVM240" s="10"/>
      <c r="PVN240" s="10"/>
      <c r="PVO240" s="19"/>
      <c r="PVP240" s="19"/>
      <c r="PVS240" s="16"/>
      <c r="PVT240" s="15"/>
      <c r="PVU240" s="15"/>
      <c r="PVV240" s="15"/>
      <c r="PVW240" s="16"/>
      <c r="PVX240" s="16"/>
      <c r="PVY240" s="16"/>
      <c r="PVZ240" s="16"/>
      <c r="PWA240" s="16"/>
      <c r="PWB240" s="15"/>
      <c r="PWC240" s="15"/>
      <c r="PWD240" s="10"/>
      <c r="PWE240" s="10"/>
      <c r="PWF240" s="19"/>
      <c r="PWG240" s="19"/>
      <c r="PWJ240" s="16"/>
      <c r="PWK240" s="15"/>
      <c r="PWL240" s="15"/>
      <c r="PWM240" s="15"/>
      <c r="PWN240" s="16"/>
      <c r="PWO240" s="16"/>
      <c r="PWP240" s="16"/>
      <c r="PWQ240" s="16"/>
      <c r="PWR240" s="16"/>
      <c r="PWS240" s="15"/>
      <c r="PWT240" s="15"/>
      <c r="PWU240" s="10"/>
      <c r="PWV240" s="10"/>
      <c r="PWW240" s="19"/>
      <c r="PWX240" s="19"/>
      <c r="PXA240" s="16"/>
      <c r="PXB240" s="15"/>
      <c r="PXC240" s="15"/>
      <c r="PXD240" s="15"/>
      <c r="PXE240" s="16"/>
      <c r="PXF240" s="16"/>
      <c r="PXG240" s="16"/>
      <c r="PXH240" s="16"/>
      <c r="PXI240" s="16"/>
      <c r="PXJ240" s="15"/>
      <c r="PXK240" s="15"/>
      <c r="PXL240" s="10"/>
      <c r="PXM240" s="10"/>
      <c r="PXN240" s="19"/>
      <c r="PXO240" s="19"/>
      <c r="PXR240" s="16"/>
      <c r="PXS240" s="15"/>
      <c r="PXT240" s="15"/>
      <c r="PXU240" s="15"/>
      <c r="PXV240" s="16"/>
      <c r="PXW240" s="16"/>
      <c r="PXX240" s="16"/>
      <c r="PXY240" s="16"/>
      <c r="PXZ240" s="16"/>
      <c r="PYA240" s="15"/>
      <c r="PYB240" s="15"/>
      <c r="PYC240" s="10"/>
      <c r="PYD240" s="10"/>
      <c r="PYE240" s="19"/>
      <c r="PYF240" s="19"/>
      <c r="PYI240" s="16"/>
      <c r="PYJ240" s="15"/>
      <c r="PYK240" s="15"/>
      <c r="PYL240" s="15"/>
      <c r="PYM240" s="16"/>
      <c r="PYN240" s="16"/>
      <c r="PYO240" s="16"/>
      <c r="PYP240" s="16"/>
      <c r="PYQ240" s="16"/>
      <c r="PYR240" s="15"/>
      <c r="PYS240" s="15"/>
      <c r="PYT240" s="10"/>
      <c r="PYU240" s="10"/>
      <c r="PYV240" s="19"/>
      <c r="PYW240" s="19"/>
      <c r="PYZ240" s="16"/>
      <c r="PZA240" s="15"/>
      <c r="PZB240" s="15"/>
      <c r="PZC240" s="15"/>
      <c r="PZD240" s="16"/>
      <c r="PZE240" s="16"/>
      <c r="PZF240" s="16"/>
      <c r="PZG240" s="16"/>
      <c r="PZH240" s="16"/>
      <c r="PZI240" s="15"/>
      <c r="PZJ240" s="15"/>
      <c r="PZK240" s="10"/>
      <c r="PZL240" s="10"/>
      <c r="PZM240" s="19"/>
      <c r="PZN240" s="19"/>
      <c r="PZQ240" s="16"/>
      <c r="PZR240" s="15"/>
      <c r="PZS240" s="15"/>
      <c r="PZT240" s="15"/>
      <c r="PZU240" s="16"/>
      <c r="PZV240" s="16"/>
      <c r="PZW240" s="16"/>
      <c r="PZX240" s="16"/>
      <c r="PZY240" s="16"/>
      <c r="PZZ240" s="15"/>
      <c r="QAA240" s="15"/>
      <c r="QAB240" s="10"/>
      <c r="QAC240" s="10"/>
      <c r="QAD240" s="19"/>
      <c r="QAE240" s="19"/>
      <c r="QAH240" s="16"/>
      <c r="QAI240" s="15"/>
      <c r="QAJ240" s="15"/>
      <c r="QAK240" s="15"/>
      <c r="QAL240" s="16"/>
      <c r="QAM240" s="16"/>
      <c r="QAN240" s="16"/>
      <c r="QAO240" s="16"/>
      <c r="QAP240" s="16"/>
      <c r="QAQ240" s="15"/>
      <c r="QAR240" s="15"/>
      <c r="QAS240" s="10"/>
      <c r="QAT240" s="10"/>
      <c r="QAU240" s="19"/>
      <c r="QAV240" s="19"/>
      <c r="QAY240" s="16"/>
      <c r="QAZ240" s="15"/>
      <c r="QBA240" s="15"/>
      <c r="QBB240" s="15"/>
      <c r="QBC240" s="16"/>
      <c r="QBD240" s="16"/>
      <c r="QBE240" s="16"/>
      <c r="QBF240" s="16"/>
      <c r="QBG240" s="16"/>
      <c r="QBH240" s="15"/>
      <c r="QBI240" s="15"/>
      <c r="QBJ240" s="10"/>
      <c r="QBK240" s="10"/>
      <c r="QBL240" s="19"/>
      <c r="QBM240" s="19"/>
      <c r="QBP240" s="16"/>
      <c r="QBQ240" s="15"/>
      <c r="QBR240" s="15"/>
      <c r="QBS240" s="15"/>
      <c r="QBT240" s="16"/>
      <c r="QBU240" s="16"/>
      <c r="QBV240" s="16"/>
      <c r="QBW240" s="16"/>
      <c r="QBX240" s="16"/>
      <c r="QBY240" s="15"/>
      <c r="QBZ240" s="15"/>
      <c r="QCA240" s="10"/>
      <c r="QCB240" s="10"/>
      <c r="QCC240" s="19"/>
      <c r="QCD240" s="19"/>
      <c r="QCG240" s="16"/>
      <c r="QCH240" s="15"/>
      <c r="QCI240" s="15"/>
      <c r="QCJ240" s="15"/>
      <c r="QCK240" s="16"/>
      <c r="QCL240" s="16"/>
      <c r="QCM240" s="16"/>
      <c r="QCN240" s="16"/>
      <c r="QCO240" s="16"/>
      <c r="QCP240" s="15"/>
      <c r="QCQ240" s="15"/>
      <c r="QCR240" s="10"/>
      <c r="QCS240" s="10"/>
      <c r="QCT240" s="19"/>
      <c r="QCU240" s="19"/>
      <c r="QCX240" s="16"/>
      <c r="QCY240" s="15"/>
      <c r="QCZ240" s="15"/>
      <c r="QDA240" s="15"/>
      <c r="QDB240" s="16"/>
      <c r="QDC240" s="16"/>
      <c r="QDD240" s="16"/>
      <c r="QDE240" s="16"/>
      <c r="QDF240" s="16"/>
      <c r="QDG240" s="15"/>
      <c r="QDH240" s="15"/>
      <c r="QDI240" s="10"/>
      <c r="QDJ240" s="10"/>
      <c r="QDK240" s="19"/>
      <c r="QDL240" s="19"/>
      <c r="QDO240" s="16"/>
      <c r="QDP240" s="15"/>
      <c r="QDQ240" s="15"/>
      <c r="QDR240" s="15"/>
      <c r="QDS240" s="16"/>
      <c r="QDT240" s="16"/>
      <c r="QDU240" s="16"/>
      <c r="QDV240" s="16"/>
      <c r="QDW240" s="16"/>
      <c r="QDX240" s="15"/>
      <c r="QDY240" s="15"/>
      <c r="QDZ240" s="10"/>
      <c r="QEA240" s="10"/>
      <c r="QEB240" s="19"/>
      <c r="QEC240" s="19"/>
      <c r="QEF240" s="16"/>
      <c r="QEG240" s="15"/>
      <c r="QEH240" s="15"/>
      <c r="QEI240" s="15"/>
      <c r="QEJ240" s="16"/>
      <c r="QEK240" s="16"/>
      <c r="QEL240" s="16"/>
      <c r="QEM240" s="16"/>
      <c r="QEN240" s="16"/>
      <c r="QEO240" s="15"/>
      <c r="QEP240" s="15"/>
      <c r="QEQ240" s="10"/>
      <c r="QER240" s="10"/>
      <c r="QES240" s="19"/>
      <c r="QET240" s="19"/>
      <c r="QEW240" s="16"/>
      <c r="QEX240" s="15"/>
      <c r="QEY240" s="15"/>
      <c r="QEZ240" s="15"/>
      <c r="QFA240" s="16"/>
      <c r="QFB240" s="16"/>
      <c r="QFC240" s="16"/>
      <c r="QFD240" s="16"/>
      <c r="QFE240" s="16"/>
      <c r="QFF240" s="15"/>
      <c r="QFG240" s="15"/>
      <c r="QFH240" s="10"/>
      <c r="QFI240" s="10"/>
      <c r="QFJ240" s="19"/>
      <c r="QFK240" s="19"/>
      <c r="QFN240" s="16"/>
      <c r="QFO240" s="15"/>
      <c r="QFP240" s="15"/>
      <c r="QFQ240" s="15"/>
      <c r="QFR240" s="16"/>
      <c r="QFS240" s="16"/>
      <c r="QFT240" s="16"/>
      <c r="QFU240" s="16"/>
      <c r="QFV240" s="16"/>
      <c r="QFW240" s="15"/>
      <c r="QFX240" s="15"/>
      <c r="QFY240" s="10"/>
      <c r="QFZ240" s="10"/>
      <c r="QGA240" s="19"/>
      <c r="QGB240" s="19"/>
      <c r="QGE240" s="16"/>
      <c r="QGF240" s="15"/>
      <c r="QGG240" s="15"/>
      <c r="QGH240" s="15"/>
      <c r="QGI240" s="16"/>
      <c r="QGJ240" s="16"/>
      <c r="QGK240" s="16"/>
      <c r="QGL240" s="16"/>
      <c r="QGM240" s="16"/>
      <c r="QGN240" s="15"/>
      <c r="QGO240" s="15"/>
      <c r="QGP240" s="10"/>
      <c r="QGQ240" s="10"/>
      <c r="QGR240" s="19"/>
      <c r="QGS240" s="19"/>
      <c r="QGV240" s="16"/>
      <c r="QGW240" s="15"/>
      <c r="QGX240" s="15"/>
      <c r="QGY240" s="15"/>
      <c r="QGZ240" s="16"/>
      <c r="QHA240" s="16"/>
      <c r="QHB240" s="16"/>
      <c r="QHC240" s="16"/>
      <c r="QHD240" s="16"/>
      <c r="QHE240" s="15"/>
      <c r="QHF240" s="15"/>
      <c r="QHG240" s="10"/>
      <c r="QHH240" s="10"/>
      <c r="QHI240" s="19"/>
      <c r="QHJ240" s="19"/>
      <c r="QHM240" s="16"/>
      <c r="QHN240" s="15"/>
      <c r="QHO240" s="15"/>
      <c r="QHP240" s="15"/>
      <c r="QHQ240" s="16"/>
      <c r="QHR240" s="16"/>
      <c r="QHS240" s="16"/>
      <c r="QHT240" s="16"/>
      <c r="QHU240" s="16"/>
      <c r="QHV240" s="15"/>
      <c r="QHW240" s="15"/>
      <c r="QHX240" s="10"/>
      <c r="QHY240" s="10"/>
      <c r="QHZ240" s="19"/>
      <c r="QIA240" s="19"/>
      <c r="QID240" s="16"/>
      <c r="QIE240" s="15"/>
      <c r="QIF240" s="15"/>
      <c r="QIG240" s="15"/>
      <c r="QIH240" s="16"/>
      <c r="QII240" s="16"/>
      <c r="QIJ240" s="16"/>
      <c r="QIK240" s="16"/>
      <c r="QIL240" s="16"/>
      <c r="QIM240" s="15"/>
      <c r="QIN240" s="15"/>
      <c r="QIO240" s="10"/>
      <c r="QIP240" s="10"/>
      <c r="QIQ240" s="19"/>
      <c r="QIR240" s="19"/>
      <c r="QIU240" s="16"/>
      <c r="QIV240" s="15"/>
      <c r="QIW240" s="15"/>
      <c r="QIX240" s="15"/>
      <c r="QIY240" s="16"/>
      <c r="QIZ240" s="16"/>
      <c r="QJA240" s="16"/>
      <c r="QJB240" s="16"/>
      <c r="QJC240" s="16"/>
      <c r="QJD240" s="15"/>
      <c r="QJE240" s="15"/>
      <c r="QJF240" s="10"/>
      <c r="QJG240" s="10"/>
      <c r="QJH240" s="19"/>
      <c r="QJI240" s="19"/>
      <c r="QJL240" s="16"/>
      <c r="QJM240" s="15"/>
      <c r="QJN240" s="15"/>
      <c r="QJO240" s="15"/>
      <c r="QJP240" s="16"/>
      <c r="QJQ240" s="16"/>
      <c r="QJR240" s="16"/>
      <c r="QJS240" s="16"/>
      <c r="QJT240" s="16"/>
      <c r="QJU240" s="15"/>
      <c r="QJV240" s="15"/>
      <c r="QJW240" s="10"/>
      <c r="QJX240" s="10"/>
      <c r="QJY240" s="19"/>
      <c r="QJZ240" s="19"/>
      <c r="QKC240" s="16"/>
      <c r="QKD240" s="15"/>
      <c r="QKE240" s="15"/>
      <c r="QKF240" s="15"/>
      <c r="QKG240" s="16"/>
      <c r="QKH240" s="16"/>
      <c r="QKI240" s="16"/>
      <c r="QKJ240" s="16"/>
      <c r="QKK240" s="16"/>
      <c r="QKL240" s="15"/>
      <c r="QKM240" s="15"/>
      <c r="QKN240" s="10"/>
      <c r="QKO240" s="10"/>
      <c r="QKP240" s="19"/>
      <c r="QKQ240" s="19"/>
      <c r="QKT240" s="16"/>
      <c r="QKU240" s="15"/>
      <c r="QKV240" s="15"/>
      <c r="QKW240" s="15"/>
      <c r="QKX240" s="16"/>
      <c r="QKY240" s="16"/>
      <c r="QKZ240" s="16"/>
      <c r="QLA240" s="16"/>
      <c r="QLB240" s="16"/>
      <c r="QLC240" s="15"/>
      <c r="QLD240" s="15"/>
      <c r="QLE240" s="10"/>
      <c r="QLF240" s="10"/>
      <c r="QLG240" s="19"/>
      <c r="QLH240" s="19"/>
      <c r="QLK240" s="16"/>
      <c r="QLL240" s="15"/>
      <c r="QLM240" s="15"/>
      <c r="QLN240" s="15"/>
      <c r="QLO240" s="16"/>
      <c r="QLP240" s="16"/>
      <c r="QLQ240" s="16"/>
      <c r="QLR240" s="16"/>
      <c r="QLS240" s="16"/>
      <c r="QLT240" s="15"/>
      <c r="QLU240" s="15"/>
      <c r="QLV240" s="10"/>
      <c r="QLW240" s="10"/>
      <c r="QLX240" s="19"/>
      <c r="QLY240" s="19"/>
      <c r="QMB240" s="16"/>
      <c r="QMC240" s="15"/>
      <c r="QMD240" s="15"/>
      <c r="QME240" s="15"/>
      <c r="QMF240" s="16"/>
      <c r="QMG240" s="16"/>
      <c r="QMH240" s="16"/>
      <c r="QMI240" s="16"/>
      <c r="QMJ240" s="16"/>
      <c r="QMK240" s="15"/>
      <c r="QML240" s="15"/>
      <c r="QMM240" s="10"/>
      <c r="QMN240" s="10"/>
      <c r="QMO240" s="19"/>
      <c r="QMP240" s="19"/>
      <c r="QMS240" s="16"/>
      <c r="QMT240" s="15"/>
      <c r="QMU240" s="15"/>
      <c r="QMV240" s="15"/>
      <c r="QMW240" s="16"/>
      <c r="QMX240" s="16"/>
      <c r="QMY240" s="16"/>
      <c r="QMZ240" s="16"/>
      <c r="QNA240" s="16"/>
      <c r="QNB240" s="15"/>
      <c r="QNC240" s="15"/>
      <c r="QND240" s="10"/>
      <c r="QNE240" s="10"/>
      <c r="QNF240" s="19"/>
      <c r="QNG240" s="19"/>
      <c r="QNJ240" s="16"/>
      <c r="QNK240" s="15"/>
      <c r="QNL240" s="15"/>
      <c r="QNM240" s="15"/>
      <c r="QNN240" s="16"/>
      <c r="QNO240" s="16"/>
      <c r="QNP240" s="16"/>
      <c r="QNQ240" s="16"/>
      <c r="QNR240" s="16"/>
      <c r="QNS240" s="15"/>
      <c r="QNT240" s="15"/>
      <c r="QNU240" s="10"/>
      <c r="QNV240" s="10"/>
      <c r="QNW240" s="19"/>
      <c r="QNX240" s="19"/>
      <c r="QOA240" s="16"/>
      <c r="QOB240" s="15"/>
      <c r="QOC240" s="15"/>
      <c r="QOD240" s="15"/>
      <c r="QOE240" s="16"/>
      <c r="QOF240" s="16"/>
      <c r="QOG240" s="16"/>
      <c r="QOH240" s="16"/>
      <c r="QOI240" s="16"/>
      <c r="QOJ240" s="15"/>
      <c r="QOK240" s="15"/>
      <c r="QOL240" s="10"/>
      <c r="QOM240" s="10"/>
      <c r="QON240" s="19"/>
      <c r="QOO240" s="19"/>
      <c r="QOR240" s="16"/>
      <c r="QOS240" s="15"/>
      <c r="QOT240" s="15"/>
      <c r="QOU240" s="15"/>
      <c r="QOV240" s="16"/>
      <c r="QOW240" s="16"/>
      <c r="QOX240" s="16"/>
      <c r="QOY240" s="16"/>
      <c r="QOZ240" s="16"/>
      <c r="QPA240" s="15"/>
      <c r="QPB240" s="15"/>
      <c r="QPC240" s="10"/>
      <c r="QPD240" s="10"/>
      <c r="QPE240" s="19"/>
      <c r="QPF240" s="19"/>
      <c r="QPI240" s="16"/>
      <c r="QPJ240" s="15"/>
      <c r="QPK240" s="15"/>
      <c r="QPL240" s="15"/>
      <c r="QPM240" s="16"/>
      <c r="QPN240" s="16"/>
      <c r="QPO240" s="16"/>
      <c r="QPP240" s="16"/>
      <c r="QPQ240" s="16"/>
      <c r="QPR240" s="15"/>
      <c r="QPS240" s="15"/>
      <c r="QPT240" s="10"/>
      <c r="QPU240" s="10"/>
      <c r="QPV240" s="19"/>
      <c r="QPW240" s="19"/>
      <c r="QPZ240" s="16"/>
      <c r="QQA240" s="15"/>
      <c r="QQB240" s="15"/>
      <c r="QQC240" s="15"/>
      <c r="QQD240" s="16"/>
      <c r="QQE240" s="16"/>
      <c r="QQF240" s="16"/>
      <c r="QQG240" s="16"/>
      <c r="QQH240" s="16"/>
      <c r="QQI240" s="15"/>
      <c r="QQJ240" s="15"/>
      <c r="QQK240" s="10"/>
      <c r="QQL240" s="10"/>
      <c r="QQM240" s="19"/>
      <c r="QQN240" s="19"/>
      <c r="QQQ240" s="16"/>
      <c r="QQR240" s="15"/>
      <c r="QQS240" s="15"/>
      <c r="QQT240" s="15"/>
      <c r="QQU240" s="16"/>
      <c r="QQV240" s="16"/>
      <c r="QQW240" s="16"/>
      <c r="QQX240" s="16"/>
      <c r="QQY240" s="16"/>
      <c r="QQZ240" s="15"/>
      <c r="QRA240" s="15"/>
      <c r="QRB240" s="10"/>
      <c r="QRC240" s="10"/>
      <c r="QRD240" s="19"/>
      <c r="QRE240" s="19"/>
      <c r="QRH240" s="16"/>
      <c r="QRI240" s="15"/>
      <c r="QRJ240" s="15"/>
      <c r="QRK240" s="15"/>
      <c r="QRL240" s="16"/>
      <c r="QRM240" s="16"/>
      <c r="QRN240" s="16"/>
      <c r="QRO240" s="16"/>
      <c r="QRP240" s="16"/>
      <c r="QRQ240" s="15"/>
      <c r="QRR240" s="15"/>
      <c r="QRS240" s="10"/>
      <c r="QRT240" s="10"/>
      <c r="QRU240" s="19"/>
      <c r="QRV240" s="19"/>
      <c r="QRY240" s="16"/>
      <c r="QRZ240" s="15"/>
      <c r="QSA240" s="15"/>
      <c r="QSB240" s="15"/>
      <c r="QSC240" s="16"/>
      <c r="QSD240" s="16"/>
      <c r="QSE240" s="16"/>
      <c r="QSF240" s="16"/>
      <c r="QSG240" s="16"/>
      <c r="QSH240" s="15"/>
      <c r="QSI240" s="15"/>
      <c r="QSJ240" s="10"/>
      <c r="QSK240" s="10"/>
      <c r="QSL240" s="19"/>
      <c r="QSM240" s="19"/>
      <c r="QSP240" s="16"/>
      <c r="QSQ240" s="15"/>
      <c r="QSR240" s="15"/>
      <c r="QSS240" s="15"/>
      <c r="QST240" s="16"/>
      <c r="QSU240" s="16"/>
      <c r="QSV240" s="16"/>
      <c r="QSW240" s="16"/>
      <c r="QSX240" s="16"/>
      <c r="QSY240" s="15"/>
      <c r="QSZ240" s="15"/>
      <c r="QTA240" s="10"/>
      <c r="QTB240" s="10"/>
      <c r="QTC240" s="19"/>
      <c r="QTD240" s="19"/>
      <c r="QTG240" s="16"/>
      <c r="QTH240" s="15"/>
      <c r="QTI240" s="15"/>
      <c r="QTJ240" s="15"/>
      <c r="QTK240" s="16"/>
      <c r="QTL240" s="16"/>
      <c r="QTM240" s="16"/>
      <c r="QTN240" s="16"/>
      <c r="QTO240" s="16"/>
      <c r="QTP240" s="15"/>
      <c r="QTQ240" s="15"/>
      <c r="QTR240" s="10"/>
      <c r="QTS240" s="10"/>
      <c r="QTT240" s="19"/>
      <c r="QTU240" s="19"/>
      <c r="QTX240" s="16"/>
      <c r="QTY240" s="15"/>
      <c r="QTZ240" s="15"/>
      <c r="QUA240" s="15"/>
      <c r="QUB240" s="16"/>
      <c r="QUC240" s="16"/>
      <c r="QUD240" s="16"/>
      <c r="QUE240" s="16"/>
      <c r="QUF240" s="16"/>
      <c r="QUG240" s="15"/>
      <c r="QUH240" s="15"/>
      <c r="QUI240" s="10"/>
      <c r="QUJ240" s="10"/>
      <c r="QUK240" s="19"/>
      <c r="QUL240" s="19"/>
      <c r="QUO240" s="16"/>
      <c r="QUP240" s="15"/>
      <c r="QUQ240" s="15"/>
      <c r="QUR240" s="15"/>
      <c r="QUS240" s="16"/>
      <c r="QUT240" s="16"/>
      <c r="QUU240" s="16"/>
      <c r="QUV240" s="16"/>
      <c r="QUW240" s="16"/>
      <c r="QUX240" s="15"/>
      <c r="QUY240" s="15"/>
      <c r="QUZ240" s="10"/>
      <c r="QVA240" s="10"/>
      <c r="QVB240" s="19"/>
      <c r="QVC240" s="19"/>
      <c r="QVF240" s="16"/>
      <c r="QVG240" s="15"/>
      <c r="QVH240" s="15"/>
      <c r="QVI240" s="15"/>
      <c r="QVJ240" s="16"/>
      <c r="QVK240" s="16"/>
      <c r="QVL240" s="16"/>
      <c r="QVM240" s="16"/>
      <c r="QVN240" s="16"/>
      <c r="QVO240" s="15"/>
      <c r="QVP240" s="15"/>
      <c r="QVQ240" s="10"/>
      <c r="QVR240" s="10"/>
      <c r="QVS240" s="19"/>
      <c r="QVT240" s="19"/>
      <c r="QVW240" s="16"/>
      <c r="QVX240" s="15"/>
      <c r="QVY240" s="15"/>
      <c r="QVZ240" s="15"/>
      <c r="QWA240" s="16"/>
      <c r="QWB240" s="16"/>
      <c r="QWC240" s="16"/>
      <c r="QWD240" s="16"/>
      <c r="QWE240" s="16"/>
      <c r="QWF240" s="15"/>
      <c r="QWG240" s="15"/>
      <c r="QWH240" s="10"/>
      <c r="QWI240" s="10"/>
      <c r="QWJ240" s="19"/>
      <c r="QWK240" s="19"/>
      <c r="QWN240" s="16"/>
      <c r="QWO240" s="15"/>
      <c r="QWP240" s="15"/>
      <c r="QWQ240" s="15"/>
      <c r="QWR240" s="16"/>
      <c r="QWS240" s="16"/>
      <c r="QWT240" s="16"/>
      <c r="QWU240" s="16"/>
      <c r="QWV240" s="16"/>
      <c r="QWW240" s="15"/>
      <c r="QWX240" s="15"/>
      <c r="QWY240" s="10"/>
      <c r="QWZ240" s="10"/>
      <c r="QXA240" s="19"/>
      <c r="QXB240" s="19"/>
      <c r="QXE240" s="16"/>
      <c r="QXF240" s="15"/>
      <c r="QXG240" s="15"/>
      <c r="QXH240" s="15"/>
      <c r="QXI240" s="16"/>
      <c r="QXJ240" s="16"/>
      <c r="QXK240" s="16"/>
      <c r="QXL240" s="16"/>
      <c r="QXM240" s="16"/>
      <c r="QXN240" s="15"/>
      <c r="QXO240" s="15"/>
      <c r="QXP240" s="10"/>
      <c r="QXQ240" s="10"/>
      <c r="QXR240" s="19"/>
      <c r="QXS240" s="19"/>
      <c r="QXV240" s="16"/>
      <c r="QXW240" s="15"/>
      <c r="QXX240" s="15"/>
      <c r="QXY240" s="15"/>
      <c r="QXZ240" s="16"/>
      <c r="QYA240" s="16"/>
      <c r="QYB240" s="16"/>
      <c r="QYC240" s="16"/>
      <c r="QYD240" s="16"/>
      <c r="QYE240" s="15"/>
      <c r="QYF240" s="15"/>
      <c r="QYG240" s="10"/>
      <c r="QYH240" s="10"/>
      <c r="QYI240" s="19"/>
      <c r="QYJ240" s="19"/>
      <c r="QYM240" s="16"/>
      <c r="QYN240" s="15"/>
      <c r="QYO240" s="15"/>
      <c r="QYP240" s="15"/>
      <c r="QYQ240" s="16"/>
      <c r="QYR240" s="16"/>
      <c r="QYS240" s="16"/>
      <c r="QYT240" s="16"/>
      <c r="QYU240" s="16"/>
      <c r="QYV240" s="15"/>
      <c r="QYW240" s="15"/>
      <c r="QYX240" s="10"/>
      <c r="QYY240" s="10"/>
      <c r="QYZ240" s="19"/>
      <c r="QZA240" s="19"/>
      <c r="QZD240" s="16"/>
      <c r="QZE240" s="15"/>
      <c r="QZF240" s="15"/>
      <c r="QZG240" s="15"/>
      <c r="QZH240" s="16"/>
      <c r="QZI240" s="16"/>
      <c r="QZJ240" s="16"/>
      <c r="QZK240" s="16"/>
      <c r="QZL240" s="16"/>
      <c r="QZM240" s="15"/>
      <c r="QZN240" s="15"/>
      <c r="QZO240" s="10"/>
      <c r="QZP240" s="10"/>
      <c r="QZQ240" s="19"/>
      <c r="QZR240" s="19"/>
      <c r="QZU240" s="16"/>
      <c r="QZV240" s="15"/>
      <c r="QZW240" s="15"/>
      <c r="QZX240" s="15"/>
      <c r="QZY240" s="16"/>
      <c r="QZZ240" s="16"/>
      <c r="RAA240" s="16"/>
      <c r="RAB240" s="16"/>
      <c r="RAC240" s="16"/>
      <c r="RAD240" s="15"/>
      <c r="RAE240" s="15"/>
      <c r="RAF240" s="10"/>
      <c r="RAG240" s="10"/>
      <c r="RAH240" s="19"/>
      <c r="RAI240" s="19"/>
      <c r="RAL240" s="16"/>
      <c r="RAM240" s="15"/>
      <c r="RAN240" s="15"/>
      <c r="RAO240" s="15"/>
      <c r="RAP240" s="16"/>
      <c r="RAQ240" s="16"/>
      <c r="RAR240" s="16"/>
      <c r="RAS240" s="16"/>
      <c r="RAT240" s="16"/>
      <c r="RAU240" s="15"/>
      <c r="RAV240" s="15"/>
      <c r="RAW240" s="10"/>
      <c r="RAX240" s="10"/>
      <c r="RAY240" s="19"/>
      <c r="RAZ240" s="19"/>
      <c r="RBC240" s="16"/>
      <c r="RBD240" s="15"/>
      <c r="RBE240" s="15"/>
      <c r="RBF240" s="15"/>
      <c r="RBG240" s="16"/>
      <c r="RBH240" s="16"/>
      <c r="RBI240" s="16"/>
      <c r="RBJ240" s="16"/>
      <c r="RBK240" s="16"/>
      <c r="RBL240" s="15"/>
      <c r="RBM240" s="15"/>
      <c r="RBN240" s="10"/>
      <c r="RBO240" s="10"/>
      <c r="RBP240" s="19"/>
      <c r="RBQ240" s="19"/>
      <c r="RBT240" s="16"/>
      <c r="RBU240" s="15"/>
      <c r="RBV240" s="15"/>
      <c r="RBW240" s="15"/>
      <c r="RBX240" s="16"/>
      <c r="RBY240" s="16"/>
      <c r="RBZ240" s="16"/>
      <c r="RCA240" s="16"/>
      <c r="RCB240" s="16"/>
      <c r="RCC240" s="15"/>
      <c r="RCD240" s="15"/>
      <c r="RCE240" s="10"/>
      <c r="RCF240" s="10"/>
      <c r="RCG240" s="19"/>
      <c r="RCH240" s="19"/>
      <c r="RCK240" s="16"/>
      <c r="RCL240" s="15"/>
      <c r="RCM240" s="15"/>
      <c r="RCN240" s="15"/>
      <c r="RCO240" s="16"/>
      <c r="RCP240" s="16"/>
      <c r="RCQ240" s="16"/>
      <c r="RCR240" s="16"/>
      <c r="RCS240" s="16"/>
      <c r="RCT240" s="15"/>
      <c r="RCU240" s="15"/>
      <c r="RCV240" s="10"/>
      <c r="RCW240" s="10"/>
      <c r="RCX240" s="19"/>
      <c r="RCY240" s="19"/>
      <c r="RDB240" s="16"/>
      <c r="RDC240" s="15"/>
      <c r="RDD240" s="15"/>
      <c r="RDE240" s="15"/>
      <c r="RDF240" s="16"/>
      <c r="RDG240" s="16"/>
      <c r="RDH240" s="16"/>
      <c r="RDI240" s="16"/>
      <c r="RDJ240" s="16"/>
      <c r="RDK240" s="15"/>
      <c r="RDL240" s="15"/>
      <c r="RDM240" s="10"/>
      <c r="RDN240" s="10"/>
      <c r="RDO240" s="19"/>
      <c r="RDP240" s="19"/>
      <c r="RDS240" s="16"/>
      <c r="RDT240" s="15"/>
      <c r="RDU240" s="15"/>
      <c r="RDV240" s="15"/>
      <c r="RDW240" s="16"/>
      <c r="RDX240" s="16"/>
      <c r="RDY240" s="16"/>
      <c r="RDZ240" s="16"/>
      <c r="REA240" s="16"/>
      <c r="REB240" s="15"/>
      <c r="REC240" s="15"/>
      <c r="RED240" s="10"/>
      <c r="REE240" s="10"/>
      <c r="REF240" s="19"/>
      <c r="REG240" s="19"/>
      <c r="REJ240" s="16"/>
      <c r="REK240" s="15"/>
      <c r="REL240" s="15"/>
      <c r="REM240" s="15"/>
      <c r="REN240" s="16"/>
      <c r="REO240" s="16"/>
      <c r="REP240" s="16"/>
      <c r="REQ240" s="16"/>
      <c r="RER240" s="16"/>
      <c r="RES240" s="15"/>
      <c r="RET240" s="15"/>
      <c r="REU240" s="10"/>
      <c r="REV240" s="10"/>
      <c r="REW240" s="19"/>
      <c r="REX240" s="19"/>
      <c r="RFA240" s="16"/>
      <c r="RFB240" s="15"/>
      <c r="RFC240" s="15"/>
      <c r="RFD240" s="15"/>
      <c r="RFE240" s="16"/>
      <c r="RFF240" s="16"/>
      <c r="RFG240" s="16"/>
      <c r="RFH240" s="16"/>
      <c r="RFI240" s="16"/>
      <c r="RFJ240" s="15"/>
      <c r="RFK240" s="15"/>
      <c r="RFL240" s="10"/>
      <c r="RFM240" s="10"/>
      <c r="RFN240" s="19"/>
      <c r="RFO240" s="19"/>
      <c r="RFR240" s="16"/>
      <c r="RFS240" s="15"/>
      <c r="RFT240" s="15"/>
      <c r="RFU240" s="15"/>
      <c r="RFV240" s="16"/>
      <c r="RFW240" s="16"/>
      <c r="RFX240" s="16"/>
      <c r="RFY240" s="16"/>
      <c r="RFZ240" s="16"/>
      <c r="RGA240" s="15"/>
      <c r="RGB240" s="15"/>
      <c r="RGC240" s="10"/>
      <c r="RGD240" s="10"/>
      <c r="RGE240" s="19"/>
      <c r="RGF240" s="19"/>
      <c r="RGI240" s="16"/>
      <c r="RGJ240" s="15"/>
      <c r="RGK240" s="15"/>
      <c r="RGL240" s="15"/>
      <c r="RGM240" s="16"/>
      <c r="RGN240" s="16"/>
      <c r="RGO240" s="16"/>
      <c r="RGP240" s="16"/>
      <c r="RGQ240" s="16"/>
      <c r="RGR240" s="15"/>
      <c r="RGS240" s="15"/>
      <c r="RGT240" s="10"/>
      <c r="RGU240" s="10"/>
      <c r="RGV240" s="19"/>
      <c r="RGW240" s="19"/>
      <c r="RGZ240" s="16"/>
      <c r="RHA240" s="15"/>
      <c r="RHB240" s="15"/>
      <c r="RHC240" s="15"/>
      <c r="RHD240" s="16"/>
      <c r="RHE240" s="16"/>
      <c r="RHF240" s="16"/>
      <c r="RHG240" s="16"/>
      <c r="RHH240" s="16"/>
      <c r="RHI240" s="15"/>
      <c r="RHJ240" s="15"/>
      <c r="RHK240" s="10"/>
      <c r="RHL240" s="10"/>
      <c r="RHM240" s="19"/>
      <c r="RHN240" s="19"/>
      <c r="RHQ240" s="16"/>
      <c r="RHR240" s="15"/>
      <c r="RHS240" s="15"/>
      <c r="RHT240" s="15"/>
      <c r="RHU240" s="16"/>
      <c r="RHV240" s="16"/>
      <c r="RHW240" s="16"/>
      <c r="RHX240" s="16"/>
      <c r="RHY240" s="16"/>
      <c r="RHZ240" s="15"/>
      <c r="RIA240" s="15"/>
      <c r="RIB240" s="10"/>
      <c r="RIC240" s="10"/>
      <c r="RID240" s="19"/>
      <c r="RIE240" s="19"/>
      <c r="RIH240" s="16"/>
      <c r="RII240" s="15"/>
      <c r="RIJ240" s="15"/>
      <c r="RIK240" s="15"/>
      <c r="RIL240" s="16"/>
      <c r="RIM240" s="16"/>
      <c r="RIN240" s="16"/>
      <c r="RIO240" s="16"/>
      <c r="RIP240" s="16"/>
      <c r="RIQ240" s="15"/>
      <c r="RIR240" s="15"/>
      <c r="RIS240" s="10"/>
      <c r="RIT240" s="10"/>
      <c r="RIU240" s="19"/>
      <c r="RIV240" s="19"/>
      <c r="RIY240" s="16"/>
      <c r="RIZ240" s="15"/>
      <c r="RJA240" s="15"/>
      <c r="RJB240" s="15"/>
      <c r="RJC240" s="16"/>
      <c r="RJD240" s="16"/>
      <c r="RJE240" s="16"/>
      <c r="RJF240" s="16"/>
      <c r="RJG240" s="16"/>
      <c r="RJH240" s="15"/>
      <c r="RJI240" s="15"/>
      <c r="RJJ240" s="10"/>
      <c r="RJK240" s="10"/>
      <c r="RJL240" s="19"/>
      <c r="RJM240" s="19"/>
      <c r="RJP240" s="16"/>
      <c r="RJQ240" s="15"/>
      <c r="RJR240" s="15"/>
      <c r="RJS240" s="15"/>
      <c r="RJT240" s="16"/>
      <c r="RJU240" s="16"/>
      <c r="RJV240" s="16"/>
      <c r="RJW240" s="16"/>
      <c r="RJX240" s="16"/>
      <c r="RJY240" s="15"/>
      <c r="RJZ240" s="15"/>
      <c r="RKA240" s="10"/>
      <c r="RKB240" s="10"/>
      <c r="RKC240" s="19"/>
      <c r="RKD240" s="19"/>
      <c r="RKG240" s="16"/>
      <c r="RKH240" s="15"/>
      <c r="RKI240" s="15"/>
      <c r="RKJ240" s="15"/>
      <c r="RKK240" s="16"/>
      <c r="RKL240" s="16"/>
      <c r="RKM240" s="16"/>
      <c r="RKN240" s="16"/>
      <c r="RKO240" s="16"/>
      <c r="RKP240" s="15"/>
      <c r="RKQ240" s="15"/>
      <c r="RKR240" s="10"/>
      <c r="RKS240" s="10"/>
      <c r="RKT240" s="19"/>
      <c r="RKU240" s="19"/>
      <c r="RKX240" s="16"/>
      <c r="RKY240" s="15"/>
      <c r="RKZ240" s="15"/>
      <c r="RLA240" s="15"/>
      <c r="RLB240" s="16"/>
      <c r="RLC240" s="16"/>
      <c r="RLD240" s="16"/>
      <c r="RLE240" s="16"/>
      <c r="RLF240" s="16"/>
      <c r="RLG240" s="15"/>
      <c r="RLH240" s="15"/>
      <c r="RLI240" s="10"/>
      <c r="RLJ240" s="10"/>
      <c r="RLK240" s="19"/>
      <c r="RLL240" s="19"/>
      <c r="RLO240" s="16"/>
      <c r="RLP240" s="15"/>
      <c r="RLQ240" s="15"/>
      <c r="RLR240" s="15"/>
      <c r="RLS240" s="16"/>
      <c r="RLT240" s="16"/>
      <c r="RLU240" s="16"/>
      <c r="RLV240" s="16"/>
      <c r="RLW240" s="16"/>
      <c r="RLX240" s="15"/>
      <c r="RLY240" s="15"/>
      <c r="RLZ240" s="10"/>
      <c r="RMA240" s="10"/>
      <c r="RMB240" s="19"/>
      <c r="RMC240" s="19"/>
      <c r="RMF240" s="16"/>
      <c r="RMG240" s="15"/>
      <c r="RMH240" s="15"/>
      <c r="RMI240" s="15"/>
      <c r="RMJ240" s="16"/>
      <c r="RMK240" s="16"/>
      <c r="RML240" s="16"/>
      <c r="RMM240" s="16"/>
      <c r="RMN240" s="16"/>
      <c r="RMO240" s="15"/>
      <c r="RMP240" s="15"/>
      <c r="RMQ240" s="10"/>
      <c r="RMR240" s="10"/>
      <c r="RMS240" s="19"/>
      <c r="RMT240" s="19"/>
      <c r="RMW240" s="16"/>
      <c r="RMX240" s="15"/>
      <c r="RMY240" s="15"/>
      <c r="RMZ240" s="15"/>
      <c r="RNA240" s="16"/>
      <c r="RNB240" s="16"/>
      <c r="RNC240" s="16"/>
      <c r="RND240" s="16"/>
      <c r="RNE240" s="16"/>
      <c r="RNF240" s="15"/>
      <c r="RNG240" s="15"/>
      <c r="RNH240" s="10"/>
      <c r="RNI240" s="10"/>
      <c r="RNJ240" s="19"/>
      <c r="RNK240" s="19"/>
      <c r="RNN240" s="16"/>
      <c r="RNO240" s="15"/>
      <c r="RNP240" s="15"/>
      <c r="RNQ240" s="15"/>
      <c r="RNR240" s="16"/>
      <c r="RNS240" s="16"/>
      <c r="RNT240" s="16"/>
      <c r="RNU240" s="16"/>
      <c r="RNV240" s="16"/>
      <c r="RNW240" s="15"/>
      <c r="RNX240" s="15"/>
      <c r="RNY240" s="10"/>
      <c r="RNZ240" s="10"/>
      <c r="ROA240" s="19"/>
      <c r="ROB240" s="19"/>
      <c r="ROE240" s="16"/>
      <c r="ROF240" s="15"/>
      <c r="ROG240" s="15"/>
      <c r="ROH240" s="15"/>
      <c r="ROI240" s="16"/>
      <c r="ROJ240" s="16"/>
      <c r="ROK240" s="16"/>
      <c r="ROL240" s="16"/>
      <c r="ROM240" s="16"/>
      <c r="RON240" s="15"/>
      <c r="ROO240" s="15"/>
      <c r="ROP240" s="10"/>
      <c r="ROQ240" s="10"/>
      <c r="ROR240" s="19"/>
      <c r="ROS240" s="19"/>
      <c r="ROV240" s="16"/>
      <c r="ROW240" s="15"/>
      <c r="ROX240" s="15"/>
      <c r="ROY240" s="15"/>
      <c r="ROZ240" s="16"/>
      <c r="RPA240" s="16"/>
      <c r="RPB240" s="16"/>
      <c r="RPC240" s="16"/>
      <c r="RPD240" s="16"/>
      <c r="RPE240" s="15"/>
      <c r="RPF240" s="15"/>
      <c r="RPG240" s="10"/>
      <c r="RPH240" s="10"/>
      <c r="RPI240" s="19"/>
      <c r="RPJ240" s="19"/>
      <c r="RPM240" s="16"/>
      <c r="RPN240" s="15"/>
      <c r="RPO240" s="15"/>
      <c r="RPP240" s="15"/>
      <c r="RPQ240" s="16"/>
      <c r="RPR240" s="16"/>
      <c r="RPS240" s="16"/>
      <c r="RPT240" s="16"/>
      <c r="RPU240" s="16"/>
      <c r="RPV240" s="15"/>
      <c r="RPW240" s="15"/>
      <c r="RPX240" s="10"/>
      <c r="RPY240" s="10"/>
      <c r="RPZ240" s="19"/>
      <c r="RQA240" s="19"/>
      <c r="RQD240" s="16"/>
      <c r="RQE240" s="15"/>
      <c r="RQF240" s="15"/>
      <c r="RQG240" s="15"/>
      <c r="RQH240" s="16"/>
      <c r="RQI240" s="16"/>
      <c r="RQJ240" s="16"/>
      <c r="RQK240" s="16"/>
      <c r="RQL240" s="16"/>
      <c r="RQM240" s="15"/>
      <c r="RQN240" s="15"/>
      <c r="RQO240" s="10"/>
      <c r="RQP240" s="10"/>
      <c r="RQQ240" s="19"/>
      <c r="RQR240" s="19"/>
      <c r="RQU240" s="16"/>
      <c r="RQV240" s="15"/>
      <c r="RQW240" s="15"/>
      <c r="RQX240" s="15"/>
      <c r="RQY240" s="16"/>
      <c r="RQZ240" s="16"/>
      <c r="RRA240" s="16"/>
      <c r="RRB240" s="16"/>
      <c r="RRC240" s="16"/>
      <c r="RRD240" s="15"/>
      <c r="RRE240" s="15"/>
      <c r="RRF240" s="10"/>
      <c r="RRG240" s="10"/>
      <c r="RRH240" s="19"/>
      <c r="RRI240" s="19"/>
      <c r="RRL240" s="16"/>
      <c r="RRM240" s="15"/>
      <c r="RRN240" s="15"/>
      <c r="RRO240" s="15"/>
      <c r="RRP240" s="16"/>
      <c r="RRQ240" s="16"/>
      <c r="RRR240" s="16"/>
      <c r="RRS240" s="16"/>
      <c r="RRT240" s="16"/>
      <c r="RRU240" s="15"/>
      <c r="RRV240" s="15"/>
      <c r="RRW240" s="10"/>
      <c r="RRX240" s="10"/>
      <c r="RRY240" s="19"/>
      <c r="RRZ240" s="19"/>
      <c r="RSC240" s="16"/>
      <c r="RSD240" s="15"/>
      <c r="RSE240" s="15"/>
      <c r="RSF240" s="15"/>
      <c r="RSG240" s="16"/>
      <c r="RSH240" s="16"/>
      <c r="RSI240" s="16"/>
      <c r="RSJ240" s="16"/>
      <c r="RSK240" s="16"/>
      <c r="RSL240" s="15"/>
      <c r="RSM240" s="15"/>
      <c r="RSN240" s="10"/>
      <c r="RSO240" s="10"/>
      <c r="RSP240" s="19"/>
      <c r="RSQ240" s="19"/>
      <c r="RST240" s="16"/>
      <c r="RSU240" s="15"/>
      <c r="RSV240" s="15"/>
      <c r="RSW240" s="15"/>
      <c r="RSX240" s="16"/>
      <c r="RSY240" s="16"/>
      <c r="RSZ240" s="16"/>
      <c r="RTA240" s="16"/>
      <c r="RTB240" s="16"/>
      <c r="RTC240" s="15"/>
      <c r="RTD240" s="15"/>
      <c r="RTE240" s="10"/>
      <c r="RTF240" s="10"/>
      <c r="RTG240" s="19"/>
      <c r="RTH240" s="19"/>
      <c r="RTK240" s="16"/>
      <c r="RTL240" s="15"/>
      <c r="RTM240" s="15"/>
      <c r="RTN240" s="15"/>
      <c r="RTO240" s="16"/>
      <c r="RTP240" s="16"/>
      <c r="RTQ240" s="16"/>
      <c r="RTR240" s="16"/>
      <c r="RTS240" s="16"/>
      <c r="RTT240" s="15"/>
      <c r="RTU240" s="15"/>
      <c r="RTV240" s="10"/>
      <c r="RTW240" s="10"/>
      <c r="RTX240" s="19"/>
      <c r="RTY240" s="19"/>
      <c r="RUB240" s="16"/>
      <c r="RUC240" s="15"/>
      <c r="RUD240" s="15"/>
      <c r="RUE240" s="15"/>
      <c r="RUF240" s="16"/>
      <c r="RUG240" s="16"/>
      <c r="RUH240" s="16"/>
      <c r="RUI240" s="16"/>
      <c r="RUJ240" s="16"/>
      <c r="RUK240" s="15"/>
      <c r="RUL240" s="15"/>
      <c r="RUM240" s="10"/>
      <c r="RUN240" s="10"/>
      <c r="RUO240" s="19"/>
      <c r="RUP240" s="19"/>
      <c r="RUS240" s="16"/>
      <c r="RUT240" s="15"/>
      <c r="RUU240" s="15"/>
      <c r="RUV240" s="15"/>
      <c r="RUW240" s="16"/>
      <c r="RUX240" s="16"/>
      <c r="RUY240" s="16"/>
      <c r="RUZ240" s="16"/>
      <c r="RVA240" s="16"/>
      <c r="RVB240" s="15"/>
      <c r="RVC240" s="15"/>
      <c r="RVD240" s="10"/>
      <c r="RVE240" s="10"/>
      <c r="RVF240" s="19"/>
      <c r="RVG240" s="19"/>
      <c r="RVJ240" s="16"/>
      <c r="RVK240" s="15"/>
      <c r="RVL240" s="15"/>
      <c r="RVM240" s="15"/>
      <c r="RVN240" s="16"/>
      <c r="RVO240" s="16"/>
      <c r="RVP240" s="16"/>
      <c r="RVQ240" s="16"/>
      <c r="RVR240" s="16"/>
      <c r="RVS240" s="15"/>
      <c r="RVT240" s="15"/>
      <c r="RVU240" s="10"/>
      <c r="RVV240" s="10"/>
      <c r="RVW240" s="19"/>
      <c r="RVX240" s="19"/>
      <c r="RWA240" s="16"/>
      <c r="RWB240" s="15"/>
      <c r="RWC240" s="15"/>
      <c r="RWD240" s="15"/>
      <c r="RWE240" s="16"/>
      <c r="RWF240" s="16"/>
      <c r="RWG240" s="16"/>
      <c r="RWH240" s="16"/>
      <c r="RWI240" s="16"/>
      <c r="RWJ240" s="15"/>
      <c r="RWK240" s="15"/>
      <c r="RWL240" s="10"/>
      <c r="RWM240" s="10"/>
      <c r="RWN240" s="19"/>
      <c r="RWO240" s="19"/>
      <c r="RWR240" s="16"/>
      <c r="RWS240" s="15"/>
      <c r="RWT240" s="15"/>
      <c r="RWU240" s="15"/>
      <c r="RWV240" s="16"/>
      <c r="RWW240" s="16"/>
      <c r="RWX240" s="16"/>
      <c r="RWY240" s="16"/>
      <c r="RWZ240" s="16"/>
      <c r="RXA240" s="15"/>
      <c r="RXB240" s="15"/>
      <c r="RXC240" s="10"/>
      <c r="RXD240" s="10"/>
      <c r="RXE240" s="19"/>
      <c r="RXF240" s="19"/>
      <c r="RXI240" s="16"/>
      <c r="RXJ240" s="15"/>
      <c r="RXK240" s="15"/>
      <c r="RXL240" s="15"/>
      <c r="RXM240" s="16"/>
      <c r="RXN240" s="16"/>
      <c r="RXO240" s="16"/>
      <c r="RXP240" s="16"/>
      <c r="RXQ240" s="16"/>
      <c r="RXR240" s="15"/>
      <c r="RXS240" s="15"/>
      <c r="RXT240" s="10"/>
      <c r="RXU240" s="10"/>
      <c r="RXV240" s="19"/>
      <c r="RXW240" s="19"/>
      <c r="RXZ240" s="16"/>
      <c r="RYA240" s="15"/>
      <c r="RYB240" s="15"/>
      <c r="RYC240" s="15"/>
      <c r="RYD240" s="16"/>
      <c r="RYE240" s="16"/>
      <c r="RYF240" s="16"/>
      <c r="RYG240" s="16"/>
      <c r="RYH240" s="16"/>
      <c r="RYI240" s="15"/>
      <c r="RYJ240" s="15"/>
      <c r="RYK240" s="10"/>
      <c r="RYL240" s="10"/>
      <c r="RYM240" s="19"/>
      <c r="RYN240" s="19"/>
      <c r="RYQ240" s="16"/>
      <c r="RYR240" s="15"/>
      <c r="RYS240" s="15"/>
      <c r="RYT240" s="15"/>
      <c r="RYU240" s="16"/>
      <c r="RYV240" s="16"/>
      <c r="RYW240" s="16"/>
      <c r="RYX240" s="16"/>
      <c r="RYY240" s="16"/>
      <c r="RYZ240" s="15"/>
      <c r="RZA240" s="15"/>
      <c r="RZB240" s="10"/>
      <c r="RZC240" s="10"/>
      <c r="RZD240" s="19"/>
      <c r="RZE240" s="19"/>
      <c r="RZH240" s="16"/>
      <c r="RZI240" s="15"/>
      <c r="RZJ240" s="15"/>
      <c r="RZK240" s="15"/>
      <c r="RZL240" s="16"/>
      <c r="RZM240" s="16"/>
      <c r="RZN240" s="16"/>
      <c r="RZO240" s="16"/>
      <c r="RZP240" s="16"/>
      <c r="RZQ240" s="15"/>
      <c r="RZR240" s="15"/>
      <c r="RZS240" s="10"/>
      <c r="RZT240" s="10"/>
      <c r="RZU240" s="19"/>
      <c r="RZV240" s="19"/>
      <c r="RZY240" s="16"/>
      <c r="RZZ240" s="15"/>
      <c r="SAA240" s="15"/>
      <c r="SAB240" s="15"/>
      <c r="SAC240" s="16"/>
      <c r="SAD240" s="16"/>
      <c r="SAE240" s="16"/>
      <c r="SAF240" s="16"/>
      <c r="SAG240" s="16"/>
      <c r="SAH240" s="15"/>
      <c r="SAI240" s="15"/>
      <c r="SAJ240" s="10"/>
      <c r="SAK240" s="10"/>
      <c r="SAL240" s="19"/>
      <c r="SAM240" s="19"/>
      <c r="SAP240" s="16"/>
      <c r="SAQ240" s="15"/>
      <c r="SAR240" s="15"/>
      <c r="SAS240" s="15"/>
      <c r="SAT240" s="16"/>
      <c r="SAU240" s="16"/>
      <c r="SAV240" s="16"/>
      <c r="SAW240" s="16"/>
      <c r="SAX240" s="16"/>
      <c r="SAY240" s="15"/>
      <c r="SAZ240" s="15"/>
      <c r="SBA240" s="10"/>
      <c r="SBB240" s="10"/>
      <c r="SBC240" s="19"/>
      <c r="SBD240" s="19"/>
      <c r="SBG240" s="16"/>
      <c r="SBH240" s="15"/>
      <c r="SBI240" s="15"/>
      <c r="SBJ240" s="15"/>
      <c r="SBK240" s="16"/>
      <c r="SBL240" s="16"/>
      <c r="SBM240" s="16"/>
      <c r="SBN240" s="16"/>
      <c r="SBO240" s="16"/>
      <c r="SBP240" s="15"/>
      <c r="SBQ240" s="15"/>
      <c r="SBR240" s="10"/>
      <c r="SBS240" s="10"/>
      <c r="SBT240" s="19"/>
      <c r="SBU240" s="19"/>
      <c r="SBX240" s="16"/>
      <c r="SBY240" s="15"/>
      <c r="SBZ240" s="15"/>
      <c r="SCA240" s="15"/>
      <c r="SCB240" s="16"/>
      <c r="SCC240" s="16"/>
      <c r="SCD240" s="16"/>
      <c r="SCE240" s="16"/>
      <c r="SCF240" s="16"/>
      <c r="SCG240" s="15"/>
      <c r="SCH240" s="15"/>
      <c r="SCI240" s="10"/>
      <c r="SCJ240" s="10"/>
      <c r="SCK240" s="19"/>
      <c r="SCL240" s="19"/>
      <c r="SCO240" s="16"/>
      <c r="SCP240" s="15"/>
      <c r="SCQ240" s="15"/>
      <c r="SCR240" s="15"/>
      <c r="SCS240" s="16"/>
      <c r="SCT240" s="16"/>
      <c r="SCU240" s="16"/>
      <c r="SCV240" s="16"/>
      <c r="SCW240" s="16"/>
      <c r="SCX240" s="15"/>
      <c r="SCY240" s="15"/>
      <c r="SCZ240" s="10"/>
      <c r="SDA240" s="10"/>
      <c r="SDB240" s="19"/>
      <c r="SDC240" s="19"/>
      <c r="SDF240" s="16"/>
      <c r="SDG240" s="15"/>
      <c r="SDH240" s="15"/>
      <c r="SDI240" s="15"/>
      <c r="SDJ240" s="16"/>
      <c r="SDK240" s="16"/>
      <c r="SDL240" s="16"/>
      <c r="SDM240" s="16"/>
      <c r="SDN240" s="16"/>
      <c r="SDO240" s="15"/>
      <c r="SDP240" s="15"/>
      <c r="SDQ240" s="10"/>
      <c r="SDR240" s="10"/>
      <c r="SDS240" s="19"/>
      <c r="SDT240" s="19"/>
      <c r="SDW240" s="16"/>
      <c r="SDX240" s="15"/>
      <c r="SDY240" s="15"/>
      <c r="SDZ240" s="15"/>
      <c r="SEA240" s="16"/>
      <c r="SEB240" s="16"/>
      <c r="SEC240" s="16"/>
      <c r="SED240" s="16"/>
      <c r="SEE240" s="16"/>
      <c r="SEF240" s="15"/>
      <c r="SEG240" s="15"/>
      <c r="SEH240" s="10"/>
      <c r="SEI240" s="10"/>
      <c r="SEJ240" s="19"/>
      <c r="SEK240" s="19"/>
      <c r="SEN240" s="16"/>
      <c r="SEO240" s="15"/>
      <c r="SEP240" s="15"/>
      <c r="SEQ240" s="15"/>
      <c r="SER240" s="16"/>
      <c r="SES240" s="16"/>
      <c r="SET240" s="16"/>
      <c r="SEU240" s="16"/>
      <c r="SEV240" s="16"/>
      <c r="SEW240" s="15"/>
      <c r="SEX240" s="15"/>
      <c r="SEY240" s="10"/>
      <c r="SEZ240" s="10"/>
      <c r="SFA240" s="19"/>
      <c r="SFB240" s="19"/>
      <c r="SFE240" s="16"/>
      <c r="SFF240" s="15"/>
      <c r="SFG240" s="15"/>
      <c r="SFH240" s="15"/>
      <c r="SFI240" s="16"/>
      <c r="SFJ240" s="16"/>
      <c r="SFK240" s="16"/>
      <c r="SFL240" s="16"/>
      <c r="SFM240" s="16"/>
      <c r="SFN240" s="15"/>
      <c r="SFO240" s="15"/>
      <c r="SFP240" s="10"/>
      <c r="SFQ240" s="10"/>
      <c r="SFR240" s="19"/>
      <c r="SFS240" s="19"/>
      <c r="SFV240" s="16"/>
      <c r="SFW240" s="15"/>
      <c r="SFX240" s="15"/>
      <c r="SFY240" s="15"/>
      <c r="SFZ240" s="16"/>
      <c r="SGA240" s="16"/>
      <c r="SGB240" s="16"/>
      <c r="SGC240" s="16"/>
      <c r="SGD240" s="16"/>
      <c r="SGE240" s="15"/>
      <c r="SGF240" s="15"/>
      <c r="SGG240" s="10"/>
      <c r="SGH240" s="10"/>
      <c r="SGI240" s="19"/>
      <c r="SGJ240" s="19"/>
      <c r="SGM240" s="16"/>
      <c r="SGN240" s="15"/>
      <c r="SGO240" s="15"/>
      <c r="SGP240" s="15"/>
      <c r="SGQ240" s="16"/>
      <c r="SGR240" s="16"/>
      <c r="SGS240" s="16"/>
      <c r="SGT240" s="16"/>
      <c r="SGU240" s="16"/>
      <c r="SGV240" s="15"/>
      <c r="SGW240" s="15"/>
      <c r="SGX240" s="10"/>
      <c r="SGY240" s="10"/>
      <c r="SGZ240" s="19"/>
      <c r="SHA240" s="19"/>
      <c r="SHD240" s="16"/>
      <c r="SHE240" s="15"/>
      <c r="SHF240" s="15"/>
      <c r="SHG240" s="15"/>
      <c r="SHH240" s="16"/>
      <c r="SHI240" s="16"/>
      <c r="SHJ240" s="16"/>
      <c r="SHK240" s="16"/>
      <c r="SHL240" s="16"/>
      <c r="SHM240" s="15"/>
      <c r="SHN240" s="15"/>
      <c r="SHO240" s="10"/>
      <c r="SHP240" s="10"/>
      <c r="SHQ240" s="19"/>
      <c r="SHR240" s="19"/>
      <c r="SHU240" s="16"/>
      <c r="SHV240" s="15"/>
      <c r="SHW240" s="15"/>
      <c r="SHX240" s="15"/>
      <c r="SHY240" s="16"/>
      <c r="SHZ240" s="16"/>
      <c r="SIA240" s="16"/>
      <c r="SIB240" s="16"/>
      <c r="SIC240" s="16"/>
      <c r="SID240" s="15"/>
      <c r="SIE240" s="15"/>
      <c r="SIF240" s="10"/>
      <c r="SIG240" s="10"/>
      <c r="SIH240" s="19"/>
      <c r="SII240" s="19"/>
      <c r="SIL240" s="16"/>
      <c r="SIM240" s="15"/>
      <c r="SIN240" s="15"/>
      <c r="SIO240" s="15"/>
      <c r="SIP240" s="16"/>
      <c r="SIQ240" s="16"/>
      <c r="SIR240" s="16"/>
      <c r="SIS240" s="16"/>
      <c r="SIT240" s="16"/>
      <c r="SIU240" s="15"/>
      <c r="SIV240" s="15"/>
      <c r="SIW240" s="10"/>
      <c r="SIX240" s="10"/>
      <c r="SIY240" s="19"/>
      <c r="SIZ240" s="19"/>
      <c r="SJC240" s="16"/>
      <c r="SJD240" s="15"/>
      <c r="SJE240" s="15"/>
      <c r="SJF240" s="15"/>
      <c r="SJG240" s="16"/>
      <c r="SJH240" s="16"/>
      <c r="SJI240" s="16"/>
      <c r="SJJ240" s="16"/>
      <c r="SJK240" s="16"/>
      <c r="SJL240" s="15"/>
      <c r="SJM240" s="15"/>
      <c r="SJN240" s="10"/>
      <c r="SJO240" s="10"/>
      <c r="SJP240" s="19"/>
      <c r="SJQ240" s="19"/>
      <c r="SJT240" s="16"/>
      <c r="SJU240" s="15"/>
      <c r="SJV240" s="15"/>
      <c r="SJW240" s="15"/>
      <c r="SJX240" s="16"/>
      <c r="SJY240" s="16"/>
      <c r="SJZ240" s="16"/>
      <c r="SKA240" s="16"/>
      <c r="SKB240" s="16"/>
      <c r="SKC240" s="15"/>
      <c r="SKD240" s="15"/>
      <c r="SKE240" s="10"/>
      <c r="SKF240" s="10"/>
      <c r="SKG240" s="19"/>
      <c r="SKH240" s="19"/>
      <c r="SKK240" s="16"/>
      <c r="SKL240" s="15"/>
      <c r="SKM240" s="15"/>
      <c r="SKN240" s="15"/>
      <c r="SKO240" s="16"/>
      <c r="SKP240" s="16"/>
      <c r="SKQ240" s="16"/>
      <c r="SKR240" s="16"/>
      <c r="SKS240" s="16"/>
      <c r="SKT240" s="15"/>
      <c r="SKU240" s="15"/>
      <c r="SKV240" s="10"/>
      <c r="SKW240" s="10"/>
      <c r="SKX240" s="19"/>
      <c r="SKY240" s="19"/>
      <c r="SLB240" s="16"/>
      <c r="SLC240" s="15"/>
      <c r="SLD240" s="15"/>
      <c r="SLE240" s="15"/>
      <c r="SLF240" s="16"/>
      <c r="SLG240" s="16"/>
      <c r="SLH240" s="16"/>
      <c r="SLI240" s="16"/>
      <c r="SLJ240" s="16"/>
      <c r="SLK240" s="15"/>
      <c r="SLL240" s="15"/>
      <c r="SLM240" s="10"/>
      <c r="SLN240" s="10"/>
      <c r="SLO240" s="19"/>
      <c r="SLP240" s="19"/>
      <c r="SLS240" s="16"/>
      <c r="SLT240" s="15"/>
      <c r="SLU240" s="15"/>
      <c r="SLV240" s="15"/>
      <c r="SLW240" s="16"/>
      <c r="SLX240" s="16"/>
      <c r="SLY240" s="16"/>
      <c r="SLZ240" s="16"/>
      <c r="SMA240" s="16"/>
      <c r="SMB240" s="15"/>
      <c r="SMC240" s="15"/>
      <c r="SMD240" s="10"/>
      <c r="SME240" s="10"/>
      <c r="SMF240" s="19"/>
      <c r="SMG240" s="19"/>
      <c r="SMJ240" s="16"/>
      <c r="SMK240" s="15"/>
      <c r="SML240" s="15"/>
      <c r="SMM240" s="15"/>
      <c r="SMN240" s="16"/>
      <c r="SMO240" s="16"/>
      <c r="SMP240" s="16"/>
      <c r="SMQ240" s="16"/>
      <c r="SMR240" s="16"/>
      <c r="SMS240" s="15"/>
      <c r="SMT240" s="15"/>
      <c r="SMU240" s="10"/>
      <c r="SMV240" s="10"/>
      <c r="SMW240" s="19"/>
      <c r="SMX240" s="19"/>
      <c r="SNA240" s="16"/>
      <c r="SNB240" s="15"/>
      <c r="SNC240" s="15"/>
      <c r="SND240" s="15"/>
      <c r="SNE240" s="16"/>
      <c r="SNF240" s="16"/>
      <c r="SNG240" s="16"/>
      <c r="SNH240" s="16"/>
      <c r="SNI240" s="16"/>
      <c r="SNJ240" s="15"/>
      <c r="SNK240" s="15"/>
      <c r="SNL240" s="10"/>
      <c r="SNM240" s="10"/>
      <c r="SNN240" s="19"/>
      <c r="SNO240" s="19"/>
      <c r="SNR240" s="16"/>
      <c r="SNS240" s="15"/>
      <c r="SNT240" s="15"/>
      <c r="SNU240" s="15"/>
      <c r="SNV240" s="16"/>
      <c r="SNW240" s="16"/>
      <c r="SNX240" s="16"/>
      <c r="SNY240" s="16"/>
      <c r="SNZ240" s="16"/>
      <c r="SOA240" s="15"/>
      <c r="SOB240" s="15"/>
      <c r="SOC240" s="10"/>
      <c r="SOD240" s="10"/>
      <c r="SOE240" s="19"/>
      <c r="SOF240" s="19"/>
      <c r="SOI240" s="16"/>
      <c r="SOJ240" s="15"/>
      <c r="SOK240" s="15"/>
      <c r="SOL240" s="15"/>
      <c r="SOM240" s="16"/>
      <c r="SON240" s="16"/>
      <c r="SOO240" s="16"/>
      <c r="SOP240" s="16"/>
      <c r="SOQ240" s="16"/>
      <c r="SOR240" s="15"/>
      <c r="SOS240" s="15"/>
      <c r="SOT240" s="10"/>
      <c r="SOU240" s="10"/>
      <c r="SOV240" s="19"/>
      <c r="SOW240" s="19"/>
      <c r="SOZ240" s="16"/>
      <c r="SPA240" s="15"/>
      <c r="SPB240" s="15"/>
      <c r="SPC240" s="15"/>
      <c r="SPD240" s="16"/>
      <c r="SPE240" s="16"/>
      <c r="SPF240" s="16"/>
      <c r="SPG240" s="16"/>
      <c r="SPH240" s="16"/>
      <c r="SPI240" s="15"/>
      <c r="SPJ240" s="15"/>
      <c r="SPK240" s="10"/>
      <c r="SPL240" s="10"/>
      <c r="SPM240" s="19"/>
      <c r="SPN240" s="19"/>
      <c r="SPQ240" s="16"/>
      <c r="SPR240" s="15"/>
      <c r="SPS240" s="15"/>
      <c r="SPT240" s="15"/>
      <c r="SPU240" s="16"/>
      <c r="SPV240" s="16"/>
      <c r="SPW240" s="16"/>
      <c r="SPX240" s="16"/>
      <c r="SPY240" s="16"/>
      <c r="SPZ240" s="15"/>
      <c r="SQA240" s="15"/>
      <c r="SQB240" s="10"/>
      <c r="SQC240" s="10"/>
      <c r="SQD240" s="19"/>
      <c r="SQE240" s="19"/>
      <c r="SQH240" s="16"/>
      <c r="SQI240" s="15"/>
      <c r="SQJ240" s="15"/>
      <c r="SQK240" s="15"/>
      <c r="SQL240" s="16"/>
      <c r="SQM240" s="16"/>
      <c r="SQN240" s="16"/>
      <c r="SQO240" s="16"/>
      <c r="SQP240" s="16"/>
      <c r="SQQ240" s="15"/>
      <c r="SQR240" s="15"/>
      <c r="SQS240" s="10"/>
      <c r="SQT240" s="10"/>
      <c r="SQU240" s="19"/>
      <c r="SQV240" s="19"/>
      <c r="SQY240" s="16"/>
      <c r="SQZ240" s="15"/>
      <c r="SRA240" s="15"/>
      <c r="SRB240" s="15"/>
      <c r="SRC240" s="16"/>
      <c r="SRD240" s="16"/>
      <c r="SRE240" s="16"/>
      <c r="SRF240" s="16"/>
      <c r="SRG240" s="16"/>
      <c r="SRH240" s="15"/>
      <c r="SRI240" s="15"/>
      <c r="SRJ240" s="10"/>
      <c r="SRK240" s="10"/>
      <c r="SRL240" s="19"/>
      <c r="SRM240" s="19"/>
      <c r="SRP240" s="16"/>
      <c r="SRQ240" s="15"/>
      <c r="SRR240" s="15"/>
      <c r="SRS240" s="15"/>
      <c r="SRT240" s="16"/>
      <c r="SRU240" s="16"/>
      <c r="SRV240" s="16"/>
      <c r="SRW240" s="16"/>
      <c r="SRX240" s="16"/>
      <c r="SRY240" s="15"/>
      <c r="SRZ240" s="15"/>
      <c r="SSA240" s="10"/>
      <c r="SSB240" s="10"/>
      <c r="SSC240" s="19"/>
      <c r="SSD240" s="19"/>
      <c r="SSG240" s="16"/>
      <c r="SSH240" s="15"/>
      <c r="SSI240" s="15"/>
      <c r="SSJ240" s="15"/>
      <c r="SSK240" s="16"/>
      <c r="SSL240" s="16"/>
      <c r="SSM240" s="16"/>
      <c r="SSN240" s="16"/>
      <c r="SSO240" s="16"/>
      <c r="SSP240" s="15"/>
      <c r="SSQ240" s="15"/>
      <c r="SSR240" s="10"/>
      <c r="SSS240" s="10"/>
      <c r="SST240" s="19"/>
      <c r="SSU240" s="19"/>
      <c r="SSX240" s="16"/>
      <c r="SSY240" s="15"/>
      <c r="SSZ240" s="15"/>
      <c r="STA240" s="15"/>
      <c r="STB240" s="16"/>
      <c r="STC240" s="16"/>
      <c r="STD240" s="16"/>
      <c r="STE240" s="16"/>
      <c r="STF240" s="16"/>
      <c r="STG240" s="15"/>
      <c r="STH240" s="15"/>
      <c r="STI240" s="10"/>
      <c r="STJ240" s="10"/>
      <c r="STK240" s="19"/>
      <c r="STL240" s="19"/>
      <c r="STO240" s="16"/>
      <c r="STP240" s="15"/>
      <c r="STQ240" s="15"/>
      <c r="STR240" s="15"/>
      <c r="STS240" s="16"/>
      <c r="STT240" s="16"/>
      <c r="STU240" s="16"/>
      <c r="STV240" s="16"/>
      <c r="STW240" s="16"/>
      <c r="STX240" s="15"/>
      <c r="STY240" s="15"/>
      <c r="STZ240" s="10"/>
      <c r="SUA240" s="10"/>
      <c r="SUB240" s="19"/>
      <c r="SUC240" s="19"/>
      <c r="SUF240" s="16"/>
      <c r="SUG240" s="15"/>
      <c r="SUH240" s="15"/>
      <c r="SUI240" s="15"/>
      <c r="SUJ240" s="16"/>
      <c r="SUK240" s="16"/>
      <c r="SUL240" s="16"/>
      <c r="SUM240" s="16"/>
      <c r="SUN240" s="16"/>
      <c r="SUO240" s="15"/>
      <c r="SUP240" s="15"/>
      <c r="SUQ240" s="10"/>
      <c r="SUR240" s="10"/>
      <c r="SUS240" s="19"/>
      <c r="SUT240" s="19"/>
      <c r="SUW240" s="16"/>
      <c r="SUX240" s="15"/>
      <c r="SUY240" s="15"/>
      <c r="SUZ240" s="15"/>
      <c r="SVA240" s="16"/>
      <c r="SVB240" s="16"/>
      <c r="SVC240" s="16"/>
      <c r="SVD240" s="16"/>
      <c r="SVE240" s="16"/>
      <c r="SVF240" s="15"/>
      <c r="SVG240" s="15"/>
      <c r="SVH240" s="10"/>
      <c r="SVI240" s="10"/>
      <c r="SVJ240" s="19"/>
      <c r="SVK240" s="19"/>
      <c r="SVN240" s="16"/>
      <c r="SVO240" s="15"/>
      <c r="SVP240" s="15"/>
      <c r="SVQ240" s="15"/>
      <c r="SVR240" s="16"/>
      <c r="SVS240" s="16"/>
      <c r="SVT240" s="16"/>
      <c r="SVU240" s="16"/>
      <c r="SVV240" s="16"/>
      <c r="SVW240" s="15"/>
      <c r="SVX240" s="15"/>
      <c r="SVY240" s="10"/>
      <c r="SVZ240" s="10"/>
      <c r="SWA240" s="19"/>
      <c r="SWB240" s="19"/>
      <c r="SWE240" s="16"/>
      <c r="SWF240" s="15"/>
      <c r="SWG240" s="15"/>
      <c r="SWH240" s="15"/>
      <c r="SWI240" s="16"/>
      <c r="SWJ240" s="16"/>
      <c r="SWK240" s="16"/>
      <c r="SWL240" s="16"/>
      <c r="SWM240" s="16"/>
      <c r="SWN240" s="15"/>
      <c r="SWO240" s="15"/>
      <c r="SWP240" s="10"/>
      <c r="SWQ240" s="10"/>
      <c r="SWR240" s="19"/>
      <c r="SWS240" s="19"/>
      <c r="SWV240" s="16"/>
      <c r="SWW240" s="15"/>
      <c r="SWX240" s="15"/>
      <c r="SWY240" s="15"/>
      <c r="SWZ240" s="16"/>
      <c r="SXA240" s="16"/>
      <c r="SXB240" s="16"/>
      <c r="SXC240" s="16"/>
      <c r="SXD240" s="16"/>
      <c r="SXE240" s="15"/>
      <c r="SXF240" s="15"/>
      <c r="SXG240" s="10"/>
      <c r="SXH240" s="10"/>
      <c r="SXI240" s="19"/>
      <c r="SXJ240" s="19"/>
      <c r="SXM240" s="16"/>
      <c r="SXN240" s="15"/>
      <c r="SXO240" s="15"/>
      <c r="SXP240" s="15"/>
      <c r="SXQ240" s="16"/>
      <c r="SXR240" s="16"/>
      <c r="SXS240" s="16"/>
      <c r="SXT240" s="16"/>
      <c r="SXU240" s="16"/>
      <c r="SXV240" s="15"/>
      <c r="SXW240" s="15"/>
      <c r="SXX240" s="10"/>
      <c r="SXY240" s="10"/>
      <c r="SXZ240" s="19"/>
      <c r="SYA240" s="19"/>
      <c r="SYD240" s="16"/>
      <c r="SYE240" s="15"/>
      <c r="SYF240" s="15"/>
      <c r="SYG240" s="15"/>
      <c r="SYH240" s="16"/>
      <c r="SYI240" s="16"/>
      <c r="SYJ240" s="16"/>
      <c r="SYK240" s="16"/>
      <c r="SYL240" s="16"/>
      <c r="SYM240" s="15"/>
      <c r="SYN240" s="15"/>
      <c r="SYO240" s="10"/>
      <c r="SYP240" s="10"/>
      <c r="SYQ240" s="19"/>
      <c r="SYR240" s="19"/>
      <c r="SYU240" s="16"/>
      <c r="SYV240" s="15"/>
      <c r="SYW240" s="15"/>
      <c r="SYX240" s="15"/>
      <c r="SYY240" s="16"/>
      <c r="SYZ240" s="16"/>
      <c r="SZA240" s="16"/>
      <c r="SZB240" s="16"/>
      <c r="SZC240" s="16"/>
      <c r="SZD240" s="15"/>
      <c r="SZE240" s="15"/>
      <c r="SZF240" s="10"/>
      <c r="SZG240" s="10"/>
      <c r="SZH240" s="19"/>
      <c r="SZI240" s="19"/>
      <c r="SZL240" s="16"/>
      <c r="SZM240" s="15"/>
      <c r="SZN240" s="15"/>
      <c r="SZO240" s="15"/>
      <c r="SZP240" s="16"/>
      <c r="SZQ240" s="16"/>
      <c r="SZR240" s="16"/>
      <c r="SZS240" s="16"/>
      <c r="SZT240" s="16"/>
      <c r="SZU240" s="15"/>
      <c r="SZV240" s="15"/>
      <c r="SZW240" s="10"/>
      <c r="SZX240" s="10"/>
      <c r="SZY240" s="19"/>
      <c r="SZZ240" s="19"/>
      <c r="TAC240" s="16"/>
      <c r="TAD240" s="15"/>
      <c r="TAE240" s="15"/>
      <c r="TAF240" s="15"/>
      <c r="TAG240" s="16"/>
      <c r="TAH240" s="16"/>
      <c r="TAI240" s="16"/>
      <c r="TAJ240" s="16"/>
      <c r="TAK240" s="16"/>
      <c r="TAL240" s="15"/>
      <c r="TAM240" s="15"/>
      <c r="TAN240" s="10"/>
      <c r="TAO240" s="10"/>
      <c r="TAP240" s="19"/>
      <c r="TAQ240" s="19"/>
      <c r="TAT240" s="16"/>
      <c r="TAU240" s="15"/>
      <c r="TAV240" s="15"/>
      <c r="TAW240" s="15"/>
      <c r="TAX240" s="16"/>
      <c r="TAY240" s="16"/>
      <c r="TAZ240" s="16"/>
      <c r="TBA240" s="16"/>
      <c r="TBB240" s="16"/>
      <c r="TBC240" s="15"/>
      <c r="TBD240" s="15"/>
      <c r="TBE240" s="10"/>
      <c r="TBF240" s="10"/>
      <c r="TBG240" s="19"/>
      <c r="TBH240" s="19"/>
      <c r="TBK240" s="16"/>
      <c r="TBL240" s="15"/>
      <c r="TBM240" s="15"/>
      <c r="TBN240" s="15"/>
      <c r="TBO240" s="16"/>
      <c r="TBP240" s="16"/>
      <c r="TBQ240" s="16"/>
      <c r="TBR240" s="16"/>
      <c r="TBS240" s="16"/>
      <c r="TBT240" s="15"/>
      <c r="TBU240" s="15"/>
      <c r="TBV240" s="10"/>
      <c r="TBW240" s="10"/>
      <c r="TBX240" s="19"/>
      <c r="TBY240" s="19"/>
      <c r="TCB240" s="16"/>
      <c r="TCC240" s="15"/>
      <c r="TCD240" s="15"/>
      <c r="TCE240" s="15"/>
      <c r="TCF240" s="16"/>
      <c r="TCG240" s="16"/>
      <c r="TCH240" s="16"/>
      <c r="TCI240" s="16"/>
      <c r="TCJ240" s="16"/>
      <c r="TCK240" s="15"/>
      <c r="TCL240" s="15"/>
      <c r="TCM240" s="10"/>
      <c r="TCN240" s="10"/>
      <c r="TCO240" s="19"/>
      <c r="TCP240" s="19"/>
      <c r="TCS240" s="16"/>
      <c r="TCT240" s="15"/>
      <c r="TCU240" s="15"/>
      <c r="TCV240" s="15"/>
      <c r="TCW240" s="16"/>
      <c r="TCX240" s="16"/>
      <c r="TCY240" s="16"/>
      <c r="TCZ240" s="16"/>
      <c r="TDA240" s="16"/>
      <c r="TDB240" s="15"/>
      <c r="TDC240" s="15"/>
      <c r="TDD240" s="10"/>
      <c r="TDE240" s="10"/>
      <c r="TDF240" s="19"/>
      <c r="TDG240" s="19"/>
      <c r="TDJ240" s="16"/>
      <c r="TDK240" s="15"/>
      <c r="TDL240" s="15"/>
      <c r="TDM240" s="15"/>
      <c r="TDN240" s="16"/>
      <c r="TDO240" s="16"/>
      <c r="TDP240" s="16"/>
      <c r="TDQ240" s="16"/>
      <c r="TDR240" s="16"/>
      <c r="TDS240" s="15"/>
      <c r="TDT240" s="15"/>
      <c r="TDU240" s="10"/>
      <c r="TDV240" s="10"/>
      <c r="TDW240" s="19"/>
      <c r="TDX240" s="19"/>
      <c r="TEA240" s="16"/>
      <c r="TEB240" s="15"/>
      <c r="TEC240" s="15"/>
      <c r="TED240" s="15"/>
      <c r="TEE240" s="16"/>
      <c r="TEF240" s="16"/>
      <c r="TEG240" s="16"/>
      <c r="TEH240" s="16"/>
      <c r="TEI240" s="16"/>
      <c r="TEJ240" s="15"/>
      <c r="TEK240" s="15"/>
      <c r="TEL240" s="10"/>
      <c r="TEM240" s="10"/>
      <c r="TEN240" s="19"/>
      <c r="TEO240" s="19"/>
      <c r="TER240" s="16"/>
      <c r="TES240" s="15"/>
      <c r="TET240" s="15"/>
      <c r="TEU240" s="15"/>
      <c r="TEV240" s="16"/>
      <c r="TEW240" s="16"/>
      <c r="TEX240" s="16"/>
      <c r="TEY240" s="16"/>
      <c r="TEZ240" s="16"/>
      <c r="TFA240" s="15"/>
      <c r="TFB240" s="15"/>
      <c r="TFC240" s="10"/>
      <c r="TFD240" s="10"/>
      <c r="TFE240" s="19"/>
      <c r="TFF240" s="19"/>
      <c r="TFI240" s="16"/>
      <c r="TFJ240" s="15"/>
      <c r="TFK240" s="15"/>
      <c r="TFL240" s="15"/>
      <c r="TFM240" s="16"/>
      <c r="TFN240" s="16"/>
      <c r="TFO240" s="16"/>
      <c r="TFP240" s="16"/>
      <c r="TFQ240" s="16"/>
      <c r="TFR240" s="15"/>
      <c r="TFS240" s="15"/>
      <c r="TFT240" s="10"/>
      <c r="TFU240" s="10"/>
      <c r="TFV240" s="19"/>
      <c r="TFW240" s="19"/>
      <c r="TFZ240" s="16"/>
      <c r="TGA240" s="15"/>
      <c r="TGB240" s="15"/>
      <c r="TGC240" s="15"/>
      <c r="TGD240" s="16"/>
      <c r="TGE240" s="16"/>
      <c r="TGF240" s="16"/>
      <c r="TGG240" s="16"/>
      <c r="TGH240" s="16"/>
      <c r="TGI240" s="15"/>
      <c r="TGJ240" s="15"/>
      <c r="TGK240" s="10"/>
      <c r="TGL240" s="10"/>
      <c r="TGM240" s="19"/>
      <c r="TGN240" s="19"/>
      <c r="TGQ240" s="16"/>
      <c r="TGR240" s="15"/>
      <c r="TGS240" s="15"/>
      <c r="TGT240" s="15"/>
      <c r="TGU240" s="16"/>
      <c r="TGV240" s="16"/>
      <c r="TGW240" s="16"/>
      <c r="TGX240" s="16"/>
      <c r="TGY240" s="16"/>
      <c r="TGZ240" s="15"/>
      <c r="THA240" s="15"/>
      <c r="THB240" s="10"/>
      <c r="THC240" s="10"/>
      <c r="THD240" s="19"/>
      <c r="THE240" s="19"/>
      <c r="THH240" s="16"/>
      <c r="THI240" s="15"/>
      <c r="THJ240" s="15"/>
      <c r="THK240" s="15"/>
      <c r="THL240" s="16"/>
      <c r="THM240" s="16"/>
      <c r="THN240" s="16"/>
      <c r="THO240" s="16"/>
      <c r="THP240" s="16"/>
      <c r="THQ240" s="15"/>
      <c r="THR240" s="15"/>
      <c r="THS240" s="10"/>
      <c r="THT240" s="10"/>
      <c r="THU240" s="19"/>
      <c r="THV240" s="19"/>
      <c r="THY240" s="16"/>
      <c r="THZ240" s="15"/>
      <c r="TIA240" s="15"/>
      <c r="TIB240" s="15"/>
      <c r="TIC240" s="16"/>
      <c r="TID240" s="16"/>
      <c r="TIE240" s="16"/>
      <c r="TIF240" s="16"/>
      <c r="TIG240" s="16"/>
      <c r="TIH240" s="15"/>
      <c r="TII240" s="15"/>
      <c r="TIJ240" s="10"/>
      <c r="TIK240" s="10"/>
      <c r="TIL240" s="19"/>
      <c r="TIM240" s="19"/>
      <c r="TIP240" s="16"/>
      <c r="TIQ240" s="15"/>
      <c r="TIR240" s="15"/>
      <c r="TIS240" s="15"/>
      <c r="TIT240" s="16"/>
      <c r="TIU240" s="16"/>
      <c r="TIV240" s="16"/>
      <c r="TIW240" s="16"/>
      <c r="TIX240" s="16"/>
      <c r="TIY240" s="15"/>
      <c r="TIZ240" s="15"/>
      <c r="TJA240" s="10"/>
      <c r="TJB240" s="10"/>
      <c r="TJC240" s="19"/>
      <c r="TJD240" s="19"/>
      <c r="TJG240" s="16"/>
      <c r="TJH240" s="15"/>
      <c r="TJI240" s="15"/>
      <c r="TJJ240" s="15"/>
      <c r="TJK240" s="16"/>
      <c r="TJL240" s="16"/>
      <c r="TJM240" s="16"/>
      <c r="TJN240" s="16"/>
      <c r="TJO240" s="16"/>
      <c r="TJP240" s="15"/>
      <c r="TJQ240" s="15"/>
      <c r="TJR240" s="10"/>
      <c r="TJS240" s="10"/>
      <c r="TJT240" s="19"/>
      <c r="TJU240" s="19"/>
      <c r="TJX240" s="16"/>
      <c r="TJY240" s="15"/>
      <c r="TJZ240" s="15"/>
      <c r="TKA240" s="15"/>
      <c r="TKB240" s="16"/>
      <c r="TKC240" s="16"/>
      <c r="TKD240" s="16"/>
      <c r="TKE240" s="16"/>
      <c r="TKF240" s="16"/>
      <c r="TKG240" s="15"/>
      <c r="TKH240" s="15"/>
      <c r="TKI240" s="10"/>
      <c r="TKJ240" s="10"/>
      <c r="TKK240" s="19"/>
      <c r="TKL240" s="19"/>
      <c r="TKO240" s="16"/>
      <c r="TKP240" s="15"/>
      <c r="TKQ240" s="15"/>
      <c r="TKR240" s="15"/>
      <c r="TKS240" s="16"/>
      <c r="TKT240" s="16"/>
      <c r="TKU240" s="16"/>
      <c r="TKV240" s="16"/>
      <c r="TKW240" s="16"/>
      <c r="TKX240" s="15"/>
      <c r="TKY240" s="15"/>
      <c r="TKZ240" s="10"/>
      <c r="TLA240" s="10"/>
      <c r="TLB240" s="19"/>
      <c r="TLC240" s="19"/>
      <c r="TLF240" s="16"/>
      <c r="TLG240" s="15"/>
      <c r="TLH240" s="15"/>
      <c r="TLI240" s="15"/>
      <c r="TLJ240" s="16"/>
      <c r="TLK240" s="16"/>
      <c r="TLL240" s="16"/>
      <c r="TLM240" s="16"/>
      <c r="TLN240" s="16"/>
      <c r="TLO240" s="15"/>
      <c r="TLP240" s="15"/>
      <c r="TLQ240" s="10"/>
      <c r="TLR240" s="10"/>
      <c r="TLS240" s="19"/>
      <c r="TLT240" s="19"/>
      <c r="TLW240" s="16"/>
      <c r="TLX240" s="15"/>
      <c r="TLY240" s="15"/>
      <c r="TLZ240" s="15"/>
      <c r="TMA240" s="16"/>
      <c r="TMB240" s="16"/>
      <c r="TMC240" s="16"/>
      <c r="TMD240" s="16"/>
      <c r="TME240" s="16"/>
      <c r="TMF240" s="15"/>
      <c r="TMG240" s="15"/>
      <c r="TMH240" s="10"/>
      <c r="TMI240" s="10"/>
      <c r="TMJ240" s="19"/>
      <c r="TMK240" s="19"/>
      <c r="TMN240" s="16"/>
      <c r="TMO240" s="15"/>
      <c r="TMP240" s="15"/>
      <c r="TMQ240" s="15"/>
      <c r="TMR240" s="16"/>
      <c r="TMS240" s="16"/>
      <c r="TMT240" s="16"/>
      <c r="TMU240" s="16"/>
      <c r="TMV240" s="16"/>
      <c r="TMW240" s="15"/>
      <c r="TMX240" s="15"/>
      <c r="TMY240" s="10"/>
      <c r="TMZ240" s="10"/>
      <c r="TNA240" s="19"/>
      <c r="TNB240" s="19"/>
      <c r="TNE240" s="16"/>
      <c r="TNF240" s="15"/>
      <c r="TNG240" s="15"/>
      <c r="TNH240" s="15"/>
      <c r="TNI240" s="16"/>
      <c r="TNJ240" s="16"/>
      <c r="TNK240" s="16"/>
      <c r="TNL240" s="16"/>
      <c r="TNM240" s="16"/>
      <c r="TNN240" s="15"/>
      <c r="TNO240" s="15"/>
      <c r="TNP240" s="10"/>
      <c r="TNQ240" s="10"/>
      <c r="TNR240" s="19"/>
      <c r="TNS240" s="19"/>
      <c r="TNV240" s="16"/>
      <c r="TNW240" s="15"/>
      <c r="TNX240" s="15"/>
      <c r="TNY240" s="15"/>
      <c r="TNZ240" s="16"/>
      <c r="TOA240" s="16"/>
      <c r="TOB240" s="16"/>
      <c r="TOC240" s="16"/>
      <c r="TOD240" s="16"/>
      <c r="TOE240" s="15"/>
      <c r="TOF240" s="15"/>
      <c r="TOG240" s="10"/>
      <c r="TOH240" s="10"/>
      <c r="TOI240" s="19"/>
      <c r="TOJ240" s="19"/>
      <c r="TOM240" s="16"/>
      <c r="TON240" s="15"/>
      <c r="TOO240" s="15"/>
      <c r="TOP240" s="15"/>
      <c r="TOQ240" s="16"/>
      <c r="TOR240" s="16"/>
      <c r="TOS240" s="16"/>
      <c r="TOT240" s="16"/>
      <c r="TOU240" s="16"/>
      <c r="TOV240" s="15"/>
      <c r="TOW240" s="15"/>
      <c r="TOX240" s="10"/>
      <c r="TOY240" s="10"/>
      <c r="TOZ240" s="19"/>
      <c r="TPA240" s="19"/>
      <c r="TPD240" s="16"/>
      <c r="TPE240" s="15"/>
      <c r="TPF240" s="15"/>
      <c r="TPG240" s="15"/>
      <c r="TPH240" s="16"/>
      <c r="TPI240" s="16"/>
      <c r="TPJ240" s="16"/>
      <c r="TPK240" s="16"/>
      <c r="TPL240" s="16"/>
      <c r="TPM240" s="15"/>
      <c r="TPN240" s="15"/>
      <c r="TPO240" s="10"/>
      <c r="TPP240" s="10"/>
      <c r="TPQ240" s="19"/>
      <c r="TPR240" s="19"/>
      <c r="TPU240" s="16"/>
      <c r="TPV240" s="15"/>
      <c r="TPW240" s="15"/>
      <c r="TPX240" s="15"/>
      <c r="TPY240" s="16"/>
      <c r="TPZ240" s="16"/>
      <c r="TQA240" s="16"/>
      <c r="TQB240" s="16"/>
      <c r="TQC240" s="16"/>
      <c r="TQD240" s="15"/>
      <c r="TQE240" s="15"/>
      <c r="TQF240" s="10"/>
      <c r="TQG240" s="10"/>
      <c r="TQH240" s="19"/>
      <c r="TQI240" s="19"/>
      <c r="TQL240" s="16"/>
      <c r="TQM240" s="15"/>
      <c r="TQN240" s="15"/>
      <c r="TQO240" s="15"/>
      <c r="TQP240" s="16"/>
      <c r="TQQ240" s="16"/>
      <c r="TQR240" s="16"/>
      <c r="TQS240" s="16"/>
      <c r="TQT240" s="16"/>
      <c r="TQU240" s="15"/>
      <c r="TQV240" s="15"/>
      <c r="TQW240" s="10"/>
      <c r="TQX240" s="10"/>
      <c r="TQY240" s="19"/>
      <c r="TQZ240" s="19"/>
      <c r="TRC240" s="16"/>
      <c r="TRD240" s="15"/>
      <c r="TRE240" s="15"/>
      <c r="TRF240" s="15"/>
      <c r="TRG240" s="16"/>
      <c r="TRH240" s="16"/>
      <c r="TRI240" s="16"/>
      <c r="TRJ240" s="16"/>
      <c r="TRK240" s="16"/>
      <c r="TRL240" s="15"/>
      <c r="TRM240" s="15"/>
      <c r="TRN240" s="10"/>
      <c r="TRO240" s="10"/>
      <c r="TRP240" s="19"/>
      <c r="TRQ240" s="19"/>
      <c r="TRT240" s="16"/>
      <c r="TRU240" s="15"/>
      <c r="TRV240" s="15"/>
      <c r="TRW240" s="15"/>
      <c r="TRX240" s="16"/>
      <c r="TRY240" s="16"/>
      <c r="TRZ240" s="16"/>
      <c r="TSA240" s="16"/>
      <c r="TSB240" s="16"/>
      <c r="TSC240" s="15"/>
      <c r="TSD240" s="15"/>
      <c r="TSE240" s="10"/>
      <c r="TSF240" s="10"/>
      <c r="TSG240" s="19"/>
      <c r="TSH240" s="19"/>
      <c r="TSK240" s="16"/>
      <c r="TSL240" s="15"/>
      <c r="TSM240" s="15"/>
      <c r="TSN240" s="15"/>
      <c r="TSO240" s="16"/>
      <c r="TSP240" s="16"/>
      <c r="TSQ240" s="16"/>
      <c r="TSR240" s="16"/>
      <c r="TSS240" s="16"/>
      <c r="TST240" s="15"/>
      <c r="TSU240" s="15"/>
      <c r="TSV240" s="10"/>
      <c r="TSW240" s="10"/>
      <c r="TSX240" s="19"/>
      <c r="TSY240" s="19"/>
      <c r="TTB240" s="16"/>
      <c r="TTC240" s="15"/>
      <c r="TTD240" s="15"/>
      <c r="TTE240" s="15"/>
      <c r="TTF240" s="16"/>
      <c r="TTG240" s="16"/>
      <c r="TTH240" s="16"/>
      <c r="TTI240" s="16"/>
      <c r="TTJ240" s="16"/>
      <c r="TTK240" s="15"/>
      <c r="TTL240" s="15"/>
      <c r="TTM240" s="10"/>
      <c r="TTN240" s="10"/>
      <c r="TTO240" s="19"/>
      <c r="TTP240" s="19"/>
      <c r="TTS240" s="16"/>
      <c r="TTT240" s="15"/>
      <c r="TTU240" s="15"/>
      <c r="TTV240" s="15"/>
      <c r="TTW240" s="16"/>
      <c r="TTX240" s="16"/>
      <c r="TTY240" s="16"/>
      <c r="TTZ240" s="16"/>
      <c r="TUA240" s="16"/>
      <c r="TUB240" s="15"/>
      <c r="TUC240" s="15"/>
      <c r="TUD240" s="10"/>
      <c r="TUE240" s="10"/>
      <c r="TUF240" s="19"/>
      <c r="TUG240" s="19"/>
      <c r="TUJ240" s="16"/>
      <c r="TUK240" s="15"/>
      <c r="TUL240" s="15"/>
      <c r="TUM240" s="15"/>
      <c r="TUN240" s="16"/>
      <c r="TUO240" s="16"/>
      <c r="TUP240" s="16"/>
      <c r="TUQ240" s="16"/>
      <c r="TUR240" s="16"/>
      <c r="TUS240" s="15"/>
      <c r="TUT240" s="15"/>
      <c r="TUU240" s="10"/>
      <c r="TUV240" s="10"/>
      <c r="TUW240" s="19"/>
      <c r="TUX240" s="19"/>
      <c r="TVA240" s="16"/>
      <c r="TVB240" s="15"/>
      <c r="TVC240" s="15"/>
      <c r="TVD240" s="15"/>
      <c r="TVE240" s="16"/>
      <c r="TVF240" s="16"/>
      <c r="TVG240" s="16"/>
      <c r="TVH240" s="16"/>
      <c r="TVI240" s="16"/>
      <c r="TVJ240" s="15"/>
      <c r="TVK240" s="15"/>
      <c r="TVL240" s="10"/>
      <c r="TVM240" s="10"/>
      <c r="TVN240" s="19"/>
      <c r="TVO240" s="19"/>
      <c r="TVR240" s="16"/>
      <c r="TVS240" s="15"/>
      <c r="TVT240" s="15"/>
      <c r="TVU240" s="15"/>
      <c r="TVV240" s="16"/>
      <c r="TVW240" s="16"/>
      <c r="TVX240" s="16"/>
      <c r="TVY240" s="16"/>
      <c r="TVZ240" s="16"/>
      <c r="TWA240" s="15"/>
      <c r="TWB240" s="15"/>
      <c r="TWC240" s="10"/>
      <c r="TWD240" s="10"/>
      <c r="TWE240" s="19"/>
      <c r="TWF240" s="19"/>
      <c r="TWI240" s="16"/>
      <c r="TWJ240" s="15"/>
      <c r="TWK240" s="15"/>
      <c r="TWL240" s="15"/>
      <c r="TWM240" s="16"/>
      <c r="TWN240" s="16"/>
      <c r="TWO240" s="16"/>
      <c r="TWP240" s="16"/>
      <c r="TWQ240" s="16"/>
      <c r="TWR240" s="15"/>
      <c r="TWS240" s="15"/>
      <c r="TWT240" s="10"/>
      <c r="TWU240" s="10"/>
      <c r="TWV240" s="19"/>
      <c r="TWW240" s="19"/>
      <c r="TWZ240" s="16"/>
      <c r="TXA240" s="15"/>
      <c r="TXB240" s="15"/>
      <c r="TXC240" s="15"/>
      <c r="TXD240" s="16"/>
      <c r="TXE240" s="16"/>
      <c r="TXF240" s="16"/>
      <c r="TXG240" s="16"/>
      <c r="TXH240" s="16"/>
      <c r="TXI240" s="15"/>
      <c r="TXJ240" s="15"/>
      <c r="TXK240" s="10"/>
      <c r="TXL240" s="10"/>
      <c r="TXM240" s="19"/>
      <c r="TXN240" s="19"/>
      <c r="TXQ240" s="16"/>
      <c r="TXR240" s="15"/>
      <c r="TXS240" s="15"/>
      <c r="TXT240" s="15"/>
      <c r="TXU240" s="16"/>
      <c r="TXV240" s="16"/>
      <c r="TXW240" s="16"/>
      <c r="TXX240" s="16"/>
      <c r="TXY240" s="16"/>
      <c r="TXZ240" s="15"/>
      <c r="TYA240" s="15"/>
      <c r="TYB240" s="10"/>
      <c r="TYC240" s="10"/>
      <c r="TYD240" s="19"/>
      <c r="TYE240" s="19"/>
      <c r="TYH240" s="16"/>
      <c r="TYI240" s="15"/>
      <c r="TYJ240" s="15"/>
      <c r="TYK240" s="15"/>
      <c r="TYL240" s="16"/>
      <c r="TYM240" s="16"/>
      <c r="TYN240" s="16"/>
      <c r="TYO240" s="16"/>
      <c r="TYP240" s="16"/>
      <c r="TYQ240" s="15"/>
      <c r="TYR240" s="15"/>
      <c r="TYS240" s="10"/>
      <c r="TYT240" s="10"/>
      <c r="TYU240" s="19"/>
      <c r="TYV240" s="19"/>
      <c r="TYY240" s="16"/>
      <c r="TYZ240" s="15"/>
      <c r="TZA240" s="15"/>
      <c r="TZB240" s="15"/>
      <c r="TZC240" s="16"/>
      <c r="TZD240" s="16"/>
      <c r="TZE240" s="16"/>
      <c r="TZF240" s="16"/>
      <c r="TZG240" s="16"/>
      <c r="TZH240" s="15"/>
      <c r="TZI240" s="15"/>
      <c r="TZJ240" s="10"/>
      <c r="TZK240" s="10"/>
      <c r="TZL240" s="19"/>
      <c r="TZM240" s="19"/>
      <c r="TZP240" s="16"/>
      <c r="TZQ240" s="15"/>
      <c r="TZR240" s="15"/>
      <c r="TZS240" s="15"/>
      <c r="TZT240" s="16"/>
      <c r="TZU240" s="16"/>
      <c r="TZV240" s="16"/>
      <c r="TZW240" s="16"/>
      <c r="TZX240" s="16"/>
      <c r="TZY240" s="15"/>
      <c r="TZZ240" s="15"/>
      <c r="UAA240" s="10"/>
      <c r="UAB240" s="10"/>
      <c r="UAC240" s="19"/>
      <c r="UAD240" s="19"/>
      <c r="UAG240" s="16"/>
      <c r="UAH240" s="15"/>
      <c r="UAI240" s="15"/>
      <c r="UAJ240" s="15"/>
      <c r="UAK240" s="16"/>
      <c r="UAL240" s="16"/>
      <c r="UAM240" s="16"/>
      <c r="UAN240" s="16"/>
      <c r="UAO240" s="16"/>
      <c r="UAP240" s="15"/>
      <c r="UAQ240" s="15"/>
      <c r="UAR240" s="10"/>
      <c r="UAS240" s="10"/>
      <c r="UAT240" s="19"/>
      <c r="UAU240" s="19"/>
      <c r="UAX240" s="16"/>
      <c r="UAY240" s="15"/>
      <c r="UAZ240" s="15"/>
      <c r="UBA240" s="15"/>
      <c r="UBB240" s="16"/>
      <c r="UBC240" s="16"/>
      <c r="UBD240" s="16"/>
      <c r="UBE240" s="16"/>
      <c r="UBF240" s="16"/>
      <c r="UBG240" s="15"/>
      <c r="UBH240" s="15"/>
      <c r="UBI240" s="10"/>
      <c r="UBJ240" s="10"/>
      <c r="UBK240" s="19"/>
      <c r="UBL240" s="19"/>
      <c r="UBO240" s="16"/>
      <c r="UBP240" s="15"/>
      <c r="UBQ240" s="15"/>
      <c r="UBR240" s="15"/>
      <c r="UBS240" s="16"/>
      <c r="UBT240" s="16"/>
      <c r="UBU240" s="16"/>
      <c r="UBV240" s="16"/>
      <c r="UBW240" s="16"/>
      <c r="UBX240" s="15"/>
      <c r="UBY240" s="15"/>
      <c r="UBZ240" s="10"/>
      <c r="UCA240" s="10"/>
      <c r="UCB240" s="19"/>
      <c r="UCC240" s="19"/>
      <c r="UCF240" s="16"/>
      <c r="UCG240" s="15"/>
      <c r="UCH240" s="15"/>
      <c r="UCI240" s="15"/>
      <c r="UCJ240" s="16"/>
      <c r="UCK240" s="16"/>
      <c r="UCL240" s="16"/>
      <c r="UCM240" s="16"/>
      <c r="UCN240" s="16"/>
      <c r="UCO240" s="15"/>
      <c r="UCP240" s="15"/>
      <c r="UCQ240" s="10"/>
      <c r="UCR240" s="10"/>
      <c r="UCS240" s="19"/>
      <c r="UCT240" s="19"/>
      <c r="UCW240" s="16"/>
      <c r="UCX240" s="15"/>
      <c r="UCY240" s="15"/>
      <c r="UCZ240" s="15"/>
      <c r="UDA240" s="16"/>
      <c r="UDB240" s="16"/>
      <c r="UDC240" s="16"/>
      <c r="UDD240" s="16"/>
      <c r="UDE240" s="16"/>
      <c r="UDF240" s="15"/>
      <c r="UDG240" s="15"/>
      <c r="UDH240" s="10"/>
      <c r="UDI240" s="10"/>
      <c r="UDJ240" s="19"/>
      <c r="UDK240" s="19"/>
      <c r="UDN240" s="16"/>
      <c r="UDO240" s="15"/>
      <c r="UDP240" s="15"/>
      <c r="UDQ240" s="15"/>
      <c r="UDR240" s="16"/>
      <c r="UDS240" s="16"/>
      <c r="UDT240" s="16"/>
      <c r="UDU240" s="16"/>
      <c r="UDV240" s="16"/>
      <c r="UDW240" s="15"/>
      <c r="UDX240" s="15"/>
      <c r="UDY240" s="10"/>
      <c r="UDZ240" s="10"/>
      <c r="UEA240" s="19"/>
      <c r="UEB240" s="19"/>
      <c r="UEE240" s="16"/>
      <c r="UEF240" s="15"/>
      <c r="UEG240" s="15"/>
      <c r="UEH240" s="15"/>
      <c r="UEI240" s="16"/>
      <c r="UEJ240" s="16"/>
      <c r="UEK240" s="16"/>
      <c r="UEL240" s="16"/>
      <c r="UEM240" s="16"/>
      <c r="UEN240" s="15"/>
      <c r="UEO240" s="15"/>
      <c r="UEP240" s="10"/>
      <c r="UEQ240" s="10"/>
      <c r="UER240" s="19"/>
      <c r="UES240" s="19"/>
      <c r="UEV240" s="16"/>
      <c r="UEW240" s="15"/>
      <c r="UEX240" s="15"/>
      <c r="UEY240" s="15"/>
      <c r="UEZ240" s="16"/>
      <c r="UFA240" s="16"/>
      <c r="UFB240" s="16"/>
      <c r="UFC240" s="16"/>
      <c r="UFD240" s="16"/>
      <c r="UFE240" s="15"/>
      <c r="UFF240" s="15"/>
      <c r="UFG240" s="10"/>
      <c r="UFH240" s="10"/>
      <c r="UFI240" s="19"/>
      <c r="UFJ240" s="19"/>
      <c r="UFM240" s="16"/>
      <c r="UFN240" s="15"/>
      <c r="UFO240" s="15"/>
      <c r="UFP240" s="15"/>
      <c r="UFQ240" s="16"/>
      <c r="UFR240" s="16"/>
      <c r="UFS240" s="16"/>
      <c r="UFT240" s="16"/>
      <c r="UFU240" s="16"/>
      <c r="UFV240" s="15"/>
      <c r="UFW240" s="15"/>
      <c r="UFX240" s="10"/>
      <c r="UFY240" s="10"/>
      <c r="UFZ240" s="19"/>
      <c r="UGA240" s="19"/>
      <c r="UGD240" s="16"/>
      <c r="UGE240" s="15"/>
      <c r="UGF240" s="15"/>
      <c r="UGG240" s="15"/>
      <c r="UGH240" s="16"/>
      <c r="UGI240" s="16"/>
      <c r="UGJ240" s="16"/>
      <c r="UGK240" s="16"/>
      <c r="UGL240" s="16"/>
      <c r="UGM240" s="15"/>
      <c r="UGN240" s="15"/>
      <c r="UGO240" s="10"/>
      <c r="UGP240" s="10"/>
      <c r="UGQ240" s="19"/>
      <c r="UGR240" s="19"/>
      <c r="UGU240" s="16"/>
      <c r="UGV240" s="15"/>
      <c r="UGW240" s="15"/>
      <c r="UGX240" s="15"/>
      <c r="UGY240" s="16"/>
      <c r="UGZ240" s="16"/>
      <c r="UHA240" s="16"/>
      <c r="UHB240" s="16"/>
      <c r="UHC240" s="16"/>
      <c r="UHD240" s="15"/>
      <c r="UHE240" s="15"/>
      <c r="UHF240" s="10"/>
      <c r="UHG240" s="10"/>
      <c r="UHH240" s="19"/>
      <c r="UHI240" s="19"/>
      <c r="UHL240" s="16"/>
      <c r="UHM240" s="15"/>
      <c r="UHN240" s="15"/>
      <c r="UHO240" s="15"/>
      <c r="UHP240" s="16"/>
      <c r="UHQ240" s="16"/>
      <c r="UHR240" s="16"/>
      <c r="UHS240" s="16"/>
      <c r="UHT240" s="16"/>
      <c r="UHU240" s="15"/>
      <c r="UHV240" s="15"/>
      <c r="UHW240" s="10"/>
      <c r="UHX240" s="10"/>
      <c r="UHY240" s="19"/>
      <c r="UHZ240" s="19"/>
      <c r="UIC240" s="16"/>
      <c r="UID240" s="15"/>
      <c r="UIE240" s="15"/>
      <c r="UIF240" s="15"/>
      <c r="UIG240" s="16"/>
      <c r="UIH240" s="16"/>
      <c r="UII240" s="16"/>
      <c r="UIJ240" s="16"/>
      <c r="UIK240" s="16"/>
      <c r="UIL240" s="15"/>
      <c r="UIM240" s="15"/>
      <c r="UIN240" s="10"/>
      <c r="UIO240" s="10"/>
      <c r="UIP240" s="19"/>
      <c r="UIQ240" s="19"/>
      <c r="UIT240" s="16"/>
      <c r="UIU240" s="15"/>
      <c r="UIV240" s="15"/>
      <c r="UIW240" s="15"/>
      <c r="UIX240" s="16"/>
      <c r="UIY240" s="16"/>
      <c r="UIZ240" s="16"/>
      <c r="UJA240" s="16"/>
      <c r="UJB240" s="16"/>
      <c r="UJC240" s="15"/>
      <c r="UJD240" s="15"/>
      <c r="UJE240" s="10"/>
      <c r="UJF240" s="10"/>
      <c r="UJG240" s="19"/>
      <c r="UJH240" s="19"/>
      <c r="UJK240" s="16"/>
      <c r="UJL240" s="15"/>
      <c r="UJM240" s="15"/>
      <c r="UJN240" s="15"/>
      <c r="UJO240" s="16"/>
      <c r="UJP240" s="16"/>
      <c r="UJQ240" s="16"/>
      <c r="UJR240" s="16"/>
      <c r="UJS240" s="16"/>
      <c r="UJT240" s="15"/>
      <c r="UJU240" s="15"/>
      <c r="UJV240" s="10"/>
      <c r="UJW240" s="10"/>
      <c r="UJX240" s="19"/>
      <c r="UJY240" s="19"/>
      <c r="UKB240" s="16"/>
      <c r="UKC240" s="15"/>
      <c r="UKD240" s="15"/>
      <c r="UKE240" s="15"/>
      <c r="UKF240" s="16"/>
      <c r="UKG240" s="16"/>
      <c r="UKH240" s="16"/>
      <c r="UKI240" s="16"/>
      <c r="UKJ240" s="16"/>
      <c r="UKK240" s="15"/>
      <c r="UKL240" s="15"/>
      <c r="UKM240" s="10"/>
      <c r="UKN240" s="10"/>
      <c r="UKO240" s="19"/>
      <c r="UKP240" s="19"/>
      <c r="UKS240" s="16"/>
      <c r="UKT240" s="15"/>
      <c r="UKU240" s="15"/>
      <c r="UKV240" s="15"/>
      <c r="UKW240" s="16"/>
      <c r="UKX240" s="16"/>
      <c r="UKY240" s="16"/>
      <c r="UKZ240" s="16"/>
      <c r="ULA240" s="16"/>
      <c r="ULB240" s="15"/>
      <c r="ULC240" s="15"/>
      <c r="ULD240" s="10"/>
      <c r="ULE240" s="10"/>
      <c r="ULF240" s="19"/>
      <c r="ULG240" s="19"/>
      <c r="ULJ240" s="16"/>
      <c r="ULK240" s="15"/>
      <c r="ULL240" s="15"/>
      <c r="ULM240" s="15"/>
      <c r="ULN240" s="16"/>
      <c r="ULO240" s="16"/>
      <c r="ULP240" s="16"/>
      <c r="ULQ240" s="16"/>
      <c r="ULR240" s="16"/>
      <c r="ULS240" s="15"/>
      <c r="ULT240" s="15"/>
      <c r="ULU240" s="10"/>
      <c r="ULV240" s="10"/>
      <c r="ULW240" s="19"/>
      <c r="ULX240" s="19"/>
      <c r="UMA240" s="16"/>
      <c r="UMB240" s="15"/>
      <c r="UMC240" s="15"/>
      <c r="UMD240" s="15"/>
      <c r="UME240" s="16"/>
      <c r="UMF240" s="16"/>
      <c r="UMG240" s="16"/>
      <c r="UMH240" s="16"/>
      <c r="UMI240" s="16"/>
      <c r="UMJ240" s="15"/>
      <c r="UMK240" s="15"/>
      <c r="UML240" s="10"/>
      <c r="UMM240" s="10"/>
      <c r="UMN240" s="19"/>
      <c r="UMO240" s="19"/>
      <c r="UMR240" s="16"/>
      <c r="UMS240" s="15"/>
      <c r="UMT240" s="15"/>
      <c r="UMU240" s="15"/>
      <c r="UMV240" s="16"/>
      <c r="UMW240" s="16"/>
      <c r="UMX240" s="16"/>
      <c r="UMY240" s="16"/>
      <c r="UMZ240" s="16"/>
      <c r="UNA240" s="15"/>
      <c r="UNB240" s="15"/>
      <c r="UNC240" s="10"/>
      <c r="UND240" s="10"/>
      <c r="UNE240" s="19"/>
      <c r="UNF240" s="19"/>
      <c r="UNI240" s="16"/>
      <c r="UNJ240" s="15"/>
      <c r="UNK240" s="15"/>
      <c r="UNL240" s="15"/>
      <c r="UNM240" s="16"/>
      <c r="UNN240" s="16"/>
      <c r="UNO240" s="16"/>
      <c r="UNP240" s="16"/>
      <c r="UNQ240" s="16"/>
      <c r="UNR240" s="15"/>
      <c r="UNS240" s="15"/>
      <c r="UNT240" s="10"/>
      <c r="UNU240" s="10"/>
      <c r="UNV240" s="19"/>
      <c r="UNW240" s="19"/>
      <c r="UNZ240" s="16"/>
      <c r="UOA240" s="15"/>
      <c r="UOB240" s="15"/>
      <c r="UOC240" s="15"/>
      <c r="UOD240" s="16"/>
      <c r="UOE240" s="16"/>
      <c r="UOF240" s="16"/>
      <c r="UOG240" s="16"/>
      <c r="UOH240" s="16"/>
      <c r="UOI240" s="15"/>
      <c r="UOJ240" s="15"/>
      <c r="UOK240" s="10"/>
      <c r="UOL240" s="10"/>
      <c r="UOM240" s="19"/>
      <c r="UON240" s="19"/>
      <c r="UOQ240" s="16"/>
      <c r="UOR240" s="15"/>
      <c r="UOS240" s="15"/>
      <c r="UOT240" s="15"/>
      <c r="UOU240" s="16"/>
      <c r="UOV240" s="16"/>
      <c r="UOW240" s="16"/>
      <c r="UOX240" s="16"/>
      <c r="UOY240" s="16"/>
      <c r="UOZ240" s="15"/>
      <c r="UPA240" s="15"/>
      <c r="UPB240" s="10"/>
      <c r="UPC240" s="10"/>
      <c r="UPD240" s="19"/>
      <c r="UPE240" s="19"/>
      <c r="UPH240" s="16"/>
      <c r="UPI240" s="15"/>
      <c r="UPJ240" s="15"/>
      <c r="UPK240" s="15"/>
      <c r="UPL240" s="16"/>
      <c r="UPM240" s="16"/>
      <c r="UPN240" s="16"/>
      <c r="UPO240" s="16"/>
      <c r="UPP240" s="16"/>
      <c r="UPQ240" s="15"/>
      <c r="UPR240" s="15"/>
      <c r="UPS240" s="10"/>
      <c r="UPT240" s="10"/>
      <c r="UPU240" s="19"/>
      <c r="UPV240" s="19"/>
      <c r="UPY240" s="16"/>
      <c r="UPZ240" s="15"/>
      <c r="UQA240" s="15"/>
      <c r="UQB240" s="15"/>
      <c r="UQC240" s="16"/>
      <c r="UQD240" s="16"/>
      <c r="UQE240" s="16"/>
      <c r="UQF240" s="16"/>
      <c r="UQG240" s="16"/>
      <c r="UQH240" s="15"/>
      <c r="UQI240" s="15"/>
      <c r="UQJ240" s="10"/>
      <c r="UQK240" s="10"/>
      <c r="UQL240" s="19"/>
      <c r="UQM240" s="19"/>
      <c r="UQP240" s="16"/>
      <c r="UQQ240" s="15"/>
      <c r="UQR240" s="15"/>
      <c r="UQS240" s="15"/>
      <c r="UQT240" s="16"/>
      <c r="UQU240" s="16"/>
      <c r="UQV240" s="16"/>
      <c r="UQW240" s="16"/>
      <c r="UQX240" s="16"/>
      <c r="UQY240" s="15"/>
      <c r="UQZ240" s="15"/>
      <c r="URA240" s="10"/>
      <c r="URB240" s="10"/>
      <c r="URC240" s="19"/>
      <c r="URD240" s="19"/>
      <c r="URG240" s="16"/>
      <c r="URH240" s="15"/>
      <c r="URI240" s="15"/>
      <c r="URJ240" s="15"/>
      <c r="URK240" s="16"/>
      <c r="URL240" s="16"/>
      <c r="URM240" s="16"/>
      <c r="URN240" s="16"/>
      <c r="URO240" s="16"/>
      <c r="URP240" s="15"/>
      <c r="URQ240" s="15"/>
      <c r="URR240" s="10"/>
      <c r="URS240" s="10"/>
      <c r="URT240" s="19"/>
      <c r="URU240" s="19"/>
      <c r="URX240" s="16"/>
      <c r="URY240" s="15"/>
      <c r="URZ240" s="15"/>
      <c r="USA240" s="15"/>
      <c r="USB240" s="16"/>
      <c r="USC240" s="16"/>
      <c r="USD240" s="16"/>
      <c r="USE240" s="16"/>
      <c r="USF240" s="16"/>
      <c r="USG240" s="15"/>
      <c r="USH240" s="15"/>
      <c r="USI240" s="10"/>
      <c r="USJ240" s="10"/>
      <c r="USK240" s="19"/>
      <c r="USL240" s="19"/>
      <c r="USO240" s="16"/>
      <c r="USP240" s="15"/>
      <c r="USQ240" s="15"/>
      <c r="USR240" s="15"/>
      <c r="USS240" s="16"/>
      <c r="UST240" s="16"/>
      <c r="USU240" s="16"/>
      <c r="USV240" s="16"/>
      <c r="USW240" s="16"/>
      <c r="USX240" s="15"/>
      <c r="USY240" s="15"/>
      <c r="USZ240" s="10"/>
      <c r="UTA240" s="10"/>
      <c r="UTB240" s="19"/>
      <c r="UTC240" s="19"/>
      <c r="UTF240" s="16"/>
      <c r="UTG240" s="15"/>
      <c r="UTH240" s="15"/>
      <c r="UTI240" s="15"/>
      <c r="UTJ240" s="16"/>
      <c r="UTK240" s="16"/>
      <c r="UTL240" s="16"/>
      <c r="UTM240" s="16"/>
      <c r="UTN240" s="16"/>
      <c r="UTO240" s="15"/>
      <c r="UTP240" s="15"/>
      <c r="UTQ240" s="10"/>
      <c r="UTR240" s="10"/>
      <c r="UTS240" s="19"/>
      <c r="UTT240" s="19"/>
      <c r="UTW240" s="16"/>
      <c r="UTX240" s="15"/>
      <c r="UTY240" s="15"/>
      <c r="UTZ240" s="15"/>
      <c r="UUA240" s="16"/>
      <c r="UUB240" s="16"/>
      <c r="UUC240" s="16"/>
      <c r="UUD240" s="16"/>
      <c r="UUE240" s="16"/>
      <c r="UUF240" s="15"/>
      <c r="UUG240" s="15"/>
      <c r="UUH240" s="10"/>
      <c r="UUI240" s="10"/>
      <c r="UUJ240" s="19"/>
      <c r="UUK240" s="19"/>
      <c r="UUN240" s="16"/>
      <c r="UUO240" s="15"/>
      <c r="UUP240" s="15"/>
      <c r="UUQ240" s="15"/>
      <c r="UUR240" s="16"/>
      <c r="UUS240" s="16"/>
      <c r="UUT240" s="16"/>
      <c r="UUU240" s="16"/>
      <c r="UUV240" s="16"/>
      <c r="UUW240" s="15"/>
      <c r="UUX240" s="15"/>
      <c r="UUY240" s="10"/>
      <c r="UUZ240" s="10"/>
      <c r="UVA240" s="19"/>
      <c r="UVB240" s="19"/>
      <c r="UVE240" s="16"/>
      <c r="UVF240" s="15"/>
      <c r="UVG240" s="15"/>
      <c r="UVH240" s="15"/>
      <c r="UVI240" s="16"/>
      <c r="UVJ240" s="16"/>
      <c r="UVK240" s="16"/>
      <c r="UVL240" s="16"/>
      <c r="UVM240" s="16"/>
      <c r="UVN240" s="15"/>
      <c r="UVO240" s="15"/>
      <c r="UVP240" s="10"/>
      <c r="UVQ240" s="10"/>
      <c r="UVR240" s="19"/>
      <c r="UVS240" s="19"/>
      <c r="UVV240" s="16"/>
      <c r="UVW240" s="15"/>
      <c r="UVX240" s="15"/>
      <c r="UVY240" s="15"/>
      <c r="UVZ240" s="16"/>
      <c r="UWA240" s="16"/>
      <c r="UWB240" s="16"/>
      <c r="UWC240" s="16"/>
      <c r="UWD240" s="16"/>
      <c r="UWE240" s="15"/>
      <c r="UWF240" s="15"/>
      <c r="UWG240" s="10"/>
      <c r="UWH240" s="10"/>
      <c r="UWI240" s="19"/>
      <c r="UWJ240" s="19"/>
      <c r="UWM240" s="16"/>
      <c r="UWN240" s="15"/>
      <c r="UWO240" s="15"/>
      <c r="UWP240" s="15"/>
      <c r="UWQ240" s="16"/>
      <c r="UWR240" s="16"/>
      <c r="UWS240" s="16"/>
      <c r="UWT240" s="16"/>
      <c r="UWU240" s="16"/>
      <c r="UWV240" s="15"/>
      <c r="UWW240" s="15"/>
      <c r="UWX240" s="10"/>
      <c r="UWY240" s="10"/>
      <c r="UWZ240" s="19"/>
      <c r="UXA240" s="19"/>
      <c r="UXD240" s="16"/>
      <c r="UXE240" s="15"/>
      <c r="UXF240" s="15"/>
      <c r="UXG240" s="15"/>
      <c r="UXH240" s="16"/>
      <c r="UXI240" s="16"/>
      <c r="UXJ240" s="16"/>
      <c r="UXK240" s="16"/>
      <c r="UXL240" s="16"/>
      <c r="UXM240" s="15"/>
      <c r="UXN240" s="15"/>
      <c r="UXO240" s="10"/>
      <c r="UXP240" s="10"/>
      <c r="UXQ240" s="19"/>
      <c r="UXR240" s="19"/>
      <c r="UXU240" s="16"/>
      <c r="UXV240" s="15"/>
      <c r="UXW240" s="15"/>
      <c r="UXX240" s="15"/>
      <c r="UXY240" s="16"/>
      <c r="UXZ240" s="16"/>
      <c r="UYA240" s="16"/>
      <c r="UYB240" s="16"/>
      <c r="UYC240" s="16"/>
      <c r="UYD240" s="15"/>
      <c r="UYE240" s="15"/>
      <c r="UYF240" s="10"/>
      <c r="UYG240" s="10"/>
      <c r="UYH240" s="19"/>
      <c r="UYI240" s="19"/>
      <c r="UYL240" s="16"/>
      <c r="UYM240" s="15"/>
      <c r="UYN240" s="15"/>
      <c r="UYO240" s="15"/>
      <c r="UYP240" s="16"/>
      <c r="UYQ240" s="16"/>
      <c r="UYR240" s="16"/>
      <c r="UYS240" s="16"/>
      <c r="UYT240" s="16"/>
      <c r="UYU240" s="15"/>
      <c r="UYV240" s="15"/>
      <c r="UYW240" s="10"/>
      <c r="UYX240" s="10"/>
      <c r="UYY240" s="19"/>
      <c r="UYZ240" s="19"/>
      <c r="UZC240" s="16"/>
      <c r="UZD240" s="15"/>
      <c r="UZE240" s="15"/>
      <c r="UZF240" s="15"/>
      <c r="UZG240" s="16"/>
      <c r="UZH240" s="16"/>
      <c r="UZI240" s="16"/>
      <c r="UZJ240" s="16"/>
      <c r="UZK240" s="16"/>
      <c r="UZL240" s="15"/>
      <c r="UZM240" s="15"/>
      <c r="UZN240" s="10"/>
      <c r="UZO240" s="10"/>
      <c r="UZP240" s="19"/>
      <c r="UZQ240" s="19"/>
      <c r="UZT240" s="16"/>
      <c r="UZU240" s="15"/>
      <c r="UZV240" s="15"/>
      <c r="UZW240" s="15"/>
      <c r="UZX240" s="16"/>
      <c r="UZY240" s="16"/>
      <c r="UZZ240" s="16"/>
      <c r="VAA240" s="16"/>
      <c r="VAB240" s="16"/>
      <c r="VAC240" s="15"/>
      <c r="VAD240" s="15"/>
      <c r="VAE240" s="10"/>
      <c r="VAF240" s="10"/>
      <c r="VAG240" s="19"/>
      <c r="VAH240" s="19"/>
      <c r="VAK240" s="16"/>
      <c r="VAL240" s="15"/>
      <c r="VAM240" s="15"/>
      <c r="VAN240" s="15"/>
      <c r="VAO240" s="16"/>
      <c r="VAP240" s="16"/>
      <c r="VAQ240" s="16"/>
      <c r="VAR240" s="16"/>
      <c r="VAS240" s="16"/>
      <c r="VAT240" s="15"/>
      <c r="VAU240" s="15"/>
      <c r="VAV240" s="10"/>
      <c r="VAW240" s="10"/>
      <c r="VAX240" s="19"/>
      <c r="VAY240" s="19"/>
      <c r="VBB240" s="16"/>
      <c r="VBC240" s="15"/>
      <c r="VBD240" s="15"/>
      <c r="VBE240" s="15"/>
      <c r="VBF240" s="16"/>
      <c r="VBG240" s="16"/>
      <c r="VBH240" s="16"/>
      <c r="VBI240" s="16"/>
      <c r="VBJ240" s="16"/>
      <c r="VBK240" s="15"/>
      <c r="VBL240" s="15"/>
      <c r="VBM240" s="10"/>
      <c r="VBN240" s="10"/>
      <c r="VBO240" s="19"/>
      <c r="VBP240" s="19"/>
      <c r="VBS240" s="16"/>
      <c r="VBT240" s="15"/>
      <c r="VBU240" s="15"/>
      <c r="VBV240" s="15"/>
      <c r="VBW240" s="16"/>
      <c r="VBX240" s="16"/>
      <c r="VBY240" s="16"/>
      <c r="VBZ240" s="16"/>
      <c r="VCA240" s="16"/>
      <c r="VCB240" s="15"/>
      <c r="VCC240" s="15"/>
      <c r="VCD240" s="10"/>
      <c r="VCE240" s="10"/>
      <c r="VCF240" s="19"/>
      <c r="VCG240" s="19"/>
      <c r="VCJ240" s="16"/>
      <c r="VCK240" s="15"/>
      <c r="VCL240" s="15"/>
      <c r="VCM240" s="15"/>
      <c r="VCN240" s="16"/>
      <c r="VCO240" s="16"/>
      <c r="VCP240" s="16"/>
      <c r="VCQ240" s="16"/>
      <c r="VCR240" s="16"/>
      <c r="VCS240" s="15"/>
      <c r="VCT240" s="15"/>
      <c r="VCU240" s="10"/>
      <c r="VCV240" s="10"/>
      <c r="VCW240" s="19"/>
      <c r="VCX240" s="19"/>
      <c r="VDA240" s="16"/>
      <c r="VDB240" s="15"/>
      <c r="VDC240" s="15"/>
      <c r="VDD240" s="15"/>
      <c r="VDE240" s="16"/>
      <c r="VDF240" s="16"/>
      <c r="VDG240" s="16"/>
      <c r="VDH240" s="16"/>
      <c r="VDI240" s="16"/>
      <c r="VDJ240" s="15"/>
      <c r="VDK240" s="15"/>
      <c r="VDL240" s="10"/>
      <c r="VDM240" s="10"/>
      <c r="VDN240" s="19"/>
      <c r="VDO240" s="19"/>
      <c r="VDR240" s="16"/>
      <c r="VDS240" s="15"/>
      <c r="VDT240" s="15"/>
      <c r="VDU240" s="15"/>
      <c r="VDV240" s="16"/>
      <c r="VDW240" s="16"/>
      <c r="VDX240" s="16"/>
      <c r="VDY240" s="16"/>
      <c r="VDZ240" s="16"/>
      <c r="VEA240" s="15"/>
      <c r="VEB240" s="15"/>
      <c r="VEC240" s="10"/>
      <c r="VED240" s="10"/>
      <c r="VEE240" s="19"/>
      <c r="VEF240" s="19"/>
      <c r="VEI240" s="16"/>
      <c r="VEJ240" s="15"/>
      <c r="VEK240" s="15"/>
      <c r="VEL240" s="15"/>
      <c r="VEM240" s="16"/>
      <c r="VEN240" s="16"/>
      <c r="VEO240" s="16"/>
      <c r="VEP240" s="16"/>
      <c r="VEQ240" s="16"/>
      <c r="VER240" s="15"/>
      <c r="VES240" s="15"/>
      <c r="VET240" s="10"/>
      <c r="VEU240" s="10"/>
      <c r="VEV240" s="19"/>
      <c r="VEW240" s="19"/>
      <c r="VEZ240" s="16"/>
      <c r="VFA240" s="15"/>
      <c r="VFB240" s="15"/>
      <c r="VFC240" s="15"/>
      <c r="VFD240" s="16"/>
      <c r="VFE240" s="16"/>
      <c r="VFF240" s="16"/>
      <c r="VFG240" s="16"/>
      <c r="VFH240" s="16"/>
      <c r="VFI240" s="15"/>
      <c r="VFJ240" s="15"/>
      <c r="VFK240" s="10"/>
      <c r="VFL240" s="10"/>
      <c r="VFM240" s="19"/>
      <c r="VFN240" s="19"/>
      <c r="VFQ240" s="16"/>
      <c r="VFR240" s="15"/>
      <c r="VFS240" s="15"/>
      <c r="VFT240" s="15"/>
      <c r="VFU240" s="16"/>
      <c r="VFV240" s="16"/>
      <c r="VFW240" s="16"/>
      <c r="VFX240" s="16"/>
      <c r="VFY240" s="16"/>
      <c r="VFZ240" s="15"/>
      <c r="VGA240" s="15"/>
      <c r="VGB240" s="10"/>
      <c r="VGC240" s="10"/>
      <c r="VGD240" s="19"/>
      <c r="VGE240" s="19"/>
      <c r="VGH240" s="16"/>
      <c r="VGI240" s="15"/>
      <c r="VGJ240" s="15"/>
      <c r="VGK240" s="15"/>
      <c r="VGL240" s="16"/>
      <c r="VGM240" s="16"/>
      <c r="VGN240" s="16"/>
      <c r="VGO240" s="16"/>
      <c r="VGP240" s="16"/>
      <c r="VGQ240" s="15"/>
      <c r="VGR240" s="15"/>
      <c r="VGS240" s="10"/>
      <c r="VGT240" s="10"/>
      <c r="VGU240" s="19"/>
      <c r="VGV240" s="19"/>
      <c r="VGY240" s="16"/>
      <c r="VGZ240" s="15"/>
      <c r="VHA240" s="15"/>
      <c r="VHB240" s="15"/>
      <c r="VHC240" s="16"/>
      <c r="VHD240" s="16"/>
      <c r="VHE240" s="16"/>
      <c r="VHF240" s="16"/>
      <c r="VHG240" s="16"/>
      <c r="VHH240" s="15"/>
      <c r="VHI240" s="15"/>
      <c r="VHJ240" s="10"/>
      <c r="VHK240" s="10"/>
      <c r="VHL240" s="19"/>
      <c r="VHM240" s="19"/>
      <c r="VHP240" s="16"/>
      <c r="VHQ240" s="15"/>
      <c r="VHR240" s="15"/>
      <c r="VHS240" s="15"/>
      <c r="VHT240" s="16"/>
      <c r="VHU240" s="16"/>
      <c r="VHV240" s="16"/>
      <c r="VHW240" s="16"/>
      <c r="VHX240" s="16"/>
      <c r="VHY240" s="15"/>
      <c r="VHZ240" s="15"/>
      <c r="VIA240" s="10"/>
      <c r="VIB240" s="10"/>
      <c r="VIC240" s="19"/>
      <c r="VID240" s="19"/>
      <c r="VIG240" s="16"/>
      <c r="VIH240" s="15"/>
      <c r="VII240" s="15"/>
      <c r="VIJ240" s="15"/>
      <c r="VIK240" s="16"/>
      <c r="VIL240" s="16"/>
      <c r="VIM240" s="16"/>
      <c r="VIN240" s="16"/>
      <c r="VIO240" s="16"/>
      <c r="VIP240" s="15"/>
      <c r="VIQ240" s="15"/>
      <c r="VIR240" s="10"/>
      <c r="VIS240" s="10"/>
      <c r="VIT240" s="19"/>
      <c r="VIU240" s="19"/>
      <c r="VIX240" s="16"/>
      <c r="VIY240" s="15"/>
      <c r="VIZ240" s="15"/>
      <c r="VJA240" s="15"/>
      <c r="VJB240" s="16"/>
      <c r="VJC240" s="16"/>
      <c r="VJD240" s="16"/>
      <c r="VJE240" s="16"/>
      <c r="VJF240" s="16"/>
      <c r="VJG240" s="15"/>
      <c r="VJH240" s="15"/>
      <c r="VJI240" s="10"/>
      <c r="VJJ240" s="10"/>
      <c r="VJK240" s="19"/>
      <c r="VJL240" s="19"/>
      <c r="VJO240" s="16"/>
      <c r="VJP240" s="15"/>
      <c r="VJQ240" s="15"/>
      <c r="VJR240" s="15"/>
      <c r="VJS240" s="16"/>
      <c r="VJT240" s="16"/>
      <c r="VJU240" s="16"/>
      <c r="VJV240" s="16"/>
      <c r="VJW240" s="16"/>
      <c r="VJX240" s="15"/>
      <c r="VJY240" s="15"/>
      <c r="VJZ240" s="10"/>
      <c r="VKA240" s="10"/>
      <c r="VKB240" s="19"/>
      <c r="VKC240" s="19"/>
      <c r="VKF240" s="16"/>
      <c r="VKG240" s="15"/>
      <c r="VKH240" s="15"/>
      <c r="VKI240" s="15"/>
      <c r="VKJ240" s="16"/>
      <c r="VKK240" s="16"/>
      <c r="VKL240" s="16"/>
      <c r="VKM240" s="16"/>
      <c r="VKN240" s="16"/>
      <c r="VKO240" s="15"/>
      <c r="VKP240" s="15"/>
      <c r="VKQ240" s="10"/>
      <c r="VKR240" s="10"/>
      <c r="VKS240" s="19"/>
      <c r="VKT240" s="19"/>
      <c r="VKW240" s="16"/>
      <c r="VKX240" s="15"/>
      <c r="VKY240" s="15"/>
      <c r="VKZ240" s="15"/>
      <c r="VLA240" s="16"/>
      <c r="VLB240" s="16"/>
      <c r="VLC240" s="16"/>
      <c r="VLD240" s="16"/>
      <c r="VLE240" s="16"/>
      <c r="VLF240" s="15"/>
      <c r="VLG240" s="15"/>
      <c r="VLH240" s="10"/>
      <c r="VLI240" s="10"/>
      <c r="VLJ240" s="19"/>
      <c r="VLK240" s="19"/>
      <c r="VLN240" s="16"/>
      <c r="VLO240" s="15"/>
      <c r="VLP240" s="15"/>
      <c r="VLQ240" s="15"/>
      <c r="VLR240" s="16"/>
      <c r="VLS240" s="16"/>
      <c r="VLT240" s="16"/>
      <c r="VLU240" s="16"/>
      <c r="VLV240" s="16"/>
      <c r="VLW240" s="15"/>
      <c r="VLX240" s="15"/>
      <c r="VLY240" s="10"/>
      <c r="VLZ240" s="10"/>
      <c r="VMA240" s="19"/>
      <c r="VMB240" s="19"/>
      <c r="VME240" s="16"/>
      <c r="VMF240" s="15"/>
      <c r="VMG240" s="15"/>
      <c r="VMH240" s="15"/>
      <c r="VMI240" s="16"/>
      <c r="VMJ240" s="16"/>
      <c r="VMK240" s="16"/>
      <c r="VML240" s="16"/>
      <c r="VMM240" s="16"/>
      <c r="VMN240" s="15"/>
      <c r="VMO240" s="15"/>
      <c r="VMP240" s="10"/>
      <c r="VMQ240" s="10"/>
      <c r="VMR240" s="19"/>
      <c r="VMS240" s="19"/>
      <c r="VMV240" s="16"/>
      <c r="VMW240" s="15"/>
      <c r="VMX240" s="15"/>
      <c r="VMY240" s="15"/>
      <c r="VMZ240" s="16"/>
      <c r="VNA240" s="16"/>
      <c r="VNB240" s="16"/>
      <c r="VNC240" s="16"/>
      <c r="VND240" s="16"/>
      <c r="VNE240" s="15"/>
      <c r="VNF240" s="15"/>
      <c r="VNG240" s="10"/>
      <c r="VNH240" s="10"/>
      <c r="VNI240" s="19"/>
      <c r="VNJ240" s="19"/>
      <c r="VNM240" s="16"/>
      <c r="VNN240" s="15"/>
      <c r="VNO240" s="15"/>
      <c r="VNP240" s="15"/>
      <c r="VNQ240" s="16"/>
      <c r="VNR240" s="16"/>
      <c r="VNS240" s="16"/>
      <c r="VNT240" s="16"/>
      <c r="VNU240" s="16"/>
      <c r="VNV240" s="15"/>
      <c r="VNW240" s="15"/>
      <c r="VNX240" s="10"/>
      <c r="VNY240" s="10"/>
      <c r="VNZ240" s="19"/>
      <c r="VOA240" s="19"/>
      <c r="VOD240" s="16"/>
      <c r="VOE240" s="15"/>
      <c r="VOF240" s="15"/>
      <c r="VOG240" s="15"/>
      <c r="VOH240" s="16"/>
      <c r="VOI240" s="16"/>
      <c r="VOJ240" s="16"/>
      <c r="VOK240" s="16"/>
      <c r="VOL240" s="16"/>
      <c r="VOM240" s="15"/>
      <c r="VON240" s="15"/>
      <c r="VOO240" s="10"/>
      <c r="VOP240" s="10"/>
      <c r="VOQ240" s="19"/>
      <c r="VOR240" s="19"/>
      <c r="VOU240" s="16"/>
      <c r="VOV240" s="15"/>
      <c r="VOW240" s="15"/>
      <c r="VOX240" s="15"/>
      <c r="VOY240" s="16"/>
      <c r="VOZ240" s="16"/>
      <c r="VPA240" s="16"/>
      <c r="VPB240" s="16"/>
      <c r="VPC240" s="16"/>
      <c r="VPD240" s="15"/>
      <c r="VPE240" s="15"/>
      <c r="VPF240" s="10"/>
      <c r="VPG240" s="10"/>
      <c r="VPH240" s="19"/>
      <c r="VPI240" s="19"/>
      <c r="VPL240" s="16"/>
      <c r="VPM240" s="15"/>
      <c r="VPN240" s="15"/>
      <c r="VPO240" s="15"/>
      <c r="VPP240" s="16"/>
      <c r="VPQ240" s="16"/>
      <c r="VPR240" s="16"/>
      <c r="VPS240" s="16"/>
      <c r="VPT240" s="16"/>
      <c r="VPU240" s="15"/>
      <c r="VPV240" s="15"/>
      <c r="VPW240" s="10"/>
      <c r="VPX240" s="10"/>
      <c r="VPY240" s="19"/>
      <c r="VPZ240" s="19"/>
      <c r="VQC240" s="16"/>
      <c r="VQD240" s="15"/>
      <c r="VQE240" s="15"/>
      <c r="VQF240" s="15"/>
      <c r="VQG240" s="16"/>
      <c r="VQH240" s="16"/>
      <c r="VQI240" s="16"/>
      <c r="VQJ240" s="16"/>
      <c r="VQK240" s="16"/>
      <c r="VQL240" s="15"/>
      <c r="VQM240" s="15"/>
      <c r="VQN240" s="10"/>
      <c r="VQO240" s="10"/>
      <c r="VQP240" s="19"/>
      <c r="VQQ240" s="19"/>
      <c r="VQT240" s="16"/>
      <c r="VQU240" s="15"/>
      <c r="VQV240" s="15"/>
      <c r="VQW240" s="15"/>
      <c r="VQX240" s="16"/>
      <c r="VQY240" s="16"/>
      <c r="VQZ240" s="16"/>
      <c r="VRA240" s="16"/>
      <c r="VRB240" s="16"/>
      <c r="VRC240" s="15"/>
      <c r="VRD240" s="15"/>
      <c r="VRE240" s="10"/>
      <c r="VRF240" s="10"/>
      <c r="VRG240" s="19"/>
      <c r="VRH240" s="19"/>
      <c r="VRK240" s="16"/>
      <c r="VRL240" s="15"/>
      <c r="VRM240" s="15"/>
      <c r="VRN240" s="15"/>
      <c r="VRO240" s="16"/>
      <c r="VRP240" s="16"/>
      <c r="VRQ240" s="16"/>
      <c r="VRR240" s="16"/>
      <c r="VRS240" s="16"/>
      <c r="VRT240" s="15"/>
      <c r="VRU240" s="15"/>
      <c r="VRV240" s="10"/>
      <c r="VRW240" s="10"/>
      <c r="VRX240" s="19"/>
      <c r="VRY240" s="19"/>
      <c r="VSB240" s="16"/>
      <c r="VSC240" s="15"/>
      <c r="VSD240" s="15"/>
      <c r="VSE240" s="15"/>
      <c r="VSF240" s="16"/>
      <c r="VSG240" s="16"/>
      <c r="VSH240" s="16"/>
      <c r="VSI240" s="16"/>
      <c r="VSJ240" s="16"/>
      <c r="VSK240" s="15"/>
      <c r="VSL240" s="15"/>
      <c r="VSM240" s="10"/>
      <c r="VSN240" s="10"/>
      <c r="VSO240" s="19"/>
      <c r="VSP240" s="19"/>
      <c r="VSS240" s="16"/>
      <c r="VST240" s="15"/>
      <c r="VSU240" s="15"/>
      <c r="VSV240" s="15"/>
      <c r="VSW240" s="16"/>
      <c r="VSX240" s="16"/>
      <c r="VSY240" s="16"/>
      <c r="VSZ240" s="16"/>
      <c r="VTA240" s="16"/>
      <c r="VTB240" s="15"/>
      <c r="VTC240" s="15"/>
      <c r="VTD240" s="10"/>
      <c r="VTE240" s="10"/>
      <c r="VTF240" s="19"/>
      <c r="VTG240" s="19"/>
      <c r="VTJ240" s="16"/>
      <c r="VTK240" s="15"/>
      <c r="VTL240" s="15"/>
      <c r="VTM240" s="15"/>
      <c r="VTN240" s="16"/>
      <c r="VTO240" s="16"/>
      <c r="VTP240" s="16"/>
      <c r="VTQ240" s="16"/>
      <c r="VTR240" s="16"/>
      <c r="VTS240" s="15"/>
      <c r="VTT240" s="15"/>
      <c r="VTU240" s="10"/>
      <c r="VTV240" s="10"/>
      <c r="VTW240" s="19"/>
      <c r="VTX240" s="19"/>
      <c r="VUA240" s="16"/>
      <c r="VUB240" s="15"/>
      <c r="VUC240" s="15"/>
      <c r="VUD240" s="15"/>
      <c r="VUE240" s="16"/>
      <c r="VUF240" s="16"/>
      <c r="VUG240" s="16"/>
      <c r="VUH240" s="16"/>
      <c r="VUI240" s="16"/>
      <c r="VUJ240" s="15"/>
      <c r="VUK240" s="15"/>
      <c r="VUL240" s="10"/>
      <c r="VUM240" s="10"/>
      <c r="VUN240" s="19"/>
      <c r="VUO240" s="19"/>
      <c r="VUR240" s="16"/>
      <c r="VUS240" s="15"/>
      <c r="VUT240" s="15"/>
      <c r="VUU240" s="15"/>
      <c r="VUV240" s="16"/>
      <c r="VUW240" s="16"/>
      <c r="VUX240" s="16"/>
      <c r="VUY240" s="16"/>
      <c r="VUZ240" s="16"/>
      <c r="VVA240" s="15"/>
      <c r="VVB240" s="15"/>
      <c r="VVC240" s="10"/>
      <c r="VVD240" s="10"/>
      <c r="VVE240" s="19"/>
      <c r="VVF240" s="19"/>
      <c r="VVI240" s="16"/>
      <c r="VVJ240" s="15"/>
      <c r="VVK240" s="15"/>
      <c r="VVL240" s="15"/>
      <c r="VVM240" s="16"/>
      <c r="VVN240" s="16"/>
      <c r="VVO240" s="16"/>
      <c r="VVP240" s="16"/>
      <c r="VVQ240" s="16"/>
      <c r="VVR240" s="15"/>
      <c r="VVS240" s="15"/>
      <c r="VVT240" s="10"/>
      <c r="VVU240" s="10"/>
      <c r="VVV240" s="19"/>
      <c r="VVW240" s="19"/>
      <c r="VVZ240" s="16"/>
      <c r="VWA240" s="15"/>
      <c r="VWB240" s="15"/>
      <c r="VWC240" s="15"/>
      <c r="VWD240" s="16"/>
      <c r="VWE240" s="16"/>
      <c r="VWF240" s="16"/>
      <c r="VWG240" s="16"/>
      <c r="VWH240" s="16"/>
      <c r="VWI240" s="15"/>
      <c r="VWJ240" s="15"/>
      <c r="VWK240" s="10"/>
      <c r="VWL240" s="10"/>
      <c r="VWM240" s="19"/>
      <c r="VWN240" s="19"/>
      <c r="VWQ240" s="16"/>
      <c r="VWR240" s="15"/>
      <c r="VWS240" s="15"/>
      <c r="VWT240" s="15"/>
      <c r="VWU240" s="16"/>
      <c r="VWV240" s="16"/>
      <c r="VWW240" s="16"/>
      <c r="VWX240" s="16"/>
      <c r="VWY240" s="16"/>
      <c r="VWZ240" s="15"/>
      <c r="VXA240" s="15"/>
      <c r="VXB240" s="10"/>
      <c r="VXC240" s="10"/>
      <c r="VXD240" s="19"/>
      <c r="VXE240" s="19"/>
      <c r="VXH240" s="16"/>
      <c r="VXI240" s="15"/>
      <c r="VXJ240" s="15"/>
      <c r="VXK240" s="15"/>
      <c r="VXL240" s="16"/>
      <c r="VXM240" s="16"/>
      <c r="VXN240" s="16"/>
      <c r="VXO240" s="16"/>
      <c r="VXP240" s="16"/>
      <c r="VXQ240" s="15"/>
      <c r="VXR240" s="15"/>
      <c r="VXS240" s="10"/>
      <c r="VXT240" s="10"/>
      <c r="VXU240" s="19"/>
      <c r="VXV240" s="19"/>
      <c r="VXY240" s="16"/>
      <c r="VXZ240" s="15"/>
      <c r="VYA240" s="15"/>
      <c r="VYB240" s="15"/>
      <c r="VYC240" s="16"/>
      <c r="VYD240" s="16"/>
      <c r="VYE240" s="16"/>
      <c r="VYF240" s="16"/>
      <c r="VYG240" s="16"/>
      <c r="VYH240" s="15"/>
      <c r="VYI240" s="15"/>
      <c r="VYJ240" s="10"/>
      <c r="VYK240" s="10"/>
      <c r="VYL240" s="19"/>
      <c r="VYM240" s="19"/>
      <c r="VYP240" s="16"/>
      <c r="VYQ240" s="15"/>
      <c r="VYR240" s="15"/>
      <c r="VYS240" s="15"/>
      <c r="VYT240" s="16"/>
      <c r="VYU240" s="16"/>
      <c r="VYV240" s="16"/>
      <c r="VYW240" s="16"/>
      <c r="VYX240" s="16"/>
      <c r="VYY240" s="15"/>
      <c r="VYZ240" s="15"/>
      <c r="VZA240" s="10"/>
      <c r="VZB240" s="10"/>
      <c r="VZC240" s="19"/>
      <c r="VZD240" s="19"/>
      <c r="VZG240" s="16"/>
      <c r="VZH240" s="15"/>
      <c r="VZI240" s="15"/>
      <c r="VZJ240" s="15"/>
      <c r="VZK240" s="16"/>
      <c r="VZL240" s="16"/>
      <c r="VZM240" s="16"/>
      <c r="VZN240" s="16"/>
      <c r="VZO240" s="16"/>
      <c r="VZP240" s="15"/>
      <c r="VZQ240" s="15"/>
      <c r="VZR240" s="10"/>
      <c r="VZS240" s="10"/>
      <c r="VZT240" s="19"/>
      <c r="VZU240" s="19"/>
      <c r="VZX240" s="16"/>
      <c r="VZY240" s="15"/>
      <c r="VZZ240" s="15"/>
      <c r="WAA240" s="15"/>
      <c r="WAB240" s="16"/>
      <c r="WAC240" s="16"/>
      <c r="WAD240" s="16"/>
      <c r="WAE240" s="16"/>
      <c r="WAF240" s="16"/>
      <c r="WAG240" s="15"/>
      <c r="WAH240" s="15"/>
      <c r="WAI240" s="10"/>
      <c r="WAJ240" s="10"/>
      <c r="WAK240" s="19"/>
      <c r="WAL240" s="19"/>
      <c r="WAO240" s="16"/>
      <c r="WAP240" s="15"/>
      <c r="WAQ240" s="15"/>
      <c r="WAR240" s="15"/>
      <c r="WAS240" s="16"/>
      <c r="WAT240" s="16"/>
      <c r="WAU240" s="16"/>
      <c r="WAV240" s="16"/>
      <c r="WAW240" s="16"/>
      <c r="WAX240" s="15"/>
      <c r="WAY240" s="15"/>
      <c r="WAZ240" s="10"/>
      <c r="WBA240" s="10"/>
      <c r="WBB240" s="19"/>
      <c r="WBC240" s="19"/>
      <c r="WBF240" s="16"/>
      <c r="WBG240" s="15"/>
      <c r="WBH240" s="15"/>
      <c r="WBI240" s="15"/>
      <c r="WBJ240" s="16"/>
      <c r="WBK240" s="16"/>
      <c r="WBL240" s="16"/>
      <c r="WBM240" s="16"/>
      <c r="WBN240" s="16"/>
      <c r="WBO240" s="15"/>
      <c r="WBP240" s="15"/>
      <c r="WBQ240" s="10"/>
      <c r="WBR240" s="10"/>
      <c r="WBS240" s="19"/>
      <c r="WBT240" s="19"/>
      <c r="WBW240" s="16"/>
      <c r="WBX240" s="15"/>
      <c r="WBY240" s="15"/>
      <c r="WBZ240" s="15"/>
      <c r="WCA240" s="16"/>
      <c r="WCB240" s="16"/>
      <c r="WCC240" s="16"/>
      <c r="WCD240" s="16"/>
      <c r="WCE240" s="16"/>
      <c r="WCF240" s="15"/>
      <c r="WCG240" s="15"/>
      <c r="WCH240" s="10"/>
      <c r="WCI240" s="10"/>
      <c r="WCJ240" s="19"/>
      <c r="WCK240" s="19"/>
      <c r="WCN240" s="16"/>
      <c r="WCO240" s="15"/>
      <c r="WCP240" s="15"/>
      <c r="WCQ240" s="15"/>
      <c r="WCR240" s="16"/>
      <c r="WCS240" s="16"/>
      <c r="WCT240" s="16"/>
      <c r="WCU240" s="16"/>
      <c r="WCV240" s="16"/>
      <c r="WCW240" s="15"/>
      <c r="WCX240" s="15"/>
      <c r="WCY240" s="10"/>
      <c r="WCZ240" s="10"/>
      <c r="WDA240" s="19"/>
      <c r="WDB240" s="19"/>
      <c r="WDE240" s="16"/>
      <c r="WDF240" s="15"/>
      <c r="WDG240" s="15"/>
      <c r="WDH240" s="15"/>
      <c r="WDI240" s="16"/>
      <c r="WDJ240" s="16"/>
      <c r="WDK240" s="16"/>
      <c r="WDL240" s="16"/>
      <c r="WDM240" s="16"/>
      <c r="WDN240" s="15"/>
      <c r="WDO240" s="15"/>
      <c r="WDP240" s="10"/>
      <c r="WDQ240" s="10"/>
      <c r="WDR240" s="19"/>
      <c r="WDS240" s="19"/>
      <c r="WDV240" s="16"/>
      <c r="WDW240" s="15"/>
      <c r="WDX240" s="15"/>
      <c r="WDY240" s="15"/>
      <c r="WDZ240" s="16"/>
      <c r="WEA240" s="16"/>
      <c r="WEB240" s="16"/>
      <c r="WEC240" s="16"/>
      <c r="WED240" s="16"/>
      <c r="WEE240" s="15"/>
      <c r="WEF240" s="15"/>
      <c r="WEG240" s="10"/>
      <c r="WEH240" s="10"/>
      <c r="WEI240" s="19"/>
      <c r="WEJ240" s="19"/>
      <c r="WEM240" s="16"/>
      <c r="WEN240" s="15"/>
      <c r="WEO240" s="15"/>
      <c r="WEP240" s="15"/>
      <c r="WEQ240" s="16"/>
      <c r="WER240" s="16"/>
      <c r="WES240" s="16"/>
      <c r="WET240" s="16"/>
      <c r="WEU240" s="16"/>
      <c r="WEV240" s="15"/>
      <c r="WEW240" s="15"/>
      <c r="WEX240" s="10"/>
      <c r="WEY240" s="10"/>
      <c r="WEZ240" s="19"/>
      <c r="WFA240" s="19"/>
      <c r="WFD240" s="16"/>
      <c r="WFE240" s="15"/>
      <c r="WFF240" s="15"/>
      <c r="WFG240" s="15"/>
      <c r="WFH240" s="16"/>
      <c r="WFI240" s="16"/>
      <c r="WFJ240" s="16"/>
      <c r="WFK240" s="16"/>
      <c r="WFL240" s="16"/>
      <c r="WFM240" s="15"/>
      <c r="WFN240" s="15"/>
      <c r="WFO240" s="10"/>
      <c r="WFP240" s="10"/>
      <c r="WFQ240" s="19"/>
      <c r="WFR240" s="19"/>
      <c r="WFU240" s="16"/>
      <c r="WFV240" s="15"/>
      <c r="WFW240" s="15"/>
      <c r="WFX240" s="15"/>
      <c r="WFY240" s="16"/>
      <c r="WFZ240" s="16"/>
      <c r="WGA240" s="16"/>
      <c r="WGB240" s="16"/>
      <c r="WGC240" s="16"/>
      <c r="WGD240" s="15"/>
      <c r="WGE240" s="15"/>
      <c r="WGF240" s="10"/>
      <c r="WGG240" s="10"/>
      <c r="WGH240" s="19"/>
      <c r="WGI240" s="19"/>
      <c r="WGL240" s="16"/>
      <c r="WGM240" s="15"/>
      <c r="WGN240" s="15"/>
      <c r="WGO240" s="15"/>
      <c r="WGP240" s="16"/>
      <c r="WGQ240" s="16"/>
      <c r="WGR240" s="16"/>
      <c r="WGS240" s="16"/>
      <c r="WGT240" s="16"/>
      <c r="WGU240" s="15"/>
      <c r="WGV240" s="15"/>
      <c r="WGW240" s="10"/>
      <c r="WGX240" s="10"/>
      <c r="WGY240" s="19"/>
      <c r="WGZ240" s="19"/>
      <c r="WHC240" s="16"/>
      <c r="WHD240" s="15"/>
      <c r="WHE240" s="15"/>
      <c r="WHF240" s="15"/>
      <c r="WHG240" s="16"/>
      <c r="WHH240" s="16"/>
      <c r="WHI240" s="16"/>
      <c r="WHJ240" s="16"/>
      <c r="WHK240" s="16"/>
      <c r="WHL240" s="15"/>
      <c r="WHM240" s="15"/>
      <c r="WHN240" s="10"/>
      <c r="WHO240" s="10"/>
      <c r="WHP240" s="19"/>
      <c r="WHQ240" s="19"/>
      <c r="WHT240" s="16"/>
      <c r="WHU240" s="15"/>
      <c r="WHV240" s="15"/>
      <c r="WHW240" s="15"/>
      <c r="WHX240" s="16"/>
      <c r="WHY240" s="16"/>
      <c r="WHZ240" s="16"/>
      <c r="WIA240" s="16"/>
      <c r="WIB240" s="16"/>
      <c r="WIC240" s="15"/>
      <c r="WID240" s="15"/>
      <c r="WIE240" s="10"/>
      <c r="WIF240" s="10"/>
      <c r="WIG240" s="19"/>
      <c r="WIH240" s="19"/>
      <c r="WIK240" s="16"/>
      <c r="WIL240" s="15"/>
      <c r="WIM240" s="15"/>
      <c r="WIN240" s="15"/>
      <c r="WIO240" s="16"/>
      <c r="WIP240" s="16"/>
      <c r="WIQ240" s="16"/>
      <c r="WIR240" s="16"/>
      <c r="WIS240" s="16"/>
      <c r="WIT240" s="15"/>
      <c r="WIU240" s="15"/>
      <c r="WIV240" s="10"/>
      <c r="WIW240" s="10"/>
      <c r="WIX240" s="19"/>
      <c r="WIY240" s="19"/>
      <c r="WJB240" s="16"/>
      <c r="WJC240" s="15"/>
      <c r="WJD240" s="15"/>
      <c r="WJE240" s="15"/>
      <c r="WJF240" s="16"/>
      <c r="WJG240" s="16"/>
      <c r="WJH240" s="16"/>
      <c r="WJI240" s="16"/>
      <c r="WJJ240" s="16"/>
      <c r="WJK240" s="15"/>
      <c r="WJL240" s="15"/>
      <c r="WJM240" s="10"/>
      <c r="WJN240" s="10"/>
      <c r="WJO240" s="19"/>
      <c r="WJP240" s="19"/>
      <c r="WJS240" s="16"/>
      <c r="WJT240" s="15"/>
      <c r="WJU240" s="15"/>
      <c r="WJV240" s="15"/>
      <c r="WJW240" s="16"/>
      <c r="WJX240" s="16"/>
      <c r="WJY240" s="16"/>
      <c r="WJZ240" s="16"/>
      <c r="WKA240" s="16"/>
      <c r="WKB240" s="15"/>
      <c r="WKC240" s="15"/>
      <c r="WKD240" s="10"/>
      <c r="WKE240" s="10"/>
      <c r="WKF240" s="19"/>
      <c r="WKG240" s="19"/>
      <c r="WKJ240" s="16"/>
      <c r="WKK240" s="15"/>
      <c r="WKL240" s="15"/>
      <c r="WKM240" s="15"/>
      <c r="WKN240" s="16"/>
      <c r="WKO240" s="16"/>
      <c r="WKP240" s="16"/>
      <c r="WKQ240" s="16"/>
      <c r="WKR240" s="16"/>
      <c r="WKS240" s="15"/>
      <c r="WKT240" s="15"/>
      <c r="WKU240" s="10"/>
      <c r="WKV240" s="10"/>
      <c r="WKW240" s="19"/>
      <c r="WKX240" s="19"/>
      <c r="WLA240" s="16"/>
      <c r="WLB240" s="15"/>
      <c r="WLC240" s="15"/>
      <c r="WLD240" s="15"/>
      <c r="WLE240" s="16"/>
      <c r="WLF240" s="16"/>
      <c r="WLG240" s="16"/>
      <c r="WLH240" s="16"/>
      <c r="WLI240" s="16"/>
      <c r="WLJ240" s="15"/>
      <c r="WLK240" s="15"/>
      <c r="WLL240" s="10"/>
      <c r="WLM240" s="10"/>
      <c r="WLN240" s="19"/>
      <c r="WLO240" s="19"/>
      <c r="WLR240" s="16"/>
      <c r="WLS240" s="15"/>
      <c r="WLT240" s="15"/>
      <c r="WLU240" s="15"/>
      <c r="WLV240" s="16"/>
      <c r="WLW240" s="16"/>
      <c r="WLX240" s="16"/>
      <c r="WLY240" s="16"/>
      <c r="WLZ240" s="16"/>
      <c r="WMA240" s="15"/>
      <c r="WMB240" s="15"/>
      <c r="WMC240" s="10"/>
      <c r="WMD240" s="10"/>
      <c r="WME240" s="19"/>
      <c r="WMF240" s="19"/>
      <c r="WMI240" s="16"/>
      <c r="WMJ240" s="15"/>
      <c r="WMK240" s="15"/>
      <c r="WML240" s="15"/>
      <c r="WMM240" s="16"/>
      <c r="WMN240" s="16"/>
      <c r="WMO240" s="16"/>
      <c r="WMP240" s="16"/>
      <c r="WMQ240" s="16"/>
      <c r="WMR240" s="15"/>
      <c r="WMS240" s="15"/>
      <c r="WMT240" s="10"/>
      <c r="WMU240" s="10"/>
      <c r="WMV240" s="19"/>
      <c r="WMW240" s="19"/>
      <c r="WMZ240" s="16"/>
      <c r="WNA240" s="15"/>
      <c r="WNB240" s="15"/>
      <c r="WNC240" s="15"/>
      <c r="WND240" s="16"/>
      <c r="WNE240" s="16"/>
      <c r="WNF240" s="16"/>
      <c r="WNG240" s="16"/>
      <c r="WNH240" s="16"/>
      <c r="WNI240" s="15"/>
      <c r="WNJ240" s="15"/>
      <c r="WNK240" s="10"/>
      <c r="WNL240" s="10"/>
      <c r="WNM240" s="19"/>
      <c r="WNN240" s="19"/>
      <c r="WNQ240" s="16"/>
      <c r="WNR240" s="15"/>
      <c r="WNS240" s="15"/>
      <c r="WNT240" s="15"/>
      <c r="WNU240" s="16"/>
      <c r="WNV240" s="16"/>
      <c r="WNW240" s="16"/>
      <c r="WNX240" s="16"/>
      <c r="WNY240" s="16"/>
      <c r="WNZ240" s="15"/>
      <c r="WOA240" s="15"/>
      <c r="WOB240" s="10"/>
      <c r="WOC240" s="10"/>
      <c r="WOD240" s="19"/>
      <c r="WOE240" s="19"/>
      <c r="WOH240" s="16"/>
      <c r="WOI240" s="15"/>
      <c r="WOJ240" s="15"/>
      <c r="WOK240" s="15"/>
      <c r="WOL240" s="16"/>
      <c r="WOM240" s="16"/>
      <c r="WON240" s="16"/>
      <c r="WOO240" s="16"/>
      <c r="WOP240" s="16"/>
      <c r="WOQ240" s="15"/>
      <c r="WOR240" s="15"/>
      <c r="WOS240" s="10"/>
      <c r="WOT240" s="10"/>
      <c r="WOU240" s="19"/>
      <c r="WOV240" s="19"/>
      <c r="WOY240" s="16"/>
      <c r="WOZ240" s="15"/>
      <c r="WPA240" s="15"/>
      <c r="WPB240" s="15"/>
      <c r="WPC240" s="16"/>
      <c r="WPD240" s="16"/>
      <c r="WPE240" s="16"/>
      <c r="WPF240" s="16"/>
      <c r="WPG240" s="16"/>
      <c r="WPH240" s="15"/>
      <c r="WPI240" s="15"/>
      <c r="WPJ240" s="10"/>
      <c r="WPK240" s="10"/>
      <c r="WPL240" s="19"/>
      <c r="WPM240" s="19"/>
      <c r="WPP240" s="16"/>
      <c r="WPQ240" s="15"/>
      <c r="WPR240" s="15"/>
      <c r="WPS240" s="15"/>
      <c r="WPT240" s="16"/>
      <c r="WPU240" s="16"/>
      <c r="WPV240" s="16"/>
      <c r="WPW240" s="16"/>
      <c r="WPX240" s="16"/>
      <c r="WPY240" s="15"/>
      <c r="WPZ240" s="15"/>
      <c r="WQA240" s="10"/>
      <c r="WQB240" s="10"/>
      <c r="WQC240" s="19"/>
      <c r="WQD240" s="19"/>
      <c r="WQG240" s="16"/>
      <c r="WQH240" s="15"/>
      <c r="WQI240" s="15"/>
      <c r="WQJ240" s="15"/>
      <c r="WQK240" s="16"/>
      <c r="WQL240" s="16"/>
      <c r="WQM240" s="16"/>
      <c r="WQN240" s="16"/>
      <c r="WQO240" s="16"/>
      <c r="WQP240" s="15"/>
      <c r="WQQ240" s="15"/>
      <c r="WQR240" s="10"/>
      <c r="WQS240" s="10"/>
      <c r="WQT240" s="19"/>
      <c r="WQU240" s="19"/>
      <c r="WQX240" s="16"/>
      <c r="WQY240" s="15"/>
      <c r="WQZ240" s="15"/>
      <c r="WRA240" s="15"/>
      <c r="WRB240" s="16"/>
      <c r="WRC240" s="16"/>
      <c r="WRD240" s="16"/>
      <c r="WRE240" s="16"/>
      <c r="WRF240" s="16"/>
      <c r="WRG240" s="15"/>
      <c r="WRH240" s="15"/>
      <c r="WRI240" s="10"/>
      <c r="WRJ240" s="10"/>
      <c r="WRK240" s="19"/>
      <c r="WRL240" s="19"/>
      <c r="WRO240" s="16"/>
      <c r="WRP240" s="15"/>
      <c r="WRQ240" s="15"/>
      <c r="WRR240" s="15"/>
      <c r="WRS240" s="16"/>
      <c r="WRT240" s="16"/>
      <c r="WRU240" s="16"/>
      <c r="WRV240" s="16"/>
      <c r="WRW240" s="16"/>
      <c r="WRX240" s="15"/>
      <c r="WRY240" s="15"/>
      <c r="WRZ240" s="10"/>
      <c r="WSA240" s="10"/>
      <c r="WSB240" s="19"/>
      <c r="WSC240" s="19"/>
      <c r="WSF240" s="16"/>
      <c r="WSG240" s="15"/>
      <c r="WSH240" s="15"/>
      <c r="WSI240" s="15"/>
      <c r="WSJ240" s="16"/>
      <c r="WSK240" s="16"/>
      <c r="WSL240" s="16"/>
      <c r="WSM240" s="16"/>
      <c r="WSN240" s="16"/>
      <c r="WSO240" s="15"/>
      <c r="WSP240" s="15"/>
      <c r="WSQ240" s="10"/>
      <c r="WSR240" s="10"/>
      <c r="WSS240" s="19"/>
      <c r="WST240" s="19"/>
      <c r="WSW240" s="16"/>
      <c r="WSX240" s="15"/>
      <c r="WSY240" s="15"/>
      <c r="WSZ240" s="15"/>
      <c r="WTA240" s="16"/>
      <c r="WTB240" s="16"/>
      <c r="WTC240" s="16"/>
      <c r="WTD240" s="16"/>
      <c r="WTE240" s="16"/>
      <c r="WTF240" s="15"/>
      <c r="WTG240" s="15"/>
      <c r="WTH240" s="10"/>
      <c r="WTI240" s="10"/>
      <c r="WTJ240" s="19"/>
      <c r="WTK240" s="19"/>
      <c r="WTN240" s="16"/>
      <c r="WTO240" s="15"/>
      <c r="WTP240" s="15"/>
      <c r="WTQ240" s="15"/>
      <c r="WTR240" s="16"/>
      <c r="WTS240" s="16"/>
      <c r="WTT240" s="16"/>
      <c r="WTU240" s="16"/>
      <c r="WTV240" s="16"/>
      <c r="WTW240" s="15"/>
      <c r="WTX240" s="15"/>
      <c r="WTY240" s="10"/>
      <c r="WTZ240" s="10"/>
      <c r="WUA240" s="19"/>
      <c r="WUB240" s="19"/>
      <c r="WUE240" s="16"/>
      <c r="WUF240" s="15"/>
      <c r="WUG240" s="15"/>
      <c r="WUH240" s="15"/>
      <c r="WUI240" s="16"/>
      <c r="WUJ240" s="16"/>
      <c r="WUK240" s="16"/>
      <c r="WUL240" s="16"/>
      <c r="WUM240" s="16"/>
      <c r="WUN240" s="15"/>
      <c r="WUO240" s="15"/>
      <c r="WUP240" s="10"/>
      <c r="WUQ240" s="10"/>
      <c r="WUR240" s="19"/>
      <c r="WUS240" s="19"/>
      <c r="WUV240" s="16"/>
      <c r="WUW240" s="15"/>
      <c r="WUX240" s="15"/>
      <c r="WUY240" s="15"/>
      <c r="WUZ240" s="16"/>
      <c r="WVA240" s="16"/>
      <c r="WVB240" s="16"/>
      <c r="WVC240" s="16"/>
      <c r="WVD240" s="16"/>
      <c r="WVE240" s="15"/>
      <c r="WVF240" s="15"/>
      <c r="WVG240" s="10"/>
      <c r="WVH240" s="10"/>
      <c r="WVI240" s="19"/>
      <c r="WVJ240" s="19"/>
      <c r="WVM240" s="16"/>
      <c r="WVN240" s="15"/>
      <c r="WVO240" s="15"/>
      <c r="WVP240" s="15"/>
      <c r="WVQ240" s="16"/>
      <c r="WVR240" s="16"/>
      <c r="WVS240" s="16"/>
      <c r="WVT240" s="16"/>
      <c r="WVU240" s="16"/>
      <c r="WVV240" s="15"/>
      <c r="WVW240" s="15"/>
      <c r="WVX240" s="10"/>
      <c r="WVY240" s="10"/>
      <c r="WVZ240" s="19"/>
      <c r="WWA240" s="19"/>
      <c r="WWD240" s="16"/>
      <c r="WWE240" s="15"/>
      <c r="WWF240" s="15"/>
      <c r="WWG240" s="15"/>
      <c r="WWH240" s="16"/>
      <c r="WWI240" s="16"/>
      <c r="WWJ240" s="16"/>
      <c r="WWK240" s="16"/>
      <c r="WWL240" s="16"/>
      <c r="WWM240" s="15"/>
      <c r="WWN240" s="15"/>
      <c r="WWO240" s="10"/>
      <c r="WWP240" s="10"/>
      <c r="WWQ240" s="19"/>
      <c r="WWR240" s="19"/>
      <c r="WWU240" s="16"/>
      <c r="WWV240" s="15"/>
      <c r="WWW240" s="15"/>
      <c r="WWX240" s="15"/>
      <c r="WWY240" s="16"/>
      <c r="WWZ240" s="16"/>
      <c r="WXA240" s="16"/>
      <c r="WXB240" s="16"/>
      <c r="WXC240" s="16"/>
      <c r="WXD240" s="15"/>
      <c r="WXE240" s="15"/>
      <c r="WXF240" s="10"/>
      <c r="WXG240" s="10"/>
      <c r="WXH240" s="19"/>
      <c r="WXI240" s="19"/>
      <c r="WXL240" s="16"/>
      <c r="WXM240" s="15"/>
      <c r="WXN240" s="15"/>
      <c r="WXO240" s="15"/>
      <c r="WXP240" s="16"/>
      <c r="WXQ240" s="16"/>
      <c r="WXR240" s="16"/>
      <c r="WXS240" s="16"/>
      <c r="WXT240" s="16"/>
      <c r="WXU240" s="15"/>
      <c r="WXV240" s="15"/>
      <c r="WXW240" s="10"/>
      <c r="WXX240" s="10"/>
      <c r="WXY240" s="19"/>
      <c r="WXZ240" s="19"/>
      <c r="WYC240" s="16"/>
      <c r="WYD240" s="15"/>
      <c r="WYE240" s="15"/>
      <c r="WYF240" s="15"/>
      <c r="WYG240" s="16"/>
      <c r="WYH240" s="16"/>
      <c r="WYI240" s="16"/>
      <c r="WYJ240" s="16"/>
      <c r="WYK240" s="16"/>
      <c r="WYL240" s="15"/>
      <c r="WYM240" s="15"/>
      <c r="WYN240" s="10"/>
      <c r="WYO240" s="10"/>
      <c r="WYP240" s="19"/>
      <c r="WYQ240" s="19"/>
      <c r="WYT240" s="16"/>
      <c r="WYU240" s="15"/>
      <c r="WYV240" s="15"/>
      <c r="WYW240" s="15"/>
      <c r="WYX240" s="16"/>
      <c r="WYY240" s="16"/>
      <c r="WYZ240" s="16"/>
      <c r="WZA240" s="16"/>
      <c r="WZB240" s="16"/>
      <c r="WZC240" s="15"/>
      <c r="WZD240" s="15"/>
      <c r="WZE240" s="10"/>
      <c r="WZF240" s="10"/>
      <c r="WZG240" s="19"/>
      <c r="WZH240" s="19"/>
      <c r="WZK240" s="16"/>
      <c r="WZL240" s="15"/>
      <c r="WZM240" s="15"/>
      <c r="WZN240" s="15"/>
      <c r="WZO240" s="16"/>
      <c r="WZP240" s="16"/>
      <c r="WZQ240" s="16"/>
      <c r="WZR240" s="16"/>
      <c r="WZS240" s="16"/>
      <c r="WZT240" s="15"/>
      <c r="WZU240" s="15"/>
      <c r="WZV240" s="10"/>
      <c r="WZW240" s="10"/>
      <c r="WZX240" s="19"/>
      <c r="WZY240" s="19"/>
      <c r="XAB240" s="16"/>
      <c r="XAC240" s="15"/>
      <c r="XAD240" s="15"/>
      <c r="XAE240" s="15"/>
      <c r="XAF240" s="16"/>
      <c r="XAG240" s="16"/>
      <c r="XAH240" s="16"/>
      <c r="XAI240" s="16"/>
      <c r="XAJ240" s="16"/>
      <c r="XAK240" s="15"/>
      <c r="XAL240" s="15"/>
      <c r="XAM240" s="10"/>
      <c r="XAN240" s="10"/>
      <c r="XAO240" s="19"/>
      <c r="XAP240" s="19"/>
      <c r="XAS240" s="16"/>
      <c r="XAT240" s="15"/>
      <c r="XAU240" s="15"/>
      <c r="XAV240" s="15"/>
      <c r="XAW240" s="16"/>
      <c r="XAX240" s="16"/>
      <c r="XAY240" s="16"/>
      <c r="XAZ240" s="16"/>
      <c r="XBA240" s="16"/>
      <c r="XBB240" s="15"/>
      <c r="XBC240" s="15"/>
      <c r="XBD240" s="10"/>
      <c r="XBE240" s="10"/>
      <c r="XBF240" s="19"/>
      <c r="XBG240" s="19"/>
      <c r="XBJ240" s="16"/>
      <c r="XBK240" s="15"/>
      <c r="XBL240" s="15"/>
      <c r="XBM240" s="15"/>
      <c r="XBN240" s="16"/>
      <c r="XBO240" s="16"/>
      <c r="XBP240" s="16"/>
      <c r="XBQ240" s="16"/>
      <c r="XBR240" s="16"/>
      <c r="XBS240" s="15"/>
      <c r="XBT240" s="15"/>
      <c r="XBU240" s="10"/>
      <c r="XBV240" s="10"/>
      <c r="XBW240" s="19"/>
      <c r="XBX240" s="19"/>
      <c r="XCA240" s="16"/>
      <c r="XCB240" s="15"/>
      <c r="XCC240" s="15"/>
      <c r="XCD240" s="15"/>
      <c r="XCE240" s="16"/>
      <c r="XCF240" s="16"/>
      <c r="XCG240" s="16"/>
      <c r="XCH240" s="16"/>
      <c r="XCI240" s="16"/>
      <c r="XCJ240" s="15"/>
      <c r="XCK240" s="15"/>
      <c r="XCL240" s="10"/>
      <c r="XCM240" s="10"/>
      <c r="XCN240" s="19"/>
      <c r="XCO240" s="19"/>
      <c r="XCR240" s="16"/>
      <c r="XCS240" s="15"/>
      <c r="XCT240" s="15"/>
      <c r="XCU240" s="15"/>
      <c r="XCV240" s="16"/>
      <c r="XCW240" s="16"/>
      <c r="XCX240" s="16"/>
      <c r="XCY240" s="16"/>
      <c r="XCZ240" s="16"/>
      <c r="XDA240" s="15"/>
      <c r="XDB240" s="15"/>
      <c r="XDC240" s="10"/>
      <c r="XDD240" s="10"/>
      <c r="XDE240" s="19"/>
      <c r="XDF240" s="19"/>
      <c r="XDI240" s="16"/>
      <c r="XDJ240" s="15"/>
      <c r="XDK240" s="15"/>
      <c r="XDL240" s="15"/>
      <c r="XDM240" s="16"/>
      <c r="XDN240" s="16"/>
      <c r="XDO240" s="16"/>
      <c r="XDP240" s="16"/>
      <c r="XDQ240" s="16"/>
      <c r="XDR240" s="15"/>
      <c r="XDS240" s="15"/>
      <c r="XDT240" s="10"/>
      <c r="XDU240" s="10"/>
      <c r="XDV240" s="19"/>
      <c r="XDW240" s="19"/>
      <c r="XDZ240" s="16"/>
      <c r="XEA240" s="15"/>
      <c r="XEB240" s="15"/>
      <c r="XEC240" s="15"/>
      <c r="XED240" s="16"/>
      <c r="XEE240" s="16"/>
      <c r="XEF240" s="16"/>
      <c r="XEG240" s="16"/>
      <c r="XEH240" s="16"/>
      <c r="XEI240" s="15"/>
      <c r="XEJ240" s="15"/>
      <c r="XEK240" s="10"/>
      <c r="XEL240" s="10"/>
      <c r="XEM240" s="19"/>
      <c r="XEN240" s="19"/>
      <c r="XEQ240" s="16"/>
      <c r="XER240" s="15"/>
      <c r="XES240" s="15"/>
      <c r="XET240" s="15"/>
      <c r="XEU240" s="16"/>
      <c r="XEV240" s="16"/>
      <c r="XEW240" s="16"/>
      <c r="XEX240" s="16"/>
      <c r="XEY240" s="16"/>
      <c r="XEZ240" s="15"/>
      <c r="XFA240" s="15"/>
      <c r="XFB240" s="10"/>
      <c r="XFC240" s="10"/>
      <c r="XFD240" s="19"/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1204</v>
      </c>
      <c r="E241" s="32" t="s">
        <v>164</v>
      </c>
      <c r="F241" s="32" t="s">
        <v>1205</v>
      </c>
      <c r="G241" s="32" t="s">
        <v>1207</v>
      </c>
      <c r="H241" s="32" t="s">
        <v>352</v>
      </c>
      <c r="I241" s="31" t="s">
        <v>1206</v>
      </c>
      <c r="J241" s="31">
        <v>99</v>
      </c>
      <c r="K241" s="33" t="s">
        <v>713</v>
      </c>
      <c r="L241" s="33" t="s">
        <v>684</v>
      </c>
      <c r="M241" s="34" t="s">
        <v>1372</v>
      </c>
      <c r="N241" s="34" t="s">
        <v>1706</v>
      </c>
      <c r="O241" s="35">
        <v>1</v>
      </c>
      <c r="P241" s="35"/>
      <c r="Q241" s="32"/>
      <c r="S241" s="1">
        <f t="shared" si="69"/>
        <v>0</v>
      </c>
      <c r="T241" s="1">
        <f t="shared" si="70"/>
        <v>0</v>
      </c>
      <c r="U241" s="1">
        <f t="shared" si="71"/>
        <v>0</v>
      </c>
      <c r="V241" s="1">
        <f t="shared" si="72"/>
        <v>0</v>
      </c>
      <c r="W241" s="1">
        <f t="shared" si="73"/>
        <v>0</v>
      </c>
      <c r="X241" s="1">
        <f t="shared" si="74"/>
        <v>0</v>
      </c>
      <c r="Y241" s="1">
        <f t="shared" si="75"/>
        <v>0</v>
      </c>
      <c r="Z241" s="1">
        <f t="shared" si="76"/>
        <v>0</v>
      </c>
      <c r="AA241" s="1">
        <f t="shared" si="77"/>
        <v>0</v>
      </c>
      <c r="AB241" s="1">
        <f t="shared" si="78"/>
        <v>0</v>
      </c>
      <c r="AD241" s="1">
        <f t="shared" si="79"/>
        <v>0</v>
      </c>
      <c r="AE241" s="1">
        <f t="shared" si="80"/>
        <v>1</v>
      </c>
      <c r="AF241" s="1">
        <f t="shared" si="81"/>
        <v>0</v>
      </c>
      <c r="AG241" s="1">
        <f t="shared" si="82"/>
        <v>1</v>
      </c>
      <c r="AH241" s="1">
        <f t="shared" si="83"/>
        <v>0</v>
      </c>
      <c r="AI241" s="1">
        <f t="shared" si="84"/>
        <v>1</v>
      </c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959</v>
      </c>
      <c r="E242" s="32" t="s">
        <v>164</v>
      </c>
      <c r="F242" s="32" t="s">
        <v>957</v>
      </c>
      <c r="G242" s="32" t="s">
        <v>1086</v>
      </c>
      <c r="H242" s="32" t="s">
        <v>352</v>
      </c>
      <c r="I242" s="31" t="s">
        <v>958</v>
      </c>
      <c r="J242" s="31">
        <v>1</v>
      </c>
      <c r="K242" s="33" t="s">
        <v>937</v>
      </c>
      <c r="L242" s="33" t="s">
        <v>680</v>
      </c>
      <c r="M242" s="34" t="s">
        <v>1373</v>
      </c>
      <c r="N242" s="34" t="s">
        <v>1710</v>
      </c>
      <c r="O242" s="35">
        <v>1</v>
      </c>
      <c r="P242" s="35"/>
      <c r="Q242" s="32"/>
      <c r="R242" s="15"/>
      <c r="S242" s="1">
        <f t="shared" si="69"/>
        <v>1</v>
      </c>
      <c r="T242" s="1">
        <f t="shared" si="70"/>
        <v>0</v>
      </c>
      <c r="U242" s="1">
        <f t="shared" si="71"/>
        <v>0</v>
      </c>
      <c r="V242" s="1">
        <f t="shared" si="72"/>
        <v>0</v>
      </c>
      <c r="W242" s="1">
        <f t="shared" si="73"/>
        <v>0</v>
      </c>
      <c r="X242" s="1">
        <f t="shared" si="74"/>
        <v>0</v>
      </c>
      <c r="Y242" s="1">
        <f t="shared" si="75"/>
        <v>0</v>
      </c>
      <c r="Z242" s="1">
        <f t="shared" si="76"/>
        <v>0</v>
      </c>
      <c r="AA242" s="1">
        <f t="shared" si="77"/>
        <v>0</v>
      </c>
      <c r="AB242" s="1">
        <f t="shared" si="78"/>
        <v>0</v>
      </c>
      <c r="AD242" s="1">
        <f t="shared" si="79"/>
        <v>0</v>
      </c>
      <c r="AE242" s="1">
        <f t="shared" si="80"/>
        <v>1</v>
      </c>
      <c r="AF242" s="1">
        <f t="shared" si="81"/>
        <v>0</v>
      </c>
      <c r="AG242" s="1">
        <f t="shared" si="82"/>
        <v>1</v>
      </c>
      <c r="AH242" s="1">
        <f t="shared" si="83"/>
        <v>0</v>
      </c>
      <c r="AI242" s="1">
        <f t="shared" si="84"/>
        <v>1</v>
      </c>
      <c r="AJ242" s="15"/>
      <c r="AK242" s="15"/>
      <c r="AL242" s="15"/>
      <c r="AM242" s="15"/>
      <c r="AN242" s="15"/>
      <c r="AO242" s="15"/>
      <c r="AP242" s="15"/>
      <c r="AQ242" s="15"/>
      <c r="AR242" s="15"/>
      <c r="AS242" s="10"/>
      <c r="AT242" s="10"/>
      <c r="AU242" s="21"/>
      <c r="AV242" s="21"/>
      <c r="AY242" s="21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0"/>
      <c r="BK242" s="10"/>
      <c r="BL242" s="21"/>
      <c r="BM242" s="21"/>
      <c r="BP242" s="21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0"/>
      <c r="CB242" s="10"/>
      <c r="CC242" s="21"/>
      <c r="CD242" s="21"/>
      <c r="CG242" s="21"/>
      <c r="CH242" s="15"/>
      <c r="CI242" s="15"/>
      <c r="CJ242" s="15"/>
      <c r="CK242" s="15"/>
      <c r="CL242" s="15"/>
      <c r="CM242" s="15"/>
      <c r="CN242" s="15"/>
      <c r="CO242" s="15"/>
      <c r="CP242" s="15"/>
      <c r="CQ242" s="15"/>
      <c r="CR242" s="10"/>
      <c r="CS242" s="10"/>
      <c r="CT242" s="21"/>
      <c r="CU242" s="21"/>
      <c r="CX242" s="21"/>
      <c r="CY242" s="15"/>
      <c r="CZ242" s="15"/>
      <c r="DA242" s="15"/>
      <c r="DB242" s="15"/>
      <c r="DC242" s="15"/>
      <c r="DD242" s="15"/>
      <c r="DE242" s="15"/>
      <c r="DF242" s="15"/>
      <c r="DG242" s="15"/>
      <c r="DH242" s="15"/>
      <c r="DI242" s="10"/>
      <c r="DJ242" s="10"/>
      <c r="DK242" s="21"/>
      <c r="DL242" s="21"/>
      <c r="DO242" s="21"/>
      <c r="DP242" s="15"/>
      <c r="DQ242" s="15"/>
      <c r="DR242" s="15"/>
      <c r="DS242" s="15"/>
      <c r="DT242" s="15"/>
      <c r="DU242" s="15"/>
      <c r="DV242" s="15"/>
      <c r="DW242" s="15"/>
      <c r="DX242" s="15"/>
      <c r="DY242" s="15"/>
      <c r="DZ242" s="10"/>
      <c r="EA242" s="10"/>
      <c r="EB242" s="21"/>
      <c r="EC242" s="21"/>
      <c r="EF242" s="21"/>
      <c r="EG242" s="15"/>
      <c r="EH242" s="15"/>
      <c r="EI242" s="15"/>
      <c r="EJ242" s="15"/>
      <c r="EK242" s="15"/>
      <c r="EL242" s="15"/>
      <c r="EM242" s="15"/>
      <c r="EN242" s="15"/>
      <c r="EO242" s="15"/>
      <c r="EP242" s="15"/>
      <c r="EQ242" s="10"/>
      <c r="ER242" s="10"/>
      <c r="ES242" s="21"/>
      <c r="ET242" s="21"/>
      <c r="EW242" s="21"/>
      <c r="EX242" s="15"/>
      <c r="EY242" s="15"/>
      <c r="EZ242" s="15"/>
      <c r="FA242" s="15"/>
      <c r="FB242" s="15"/>
      <c r="FC242" s="15"/>
      <c r="FD242" s="15"/>
      <c r="FE242" s="15"/>
      <c r="FF242" s="15"/>
      <c r="FG242" s="15"/>
      <c r="FH242" s="10"/>
      <c r="FI242" s="10"/>
      <c r="FJ242" s="21"/>
      <c r="FK242" s="21"/>
      <c r="FN242" s="21"/>
      <c r="FO242" s="15"/>
      <c r="FP242" s="15"/>
      <c r="FQ242" s="15"/>
      <c r="FR242" s="15"/>
      <c r="FS242" s="15"/>
      <c r="FT242" s="15"/>
      <c r="FU242" s="15"/>
      <c r="FV242" s="15"/>
      <c r="FW242" s="15"/>
      <c r="FX242" s="15"/>
      <c r="FY242" s="10"/>
      <c r="FZ242" s="10"/>
      <c r="GA242" s="21"/>
      <c r="GB242" s="21"/>
      <c r="GE242" s="21"/>
      <c r="GF242" s="15"/>
      <c r="GG242" s="15"/>
      <c r="GH242" s="15"/>
      <c r="GI242" s="15"/>
      <c r="GJ242" s="15"/>
      <c r="GK242" s="15"/>
      <c r="GL242" s="15"/>
      <c r="GM242" s="15"/>
      <c r="GN242" s="15"/>
      <c r="GO242" s="15"/>
      <c r="GP242" s="10"/>
      <c r="GQ242" s="10"/>
      <c r="GR242" s="21"/>
      <c r="GS242" s="21"/>
      <c r="GV242" s="21"/>
      <c r="GW242" s="15"/>
      <c r="GX242" s="15"/>
      <c r="GY242" s="15"/>
      <c r="GZ242" s="15"/>
      <c r="HA242" s="15"/>
      <c r="HB242" s="15"/>
      <c r="HC242" s="15"/>
      <c r="HD242" s="15"/>
      <c r="HE242" s="15"/>
      <c r="HF242" s="15"/>
      <c r="HG242" s="10"/>
      <c r="HH242" s="10"/>
      <c r="HI242" s="21"/>
      <c r="HJ242" s="21"/>
      <c r="HM242" s="21"/>
      <c r="HN242" s="15"/>
      <c r="HO242" s="15"/>
      <c r="HP242" s="15"/>
      <c r="HQ242" s="15"/>
      <c r="HR242" s="15"/>
      <c r="HS242" s="15"/>
      <c r="HT242" s="15"/>
      <c r="HU242" s="15"/>
      <c r="HV242" s="15"/>
      <c r="HW242" s="15"/>
      <c r="HX242" s="10"/>
      <c r="HY242" s="10"/>
      <c r="HZ242" s="21"/>
      <c r="IA242" s="21"/>
      <c r="ID242" s="21"/>
      <c r="IE242" s="15"/>
      <c r="IF242" s="15"/>
      <c r="IG242" s="15"/>
      <c r="IH242" s="15"/>
      <c r="II242" s="15"/>
      <c r="IJ242" s="15"/>
      <c r="IK242" s="15"/>
      <c r="IL242" s="15"/>
      <c r="IM242" s="15"/>
      <c r="IN242" s="15"/>
      <c r="IO242" s="10"/>
      <c r="IP242" s="10"/>
      <c r="IQ242" s="21"/>
      <c r="IR242" s="21"/>
      <c r="IU242" s="21"/>
      <c r="IV242" s="15"/>
      <c r="IW242" s="15"/>
      <c r="IX242" s="15"/>
      <c r="IY242" s="15"/>
      <c r="IZ242" s="15"/>
      <c r="JA242" s="15"/>
      <c r="JB242" s="15"/>
      <c r="JC242" s="15"/>
      <c r="JD242" s="15"/>
      <c r="JE242" s="15"/>
      <c r="JF242" s="10"/>
      <c r="JG242" s="10"/>
      <c r="JH242" s="21"/>
      <c r="JI242" s="21"/>
      <c r="JL242" s="21"/>
      <c r="JM242" s="15"/>
      <c r="JN242" s="15"/>
      <c r="JO242" s="15"/>
      <c r="JP242" s="15"/>
      <c r="JQ242" s="15"/>
      <c r="JR242" s="15"/>
      <c r="JS242" s="15"/>
      <c r="JT242" s="15"/>
      <c r="JU242" s="15"/>
      <c r="JV242" s="15"/>
      <c r="JW242" s="10"/>
      <c r="JX242" s="10"/>
      <c r="JY242" s="21"/>
      <c r="JZ242" s="21"/>
      <c r="KC242" s="21"/>
      <c r="KD242" s="15"/>
      <c r="KE242" s="15"/>
      <c r="KF242" s="15"/>
      <c r="KG242" s="15"/>
      <c r="KH242" s="15"/>
      <c r="KI242" s="15"/>
      <c r="KJ242" s="15"/>
      <c r="KK242" s="15"/>
      <c r="KL242" s="15"/>
      <c r="KM242" s="15"/>
      <c r="KN242" s="10"/>
      <c r="KO242" s="10"/>
      <c r="KP242" s="21"/>
      <c r="KQ242" s="21"/>
      <c r="KT242" s="21"/>
      <c r="KU242" s="15"/>
      <c r="KV242" s="15"/>
      <c r="KW242" s="15"/>
      <c r="KX242" s="15"/>
      <c r="KY242" s="15"/>
      <c r="KZ242" s="15"/>
      <c r="LA242" s="15"/>
      <c r="LB242" s="15"/>
      <c r="LC242" s="15"/>
      <c r="LD242" s="15"/>
      <c r="LE242" s="10"/>
      <c r="LF242" s="10"/>
      <c r="LG242" s="21"/>
      <c r="LH242" s="21"/>
      <c r="LK242" s="21"/>
      <c r="LL242" s="15"/>
      <c r="LM242" s="15"/>
      <c r="LN242" s="15"/>
      <c r="LO242" s="15"/>
      <c r="LP242" s="15"/>
      <c r="LQ242" s="15"/>
      <c r="LR242" s="15"/>
      <c r="LS242" s="15"/>
      <c r="LT242" s="15"/>
      <c r="LU242" s="15"/>
      <c r="LV242" s="10"/>
      <c r="LW242" s="10"/>
      <c r="LX242" s="21"/>
      <c r="LY242" s="21"/>
      <c r="MB242" s="21"/>
      <c r="MC242" s="15"/>
      <c r="MD242" s="15"/>
      <c r="ME242" s="15"/>
      <c r="MF242" s="15"/>
      <c r="MG242" s="15"/>
      <c r="MH242" s="15"/>
      <c r="MI242" s="15"/>
      <c r="MJ242" s="15"/>
      <c r="MK242" s="15"/>
      <c r="ML242" s="15"/>
      <c r="MM242" s="10"/>
      <c r="MN242" s="10"/>
      <c r="MO242" s="21"/>
      <c r="MP242" s="21"/>
      <c r="MS242" s="21"/>
      <c r="MT242" s="15"/>
      <c r="MU242" s="15"/>
      <c r="MV242" s="15"/>
      <c r="MW242" s="15"/>
      <c r="MX242" s="15"/>
      <c r="MY242" s="15"/>
      <c r="MZ242" s="15"/>
      <c r="NA242" s="15"/>
      <c r="NB242" s="15"/>
      <c r="NC242" s="15"/>
      <c r="ND242" s="10"/>
      <c r="NE242" s="10"/>
      <c r="NF242" s="21"/>
      <c r="NG242" s="21"/>
      <c r="NJ242" s="21"/>
      <c r="NK242" s="15"/>
      <c r="NL242" s="15"/>
      <c r="NM242" s="15"/>
      <c r="NN242" s="15"/>
      <c r="NO242" s="15"/>
      <c r="NP242" s="15"/>
      <c r="NQ242" s="15"/>
      <c r="NR242" s="15"/>
      <c r="NS242" s="15"/>
      <c r="NT242" s="15"/>
      <c r="NU242" s="10"/>
      <c r="NV242" s="10"/>
      <c r="NW242" s="21"/>
      <c r="NX242" s="21"/>
      <c r="OA242" s="21"/>
      <c r="OB242" s="15"/>
      <c r="OC242" s="15"/>
      <c r="OD242" s="15"/>
      <c r="OE242" s="15"/>
      <c r="OF242" s="15"/>
      <c r="OG242" s="15"/>
      <c r="OH242" s="15"/>
      <c r="OI242" s="15"/>
      <c r="OJ242" s="15"/>
      <c r="OK242" s="15"/>
      <c r="OL242" s="10"/>
      <c r="OM242" s="10"/>
      <c r="ON242" s="21"/>
      <c r="OO242" s="21"/>
      <c r="OR242" s="21"/>
      <c r="OS242" s="15"/>
      <c r="OT242" s="15"/>
      <c r="OU242" s="15"/>
      <c r="OV242" s="15"/>
      <c r="OW242" s="15"/>
      <c r="OX242" s="15"/>
      <c r="OY242" s="15"/>
      <c r="OZ242" s="15"/>
      <c r="PA242" s="15"/>
      <c r="PB242" s="15"/>
      <c r="PC242" s="10"/>
      <c r="PD242" s="10"/>
      <c r="PE242" s="21"/>
      <c r="PF242" s="21"/>
      <c r="PI242" s="21"/>
      <c r="PJ242" s="15"/>
      <c r="PK242" s="15"/>
      <c r="PL242" s="15"/>
      <c r="PM242" s="15"/>
      <c r="PN242" s="15"/>
      <c r="PO242" s="15"/>
      <c r="PP242" s="15"/>
      <c r="PQ242" s="15"/>
      <c r="PR242" s="15"/>
      <c r="PS242" s="15"/>
      <c r="PT242" s="10"/>
      <c r="PU242" s="10"/>
      <c r="PV242" s="21"/>
      <c r="PW242" s="21"/>
      <c r="PZ242" s="21"/>
      <c r="QA242" s="15"/>
      <c r="QB242" s="15"/>
      <c r="QC242" s="15"/>
      <c r="QD242" s="15"/>
      <c r="QE242" s="15"/>
      <c r="QF242" s="15"/>
      <c r="QG242" s="15"/>
      <c r="QH242" s="15"/>
      <c r="QI242" s="15"/>
      <c r="QJ242" s="15"/>
      <c r="QK242" s="10"/>
      <c r="QL242" s="10"/>
      <c r="QM242" s="21"/>
      <c r="QN242" s="21"/>
      <c r="QQ242" s="21"/>
      <c r="QR242" s="15"/>
      <c r="QS242" s="15"/>
      <c r="QT242" s="15"/>
      <c r="QU242" s="15"/>
      <c r="QV242" s="15"/>
      <c r="QW242" s="15"/>
      <c r="QX242" s="15"/>
      <c r="QY242" s="15"/>
      <c r="QZ242" s="15"/>
      <c r="RA242" s="15"/>
      <c r="RB242" s="10"/>
      <c r="RC242" s="10"/>
      <c r="RD242" s="21"/>
      <c r="RE242" s="21"/>
      <c r="RH242" s="21"/>
      <c r="RI242" s="15"/>
      <c r="RJ242" s="15"/>
      <c r="RK242" s="15"/>
      <c r="RL242" s="15"/>
      <c r="RM242" s="15"/>
      <c r="RN242" s="15"/>
      <c r="RO242" s="15"/>
      <c r="RP242" s="15"/>
      <c r="RQ242" s="15"/>
      <c r="RR242" s="15"/>
      <c r="RS242" s="10"/>
      <c r="RT242" s="10"/>
      <c r="RU242" s="21"/>
      <c r="RV242" s="21"/>
      <c r="RY242" s="21"/>
      <c r="RZ242" s="15"/>
      <c r="SA242" s="15"/>
      <c r="SB242" s="15"/>
      <c r="SC242" s="15"/>
      <c r="SD242" s="15"/>
      <c r="SE242" s="15"/>
      <c r="SF242" s="15"/>
      <c r="SG242" s="15"/>
      <c r="SH242" s="15"/>
      <c r="SI242" s="15"/>
      <c r="SJ242" s="10"/>
      <c r="SK242" s="10"/>
      <c r="SL242" s="21"/>
      <c r="SM242" s="21"/>
      <c r="SP242" s="21"/>
      <c r="SQ242" s="15"/>
      <c r="SR242" s="15"/>
      <c r="SS242" s="15"/>
      <c r="ST242" s="15"/>
      <c r="SU242" s="15"/>
      <c r="SV242" s="15"/>
      <c r="SW242" s="15"/>
      <c r="SX242" s="15"/>
      <c r="SY242" s="15"/>
      <c r="SZ242" s="15"/>
      <c r="TA242" s="10"/>
      <c r="TB242" s="10"/>
      <c r="TC242" s="21"/>
      <c r="TD242" s="21"/>
      <c r="TG242" s="21"/>
      <c r="TH242" s="15"/>
      <c r="TI242" s="15"/>
      <c r="TJ242" s="15"/>
      <c r="TK242" s="15"/>
      <c r="TL242" s="15"/>
      <c r="TM242" s="15"/>
      <c r="TN242" s="15"/>
      <c r="TO242" s="15"/>
      <c r="TP242" s="15"/>
      <c r="TQ242" s="15"/>
      <c r="TR242" s="10"/>
      <c r="TS242" s="10"/>
      <c r="TT242" s="21"/>
      <c r="TU242" s="21"/>
      <c r="TX242" s="21"/>
      <c r="TY242" s="15"/>
      <c r="TZ242" s="15"/>
      <c r="UA242" s="15"/>
      <c r="UB242" s="15"/>
      <c r="UC242" s="15"/>
      <c r="UD242" s="15"/>
      <c r="UE242" s="15"/>
      <c r="UF242" s="15"/>
      <c r="UG242" s="15"/>
      <c r="UH242" s="15"/>
      <c r="UI242" s="10"/>
      <c r="UJ242" s="10"/>
      <c r="UK242" s="21"/>
      <c r="UL242" s="21"/>
      <c r="UO242" s="21"/>
      <c r="UP242" s="15"/>
      <c r="UQ242" s="15"/>
      <c r="UR242" s="15"/>
      <c r="US242" s="15"/>
      <c r="UT242" s="15"/>
      <c r="UU242" s="15"/>
      <c r="UV242" s="15"/>
      <c r="UW242" s="15"/>
      <c r="UX242" s="15"/>
      <c r="UY242" s="15"/>
      <c r="UZ242" s="10"/>
      <c r="VA242" s="10"/>
      <c r="VB242" s="21"/>
      <c r="VC242" s="21"/>
      <c r="VF242" s="21"/>
      <c r="VG242" s="15"/>
      <c r="VH242" s="15"/>
      <c r="VI242" s="15"/>
      <c r="VJ242" s="15"/>
      <c r="VK242" s="15"/>
      <c r="VL242" s="15"/>
      <c r="VM242" s="15"/>
      <c r="VN242" s="15"/>
      <c r="VO242" s="15"/>
      <c r="VP242" s="15"/>
      <c r="VQ242" s="10"/>
      <c r="VR242" s="10"/>
      <c r="VS242" s="21"/>
      <c r="VT242" s="21"/>
      <c r="VW242" s="21"/>
      <c r="VX242" s="15"/>
      <c r="VY242" s="15"/>
      <c r="VZ242" s="15"/>
      <c r="WA242" s="15"/>
      <c r="WB242" s="15"/>
      <c r="WC242" s="15"/>
      <c r="WD242" s="15"/>
      <c r="WE242" s="15"/>
      <c r="WF242" s="15"/>
      <c r="WG242" s="15"/>
      <c r="WH242" s="10"/>
      <c r="WI242" s="10"/>
      <c r="WJ242" s="21"/>
      <c r="WK242" s="21"/>
      <c r="WN242" s="21"/>
      <c r="WO242" s="15"/>
      <c r="WP242" s="15"/>
      <c r="WQ242" s="15"/>
      <c r="WR242" s="15"/>
      <c r="WS242" s="15"/>
      <c r="WT242" s="15"/>
      <c r="WU242" s="15"/>
      <c r="WV242" s="15"/>
      <c r="WW242" s="15"/>
      <c r="WX242" s="15"/>
      <c r="WY242" s="10"/>
      <c r="WZ242" s="10"/>
      <c r="XA242" s="21"/>
      <c r="XB242" s="21"/>
      <c r="XE242" s="21"/>
      <c r="XF242" s="15"/>
      <c r="XG242" s="15"/>
      <c r="XH242" s="15"/>
      <c r="XI242" s="15"/>
      <c r="XJ242" s="15"/>
      <c r="XK242" s="15"/>
      <c r="XL242" s="15"/>
      <c r="XM242" s="15"/>
      <c r="XN242" s="15"/>
      <c r="XO242" s="15"/>
      <c r="XP242" s="10"/>
      <c r="XQ242" s="10"/>
      <c r="XR242" s="21"/>
      <c r="XS242" s="21"/>
      <c r="XV242" s="21"/>
      <c r="XW242" s="15"/>
      <c r="XX242" s="15"/>
      <c r="XY242" s="15"/>
      <c r="XZ242" s="15"/>
      <c r="YA242" s="15"/>
      <c r="YB242" s="15"/>
      <c r="YC242" s="15"/>
      <c r="YD242" s="15"/>
      <c r="YE242" s="15"/>
      <c r="YF242" s="15"/>
      <c r="YG242" s="10"/>
      <c r="YH242" s="10"/>
      <c r="YI242" s="21"/>
      <c r="YJ242" s="21"/>
      <c r="YM242" s="21"/>
      <c r="YN242" s="15"/>
      <c r="YO242" s="15"/>
      <c r="YP242" s="15"/>
      <c r="YQ242" s="15"/>
      <c r="YR242" s="15"/>
      <c r="YS242" s="15"/>
      <c r="YT242" s="15"/>
      <c r="YU242" s="15"/>
      <c r="YV242" s="15"/>
      <c r="YW242" s="15"/>
      <c r="YX242" s="10"/>
      <c r="YY242" s="10"/>
      <c r="YZ242" s="21"/>
      <c r="ZA242" s="21"/>
      <c r="ZD242" s="21"/>
      <c r="ZE242" s="15"/>
      <c r="ZF242" s="15"/>
      <c r="ZG242" s="15"/>
      <c r="ZH242" s="15"/>
      <c r="ZI242" s="15"/>
      <c r="ZJ242" s="15"/>
      <c r="ZK242" s="15"/>
      <c r="ZL242" s="15"/>
      <c r="ZM242" s="15"/>
      <c r="ZN242" s="15"/>
      <c r="ZO242" s="10"/>
      <c r="ZP242" s="10"/>
      <c r="ZQ242" s="21"/>
      <c r="ZR242" s="21"/>
      <c r="ZU242" s="21"/>
      <c r="ZV242" s="15"/>
      <c r="ZW242" s="15"/>
      <c r="ZX242" s="15"/>
      <c r="ZY242" s="15"/>
      <c r="ZZ242" s="15"/>
      <c r="AAA242" s="15"/>
      <c r="AAB242" s="15"/>
      <c r="AAC242" s="15"/>
      <c r="AAD242" s="15"/>
      <c r="AAE242" s="15"/>
      <c r="AAF242" s="10"/>
      <c r="AAG242" s="10"/>
      <c r="AAH242" s="21"/>
      <c r="AAI242" s="21"/>
      <c r="AAL242" s="21"/>
      <c r="AAM242" s="15"/>
      <c r="AAN242" s="15"/>
      <c r="AAO242" s="15"/>
      <c r="AAP242" s="15"/>
      <c r="AAQ242" s="15"/>
      <c r="AAR242" s="15"/>
      <c r="AAS242" s="15"/>
      <c r="AAT242" s="15"/>
      <c r="AAU242" s="15"/>
      <c r="AAV242" s="15"/>
      <c r="AAW242" s="10"/>
      <c r="AAX242" s="10"/>
      <c r="AAY242" s="21"/>
      <c r="AAZ242" s="21"/>
      <c r="ABC242" s="21"/>
      <c r="ABD242" s="15"/>
      <c r="ABE242" s="15"/>
      <c r="ABF242" s="15"/>
      <c r="ABG242" s="15"/>
      <c r="ABH242" s="15"/>
      <c r="ABI242" s="15"/>
      <c r="ABJ242" s="15"/>
      <c r="ABK242" s="15"/>
      <c r="ABL242" s="15"/>
      <c r="ABM242" s="15"/>
      <c r="ABN242" s="10"/>
      <c r="ABO242" s="10"/>
      <c r="ABP242" s="21"/>
      <c r="ABQ242" s="21"/>
      <c r="ABT242" s="21"/>
      <c r="ABU242" s="15"/>
      <c r="ABV242" s="15"/>
      <c r="ABW242" s="15"/>
      <c r="ABX242" s="15"/>
      <c r="ABY242" s="15"/>
      <c r="ABZ242" s="15"/>
      <c r="ACA242" s="15"/>
      <c r="ACB242" s="15"/>
      <c r="ACC242" s="15"/>
      <c r="ACD242" s="15"/>
      <c r="ACE242" s="10"/>
      <c r="ACF242" s="10"/>
      <c r="ACG242" s="21"/>
      <c r="ACH242" s="21"/>
      <c r="ACK242" s="21"/>
      <c r="ACL242" s="15"/>
      <c r="ACM242" s="15"/>
      <c r="ACN242" s="15"/>
      <c r="ACO242" s="15"/>
      <c r="ACP242" s="15"/>
      <c r="ACQ242" s="15"/>
      <c r="ACR242" s="15"/>
      <c r="ACS242" s="15"/>
      <c r="ACT242" s="15"/>
      <c r="ACU242" s="15"/>
      <c r="ACV242" s="10"/>
      <c r="ACW242" s="10"/>
      <c r="ACX242" s="21"/>
      <c r="ACY242" s="21"/>
      <c r="ADB242" s="21"/>
      <c r="ADC242" s="15"/>
      <c r="ADD242" s="15"/>
      <c r="ADE242" s="15"/>
      <c r="ADF242" s="15"/>
      <c r="ADG242" s="15"/>
      <c r="ADH242" s="15"/>
      <c r="ADI242" s="15"/>
      <c r="ADJ242" s="15"/>
      <c r="ADK242" s="15"/>
      <c r="ADL242" s="15"/>
      <c r="ADM242" s="10"/>
      <c r="ADN242" s="10"/>
      <c r="ADO242" s="21"/>
      <c r="ADP242" s="21"/>
      <c r="ADS242" s="21"/>
      <c r="ADT242" s="15"/>
      <c r="ADU242" s="15"/>
      <c r="ADV242" s="15"/>
      <c r="ADW242" s="15"/>
      <c r="ADX242" s="15"/>
      <c r="ADY242" s="15"/>
      <c r="ADZ242" s="15"/>
      <c r="AEA242" s="15"/>
      <c r="AEB242" s="15"/>
      <c r="AEC242" s="15"/>
      <c r="AED242" s="10"/>
      <c r="AEE242" s="10"/>
      <c r="AEF242" s="21"/>
      <c r="AEG242" s="21"/>
      <c r="AEJ242" s="21"/>
      <c r="AEK242" s="15"/>
      <c r="AEL242" s="15"/>
      <c r="AEM242" s="15"/>
      <c r="AEN242" s="15"/>
      <c r="AEO242" s="15"/>
      <c r="AEP242" s="15"/>
      <c r="AEQ242" s="15"/>
      <c r="AER242" s="15"/>
      <c r="AES242" s="15"/>
      <c r="AET242" s="15"/>
      <c r="AEU242" s="10"/>
      <c r="AEV242" s="10"/>
      <c r="AEW242" s="21"/>
      <c r="AEX242" s="21"/>
      <c r="AFA242" s="21"/>
      <c r="AFB242" s="15"/>
      <c r="AFC242" s="15"/>
      <c r="AFD242" s="15"/>
      <c r="AFE242" s="15"/>
      <c r="AFF242" s="15"/>
      <c r="AFG242" s="15"/>
      <c r="AFH242" s="15"/>
      <c r="AFI242" s="15"/>
      <c r="AFJ242" s="15"/>
      <c r="AFK242" s="15"/>
      <c r="AFL242" s="10"/>
      <c r="AFM242" s="10"/>
      <c r="AFN242" s="21"/>
      <c r="AFO242" s="21"/>
      <c r="AFR242" s="21"/>
      <c r="AFS242" s="15"/>
      <c r="AFT242" s="15"/>
      <c r="AFU242" s="15"/>
      <c r="AFV242" s="15"/>
      <c r="AFW242" s="15"/>
      <c r="AFX242" s="15"/>
      <c r="AFY242" s="15"/>
      <c r="AFZ242" s="15"/>
      <c r="AGA242" s="15"/>
      <c r="AGB242" s="15"/>
      <c r="AGC242" s="10"/>
      <c r="AGD242" s="10"/>
      <c r="AGE242" s="21"/>
      <c r="AGF242" s="21"/>
      <c r="AGI242" s="21"/>
      <c r="AGJ242" s="15"/>
      <c r="AGK242" s="15"/>
      <c r="AGL242" s="15"/>
      <c r="AGM242" s="15"/>
      <c r="AGN242" s="15"/>
      <c r="AGO242" s="15"/>
      <c r="AGP242" s="15"/>
      <c r="AGQ242" s="15"/>
      <c r="AGR242" s="15"/>
      <c r="AGS242" s="15"/>
      <c r="AGT242" s="10"/>
      <c r="AGU242" s="10"/>
      <c r="AGV242" s="21"/>
      <c r="AGW242" s="21"/>
      <c r="AGZ242" s="21"/>
      <c r="AHA242" s="15"/>
      <c r="AHB242" s="15"/>
      <c r="AHC242" s="15"/>
      <c r="AHD242" s="15"/>
      <c r="AHE242" s="15"/>
      <c r="AHF242" s="15"/>
      <c r="AHG242" s="15"/>
      <c r="AHH242" s="15"/>
      <c r="AHI242" s="15"/>
      <c r="AHJ242" s="15"/>
      <c r="AHK242" s="10"/>
      <c r="AHL242" s="10"/>
      <c r="AHM242" s="21"/>
      <c r="AHN242" s="21"/>
      <c r="AHQ242" s="21"/>
      <c r="AHR242" s="15"/>
      <c r="AHS242" s="15"/>
      <c r="AHT242" s="15"/>
      <c r="AHU242" s="15"/>
      <c r="AHV242" s="15"/>
      <c r="AHW242" s="15"/>
      <c r="AHX242" s="15"/>
      <c r="AHY242" s="15"/>
      <c r="AHZ242" s="15"/>
      <c r="AIA242" s="15"/>
      <c r="AIB242" s="10"/>
      <c r="AIC242" s="10"/>
      <c r="AID242" s="21"/>
      <c r="AIE242" s="21"/>
      <c r="AIH242" s="21"/>
      <c r="AII242" s="15"/>
      <c r="AIJ242" s="15"/>
      <c r="AIK242" s="15"/>
      <c r="AIL242" s="15"/>
      <c r="AIM242" s="15"/>
      <c r="AIN242" s="15"/>
      <c r="AIO242" s="15"/>
      <c r="AIP242" s="15"/>
      <c r="AIQ242" s="15"/>
      <c r="AIR242" s="15"/>
      <c r="AIS242" s="10"/>
      <c r="AIT242" s="10"/>
      <c r="AIU242" s="21"/>
      <c r="AIV242" s="21"/>
      <c r="AIY242" s="21"/>
      <c r="AIZ242" s="15"/>
      <c r="AJA242" s="15"/>
      <c r="AJB242" s="15"/>
      <c r="AJC242" s="15"/>
      <c r="AJD242" s="15"/>
      <c r="AJE242" s="15"/>
      <c r="AJF242" s="15"/>
      <c r="AJG242" s="15"/>
      <c r="AJH242" s="15"/>
      <c r="AJI242" s="15"/>
      <c r="AJJ242" s="10"/>
      <c r="AJK242" s="10"/>
      <c r="AJL242" s="21"/>
      <c r="AJM242" s="21"/>
      <c r="AJP242" s="21"/>
      <c r="AJQ242" s="15"/>
      <c r="AJR242" s="15"/>
      <c r="AJS242" s="15"/>
      <c r="AJT242" s="15"/>
      <c r="AJU242" s="15"/>
      <c r="AJV242" s="15"/>
      <c r="AJW242" s="15"/>
      <c r="AJX242" s="15"/>
      <c r="AJY242" s="15"/>
      <c r="AJZ242" s="15"/>
      <c r="AKA242" s="10"/>
      <c r="AKB242" s="10"/>
      <c r="AKC242" s="21"/>
      <c r="AKD242" s="21"/>
      <c r="AKG242" s="21"/>
      <c r="AKH242" s="15"/>
      <c r="AKI242" s="15"/>
      <c r="AKJ242" s="15"/>
      <c r="AKK242" s="15"/>
      <c r="AKL242" s="15"/>
      <c r="AKM242" s="15"/>
      <c r="AKN242" s="15"/>
      <c r="AKO242" s="15"/>
      <c r="AKP242" s="15"/>
      <c r="AKQ242" s="15"/>
      <c r="AKR242" s="10"/>
      <c r="AKS242" s="10"/>
      <c r="AKT242" s="21"/>
      <c r="AKU242" s="21"/>
      <c r="AKX242" s="21"/>
      <c r="AKY242" s="15"/>
      <c r="AKZ242" s="15"/>
      <c r="ALA242" s="15"/>
      <c r="ALB242" s="15"/>
      <c r="ALC242" s="15"/>
      <c r="ALD242" s="15"/>
      <c r="ALE242" s="15"/>
      <c r="ALF242" s="15"/>
      <c r="ALG242" s="15"/>
      <c r="ALH242" s="15"/>
      <c r="ALI242" s="10"/>
      <c r="ALJ242" s="10"/>
      <c r="ALK242" s="21"/>
      <c r="ALL242" s="21"/>
      <c r="ALO242" s="21"/>
      <c r="ALP242" s="15"/>
      <c r="ALQ242" s="15"/>
      <c r="ALR242" s="15"/>
      <c r="ALS242" s="15"/>
      <c r="ALT242" s="15"/>
      <c r="ALU242" s="15"/>
      <c r="ALV242" s="15"/>
      <c r="ALW242" s="15"/>
      <c r="ALX242" s="15"/>
      <c r="ALY242" s="15"/>
      <c r="ALZ242" s="10"/>
      <c r="AMA242" s="10"/>
      <c r="AMB242" s="21"/>
      <c r="AMC242" s="21"/>
      <c r="AMF242" s="21"/>
      <c r="AMG242" s="15"/>
      <c r="AMH242" s="15"/>
      <c r="AMI242" s="15"/>
      <c r="AMJ242" s="15"/>
      <c r="AMK242" s="15"/>
      <c r="AML242" s="15"/>
      <c r="AMM242" s="15"/>
      <c r="AMN242" s="15"/>
      <c r="AMO242" s="15"/>
      <c r="AMP242" s="15"/>
      <c r="AMQ242" s="10"/>
      <c r="AMR242" s="10"/>
      <c r="AMS242" s="21"/>
      <c r="AMT242" s="21"/>
      <c r="AMW242" s="21"/>
      <c r="AMX242" s="15"/>
      <c r="AMY242" s="15"/>
      <c r="AMZ242" s="15"/>
      <c r="ANA242" s="15"/>
      <c r="ANB242" s="15"/>
      <c r="ANC242" s="15"/>
      <c r="AND242" s="15"/>
      <c r="ANE242" s="15"/>
      <c r="ANF242" s="15"/>
      <c r="ANG242" s="15"/>
      <c r="ANH242" s="10"/>
      <c r="ANI242" s="10"/>
      <c r="ANJ242" s="21"/>
      <c r="ANK242" s="21"/>
      <c r="ANN242" s="21"/>
      <c r="ANO242" s="15"/>
      <c r="ANP242" s="15"/>
      <c r="ANQ242" s="15"/>
      <c r="ANR242" s="15"/>
      <c r="ANS242" s="15"/>
      <c r="ANT242" s="15"/>
      <c r="ANU242" s="15"/>
      <c r="ANV242" s="15"/>
      <c r="ANW242" s="15"/>
      <c r="ANX242" s="15"/>
      <c r="ANY242" s="10"/>
      <c r="ANZ242" s="10"/>
      <c r="AOA242" s="21"/>
      <c r="AOB242" s="21"/>
      <c r="AOE242" s="21"/>
      <c r="AOF242" s="15"/>
      <c r="AOG242" s="15"/>
      <c r="AOH242" s="15"/>
      <c r="AOI242" s="15"/>
      <c r="AOJ242" s="15"/>
      <c r="AOK242" s="15"/>
      <c r="AOL242" s="15"/>
      <c r="AOM242" s="15"/>
      <c r="AON242" s="15"/>
      <c r="AOO242" s="15"/>
      <c r="AOP242" s="10"/>
      <c r="AOQ242" s="10"/>
      <c r="AOR242" s="21"/>
      <c r="AOS242" s="21"/>
      <c r="AOV242" s="21"/>
      <c r="AOW242" s="15"/>
      <c r="AOX242" s="15"/>
      <c r="AOY242" s="15"/>
      <c r="AOZ242" s="15"/>
      <c r="APA242" s="15"/>
      <c r="APB242" s="15"/>
      <c r="APC242" s="15"/>
      <c r="APD242" s="15"/>
      <c r="APE242" s="15"/>
      <c r="APF242" s="15"/>
      <c r="APG242" s="10"/>
      <c r="APH242" s="10"/>
      <c r="API242" s="21"/>
      <c r="APJ242" s="21"/>
      <c r="APM242" s="21"/>
      <c r="APN242" s="15"/>
      <c r="APO242" s="15"/>
      <c r="APP242" s="15"/>
      <c r="APQ242" s="15"/>
      <c r="APR242" s="15"/>
      <c r="APS242" s="15"/>
      <c r="APT242" s="15"/>
      <c r="APU242" s="15"/>
      <c r="APV242" s="15"/>
      <c r="APW242" s="15"/>
      <c r="APX242" s="10"/>
      <c r="APY242" s="10"/>
      <c r="APZ242" s="21"/>
      <c r="AQA242" s="21"/>
      <c r="AQD242" s="21"/>
      <c r="AQE242" s="15"/>
      <c r="AQF242" s="15"/>
      <c r="AQG242" s="15"/>
      <c r="AQH242" s="15"/>
      <c r="AQI242" s="15"/>
      <c r="AQJ242" s="15"/>
      <c r="AQK242" s="15"/>
      <c r="AQL242" s="15"/>
      <c r="AQM242" s="15"/>
      <c r="AQN242" s="15"/>
      <c r="AQO242" s="10"/>
      <c r="AQP242" s="10"/>
      <c r="AQQ242" s="21"/>
      <c r="AQR242" s="21"/>
      <c r="AQU242" s="21"/>
      <c r="AQV242" s="15"/>
      <c r="AQW242" s="15"/>
      <c r="AQX242" s="15"/>
      <c r="AQY242" s="15"/>
      <c r="AQZ242" s="15"/>
      <c r="ARA242" s="15"/>
      <c r="ARB242" s="15"/>
      <c r="ARC242" s="15"/>
      <c r="ARD242" s="15"/>
      <c r="ARE242" s="15"/>
      <c r="ARF242" s="10"/>
      <c r="ARG242" s="10"/>
      <c r="ARH242" s="21"/>
      <c r="ARI242" s="21"/>
      <c r="ARL242" s="21"/>
      <c r="ARM242" s="15"/>
      <c r="ARN242" s="15"/>
      <c r="ARO242" s="15"/>
      <c r="ARP242" s="15"/>
      <c r="ARQ242" s="15"/>
      <c r="ARR242" s="15"/>
      <c r="ARS242" s="15"/>
      <c r="ART242" s="15"/>
      <c r="ARU242" s="15"/>
      <c r="ARV242" s="15"/>
      <c r="ARW242" s="10"/>
      <c r="ARX242" s="10"/>
      <c r="ARY242" s="21"/>
      <c r="ARZ242" s="21"/>
      <c r="ASC242" s="21"/>
      <c r="ASD242" s="15"/>
      <c r="ASE242" s="15"/>
      <c r="ASF242" s="15"/>
      <c r="ASG242" s="15"/>
      <c r="ASH242" s="15"/>
      <c r="ASI242" s="15"/>
      <c r="ASJ242" s="15"/>
      <c r="ASK242" s="15"/>
      <c r="ASL242" s="15"/>
      <c r="ASM242" s="15"/>
      <c r="ASN242" s="10"/>
      <c r="ASO242" s="10"/>
      <c r="ASP242" s="21"/>
      <c r="ASQ242" s="21"/>
      <c r="AST242" s="21"/>
      <c r="ASU242" s="15"/>
      <c r="ASV242" s="15"/>
      <c r="ASW242" s="15"/>
      <c r="ASX242" s="15"/>
      <c r="ASY242" s="15"/>
      <c r="ASZ242" s="15"/>
      <c r="ATA242" s="15"/>
      <c r="ATB242" s="15"/>
      <c r="ATC242" s="15"/>
      <c r="ATD242" s="15"/>
      <c r="ATE242" s="10"/>
      <c r="ATF242" s="10"/>
      <c r="ATG242" s="21"/>
      <c r="ATH242" s="21"/>
      <c r="ATK242" s="21"/>
      <c r="ATL242" s="15"/>
      <c r="ATM242" s="15"/>
      <c r="ATN242" s="15"/>
      <c r="ATO242" s="15"/>
      <c r="ATP242" s="15"/>
      <c r="ATQ242" s="15"/>
      <c r="ATR242" s="15"/>
      <c r="ATS242" s="15"/>
      <c r="ATT242" s="15"/>
      <c r="ATU242" s="15"/>
      <c r="ATV242" s="10"/>
      <c r="ATW242" s="10"/>
      <c r="ATX242" s="21"/>
      <c r="ATY242" s="21"/>
      <c r="AUB242" s="21"/>
      <c r="AUC242" s="15"/>
      <c r="AUD242" s="15"/>
      <c r="AUE242" s="15"/>
      <c r="AUF242" s="15"/>
      <c r="AUG242" s="15"/>
      <c r="AUH242" s="15"/>
      <c r="AUI242" s="15"/>
      <c r="AUJ242" s="15"/>
      <c r="AUK242" s="15"/>
      <c r="AUL242" s="15"/>
      <c r="AUM242" s="10"/>
      <c r="AUN242" s="10"/>
      <c r="AUO242" s="21"/>
      <c r="AUP242" s="21"/>
      <c r="AUS242" s="21"/>
      <c r="AUT242" s="15"/>
      <c r="AUU242" s="15"/>
      <c r="AUV242" s="15"/>
      <c r="AUW242" s="15"/>
      <c r="AUX242" s="15"/>
      <c r="AUY242" s="15"/>
      <c r="AUZ242" s="15"/>
      <c r="AVA242" s="15"/>
      <c r="AVB242" s="15"/>
      <c r="AVC242" s="15"/>
      <c r="AVD242" s="10"/>
      <c r="AVE242" s="10"/>
      <c r="AVF242" s="21"/>
      <c r="AVG242" s="21"/>
      <c r="AVJ242" s="21"/>
      <c r="AVK242" s="15"/>
      <c r="AVL242" s="15"/>
      <c r="AVM242" s="15"/>
      <c r="AVN242" s="15"/>
      <c r="AVO242" s="15"/>
      <c r="AVP242" s="15"/>
      <c r="AVQ242" s="15"/>
      <c r="AVR242" s="15"/>
      <c r="AVS242" s="15"/>
      <c r="AVT242" s="15"/>
      <c r="AVU242" s="10"/>
      <c r="AVV242" s="10"/>
      <c r="AVW242" s="21"/>
      <c r="AVX242" s="21"/>
      <c r="AWA242" s="21"/>
      <c r="AWB242" s="15"/>
      <c r="AWC242" s="15"/>
      <c r="AWD242" s="15"/>
      <c r="AWE242" s="15"/>
      <c r="AWF242" s="15"/>
      <c r="AWG242" s="15"/>
      <c r="AWH242" s="15"/>
      <c r="AWI242" s="15"/>
      <c r="AWJ242" s="15"/>
      <c r="AWK242" s="15"/>
      <c r="AWL242" s="10"/>
      <c r="AWM242" s="10"/>
      <c r="AWN242" s="21"/>
      <c r="AWO242" s="21"/>
      <c r="AWR242" s="21"/>
      <c r="AWS242" s="15"/>
      <c r="AWT242" s="15"/>
      <c r="AWU242" s="15"/>
      <c r="AWV242" s="15"/>
      <c r="AWW242" s="15"/>
      <c r="AWX242" s="15"/>
      <c r="AWY242" s="15"/>
      <c r="AWZ242" s="15"/>
      <c r="AXA242" s="15"/>
      <c r="AXB242" s="15"/>
      <c r="AXC242" s="10"/>
      <c r="AXD242" s="10"/>
      <c r="AXE242" s="21"/>
      <c r="AXF242" s="21"/>
      <c r="AXI242" s="21"/>
      <c r="AXJ242" s="15"/>
      <c r="AXK242" s="15"/>
      <c r="AXL242" s="15"/>
      <c r="AXM242" s="15"/>
      <c r="AXN242" s="15"/>
      <c r="AXO242" s="15"/>
      <c r="AXP242" s="15"/>
      <c r="AXQ242" s="15"/>
      <c r="AXR242" s="15"/>
      <c r="AXS242" s="15"/>
      <c r="AXT242" s="10"/>
      <c r="AXU242" s="10"/>
      <c r="AXV242" s="21"/>
      <c r="AXW242" s="21"/>
      <c r="AXZ242" s="21"/>
      <c r="AYA242" s="15"/>
      <c r="AYB242" s="15"/>
      <c r="AYC242" s="15"/>
      <c r="AYD242" s="15"/>
      <c r="AYE242" s="15"/>
      <c r="AYF242" s="15"/>
      <c r="AYG242" s="15"/>
      <c r="AYH242" s="15"/>
      <c r="AYI242" s="15"/>
      <c r="AYJ242" s="15"/>
      <c r="AYK242" s="10"/>
      <c r="AYL242" s="10"/>
      <c r="AYM242" s="21"/>
      <c r="AYN242" s="21"/>
      <c r="AYQ242" s="21"/>
      <c r="AYR242" s="15"/>
      <c r="AYS242" s="15"/>
      <c r="AYT242" s="15"/>
      <c r="AYU242" s="15"/>
      <c r="AYV242" s="15"/>
      <c r="AYW242" s="15"/>
      <c r="AYX242" s="15"/>
      <c r="AYY242" s="15"/>
      <c r="AYZ242" s="15"/>
      <c r="AZA242" s="15"/>
      <c r="AZB242" s="10"/>
      <c r="AZC242" s="10"/>
      <c r="AZD242" s="21"/>
      <c r="AZE242" s="21"/>
      <c r="AZH242" s="21"/>
      <c r="AZI242" s="15"/>
      <c r="AZJ242" s="15"/>
      <c r="AZK242" s="15"/>
      <c r="AZL242" s="15"/>
      <c r="AZM242" s="15"/>
      <c r="AZN242" s="15"/>
      <c r="AZO242" s="15"/>
      <c r="AZP242" s="15"/>
      <c r="AZQ242" s="15"/>
      <c r="AZR242" s="15"/>
      <c r="AZS242" s="10"/>
      <c r="AZT242" s="10"/>
      <c r="AZU242" s="21"/>
      <c r="AZV242" s="21"/>
      <c r="AZY242" s="21"/>
      <c r="AZZ242" s="15"/>
      <c r="BAA242" s="15"/>
      <c r="BAB242" s="15"/>
      <c r="BAC242" s="15"/>
      <c r="BAD242" s="15"/>
      <c r="BAE242" s="15"/>
      <c r="BAF242" s="15"/>
      <c r="BAG242" s="15"/>
      <c r="BAH242" s="15"/>
      <c r="BAI242" s="15"/>
      <c r="BAJ242" s="10"/>
      <c r="BAK242" s="10"/>
      <c r="BAL242" s="21"/>
      <c r="BAM242" s="21"/>
      <c r="BAP242" s="21"/>
      <c r="BAQ242" s="15"/>
      <c r="BAR242" s="15"/>
      <c r="BAS242" s="15"/>
      <c r="BAT242" s="15"/>
      <c r="BAU242" s="15"/>
      <c r="BAV242" s="15"/>
      <c r="BAW242" s="15"/>
      <c r="BAX242" s="15"/>
      <c r="BAY242" s="15"/>
      <c r="BAZ242" s="15"/>
      <c r="BBA242" s="10"/>
      <c r="BBB242" s="10"/>
      <c r="BBC242" s="21"/>
      <c r="BBD242" s="21"/>
      <c r="BBG242" s="21"/>
      <c r="BBH242" s="15"/>
      <c r="BBI242" s="15"/>
      <c r="BBJ242" s="15"/>
      <c r="BBK242" s="15"/>
      <c r="BBL242" s="15"/>
      <c r="BBM242" s="15"/>
      <c r="BBN242" s="15"/>
      <c r="BBO242" s="15"/>
      <c r="BBP242" s="15"/>
      <c r="BBQ242" s="15"/>
      <c r="BBR242" s="10"/>
      <c r="BBS242" s="10"/>
      <c r="BBT242" s="21"/>
      <c r="BBU242" s="21"/>
      <c r="BBX242" s="21"/>
      <c r="BBY242" s="15"/>
      <c r="BBZ242" s="15"/>
      <c r="BCA242" s="15"/>
      <c r="BCB242" s="15"/>
      <c r="BCC242" s="15"/>
      <c r="BCD242" s="15"/>
      <c r="BCE242" s="15"/>
      <c r="BCF242" s="15"/>
      <c r="BCG242" s="15"/>
      <c r="BCH242" s="15"/>
      <c r="BCI242" s="10"/>
      <c r="BCJ242" s="10"/>
      <c r="BCK242" s="21"/>
      <c r="BCL242" s="21"/>
      <c r="BCO242" s="21"/>
      <c r="BCP242" s="15"/>
      <c r="BCQ242" s="15"/>
      <c r="BCR242" s="15"/>
      <c r="BCS242" s="15"/>
      <c r="BCT242" s="15"/>
      <c r="BCU242" s="15"/>
      <c r="BCV242" s="15"/>
      <c r="BCW242" s="15"/>
      <c r="BCX242" s="15"/>
      <c r="BCY242" s="15"/>
      <c r="BCZ242" s="10"/>
      <c r="BDA242" s="10"/>
      <c r="BDB242" s="21"/>
      <c r="BDC242" s="21"/>
      <c r="BDF242" s="21"/>
      <c r="BDG242" s="15"/>
      <c r="BDH242" s="15"/>
      <c r="BDI242" s="15"/>
      <c r="BDJ242" s="15"/>
      <c r="BDK242" s="15"/>
      <c r="BDL242" s="15"/>
      <c r="BDM242" s="15"/>
      <c r="BDN242" s="15"/>
      <c r="BDO242" s="15"/>
      <c r="BDP242" s="15"/>
      <c r="BDQ242" s="10"/>
      <c r="BDR242" s="10"/>
      <c r="BDS242" s="21"/>
      <c r="BDT242" s="21"/>
      <c r="BDW242" s="21"/>
      <c r="BDX242" s="15"/>
      <c r="BDY242" s="15"/>
      <c r="BDZ242" s="15"/>
      <c r="BEA242" s="15"/>
      <c r="BEB242" s="15"/>
      <c r="BEC242" s="15"/>
      <c r="BED242" s="15"/>
      <c r="BEE242" s="15"/>
      <c r="BEF242" s="15"/>
      <c r="BEG242" s="15"/>
      <c r="BEH242" s="10"/>
      <c r="BEI242" s="10"/>
      <c r="BEJ242" s="21"/>
      <c r="BEK242" s="21"/>
      <c r="BEN242" s="21"/>
      <c r="BEO242" s="15"/>
      <c r="BEP242" s="15"/>
      <c r="BEQ242" s="15"/>
      <c r="BER242" s="15"/>
      <c r="BES242" s="15"/>
      <c r="BET242" s="15"/>
      <c r="BEU242" s="15"/>
      <c r="BEV242" s="15"/>
      <c r="BEW242" s="15"/>
      <c r="BEX242" s="15"/>
      <c r="BEY242" s="10"/>
      <c r="BEZ242" s="10"/>
      <c r="BFA242" s="21"/>
      <c r="BFB242" s="21"/>
      <c r="BFE242" s="21"/>
      <c r="BFF242" s="15"/>
      <c r="BFG242" s="15"/>
      <c r="BFH242" s="15"/>
      <c r="BFI242" s="15"/>
      <c r="BFJ242" s="15"/>
      <c r="BFK242" s="15"/>
      <c r="BFL242" s="15"/>
      <c r="BFM242" s="15"/>
      <c r="BFN242" s="15"/>
      <c r="BFO242" s="15"/>
      <c r="BFP242" s="10"/>
      <c r="BFQ242" s="10"/>
      <c r="BFR242" s="21"/>
      <c r="BFS242" s="21"/>
      <c r="BFV242" s="21"/>
      <c r="BFW242" s="15"/>
      <c r="BFX242" s="15"/>
      <c r="BFY242" s="15"/>
      <c r="BFZ242" s="15"/>
      <c r="BGA242" s="15"/>
      <c r="BGB242" s="15"/>
      <c r="BGC242" s="15"/>
      <c r="BGD242" s="15"/>
      <c r="BGE242" s="15"/>
      <c r="BGF242" s="15"/>
      <c r="BGG242" s="10"/>
      <c r="BGH242" s="10"/>
      <c r="BGI242" s="21"/>
      <c r="BGJ242" s="21"/>
      <c r="BGM242" s="21"/>
      <c r="BGN242" s="15"/>
      <c r="BGO242" s="15"/>
      <c r="BGP242" s="15"/>
      <c r="BGQ242" s="15"/>
      <c r="BGR242" s="15"/>
      <c r="BGS242" s="15"/>
      <c r="BGT242" s="15"/>
      <c r="BGU242" s="15"/>
      <c r="BGV242" s="15"/>
      <c r="BGW242" s="15"/>
      <c r="BGX242" s="10"/>
      <c r="BGY242" s="10"/>
      <c r="BGZ242" s="21"/>
      <c r="BHA242" s="21"/>
      <c r="BHD242" s="21"/>
      <c r="BHE242" s="15"/>
      <c r="BHF242" s="15"/>
      <c r="BHG242" s="15"/>
      <c r="BHH242" s="15"/>
      <c r="BHI242" s="15"/>
      <c r="BHJ242" s="15"/>
      <c r="BHK242" s="15"/>
      <c r="BHL242" s="15"/>
      <c r="BHM242" s="15"/>
      <c r="BHN242" s="15"/>
      <c r="BHO242" s="10"/>
      <c r="BHP242" s="10"/>
      <c r="BHQ242" s="21"/>
      <c r="BHR242" s="21"/>
      <c r="BHU242" s="21"/>
      <c r="BHV242" s="15"/>
      <c r="BHW242" s="15"/>
      <c r="BHX242" s="15"/>
      <c r="BHY242" s="15"/>
      <c r="BHZ242" s="15"/>
      <c r="BIA242" s="15"/>
      <c r="BIB242" s="15"/>
      <c r="BIC242" s="15"/>
      <c r="BID242" s="15"/>
      <c r="BIE242" s="15"/>
      <c r="BIF242" s="10"/>
      <c r="BIG242" s="10"/>
      <c r="BIH242" s="21"/>
      <c r="BII242" s="21"/>
      <c r="BIL242" s="21"/>
      <c r="BIM242" s="15"/>
      <c r="BIN242" s="15"/>
      <c r="BIO242" s="15"/>
      <c r="BIP242" s="15"/>
      <c r="BIQ242" s="15"/>
      <c r="BIR242" s="15"/>
      <c r="BIS242" s="15"/>
      <c r="BIT242" s="15"/>
      <c r="BIU242" s="15"/>
      <c r="BIV242" s="15"/>
      <c r="BIW242" s="10"/>
      <c r="BIX242" s="10"/>
      <c r="BIY242" s="21"/>
      <c r="BIZ242" s="21"/>
      <c r="BJC242" s="21"/>
      <c r="BJD242" s="15"/>
      <c r="BJE242" s="15"/>
      <c r="BJF242" s="15"/>
      <c r="BJG242" s="15"/>
      <c r="BJH242" s="15"/>
      <c r="BJI242" s="15"/>
      <c r="BJJ242" s="15"/>
      <c r="BJK242" s="15"/>
      <c r="BJL242" s="15"/>
      <c r="BJM242" s="15"/>
      <c r="BJN242" s="10"/>
      <c r="BJO242" s="10"/>
      <c r="BJP242" s="21"/>
      <c r="BJQ242" s="21"/>
      <c r="BJT242" s="21"/>
      <c r="BJU242" s="15"/>
      <c r="BJV242" s="15"/>
      <c r="BJW242" s="15"/>
      <c r="BJX242" s="15"/>
      <c r="BJY242" s="15"/>
      <c r="BJZ242" s="15"/>
      <c r="BKA242" s="15"/>
      <c r="BKB242" s="15"/>
      <c r="BKC242" s="15"/>
      <c r="BKD242" s="15"/>
      <c r="BKE242" s="10"/>
      <c r="BKF242" s="10"/>
      <c r="BKG242" s="21"/>
      <c r="BKH242" s="21"/>
      <c r="BKK242" s="21"/>
      <c r="BKL242" s="15"/>
      <c r="BKM242" s="15"/>
      <c r="BKN242" s="15"/>
      <c r="BKO242" s="15"/>
      <c r="BKP242" s="15"/>
      <c r="BKQ242" s="15"/>
      <c r="BKR242" s="15"/>
      <c r="BKS242" s="15"/>
      <c r="BKT242" s="15"/>
      <c r="BKU242" s="15"/>
      <c r="BKV242" s="10"/>
      <c r="BKW242" s="10"/>
      <c r="BKX242" s="21"/>
      <c r="BKY242" s="21"/>
      <c r="BLB242" s="21"/>
      <c r="BLC242" s="15"/>
      <c r="BLD242" s="15"/>
      <c r="BLE242" s="15"/>
      <c r="BLF242" s="15"/>
      <c r="BLG242" s="15"/>
      <c r="BLH242" s="15"/>
      <c r="BLI242" s="15"/>
      <c r="BLJ242" s="15"/>
      <c r="BLK242" s="15"/>
      <c r="BLL242" s="15"/>
      <c r="BLM242" s="10"/>
      <c r="BLN242" s="10"/>
      <c r="BLO242" s="21"/>
      <c r="BLP242" s="21"/>
      <c r="BLS242" s="21"/>
      <c r="BLT242" s="15"/>
      <c r="BLU242" s="15"/>
      <c r="BLV242" s="15"/>
      <c r="BLW242" s="15"/>
      <c r="BLX242" s="15"/>
      <c r="BLY242" s="15"/>
      <c r="BLZ242" s="15"/>
      <c r="BMA242" s="15"/>
      <c r="BMB242" s="15"/>
      <c r="BMC242" s="15"/>
      <c r="BMD242" s="10"/>
      <c r="BME242" s="10"/>
      <c r="BMF242" s="21"/>
      <c r="BMG242" s="21"/>
      <c r="BMJ242" s="21"/>
      <c r="BMK242" s="15"/>
      <c r="BML242" s="15"/>
      <c r="BMM242" s="15"/>
      <c r="BMN242" s="15"/>
      <c r="BMO242" s="15"/>
      <c r="BMP242" s="15"/>
      <c r="BMQ242" s="15"/>
      <c r="BMR242" s="15"/>
      <c r="BMS242" s="15"/>
      <c r="BMT242" s="15"/>
      <c r="BMU242" s="10"/>
      <c r="BMV242" s="10"/>
      <c r="BMW242" s="21"/>
      <c r="BMX242" s="21"/>
      <c r="BNA242" s="21"/>
      <c r="BNB242" s="15"/>
      <c r="BNC242" s="15"/>
      <c r="BND242" s="15"/>
      <c r="BNE242" s="15"/>
      <c r="BNF242" s="15"/>
      <c r="BNG242" s="15"/>
      <c r="BNH242" s="15"/>
      <c r="BNI242" s="15"/>
      <c r="BNJ242" s="15"/>
      <c r="BNK242" s="15"/>
      <c r="BNL242" s="10"/>
      <c r="BNM242" s="10"/>
      <c r="BNN242" s="21"/>
      <c r="BNO242" s="21"/>
      <c r="BNR242" s="21"/>
      <c r="BNS242" s="15"/>
      <c r="BNT242" s="15"/>
      <c r="BNU242" s="15"/>
      <c r="BNV242" s="15"/>
      <c r="BNW242" s="15"/>
      <c r="BNX242" s="15"/>
      <c r="BNY242" s="15"/>
      <c r="BNZ242" s="15"/>
      <c r="BOA242" s="15"/>
      <c r="BOB242" s="15"/>
      <c r="BOC242" s="10"/>
      <c r="BOD242" s="10"/>
      <c r="BOE242" s="21"/>
      <c r="BOF242" s="21"/>
      <c r="BOI242" s="21"/>
      <c r="BOJ242" s="15"/>
      <c r="BOK242" s="15"/>
      <c r="BOL242" s="15"/>
      <c r="BOM242" s="15"/>
      <c r="BON242" s="15"/>
      <c r="BOO242" s="15"/>
      <c r="BOP242" s="15"/>
      <c r="BOQ242" s="15"/>
      <c r="BOR242" s="15"/>
      <c r="BOS242" s="15"/>
      <c r="BOT242" s="10"/>
      <c r="BOU242" s="10"/>
      <c r="BOV242" s="21"/>
      <c r="BOW242" s="21"/>
      <c r="BOZ242" s="21"/>
      <c r="BPA242" s="15"/>
      <c r="BPB242" s="15"/>
      <c r="BPC242" s="15"/>
      <c r="BPD242" s="15"/>
      <c r="BPE242" s="15"/>
      <c r="BPF242" s="15"/>
      <c r="BPG242" s="15"/>
      <c r="BPH242" s="15"/>
      <c r="BPI242" s="15"/>
      <c r="BPJ242" s="15"/>
      <c r="BPK242" s="10"/>
      <c r="BPL242" s="10"/>
      <c r="BPM242" s="21"/>
      <c r="BPN242" s="21"/>
      <c r="BPQ242" s="21"/>
      <c r="BPR242" s="15"/>
      <c r="BPS242" s="15"/>
      <c r="BPT242" s="15"/>
      <c r="BPU242" s="15"/>
      <c r="BPV242" s="15"/>
      <c r="BPW242" s="15"/>
      <c r="BPX242" s="15"/>
      <c r="BPY242" s="15"/>
      <c r="BPZ242" s="15"/>
      <c r="BQA242" s="15"/>
      <c r="BQB242" s="10"/>
      <c r="BQC242" s="10"/>
      <c r="BQD242" s="21"/>
      <c r="BQE242" s="21"/>
      <c r="BQH242" s="21"/>
      <c r="BQI242" s="15"/>
      <c r="BQJ242" s="15"/>
      <c r="BQK242" s="15"/>
      <c r="BQL242" s="15"/>
      <c r="BQM242" s="15"/>
      <c r="BQN242" s="15"/>
      <c r="BQO242" s="15"/>
      <c r="BQP242" s="15"/>
      <c r="BQQ242" s="15"/>
      <c r="BQR242" s="15"/>
      <c r="BQS242" s="10"/>
      <c r="BQT242" s="10"/>
      <c r="BQU242" s="21"/>
      <c r="BQV242" s="21"/>
      <c r="BQY242" s="21"/>
      <c r="BQZ242" s="15"/>
      <c r="BRA242" s="15"/>
      <c r="BRB242" s="15"/>
      <c r="BRC242" s="15"/>
      <c r="BRD242" s="15"/>
      <c r="BRE242" s="15"/>
      <c r="BRF242" s="15"/>
      <c r="BRG242" s="15"/>
      <c r="BRH242" s="15"/>
      <c r="BRI242" s="15"/>
      <c r="BRJ242" s="10"/>
      <c r="BRK242" s="10"/>
      <c r="BRL242" s="21"/>
      <c r="BRM242" s="21"/>
      <c r="BRP242" s="21"/>
      <c r="BRQ242" s="15"/>
      <c r="BRR242" s="15"/>
      <c r="BRS242" s="15"/>
      <c r="BRT242" s="15"/>
      <c r="BRU242" s="15"/>
      <c r="BRV242" s="15"/>
      <c r="BRW242" s="15"/>
      <c r="BRX242" s="15"/>
      <c r="BRY242" s="15"/>
      <c r="BRZ242" s="15"/>
      <c r="BSA242" s="10"/>
      <c r="BSB242" s="10"/>
      <c r="BSC242" s="21"/>
      <c r="BSD242" s="21"/>
      <c r="BSG242" s="21"/>
      <c r="BSH242" s="15"/>
      <c r="BSI242" s="15"/>
      <c r="BSJ242" s="15"/>
      <c r="BSK242" s="15"/>
      <c r="BSL242" s="15"/>
      <c r="BSM242" s="15"/>
      <c r="BSN242" s="15"/>
      <c r="BSO242" s="15"/>
      <c r="BSP242" s="15"/>
      <c r="BSQ242" s="15"/>
      <c r="BSR242" s="10"/>
      <c r="BSS242" s="10"/>
      <c r="BST242" s="21"/>
      <c r="BSU242" s="21"/>
      <c r="BSX242" s="21"/>
      <c r="BSY242" s="15"/>
      <c r="BSZ242" s="15"/>
      <c r="BTA242" s="15"/>
      <c r="BTB242" s="15"/>
      <c r="BTC242" s="15"/>
      <c r="BTD242" s="15"/>
      <c r="BTE242" s="15"/>
      <c r="BTF242" s="15"/>
      <c r="BTG242" s="15"/>
      <c r="BTH242" s="15"/>
      <c r="BTI242" s="10"/>
      <c r="BTJ242" s="10"/>
      <c r="BTK242" s="21"/>
      <c r="BTL242" s="21"/>
      <c r="BTO242" s="21"/>
      <c r="BTP242" s="15"/>
      <c r="BTQ242" s="15"/>
      <c r="BTR242" s="15"/>
      <c r="BTS242" s="15"/>
      <c r="BTT242" s="15"/>
      <c r="BTU242" s="15"/>
      <c r="BTV242" s="15"/>
      <c r="BTW242" s="15"/>
      <c r="BTX242" s="15"/>
      <c r="BTY242" s="15"/>
      <c r="BTZ242" s="10"/>
      <c r="BUA242" s="10"/>
      <c r="BUB242" s="21"/>
      <c r="BUC242" s="21"/>
      <c r="BUF242" s="21"/>
      <c r="BUG242" s="15"/>
      <c r="BUH242" s="15"/>
      <c r="BUI242" s="15"/>
      <c r="BUJ242" s="15"/>
      <c r="BUK242" s="15"/>
      <c r="BUL242" s="15"/>
      <c r="BUM242" s="15"/>
      <c r="BUN242" s="15"/>
      <c r="BUO242" s="15"/>
      <c r="BUP242" s="15"/>
      <c r="BUQ242" s="10"/>
      <c r="BUR242" s="10"/>
      <c r="BUS242" s="21"/>
      <c r="BUT242" s="21"/>
      <c r="BUW242" s="21"/>
      <c r="BUX242" s="15"/>
      <c r="BUY242" s="15"/>
      <c r="BUZ242" s="15"/>
      <c r="BVA242" s="15"/>
      <c r="BVB242" s="15"/>
      <c r="BVC242" s="15"/>
      <c r="BVD242" s="15"/>
      <c r="BVE242" s="15"/>
      <c r="BVF242" s="15"/>
      <c r="BVG242" s="15"/>
      <c r="BVH242" s="10"/>
      <c r="BVI242" s="10"/>
      <c r="BVJ242" s="21"/>
      <c r="BVK242" s="21"/>
      <c r="BVN242" s="21"/>
      <c r="BVO242" s="15"/>
      <c r="BVP242" s="15"/>
      <c r="BVQ242" s="15"/>
      <c r="BVR242" s="15"/>
      <c r="BVS242" s="15"/>
      <c r="BVT242" s="15"/>
      <c r="BVU242" s="15"/>
      <c r="BVV242" s="15"/>
      <c r="BVW242" s="15"/>
      <c r="BVX242" s="15"/>
      <c r="BVY242" s="10"/>
      <c r="BVZ242" s="10"/>
      <c r="BWA242" s="21"/>
      <c r="BWB242" s="21"/>
      <c r="BWE242" s="21"/>
      <c r="BWF242" s="15"/>
      <c r="BWG242" s="15"/>
      <c r="BWH242" s="15"/>
      <c r="BWI242" s="15"/>
      <c r="BWJ242" s="15"/>
      <c r="BWK242" s="15"/>
      <c r="BWL242" s="15"/>
      <c r="BWM242" s="15"/>
      <c r="BWN242" s="15"/>
      <c r="BWO242" s="15"/>
      <c r="BWP242" s="10"/>
      <c r="BWQ242" s="10"/>
      <c r="BWR242" s="21"/>
      <c r="BWS242" s="21"/>
      <c r="BWV242" s="21"/>
      <c r="BWW242" s="15"/>
      <c r="BWX242" s="15"/>
      <c r="BWY242" s="15"/>
      <c r="BWZ242" s="15"/>
      <c r="BXA242" s="15"/>
      <c r="BXB242" s="15"/>
      <c r="BXC242" s="15"/>
      <c r="BXD242" s="15"/>
      <c r="BXE242" s="15"/>
      <c r="BXF242" s="15"/>
      <c r="BXG242" s="10"/>
      <c r="BXH242" s="10"/>
      <c r="BXI242" s="21"/>
      <c r="BXJ242" s="21"/>
      <c r="BXM242" s="21"/>
      <c r="BXN242" s="15"/>
      <c r="BXO242" s="15"/>
      <c r="BXP242" s="15"/>
      <c r="BXQ242" s="15"/>
      <c r="BXR242" s="15"/>
      <c r="BXS242" s="15"/>
      <c r="BXT242" s="15"/>
      <c r="BXU242" s="15"/>
      <c r="BXV242" s="15"/>
      <c r="BXW242" s="15"/>
      <c r="BXX242" s="10"/>
      <c r="BXY242" s="10"/>
      <c r="BXZ242" s="21"/>
      <c r="BYA242" s="21"/>
      <c r="BYD242" s="21"/>
      <c r="BYE242" s="15"/>
      <c r="BYF242" s="15"/>
      <c r="BYG242" s="15"/>
      <c r="BYH242" s="15"/>
      <c r="BYI242" s="15"/>
      <c r="BYJ242" s="15"/>
      <c r="BYK242" s="15"/>
      <c r="BYL242" s="15"/>
      <c r="BYM242" s="15"/>
      <c r="BYN242" s="15"/>
      <c r="BYO242" s="10"/>
      <c r="BYP242" s="10"/>
      <c r="BYQ242" s="21"/>
      <c r="BYR242" s="21"/>
      <c r="BYU242" s="21"/>
      <c r="BYV242" s="15"/>
      <c r="BYW242" s="15"/>
      <c r="BYX242" s="15"/>
      <c r="BYY242" s="15"/>
      <c r="BYZ242" s="15"/>
      <c r="BZA242" s="15"/>
      <c r="BZB242" s="15"/>
      <c r="BZC242" s="15"/>
      <c r="BZD242" s="15"/>
      <c r="BZE242" s="15"/>
      <c r="BZF242" s="10"/>
      <c r="BZG242" s="10"/>
      <c r="BZH242" s="21"/>
      <c r="BZI242" s="21"/>
      <c r="BZL242" s="21"/>
      <c r="BZM242" s="15"/>
      <c r="BZN242" s="15"/>
      <c r="BZO242" s="15"/>
      <c r="BZP242" s="15"/>
      <c r="BZQ242" s="15"/>
      <c r="BZR242" s="15"/>
      <c r="BZS242" s="15"/>
      <c r="BZT242" s="15"/>
      <c r="BZU242" s="15"/>
      <c r="BZV242" s="15"/>
      <c r="BZW242" s="10"/>
      <c r="BZX242" s="10"/>
      <c r="BZY242" s="21"/>
      <c r="BZZ242" s="21"/>
      <c r="CAC242" s="21"/>
      <c r="CAD242" s="15"/>
      <c r="CAE242" s="15"/>
      <c r="CAF242" s="15"/>
      <c r="CAG242" s="15"/>
      <c r="CAH242" s="15"/>
      <c r="CAI242" s="15"/>
      <c r="CAJ242" s="15"/>
      <c r="CAK242" s="15"/>
      <c r="CAL242" s="15"/>
      <c r="CAM242" s="15"/>
      <c r="CAN242" s="10"/>
      <c r="CAO242" s="10"/>
      <c r="CAP242" s="21"/>
      <c r="CAQ242" s="21"/>
      <c r="CAT242" s="21"/>
      <c r="CAU242" s="15"/>
      <c r="CAV242" s="15"/>
      <c r="CAW242" s="15"/>
      <c r="CAX242" s="15"/>
      <c r="CAY242" s="15"/>
      <c r="CAZ242" s="15"/>
      <c r="CBA242" s="15"/>
      <c r="CBB242" s="15"/>
      <c r="CBC242" s="15"/>
      <c r="CBD242" s="15"/>
      <c r="CBE242" s="10"/>
      <c r="CBF242" s="10"/>
      <c r="CBG242" s="21"/>
      <c r="CBH242" s="21"/>
      <c r="CBK242" s="21"/>
      <c r="CBL242" s="15"/>
      <c r="CBM242" s="15"/>
      <c r="CBN242" s="15"/>
      <c r="CBO242" s="15"/>
      <c r="CBP242" s="15"/>
      <c r="CBQ242" s="15"/>
      <c r="CBR242" s="15"/>
      <c r="CBS242" s="15"/>
      <c r="CBT242" s="15"/>
      <c r="CBU242" s="15"/>
      <c r="CBV242" s="10"/>
      <c r="CBW242" s="10"/>
      <c r="CBX242" s="21"/>
      <c r="CBY242" s="21"/>
      <c r="CCB242" s="21"/>
      <c r="CCC242" s="15"/>
      <c r="CCD242" s="15"/>
      <c r="CCE242" s="15"/>
      <c r="CCF242" s="15"/>
      <c r="CCG242" s="15"/>
      <c r="CCH242" s="15"/>
      <c r="CCI242" s="15"/>
      <c r="CCJ242" s="15"/>
      <c r="CCK242" s="15"/>
      <c r="CCL242" s="15"/>
      <c r="CCM242" s="10"/>
      <c r="CCN242" s="10"/>
      <c r="CCO242" s="21"/>
      <c r="CCP242" s="21"/>
      <c r="CCS242" s="21"/>
      <c r="CCT242" s="15"/>
      <c r="CCU242" s="15"/>
      <c r="CCV242" s="15"/>
      <c r="CCW242" s="15"/>
      <c r="CCX242" s="15"/>
      <c r="CCY242" s="15"/>
      <c r="CCZ242" s="15"/>
      <c r="CDA242" s="15"/>
      <c r="CDB242" s="15"/>
      <c r="CDC242" s="15"/>
      <c r="CDD242" s="10"/>
      <c r="CDE242" s="10"/>
      <c r="CDF242" s="21"/>
      <c r="CDG242" s="21"/>
      <c r="CDJ242" s="21"/>
      <c r="CDK242" s="15"/>
      <c r="CDL242" s="15"/>
      <c r="CDM242" s="15"/>
      <c r="CDN242" s="15"/>
      <c r="CDO242" s="15"/>
      <c r="CDP242" s="15"/>
      <c r="CDQ242" s="15"/>
      <c r="CDR242" s="15"/>
      <c r="CDS242" s="15"/>
      <c r="CDT242" s="15"/>
      <c r="CDU242" s="10"/>
      <c r="CDV242" s="10"/>
      <c r="CDW242" s="21"/>
      <c r="CDX242" s="21"/>
      <c r="CEA242" s="21"/>
      <c r="CEB242" s="15"/>
      <c r="CEC242" s="15"/>
      <c r="CED242" s="15"/>
      <c r="CEE242" s="15"/>
      <c r="CEF242" s="15"/>
      <c r="CEG242" s="15"/>
      <c r="CEH242" s="15"/>
      <c r="CEI242" s="15"/>
      <c r="CEJ242" s="15"/>
      <c r="CEK242" s="15"/>
      <c r="CEL242" s="10"/>
      <c r="CEM242" s="10"/>
      <c r="CEN242" s="21"/>
      <c r="CEO242" s="21"/>
      <c r="CER242" s="21"/>
      <c r="CES242" s="15"/>
      <c r="CET242" s="15"/>
      <c r="CEU242" s="15"/>
      <c r="CEV242" s="15"/>
      <c r="CEW242" s="15"/>
      <c r="CEX242" s="15"/>
      <c r="CEY242" s="15"/>
      <c r="CEZ242" s="15"/>
      <c r="CFA242" s="15"/>
      <c r="CFB242" s="15"/>
      <c r="CFC242" s="10"/>
      <c r="CFD242" s="10"/>
      <c r="CFE242" s="21"/>
      <c r="CFF242" s="21"/>
      <c r="CFI242" s="21"/>
      <c r="CFJ242" s="15"/>
      <c r="CFK242" s="15"/>
      <c r="CFL242" s="15"/>
      <c r="CFM242" s="15"/>
      <c r="CFN242" s="15"/>
      <c r="CFO242" s="15"/>
      <c r="CFP242" s="15"/>
      <c r="CFQ242" s="15"/>
      <c r="CFR242" s="15"/>
      <c r="CFS242" s="15"/>
      <c r="CFT242" s="10"/>
      <c r="CFU242" s="10"/>
      <c r="CFV242" s="21"/>
      <c r="CFW242" s="21"/>
      <c r="CFZ242" s="21"/>
      <c r="CGA242" s="15"/>
      <c r="CGB242" s="15"/>
      <c r="CGC242" s="15"/>
      <c r="CGD242" s="15"/>
      <c r="CGE242" s="15"/>
      <c r="CGF242" s="15"/>
      <c r="CGG242" s="15"/>
      <c r="CGH242" s="15"/>
      <c r="CGI242" s="15"/>
      <c r="CGJ242" s="15"/>
      <c r="CGK242" s="10"/>
      <c r="CGL242" s="10"/>
      <c r="CGM242" s="21"/>
      <c r="CGN242" s="21"/>
      <c r="CGQ242" s="21"/>
      <c r="CGR242" s="15"/>
      <c r="CGS242" s="15"/>
      <c r="CGT242" s="15"/>
      <c r="CGU242" s="15"/>
      <c r="CGV242" s="15"/>
      <c r="CGW242" s="15"/>
      <c r="CGX242" s="15"/>
      <c r="CGY242" s="15"/>
      <c r="CGZ242" s="15"/>
      <c r="CHA242" s="15"/>
      <c r="CHB242" s="10"/>
      <c r="CHC242" s="10"/>
      <c r="CHD242" s="21"/>
      <c r="CHE242" s="21"/>
      <c r="CHH242" s="21"/>
      <c r="CHI242" s="15"/>
      <c r="CHJ242" s="15"/>
      <c r="CHK242" s="15"/>
      <c r="CHL242" s="15"/>
      <c r="CHM242" s="15"/>
      <c r="CHN242" s="15"/>
      <c r="CHO242" s="15"/>
      <c r="CHP242" s="15"/>
      <c r="CHQ242" s="15"/>
      <c r="CHR242" s="15"/>
      <c r="CHS242" s="10"/>
      <c r="CHT242" s="10"/>
      <c r="CHU242" s="21"/>
      <c r="CHV242" s="21"/>
      <c r="CHY242" s="21"/>
      <c r="CHZ242" s="15"/>
      <c r="CIA242" s="15"/>
      <c r="CIB242" s="15"/>
      <c r="CIC242" s="15"/>
      <c r="CID242" s="15"/>
      <c r="CIE242" s="15"/>
      <c r="CIF242" s="15"/>
      <c r="CIG242" s="15"/>
      <c r="CIH242" s="15"/>
      <c r="CII242" s="15"/>
      <c r="CIJ242" s="10"/>
      <c r="CIK242" s="10"/>
      <c r="CIL242" s="21"/>
      <c r="CIM242" s="21"/>
      <c r="CIP242" s="21"/>
      <c r="CIQ242" s="15"/>
      <c r="CIR242" s="15"/>
      <c r="CIS242" s="15"/>
      <c r="CIT242" s="15"/>
      <c r="CIU242" s="15"/>
      <c r="CIV242" s="15"/>
      <c r="CIW242" s="15"/>
      <c r="CIX242" s="15"/>
      <c r="CIY242" s="15"/>
      <c r="CIZ242" s="15"/>
      <c r="CJA242" s="10"/>
      <c r="CJB242" s="10"/>
      <c r="CJC242" s="21"/>
      <c r="CJD242" s="21"/>
      <c r="CJG242" s="21"/>
      <c r="CJH242" s="15"/>
      <c r="CJI242" s="15"/>
      <c r="CJJ242" s="15"/>
      <c r="CJK242" s="15"/>
      <c r="CJL242" s="15"/>
      <c r="CJM242" s="15"/>
      <c r="CJN242" s="15"/>
      <c r="CJO242" s="15"/>
      <c r="CJP242" s="15"/>
      <c r="CJQ242" s="15"/>
      <c r="CJR242" s="10"/>
      <c r="CJS242" s="10"/>
      <c r="CJT242" s="21"/>
      <c r="CJU242" s="21"/>
      <c r="CJX242" s="21"/>
      <c r="CJY242" s="15"/>
      <c r="CJZ242" s="15"/>
      <c r="CKA242" s="15"/>
      <c r="CKB242" s="15"/>
      <c r="CKC242" s="15"/>
      <c r="CKD242" s="15"/>
      <c r="CKE242" s="15"/>
      <c r="CKF242" s="15"/>
      <c r="CKG242" s="15"/>
      <c r="CKH242" s="15"/>
      <c r="CKI242" s="10"/>
      <c r="CKJ242" s="10"/>
      <c r="CKK242" s="21"/>
      <c r="CKL242" s="21"/>
      <c r="CKO242" s="21"/>
      <c r="CKP242" s="15"/>
      <c r="CKQ242" s="15"/>
      <c r="CKR242" s="15"/>
      <c r="CKS242" s="15"/>
      <c r="CKT242" s="15"/>
      <c r="CKU242" s="15"/>
      <c r="CKV242" s="15"/>
      <c r="CKW242" s="15"/>
      <c r="CKX242" s="15"/>
      <c r="CKY242" s="15"/>
      <c r="CKZ242" s="10"/>
      <c r="CLA242" s="10"/>
      <c r="CLB242" s="21"/>
      <c r="CLC242" s="21"/>
      <c r="CLF242" s="21"/>
      <c r="CLG242" s="15"/>
      <c r="CLH242" s="15"/>
      <c r="CLI242" s="15"/>
      <c r="CLJ242" s="15"/>
      <c r="CLK242" s="15"/>
      <c r="CLL242" s="15"/>
      <c r="CLM242" s="15"/>
      <c r="CLN242" s="15"/>
      <c r="CLO242" s="15"/>
      <c r="CLP242" s="15"/>
      <c r="CLQ242" s="10"/>
      <c r="CLR242" s="10"/>
      <c r="CLS242" s="21"/>
      <c r="CLT242" s="21"/>
      <c r="CLW242" s="21"/>
      <c r="CLX242" s="15"/>
      <c r="CLY242" s="15"/>
      <c r="CLZ242" s="15"/>
      <c r="CMA242" s="15"/>
      <c r="CMB242" s="15"/>
      <c r="CMC242" s="15"/>
      <c r="CMD242" s="15"/>
      <c r="CME242" s="15"/>
      <c r="CMF242" s="15"/>
      <c r="CMG242" s="15"/>
      <c r="CMH242" s="10"/>
      <c r="CMI242" s="10"/>
      <c r="CMJ242" s="21"/>
      <c r="CMK242" s="21"/>
      <c r="CMN242" s="21"/>
      <c r="CMO242" s="15"/>
      <c r="CMP242" s="15"/>
      <c r="CMQ242" s="15"/>
      <c r="CMR242" s="15"/>
      <c r="CMS242" s="15"/>
      <c r="CMT242" s="15"/>
      <c r="CMU242" s="15"/>
      <c r="CMV242" s="15"/>
      <c r="CMW242" s="15"/>
      <c r="CMX242" s="15"/>
      <c r="CMY242" s="10"/>
      <c r="CMZ242" s="10"/>
      <c r="CNA242" s="21"/>
      <c r="CNB242" s="21"/>
      <c r="CNE242" s="21"/>
      <c r="CNF242" s="15"/>
      <c r="CNG242" s="15"/>
      <c r="CNH242" s="15"/>
      <c r="CNI242" s="15"/>
      <c r="CNJ242" s="15"/>
      <c r="CNK242" s="15"/>
      <c r="CNL242" s="15"/>
      <c r="CNM242" s="15"/>
      <c r="CNN242" s="15"/>
      <c r="CNO242" s="15"/>
      <c r="CNP242" s="10"/>
      <c r="CNQ242" s="10"/>
      <c r="CNR242" s="21"/>
      <c r="CNS242" s="21"/>
      <c r="CNV242" s="21"/>
      <c r="CNW242" s="15"/>
      <c r="CNX242" s="15"/>
      <c r="CNY242" s="15"/>
      <c r="CNZ242" s="15"/>
      <c r="COA242" s="15"/>
      <c r="COB242" s="15"/>
      <c r="COC242" s="15"/>
      <c r="COD242" s="15"/>
      <c r="COE242" s="15"/>
      <c r="COF242" s="15"/>
      <c r="COG242" s="10"/>
      <c r="COH242" s="10"/>
      <c r="COI242" s="21"/>
      <c r="COJ242" s="21"/>
      <c r="COM242" s="21"/>
      <c r="CON242" s="15"/>
      <c r="COO242" s="15"/>
      <c r="COP242" s="15"/>
      <c r="COQ242" s="15"/>
      <c r="COR242" s="15"/>
      <c r="COS242" s="15"/>
      <c r="COT242" s="15"/>
      <c r="COU242" s="15"/>
      <c r="COV242" s="15"/>
      <c r="COW242" s="15"/>
      <c r="COX242" s="10"/>
      <c r="COY242" s="10"/>
      <c r="COZ242" s="21"/>
      <c r="CPA242" s="21"/>
      <c r="CPD242" s="21"/>
      <c r="CPE242" s="15"/>
      <c r="CPF242" s="15"/>
      <c r="CPG242" s="15"/>
      <c r="CPH242" s="15"/>
      <c r="CPI242" s="15"/>
      <c r="CPJ242" s="15"/>
      <c r="CPK242" s="15"/>
      <c r="CPL242" s="15"/>
      <c r="CPM242" s="15"/>
      <c r="CPN242" s="15"/>
      <c r="CPO242" s="10"/>
      <c r="CPP242" s="10"/>
      <c r="CPQ242" s="21"/>
      <c r="CPR242" s="21"/>
      <c r="CPU242" s="21"/>
      <c r="CPV242" s="15"/>
      <c r="CPW242" s="15"/>
      <c r="CPX242" s="15"/>
      <c r="CPY242" s="15"/>
      <c r="CPZ242" s="15"/>
      <c r="CQA242" s="15"/>
      <c r="CQB242" s="15"/>
      <c r="CQC242" s="15"/>
      <c r="CQD242" s="15"/>
      <c r="CQE242" s="15"/>
      <c r="CQF242" s="10"/>
      <c r="CQG242" s="10"/>
      <c r="CQH242" s="21"/>
      <c r="CQI242" s="21"/>
      <c r="CQL242" s="21"/>
      <c r="CQM242" s="15"/>
      <c r="CQN242" s="15"/>
      <c r="CQO242" s="15"/>
      <c r="CQP242" s="15"/>
      <c r="CQQ242" s="15"/>
      <c r="CQR242" s="15"/>
      <c r="CQS242" s="15"/>
      <c r="CQT242" s="15"/>
      <c r="CQU242" s="15"/>
      <c r="CQV242" s="15"/>
      <c r="CQW242" s="10"/>
      <c r="CQX242" s="10"/>
      <c r="CQY242" s="21"/>
      <c r="CQZ242" s="21"/>
      <c r="CRC242" s="21"/>
      <c r="CRD242" s="15"/>
      <c r="CRE242" s="15"/>
      <c r="CRF242" s="15"/>
      <c r="CRG242" s="15"/>
      <c r="CRH242" s="15"/>
      <c r="CRI242" s="15"/>
      <c r="CRJ242" s="15"/>
      <c r="CRK242" s="15"/>
      <c r="CRL242" s="15"/>
      <c r="CRM242" s="15"/>
      <c r="CRN242" s="10"/>
      <c r="CRO242" s="10"/>
      <c r="CRP242" s="21"/>
      <c r="CRQ242" s="21"/>
      <c r="CRT242" s="21"/>
      <c r="CRU242" s="15"/>
      <c r="CRV242" s="15"/>
      <c r="CRW242" s="15"/>
      <c r="CRX242" s="15"/>
      <c r="CRY242" s="15"/>
      <c r="CRZ242" s="15"/>
      <c r="CSA242" s="15"/>
      <c r="CSB242" s="15"/>
      <c r="CSC242" s="15"/>
      <c r="CSD242" s="15"/>
      <c r="CSE242" s="10"/>
      <c r="CSF242" s="10"/>
      <c r="CSG242" s="21"/>
      <c r="CSH242" s="21"/>
      <c r="CSK242" s="21"/>
      <c r="CSL242" s="15"/>
      <c r="CSM242" s="15"/>
      <c r="CSN242" s="15"/>
      <c r="CSO242" s="15"/>
      <c r="CSP242" s="15"/>
      <c r="CSQ242" s="15"/>
      <c r="CSR242" s="15"/>
      <c r="CSS242" s="15"/>
      <c r="CST242" s="15"/>
      <c r="CSU242" s="15"/>
      <c r="CSV242" s="10"/>
      <c r="CSW242" s="10"/>
      <c r="CSX242" s="21"/>
      <c r="CSY242" s="21"/>
      <c r="CTB242" s="21"/>
      <c r="CTC242" s="15"/>
      <c r="CTD242" s="15"/>
      <c r="CTE242" s="15"/>
      <c r="CTF242" s="15"/>
      <c r="CTG242" s="15"/>
      <c r="CTH242" s="15"/>
      <c r="CTI242" s="15"/>
      <c r="CTJ242" s="15"/>
      <c r="CTK242" s="15"/>
      <c r="CTL242" s="15"/>
      <c r="CTM242" s="10"/>
      <c r="CTN242" s="10"/>
      <c r="CTO242" s="21"/>
      <c r="CTP242" s="21"/>
      <c r="CTS242" s="21"/>
      <c r="CTT242" s="15"/>
      <c r="CTU242" s="15"/>
      <c r="CTV242" s="15"/>
      <c r="CTW242" s="15"/>
      <c r="CTX242" s="15"/>
      <c r="CTY242" s="15"/>
      <c r="CTZ242" s="15"/>
      <c r="CUA242" s="15"/>
      <c r="CUB242" s="15"/>
      <c r="CUC242" s="15"/>
      <c r="CUD242" s="10"/>
      <c r="CUE242" s="10"/>
      <c r="CUF242" s="21"/>
      <c r="CUG242" s="21"/>
      <c r="CUJ242" s="21"/>
      <c r="CUK242" s="15"/>
      <c r="CUL242" s="15"/>
      <c r="CUM242" s="15"/>
      <c r="CUN242" s="15"/>
      <c r="CUO242" s="15"/>
      <c r="CUP242" s="15"/>
      <c r="CUQ242" s="15"/>
      <c r="CUR242" s="15"/>
      <c r="CUS242" s="15"/>
      <c r="CUT242" s="15"/>
      <c r="CUU242" s="10"/>
      <c r="CUV242" s="10"/>
      <c r="CUW242" s="21"/>
      <c r="CUX242" s="21"/>
      <c r="CVA242" s="21"/>
      <c r="CVB242" s="15"/>
      <c r="CVC242" s="15"/>
      <c r="CVD242" s="15"/>
      <c r="CVE242" s="15"/>
      <c r="CVF242" s="15"/>
      <c r="CVG242" s="15"/>
      <c r="CVH242" s="15"/>
      <c r="CVI242" s="15"/>
      <c r="CVJ242" s="15"/>
      <c r="CVK242" s="15"/>
      <c r="CVL242" s="10"/>
      <c r="CVM242" s="10"/>
      <c r="CVN242" s="21"/>
      <c r="CVO242" s="21"/>
      <c r="CVR242" s="21"/>
      <c r="CVS242" s="15"/>
      <c r="CVT242" s="15"/>
      <c r="CVU242" s="15"/>
      <c r="CVV242" s="15"/>
      <c r="CVW242" s="15"/>
      <c r="CVX242" s="15"/>
      <c r="CVY242" s="15"/>
      <c r="CVZ242" s="15"/>
      <c r="CWA242" s="15"/>
      <c r="CWB242" s="15"/>
      <c r="CWC242" s="10"/>
      <c r="CWD242" s="10"/>
      <c r="CWE242" s="21"/>
      <c r="CWF242" s="21"/>
      <c r="CWI242" s="21"/>
      <c r="CWJ242" s="15"/>
      <c r="CWK242" s="15"/>
      <c r="CWL242" s="15"/>
      <c r="CWM242" s="15"/>
      <c r="CWN242" s="15"/>
      <c r="CWO242" s="15"/>
      <c r="CWP242" s="15"/>
      <c r="CWQ242" s="15"/>
      <c r="CWR242" s="15"/>
      <c r="CWS242" s="15"/>
      <c r="CWT242" s="10"/>
      <c r="CWU242" s="10"/>
      <c r="CWV242" s="21"/>
      <c r="CWW242" s="21"/>
      <c r="CWZ242" s="21"/>
      <c r="CXA242" s="15"/>
      <c r="CXB242" s="15"/>
      <c r="CXC242" s="15"/>
      <c r="CXD242" s="15"/>
      <c r="CXE242" s="15"/>
      <c r="CXF242" s="15"/>
      <c r="CXG242" s="15"/>
      <c r="CXH242" s="15"/>
      <c r="CXI242" s="15"/>
      <c r="CXJ242" s="15"/>
      <c r="CXK242" s="10"/>
      <c r="CXL242" s="10"/>
      <c r="CXM242" s="21"/>
      <c r="CXN242" s="21"/>
      <c r="CXQ242" s="21"/>
      <c r="CXR242" s="15"/>
      <c r="CXS242" s="15"/>
      <c r="CXT242" s="15"/>
      <c r="CXU242" s="15"/>
      <c r="CXV242" s="15"/>
      <c r="CXW242" s="15"/>
      <c r="CXX242" s="15"/>
      <c r="CXY242" s="15"/>
      <c r="CXZ242" s="15"/>
      <c r="CYA242" s="15"/>
      <c r="CYB242" s="10"/>
      <c r="CYC242" s="10"/>
      <c r="CYD242" s="21"/>
      <c r="CYE242" s="21"/>
      <c r="CYH242" s="21"/>
      <c r="CYI242" s="15"/>
      <c r="CYJ242" s="15"/>
      <c r="CYK242" s="15"/>
      <c r="CYL242" s="15"/>
      <c r="CYM242" s="15"/>
      <c r="CYN242" s="15"/>
      <c r="CYO242" s="15"/>
      <c r="CYP242" s="15"/>
      <c r="CYQ242" s="15"/>
      <c r="CYR242" s="15"/>
      <c r="CYS242" s="10"/>
      <c r="CYT242" s="10"/>
      <c r="CYU242" s="21"/>
      <c r="CYV242" s="21"/>
      <c r="CYY242" s="21"/>
      <c r="CYZ242" s="15"/>
      <c r="CZA242" s="15"/>
      <c r="CZB242" s="15"/>
      <c r="CZC242" s="15"/>
      <c r="CZD242" s="15"/>
      <c r="CZE242" s="15"/>
      <c r="CZF242" s="15"/>
      <c r="CZG242" s="15"/>
      <c r="CZH242" s="15"/>
      <c r="CZI242" s="15"/>
      <c r="CZJ242" s="10"/>
      <c r="CZK242" s="10"/>
      <c r="CZL242" s="21"/>
      <c r="CZM242" s="21"/>
      <c r="CZP242" s="21"/>
      <c r="CZQ242" s="15"/>
      <c r="CZR242" s="15"/>
      <c r="CZS242" s="15"/>
      <c r="CZT242" s="15"/>
      <c r="CZU242" s="15"/>
      <c r="CZV242" s="15"/>
      <c r="CZW242" s="15"/>
      <c r="CZX242" s="15"/>
      <c r="CZY242" s="15"/>
      <c r="CZZ242" s="15"/>
      <c r="DAA242" s="10"/>
      <c r="DAB242" s="10"/>
      <c r="DAC242" s="21"/>
      <c r="DAD242" s="21"/>
      <c r="DAG242" s="21"/>
      <c r="DAH242" s="15"/>
      <c r="DAI242" s="15"/>
      <c r="DAJ242" s="15"/>
      <c r="DAK242" s="15"/>
      <c r="DAL242" s="15"/>
      <c r="DAM242" s="15"/>
      <c r="DAN242" s="15"/>
      <c r="DAO242" s="15"/>
      <c r="DAP242" s="15"/>
      <c r="DAQ242" s="15"/>
      <c r="DAR242" s="10"/>
      <c r="DAS242" s="10"/>
      <c r="DAT242" s="21"/>
      <c r="DAU242" s="21"/>
      <c r="DAX242" s="21"/>
      <c r="DAY242" s="15"/>
      <c r="DAZ242" s="15"/>
      <c r="DBA242" s="15"/>
      <c r="DBB242" s="15"/>
      <c r="DBC242" s="15"/>
      <c r="DBD242" s="15"/>
      <c r="DBE242" s="15"/>
      <c r="DBF242" s="15"/>
      <c r="DBG242" s="15"/>
      <c r="DBH242" s="15"/>
      <c r="DBI242" s="10"/>
      <c r="DBJ242" s="10"/>
      <c r="DBK242" s="21"/>
      <c r="DBL242" s="21"/>
      <c r="DBO242" s="21"/>
      <c r="DBP242" s="15"/>
      <c r="DBQ242" s="15"/>
      <c r="DBR242" s="15"/>
      <c r="DBS242" s="15"/>
      <c r="DBT242" s="15"/>
      <c r="DBU242" s="15"/>
      <c r="DBV242" s="15"/>
      <c r="DBW242" s="15"/>
      <c r="DBX242" s="15"/>
      <c r="DBY242" s="15"/>
      <c r="DBZ242" s="10"/>
      <c r="DCA242" s="10"/>
      <c r="DCB242" s="21"/>
      <c r="DCC242" s="21"/>
      <c r="DCF242" s="21"/>
      <c r="DCG242" s="15"/>
      <c r="DCH242" s="15"/>
      <c r="DCI242" s="15"/>
      <c r="DCJ242" s="15"/>
      <c r="DCK242" s="15"/>
      <c r="DCL242" s="15"/>
      <c r="DCM242" s="15"/>
      <c r="DCN242" s="15"/>
      <c r="DCO242" s="15"/>
      <c r="DCP242" s="15"/>
      <c r="DCQ242" s="10"/>
      <c r="DCR242" s="10"/>
      <c r="DCS242" s="21"/>
      <c r="DCT242" s="21"/>
      <c r="DCW242" s="21"/>
      <c r="DCX242" s="15"/>
      <c r="DCY242" s="15"/>
      <c r="DCZ242" s="15"/>
      <c r="DDA242" s="15"/>
      <c r="DDB242" s="15"/>
      <c r="DDC242" s="15"/>
      <c r="DDD242" s="15"/>
      <c r="DDE242" s="15"/>
      <c r="DDF242" s="15"/>
      <c r="DDG242" s="15"/>
      <c r="DDH242" s="10"/>
      <c r="DDI242" s="10"/>
      <c r="DDJ242" s="21"/>
      <c r="DDK242" s="21"/>
      <c r="DDN242" s="21"/>
      <c r="DDO242" s="15"/>
      <c r="DDP242" s="15"/>
      <c r="DDQ242" s="15"/>
      <c r="DDR242" s="15"/>
      <c r="DDS242" s="15"/>
      <c r="DDT242" s="15"/>
      <c r="DDU242" s="15"/>
      <c r="DDV242" s="15"/>
      <c r="DDW242" s="15"/>
      <c r="DDX242" s="15"/>
      <c r="DDY242" s="10"/>
      <c r="DDZ242" s="10"/>
      <c r="DEA242" s="21"/>
      <c r="DEB242" s="21"/>
      <c r="DEE242" s="21"/>
      <c r="DEF242" s="15"/>
      <c r="DEG242" s="15"/>
      <c r="DEH242" s="15"/>
      <c r="DEI242" s="15"/>
      <c r="DEJ242" s="15"/>
      <c r="DEK242" s="15"/>
      <c r="DEL242" s="15"/>
      <c r="DEM242" s="15"/>
      <c r="DEN242" s="15"/>
      <c r="DEO242" s="15"/>
      <c r="DEP242" s="10"/>
      <c r="DEQ242" s="10"/>
      <c r="DER242" s="21"/>
      <c r="DES242" s="21"/>
      <c r="DEV242" s="21"/>
      <c r="DEW242" s="15"/>
      <c r="DEX242" s="15"/>
      <c r="DEY242" s="15"/>
      <c r="DEZ242" s="15"/>
      <c r="DFA242" s="15"/>
      <c r="DFB242" s="15"/>
      <c r="DFC242" s="15"/>
      <c r="DFD242" s="15"/>
      <c r="DFE242" s="15"/>
      <c r="DFF242" s="15"/>
      <c r="DFG242" s="10"/>
      <c r="DFH242" s="10"/>
      <c r="DFI242" s="21"/>
      <c r="DFJ242" s="21"/>
      <c r="DFM242" s="21"/>
      <c r="DFN242" s="15"/>
      <c r="DFO242" s="15"/>
      <c r="DFP242" s="15"/>
      <c r="DFQ242" s="15"/>
      <c r="DFR242" s="15"/>
      <c r="DFS242" s="15"/>
      <c r="DFT242" s="15"/>
      <c r="DFU242" s="15"/>
      <c r="DFV242" s="15"/>
      <c r="DFW242" s="15"/>
      <c r="DFX242" s="10"/>
      <c r="DFY242" s="10"/>
      <c r="DFZ242" s="21"/>
      <c r="DGA242" s="21"/>
      <c r="DGD242" s="21"/>
      <c r="DGE242" s="15"/>
      <c r="DGF242" s="15"/>
      <c r="DGG242" s="15"/>
      <c r="DGH242" s="15"/>
      <c r="DGI242" s="15"/>
      <c r="DGJ242" s="15"/>
      <c r="DGK242" s="15"/>
      <c r="DGL242" s="15"/>
      <c r="DGM242" s="15"/>
      <c r="DGN242" s="15"/>
      <c r="DGO242" s="10"/>
      <c r="DGP242" s="10"/>
      <c r="DGQ242" s="21"/>
      <c r="DGR242" s="21"/>
      <c r="DGU242" s="21"/>
      <c r="DGV242" s="15"/>
      <c r="DGW242" s="15"/>
      <c r="DGX242" s="15"/>
      <c r="DGY242" s="15"/>
      <c r="DGZ242" s="15"/>
      <c r="DHA242" s="15"/>
      <c r="DHB242" s="15"/>
      <c r="DHC242" s="15"/>
      <c r="DHD242" s="15"/>
      <c r="DHE242" s="15"/>
      <c r="DHF242" s="10"/>
      <c r="DHG242" s="10"/>
      <c r="DHH242" s="21"/>
      <c r="DHI242" s="21"/>
      <c r="DHL242" s="21"/>
      <c r="DHM242" s="15"/>
      <c r="DHN242" s="15"/>
      <c r="DHO242" s="15"/>
      <c r="DHP242" s="15"/>
      <c r="DHQ242" s="15"/>
      <c r="DHR242" s="15"/>
      <c r="DHS242" s="15"/>
      <c r="DHT242" s="15"/>
      <c r="DHU242" s="15"/>
      <c r="DHV242" s="15"/>
      <c r="DHW242" s="10"/>
      <c r="DHX242" s="10"/>
      <c r="DHY242" s="21"/>
      <c r="DHZ242" s="21"/>
      <c r="DIC242" s="21"/>
      <c r="DID242" s="15"/>
      <c r="DIE242" s="15"/>
      <c r="DIF242" s="15"/>
      <c r="DIG242" s="15"/>
      <c r="DIH242" s="15"/>
      <c r="DII242" s="15"/>
      <c r="DIJ242" s="15"/>
      <c r="DIK242" s="15"/>
      <c r="DIL242" s="15"/>
      <c r="DIM242" s="15"/>
      <c r="DIN242" s="10"/>
      <c r="DIO242" s="10"/>
      <c r="DIP242" s="21"/>
      <c r="DIQ242" s="21"/>
      <c r="DIT242" s="21"/>
      <c r="DIU242" s="15"/>
      <c r="DIV242" s="15"/>
      <c r="DIW242" s="15"/>
      <c r="DIX242" s="15"/>
      <c r="DIY242" s="15"/>
      <c r="DIZ242" s="15"/>
      <c r="DJA242" s="15"/>
      <c r="DJB242" s="15"/>
      <c r="DJC242" s="15"/>
      <c r="DJD242" s="15"/>
      <c r="DJE242" s="10"/>
      <c r="DJF242" s="10"/>
      <c r="DJG242" s="21"/>
      <c r="DJH242" s="21"/>
      <c r="DJK242" s="21"/>
      <c r="DJL242" s="15"/>
      <c r="DJM242" s="15"/>
      <c r="DJN242" s="15"/>
      <c r="DJO242" s="15"/>
      <c r="DJP242" s="15"/>
      <c r="DJQ242" s="15"/>
      <c r="DJR242" s="15"/>
      <c r="DJS242" s="15"/>
      <c r="DJT242" s="15"/>
      <c r="DJU242" s="15"/>
      <c r="DJV242" s="10"/>
      <c r="DJW242" s="10"/>
      <c r="DJX242" s="21"/>
      <c r="DJY242" s="21"/>
      <c r="DKB242" s="21"/>
      <c r="DKC242" s="15"/>
      <c r="DKD242" s="15"/>
      <c r="DKE242" s="15"/>
      <c r="DKF242" s="15"/>
      <c r="DKG242" s="15"/>
      <c r="DKH242" s="15"/>
      <c r="DKI242" s="15"/>
      <c r="DKJ242" s="15"/>
      <c r="DKK242" s="15"/>
      <c r="DKL242" s="15"/>
      <c r="DKM242" s="10"/>
      <c r="DKN242" s="10"/>
      <c r="DKO242" s="21"/>
      <c r="DKP242" s="21"/>
      <c r="DKS242" s="21"/>
      <c r="DKT242" s="15"/>
      <c r="DKU242" s="15"/>
      <c r="DKV242" s="15"/>
      <c r="DKW242" s="15"/>
      <c r="DKX242" s="15"/>
      <c r="DKY242" s="15"/>
      <c r="DKZ242" s="15"/>
      <c r="DLA242" s="15"/>
      <c r="DLB242" s="15"/>
      <c r="DLC242" s="15"/>
      <c r="DLD242" s="10"/>
      <c r="DLE242" s="10"/>
      <c r="DLF242" s="21"/>
      <c r="DLG242" s="21"/>
      <c r="DLJ242" s="21"/>
      <c r="DLK242" s="15"/>
      <c r="DLL242" s="15"/>
      <c r="DLM242" s="15"/>
      <c r="DLN242" s="15"/>
      <c r="DLO242" s="15"/>
      <c r="DLP242" s="15"/>
      <c r="DLQ242" s="15"/>
      <c r="DLR242" s="15"/>
      <c r="DLS242" s="15"/>
      <c r="DLT242" s="15"/>
      <c r="DLU242" s="10"/>
      <c r="DLV242" s="10"/>
      <c r="DLW242" s="21"/>
      <c r="DLX242" s="21"/>
      <c r="DMA242" s="21"/>
      <c r="DMB242" s="15"/>
      <c r="DMC242" s="15"/>
      <c r="DMD242" s="15"/>
      <c r="DME242" s="15"/>
      <c r="DMF242" s="15"/>
      <c r="DMG242" s="15"/>
      <c r="DMH242" s="15"/>
      <c r="DMI242" s="15"/>
      <c r="DMJ242" s="15"/>
      <c r="DMK242" s="15"/>
      <c r="DML242" s="10"/>
      <c r="DMM242" s="10"/>
      <c r="DMN242" s="21"/>
      <c r="DMO242" s="21"/>
      <c r="DMR242" s="21"/>
      <c r="DMS242" s="15"/>
      <c r="DMT242" s="15"/>
      <c r="DMU242" s="15"/>
      <c r="DMV242" s="15"/>
      <c r="DMW242" s="15"/>
      <c r="DMX242" s="15"/>
      <c r="DMY242" s="15"/>
      <c r="DMZ242" s="15"/>
      <c r="DNA242" s="15"/>
      <c r="DNB242" s="15"/>
      <c r="DNC242" s="10"/>
      <c r="DND242" s="10"/>
      <c r="DNE242" s="21"/>
      <c r="DNF242" s="21"/>
      <c r="DNI242" s="21"/>
      <c r="DNJ242" s="15"/>
      <c r="DNK242" s="15"/>
      <c r="DNL242" s="15"/>
      <c r="DNM242" s="15"/>
      <c r="DNN242" s="15"/>
      <c r="DNO242" s="15"/>
      <c r="DNP242" s="15"/>
      <c r="DNQ242" s="15"/>
      <c r="DNR242" s="15"/>
      <c r="DNS242" s="15"/>
      <c r="DNT242" s="10"/>
      <c r="DNU242" s="10"/>
      <c r="DNV242" s="21"/>
      <c r="DNW242" s="21"/>
      <c r="DNZ242" s="21"/>
      <c r="DOA242" s="15"/>
      <c r="DOB242" s="15"/>
      <c r="DOC242" s="15"/>
      <c r="DOD242" s="15"/>
      <c r="DOE242" s="15"/>
      <c r="DOF242" s="15"/>
      <c r="DOG242" s="15"/>
      <c r="DOH242" s="15"/>
      <c r="DOI242" s="15"/>
      <c r="DOJ242" s="15"/>
      <c r="DOK242" s="10"/>
      <c r="DOL242" s="10"/>
      <c r="DOM242" s="21"/>
      <c r="DON242" s="21"/>
      <c r="DOQ242" s="21"/>
      <c r="DOR242" s="15"/>
      <c r="DOS242" s="15"/>
      <c r="DOT242" s="15"/>
      <c r="DOU242" s="15"/>
      <c r="DOV242" s="15"/>
      <c r="DOW242" s="15"/>
      <c r="DOX242" s="15"/>
      <c r="DOY242" s="15"/>
      <c r="DOZ242" s="15"/>
      <c r="DPA242" s="15"/>
      <c r="DPB242" s="10"/>
      <c r="DPC242" s="10"/>
      <c r="DPD242" s="21"/>
      <c r="DPE242" s="21"/>
      <c r="DPH242" s="21"/>
      <c r="DPI242" s="15"/>
      <c r="DPJ242" s="15"/>
      <c r="DPK242" s="15"/>
      <c r="DPL242" s="15"/>
      <c r="DPM242" s="15"/>
      <c r="DPN242" s="15"/>
      <c r="DPO242" s="15"/>
      <c r="DPP242" s="15"/>
      <c r="DPQ242" s="15"/>
      <c r="DPR242" s="15"/>
      <c r="DPS242" s="10"/>
      <c r="DPT242" s="10"/>
      <c r="DPU242" s="21"/>
      <c r="DPV242" s="21"/>
      <c r="DPY242" s="21"/>
      <c r="DPZ242" s="15"/>
      <c r="DQA242" s="15"/>
      <c r="DQB242" s="15"/>
      <c r="DQC242" s="15"/>
      <c r="DQD242" s="15"/>
      <c r="DQE242" s="15"/>
      <c r="DQF242" s="15"/>
      <c r="DQG242" s="15"/>
      <c r="DQH242" s="15"/>
      <c r="DQI242" s="15"/>
      <c r="DQJ242" s="10"/>
      <c r="DQK242" s="10"/>
      <c r="DQL242" s="21"/>
      <c r="DQM242" s="21"/>
      <c r="DQP242" s="21"/>
      <c r="DQQ242" s="15"/>
      <c r="DQR242" s="15"/>
      <c r="DQS242" s="15"/>
      <c r="DQT242" s="15"/>
      <c r="DQU242" s="15"/>
      <c r="DQV242" s="15"/>
      <c r="DQW242" s="15"/>
      <c r="DQX242" s="15"/>
      <c r="DQY242" s="15"/>
      <c r="DQZ242" s="15"/>
      <c r="DRA242" s="10"/>
      <c r="DRB242" s="10"/>
      <c r="DRC242" s="21"/>
      <c r="DRD242" s="21"/>
      <c r="DRG242" s="21"/>
      <c r="DRH242" s="15"/>
      <c r="DRI242" s="15"/>
      <c r="DRJ242" s="15"/>
      <c r="DRK242" s="15"/>
      <c r="DRL242" s="15"/>
      <c r="DRM242" s="15"/>
      <c r="DRN242" s="15"/>
      <c r="DRO242" s="15"/>
      <c r="DRP242" s="15"/>
      <c r="DRQ242" s="15"/>
      <c r="DRR242" s="10"/>
      <c r="DRS242" s="10"/>
      <c r="DRT242" s="21"/>
      <c r="DRU242" s="21"/>
      <c r="DRX242" s="21"/>
      <c r="DRY242" s="15"/>
      <c r="DRZ242" s="15"/>
      <c r="DSA242" s="15"/>
      <c r="DSB242" s="15"/>
      <c r="DSC242" s="15"/>
      <c r="DSD242" s="15"/>
      <c r="DSE242" s="15"/>
      <c r="DSF242" s="15"/>
      <c r="DSG242" s="15"/>
      <c r="DSH242" s="15"/>
      <c r="DSI242" s="10"/>
      <c r="DSJ242" s="10"/>
      <c r="DSK242" s="21"/>
      <c r="DSL242" s="21"/>
      <c r="DSO242" s="21"/>
      <c r="DSP242" s="15"/>
      <c r="DSQ242" s="15"/>
      <c r="DSR242" s="15"/>
      <c r="DSS242" s="15"/>
      <c r="DST242" s="15"/>
      <c r="DSU242" s="15"/>
      <c r="DSV242" s="15"/>
      <c r="DSW242" s="15"/>
      <c r="DSX242" s="15"/>
      <c r="DSY242" s="15"/>
      <c r="DSZ242" s="10"/>
      <c r="DTA242" s="10"/>
      <c r="DTB242" s="21"/>
      <c r="DTC242" s="21"/>
      <c r="DTF242" s="21"/>
      <c r="DTG242" s="15"/>
      <c r="DTH242" s="15"/>
      <c r="DTI242" s="15"/>
      <c r="DTJ242" s="15"/>
      <c r="DTK242" s="15"/>
      <c r="DTL242" s="15"/>
      <c r="DTM242" s="15"/>
      <c r="DTN242" s="15"/>
      <c r="DTO242" s="15"/>
      <c r="DTP242" s="15"/>
      <c r="DTQ242" s="10"/>
      <c r="DTR242" s="10"/>
      <c r="DTS242" s="21"/>
      <c r="DTT242" s="21"/>
      <c r="DTW242" s="21"/>
      <c r="DTX242" s="15"/>
      <c r="DTY242" s="15"/>
      <c r="DTZ242" s="15"/>
      <c r="DUA242" s="15"/>
      <c r="DUB242" s="15"/>
      <c r="DUC242" s="15"/>
      <c r="DUD242" s="15"/>
      <c r="DUE242" s="15"/>
      <c r="DUF242" s="15"/>
      <c r="DUG242" s="15"/>
      <c r="DUH242" s="10"/>
      <c r="DUI242" s="10"/>
      <c r="DUJ242" s="21"/>
      <c r="DUK242" s="21"/>
      <c r="DUN242" s="21"/>
      <c r="DUO242" s="15"/>
      <c r="DUP242" s="15"/>
      <c r="DUQ242" s="15"/>
      <c r="DUR242" s="15"/>
      <c r="DUS242" s="15"/>
      <c r="DUT242" s="15"/>
      <c r="DUU242" s="15"/>
      <c r="DUV242" s="15"/>
      <c r="DUW242" s="15"/>
      <c r="DUX242" s="15"/>
      <c r="DUY242" s="10"/>
      <c r="DUZ242" s="10"/>
      <c r="DVA242" s="21"/>
      <c r="DVB242" s="21"/>
      <c r="DVE242" s="21"/>
      <c r="DVF242" s="15"/>
      <c r="DVG242" s="15"/>
      <c r="DVH242" s="15"/>
      <c r="DVI242" s="15"/>
      <c r="DVJ242" s="15"/>
      <c r="DVK242" s="15"/>
      <c r="DVL242" s="15"/>
      <c r="DVM242" s="15"/>
      <c r="DVN242" s="15"/>
      <c r="DVO242" s="15"/>
      <c r="DVP242" s="10"/>
      <c r="DVQ242" s="10"/>
      <c r="DVR242" s="21"/>
      <c r="DVS242" s="21"/>
      <c r="DVV242" s="21"/>
      <c r="DVW242" s="15"/>
      <c r="DVX242" s="15"/>
      <c r="DVY242" s="15"/>
      <c r="DVZ242" s="15"/>
      <c r="DWA242" s="15"/>
      <c r="DWB242" s="15"/>
      <c r="DWC242" s="15"/>
      <c r="DWD242" s="15"/>
      <c r="DWE242" s="15"/>
      <c r="DWF242" s="15"/>
      <c r="DWG242" s="10"/>
      <c r="DWH242" s="10"/>
      <c r="DWI242" s="21"/>
      <c r="DWJ242" s="21"/>
      <c r="DWM242" s="21"/>
      <c r="DWN242" s="15"/>
      <c r="DWO242" s="15"/>
      <c r="DWP242" s="15"/>
      <c r="DWQ242" s="15"/>
      <c r="DWR242" s="15"/>
      <c r="DWS242" s="15"/>
      <c r="DWT242" s="15"/>
      <c r="DWU242" s="15"/>
      <c r="DWV242" s="15"/>
      <c r="DWW242" s="15"/>
      <c r="DWX242" s="10"/>
      <c r="DWY242" s="10"/>
      <c r="DWZ242" s="21"/>
      <c r="DXA242" s="21"/>
      <c r="DXD242" s="21"/>
      <c r="DXE242" s="15"/>
      <c r="DXF242" s="15"/>
      <c r="DXG242" s="15"/>
      <c r="DXH242" s="15"/>
      <c r="DXI242" s="15"/>
      <c r="DXJ242" s="15"/>
      <c r="DXK242" s="15"/>
      <c r="DXL242" s="15"/>
      <c r="DXM242" s="15"/>
      <c r="DXN242" s="15"/>
      <c r="DXO242" s="10"/>
      <c r="DXP242" s="10"/>
      <c r="DXQ242" s="21"/>
      <c r="DXR242" s="21"/>
      <c r="DXU242" s="21"/>
      <c r="DXV242" s="15"/>
      <c r="DXW242" s="15"/>
      <c r="DXX242" s="15"/>
      <c r="DXY242" s="15"/>
      <c r="DXZ242" s="15"/>
      <c r="DYA242" s="15"/>
      <c r="DYB242" s="15"/>
      <c r="DYC242" s="15"/>
      <c r="DYD242" s="15"/>
      <c r="DYE242" s="15"/>
      <c r="DYF242" s="10"/>
      <c r="DYG242" s="10"/>
      <c r="DYH242" s="21"/>
      <c r="DYI242" s="21"/>
      <c r="DYL242" s="21"/>
      <c r="DYM242" s="15"/>
      <c r="DYN242" s="15"/>
      <c r="DYO242" s="15"/>
      <c r="DYP242" s="15"/>
      <c r="DYQ242" s="15"/>
      <c r="DYR242" s="15"/>
      <c r="DYS242" s="15"/>
      <c r="DYT242" s="15"/>
      <c r="DYU242" s="15"/>
      <c r="DYV242" s="15"/>
      <c r="DYW242" s="10"/>
      <c r="DYX242" s="10"/>
      <c r="DYY242" s="21"/>
      <c r="DYZ242" s="21"/>
      <c r="DZC242" s="21"/>
      <c r="DZD242" s="15"/>
      <c r="DZE242" s="15"/>
      <c r="DZF242" s="15"/>
      <c r="DZG242" s="15"/>
      <c r="DZH242" s="15"/>
      <c r="DZI242" s="15"/>
      <c r="DZJ242" s="15"/>
      <c r="DZK242" s="15"/>
      <c r="DZL242" s="15"/>
      <c r="DZM242" s="15"/>
      <c r="DZN242" s="10"/>
      <c r="DZO242" s="10"/>
      <c r="DZP242" s="21"/>
      <c r="DZQ242" s="21"/>
      <c r="DZT242" s="21"/>
      <c r="DZU242" s="15"/>
      <c r="DZV242" s="15"/>
      <c r="DZW242" s="15"/>
      <c r="DZX242" s="15"/>
      <c r="DZY242" s="15"/>
      <c r="DZZ242" s="15"/>
      <c r="EAA242" s="15"/>
      <c r="EAB242" s="15"/>
      <c r="EAC242" s="15"/>
      <c r="EAD242" s="15"/>
      <c r="EAE242" s="10"/>
      <c r="EAF242" s="10"/>
      <c r="EAG242" s="21"/>
      <c r="EAH242" s="21"/>
      <c r="EAK242" s="21"/>
      <c r="EAL242" s="15"/>
      <c r="EAM242" s="15"/>
      <c r="EAN242" s="15"/>
      <c r="EAO242" s="15"/>
      <c r="EAP242" s="15"/>
      <c r="EAQ242" s="15"/>
      <c r="EAR242" s="15"/>
      <c r="EAS242" s="15"/>
      <c r="EAT242" s="15"/>
      <c r="EAU242" s="15"/>
      <c r="EAV242" s="10"/>
      <c r="EAW242" s="10"/>
      <c r="EAX242" s="21"/>
      <c r="EAY242" s="21"/>
      <c r="EBB242" s="21"/>
      <c r="EBC242" s="15"/>
      <c r="EBD242" s="15"/>
      <c r="EBE242" s="15"/>
      <c r="EBF242" s="15"/>
      <c r="EBG242" s="15"/>
      <c r="EBH242" s="15"/>
      <c r="EBI242" s="15"/>
      <c r="EBJ242" s="15"/>
      <c r="EBK242" s="15"/>
      <c r="EBL242" s="15"/>
      <c r="EBM242" s="10"/>
      <c r="EBN242" s="10"/>
      <c r="EBO242" s="21"/>
      <c r="EBP242" s="21"/>
      <c r="EBS242" s="21"/>
      <c r="EBT242" s="15"/>
      <c r="EBU242" s="15"/>
      <c r="EBV242" s="15"/>
      <c r="EBW242" s="15"/>
      <c r="EBX242" s="15"/>
      <c r="EBY242" s="15"/>
      <c r="EBZ242" s="15"/>
      <c r="ECA242" s="15"/>
      <c r="ECB242" s="15"/>
      <c r="ECC242" s="15"/>
      <c r="ECD242" s="10"/>
      <c r="ECE242" s="10"/>
      <c r="ECF242" s="21"/>
      <c r="ECG242" s="21"/>
      <c r="ECJ242" s="21"/>
      <c r="ECK242" s="15"/>
      <c r="ECL242" s="15"/>
      <c r="ECM242" s="15"/>
      <c r="ECN242" s="15"/>
      <c r="ECO242" s="15"/>
      <c r="ECP242" s="15"/>
      <c r="ECQ242" s="15"/>
      <c r="ECR242" s="15"/>
      <c r="ECS242" s="15"/>
      <c r="ECT242" s="15"/>
      <c r="ECU242" s="10"/>
      <c r="ECV242" s="10"/>
      <c r="ECW242" s="21"/>
      <c r="ECX242" s="21"/>
      <c r="EDA242" s="21"/>
      <c r="EDB242" s="15"/>
      <c r="EDC242" s="15"/>
      <c r="EDD242" s="15"/>
      <c r="EDE242" s="15"/>
      <c r="EDF242" s="15"/>
      <c r="EDG242" s="15"/>
      <c r="EDH242" s="15"/>
      <c r="EDI242" s="15"/>
      <c r="EDJ242" s="15"/>
      <c r="EDK242" s="15"/>
      <c r="EDL242" s="10"/>
      <c r="EDM242" s="10"/>
      <c r="EDN242" s="21"/>
      <c r="EDO242" s="21"/>
      <c r="EDR242" s="21"/>
      <c r="EDS242" s="15"/>
      <c r="EDT242" s="15"/>
      <c r="EDU242" s="15"/>
      <c r="EDV242" s="15"/>
      <c r="EDW242" s="15"/>
      <c r="EDX242" s="15"/>
      <c r="EDY242" s="15"/>
      <c r="EDZ242" s="15"/>
      <c r="EEA242" s="15"/>
      <c r="EEB242" s="15"/>
      <c r="EEC242" s="10"/>
      <c r="EED242" s="10"/>
      <c r="EEE242" s="21"/>
      <c r="EEF242" s="21"/>
      <c r="EEI242" s="21"/>
      <c r="EEJ242" s="15"/>
      <c r="EEK242" s="15"/>
      <c r="EEL242" s="15"/>
      <c r="EEM242" s="15"/>
      <c r="EEN242" s="15"/>
      <c r="EEO242" s="15"/>
      <c r="EEP242" s="15"/>
      <c r="EEQ242" s="15"/>
      <c r="EER242" s="15"/>
      <c r="EES242" s="15"/>
      <c r="EET242" s="10"/>
      <c r="EEU242" s="10"/>
      <c r="EEV242" s="21"/>
      <c r="EEW242" s="21"/>
      <c r="EEZ242" s="21"/>
      <c r="EFA242" s="15"/>
      <c r="EFB242" s="15"/>
      <c r="EFC242" s="15"/>
      <c r="EFD242" s="15"/>
      <c r="EFE242" s="15"/>
      <c r="EFF242" s="15"/>
      <c r="EFG242" s="15"/>
      <c r="EFH242" s="15"/>
      <c r="EFI242" s="15"/>
      <c r="EFJ242" s="15"/>
      <c r="EFK242" s="10"/>
      <c r="EFL242" s="10"/>
      <c r="EFM242" s="21"/>
      <c r="EFN242" s="21"/>
      <c r="EFQ242" s="21"/>
      <c r="EFR242" s="15"/>
      <c r="EFS242" s="15"/>
      <c r="EFT242" s="15"/>
      <c r="EFU242" s="15"/>
      <c r="EFV242" s="15"/>
      <c r="EFW242" s="15"/>
      <c r="EFX242" s="15"/>
      <c r="EFY242" s="15"/>
      <c r="EFZ242" s="15"/>
      <c r="EGA242" s="15"/>
      <c r="EGB242" s="10"/>
      <c r="EGC242" s="10"/>
      <c r="EGD242" s="21"/>
      <c r="EGE242" s="21"/>
      <c r="EGH242" s="21"/>
      <c r="EGI242" s="15"/>
      <c r="EGJ242" s="15"/>
      <c r="EGK242" s="15"/>
      <c r="EGL242" s="15"/>
      <c r="EGM242" s="15"/>
      <c r="EGN242" s="15"/>
      <c r="EGO242" s="15"/>
      <c r="EGP242" s="15"/>
      <c r="EGQ242" s="15"/>
      <c r="EGR242" s="15"/>
      <c r="EGS242" s="10"/>
      <c r="EGT242" s="10"/>
      <c r="EGU242" s="21"/>
      <c r="EGV242" s="21"/>
      <c r="EGY242" s="21"/>
      <c r="EGZ242" s="15"/>
      <c r="EHA242" s="15"/>
      <c r="EHB242" s="15"/>
      <c r="EHC242" s="15"/>
      <c r="EHD242" s="15"/>
      <c r="EHE242" s="15"/>
      <c r="EHF242" s="15"/>
      <c r="EHG242" s="15"/>
      <c r="EHH242" s="15"/>
      <c r="EHI242" s="15"/>
      <c r="EHJ242" s="10"/>
      <c r="EHK242" s="10"/>
      <c r="EHL242" s="21"/>
      <c r="EHM242" s="21"/>
      <c r="EHP242" s="21"/>
      <c r="EHQ242" s="15"/>
      <c r="EHR242" s="15"/>
      <c r="EHS242" s="15"/>
      <c r="EHT242" s="15"/>
      <c r="EHU242" s="15"/>
      <c r="EHV242" s="15"/>
      <c r="EHW242" s="15"/>
      <c r="EHX242" s="15"/>
      <c r="EHY242" s="15"/>
      <c r="EHZ242" s="15"/>
      <c r="EIA242" s="10"/>
      <c r="EIB242" s="10"/>
      <c r="EIC242" s="21"/>
      <c r="EID242" s="21"/>
      <c r="EIG242" s="21"/>
      <c r="EIH242" s="15"/>
      <c r="EII242" s="15"/>
      <c r="EIJ242" s="15"/>
      <c r="EIK242" s="15"/>
      <c r="EIL242" s="15"/>
      <c r="EIM242" s="15"/>
      <c r="EIN242" s="15"/>
      <c r="EIO242" s="15"/>
      <c r="EIP242" s="15"/>
      <c r="EIQ242" s="15"/>
      <c r="EIR242" s="10"/>
      <c r="EIS242" s="10"/>
      <c r="EIT242" s="21"/>
      <c r="EIU242" s="21"/>
      <c r="EIX242" s="21"/>
      <c r="EIY242" s="15"/>
      <c r="EIZ242" s="15"/>
      <c r="EJA242" s="15"/>
      <c r="EJB242" s="15"/>
      <c r="EJC242" s="15"/>
      <c r="EJD242" s="15"/>
      <c r="EJE242" s="15"/>
      <c r="EJF242" s="15"/>
      <c r="EJG242" s="15"/>
      <c r="EJH242" s="15"/>
      <c r="EJI242" s="10"/>
      <c r="EJJ242" s="10"/>
      <c r="EJK242" s="21"/>
      <c r="EJL242" s="21"/>
      <c r="EJO242" s="21"/>
      <c r="EJP242" s="15"/>
      <c r="EJQ242" s="15"/>
      <c r="EJR242" s="15"/>
      <c r="EJS242" s="15"/>
      <c r="EJT242" s="15"/>
      <c r="EJU242" s="15"/>
      <c r="EJV242" s="15"/>
      <c r="EJW242" s="15"/>
      <c r="EJX242" s="15"/>
      <c r="EJY242" s="15"/>
      <c r="EJZ242" s="10"/>
      <c r="EKA242" s="10"/>
      <c r="EKB242" s="21"/>
      <c r="EKC242" s="21"/>
      <c r="EKF242" s="21"/>
      <c r="EKG242" s="15"/>
      <c r="EKH242" s="15"/>
      <c r="EKI242" s="15"/>
      <c r="EKJ242" s="15"/>
      <c r="EKK242" s="15"/>
      <c r="EKL242" s="15"/>
      <c r="EKM242" s="15"/>
      <c r="EKN242" s="15"/>
      <c r="EKO242" s="15"/>
      <c r="EKP242" s="15"/>
      <c r="EKQ242" s="10"/>
      <c r="EKR242" s="10"/>
      <c r="EKS242" s="21"/>
      <c r="EKT242" s="21"/>
      <c r="EKW242" s="21"/>
      <c r="EKX242" s="15"/>
      <c r="EKY242" s="15"/>
      <c r="EKZ242" s="15"/>
      <c r="ELA242" s="15"/>
      <c r="ELB242" s="15"/>
      <c r="ELC242" s="15"/>
      <c r="ELD242" s="15"/>
      <c r="ELE242" s="15"/>
      <c r="ELF242" s="15"/>
      <c r="ELG242" s="15"/>
      <c r="ELH242" s="10"/>
      <c r="ELI242" s="10"/>
      <c r="ELJ242" s="21"/>
      <c r="ELK242" s="21"/>
      <c r="ELN242" s="21"/>
      <c r="ELO242" s="15"/>
      <c r="ELP242" s="15"/>
      <c r="ELQ242" s="15"/>
      <c r="ELR242" s="15"/>
      <c r="ELS242" s="15"/>
      <c r="ELT242" s="15"/>
      <c r="ELU242" s="15"/>
      <c r="ELV242" s="15"/>
      <c r="ELW242" s="15"/>
      <c r="ELX242" s="15"/>
      <c r="ELY242" s="10"/>
      <c r="ELZ242" s="10"/>
      <c r="EMA242" s="21"/>
      <c r="EMB242" s="21"/>
      <c r="EME242" s="21"/>
      <c r="EMF242" s="15"/>
      <c r="EMG242" s="15"/>
      <c r="EMH242" s="15"/>
      <c r="EMI242" s="15"/>
      <c r="EMJ242" s="15"/>
      <c r="EMK242" s="15"/>
      <c r="EML242" s="15"/>
      <c r="EMM242" s="15"/>
      <c r="EMN242" s="15"/>
      <c r="EMO242" s="15"/>
      <c r="EMP242" s="10"/>
      <c r="EMQ242" s="10"/>
      <c r="EMR242" s="21"/>
      <c r="EMS242" s="21"/>
      <c r="EMV242" s="21"/>
      <c r="EMW242" s="15"/>
      <c r="EMX242" s="15"/>
      <c r="EMY242" s="15"/>
      <c r="EMZ242" s="15"/>
      <c r="ENA242" s="15"/>
      <c r="ENB242" s="15"/>
      <c r="ENC242" s="15"/>
      <c r="END242" s="15"/>
      <c r="ENE242" s="15"/>
      <c r="ENF242" s="15"/>
      <c r="ENG242" s="10"/>
      <c r="ENH242" s="10"/>
      <c r="ENI242" s="21"/>
      <c r="ENJ242" s="21"/>
      <c r="ENM242" s="21"/>
      <c r="ENN242" s="15"/>
      <c r="ENO242" s="15"/>
      <c r="ENP242" s="15"/>
      <c r="ENQ242" s="15"/>
      <c r="ENR242" s="15"/>
      <c r="ENS242" s="15"/>
      <c r="ENT242" s="15"/>
      <c r="ENU242" s="15"/>
      <c r="ENV242" s="15"/>
      <c r="ENW242" s="15"/>
      <c r="ENX242" s="10"/>
      <c r="ENY242" s="10"/>
      <c r="ENZ242" s="21"/>
      <c r="EOA242" s="21"/>
      <c r="EOD242" s="21"/>
      <c r="EOE242" s="15"/>
      <c r="EOF242" s="15"/>
      <c r="EOG242" s="15"/>
      <c r="EOH242" s="15"/>
      <c r="EOI242" s="15"/>
      <c r="EOJ242" s="15"/>
      <c r="EOK242" s="15"/>
      <c r="EOL242" s="15"/>
      <c r="EOM242" s="15"/>
      <c r="EON242" s="15"/>
      <c r="EOO242" s="10"/>
      <c r="EOP242" s="10"/>
      <c r="EOQ242" s="21"/>
      <c r="EOR242" s="21"/>
      <c r="EOU242" s="21"/>
      <c r="EOV242" s="15"/>
      <c r="EOW242" s="15"/>
      <c r="EOX242" s="15"/>
      <c r="EOY242" s="15"/>
      <c r="EOZ242" s="15"/>
      <c r="EPA242" s="15"/>
      <c r="EPB242" s="15"/>
      <c r="EPC242" s="15"/>
      <c r="EPD242" s="15"/>
      <c r="EPE242" s="15"/>
      <c r="EPF242" s="10"/>
      <c r="EPG242" s="10"/>
      <c r="EPH242" s="21"/>
      <c r="EPI242" s="21"/>
      <c r="EPL242" s="21"/>
      <c r="EPM242" s="15"/>
      <c r="EPN242" s="15"/>
      <c r="EPO242" s="15"/>
      <c r="EPP242" s="15"/>
      <c r="EPQ242" s="15"/>
      <c r="EPR242" s="15"/>
      <c r="EPS242" s="15"/>
      <c r="EPT242" s="15"/>
      <c r="EPU242" s="15"/>
      <c r="EPV242" s="15"/>
      <c r="EPW242" s="10"/>
      <c r="EPX242" s="10"/>
      <c r="EPY242" s="21"/>
      <c r="EPZ242" s="21"/>
      <c r="EQC242" s="21"/>
      <c r="EQD242" s="15"/>
      <c r="EQE242" s="15"/>
      <c r="EQF242" s="15"/>
      <c r="EQG242" s="15"/>
      <c r="EQH242" s="15"/>
      <c r="EQI242" s="15"/>
      <c r="EQJ242" s="15"/>
      <c r="EQK242" s="15"/>
      <c r="EQL242" s="15"/>
      <c r="EQM242" s="15"/>
      <c r="EQN242" s="10"/>
      <c r="EQO242" s="10"/>
      <c r="EQP242" s="21"/>
      <c r="EQQ242" s="21"/>
      <c r="EQT242" s="21"/>
      <c r="EQU242" s="15"/>
      <c r="EQV242" s="15"/>
      <c r="EQW242" s="15"/>
      <c r="EQX242" s="15"/>
      <c r="EQY242" s="15"/>
      <c r="EQZ242" s="15"/>
      <c r="ERA242" s="15"/>
      <c r="ERB242" s="15"/>
      <c r="ERC242" s="15"/>
      <c r="ERD242" s="15"/>
      <c r="ERE242" s="10"/>
      <c r="ERF242" s="10"/>
      <c r="ERG242" s="21"/>
      <c r="ERH242" s="21"/>
      <c r="ERK242" s="21"/>
      <c r="ERL242" s="15"/>
      <c r="ERM242" s="15"/>
      <c r="ERN242" s="15"/>
      <c r="ERO242" s="15"/>
      <c r="ERP242" s="15"/>
      <c r="ERQ242" s="15"/>
      <c r="ERR242" s="15"/>
      <c r="ERS242" s="15"/>
      <c r="ERT242" s="15"/>
      <c r="ERU242" s="15"/>
      <c r="ERV242" s="10"/>
      <c r="ERW242" s="10"/>
      <c r="ERX242" s="21"/>
      <c r="ERY242" s="21"/>
      <c r="ESB242" s="21"/>
      <c r="ESC242" s="15"/>
      <c r="ESD242" s="15"/>
      <c r="ESE242" s="15"/>
      <c r="ESF242" s="15"/>
      <c r="ESG242" s="15"/>
      <c r="ESH242" s="15"/>
      <c r="ESI242" s="15"/>
      <c r="ESJ242" s="15"/>
      <c r="ESK242" s="15"/>
      <c r="ESL242" s="15"/>
      <c r="ESM242" s="10"/>
      <c r="ESN242" s="10"/>
      <c r="ESO242" s="21"/>
      <c r="ESP242" s="21"/>
      <c r="ESS242" s="21"/>
      <c r="EST242" s="15"/>
      <c r="ESU242" s="15"/>
      <c r="ESV242" s="15"/>
      <c r="ESW242" s="15"/>
      <c r="ESX242" s="15"/>
      <c r="ESY242" s="15"/>
      <c r="ESZ242" s="15"/>
      <c r="ETA242" s="15"/>
      <c r="ETB242" s="15"/>
      <c r="ETC242" s="15"/>
      <c r="ETD242" s="10"/>
      <c r="ETE242" s="10"/>
      <c r="ETF242" s="21"/>
      <c r="ETG242" s="21"/>
      <c r="ETJ242" s="21"/>
      <c r="ETK242" s="15"/>
      <c r="ETL242" s="15"/>
      <c r="ETM242" s="15"/>
      <c r="ETN242" s="15"/>
      <c r="ETO242" s="15"/>
      <c r="ETP242" s="15"/>
      <c r="ETQ242" s="15"/>
      <c r="ETR242" s="15"/>
      <c r="ETS242" s="15"/>
      <c r="ETT242" s="15"/>
      <c r="ETU242" s="10"/>
      <c r="ETV242" s="10"/>
      <c r="ETW242" s="21"/>
      <c r="ETX242" s="21"/>
      <c r="EUA242" s="21"/>
      <c r="EUB242" s="15"/>
      <c r="EUC242" s="15"/>
      <c r="EUD242" s="15"/>
      <c r="EUE242" s="15"/>
      <c r="EUF242" s="15"/>
      <c r="EUG242" s="15"/>
      <c r="EUH242" s="15"/>
      <c r="EUI242" s="15"/>
      <c r="EUJ242" s="15"/>
      <c r="EUK242" s="15"/>
      <c r="EUL242" s="10"/>
      <c r="EUM242" s="10"/>
      <c r="EUN242" s="21"/>
      <c r="EUO242" s="21"/>
      <c r="EUR242" s="21"/>
      <c r="EUS242" s="15"/>
      <c r="EUT242" s="15"/>
      <c r="EUU242" s="15"/>
      <c r="EUV242" s="15"/>
      <c r="EUW242" s="15"/>
      <c r="EUX242" s="15"/>
      <c r="EUY242" s="15"/>
      <c r="EUZ242" s="15"/>
      <c r="EVA242" s="15"/>
      <c r="EVB242" s="15"/>
      <c r="EVC242" s="10"/>
      <c r="EVD242" s="10"/>
      <c r="EVE242" s="21"/>
      <c r="EVF242" s="21"/>
      <c r="EVI242" s="21"/>
      <c r="EVJ242" s="15"/>
      <c r="EVK242" s="15"/>
      <c r="EVL242" s="15"/>
      <c r="EVM242" s="15"/>
      <c r="EVN242" s="15"/>
      <c r="EVO242" s="15"/>
      <c r="EVP242" s="15"/>
      <c r="EVQ242" s="15"/>
      <c r="EVR242" s="15"/>
      <c r="EVS242" s="15"/>
      <c r="EVT242" s="10"/>
      <c r="EVU242" s="10"/>
      <c r="EVV242" s="21"/>
      <c r="EVW242" s="21"/>
      <c r="EVZ242" s="21"/>
      <c r="EWA242" s="15"/>
      <c r="EWB242" s="15"/>
      <c r="EWC242" s="15"/>
      <c r="EWD242" s="15"/>
      <c r="EWE242" s="15"/>
      <c r="EWF242" s="15"/>
      <c r="EWG242" s="15"/>
      <c r="EWH242" s="15"/>
      <c r="EWI242" s="15"/>
      <c r="EWJ242" s="15"/>
      <c r="EWK242" s="10"/>
      <c r="EWL242" s="10"/>
      <c r="EWM242" s="21"/>
      <c r="EWN242" s="21"/>
      <c r="EWQ242" s="21"/>
      <c r="EWR242" s="15"/>
      <c r="EWS242" s="15"/>
      <c r="EWT242" s="15"/>
      <c r="EWU242" s="15"/>
      <c r="EWV242" s="15"/>
      <c r="EWW242" s="15"/>
      <c r="EWX242" s="15"/>
      <c r="EWY242" s="15"/>
      <c r="EWZ242" s="15"/>
      <c r="EXA242" s="15"/>
      <c r="EXB242" s="10"/>
      <c r="EXC242" s="10"/>
      <c r="EXD242" s="21"/>
      <c r="EXE242" s="21"/>
      <c r="EXH242" s="21"/>
      <c r="EXI242" s="15"/>
      <c r="EXJ242" s="15"/>
      <c r="EXK242" s="15"/>
      <c r="EXL242" s="15"/>
      <c r="EXM242" s="15"/>
      <c r="EXN242" s="15"/>
      <c r="EXO242" s="15"/>
      <c r="EXP242" s="15"/>
      <c r="EXQ242" s="15"/>
      <c r="EXR242" s="15"/>
      <c r="EXS242" s="10"/>
      <c r="EXT242" s="10"/>
      <c r="EXU242" s="21"/>
      <c r="EXV242" s="21"/>
      <c r="EXY242" s="21"/>
      <c r="EXZ242" s="15"/>
      <c r="EYA242" s="15"/>
      <c r="EYB242" s="15"/>
      <c r="EYC242" s="15"/>
      <c r="EYD242" s="15"/>
      <c r="EYE242" s="15"/>
      <c r="EYF242" s="15"/>
      <c r="EYG242" s="15"/>
      <c r="EYH242" s="15"/>
      <c r="EYI242" s="15"/>
      <c r="EYJ242" s="10"/>
      <c r="EYK242" s="10"/>
      <c r="EYL242" s="21"/>
      <c r="EYM242" s="21"/>
      <c r="EYP242" s="21"/>
      <c r="EYQ242" s="15"/>
      <c r="EYR242" s="15"/>
      <c r="EYS242" s="15"/>
      <c r="EYT242" s="15"/>
      <c r="EYU242" s="15"/>
      <c r="EYV242" s="15"/>
      <c r="EYW242" s="15"/>
      <c r="EYX242" s="15"/>
      <c r="EYY242" s="15"/>
      <c r="EYZ242" s="15"/>
      <c r="EZA242" s="10"/>
      <c r="EZB242" s="10"/>
      <c r="EZC242" s="21"/>
      <c r="EZD242" s="21"/>
      <c r="EZG242" s="21"/>
      <c r="EZH242" s="15"/>
      <c r="EZI242" s="15"/>
      <c r="EZJ242" s="15"/>
      <c r="EZK242" s="15"/>
      <c r="EZL242" s="15"/>
      <c r="EZM242" s="15"/>
      <c r="EZN242" s="15"/>
      <c r="EZO242" s="15"/>
      <c r="EZP242" s="15"/>
      <c r="EZQ242" s="15"/>
      <c r="EZR242" s="10"/>
      <c r="EZS242" s="10"/>
      <c r="EZT242" s="21"/>
      <c r="EZU242" s="21"/>
      <c r="EZX242" s="21"/>
      <c r="EZY242" s="15"/>
      <c r="EZZ242" s="15"/>
      <c r="FAA242" s="15"/>
      <c r="FAB242" s="15"/>
      <c r="FAC242" s="15"/>
      <c r="FAD242" s="15"/>
      <c r="FAE242" s="15"/>
      <c r="FAF242" s="15"/>
      <c r="FAG242" s="15"/>
      <c r="FAH242" s="15"/>
      <c r="FAI242" s="10"/>
      <c r="FAJ242" s="10"/>
      <c r="FAK242" s="21"/>
      <c r="FAL242" s="21"/>
      <c r="FAO242" s="21"/>
      <c r="FAP242" s="15"/>
      <c r="FAQ242" s="15"/>
      <c r="FAR242" s="15"/>
      <c r="FAS242" s="15"/>
      <c r="FAT242" s="15"/>
      <c r="FAU242" s="15"/>
      <c r="FAV242" s="15"/>
      <c r="FAW242" s="15"/>
      <c r="FAX242" s="15"/>
      <c r="FAY242" s="15"/>
      <c r="FAZ242" s="10"/>
      <c r="FBA242" s="10"/>
      <c r="FBB242" s="21"/>
      <c r="FBC242" s="21"/>
      <c r="FBF242" s="21"/>
      <c r="FBG242" s="15"/>
      <c r="FBH242" s="15"/>
      <c r="FBI242" s="15"/>
      <c r="FBJ242" s="15"/>
      <c r="FBK242" s="15"/>
      <c r="FBL242" s="15"/>
      <c r="FBM242" s="15"/>
      <c r="FBN242" s="15"/>
      <c r="FBO242" s="15"/>
      <c r="FBP242" s="15"/>
      <c r="FBQ242" s="10"/>
      <c r="FBR242" s="10"/>
      <c r="FBS242" s="21"/>
      <c r="FBT242" s="21"/>
      <c r="FBW242" s="21"/>
      <c r="FBX242" s="15"/>
      <c r="FBY242" s="15"/>
      <c r="FBZ242" s="15"/>
      <c r="FCA242" s="15"/>
      <c r="FCB242" s="15"/>
      <c r="FCC242" s="15"/>
      <c r="FCD242" s="15"/>
      <c r="FCE242" s="15"/>
      <c r="FCF242" s="15"/>
      <c r="FCG242" s="15"/>
      <c r="FCH242" s="10"/>
      <c r="FCI242" s="10"/>
      <c r="FCJ242" s="21"/>
      <c r="FCK242" s="21"/>
      <c r="FCN242" s="21"/>
      <c r="FCO242" s="15"/>
      <c r="FCP242" s="15"/>
      <c r="FCQ242" s="15"/>
      <c r="FCR242" s="15"/>
      <c r="FCS242" s="15"/>
      <c r="FCT242" s="15"/>
      <c r="FCU242" s="15"/>
      <c r="FCV242" s="15"/>
      <c r="FCW242" s="15"/>
      <c r="FCX242" s="15"/>
      <c r="FCY242" s="10"/>
      <c r="FCZ242" s="10"/>
      <c r="FDA242" s="21"/>
      <c r="FDB242" s="21"/>
      <c r="FDE242" s="21"/>
      <c r="FDF242" s="15"/>
      <c r="FDG242" s="15"/>
      <c r="FDH242" s="15"/>
      <c r="FDI242" s="15"/>
      <c r="FDJ242" s="15"/>
      <c r="FDK242" s="15"/>
      <c r="FDL242" s="15"/>
      <c r="FDM242" s="15"/>
      <c r="FDN242" s="15"/>
      <c r="FDO242" s="15"/>
      <c r="FDP242" s="10"/>
      <c r="FDQ242" s="10"/>
      <c r="FDR242" s="21"/>
      <c r="FDS242" s="21"/>
      <c r="FDV242" s="21"/>
      <c r="FDW242" s="15"/>
      <c r="FDX242" s="15"/>
      <c r="FDY242" s="15"/>
      <c r="FDZ242" s="15"/>
      <c r="FEA242" s="15"/>
      <c r="FEB242" s="15"/>
      <c r="FEC242" s="15"/>
      <c r="FED242" s="15"/>
      <c r="FEE242" s="15"/>
      <c r="FEF242" s="15"/>
      <c r="FEG242" s="10"/>
      <c r="FEH242" s="10"/>
      <c r="FEI242" s="21"/>
      <c r="FEJ242" s="21"/>
      <c r="FEM242" s="21"/>
      <c r="FEN242" s="15"/>
      <c r="FEO242" s="15"/>
      <c r="FEP242" s="15"/>
      <c r="FEQ242" s="15"/>
      <c r="FER242" s="15"/>
      <c r="FES242" s="15"/>
      <c r="FET242" s="15"/>
      <c r="FEU242" s="15"/>
      <c r="FEV242" s="15"/>
      <c r="FEW242" s="15"/>
      <c r="FEX242" s="10"/>
      <c r="FEY242" s="10"/>
      <c r="FEZ242" s="21"/>
      <c r="FFA242" s="21"/>
      <c r="FFD242" s="21"/>
      <c r="FFE242" s="15"/>
      <c r="FFF242" s="15"/>
      <c r="FFG242" s="15"/>
      <c r="FFH242" s="15"/>
      <c r="FFI242" s="15"/>
      <c r="FFJ242" s="15"/>
      <c r="FFK242" s="15"/>
      <c r="FFL242" s="15"/>
      <c r="FFM242" s="15"/>
      <c r="FFN242" s="15"/>
      <c r="FFO242" s="10"/>
      <c r="FFP242" s="10"/>
      <c r="FFQ242" s="21"/>
      <c r="FFR242" s="21"/>
      <c r="FFU242" s="21"/>
      <c r="FFV242" s="15"/>
      <c r="FFW242" s="15"/>
      <c r="FFX242" s="15"/>
      <c r="FFY242" s="15"/>
      <c r="FFZ242" s="15"/>
      <c r="FGA242" s="15"/>
      <c r="FGB242" s="15"/>
      <c r="FGC242" s="15"/>
      <c r="FGD242" s="15"/>
      <c r="FGE242" s="15"/>
      <c r="FGF242" s="10"/>
      <c r="FGG242" s="10"/>
      <c r="FGH242" s="21"/>
      <c r="FGI242" s="21"/>
      <c r="FGL242" s="21"/>
      <c r="FGM242" s="15"/>
      <c r="FGN242" s="15"/>
      <c r="FGO242" s="15"/>
      <c r="FGP242" s="15"/>
      <c r="FGQ242" s="15"/>
      <c r="FGR242" s="15"/>
      <c r="FGS242" s="15"/>
      <c r="FGT242" s="15"/>
      <c r="FGU242" s="15"/>
      <c r="FGV242" s="15"/>
      <c r="FGW242" s="10"/>
      <c r="FGX242" s="10"/>
      <c r="FGY242" s="21"/>
      <c r="FGZ242" s="21"/>
      <c r="FHC242" s="21"/>
      <c r="FHD242" s="15"/>
      <c r="FHE242" s="15"/>
      <c r="FHF242" s="15"/>
      <c r="FHG242" s="15"/>
      <c r="FHH242" s="15"/>
      <c r="FHI242" s="15"/>
      <c r="FHJ242" s="15"/>
      <c r="FHK242" s="15"/>
      <c r="FHL242" s="15"/>
      <c r="FHM242" s="15"/>
      <c r="FHN242" s="10"/>
      <c r="FHO242" s="10"/>
      <c r="FHP242" s="21"/>
      <c r="FHQ242" s="21"/>
      <c r="FHT242" s="21"/>
      <c r="FHU242" s="15"/>
      <c r="FHV242" s="15"/>
      <c r="FHW242" s="15"/>
      <c r="FHX242" s="15"/>
      <c r="FHY242" s="15"/>
      <c r="FHZ242" s="15"/>
      <c r="FIA242" s="15"/>
      <c r="FIB242" s="15"/>
      <c r="FIC242" s="15"/>
      <c r="FID242" s="15"/>
      <c r="FIE242" s="10"/>
      <c r="FIF242" s="10"/>
      <c r="FIG242" s="21"/>
      <c r="FIH242" s="21"/>
      <c r="FIK242" s="21"/>
      <c r="FIL242" s="15"/>
      <c r="FIM242" s="15"/>
      <c r="FIN242" s="15"/>
      <c r="FIO242" s="15"/>
      <c r="FIP242" s="15"/>
      <c r="FIQ242" s="15"/>
      <c r="FIR242" s="15"/>
      <c r="FIS242" s="15"/>
      <c r="FIT242" s="15"/>
      <c r="FIU242" s="15"/>
      <c r="FIV242" s="10"/>
      <c r="FIW242" s="10"/>
      <c r="FIX242" s="21"/>
      <c r="FIY242" s="21"/>
      <c r="FJB242" s="21"/>
      <c r="FJC242" s="15"/>
      <c r="FJD242" s="15"/>
      <c r="FJE242" s="15"/>
      <c r="FJF242" s="15"/>
      <c r="FJG242" s="15"/>
      <c r="FJH242" s="15"/>
      <c r="FJI242" s="15"/>
      <c r="FJJ242" s="15"/>
      <c r="FJK242" s="15"/>
      <c r="FJL242" s="15"/>
      <c r="FJM242" s="10"/>
      <c r="FJN242" s="10"/>
      <c r="FJO242" s="21"/>
      <c r="FJP242" s="21"/>
      <c r="FJS242" s="21"/>
      <c r="FJT242" s="15"/>
      <c r="FJU242" s="15"/>
      <c r="FJV242" s="15"/>
      <c r="FJW242" s="15"/>
      <c r="FJX242" s="15"/>
      <c r="FJY242" s="15"/>
      <c r="FJZ242" s="15"/>
      <c r="FKA242" s="15"/>
      <c r="FKB242" s="15"/>
      <c r="FKC242" s="15"/>
      <c r="FKD242" s="10"/>
      <c r="FKE242" s="10"/>
      <c r="FKF242" s="21"/>
      <c r="FKG242" s="21"/>
      <c r="FKJ242" s="21"/>
      <c r="FKK242" s="15"/>
      <c r="FKL242" s="15"/>
      <c r="FKM242" s="15"/>
      <c r="FKN242" s="15"/>
      <c r="FKO242" s="15"/>
      <c r="FKP242" s="15"/>
      <c r="FKQ242" s="15"/>
      <c r="FKR242" s="15"/>
      <c r="FKS242" s="15"/>
      <c r="FKT242" s="15"/>
      <c r="FKU242" s="10"/>
      <c r="FKV242" s="10"/>
      <c r="FKW242" s="21"/>
      <c r="FKX242" s="21"/>
      <c r="FLA242" s="21"/>
      <c r="FLB242" s="15"/>
      <c r="FLC242" s="15"/>
      <c r="FLD242" s="15"/>
      <c r="FLE242" s="15"/>
      <c r="FLF242" s="15"/>
      <c r="FLG242" s="15"/>
      <c r="FLH242" s="15"/>
      <c r="FLI242" s="15"/>
      <c r="FLJ242" s="15"/>
      <c r="FLK242" s="15"/>
      <c r="FLL242" s="10"/>
      <c r="FLM242" s="10"/>
      <c r="FLN242" s="21"/>
      <c r="FLO242" s="21"/>
      <c r="FLR242" s="21"/>
      <c r="FLS242" s="15"/>
      <c r="FLT242" s="15"/>
      <c r="FLU242" s="15"/>
      <c r="FLV242" s="15"/>
      <c r="FLW242" s="15"/>
      <c r="FLX242" s="15"/>
      <c r="FLY242" s="15"/>
      <c r="FLZ242" s="15"/>
      <c r="FMA242" s="15"/>
      <c r="FMB242" s="15"/>
      <c r="FMC242" s="10"/>
      <c r="FMD242" s="10"/>
      <c r="FME242" s="21"/>
      <c r="FMF242" s="21"/>
      <c r="FMI242" s="21"/>
      <c r="FMJ242" s="15"/>
      <c r="FMK242" s="15"/>
      <c r="FML242" s="15"/>
      <c r="FMM242" s="15"/>
      <c r="FMN242" s="15"/>
      <c r="FMO242" s="15"/>
      <c r="FMP242" s="15"/>
      <c r="FMQ242" s="15"/>
      <c r="FMR242" s="15"/>
      <c r="FMS242" s="15"/>
      <c r="FMT242" s="10"/>
      <c r="FMU242" s="10"/>
      <c r="FMV242" s="21"/>
      <c r="FMW242" s="21"/>
      <c r="FMZ242" s="21"/>
      <c r="FNA242" s="15"/>
      <c r="FNB242" s="15"/>
      <c r="FNC242" s="15"/>
      <c r="FND242" s="15"/>
      <c r="FNE242" s="15"/>
      <c r="FNF242" s="15"/>
      <c r="FNG242" s="15"/>
      <c r="FNH242" s="15"/>
      <c r="FNI242" s="15"/>
      <c r="FNJ242" s="15"/>
      <c r="FNK242" s="10"/>
      <c r="FNL242" s="10"/>
      <c r="FNM242" s="21"/>
      <c r="FNN242" s="21"/>
      <c r="FNQ242" s="21"/>
      <c r="FNR242" s="15"/>
      <c r="FNS242" s="15"/>
      <c r="FNT242" s="15"/>
      <c r="FNU242" s="15"/>
      <c r="FNV242" s="15"/>
      <c r="FNW242" s="15"/>
      <c r="FNX242" s="15"/>
      <c r="FNY242" s="15"/>
      <c r="FNZ242" s="15"/>
      <c r="FOA242" s="15"/>
      <c r="FOB242" s="10"/>
      <c r="FOC242" s="10"/>
      <c r="FOD242" s="21"/>
      <c r="FOE242" s="21"/>
      <c r="FOH242" s="21"/>
      <c r="FOI242" s="15"/>
      <c r="FOJ242" s="15"/>
      <c r="FOK242" s="15"/>
      <c r="FOL242" s="15"/>
      <c r="FOM242" s="15"/>
      <c r="FON242" s="15"/>
      <c r="FOO242" s="15"/>
      <c r="FOP242" s="15"/>
      <c r="FOQ242" s="15"/>
      <c r="FOR242" s="15"/>
      <c r="FOS242" s="10"/>
      <c r="FOT242" s="10"/>
      <c r="FOU242" s="21"/>
      <c r="FOV242" s="21"/>
      <c r="FOY242" s="21"/>
      <c r="FOZ242" s="15"/>
      <c r="FPA242" s="15"/>
      <c r="FPB242" s="15"/>
      <c r="FPC242" s="15"/>
      <c r="FPD242" s="15"/>
      <c r="FPE242" s="15"/>
      <c r="FPF242" s="15"/>
      <c r="FPG242" s="15"/>
      <c r="FPH242" s="15"/>
      <c r="FPI242" s="15"/>
      <c r="FPJ242" s="10"/>
      <c r="FPK242" s="10"/>
      <c r="FPL242" s="21"/>
      <c r="FPM242" s="21"/>
      <c r="FPP242" s="21"/>
      <c r="FPQ242" s="15"/>
      <c r="FPR242" s="15"/>
      <c r="FPS242" s="15"/>
      <c r="FPT242" s="15"/>
      <c r="FPU242" s="15"/>
      <c r="FPV242" s="15"/>
      <c r="FPW242" s="15"/>
      <c r="FPX242" s="15"/>
      <c r="FPY242" s="15"/>
      <c r="FPZ242" s="15"/>
      <c r="FQA242" s="10"/>
      <c r="FQB242" s="10"/>
      <c r="FQC242" s="21"/>
      <c r="FQD242" s="21"/>
      <c r="FQG242" s="21"/>
      <c r="FQH242" s="15"/>
      <c r="FQI242" s="15"/>
      <c r="FQJ242" s="15"/>
      <c r="FQK242" s="15"/>
      <c r="FQL242" s="15"/>
      <c r="FQM242" s="15"/>
      <c r="FQN242" s="15"/>
      <c r="FQO242" s="15"/>
      <c r="FQP242" s="15"/>
      <c r="FQQ242" s="15"/>
      <c r="FQR242" s="10"/>
      <c r="FQS242" s="10"/>
      <c r="FQT242" s="21"/>
      <c r="FQU242" s="21"/>
      <c r="FQX242" s="21"/>
      <c r="FQY242" s="15"/>
      <c r="FQZ242" s="15"/>
      <c r="FRA242" s="15"/>
      <c r="FRB242" s="15"/>
      <c r="FRC242" s="15"/>
      <c r="FRD242" s="15"/>
      <c r="FRE242" s="15"/>
      <c r="FRF242" s="15"/>
      <c r="FRG242" s="15"/>
      <c r="FRH242" s="15"/>
      <c r="FRI242" s="10"/>
      <c r="FRJ242" s="10"/>
      <c r="FRK242" s="21"/>
      <c r="FRL242" s="21"/>
      <c r="FRO242" s="21"/>
      <c r="FRP242" s="15"/>
      <c r="FRQ242" s="15"/>
      <c r="FRR242" s="15"/>
      <c r="FRS242" s="15"/>
      <c r="FRT242" s="15"/>
      <c r="FRU242" s="15"/>
      <c r="FRV242" s="15"/>
      <c r="FRW242" s="15"/>
      <c r="FRX242" s="15"/>
      <c r="FRY242" s="15"/>
      <c r="FRZ242" s="10"/>
      <c r="FSA242" s="10"/>
      <c r="FSB242" s="21"/>
      <c r="FSC242" s="21"/>
      <c r="FSF242" s="21"/>
      <c r="FSG242" s="15"/>
      <c r="FSH242" s="15"/>
      <c r="FSI242" s="15"/>
      <c r="FSJ242" s="15"/>
      <c r="FSK242" s="15"/>
      <c r="FSL242" s="15"/>
      <c r="FSM242" s="15"/>
      <c r="FSN242" s="15"/>
      <c r="FSO242" s="15"/>
      <c r="FSP242" s="15"/>
      <c r="FSQ242" s="10"/>
      <c r="FSR242" s="10"/>
      <c r="FSS242" s="21"/>
      <c r="FST242" s="21"/>
      <c r="FSW242" s="21"/>
      <c r="FSX242" s="15"/>
      <c r="FSY242" s="15"/>
      <c r="FSZ242" s="15"/>
      <c r="FTA242" s="15"/>
      <c r="FTB242" s="15"/>
      <c r="FTC242" s="15"/>
      <c r="FTD242" s="15"/>
      <c r="FTE242" s="15"/>
      <c r="FTF242" s="15"/>
      <c r="FTG242" s="15"/>
      <c r="FTH242" s="10"/>
      <c r="FTI242" s="10"/>
      <c r="FTJ242" s="21"/>
      <c r="FTK242" s="21"/>
      <c r="FTN242" s="21"/>
      <c r="FTO242" s="15"/>
      <c r="FTP242" s="15"/>
      <c r="FTQ242" s="15"/>
      <c r="FTR242" s="15"/>
      <c r="FTS242" s="15"/>
      <c r="FTT242" s="15"/>
      <c r="FTU242" s="15"/>
      <c r="FTV242" s="15"/>
      <c r="FTW242" s="15"/>
      <c r="FTX242" s="15"/>
      <c r="FTY242" s="10"/>
      <c r="FTZ242" s="10"/>
      <c r="FUA242" s="21"/>
      <c r="FUB242" s="21"/>
      <c r="FUE242" s="21"/>
      <c r="FUF242" s="15"/>
      <c r="FUG242" s="15"/>
      <c r="FUH242" s="15"/>
      <c r="FUI242" s="15"/>
      <c r="FUJ242" s="15"/>
      <c r="FUK242" s="15"/>
      <c r="FUL242" s="15"/>
      <c r="FUM242" s="15"/>
      <c r="FUN242" s="15"/>
      <c r="FUO242" s="15"/>
      <c r="FUP242" s="10"/>
      <c r="FUQ242" s="10"/>
      <c r="FUR242" s="21"/>
      <c r="FUS242" s="21"/>
      <c r="FUV242" s="21"/>
      <c r="FUW242" s="15"/>
      <c r="FUX242" s="15"/>
      <c r="FUY242" s="15"/>
      <c r="FUZ242" s="15"/>
      <c r="FVA242" s="15"/>
      <c r="FVB242" s="15"/>
      <c r="FVC242" s="15"/>
      <c r="FVD242" s="15"/>
      <c r="FVE242" s="15"/>
      <c r="FVF242" s="15"/>
      <c r="FVG242" s="10"/>
      <c r="FVH242" s="10"/>
      <c r="FVI242" s="21"/>
      <c r="FVJ242" s="21"/>
      <c r="FVM242" s="21"/>
      <c r="FVN242" s="15"/>
      <c r="FVO242" s="15"/>
      <c r="FVP242" s="15"/>
      <c r="FVQ242" s="15"/>
      <c r="FVR242" s="15"/>
      <c r="FVS242" s="15"/>
      <c r="FVT242" s="15"/>
      <c r="FVU242" s="15"/>
      <c r="FVV242" s="15"/>
      <c r="FVW242" s="15"/>
      <c r="FVX242" s="10"/>
      <c r="FVY242" s="10"/>
      <c r="FVZ242" s="21"/>
      <c r="FWA242" s="21"/>
      <c r="FWD242" s="21"/>
      <c r="FWE242" s="15"/>
      <c r="FWF242" s="15"/>
      <c r="FWG242" s="15"/>
      <c r="FWH242" s="15"/>
      <c r="FWI242" s="15"/>
      <c r="FWJ242" s="15"/>
      <c r="FWK242" s="15"/>
      <c r="FWL242" s="15"/>
      <c r="FWM242" s="15"/>
      <c r="FWN242" s="15"/>
      <c r="FWO242" s="10"/>
      <c r="FWP242" s="10"/>
      <c r="FWQ242" s="21"/>
      <c r="FWR242" s="21"/>
      <c r="FWU242" s="21"/>
      <c r="FWV242" s="15"/>
      <c r="FWW242" s="15"/>
      <c r="FWX242" s="15"/>
      <c r="FWY242" s="15"/>
      <c r="FWZ242" s="15"/>
      <c r="FXA242" s="15"/>
      <c r="FXB242" s="15"/>
      <c r="FXC242" s="15"/>
      <c r="FXD242" s="15"/>
      <c r="FXE242" s="15"/>
      <c r="FXF242" s="10"/>
      <c r="FXG242" s="10"/>
      <c r="FXH242" s="21"/>
      <c r="FXI242" s="21"/>
      <c r="FXL242" s="21"/>
      <c r="FXM242" s="15"/>
      <c r="FXN242" s="15"/>
      <c r="FXO242" s="15"/>
      <c r="FXP242" s="15"/>
      <c r="FXQ242" s="15"/>
      <c r="FXR242" s="15"/>
      <c r="FXS242" s="15"/>
      <c r="FXT242" s="15"/>
      <c r="FXU242" s="15"/>
      <c r="FXV242" s="15"/>
      <c r="FXW242" s="10"/>
      <c r="FXX242" s="10"/>
      <c r="FXY242" s="21"/>
      <c r="FXZ242" s="21"/>
      <c r="FYC242" s="21"/>
      <c r="FYD242" s="15"/>
      <c r="FYE242" s="15"/>
      <c r="FYF242" s="15"/>
      <c r="FYG242" s="15"/>
      <c r="FYH242" s="15"/>
      <c r="FYI242" s="15"/>
      <c r="FYJ242" s="15"/>
      <c r="FYK242" s="15"/>
      <c r="FYL242" s="15"/>
      <c r="FYM242" s="15"/>
      <c r="FYN242" s="10"/>
      <c r="FYO242" s="10"/>
      <c r="FYP242" s="21"/>
      <c r="FYQ242" s="21"/>
      <c r="FYT242" s="21"/>
      <c r="FYU242" s="15"/>
      <c r="FYV242" s="15"/>
      <c r="FYW242" s="15"/>
      <c r="FYX242" s="15"/>
      <c r="FYY242" s="15"/>
      <c r="FYZ242" s="15"/>
      <c r="FZA242" s="15"/>
      <c r="FZB242" s="15"/>
      <c r="FZC242" s="15"/>
      <c r="FZD242" s="15"/>
      <c r="FZE242" s="10"/>
      <c r="FZF242" s="10"/>
      <c r="FZG242" s="21"/>
      <c r="FZH242" s="21"/>
      <c r="FZK242" s="21"/>
      <c r="FZL242" s="15"/>
      <c r="FZM242" s="15"/>
      <c r="FZN242" s="15"/>
      <c r="FZO242" s="15"/>
      <c r="FZP242" s="15"/>
      <c r="FZQ242" s="15"/>
      <c r="FZR242" s="15"/>
      <c r="FZS242" s="15"/>
      <c r="FZT242" s="15"/>
      <c r="FZU242" s="15"/>
      <c r="FZV242" s="10"/>
      <c r="FZW242" s="10"/>
      <c r="FZX242" s="21"/>
      <c r="FZY242" s="21"/>
      <c r="GAB242" s="21"/>
      <c r="GAC242" s="15"/>
      <c r="GAD242" s="15"/>
      <c r="GAE242" s="15"/>
      <c r="GAF242" s="15"/>
      <c r="GAG242" s="15"/>
      <c r="GAH242" s="15"/>
      <c r="GAI242" s="15"/>
      <c r="GAJ242" s="15"/>
      <c r="GAK242" s="15"/>
      <c r="GAL242" s="15"/>
      <c r="GAM242" s="10"/>
      <c r="GAN242" s="10"/>
      <c r="GAO242" s="21"/>
      <c r="GAP242" s="21"/>
      <c r="GAS242" s="21"/>
      <c r="GAT242" s="15"/>
      <c r="GAU242" s="15"/>
      <c r="GAV242" s="15"/>
      <c r="GAW242" s="15"/>
      <c r="GAX242" s="15"/>
      <c r="GAY242" s="15"/>
      <c r="GAZ242" s="15"/>
      <c r="GBA242" s="15"/>
      <c r="GBB242" s="15"/>
      <c r="GBC242" s="15"/>
      <c r="GBD242" s="10"/>
      <c r="GBE242" s="10"/>
      <c r="GBF242" s="21"/>
      <c r="GBG242" s="21"/>
      <c r="GBJ242" s="21"/>
      <c r="GBK242" s="15"/>
      <c r="GBL242" s="15"/>
      <c r="GBM242" s="15"/>
      <c r="GBN242" s="15"/>
      <c r="GBO242" s="15"/>
      <c r="GBP242" s="15"/>
      <c r="GBQ242" s="15"/>
      <c r="GBR242" s="15"/>
      <c r="GBS242" s="15"/>
      <c r="GBT242" s="15"/>
      <c r="GBU242" s="10"/>
      <c r="GBV242" s="10"/>
      <c r="GBW242" s="21"/>
      <c r="GBX242" s="21"/>
      <c r="GCA242" s="21"/>
      <c r="GCB242" s="15"/>
      <c r="GCC242" s="15"/>
      <c r="GCD242" s="15"/>
      <c r="GCE242" s="15"/>
      <c r="GCF242" s="15"/>
      <c r="GCG242" s="15"/>
      <c r="GCH242" s="15"/>
      <c r="GCI242" s="15"/>
      <c r="GCJ242" s="15"/>
      <c r="GCK242" s="15"/>
      <c r="GCL242" s="10"/>
      <c r="GCM242" s="10"/>
      <c r="GCN242" s="21"/>
      <c r="GCO242" s="21"/>
      <c r="GCR242" s="21"/>
      <c r="GCS242" s="15"/>
      <c r="GCT242" s="15"/>
      <c r="GCU242" s="15"/>
      <c r="GCV242" s="15"/>
      <c r="GCW242" s="15"/>
      <c r="GCX242" s="15"/>
      <c r="GCY242" s="15"/>
      <c r="GCZ242" s="15"/>
      <c r="GDA242" s="15"/>
      <c r="GDB242" s="15"/>
      <c r="GDC242" s="10"/>
      <c r="GDD242" s="10"/>
      <c r="GDE242" s="21"/>
      <c r="GDF242" s="21"/>
      <c r="GDI242" s="21"/>
      <c r="GDJ242" s="15"/>
      <c r="GDK242" s="15"/>
      <c r="GDL242" s="15"/>
      <c r="GDM242" s="15"/>
      <c r="GDN242" s="15"/>
      <c r="GDO242" s="15"/>
      <c r="GDP242" s="15"/>
      <c r="GDQ242" s="15"/>
      <c r="GDR242" s="15"/>
      <c r="GDS242" s="15"/>
      <c r="GDT242" s="10"/>
      <c r="GDU242" s="10"/>
      <c r="GDV242" s="21"/>
      <c r="GDW242" s="21"/>
      <c r="GDZ242" s="21"/>
      <c r="GEA242" s="15"/>
      <c r="GEB242" s="15"/>
      <c r="GEC242" s="15"/>
      <c r="GED242" s="15"/>
      <c r="GEE242" s="15"/>
      <c r="GEF242" s="15"/>
      <c r="GEG242" s="15"/>
      <c r="GEH242" s="15"/>
      <c r="GEI242" s="15"/>
      <c r="GEJ242" s="15"/>
      <c r="GEK242" s="10"/>
      <c r="GEL242" s="10"/>
      <c r="GEM242" s="21"/>
      <c r="GEN242" s="21"/>
      <c r="GEQ242" s="21"/>
      <c r="GER242" s="15"/>
      <c r="GES242" s="15"/>
      <c r="GET242" s="15"/>
      <c r="GEU242" s="15"/>
      <c r="GEV242" s="15"/>
      <c r="GEW242" s="15"/>
      <c r="GEX242" s="15"/>
      <c r="GEY242" s="15"/>
      <c r="GEZ242" s="15"/>
      <c r="GFA242" s="15"/>
      <c r="GFB242" s="10"/>
      <c r="GFC242" s="10"/>
      <c r="GFD242" s="21"/>
      <c r="GFE242" s="21"/>
      <c r="GFH242" s="21"/>
      <c r="GFI242" s="15"/>
      <c r="GFJ242" s="15"/>
      <c r="GFK242" s="15"/>
      <c r="GFL242" s="15"/>
      <c r="GFM242" s="15"/>
      <c r="GFN242" s="15"/>
      <c r="GFO242" s="15"/>
      <c r="GFP242" s="15"/>
      <c r="GFQ242" s="15"/>
      <c r="GFR242" s="15"/>
      <c r="GFS242" s="10"/>
      <c r="GFT242" s="10"/>
      <c r="GFU242" s="21"/>
      <c r="GFV242" s="21"/>
      <c r="GFY242" s="21"/>
      <c r="GFZ242" s="15"/>
      <c r="GGA242" s="15"/>
      <c r="GGB242" s="15"/>
      <c r="GGC242" s="15"/>
      <c r="GGD242" s="15"/>
      <c r="GGE242" s="15"/>
      <c r="GGF242" s="15"/>
      <c r="GGG242" s="15"/>
      <c r="GGH242" s="15"/>
      <c r="GGI242" s="15"/>
      <c r="GGJ242" s="10"/>
      <c r="GGK242" s="10"/>
      <c r="GGL242" s="21"/>
      <c r="GGM242" s="21"/>
      <c r="GGP242" s="21"/>
      <c r="GGQ242" s="15"/>
      <c r="GGR242" s="15"/>
      <c r="GGS242" s="15"/>
      <c r="GGT242" s="15"/>
      <c r="GGU242" s="15"/>
      <c r="GGV242" s="15"/>
      <c r="GGW242" s="15"/>
      <c r="GGX242" s="15"/>
      <c r="GGY242" s="15"/>
      <c r="GGZ242" s="15"/>
      <c r="GHA242" s="10"/>
      <c r="GHB242" s="10"/>
      <c r="GHC242" s="21"/>
      <c r="GHD242" s="21"/>
      <c r="GHG242" s="21"/>
      <c r="GHH242" s="15"/>
      <c r="GHI242" s="15"/>
      <c r="GHJ242" s="15"/>
      <c r="GHK242" s="15"/>
      <c r="GHL242" s="15"/>
      <c r="GHM242" s="15"/>
      <c r="GHN242" s="15"/>
      <c r="GHO242" s="15"/>
      <c r="GHP242" s="15"/>
      <c r="GHQ242" s="15"/>
      <c r="GHR242" s="10"/>
      <c r="GHS242" s="10"/>
      <c r="GHT242" s="21"/>
      <c r="GHU242" s="21"/>
      <c r="GHX242" s="21"/>
      <c r="GHY242" s="15"/>
      <c r="GHZ242" s="15"/>
      <c r="GIA242" s="15"/>
      <c r="GIB242" s="15"/>
      <c r="GIC242" s="15"/>
      <c r="GID242" s="15"/>
      <c r="GIE242" s="15"/>
      <c r="GIF242" s="15"/>
      <c r="GIG242" s="15"/>
      <c r="GIH242" s="15"/>
      <c r="GII242" s="10"/>
      <c r="GIJ242" s="10"/>
      <c r="GIK242" s="21"/>
      <c r="GIL242" s="21"/>
      <c r="GIO242" s="21"/>
      <c r="GIP242" s="15"/>
      <c r="GIQ242" s="15"/>
      <c r="GIR242" s="15"/>
      <c r="GIS242" s="15"/>
      <c r="GIT242" s="15"/>
      <c r="GIU242" s="15"/>
      <c r="GIV242" s="15"/>
      <c r="GIW242" s="15"/>
      <c r="GIX242" s="15"/>
      <c r="GIY242" s="15"/>
      <c r="GIZ242" s="10"/>
      <c r="GJA242" s="10"/>
      <c r="GJB242" s="21"/>
      <c r="GJC242" s="21"/>
      <c r="GJF242" s="21"/>
      <c r="GJG242" s="15"/>
      <c r="GJH242" s="15"/>
      <c r="GJI242" s="15"/>
      <c r="GJJ242" s="15"/>
      <c r="GJK242" s="15"/>
      <c r="GJL242" s="15"/>
      <c r="GJM242" s="15"/>
      <c r="GJN242" s="15"/>
      <c r="GJO242" s="15"/>
      <c r="GJP242" s="15"/>
      <c r="GJQ242" s="10"/>
      <c r="GJR242" s="10"/>
      <c r="GJS242" s="21"/>
      <c r="GJT242" s="21"/>
      <c r="GJW242" s="21"/>
      <c r="GJX242" s="15"/>
      <c r="GJY242" s="15"/>
      <c r="GJZ242" s="15"/>
      <c r="GKA242" s="15"/>
      <c r="GKB242" s="15"/>
      <c r="GKC242" s="15"/>
      <c r="GKD242" s="15"/>
      <c r="GKE242" s="15"/>
      <c r="GKF242" s="15"/>
      <c r="GKG242" s="15"/>
      <c r="GKH242" s="10"/>
      <c r="GKI242" s="10"/>
      <c r="GKJ242" s="21"/>
      <c r="GKK242" s="21"/>
      <c r="GKN242" s="21"/>
      <c r="GKO242" s="15"/>
      <c r="GKP242" s="15"/>
      <c r="GKQ242" s="15"/>
      <c r="GKR242" s="15"/>
      <c r="GKS242" s="15"/>
      <c r="GKT242" s="15"/>
      <c r="GKU242" s="15"/>
      <c r="GKV242" s="15"/>
      <c r="GKW242" s="15"/>
      <c r="GKX242" s="15"/>
      <c r="GKY242" s="10"/>
      <c r="GKZ242" s="10"/>
      <c r="GLA242" s="21"/>
      <c r="GLB242" s="21"/>
      <c r="GLE242" s="21"/>
      <c r="GLF242" s="15"/>
      <c r="GLG242" s="15"/>
      <c r="GLH242" s="15"/>
      <c r="GLI242" s="15"/>
      <c r="GLJ242" s="15"/>
      <c r="GLK242" s="15"/>
      <c r="GLL242" s="15"/>
      <c r="GLM242" s="15"/>
      <c r="GLN242" s="15"/>
      <c r="GLO242" s="15"/>
      <c r="GLP242" s="10"/>
      <c r="GLQ242" s="10"/>
      <c r="GLR242" s="21"/>
      <c r="GLS242" s="21"/>
      <c r="GLV242" s="21"/>
      <c r="GLW242" s="15"/>
      <c r="GLX242" s="15"/>
      <c r="GLY242" s="15"/>
      <c r="GLZ242" s="15"/>
      <c r="GMA242" s="15"/>
      <c r="GMB242" s="15"/>
      <c r="GMC242" s="15"/>
      <c r="GMD242" s="15"/>
      <c r="GME242" s="15"/>
      <c r="GMF242" s="15"/>
      <c r="GMG242" s="10"/>
      <c r="GMH242" s="10"/>
      <c r="GMI242" s="21"/>
      <c r="GMJ242" s="21"/>
      <c r="GMM242" s="21"/>
      <c r="GMN242" s="15"/>
      <c r="GMO242" s="15"/>
      <c r="GMP242" s="15"/>
      <c r="GMQ242" s="15"/>
      <c r="GMR242" s="15"/>
      <c r="GMS242" s="15"/>
      <c r="GMT242" s="15"/>
      <c r="GMU242" s="15"/>
      <c r="GMV242" s="15"/>
      <c r="GMW242" s="15"/>
      <c r="GMX242" s="10"/>
      <c r="GMY242" s="10"/>
      <c r="GMZ242" s="21"/>
      <c r="GNA242" s="21"/>
      <c r="GND242" s="21"/>
      <c r="GNE242" s="15"/>
      <c r="GNF242" s="15"/>
      <c r="GNG242" s="15"/>
      <c r="GNH242" s="15"/>
      <c r="GNI242" s="15"/>
      <c r="GNJ242" s="15"/>
      <c r="GNK242" s="15"/>
      <c r="GNL242" s="15"/>
      <c r="GNM242" s="15"/>
      <c r="GNN242" s="15"/>
      <c r="GNO242" s="10"/>
      <c r="GNP242" s="10"/>
      <c r="GNQ242" s="21"/>
      <c r="GNR242" s="21"/>
      <c r="GNU242" s="21"/>
      <c r="GNV242" s="15"/>
      <c r="GNW242" s="15"/>
      <c r="GNX242" s="15"/>
      <c r="GNY242" s="15"/>
      <c r="GNZ242" s="15"/>
      <c r="GOA242" s="15"/>
      <c r="GOB242" s="15"/>
      <c r="GOC242" s="15"/>
      <c r="GOD242" s="15"/>
      <c r="GOE242" s="15"/>
      <c r="GOF242" s="10"/>
      <c r="GOG242" s="10"/>
      <c r="GOH242" s="21"/>
      <c r="GOI242" s="21"/>
      <c r="GOL242" s="21"/>
      <c r="GOM242" s="15"/>
      <c r="GON242" s="15"/>
      <c r="GOO242" s="15"/>
      <c r="GOP242" s="15"/>
      <c r="GOQ242" s="15"/>
      <c r="GOR242" s="15"/>
      <c r="GOS242" s="15"/>
      <c r="GOT242" s="15"/>
      <c r="GOU242" s="15"/>
      <c r="GOV242" s="15"/>
      <c r="GOW242" s="10"/>
      <c r="GOX242" s="10"/>
      <c r="GOY242" s="21"/>
      <c r="GOZ242" s="21"/>
      <c r="GPC242" s="21"/>
      <c r="GPD242" s="15"/>
      <c r="GPE242" s="15"/>
      <c r="GPF242" s="15"/>
      <c r="GPG242" s="15"/>
      <c r="GPH242" s="15"/>
      <c r="GPI242" s="15"/>
      <c r="GPJ242" s="15"/>
      <c r="GPK242" s="15"/>
      <c r="GPL242" s="15"/>
      <c r="GPM242" s="15"/>
      <c r="GPN242" s="10"/>
      <c r="GPO242" s="10"/>
      <c r="GPP242" s="21"/>
      <c r="GPQ242" s="21"/>
      <c r="GPT242" s="21"/>
      <c r="GPU242" s="15"/>
      <c r="GPV242" s="15"/>
      <c r="GPW242" s="15"/>
      <c r="GPX242" s="15"/>
      <c r="GPY242" s="15"/>
      <c r="GPZ242" s="15"/>
      <c r="GQA242" s="15"/>
      <c r="GQB242" s="15"/>
      <c r="GQC242" s="15"/>
      <c r="GQD242" s="15"/>
      <c r="GQE242" s="10"/>
      <c r="GQF242" s="10"/>
      <c r="GQG242" s="21"/>
      <c r="GQH242" s="21"/>
      <c r="GQK242" s="21"/>
      <c r="GQL242" s="15"/>
      <c r="GQM242" s="15"/>
      <c r="GQN242" s="15"/>
      <c r="GQO242" s="15"/>
      <c r="GQP242" s="15"/>
      <c r="GQQ242" s="15"/>
      <c r="GQR242" s="15"/>
      <c r="GQS242" s="15"/>
      <c r="GQT242" s="15"/>
      <c r="GQU242" s="15"/>
      <c r="GQV242" s="10"/>
      <c r="GQW242" s="10"/>
      <c r="GQX242" s="21"/>
      <c r="GQY242" s="21"/>
      <c r="GRB242" s="21"/>
      <c r="GRC242" s="15"/>
      <c r="GRD242" s="15"/>
      <c r="GRE242" s="15"/>
      <c r="GRF242" s="15"/>
      <c r="GRG242" s="15"/>
      <c r="GRH242" s="15"/>
      <c r="GRI242" s="15"/>
      <c r="GRJ242" s="15"/>
      <c r="GRK242" s="15"/>
      <c r="GRL242" s="15"/>
      <c r="GRM242" s="10"/>
      <c r="GRN242" s="10"/>
      <c r="GRO242" s="21"/>
      <c r="GRP242" s="21"/>
      <c r="GRS242" s="21"/>
      <c r="GRT242" s="15"/>
      <c r="GRU242" s="15"/>
      <c r="GRV242" s="15"/>
      <c r="GRW242" s="15"/>
      <c r="GRX242" s="15"/>
      <c r="GRY242" s="15"/>
      <c r="GRZ242" s="15"/>
      <c r="GSA242" s="15"/>
      <c r="GSB242" s="15"/>
      <c r="GSC242" s="15"/>
      <c r="GSD242" s="10"/>
      <c r="GSE242" s="10"/>
      <c r="GSF242" s="21"/>
      <c r="GSG242" s="21"/>
      <c r="GSJ242" s="21"/>
      <c r="GSK242" s="15"/>
      <c r="GSL242" s="15"/>
      <c r="GSM242" s="15"/>
      <c r="GSN242" s="15"/>
      <c r="GSO242" s="15"/>
      <c r="GSP242" s="15"/>
      <c r="GSQ242" s="15"/>
      <c r="GSR242" s="15"/>
      <c r="GSS242" s="15"/>
      <c r="GST242" s="15"/>
      <c r="GSU242" s="10"/>
      <c r="GSV242" s="10"/>
      <c r="GSW242" s="21"/>
      <c r="GSX242" s="21"/>
      <c r="GTA242" s="21"/>
      <c r="GTB242" s="15"/>
      <c r="GTC242" s="15"/>
      <c r="GTD242" s="15"/>
      <c r="GTE242" s="15"/>
      <c r="GTF242" s="15"/>
      <c r="GTG242" s="15"/>
      <c r="GTH242" s="15"/>
      <c r="GTI242" s="15"/>
      <c r="GTJ242" s="15"/>
      <c r="GTK242" s="15"/>
      <c r="GTL242" s="10"/>
      <c r="GTM242" s="10"/>
      <c r="GTN242" s="21"/>
      <c r="GTO242" s="21"/>
      <c r="GTR242" s="21"/>
      <c r="GTS242" s="15"/>
      <c r="GTT242" s="15"/>
      <c r="GTU242" s="15"/>
      <c r="GTV242" s="15"/>
      <c r="GTW242" s="15"/>
      <c r="GTX242" s="15"/>
      <c r="GTY242" s="15"/>
      <c r="GTZ242" s="15"/>
      <c r="GUA242" s="15"/>
      <c r="GUB242" s="15"/>
      <c r="GUC242" s="10"/>
      <c r="GUD242" s="10"/>
      <c r="GUE242" s="21"/>
      <c r="GUF242" s="21"/>
      <c r="GUI242" s="21"/>
      <c r="GUJ242" s="15"/>
      <c r="GUK242" s="15"/>
      <c r="GUL242" s="15"/>
      <c r="GUM242" s="15"/>
      <c r="GUN242" s="15"/>
      <c r="GUO242" s="15"/>
      <c r="GUP242" s="15"/>
      <c r="GUQ242" s="15"/>
      <c r="GUR242" s="15"/>
      <c r="GUS242" s="15"/>
      <c r="GUT242" s="10"/>
      <c r="GUU242" s="10"/>
      <c r="GUV242" s="21"/>
      <c r="GUW242" s="21"/>
      <c r="GUZ242" s="21"/>
      <c r="GVA242" s="15"/>
      <c r="GVB242" s="15"/>
      <c r="GVC242" s="15"/>
      <c r="GVD242" s="15"/>
      <c r="GVE242" s="15"/>
      <c r="GVF242" s="15"/>
      <c r="GVG242" s="15"/>
      <c r="GVH242" s="15"/>
      <c r="GVI242" s="15"/>
      <c r="GVJ242" s="15"/>
      <c r="GVK242" s="10"/>
      <c r="GVL242" s="10"/>
      <c r="GVM242" s="21"/>
      <c r="GVN242" s="21"/>
      <c r="GVQ242" s="21"/>
      <c r="GVR242" s="15"/>
      <c r="GVS242" s="15"/>
      <c r="GVT242" s="15"/>
      <c r="GVU242" s="15"/>
      <c r="GVV242" s="15"/>
      <c r="GVW242" s="15"/>
      <c r="GVX242" s="15"/>
      <c r="GVY242" s="15"/>
      <c r="GVZ242" s="15"/>
      <c r="GWA242" s="15"/>
      <c r="GWB242" s="10"/>
      <c r="GWC242" s="10"/>
      <c r="GWD242" s="21"/>
      <c r="GWE242" s="21"/>
      <c r="GWH242" s="21"/>
      <c r="GWI242" s="15"/>
      <c r="GWJ242" s="15"/>
      <c r="GWK242" s="15"/>
      <c r="GWL242" s="15"/>
      <c r="GWM242" s="15"/>
      <c r="GWN242" s="15"/>
      <c r="GWO242" s="15"/>
      <c r="GWP242" s="15"/>
      <c r="GWQ242" s="15"/>
      <c r="GWR242" s="15"/>
      <c r="GWS242" s="10"/>
      <c r="GWT242" s="10"/>
      <c r="GWU242" s="21"/>
      <c r="GWV242" s="21"/>
      <c r="GWY242" s="21"/>
      <c r="GWZ242" s="15"/>
      <c r="GXA242" s="15"/>
      <c r="GXB242" s="15"/>
      <c r="GXC242" s="15"/>
      <c r="GXD242" s="15"/>
      <c r="GXE242" s="15"/>
      <c r="GXF242" s="15"/>
      <c r="GXG242" s="15"/>
      <c r="GXH242" s="15"/>
      <c r="GXI242" s="15"/>
      <c r="GXJ242" s="10"/>
      <c r="GXK242" s="10"/>
      <c r="GXL242" s="21"/>
      <c r="GXM242" s="21"/>
      <c r="GXP242" s="21"/>
      <c r="GXQ242" s="15"/>
      <c r="GXR242" s="15"/>
      <c r="GXS242" s="15"/>
      <c r="GXT242" s="15"/>
      <c r="GXU242" s="15"/>
      <c r="GXV242" s="15"/>
      <c r="GXW242" s="15"/>
      <c r="GXX242" s="15"/>
      <c r="GXY242" s="15"/>
      <c r="GXZ242" s="15"/>
      <c r="GYA242" s="10"/>
      <c r="GYB242" s="10"/>
      <c r="GYC242" s="21"/>
      <c r="GYD242" s="21"/>
      <c r="GYG242" s="21"/>
      <c r="GYH242" s="15"/>
      <c r="GYI242" s="15"/>
      <c r="GYJ242" s="15"/>
      <c r="GYK242" s="15"/>
      <c r="GYL242" s="15"/>
      <c r="GYM242" s="15"/>
      <c r="GYN242" s="15"/>
      <c r="GYO242" s="15"/>
      <c r="GYP242" s="15"/>
      <c r="GYQ242" s="15"/>
      <c r="GYR242" s="10"/>
      <c r="GYS242" s="10"/>
      <c r="GYT242" s="21"/>
      <c r="GYU242" s="21"/>
      <c r="GYX242" s="21"/>
      <c r="GYY242" s="15"/>
      <c r="GYZ242" s="15"/>
      <c r="GZA242" s="15"/>
      <c r="GZB242" s="15"/>
      <c r="GZC242" s="15"/>
      <c r="GZD242" s="15"/>
      <c r="GZE242" s="15"/>
      <c r="GZF242" s="15"/>
      <c r="GZG242" s="15"/>
      <c r="GZH242" s="15"/>
      <c r="GZI242" s="10"/>
      <c r="GZJ242" s="10"/>
      <c r="GZK242" s="21"/>
      <c r="GZL242" s="21"/>
      <c r="GZO242" s="21"/>
      <c r="GZP242" s="15"/>
      <c r="GZQ242" s="15"/>
      <c r="GZR242" s="15"/>
      <c r="GZS242" s="15"/>
      <c r="GZT242" s="15"/>
      <c r="GZU242" s="15"/>
      <c r="GZV242" s="15"/>
      <c r="GZW242" s="15"/>
      <c r="GZX242" s="15"/>
      <c r="GZY242" s="15"/>
      <c r="GZZ242" s="10"/>
      <c r="HAA242" s="10"/>
      <c r="HAB242" s="21"/>
      <c r="HAC242" s="21"/>
      <c r="HAF242" s="21"/>
      <c r="HAG242" s="15"/>
      <c r="HAH242" s="15"/>
      <c r="HAI242" s="15"/>
      <c r="HAJ242" s="15"/>
      <c r="HAK242" s="15"/>
      <c r="HAL242" s="15"/>
      <c r="HAM242" s="15"/>
      <c r="HAN242" s="15"/>
      <c r="HAO242" s="15"/>
      <c r="HAP242" s="15"/>
      <c r="HAQ242" s="10"/>
      <c r="HAR242" s="10"/>
      <c r="HAS242" s="21"/>
      <c r="HAT242" s="21"/>
      <c r="HAW242" s="21"/>
      <c r="HAX242" s="15"/>
      <c r="HAY242" s="15"/>
      <c r="HAZ242" s="15"/>
      <c r="HBA242" s="15"/>
      <c r="HBB242" s="15"/>
      <c r="HBC242" s="15"/>
      <c r="HBD242" s="15"/>
      <c r="HBE242" s="15"/>
      <c r="HBF242" s="15"/>
      <c r="HBG242" s="15"/>
      <c r="HBH242" s="10"/>
      <c r="HBI242" s="10"/>
      <c r="HBJ242" s="21"/>
      <c r="HBK242" s="21"/>
      <c r="HBN242" s="21"/>
      <c r="HBO242" s="15"/>
      <c r="HBP242" s="15"/>
      <c r="HBQ242" s="15"/>
      <c r="HBR242" s="15"/>
      <c r="HBS242" s="15"/>
      <c r="HBT242" s="15"/>
      <c r="HBU242" s="15"/>
      <c r="HBV242" s="15"/>
      <c r="HBW242" s="15"/>
      <c r="HBX242" s="15"/>
      <c r="HBY242" s="10"/>
      <c r="HBZ242" s="10"/>
      <c r="HCA242" s="21"/>
      <c r="HCB242" s="21"/>
      <c r="HCE242" s="21"/>
      <c r="HCF242" s="15"/>
      <c r="HCG242" s="15"/>
      <c r="HCH242" s="15"/>
      <c r="HCI242" s="15"/>
      <c r="HCJ242" s="15"/>
      <c r="HCK242" s="15"/>
      <c r="HCL242" s="15"/>
      <c r="HCM242" s="15"/>
      <c r="HCN242" s="15"/>
      <c r="HCO242" s="15"/>
      <c r="HCP242" s="10"/>
      <c r="HCQ242" s="10"/>
      <c r="HCR242" s="21"/>
      <c r="HCS242" s="21"/>
      <c r="HCV242" s="21"/>
      <c r="HCW242" s="15"/>
      <c r="HCX242" s="15"/>
      <c r="HCY242" s="15"/>
      <c r="HCZ242" s="15"/>
      <c r="HDA242" s="15"/>
      <c r="HDB242" s="15"/>
      <c r="HDC242" s="15"/>
      <c r="HDD242" s="15"/>
      <c r="HDE242" s="15"/>
      <c r="HDF242" s="15"/>
      <c r="HDG242" s="10"/>
      <c r="HDH242" s="10"/>
      <c r="HDI242" s="21"/>
      <c r="HDJ242" s="21"/>
      <c r="HDM242" s="21"/>
      <c r="HDN242" s="15"/>
      <c r="HDO242" s="15"/>
      <c r="HDP242" s="15"/>
      <c r="HDQ242" s="15"/>
      <c r="HDR242" s="15"/>
      <c r="HDS242" s="15"/>
      <c r="HDT242" s="15"/>
      <c r="HDU242" s="15"/>
      <c r="HDV242" s="15"/>
      <c r="HDW242" s="15"/>
      <c r="HDX242" s="10"/>
      <c r="HDY242" s="10"/>
      <c r="HDZ242" s="21"/>
      <c r="HEA242" s="21"/>
      <c r="HED242" s="21"/>
      <c r="HEE242" s="15"/>
      <c r="HEF242" s="15"/>
      <c r="HEG242" s="15"/>
      <c r="HEH242" s="15"/>
      <c r="HEI242" s="15"/>
      <c r="HEJ242" s="15"/>
      <c r="HEK242" s="15"/>
      <c r="HEL242" s="15"/>
      <c r="HEM242" s="15"/>
      <c r="HEN242" s="15"/>
      <c r="HEO242" s="10"/>
      <c r="HEP242" s="10"/>
      <c r="HEQ242" s="21"/>
      <c r="HER242" s="21"/>
      <c r="HEU242" s="21"/>
      <c r="HEV242" s="15"/>
      <c r="HEW242" s="15"/>
      <c r="HEX242" s="15"/>
      <c r="HEY242" s="15"/>
      <c r="HEZ242" s="15"/>
      <c r="HFA242" s="15"/>
      <c r="HFB242" s="15"/>
      <c r="HFC242" s="15"/>
      <c r="HFD242" s="15"/>
      <c r="HFE242" s="15"/>
      <c r="HFF242" s="10"/>
      <c r="HFG242" s="10"/>
      <c r="HFH242" s="21"/>
      <c r="HFI242" s="21"/>
      <c r="HFL242" s="21"/>
      <c r="HFM242" s="15"/>
      <c r="HFN242" s="15"/>
      <c r="HFO242" s="15"/>
      <c r="HFP242" s="15"/>
      <c r="HFQ242" s="15"/>
      <c r="HFR242" s="15"/>
      <c r="HFS242" s="15"/>
      <c r="HFT242" s="15"/>
      <c r="HFU242" s="15"/>
      <c r="HFV242" s="15"/>
      <c r="HFW242" s="10"/>
      <c r="HFX242" s="10"/>
      <c r="HFY242" s="21"/>
      <c r="HFZ242" s="21"/>
      <c r="HGC242" s="21"/>
      <c r="HGD242" s="15"/>
      <c r="HGE242" s="15"/>
      <c r="HGF242" s="15"/>
      <c r="HGG242" s="15"/>
      <c r="HGH242" s="15"/>
      <c r="HGI242" s="15"/>
      <c r="HGJ242" s="15"/>
      <c r="HGK242" s="15"/>
      <c r="HGL242" s="15"/>
      <c r="HGM242" s="15"/>
      <c r="HGN242" s="10"/>
      <c r="HGO242" s="10"/>
      <c r="HGP242" s="21"/>
      <c r="HGQ242" s="21"/>
      <c r="HGT242" s="21"/>
      <c r="HGU242" s="15"/>
      <c r="HGV242" s="15"/>
      <c r="HGW242" s="15"/>
      <c r="HGX242" s="15"/>
      <c r="HGY242" s="15"/>
      <c r="HGZ242" s="15"/>
      <c r="HHA242" s="15"/>
      <c r="HHB242" s="15"/>
      <c r="HHC242" s="15"/>
      <c r="HHD242" s="15"/>
      <c r="HHE242" s="10"/>
      <c r="HHF242" s="10"/>
      <c r="HHG242" s="21"/>
      <c r="HHH242" s="21"/>
      <c r="HHK242" s="21"/>
      <c r="HHL242" s="15"/>
      <c r="HHM242" s="15"/>
      <c r="HHN242" s="15"/>
      <c r="HHO242" s="15"/>
      <c r="HHP242" s="15"/>
      <c r="HHQ242" s="15"/>
      <c r="HHR242" s="15"/>
      <c r="HHS242" s="15"/>
      <c r="HHT242" s="15"/>
      <c r="HHU242" s="15"/>
      <c r="HHV242" s="10"/>
      <c r="HHW242" s="10"/>
      <c r="HHX242" s="21"/>
      <c r="HHY242" s="21"/>
      <c r="HIB242" s="21"/>
      <c r="HIC242" s="15"/>
      <c r="HID242" s="15"/>
      <c r="HIE242" s="15"/>
      <c r="HIF242" s="15"/>
      <c r="HIG242" s="15"/>
      <c r="HIH242" s="15"/>
      <c r="HII242" s="15"/>
      <c r="HIJ242" s="15"/>
      <c r="HIK242" s="15"/>
      <c r="HIL242" s="15"/>
      <c r="HIM242" s="10"/>
      <c r="HIN242" s="10"/>
      <c r="HIO242" s="21"/>
      <c r="HIP242" s="21"/>
      <c r="HIS242" s="21"/>
      <c r="HIT242" s="15"/>
      <c r="HIU242" s="15"/>
      <c r="HIV242" s="15"/>
      <c r="HIW242" s="15"/>
      <c r="HIX242" s="15"/>
      <c r="HIY242" s="15"/>
      <c r="HIZ242" s="15"/>
      <c r="HJA242" s="15"/>
      <c r="HJB242" s="15"/>
      <c r="HJC242" s="15"/>
      <c r="HJD242" s="10"/>
      <c r="HJE242" s="10"/>
      <c r="HJF242" s="21"/>
      <c r="HJG242" s="21"/>
      <c r="HJJ242" s="21"/>
      <c r="HJK242" s="15"/>
      <c r="HJL242" s="15"/>
      <c r="HJM242" s="15"/>
      <c r="HJN242" s="15"/>
      <c r="HJO242" s="15"/>
      <c r="HJP242" s="15"/>
      <c r="HJQ242" s="15"/>
      <c r="HJR242" s="15"/>
      <c r="HJS242" s="15"/>
      <c r="HJT242" s="15"/>
      <c r="HJU242" s="10"/>
      <c r="HJV242" s="10"/>
      <c r="HJW242" s="21"/>
      <c r="HJX242" s="21"/>
      <c r="HKA242" s="21"/>
      <c r="HKB242" s="15"/>
      <c r="HKC242" s="15"/>
      <c r="HKD242" s="15"/>
      <c r="HKE242" s="15"/>
      <c r="HKF242" s="15"/>
      <c r="HKG242" s="15"/>
      <c r="HKH242" s="15"/>
      <c r="HKI242" s="15"/>
      <c r="HKJ242" s="15"/>
      <c r="HKK242" s="15"/>
      <c r="HKL242" s="10"/>
      <c r="HKM242" s="10"/>
      <c r="HKN242" s="21"/>
      <c r="HKO242" s="21"/>
      <c r="HKR242" s="21"/>
      <c r="HKS242" s="15"/>
      <c r="HKT242" s="15"/>
      <c r="HKU242" s="15"/>
      <c r="HKV242" s="15"/>
      <c r="HKW242" s="15"/>
      <c r="HKX242" s="15"/>
      <c r="HKY242" s="15"/>
      <c r="HKZ242" s="15"/>
      <c r="HLA242" s="15"/>
      <c r="HLB242" s="15"/>
      <c r="HLC242" s="10"/>
      <c r="HLD242" s="10"/>
      <c r="HLE242" s="21"/>
      <c r="HLF242" s="21"/>
      <c r="HLI242" s="21"/>
      <c r="HLJ242" s="15"/>
      <c r="HLK242" s="15"/>
      <c r="HLL242" s="15"/>
      <c r="HLM242" s="15"/>
      <c r="HLN242" s="15"/>
      <c r="HLO242" s="15"/>
      <c r="HLP242" s="15"/>
      <c r="HLQ242" s="15"/>
      <c r="HLR242" s="15"/>
      <c r="HLS242" s="15"/>
      <c r="HLT242" s="10"/>
      <c r="HLU242" s="10"/>
      <c r="HLV242" s="21"/>
      <c r="HLW242" s="21"/>
      <c r="HLZ242" s="21"/>
      <c r="HMA242" s="15"/>
      <c r="HMB242" s="15"/>
      <c r="HMC242" s="15"/>
      <c r="HMD242" s="15"/>
      <c r="HME242" s="15"/>
      <c r="HMF242" s="15"/>
      <c r="HMG242" s="15"/>
      <c r="HMH242" s="15"/>
      <c r="HMI242" s="15"/>
      <c r="HMJ242" s="15"/>
      <c r="HMK242" s="10"/>
      <c r="HML242" s="10"/>
      <c r="HMM242" s="21"/>
      <c r="HMN242" s="21"/>
      <c r="HMQ242" s="21"/>
      <c r="HMR242" s="15"/>
      <c r="HMS242" s="15"/>
      <c r="HMT242" s="15"/>
      <c r="HMU242" s="15"/>
      <c r="HMV242" s="15"/>
      <c r="HMW242" s="15"/>
      <c r="HMX242" s="15"/>
      <c r="HMY242" s="15"/>
      <c r="HMZ242" s="15"/>
      <c r="HNA242" s="15"/>
      <c r="HNB242" s="10"/>
      <c r="HNC242" s="10"/>
      <c r="HND242" s="21"/>
      <c r="HNE242" s="21"/>
      <c r="HNH242" s="21"/>
      <c r="HNI242" s="15"/>
      <c r="HNJ242" s="15"/>
      <c r="HNK242" s="15"/>
      <c r="HNL242" s="15"/>
      <c r="HNM242" s="15"/>
      <c r="HNN242" s="15"/>
      <c r="HNO242" s="15"/>
      <c r="HNP242" s="15"/>
      <c r="HNQ242" s="15"/>
      <c r="HNR242" s="15"/>
      <c r="HNS242" s="10"/>
      <c r="HNT242" s="10"/>
      <c r="HNU242" s="21"/>
      <c r="HNV242" s="21"/>
      <c r="HNY242" s="21"/>
      <c r="HNZ242" s="15"/>
      <c r="HOA242" s="15"/>
      <c r="HOB242" s="15"/>
      <c r="HOC242" s="15"/>
      <c r="HOD242" s="15"/>
      <c r="HOE242" s="15"/>
      <c r="HOF242" s="15"/>
      <c r="HOG242" s="15"/>
      <c r="HOH242" s="15"/>
      <c r="HOI242" s="15"/>
      <c r="HOJ242" s="10"/>
      <c r="HOK242" s="10"/>
      <c r="HOL242" s="21"/>
      <c r="HOM242" s="21"/>
      <c r="HOP242" s="21"/>
      <c r="HOQ242" s="15"/>
      <c r="HOR242" s="15"/>
      <c r="HOS242" s="15"/>
      <c r="HOT242" s="15"/>
      <c r="HOU242" s="15"/>
      <c r="HOV242" s="15"/>
      <c r="HOW242" s="15"/>
      <c r="HOX242" s="15"/>
      <c r="HOY242" s="15"/>
      <c r="HOZ242" s="15"/>
      <c r="HPA242" s="10"/>
      <c r="HPB242" s="10"/>
      <c r="HPC242" s="21"/>
      <c r="HPD242" s="21"/>
      <c r="HPG242" s="21"/>
      <c r="HPH242" s="15"/>
      <c r="HPI242" s="15"/>
      <c r="HPJ242" s="15"/>
      <c r="HPK242" s="15"/>
      <c r="HPL242" s="15"/>
      <c r="HPM242" s="15"/>
      <c r="HPN242" s="15"/>
      <c r="HPO242" s="15"/>
      <c r="HPP242" s="15"/>
      <c r="HPQ242" s="15"/>
      <c r="HPR242" s="10"/>
      <c r="HPS242" s="10"/>
      <c r="HPT242" s="21"/>
      <c r="HPU242" s="21"/>
      <c r="HPX242" s="21"/>
      <c r="HPY242" s="15"/>
      <c r="HPZ242" s="15"/>
      <c r="HQA242" s="15"/>
      <c r="HQB242" s="15"/>
      <c r="HQC242" s="15"/>
      <c r="HQD242" s="15"/>
      <c r="HQE242" s="15"/>
      <c r="HQF242" s="15"/>
      <c r="HQG242" s="15"/>
      <c r="HQH242" s="15"/>
      <c r="HQI242" s="10"/>
      <c r="HQJ242" s="10"/>
      <c r="HQK242" s="21"/>
      <c r="HQL242" s="21"/>
      <c r="HQO242" s="21"/>
      <c r="HQP242" s="15"/>
      <c r="HQQ242" s="15"/>
      <c r="HQR242" s="15"/>
      <c r="HQS242" s="15"/>
      <c r="HQT242" s="15"/>
      <c r="HQU242" s="15"/>
      <c r="HQV242" s="15"/>
      <c r="HQW242" s="15"/>
      <c r="HQX242" s="15"/>
      <c r="HQY242" s="15"/>
      <c r="HQZ242" s="10"/>
      <c r="HRA242" s="10"/>
      <c r="HRB242" s="21"/>
      <c r="HRC242" s="21"/>
      <c r="HRF242" s="21"/>
      <c r="HRG242" s="15"/>
      <c r="HRH242" s="15"/>
      <c r="HRI242" s="15"/>
      <c r="HRJ242" s="15"/>
      <c r="HRK242" s="15"/>
      <c r="HRL242" s="15"/>
      <c r="HRM242" s="15"/>
      <c r="HRN242" s="15"/>
      <c r="HRO242" s="15"/>
      <c r="HRP242" s="15"/>
      <c r="HRQ242" s="10"/>
      <c r="HRR242" s="10"/>
      <c r="HRS242" s="21"/>
      <c r="HRT242" s="21"/>
      <c r="HRW242" s="21"/>
      <c r="HRX242" s="15"/>
      <c r="HRY242" s="15"/>
      <c r="HRZ242" s="15"/>
      <c r="HSA242" s="15"/>
      <c r="HSB242" s="15"/>
      <c r="HSC242" s="15"/>
      <c r="HSD242" s="15"/>
      <c r="HSE242" s="15"/>
      <c r="HSF242" s="15"/>
      <c r="HSG242" s="15"/>
      <c r="HSH242" s="10"/>
      <c r="HSI242" s="10"/>
      <c r="HSJ242" s="21"/>
      <c r="HSK242" s="21"/>
      <c r="HSN242" s="21"/>
      <c r="HSO242" s="15"/>
      <c r="HSP242" s="15"/>
      <c r="HSQ242" s="15"/>
      <c r="HSR242" s="15"/>
      <c r="HSS242" s="15"/>
      <c r="HST242" s="15"/>
      <c r="HSU242" s="15"/>
      <c r="HSV242" s="15"/>
      <c r="HSW242" s="15"/>
      <c r="HSX242" s="15"/>
      <c r="HSY242" s="10"/>
      <c r="HSZ242" s="10"/>
      <c r="HTA242" s="21"/>
      <c r="HTB242" s="21"/>
      <c r="HTE242" s="21"/>
      <c r="HTF242" s="15"/>
      <c r="HTG242" s="15"/>
      <c r="HTH242" s="15"/>
      <c r="HTI242" s="15"/>
      <c r="HTJ242" s="15"/>
      <c r="HTK242" s="15"/>
      <c r="HTL242" s="15"/>
      <c r="HTM242" s="15"/>
      <c r="HTN242" s="15"/>
      <c r="HTO242" s="15"/>
      <c r="HTP242" s="10"/>
      <c r="HTQ242" s="10"/>
      <c r="HTR242" s="21"/>
      <c r="HTS242" s="21"/>
      <c r="HTV242" s="21"/>
      <c r="HTW242" s="15"/>
      <c r="HTX242" s="15"/>
      <c r="HTY242" s="15"/>
      <c r="HTZ242" s="15"/>
      <c r="HUA242" s="15"/>
      <c r="HUB242" s="15"/>
      <c r="HUC242" s="15"/>
      <c r="HUD242" s="15"/>
      <c r="HUE242" s="15"/>
      <c r="HUF242" s="15"/>
      <c r="HUG242" s="10"/>
      <c r="HUH242" s="10"/>
      <c r="HUI242" s="21"/>
      <c r="HUJ242" s="21"/>
      <c r="HUM242" s="21"/>
      <c r="HUN242" s="15"/>
      <c r="HUO242" s="15"/>
      <c r="HUP242" s="15"/>
      <c r="HUQ242" s="15"/>
      <c r="HUR242" s="15"/>
      <c r="HUS242" s="15"/>
      <c r="HUT242" s="15"/>
      <c r="HUU242" s="15"/>
      <c r="HUV242" s="15"/>
      <c r="HUW242" s="15"/>
      <c r="HUX242" s="10"/>
      <c r="HUY242" s="10"/>
      <c r="HUZ242" s="21"/>
      <c r="HVA242" s="21"/>
      <c r="HVD242" s="21"/>
      <c r="HVE242" s="15"/>
      <c r="HVF242" s="15"/>
      <c r="HVG242" s="15"/>
      <c r="HVH242" s="15"/>
      <c r="HVI242" s="15"/>
      <c r="HVJ242" s="15"/>
      <c r="HVK242" s="15"/>
      <c r="HVL242" s="15"/>
      <c r="HVM242" s="15"/>
      <c r="HVN242" s="15"/>
      <c r="HVO242" s="10"/>
      <c r="HVP242" s="10"/>
      <c r="HVQ242" s="21"/>
      <c r="HVR242" s="21"/>
      <c r="HVU242" s="21"/>
      <c r="HVV242" s="15"/>
      <c r="HVW242" s="15"/>
      <c r="HVX242" s="15"/>
      <c r="HVY242" s="15"/>
      <c r="HVZ242" s="15"/>
      <c r="HWA242" s="15"/>
      <c r="HWB242" s="15"/>
      <c r="HWC242" s="15"/>
      <c r="HWD242" s="15"/>
      <c r="HWE242" s="15"/>
      <c r="HWF242" s="10"/>
      <c r="HWG242" s="10"/>
      <c r="HWH242" s="21"/>
      <c r="HWI242" s="21"/>
      <c r="HWL242" s="21"/>
      <c r="HWM242" s="15"/>
      <c r="HWN242" s="15"/>
      <c r="HWO242" s="15"/>
      <c r="HWP242" s="15"/>
      <c r="HWQ242" s="15"/>
      <c r="HWR242" s="15"/>
      <c r="HWS242" s="15"/>
      <c r="HWT242" s="15"/>
      <c r="HWU242" s="15"/>
      <c r="HWV242" s="15"/>
      <c r="HWW242" s="10"/>
      <c r="HWX242" s="10"/>
      <c r="HWY242" s="21"/>
      <c r="HWZ242" s="21"/>
      <c r="HXC242" s="21"/>
      <c r="HXD242" s="15"/>
      <c r="HXE242" s="15"/>
      <c r="HXF242" s="15"/>
      <c r="HXG242" s="15"/>
      <c r="HXH242" s="15"/>
      <c r="HXI242" s="15"/>
      <c r="HXJ242" s="15"/>
      <c r="HXK242" s="15"/>
      <c r="HXL242" s="15"/>
      <c r="HXM242" s="15"/>
      <c r="HXN242" s="10"/>
      <c r="HXO242" s="10"/>
      <c r="HXP242" s="21"/>
      <c r="HXQ242" s="21"/>
      <c r="HXT242" s="21"/>
      <c r="HXU242" s="15"/>
      <c r="HXV242" s="15"/>
      <c r="HXW242" s="15"/>
      <c r="HXX242" s="15"/>
      <c r="HXY242" s="15"/>
      <c r="HXZ242" s="15"/>
      <c r="HYA242" s="15"/>
      <c r="HYB242" s="15"/>
      <c r="HYC242" s="15"/>
      <c r="HYD242" s="15"/>
      <c r="HYE242" s="10"/>
      <c r="HYF242" s="10"/>
      <c r="HYG242" s="21"/>
      <c r="HYH242" s="21"/>
      <c r="HYK242" s="21"/>
      <c r="HYL242" s="15"/>
      <c r="HYM242" s="15"/>
      <c r="HYN242" s="15"/>
      <c r="HYO242" s="15"/>
      <c r="HYP242" s="15"/>
      <c r="HYQ242" s="15"/>
      <c r="HYR242" s="15"/>
      <c r="HYS242" s="15"/>
      <c r="HYT242" s="15"/>
      <c r="HYU242" s="15"/>
      <c r="HYV242" s="10"/>
      <c r="HYW242" s="10"/>
      <c r="HYX242" s="21"/>
      <c r="HYY242" s="21"/>
      <c r="HZB242" s="21"/>
      <c r="HZC242" s="15"/>
      <c r="HZD242" s="15"/>
      <c r="HZE242" s="15"/>
      <c r="HZF242" s="15"/>
      <c r="HZG242" s="15"/>
      <c r="HZH242" s="15"/>
      <c r="HZI242" s="15"/>
      <c r="HZJ242" s="15"/>
      <c r="HZK242" s="15"/>
      <c r="HZL242" s="15"/>
      <c r="HZM242" s="10"/>
      <c r="HZN242" s="10"/>
      <c r="HZO242" s="21"/>
      <c r="HZP242" s="21"/>
      <c r="HZS242" s="21"/>
      <c r="HZT242" s="15"/>
      <c r="HZU242" s="15"/>
      <c r="HZV242" s="15"/>
      <c r="HZW242" s="15"/>
      <c r="HZX242" s="15"/>
      <c r="HZY242" s="15"/>
      <c r="HZZ242" s="15"/>
      <c r="IAA242" s="15"/>
      <c r="IAB242" s="15"/>
      <c r="IAC242" s="15"/>
      <c r="IAD242" s="10"/>
      <c r="IAE242" s="10"/>
      <c r="IAF242" s="21"/>
      <c r="IAG242" s="21"/>
      <c r="IAJ242" s="21"/>
      <c r="IAK242" s="15"/>
      <c r="IAL242" s="15"/>
      <c r="IAM242" s="15"/>
      <c r="IAN242" s="15"/>
      <c r="IAO242" s="15"/>
      <c r="IAP242" s="15"/>
      <c r="IAQ242" s="15"/>
      <c r="IAR242" s="15"/>
      <c r="IAS242" s="15"/>
      <c r="IAT242" s="15"/>
      <c r="IAU242" s="10"/>
      <c r="IAV242" s="10"/>
      <c r="IAW242" s="21"/>
      <c r="IAX242" s="21"/>
      <c r="IBA242" s="21"/>
      <c r="IBB242" s="15"/>
      <c r="IBC242" s="15"/>
      <c r="IBD242" s="15"/>
      <c r="IBE242" s="15"/>
      <c r="IBF242" s="15"/>
      <c r="IBG242" s="15"/>
      <c r="IBH242" s="15"/>
      <c r="IBI242" s="15"/>
      <c r="IBJ242" s="15"/>
      <c r="IBK242" s="15"/>
      <c r="IBL242" s="10"/>
      <c r="IBM242" s="10"/>
      <c r="IBN242" s="21"/>
      <c r="IBO242" s="21"/>
      <c r="IBR242" s="21"/>
      <c r="IBS242" s="15"/>
      <c r="IBT242" s="15"/>
      <c r="IBU242" s="15"/>
      <c r="IBV242" s="15"/>
      <c r="IBW242" s="15"/>
      <c r="IBX242" s="15"/>
      <c r="IBY242" s="15"/>
      <c r="IBZ242" s="15"/>
      <c r="ICA242" s="15"/>
      <c r="ICB242" s="15"/>
      <c r="ICC242" s="10"/>
      <c r="ICD242" s="10"/>
      <c r="ICE242" s="21"/>
      <c r="ICF242" s="21"/>
      <c r="ICI242" s="21"/>
      <c r="ICJ242" s="15"/>
      <c r="ICK242" s="15"/>
      <c r="ICL242" s="15"/>
      <c r="ICM242" s="15"/>
      <c r="ICN242" s="15"/>
      <c r="ICO242" s="15"/>
      <c r="ICP242" s="15"/>
      <c r="ICQ242" s="15"/>
      <c r="ICR242" s="15"/>
      <c r="ICS242" s="15"/>
      <c r="ICT242" s="10"/>
      <c r="ICU242" s="10"/>
      <c r="ICV242" s="21"/>
      <c r="ICW242" s="21"/>
      <c r="ICZ242" s="21"/>
      <c r="IDA242" s="15"/>
      <c r="IDB242" s="15"/>
      <c r="IDC242" s="15"/>
      <c r="IDD242" s="15"/>
      <c r="IDE242" s="15"/>
      <c r="IDF242" s="15"/>
      <c r="IDG242" s="15"/>
      <c r="IDH242" s="15"/>
      <c r="IDI242" s="15"/>
      <c r="IDJ242" s="15"/>
      <c r="IDK242" s="10"/>
      <c r="IDL242" s="10"/>
      <c r="IDM242" s="21"/>
      <c r="IDN242" s="21"/>
      <c r="IDQ242" s="21"/>
      <c r="IDR242" s="15"/>
      <c r="IDS242" s="15"/>
      <c r="IDT242" s="15"/>
      <c r="IDU242" s="15"/>
      <c r="IDV242" s="15"/>
      <c r="IDW242" s="15"/>
      <c r="IDX242" s="15"/>
      <c r="IDY242" s="15"/>
      <c r="IDZ242" s="15"/>
      <c r="IEA242" s="15"/>
      <c r="IEB242" s="10"/>
      <c r="IEC242" s="10"/>
      <c r="IED242" s="21"/>
      <c r="IEE242" s="21"/>
      <c r="IEH242" s="21"/>
      <c r="IEI242" s="15"/>
      <c r="IEJ242" s="15"/>
      <c r="IEK242" s="15"/>
      <c r="IEL242" s="15"/>
      <c r="IEM242" s="15"/>
      <c r="IEN242" s="15"/>
      <c r="IEO242" s="15"/>
      <c r="IEP242" s="15"/>
      <c r="IEQ242" s="15"/>
      <c r="IER242" s="15"/>
      <c r="IES242" s="10"/>
      <c r="IET242" s="10"/>
      <c r="IEU242" s="21"/>
      <c r="IEV242" s="21"/>
      <c r="IEY242" s="21"/>
      <c r="IEZ242" s="15"/>
      <c r="IFA242" s="15"/>
      <c r="IFB242" s="15"/>
      <c r="IFC242" s="15"/>
      <c r="IFD242" s="15"/>
      <c r="IFE242" s="15"/>
      <c r="IFF242" s="15"/>
      <c r="IFG242" s="15"/>
      <c r="IFH242" s="15"/>
      <c r="IFI242" s="15"/>
      <c r="IFJ242" s="10"/>
      <c r="IFK242" s="10"/>
      <c r="IFL242" s="21"/>
      <c r="IFM242" s="21"/>
      <c r="IFP242" s="21"/>
      <c r="IFQ242" s="15"/>
      <c r="IFR242" s="15"/>
      <c r="IFS242" s="15"/>
      <c r="IFT242" s="15"/>
      <c r="IFU242" s="15"/>
      <c r="IFV242" s="15"/>
      <c r="IFW242" s="15"/>
      <c r="IFX242" s="15"/>
      <c r="IFY242" s="15"/>
      <c r="IFZ242" s="15"/>
      <c r="IGA242" s="10"/>
      <c r="IGB242" s="10"/>
      <c r="IGC242" s="21"/>
      <c r="IGD242" s="21"/>
      <c r="IGG242" s="21"/>
      <c r="IGH242" s="15"/>
      <c r="IGI242" s="15"/>
      <c r="IGJ242" s="15"/>
      <c r="IGK242" s="15"/>
      <c r="IGL242" s="15"/>
      <c r="IGM242" s="15"/>
      <c r="IGN242" s="15"/>
      <c r="IGO242" s="15"/>
      <c r="IGP242" s="15"/>
      <c r="IGQ242" s="15"/>
      <c r="IGR242" s="10"/>
      <c r="IGS242" s="10"/>
      <c r="IGT242" s="21"/>
      <c r="IGU242" s="21"/>
      <c r="IGX242" s="21"/>
      <c r="IGY242" s="15"/>
      <c r="IGZ242" s="15"/>
      <c r="IHA242" s="15"/>
      <c r="IHB242" s="15"/>
      <c r="IHC242" s="15"/>
      <c r="IHD242" s="15"/>
      <c r="IHE242" s="15"/>
      <c r="IHF242" s="15"/>
      <c r="IHG242" s="15"/>
      <c r="IHH242" s="15"/>
      <c r="IHI242" s="10"/>
      <c r="IHJ242" s="10"/>
      <c r="IHK242" s="21"/>
      <c r="IHL242" s="21"/>
      <c r="IHO242" s="21"/>
      <c r="IHP242" s="15"/>
      <c r="IHQ242" s="15"/>
      <c r="IHR242" s="15"/>
      <c r="IHS242" s="15"/>
      <c r="IHT242" s="15"/>
      <c r="IHU242" s="15"/>
      <c r="IHV242" s="15"/>
      <c r="IHW242" s="15"/>
      <c r="IHX242" s="15"/>
      <c r="IHY242" s="15"/>
      <c r="IHZ242" s="10"/>
      <c r="IIA242" s="10"/>
      <c r="IIB242" s="21"/>
      <c r="IIC242" s="21"/>
      <c r="IIF242" s="21"/>
      <c r="IIG242" s="15"/>
      <c r="IIH242" s="15"/>
      <c r="III242" s="15"/>
      <c r="IIJ242" s="15"/>
      <c r="IIK242" s="15"/>
      <c r="IIL242" s="15"/>
      <c r="IIM242" s="15"/>
      <c r="IIN242" s="15"/>
      <c r="IIO242" s="15"/>
      <c r="IIP242" s="15"/>
      <c r="IIQ242" s="10"/>
      <c r="IIR242" s="10"/>
      <c r="IIS242" s="21"/>
      <c r="IIT242" s="21"/>
      <c r="IIW242" s="21"/>
      <c r="IIX242" s="15"/>
      <c r="IIY242" s="15"/>
      <c r="IIZ242" s="15"/>
      <c r="IJA242" s="15"/>
      <c r="IJB242" s="15"/>
      <c r="IJC242" s="15"/>
      <c r="IJD242" s="15"/>
      <c r="IJE242" s="15"/>
      <c r="IJF242" s="15"/>
      <c r="IJG242" s="15"/>
      <c r="IJH242" s="10"/>
      <c r="IJI242" s="10"/>
      <c r="IJJ242" s="21"/>
      <c r="IJK242" s="21"/>
      <c r="IJN242" s="21"/>
      <c r="IJO242" s="15"/>
      <c r="IJP242" s="15"/>
      <c r="IJQ242" s="15"/>
      <c r="IJR242" s="15"/>
      <c r="IJS242" s="15"/>
      <c r="IJT242" s="15"/>
      <c r="IJU242" s="15"/>
      <c r="IJV242" s="15"/>
      <c r="IJW242" s="15"/>
      <c r="IJX242" s="15"/>
      <c r="IJY242" s="10"/>
      <c r="IJZ242" s="10"/>
      <c r="IKA242" s="21"/>
      <c r="IKB242" s="21"/>
      <c r="IKE242" s="21"/>
      <c r="IKF242" s="15"/>
      <c r="IKG242" s="15"/>
      <c r="IKH242" s="15"/>
      <c r="IKI242" s="15"/>
      <c r="IKJ242" s="15"/>
      <c r="IKK242" s="15"/>
      <c r="IKL242" s="15"/>
      <c r="IKM242" s="15"/>
      <c r="IKN242" s="15"/>
      <c r="IKO242" s="15"/>
      <c r="IKP242" s="10"/>
      <c r="IKQ242" s="10"/>
      <c r="IKR242" s="21"/>
      <c r="IKS242" s="21"/>
      <c r="IKV242" s="21"/>
      <c r="IKW242" s="15"/>
      <c r="IKX242" s="15"/>
      <c r="IKY242" s="15"/>
      <c r="IKZ242" s="15"/>
      <c r="ILA242" s="15"/>
      <c r="ILB242" s="15"/>
      <c r="ILC242" s="15"/>
      <c r="ILD242" s="15"/>
      <c r="ILE242" s="15"/>
      <c r="ILF242" s="15"/>
      <c r="ILG242" s="10"/>
      <c r="ILH242" s="10"/>
      <c r="ILI242" s="21"/>
      <c r="ILJ242" s="21"/>
      <c r="ILM242" s="21"/>
      <c r="ILN242" s="15"/>
      <c r="ILO242" s="15"/>
      <c r="ILP242" s="15"/>
      <c r="ILQ242" s="15"/>
      <c r="ILR242" s="15"/>
      <c r="ILS242" s="15"/>
      <c r="ILT242" s="15"/>
      <c r="ILU242" s="15"/>
      <c r="ILV242" s="15"/>
      <c r="ILW242" s="15"/>
      <c r="ILX242" s="10"/>
      <c r="ILY242" s="10"/>
      <c r="ILZ242" s="21"/>
      <c r="IMA242" s="21"/>
      <c r="IMD242" s="21"/>
      <c r="IME242" s="15"/>
      <c r="IMF242" s="15"/>
      <c r="IMG242" s="15"/>
      <c r="IMH242" s="15"/>
      <c r="IMI242" s="15"/>
      <c r="IMJ242" s="15"/>
      <c r="IMK242" s="15"/>
      <c r="IML242" s="15"/>
      <c r="IMM242" s="15"/>
      <c r="IMN242" s="15"/>
      <c r="IMO242" s="10"/>
      <c r="IMP242" s="10"/>
      <c r="IMQ242" s="21"/>
      <c r="IMR242" s="21"/>
      <c r="IMU242" s="21"/>
      <c r="IMV242" s="15"/>
      <c r="IMW242" s="15"/>
      <c r="IMX242" s="15"/>
      <c r="IMY242" s="15"/>
      <c r="IMZ242" s="15"/>
      <c r="INA242" s="15"/>
      <c r="INB242" s="15"/>
      <c r="INC242" s="15"/>
      <c r="IND242" s="15"/>
      <c r="INE242" s="15"/>
      <c r="INF242" s="10"/>
      <c r="ING242" s="10"/>
      <c r="INH242" s="21"/>
      <c r="INI242" s="21"/>
      <c r="INL242" s="21"/>
      <c r="INM242" s="15"/>
      <c r="INN242" s="15"/>
      <c r="INO242" s="15"/>
      <c r="INP242" s="15"/>
      <c r="INQ242" s="15"/>
      <c r="INR242" s="15"/>
      <c r="INS242" s="15"/>
      <c r="INT242" s="15"/>
      <c r="INU242" s="15"/>
      <c r="INV242" s="15"/>
      <c r="INW242" s="10"/>
      <c r="INX242" s="10"/>
      <c r="INY242" s="21"/>
      <c r="INZ242" s="21"/>
      <c r="IOC242" s="21"/>
      <c r="IOD242" s="15"/>
      <c r="IOE242" s="15"/>
      <c r="IOF242" s="15"/>
      <c r="IOG242" s="15"/>
      <c r="IOH242" s="15"/>
      <c r="IOI242" s="15"/>
      <c r="IOJ242" s="15"/>
      <c r="IOK242" s="15"/>
      <c r="IOL242" s="15"/>
      <c r="IOM242" s="15"/>
      <c r="ION242" s="10"/>
      <c r="IOO242" s="10"/>
      <c r="IOP242" s="21"/>
      <c r="IOQ242" s="21"/>
      <c r="IOT242" s="21"/>
      <c r="IOU242" s="15"/>
      <c r="IOV242" s="15"/>
      <c r="IOW242" s="15"/>
      <c r="IOX242" s="15"/>
      <c r="IOY242" s="15"/>
      <c r="IOZ242" s="15"/>
      <c r="IPA242" s="15"/>
      <c r="IPB242" s="15"/>
      <c r="IPC242" s="15"/>
      <c r="IPD242" s="15"/>
      <c r="IPE242" s="10"/>
      <c r="IPF242" s="10"/>
      <c r="IPG242" s="21"/>
      <c r="IPH242" s="21"/>
      <c r="IPK242" s="21"/>
      <c r="IPL242" s="15"/>
      <c r="IPM242" s="15"/>
      <c r="IPN242" s="15"/>
      <c r="IPO242" s="15"/>
      <c r="IPP242" s="15"/>
      <c r="IPQ242" s="15"/>
      <c r="IPR242" s="15"/>
      <c r="IPS242" s="15"/>
      <c r="IPT242" s="15"/>
      <c r="IPU242" s="15"/>
      <c r="IPV242" s="10"/>
      <c r="IPW242" s="10"/>
      <c r="IPX242" s="21"/>
      <c r="IPY242" s="21"/>
      <c r="IQB242" s="21"/>
      <c r="IQC242" s="15"/>
      <c r="IQD242" s="15"/>
      <c r="IQE242" s="15"/>
      <c r="IQF242" s="15"/>
      <c r="IQG242" s="15"/>
      <c r="IQH242" s="15"/>
      <c r="IQI242" s="15"/>
      <c r="IQJ242" s="15"/>
      <c r="IQK242" s="15"/>
      <c r="IQL242" s="15"/>
      <c r="IQM242" s="10"/>
      <c r="IQN242" s="10"/>
      <c r="IQO242" s="21"/>
      <c r="IQP242" s="21"/>
      <c r="IQS242" s="21"/>
      <c r="IQT242" s="15"/>
      <c r="IQU242" s="15"/>
      <c r="IQV242" s="15"/>
      <c r="IQW242" s="15"/>
      <c r="IQX242" s="15"/>
      <c r="IQY242" s="15"/>
      <c r="IQZ242" s="15"/>
      <c r="IRA242" s="15"/>
      <c r="IRB242" s="15"/>
      <c r="IRC242" s="15"/>
      <c r="IRD242" s="10"/>
      <c r="IRE242" s="10"/>
      <c r="IRF242" s="21"/>
      <c r="IRG242" s="21"/>
      <c r="IRJ242" s="21"/>
      <c r="IRK242" s="15"/>
      <c r="IRL242" s="15"/>
      <c r="IRM242" s="15"/>
      <c r="IRN242" s="15"/>
      <c r="IRO242" s="15"/>
      <c r="IRP242" s="15"/>
      <c r="IRQ242" s="15"/>
      <c r="IRR242" s="15"/>
      <c r="IRS242" s="15"/>
      <c r="IRT242" s="15"/>
      <c r="IRU242" s="10"/>
      <c r="IRV242" s="10"/>
      <c r="IRW242" s="21"/>
      <c r="IRX242" s="21"/>
      <c r="ISA242" s="21"/>
      <c r="ISB242" s="15"/>
      <c r="ISC242" s="15"/>
      <c r="ISD242" s="15"/>
      <c r="ISE242" s="15"/>
      <c r="ISF242" s="15"/>
      <c r="ISG242" s="15"/>
      <c r="ISH242" s="15"/>
      <c r="ISI242" s="15"/>
      <c r="ISJ242" s="15"/>
      <c r="ISK242" s="15"/>
      <c r="ISL242" s="10"/>
      <c r="ISM242" s="10"/>
      <c r="ISN242" s="21"/>
      <c r="ISO242" s="21"/>
      <c r="ISR242" s="21"/>
      <c r="ISS242" s="15"/>
      <c r="IST242" s="15"/>
      <c r="ISU242" s="15"/>
      <c r="ISV242" s="15"/>
      <c r="ISW242" s="15"/>
      <c r="ISX242" s="15"/>
      <c r="ISY242" s="15"/>
      <c r="ISZ242" s="15"/>
      <c r="ITA242" s="15"/>
      <c r="ITB242" s="15"/>
      <c r="ITC242" s="10"/>
      <c r="ITD242" s="10"/>
      <c r="ITE242" s="21"/>
      <c r="ITF242" s="21"/>
      <c r="ITI242" s="21"/>
      <c r="ITJ242" s="15"/>
      <c r="ITK242" s="15"/>
      <c r="ITL242" s="15"/>
      <c r="ITM242" s="15"/>
      <c r="ITN242" s="15"/>
      <c r="ITO242" s="15"/>
      <c r="ITP242" s="15"/>
      <c r="ITQ242" s="15"/>
      <c r="ITR242" s="15"/>
      <c r="ITS242" s="15"/>
      <c r="ITT242" s="10"/>
      <c r="ITU242" s="10"/>
      <c r="ITV242" s="21"/>
      <c r="ITW242" s="21"/>
      <c r="ITZ242" s="21"/>
      <c r="IUA242" s="15"/>
      <c r="IUB242" s="15"/>
      <c r="IUC242" s="15"/>
      <c r="IUD242" s="15"/>
      <c r="IUE242" s="15"/>
      <c r="IUF242" s="15"/>
      <c r="IUG242" s="15"/>
      <c r="IUH242" s="15"/>
      <c r="IUI242" s="15"/>
      <c r="IUJ242" s="15"/>
      <c r="IUK242" s="10"/>
      <c r="IUL242" s="10"/>
      <c r="IUM242" s="21"/>
      <c r="IUN242" s="21"/>
      <c r="IUQ242" s="21"/>
      <c r="IUR242" s="15"/>
      <c r="IUS242" s="15"/>
      <c r="IUT242" s="15"/>
      <c r="IUU242" s="15"/>
      <c r="IUV242" s="15"/>
      <c r="IUW242" s="15"/>
      <c r="IUX242" s="15"/>
      <c r="IUY242" s="15"/>
      <c r="IUZ242" s="15"/>
      <c r="IVA242" s="15"/>
      <c r="IVB242" s="10"/>
      <c r="IVC242" s="10"/>
      <c r="IVD242" s="21"/>
      <c r="IVE242" s="21"/>
      <c r="IVH242" s="21"/>
      <c r="IVI242" s="15"/>
      <c r="IVJ242" s="15"/>
      <c r="IVK242" s="15"/>
      <c r="IVL242" s="15"/>
      <c r="IVM242" s="15"/>
      <c r="IVN242" s="15"/>
      <c r="IVO242" s="15"/>
      <c r="IVP242" s="15"/>
      <c r="IVQ242" s="15"/>
      <c r="IVR242" s="15"/>
      <c r="IVS242" s="10"/>
      <c r="IVT242" s="10"/>
      <c r="IVU242" s="21"/>
      <c r="IVV242" s="21"/>
      <c r="IVY242" s="21"/>
      <c r="IVZ242" s="15"/>
      <c r="IWA242" s="15"/>
      <c r="IWB242" s="15"/>
      <c r="IWC242" s="15"/>
      <c r="IWD242" s="15"/>
      <c r="IWE242" s="15"/>
      <c r="IWF242" s="15"/>
      <c r="IWG242" s="15"/>
      <c r="IWH242" s="15"/>
      <c r="IWI242" s="15"/>
      <c r="IWJ242" s="10"/>
      <c r="IWK242" s="10"/>
      <c r="IWL242" s="21"/>
      <c r="IWM242" s="21"/>
      <c r="IWP242" s="21"/>
      <c r="IWQ242" s="15"/>
      <c r="IWR242" s="15"/>
      <c r="IWS242" s="15"/>
      <c r="IWT242" s="15"/>
      <c r="IWU242" s="15"/>
      <c r="IWV242" s="15"/>
      <c r="IWW242" s="15"/>
      <c r="IWX242" s="15"/>
      <c r="IWY242" s="15"/>
      <c r="IWZ242" s="15"/>
      <c r="IXA242" s="10"/>
      <c r="IXB242" s="10"/>
      <c r="IXC242" s="21"/>
      <c r="IXD242" s="21"/>
      <c r="IXG242" s="21"/>
      <c r="IXH242" s="15"/>
      <c r="IXI242" s="15"/>
      <c r="IXJ242" s="15"/>
      <c r="IXK242" s="15"/>
      <c r="IXL242" s="15"/>
      <c r="IXM242" s="15"/>
      <c r="IXN242" s="15"/>
      <c r="IXO242" s="15"/>
      <c r="IXP242" s="15"/>
      <c r="IXQ242" s="15"/>
      <c r="IXR242" s="10"/>
      <c r="IXS242" s="10"/>
      <c r="IXT242" s="21"/>
      <c r="IXU242" s="21"/>
      <c r="IXX242" s="21"/>
      <c r="IXY242" s="15"/>
      <c r="IXZ242" s="15"/>
      <c r="IYA242" s="15"/>
      <c r="IYB242" s="15"/>
      <c r="IYC242" s="15"/>
      <c r="IYD242" s="15"/>
      <c r="IYE242" s="15"/>
      <c r="IYF242" s="15"/>
      <c r="IYG242" s="15"/>
      <c r="IYH242" s="15"/>
      <c r="IYI242" s="10"/>
      <c r="IYJ242" s="10"/>
      <c r="IYK242" s="21"/>
      <c r="IYL242" s="21"/>
      <c r="IYO242" s="21"/>
      <c r="IYP242" s="15"/>
      <c r="IYQ242" s="15"/>
      <c r="IYR242" s="15"/>
      <c r="IYS242" s="15"/>
      <c r="IYT242" s="15"/>
      <c r="IYU242" s="15"/>
      <c r="IYV242" s="15"/>
      <c r="IYW242" s="15"/>
      <c r="IYX242" s="15"/>
      <c r="IYY242" s="15"/>
      <c r="IYZ242" s="10"/>
      <c r="IZA242" s="10"/>
      <c r="IZB242" s="21"/>
      <c r="IZC242" s="21"/>
      <c r="IZF242" s="21"/>
      <c r="IZG242" s="15"/>
      <c r="IZH242" s="15"/>
      <c r="IZI242" s="15"/>
      <c r="IZJ242" s="15"/>
      <c r="IZK242" s="15"/>
      <c r="IZL242" s="15"/>
      <c r="IZM242" s="15"/>
      <c r="IZN242" s="15"/>
      <c r="IZO242" s="15"/>
      <c r="IZP242" s="15"/>
      <c r="IZQ242" s="10"/>
      <c r="IZR242" s="10"/>
      <c r="IZS242" s="21"/>
      <c r="IZT242" s="21"/>
      <c r="IZW242" s="21"/>
      <c r="IZX242" s="15"/>
      <c r="IZY242" s="15"/>
      <c r="IZZ242" s="15"/>
      <c r="JAA242" s="15"/>
      <c r="JAB242" s="15"/>
      <c r="JAC242" s="15"/>
      <c r="JAD242" s="15"/>
      <c r="JAE242" s="15"/>
      <c r="JAF242" s="15"/>
      <c r="JAG242" s="15"/>
      <c r="JAH242" s="10"/>
      <c r="JAI242" s="10"/>
      <c r="JAJ242" s="21"/>
      <c r="JAK242" s="21"/>
      <c r="JAN242" s="21"/>
      <c r="JAO242" s="15"/>
      <c r="JAP242" s="15"/>
      <c r="JAQ242" s="15"/>
      <c r="JAR242" s="15"/>
      <c r="JAS242" s="15"/>
      <c r="JAT242" s="15"/>
      <c r="JAU242" s="15"/>
      <c r="JAV242" s="15"/>
      <c r="JAW242" s="15"/>
      <c r="JAX242" s="15"/>
      <c r="JAY242" s="10"/>
      <c r="JAZ242" s="10"/>
      <c r="JBA242" s="21"/>
      <c r="JBB242" s="21"/>
      <c r="JBE242" s="21"/>
      <c r="JBF242" s="15"/>
      <c r="JBG242" s="15"/>
      <c r="JBH242" s="15"/>
      <c r="JBI242" s="15"/>
      <c r="JBJ242" s="15"/>
      <c r="JBK242" s="15"/>
      <c r="JBL242" s="15"/>
      <c r="JBM242" s="15"/>
      <c r="JBN242" s="15"/>
      <c r="JBO242" s="15"/>
      <c r="JBP242" s="10"/>
      <c r="JBQ242" s="10"/>
      <c r="JBR242" s="21"/>
      <c r="JBS242" s="21"/>
      <c r="JBV242" s="21"/>
      <c r="JBW242" s="15"/>
      <c r="JBX242" s="15"/>
      <c r="JBY242" s="15"/>
      <c r="JBZ242" s="15"/>
      <c r="JCA242" s="15"/>
      <c r="JCB242" s="15"/>
      <c r="JCC242" s="15"/>
      <c r="JCD242" s="15"/>
      <c r="JCE242" s="15"/>
      <c r="JCF242" s="15"/>
      <c r="JCG242" s="10"/>
      <c r="JCH242" s="10"/>
      <c r="JCI242" s="21"/>
      <c r="JCJ242" s="21"/>
      <c r="JCM242" s="21"/>
      <c r="JCN242" s="15"/>
      <c r="JCO242" s="15"/>
      <c r="JCP242" s="15"/>
      <c r="JCQ242" s="15"/>
      <c r="JCR242" s="15"/>
      <c r="JCS242" s="15"/>
      <c r="JCT242" s="15"/>
      <c r="JCU242" s="15"/>
      <c r="JCV242" s="15"/>
      <c r="JCW242" s="15"/>
      <c r="JCX242" s="10"/>
      <c r="JCY242" s="10"/>
      <c r="JCZ242" s="21"/>
      <c r="JDA242" s="21"/>
      <c r="JDD242" s="21"/>
      <c r="JDE242" s="15"/>
      <c r="JDF242" s="15"/>
      <c r="JDG242" s="15"/>
      <c r="JDH242" s="15"/>
      <c r="JDI242" s="15"/>
      <c r="JDJ242" s="15"/>
      <c r="JDK242" s="15"/>
      <c r="JDL242" s="15"/>
      <c r="JDM242" s="15"/>
      <c r="JDN242" s="15"/>
      <c r="JDO242" s="10"/>
      <c r="JDP242" s="10"/>
      <c r="JDQ242" s="21"/>
      <c r="JDR242" s="21"/>
      <c r="JDU242" s="21"/>
      <c r="JDV242" s="15"/>
      <c r="JDW242" s="15"/>
      <c r="JDX242" s="15"/>
      <c r="JDY242" s="15"/>
      <c r="JDZ242" s="15"/>
      <c r="JEA242" s="15"/>
      <c r="JEB242" s="15"/>
      <c r="JEC242" s="15"/>
      <c r="JED242" s="15"/>
      <c r="JEE242" s="15"/>
      <c r="JEF242" s="10"/>
      <c r="JEG242" s="10"/>
      <c r="JEH242" s="21"/>
      <c r="JEI242" s="21"/>
      <c r="JEL242" s="21"/>
      <c r="JEM242" s="15"/>
      <c r="JEN242" s="15"/>
      <c r="JEO242" s="15"/>
      <c r="JEP242" s="15"/>
      <c r="JEQ242" s="15"/>
      <c r="JER242" s="15"/>
      <c r="JES242" s="15"/>
      <c r="JET242" s="15"/>
      <c r="JEU242" s="15"/>
      <c r="JEV242" s="15"/>
      <c r="JEW242" s="10"/>
      <c r="JEX242" s="10"/>
      <c r="JEY242" s="21"/>
      <c r="JEZ242" s="21"/>
      <c r="JFC242" s="21"/>
      <c r="JFD242" s="15"/>
      <c r="JFE242" s="15"/>
      <c r="JFF242" s="15"/>
      <c r="JFG242" s="15"/>
      <c r="JFH242" s="15"/>
      <c r="JFI242" s="15"/>
      <c r="JFJ242" s="15"/>
      <c r="JFK242" s="15"/>
      <c r="JFL242" s="15"/>
      <c r="JFM242" s="15"/>
      <c r="JFN242" s="10"/>
      <c r="JFO242" s="10"/>
      <c r="JFP242" s="21"/>
      <c r="JFQ242" s="21"/>
      <c r="JFT242" s="21"/>
      <c r="JFU242" s="15"/>
      <c r="JFV242" s="15"/>
      <c r="JFW242" s="15"/>
      <c r="JFX242" s="15"/>
      <c r="JFY242" s="15"/>
      <c r="JFZ242" s="15"/>
      <c r="JGA242" s="15"/>
      <c r="JGB242" s="15"/>
      <c r="JGC242" s="15"/>
      <c r="JGD242" s="15"/>
      <c r="JGE242" s="10"/>
      <c r="JGF242" s="10"/>
      <c r="JGG242" s="21"/>
      <c r="JGH242" s="21"/>
      <c r="JGK242" s="21"/>
      <c r="JGL242" s="15"/>
      <c r="JGM242" s="15"/>
      <c r="JGN242" s="15"/>
      <c r="JGO242" s="15"/>
      <c r="JGP242" s="15"/>
      <c r="JGQ242" s="15"/>
      <c r="JGR242" s="15"/>
      <c r="JGS242" s="15"/>
      <c r="JGT242" s="15"/>
      <c r="JGU242" s="15"/>
      <c r="JGV242" s="10"/>
      <c r="JGW242" s="10"/>
      <c r="JGX242" s="21"/>
      <c r="JGY242" s="21"/>
      <c r="JHB242" s="21"/>
      <c r="JHC242" s="15"/>
      <c r="JHD242" s="15"/>
      <c r="JHE242" s="15"/>
      <c r="JHF242" s="15"/>
      <c r="JHG242" s="15"/>
      <c r="JHH242" s="15"/>
      <c r="JHI242" s="15"/>
      <c r="JHJ242" s="15"/>
      <c r="JHK242" s="15"/>
      <c r="JHL242" s="15"/>
      <c r="JHM242" s="10"/>
      <c r="JHN242" s="10"/>
      <c r="JHO242" s="21"/>
      <c r="JHP242" s="21"/>
      <c r="JHS242" s="21"/>
      <c r="JHT242" s="15"/>
      <c r="JHU242" s="15"/>
      <c r="JHV242" s="15"/>
      <c r="JHW242" s="15"/>
      <c r="JHX242" s="15"/>
      <c r="JHY242" s="15"/>
      <c r="JHZ242" s="15"/>
      <c r="JIA242" s="15"/>
      <c r="JIB242" s="15"/>
      <c r="JIC242" s="15"/>
      <c r="JID242" s="10"/>
      <c r="JIE242" s="10"/>
      <c r="JIF242" s="21"/>
      <c r="JIG242" s="21"/>
      <c r="JIJ242" s="21"/>
      <c r="JIK242" s="15"/>
      <c r="JIL242" s="15"/>
      <c r="JIM242" s="15"/>
      <c r="JIN242" s="15"/>
      <c r="JIO242" s="15"/>
      <c r="JIP242" s="15"/>
      <c r="JIQ242" s="15"/>
      <c r="JIR242" s="15"/>
      <c r="JIS242" s="15"/>
      <c r="JIT242" s="15"/>
      <c r="JIU242" s="10"/>
      <c r="JIV242" s="10"/>
      <c r="JIW242" s="21"/>
      <c r="JIX242" s="21"/>
      <c r="JJA242" s="21"/>
      <c r="JJB242" s="15"/>
      <c r="JJC242" s="15"/>
      <c r="JJD242" s="15"/>
      <c r="JJE242" s="15"/>
      <c r="JJF242" s="15"/>
      <c r="JJG242" s="15"/>
      <c r="JJH242" s="15"/>
      <c r="JJI242" s="15"/>
      <c r="JJJ242" s="15"/>
      <c r="JJK242" s="15"/>
      <c r="JJL242" s="10"/>
      <c r="JJM242" s="10"/>
      <c r="JJN242" s="21"/>
      <c r="JJO242" s="21"/>
      <c r="JJR242" s="21"/>
      <c r="JJS242" s="15"/>
      <c r="JJT242" s="15"/>
      <c r="JJU242" s="15"/>
      <c r="JJV242" s="15"/>
      <c r="JJW242" s="15"/>
      <c r="JJX242" s="15"/>
      <c r="JJY242" s="15"/>
      <c r="JJZ242" s="15"/>
      <c r="JKA242" s="15"/>
      <c r="JKB242" s="15"/>
      <c r="JKC242" s="10"/>
      <c r="JKD242" s="10"/>
      <c r="JKE242" s="21"/>
      <c r="JKF242" s="21"/>
      <c r="JKI242" s="21"/>
      <c r="JKJ242" s="15"/>
      <c r="JKK242" s="15"/>
      <c r="JKL242" s="15"/>
      <c r="JKM242" s="15"/>
      <c r="JKN242" s="15"/>
      <c r="JKO242" s="15"/>
      <c r="JKP242" s="15"/>
      <c r="JKQ242" s="15"/>
      <c r="JKR242" s="15"/>
      <c r="JKS242" s="15"/>
      <c r="JKT242" s="10"/>
      <c r="JKU242" s="10"/>
      <c r="JKV242" s="21"/>
      <c r="JKW242" s="21"/>
      <c r="JKZ242" s="21"/>
      <c r="JLA242" s="15"/>
      <c r="JLB242" s="15"/>
      <c r="JLC242" s="15"/>
      <c r="JLD242" s="15"/>
      <c r="JLE242" s="15"/>
      <c r="JLF242" s="15"/>
      <c r="JLG242" s="15"/>
      <c r="JLH242" s="15"/>
      <c r="JLI242" s="15"/>
      <c r="JLJ242" s="15"/>
      <c r="JLK242" s="10"/>
      <c r="JLL242" s="10"/>
      <c r="JLM242" s="21"/>
      <c r="JLN242" s="21"/>
      <c r="JLQ242" s="21"/>
      <c r="JLR242" s="15"/>
      <c r="JLS242" s="15"/>
      <c r="JLT242" s="15"/>
      <c r="JLU242" s="15"/>
      <c r="JLV242" s="15"/>
      <c r="JLW242" s="15"/>
      <c r="JLX242" s="15"/>
      <c r="JLY242" s="15"/>
      <c r="JLZ242" s="15"/>
      <c r="JMA242" s="15"/>
      <c r="JMB242" s="10"/>
      <c r="JMC242" s="10"/>
      <c r="JMD242" s="21"/>
      <c r="JME242" s="21"/>
      <c r="JMH242" s="21"/>
      <c r="JMI242" s="15"/>
      <c r="JMJ242" s="15"/>
      <c r="JMK242" s="15"/>
      <c r="JML242" s="15"/>
      <c r="JMM242" s="15"/>
      <c r="JMN242" s="15"/>
      <c r="JMO242" s="15"/>
      <c r="JMP242" s="15"/>
      <c r="JMQ242" s="15"/>
      <c r="JMR242" s="15"/>
      <c r="JMS242" s="10"/>
      <c r="JMT242" s="10"/>
      <c r="JMU242" s="21"/>
      <c r="JMV242" s="21"/>
      <c r="JMY242" s="21"/>
      <c r="JMZ242" s="15"/>
      <c r="JNA242" s="15"/>
      <c r="JNB242" s="15"/>
      <c r="JNC242" s="15"/>
      <c r="JND242" s="15"/>
      <c r="JNE242" s="15"/>
      <c r="JNF242" s="15"/>
      <c r="JNG242" s="15"/>
      <c r="JNH242" s="15"/>
      <c r="JNI242" s="15"/>
      <c r="JNJ242" s="10"/>
      <c r="JNK242" s="10"/>
      <c r="JNL242" s="21"/>
      <c r="JNM242" s="21"/>
      <c r="JNP242" s="21"/>
      <c r="JNQ242" s="15"/>
      <c r="JNR242" s="15"/>
      <c r="JNS242" s="15"/>
      <c r="JNT242" s="15"/>
      <c r="JNU242" s="15"/>
      <c r="JNV242" s="15"/>
      <c r="JNW242" s="15"/>
      <c r="JNX242" s="15"/>
      <c r="JNY242" s="15"/>
      <c r="JNZ242" s="15"/>
      <c r="JOA242" s="10"/>
      <c r="JOB242" s="10"/>
      <c r="JOC242" s="21"/>
      <c r="JOD242" s="21"/>
      <c r="JOG242" s="21"/>
      <c r="JOH242" s="15"/>
      <c r="JOI242" s="15"/>
      <c r="JOJ242" s="15"/>
      <c r="JOK242" s="15"/>
      <c r="JOL242" s="15"/>
      <c r="JOM242" s="15"/>
      <c r="JON242" s="15"/>
      <c r="JOO242" s="15"/>
      <c r="JOP242" s="15"/>
      <c r="JOQ242" s="15"/>
      <c r="JOR242" s="10"/>
      <c r="JOS242" s="10"/>
      <c r="JOT242" s="21"/>
      <c r="JOU242" s="21"/>
      <c r="JOX242" s="21"/>
      <c r="JOY242" s="15"/>
      <c r="JOZ242" s="15"/>
      <c r="JPA242" s="15"/>
      <c r="JPB242" s="15"/>
      <c r="JPC242" s="15"/>
      <c r="JPD242" s="15"/>
      <c r="JPE242" s="15"/>
      <c r="JPF242" s="15"/>
      <c r="JPG242" s="15"/>
      <c r="JPH242" s="15"/>
      <c r="JPI242" s="10"/>
      <c r="JPJ242" s="10"/>
      <c r="JPK242" s="21"/>
      <c r="JPL242" s="21"/>
      <c r="JPO242" s="21"/>
      <c r="JPP242" s="15"/>
      <c r="JPQ242" s="15"/>
      <c r="JPR242" s="15"/>
      <c r="JPS242" s="15"/>
      <c r="JPT242" s="15"/>
      <c r="JPU242" s="15"/>
      <c r="JPV242" s="15"/>
      <c r="JPW242" s="15"/>
      <c r="JPX242" s="15"/>
      <c r="JPY242" s="15"/>
      <c r="JPZ242" s="10"/>
      <c r="JQA242" s="10"/>
      <c r="JQB242" s="21"/>
      <c r="JQC242" s="21"/>
      <c r="JQF242" s="21"/>
      <c r="JQG242" s="15"/>
      <c r="JQH242" s="15"/>
      <c r="JQI242" s="15"/>
      <c r="JQJ242" s="15"/>
      <c r="JQK242" s="15"/>
      <c r="JQL242" s="15"/>
      <c r="JQM242" s="15"/>
      <c r="JQN242" s="15"/>
      <c r="JQO242" s="15"/>
      <c r="JQP242" s="15"/>
      <c r="JQQ242" s="10"/>
      <c r="JQR242" s="10"/>
      <c r="JQS242" s="21"/>
      <c r="JQT242" s="21"/>
      <c r="JQW242" s="21"/>
      <c r="JQX242" s="15"/>
      <c r="JQY242" s="15"/>
      <c r="JQZ242" s="15"/>
      <c r="JRA242" s="15"/>
      <c r="JRB242" s="15"/>
      <c r="JRC242" s="15"/>
      <c r="JRD242" s="15"/>
      <c r="JRE242" s="15"/>
      <c r="JRF242" s="15"/>
      <c r="JRG242" s="15"/>
      <c r="JRH242" s="10"/>
      <c r="JRI242" s="10"/>
      <c r="JRJ242" s="21"/>
      <c r="JRK242" s="21"/>
      <c r="JRN242" s="21"/>
      <c r="JRO242" s="15"/>
      <c r="JRP242" s="15"/>
      <c r="JRQ242" s="15"/>
      <c r="JRR242" s="15"/>
      <c r="JRS242" s="15"/>
      <c r="JRT242" s="15"/>
      <c r="JRU242" s="15"/>
      <c r="JRV242" s="15"/>
      <c r="JRW242" s="15"/>
      <c r="JRX242" s="15"/>
      <c r="JRY242" s="10"/>
      <c r="JRZ242" s="10"/>
      <c r="JSA242" s="21"/>
      <c r="JSB242" s="21"/>
      <c r="JSE242" s="21"/>
      <c r="JSF242" s="15"/>
      <c r="JSG242" s="15"/>
      <c r="JSH242" s="15"/>
      <c r="JSI242" s="15"/>
      <c r="JSJ242" s="15"/>
      <c r="JSK242" s="15"/>
      <c r="JSL242" s="15"/>
      <c r="JSM242" s="15"/>
      <c r="JSN242" s="15"/>
      <c r="JSO242" s="15"/>
      <c r="JSP242" s="10"/>
      <c r="JSQ242" s="10"/>
      <c r="JSR242" s="21"/>
      <c r="JSS242" s="21"/>
      <c r="JSV242" s="21"/>
      <c r="JSW242" s="15"/>
      <c r="JSX242" s="15"/>
      <c r="JSY242" s="15"/>
      <c r="JSZ242" s="15"/>
      <c r="JTA242" s="15"/>
      <c r="JTB242" s="15"/>
      <c r="JTC242" s="15"/>
      <c r="JTD242" s="15"/>
      <c r="JTE242" s="15"/>
      <c r="JTF242" s="15"/>
      <c r="JTG242" s="10"/>
      <c r="JTH242" s="10"/>
      <c r="JTI242" s="21"/>
      <c r="JTJ242" s="21"/>
      <c r="JTM242" s="21"/>
      <c r="JTN242" s="15"/>
      <c r="JTO242" s="15"/>
      <c r="JTP242" s="15"/>
      <c r="JTQ242" s="15"/>
      <c r="JTR242" s="15"/>
      <c r="JTS242" s="15"/>
      <c r="JTT242" s="15"/>
      <c r="JTU242" s="15"/>
      <c r="JTV242" s="15"/>
      <c r="JTW242" s="15"/>
      <c r="JTX242" s="10"/>
      <c r="JTY242" s="10"/>
      <c r="JTZ242" s="21"/>
      <c r="JUA242" s="21"/>
      <c r="JUD242" s="21"/>
      <c r="JUE242" s="15"/>
      <c r="JUF242" s="15"/>
      <c r="JUG242" s="15"/>
      <c r="JUH242" s="15"/>
      <c r="JUI242" s="15"/>
      <c r="JUJ242" s="15"/>
      <c r="JUK242" s="15"/>
      <c r="JUL242" s="15"/>
      <c r="JUM242" s="15"/>
      <c r="JUN242" s="15"/>
      <c r="JUO242" s="10"/>
      <c r="JUP242" s="10"/>
      <c r="JUQ242" s="21"/>
      <c r="JUR242" s="21"/>
      <c r="JUU242" s="21"/>
      <c r="JUV242" s="15"/>
      <c r="JUW242" s="15"/>
      <c r="JUX242" s="15"/>
      <c r="JUY242" s="15"/>
      <c r="JUZ242" s="15"/>
      <c r="JVA242" s="15"/>
      <c r="JVB242" s="15"/>
      <c r="JVC242" s="15"/>
      <c r="JVD242" s="15"/>
      <c r="JVE242" s="15"/>
      <c r="JVF242" s="10"/>
      <c r="JVG242" s="10"/>
      <c r="JVH242" s="21"/>
      <c r="JVI242" s="21"/>
      <c r="JVL242" s="21"/>
      <c r="JVM242" s="15"/>
      <c r="JVN242" s="15"/>
      <c r="JVO242" s="15"/>
      <c r="JVP242" s="15"/>
      <c r="JVQ242" s="15"/>
      <c r="JVR242" s="15"/>
      <c r="JVS242" s="15"/>
      <c r="JVT242" s="15"/>
      <c r="JVU242" s="15"/>
      <c r="JVV242" s="15"/>
      <c r="JVW242" s="10"/>
      <c r="JVX242" s="10"/>
      <c r="JVY242" s="21"/>
      <c r="JVZ242" s="21"/>
      <c r="JWC242" s="21"/>
      <c r="JWD242" s="15"/>
      <c r="JWE242" s="15"/>
      <c r="JWF242" s="15"/>
      <c r="JWG242" s="15"/>
      <c r="JWH242" s="15"/>
      <c r="JWI242" s="15"/>
      <c r="JWJ242" s="15"/>
      <c r="JWK242" s="15"/>
      <c r="JWL242" s="15"/>
      <c r="JWM242" s="15"/>
      <c r="JWN242" s="10"/>
      <c r="JWO242" s="10"/>
      <c r="JWP242" s="21"/>
      <c r="JWQ242" s="21"/>
      <c r="JWT242" s="21"/>
      <c r="JWU242" s="15"/>
      <c r="JWV242" s="15"/>
      <c r="JWW242" s="15"/>
      <c r="JWX242" s="15"/>
      <c r="JWY242" s="15"/>
      <c r="JWZ242" s="15"/>
      <c r="JXA242" s="15"/>
      <c r="JXB242" s="15"/>
      <c r="JXC242" s="15"/>
      <c r="JXD242" s="15"/>
      <c r="JXE242" s="10"/>
      <c r="JXF242" s="10"/>
      <c r="JXG242" s="21"/>
      <c r="JXH242" s="21"/>
      <c r="JXK242" s="21"/>
      <c r="JXL242" s="15"/>
      <c r="JXM242" s="15"/>
      <c r="JXN242" s="15"/>
      <c r="JXO242" s="15"/>
      <c r="JXP242" s="15"/>
      <c r="JXQ242" s="15"/>
      <c r="JXR242" s="15"/>
      <c r="JXS242" s="15"/>
      <c r="JXT242" s="15"/>
      <c r="JXU242" s="15"/>
      <c r="JXV242" s="10"/>
      <c r="JXW242" s="10"/>
      <c r="JXX242" s="21"/>
      <c r="JXY242" s="21"/>
      <c r="JYB242" s="21"/>
      <c r="JYC242" s="15"/>
      <c r="JYD242" s="15"/>
      <c r="JYE242" s="15"/>
      <c r="JYF242" s="15"/>
      <c r="JYG242" s="15"/>
      <c r="JYH242" s="15"/>
      <c r="JYI242" s="15"/>
      <c r="JYJ242" s="15"/>
      <c r="JYK242" s="15"/>
      <c r="JYL242" s="15"/>
      <c r="JYM242" s="10"/>
      <c r="JYN242" s="10"/>
      <c r="JYO242" s="21"/>
      <c r="JYP242" s="21"/>
      <c r="JYS242" s="21"/>
      <c r="JYT242" s="15"/>
      <c r="JYU242" s="15"/>
      <c r="JYV242" s="15"/>
      <c r="JYW242" s="15"/>
      <c r="JYX242" s="15"/>
      <c r="JYY242" s="15"/>
      <c r="JYZ242" s="15"/>
      <c r="JZA242" s="15"/>
      <c r="JZB242" s="15"/>
      <c r="JZC242" s="15"/>
      <c r="JZD242" s="10"/>
      <c r="JZE242" s="10"/>
      <c r="JZF242" s="21"/>
      <c r="JZG242" s="21"/>
      <c r="JZJ242" s="21"/>
      <c r="JZK242" s="15"/>
      <c r="JZL242" s="15"/>
      <c r="JZM242" s="15"/>
      <c r="JZN242" s="15"/>
      <c r="JZO242" s="15"/>
      <c r="JZP242" s="15"/>
      <c r="JZQ242" s="15"/>
      <c r="JZR242" s="15"/>
      <c r="JZS242" s="15"/>
      <c r="JZT242" s="15"/>
      <c r="JZU242" s="10"/>
      <c r="JZV242" s="10"/>
      <c r="JZW242" s="21"/>
      <c r="JZX242" s="21"/>
      <c r="KAA242" s="21"/>
      <c r="KAB242" s="15"/>
      <c r="KAC242" s="15"/>
      <c r="KAD242" s="15"/>
      <c r="KAE242" s="15"/>
      <c r="KAF242" s="15"/>
      <c r="KAG242" s="15"/>
      <c r="KAH242" s="15"/>
      <c r="KAI242" s="15"/>
      <c r="KAJ242" s="15"/>
      <c r="KAK242" s="15"/>
      <c r="KAL242" s="10"/>
      <c r="KAM242" s="10"/>
      <c r="KAN242" s="21"/>
      <c r="KAO242" s="21"/>
      <c r="KAR242" s="21"/>
      <c r="KAS242" s="15"/>
      <c r="KAT242" s="15"/>
      <c r="KAU242" s="15"/>
      <c r="KAV242" s="15"/>
      <c r="KAW242" s="15"/>
      <c r="KAX242" s="15"/>
      <c r="KAY242" s="15"/>
      <c r="KAZ242" s="15"/>
      <c r="KBA242" s="15"/>
      <c r="KBB242" s="15"/>
      <c r="KBC242" s="10"/>
      <c r="KBD242" s="10"/>
      <c r="KBE242" s="21"/>
      <c r="KBF242" s="21"/>
      <c r="KBI242" s="21"/>
      <c r="KBJ242" s="15"/>
      <c r="KBK242" s="15"/>
      <c r="KBL242" s="15"/>
      <c r="KBM242" s="15"/>
      <c r="KBN242" s="15"/>
      <c r="KBO242" s="15"/>
      <c r="KBP242" s="15"/>
      <c r="KBQ242" s="15"/>
      <c r="KBR242" s="15"/>
      <c r="KBS242" s="15"/>
      <c r="KBT242" s="10"/>
      <c r="KBU242" s="10"/>
      <c r="KBV242" s="21"/>
      <c r="KBW242" s="21"/>
      <c r="KBZ242" s="21"/>
      <c r="KCA242" s="15"/>
      <c r="KCB242" s="15"/>
      <c r="KCC242" s="15"/>
      <c r="KCD242" s="15"/>
      <c r="KCE242" s="15"/>
      <c r="KCF242" s="15"/>
      <c r="KCG242" s="15"/>
      <c r="KCH242" s="15"/>
      <c r="KCI242" s="15"/>
      <c r="KCJ242" s="15"/>
      <c r="KCK242" s="10"/>
      <c r="KCL242" s="10"/>
      <c r="KCM242" s="21"/>
      <c r="KCN242" s="21"/>
      <c r="KCQ242" s="21"/>
      <c r="KCR242" s="15"/>
      <c r="KCS242" s="15"/>
      <c r="KCT242" s="15"/>
      <c r="KCU242" s="15"/>
      <c r="KCV242" s="15"/>
      <c r="KCW242" s="15"/>
      <c r="KCX242" s="15"/>
      <c r="KCY242" s="15"/>
      <c r="KCZ242" s="15"/>
      <c r="KDA242" s="15"/>
      <c r="KDB242" s="10"/>
      <c r="KDC242" s="10"/>
      <c r="KDD242" s="21"/>
      <c r="KDE242" s="21"/>
      <c r="KDH242" s="21"/>
      <c r="KDI242" s="15"/>
      <c r="KDJ242" s="15"/>
      <c r="KDK242" s="15"/>
      <c r="KDL242" s="15"/>
      <c r="KDM242" s="15"/>
      <c r="KDN242" s="15"/>
      <c r="KDO242" s="15"/>
      <c r="KDP242" s="15"/>
      <c r="KDQ242" s="15"/>
      <c r="KDR242" s="15"/>
      <c r="KDS242" s="10"/>
      <c r="KDT242" s="10"/>
      <c r="KDU242" s="21"/>
      <c r="KDV242" s="21"/>
      <c r="KDY242" s="21"/>
      <c r="KDZ242" s="15"/>
      <c r="KEA242" s="15"/>
      <c r="KEB242" s="15"/>
      <c r="KEC242" s="15"/>
      <c r="KED242" s="15"/>
      <c r="KEE242" s="15"/>
      <c r="KEF242" s="15"/>
      <c r="KEG242" s="15"/>
      <c r="KEH242" s="15"/>
      <c r="KEI242" s="15"/>
      <c r="KEJ242" s="10"/>
      <c r="KEK242" s="10"/>
      <c r="KEL242" s="21"/>
      <c r="KEM242" s="21"/>
      <c r="KEP242" s="21"/>
      <c r="KEQ242" s="15"/>
      <c r="KER242" s="15"/>
      <c r="KES242" s="15"/>
      <c r="KET242" s="15"/>
      <c r="KEU242" s="15"/>
      <c r="KEV242" s="15"/>
      <c r="KEW242" s="15"/>
      <c r="KEX242" s="15"/>
      <c r="KEY242" s="15"/>
      <c r="KEZ242" s="15"/>
      <c r="KFA242" s="10"/>
      <c r="KFB242" s="10"/>
      <c r="KFC242" s="21"/>
      <c r="KFD242" s="21"/>
      <c r="KFG242" s="21"/>
      <c r="KFH242" s="15"/>
      <c r="KFI242" s="15"/>
      <c r="KFJ242" s="15"/>
      <c r="KFK242" s="15"/>
      <c r="KFL242" s="15"/>
      <c r="KFM242" s="15"/>
      <c r="KFN242" s="15"/>
      <c r="KFO242" s="15"/>
      <c r="KFP242" s="15"/>
      <c r="KFQ242" s="15"/>
      <c r="KFR242" s="10"/>
      <c r="KFS242" s="10"/>
      <c r="KFT242" s="21"/>
      <c r="KFU242" s="21"/>
      <c r="KFX242" s="21"/>
      <c r="KFY242" s="15"/>
      <c r="KFZ242" s="15"/>
      <c r="KGA242" s="15"/>
      <c r="KGB242" s="15"/>
      <c r="KGC242" s="15"/>
      <c r="KGD242" s="15"/>
      <c r="KGE242" s="15"/>
      <c r="KGF242" s="15"/>
      <c r="KGG242" s="15"/>
      <c r="KGH242" s="15"/>
      <c r="KGI242" s="10"/>
      <c r="KGJ242" s="10"/>
      <c r="KGK242" s="21"/>
      <c r="KGL242" s="21"/>
      <c r="KGO242" s="21"/>
      <c r="KGP242" s="15"/>
      <c r="KGQ242" s="15"/>
      <c r="KGR242" s="15"/>
      <c r="KGS242" s="15"/>
      <c r="KGT242" s="15"/>
      <c r="KGU242" s="15"/>
      <c r="KGV242" s="15"/>
      <c r="KGW242" s="15"/>
      <c r="KGX242" s="15"/>
      <c r="KGY242" s="15"/>
      <c r="KGZ242" s="10"/>
      <c r="KHA242" s="10"/>
      <c r="KHB242" s="21"/>
      <c r="KHC242" s="21"/>
      <c r="KHF242" s="21"/>
      <c r="KHG242" s="15"/>
      <c r="KHH242" s="15"/>
      <c r="KHI242" s="15"/>
      <c r="KHJ242" s="15"/>
      <c r="KHK242" s="15"/>
      <c r="KHL242" s="15"/>
      <c r="KHM242" s="15"/>
      <c r="KHN242" s="15"/>
      <c r="KHO242" s="15"/>
      <c r="KHP242" s="15"/>
      <c r="KHQ242" s="10"/>
      <c r="KHR242" s="10"/>
      <c r="KHS242" s="21"/>
      <c r="KHT242" s="21"/>
      <c r="KHW242" s="21"/>
      <c r="KHX242" s="15"/>
      <c r="KHY242" s="15"/>
      <c r="KHZ242" s="15"/>
      <c r="KIA242" s="15"/>
      <c r="KIB242" s="15"/>
      <c r="KIC242" s="15"/>
      <c r="KID242" s="15"/>
      <c r="KIE242" s="15"/>
      <c r="KIF242" s="15"/>
      <c r="KIG242" s="15"/>
      <c r="KIH242" s="10"/>
      <c r="KII242" s="10"/>
      <c r="KIJ242" s="21"/>
      <c r="KIK242" s="21"/>
      <c r="KIN242" s="21"/>
      <c r="KIO242" s="15"/>
      <c r="KIP242" s="15"/>
      <c r="KIQ242" s="15"/>
      <c r="KIR242" s="15"/>
      <c r="KIS242" s="15"/>
      <c r="KIT242" s="15"/>
      <c r="KIU242" s="15"/>
      <c r="KIV242" s="15"/>
      <c r="KIW242" s="15"/>
      <c r="KIX242" s="15"/>
      <c r="KIY242" s="10"/>
      <c r="KIZ242" s="10"/>
      <c r="KJA242" s="21"/>
      <c r="KJB242" s="21"/>
      <c r="KJE242" s="21"/>
      <c r="KJF242" s="15"/>
      <c r="KJG242" s="15"/>
      <c r="KJH242" s="15"/>
      <c r="KJI242" s="15"/>
      <c r="KJJ242" s="15"/>
      <c r="KJK242" s="15"/>
      <c r="KJL242" s="15"/>
      <c r="KJM242" s="15"/>
      <c r="KJN242" s="15"/>
      <c r="KJO242" s="15"/>
      <c r="KJP242" s="10"/>
      <c r="KJQ242" s="10"/>
      <c r="KJR242" s="21"/>
      <c r="KJS242" s="21"/>
      <c r="KJV242" s="21"/>
      <c r="KJW242" s="15"/>
      <c r="KJX242" s="15"/>
      <c r="KJY242" s="15"/>
      <c r="KJZ242" s="15"/>
      <c r="KKA242" s="15"/>
      <c r="KKB242" s="15"/>
      <c r="KKC242" s="15"/>
      <c r="KKD242" s="15"/>
      <c r="KKE242" s="15"/>
      <c r="KKF242" s="15"/>
      <c r="KKG242" s="10"/>
      <c r="KKH242" s="10"/>
      <c r="KKI242" s="21"/>
      <c r="KKJ242" s="21"/>
      <c r="KKM242" s="21"/>
      <c r="KKN242" s="15"/>
      <c r="KKO242" s="15"/>
      <c r="KKP242" s="15"/>
      <c r="KKQ242" s="15"/>
      <c r="KKR242" s="15"/>
      <c r="KKS242" s="15"/>
      <c r="KKT242" s="15"/>
      <c r="KKU242" s="15"/>
      <c r="KKV242" s="15"/>
      <c r="KKW242" s="15"/>
      <c r="KKX242" s="10"/>
      <c r="KKY242" s="10"/>
      <c r="KKZ242" s="21"/>
      <c r="KLA242" s="21"/>
      <c r="KLD242" s="21"/>
      <c r="KLE242" s="15"/>
      <c r="KLF242" s="15"/>
      <c r="KLG242" s="15"/>
      <c r="KLH242" s="15"/>
      <c r="KLI242" s="15"/>
      <c r="KLJ242" s="15"/>
      <c r="KLK242" s="15"/>
      <c r="KLL242" s="15"/>
      <c r="KLM242" s="15"/>
      <c r="KLN242" s="15"/>
      <c r="KLO242" s="10"/>
      <c r="KLP242" s="10"/>
      <c r="KLQ242" s="21"/>
      <c r="KLR242" s="21"/>
      <c r="KLU242" s="21"/>
      <c r="KLV242" s="15"/>
      <c r="KLW242" s="15"/>
      <c r="KLX242" s="15"/>
      <c r="KLY242" s="15"/>
      <c r="KLZ242" s="15"/>
      <c r="KMA242" s="15"/>
      <c r="KMB242" s="15"/>
      <c r="KMC242" s="15"/>
      <c r="KMD242" s="15"/>
      <c r="KME242" s="15"/>
      <c r="KMF242" s="10"/>
      <c r="KMG242" s="10"/>
      <c r="KMH242" s="21"/>
      <c r="KMI242" s="21"/>
      <c r="KML242" s="21"/>
      <c r="KMM242" s="15"/>
      <c r="KMN242" s="15"/>
      <c r="KMO242" s="15"/>
      <c r="KMP242" s="15"/>
      <c r="KMQ242" s="15"/>
      <c r="KMR242" s="15"/>
      <c r="KMS242" s="15"/>
      <c r="KMT242" s="15"/>
      <c r="KMU242" s="15"/>
      <c r="KMV242" s="15"/>
      <c r="KMW242" s="10"/>
      <c r="KMX242" s="10"/>
      <c r="KMY242" s="21"/>
      <c r="KMZ242" s="21"/>
      <c r="KNC242" s="21"/>
      <c r="KND242" s="15"/>
      <c r="KNE242" s="15"/>
      <c r="KNF242" s="15"/>
      <c r="KNG242" s="15"/>
      <c r="KNH242" s="15"/>
      <c r="KNI242" s="15"/>
      <c r="KNJ242" s="15"/>
      <c r="KNK242" s="15"/>
      <c r="KNL242" s="15"/>
      <c r="KNM242" s="15"/>
      <c r="KNN242" s="10"/>
      <c r="KNO242" s="10"/>
      <c r="KNP242" s="21"/>
      <c r="KNQ242" s="21"/>
      <c r="KNT242" s="21"/>
      <c r="KNU242" s="15"/>
      <c r="KNV242" s="15"/>
      <c r="KNW242" s="15"/>
      <c r="KNX242" s="15"/>
      <c r="KNY242" s="15"/>
      <c r="KNZ242" s="15"/>
      <c r="KOA242" s="15"/>
      <c r="KOB242" s="15"/>
      <c r="KOC242" s="15"/>
      <c r="KOD242" s="15"/>
      <c r="KOE242" s="10"/>
      <c r="KOF242" s="10"/>
      <c r="KOG242" s="21"/>
      <c r="KOH242" s="21"/>
      <c r="KOK242" s="21"/>
      <c r="KOL242" s="15"/>
      <c r="KOM242" s="15"/>
      <c r="KON242" s="15"/>
      <c r="KOO242" s="15"/>
      <c r="KOP242" s="15"/>
      <c r="KOQ242" s="15"/>
      <c r="KOR242" s="15"/>
      <c r="KOS242" s="15"/>
      <c r="KOT242" s="15"/>
      <c r="KOU242" s="15"/>
      <c r="KOV242" s="10"/>
      <c r="KOW242" s="10"/>
      <c r="KOX242" s="21"/>
      <c r="KOY242" s="21"/>
      <c r="KPB242" s="21"/>
      <c r="KPC242" s="15"/>
      <c r="KPD242" s="15"/>
      <c r="KPE242" s="15"/>
      <c r="KPF242" s="15"/>
      <c r="KPG242" s="15"/>
      <c r="KPH242" s="15"/>
      <c r="KPI242" s="15"/>
      <c r="KPJ242" s="15"/>
      <c r="KPK242" s="15"/>
      <c r="KPL242" s="15"/>
      <c r="KPM242" s="10"/>
      <c r="KPN242" s="10"/>
      <c r="KPO242" s="21"/>
      <c r="KPP242" s="21"/>
      <c r="KPS242" s="21"/>
      <c r="KPT242" s="15"/>
      <c r="KPU242" s="15"/>
      <c r="KPV242" s="15"/>
      <c r="KPW242" s="15"/>
      <c r="KPX242" s="15"/>
      <c r="KPY242" s="15"/>
      <c r="KPZ242" s="15"/>
      <c r="KQA242" s="15"/>
      <c r="KQB242" s="15"/>
      <c r="KQC242" s="15"/>
      <c r="KQD242" s="10"/>
      <c r="KQE242" s="10"/>
      <c r="KQF242" s="21"/>
      <c r="KQG242" s="21"/>
      <c r="KQJ242" s="21"/>
      <c r="KQK242" s="15"/>
      <c r="KQL242" s="15"/>
      <c r="KQM242" s="15"/>
      <c r="KQN242" s="15"/>
      <c r="KQO242" s="15"/>
      <c r="KQP242" s="15"/>
      <c r="KQQ242" s="15"/>
      <c r="KQR242" s="15"/>
      <c r="KQS242" s="15"/>
      <c r="KQT242" s="15"/>
      <c r="KQU242" s="10"/>
      <c r="KQV242" s="10"/>
      <c r="KQW242" s="21"/>
      <c r="KQX242" s="21"/>
      <c r="KRA242" s="21"/>
      <c r="KRB242" s="15"/>
      <c r="KRC242" s="15"/>
      <c r="KRD242" s="15"/>
      <c r="KRE242" s="15"/>
      <c r="KRF242" s="15"/>
      <c r="KRG242" s="15"/>
      <c r="KRH242" s="15"/>
      <c r="KRI242" s="15"/>
      <c r="KRJ242" s="15"/>
      <c r="KRK242" s="15"/>
      <c r="KRL242" s="10"/>
      <c r="KRM242" s="10"/>
      <c r="KRN242" s="21"/>
      <c r="KRO242" s="21"/>
      <c r="KRR242" s="21"/>
      <c r="KRS242" s="15"/>
      <c r="KRT242" s="15"/>
      <c r="KRU242" s="15"/>
      <c r="KRV242" s="15"/>
      <c r="KRW242" s="15"/>
      <c r="KRX242" s="15"/>
      <c r="KRY242" s="15"/>
      <c r="KRZ242" s="15"/>
      <c r="KSA242" s="15"/>
      <c r="KSB242" s="15"/>
      <c r="KSC242" s="10"/>
      <c r="KSD242" s="10"/>
      <c r="KSE242" s="21"/>
      <c r="KSF242" s="21"/>
      <c r="KSI242" s="21"/>
      <c r="KSJ242" s="15"/>
      <c r="KSK242" s="15"/>
      <c r="KSL242" s="15"/>
      <c r="KSM242" s="15"/>
      <c r="KSN242" s="15"/>
      <c r="KSO242" s="15"/>
      <c r="KSP242" s="15"/>
      <c r="KSQ242" s="15"/>
      <c r="KSR242" s="15"/>
      <c r="KSS242" s="15"/>
      <c r="KST242" s="10"/>
      <c r="KSU242" s="10"/>
      <c r="KSV242" s="21"/>
      <c r="KSW242" s="21"/>
      <c r="KSZ242" s="21"/>
      <c r="KTA242" s="15"/>
      <c r="KTB242" s="15"/>
      <c r="KTC242" s="15"/>
      <c r="KTD242" s="15"/>
      <c r="KTE242" s="15"/>
      <c r="KTF242" s="15"/>
      <c r="KTG242" s="15"/>
      <c r="KTH242" s="15"/>
      <c r="KTI242" s="15"/>
      <c r="KTJ242" s="15"/>
      <c r="KTK242" s="10"/>
      <c r="KTL242" s="10"/>
      <c r="KTM242" s="21"/>
      <c r="KTN242" s="21"/>
      <c r="KTQ242" s="21"/>
      <c r="KTR242" s="15"/>
      <c r="KTS242" s="15"/>
      <c r="KTT242" s="15"/>
      <c r="KTU242" s="15"/>
      <c r="KTV242" s="15"/>
      <c r="KTW242" s="15"/>
      <c r="KTX242" s="15"/>
      <c r="KTY242" s="15"/>
      <c r="KTZ242" s="15"/>
      <c r="KUA242" s="15"/>
      <c r="KUB242" s="10"/>
      <c r="KUC242" s="10"/>
      <c r="KUD242" s="21"/>
      <c r="KUE242" s="21"/>
      <c r="KUH242" s="21"/>
      <c r="KUI242" s="15"/>
      <c r="KUJ242" s="15"/>
      <c r="KUK242" s="15"/>
      <c r="KUL242" s="15"/>
      <c r="KUM242" s="15"/>
      <c r="KUN242" s="15"/>
      <c r="KUO242" s="15"/>
      <c r="KUP242" s="15"/>
      <c r="KUQ242" s="15"/>
      <c r="KUR242" s="15"/>
      <c r="KUS242" s="10"/>
      <c r="KUT242" s="10"/>
      <c r="KUU242" s="21"/>
      <c r="KUV242" s="21"/>
      <c r="KUY242" s="21"/>
      <c r="KUZ242" s="15"/>
      <c r="KVA242" s="15"/>
      <c r="KVB242" s="15"/>
      <c r="KVC242" s="15"/>
      <c r="KVD242" s="15"/>
      <c r="KVE242" s="15"/>
      <c r="KVF242" s="15"/>
      <c r="KVG242" s="15"/>
      <c r="KVH242" s="15"/>
      <c r="KVI242" s="15"/>
      <c r="KVJ242" s="10"/>
      <c r="KVK242" s="10"/>
      <c r="KVL242" s="21"/>
      <c r="KVM242" s="21"/>
      <c r="KVP242" s="21"/>
      <c r="KVQ242" s="15"/>
      <c r="KVR242" s="15"/>
      <c r="KVS242" s="15"/>
      <c r="KVT242" s="15"/>
      <c r="KVU242" s="15"/>
      <c r="KVV242" s="15"/>
      <c r="KVW242" s="15"/>
      <c r="KVX242" s="15"/>
      <c r="KVY242" s="15"/>
      <c r="KVZ242" s="15"/>
      <c r="KWA242" s="10"/>
      <c r="KWB242" s="10"/>
      <c r="KWC242" s="21"/>
      <c r="KWD242" s="21"/>
      <c r="KWG242" s="21"/>
      <c r="KWH242" s="15"/>
      <c r="KWI242" s="15"/>
      <c r="KWJ242" s="15"/>
      <c r="KWK242" s="15"/>
      <c r="KWL242" s="15"/>
      <c r="KWM242" s="15"/>
      <c r="KWN242" s="15"/>
      <c r="KWO242" s="15"/>
      <c r="KWP242" s="15"/>
      <c r="KWQ242" s="15"/>
      <c r="KWR242" s="10"/>
      <c r="KWS242" s="10"/>
      <c r="KWT242" s="21"/>
      <c r="KWU242" s="21"/>
      <c r="KWX242" s="21"/>
      <c r="KWY242" s="15"/>
      <c r="KWZ242" s="15"/>
      <c r="KXA242" s="15"/>
      <c r="KXB242" s="15"/>
      <c r="KXC242" s="15"/>
      <c r="KXD242" s="15"/>
      <c r="KXE242" s="15"/>
      <c r="KXF242" s="15"/>
      <c r="KXG242" s="15"/>
      <c r="KXH242" s="15"/>
      <c r="KXI242" s="10"/>
      <c r="KXJ242" s="10"/>
      <c r="KXK242" s="21"/>
      <c r="KXL242" s="21"/>
      <c r="KXO242" s="21"/>
      <c r="KXP242" s="15"/>
      <c r="KXQ242" s="15"/>
      <c r="KXR242" s="15"/>
      <c r="KXS242" s="15"/>
      <c r="KXT242" s="15"/>
      <c r="KXU242" s="15"/>
      <c r="KXV242" s="15"/>
      <c r="KXW242" s="15"/>
      <c r="KXX242" s="15"/>
      <c r="KXY242" s="15"/>
      <c r="KXZ242" s="10"/>
      <c r="KYA242" s="10"/>
      <c r="KYB242" s="21"/>
      <c r="KYC242" s="21"/>
      <c r="KYF242" s="21"/>
      <c r="KYG242" s="15"/>
      <c r="KYH242" s="15"/>
      <c r="KYI242" s="15"/>
      <c r="KYJ242" s="15"/>
      <c r="KYK242" s="15"/>
      <c r="KYL242" s="15"/>
      <c r="KYM242" s="15"/>
      <c r="KYN242" s="15"/>
      <c r="KYO242" s="15"/>
      <c r="KYP242" s="15"/>
      <c r="KYQ242" s="10"/>
      <c r="KYR242" s="10"/>
      <c r="KYS242" s="21"/>
      <c r="KYT242" s="21"/>
      <c r="KYW242" s="21"/>
      <c r="KYX242" s="15"/>
      <c r="KYY242" s="15"/>
      <c r="KYZ242" s="15"/>
      <c r="KZA242" s="15"/>
      <c r="KZB242" s="15"/>
      <c r="KZC242" s="15"/>
      <c r="KZD242" s="15"/>
      <c r="KZE242" s="15"/>
      <c r="KZF242" s="15"/>
      <c r="KZG242" s="15"/>
      <c r="KZH242" s="10"/>
      <c r="KZI242" s="10"/>
      <c r="KZJ242" s="21"/>
      <c r="KZK242" s="21"/>
      <c r="KZN242" s="21"/>
      <c r="KZO242" s="15"/>
      <c r="KZP242" s="15"/>
      <c r="KZQ242" s="15"/>
      <c r="KZR242" s="15"/>
      <c r="KZS242" s="15"/>
      <c r="KZT242" s="15"/>
      <c r="KZU242" s="15"/>
      <c r="KZV242" s="15"/>
      <c r="KZW242" s="15"/>
      <c r="KZX242" s="15"/>
      <c r="KZY242" s="10"/>
      <c r="KZZ242" s="10"/>
      <c r="LAA242" s="21"/>
      <c r="LAB242" s="21"/>
      <c r="LAE242" s="21"/>
      <c r="LAF242" s="15"/>
      <c r="LAG242" s="15"/>
      <c r="LAH242" s="15"/>
      <c r="LAI242" s="15"/>
      <c r="LAJ242" s="15"/>
      <c r="LAK242" s="15"/>
      <c r="LAL242" s="15"/>
      <c r="LAM242" s="15"/>
      <c r="LAN242" s="15"/>
      <c r="LAO242" s="15"/>
      <c r="LAP242" s="10"/>
      <c r="LAQ242" s="10"/>
      <c r="LAR242" s="21"/>
      <c r="LAS242" s="21"/>
      <c r="LAV242" s="21"/>
      <c r="LAW242" s="15"/>
      <c r="LAX242" s="15"/>
      <c r="LAY242" s="15"/>
      <c r="LAZ242" s="15"/>
      <c r="LBA242" s="15"/>
      <c r="LBB242" s="15"/>
      <c r="LBC242" s="15"/>
      <c r="LBD242" s="15"/>
      <c r="LBE242" s="15"/>
      <c r="LBF242" s="15"/>
      <c r="LBG242" s="10"/>
      <c r="LBH242" s="10"/>
      <c r="LBI242" s="21"/>
      <c r="LBJ242" s="21"/>
      <c r="LBM242" s="21"/>
      <c r="LBN242" s="15"/>
      <c r="LBO242" s="15"/>
      <c r="LBP242" s="15"/>
      <c r="LBQ242" s="15"/>
      <c r="LBR242" s="15"/>
      <c r="LBS242" s="15"/>
      <c r="LBT242" s="15"/>
      <c r="LBU242" s="15"/>
      <c r="LBV242" s="15"/>
      <c r="LBW242" s="15"/>
      <c r="LBX242" s="10"/>
      <c r="LBY242" s="10"/>
      <c r="LBZ242" s="21"/>
      <c r="LCA242" s="21"/>
      <c r="LCD242" s="21"/>
      <c r="LCE242" s="15"/>
      <c r="LCF242" s="15"/>
      <c r="LCG242" s="15"/>
      <c r="LCH242" s="15"/>
      <c r="LCI242" s="15"/>
      <c r="LCJ242" s="15"/>
      <c r="LCK242" s="15"/>
      <c r="LCL242" s="15"/>
      <c r="LCM242" s="15"/>
      <c r="LCN242" s="15"/>
      <c r="LCO242" s="10"/>
      <c r="LCP242" s="10"/>
      <c r="LCQ242" s="21"/>
      <c r="LCR242" s="21"/>
      <c r="LCU242" s="21"/>
      <c r="LCV242" s="15"/>
      <c r="LCW242" s="15"/>
      <c r="LCX242" s="15"/>
      <c r="LCY242" s="15"/>
      <c r="LCZ242" s="15"/>
      <c r="LDA242" s="15"/>
      <c r="LDB242" s="15"/>
      <c r="LDC242" s="15"/>
      <c r="LDD242" s="15"/>
      <c r="LDE242" s="15"/>
      <c r="LDF242" s="10"/>
      <c r="LDG242" s="10"/>
      <c r="LDH242" s="21"/>
      <c r="LDI242" s="21"/>
      <c r="LDL242" s="21"/>
      <c r="LDM242" s="15"/>
      <c r="LDN242" s="15"/>
      <c r="LDO242" s="15"/>
      <c r="LDP242" s="15"/>
      <c r="LDQ242" s="15"/>
      <c r="LDR242" s="15"/>
      <c r="LDS242" s="15"/>
      <c r="LDT242" s="15"/>
      <c r="LDU242" s="15"/>
      <c r="LDV242" s="15"/>
      <c r="LDW242" s="10"/>
      <c r="LDX242" s="10"/>
      <c r="LDY242" s="21"/>
      <c r="LDZ242" s="21"/>
      <c r="LEC242" s="21"/>
      <c r="LED242" s="15"/>
      <c r="LEE242" s="15"/>
      <c r="LEF242" s="15"/>
      <c r="LEG242" s="15"/>
      <c r="LEH242" s="15"/>
      <c r="LEI242" s="15"/>
      <c r="LEJ242" s="15"/>
      <c r="LEK242" s="15"/>
      <c r="LEL242" s="15"/>
      <c r="LEM242" s="15"/>
      <c r="LEN242" s="10"/>
      <c r="LEO242" s="10"/>
      <c r="LEP242" s="21"/>
      <c r="LEQ242" s="21"/>
      <c r="LET242" s="21"/>
      <c r="LEU242" s="15"/>
      <c r="LEV242" s="15"/>
      <c r="LEW242" s="15"/>
      <c r="LEX242" s="15"/>
      <c r="LEY242" s="15"/>
      <c r="LEZ242" s="15"/>
      <c r="LFA242" s="15"/>
      <c r="LFB242" s="15"/>
      <c r="LFC242" s="15"/>
      <c r="LFD242" s="15"/>
      <c r="LFE242" s="10"/>
      <c r="LFF242" s="10"/>
      <c r="LFG242" s="21"/>
      <c r="LFH242" s="21"/>
      <c r="LFK242" s="21"/>
      <c r="LFL242" s="15"/>
      <c r="LFM242" s="15"/>
      <c r="LFN242" s="15"/>
      <c r="LFO242" s="15"/>
      <c r="LFP242" s="15"/>
      <c r="LFQ242" s="15"/>
      <c r="LFR242" s="15"/>
      <c r="LFS242" s="15"/>
      <c r="LFT242" s="15"/>
      <c r="LFU242" s="15"/>
      <c r="LFV242" s="10"/>
      <c r="LFW242" s="10"/>
      <c r="LFX242" s="21"/>
      <c r="LFY242" s="21"/>
      <c r="LGB242" s="21"/>
      <c r="LGC242" s="15"/>
      <c r="LGD242" s="15"/>
      <c r="LGE242" s="15"/>
      <c r="LGF242" s="15"/>
      <c r="LGG242" s="15"/>
      <c r="LGH242" s="15"/>
      <c r="LGI242" s="15"/>
      <c r="LGJ242" s="15"/>
      <c r="LGK242" s="15"/>
      <c r="LGL242" s="15"/>
      <c r="LGM242" s="10"/>
      <c r="LGN242" s="10"/>
      <c r="LGO242" s="21"/>
      <c r="LGP242" s="21"/>
      <c r="LGS242" s="21"/>
      <c r="LGT242" s="15"/>
      <c r="LGU242" s="15"/>
      <c r="LGV242" s="15"/>
      <c r="LGW242" s="15"/>
      <c r="LGX242" s="15"/>
      <c r="LGY242" s="15"/>
      <c r="LGZ242" s="15"/>
      <c r="LHA242" s="15"/>
      <c r="LHB242" s="15"/>
      <c r="LHC242" s="15"/>
      <c r="LHD242" s="10"/>
      <c r="LHE242" s="10"/>
      <c r="LHF242" s="21"/>
      <c r="LHG242" s="21"/>
      <c r="LHJ242" s="21"/>
      <c r="LHK242" s="15"/>
      <c r="LHL242" s="15"/>
      <c r="LHM242" s="15"/>
      <c r="LHN242" s="15"/>
      <c r="LHO242" s="15"/>
      <c r="LHP242" s="15"/>
      <c r="LHQ242" s="15"/>
      <c r="LHR242" s="15"/>
      <c r="LHS242" s="15"/>
      <c r="LHT242" s="15"/>
      <c r="LHU242" s="10"/>
      <c r="LHV242" s="10"/>
      <c r="LHW242" s="21"/>
      <c r="LHX242" s="21"/>
      <c r="LIA242" s="21"/>
      <c r="LIB242" s="15"/>
      <c r="LIC242" s="15"/>
      <c r="LID242" s="15"/>
      <c r="LIE242" s="15"/>
      <c r="LIF242" s="15"/>
      <c r="LIG242" s="15"/>
      <c r="LIH242" s="15"/>
      <c r="LII242" s="15"/>
      <c r="LIJ242" s="15"/>
      <c r="LIK242" s="15"/>
      <c r="LIL242" s="10"/>
      <c r="LIM242" s="10"/>
      <c r="LIN242" s="21"/>
      <c r="LIO242" s="21"/>
      <c r="LIR242" s="21"/>
      <c r="LIS242" s="15"/>
      <c r="LIT242" s="15"/>
      <c r="LIU242" s="15"/>
      <c r="LIV242" s="15"/>
      <c r="LIW242" s="15"/>
      <c r="LIX242" s="15"/>
      <c r="LIY242" s="15"/>
      <c r="LIZ242" s="15"/>
      <c r="LJA242" s="15"/>
      <c r="LJB242" s="15"/>
      <c r="LJC242" s="10"/>
      <c r="LJD242" s="10"/>
      <c r="LJE242" s="21"/>
      <c r="LJF242" s="21"/>
      <c r="LJI242" s="21"/>
      <c r="LJJ242" s="15"/>
      <c r="LJK242" s="15"/>
      <c r="LJL242" s="15"/>
      <c r="LJM242" s="15"/>
      <c r="LJN242" s="15"/>
      <c r="LJO242" s="15"/>
      <c r="LJP242" s="15"/>
      <c r="LJQ242" s="15"/>
      <c r="LJR242" s="15"/>
      <c r="LJS242" s="15"/>
      <c r="LJT242" s="10"/>
      <c r="LJU242" s="10"/>
      <c r="LJV242" s="21"/>
      <c r="LJW242" s="21"/>
      <c r="LJZ242" s="21"/>
      <c r="LKA242" s="15"/>
      <c r="LKB242" s="15"/>
      <c r="LKC242" s="15"/>
      <c r="LKD242" s="15"/>
      <c r="LKE242" s="15"/>
      <c r="LKF242" s="15"/>
      <c r="LKG242" s="15"/>
      <c r="LKH242" s="15"/>
      <c r="LKI242" s="15"/>
      <c r="LKJ242" s="15"/>
      <c r="LKK242" s="10"/>
      <c r="LKL242" s="10"/>
      <c r="LKM242" s="21"/>
      <c r="LKN242" s="21"/>
      <c r="LKQ242" s="21"/>
      <c r="LKR242" s="15"/>
      <c r="LKS242" s="15"/>
      <c r="LKT242" s="15"/>
      <c r="LKU242" s="15"/>
      <c r="LKV242" s="15"/>
      <c r="LKW242" s="15"/>
      <c r="LKX242" s="15"/>
      <c r="LKY242" s="15"/>
      <c r="LKZ242" s="15"/>
      <c r="LLA242" s="15"/>
      <c r="LLB242" s="10"/>
      <c r="LLC242" s="10"/>
      <c r="LLD242" s="21"/>
      <c r="LLE242" s="21"/>
      <c r="LLH242" s="21"/>
      <c r="LLI242" s="15"/>
      <c r="LLJ242" s="15"/>
      <c r="LLK242" s="15"/>
      <c r="LLL242" s="15"/>
      <c r="LLM242" s="15"/>
      <c r="LLN242" s="15"/>
      <c r="LLO242" s="15"/>
      <c r="LLP242" s="15"/>
      <c r="LLQ242" s="15"/>
      <c r="LLR242" s="15"/>
      <c r="LLS242" s="10"/>
      <c r="LLT242" s="10"/>
      <c r="LLU242" s="21"/>
      <c r="LLV242" s="21"/>
      <c r="LLY242" s="21"/>
      <c r="LLZ242" s="15"/>
      <c r="LMA242" s="15"/>
      <c r="LMB242" s="15"/>
      <c r="LMC242" s="15"/>
      <c r="LMD242" s="15"/>
      <c r="LME242" s="15"/>
      <c r="LMF242" s="15"/>
      <c r="LMG242" s="15"/>
      <c r="LMH242" s="15"/>
      <c r="LMI242" s="15"/>
      <c r="LMJ242" s="10"/>
      <c r="LMK242" s="10"/>
      <c r="LML242" s="21"/>
      <c r="LMM242" s="21"/>
      <c r="LMP242" s="21"/>
      <c r="LMQ242" s="15"/>
      <c r="LMR242" s="15"/>
      <c r="LMS242" s="15"/>
      <c r="LMT242" s="15"/>
      <c r="LMU242" s="15"/>
      <c r="LMV242" s="15"/>
      <c r="LMW242" s="15"/>
      <c r="LMX242" s="15"/>
      <c r="LMY242" s="15"/>
      <c r="LMZ242" s="15"/>
      <c r="LNA242" s="10"/>
      <c r="LNB242" s="10"/>
      <c r="LNC242" s="21"/>
      <c r="LND242" s="21"/>
      <c r="LNG242" s="21"/>
      <c r="LNH242" s="15"/>
      <c r="LNI242" s="15"/>
      <c r="LNJ242" s="15"/>
      <c r="LNK242" s="15"/>
      <c r="LNL242" s="15"/>
      <c r="LNM242" s="15"/>
      <c r="LNN242" s="15"/>
      <c r="LNO242" s="15"/>
      <c r="LNP242" s="15"/>
      <c r="LNQ242" s="15"/>
      <c r="LNR242" s="10"/>
      <c r="LNS242" s="10"/>
      <c r="LNT242" s="21"/>
      <c r="LNU242" s="21"/>
      <c r="LNX242" s="21"/>
      <c r="LNY242" s="15"/>
      <c r="LNZ242" s="15"/>
      <c r="LOA242" s="15"/>
      <c r="LOB242" s="15"/>
      <c r="LOC242" s="15"/>
      <c r="LOD242" s="15"/>
      <c r="LOE242" s="15"/>
      <c r="LOF242" s="15"/>
      <c r="LOG242" s="15"/>
      <c r="LOH242" s="15"/>
      <c r="LOI242" s="10"/>
      <c r="LOJ242" s="10"/>
      <c r="LOK242" s="21"/>
      <c r="LOL242" s="21"/>
      <c r="LOO242" s="21"/>
      <c r="LOP242" s="15"/>
      <c r="LOQ242" s="15"/>
      <c r="LOR242" s="15"/>
      <c r="LOS242" s="15"/>
      <c r="LOT242" s="15"/>
      <c r="LOU242" s="15"/>
      <c r="LOV242" s="15"/>
      <c r="LOW242" s="15"/>
      <c r="LOX242" s="15"/>
      <c r="LOY242" s="15"/>
      <c r="LOZ242" s="10"/>
      <c r="LPA242" s="10"/>
      <c r="LPB242" s="21"/>
      <c r="LPC242" s="21"/>
      <c r="LPF242" s="21"/>
      <c r="LPG242" s="15"/>
      <c r="LPH242" s="15"/>
      <c r="LPI242" s="15"/>
      <c r="LPJ242" s="15"/>
      <c r="LPK242" s="15"/>
      <c r="LPL242" s="15"/>
      <c r="LPM242" s="15"/>
      <c r="LPN242" s="15"/>
      <c r="LPO242" s="15"/>
      <c r="LPP242" s="15"/>
      <c r="LPQ242" s="10"/>
      <c r="LPR242" s="10"/>
      <c r="LPS242" s="21"/>
      <c r="LPT242" s="21"/>
      <c r="LPW242" s="21"/>
      <c r="LPX242" s="15"/>
      <c r="LPY242" s="15"/>
      <c r="LPZ242" s="15"/>
      <c r="LQA242" s="15"/>
      <c r="LQB242" s="15"/>
      <c r="LQC242" s="15"/>
      <c r="LQD242" s="15"/>
      <c r="LQE242" s="15"/>
      <c r="LQF242" s="15"/>
      <c r="LQG242" s="15"/>
      <c r="LQH242" s="10"/>
      <c r="LQI242" s="10"/>
      <c r="LQJ242" s="21"/>
      <c r="LQK242" s="21"/>
      <c r="LQN242" s="21"/>
      <c r="LQO242" s="15"/>
      <c r="LQP242" s="15"/>
      <c r="LQQ242" s="15"/>
      <c r="LQR242" s="15"/>
      <c r="LQS242" s="15"/>
      <c r="LQT242" s="15"/>
      <c r="LQU242" s="15"/>
      <c r="LQV242" s="15"/>
      <c r="LQW242" s="15"/>
      <c r="LQX242" s="15"/>
      <c r="LQY242" s="10"/>
      <c r="LQZ242" s="10"/>
      <c r="LRA242" s="21"/>
      <c r="LRB242" s="21"/>
      <c r="LRE242" s="21"/>
      <c r="LRF242" s="15"/>
      <c r="LRG242" s="15"/>
      <c r="LRH242" s="15"/>
      <c r="LRI242" s="15"/>
      <c r="LRJ242" s="15"/>
      <c r="LRK242" s="15"/>
      <c r="LRL242" s="15"/>
      <c r="LRM242" s="15"/>
      <c r="LRN242" s="15"/>
      <c r="LRO242" s="15"/>
      <c r="LRP242" s="10"/>
      <c r="LRQ242" s="10"/>
      <c r="LRR242" s="21"/>
      <c r="LRS242" s="21"/>
      <c r="LRV242" s="21"/>
      <c r="LRW242" s="15"/>
      <c r="LRX242" s="15"/>
      <c r="LRY242" s="15"/>
      <c r="LRZ242" s="15"/>
      <c r="LSA242" s="15"/>
      <c r="LSB242" s="15"/>
      <c r="LSC242" s="15"/>
      <c r="LSD242" s="15"/>
      <c r="LSE242" s="15"/>
      <c r="LSF242" s="15"/>
      <c r="LSG242" s="10"/>
      <c r="LSH242" s="10"/>
      <c r="LSI242" s="21"/>
      <c r="LSJ242" s="21"/>
      <c r="LSM242" s="21"/>
      <c r="LSN242" s="15"/>
      <c r="LSO242" s="15"/>
      <c r="LSP242" s="15"/>
      <c r="LSQ242" s="15"/>
      <c r="LSR242" s="15"/>
      <c r="LSS242" s="15"/>
      <c r="LST242" s="15"/>
      <c r="LSU242" s="15"/>
      <c r="LSV242" s="15"/>
      <c r="LSW242" s="15"/>
      <c r="LSX242" s="10"/>
      <c r="LSY242" s="10"/>
      <c r="LSZ242" s="21"/>
      <c r="LTA242" s="21"/>
      <c r="LTD242" s="21"/>
      <c r="LTE242" s="15"/>
      <c r="LTF242" s="15"/>
      <c r="LTG242" s="15"/>
      <c r="LTH242" s="15"/>
      <c r="LTI242" s="15"/>
      <c r="LTJ242" s="15"/>
      <c r="LTK242" s="15"/>
      <c r="LTL242" s="15"/>
      <c r="LTM242" s="15"/>
      <c r="LTN242" s="15"/>
      <c r="LTO242" s="10"/>
      <c r="LTP242" s="10"/>
      <c r="LTQ242" s="21"/>
      <c r="LTR242" s="21"/>
      <c r="LTU242" s="21"/>
      <c r="LTV242" s="15"/>
      <c r="LTW242" s="15"/>
      <c r="LTX242" s="15"/>
      <c r="LTY242" s="15"/>
      <c r="LTZ242" s="15"/>
      <c r="LUA242" s="15"/>
      <c r="LUB242" s="15"/>
      <c r="LUC242" s="15"/>
      <c r="LUD242" s="15"/>
      <c r="LUE242" s="15"/>
      <c r="LUF242" s="10"/>
      <c r="LUG242" s="10"/>
      <c r="LUH242" s="21"/>
      <c r="LUI242" s="21"/>
      <c r="LUL242" s="21"/>
      <c r="LUM242" s="15"/>
      <c r="LUN242" s="15"/>
      <c r="LUO242" s="15"/>
      <c r="LUP242" s="15"/>
      <c r="LUQ242" s="15"/>
      <c r="LUR242" s="15"/>
      <c r="LUS242" s="15"/>
      <c r="LUT242" s="15"/>
      <c r="LUU242" s="15"/>
      <c r="LUV242" s="15"/>
      <c r="LUW242" s="10"/>
      <c r="LUX242" s="10"/>
      <c r="LUY242" s="21"/>
      <c r="LUZ242" s="21"/>
      <c r="LVC242" s="21"/>
      <c r="LVD242" s="15"/>
      <c r="LVE242" s="15"/>
      <c r="LVF242" s="15"/>
      <c r="LVG242" s="15"/>
      <c r="LVH242" s="15"/>
      <c r="LVI242" s="15"/>
      <c r="LVJ242" s="15"/>
      <c r="LVK242" s="15"/>
      <c r="LVL242" s="15"/>
      <c r="LVM242" s="15"/>
      <c r="LVN242" s="10"/>
      <c r="LVO242" s="10"/>
      <c r="LVP242" s="21"/>
      <c r="LVQ242" s="21"/>
      <c r="LVT242" s="21"/>
      <c r="LVU242" s="15"/>
      <c r="LVV242" s="15"/>
      <c r="LVW242" s="15"/>
      <c r="LVX242" s="15"/>
      <c r="LVY242" s="15"/>
      <c r="LVZ242" s="15"/>
      <c r="LWA242" s="15"/>
      <c r="LWB242" s="15"/>
      <c r="LWC242" s="15"/>
      <c r="LWD242" s="15"/>
      <c r="LWE242" s="10"/>
      <c r="LWF242" s="10"/>
      <c r="LWG242" s="21"/>
      <c r="LWH242" s="21"/>
      <c r="LWK242" s="21"/>
      <c r="LWL242" s="15"/>
      <c r="LWM242" s="15"/>
      <c r="LWN242" s="15"/>
      <c r="LWO242" s="15"/>
      <c r="LWP242" s="15"/>
      <c r="LWQ242" s="15"/>
      <c r="LWR242" s="15"/>
      <c r="LWS242" s="15"/>
      <c r="LWT242" s="15"/>
      <c r="LWU242" s="15"/>
      <c r="LWV242" s="10"/>
      <c r="LWW242" s="10"/>
      <c r="LWX242" s="21"/>
      <c r="LWY242" s="21"/>
      <c r="LXB242" s="21"/>
      <c r="LXC242" s="15"/>
      <c r="LXD242" s="15"/>
      <c r="LXE242" s="15"/>
      <c r="LXF242" s="15"/>
      <c r="LXG242" s="15"/>
      <c r="LXH242" s="15"/>
      <c r="LXI242" s="15"/>
      <c r="LXJ242" s="15"/>
      <c r="LXK242" s="15"/>
      <c r="LXL242" s="15"/>
      <c r="LXM242" s="10"/>
      <c r="LXN242" s="10"/>
      <c r="LXO242" s="21"/>
      <c r="LXP242" s="21"/>
      <c r="LXS242" s="21"/>
      <c r="LXT242" s="15"/>
      <c r="LXU242" s="15"/>
      <c r="LXV242" s="15"/>
      <c r="LXW242" s="15"/>
      <c r="LXX242" s="15"/>
      <c r="LXY242" s="15"/>
      <c r="LXZ242" s="15"/>
      <c r="LYA242" s="15"/>
      <c r="LYB242" s="15"/>
      <c r="LYC242" s="15"/>
      <c r="LYD242" s="10"/>
      <c r="LYE242" s="10"/>
      <c r="LYF242" s="21"/>
      <c r="LYG242" s="21"/>
      <c r="LYJ242" s="21"/>
      <c r="LYK242" s="15"/>
      <c r="LYL242" s="15"/>
      <c r="LYM242" s="15"/>
      <c r="LYN242" s="15"/>
      <c r="LYO242" s="15"/>
      <c r="LYP242" s="15"/>
      <c r="LYQ242" s="15"/>
      <c r="LYR242" s="15"/>
      <c r="LYS242" s="15"/>
      <c r="LYT242" s="15"/>
      <c r="LYU242" s="10"/>
      <c r="LYV242" s="10"/>
      <c r="LYW242" s="21"/>
      <c r="LYX242" s="21"/>
      <c r="LZA242" s="21"/>
      <c r="LZB242" s="15"/>
      <c r="LZC242" s="15"/>
      <c r="LZD242" s="15"/>
      <c r="LZE242" s="15"/>
      <c r="LZF242" s="15"/>
      <c r="LZG242" s="15"/>
      <c r="LZH242" s="15"/>
      <c r="LZI242" s="15"/>
      <c r="LZJ242" s="15"/>
      <c r="LZK242" s="15"/>
      <c r="LZL242" s="10"/>
      <c r="LZM242" s="10"/>
      <c r="LZN242" s="21"/>
      <c r="LZO242" s="21"/>
      <c r="LZR242" s="21"/>
      <c r="LZS242" s="15"/>
      <c r="LZT242" s="15"/>
      <c r="LZU242" s="15"/>
      <c r="LZV242" s="15"/>
      <c r="LZW242" s="15"/>
      <c r="LZX242" s="15"/>
      <c r="LZY242" s="15"/>
      <c r="LZZ242" s="15"/>
      <c r="MAA242" s="15"/>
      <c r="MAB242" s="15"/>
      <c r="MAC242" s="10"/>
      <c r="MAD242" s="10"/>
      <c r="MAE242" s="21"/>
      <c r="MAF242" s="21"/>
      <c r="MAI242" s="21"/>
      <c r="MAJ242" s="15"/>
      <c r="MAK242" s="15"/>
      <c r="MAL242" s="15"/>
      <c r="MAM242" s="15"/>
      <c r="MAN242" s="15"/>
      <c r="MAO242" s="15"/>
      <c r="MAP242" s="15"/>
      <c r="MAQ242" s="15"/>
      <c r="MAR242" s="15"/>
      <c r="MAS242" s="15"/>
      <c r="MAT242" s="10"/>
      <c r="MAU242" s="10"/>
      <c r="MAV242" s="21"/>
      <c r="MAW242" s="21"/>
      <c r="MAZ242" s="21"/>
      <c r="MBA242" s="15"/>
      <c r="MBB242" s="15"/>
      <c r="MBC242" s="15"/>
      <c r="MBD242" s="15"/>
      <c r="MBE242" s="15"/>
      <c r="MBF242" s="15"/>
      <c r="MBG242" s="15"/>
      <c r="MBH242" s="15"/>
      <c r="MBI242" s="15"/>
      <c r="MBJ242" s="15"/>
      <c r="MBK242" s="10"/>
      <c r="MBL242" s="10"/>
      <c r="MBM242" s="21"/>
      <c r="MBN242" s="21"/>
      <c r="MBQ242" s="21"/>
      <c r="MBR242" s="15"/>
      <c r="MBS242" s="15"/>
      <c r="MBT242" s="15"/>
      <c r="MBU242" s="15"/>
      <c r="MBV242" s="15"/>
      <c r="MBW242" s="15"/>
      <c r="MBX242" s="15"/>
      <c r="MBY242" s="15"/>
      <c r="MBZ242" s="15"/>
      <c r="MCA242" s="15"/>
      <c r="MCB242" s="10"/>
      <c r="MCC242" s="10"/>
      <c r="MCD242" s="21"/>
      <c r="MCE242" s="21"/>
      <c r="MCH242" s="21"/>
      <c r="MCI242" s="15"/>
      <c r="MCJ242" s="15"/>
      <c r="MCK242" s="15"/>
      <c r="MCL242" s="15"/>
      <c r="MCM242" s="15"/>
      <c r="MCN242" s="15"/>
      <c r="MCO242" s="15"/>
      <c r="MCP242" s="15"/>
      <c r="MCQ242" s="15"/>
      <c r="MCR242" s="15"/>
      <c r="MCS242" s="10"/>
      <c r="MCT242" s="10"/>
      <c r="MCU242" s="21"/>
      <c r="MCV242" s="21"/>
      <c r="MCY242" s="21"/>
      <c r="MCZ242" s="15"/>
      <c r="MDA242" s="15"/>
      <c r="MDB242" s="15"/>
      <c r="MDC242" s="15"/>
      <c r="MDD242" s="15"/>
      <c r="MDE242" s="15"/>
      <c r="MDF242" s="15"/>
      <c r="MDG242" s="15"/>
      <c r="MDH242" s="15"/>
      <c r="MDI242" s="15"/>
      <c r="MDJ242" s="10"/>
      <c r="MDK242" s="10"/>
      <c r="MDL242" s="21"/>
      <c r="MDM242" s="21"/>
      <c r="MDP242" s="21"/>
      <c r="MDQ242" s="15"/>
      <c r="MDR242" s="15"/>
      <c r="MDS242" s="15"/>
      <c r="MDT242" s="15"/>
      <c r="MDU242" s="15"/>
      <c r="MDV242" s="15"/>
      <c r="MDW242" s="15"/>
      <c r="MDX242" s="15"/>
      <c r="MDY242" s="15"/>
      <c r="MDZ242" s="15"/>
      <c r="MEA242" s="10"/>
      <c r="MEB242" s="10"/>
      <c r="MEC242" s="21"/>
      <c r="MED242" s="21"/>
      <c r="MEG242" s="21"/>
      <c r="MEH242" s="15"/>
      <c r="MEI242" s="15"/>
      <c r="MEJ242" s="15"/>
      <c r="MEK242" s="15"/>
      <c r="MEL242" s="15"/>
      <c r="MEM242" s="15"/>
      <c r="MEN242" s="15"/>
      <c r="MEO242" s="15"/>
      <c r="MEP242" s="15"/>
      <c r="MEQ242" s="15"/>
      <c r="MER242" s="10"/>
      <c r="MES242" s="10"/>
      <c r="MET242" s="21"/>
      <c r="MEU242" s="21"/>
      <c r="MEX242" s="21"/>
      <c r="MEY242" s="15"/>
      <c r="MEZ242" s="15"/>
      <c r="MFA242" s="15"/>
      <c r="MFB242" s="15"/>
      <c r="MFC242" s="15"/>
      <c r="MFD242" s="15"/>
      <c r="MFE242" s="15"/>
      <c r="MFF242" s="15"/>
      <c r="MFG242" s="15"/>
      <c r="MFH242" s="15"/>
      <c r="MFI242" s="10"/>
      <c r="MFJ242" s="10"/>
      <c r="MFK242" s="21"/>
      <c r="MFL242" s="21"/>
      <c r="MFO242" s="21"/>
      <c r="MFP242" s="15"/>
      <c r="MFQ242" s="15"/>
      <c r="MFR242" s="15"/>
      <c r="MFS242" s="15"/>
      <c r="MFT242" s="15"/>
      <c r="MFU242" s="15"/>
      <c r="MFV242" s="15"/>
      <c r="MFW242" s="15"/>
      <c r="MFX242" s="15"/>
      <c r="MFY242" s="15"/>
      <c r="MFZ242" s="10"/>
      <c r="MGA242" s="10"/>
      <c r="MGB242" s="21"/>
      <c r="MGC242" s="21"/>
      <c r="MGF242" s="21"/>
      <c r="MGG242" s="15"/>
      <c r="MGH242" s="15"/>
      <c r="MGI242" s="15"/>
      <c r="MGJ242" s="15"/>
      <c r="MGK242" s="15"/>
      <c r="MGL242" s="15"/>
      <c r="MGM242" s="15"/>
      <c r="MGN242" s="15"/>
      <c r="MGO242" s="15"/>
      <c r="MGP242" s="15"/>
      <c r="MGQ242" s="10"/>
      <c r="MGR242" s="10"/>
      <c r="MGS242" s="21"/>
      <c r="MGT242" s="21"/>
      <c r="MGW242" s="21"/>
      <c r="MGX242" s="15"/>
      <c r="MGY242" s="15"/>
      <c r="MGZ242" s="15"/>
      <c r="MHA242" s="15"/>
      <c r="MHB242" s="15"/>
      <c r="MHC242" s="15"/>
      <c r="MHD242" s="15"/>
      <c r="MHE242" s="15"/>
      <c r="MHF242" s="15"/>
      <c r="MHG242" s="15"/>
      <c r="MHH242" s="10"/>
      <c r="MHI242" s="10"/>
      <c r="MHJ242" s="21"/>
      <c r="MHK242" s="21"/>
      <c r="MHN242" s="21"/>
      <c r="MHO242" s="15"/>
      <c r="MHP242" s="15"/>
      <c r="MHQ242" s="15"/>
      <c r="MHR242" s="15"/>
      <c r="MHS242" s="15"/>
      <c r="MHT242" s="15"/>
      <c r="MHU242" s="15"/>
      <c r="MHV242" s="15"/>
      <c r="MHW242" s="15"/>
      <c r="MHX242" s="15"/>
      <c r="MHY242" s="10"/>
      <c r="MHZ242" s="10"/>
      <c r="MIA242" s="21"/>
      <c r="MIB242" s="21"/>
      <c r="MIE242" s="21"/>
      <c r="MIF242" s="15"/>
      <c r="MIG242" s="15"/>
      <c r="MIH242" s="15"/>
      <c r="MII242" s="15"/>
      <c r="MIJ242" s="15"/>
      <c r="MIK242" s="15"/>
      <c r="MIL242" s="15"/>
      <c r="MIM242" s="15"/>
      <c r="MIN242" s="15"/>
      <c r="MIO242" s="15"/>
      <c r="MIP242" s="10"/>
      <c r="MIQ242" s="10"/>
      <c r="MIR242" s="21"/>
      <c r="MIS242" s="21"/>
      <c r="MIV242" s="21"/>
      <c r="MIW242" s="15"/>
      <c r="MIX242" s="15"/>
      <c r="MIY242" s="15"/>
      <c r="MIZ242" s="15"/>
      <c r="MJA242" s="15"/>
      <c r="MJB242" s="15"/>
      <c r="MJC242" s="15"/>
      <c r="MJD242" s="15"/>
      <c r="MJE242" s="15"/>
      <c r="MJF242" s="15"/>
      <c r="MJG242" s="10"/>
      <c r="MJH242" s="10"/>
      <c r="MJI242" s="21"/>
      <c r="MJJ242" s="21"/>
      <c r="MJM242" s="21"/>
      <c r="MJN242" s="15"/>
      <c r="MJO242" s="15"/>
      <c r="MJP242" s="15"/>
      <c r="MJQ242" s="15"/>
      <c r="MJR242" s="15"/>
      <c r="MJS242" s="15"/>
      <c r="MJT242" s="15"/>
      <c r="MJU242" s="15"/>
      <c r="MJV242" s="15"/>
      <c r="MJW242" s="15"/>
      <c r="MJX242" s="10"/>
      <c r="MJY242" s="10"/>
      <c r="MJZ242" s="21"/>
      <c r="MKA242" s="21"/>
      <c r="MKD242" s="21"/>
      <c r="MKE242" s="15"/>
      <c r="MKF242" s="15"/>
      <c r="MKG242" s="15"/>
      <c r="MKH242" s="15"/>
      <c r="MKI242" s="15"/>
      <c r="MKJ242" s="15"/>
      <c r="MKK242" s="15"/>
      <c r="MKL242" s="15"/>
      <c r="MKM242" s="15"/>
      <c r="MKN242" s="15"/>
      <c r="MKO242" s="10"/>
      <c r="MKP242" s="10"/>
      <c r="MKQ242" s="21"/>
      <c r="MKR242" s="21"/>
      <c r="MKU242" s="21"/>
      <c r="MKV242" s="15"/>
      <c r="MKW242" s="15"/>
      <c r="MKX242" s="15"/>
      <c r="MKY242" s="15"/>
      <c r="MKZ242" s="15"/>
      <c r="MLA242" s="15"/>
      <c r="MLB242" s="15"/>
      <c r="MLC242" s="15"/>
      <c r="MLD242" s="15"/>
      <c r="MLE242" s="15"/>
      <c r="MLF242" s="10"/>
      <c r="MLG242" s="10"/>
      <c r="MLH242" s="21"/>
      <c r="MLI242" s="21"/>
      <c r="MLL242" s="21"/>
      <c r="MLM242" s="15"/>
      <c r="MLN242" s="15"/>
      <c r="MLO242" s="15"/>
      <c r="MLP242" s="15"/>
      <c r="MLQ242" s="15"/>
      <c r="MLR242" s="15"/>
      <c r="MLS242" s="15"/>
      <c r="MLT242" s="15"/>
      <c r="MLU242" s="15"/>
      <c r="MLV242" s="15"/>
      <c r="MLW242" s="10"/>
      <c r="MLX242" s="10"/>
      <c r="MLY242" s="21"/>
      <c r="MLZ242" s="21"/>
      <c r="MMC242" s="21"/>
      <c r="MMD242" s="15"/>
      <c r="MME242" s="15"/>
      <c r="MMF242" s="15"/>
      <c r="MMG242" s="15"/>
      <c r="MMH242" s="15"/>
      <c r="MMI242" s="15"/>
      <c r="MMJ242" s="15"/>
      <c r="MMK242" s="15"/>
      <c r="MML242" s="15"/>
      <c r="MMM242" s="15"/>
      <c r="MMN242" s="10"/>
      <c r="MMO242" s="10"/>
      <c r="MMP242" s="21"/>
      <c r="MMQ242" s="21"/>
      <c r="MMT242" s="21"/>
      <c r="MMU242" s="15"/>
      <c r="MMV242" s="15"/>
      <c r="MMW242" s="15"/>
      <c r="MMX242" s="15"/>
      <c r="MMY242" s="15"/>
      <c r="MMZ242" s="15"/>
      <c r="MNA242" s="15"/>
      <c r="MNB242" s="15"/>
      <c r="MNC242" s="15"/>
      <c r="MND242" s="15"/>
      <c r="MNE242" s="10"/>
      <c r="MNF242" s="10"/>
      <c r="MNG242" s="21"/>
      <c r="MNH242" s="21"/>
      <c r="MNK242" s="21"/>
      <c r="MNL242" s="15"/>
      <c r="MNM242" s="15"/>
      <c r="MNN242" s="15"/>
      <c r="MNO242" s="15"/>
      <c r="MNP242" s="15"/>
      <c r="MNQ242" s="15"/>
      <c r="MNR242" s="15"/>
      <c r="MNS242" s="15"/>
      <c r="MNT242" s="15"/>
      <c r="MNU242" s="15"/>
      <c r="MNV242" s="10"/>
      <c r="MNW242" s="10"/>
      <c r="MNX242" s="21"/>
      <c r="MNY242" s="21"/>
      <c r="MOB242" s="21"/>
      <c r="MOC242" s="15"/>
      <c r="MOD242" s="15"/>
      <c r="MOE242" s="15"/>
      <c r="MOF242" s="15"/>
      <c r="MOG242" s="15"/>
      <c r="MOH242" s="15"/>
      <c r="MOI242" s="15"/>
      <c r="MOJ242" s="15"/>
      <c r="MOK242" s="15"/>
      <c r="MOL242" s="15"/>
      <c r="MOM242" s="10"/>
      <c r="MON242" s="10"/>
      <c r="MOO242" s="21"/>
      <c r="MOP242" s="21"/>
      <c r="MOS242" s="21"/>
      <c r="MOT242" s="15"/>
      <c r="MOU242" s="15"/>
      <c r="MOV242" s="15"/>
      <c r="MOW242" s="15"/>
      <c r="MOX242" s="15"/>
      <c r="MOY242" s="15"/>
      <c r="MOZ242" s="15"/>
      <c r="MPA242" s="15"/>
      <c r="MPB242" s="15"/>
      <c r="MPC242" s="15"/>
      <c r="MPD242" s="10"/>
      <c r="MPE242" s="10"/>
      <c r="MPF242" s="21"/>
      <c r="MPG242" s="21"/>
      <c r="MPJ242" s="21"/>
      <c r="MPK242" s="15"/>
      <c r="MPL242" s="15"/>
      <c r="MPM242" s="15"/>
      <c r="MPN242" s="15"/>
      <c r="MPO242" s="15"/>
      <c r="MPP242" s="15"/>
      <c r="MPQ242" s="15"/>
      <c r="MPR242" s="15"/>
      <c r="MPS242" s="15"/>
      <c r="MPT242" s="15"/>
      <c r="MPU242" s="10"/>
      <c r="MPV242" s="10"/>
      <c r="MPW242" s="21"/>
      <c r="MPX242" s="21"/>
      <c r="MQA242" s="21"/>
      <c r="MQB242" s="15"/>
      <c r="MQC242" s="15"/>
      <c r="MQD242" s="15"/>
      <c r="MQE242" s="15"/>
      <c r="MQF242" s="15"/>
      <c r="MQG242" s="15"/>
      <c r="MQH242" s="15"/>
      <c r="MQI242" s="15"/>
      <c r="MQJ242" s="15"/>
      <c r="MQK242" s="15"/>
      <c r="MQL242" s="10"/>
      <c r="MQM242" s="10"/>
      <c r="MQN242" s="21"/>
      <c r="MQO242" s="21"/>
      <c r="MQR242" s="21"/>
      <c r="MQS242" s="15"/>
      <c r="MQT242" s="15"/>
      <c r="MQU242" s="15"/>
      <c r="MQV242" s="15"/>
      <c r="MQW242" s="15"/>
      <c r="MQX242" s="15"/>
      <c r="MQY242" s="15"/>
      <c r="MQZ242" s="15"/>
      <c r="MRA242" s="15"/>
      <c r="MRB242" s="15"/>
      <c r="MRC242" s="10"/>
      <c r="MRD242" s="10"/>
      <c r="MRE242" s="21"/>
      <c r="MRF242" s="21"/>
      <c r="MRI242" s="21"/>
      <c r="MRJ242" s="15"/>
      <c r="MRK242" s="15"/>
      <c r="MRL242" s="15"/>
      <c r="MRM242" s="15"/>
      <c r="MRN242" s="15"/>
      <c r="MRO242" s="15"/>
      <c r="MRP242" s="15"/>
      <c r="MRQ242" s="15"/>
      <c r="MRR242" s="15"/>
      <c r="MRS242" s="15"/>
      <c r="MRT242" s="10"/>
      <c r="MRU242" s="10"/>
      <c r="MRV242" s="21"/>
      <c r="MRW242" s="21"/>
      <c r="MRZ242" s="21"/>
      <c r="MSA242" s="15"/>
      <c r="MSB242" s="15"/>
      <c r="MSC242" s="15"/>
      <c r="MSD242" s="15"/>
      <c r="MSE242" s="15"/>
      <c r="MSF242" s="15"/>
      <c r="MSG242" s="15"/>
      <c r="MSH242" s="15"/>
      <c r="MSI242" s="15"/>
      <c r="MSJ242" s="15"/>
      <c r="MSK242" s="10"/>
      <c r="MSL242" s="10"/>
      <c r="MSM242" s="21"/>
      <c r="MSN242" s="21"/>
      <c r="MSQ242" s="21"/>
      <c r="MSR242" s="15"/>
      <c r="MSS242" s="15"/>
      <c r="MST242" s="15"/>
      <c r="MSU242" s="15"/>
      <c r="MSV242" s="15"/>
      <c r="MSW242" s="15"/>
      <c r="MSX242" s="15"/>
      <c r="MSY242" s="15"/>
      <c r="MSZ242" s="15"/>
      <c r="MTA242" s="15"/>
      <c r="MTB242" s="10"/>
      <c r="MTC242" s="10"/>
      <c r="MTD242" s="21"/>
      <c r="MTE242" s="21"/>
      <c r="MTH242" s="21"/>
      <c r="MTI242" s="15"/>
      <c r="MTJ242" s="15"/>
      <c r="MTK242" s="15"/>
      <c r="MTL242" s="15"/>
      <c r="MTM242" s="15"/>
      <c r="MTN242" s="15"/>
      <c r="MTO242" s="15"/>
      <c r="MTP242" s="15"/>
      <c r="MTQ242" s="15"/>
      <c r="MTR242" s="15"/>
      <c r="MTS242" s="10"/>
      <c r="MTT242" s="10"/>
      <c r="MTU242" s="21"/>
      <c r="MTV242" s="21"/>
      <c r="MTY242" s="21"/>
      <c r="MTZ242" s="15"/>
      <c r="MUA242" s="15"/>
      <c r="MUB242" s="15"/>
      <c r="MUC242" s="15"/>
      <c r="MUD242" s="15"/>
      <c r="MUE242" s="15"/>
      <c r="MUF242" s="15"/>
      <c r="MUG242" s="15"/>
      <c r="MUH242" s="15"/>
      <c r="MUI242" s="15"/>
      <c r="MUJ242" s="10"/>
      <c r="MUK242" s="10"/>
      <c r="MUL242" s="21"/>
      <c r="MUM242" s="21"/>
      <c r="MUP242" s="21"/>
      <c r="MUQ242" s="15"/>
      <c r="MUR242" s="15"/>
      <c r="MUS242" s="15"/>
      <c r="MUT242" s="15"/>
      <c r="MUU242" s="15"/>
      <c r="MUV242" s="15"/>
      <c r="MUW242" s="15"/>
      <c r="MUX242" s="15"/>
      <c r="MUY242" s="15"/>
      <c r="MUZ242" s="15"/>
      <c r="MVA242" s="10"/>
      <c r="MVB242" s="10"/>
      <c r="MVC242" s="21"/>
      <c r="MVD242" s="21"/>
      <c r="MVG242" s="21"/>
      <c r="MVH242" s="15"/>
      <c r="MVI242" s="15"/>
      <c r="MVJ242" s="15"/>
      <c r="MVK242" s="15"/>
      <c r="MVL242" s="15"/>
      <c r="MVM242" s="15"/>
      <c r="MVN242" s="15"/>
      <c r="MVO242" s="15"/>
      <c r="MVP242" s="15"/>
      <c r="MVQ242" s="15"/>
      <c r="MVR242" s="10"/>
      <c r="MVS242" s="10"/>
      <c r="MVT242" s="21"/>
      <c r="MVU242" s="21"/>
      <c r="MVX242" s="21"/>
      <c r="MVY242" s="15"/>
      <c r="MVZ242" s="15"/>
      <c r="MWA242" s="15"/>
      <c r="MWB242" s="15"/>
      <c r="MWC242" s="15"/>
      <c r="MWD242" s="15"/>
      <c r="MWE242" s="15"/>
      <c r="MWF242" s="15"/>
      <c r="MWG242" s="15"/>
      <c r="MWH242" s="15"/>
      <c r="MWI242" s="10"/>
      <c r="MWJ242" s="10"/>
      <c r="MWK242" s="21"/>
      <c r="MWL242" s="21"/>
      <c r="MWO242" s="21"/>
      <c r="MWP242" s="15"/>
      <c r="MWQ242" s="15"/>
      <c r="MWR242" s="15"/>
      <c r="MWS242" s="15"/>
      <c r="MWT242" s="15"/>
      <c r="MWU242" s="15"/>
      <c r="MWV242" s="15"/>
      <c r="MWW242" s="15"/>
      <c r="MWX242" s="15"/>
      <c r="MWY242" s="15"/>
      <c r="MWZ242" s="10"/>
      <c r="MXA242" s="10"/>
      <c r="MXB242" s="21"/>
      <c r="MXC242" s="21"/>
      <c r="MXF242" s="21"/>
      <c r="MXG242" s="15"/>
      <c r="MXH242" s="15"/>
      <c r="MXI242" s="15"/>
      <c r="MXJ242" s="15"/>
      <c r="MXK242" s="15"/>
      <c r="MXL242" s="15"/>
      <c r="MXM242" s="15"/>
      <c r="MXN242" s="15"/>
      <c r="MXO242" s="15"/>
      <c r="MXP242" s="15"/>
      <c r="MXQ242" s="10"/>
      <c r="MXR242" s="10"/>
      <c r="MXS242" s="21"/>
      <c r="MXT242" s="21"/>
      <c r="MXW242" s="21"/>
      <c r="MXX242" s="15"/>
      <c r="MXY242" s="15"/>
      <c r="MXZ242" s="15"/>
      <c r="MYA242" s="15"/>
      <c r="MYB242" s="15"/>
      <c r="MYC242" s="15"/>
      <c r="MYD242" s="15"/>
      <c r="MYE242" s="15"/>
      <c r="MYF242" s="15"/>
      <c r="MYG242" s="15"/>
      <c r="MYH242" s="10"/>
      <c r="MYI242" s="10"/>
      <c r="MYJ242" s="21"/>
      <c r="MYK242" s="21"/>
      <c r="MYN242" s="21"/>
      <c r="MYO242" s="15"/>
      <c r="MYP242" s="15"/>
      <c r="MYQ242" s="15"/>
      <c r="MYR242" s="15"/>
      <c r="MYS242" s="15"/>
      <c r="MYT242" s="15"/>
      <c r="MYU242" s="15"/>
      <c r="MYV242" s="15"/>
      <c r="MYW242" s="15"/>
      <c r="MYX242" s="15"/>
      <c r="MYY242" s="10"/>
      <c r="MYZ242" s="10"/>
      <c r="MZA242" s="21"/>
      <c r="MZB242" s="21"/>
      <c r="MZE242" s="21"/>
      <c r="MZF242" s="15"/>
      <c r="MZG242" s="15"/>
      <c r="MZH242" s="15"/>
      <c r="MZI242" s="15"/>
      <c r="MZJ242" s="15"/>
      <c r="MZK242" s="15"/>
      <c r="MZL242" s="15"/>
      <c r="MZM242" s="15"/>
      <c r="MZN242" s="15"/>
      <c r="MZO242" s="15"/>
      <c r="MZP242" s="10"/>
      <c r="MZQ242" s="10"/>
      <c r="MZR242" s="21"/>
      <c r="MZS242" s="21"/>
      <c r="MZV242" s="21"/>
      <c r="MZW242" s="15"/>
      <c r="MZX242" s="15"/>
      <c r="MZY242" s="15"/>
      <c r="MZZ242" s="15"/>
      <c r="NAA242" s="15"/>
      <c r="NAB242" s="15"/>
      <c r="NAC242" s="15"/>
      <c r="NAD242" s="15"/>
      <c r="NAE242" s="15"/>
      <c r="NAF242" s="15"/>
      <c r="NAG242" s="10"/>
      <c r="NAH242" s="10"/>
      <c r="NAI242" s="21"/>
      <c r="NAJ242" s="21"/>
      <c r="NAM242" s="21"/>
      <c r="NAN242" s="15"/>
      <c r="NAO242" s="15"/>
      <c r="NAP242" s="15"/>
      <c r="NAQ242" s="15"/>
      <c r="NAR242" s="15"/>
      <c r="NAS242" s="15"/>
      <c r="NAT242" s="15"/>
      <c r="NAU242" s="15"/>
      <c r="NAV242" s="15"/>
      <c r="NAW242" s="15"/>
      <c r="NAX242" s="10"/>
      <c r="NAY242" s="10"/>
      <c r="NAZ242" s="21"/>
      <c r="NBA242" s="21"/>
      <c r="NBD242" s="21"/>
      <c r="NBE242" s="15"/>
      <c r="NBF242" s="15"/>
      <c r="NBG242" s="15"/>
      <c r="NBH242" s="15"/>
      <c r="NBI242" s="15"/>
      <c r="NBJ242" s="15"/>
      <c r="NBK242" s="15"/>
      <c r="NBL242" s="15"/>
      <c r="NBM242" s="15"/>
      <c r="NBN242" s="15"/>
      <c r="NBO242" s="10"/>
      <c r="NBP242" s="10"/>
      <c r="NBQ242" s="21"/>
      <c r="NBR242" s="21"/>
      <c r="NBU242" s="21"/>
      <c r="NBV242" s="15"/>
      <c r="NBW242" s="15"/>
      <c r="NBX242" s="15"/>
      <c r="NBY242" s="15"/>
      <c r="NBZ242" s="15"/>
      <c r="NCA242" s="15"/>
      <c r="NCB242" s="15"/>
      <c r="NCC242" s="15"/>
      <c r="NCD242" s="15"/>
      <c r="NCE242" s="15"/>
      <c r="NCF242" s="10"/>
      <c r="NCG242" s="10"/>
      <c r="NCH242" s="21"/>
      <c r="NCI242" s="21"/>
      <c r="NCL242" s="21"/>
      <c r="NCM242" s="15"/>
      <c r="NCN242" s="15"/>
      <c r="NCO242" s="15"/>
      <c r="NCP242" s="15"/>
      <c r="NCQ242" s="15"/>
      <c r="NCR242" s="15"/>
      <c r="NCS242" s="15"/>
      <c r="NCT242" s="15"/>
      <c r="NCU242" s="15"/>
      <c r="NCV242" s="15"/>
      <c r="NCW242" s="10"/>
      <c r="NCX242" s="10"/>
      <c r="NCY242" s="21"/>
      <c r="NCZ242" s="21"/>
      <c r="NDC242" s="21"/>
      <c r="NDD242" s="15"/>
      <c r="NDE242" s="15"/>
      <c r="NDF242" s="15"/>
      <c r="NDG242" s="15"/>
      <c r="NDH242" s="15"/>
      <c r="NDI242" s="15"/>
      <c r="NDJ242" s="15"/>
      <c r="NDK242" s="15"/>
      <c r="NDL242" s="15"/>
      <c r="NDM242" s="15"/>
      <c r="NDN242" s="10"/>
      <c r="NDO242" s="10"/>
      <c r="NDP242" s="21"/>
      <c r="NDQ242" s="21"/>
      <c r="NDT242" s="21"/>
      <c r="NDU242" s="15"/>
      <c r="NDV242" s="15"/>
      <c r="NDW242" s="15"/>
      <c r="NDX242" s="15"/>
      <c r="NDY242" s="15"/>
      <c r="NDZ242" s="15"/>
      <c r="NEA242" s="15"/>
      <c r="NEB242" s="15"/>
      <c r="NEC242" s="15"/>
      <c r="NED242" s="15"/>
      <c r="NEE242" s="10"/>
      <c r="NEF242" s="10"/>
      <c r="NEG242" s="21"/>
      <c r="NEH242" s="21"/>
      <c r="NEK242" s="21"/>
      <c r="NEL242" s="15"/>
      <c r="NEM242" s="15"/>
      <c r="NEN242" s="15"/>
      <c r="NEO242" s="15"/>
      <c r="NEP242" s="15"/>
      <c r="NEQ242" s="15"/>
      <c r="NER242" s="15"/>
      <c r="NES242" s="15"/>
      <c r="NET242" s="15"/>
      <c r="NEU242" s="15"/>
      <c r="NEV242" s="10"/>
      <c r="NEW242" s="10"/>
      <c r="NEX242" s="21"/>
      <c r="NEY242" s="21"/>
      <c r="NFB242" s="21"/>
      <c r="NFC242" s="15"/>
      <c r="NFD242" s="15"/>
      <c r="NFE242" s="15"/>
      <c r="NFF242" s="15"/>
      <c r="NFG242" s="15"/>
      <c r="NFH242" s="15"/>
      <c r="NFI242" s="15"/>
      <c r="NFJ242" s="15"/>
      <c r="NFK242" s="15"/>
      <c r="NFL242" s="15"/>
      <c r="NFM242" s="10"/>
      <c r="NFN242" s="10"/>
      <c r="NFO242" s="21"/>
      <c r="NFP242" s="21"/>
      <c r="NFS242" s="21"/>
      <c r="NFT242" s="15"/>
      <c r="NFU242" s="15"/>
      <c r="NFV242" s="15"/>
      <c r="NFW242" s="15"/>
      <c r="NFX242" s="15"/>
      <c r="NFY242" s="15"/>
      <c r="NFZ242" s="15"/>
      <c r="NGA242" s="15"/>
      <c r="NGB242" s="15"/>
      <c r="NGC242" s="15"/>
      <c r="NGD242" s="10"/>
      <c r="NGE242" s="10"/>
      <c r="NGF242" s="21"/>
      <c r="NGG242" s="21"/>
      <c r="NGJ242" s="21"/>
      <c r="NGK242" s="15"/>
      <c r="NGL242" s="15"/>
      <c r="NGM242" s="15"/>
      <c r="NGN242" s="15"/>
      <c r="NGO242" s="15"/>
      <c r="NGP242" s="15"/>
      <c r="NGQ242" s="15"/>
      <c r="NGR242" s="15"/>
      <c r="NGS242" s="15"/>
      <c r="NGT242" s="15"/>
      <c r="NGU242" s="10"/>
      <c r="NGV242" s="10"/>
      <c r="NGW242" s="21"/>
      <c r="NGX242" s="21"/>
      <c r="NHA242" s="21"/>
      <c r="NHB242" s="15"/>
      <c r="NHC242" s="15"/>
      <c r="NHD242" s="15"/>
      <c r="NHE242" s="15"/>
      <c r="NHF242" s="15"/>
      <c r="NHG242" s="15"/>
      <c r="NHH242" s="15"/>
      <c r="NHI242" s="15"/>
      <c r="NHJ242" s="15"/>
      <c r="NHK242" s="15"/>
      <c r="NHL242" s="10"/>
      <c r="NHM242" s="10"/>
      <c r="NHN242" s="21"/>
      <c r="NHO242" s="21"/>
      <c r="NHR242" s="21"/>
      <c r="NHS242" s="15"/>
      <c r="NHT242" s="15"/>
      <c r="NHU242" s="15"/>
      <c r="NHV242" s="15"/>
      <c r="NHW242" s="15"/>
      <c r="NHX242" s="15"/>
      <c r="NHY242" s="15"/>
      <c r="NHZ242" s="15"/>
      <c r="NIA242" s="15"/>
      <c r="NIB242" s="15"/>
      <c r="NIC242" s="10"/>
      <c r="NID242" s="10"/>
      <c r="NIE242" s="21"/>
      <c r="NIF242" s="21"/>
      <c r="NII242" s="21"/>
      <c r="NIJ242" s="15"/>
      <c r="NIK242" s="15"/>
      <c r="NIL242" s="15"/>
      <c r="NIM242" s="15"/>
      <c r="NIN242" s="15"/>
      <c r="NIO242" s="15"/>
      <c r="NIP242" s="15"/>
      <c r="NIQ242" s="15"/>
      <c r="NIR242" s="15"/>
      <c r="NIS242" s="15"/>
      <c r="NIT242" s="10"/>
      <c r="NIU242" s="10"/>
      <c r="NIV242" s="21"/>
      <c r="NIW242" s="21"/>
      <c r="NIZ242" s="21"/>
      <c r="NJA242" s="15"/>
      <c r="NJB242" s="15"/>
      <c r="NJC242" s="15"/>
      <c r="NJD242" s="15"/>
      <c r="NJE242" s="15"/>
      <c r="NJF242" s="15"/>
      <c r="NJG242" s="15"/>
      <c r="NJH242" s="15"/>
      <c r="NJI242" s="15"/>
      <c r="NJJ242" s="15"/>
      <c r="NJK242" s="10"/>
      <c r="NJL242" s="10"/>
      <c r="NJM242" s="21"/>
      <c r="NJN242" s="21"/>
      <c r="NJQ242" s="21"/>
      <c r="NJR242" s="15"/>
      <c r="NJS242" s="15"/>
      <c r="NJT242" s="15"/>
      <c r="NJU242" s="15"/>
      <c r="NJV242" s="15"/>
      <c r="NJW242" s="15"/>
      <c r="NJX242" s="15"/>
      <c r="NJY242" s="15"/>
      <c r="NJZ242" s="15"/>
      <c r="NKA242" s="15"/>
      <c r="NKB242" s="10"/>
      <c r="NKC242" s="10"/>
      <c r="NKD242" s="21"/>
      <c r="NKE242" s="21"/>
      <c r="NKH242" s="21"/>
      <c r="NKI242" s="15"/>
      <c r="NKJ242" s="15"/>
      <c r="NKK242" s="15"/>
      <c r="NKL242" s="15"/>
      <c r="NKM242" s="15"/>
      <c r="NKN242" s="15"/>
      <c r="NKO242" s="15"/>
      <c r="NKP242" s="15"/>
      <c r="NKQ242" s="15"/>
      <c r="NKR242" s="15"/>
      <c r="NKS242" s="10"/>
      <c r="NKT242" s="10"/>
      <c r="NKU242" s="21"/>
      <c r="NKV242" s="21"/>
      <c r="NKY242" s="21"/>
      <c r="NKZ242" s="15"/>
      <c r="NLA242" s="15"/>
      <c r="NLB242" s="15"/>
      <c r="NLC242" s="15"/>
      <c r="NLD242" s="15"/>
      <c r="NLE242" s="15"/>
      <c r="NLF242" s="15"/>
      <c r="NLG242" s="15"/>
      <c r="NLH242" s="15"/>
      <c r="NLI242" s="15"/>
      <c r="NLJ242" s="10"/>
      <c r="NLK242" s="10"/>
      <c r="NLL242" s="21"/>
      <c r="NLM242" s="21"/>
      <c r="NLP242" s="21"/>
      <c r="NLQ242" s="15"/>
      <c r="NLR242" s="15"/>
      <c r="NLS242" s="15"/>
      <c r="NLT242" s="15"/>
      <c r="NLU242" s="15"/>
      <c r="NLV242" s="15"/>
      <c r="NLW242" s="15"/>
      <c r="NLX242" s="15"/>
      <c r="NLY242" s="15"/>
      <c r="NLZ242" s="15"/>
      <c r="NMA242" s="10"/>
      <c r="NMB242" s="10"/>
      <c r="NMC242" s="21"/>
      <c r="NMD242" s="21"/>
      <c r="NMG242" s="21"/>
      <c r="NMH242" s="15"/>
      <c r="NMI242" s="15"/>
      <c r="NMJ242" s="15"/>
      <c r="NMK242" s="15"/>
      <c r="NML242" s="15"/>
      <c r="NMM242" s="15"/>
      <c r="NMN242" s="15"/>
      <c r="NMO242" s="15"/>
      <c r="NMP242" s="15"/>
      <c r="NMQ242" s="15"/>
      <c r="NMR242" s="10"/>
      <c r="NMS242" s="10"/>
      <c r="NMT242" s="21"/>
      <c r="NMU242" s="21"/>
      <c r="NMX242" s="21"/>
      <c r="NMY242" s="15"/>
      <c r="NMZ242" s="15"/>
      <c r="NNA242" s="15"/>
      <c r="NNB242" s="15"/>
      <c r="NNC242" s="15"/>
      <c r="NND242" s="15"/>
      <c r="NNE242" s="15"/>
      <c r="NNF242" s="15"/>
      <c r="NNG242" s="15"/>
      <c r="NNH242" s="15"/>
      <c r="NNI242" s="10"/>
      <c r="NNJ242" s="10"/>
      <c r="NNK242" s="21"/>
      <c r="NNL242" s="21"/>
      <c r="NNO242" s="21"/>
      <c r="NNP242" s="15"/>
      <c r="NNQ242" s="15"/>
      <c r="NNR242" s="15"/>
      <c r="NNS242" s="15"/>
      <c r="NNT242" s="15"/>
      <c r="NNU242" s="15"/>
      <c r="NNV242" s="15"/>
      <c r="NNW242" s="15"/>
      <c r="NNX242" s="15"/>
      <c r="NNY242" s="15"/>
      <c r="NNZ242" s="10"/>
      <c r="NOA242" s="10"/>
      <c r="NOB242" s="21"/>
      <c r="NOC242" s="21"/>
      <c r="NOF242" s="21"/>
      <c r="NOG242" s="15"/>
      <c r="NOH242" s="15"/>
      <c r="NOI242" s="15"/>
      <c r="NOJ242" s="15"/>
      <c r="NOK242" s="15"/>
      <c r="NOL242" s="15"/>
      <c r="NOM242" s="15"/>
      <c r="NON242" s="15"/>
      <c r="NOO242" s="15"/>
      <c r="NOP242" s="15"/>
      <c r="NOQ242" s="10"/>
      <c r="NOR242" s="10"/>
      <c r="NOS242" s="21"/>
      <c r="NOT242" s="21"/>
      <c r="NOW242" s="21"/>
      <c r="NOX242" s="15"/>
      <c r="NOY242" s="15"/>
      <c r="NOZ242" s="15"/>
      <c r="NPA242" s="15"/>
      <c r="NPB242" s="15"/>
      <c r="NPC242" s="15"/>
      <c r="NPD242" s="15"/>
      <c r="NPE242" s="15"/>
      <c r="NPF242" s="15"/>
      <c r="NPG242" s="15"/>
      <c r="NPH242" s="10"/>
      <c r="NPI242" s="10"/>
      <c r="NPJ242" s="21"/>
      <c r="NPK242" s="21"/>
      <c r="NPN242" s="21"/>
      <c r="NPO242" s="15"/>
      <c r="NPP242" s="15"/>
      <c r="NPQ242" s="15"/>
      <c r="NPR242" s="15"/>
      <c r="NPS242" s="15"/>
      <c r="NPT242" s="15"/>
      <c r="NPU242" s="15"/>
      <c r="NPV242" s="15"/>
      <c r="NPW242" s="15"/>
      <c r="NPX242" s="15"/>
      <c r="NPY242" s="10"/>
      <c r="NPZ242" s="10"/>
      <c r="NQA242" s="21"/>
      <c r="NQB242" s="21"/>
      <c r="NQE242" s="21"/>
      <c r="NQF242" s="15"/>
      <c r="NQG242" s="15"/>
      <c r="NQH242" s="15"/>
      <c r="NQI242" s="15"/>
      <c r="NQJ242" s="15"/>
      <c r="NQK242" s="15"/>
      <c r="NQL242" s="15"/>
      <c r="NQM242" s="15"/>
      <c r="NQN242" s="15"/>
      <c r="NQO242" s="15"/>
      <c r="NQP242" s="10"/>
      <c r="NQQ242" s="10"/>
      <c r="NQR242" s="21"/>
      <c r="NQS242" s="21"/>
      <c r="NQV242" s="21"/>
      <c r="NQW242" s="15"/>
      <c r="NQX242" s="15"/>
      <c r="NQY242" s="15"/>
      <c r="NQZ242" s="15"/>
      <c r="NRA242" s="15"/>
      <c r="NRB242" s="15"/>
      <c r="NRC242" s="15"/>
      <c r="NRD242" s="15"/>
      <c r="NRE242" s="15"/>
      <c r="NRF242" s="15"/>
      <c r="NRG242" s="10"/>
      <c r="NRH242" s="10"/>
      <c r="NRI242" s="21"/>
      <c r="NRJ242" s="21"/>
      <c r="NRM242" s="21"/>
      <c r="NRN242" s="15"/>
      <c r="NRO242" s="15"/>
      <c r="NRP242" s="15"/>
      <c r="NRQ242" s="15"/>
      <c r="NRR242" s="15"/>
      <c r="NRS242" s="15"/>
      <c r="NRT242" s="15"/>
      <c r="NRU242" s="15"/>
      <c r="NRV242" s="15"/>
      <c r="NRW242" s="15"/>
      <c r="NRX242" s="10"/>
      <c r="NRY242" s="10"/>
      <c r="NRZ242" s="21"/>
      <c r="NSA242" s="21"/>
      <c r="NSD242" s="21"/>
      <c r="NSE242" s="15"/>
      <c r="NSF242" s="15"/>
      <c r="NSG242" s="15"/>
      <c r="NSH242" s="15"/>
      <c r="NSI242" s="15"/>
      <c r="NSJ242" s="15"/>
      <c r="NSK242" s="15"/>
      <c r="NSL242" s="15"/>
      <c r="NSM242" s="15"/>
      <c r="NSN242" s="15"/>
      <c r="NSO242" s="10"/>
      <c r="NSP242" s="10"/>
      <c r="NSQ242" s="21"/>
      <c r="NSR242" s="21"/>
      <c r="NSU242" s="21"/>
      <c r="NSV242" s="15"/>
      <c r="NSW242" s="15"/>
      <c r="NSX242" s="15"/>
      <c r="NSY242" s="15"/>
      <c r="NSZ242" s="15"/>
      <c r="NTA242" s="15"/>
      <c r="NTB242" s="15"/>
      <c r="NTC242" s="15"/>
      <c r="NTD242" s="15"/>
      <c r="NTE242" s="15"/>
      <c r="NTF242" s="10"/>
      <c r="NTG242" s="10"/>
      <c r="NTH242" s="21"/>
      <c r="NTI242" s="21"/>
      <c r="NTL242" s="21"/>
      <c r="NTM242" s="15"/>
      <c r="NTN242" s="15"/>
      <c r="NTO242" s="15"/>
      <c r="NTP242" s="15"/>
      <c r="NTQ242" s="15"/>
      <c r="NTR242" s="15"/>
      <c r="NTS242" s="15"/>
      <c r="NTT242" s="15"/>
      <c r="NTU242" s="15"/>
      <c r="NTV242" s="15"/>
      <c r="NTW242" s="10"/>
      <c r="NTX242" s="10"/>
      <c r="NTY242" s="21"/>
      <c r="NTZ242" s="21"/>
      <c r="NUC242" s="21"/>
      <c r="NUD242" s="15"/>
      <c r="NUE242" s="15"/>
      <c r="NUF242" s="15"/>
      <c r="NUG242" s="15"/>
      <c r="NUH242" s="15"/>
      <c r="NUI242" s="15"/>
      <c r="NUJ242" s="15"/>
      <c r="NUK242" s="15"/>
      <c r="NUL242" s="15"/>
      <c r="NUM242" s="15"/>
      <c r="NUN242" s="10"/>
      <c r="NUO242" s="10"/>
      <c r="NUP242" s="21"/>
      <c r="NUQ242" s="21"/>
      <c r="NUT242" s="21"/>
      <c r="NUU242" s="15"/>
      <c r="NUV242" s="15"/>
      <c r="NUW242" s="15"/>
      <c r="NUX242" s="15"/>
      <c r="NUY242" s="15"/>
      <c r="NUZ242" s="15"/>
      <c r="NVA242" s="15"/>
      <c r="NVB242" s="15"/>
      <c r="NVC242" s="15"/>
      <c r="NVD242" s="15"/>
      <c r="NVE242" s="10"/>
      <c r="NVF242" s="10"/>
      <c r="NVG242" s="21"/>
      <c r="NVH242" s="21"/>
      <c r="NVK242" s="21"/>
      <c r="NVL242" s="15"/>
      <c r="NVM242" s="15"/>
      <c r="NVN242" s="15"/>
      <c r="NVO242" s="15"/>
      <c r="NVP242" s="15"/>
      <c r="NVQ242" s="15"/>
      <c r="NVR242" s="15"/>
      <c r="NVS242" s="15"/>
      <c r="NVT242" s="15"/>
      <c r="NVU242" s="15"/>
      <c r="NVV242" s="10"/>
      <c r="NVW242" s="10"/>
      <c r="NVX242" s="21"/>
      <c r="NVY242" s="21"/>
      <c r="NWB242" s="21"/>
      <c r="NWC242" s="15"/>
      <c r="NWD242" s="15"/>
      <c r="NWE242" s="15"/>
      <c r="NWF242" s="15"/>
      <c r="NWG242" s="15"/>
      <c r="NWH242" s="15"/>
      <c r="NWI242" s="15"/>
      <c r="NWJ242" s="15"/>
      <c r="NWK242" s="15"/>
      <c r="NWL242" s="15"/>
      <c r="NWM242" s="10"/>
      <c r="NWN242" s="10"/>
      <c r="NWO242" s="21"/>
      <c r="NWP242" s="21"/>
      <c r="NWS242" s="21"/>
      <c r="NWT242" s="15"/>
      <c r="NWU242" s="15"/>
      <c r="NWV242" s="15"/>
      <c r="NWW242" s="15"/>
      <c r="NWX242" s="15"/>
      <c r="NWY242" s="15"/>
      <c r="NWZ242" s="15"/>
      <c r="NXA242" s="15"/>
      <c r="NXB242" s="15"/>
      <c r="NXC242" s="15"/>
      <c r="NXD242" s="10"/>
      <c r="NXE242" s="10"/>
      <c r="NXF242" s="21"/>
      <c r="NXG242" s="21"/>
      <c r="NXJ242" s="21"/>
      <c r="NXK242" s="15"/>
      <c r="NXL242" s="15"/>
      <c r="NXM242" s="15"/>
      <c r="NXN242" s="15"/>
      <c r="NXO242" s="15"/>
      <c r="NXP242" s="15"/>
      <c r="NXQ242" s="15"/>
      <c r="NXR242" s="15"/>
      <c r="NXS242" s="15"/>
      <c r="NXT242" s="15"/>
      <c r="NXU242" s="10"/>
      <c r="NXV242" s="10"/>
      <c r="NXW242" s="21"/>
      <c r="NXX242" s="21"/>
      <c r="NYA242" s="21"/>
      <c r="NYB242" s="15"/>
      <c r="NYC242" s="15"/>
      <c r="NYD242" s="15"/>
      <c r="NYE242" s="15"/>
      <c r="NYF242" s="15"/>
      <c r="NYG242" s="15"/>
      <c r="NYH242" s="15"/>
      <c r="NYI242" s="15"/>
      <c r="NYJ242" s="15"/>
      <c r="NYK242" s="15"/>
      <c r="NYL242" s="10"/>
      <c r="NYM242" s="10"/>
      <c r="NYN242" s="21"/>
      <c r="NYO242" s="21"/>
      <c r="NYR242" s="21"/>
      <c r="NYS242" s="15"/>
      <c r="NYT242" s="15"/>
      <c r="NYU242" s="15"/>
      <c r="NYV242" s="15"/>
      <c r="NYW242" s="15"/>
      <c r="NYX242" s="15"/>
      <c r="NYY242" s="15"/>
      <c r="NYZ242" s="15"/>
      <c r="NZA242" s="15"/>
      <c r="NZB242" s="15"/>
      <c r="NZC242" s="10"/>
      <c r="NZD242" s="10"/>
      <c r="NZE242" s="21"/>
      <c r="NZF242" s="21"/>
      <c r="NZI242" s="21"/>
      <c r="NZJ242" s="15"/>
      <c r="NZK242" s="15"/>
      <c r="NZL242" s="15"/>
      <c r="NZM242" s="15"/>
      <c r="NZN242" s="15"/>
      <c r="NZO242" s="15"/>
      <c r="NZP242" s="15"/>
      <c r="NZQ242" s="15"/>
      <c r="NZR242" s="15"/>
      <c r="NZS242" s="15"/>
      <c r="NZT242" s="10"/>
      <c r="NZU242" s="10"/>
      <c r="NZV242" s="21"/>
      <c r="NZW242" s="21"/>
      <c r="NZZ242" s="21"/>
      <c r="OAA242" s="15"/>
      <c r="OAB242" s="15"/>
      <c r="OAC242" s="15"/>
      <c r="OAD242" s="15"/>
      <c r="OAE242" s="15"/>
      <c r="OAF242" s="15"/>
      <c r="OAG242" s="15"/>
      <c r="OAH242" s="15"/>
      <c r="OAI242" s="15"/>
      <c r="OAJ242" s="15"/>
      <c r="OAK242" s="10"/>
      <c r="OAL242" s="10"/>
      <c r="OAM242" s="21"/>
      <c r="OAN242" s="21"/>
      <c r="OAQ242" s="21"/>
      <c r="OAR242" s="15"/>
      <c r="OAS242" s="15"/>
      <c r="OAT242" s="15"/>
      <c r="OAU242" s="15"/>
      <c r="OAV242" s="15"/>
      <c r="OAW242" s="15"/>
      <c r="OAX242" s="15"/>
      <c r="OAY242" s="15"/>
      <c r="OAZ242" s="15"/>
      <c r="OBA242" s="15"/>
      <c r="OBB242" s="10"/>
      <c r="OBC242" s="10"/>
      <c r="OBD242" s="21"/>
      <c r="OBE242" s="21"/>
      <c r="OBH242" s="21"/>
      <c r="OBI242" s="15"/>
      <c r="OBJ242" s="15"/>
      <c r="OBK242" s="15"/>
      <c r="OBL242" s="15"/>
      <c r="OBM242" s="15"/>
      <c r="OBN242" s="15"/>
      <c r="OBO242" s="15"/>
      <c r="OBP242" s="15"/>
      <c r="OBQ242" s="15"/>
      <c r="OBR242" s="15"/>
      <c r="OBS242" s="10"/>
      <c r="OBT242" s="10"/>
      <c r="OBU242" s="21"/>
      <c r="OBV242" s="21"/>
      <c r="OBY242" s="21"/>
      <c r="OBZ242" s="15"/>
      <c r="OCA242" s="15"/>
      <c r="OCB242" s="15"/>
      <c r="OCC242" s="15"/>
      <c r="OCD242" s="15"/>
      <c r="OCE242" s="15"/>
      <c r="OCF242" s="15"/>
      <c r="OCG242" s="15"/>
      <c r="OCH242" s="15"/>
      <c r="OCI242" s="15"/>
      <c r="OCJ242" s="10"/>
      <c r="OCK242" s="10"/>
      <c r="OCL242" s="21"/>
      <c r="OCM242" s="21"/>
      <c r="OCP242" s="21"/>
      <c r="OCQ242" s="15"/>
      <c r="OCR242" s="15"/>
      <c r="OCS242" s="15"/>
      <c r="OCT242" s="15"/>
      <c r="OCU242" s="15"/>
      <c r="OCV242" s="15"/>
      <c r="OCW242" s="15"/>
      <c r="OCX242" s="15"/>
      <c r="OCY242" s="15"/>
      <c r="OCZ242" s="15"/>
      <c r="ODA242" s="10"/>
      <c r="ODB242" s="10"/>
      <c r="ODC242" s="21"/>
      <c r="ODD242" s="21"/>
      <c r="ODG242" s="21"/>
      <c r="ODH242" s="15"/>
      <c r="ODI242" s="15"/>
      <c r="ODJ242" s="15"/>
      <c r="ODK242" s="15"/>
      <c r="ODL242" s="15"/>
      <c r="ODM242" s="15"/>
      <c r="ODN242" s="15"/>
      <c r="ODO242" s="15"/>
      <c r="ODP242" s="15"/>
      <c r="ODQ242" s="15"/>
      <c r="ODR242" s="10"/>
      <c r="ODS242" s="10"/>
      <c r="ODT242" s="21"/>
      <c r="ODU242" s="21"/>
      <c r="ODX242" s="21"/>
      <c r="ODY242" s="15"/>
      <c r="ODZ242" s="15"/>
      <c r="OEA242" s="15"/>
      <c r="OEB242" s="15"/>
      <c r="OEC242" s="15"/>
      <c r="OED242" s="15"/>
      <c r="OEE242" s="15"/>
      <c r="OEF242" s="15"/>
      <c r="OEG242" s="15"/>
      <c r="OEH242" s="15"/>
      <c r="OEI242" s="10"/>
      <c r="OEJ242" s="10"/>
      <c r="OEK242" s="21"/>
      <c r="OEL242" s="21"/>
      <c r="OEO242" s="21"/>
      <c r="OEP242" s="15"/>
      <c r="OEQ242" s="15"/>
      <c r="OER242" s="15"/>
      <c r="OES242" s="15"/>
      <c r="OET242" s="15"/>
      <c r="OEU242" s="15"/>
      <c r="OEV242" s="15"/>
      <c r="OEW242" s="15"/>
      <c r="OEX242" s="15"/>
      <c r="OEY242" s="15"/>
      <c r="OEZ242" s="10"/>
      <c r="OFA242" s="10"/>
      <c r="OFB242" s="21"/>
      <c r="OFC242" s="21"/>
      <c r="OFF242" s="21"/>
      <c r="OFG242" s="15"/>
      <c r="OFH242" s="15"/>
      <c r="OFI242" s="15"/>
      <c r="OFJ242" s="15"/>
      <c r="OFK242" s="15"/>
      <c r="OFL242" s="15"/>
      <c r="OFM242" s="15"/>
      <c r="OFN242" s="15"/>
      <c r="OFO242" s="15"/>
      <c r="OFP242" s="15"/>
      <c r="OFQ242" s="10"/>
      <c r="OFR242" s="10"/>
      <c r="OFS242" s="21"/>
      <c r="OFT242" s="21"/>
      <c r="OFW242" s="21"/>
      <c r="OFX242" s="15"/>
      <c r="OFY242" s="15"/>
      <c r="OFZ242" s="15"/>
      <c r="OGA242" s="15"/>
      <c r="OGB242" s="15"/>
      <c r="OGC242" s="15"/>
      <c r="OGD242" s="15"/>
      <c r="OGE242" s="15"/>
      <c r="OGF242" s="15"/>
      <c r="OGG242" s="15"/>
      <c r="OGH242" s="10"/>
      <c r="OGI242" s="10"/>
      <c r="OGJ242" s="21"/>
      <c r="OGK242" s="21"/>
      <c r="OGN242" s="21"/>
      <c r="OGO242" s="15"/>
      <c r="OGP242" s="15"/>
      <c r="OGQ242" s="15"/>
      <c r="OGR242" s="15"/>
      <c r="OGS242" s="15"/>
      <c r="OGT242" s="15"/>
      <c r="OGU242" s="15"/>
      <c r="OGV242" s="15"/>
      <c r="OGW242" s="15"/>
      <c r="OGX242" s="15"/>
      <c r="OGY242" s="10"/>
      <c r="OGZ242" s="10"/>
      <c r="OHA242" s="21"/>
      <c r="OHB242" s="21"/>
      <c r="OHE242" s="21"/>
      <c r="OHF242" s="15"/>
      <c r="OHG242" s="15"/>
      <c r="OHH242" s="15"/>
      <c r="OHI242" s="15"/>
      <c r="OHJ242" s="15"/>
      <c r="OHK242" s="15"/>
      <c r="OHL242" s="15"/>
      <c r="OHM242" s="15"/>
      <c r="OHN242" s="15"/>
      <c r="OHO242" s="15"/>
      <c r="OHP242" s="10"/>
      <c r="OHQ242" s="10"/>
      <c r="OHR242" s="21"/>
      <c r="OHS242" s="21"/>
      <c r="OHV242" s="21"/>
      <c r="OHW242" s="15"/>
      <c r="OHX242" s="15"/>
      <c r="OHY242" s="15"/>
      <c r="OHZ242" s="15"/>
      <c r="OIA242" s="15"/>
      <c r="OIB242" s="15"/>
      <c r="OIC242" s="15"/>
      <c r="OID242" s="15"/>
      <c r="OIE242" s="15"/>
      <c r="OIF242" s="15"/>
      <c r="OIG242" s="10"/>
      <c r="OIH242" s="10"/>
      <c r="OII242" s="21"/>
      <c r="OIJ242" s="21"/>
      <c r="OIM242" s="21"/>
      <c r="OIN242" s="15"/>
      <c r="OIO242" s="15"/>
      <c r="OIP242" s="15"/>
      <c r="OIQ242" s="15"/>
      <c r="OIR242" s="15"/>
      <c r="OIS242" s="15"/>
      <c r="OIT242" s="15"/>
      <c r="OIU242" s="15"/>
      <c r="OIV242" s="15"/>
      <c r="OIW242" s="15"/>
      <c r="OIX242" s="10"/>
      <c r="OIY242" s="10"/>
      <c r="OIZ242" s="21"/>
      <c r="OJA242" s="21"/>
      <c r="OJD242" s="21"/>
      <c r="OJE242" s="15"/>
      <c r="OJF242" s="15"/>
      <c r="OJG242" s="15"/>
      <c r="OJH242" s="15"/>
      <c r="OJI242" s="15"/>
      <c r="OJJ242" s="15"/>
      <c r="OJK242" s="15"/>
      <c r="OJL242" s="15"/>
      <c r="OJM242" s="15"/>
      <c r="OJN242" s="15"/>
      <c r="OJO242" s="10"/>
      <c r="OJP242" s="10"/>
      <c r="OJQ242" s="21"/>
      <c r="OJR242" s="21"/>
      <c r="OJU242" s="21"/>
      <c r="OJV242" s="15"/>
      <c r="OJW242" s="15"/>
      <c r="OJX242" s="15"/>
      <c r="OJY242" s="15"/>
      <c r="OJZ242" s="15"/>
      <c r="OKA242" s="15"/>
      <c r="OKB242" s="15"/>
      <c r="OKC242" s="15"/>
      <c r="OKD242" s="15"/>
      <c r="OKE242" s="15"/>
      <c r="OKF242" s="10"/>
      <c r="OKG242" s="10"/>
      <c r="OKH242" s="21"/>
      <c r="OKI242" s="21"/>
      <c r="OKL242" s="21"/>
      <c r="OKM242" s="15"/>
      <c r="OKN242" s="15"/>
      <c r="OKO242" s="15"/>
      <c r="OKP242" s="15"/>
      <c r="OKQ242" s="15"/>
      <c r="OKR242" s="15"/>
      <c r="OKS242" s="15"/>
      <c r="OKT242" s="15"/>
      <c r="OKU242" s="15"/>
      <c r="OKV242" s="15"/>
      <c r="OKW242" s="10"/>
      <c r="OKX242" s="10"/>
      <c r="OKY242" s="21"/>
      <c r="OKZ242" s="21"/>
      <c r="OLC242" s="21"/>
      <c r="OLD242" s="15"/>
      <c r="OLE242" s="15"/>
      <c r="OLF242" s="15"/>
      <c r="OLG242" s="15"/>
      <c r="OLH242" s="15"/>
      <c r="OLI242" s="15"/>
      <c r="OLJ242" s="15"/>
      <c r="OLK242" s="15"/>
      <c r="OLL242" s="15"/>
      <c r="OLM242" s="15"/>
      <c r="OLN242" s="10"/>
      <c r="OLO242" s="10"/>
      <c r="OLP242" s="21"/>
      <c r="OLQ242" s="21"/>
      <c r="OLT242" s="21"/>
      <c r="OLU242" s="15"/>
      <c r="OLV242" s="15"/>
      <c r="OLW242" s="15"/>
      <c r="OLX242" s="15"/>
      <c r="OLY242" s="15"/>
      <c r="OLZ242" s="15"/>
      <c r="OMA242" s="15"/>
      <c r="OMB242" s="15"/>
      <c r="OMC242" s="15"/>
      <c r="OMD242" s="15"/>
      <c r="OME242" s="10"/>
      <c r="OMF242" s="10"/>
      <c r="OMG242" s="21"/>
      <c r="OMH242" s="21"/>
      <c r="OMK242" s="21"/>
      <c r="OML242" s="15"/>
      <c r="OMM242" s="15"/>
      <c r="OMN242" s="15"/>
      <c r="OMO242" s="15"/>
      <c r="OMP242" s="15"/>
      <c r="OMQ242" s="15"/>
      <c r="OMR242" s="15"/>
      <c r="OMS242" s="15"/>
      <c r="OMT242" s="15"/>
      <c r="OMU242" s="15"/>
      <c r="OMV242" s="10"/>
      <c r="OMW242" s="10"/>
      <c r="OMX242" s="21"/>
      <c r="OMY242" s="21"/>
      <c r="ONB242" s="21"/>
      <c r="ONC242" s="15"/>
      <c r="OND242" s="15"/>
      <c r="ONE242" s="15"/>
      <c r="ONF242" s="15"/>
      <c r="ONG242" s="15"/>
      <c r="ONH242" s="15"/>
      <c r="ONI242" s="15"/>
      <c r="ONJ242" s="15"/>
      <c r="ONK242" s="15"/>
      <c r="ONL242" s="15"/>
      <c r="ONM242" s="10"/>
      <c r="ONN242" s="10"/>
      <c r="ONO242" s="21"/>
      <c r="ONP242" s="21"/>
      <c r="ONS242" s="21"/>
      <c r="ONT242" s="15"/>
      <c r="ONU242" s="15"/>
      <c r="ONV242" s="15"/>
      <c r="ONW242" s="15"/>
      <c r="ONX242" s="15"/>
      <c r="ONY242" s="15"/>
      <c r="ONZ242" s="15"/>
      <c r="OOA242" s="15"/>
      <c r="OOB242" s="15"/>
      <c r="OOC242" s="15"/>
      <c r="OOD242" s="10"/>
      <c r="OOE242" s="10"/>
      <c r="OOF242" s="21"/>
      <c r="OOG242" s="21"/>
      <c r="OOJ242" s="21"/>
      <c r="OOK242" s="15"/>
      <c r="OOL242" s="15"/>
      <c r="OOM242" s="15"/>
      <c r="OON242" s="15"/>
      <c r="OOO242" s="15"/>
      <c r="OOP242" s="15"/>
      <c r="OOQ242" s="15"/>
      <c r="OOR242" s="15"/>
      <c r="OOS242" s="15"/>
      <c r="OOT242" s="15"/>
      <c r="OOU242" s="10"/>
      <c r="OOV242" s="10"/>
      <c r="OOW242" s="21"/>
      <c r="OOX242" s="21"/>
      <c r="OPA242" s="21"/>
      <c r="OPB242" s="15"/>
      <c r="OPC242" s="15"/>
      <c r="OPD242" s="15"/>
      <c r="OPE242" s="15"/>
      <c r="OPF242" s="15"/>
      <c r="OPG242" s="15"/>
      <c r="OPH242" s="15"/>
      <c r="OPI242" s="15"/>
      <c r="OPJ242" s="15"/>
      <c r="OPK242" s="15"/>
      <c r="OPL242" s="10"/>
      <c r="OPM242" s="10"/>
      <c r="OPN242" s="21"/>
      <c r="OPO242" s="21"/>
      <c r="OPR242" s="21"/>
      <c r="OPS242" s="15"/>
      <c r="OPT242" s="15"/>
      <c r="OPU242" s="15"/>
      <c r="OPV242" s="15"/>
      <c r="OPW242" s="15"/>
      <c r="OPX242" s="15"/>
      <c r="OPY242" s="15"/>
      <c r="OPZ242" s="15"/>
      <c r="OQA242" s="15"/>
      <c r="OQB242" s="15"/>
      <c r="OQC242" s="10"/>
      <c r="OQD242" s="10"/>
      <c r="OQE242" s="21"/>
      <c r="OQF242" s="21"/>
      <c r="OQI242" s="21"/>
      <c r="OQJ242" s="15"/>
      <c r="OQK242" s="15"/>
      <c r="OQL242" s="15"/>
      <c r="OQM242" s="15"/>
      <c r="OQN242" s="15"/>
      <c r="OQO242" s="15"/>
      <c r="OQP242" s="15"/>
      <c r="OQQ242" s="15"/>
      <c r="OQR242" s="15"/>
      <c r="OQS242" s="15"/>
      <c r="OQT242" s="10"/>
      <c r="OQU242" s="10"/>
      <c r="OQV242" s="21"/>
      <c r="OQW242" s="21"/>
      <c r="OQZ242" s="21"/>
      <c r="ORA242" s="15"/>
      <c r="ORB242" s="15"/>
      <c r="ORC242" s="15"/>
      <c r="ORD242" s="15"/>
      <c r="ORE242" s="15"/>
      <c r="ORF242" s="15"/>
      <c r="ORG242" s="15"/>
      <c r="ORH242" s="15"/>
      <c r="ORI242" s="15"/>
      <c r="ORJ242" s="15"/>
      <c r="ORK242" s="10"/>
      <c r="ORL242" s="10"/>
      <c r="ORM242" s="21"/>
      <c r="ORN242" s="21"/>
      <c r="ORQ242" s="21"/>
      <c r="ORR242" s="15"/>
      <c r="ORS242" s="15"/>
      <c r="ORT242" s="15"/>
      <c r="ORU242" s="15"/>
      <c r="ORV242" s="15"/>
      <c r="ORW242" s="15"/>
      <c r="ORX242" s="15"/>
      <c r="ORY242" s="15"/>
      <c r="ORZ242" s="15"/>
      <c r="OSA242" s="15"/>
      <c r="OSB242" s="10"/>
      <c r="OSC242" s="10"/>
      <c r="OSD242" s="21"/>
      <c r="OSE242" s="21"/>
      <c r="OSH242" s="21"/>
      <c r="OSI242" s="15"/>
      <c r="OSJ242" s="15"/>
      <c r="OSK242" s="15"/>
      <c r="OSL242" s="15"/>
      <c r="OSM242" s="15"/>
      <c r="OSN242" s="15"/>
      <c r="OSO242" s="15"/>
      <c r="OSP242" s="15"/>
      <c r="OSQ242" s="15"/>
      <c r="OSR242" s="15"/>
      <c r="OSS242" s="10"/>
      <c r="OST242" s="10"/>
      <c r="OSU242" s="21"/>
      <c r="OSV242" s="21"/>
      <c r="OSY242" s="21"/>
      <c r="OSZ242" s="15"/>
      <c r="OTA242" s="15"/>
      <c r="OTB242" s="15"/>
      <c r="OTC242" s="15"/>
      <c r="OTD242" s="15"/>
      <c r="OTE242" s="15"/>
      <c r="OTF242" s="15"/>
      <c r="OTG242" s="15"/>
      <c r="OTH242" s="15"/>
      <c r="OTI242" s="15"/>
      <c r="OTJ242" s="10"/>
      <c r="OTK242" s="10"/>
      <c r="OTL242" s="21"/>
      <c r="OTM242" s="21"/>
      <c r="OTP242" s="21"/>
      <c r="OTQ242" s="15"/>
      <c r="OTR242" s="15"/>
      <c r="OTS242" s="15"/>
      <c r="OTT242" s="15"/>
      <c r="OTU242" s="15"/>
      <c r="OTV242" s="15"/>
      <c r="OTW242" s="15"/>
      <c r="OTX242" s="15"/>
      <c r="OTY242" s="15"/>
      <c r="OTZ242" s="15"/>
      <c r="OUA242" s="10"/>
      <c r="OUB242" s="10"/>
      <c r="OUC242" s="21"/>
      <c r="OUD242" s="21"/>
      <c r="OUG242" s="21"/>
      <c r="OUH242" s="15"/>
      <c r="OUI242" s="15"/>
      <c r="OUJ242" s="15"/>
      <c r="OUK242" s="15"/>
      <c r="OUL242" s="15"/>
      <c r="OUM242" s="15"/>
      <c r="OUN242" s="15"/>
      <c r="OUO242" s="15"/>
      <c r="OUP242" s="15"/>
      <c r="OUQ242" s="15"/>
      <c r="OUR242" s="10"/>
      <c r="OUS242" s="10"/>
      <c r="OUT242" s="21"/>
      <c r="OUU242" s="21"/>
      <c r="OUX242" s="21"/>
      <c r="OUY242" s="15"/>
      <c r="OUZ242" s="15"/>
      <c r="OVA242" s="15"/>
      <c r="OVB242" s="15"/>
      <c r="OVC242" s="15"/>
      <c r="OVD242" s="15"/>
      <c r="OVE242" s="15"/>
      <c r="OVF242" s="15"/>
      <c r="OVG242" s="15"/>
      <c r="OVH242" s="15"/>
      <c r="OVI242" s="10"/>
      <c r="OVJ242" s="10"/>
      <c r="OVK242" s="21"/>
      <c r="OVL242" s="21"/>
      <c r="OVO242" s="21"/>
      <c r="OVP242" s="15"/>
      <c r="OVQ242" s="15"/>
      <c r="OVR242" s="15"/>
      <c r="OVS242" s="15"/>
      <c r="OVT242" s="15"/>
      <c r="OVU242" s="15"/>
      <c r="OVV242" s="15"/>
      <c r="OVW242" s="15"/>
      <c r="OVX242" s="15"/>
      <c r="OVY242" s="15"/>
      <c r="OVZ242" s="10"/>
      <c r="OWA242" s="10"/>
      <c r="OWB242" s="21"/>
      <c r="OWC242" s="21"/>
      <c r="OWF242" s="21"/>
      <c r="OWG242" s="15"/>
      <c r="OWH242" s="15"/>
      <c r="OWI242" s="15"/>
      <c r="OWJ242" s="15"/>
      <c r="OWK242" s="15"/>
      <c r="OWL242" s="15"/>
      <c r="OWM242" s="15"/>
      <c r="OWN242" s="15"/>
      <c r="OWO242" s="15"/>
      <c r="OWP242" s="15"/>
      <c r="OWQ242" s="10"/>
      <c r="OWR242" s="10"/>
      <c r="OWS242" s="21"/>
      <c r="OWT242" s="21"/>
      <c r="OWW242" s="21"/>
      <c r="OWX242" s="15"/>
      <c r="OWY242" s="15"/>
      <c r="OWZ242" s="15"/>
      <c r="OXA242" s="15"/>
      <c r="OXB242" s="15"/>
      <c r="OXC242" s="15"/>
      <c r="OXD242" s="15"/>
      <c r="OXE242" s="15"/>
      <c r="OXF242" s="15"/>
      <c r="OXG242" s="15"/>
      <c r="OXH242" s="10"/>
      <c r="OXI242" s="10"/>
      <c r="OXJ242" s="21"/>
      <c r="OXK242" s="21"/>
      <c r="OXN242" s="21"/>
      <c r="OXO242" s="15"/>
      <c r="OXP242" s="15"/>
      <c r="OXQ242" s="15"/>
      <c r="OXR242" s="15"/>
      <c r="OXS242" s="15"/>
      <c r="OXT242" s="15"/>
      <c r="OXU242" s="15"/>
      <c r="OXV242" s="15"/>
      <c r="OXW242" s="15"/>
      <c r="OXX242" s="15"/>
      <c r="OXY242" s="10"/>
      <c r="OXZ242" s="10"/>
      <c r="OYA242" s="21"/>
      <c r="OYB242" s="21"/>
      <c r="OYE242" s="21"/>
      <c r="OYF242" s="15"/>
      <c r="OYG242" s="15"/>
      <c r="OYH242" s="15"/>
      <c r="OYI242" s="15"/>
      <c r="OYJ242" s="15"/>
      <c r="OYK242" s="15"/>
      <c r="OYL242" s="15"/>
      <c r="OYM242" s="15"/>
      <c r="OYN242" s="15"/>
      <c r="OYO242" s="15"/>
      <c r="OYP242" s="10"/>
      <c r="OYQ242" s="10"/>
      <c r="OYR242" s="21"/>
      <c r="OYS242" s="21"/>
      <c r="OYV242" s="21"/>
      <c r="OYW242" s="15"/>
      <c r="OYX242" s="15"/>
      <c r="OYY242" s="15"/>
      <c r="OYZ242" s="15"/>
      <c r="OZA242" s="15"/>
      <c r="OZB242" s="15"/>
      <c r="OZC242" s="15"/>
      <c r="OZD242" s="15"/>
      <c r="OZE242" s="15"/>
      <c r="OZF242" s="15"/>
      <c r="OZG242" s="10"/>
      <c r="OZH242" s="10"/>
      <c r="OZI242" s="21"/>
      <c r="OZJ242" s="21"/>
      <c r="OZM242" s="21"/>
      <c r="OZN242" s="15"/>
      <c r="OZO242" s="15"/>
      <c r="OZP242" s="15"/>
      <c r="OZQ242" s="15"/>
      <c r="OZR242" s="15"/>
      <c r="OZS242" s="15"/>
      <c r="OZT242" s="15"/>
      <c r="OZU242" s="15"/>
      <c r="OZV242" s="15"/>
      <c r="OZW242" s="15"/>
      <c r="OZX242" s="10"/>
      <c r="OZY242" s="10"/>
      <c r="OZZ242" s="21"/>
      <c r="PAA242" s="21"/>
      <c r="PAD242" s="21"/>
      <c r="PAE242" s="15"/>
      <c r="PAF242" s="15"/>
      <c r="PAG242" s="15"/>
      <c r="PAH242" s="15"/>
      <c r="PAI242" s="15"/>
      <c r="PAJ242" s="15"/>
      <c r="PAK242" s="15"/>
      <c r="PAL242" s="15"/>
      <c r="PAM242" s="15"/>
      <c r="PAN242" s="15"/>
      <c r="PAO242" s="10"/>
      <c r="PAP242" s="10"/>
      <c r="PAQ242" s="21"/>
      <c r="PAR242" s="21"/>
      <c r="PAU242" s="21"/>
      <c r="PAV242" s="15"/>
      <c r="PAW242" s="15"/>
      <c r="PAX242" s="15"/>
      <c r="PAY242" s="15"/>
      <c r="PAZ242" s="15"/>
      <c r="PBA242" s="15"/>
      <c r="PBB242" s="15"/>
      <c r="PBC242" s="15"/>
      <c r="PBD242" s="15"/>
      <c r="PBE242" s="15"/>
      <c r="PBF242" s="10"/>
      <c r="PBG242" s="10"/>
      <c r="PBH242" s="21"/>
      <c r="PBI242" s="21"/>
      <c r="PBL242" s="21"/>
      <c r="PBM242" s="15"/>
      <c r="PBN242" s="15"/>
      <c r="PBO242" s="15"/>
      <c r="PBP242" s="15"/>
      <c r="PBQ242" s="15"/>
      <c r="PBR242" s="15"/>
      <c r="PBS242" s="15"/>
      <c r="PBT242" s="15"/>
      <c r="PBU242" s="15"/>
      <c r="PBV242" s="15"/>
      <c r="PBW242" s="10"/>
      <c r="PBX242" s="10"/>
      <c r="PBY242" s="21"/>
      <c r="PBZ242" s="21"/>
      <c r="PCC242" s="21"/>
      <c r="PCD242" s="15"/>
      <c r="PCE242" s="15"/>
      <c r="PCF242" s="15"/>
      <c r="PCG242" s="15"/>
      <c r="PCH242" s="15"/>
      <c r="PCI242" s="15"/>
      <c r="PCJ242" s="15"/>
      <c r="PCK242" s="15"/>
      <c r="PCL242" s="15"/>
      <c r="PCM242" s="15"/>
      <c r="PCN242" s="10"/>
      <c r="PCO242" s="10"/>
      <c r="PCP242" s="21"/>
      <c r="PCQ242" s="21"/>
      <c r="PCT242" s="21"/>
      <c r="PCU242" s="15"/>
      <c r="PCV242" s="15"/>
      <c r="PCW242" s="15"/>
      <c r="PCX242" s="15"/>
      <c r="PCY242" s="15"/>
      <c r="PCZ242" s="15"/>
      <c r="PDA242" s="15"/>
      <c r="PDB242" s="15"/>
      <c r="PDC242" s="15"/>
      <c r="PDD242" s="15"/>
      <c r="PDE242" s="10"/>
      <c r="PDF242" s="10"/>
      <c r="PDG242" s="21"/>
      <c r="PDH242" s="21"/>
      <c r="PDK242" s="21"/>
      <c r="PDL242" s="15"/>
      <c r="PDM242" s="15"/>
      <c r="PDN242" s="15"/>
      <c r="PDO242" s="15"/>
      <c r="PDP242" s="15"/>
      <c r="PDQ242" s="15"/>
      <c r="PDR242" s="15"/>
      <c r="PDS242" s="15"/>
      <c r="PDT242" s="15"/>
      <c r="PDU242" s="15"/>
      <c r="PDV242" s="10"/>
      <c r="PDW242" s="10"/>
      <c r="PDX242" s="21"/>
      <c r="PDY242" s="21"/>
      <c r="PEB242" s="21"/>
      <c r="PEC242" s="15"/>
      <c r="PED242" s="15"/>
      <c r="PEE242" s="15"/>
      <c r="PEF242" s="15"/>
      <c r="PEG242" s="15"/>
      <c r="PEH242" s="15"/>
      <c r="PEI242" s="15"/>
      <c r="PEJ242" s="15"/>
      <c r="PEK242" s="15"/>
      <c r="PEL242" s="15"/>
      <c r="PEM242" s="10"/>
      <c r="PEN242" s="10"/>
      <c r="PEO242" s="21"/>
      <c r="PEP242" s="21"/>
      <c r="PES242" s="21"/>
      <c r="PET242" s="15"/>
      <c r="PEU242" s="15"/>
      <c r="PEV242" s="15"/>
      <c r="PEW242" s="15"/>
      <c r="PEX242" s="15"/>
      <c r="PEY242" s="15"/>
      <c r="PEZ242" s="15"/>
      <c r="PFA242" s="15"/>
      <c r="PFB242" s="15"/>
      <c r="PFC242" s="15"/>
      <c r="PFD242" s="10"/>
      <c r="PFE242" s="10"/>
      <c r="PFF242" s="21"/>
      <c r="PFG242" s="21"/>
      <c r="PFJ242" s="21"/>
      <c r="PFK242" s="15"/>
      <c r="PFL242" s="15"/>
      <c r="PFM242" s="15"/>
      <c r="PFN242" s="15"/>
      <c r="PFO242" s="15"/>
      <c r="PFP242" s="15"/>
      <c r="PFQ242" s="15"/>
      <c r="PFR242" s="15"/>
      <c r="PFS242" s="15"/>
      <c r="PFT242" s="15"/>
      <c r="PFU242" s="10"/>
      <c r="PFV242" s="10"/>
      <c r="PFW242" s="21"/>
      <c r="PFX242" s="21"/>
      <c r="PGA242" s="21"/>
      <c r="PGB242" s="15"/>
      <c r="PGC242" s="15"/>
      <c r="PGD242" s="15"/>
      <c r="PGE242" s="15"/>
      <c r="PGF242" s="15"/>
      <c r="PGG242" s="15"/>
      <c r="PGH242" s="15"/>
      <c r="PGI242" s="15"/>
      <c r="PGJ242" s="15"/>
      <c r="PGK242" s="15"/>
      <c r="PGL242" s="10"/>
      <c r="PGM242" s="10"/>
      <c r="PGN242" s="21"/>
      <c r="PGO242" s="21"/>
      <c r="PGR242" s="21"/>
      <c r="PGS242" s="15"/>
      <c r="PGT242" s="15"/>
      <c r="PGU242" s="15"/>
      <c r="PGV242" s="15"/>
      <c r="PGW242" s="15"/>
      <c r="PGX242" s="15"/>
      <c r="PGY242" s="15"/>
      <c r="PGZ242" s="15"/>
      <c r="PHA242" s="15"/>
      <c r="PHB242" s="15"/>
      <c r="PHC242" s="10"/>
      <c r="PHD242" s="10"/>
      <c r="PHE242" s="21"/>
      <c r="PHF242" s="21"/>
      <c r="PHI242" s="21"/>
      <c r="PHJ242" s="15"/>
      <c r="PHK242" s="15"/>
      <c r="PHL242" s="15"/>
      <c r="PHM242" s="15"/>
      <c r="PHN242" s="15"/>
      <c r="PHO242" s="15"/>
      <c r="PHP242" s="15"/>
      <c r="PHQ242" s="15"/>
      <c r="PHR242" s="15"/>
      <c r="PHS242" s="15"/>
      <c r="PHT242" s="10"/>
      <c r="PHU242" s="10"/>
      <c r="PHV242" s="21"/>
      <c r="PHW242" s="21"/>
      <c r="PHZ242" s="21"/>
      <c r="PIA242" s="15"/>
      <c r="PIB242" s="15"/>
      <c r="PIC242" s="15"/>
      <c r="PID242" s="15"/>
      <c r="PIE242" s="15"/>
      <c r="PIF242" s="15"/>
      <c r="PIG242" s="15"/>
      <c r="PIH242" s="15"/>
      <c r="PII242" s="15"/>
      <c r="PIJ242" s="15"/>
      <c r="PIK242" s="10"/>
      <c r="PIL242" s="10"/>
      <c r="PIM242" s="21"/>
      <c r="PIN242" s="21"/>
      <c r="PIQ242" s="21"/>
      <c r="PIR242" s="15"/>
      <c r="PIS242" s="15"/>
      <c r="PIT242" s="15"/>
      <c r="PIU242" s="15"/>
      <c r="PIV242" s="15"/>
      <c r="PIW242" s="15"/>
      <c r="PIX242" s="15"/>
      <c r="PIY242" s="15"/>
      <c r="PIZ242" s="15"/>
      <c r="PJA242" s="15"/>
      <c r="PJB242" s="10"/>
      <c r="PJC242" s="10"/>
      <c r="PJD242" s="21"/>
      <c r="PJE242" s="21"/>
      <c r="PJH242" s="21"/>
      <c r="PJI242" s="15"/>
      <c r="PJJ242" s="15"/>
      <c r="PJK242" s="15"/>
      <c r="PJL242" s="15"/>
      <c r="PJM242" s="15"/>
      <c r="PJN242" s="15"/>
      <c r="PJO242" s="15"/>
      <c r="PJP242" s="15"/>
      <c r="PJQ242" s="15"/>
      <c r="PJR242" s="15"/>
      <c r="PJS242" s="10"/>
      <c r="PJT242" s="10"/>
      <c r="PJU242" s="21"/>
      <c r="PJV242" s="21"/>
      <c r="PJY242" s="21"/>
      <c r="PJZ242" s="15"/>
      <c r="PKA242" s="15"/>
      <c r="PKB242" s="15"/>
      <c r="PKC242" s="15"/>
      <c r="PKD242" s="15"/>
      <c r="PKE242" s="15"/>
      <c r="PKF242" s="15"/>
      <c r="PKG242" s="15"/>
      <c r="PKH242" s="15"/>
      <c r="PKI242" s="15"/>
      <c r="PKJ242" s="10"/>
      <c r="PKK242" s="10"/>
      <c r="PKL242" s="21"/>
      <c r="PKM242" s="21"/>
      <c r="PKP242" s="21"/>
      <c r="PKQ242" s="15"/>
      <c r="PKR242" s="15"/>
      <c r="PKS242" s="15"/>
      <c r="PKT242" s="15"/>
      <c r="PKU242" s="15"/>
      <c r="PKV242" s="15"/>
      <c r="PKW242" s="15"/>
      <c r="PKX242" s="15"/>
      <c r="PKY242" s="15"/>
      <c r="PKZ242" s="15"/>
      <c r="PLA242" s="10"/>
      <c r="PLB242" s="10"/>
      <c r="PLC242" s="21"/>
      <c r="PLD242" s="21"/>
      <c r="PLG242" s="21"/>
      <c r="PLH242" s="15"/>
      <c r="PLI242" s="15"/>
      <c r="PLJ242" s="15"/>
      <c r="PLK242" s="15"/>
      <c r="PLL242" s="15"/>
      <c r="PLM242" s="15"/>
      <c r="PLN242" s="15"/>
      <c r="PLO242" s="15"/>
      <c r="PLP242" s="15"/>
      <c r="PLQ242" s="15"/>
      <c r="PLR242" s="10"/>
      <c r="PLS242" s="10"/>
      <c r="PLT242" s="21"/>
      <c r="PLU242" s="21"/>
      <c r="PLX242" s="21"/>
      <c r="PLY242" s="15"/>
      <c r="PLZ242" s="15"/>
      <c r="PMA242" s="15"/>
      <c r="PMB242" s="15"/>
      <c r="PMC242" s="15"/>
      <c r="PMD242" s="15"/>
      <c r="PME242" s="15"/>
      <c r="PMF242" s="15"/>
      <c r="PMG242" s="15"/>
      <c r="PMH242" s="15"/>
      <c r="PMI242" s="10"/>
      <c r="PMJ242" s="10"/>
      <c r="PMK242" s="21"/>
      <c r="PML242" s="21"/>
      <c r="PMO242" s="21"/>
      <c r="PMP242" s="15"/>
      <c r="PMQ242" s="15"/>
      <c r="PMR242" s="15"/>
      <c r="PMS242" s="15"/>
      <c r="PMT242" s="15"/>
      <c r="PMU242" s="15"/>
      <c r="PMV242" s="15"/>
      <c r="PMW242" s="15"/>
      <c r="PMX242" s="15"/>
      <c r="PMY242" s="15"/>
      <c r="PMZ242" s="10"/>
      <c r="PNA242" s="10"/>
      <c r="PNB242" s="21"/>
      <c r="PNC242" s="21"/>
      <c r="PNF242" s="21"/>
      <c r="PNG242" s="15"/>
      <c r="PNH242" s="15"/>
      <c r="PNI242" s="15"/>
      <c r="PNJ242" s="15"/>
      <c r="PNK242" s="15"/>
      <c r="PNL242" s="15"/>
      <c r="PNM242" s="15"/>
      <c r="PNN242" s="15"/>
      <c r="PNO242" s="15"/>
      <c r="PNP242" s="15"/>
      <c r="PNQ242" s="10"/>
      <c r="PNR242" s="10"/>
      <c r="PNS242" s="21"/>
      <c r="PNT242" s="21"/>
      <c r="PNW242" s="21"/>
      <c r="PNX242" s="15"/>
      <c r="PNY242" s="15"/>
      <c r="PNZ242" s="15"/>
      <c r="POA242" s="15"/>
      <c r="POB242" s="15"/>
      <c r="POC242" s="15"/>
      <c r="POD242" s="15"/>
      <c r="POE242" s="15"/>
      <c r="POF242" s="15"/>
      <c r="POG242" s="15"/>
      <c r="POH242" s="10"/>
      <c r="POI242" s="10"/>
      <c r="POJ242" s="21"/>
      <c r="POK242" s="21"/>
      <c r="PON242" s="21"/>
      <c r="POO242" s="15"/>
      <c r="POP242" s="15"/>
      <c r="POQ242" s="15"/>
      <c r="POR242" s="15"/>
      <c r="POS242" s="15"/>
      <c r="POT242" s="15"/>
      <c r="POU242" s="15"/>
      <c r="POV242" s="15"/>
      <c r="POW242" s="15"/>
      <c r="POX242" s="15"/>
      <c r="POY242" s="10"/>
      <c r="POZ242" s="10"/>
      <c r="PPA242" s="21"/>
      <c r="PPB242" s="21"/>
      <c r="PPE242" s="21"/>
      <c r="PPF242" s="15"/>
      <c r="PPG242" s="15"/>
      <c r="PPH242" s="15"/>
      <c r="PPI242" s="15"/>
      <c r="PPJ242" s="15"/>
      <c r="PPK242" s="15"/>
      <c r="PPL242" s="15"/>
      <c r="PPM242" s="15"/>
      <c r="PPN242" s="15"/>
      <c r="PPO242" s="15"/>
      <c r="PPP242" s="10"/>
      <c r="PPQ242" s="10"/>
      <c r="PPR242" s="21"/>
      <c r="PPS242" s="21"/>
      <c r="PPV242" s="21"/>
      <c r="PPW242" s="15"/>
      <c r="PPX242" s="15"/>
      <c r="PPY242" s="15"/>
      <c r="PPZ242" s="15"/>
      <c r="PQA242" s="15"/>
      <c r="PQB242" s="15"/>
      <c r="PQC242" s="15"/>
      <c r="PQD242" s="15"/>
      <c r="PQE242" s="15"/>
      <c r="PQF242" s="15"/>
      <c r="PQG242" s="10"/>
      <c r="PQH242" s="10"/>
      <c r="PQI242" s="21"/>
      <c r="PQJ242" s="21"/>
      <c r="PQM242" s="21"/>
      <c r="PQN242" s="15"/>
      <c r="PQO242" s="15"/>
      <c r="PQP242" s="15"/>
      <c r="PQQ242" s="15"/>
      <c r="PQR242" s="15"/>
      <c r="PQS242" s="15"/>
      <c r="PQT242" s="15"/>
      <c r="PQU242" s="15"/>
      <c r="PQV242" s="15"/>
      <c r="PQW242" s="15"/>
      <c r="PQX242" s="10"/>
      <c r="PQY242" s="10"/>
      <c r="PQZ242" s="21"/>
      <c r="PRA242" s="21"/>
      <c r="PRD242" s="21"/>
      <c r="PRE242" s="15"/>
      <c r="PRF242" s="15"/>
      <c r="PRG242" s="15"/>
      <c r="PRH242" s="15"/>
      <c r="PRI242" s="15"/>
      <c r="PRJ242" s="15"/>
      <c r="PRK242" s="15"/>
      <c r="PRL242" s="15"/>
      <c r="PRM242" s="15"/>
      <c r="PRN242" s="15"/>
      <c r="PRO242" s="10"/>
      <c r="PRP242" s="10"/>
      <c r="PRQ242" s="21"/>
      <c r="PRR242" s="21"/>
      <c r="PRU242" s="21"/>
      <c r="PRV242" s="15"/>
      <c r="PRW242" s="15"/>
      <c r="PRX242" s="15"/>
      <c r="PRY242" s="15"/>
      <c r="PRZ242" s="15"/>
      <c r="PSA242" s="15"/>
      <c r="PSB242" s="15"/>
      <c r="PSC242" s="15"/>
      <c r="PSD242" s="15"/>
      <c r="PSE242" s="15"/>
      <c r="PSF242" s="10"/>
      <c r="PSG242" s="10"/>
      <c r="PSH242" s="21"/>
      <c r="PSI242" s="21"/>
      <c r="PSL242" s="21"/>
      <c r="PSM242" s="15"/>
      <c r="PSN242" s="15"/>
      <c r="PSO242" s="15"/>
      <c r="PSP242" s="15"/>
      <c r="PSQ242" s="15"/>
      <c r="PSR242" s="15"/>
      <c r="PSS242" s="15"/>
      <c r="PST242" s="15"/>
      <c r="PSU242" s="15"/>
      <c r="PSV242" s="15"/>
      <c r="PSW242" s="10"/>
      <c r="PSX242" s="10"/>
      <c r="PSY242" s="21"/>
      <c r="PSZ242" s="21"/>
      <c r="PTC242" s="21"/>
      <c r="PTD242" s="15"/>
      <c r="PTE242" s="15"/>
      <c r="PTF242" s="15"/>
      <c r="PTG242" s="15"/>
      <c r="PTH242" s="15"/>
      <c r="PTI242" s="15"/>
      <c r="PTJ242" s="15"/>
      <c r="PTK242" s="15"/>
      <c r="PTL242" s="15"/>
      <c r="PTM242" s="15"/>
      <c r="PTN242" s="10"/>
      <c r="PTO242" s="10"/>
      <c r="PTP242" s="21"/>
      <c r="PTQ242" s="21"/>
      <c r="PTT242" s="21"/>
      <c r="PTU242" s="15"/>
      <c r="PTV242" s="15"/>
      <c r="PTW242" s="15"/>
      <c r="PTX242" s="15"/>
      <c r="PTY242" s="15"/>
      <c r="PTZ242" s="15"/>
      <c r="PUA242" s="15"/>
      <c r="PUB242" s="15"/>
      <c r="PUC242" s="15"/>
      <c r="PUD242" s="15"/>
      <c r="PUE242" s="10"/>
      <c r="PUF242" s="10"/>
      <c r="PUG242" s="21"/>
      <c r="PUH242" s="21"/>
      <c r="PUK242" s="21"/>
      <c r="PUL242" s="15"/>
      <c r="PUM242" s="15"/>
      <c r="PUN242" s="15"/>
      <c r="PUO242" s="15"/>
      <c r="PUP242" s="15"/>
      <c r="PUQ242" s="15"/>
      <c r="PUR242" s="15"/>
      <c r="PUS242" s="15"/>
      <c r="PUT242" s="15"/>
      <c r="PUU242" s="15"/>
      <c r="PUV242" s="10"/>
      <c r="PUW242" s="10"/>
      <c r="PUX242" s="21"/>
      <c r="PUY242" s="21"/>
      <c r="PVB242" s="21"/>
      <c r="PVC242" s="15"/>
      <c r="PVD242" s="15"/>
      <c r="PVE242" s="15"/>
      <c r="PVF242" s="15"/>
      <c r="PVG242" s="15"/>
      <c r="PVH242" s="15"/>
      <c r="PVI242" s="15"/>
      <c r="PVJ242" s="15"/>
      <c r="PVK242" s="15"/>
      <c r="PVL242" s="15"/>
      <c r="PVM242" s="10"/>
      <c r="PVN242" s="10"/>
      <c r="PVO242" s="21"/>
      <c r="PVP242" s="21"/>
      <c r="PVS242" s="21"/>
      <c r="PVT242" s="15"/>
      <c r="PVU242" s="15"/>
      <c r="PVV242" s="15"/>
      <c r="PVW242" s="15"/>
      <c r="PVX242" s="15"/>
      <c r="PVY242" s="15"/>
      <c r="PVZ242" s="15"/>
      <c r="PWA242" s="15"/>
      <c r="PWB242" s="15"/>
      <c r="PWC242" s="15"/>
      <c r="PWD242" s="10"/>
      <c r="PWE242" s="10"/>
      <c r="PWF242" s="21"/>
      <c r="PWG242" s="21"/>
      <c r="PWJ242" s="21"/>
      <c r="PWK242" s="15"/>
      <c r="PWL242" s="15"/>
      <c r="PWM242" s="15"/>
      <c r="PWN242" s="15"/>
      <c r="PWO242" s="15"/>
      <c r="PWP242" s="15"/>
      <c r="PWQ242" s="15"/>
      <c r="PWR242" s="15"/>
      <c r="PWS242" s="15"/>
      <c r="PWT242" s="15"/>
      <c r="PWU242" s="10"/>
      <c r="PWV242" s="10"/>
      <c r="PWW242" s="21"/>
      <c r="PWX242" s="21"/>
      <c r="PXA242" s="21"/>
      <c r="PXB242" s="15"/>
      <c r="PXC242" s="15"/>
      <c r="PXD242" s="15"/>
      <c r="PXE242" s="15"/>
      <c r="PXF242" s="15"/>
      <c r="PXG242" s="15"/>
      <c r="PXH242" s="15"/>
      <c r="PXI242" s="15"/>
      <c r="PXJ242" s="15"/>
      <c r="PXK242" s="15"/>
      <c r="PXL242" s="10"/>
      <c r="PXM242" s="10"/>
      <c r="PXN242" s="21"/>
      <c r="PXO242" s="21"/>
      <c r="PXR242" s="21"/>
      <c r="PXS242" s="15"/>
      <c r="PXT242" s="15"/>
      <c r="PXU242" s="15"/>
      <c r="PXV242" s="15"/>
      <c r="PXW242" s="15"/>
      <c r="PXX242" s="15"/>
      <c r="PXY242" s="15"/>
      <c r="PXZ242" s="15"/>
      <c r="PYA242" s="15"/>
      <c r="PYB242" s="15"/>
      <c r="PYC242" s="10"/>
      <c r="PYD242" s="10"/>
      <c r="PYE242" s="21"/>
      <c r="PYF242" s="21"/>
      <c r="PYI242" s="21"/>
      <c r="PYJ242" s="15"/>
      <c r="PYK242" s="15"/>
      <c r="PYL242" s="15"/>
      <c r="PYM242" s="15"/>
      <c r="PYN242" s="15"/>
      <c r="PYO242" s="15"/>
      <c r="PYP242" s="15"/>
      <c r="PYQ242" s="15"/>
      <c r="PYR242" s="15"/>
      <c r="PYS242" s="15"/>
      <c r="PYT242" s="10"/>
      <c r="PYU242" s="10"/>
      <c r="PYV242" s="21"/>
      <c r="PYW242" s="21"/>
      <c r="PYZ242" s="21"/>
      <c r="PZA242" s="15"/>
      <c r="PZB242" s="15"/>
      <c r="PZC242" s="15"/>
      <c r="PZD242" s="15"/>
      <c r="PZE242" s="15"/>
      <c r="PZF242" s="15"/>
      <c r="PZG242" s="15"/>
      <c r="PZH242" s="15"/>
      <c r="PZI242" s="15"/>
      <c r="PZJ242" s="15"/>
      <c r="PZK242" s="10"/>
      <c r="PZL242" s="10"/>
      <c r="PZM242" s="21"/>
      <c r="PZN242" s="21"/>
      <c r="PZQ242" s="21"/>
      <c r="PZR242" s="15"/>
      <c r="PZS242" s="15"/>
      <c r="PZT242" s="15"/>
      <c r="PZU242" s="15"/>
      <c r="PZV242" s="15"/>
      <c r="PZW242" s="15"/>
      <c r="PZX242" s="15"/>
      <c r="PZY242" s="15"/>
      <c r="PZZ242" s="15"/>
      <c r="QAA242" s="15"/>
      <c r="QAB242" s="10"/>
      <c r="QAC242" s="10"/>
      <c r="QAD242" s="21"/>
      <c r="QAE242" s="21"/>
      <c r="QAH242" s="21"/>
      <c r="QAI242" s="15"/>
      <c r="QAJ242" s="15"/>
      <c r="QAK242" s="15"/>
      <c r="QAL242" s="15"/>
      <c r="QAM242" s="15"/>
      <c r="QAN242" s="15"/>
      <c r="QAO242" s="15"/>
      <c r="QAP242" s="15"/>
      <c r="QAQ242" s="15"/>
      <c r="QAR242" s="15"/>
      <c r="QAS242" s="10"/>
      <c r="QAT242" s="10"/>
      <c r="QAU242" s="21"/>
      <c r="QAV242" s="21"/>
      <c r="QAY242" s="21"/>
      <c r="QAZ242" s="15"/>
      <c r="QBA242" s="15"/>
      <c r="QBB242" s="15"/>
      <c r="QBC242" s="15"/>
      <c r="QBD242" s="15"/>
      <c r="QBE242" s="15"/>
      <c r="QBF242" s="15"/>
      <c r="QBG242" s="15"/>
      <c r="QBH242" s="15"/>
      <c r="QBI242" s="15"/>
      <c r="QBJ242" s="10"/>
      <c r="QBK242" s="10"/>
      <c r="QBL242" s="21"/>
      <c r="QBM242" s="21"/>
      <c r="QBP242" s="21"/>
      <c r="QBQ242" s="15"/>
      <c r="QBR242" s="15"/>
      <c r="QBS242" s="15"/>
      <c r="QBT242" s="15"/>
      <c r="QBU242" s="15"/>
      <c r="QBV242" s="15"/>
      <c r="QBW242" s="15"/>
      <c r="QBX242" s="15"/>
      <c r="QBY242" s="15"/>
      <c r="QBZ242" s="15"/>
      <c r="QCA242" s="10"/>
      <c r="QCB242" s="10"/>
      <c r="QCC242" s="21"/>
      <c r="QCD242" s="21"/>
      <c r="QCG242" s="21"/>
      <c r="QCH242" s="15"/>
      <c r="QCI242" s="15"/>
      <c r="QCJ242" s="15"/>
      <c r="QCK242" s="15"/>
      <c r="QCL242" s="15"/>
      <c r="QCM242" s="15"/>
      <c r="QCN242" s="15"/>
      <c r="QCO242" s="15"/>
      <c r="QCP242" s="15"/>
      <c r="QCQ242" s="15"/>
      <c r="QCR242" s="10"/>
      <c r="QCS242" s="10"/>
      <c r="QCT242" s="21"/>
      <c r="QCU242" s="21"/>
      <c r="QCX242" s="21"/>
      <c r="QCY242" s="15"/>
      <c r="QCZ242" s="15"/>
      <c r="QDA242" s="15"/>
      <c r="QDB242" s="15"/>
      <c r="QDC242" s="15"/>
      <c r="QDD242" s="15"/>
      <c r="QDE242" s="15"/>
      <c r="QDF242" s="15"/>
      <c r="QDG242" s="15"/>
      <c r="QDH242" s="15"/>
      <c r="QDI242" s="10"/>
      <c r="QDJ242" s="10"/>
      <c r="QDK242" s="21"/>
      <c r="QDL242" s="21"/>
      <c r="QDO242" s="21"/>
      <c r="QDP242" s="15"/>
      <c r="QDQ242" s="15"/>
      <c r="QDR242" s="15"/>
      <c r="QDS242" s="15"/>
      <c r="QDT242" s="15"/>
      <c r="QDU242" s="15"/>
      <c r="QDV242" s="15"/>
      <c r="QDW242" s="15"/>
      <c r="QDX242" s="15"/>
      <c r="QDY242" s="15"/>
      <c r="QDZ242" s="10"/>
      <c r="QEA242" s="10"/>
      <c r="QEB242" s="21"/>
      <c r="QEC242" s="21"/>
      <c r="QEF242" s="21"/>
      <c r="QEG242" s="15"/>
      <c r="QEH242" s="15"/>
      <c r="QEI242" s="15"/>
      <c r="QEJ242" s="15"/>
      <c r="QEK242" s="15"/>
      <c r="QEL242" s="15"/>
      <c r="QEM242" s="15"/>
      <c r="QEN242" s="15"/>
      <c r="QEO242" s="15"/>
      <c r="QEP242" s="15"/>
      <c r="QEQ242" s="10"/>
      <c r="QER242" s="10"/>
      <c r="QES242" s="21"/>
      <c r="QET242" s="21"/>
      <c r="QEW242" s="21"/>
      <c r="QEX242" s="15"/>
      <c r="QEY242" s="15"/>
      <c r="QEZ242" s="15"/>
      <c r="QFA242" s="15"/>
      <c r="QFB242" s="15"/>
      <c r="QFC242" s="15"/>
      <c r="QFD242" s="15"/>
      <c r="QFE242" s="15"/>
      <c r="QFF242" s="15"/>
      <c r="QFG242" s="15"/>
      <c r="QFH242" s="10"/>
      <c r="QFI242" s="10"/>
      <c r="QFJ242" s="21"/>
      <c r="QFK242" s="21"/>
      <c r="QFN242" s="21"/>
      <c r="QFO242" s="15"/>
      <c r="QFP242" s="15"/>
      <c r="QFQ242" s="15"/>
      <c r="QFR242" s="15"/>
      <c r="QFS242" s="15"/>
      <c r="QFT242" s="15"/>
      <c r="QFU242" s="15"/>
      <c r="QFV242" s="15"/>
      <c r="QFW242" s="15"/>
      <c r="QFX242" s="15"/>
      <c r="QFY242" s="10"/>
      <c r="QFZ242" s="10"/>
      <c r="QGA242" s="21"/>
      <c r="QGB242" s="21"/>
      <c r="QGE242" s="21"/>
      <c r="QGF242" s="15"/>
      <c r="QGG242" s="15"/>
      <c r="QGH242" s="15"/>
      <c r="QGI242" s="15"/>
      <c r="QGJ242" s="15"/>
      <c r="QGK242" s="15"/>
      <c r="QGL242" s="15"/>
      <c r="QGM242" s="15"/>
      <c r="QGN242" s="15"/>
      <c r="QGO242" s="15"/>
      <c r="QGP242" s="10"/>
      <c r="QGQ242" s="10"/>
      <c r="QGR242" s="21"/>
      <c r="QGS242" s="21"/>
      <c r="QGV242" s="21"/>
      <c r="QGW242" s="15"/>
      <c r="QGX242" s="15"/>
      <c r="QGY242" s="15"/>
      <c r="QGZ242" s="15"/>
      <c r="QHA242" s="15"/>
      <c r="QHB242" s="15"/>
      <c r="QHC242" s="15"/>
      <c r="QHD242" s="15"/>
      <c r="QHE242" s="15"/>
      <c r="QHF242" s="15"/>
      <c r="QHG242" s="10"/>
      <c r="QHH242" s="10"/>
      <c r="QHI242" s="21"/>
      <c r="QHJ242" s="21"/>
      <c r="QHM242" s="21"/>
      <c r="QHN242" s="15"/>
      <c r="QHO242" s="15"/>
      <c r="QHP242" s="15"/>
      <c r="QHQ242" s="15"/>
      <c r="QHR242" s="15"/>
      <c r="QHS242" s="15"/>
      <c r="QHT242" s="15"/>
      <c r="QHU242" s="15"/>
      <c r="QHV242" s="15"/>
      <c r="QHW242" s="15"/>
      <c r="QHX242" s="10"/>
      <c r="QHY242" s="10"/>
      <c r="QHZ242" s="21"/>
      <c r="QIA242" s="21"/>
      <c r="QID242" s="21"/>
      <c r="QIE242" s="15"/>
      <c r="QIF242" s="15"/>
      <c r="QIG242" s="15"/>
      <c r="QIH242" s="15"/>
      <c r="QII242" s="15"/>
      <c r="QIJ242" s="15"/>
      <c r="QIK242" s="15"/>
      <c r="QIL242" s="15"/>
      <c r="QIM242" s="15"/>
      <c r="QIN242" s="15"/>
      <c r="QIO242" s="10"/>
      <c r="QIP242" s="10"/>
      <c r="QIQ242" s="21"/>
      <c r="QIR242" s="21"/>
      <c r="QIU242" s="21"/>
      <c r="QIV242" s="15"/>
      <c r="QIW242" s="15"/>
      <c r="QIX242" s="15"/>
      <c r="QIY242" s="15"/>
      <c r="QIZ242" s="15"/>
      <c r="QJA242" s="15"/>
      <c r="QJB242" s="15"/>
      <c r="QJC242" s="15"/>
      <c r="QJD242" s="15"/>
      <c r="QJE242" s="15"/>
      <c r="QJF242" s="10"/>
      <c r="QJG242" s="10"/>
      <c r="QJH242" s="21"/>
      <c r="QJI242" s="21"/>
      <c r="QJL242" s="21"/>
      <c r="QJM242" s="15"/>
      <c r="QJN242" s="15"/>
      <c r="QJO242" s="15"/>
      <c r="QJP242" s="15"/>
      <c r="QJQ242" s="15"/>
      <c r="QJR242" s="15"/>
      <c r="QJS242" s="15"/>
      <c r="QJT242" s="15"/>
      <c r="QJU242" s="15"/>
      <c r="QJV242" s="15"/>
      <c r="QJW242" s="10"/>
      <c r="QJX242" s="10"/>
      <c r="QJY242" s="21"/>
      <c r="QJZ242" s="21"/>
      <c r="QKC242" s="21"/>
      <c r="QKD242" s="15"/>
      <c r="QKE242" s="15"/>
      <c r="QKF242" s="15"/>
      <c r="QKG242" s="15"/>
      <c r="QKH242" s="15"/>
      <c r="QKI242" s="15"/>
      <c r="QKJ242" s="15"/>
      <c r="QKK242" s="15"/>
      <c r="QKL242" s="15"/>
      <c r="QKM242" s="15"/>
      <c r="QKN242" s="10"/>
      <c r="QKO242" s="10"/>
      <c r="QKP242" s="21"/>
      <c r="QKQ242" s="21"/>
      <c r="QKT242" s="21"/>
      <c r="QKU242" s="15"/>
      <c r="QKV242" s="15"/>
      <c r="QKW242" s="15"/>
      <c r="QKX242" s="15"/>
      <c r="QKY242" s="15"/>
      <c r="QKZ242" s="15"/>
      <c r="QLA242" s="15"/>
      <c r="QLB242" s="15"/>
      <c r="QLC242" s="15"/>
      <c r="QLD242" s="15"/>
      <c r="QLE242" s="10"/>
      <c r="QLF242" s="10"/>
      <c r="QLG242" s="21"/>
      <c r="QLH242" s="21"/>
      <c r="QLK242" s="21"/>
      <c r="QLL242" s="15"/>
      <c r="QLM242" s="15"/>
      <c r="QLN242" s="15"/>
      <c r="QLO242" s="15"/>
      <c r="QLP242" s="15"/>
      <c r="QLQ242" s="15"/>
      <c r="QLR242" s="15"/>
      <c r="QLS242" s="15"/>
      <c r="QLT242" s="15"/>
      <c r="QLU242" s="15"/>
      <c r="QLV242" s="10"/>
      <c r="QLW242" s="10"/>
      <c r="QLX242" s="21"/>
      <c r="QLY242" s="21"/>
      <c r="QMB242" s="21"/>
      <c r="QMC242" s="15"/>
      <c r="QMD242" s="15"/>
      <c r="QME242" s="15"/>
      <c r="QMF242" s="15"/>
      <c r="QMG242" s="15"/>
      <c r="QMH242" s="15"/>
      <c r="QMI242" s="15"/>
      <c r="QMJ242" s="15"/>
      <c r="QMK242" s="15"/>
      <c r="QML242" s="15"/>
      <c r="QMM242" s="10"/>
      <c r="QMN242" s="10"/>
      <c r="QMO242" s="21"/>
      <c r="QMP242" s="21"/>
      <c r="QMS242" s="21"/>
      <c r="QMT242" s="15"/>
      <c r="QMU242" s="15"/>
      <c r="QMV242" s="15"/>
      <c r="QMW242" s="15"/>
      <c r="QMX242" s="15"/>
      <c r="QMY242" s="15"/>
      <c r="QMZ242" s="15"/>
      <c r="QNA242" s="15"/>
      <c r="QNB242" s="15"/>
      <c r="QNC242" s="15"/>
      <c r="QND242" s="10"/>
      <c r="QNE242" s="10"/>
      <c r="QNF242" s="21"/>
      <c r="QNG242" s="21"/>
      <c r="QNJ242" s="21"/>
      <c r="QNK242" s="15"/>
      <c r="QNL242" s="15"/>
      <c r="QNM242" s="15"/>
      <c r="QNN242" s="15"/>
      <c r="QNO242" s="15"/>
      <c r="QNP242" s="15"/>
      <c r="QNQ242" s="15"/>
      <c r="QNR242" s="15"/>
      <c r="QNS242" s="15"/>
      <c r="QNT242" s="15"/>
      <c r="QNU242" s="10"/>
      <c r="QNV242" s="10"/>
      <c r="QNW242" s="21"/>
      <c r="QNX242" s="21"/>
      <c r="QOA242" s="21"/>
      <c r="QOB242" s="15"/>
      <c r="QOC242" s="15"/>
      <c r="QOD242" s="15"/>
      <c r="QOE242" s="15"/>
      <c r="QOF242" s="15"/>
      <c r="QOG242" s="15"/>
      <c r="QOH242" s="15"/>
      <c r="QOI242" s="15"/>
      <c r="QOJ242" s="15"/>
      <c r="QOK242" s="15"/>
      <c r="QOL242" s="10"/>
      <c r="QOM242" s="10"/>
      <c r="QON242" s="21"/>
      <c r="QOO242" s="21"/>
      <c r="QOR242" s="21"/>
      <c r="QOS242" s="15"/>
      <c r="QOT242" s="15"/>
      <c r="QOU242" s="15"/>
      <c r="QOV242" s="15"/>
      <c r="QOW242" s="15"/>
      <c r="QOX242" s="15"/>
      <c r="QOY242" s="15"/>
      <c r="QOZ242" s="15"/>
      <c r="QPA242" s="15"/>
      <c r="QPB242" s="15"/>
      <c r="QPC242" s="10"/>
      <c r="QPD242" s="10"/>
      <c r="QPE242" s="21"/>
      <c r="QPF242" s="21"/>
      <c r="QPI242" s="21"/>
      <c r="QPJ242" s="15"/>
      <c r="QPK242" s="15"/>
      <c r="QPL242" s="15"/>
      <c r="QPM242" s="15"/>
      <c r="QPN242" s="15"/>
      <c r="QPO242" s="15"/>
      <c r="QPP242" s="15"/>
      <c r="QPQ242" s="15"/>
      <c r="QPR242" s="15"/>
      <c r="QPS242" s="15"/>
      <c r="QPT242" s="10"/>
      <c r="QPU242" s="10"/>
      <c r="QPV242" s="21"/>
      <c r="QPW242" s="21"/>
      <c r="QPZ242" s="21"/>
      <c r="QQA242" s="15"/>
      <c r="QQB242" s="15"/>
      <c r="QQC242" s="15"/>
      <c r="QQD242" s="15"/>
      <c r="QQE242" s="15"/>
      <c r="QQF242" s="15"/>
      <c r="QQG242" s="15"/>
      <c r="QQH242" s="15"/>
      <c r="QQI242" s="15"/>
      <c r="QQJ242" s="15"/>
      <c r="QQK242" s="10"/>
      <c r="QQL242" s="10"/>
      <c r="QQM242" s="21"/>
      <c r="QQN242" s="21"/>
      <c r="QQQ242" s="21"/>
      <c r="QQR242" s="15"/>
      <c r="QQS242" s="15"/>
      <c r="QQT242" s="15"/>
      <c r="QQU242" s="15"/>
      <c r="QQV242" s="15"/>
      <c r="QQW242" s="15"/>
      <c r="QQX242" s="15"/>
      <c r="QQY242" s="15"/>
      <c r="QQZ242" s="15"/>
      <c r="QRA242" s="15"/>
      <c r="QRB242" s="10"/>
      <c r="QRC242" s="10"/>
      <c r="QRD242" s="21"/>
      <c r="QRE242" s="21"/>
      <c r="QRH242" s="21"/>
      <c r="QRI242" s="15"/>
      <c r="QRJ242" s="15"/>
      <c r="QRK242" s="15"/>
      <c r="QRL242" s="15"/>
      <c r="QRM242" s="15"/>
      <c r="QRN242" s="15"/>
      <c r="QRO242" s="15"/>
      <c r="QRP242" s="15"/>
      <c r="QRQ242" s="15"/>
      <c r="QRR242" s="15"/>
      <c r="QRS242" s="10"/>
      <c r="QRT242" s="10"/>
      <c r="QRU242" s="21"/>
      <c r="QRV242" s="21"/>
      <c r="QRY242" s="21"/>
      <c r="QRZ242" s="15"/>
      <c r="QSA242" s="15"/>
      <c r="QSB242" s="15"/>
      <c r="QSC242" s="15"/>
      <c r="QSD242" s="15"/>
      <c r="QSE242" s="15"/>
      <c r="QSF242" s="15"/>
      <c r="QSG242" s="15"/>
      <c r="QSH242" s="15"/>
      <c r="QSI242" s="15"/>
      <c r="QSJ242" s="10"/>
      <c r="QSK242" s="10"/>
      <c r="QSL242" s="21"/>
      <c r="QSM242" s="21"/>
      <c r="QSP242" s="21"/>
      <c r="QSQ242" s="15"/>
      <c r="QSR242" s="15"/>
      <c r="QSS242" s="15"/>
      <c r="QST242" s="15"/>
      <c r="QSU242" s="15"/>
      <c r="QSV242" s="15"/>
      <c r="QSW242" s="15"/>
      <c r="QSX242" s="15"/>
      <c r="QSY242" s="15"/>
      <c r="QSZ242" s="15"/>
      <c r="QTA242" s="10"/>
      <c r="QTB242" s="10"/>
      <c r="QTC242" s="21"/>
      <c r="QTD242" s="21"/>
      <c r="QTG242" s="21"/>
      <c r="QTH242" s="15"/>
      <c r="QTI242" s="15"/>
      <c r="QTJ242" s="15"/>
      <c r="QTK242" s="15"/>
      <c r="QTL242" s="15"/>
      <c r="QTM242" s="15"/>
      <c r="QTN242" s="15"/>
      <c r="QTO242" s="15"/>
      <c r="QTP242" s="15"/>
      <c r="QTQ242" s="15"/>
      <c r="QTR242" s="10"/>
      <c r="QTS242" s="10"/>
      <c r="QTT242" s="21"/>
      <c r="QTU242" s="21"/>
      <c r="QTX242" s="21"/>
      <c r="QTY242" s="15"/>
      <c r="QTZ242" s="15"/>
      <c r="QUA242" s="15"/>
      <c r="QUB242" s="15"/>
      <c r="QUC242" s="15"/>
      <c r="QUD242" s="15"/>
      <c r="QUE242" s="15"/>
      <c r="QUF242" s="15"/>
      <c r="QUG242" s="15"/>
      <c r="QUH242" s="15"/>
      <c r="QUI242" s="10"/>
      <c r="QUJ242" s="10"/>
      <c r="QUK242" s="21"/>
      <c r="QUL242" s="21"/>
      <c r="QUO242" s="21"/>
      <c r="QUP242" s="15"/>
      <c r="QUQ242" s="15"/>
      <c r="QUR242" s="15"/>
      <c r="QUS242" s="15"/>
      <c r="QUT242" s="15"/>
      <c r="QUU242" s="15"/>
      <c r="QUV242" s="15"/>
      <c r="QUW242" s="15"/>
      <c r="QUX242" s="15"/>
      <c r="QUY242" s="15"/>
      <c r="QUZ242" s="10"/>
      <c r="QVA242" s="10"/>
      <c r="QVB242" s="21"/>
      <c r="QVC242" s="21"/>
      <c r="QVF242" s="21"/>
      <c r="QVG242" s="15"/>
      <c r="QVH242" s="15"/>
      <c r="QVI242" s="15"/>
      <c r="QVJ242" s="15"/>
      <c r="QVK242" s="15"/>
      <c r="QVL242" s="15"/>
      <c r="QVM242" s="15"/>
      <c r="QVN242" s="15"/>
      <c r="QVO242" s="15"/>
      <c r="QVP242" s="15"/>
      <c r="QVQ242" s="10"/>
      <c r="QVR242" s="10"/>
      <c r="QVS242" s="21"/>
      <c r="QVT242" s="21"/>
      <c r="QVW242" s="21"/>
      <c r="QVX242" s="15"/>
      <c r="QVY242" s="15"/>
      <c r="QVZ242" s="15"/>
      <c r="QWA242" s="15"/>
      <c r="QWB242" s="15"/>
      <c r="QWC242" s="15"/>
      <c r="QWD242" s="15"/>
      <c r="QWE242" s="15"/>
      <c r="QWF242" s="15"/>
      <c r="QWG242" s="15"/>
      <c r="QWH242" s="10"/>
      <c r="QWI242" s="10"/>
      <c r="QWJ242" s="21"/>
      <c r="QWK242" s="21"/>
      <c r="QWN242" s="21"/>
      <c r="QWO242" s="15"/>
      <c r="QWP242" s="15"/>
      <c r="QWQ242" s="15"/>
      <c r="QWR242" s="15"/>
      <c r="QWS242" s="15"/>
      <c r="QWT242" s="15"/>
      <c r="QWU242" s="15"/>
      <c r="QWV242" s="15"/>
      <c r="QWW242" s="15"/>
      <c r="QWX242" s="15"/>
      <c r="QWY242" s="10"/>
      <c r="QWZ242" s="10"/>
      <c r="QXA242" s="21"/>
      <c r="QXB242" s="21"/>
      <c r="QXE242" s="21"/>
      <c r="QXF242" s="15"/>
      <c r="QXG242" s="15"/>
      <c r="QXH242" s="15"/>
      <c r="QXI242" s="15"/>
      <c r="QXJ242" s="15"/>
      <c r="QXK242" s="15"/>
      <c r="QXL242" s="15"/>
      <c r="QXM242" s="15"/>
      <c r="QXN242" s="15"/>
      <c r="QXO242" s="15"/>
      <c r="QXP242" s="10"/>
      <c r="QXQ242" s="10"/>
      <c r="QXR242" s="21"/>
      <c r="QXS242" s="21"/>
      <c r="QXV242" s="21"/>
      <c r="QXW242" s="15"/>
      <c r="QXX242" s="15"/>
      <c r="QXY242" s="15"/>
      <c r="QXZ242" s="15"/>
      <c r="QYA242" s="15"/>
      <c r="QYB242" s="15"/>
      <c r="QYC242" s="15"/>
      <c r="QYD242" s="15"/>
      <c r="QYE242" s="15"/>
      <c r="QYF242" s="15"/>
      <c r="QYG242" s="10"/>
      <c r="QYH242" s="10"/>
      <c r="QYI242" s="21"/>
      <c r="QYJ242" s="21"/>
      <c r="QYM242" s="21"/>
      <c r="QYN242" s="15"/>
      <c r="QYO242" s="15"/>
      <c r="QYP242" s="15"/>
      <c r="QYQ242" s="15"/>
      <c r="QYR242" s="15"/>
      <c r="QYS242" s="15"/>
      <c r="QYT242" s="15"/>
      <c r="QYU242" s="15"/>
      <c r="QYV242" s="15"/>
      <c r="QYW242" s="15"/>
      <c r="QYX242" s="10"/>
      <c r="QYY242" s="10"/>
      <c r="QYZ242" s="21"/>
      <c r="QZA242" s="21"/>
      <c r="QZD242" s="21"/>
      <c r="QZE242" s="15"/>
      <c r="QZF242" s="15"/>
      <c r="QZG242" s="15"/>
      <c r="QZH242" s="15"/>
      <c r="QZI242" s="15"/>
      <c r="QZJ242" s="15"/>
      <c r="QZK242" s="15"/>
      <c r="QZL242" s="15"/>
      <c r="QZM242" s="15"/>
      <c r="QZN242" s="15"/>
      <c r="QZO242" s="10"/>
      <c r="QZP242" s="10"/>
      <c r="QZQ242" s="21"/>
      <c r="QZR242" s="21"/>
      <c r="QZU242" s="21"/>
      <c r="QZV242" s="15"/>
      <c r="QZW242" s="15"/>
      <c r="QZX242" s="15"/>
      <c r="QZY242" s="15"/>
      <c r="QZZ242" s="15"/>
      <c r="RAA242" s="15"/>
      <c r="RAB242" s="15"/>
      <c r="RAC242" s="15"/>
      <c r="RAD242" s="15"/>
      <c r="RAE242" s="15"/>
      <c r="RAF242" s="10"/>
      <c r="RAG242" s="10"/>
      <c r="RAH242" s="21"/>
      <c r="RAI242" s="21"/>
      <c r="RAL242" s="21"/>
      <c r="RAM242" s="15"/>
      <c r="RAN242" s="15"/>
      <c r="RAO242" s="15"/>
      <c r="RAP242" s="15"/>
      <c r="RAQ242" s="15"/>
      <c r="RAR242" s="15"/>
      <c r="RAS242" s="15"/>
      <c r="RAT242" s="15"/>
      <c r="RAU242" s="15"/>
      <c r="RAV242" s="15"/>
      <c r="RAW242" s="10"/>
      <c r="RAX242" s="10"/>
      <c r="RAY242" s="21"/>
      <c r="RAZ242" s="21"/>
      <c r="RBC242" s="21"/>
      <c r="RBD242" s="15"/>
      <c r="RBE242" s="15"/>
      <c r="RBF242" s="15"/>
      <c r="RBG242" s="15"/>
      <c r="RBH242" s="15"/>
      <c r="RBI242" s="15"/>
      <c r="RBJ242" s="15"/>
      <c r="RBK242" s="15"/>
      <c r="RBL242" s="15"/>
      <c r="RBM242" s="15"/>
      <c r="RBN242" s="10"/>
      <c r="RBO242" s="10"/>
      <c r="RBP242" s="21"/>
      <c r="RBQ242" s="21"/>
      <c r="RBT242" s="21"/>
      <c r="RBU242" s="15"/>
      <c r="RBV242" s="15"/>
      <c r="RBW242" s="15"/>
      <c r="RBX242" s="15"/>
      <c r="RBY242" s="15"/>
      <c r="RBZ242" s="15"/>
      <c r="RCA242" s="15"/>
      <c r="RCB242" s="15"/>
      <c r="RCC242" s="15"/>
      <c r="RCD242" s="15"/>
      <c r="RCE242" s="10"/>
      <c r="RCF242" s="10"/>
      <c r="RCG242" s="21"/>
      <c r="RCH242" s="21"/>
      <c r="RCK242" s="21"/>
      <c r="RCL242" s="15"/>
      <c r="RCM242" s="15"/>
      <c r="RCN242" s="15"/>
      <c r="RCO242" s="15"/>
      <c r="RCP242" s="15"/>
      <c r="RCQ242" s="15"/>
      <c r="RCR242" s="15"/>
      <c r="RCS242" s="15"/>
      <c r="RCT242" s="15"/>
      <c r="RCU242" s="15"/>
      <c r="RCV242" s="10"/>
      <c r="RCW242" s="10"/>
      <c r="RCX242" s="21"/>
      <c r="RCY242" s="21"/>
      <c r="RDB242" s="21"/>
      <c r="RDC242" s="15"/>
      <c r="RDD242" s="15"/>
      <c r="RDE242" s="15"/>
      <c r="RDF242" s="15"/>
      <c r="RDG242" s="15"/>
      <c r="RDH242" s="15"/>
      <c r="RDI242" s="15"/>
      <c r="RDJ242" s="15"/>
      <c r="RDK242" s="15"/>
      <c r="RDL242" s="15"/>
      <c r="RDM242" s="10"/>
      <c r="RDN242" s="10"/>
      <c r="RDO242" s="21"/>
      <c r="RDP242" s="21"/>
      <c r="RDS242" s="21"/>
      <c r="RDT242" s="15"/>
      <c r="RDU242" s="15"/>
      <c r="RDV242" s="15"/>
      <c r="RDW242" s="15"/>
      <c r="RDX242" s="15"/>
      <c r="RDY242" s="15"/>
      <c r="RDZ242" s="15"/>
      <c r="REA242" s="15"/>
      <c r="REB242" s="15"/>
      <c r="REC242" s="15"/>
      <c r="RED242" s="10"/>
      <c r="REE242" s="10"/>
      <c r="REF242" s="21"/>
      <c r="REG242" s="21"/>
      <c r="REJ242" s="21"/>
      <c r="REK242" s="15"/>
      <c r="REL242" s="15"/>
      <c r="REM242" s="15"/>
      <c r="REN242" s="15"/>
      <c r="REO242" s="15"/>
      <c r="REP242" s="15"/>
      <c r="REQ242" s="15"/>
      <c r="RER242" s="15"/>
      <c r="RES242" s="15"/>
      <c r="RET242" s="15"/>
      <c r="REU242" s="10"/>
      <c r="REV242" s="10"/>
      <c r="REW242" s="21"/>
      <c r="REX242" s="21"/>
      <c r="RFA242" s="21"/>
      <c r="RFB242" s="15"/>
      <c r="RFC242" s="15"/>
      <c r="RFD242" s="15"/>
      <c r="RFE242" s="15"/>
      <c r="RFF242" s="15"/>
      <c r="RFG242" s="15"/>
      <c r="RFH242" s="15"/>
      <c r="RFI242" s="15"/>
      <c r="RFJ242" s="15"/>
      <c r="RFK242" s="15"/>
      <c r="RFL242" s="10"/>
      <c r="RFM242" s="10"/>
      <c r="RFN242" s="21"/>
      <c r="RFO242" s="21"/>
      <c r="RFR242" s="21"/>
      <c r="RFS242" s="15"/>
      <c r="RFT242" s="15"/>
      <c r="RFU242" s="15"/>
      <c r="RFV242" s="15"/>
      <c r="RFW242" s="15"/>
      <c r="RFX242" s="15"/>
      <c r="RFY242" s="15"/>
      <c r="RFZ242" s="15"/>
      <c r="RGA242" s="15"/>
      <c r="RGB242" s="15"/>
      <c r="RGC242" s="10"/>
      <c r="RGD242" s="10"/>
      <c r="RGE242" s="21"/>
      <c r="RGF242" s="21"/>
      <c r="RGI242" s="21"/>
      <c r="RGJ242" s="15"/>
      <c r="RGK242" s="15"/>
      <c r="RGL242" s="15"/>
      <c r="RGM242" s="15"/>
      <c r="RGN242" s="15"/>
      <c r="RGO242" s="15"/>
      <c r="RGP242" s="15"/>
      <c r="RGQ242" s="15"/>
      <c r="RGR242" s="15"/>
      <c r="RGS242" s="15"/>
      <c r="RGT242" s="10"/>
      <c r="RGU242" s="10"/>
      <c r="RGV242" s="21"/>
      <c r="RGW242" s="21"/>
      <c r="RGZ242" s="21"/>
      <c r="RHA242" s="15"/>
      <c r="RHB242" s="15"/>
      <c r="RHC242" s="15"/>
      <c r="RHD242" s="15"/>
      <c r="RHE242" s="15"/>
      <c r="RHF242" s="15"/>
      <c r="RHG242" s="15"/>
      <c r="RHH242" s="15"/>
      <c r="RHI242" s="15"/>
      <c r="RHJ242" s="15"/>
      <c r="RHK242" s="10"/>
      <c r="RHL242" s="10"/>
      <c r="RHM242" s="21"/>
      <c r="RHN242" s="21"/>
      <c r="RHQ242" s="21"/>
      <c r="RHR242" s="15"/>
      <c r="RHS242" s="15"/>
      <c r="RHT242" s="15"/>
      <c r="RHU242" s="15"/>
      <c r="RHV242" s="15"/>
      <c r="RHW242" s="15"/>
      <c r="RHX242" s="15"/>
      <c r="RHY242" s="15"/>
      <c r="RHZ242" s="15"/>
      <c r="RIA242" s="15"/>
      <c r="RIB242" s="10"/>
      <c r="RIC242" s="10"/>
      <c r="RID242" s="21"/>
      <c r="RIE242" s="21"/>
      <c r="RIH242" s="21"/>
      <c r="RII242" s="15"/>
      <c r="RIJ242" s="15"/>
      <c r="RIK242" s="15"/>
      <c r="RIL242" s="15"/>
      <c r="RIM242" s="15"/>
      <c r="RIN242" s="15"/>
      <c r="RIO242" s="15"/>
      <c r="RIP242" s="15"/>
      <c r="RIQ242" s="15"/>
      <c r="RIR242" s="15"/>
      <c r="RIS242" s="10"/>
      <c r="RIT242" s="10"/>
      <c r="RIU242" s="21"/>
      <c r="RIV242" s="21"/>
      <c r="RIY242" s="21"/>
      <c r="RIZ242" s="15"/>
      <c r="RJA242" s="15"/>
      <c r="RJB242" s="15"/>
      <c r="RJC242" s="15"/>
      <c r="RJD242" s="15"/>
      <c r="RJE242" s="15"/>
      <c r="RJF242" s="15"/>
      <c r="RJG242" s="15"/>
      <c r="RJH242" s="15"/>
      <c r="RJI242" s="15"/>
      <c r="RJJ242" s="10"/>
      <c r="RJK242" s="10"/>
      <c r="RJL242" s="21"/>
      <c r="RJM242" s="21"/>
      <c r="RJP242" s="21"/>
      <c r="RJQ242" s="15"/>
      <c r="RJR242" s="15"/>
      <c r="RJS242" s="15"/>
      <c r="RJT242" s="15"/>
      <c r="RJU242" s="15"/>
      <c r="RJV242" s="15"/>
      <c r="RJW242" s="15"/>
      <c r="RJX242" s="15"/>
      <c r="RJY242" s="15"/>
      <c r="RJZ242" s="15"/>
      <c r="RKA242" s="10"/>
      <c r="RKB242" s="10"/>
      <c r="RKC242" s="21"/>
      <c r="RKD242" s="21"/>
      <c r="RKG242" s="21"/>
      <c r="RKH242" s="15"/>
      <c r="RKI242" s="15"/>
      <c r="RKJ242" s="15"/>
      <c r="RKK242" s="15"/>
      <c r="RKL242" s="15"/>
      <c r="RKM242" s="15"/>
      <c r="RKN242" s="15"/>
      <c r="RKO242" s="15"/>
      <c r="RKP242" s="15"/>
      <c r="RKQ242" s="15"/>
      <c r="RKR242" s="10"/>
      <c r="RKS242" s="10"/>
      <c r="RKT242" s="21"/>
      <c r="RKU242" s="21"/>
      <c r="RKX242" s="21"/>
      <c r="RKY242" s="15"/>
      <c r="RKZ242" s="15"/>
      <c r="RLA242" s="15"/>
      <c r="RLB242" s="15"/>
      <c r="RLC242" s="15"/>
      <c r="RLD242" s="15"/>
      <c r="RLE242" s="15"/>
      <c r="RLF242" s="15"/>
      <c r="RLG242" s="15"/>
      <c r="RLH242" s="15"/>
      <c r="RLI242" s="10"/>
      <c r="RLJ242" s="10"/>
      <c r="RLK242" s="21"/>
      <c r="RLL242" s="21"/>
      <c r="RLO242" s="21"/>
      <c r="RLP242" s="15"/>
      <c r="RLQ242" s="15"/>
      <c r="RLR242" s="15"/>
      <c r="RLS242" s="15"/>
      <c r="RLT242" s="15"/>
      <c r="RLU242" s="15"/>
      <c r="RLV242" s="15"/>
      <c r="RLW242" s="15"/>
      <c r="RLX242" s="15"/>
      <c r="RLY242" s="15"/>
      <c r="RLZ242" s="10"/>
      <c r="RMA242" s="10"/>
      <c r="RMB242" s="21"/>
      <c r="RMC242" s="21"/>
      <c r="RMF242" s="21"/>
      <c r="RMG242" s="15"/>
      <c r="RMH242" s="15"/>
      <c r="RMI242" s="15"/>
      <c r="RMJ242" s="15"/>
      <c r="RMK242" s="15"/>
      <c r="RML242" s="15"/>
      <c r="RMM242" s="15"/>
      <c r="RMN242" s="15"/>
      <c r="RMO242" s="15"/>
      <c r="RMP242" s="15"/>
      <c r="RMQ242" s="10"/>
      <c r="RMR242" s="10"/>
      <c r="RMS242" s="21"/>
      <c r="RMT242" s="21"/>
      <c r="RMW242" s="21"/>
      <c r="RMX242" s="15"/>
      <c r="RMY242" s="15"/>
      <c r="RMZ242" s="15"/>
      <c r="RNA242" s="15"/>
      <c r="RNB242" s="15"/>
      <c r="RNC242" s="15"/>
      <c r="RND242" s="15"/>
      <c r="RNE242" s="15"/>
      <c r="RNF242" s="15"/>
      <c r="RNG242" s="15"/>
      <c r="RNH242" s="10"/>
      <c r="RNI242" s="10"/>
      <c r="RNJ242" s="21"/>
      <c r="RNK242" s="21"/>
      <c r="RNN242" s="21"/>
      <c r="RNO242" s="15"/>
      <c r="RNP242" s="15"/>
      <c r="RNQ242" s="15"/>
      <c r="RNR242" s="15"/>
      <c r="RNS242" s="15"/>
      <c r="RNT242" s="15"/>
      <c r="RNU242" s="15"/>
      <c r="RNV242" s="15"/>
      <c r="RNW242" s="15"/>
      <c r="RNX242" s="15"/>
      <c r="RNY242" s="10"/>
      <c r="RNZ242" s="10"/>
      <c r="ROA242" s="21"/>
      <c r="ROB242" s="21"/>
      <c r="ROE242" s="21"/>
      <c r="ROF242" s="15"/>
      <c r="ROG242" s="15"/>
      <c r="ROH242" s="15"/>
      <c r="ROI242" s="15"/>
      <c r="ROJ242" s="15"/>
      <c r="ROK242" s="15"/>
      <c r="ROL242" s="15"/>
      <c r="ROM242" s="15"/>
      <c r="RON242" s="15"/>
      <c r="ROO242" s="15"/>
      <c r="ROP242" s="10"/>
      <c r="ROQ242" s="10"/>
      <c r="ROR242" s="21"/>
      <c r="ROS242" s="21"/>
      <c r="ROV242" s="21"/>
      <c r="ROW242" s="15"/>
      <c r="ROX242" s="15"/>
      <c r="ROY242" s="15"/>
      <c r="ROZ242" s="15"/>
      <c r="RPA242" s="15"/>
      <c r="RPB242" s="15"/>
      <c r="RPC242" s="15"/>
      <c r="RPD242" s="15"/>
      <c r="RPE242" s="15"/>
      <c r="RPF242" s="15"/>
      <c r="RPG242" s="10"/>
      <c r="RPH242" s="10"/>
      <c r="RPI242" s="21"/>
      <c r="RPJ242" s="21"/>
      <c r="RPM242" s="21"/>
      <c r="RPN242" s="15"/>
      <c r="RPO242" s="15"/>
      <c r="RPP242" s="15"/>
      <c r="RPQ242" s="15"/>
      <c r="RPR242" s="15"/>
      <c r="RPS242" s="15"/>
      <c r="RPT242" s="15"/>
      <c r="RPU242" s="15"/>
      <c r="RPV242" s="15"/>
      <c r="RPW242" s="15"/>
      <c r="RPX242" s="10"/>
      <c r="RPY242" s="10"/>
      <c r="RPZ242" s="21"/>
      <c r="RQA242" s="21"/>
      <c r="RQD242" s="21"/>
      <c r="RQE242" s="15"/>
      <c r="RQF242" s="15"/>
      <c r="RQG242" s="15"/>
      <c r="RQH242" s="15"/>
      <c r="RQI242" s="15"/>
      <c r="RQJ242" s="15"/>
      <c r="RQK242" s="15"/>
      <c r="RQL242" s="15"/>
      <c r="RQM242" s="15"/>
      <c r="RQN242" s="15"/>
      <c r="RQO242" s="10"/>
      <c r="RQP242" s="10"/>
      <c r="RQQ242" s="21"/>
      <c r="RQR242" s="21"/>
      <c r="RQU242" s="21"/>
      <c r="RQV242" s="15"/>
      <c r="RQW242" s="15"/>
      <c r="RQX242" s="15"/>
      <c r="RQY242" s="15"/>
      <c r="RQZ242" s="15"/>
      <c r="RRA242" s="15"/>
      <c r="RRB242" s="15"/>
      <c r="RRC242" s="15"/>
      <c r="RRD242" s="15"/>
      <c r="RRE242" s="15"/>
      <c r="RRF242" s="10"/>
      <c r="RRG242" s="10"/>
      <c r="RRH242" s="21"/>
      <c r="RRI242" s="21"/>
      <c r="RRL242" s="21"/>
      <c r="RRM242" s="15"/>
      <c r="RRN242" s="15"/>
      <c r="RRO242" s="15"/>
      <c r="RRP242" s="15"/>
      <c r="RRQ242" s="15"/>
      <c r="RRR242" s="15"/>
      <c r="RRS242" s="15"/>
      <c r="RRT242" s="15"/>
      <c r="RRU242" s="15"/>
      <c r="RRV242" s="15"/>
      <c r="RRW242" s="10"/>
      <c r="RRX242" s="10"/>
      <c r="RRY242" s="21"/>
      <c r="RRZ242" s="21"/>
      <c r="RSC242" s="21"/>
      <c r="RSD242" s="15"/>
      <c r="RSE242" s="15"/>
      <c r="RSF242" s="15"/>
      <c r="RSG242" s="15"/>
      <c r="RSH242" s="15"/>
      <c r="RSI242" s="15"/>
      <c r="RSJ242" s="15"/>
      <c r="RSK242" s="15"/>
      <c r="RSL242" s="15"/>
      <c r="RSM242" s="15"/>
      <c r="RSN242" s="10"/>
      <c r="RSO242" s="10"/>
      <c r="RSP242" s="21"/>
      <c r="RSQ242" s="21"/>
      <c r="RST242" s="21"/>
      <c r="RSU242" s="15"/>
      <c r="RSV242" s="15"/>
      <c r="RSW242" s="15"/>
      <c r="RSX242" s="15"/>
      <c r="RSY242" s="15"/>
      <c r="RSZ242" s="15"/>
      <c r="RTA242" s="15"/>
      <c r="RTB242" s="15"/>
      <c r="RTC242" s="15"/>
      <c r="RTD242" s="15"/>
      <c r="RTE242" s="10"/>
      <c r="RTF242" s="10"/>
      <c r="RTG242" s="21"/>
      <c r="RTH242" s="21"/>
      <c r="RTK242" s="21"/>
      <c r="RTL242" s="15"/>
      <c r="RTM242" s="15"/>
      <c r="RTN242" s="15"/>
      <c r="RTO242" s="15"/>
      <c r="RTP242" s="15"/>
      <c r="RTQ242" s="15"/>
      <c r="RTR242" s="15"/>
      <c r="RTS242" s="15"/>
      <c r="RTT242" s="15"/>
      <c r="RTU242" s="15"/>
      <c r="RTV242" s="10"/>
      <c r="RTW242" s="10"/>
      <c r="RTX242" s="21"/>
      <c r="RTY242" s="21"/>
      <c r="RUB242" s="21"/>
      <c r="RUC242" s="15"/>
      <c r="RUD242" s="15"/>
      <c r="RUE242" s="15"/>
      <c r="RUF242" s="15"/>
      <c r="RUG242" s="15"/>
      <c r="RUH242" s="15"/>
      <c r="RUI242" s="15"/>
      <c r="RUJ242" s="15"/>
      <c r="RUK242" s="15"/>
      <c r="RUL242" s="15"/>
      <c r="RUM242" s="10"/>
      <c r="RUN242" s="10"/>
      <c r="RUO242" s="21"/>
      <c r="RUP242" s="21"/>
      <c r="RUS242" s="21"/>
      <c r="RUT242" s="15"/>
      <c r="RUU242" s="15"/>
      <c r="RUV242" s="15"/>
      <c r="RUW242" s="15"/>
      <c r="RUX242" s="15"/>
      <c r="RUY242" s="15"/>
      <c r="RUZ242" s="15"/>
      <c r="RVA242" s="15"/>
      <c r="RVB242" s="15"/>
      <c r="RVC242" s="15"/>
      <c r="RVD242" s="10"/>
      <c r="RVE242" s="10"/>
      <c r="RVF242" s="21"/>
      <c r="RVG242" s="21"/>
      <c r="RVJ242" s="21"/>
      <c r="RVK242" s="15"/>
      <c r="RVL242" s="15"/>
      <c r="RVM242" s="15"/>
      <c r="RVN242" s="15"/>
      <c r="RVO242" s="15"/>
      <c r="RVP242" s="15"/>
      <c r="RVQ242" s="15"/>
      <c r="RVR242" s="15"/>
      <c r="RVS242" s="15"/>
      <c r="RVT242" s="15"/>
      <c r="RVU242" s="10"/>
      <c r="RVV242" s="10"/>
      <c r="RVW242" s="21"/>
      <c r="RVX242" s="21"/>
      <c r="RWA242" s="21"/>
      <c r="RWB242" s="15"/>
      <c r="RWC242" s="15"/>
      <c r="RWD242" s="15"/>
      <c r="RWE242" s="15"/>
      <c r="RWF242" s="15"/>
      <c r="RWG242" s="15"/>
      <c r="RWH242" s="15"/>
      <c r="RWI242" s="15"/>
      <c r="RWJ242" s="15"/>
      <c r="RWK242" s="15"/>
      <c r="RWL242" s="10"/>
      <c r="RWM242" s="10"/>
      <c r="RWN242" s="21"/>
      <c r="RWO242" s="21"/>
      <c r="RWR242" s="21"/>
      <c r="RWS242" s="15"/>
      <c r="RWT242" s="15"/>
      <c r="RWU242" s="15"/>
      <c r="RWV242" s="15"/>
      <c r="RWW242" s="15"/>
      <c r="RWX242" s="15"/>
      <c r="RWY242" s="15"/>
      <c r="RWZ242" s="15"/>
      <c r="RXA242" s="15"/>
      <c r="RXB242" s="15"/>
      <c r="RXC242" s="10"/>
      <c r="RXD242" s="10"/>
      <c r="RXE242" s="21"/>
      <c r="RXF242" s="21"/>
      <c r="RXI242" s="21"/>
      <c r="RXJ242" s="15"/>
      <c r="RXK242" s="15"/>
      <c r="RXL242" s="15"/>
      <c r="RXM242" s="15"/>
      <c r="RXN242" s="15"/>
      <c r="RXO242" s="15"/>
      <c r="RXP242" s="15"/>
      <c r="RXQ242" s="15"/>
      <c r="RXR242" s="15"/>
      <c r="RXS242" s="15"/>
      <c r="RXT242" s="10"/>
      <c r="RXU242" s="10"/>
      <c r="RXV242" s="21"/>
      <c r="RXW242" s="21"/>
      <c r="RXZ242" s="21"/>
      <c r="RYA242" s="15"/>
      <c r="RYB242" s="15"/>
      <c r="RYC242" s="15"/>
      <c r="RYD242" s="15"/>
      <c r="RYE242" s="15"/>
      <c r="RYF242" s="15"/>
      <c r="RYG242" s="15"/>
      <c r="RYH242" s="15"/>
      <c r="RYI242" s="15"/>
      <c r="RYJ242" s="15"/>
      <c r="RYK242" s="10"/>
      <c r="RYL242" s="10"/>
      <c r="RYM242" s="21"/>
      <c r="RYN242" s="21"/>
      <c r="RYQ242" s="21"/>
      <c r="RYR242" s="15"/>
      <c r="RYS242" s="15"/>
      <c r="RYT242" s="15"/>
      <c r="RYU242" s="15"/>
      <c r="RYV242" s="15"/>
      <c r="RYW242" s="15"/>
      <c r="RYX242" s="15"/>
      <c r="RYY242" s="15"/>
      <c r="RYZ242" s="15"/>
      <c r="RZA242" s="15"/>
      <c r="RZB242" s="10"/>
      <c r="RZC242" s="10"/>
      <c r="RZD242" s="21"/>
      <c r="RZE242" s="21"/>
      <c r="RZH242" s="21"/>
      <c r="RZI242" s="15"/>
      <c r="RZJ242" s="15"/>
      <c r="RZK242" s="15"/>
      <c r="RZL242" s="15"/>
      <c r="RZM242" s="15"/>
      <c r="RZN242" s="15"/>
      <c r="RZO242" s="15"/>
      <c r="RZP242" s="15"/>
      <c r="RZQ242" s="15"/>
      <c r="RZR242" s="15"/>
      <c r="RZS242" s="10"/>
      <c r="RZT242" s="10"/>
      <c r="RZU242" s="21"/>
      <c r="RZV242" s="21"/>
      <c r="RZY242" s="21"/>
      <c r="RZZ242" s="15"/>
      <c r="SAA242" s="15"/>
      <c r="SAB242" s="15"/>
      <c r="SAC242" s="15"/>
      <c r="SAD242" s="15"/>
      <c r="SAE242" s="15"/>
      <c r="SAF242" s="15"/>
      <c r="SAG242" s="15"/>
      <c r="SAH242" s="15"/>
      <c r="SAI242" s="15"/>
      <c r="SAJ242" s="10"/>
      <c r="SAK242" s="10"/>
      <c r="SAL242" s="21"/>
      <c r="SAM242" s="21"/>
      <c r="SAP242" s="21"/>
      <c r="SAQ242" s="15"/>
      <c r="SAR242" s="15"/>
      <c r="SAS242" s="15"/>
      <c r="SAT242" s="15"/>
      <c r="SAU242" s="15"/>
      <c r="SAV242" s="15"/>
      <c r="SAW242" s="15"/>
      <c r="SAX242" s="15"/>
      <c r="SAY242" s="15"/>
      <c r="SAZ242" s="15"/>
      <c r="SBA242" s="10"/>
      <c r="SBB242" s="10"/>
      <c r="SBC242" s="21"/>
      <c r="SBD242" s="21"/>
      <c r="SBG242" s="21"/>
      <c r="SBH242" s="15"/>
      <c r="SBI242" s="15"/>
      <c r="SBJ242" s="15"/>
      <c r="SBK242" s="15"/>
      <c r="SBL242" s="15"/>
      <c r="SBM242" s="15"/>
      <c r="SBN242" s="15"/>
      <c r="SBO242" s="15"/>
      <c r="SBP242" s="15"/>
      <c r="SBQ242" s="15"/>
      <c r="SBR242" s="10"/>
      <c r="SBS242" s="10"/>
      <c r="SBT242" s="21"/>
      <c r="SBU242" s="21"/>
      <c r="SBX242" s="21"/>
      <c r="SBY242" s="15"/>
      <c r="SBZ242" s="15"/>
      <c r="SCA242" s="15"/>
      <c r="SCB242" s="15"/>
      <c r="SCC242" s="15"/>
      <c r="SCD242" s="15"/>
      <c r="SCE242" s="15"/>
      <c r="SCF242" s="15"/>
      <c r="SCG242" s="15"/>
      <c r="SCH242" s="15"/>
      <c r="SCI242" s="10"/>
      <c r="SCJ242" s="10"/>
      <c r="SCK242" s="21"/>
      <c r="SCL242" s="21"/>
      <c r="SCO242" s="21"/>
      <c r="SCP242" s="15"/>
      <c r="SCQ242" s="15"/>
      <c r="SCR242" s="15"/>
      <c r="SCS242" s="15"/>
      <c r="SCT242" s="15"/>
      <c r="SCU242" s="15"/>
      <c r="SCV242" s="15"/>
      <c r="SCW242" s="15"/>
      <c r="SCX242" s="15"/>
      <c r="SCY242" s="15"/>
      <c r="SCZ242" s="10"/>
      <c r="SDA242" s="10"/>
      <c r="SDB242" s="21"/>
      <c r="SDC242" s="21"/>
      <c r="SDF242" s="21"/>
      <c r="SDG242" s="15"/>
      <c r="SDH242" s="15"/>
      <c r="SDI242" s="15"/>
      <c r="SDJ242" s="15"/>
      <c r="SDK242" s="15"/>
      <c r="SDL242" s="15"/>
      <c r="SDM242" s="15"/>
      <c r="SDN242" s="15"/>
      <c r="SDO242" s="15"/>
      <c r="SDP242" s="15"/>
      <c r="SDQ242" s="10"/>
      <c r="SDR242" s="10"/>
      <c r="SDS242" s="21"/>
      <c r="SDT242" s="21"/>
      <c r="SDW242" s="21"/>
      <c r="SDX242" s="15"/>
      <c r="SDY242" s="15"/>
      <c r="SDZ242" s="15"/>
      <c r="SEA242" s="15"/>
      <c r="SEB242" s="15"/>
      <c r="SEC242" s="15"/>
      <c r="SED242" s="15"/>
      <c r="SEE242" s="15"/>
      <c r="SEF242" s="15"/>
      <c r="SEG242" s="15"/>
      <c r="SEH242" s="10"/>
      <c r="SEI242" s="10"/>
      <c r="SEJ242" s="21"/>
      <c r="SEK242" s="21"/>
      <c r="SEN242" s="21"/>
      <c r="SEO242" s="15"/>
      <c r="SEP242" s="15"/>
      <c r="SEQ242" s="15"/>
      <c r="SER242" s="15"/>
      <c r="SES242" s="15"/>
      <c r="SET242" s="15"/>
      <c r="SEU242" s="15"/>
      <c r="SEV242" s="15"/>
      <c r="SEW242" s="15"/>
      <c r="SEX242" s="15"/>
      <c r="SEY242" s="10"/>
      <c r="SEZ242" s="10"/>
      <c r="SFA242" s="21"/>
      <c r="SFB242" s="21"/>
      <c r="SFE242" s="21"/>
      <c r="SFF242" s="15"/>
      <c r="SFG242" s="15"/>
      <c r="SFH242" s="15"/>
      <c r="SFI242" s="15"/>
      <c r="SFJ242" s="15"/>
      <c r="SFK242" s="15"/>
      <c r="SFL242" s="15"/>
      <c r="SFM242" s="15"/>
      <c r="SFN242" s="15"/>
      <c r="SFO242" s="15"/>
      <c r="SFP242" s="10"/>
      <c r="SFQ242" s="10"/>
      <c r="SFR242" s="21"/>
      <c r="SFS242" s="21"/>
      <c r="SFV242" s="21"/>
      <c r="SFW242" s="15"/>
      <c r="SFX242" s="15"/>
      <c r="SFY242" s="15"/>
      <c r="SFZ242" s="15"/>
      <c r="SGA242" s="15"/>
      <c r="SGB242" s="15"/>
      <c r="SGC242" s="15"/>
      <c r="SGD242" s="15"/>
      <c r="SGE242" s="15"/>
      <c r="SGF242" s="15"/>
      <c r="SGG242" s="10"/>
      <c r="SGH242" s="10"/>
      <c r="SGI242" s="21"/>
      <c r="SGJ242" s="21"/>
      <c r="SGM242" s="21"/>
      <c r="SGN242" s="15"/>
      <c r="SGO242" s="15"/>
      <c r="SGP242" s="15"/>
      <c r="SGQ242" s="15"/>
      <c r="SGR242" s="15"/>
      <c r="SGS242" s="15"/>
      <c r="SGT242" s="15"/>
      <c r="SGU242" s="15"/>
      <c r="SGV242" s="15"/>
      <c r="SGW242" s="15"/>
      <c r="SGX242" s="10"/>
      <c r="SGY242" s="10"/>
      <c r="SGZ242" s="21"/>
      <c r="SHA242" s="21"/>
      <c r="SHD242" s="21"/>
      <c r="SHE242" s="15"/>
      <c r="SHF242" s="15"/>
      <c r="SHG242" s="15"/>
      <c r="SHH242" s="15"/>
      <c r="SHI242" s="15"/>
      <c r="SHJ242" s="15"/>
      <c r="SHK242" s="15"/>
      <c r="SHL242" s="15"/>
      <c r="SHM242" s="15"/>
      <c r="SHN242" s="15"/>
      <c r="SHO242" s="10"/>
      <c r="SHP242" s="10"/>
      <c r="SHQ242" s="21"/>
      <c r="SHR242" s="21"/>
      <c r="SHU242" s="21"/>
      <c r="SHV242" s="15"/>
      <c r="SHW242" s="15"/>
      <c r="SHX242" s="15"/>
      <c r="SHY242" s="15"/>
      <c r="SHZ242" s="15"/>
      <c r="SIA242" s="15"/>
      <c r="SIB242" s="15"/>
      <c r="SIC242" s="15"/>
      <c r="SID242" s="15"/>
      <c r="SIE242" s="15"/>
      <c r="SIF242" s="10"/>
      <c r="SIG242" s="10"/>
      <c r="SIH242" s="21"/>
      <c r="SII242" s="21"/>
      <c r="SIL242" s="21"/>
      <c r="SIM242" s="15"/>
      <c r="SIN242" s="15"/>
      <c r="SIO242" s="15"/>
      <c r="SIP242" s="15"/>
      <c r="SIQ242" s="15"/>
      <c r="SIR242" s="15"/>
      <c r="SIS242" s="15"/>
      <c r="SIT242" s="15"/>
      <c r="SIU242" s="15"/>
      <c r="SIV242" s="15"/>
      <c r="SIW242" s="10"/>
      <c r="SIX242" s="10"/>
      <c r="SIY242" s="21"/>
      <c r="SIZ242" s="21"/>
      <c r="SJC242" s="21"/>
      <c r="SJD242" s="15"/>
      <c r="SJE242" s="15"/>
      <c r="SJF242" s="15"/>
      <c r="SJG242" s="15"/>
      <c r="SJH242" s="15"/>
      <c r="SJI242" s="15"/>
      <c r="SJJ242" s="15"/>
      <c r="SJK242" s="15"/>
      <c r="SJL242" s="15"/>
      <c r="SJM242" s="15"/>
      <c r="SJN242" s="10"/>
      <c r="SJO242" s="10"/>
      <c r="SJP242" s="21"/>
      <c r="SJQ242" s="21"/>
      <c r="SJT242" s="21"/>
      <c r="SJU242" s="15"/>
      <c r="SJV242" s="15"/>
      <c r="SJW242" s="15"/>
      <c r="SJX242" s="15"/>
      <c r="SJY242" s="15"/>
      <c r="SJZ242" s="15"/>
      <c r="SKA242" s="15"/>
      <c r="SKB242" s="15"/>
      <c r="SKC242" s="15"/>
      <c r="SKD242" s="15"/>
      <c r="SKE242" s="10"/>
      <c r="SKF242" s="10"/>
      <c r="SKG242" s="21"/>
      <c r="SKH242" s="21"/>
      <c r="SKK242" s="21"/>
      <c r="SKL242" s="15"/>
      <c r="SKM242" s="15"/>
      <c r="SKN242" s="15"/>
      <c r="SKO242" s="15"/>
      <c r="SKP242" s="15"/>
      <c r="SKQ242" s="15"/>
      <c r="SKR242" s="15"/>
      <c r="SKS242" s="15"/>
      <c r="SKT242" s="15"/>
      <c r="SKU242" s="15"/>
      <c r="SKV242" s="10"/>
      <c r="SKW242" s="10"/>
      <c r="SKX242" s="21"/>
      <c r="SKY242" s="21"/>
      <c r="SLB242" s="21"/>
      <c r="SLC242" s="15"/>
      <c r="SLD242" s="15"/>
      <c r="SLE242" s="15"/>
      <c r="SLF242" s="15"/>
      <c r="SLG242" s="15"/>
      <c r="SLH242" s="15"/>
      <c r="SLI242" s="15"/>
      <c r="SLJ242" s="15"/>
      <c r="SLK242" s="15"/>
      <c r="SLL242" s="15"/>
      <c r="SLM242" s="10"/>
      <c r="SLN242" s="10"/>
      <c r="SLO242" s="21"/>
      <c r="SLP242" s="21"/>
      <c r="SLS242" s="21"/>
      <c r="SLT242" s="15"/>
      <c r="SLU242" s="15"/>
      <c r="SLV242" s="15"/>
      <c r="SLW242" s="15"/>
      <c r="SLX242" s="15"/>
      <c r="SLY242" s="15"/>
      <c r="SLZ242" s="15"/>
      <c r="SMA242" s="15"/>
      <c r="SMB242" s="15"/>
      <c r="SMC242" s="15"/>
      <c r="SMD242" s="10"/>
      <c r="SME242" s="10"/>
      <c r="SMF242" s="21"/>
      <c r="SMG242" s="21"/>
      <c r="SMJ242" s="21"/>
      <c r="SMK242" s="15"/>
      <c r="SML242" s="15"/>
      <c r="SMM242" s="15"/>
      <c r="SMN242" s="15"/>
      <c r="SMO242" s="15"/>
      <c r="SMP242" s="15"/>
      <c r="SMQ242" s="15"/>
      <c r="SMR242" s="15"/>
      <c r="SMS242" s="15"/>
      <c r="SMT242" s="15"/>
      <c r="SMU242" s="10"/>
      <c r="SMV242" s="10"/>
      <c r="SMW242" s="21"/>
      <c r="SMX242" s="21"/>
      <c r="SNA242" s="21"/>
      <c r="SNB242" s="15"/>
      <c r="SNC242" s="15"/>
      <c r="SND242" s="15"/>
      <c r="SNE242" s="15"/>
      <c r="SNF242" s="15"/>
      <c r="SNG242" s="15"/>
      <c r="SNH242" s="15"/>
      <c r="SNI242" s="15"/>
      <c r="SNJ242" s="15"/>
      <c r="SNK242" s="15"/>
      <c r="SNL242" s="10"/>
      <c r="SNM242" s="10"/>
      <c r="SNN242" s="21"/>
      <c r="SNO242" s="21"/>
      <c r="SNR242" s="21"/>
      <c r="SNS242" s="15"/>
      <c r="SNT242" s="15"/>
      <c r="SNU242" s="15"/>
      <c r="SNV242" s="15"/>
      <c r="SNW242" s="15"/>
      <c r="SNX242" s="15"/>
      <c r="SNY242" s="15"/>
      <c r="SNZ242" s="15"/>
      <c r="SOA242" s="15"/>
      <c r="SOB242" s="15"/>
      <c r="SOC242" s="10"/>
      <c r="SOD242" s="10"/>
      <c r="SOE242" s="21"/>
      <c r="SOF242" s="21"/>
      <c r="SOI242" s="21"/>
      <c r="SOJ242" s="15"/>
      <c r="SOK242" s="15"/>
      <c r="SOL242" s="15"/>
      <c r="SOM242" s="15"/>
      <c r="SON242" s="15"/>
      <c r="SOO242" s="15"/>
      <c r="SOP242" s="15"/>
      <c r="SOQ242" s="15"/>
      <c r="SOR242" s="15"/>
      <c r="SOS242" s="15"/>
      <c r="SOT242" s="10"/>
      <c r="SOU242" s="10"/>
      <c r="SOV242" s="21"/>
      <c r="SOW242" s="21"/>
      <c r="SOZ242" s="21"/>
      <c r="SPA242" s="15"/>
      <c r="SPB242" s="15"/>
      <c r="SPC242" s="15"/>
      <c r="SPD242" s="15"/>
      <c r="SPE242" s="15"/>
      <c r="SPF242" s="15"/>
      <c r="SPG242" s="15"/>
      <c r="SPH242" s="15"/>
      <c r="SPI242" s="15"/>
      <c r="SPJ242" s="15"/>
      <c r="SPK242" s="10"/>
      <c r="SPL242" s="10"/>
      <c r="SPM242" s="21"/>
      <c r="SPN242" s="21"/>
      <c r="SPQ242" s="21"/>
      <c r="SPR242" s="15"/>
      <c r="SPS242" s="15"/>
      <c r="SPT242" s="15"/>
      <c r="SPU242" s="15"/>
      <c r="SPV242" s="15"/>
      <c r="SPW242" s="15"/>
      <c r="SPX242" s="15"/>
      <c r="SPY242" s="15"/>
      <c r="SPZ242" s="15"/>
      <c r="SQA242" s="15"/>
      <c r="SQB242" s="10"/>
      <c r="SQC242" s="10"/>
      <c r="SQD242" s="21"/>
      <c r="SQE242" s="21"/>
      <c r="SQH242" s="21"/>
      <c r="SQI242" s="15"/>
      <c r="SQJ242" s="15"/>
      <c r="SQK242" s="15"/>
      <c r="SQL242" s="15"/>
      <c r="SQM242" s="15"/>
      <c r="SQN242" s="15"/>
      <c r="SQO242" s="15"/>
      <c r="SQP242" s="15"/>
      <c r="SQQ242" s="15"/>
      <c r="SQR242" s="15"/>
      <c r="SQS242" s="10"/>
      <c r="SQT242" s="10"/>
      <c r="SQU242" s="21"/>
      <c r="SQV242" s="21"/>
      <c r="SQY242" s="21"/>
      <c r="SQZ242" s="15"/>
      <c r="SRA242" s="15"/>
      <c r="SRB242" s="15"/>
      <c r="SRC242" s="15"/>
      <c r="SRD242" s="15"/>
      <c r="SRE242" s="15"/>
      <c r="SRF242" s="15"/>
      <c r="SRG242" s="15"/>
      <c r="SRH242" s="15"/>
      <c r="SRI242" s="15"/>
      <c r="SRJ242" s="10"/>
      <c r="SRK242" s="10"/>
      <c r="SRL242" s="21"/>
      <c r="SRM242" s="21"/>
      <c r="SRP242" s="21"/>
      <c r="SRQ242" s="15"/>
      <c r="SRR242" s="15"/>
      <c r="SRS242" s="15"/>
      <c r="SRT242" s="15"/>
      <c r="SRU242" s="15"/>
      <c r="SRV242" s="15"/>
      <c r="SRW242" s="15"/>
      <c r="SRX242" s="15"/>
      <c r="SRY242" s="15"/>
      <c r="SRZ242" s="15"/>
      <c r="SSA242" s="10"/>
      <c r="SSB242" s="10"/>
      <c r="SSC242" s="21"/>
      <c r="SSD242" s="21"/>
      <c r="SSG242" s="21"/>
      <c r="SSH242" s="15"/>
      <c r="SSI242" s="15"/>
      <c r="SSJ242" s="15"/>
      <c r="SSK242" s="15"/>
      <c r="SSL242" s="15"/>
      <c r="SSM242" s="15"/>
      <c r="SSN242" s="15"/>
      <c r="SSO242" s="15"/>
      <c r="SSP242" s="15"/>
      <c r="SSQ242" s="15"/>
      <c r="SSR242" s="10"/>
      <c r="SSS242" s="10"/>
      <c r="SST242" s="21"/>
      <c r="SSU242" s="21"/>
      <c r="SSX242" s="21"/>
      <c r="SSY242" s="15"/>
      <c r="SSZ242" s="15"/>
      <c r="STA242" s="15"/>
      <c r="STB242" s="15"/>
      <c r="STC242" s="15"/>
      <c r="STD242" s="15"/>
      <c r="STE242" s="15"/>
      <c r="STF242" s="15"/>
      <c r="STG242" s="15"/>
      <c r="STH242" s="15"/>
      <c r="STI242" s="10"/>
      <c r="STJ242" s="10"/>
      <c r="STK242" s="21"/>
      <c r="STL242" s="21"/>
      <c r="STO242" s="21"/>
      <c r="STP242" s="15"/>
      <c r="STQ242" s="15"/>
      <c r="STR242" s="15"/>
      <c r="STS242" s="15"/>
      <c r="STT242" s="15"/>
      <c r="STU242" s="15"/>
      <c r="STV242" s="15"/>
      <c r="STW242" s="15"/>
      <c r="STX242" s="15"/>
      <c r="STY242" s="15"/>
      <c r="STZ242" s="10"/>
      <c r="SUA242" s="10"/>
      <c r="SUB242" s="21"/>
      <c r="SUC242" s="21"/>
      <c r="SUF242" s="21"/>
      <c r="SUG242" s="15"/>
      <c r="SUH242" s="15"/>
      <c r="SUI242" s="15"/>
      <c r="SUJ242" s="15"/>
      <c r="SUK242" s="15"/>
      <c r="SUL242" s="15"/>
      <c r="SUM242" s="15"/>
      <c r="SUN242" s="15"/>
      <c r="SUO242" s="15"/>
      <c r="SUP242" s="15"/>
      <c r="SUQ242" s="10"/>
      <c r="SUR242" s="10"/>
      <c r="SUS242" s="21"/>
      <c r="SUT242" s="21"/>
      <c r="SUW242" s="21"/>
      <c r="SUX242" s="15"/>
      <c r="SUY242" s="15"/>
      <c r="SUZ242" s="15"/>
      <c r="SVA242" s="15"/>
      <c r="SVB242" s="15"/>
      <c r="SVC242" s="15"/>
      <c r="SVD242" s="15"/>
      <c r="SVE242" s="15"/>
      <c r="SVF242" s="15"/>
      <c r="SVG242" s="15"/>
      <c r="SVH242" s="10"/>
      <c r="SVI242" s="10"/>
      <c r="SVJ242" s="21"/>
      <c r="SVK242" s="21"/>
      <c r="SVN242" s="21"/>
      <c r="SVO242" s="15"/>
      <c r="SVP242" s="15"/>
      <c r="SVQ242" s="15"/>
      <c r="SVR242" s="15"/>
      <c r="SVS242" s="15"/>
      <c r="SVT242" s="15"/>
      <c r="SVU242" s="15"/>
      <c r="SVV242" s="15"/>
      <c r="SVW242" s="15"/>
      <c r="SVX242" s="15"/>
      <c r="SVY242" s="10"/>
      <c r="SVZ242" s="10"/>
      <c r="SWA242" s="21"/>
      <c r="SWB242" s="21"/>
      <c r="SWE242" s="21"/>
      <c r="SWF242" s="15"/>
      <c r="SWG242" s="15"/>
      <c r="SWH242" s="15"/>
      <c r="SWI242" s="15"/>
      <c r="SWJ242" s="15"/>
      <c r="SWK242" s="15"/>
      <c r="SWL242" s="15"/>
      <c r="SWM242" s="15"/>
      <c r="SWN242" s="15"/>
      <c r="SWO242" s="15"/>
      <c r="SWP242" s="10"/>
      <c r="SWQ242" s="10"/>
      <c r="SWR242" s="21"/>
      <c r="SWS242" s="21"/>
      <c r="SWV242" s="21"/>
      <c r="SWW242" s="15"/>
      <c r="SWX242" s="15"/>
      <c r="SWY242" s="15"/>
      <c r="SWZ242" s="15"/>
      <c r="SXA242" s="15"/>
      <c r="SXB242" s="15"/>
      <c r="SXC242" s="15"/>
      <c r="SXD242" s="15"/>
      <c r="SXE242" s="15"/>
      <c r="SXF242" s="15"/>
      <c r="SXG242" s="10"/>
      <c r="SXH242" s="10"/>
      <c r="SXI242" s="21"/>
      <c r="SXJ242" s="21"/>
      <c r="SXM242" s="21"/>
      <c r="SXN242" s="15"/>
      <c r="SXO242" s="15"/>
      <c r="SXP242" s="15"/>
      <c r="SXQ242" s="15"/>
      <c r="SXR242" s="15"/>
      <c r="SXS242" s="15"/>
      <c r="SXT242" s="15"/>
      <c r="SXU242" s="15"/>
      <c r="SXV242" s="15"/>
      <c r="SXW242" s="15"/>
      <c r="SXX242" s="10"/>
      <c r="SXY242" s="10"/>
      <c r="SXZ242" s="21"/>
      <c r="SYA242" s="21"/>
      <c r="SYD242" s="21"/>
      <c r="SYE242" s="15"/>
      <c r="SYF242" s="15"/>
      <c r="SYG242" s="15"/>
      <c r="SYH242" s="15"/>
      <c r="SYI242" s="15"/>
      <c r="SYJ242" s="15"/>
      <c r="SYK242" s="15"/>
      <c r="SYL242" s="15"/>
      <c r="SYM242" s="15"/>
      <c r="SYN242" s="15"/>
      <c r="SYO242" s="10"/>
      <c r="SYP242" s="10"/>
      <c r="SYQ242" s="21"/>
      <c r="SYR242" s="21"/>
      <c r="SYU242" s="21"/>
      <c r="SYV242" s="15"/>
      <c r="SYW242" s="15"/>
      <c r="SYX242" s="15"/>
      <c r="SYY242" s="15"/>
      <c r="SYZ242" s="15"/>
      <c r="SZA242" s="15"/>
      <c r="SZB242" s="15"/>
      <c r="SZC242" s="15"/>
      <c r="SZD242" s="15"/>
      <c r="SZE242" s="15"/>
      <c r="SZF242" s="10"/>
      <c r="SZG242" s="10"/>
      <c r="SZH242" s="21"/>
      <c r="SZI242" s="21"/>
      <c r="SZL242" s="21"/>
      <c r="SZM242" s="15"/>
      <c r="SZN242" s="15"/>
      <c r="SZO242" s="15"/>
      <c r="SZP242" s="15"/>
      <c r="SZQ242" s="15"/>
      <c r="SZR242" s="15"/>
      <c r="SZS242" s="15"/>
      <c r="SZT242" s="15"/>
      <c r="SZU242" s="15"/>
      <c r="SZV242" s="15"/>
      <c r="SZW242" s="10"/>
      <c r="SZX242" s="10"/>
      <c r="SZY242" s="21"/>
      <c r="SZZ242" s="21"/>
      <c r="TAC242" s="21"/>
      <c r="TAD242" s="15"/>
      <c r="TAE242" s="15"/>
      <c r="TAF242" s="15"/>
      <c r="TAG242" s="15"/>
      <c r="TAH242" s="15"/>
      <c r="TAI242" s="15"/>
      <c r="TAJ242" s="15"/>
      <c r="TAK242" s="15"/>
      <c r="TAL242" s="15"/>
      <c r="TAM242" s="15"/>
      <c r="TAN242" s="10"/>
      <c r="TAO242" s="10"/>
      <c r="TAP242" s="21"/>
      <c r="TAQ242" s="21"/>
      <c r="TAT242" s="21"/>
      <c r="TAU242" s="15"/>
      <c r="TAV242" s="15"/>
      <c r="TAW242" s="15"/>
      <c r="TAX242" s="15"/>
      <c r="TAY242" s="15"/>
      <c r="TAZ242" s="15"/>
      <c r="TBA242" s="15"/>
      <c r="TBB242" s="15"/>
      <c r="TBC242" s="15"/>
      <c r="TBD242" s="15"/>
      <c r="TBE242" s="10"/>
      <c r="TBF242" s="10"/>
      <c r="TBG242" s="21"/>
      <c r="TBH242" s="21"/>
      <c r="TBK242" s="21"/>
      <c r="TBL242" s="15"/>
      <c r="TBM242" s="15"/>
      <c r="TBN242" s="15"/>
      <c r="TBO242" s="15"/>
      <c r="TBP242" s="15"/>
      <c r="TBQ242" s="15"/>
      <c r="TBR242" s="15"/>
      <c r="TBS242" s="15"/>
      <c r="TBT242" s="15"/>
      <c r="TBU242" s="15"/>
      <c r="TBV242" s="10"/>
      <c r="TBW242" s="10"/>
      <c r="TBX242" s="21"/>
      <c r="TBY242" s="21"/>
      <c r="TCB242" s="21"/>
      <c r="TCC242" s="15"/>
      <c r="TCD242" s="15"/>
      <c r="TCE242" s="15"/>
      <c r="TCF242" s="15"/>
      <c r="TCG242" s="15"/>
      <c r="TCH242" s="15"/>
      <c r="TCI242" s="15"/>
      <c r="TCJ242" s="15"/>
      <c r="TCK242" s="15"/>
      <c r="TCL242" s="15"/>
      <c r="TCM242" s="10"/>
      <c r="TCN242" s="10"/>
      <c r="TCO242" s="21"/>
      <c r="TCP242" s="21"/>
      <c r="TCS242" s="21"/>
      <c r="TCT242" s="15"/>
      <c r="TCU242" s="15"/>
      <c r="TCV242" s="15"/>
      <c r="TCW242" s="15"/>
      <c r="TCX242" s="15"/>
      <c r="TCY242" s="15"/>
      <c r="TCZ242" s="15"/>
      <c r="TDA242" s="15"/>
      <c r="TDB242" s="15"/>
      <c r="TDC242" s="15"/>
      <c r="TDD242" s="10"/>
      <c r="TDE242" s="10"/>
      <c r="TDF242" s="21"/>
      <c r="TDG242" s="21"/>
      <c r="TDJ242" s="21"/>
      <c r="TDK242" s="15"/>
      <c r="TDL242" s="15"/>
      <c r="TDM242" s="15"/>
      <c r="TDN242" s="15"/>
      <c r="TDO242" s="15"/>
      <c r="TDP242" s="15"/>
      <c r="TDQ242" s="15"/>
      <c r="TDR242" s="15"/>
      <c r="TDS242" s="15"/>
      <c r="TDT242" s="15"/>
      <c r="TDU242" s="10"/>
      <c r="TDV242" s="10"/>
      <c r="TDW242" s="21"/>
      <c r="TDX242" s="21"/>
      <c r="TEA242" s="21"/>
      <c r="TEB242" s="15"/>
      <c r="TEC242" s="15"/>
      <c r="TED242" s="15"/>
      <c r="TEE242" s="15"/>
      <c r="TEF242" s="15"/>
      <c r="TEG242" s="15"/>
      <c r="TEH242" s="15"/>
      <c r="TEI242" s="15"/>
      <c r="TEJ242" s="15"/>
      <c r="TEK242" s="15"/>
      <c r="TEL242" s="10"/>
      <c r="TEM242" s="10"/>
      <c r="TEN242" s="21"/>
      <c r="TEO242" s="21"/>
      <c r="TER242" s="21"/>
      <c r="TES242" s="15"/>
      <c r="TET242" s="15"/>
      <c r="TEU242" s="15"/>
      <c r="TEV242" s="15"/>
      <c r="TEW242" s="15"/>
      <c r="TEX242" s="15"/>
      <c r="TEY242" s="15"/>
      <c r="TEZ242" s="15"/>
      <c r="TFA242" s="15"/>
      <c r="TFB242" s="15"/>
      <c r="TFC242" s="10"/>
      <c r="TFD242" s="10"/>
      <c r="TFE242" s="21"/>
      <c r="TFF242" s="21"/>
      <c r="TFI242" s="21"/>
      <c r="TFJ242" s="15"/>
      <c r="TFK242" s="15"/>
      <c r="TFL242" s="15"/>
      <c r="TFM242" s="15"/>
      <c r="TFN242" s="15"/>
      <c r="TFO242" s="15"/>
      <c r="TFP242" s="15"/>
      <c r="TFQ242" s="15"/>
      <c r="TFR242" s="15"/>
      <c r="TFS242" s="15"/>
      <c r="TFT242" s="10"/>
      <c r="TFU242" s="10"/>
      <c r="TFV242" s="21"/>
      <c r="TFW242" s="21"/>
      <c r="TFZ242" s="21"/>
      <c r="TGA242" s="15"/>
      <c r="TGB242" s="15"/>
      <c r="TGC242" s="15"/>
      <c r="TGD242" s="15"/>
      <c r="TGE242" s="15"/>
      <c r="TGF242" s="15"/>
      <c r="TGG242" s="15"/>
      <c r="TGH242" s="15"/>
      <c r="TGI242" s="15"/>
      <c r="TGJ242" s="15"/>
      <c r="TGK242" s="10"/>
      <c r="TGL242" s="10"/>
      <c r="TGM242" s="21"/>
      <c r="TGN242" s="21"/>
      <c r="TGQ242" s="21"/>
      <c r="TGR242" s="15"/>
      <c r="TGS242" s="15"/>
      <c r="TGT242" s="15"/>
      <c r="TGU242" s="15"/>
      <c r="TGV242" s="15"/>
      <c r="TGW242" s="15"/>
      <c r="TGX242" s="15"/>
      <c r="TGY242" s="15"/>
      <c r="TGZ242" s="15"/>
      <c r="THA242" s="15"/>
      <c r="THB242" s="10"/>
      <c r="THC242" s="10"/>
      <c r="THD242" s="21"/>
      <c r="THE242" s="21"/>
      <c r="THH242" s="21"/>
      <c r="THI242" s="15"/>
      <c r="THJ242" s="15"/>
      <c r="THK242" s="15"/>
      <c r="THL242" s="15"/>
      <c r="THM242" s="15"/>
      <c r="THN242" s="15"/>
      <c r="THO242" s="15"/>
      <c r="THP242" s="15"/>
      <c r="THQ242" s="15"/>
      <c r="THR242" s="15"/>
      <c r="THS242" s="10"/>
      <c r="THT242" s="10"/>
      <c r="THU242" s="21"/>
      <c r="THV242" s="21"/>
      <c r="THY242" s="21"/>
      <c r="THZ242" s="15"/>
      <c r="TIA242" s="15"/>
      <c r="TIB242" s="15"/>
      <c r="TIC242" s="15"/>
      <c r="TID242" s="15"/>
      <c r="TIE242" s="15"/>
      <c r="TIF242" s="15"/>
      <c r="TIG242" s="15"/>
      <c r="TIH242" s="15"/>
      <c r="TII242" s="15"/>
      <c r="TIJ242" s="10"/>
      <c r="TIK242" s="10"/>
      <c r="TIL242" s="21"/>
      <c r="TIM242" s="21"/>
      <c r="TIP242" s="21"/>
      <c r="TIQ242" s="15"/>
      <c r="TIR242" s="15"/>
      <c r="TIS242" s="15"/>
      <c r="TIT242" s="15"/>
      <c r="TIU242" s="15"/>
      <c r="TIV242" s="15"/>
      <c r="TIW242" s="15"/>
      <c r="TIX242" s="15"/>
      <c r="TIY242" s="15"/>
      <c r="TIZ242" s="15"/>
      <c r="TJA242" s="10"/>
      <c r="TJB242" s="10"/>
      <c r="TJC242" s="21"/>
      <c r="TJD242" s="21"/>
      <c r="TJG242" s="21"/>
      <c r="TJH242" s="15"/>
      <c r="TJI242" s="15"/>
      <c r="TJJ242" s="15"/>
      <c r="TJK242" s="15"/>
      <c r="TJL242" s="15"/>
      <c r="TJM242" s="15"/>
      <c r="TJN242" s="15"/>
      <c r="TJO242" s="15"/>
      <c r="TJP242" s="15"/>
      <c r="TJQ242" s="15"/>
      <c r="TJR242" s="10"/>
      <c r="TJS242" s="10"/>
      <c r="TJT242" s="21"/>
      <c r="TJU242" s="21"/>
      <c r="TJX242" s="21"/>
      <c r="TJY242" s="15"/>
      <c r="TJZ242" s="15"/>
      <c r="TKA242" s="15"/>
      <c r="TKB242" s="15"/>
      <c r="TKC242" s="15"/>
      <c r="TKD242" s="15"/>
      <c r="TKE242" s="15"/>
      <c r="TKF242" s="15"/>
      <c r="TKG242" s="15"/>
      <c r="TKH242" s="15"/>
      <c r="TKI242" s="10"/>
      <c r="TKJ242" s="10"/>
      <c r="TKK242" s="21"/>
      <c r="TKL242" s="21"/>
      <c r="TKO242" s="21"/>
      <c r="TKP242" s="15"/>
      <c r="TKQ242" s="15"/>
      <c r="TKR242" s="15"/>
      <c r="TKS242" s="15"/>
      <c r="TKT242" s="15"/>
      <c r="TKU242" s="15"/>
      <c r="TKV242" s="15"/>
      <c r="TKW242" s="15"/>
      <c r="TKX242" s="15"/>
      <c r="TKY242" s="15"/>
      <c r="TKZ242" s="10"/>
      <c r="TLA242" s="10"/>
      <c r="TLB242" s="21"/>
      <c r="TLC242" s="21"/>
      <c r="TLF242" s="21"/>
      <c r="TLG242" s="15"/>
      <c r="TLH242" s="15"/>
      <c r="TLI242" s="15"/>
      <c r="TLJ242" s="15"/>
      <c r="TLK242" s="15"/>
      <c r="TLL242" s="15"/>
      <c r="TLM242" s="15"/>
      <c r="TLN242" s="15"/>
      <c r="TLO242" s="15"/>
      <c r="TLP242" s="15"/>
      <c r="TLQ242" s="10"/>
      <c r="TLR242" s="10"/>
      <c r="TLS242" s="21"/>
      <c r="TLT242" s="21"/>
      <c r="TLW242" s="21"/>
      <c r="TLX242" s="15"/>
      <c r="TLY242" s="15"/>
      <c r="TLZ242" s="15"/>
      <c r="TMA242" s="15"/>
      <c r="TMB242" s="15"/>
      <c r="TMC242" s="15"/>
      <c r="TMD242" s="15"/>
      <c r="TME242" s="15"/>
      <c r="TMF242" s="15"/>
      <c r="TMG242" s="15"/>
      <c r="TMH242" s="10"/>
      <c r="TMI242" s="10"/>
      <c r="TMJ242" s="21"/>
      <c r="TMK242" s="21"/>
      <c r="TMN242" s="21"/>
      <c r="TMO242" s="15"/>
      <c r="TMP242" s="15"/>
      <c r="TMQ242" s="15"/>
      <c r="TMR242" s="15"/>
      <c r="TMS242" s="15"/>
      <c r="TMT242" s="15"/>
      <c r="TMU242" s="15"/>
      <c r="TMV242" s="15"/>
      <c r="TMW242" s="15"/>
      <c r="TMX242" s="15"/>
      <c r="TMY242" s="10"/>
      <c r="TMZ242" s="10"/>
      <c r="TNA242" s="21"/>
      <c r="TNB242" s="21"/>
      <c r="TNE242" s="21"/>
      <c r="TNF242" s="15"/>
      <c r="TNG242" s="15"/>
      <c r="TNH242" s="15"/>
      <c r="TNI242" s="15"/>
      <c r="TNJ242" s="15"/>
      <c r="TNK242" s="15"/>
      <c r="TNL242" s="15"/>
      <c r="TNM242" s="15"/>
      <c r="TNN242" s="15"/>
      <c r="TNO242" s="15"/>
      <c r="TNP242" s="10"/>
      <c r="TNQ242" s="10"/>
      <c r="TNR242" s="21"/>
      <c r="TNS242" s="21"/>
      <c r="TNV242" s="21"/>
      <c r="TNW242" s="15"/>
      <c r="TNX242" s="15"/>
      <c r="TNY242" s="15"/>
      <c r="TNZ242" s="15"/>
      <c r="TOA242" s="15"/>
      <c r="TOB242" s="15"/>
      <c r="TOC242" s="15"/>
      <c r="TOD242" s="15"/>
      <c r="TOE242" s="15"/>
      <c r="TOF242" s="15"/>
      <c r="TOG242" s="10"/>
      <c r="TOH242" s="10"/>
      <c r="TOI242" s="21"/>
      <c r="TOJ242" s="21"/>
      <c r="TOM242" s="21"/>
      <c r="TON242" s="15"/>
      <c r="TOO242" s="15"/>
      <c r="TOP242" s="15"/>
      <c r="TOQ242" s="15"/>
      <c r="TOR242" s="15"/>
      <c r="TOS242" s="15"/>
      <c r="TOT242" s="15"/>
      <c r="TOU242" s="15"/>
      <c r="TOV242" s="15"/>
      <c r="TOW242" s="15"/>
      <c r="TOX242" s="10"/>
      <c r="TOY242" s="10"/>
      <c r="TOZ242" s="21"/>
      <c r="TPA242" s="21"/>
      <c r="TPD242" s="21"/>
      <c r="TPE242" s="15"/>
      <c r="TPF242" s="15"/>
      <c r="TPG242" s="15"/>
      <c r="TPH242" s="15"/>
      <c r="TPI242" s="15"/>
      <c r="TPJ242" s="15"/>
      <c r="TPK242" s="15"/>
      <c r="TPL242" s="15"/>
      <c r="TPM242" s="15"/>
      <c r="TPN242" s="15"/>
      <c r="TPO242" s="10"/>
      <c r="TPP242" s="10"/>
      <c r="TPQ242" s="21"/>
      <c r="TPR242" s="21"/>
      <c r="TPU242" s="21"/>
      <c r="TPV242" s="15"/>
      <c r="TPW242" s="15"/>
      <c r="TPX242" s="15"/>
      <c r="TPY242" s="15"/>
      <c r="TPZ242" s="15"/>
      <c r="TQA242" s="15"/>
      <c r="TQB242" s="15"/>
      <c r="TQC242" s="15"/>
      <c r="TQD242" s="15"/>
      <c r="TQE242" s="15"/>
      <c r="TQF242" s="10"/>
      <c r="TQG242" s="10"/>
      <c r="TQH242" s="21"/>
      <c r="TQI242" s="21"/>
      <c r="TQL242" s="21"/>
      <c r="TQM242" s="15"/>
      <c r="TQN242" s="15"/>
      <c r="TQO242" s="15"/>
      <c r="TQP242" s="15"/>
      <c r="TQQ242" s="15"/>
      <c r="TQR242" s="15"/>
      <c r="TQS242" s="15"/>
      <c r="TQT242" s="15"/>
      <c r="TQU242" s="15"/>
      <c r="TQV242" s="15"/>
      <c r="TQW242" s="10"/>
      <c r="TQX242" s="10"/>
      <c r="TQY242" s="21"/>
      <c r="TQZ242" s="21"/>
      <c r="TRC242" s="21"/>
      <c r="TRD242" s="15"/>
      <c r="TRE242" s="15"/>
      <c r="TRF242" s="15"/>
      <c r="TRG242" s="15"/>
      <c r="TRH242" s="15"/>
      <c r="TRI242" s="15"/>
      <c r="TRJ242" s="15"/>
      <c r="TRK242" s="15"/>
      <c r="TRL242" s="15"/>
      <c r="TRM242" s="15"/>
      <c r="TRN242" s="10"/>
      <c r="TRO242" s="10"/>
      <c r="TRP242" s="21"/>
      <c r="TRQ242" s="21"/>
      <c r="TRT242" s="21"/>
      <c r="TRU242" s="15"/>
      <c r="TRV242" s="15"/>
      <c r="TRW242" s="15"/>
      <c r="TRX242" s="15"/>
      <c r="TRY242" s="15"/>
      <c r="TRZ242" s="15"/>
      <c r="TSA242" s="15"/>
      <c r="TSB242" s="15"/>
      <c r="TSC242" s="15"/>
      <c r="TSD242" s="15"/>
      <c r="TSE242" s="10"/>
      <c r="TSF242" s="10"/>
      <c r="TSG242" s="21"/>
      <c r="TSH242" s="21"/>
      <c r="TSK242" s="21"/>
      <c r="TSL242" s="15"/>
      <c r="TSM242" s="15"/>
      <c r="TSN242" s="15"/>
      <c r="TSO242" s="15"/>
      <c r="TSP242" s="15"/>
      <c r="TSQ242" s="15"/>
      <c r="TSR242" s="15"/>
      <c r="TSS242" s="15"/>
      <c r="TST242" s="15"/>
      <c r="TSU242" s="15"/>
      <c r="TSV242" s="10"/>
      <c r="TSW242" s="10"/>
      <c r="TSX242" s="21"/>
      <c r="TSY242" s="21"/>
      <c r="TTB242" s="21"/>
      <c r="TTC242" s="15"/>
      <c r="TTD242" s="15"/>
      <c r="TTE242" s="15"/>
      <c r="TTF242" s="15"/>
      <c r="TTG242" s="15"/>
      <c r="TTH242" s="15"/>
      <c r="TTI242" s="15"/>
      <c r="TTJ242" s="15"/>
      <c r="TTK242" s="15"/>
      <c r="TTL242" s="15"/>
      <c r="TTM242" s="10"/>
      <c r="TTN242" s="10"/>
      <c r="TTO242" s="21"/>
      <c r="TTP242" s="21"/>
      <c r="TTS242" s="21"/>
      <c r="TTT242" s="15"/>
      <c r="TTU242" s="15"/>
      <c r="TTV242" s="15"/>
      <c r="TTW242" s="15"/>
      <c r="TTX242" s="15"/>
      <c r="TTY242" s="15"/>
      <c r="TTZ242" s="15"/>
      <c r="TUA242" s="15"/>
      <c r="TUB242" s="15"/>
      <c r="TUC242" s="15"/>
      <c r="TUD242" s="10"/>
      <c r="TUE242" s="10"/>
      <c r="TUF242" s="21"/>
      <c r="TUG242" s="21"/>
      <c r="TUJ242" s="21"/>
      <c r="TUK242" s="15"/>
      <c r="TUL242" s="15"/>
      <c r="TUM242" s="15"/>
      <c r="TUN242" s="15"/>
      <c r="TUO242" s="15"/>
      <c r="TUP242" s="15"/>
      <c r="TUQ242" s="15"/>
      <c r="TUR242" s="15"/>
      <c r="TUS242" s="15"/>
      <c r="TUT242" s="15"/>
      <c r="TUU242" s="10"/>
      <c r="TUV242" s="10"/>
      <c r="TUW242" s="21"/>
      <c r="TUX242" s="21"/>
      <c r="TVA242" s="21"/>
      <c r="TVB242" s="15"/>
      <c r="TVC242" s="15"/>
      <c r="TVD242" s="15"/>
      <c r="TVE242" s="15"/>
      <c r="TVF242" s="15"/>
      <c r="TVG242" s="15"/>
      <c r="TVH242" s="15"/>
      <c r="TVI242" s="15"/>
      <c r="TVJ242" s="15"/>
      <c r="TVK242" s="15"/>
      <c r="TVL242" s="10"/>
      <c r="TVM242" s="10"/>
      <c r="TVN242" s="21"/>
      <c r="TVO242" s="21"/>
      <c r="TVR242" s="21"/>
      <c r="TVS242" s="15"/>
      <c r="TVT242" s="15"/>
      <c r="TVU242" s="15"/>
      <c r="TVV242" s="15"/>
      <c r="TVW242" s="15"/>
      <c r="TVX242" s="15"/>
      <c r="TVY242" s="15"/>
      <c r="TVZ242" s="15"/>
      <c r="TWA242" s="15"/>
      <c r="TWB242" s="15"/>
      <c r="TWC242" s="10"/>
      <c r="TWD242" s="10"/>
      <c r="TWE242" s="21"/>
      <c r="TWF242" s="21"/>
      <c r="TWI242" s="21"/>
      <c r="TWJ242" s="15"/>
      <c r="TWK242" s="15"/>
      <c r="TWL242" s="15"/>
      <c r="TWM242" s="15"/>
      <c r="TWN242" s="15"/>
      <c r="TWO242" s="15"/>
      <c r="TWP242" s="15"/>
      <c r="TWQ242" s="15"/>
      <c r="TWR242" s="15"/>
      <c r="TWS242" s="15"/>
      <c r="TWT242" s="10"/>
      <c r="TWU242" s="10"/>
      <c r="TWV242" s="21"/>
      <c r="TWW242" s="21"/>
      <c r="TWZ242" s="21"/>
      <c r="TXA242" s="15"/>
      <c r="TXB242" s="15"/>
      <c r="TXC242" s="15"/>
      <c r="TXD242" s="15"/>
      <c r="TXE242" s="15"/>
      <c r="TXF242" s="15"/>
      <c r="TXG242" s="15"/>
      <c r="TXH242" s="15"/>
      <c r="TXI242" s="15"/>
      <c r="TXJ242" s="15"/>
      <c r="TXK242" s="10"/>
      <c r="TXL242" s="10"/>
      <c r="TXM242" s="21"/>
      <c r="TXN242" s="21"/>
      <c r="TXQ242" s="21"/>
      <c r="TXR242" s="15"/>
      <c r="TXS242" s="15"/>
      <c r="TXT242" s="15"/>
      <c r="TXU242" s="15"/>
      <c r="TXV242" s="15"/>
      <c r="TXW242" s="15"/>
      <c r="TXX242" s="15"/>
      <c r="TXY242" s="15"/>
      <c r="TXZ242" s="15"/>
      <c r="TYA242" s="15"/>
      <c r="TYB242" s="10"/>
      <c r="TYC242" s="10"/>
      <c r="TYD242" s="21"/>
      <c r="TYE242" s="21"/>
      <c r="TYH242" s="21"/>
      <c r="TYI242" s="15"/>
      <c r="TYJ242" s="15"/>
      <c r="TYK242" s="15"/>
      <c r="TYL242" s="15"/>
      <c r="TYM242" s="15"/>
      <c r="TYN242" s="15"/>
      <c r="TYO242" s="15"/>
      <c r="TYP242" s="15"/>
      <c r="TYQ242" s="15"/>
      <c r="TYR242" s="15"/>
      <c r="TYS242" s="10"/>
      <c r="TYT242" s="10"/>
      <c r="TYU242" s="21"/>
      <c r="TYV242" s="21"/>
      <c r="TYY242" s="21"/>
      <c r="TYZ242" s="15"/>
      <c r="TZA242" s="15"/>
      <c r="TZB242" s="15"/>
      <c r="TZC242" s="15"/>
      <c r="TZD242" s="15"/>
      <c r="TZE242" s="15"/>
      <c r="TZF242" s="15"/>
      <c r="TZG242" s="15"/>
      <c r="TZH242" s="15"/>
      <c r="TZI242" s="15"/>
      <c r="TZJ242" s="10"/>
      <c r="TZK242" s="10"/>
      <c r="TZL242" s="21"/>
      <c r="TZM242" s="21"/>
      <c r="TZP242" s="21"/>
      <c r="TZQ242" s="15"/>
      <c r="TZR242" s="15"/>
      <c r="TZS242" s="15"/>
      <c r="TZT242" s="15"/>
      <c r="TZU242" s="15"/>
      <c r="TZV242" s="15"/>
      <c r="TZW242" s="15"/>
      <c r="TZX242" s="15"/>
      <c r="TZY242" s="15"/>
      <c r="TZZ242" s="15"/>
      <c r="UAA242" s="10"/>
      <c r="UAB242" s="10"/>
      <c r="UAC242" s="21"/>
      <c r="UAD242" s="21"/>
      <c r="UAG242" s="21"/>
      <c r="UAH242" s="15"/>
      <c r="UAI242" s="15"/>
      <c r="UAJ242" s="15"/>
      <c r="UAK242" s="15"/>
      <c r="UAL242" s="15"/>
      <c r="UAM242" s="15"/>
      <c r="UAN242" s="15"/>
      <c r="UAO242" s="15"/>
      <c r="UAP242" s="15"/>
      <c r="UAQ242" s="15"/>
      <c r="UAR242" s="10"/>
      <c r="UAS242" s="10"/>
      <c r="UAT242" s="21"/>
      <c r="UAU242" s="21"/>
      <c r="UAX242" s="21"/>
      <c r="UAY242" s="15"/>
      <c r="UAZ242" s="15"/>
      <c r="UBA242" s="15"/>
      <c r="UBB242" s="15"/>
      <c r="UBC242" s="15"/>
      <c r="UBD242" s="15"/>
      <c r="UBE242" s="15"/>
      <c r="UBF242" s="15"/>
      <c r="UBG242" s="15"/>
      <c r="UBH242" s="15"/>
      <c r="UBI242" s="10"/>
      <c r="UBJ242" s="10"/>
      <c r="UBK242" s="21"/>
      <c r="UBL242" s="21"/>
      <c r="UBO242" s="21"/>
      <c r="UBP242" s="15"/>
      <c r="UBQ242" s="15"/>
      <c r="UBR242" s="15"/>
      <c r="UBS242" s="15"/>
      <c r="UBT242" s="15"/>
      <c r="UBU242" s="15"/>
      <c r="UBV242" s="15"/>
      <c r="UBW242" s="15"/>
      <c r="UBX242" s="15"/>
      <c r="UBY242" s="15"/>
      <c r="UBZ242" s="10"/>
      <c r="UCA242" s="10"/>
      <c r="UCB242" s="21"/>
      <c r="UCC242" s="21"/>
      <c r="UCF242" s="21"/>
      <c r="UCG242" s="15"/>
      <c r="UCH242" s="15"/>
      <c r="UCI242" s="15"/>
      <c r="UCJ242" s="15"/>
      <c r="UCK242" s="15"/>
      <c r="UCL242" s="15"/>
      <c r="UCM242" s="15"/>
      <c r="UCN242" s="15"/>
      <c r="UCO242" s="15"/>
      <c r="UCP242" s="15"/>
      <c r="UCQ242" s="10"/>
      <c r="UCR242" s="10"/>
      <c r="UCS242" s="21"/>
      <c r="UCT242" s="21"/>
      <c r="UCW242" s="21"/>
      <c r="UCX242" s="15"/>
      <c r="UCY242" s="15"/>
      <c r="UCZ242" s="15"/>
      <c r="UDA242" s="15"/>
      <c r="UDB242" s="15"/>
      <c r="UDC242" s="15"/>
      <c r="UDD242" s="15"/>
      <c r="UDE242" s="15"/>
      <c r="UDF242" s="15"/>
      <c r="UDG242" s="15"/>
      <c r="UDH242" s="10"/>
      <c r="UDI242" s="10"/>
      <c r="UDJ242" s="21"/>
      <c r="UDK242" s="21"/>
      <c r="UDN242" s="21"/>
      <c r="UDO242" s="15"/>
      <c r="UDP242" s="15"/>
      <c r="UDQ242" s="15"/>
      <c r="UDR242" s="15"/>
      <c r="UDS242" s="15"/>
      <c r="UDT242" s="15"/>
      <c r="UDU242" s="15"/>
      <c r="UDV242" s="15"/>
      <c r="UDW242" s="15"/>
      <c r="UDX242" s="15"/>
      <c r="UDY242" s="10"/>
      <c r="UDZ242" s="10"/>
      <c r="UEA242" s="21"/>
      <c r="UEB242" s="21"/>
      <c r="UEE242" s="21"/>
      <c r="UEF242" s="15"/>
      <c r="UEG242" s="15"/>
      <c r="UEH242" s="15"/>
      <c r="UEI242" s="15"/>
      <c r="UEJ242" s="15"/>
      <c r="UEK242" s="15"/>
      <c r="UEL242" s="15"/>
      <c r="UEM242" s="15"/>
      <c r="UEN242" s="15"/>
      <c r="UEO242" s="15"/>
      <c r="UEP242" s="10"/>
      <c r="UEQ242" s="10"/>
      <c r="UER242" s="21"/>
      <c r="UES242" s="21"/>
      <c r="UEV242" s="21"/>
      <c r="UEW242" s="15"/>
      <c r="UEX242" s="15"/>
      <c r="UEY242" s="15"/>
      <c r="UEZ242" s="15"/>
      <c r="UFA242" s="15"/>
      <c r="UFB242" s="15"/>
      <c r="UFC242" s="15"/>
      <c r="UFD242" s="15"/>
      <c r="UFE242" s="15"/>
      <c r="UFF242" s="15"/>
      <c r="UFG242" s="10"/>
      <c r="UFH242" s="10"/>
      <c r="UFI242" s="21"/>
      <c r="UFJ242" s="21"/>
      <c r="UFM242" s="21"/>
      <c r="UFN242" s="15"/>
      <c r="UFO242" s="15"/>
      <c r="UFP242" s="15"/>
      <c r="UFQ242" s="15"/>
      <c r="UFR242" s="15"/>
      <c r="UFS242" s="15"/>
      <c r="UFT242" s="15"/>
      <c r="UFU242" s="15"/>
      <c r="UFV242" s="15"/>
      <c r="UFW242" s="15"/>
      <c r="UFX242" s="10"/>
      <c r="UFY242" s="10"/>
      <c r="UFZ242" s="21"/>
      <c r="UGA242" s="21"/>
      <c r="UGD242" s="21"/>
      <c r="UGE242" s="15"/>
      <c r="UGF242" s="15"/>
      <c r="UGG242" s="15"/>
      <c r="UGH242" s="15"/>
      <c r="UGI242" s="15"/>
      <c r="UGJ242" s="15"/>
      <c r="UGK242" s="15"/>
      <c r="UGL242" s="15"/>
      <c r="UGM242" s="15"/>
      <c r="UGN242" s="15"/>
      <c r="UGO242" s="10"/>
      <c r="UGP242" s="10"/>
      <c r="UGQ242" s="21"/>
      <c r="UGR242" s="21"/>
      <c r="UGU242" s="21"/>
      <c r="UGV242" s="15"/>
      <c r="UGW242" s="15"/>
      <c r="UGX242" s="15"/>
      <c r="UGY242" s="15"/>
      <c r="UGZ242" s="15"/>
      <c r="UHA242" s="15"/>
      <c r="UHB242" s="15"/>
      <c r="UHC242" s="15"/>
      <c r="UHD242" s="15"/>
      <c r="UHE242" s="15"/>
      <c r="UHF242" s="10"/>
      <c r="UHG242" s="10"/>
      <c r="UHH242" s="21"/>
      <c r="UHI242" s="21"/>
      <c r="UHL242" s="21"/>
      <c r="UHM242" s="15"/>
      <c r="UHN242" s="15"/>
      <c r="UHO242" s="15"/>
      <c r="UHP242" s="15"/>
      <c r="UHQ242" s="15"/>
      <c r="UHR242" s="15"/>
      <c r="UHS242" s="15"/>
      <c r="UHT242" s="15"/>
      <c r="UHU242" s="15"/>
      <c r="UHV242" s="15"/>
      <c r="UHW242" s="10"/>
      <c r="UHX242" s="10"/>
      <c r="UHY242" s="21"/>
      <c r="UHZ242" s="21"/>
      <c r="UIC242" s="21"/>
      <c r="UID242" s="15"/>
      <c r="UIE242" s="15"/>
      <c r="UIF242" s="15"/>
      <c r="UIG242" s="15"/>
      <c r="UIH242" s="15"/>
      <c r="UII242" s="15"/>
      <c r="UIJ242" s="15"/>
      <c r="UIK242" s="15"/>
      <c r="UIL242" s="15"/>
      <c r="UIM242" s="15"/>
      <c r="UIN242" s="10"/>
      <c r="UIO242" s="10"/>
      <c r="UIP242" s="21"/>
      <c r="UIQ242" s="21"/>
      <c r="UIT242" s="21"/>
      <c r="UIU242" s="15"/>
      <c r="UIV242" s="15"/>
      <c r="UIW242" s="15"/>
      <c r="UIX242" s="15"/>
      <c r="UIY242" s="15"/>
      <c r="UIZ242" s="15"/>
      <c r="UJA242" s="15"/>
      <c r="UJB242" s="15"/>
      <c r="UJC242" s="15"/>
      <c r="UJD242" s="15"/>
      <c r="UJE242" s="10"/>
      <c r="UJF242" s="10"/>
      <c r="UJG242" s="21"/>
      <c r="UJH242" s="21"/>
      <c r="UJK242" s="21"/>
      <c r="UJL242" s="15"/>
      <c r="UJM242" s="15"/>
      <c r="UJN242" s="15"/>
      <c r="UJO242" s="15"/>
      <c r="UJP242" s="15"/>
      <c r="UJQ242" s="15"/>
      <c r="UJR242" s="15"/>
      <c r="UJS242" s="15"/>
      <c r="UJT242" s="15"/>
      <c r="UJU242" s="15"/>
      <c r="UJV242" s="10"/>
      <c r="UJW242" s="10"/>
      <c r="UJX242" s="21"/>
      <c r="UJY242" s="21"/>
      <c r="UKB242" s="21"/>
      <c r="UKC242" s="15"/>
      <c r="UKD242" s="15"/>
      <c r="UKE242" s="15"/>
      <c r="UKF242" s="15"/>
      <c r="UKG242" s="15"/>
      <c r="UKH242" s="15"/>
      <c r="UKI242" s="15"/>
      <c r="UKJ242" s="15"/>
      <c r="UKK242" s="15"/>
      <c r="UKL242" s="15"/>
      <c r="UKM242" s="10"/>
      <c r="UKN242" s="10"/>
      <c r="UKO242" s="21"/>
      <c r="UKP242" s="21"/>
      <c r="UKS242" s="21"/>
      <c r="UKT242" s="15"/>
      <c r="UKU242" s="15"/>
      <c r="UKV242" s="15"/>
      <c r="UKW242" s="15"/>
      <c r="UKX242" s="15"/>
      <c r="UKY242" s="15"/>
      <c r="UKZ242" s="15"/>
      <c r="ULA242" s="15"/>
      <c r="ULB242" s="15"/>
      <c r="ULC242" s="15"/>
      <c r="ULD242" s="10"/>
      <c r="ULE242" s="10"/>
      <c r="ULF242" s="21"/>
      <c r="ULG242" s="21"/>
      <c r="ULJ242" s="21"/>
      <c r="ULK242" s="15"/>
      <c r="ULL242" s="15"/>
      <c r="ULM242" s="15"/>
      <c r="ULN242" s="15"/>
      <c r="ULO242" s="15"/>
      <c r="ULP242" s="15"/>
      <c r="ULQ242" s="15"/>
      <c r="ULR242" s="15"/>
      <c r="ULS242" s="15"/>
      <c r="ULT242" s="15"/>
      <c r="ULU242" s="10"/>
      <c r="ULV242" s="10"/>
      <c r="ULW242" s="21"/>
      <c r="ULX242" s="21"/>
      <c r="UMA242" s="21"/>
      <c r="UMB242" s="15"/>
      <c r="UMC242" s="15"/>
      <c r="UMD242" s="15"/>
      <c r="UME242" s="15"/>
      <c r="UMF242" s="15"/>
      <c r="UMG242" s="15"/>
      <c r="UMH242" s="15"/>
      <c r="UMI242" s="15"/>
      <c r="UMJ242" s="15"/>
      <c r="UMK242" s="15"/>
      <c r="UML242" s="10"/>
      <c r="UMM242" s="10"/>
      <c r="UMN242" s="21"/>
      <c r="UMO242" s="21"/>
      <c r="UMR242" s="21"/>
      <c r="UMS242" s="15"/>
      <c r="UMT242" s="15"/>
      <c r="UMU242" s="15"/>
      <c r="UMV242" s="15"/>
      <c r="UMW242" s="15"/>
      <c r="UMX242" s="15"/>
      <c r="UMY242" s="15"/>
      <c r="UMZ242" s="15"/>
      <c r="UNA242" s="15"/>
      <c r="UNB242" s="15"/>
      <c r="UNC242" s="10"/>
      <c r="UND242" s="10"/>
      <c r="UNE242" s="21"/>
      <c r="UNF242" s="21"/>
      <c r="UNI242" s="21"/>
      <c r="UNJ242" s="15"/>
      <c r="UNK242" s="15"/>
      <c r="UNL242" s="15"/>
      <c r="UNM242" s="15"/>
      <c r="UNN242" s="15"/>
      <c r="UNO242" s="15"/>
      <c r="UNP242" s="15"/>
      <c r="UNQ242" s="15"/>
      <c r="UNR242" s="15"/>
      <c r="UNS242" s="15"/>
      <c r="UNT242" s="10"/>
      <c r="UNU242" s="10"/>
      <c r="UNV242" s="21"/>
      <c r="UNW242" s="21"/>
      <c r="UNZ242" s="21"/>
      <c r="UOA242" s="15"/>
      <c r="UOB242" s="15"/>
      <c r="UOC242" s="15"/>
      <c r="UOD242" s="15"/>
      <c r="UOE242" s="15"/>
      <c r="UOF242" s="15"/>
      <c r="UOG242" s="15"/>
      <c r="UOH242" s="15"/>
      <c r="UOI242" s="15"/>
      <c r="UOJ242" s="15"/>
      <c r="UOK242" s="10"/>
      <c r="UOL242" s="10"/>
      <c r="UOM242" s="21"/>
      <c r="UON242" s="21"/>
      <c r="UOQ242" s="21"/>
      <c r="UOR242" s="15"/>
      <c r="UOS242" s="15"/>
      <c r="UOT242" s="15"/>
      <c r="UOU242" s="15"/>
      <c r="UOV242" s="15"/>
      <c r="UOW242" s="15"/>
      <c r="UOX242" s="15"/>
      <c r="UOY242" s="15"/>
      <c r="UOZ242" s="15"/>
      <c r="UPA242" s="15"/>
      <c r="UPB242" s="10"/>
      <c r="UPC242" s="10"/>
      <c r="UPD242" s="21"/>
      <c r="UPE242" s="21"/>
      <c r="UPH242" s="21"/>
      <c r="UPI242" s="15"/>
      <c r="UPJ242" s="15"/>
      <c r="UPK242" s="15"/>
      <c r="UPL242" s="15"/>
      <c r="UPM242" s="15"/>
      <c r="UPN242" s="15"/>
      <c r="UPO242" s="15"/>
      <c r="UPP242" s="15"/>
      <c r="UPQ242" s="15"/>
      <c r="UPR242" s="15"/>
      <c r="UPS242" s="10"/>
      <c r="UPT242" s="10"/>
      <c r="UPU242" s="21"/>
      <c r="UPV242" s="21"/>
      <c r="UPY242" s="21"/>
      <c r="UPZ242" s="15"/>
      <c r="UQA242" s="15"/>
      <c r="UQB242" s="15"/>
      <c r="UQC242" s="15"/>
      <c r="UQD242" s="15"/>
      <c r="UQE242" s="15"/>
      <c r="UQF242" s="15"/>
      <c r="UQG242" s="15"/>
      <c r="UQH242" s="15"/>
      <c r="UQI242" s="15"/>
      <c r="UQJ242" s="10"/>
      <c r="UQK242" s="10"/>
      <c r="UQL242" s="21"/>
      <c r="UQM242" s="21"/>
      <c r="UQP242" s="21"/>
      <c r="UQQ242" s="15"/>
      <c r="UQR242" s="15"/>
      <c r="UQS242" s="15"/>
      <c r="UQT242" s="15"/>
      <c r="UQU242" s="15"/>
      <c r="UQV242" s="15"/>
      <c r="UQW242" s="15"/>
      <c r="UQX242" s="15"/>
      <c r="UQY242" s="15"/>
      <c r="UQZ242" s="15"/>
      <c r="URA242" s="10"/>
      <c r="URB242" s="10"/>
      <c r="URC242" s="21"/>
      <c r="URD242" s="21"/>
      <c r="URG242" s="21"/>
      <c r="URH242" s="15"/>
      <c r="URI242" s="15"/>
      <c r="URJ242" s="15"/>
      <c r="URK242" s="15"/>
      <c r="URL242" s="15"/>
      <c r="URM242" s="15"/>
      <c r="URN242" s="15"/>
      <c r="URO242" s="15"/>
      <c r="URP242" s="15"/>
      <c r="URQ242" s="15"/>
      <c r="URR242" s="10"/>
      <c r="URS242" s="10"/>
      <c r="URT242" s="21"/>
      <c r="URU242" s="21"/>
      <c r="URX242" s="21"/>
      <c r="URY242" s="15"/>
      <c r="URZ242" s="15"/>
      <c r="USA242" s="15"/>
      <c r="USB242" s="15"/>
      <c r="USC242" s="15"/>
      <c r="USD242" s="15"/>
      <c r="USE242" s="15"/>
      <c r="USF242" s="15"/>
      <c r="USG242" s="15"/>
      <c r="USH242" s="15"/>
      <c r="USI242" s="10"/>
      <c r="USJ242" s="10"/>
      <c r="USK242" s="21"/>
      <c r="USL242" s="21"/>
      <c r="USO242" s="21"/>
      <c r="USP242" s="15"/>
      <c r="USQ242" s="15"/>
      <c r="USR242" s="15"/>
      <c r="USS242" s="15"/>
      <c r="UST242" s="15"/>
      <c r="USU242" s="15"/>
      <c r="USV242" s="15"/>
      <c r="USW242" s="15"/>
      <c r="USX242" s="15"/>
      <c r="USY242" s="15"/>
      <c r="USZ242" s="10"/>
      <c r="UTA242" s="10"/>
      <c r="UTB242" s="21"/>
      <c r="UTC242" s="21"/>
      <c r="UTF242" s="21"/>
      <c r="UTG242" s="15"/>
      <c r="UTH242" s="15"/>
      <c r="UTI242" s="15"/>
      <c r="UTJ242" s="15"/>
      <c r="UTK242" s="15"/>
      <c r="UTL242" s="15"/>
      <c r="UTM242" s="15"/>
      <c r="UTN242" s="15"/>
      <c r="UTO242" s="15"/>
      <c r="UTP242" s="15"/>
      <c r="UTQ242" s="10"/>
      <c r="UTR242" s="10"/>
      <c r="UTS242" s="21"/>
      <c r="UTT242" s="21"/>
      <c r="UTW242" s="21"/>
      <c r="UTX242" s="15"/>
      <c r="UTY242" s="15"/>
      <c r="UTZ242" s="15"/>
      <c r="UUA242" s="15"/>
      <c r="UUB242" s="15"/>
      <c r="UUC242" s="15"/>
      <c r="UUD242" s="15"/>
      <c r="UUE242" s="15"/>
      <c r="UUF242" s="15"/>
      <c r="UUG242" s="15"/>
      <c r="UUH242" s="10"/>
      <c r="UUI242" s="10"/>
      <c r="UUJ242" s="21"/>
      <c r="UUK242" s="21"/>
      <c r="UUN242" s="21"/>
      <c r="UUO242" s="15"/>
      <c r="UUP242" s="15"/>
      <c r="UUQ242" s="15"/>
      <c r="UUR242" s="15"/>
      <c r="UUS242" s="15"/>
      <c r="UUT242" s="15"/>
      <c r="UUU242" s="15"/>
      <c r="UUV242" s="15"/>
      <c r="UUW242" s="15"/>
      <c r="UUX242" s="15"/>
      <c r="UUY242" s="10"/>
      <c r="UUZ242" s="10"/>
      <c r="UVA242" s="21"/>
      <c r="UVB242" s="21"/>
      <c r="UVE242" s="21"/>
      <c r="UVF242" s="15"/>
      <c r="UVG242" s="15"/>
      <c r="UVH242" s="15"/>
      <c r="UVI242" s="15"/>
      <c r="UVJ242" s="15"/>
      <c r="UVK242" s="15"/>
      <c r="UVL242" s="15"/>
      <c r="UVM242" s="15"/>
      <c r="UVN242" s="15"/>
      <c r="UVO242" s="15"/>
      <c r="UVP242" s="10"/>
      <c r="UVQ242" s="10"/>
      <c r="UVR242" s="21"/>
      <c r="UVS242" s="21"/>
      <c r="UVV242" s="21"/>
      <c r="UVW242" s="15"/>
      <c r="UVX242" s="15"/>
      <c r="UVY242" s="15"/>
      <c r="UVZ242" s="15"/>
      <c r="UWA242" s="15"/>
      <c r="UWB242" s="15"/>
      <c r="UWC242" s="15"/>
      <c r="UWD242" s="15"/>
      <c r="UWE242" s="15"/>
      <c r="UWF242" s="15"/>
      <c r="UWG242" s="10"/>
      <c r="UWH242" s="10"/>
      <c r="UWI242" s="21"/>
      <c r="UWJ242" s="21"/>
      <c r="UWM242" s="21"/>
      <c r="UWN242" s="15"/>
      <c r="UWO242" s="15"/>
      <c r="UWP242" s="15"/>
      <c r="UWQ242" s="15"/>
      <c r="UWR242" s="15"/>
      <c r="UWS242" s="15"/>
      <c r="UWT242" s="15"/>
      <c r="UWU242" s="15"/>
      <c r="UWV242" s="15"/>
      <c r="UWW242" s="15"/>
      <c r="UWX242" s="10"/>
      <c r="UWY242" s="10"/>
      <c r="UWZ242" s="21"/>
      <c r="UXA242" s="21"/>
      <c r="UXD242" s="21"/>
      <c r="UXE242" s="15"/>
      <c r="UXF242" s="15"/>
      <c r="UXG242" s="15"/>
      <c r="UXH242" s="15"/>
      <c r="UXI242" s="15"/>
      <c r="UXJ242" s="15"/>
      <c r="UXK242" s="15"/>
      <c r="UXL242" s="15"/>
      <c r="UXM242" s="15"/>
      <c r="UXN242" s="15"/>
      <c r="UXO242" s="10"/>
      <c r="UXP242" s="10"/>
      <c r="UXQ242" s="21"/>
      <c r="UXR242" s="21"/>
      <c r="UXU242" s="21"/>
      <c r="UXV242" s="15"/>
      <c r="UXW242" s="15"/>
      <c r="UXX242" s="15"/>
      <c r="UXY242" s="15"/>
      <c r="UXZ242" s="15"/>
      <c r="UYA242" s="15"/>
      <c r="UYB242" s="15"/>
      <c r="UYC242" s="15"/>
      <c r="UYD242" s="15"/>
      <c r="UYE242" s="15"/>
      <c r="UYF242" s="10"/>
      <c r="UYG242" s="10"/>
      <c r="UYH242" s="21"/>
      <c r="UYI242" s="21"/>
      <c r="UYL242" s="21"/>
      <c r="UYM242" s="15"/>
      <c r="UYN242" s="15"/>
      <c r="UYO242" s="15"/>
      <c r="UYP242" s="15"/>
      <c r="UYQ242" s="15"/>
      <c r="UYR242" s="15"/>
      <c r="UYS242" s="15"/>
      <c r="UYT242" s="15"/>
      <c r="UYU242" s="15"/>
      <c r="UYV242" s="15"/>
      <c r="UYW242" s="10"/>
      <c r="UYX242" s="10"/>
      <c r="UYY242" s="21"/>
      <c r="UYZ242" s="21"/>
      <c r="UZC242" s="21"/>
      <c r="UZD242" s="15"/>
      <c r="UZE242" s="15"/>
      <c r="UZF242" s="15"/>
      <c r="UZG242" s="15"/>
      <c r="UZH242" s="15"/>
      <c r="UZI242" s="15"/>
      <c r="UZJ242" s="15"/>
      <c r="UZK242" s="15"/>
      <c r="UZL242" s="15"/>
      <c r="UZM242" s="15"/>
      <c r="UZN242" s="10"/>
      <c r="UZO242" s="10"/>
      <c r="UZP242" s="21"/>
      <c r="UZQ242" s="21"/>
      <c r="UZT242" s="21"/>
      <c r="UZU242" s="15"/>
      <c r="UZV242" s="15"/>
      <c r="UZW242" s="15"/>
      <c r="UZX242" s="15"/>
      <c r="UZY242" s="15"/>
      <c r="UZZ242" s="15"/>
      <c r="VAA242" s="15"/>
      <c r="VAB242" s="15"/>
      <c r="VAC242" s="15"/>
      <c r="VAD242" s="15"/>
      <c r="VAE242" s="10"/>
      <c r="VAF242" s="10"/>
      <c r="VAG242" s="21"/>
      <c r="VAH242" s="21"/>
      <c r="VAK242" s="21"/>
      <c r="VAL242" s="15"/>
      <c r="VAM242" s="15"/>
      <c r="VAN242" s="15"/>
      <c r="VAO242" s="15"/>
      <c r="VAP242" s="15"/>
      <c r="VAQ242" s="15"/>
      <c r="VAR242" s="15"/>
      <c r="VAS242" s="15"/>
      <c r="VAT242" s="15"/>
      <c r="VAU242" s="15"/>
      <c r="VAV242" s="10"/>
      <c r="VAW242" s="10"/>
      <c r="VAX242" s="21"/>
      <c r="VAY242" s="21"/>
      <c r="VBB242" s="21"/>
      <c r="VBC242" s="15"/>
      <c r="VBD242" s="15"/>
      <c r="VBE242" s="15"/>
      <c r="VBF242" s="15"/>
      <c r="VBG242" s="15"/>
      <c r="VBH242" s="15"/>
      <c r="VBI242" s="15"/>
      <c r="VBJ242" s="15"/>
      <c r="VBK242" s="15"/>
      <c r="VBL242" s="15"/>
      <c r="VBM242" s="10"/>
      <c r="VBN242" s="10"/>
      <c r="VBO242" s="21"/>
      <c r="VBP242" s="21"/>
      <c r="VBS242" s="21"/>
      <c r="VBT242" s="15"/>
      <c r="VBU242" s="15"/>
      <c r="VBV242" s="15"/>
      <c r="VBW242" s="15"/>
      <c r="VBX242" s="15"/>
      <c r="VBY242" s="15"/>
      <c r="VBZ242" s="15"/>
      <c r="VCA242" s="15"/>
      <c r="VCB242" s="15"/>
      <c r="VCC242" s="15"/>
      <c r="VCD242" s="10"/>
      <c r="VCE242" s="10"/>
      <c r="VCF242" s="21"/>
      <c r="VCG242" s="21"/>
      <c r="VCJ242" s="21"/>
      <c r="VCK242" s="15"/>
      <c r="VCL242" s="15"/>
      <c r="VCM242" s="15"/>
      <c r="VCN242" s="15"/>
      <c r="VCO242" s="15"/>
      <c r="VCP242" s="15"/>
      <c r="VCQ242" s="15"/>
      <c r="VCR242" s="15"/>
      <c r="VCS242" s="15"/>
      <c r="VCT242" s="15"/>
      <c r="VCU242" s="10"/>
      <c r="VCV242" s="10"/>
      <c r="VCW242" s="21"/>
      <c r="VCX242" s="21"/>
      <c r="VDA242" s="21"/>
      <c r="VDB242" s="15"/>
      <c r="VDC242" s="15"/>
      <c r="VDD242" s="15"/>
      <c r="VDE242" s="15"/>
      <c r="VDF242" s="15"/>
      <c r="VDG242" s="15"/>
      <c r="VDH242" s="15"/>
      <c r="VDI242" s="15"/>
      <c r="VDJ242" s="15"/>
      <c r="VDK242" s="15"/>
      <c r="VDL242" s="10"/>
      <c r="VDM242" s="10"/>
      <c r="VDN242" s="21"/>
      <c r="VDO242" s="21"/>
      <c r="VDR242" s="21"/>
      <c r="VDS242" s="15"/>
      <c r="VDT242" s="15"/>
      <c r="VDU242" s="15"/>
      <c r="VDV242" s="15"/>
      <c r="VDW242" s="15"/>
      <c r="VDX242" s="15"/>
      <c r="VDY242" s="15"/>
      <c r="VDZ242" s="15"/>
      <c r="VEA242" s="15"/>
      <c r="VEB242" s="15"/>
      <c r="VEC242" s="10"/>
      <c r="VED242" s="10"/>
      <c r="VEE242" s="21"/>
      <c r="VEF242" s="21"/>
      <c r="VEI242" s="21"/>
      <c r="VEJ242" s="15"/>
      <c r="VEK242" s="15"/>
      <c r="VEL242" s="15"/>
      <c r="VEM242" s="15"/>
      <c r="VEN242" s="15"/>
      <c r="VEO242" s="15"/>
      <c r="VEP242" s="15"/>
      <c r="VEQ242" s="15"/>
      <c r="VER242" s="15"/>
      <c r="VES242" s="15"/>
      <c r="VET242" s="10"/>
      <c r="VEU242" s="10"/>
      <c r="VEV242" s="21"/>
      <c r="VEW242" s="21"/>
      <c r="VEZ242" s="21"/>
      <c r="VFA242" s="15"/>
      <c r="VFB242" s="15"/>
      <c r="VFC242" s="15"/>
      <c r="VFD242" s="15"/>
      <c r="VFE242" s="15"/>
      <c r="VFF242" s="15"/>
      <c r="VFG242" s="15"/>
      <c r="VFH242" s="15"/>
      <c r="VFI242" s="15"/>
      <c r="VFJ242" s="15"/>
      <c r="VFK242" s="10"/>
      <c r="VFL242" s="10"/>
      <c r="VFM242" s="21"/>
      <c r="VFN242" s="21"/>
      <c r="VFQ242" s="21"/>
      <c r="VFR242" s="15"/>
      <c r="VFS242" s="15"/>
      <c r="VFT242" s="15"/>
      <c r="VFU242" s="15"/>
      <c r="VFV242" s="15"/>
      <c r="VFW242" s="15"/>
      <c r="VFX242" s="15"/>
      <c r="VFY242" s="15"/>
      <c r="VFZ242" s="15"/>
      <c r="VGA242" s="15"/>
      <c r="VGB242" s="10"/>
      <c r="VGC242" s="10"/>
      <c r="VGD242" s="21"/>
      <c r="VGE242" s="21"/>
      <c r="VGH242" s="21"/>
      <c r="VGI242" s="15"/>
      <c r="VGJ242" s="15"/>
      <c r="VGK242" s="15"/>
      <c r="VGL242" s="15"/>
      <c r="VGM242" s="15"/>
      <c r="VGN242" s="15"/>
      <c r="VGO242" s="15"/>
      <c r="VGP242" s="15"/>
      <c r="VGQ242" s="15"/>
      <c r="VGR242" s="15"/>
      <c r="VGS242" s="10"/>
      <c r="VGT242" s="10"/>
      <c r="VGU242" s="21"/>
      <c r="VGV242" s="21"/>
      <c r="VGY242" s="21"/>
      <c r="VGZ242" s="15"/>
      <c r="VHA242" s="15"/>
      <c r="VHB242" s="15"/>
      <c r="VHC242" s="15"/>
      <c r="VHD242" s="15"/>
      <c r="VHE242" s="15"/>
      <c r="VHF242" s="15"/>
      <c r="VHG242" s="15"/>
      <c r="VHH242" s="15"/>
      <c r="VHI242" s="15"/>
      <c r="VHJ242" s="10"/>
      <c r="VHK242" s="10"/>
      <c r="VHL242" s="21"/>
      <c r="VHM242" s="21"/>
      <c r="VHP242" s="21"/>
      <c r="VHQ242" s="15"/>
      <c r="VHR242" s="15"/>
      <c r="VHS242" s="15"/>
      <c r="VHT242" s="15"/>
      <c r="VHU242" s="15"/>
      <c r="VHV242" s="15"/>
      <c r="VHW242" s="15"/>
      <c r="VHX242" s="15"/>
      <c r="VHY242" s="15"/>
      <c r="VHZ242" s="15"/>
      <c r="VIA242" s="10"/>
      <c r="VIB242" s="10"/>
      <c r="VIC242" s="21"/>
      <c r="VID242" s="21"/>
      <c r="VIG242" s="21"/>
      <c r="VIH242" s="15"/>
      <c r="VII242" s="15"/>
      <c r="VIJ242" s="15"/>
      <c r="VIK242" s="15"/>
      <c r="VIL242" s="15"/>
      <c r="VIM242" s="15"/>
      <c r="VIN242" s="15"/>
      <c r="VIO242" s="15"/>
      <c r="VIP242" s="15"/>
      <c r="VIQ242" s="15"/>
      <c r="VIR242" s="10"/>
      <c r="VIS242" s="10"/>
      <c r="VIT242" s="21"/>
      <c r="VIU242" s="21"/>
      <c r="VIX242" s="21"/>
      <c r="VIY242" s="15"/>
      <c r="VIZ242" s="15"/>
      <c r="VJA242" s="15"/>
      <c r="VJB242" s="15"/>
      <c r="VJC242" s="15"/>
      <c r="VJD242" s="15"/>
      <c r="VJE242" s="15"/>
      <c r="VJF242" s="15"/>
      <c r="VJG242" s="15"/>
      <c r="VJH242" s="15"/>
      <c r="VJI242" s="10"/>
      <c r="VJJ242" s="10"/>
      <c r="VJK242" s="21"/>
      <c r="VJL242" s="21"/>
      <c r="VJO242" s="21"/>
      <c r="VJP242" s="15"/>
      <c r="VJQ242" s="15"/>
      <c r="VJR242" s="15"/>
      <c r="VJS242" s="15"/>
      <c r="VJT242" s="15"/>
      <c r="VJU242" s="15"/>
      <c r="VJV242" s="15"/>
      <c r="VJW242" s="15"/>
      <c r="VJX242" s="15"/>
      <c r="VJY242" s="15"/>
      <c r="VJZ242" s="10"/>
      <c r="VKA242" s="10"/>
      <c r="VKB242" s="21"/>
      <c r="VKC242" s="21"/>
      <c r="VKF242" s="21"/>
      <c r="VKG242" s="15"/>
      <c r="VKH242" s="15"/>
      <c r="VKI242" s="15"/>
      <c r="VKJ242" s="15"/>
      <c r="VKK242" s="15"/>
      <c r="VKL242" s="15"/>
      <c r="VKM242" s="15"/>
      <c r="VKN242" s="15"/>
      <c r="VKO242" s="15"/>
      <c r="VKP242" s="15"/>
      <c r="VKQ242" s="10"/>
      <c r="VKR242" s="10"/>
      <c r="VKS242" s="21"/>
      <c r="VKT242" s="21"/>
      <c r="VKW242" s="21"/>
      <c r="VKX242" s="15"/>
      <c r="VKY242" s="15"/>
      <c r="VKZ242" s="15"/>
      <c r="VLA242" s="15"/>
      <c r="VLB242" s="15"/>
      <c r="VLC242" s="15"/>
      <c r="VLD242" s="15"/>
      <c r="VLE242" s="15"/>
      <c r="VLF242" s="15"/>
      <c r="VLG242" s="15"/>
      <c r="VLH242" s="10"/>
      <c r="VLI242" s="10"/>
      <c r="VLJ242" s="21"/>
      <c r="VLK242" s="21"/>
      <c r="VLN242" s="21"/>
      <c r="VLO242" s="15"/>
      <c r="VLP242" s="15"/>
      <c r="VLQ242" s="15"/>
      <c r="VLR242" s="15"/>
      <c r="VLS242" s="15"/>
      <c r="VLT242" s="15"/>
      <c r="VLU242" s="15"/>
      <c r="VLV242" s="15"/>
      <c r="VLW242" s="15"/>
      <c r="VLX242" s="15"/>
      <c r="VLY242" s="10"/>
      <c r="VLZ242" s="10"/>
      <c r="VMA242" s="21"/>
      <c r="VMB242" s="21"/>
      <c r="VME242" s="21"/>
      <c r="VMF242" s="15"/>
      <c r="VMG242" s="15"/>
      <c r="VMH242" s="15"/>
      <c r="VMI242" s="15"/>
      <c r="VMJ242" s="15"/>
      <c r="VMK242" s="15"/>
      <c r="VML242" s="15"/>
      <c r="VMM242" s="15"/>
      <c r="VMN242" s="15"/>
      <c r="VMO242" s="15"/>
      <c r="VMP242" s="10"/>
      <c r="VMQ242" s="10"/>
      <c r="VMR242" s="21"/>
      <c r="VMS242" s="21"/>
      <c r="VMV242" s="21"/>
      <c r="VMW242" s="15"/>
      <c r="VMX242" s="15"/>
      <c r="VMY242" s="15"/>
      <c r="VMZ242" s="15"/>
      <c r="VNA242" s="15"/>
      <c r="VNB242" s="15"/>
      <c r="VNC242" s="15"/>
      <c r="VND242" s="15"/>
      <c r="VNE242" s="15"/>
      <c r="VNF242" s="15"/>
      <c r="VNG242" s="10"/>
      <c r="VNH242" s="10"/>
      <c r="VNI242" s="21"/>
      <c r="VNJ242" s="21"/>
      <c r="VNM242" s="21"/>
      <c r="VNN242" s="15"/>
      <c r="VNO242" s="15"/>
      <c r="VNP242" s="15"/>
      <c r="VNQ242" s="15"/>
      <c r="VNR242" s="15"/>
      <c r="VNS242" s="15"/>
      <c r="VNT242" s="15"/>
      <c r="VNU242" s="15"/>
      <c r="VNV242" s="15"/>
      <c r="VNW242" s="15"/>
      <c r="VNX242" s="10"/>
      <c r="VNY242" s="10"/>
      <c r="VNZ242" s="21"/>
      <c r="VOA242" s="21"/>
      <c r="VOD242" s="21"/>
      <c r="VOE242" s="15"/>
      <c r="VOF242" s="15"/>
      <c r="VOG242" s="15"/>
      <c r="VOH242" s="15"/>
      <c r="VOI242" s="15"/>
      <c r="VOJ242" s="15"/>
      <c r="VOK242" s="15"/>
      <c r="VOL242" s="15"/>
      <c r="VOM242" s="15"/>
      <c r="VON242" s="15"/>
      <c r="VOO242" s="10"/>
      <c r="VOP242" s="10"/>
      <c r="VOQ242" s="21"/>
      <c r="VOR242" s="21"/>
      <c r="VOU242" s="21"/>
      <c r="VOV242" s="15"/>
      <c r="VOW242" s="15"/>
      <c r="VOX242" s="15"/>
      <c r="VOY242" s="15"/>
      <c r="VOZ242" s="15"/>
      <c r="VPA242" s="15"/>
      <c r="VPB242" s="15"/>
      <c r="VPC242" s="15"/>
      <c r="VPD242" s="15"/>
      <c r="VPE242" s="15"/>
      <c r="VPF242" s="10"/>
      <c r="VPG242" s="10"/>
      <c r="VPH242" s="21"/>
      <c r="VPI242" s="21"/>
      <c r="VPL242" s="21"/>
      <c r="VPM242" s="15"/>
      <c r="VPN242" s="15"/>
      <c r="VPO242" s="15"/>
      <c r="VPP242" s="15"/>
      <c r="VPQ242" s="15"/>
      <c r="VPR242" s="15"/>
      <c r="VPS242" s="15"/>
      <c r="VPT242" s="15"/>
      <c r="VPU242" s="15"/>
      <c r="VPV242" s="15"/>
      <c r="VPW242" s="10"/>
      <c r="VPX242" s="10"/>
      <c r="VPY242" s="21"/>
      <c r="VPZ242" s="21"/>
      <c r="VQC242" s="21"/>
      <c r="VQD242" s="15"/>
      <c r="VQE242" s="15"/>
      <c r="VQF242" s="15"/>
      <c r="VQG242" s="15"/>
      <c r="VQH242" s="15"/>
      <c r="VQI242" s="15"/>
      <c r="VQJ242" s="15"/>
      <c r="VQK242" s="15"/>
      <c r="VQL242" s="15"/>
      <c r="VQM242" s="15"/>
      <c r="VQN242" s="10"/>
      <c r="VQO242" s="10"/>
      <c r="VQP242" s="21"/>
      <c r="VQQ242" s="21"/>
      <c r="VQT242" s="21"/>
      <c r="VQU242" s="15"/>
      <c r="VQV242" s="15"/>
      <c r="VQW242" s="15"/>
      <c r="VQX242" s="15"/>
      <c r="VQY242" s="15"/>
      <c r="VQZ242" s="15"/>
      <c r="VRA242" s="15"/>
      <c r="VRB242" s="15"/>
      <c r="VRC242" s="15"/>
      <c r="VRD242" s="15"/>
      <c r="VRE242" s="10"/>
      <c r="VRF242" s="10"/>
      <c r="VRG242" s="21"/>
      <c r="VRH242" s="21"/>
      <c r="VRK242" s="21"/>
      <c r="VRL242" s="15"/>
      <c r="VRM242" s="15"/>
      <c r="VRN242" s="15"/>
      <c r="VRO242" s="15"/>
      <c r="VRP242" s="15"/>
      <c r="VRQ242" s="15"/>
      <c r="VRR242" s="15"/>
      <c r="VRS242" s="15"/>
      <c r="VRT242" s="15"/>
      <c r="VRU242" s="15"/>
      <c r="VRV242" s="10"/>
      <c r="VRW242" s="10"/>
      <c r="VRX242" s="21"/>
      <c r="VRY242" s="21"/>
      <c r="VSB242" s="21"/>
      <c r="VSC242" s="15"/>
      <c r="VSD242" s="15"/>
      <c r="VSE242" s="15"/>
      <c r="VSF242" s="15"/>
      <c r="VSG242" s="15"/>
      <c r="VSH242" s="15"/>
      <c r="VSI242" s="15"/>
      <c r="VSJ242" s="15"/>
      <c r="VSK242" s="15"/>
      <c r="VSL242" s="15"/>
      <c r="VSM242" s="10"/>
      <c r="VSN242" s="10"/>
      <c r="VSO242" s="21"/>
      <c r="VSP242" s="21"/>
      <c r="VSS242" s="21"/>
      <c r="VST242" s="15"/>
      <c r="VSU242" s="15"/>
      <c r="VSV242" s="15"/>
      <c r="VSW242" s="15"/>
      <c r="VSX242" s="15"/>
      <c r="VSY242" s="15"/>
      <c r="VSZ242" s="15"/>
      <c r="VTA242" s="15"/>
      <c r="VTB242" s="15"/>
      <c r="VTC242" s="15"/>
      <c r="VTD242" s="10"/>
      <c r="VTE242" s="10"/>
      <c r="VTF242" s="21"/>
      <c r="VTG242" s="21"/>
      <c r="VTJ242" s="21"/>
      <c r="VTK242" s="15"/>
      <c r="VTL242" s="15"/>
      <c r="VTM242" s="15"/>
      <c r="VTN242" s="15"/>
      <c r="VTO242" s="15"/>
      <c r="VTP242" s="15"/>
      <c r="VTQ242" s="15"/>
      <c r="VTR242" s="15"/>
      <c r="VTS242" s="15"/>
      <c r="VTT242" s="15"/>
      <c r="VTU242" s="10"/>
      <c r="VTV242" s="10"/>
      <c r="VTW242" s="21"/>
      <c r="VTX242" s="21"/>
      <c r="VUA242" s="21"/>
      <c r="VUB242" s="15"/>
      <c r="VUC242" s="15"/>
      <c r="VUD242" s="15"/>
      <c r="VUE242" s="15"/>
      <c r="VUF242" s="15"/>
      <c r="VUG242" s="15"/>
      <c r="VUH242" s="15"/>
      <c r="VUI242" s="15"/>
      <c r="VUJ242" s="15"/>
      <c r="VUK242" s="15"/>
      <c r="VUL242" s="10"/>
      <c r="VUM242" s="10"/>
      <c r="VUN242" s="21"/>
      <c r="VUO242" s="21"/>
      <c r="VUR242" s="21"/>
      <c r="VUS242" s="15"/>
      <c r="VUT242" s="15"/>
      <c r="VUU242" s="15"/>
      <c r="VUV242" s="15"/>
      <c r="VUW242" s="15"/>
      <c r="VUX242" s="15"/>
      <c r="VUY242" s="15"/>
      <c r="VUZ242" s="15"/>
      <c r="VVA242" s="15"/>
      <c r="VVB242" s="15"/>
      <c r="VVC242" s="10"/>
      <c r="VVD242" s="10"/>
      <c r="VVE242" s="21"/>
      <c r="VVF242" s="21"/>
      <c r="VVI242" s="21"/>
      <c r="VVJ242" s="15"/>
      <c r="VVK242" s="15"/>
      <c r="VVL242" s="15"/>
      <c r="VVM242" s="15"/>
      <c r="VVN242" s="15"/>
      <c r="VVO242" s="15"/>
      <c r="VVP242" s="15"/>
      <c r="VVQ242" s="15"/>
      <c r="VVR242" s="15"/>
      <c r="VVS242" s="15"/>
      <c r="VVT242" s="10"/>
      <c r="VVU242" s="10"/>
      <c r="VVV242" s="21"/>
      <c r="VVW242" s="21"/>
      <c r="VVZ242" s="21"/>
      <c r="VWA242" s="15"/>
      <c r="VWB242" s="15"/>
      <c r="VWC242" s="15"/>
      <c r="VWD242" s="15"/>
      <c r="VWE242" s="15"/>
      <c r="VWF242" s="15"/>
      <c r="VWG242" s="15"/>
      <c r="VWH242" s="15"/>
      <c r="VWI242" s="15"/>
      <c r="VWJ242" s="15"/>
      <c r="VWK242" s="10"/>
      <c r="VWL242" s="10"/>
      <c r="VWM242" s="21"/>
      <c r="VWN242" s="21"/>
      <c r="VWQ242" s="21"/>
      <c r="VWR242" s="15"/>
      <c r="VWS242" s="15"/>
      <c r="VWT242" s="15"/>
      <c r="VWU242" s="15"/>
      <c r="VWV242" s="15"/>
      <c r="VWW242" s="15"/>
      <c r="VWX242" s="15"/>
      <c r="VWY242" s="15"/>
      <c r="VWZ242" s="15"/>
      <c r="VXA242" s="15"/>
      <c r="VXB242" s="10"/>
      <c r="VXC242" s="10"/>
      <c r="VXD242" s="21"/>
      <c r="VXE242" s="21"/>
      <c r="VXH242" s="21"/>
      <c r="VXI242" s="15"/>
      <c r="VXJ242" s="15"/>
      <c r="VXK242" s="15"/>
      <c r="VXL242" s="15"/>
      <c r="VXM242" s="15"/>
      <c r="VXN242" s="15"/>
      <c r="VXO242" s="15"/>
      <c r="VXP242" s="15"/>
      <c r="VXQ242" s="15"/>
      <c r="VXR242" s="15"/>
      <c r="VXS242" s="10"/>
      <c r="VXT242" s="10"/>
      <c r="VXU242" s="21"/>
      <c r="VXV242" s="21"/>
      <c r="VXY242" s="21"/>
      <c r="VXZ242" s="15"/>
      <c r="VYA242" s="15"/>
      <c r="VYB242" s="15"/>
      <c r="VYC242" s="15"/>
      <c r="VYD242" s="15"/>
      <c r="VYE242" s="15"/>
      <c r="VYF242" s="15"/>
      <c r="VYG242" s="15"/>
      <c r="VYH242" s="15"/>
      <c r="VYI242" s="15"/>
      <c r="VYJ242" s="10"/>
      <c r="VYK242" s="10"/>
      <c r="VYL242" s="21"/>
      <c r="VYM242" s="21"/>
      <c r="VYP242" s="21"/>
      <c r="VYQ242" s="15"/>
      <c r="VYR242" s="15"/>
      <c r="VYS242" s="15"/>
      <c r="VYT242" s="15"/>
      <c r="VYU242" s="15"/>
      <c r="VYV242" s="15"/>
      <c r="VYW242" s="15"/>
      <c r="VYX242" s="15"/>
      <c r="VYY242" s="15"/>
      <c r="VYZ242" s="15"/>
      <c r="VZA242" s="10"/>
      <c r="VZB242" s="10"/>
      <c r="VZC242" s="21"/>
      <c r="VZD242" s="21"/>
      <c r="VZG242" s="21"/>
      <c r="VZH242" s="15"/>
      <c r="VZI242" s="15"/>
      <c r="VZJ242" s="15"/>
      <c r="VZK242" s="15"/>
      <c r="VZL242" s="15"/>
      <c r="VZM242" s="15"/>
      <c r="VZN242" s="15"/>
      <c r="VZO242" s="15"/>
      <c r="VZP242" s="15"/>
      <c r="VZQ242" s="15"/>
      <c r="VZR242" s="10"/>
      <c r="VZS242" s="10"/>
      <c r="VZT242" s="21"/>
      <c r="VZU242" s="21"/>
      <c r="VZX242" s="21"/>
      <c r="VZY242" s="15"/>
      <c r="VZZ242" s="15"/>
      <c r="WAA242" s="15"/>
      <c r="WAB242" s="15"/>
      <c r="WAC242" s="15"/>
      <c r="WAD242" s="15"/>
      <c r="WAE242" s="15"/>
      <c r="WAF242" s="15"/>
      <c r="WAG242" s="15"/>
      <c r="WAH242" s="15"/>
      <c r="WAI242" s="10"/>
      <c r="WAJ242" s="10"/>
      <c r="WAK242" s="21"/>
      <c r="WAL242" s="21"/>
      <c r="WAO242" s="21"/>
      <c r="WAP242" s="15"/>
      <c r="WAQ242" s="15"/>
      <c r="WAR242" s="15"/>
      <c r="WAS242" s="15"/>
      <c r="WAT242" s="15"/>
      <c r="WAU242" s="15"/>
      <c r="WAV242" s="15"/>
      <c r="WAW242" s="15"/>
      <c r="WAX242" s="15"/>
      <c r="WAY242" s="15"/>
      <c r="WAZ242" s="10"/>
      <c r="WBA242" s="10"/>
      <c r="WBB242" s="21"/>
      <c r="WBC242" s="21"/>
      <c r="WBF242" s="21"/>
      <c r="WBG242" s="15"/>
      <c r="WBH242" s="15"/>
      <c r="WBI242" s="15"/>
      <c r="WBJ242" s="15"/>
      <c r="WBK242" s="15"/>
      <c r="WBL242" s="15"/>
      <c r="WBM242" s="15"/>
      <c r="WBN242" s="15"/>
      <c r="WBO242" s="15"/>
      <c r="WBP242" s="15"/>
      <c r="WBQ242" s="10"/>
      <c r="WBR242" s="10"/>
      <c r="WBS242" s="21"/>
      <c r="WBT242" s="21"/>
      <c r="WBW242" s="21"/>
      <c r="WBX242" s="15"/>
      <c r="WBY242" s="15"/>
      <c r="WBZ242" s="15"/>
      <c r="WCA242" s="15"/>
      <c r="WCB242" s="15"/>
      <c r="WCC242" s="15"/>
      <c r="WCD242" s="15"/>
      <c r="WCE242" s="15"/>
      <c r="WCF242" s="15"/>
      <c r="WCG242" s="15"/>
      <c r="WCH242" s="10"/>
      <c r="WCI242" s="10"/>
      <c r="WCJ242" s="21"/>
      <c r="WCK242" s="21"/>
      <c r="WCN242" s="21"/>
      <c r="WCO242" s="15"/>
      <c r="WCP242" s="15"/>
      <c r="WCQ242" s="15"/>
      <c r="WCR242" s="15"/>
      <c r="WCS242" s="15"/>
      <c r="WCT242" s="15"/>
      <c r="WCU242" s="15"/>
      <c r="WCV242" s="15"/>
      <c r="WCW242" s="15"/>
      <c r="WCX242" s="15"/>
      <c r="WCY242" s="10"/>
      <c r="WCZ242" s="10"/>
      <c r="WDA242" s="21"/>
      <c r="WDB242" s="21"/>
      <c r="WDE242" s="21"/>
      <c r="WDF242" s="15"/>
      <c r="WDG242" s="15"/>
      <c r="WDH242" s="15"/>
      <c r="WDI242" s="15"/>
      <c r="WDJ242" s="15"/>
      <c r="WDK242" s="15"/>
      <c r="WDL242" s="15"/>
      <c r="WDM242" s="15"/>
      <c r="WDN242" s="15"/>
      <c r="WDO242" s="15"/>
      <c r="WDP242" s="10"/>
      <c r="WDQ242" s="10"/>
      <c r="WDR242" s="21"/>
      <c r="WDS242" s="21"/>
      <c r="WDV242" s="21"/>
      <c r="WDW242" s="15"/>
      <c r="WDX242" s="15"/>
      <c r="WDY242" s="15"/>
      <c r="WDZ242" s="15"/>
      <c r="WEA242" s="15"/>
      <c r="WEB242" s="15"/>
      <c r="WEC242" s="15"/>
      <c r="WED242" s="15"/>
      <c r="WEE242" s="15"/>
      <c r="WEF242" s="15"/>
      <c r="WEG242" s="10"/>
      <c r="WEH242" s="10"/>
      <c r="WEI242" s="21"/>
      <c r="WEJ242" s="21"/>
      <c r="WEM242" s="21"/>
      <c r="WEN242" s="15"/>
      <c r="WEO242" s="15"/>
      <c r="WEP242" s="15"/>
      <c r="WEQ242" s="15"/>
      <c r="WER242" s="15"/>
      <c r="WES242" s="15"/>
      <c r="WET242" s="15"/>
      <c r="WEU242" s="15"/>
      <c r="WEV242" s="15"/>
      <c r="WEW242" s="15"/>
      <c r="WEX242" s="10"/>
      <c r="WEY242" s="10"/>
      <c r="WEZ242" s="21"/>
      <c r="WFA242" s="21"/>
      <c r="WFD242" s="21"/>
      <c r="WFE242" s="15"/>
      <c r="WFF242" s="15"/>
      <c r="WFG242" s="15"/>
      <c r="WFH242" s="15"/>
      <c r="WFI242" s="15"/>
      <c r="WFJ242" s="15"/>
      <c r="WFK242" s="15"/>
      <c r="WFL242" s="15"/>
      <c r="WFM242" s="15"/>
      <c r="WFN242" s="15"/>
      <c r="WFO242" s="10"/>
      <c r="WFP242" s="10"/>
      <c r="WFQ242" s="21"/>
      <c r="WFR242" s="21"/>
      <c r="WFU242" s="21"/>
      <c r="WFV242" s="15"/>
      <c r="WFW242" s="15"/>
      <c r="WFX242" s="15"/>
      <c r="WFY242" s="15"/>
      <c r="WFZ242" s="15"/>
      <c r="WGA242" s="15"/>
      <c r="WGB242" s="15"/>
      <c r="WGC242" s="15"/>
      <c r="WGD242" s="15"/>
      <c r="WGE242" s="15"/>
      <c r="WGF242" s="10"/>
      <c r="WGG242" s="10"/>
      <c r="WGH242" s="21"/>
      <c r="WGI242" s="21"/>
      <c r="WGL242" s="21"/>
      <c r="WGM242" s="15"/>
      <c r="WGN242" s="15"/>
      <c r="WGO242" s="15"/>
      <c r="WGP242" s="15"/>
      <c r="WGQ242" s="15"/>
      <c r="WGR242" s="15"/>
      <c r="WGS242" s="15"/>
      <c r="WGT242" s="15"/>
      <c r="WGU242" s="15"/>
      <c r="WGV242" s="15"/>
      <c r="WGW242" s="10"/>
      <c r="WGX242" s="10"/>
      <c r="WGY242" s="21"/>
      <c r="WGZ242" s="21"/>
      <c r="WHC242" s="21"/>
      <c r="WHD242" s="15"/>
      <c r="WHE242" s="15"/>
      <c r="WHF242" s="15"/>
      <c r="WHG242" s="15"/>
      <c r="WHH242" s="15"/>
      <c r="WHI242" s="15"/>
      <c r="WHJ242" s="15"/>
      <c r="WHK242" s="15"/>
      <c r="WHL242" s="15"/>
      <c r="WHM242" s="15"/>
      <c r="WHN242" s="10"/>
      <c r="WHO242" s="10"/>
      <c r="WHP242" s="21"/>
      <c r="WHQ242" s="21"/>
      <c r="WHT242" s="21"/>
      <c r="WHU242" s="15"/>
      <c r="WHV242" s="15"/>
      <c r="WHW242" s="15"/>
      <c r="WHX242" s="15"/>
      <c r="WHY242" s="15"/>
      <c r="WHZ242" s="15"/>
      <c r="WIA242" s="15"/>
      <c r="WIB242" s="15"/>
      <c r="WIC242" s="15"/>
      <c r="WID242" s="15"/>
      <c r="WIE242" s="10"/>
      <c r="WIF242" s="10"/>
      <c r="WIG242" s="21"/>
      <c r="WIH242" s="21"/>
      <c r="WIK242" s="21"/>
      <c r="WIL242" s="15"/>
      <c r="WIM242" s="15"/>
      <c r="WIN242" s="15"/>
      <c r="WIO242" s="15"/>
      <c r="WIP242" s="15"/>
      <c r="WIQ242" s="15"/>
      <c r="WIR242" s="15"/>
      <c r="WIS242" s="15"/>
      <c r="WIT242" s="15"/>
      <c r="WIU242" s="15"/>
      <c r="WIV242" s="10"/>
      <c r="WIW242" s="10"/>
      <c r="WIX242" s="21"/>
      <c r="WIY242" s="21"/>
      <c r="WJB242" s="21"/>
      <c r="WJC242" s="15"/>
      <c r="WJD242" s="15"/>
      <c r="WJE242" s="15"/>
      <c r="WJF242" s="15"/>
      <c r="WJG242" s="15"/>
      <c r="WJH242" s="15"/>
      <c r="WJI242" s="15"/>
      <c r="WJJ242" s="15"/>
      <c r="WJK242" s="15"/>
      <c r="WJL242" s="15"/>
      <c r="WJM242" s="10"/>
      <c r="WJN242" s="10"/>
      <c r="WJO242" s="21"/>
      <c r="WJP242" s="21"/>
      <c r="WJS242" s="21"/>
      <c r="WJT242" s="15"/>
      <c r="WJU242" s="15"/>
      <c r="WJV242" s="15"/>
      <c r="WJW242" s="15"/>
      <c r="WJX242" s="15"/>
      <c r="WJY242" s="15"/>
      <c r="WJZ242" s="15"/>
      <c r="WKA242" s="15"/>
      <c r="WKB242" s="15"/>
      <c r="WKC242" s="15"/>
      <c r="WKD242" s="10"/>
      <c r="WKE242" s="10"/>
      <c r="WKF242" s="21"/>
      <c r="WKG242" s="21"/>
      <c r="WKJ242" s="21"/>
      <c r="WKK242" s="15"/>
      <c r="WKL242" s="15"/>
      <c r="WKM242" s="15"/>
      <c r="WKN242" s="15"/>
      <c r="WKO242" s="15"/>
      <c r="WKP242" s="15"/>
      <c r="WKQ242" s="15"/>
      <c r="WKR242" s="15"/>
      <c r="WKS242" s="15"/>
      <c r="WKT242" s="15"/>
      <c r="WKU242" s="10"/>
      <c r="WKV242" s="10"/>
      <c r="WKW242" s="21"/>
      <c r="WKX242" s="21"/>
      <c r="WLA242" s="21"/>
      <c r="WLB242" s="15"/>
      <c r="WLC242" s="15"/>
      <c r="WLD242" s="15"/>
      <c r="WLE242" s="15"/>
      <c r="WLF242" s="15"/>
      <c r="WLG242" s="15"/>
      <c r="WLH242" s="15"/>
      <c r="WLI242" s="15"/>
      <c r="WLJ242" s="15"/>
      <c r="WLK242" s="15"/>
      <c r="WLL242" s="10"/>
      <c r="WLM242" s="10"/>
      <c r="WLN242" s="21"/>
      <c r="WLO242" s="21"/>
      <c r="WLR242" s="21"/>
      <c r="WLS242" s="15"/>
      <c r="WLT242" s="15"/>
      <c r="WLU242" s="15"/>
      <c r="WLV242" s="15"/>
      <c r="WLW242" s="15"/>
      <c r="WLX242" s="15"/>
      <c r="WLY242" s="15"/>
      <c r="WLZ242" s="15"/>
      <c r="WMA242" s="15"/>
      <c r="WMB242" s="15"/>
      <c r="WMC242" s="10"/>
      <c r="WMD242" s="10"/>
      <c r="WME242" s="21"/>
      <c r="WMF242" s="21"/>
      <c r="WMI242" s="21"/>
      <c r="WMJ242" s="15"/>
      <c r="WMK242" s="15"/>
      <c r="WML242" s="15"/>
      <c r="WMM242" s="15"/>
      <c r="WMN242" s="15"/>
      <c r="WMO242" s="15"/>
      <c r="WMP242" s="15"/>
      <c r="WMQ242" s="15"/>
      <c r="WMR242" s="15"/>
      <c r="WMS242" s="15"/>
      <c r="WMT242" s="10"/>
      <c r="WMU242" s="10"/>
      <c r="WMV242" s="21"/>
      <c r="WMW242" s="21"/>
      <c r="WMZ242" s="21"/>
      <c r="WNA242" s="15"/>
      <c r="WNB242" s="15"/>
      <c r="WNC242" s="15"/>
      <c r="WND242" s="15"/>
      <c r="WNE242" s="15"/>
      <c r="WNF242" s="15"/>
      <c r="WNG242" s="15"/>
      <c r="WNH242" s="15"/>
      <c r="WNI242" s="15"/>
      <c r="WNJ242" s="15"/>
      <c r="WNK242" s="10"/>
      <c r="WNL242" s="10"/>
      <c r="WNM242" s="21"/>
      <c r="WNN242" s="21"/>
      <c r="WNQ242" s="21"/>
      <c r="WNR242" s="15"/>
      <c r="WNS242" s="15"/>
      <c r="WNT242" s="15"/>
      <c r="WNU242" s="15"/>
      <c r="WNV242" s="15"/>
      <c r="WNW242" s="15"/>
      <c r="WNX242" s="15"/>
      <c r="WNY242" s="15"/>
      <c r="WNZ242" s="15"/>
      <c r="WOA242" s="15"/>
      <c r="WOB242" s="10"/>
      <c r="WOC242" s="10"/>
      <c r="WOD242" s="21"/>
      <c r="WOE242" s="21"/>
      <c r="WOH242" s="21"/>
      <c r="WOI242" s="15"/>
      <c r="WOJ242" s="15"/>
      <c r="WOK242" s="15"/>
      <c r="WOL242" s="15"/>
      <c r="WOM242" s="15"/>
      <c r="WON242" s="15"/>
      <c r="WOO242" s="15"/>
      <c r="WOP242" s="15"/>
      <c r="WOQ242" s="15"/>
      <c r="WOR242" s="15"/>
      <c r="WOS242" s="10"/>
      <c r="WOT242" s="10"/>
      <c r="WOU242" s="21"/>
      <c r="WOV242" s="21"/>
      <c r="WOY242" s="21"/>
      <c r="WOZ242" s="15"/>
      <c r="WPA242" s="15"/>
      <c r="WPB242" s="15"/>
      <c r="WPC242" s="15"/>
      <c r="WPD242" s="15"/>
      <c r="WPE242" s="15"/>
      <c r="WPF242" s="15"/>
      <c r="WPG242" s="15"/>
      <c r="WPH242" s="15"/>
      <c r="WPI242" s="15"/>
      <c r="WPJ242" s="10"/>
      <c r="WPK242" s="10"/>
      <c r="WPL242" s="21"/>
      <c r="WPM242" s="21"/>
      <c r="WPP242" s="21"/>
      <c r="WPQ242" s="15"/>
      <c r="WPR242" s="15"/>
      <c r="WPS242" s="15"/>
      <c r="WPT242" s="15"/>
      <c r="WPU242" s="15"/>
      <c r="WPV242" s="15"/>
      <c r="WPW242" s="15"/>
      <c r="WPX242" s="15"/>
      <c r="WPY242" s="15"/>
      <c r="WPZ242" s="15"/>
      <c r="WQA242" s="10"/>
      <c r="WQB242" s="10"/>
      <c r="WQC242" s="21"/>
      <c r="WQD242" s="21"/>
      <c r="WQG242" s="21"/>
      <c r="WQH242" s="15"/>
      <c r="WQI242" s="15"/>
      <c r="WQJ242" s="15"/>
      <c r="WQK242" s="15"/>
      <c r="WQL242" s="15"/>
      <c r="WQM242" s="15"/>
      <c r="WQN242" s="15"/>
      <c r="WQO242" s="15"/>
      <c r="WQP242" s="15"/>
      <c r="WQQ242" s="15"/>
      <c r="WQR242" s="10"/>
      <c r="WQS242" s="10"/>
      <c r="WQT242" s="21"/>
      <c r="WQU242" s="21"/>
      <c r="WQX242" s="21"/>
      <c r="WQY242" s="15"/>
      <c r="WQZ242" s="15"/>
      <c r="WRA242" s="15"/>
      <c r="WRB242" s="15"/>
      <c r="WRC242" s="15"/>
      <c r="WRD242" s="15"/>
      <c r="WRE242" s="15"/>
      <c r="WRF242" s="15"/>
      <c r="WRG242" s="15"/>
      <c r="WRH242" s="15"/>
      <c r="WRI242" s="10"/>
      <c r="WRJ242" s="10"/>
      <c r="WRK242" s="21"/>
      <c r="WRL242" s="21"/>
      <c r="WRO242" s="21"/>
      <c r="WRP242" s="15"/>
      <c r="WRQ242" s="15"/>
      <c r="WRR242" s="15"/>
      <c r="WRS242" s="15"/>
      <c r="WRT242" s="15"/>
      <c r="WRU242" s="15"/>
      <c r="WRV242" s="15"/>
      <c r="WRW242" s="15"/>
      <c r="WRX242" s="15"/>
      <c r="WRY242" s="15"/>
      <c r="WRZ242" s="10"/>
      <c r="WSA242" s="10"/>
      <c r="WSB242" s="21"/>
      <c r="WSC242" s="21"/>
      <c r="WSF242" s="21"/>
      <c r="WSG242" s="15"/>
      <c r="WSH242" s="15"/>
      <c r="WSI242" s="15"/>
      <c r="WSJ242" s="15"/>
      <c r="WSK242" s="15"/>
      <c r="WSL242" s="15"/>
      <c r="WSM242" s="15"/>
      <c r="WSN242" s="15"/>
      <c r="WSO242" s="15"/>
      <c r="WSP242" s="15"/>
      <c r="WSQ242" s="10"/>
      <c r="WSR242" s="10"/>
      <c r="WSS242" s="21"/>
      <c r="WST242" s="21"/>
      <c r="WSW242" s="21"/>
      <c r="WSX242" s="15"/>
      <c r="WSY242" s="15"/>
      <c r="WSZ242" s="15"/>
      <c r="WTA242" s="15"/>
      <c r="WTB242" s="15"/>
      <c r="WTC242" s="15"/>
      <c r="WTD242" s="15"/>
      <c r="WTE242" s="15"/>
      <c r="WTF242" s="15"/>
      <c r="WTG242" s="15"/>
      <c r="WTH242" s="10"/>
      <c r="WTI242" s="10"/>
      <c r="WTJ242" s="21"/>
      <c r="WTK242" s="21"/>
      <c r="WTN242" s="21"/>
      <c r="WTO242" s="15"/>
      <c r="WTP242" s="15"/>
      <c r="WTQ242" s="15"/>
      <c r="WTR242" s="15"/>
      <c r="WTS242" s="15"/>
      <c r="WTT242" s="15"/>
      <c r="WTU242" s="15"/>
      <c r="WTV242" s="15"/>
      <c r="WTW242" s="15"/>
      <c r="WTX242" s="15"/>
      <c r="WTY242" s="10"/>
      <c r="WTZ242" s="10"/>
      <c r="WUA242" s="21"/>
      <c r="WUB242" s="21"/>
      <c r="WUE242" s="21"/>
      <c r="WUF242" s="15"/>
      <c r="WUG242" s="15"/>
      <c r="WUH242" s="15"/>
      <c r="WUI242" s="15"/>
      <c r="WUJ242" s="15"/>
      <c r="WUK242" s="15"/>
      <c r="WUL242" s="15"/>
      <c r="WUM242" s="15"/>
      <c r="WUN242" s="15"/>
      <c r="WUO242" s="15"/>
      <c r="WUP242" s="10"/>
      <c r="WUQ242" s="10"/>
      <c r="WUR242" s="21"/>
      <c r="WUS242" s="21"/>
      <c r="WUV242" s="21"/>
      <c r="WUW242" s="15"/>
      <c r="WUX242" s="15"/>
      <c r="WUY242" s="15"/>
      <c r="WUZ242" s="15"/>
      <c r="WVA242" s="15"/>
      <c r="WVB242" s="15"/>
      <c r="WVC242" s="15"/>
      <c r="WVD242" s="15"/>
      <c r="WVE242" s="15"/>
      <c r="WVF242" s="15"/>
      <c r="WVG242" s="10"/>
      <c r="WVH242" s="10"/>
      <c r="WVI242" s="21"/>
      <c r="WVJ242" s="21"/>
      <c r="WVM242" s="21"/>
      <c r="WVN242" s="15"/>
      <c r="WVO242" s="15"/>
      <c r="WVP242" s="15"/>
      <c r="WVQ242" s="15"/>
      <c r="WVR242" s="15"/>
      <c r="WVS242" s="15"/>
      <c r="WVT242" s="15"/>
      <c r="WVU242" s="15"/>
      <c r="WVV242" s="15"/>
      <c r="WVW242" s="15"/>
      <c r="WVX242" s="10"/>
      <c r="WVY242" s="10"/>
      <c r="WVZ242" s="21"/>
      <c r="WWA242" s="21"/>
      <c r="WWD242" s="21"/>
      <c r="WWE242" s="15"/>
      <c r="WWF242" s="15"/>
      <c r="WWG242" s="15"/>
      <c r="WWH242" s="15"/>
      <c r="WWI242" s="15"/>
      <c r="WWJ242" s="15"/>
      <c r="WWK242" s="15"/>
      <c r="WWL242" s="15"/>
      <c r="WWM242" s="15"/>
      <c r="WWN242" s="15"/>
      <c r="WWO242" s="10"/>
      <c r="WWP242" s="10"/>
      <c r="WWQ242" s="21"/>
      <c r="WWR242" s="21"/>
      <c r="WWU242" s="21"/>
      <c r="WWV242" s="15"/>
      <c r="WWW242" s="15"/>
      <c r="WWX242" s="15"/>
      <c r="WWY242" s="15"/>
      <c r="WWZ242" s="15"/>
      <c r="WXA242" s="15"/>
      <c r="WXB242" s="15"/>
      <c r="WXC242" s="15"/>
      <c r="WXD242" s="15"/>
      <c r="WXE242" s="15"/>
      <c r="WXF242" s="10"/>
      <c r="WXG242" s="10"/>
      <c r="WXH242" s="21"/>
      <c r="WXI242" s="21"/>
      <c r="WXL242" s="21"/>
      <c r="WXM242" s="15"/>
      <c r="WXN242" s="15"/>
      <c r="WXO242" s="15"/>
      <c r="WXP242" s="15"/>
      <c r="WXQ242" s="15"/>
      <c r="WXR242" s="15"/>
      <c r="WXS242" s="15"/>
      <c r="WXT242" s="15"/>
      <c r="WXU242" s="15"/>
      <c r="WXV242" s="15"/>
      <c r="WXW242" s="10"/>
      <c r="WXX242" s="10"/>
      <c r="WXY242" s="21"/>
      <c r="WXZ242" s="21"/>
      <c r="WYC242" s="21"/>
      <c r="WYD242" s="15"/>
      <c r="WYE242" s="15"/>
      <c r="WYF242" s="15"/>
      <c r="WYG242" s="15"/>
      <c r="WYH242" s="15"/>
      <c r="WYI242" s="15"/>
      <c r="WYJ242" s="15"/>
      <c r="WYK242" s="15"/>
      <c r="WYL242" s="15"/>
      <c r="WYM242" s="15"/>
      <c r="WYN242" s="10"/>
      <c r="WYO242" s="10"/>
      <c r="WYP242" s="21"/>
      <c r="WYQ242" s="21"/>
      <c r="WYT242" s="21"/>
      <c r="WYU242" s="15"/>
      <c r="WYV242" s="15"/>
      <c r="WYW242" s="15"/>
      <c r="WYX242" s="15"/>
      <c r="WYY242" s="15"/>
      <c r="WYZ242" s="15"/>
      <c r="WZA242" s="15"/>
      <c r="WZB242" s="15"/>
      <c r="WZC242" s="15"/>
      <c r="WZD242" s="15"/>
      <c r="WZE242" s="10"/>
      <c r="WZF242" s="10"/>
      <c r="WZG242" s="21"/>
      <c r="WZH242" s="21"/>
      <c r="WZK242" s="21"/>
      <c r="WZL242" s="15"/>
      <c r="WZM242" s="15"/>
      <c r="WZN242" s="15"/>
      <c r="WZO242" s="15"/>
      <c r="WZP242" s="15"/>
      <c r="WZQ242" s="15"/>
      <c r="WZR242" s="15"/>
      <c r="WZS242" s="15"/>
      <c r="WZT242" s="15"/>
      <c r="WZU242" s="15"/>
      <c r="WZV242" s="10"/>
      <c r="WZW242" s="10"/>
      <c r="WZX242" s="21"/>
      <c r="WZY242" s="21"/>
      <c r="XAB242" s="21"/>
      <c r="XAC242" s="15"/>
      <c r="XAD242" s="15"/>
      <c r="XAE242" s="15"/>
      <c r="XAF242" s="15"/>
      <c r="XAG242" s="15"/>
      <c r="XAH242" s="15"/>
      <c r="XAI242" s="15"/>
      <c r="XAJ242" s="15"/>
      <c r="XAK242" s="15"/>
      <c r="XAL242" s="15"/>
      <c r="XAM242" s="10"/>
      <c r="XAN242" s="10"/>
      <c r="XAO242" s="21"/>
      <c r="XAP242" s="21"/>
      <c r="XAS242" s="21"/>
      <c r="XAT242" s="15"/>
      <c r="XAU242" s="15"/>
      <c r="XAV242" s="15"/>
      <c r="XAW242" s="15"/>
      <c r="XAX242" s="15"/>
      <c r="XAY242" s="15"/>
      <c r="XAZ242" s="15"/>
      <c r="XBA242" s="15"/>
      <c r="XBB242" s="15"/>
      <c r="XBC242" s="15"/>
      <c r="XBD242" s="10"/>
      <c r="XBE242" s="10"/>
      <c r="XBF242" s="21"/>
      <c r="XBG242" s="21"/>
      <c r="XBJ242" s="21"/>
      <c r="XBK242" s="15"/>
      <c r="XBL242" s="15"/>
      <c r="XBM242" s="15"/>
      <c r="XBN242" s="15"/>
      <c r="XBO242" s="15"/>
      <c r="XBP242" s="15"/>
      <c r="XBQ242" s="15"/>
      <c r="XBR242" s="15"/>
      <c r="XBS242" s="15"/>
      <c r="XBT242" s="15"/>
      <c r="XBU242" s="10"/>
      <c r="XBV242" s="10"/>
      <c r="XBW242" s="21"/>
      <c r="XBX242" s="21"/>
      <c r="XCA242" s="21"/>
      <c r="XCB242" s="15"/>
      <c r="XCC242" s="15"/>
      <c r="XCD242" s="15"/>
      <c r="XCE242" s="15"/>
      <c r="XCF242" s="15"/>
      <c r="XCG242" s="15"/>
      <c r="XCH242" s="15"/>
      <c r="XCI242" s="15"/>
      <c r="XCJ242" s="15"/>
      <c r="XCK242" s="15"/>
      <c r="XCL242" s="10"/>
      <c r="XCM242" s="10"/>
      <c r="XCN242" s="21"/>
      <c r="XCO242" s="21"/>
      <c r="XCR242" s="21"/>
      <c r="XCS242" s="15"/>
      <c r="XCT242" s="15"/>
      <c r="XCU242" s="15"/>
      <c r="XCV242" s="15"/>
      <c r="XCW242" s="15"/>
      <c r="XCX242" s="15"/>
      <c r="XCY242" s="15"/>
      <c r="XCZ242" s="15"/>
      <c r="XDA242" s="15"/>
      <c r="XDB242" s="15"/>
      <c r="XDC242" s="10"/>
      <c r="XDD242" s="10"/>
      <c r="XDE242" s="21"/>
      <c r="XDF242" s="21"/>
      <c r="XDI242" s="21"/>
      <c r="XDJ242" s="15"/>
      <c r="XDK242" s="15"/>
      <c r="XDL242" s="15"/>
      <c r="XDM242" s="15"/>
      <c r="XDN242" s="15"/>
      <c r="XDO242" s="15"/>
      <c r="XDP242" s="15"/>
      <c r="XDQ242" s="15"/>
      <c r="XDR242" s="15"/>
      <c r="XDS242" s="15"/>
      <c r="XDT242" s="10"/>
      <c r="XDU242" s="10"/>
      <c r="XDV242" s="21"/>
      <c r="XDW242" s="21"/>
      <c r="XDZ242" s="21"/>
      <c r="XEA242" s="15"/>
      <c r="XEB242" s="15"/>
      <c r="XEC242" s="15"/>
      <c r="XED242" s="15"/>
      <c r="XEE242" s="15"/>
      <c r="XEF242" s="15"/>
      <c r="XEG242" s="15"/>
      <c r="XEH242" s="15"/>
      <c r="XEI242" s="15"/>
      <c r="XEJ242" s="15"/>
      <c r="XEK242" s="10"/>
      <c r="XEL242" s="10"/>
      <c r="XEM242" s="21"/>
      <c r="XEN242" s="21"/>
      <c r="XEQ242" s="21"/>
      <c r="XER242" s="15"/>
      <c r="XES242" s="15"/>
      <c r="XET242" s="15"/>
      <c r="XEU242" s="15"/>
      <c r="XEV242" s="15"/>
      <c r="XEW242" s="15"/>
      <c r="XEX242" s="15"/>
      <c r="XEY242" s="15"/>
      <c r="XEZ242" s="15"/>
      <c r="XFA242" s="15"/>
      <c r="XFB242" s="10"/>
      <c r="XFC242" s="10"/>
      <c r="XFD242" s="21"/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517</v>
      </c>
      <c r="E243" s="32" t="s">
        <v>166</v>
      </c>
      <c r="F243" s="32" t="s">
        <v>518</v>
      </c>
      <c r="G243" s="32" t="s">
        <v>519</v>
      </c>
      <c r="H243" s="32" t="s">
        <v>352</v>
      </c>
      <c r="I243" s="31" t="s">
        <v>520</v>
      </c>
      <c r="J243" s="31">
        <v>99</v>
      </c>
      <c r="K243" s="33" t="s">
        <v>693</v>
      </c>
      <c r="L243" s="33">
        <v>40</v>
      </c>
      <c r="M243" s="34" t="s">
        <v>953</v>
      </c>
      <c r="N243" s="34" t="s">
        <v>1810</v>
      </c>
      <c r="O243" s="35">
        <v>1</v>
      </c>
      <c r="P243" s="35"/>
      <c r="Q243" s="32"/>
      <c r="S243" s="1">
        <f t="shared" si="69"/>
        <v>0</v>
      </c>
      <c r="T243" s="1">
        <f t="shared" si="70"/>
        <v>0</v>
      </c>
      <c r="U243" s="1">
        <f t="shared" si="71"/>
        <v>0</v>
      </c>
      <c r="V243" s="1">
        <f t="shared" si="72"/>
        <v>0</v>
      </c>
      <c r="W243" s="1">
        <f t="shared" si="73"/>
        <v>0</v>
      </c>
      <c r="X243" s="1">
        <f t="shared" si="74"/>
        <v>0</v>
      </c>
      <c r="Y243" s="1">
        <f t="shared" si="75"/>
        <v>0</v>
      </c>
      <c r="Z243" s="1">
        <f t="shared" si="76"/>
        <v>0</v>
      </c>
      <c r="AA243" s="1">
        <f t="shared" si="77"/>
        <v>0</v>
      </c>
      <c r="AB243" s="1">
        <f t="shared" si="78"/>
        <v>0</v>
      </c>
      <c r="AD243" s="1">
        <f t="shared" si="79"/>
        <v>0</v>
      </c>
      <c r="AE243" s="1">
        <f t="shared" si="80"/>
        <v>1</v>
      </c>
      <c r="AF243" s="1">
        <f t="shared" si="81"/>
        <v>0</v>
      </c>
      <c r="AG243" s="1">
        <f t="shared" si="82"/>
        <v>1</v>
      </c>
      <c r="AH243" s="1">
        <f t="shared" si="83"/>
        <v>0</v>
      </c>
      <c r="AI243" s="1">
        <f t="shared" si="84"/>
        <v>1</v>
      </c>
    </row>
    <row r="244" spans="1:4094 4097:8191 8194:12288 12291:16384" s="1" customFormat="1" ht="13.9" customHeight="1" x14ac:dyDescent="0.25">
      <c r="A244" s="38">
        <v>0</v>
      </c>
      <c r="B244" s="38">
        <v>1</v>
      </c>
      <c r="C244" s="38">
        <v>6</v>
      </c>
      <c r="D244" s="39" t="s">
        <v>1798</v>
      </c>
      <c r="E244" s="39" t="s">
        <v>1799</v>
      </c>
      <c r="F244" s="39" t="s">
        <v>1800</v>
      </c>
      <c r="G244" s="39"/>
      <c r="H244" s="39" t="s">
        <v>352</v>
      </c>
      <c r="I244" s="38" t="s">
        <v>1801</v>
      </c>
      <c r="J244" s="38"/>
      <c r="K244" s="40" t="s">
        <v>694</v>
      </c>
      <c r="L244" s="40"/>
      <c r="M244" s="41"/>
      <c r="N244" s="42"/>
      <c r="O244" s="43"/>
      <c r="P244" s="43">
        <v>1</v>
      </c>
      <c r="Q244" s="39"/>
      <c r="S244" s="1">
        <f t="shared" si="69"/>
        <v>0</v>
      </c>
      <c r="T244" s="1">
        <f t="shared" si="70"/>
        <v>0</v>
      </c>
      <c r="U244" s="1">
        <f t="shared" si="71"/>
        <v>0</v>
      </c>
      <c r="V244" s="1">
        <f t="shared" si="72"/>
        <v>0</v>
      </c>
      <c r="W244" s="1">
        <f t="shared" si="73"/>
        <v>0</v>
      </c>
      <c r="X244" s="1">
        <f t="shared" si="74"/>
        <v>0</v>
      </c>
      <c r="Y244" s="1">
        <f t="shared" si="75"/>
        <v>0</v>
      </c>
      <c r="Z244" s="1">
        <f t="shared" si="76"/>
        <v>0</v>
      </c>
      <c r="AA244" s="1">
        <f t="shared" si="77"/>
        <v>0</v>
      </c>
      <c r="AB244" s="1">
        <f t="shared" si="78"/>
        <v>0</v>
      </c>
      <c r="AD244" s="1">
        <f t="shared" si="79"/>
        <v>0</v>
      </c>
      <c r="AE244" s="1">
        <f t="shared" si="80"/>
        <v>0</v>
      </c>
      <c r="AF244" s="1">
        <f t="shared" si="81"/>
        <v>0</v>
      </c>
      <c r="AG244" s="1">
        <f t="shared" si="82"/>
        <v>0</v>
      </c>
      <c r="AH244" s="1">
        <f t="shared" si="83"/>
        <v>1</v>
      </c>
      <c r="AI244" s="1">
        <f t="shared" si="84"/>
        <v>0</v>
      </c>
    </row>
    <row r="245" spans="1:4094 4097:8191 8194:12288 12291:16384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2047</v>
      </c>
      <c r="E245" s="32" t="s">
        <v>166</v>
      </c>
      <c r="F245" s="32" t="s">
        <v>2048</v>
      </c>
      <c r="G245" s="32"/>
      <c r="H245" s="32" t="s">
        <v>352</v>
      </c>
      <c r="I245" s="31" t="s">
        <v>2049</v>
      </c>
      <c r="J245" s="31"/>
      <c r="K245" s="33" t="s">
        <v>694</v>
      </c>
      <c r="L245" s="33"/>
      <c r="M245" s="34"/>
      <c r="N245" s="34" t="s">
        <v>1710</v>
      </c>
      <c r="O245" s="35">
        <v>1</v>
      </c>
      <c r="P245" s="35"/>
      <c r="Q245" s="32" t="s">
        <v>2050</v>
      </c>
      <c r="S245" s="1">
        <f t="shared" si="69"/>
        <v>0</v>
      </c>
      <c r="T245" s="1">
        <f t="shared" si="70"/>
        <v>0</v>
      </c>
      <c r="U245" s="1">
        <f t="shared" si="71"/>
        <v>0</v>
      </c>
      <c r="V245" s="1">
        <f t="shared" si="72"/>
        <v>0</v>
      </c>
      <c r="W245" s="1">
        <f t="shared" si="73"/>
        <v>0</v>
      </c>
      <c r="X245" s="1">
        <f t="shared" si="74"/>
        <v>0</v>
      </c>
      <c r="Y245" s="1">
        <f t="shared" si="75"/>
        <v>0</v>
      </c>
      <c r="Z245" s="1">
        <f t="shared" si="76"/>
        <v>0</v>
      </c>
      <c r="AA245" s="1">
        <f t="shared" si="77"/>
        <v>0</v>
      </c>
      <c r="AB245" s="1">
        <f t="shared" si="78"/>
        <v>0</v>
      </c>
      <c r="AD245" s="1">
        <f t="shared" si="79"/>
        <v>0</v>
      </c>
      <c r="AE245" s="1">
        <f t="shared" si="80"/>
        <v>1</v>
      </c>
      <c r="AF245" s="1">
        <f t="shared" si="81"/>
        <v>0</v>
      </c>
      <c r="AG245" s="1">
        <f t="shared" si="82"/>
        <v>1</v>
      </c>
      <c r="AH245" s="1">
        <f t="shared" si="83"/>
        <v>0</v>
      </c>
      <c r="AI245" s="1">
        <f t="shared" si="84"/>
        <v>1</v>
      </c>
    </row>
    <row r="246" spans="1:4094 4097:8191 8194:12288 12291:16384" s="1" customFormat="1" ht="13.9" customHeight="1" x14ac:dyDescent="0.25">
      <c r="A246" s="31">
        <v>0</v>
      </c>
      <c r="B246" s="31">
        <v>1</v>
      </c>
      <c r="C246" s="31">
        <v>6</v>
      </c>
      <c r="D246" s="32" t="s">
        <v>1449</v>
      </c>
      <c r="E246" s="32" t="s">
        <v>166</v>
      </c>
      <c r="F246" s="32" t="s">
        <v>1451</v>
      </c>
      <c r="G246" s="32" t="s">
        <v>1452</v>
      </c>
      <c r="H246" s="32" t="s">
        <v>352</v>
      </c>
      <c r="I246" s="31" t="s">
        <v>1450</v>
      </c>
      <c r="J246" s="31">
        <v>99</v>
      </c>
      <c r="K246" s="33" t="s">
        <v>694</v>
      </c>
      <c r="L246" s="33">
        <v>62</v>
      </c>
      <c r="M246" s="34"/>
      <c r="N246" s="34" t="s">
        <v>1711</v>
      </c>
      <c r="O246" s="35">
        <v>1</v>
      </c>
      <c r="P246" s="35"/>
      <c r="Q246" s="32"/>
      <c r="S246" s="1">
        <f t="shared" si="69"/>
        <v>0</v>
      </c>
      <c r="T246" s="1">
        <f t="shared" si="70"/>
        <v>0</v>
      </c>
      <c r="U246" s="1">
        <f t="shared" si="71"/>
        <v>0</v>
      </c>
      <c r="V246" s="1">
        <f t="shared" si="72"/>
        <v>0</v>
      </c>
      <c r="W246" s="1">
        <f t="shared" si="73"/>
        <v>0</v>
      </c>
      <c r="X246" s="1">
        <f t="shared" si="74"/>
        <v>0</v>
      </c>
      <c r="Y246" s="1">
        <f t="shared" si="75"/>
        <v>0</v>
      </c>
      <c r="Z246" s="1">
        <f t="shared" si="76"/>
        <v>0</v>
      </c>
      <c r="AA246" s="1">
        <f t="shared" si="77"/>
        <v>0</v>
      </c>
      <c r="AB246" s="1">
        <f t="shared" si="78"/>
        <v>0</v>
      </c>
      <c r="AD246" s="1">
        <f t="shared" si="79"/>
        <v>0</v>
      </c>
      <c r="AE246" s="1">
        <f t="shared" si="80"/>
        <v>1</v>
      </c>
      <c r="AF246" s="1">
        <f t="shared" si="81"/>
        <v>0</v>
      </c>
      <c r="AG246" s="1">
        <f t="shared" si="82"/>
        <v>1</v>
      </c>
      <c r="AH246" s="1">
        <f t="shared" si="83"/>
        <v>0</v>
      </c>
      <c r="AI246" s="1">
        <f t="shared" si="84"/>
        <v>1</v>
      </c>
    </row>
    <row r="247" spans="1:4094 4097:8191 8194:12288 12291:16384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1171</v>
      </c>
      <c r="E247" s="32" t="s">
        <v>164</v>
      </c>
      <c r="F247" s="32" t="s">
        <v>1637</v>
      </c>
      <c r="G247" s="32" t="s">
        <v>212</v>
      </c>
      <c r="H247" s="32" t="s">
        <v>352</v>
      </c>
      <c r="I247" s="31" t="s">
        <v>1172</v>
      </c>
      <c r="J247" s="31">
        <v>1</v>
      </c>
      <c r="K247" s="33" t="s">
        <v>943</v>
      </c>
      <c r="L247" s="33" t="s">
        <v>678</v>
      </c>
      <c r="M247" s="34" t="s">
        <v>1539</v>
      </c>
      <c r="N247" s="34" t="s">
        <v>1717</v>
      </c>
      <c r="O247" s="35">
        <v>1</v>
      </c>
      <c r="P247" s="35"/>
      <c r="Q247" s="32"/>
      <c r="S247" s="1">
        <f t="shared" si="69"/>
        <v>1</v>
      </c>
      <c r="T247" s="1">
        <f t="shared" si="70"/>
        <v>0</v>
      </c>
      <c r="U247" s="1">
        <f t="shared" si="71"/>
        <v>0</v>
      </c>
      <c r="V247" s="1">
        <f t="shared" si="72"/>
        <v>0</v>
      </c>
      <c r="W247" s="1">
        <f t="shared" si="73"/>
        <v>0</v>
      </c>
      <c r="X247" s="1">
        <f t="shared" si="74"/>
        <v>0</v>
      </c>
      <c r="Y247" s="1">
        <f t="shared" si="75"/>
        <v>0</v>
      </c>
      <c r="Z247" s="1">
        <f t="shared" si="76"/>
        <v>0</v>
      </c>
      <c r="AA247" s="1">
        <f t="shared" si="77"/>
        <v>0</v>
      </c>
      <c r="AB247" s="1">
        <f t="shared" si="78"/>
        <v>0</v>
      </c>
      <c r="AD247" s="1">
        <f t="shared" si="79"/>
        <v>0</v>
      </c>
      <c r="AE247" s="1">
        <f t="shared" si="80"/>
        <v>1</v>
      </c>
      <c r="AF247" s="1">
        <f t="shared" si="81"/>
        <v>0</v>
      </c>
      <c r="AG247" s="1">
        <f t="shared" si="82"/>
        <v>1</v>
      </c>
      <c r="AH247" s="1">
        <f t="shared" si="83"/>
        <v>0</v>
      </c>
      <c r="AI247" s="1">
        <f t="shared" si="84"/>
        <v>1</v>
      </c>
    </row>
    <row r="248" spans="1:4094 4097:8191 8194:12288 12291:16384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2027</v>
      </c>
      <c r="E248" s="32" t="s">
        <v>2028</v>
      </c>
      <c r="F248" s="32" t="s">
        <v>2029</v>
      </c>
      <c r="G248" s="32" t="s">
        <v>207</v>
      </c>
      <c r="H248" s="32" t="s">
        <v>352</v>
      </c>
      <c r="I248" s="31" t="s">
        <v>2030</v>
      </c>
      <c r="J248" s="31">
        <v>3</v>
      </c>
      <c r="K248" s="33" t="s">
        <v>694</v>
      </c>
      <c r="L248" s="33">
        <v>30</v>
      </c>
      <c r="M248" s="34" t="s">
        <v>2031</v>
      </c>
      <c r="N248" s="34" t="s">
        <v>1810</v>
      </c>
      <c r="O248" s="35">
        <v>1</v>
      </c>
      <c r="P248" s="35"/>
      <c r="Q248" s="32"/>
      <c r="S248" s="1">
        <f t="shared" si="69"/>
        <v>0</v>
      </c>
      <c r="T248" s="1">
        <f t="shared" si="70"/>
        <v>0</v>
      </c>
      <c r="U248" s="1">
        <f t="shared" si="71"/>
        <v>1</v>
      </c>
      <c r="V248" s="1">
        <f t="shared" si="72"/>
        <v>0</v>
      </c>
      <c r="W248" s="1">
        <f t="shared" si="73"/>
        <v>0</v>
      </c>
      <c r="X248" s="1">
        <f t="shared" si="74"/>
        <v>0</v>
      </c>
      <c r="Y248" s="1">
        <f t="shared" si="75"/>
        <v>0</v>
      </c>
      <c r="Z248" s="1">
        <f t="shared" si="76"/>
        <v>0</v>
      </c>
      <c r="AA248" s="1">
        <f t="shared" si="77"/>
        <v>0</v>
      </c>
      <c r="AB248" s="1">
        <f t="shared" si="78"/>
        <v>0</v>
      </c>
      <c r="AD248" s="1">
        <f t="shared" si="79"/>
        <v>0</v>
      </c>
      <c r="AE248" s="1">
        <f t="shared" si="80"/>
        <v>1</v>
      </c>
      <c r="AF248" s="1">
        <f t="shared" si="81"/>
        <v>0</v>
      </c>
      <c r="AG248" s="1">
        <f t="shared" si="82"/>
        <v>1</v>
      </c>
      <c r="AH248" s="1">
        <f t="shared" si="83"/>
        <v>0</v>
      </c>
      <c r="AI248" s="1">
        <f t="shared" si="84"/>
        <v>1</v>
      </c>
    </row>
    <row r="249" spans="1:4094 4097:8191 8194:12288 12291:16384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97</v>
      </c>
      <c r="E249" s="32" t="s">
        <v>166</v>
      </c>
      <c r="F249" s="32" t="s">
        <v>294</v>
      </c>
      <c r="G249" s="32" t="s">
        <v>283</v>
      </c>
      <c r="H249" s="32" t="s">
        <v>352</v>
      </c>
      <c r="I249" s="31" t="s">
        <v>1099</v>
      </c>
      <c r="J249" s="31">
        <v>10</v>
      </c>
      <c r="K249" s="33" t="s">
        <v>937</v>
      </c>
      <c r="L249" s="33" t="s">
        <v>685</v>
      </c>
      <c r="M249" s="34" t="s">
        <v>696</v>
      </c>
      <c r="N249" s="34" t="s">
        <v>1711</v>
      </c>
      <c r="O249" s="35">
        <v>1</v>
      </c>
      <c r="P249" s="35"/>
      <c r="Q249" s="32"/>
      <c r="S249" s="1">
        <f t="shared" si="69"/>
        <v>0</v>
      </c>
      <c r="T249" s="1">
        <f t="shared" si="70"/>
        <v>0</v>
      </c>
      <c r="U249" s="1">
        <f t="shared" si="71"/>
        <v>0</v>
      </c>
      <c r="V249" s="1">
        <f t="shared" si="72"/>
        <v>0</v>
      </c>
      <c r="W249" s="1">
        <f t="shared" si="73"/>
        <v>0</v>
      </c>
      <c r="X249" s="1">
        <f t="shared" si="74"/>
        <v>0</v>
      </c>
      <c r="Y249" s="1">
        <f t="shared" si="75"/>
        <v>0</v>
      </c>
      <c r="Z249" s="1">
        <f t="shared" si="76"/>
        <v>0</v>
      </c>
      <c r="AA249" s="1">
        <f t="shared" si="77"/>
        <v>0</v>
      </c>
      <c r="AB249" s="1">
        <f t="shared" si="78"/>
        <v>1</v>
      </c>
      <c r="AD249" s="1">
        <f t="shared" si="79"/>
        <v>0</v>
      </c>
      <c r="AE249" s="1">
        <f t="shared" si="80"/>
        <v>1</v>
      </c>
      <c r="AF249" s="1">
        <f t="shared" si="81"/>
        <v>0</v>
      </c>
      <c r="AG249" s="1">
        <f t="shared" si="82"/>
        <v>1</v>
      </c>
      <c r="AH249" s="1">
        <f t="shared" si="83"/>
        <v>0</v>
      </c>
      <c r="AI249" s="1">
        <f t="shared" si="84"/>
        <v>1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595</v>
      </c>
      <c r="E250" s="32" t="s">
        <v>164</v>
      </c>
      <c r="F250" s="32" t="s">
        <v>597</v>
      </c>
      <c r="G250" s="32" t="s">
        <v>39</v>
      </c>
      <c r="H250" s="32" t="s">
        <v>352</v>
      </c>
      <c r="I250" s="31" t="s">
        <v>596</v>
      </c>
      <c r="J250" s="31">
        <v>99</v>
      </c>
      <c r="K250" s="33" t="s">
        <v>937</v>
      </c>
      <c r="L250" s="33" t="s">
        <v>684</v>
      </c>
      <c r="M250" s="34" t="s">
        <v>951</v>
      </c>
      <c r="N250" s="34" t="s">
        <v>1711</v>
      </c>
      <c r="O250" s="35">
        <v>1</v>
      </c>
      <c r="P250" s="35"/>
      <c r="Q250" s="32"/>
      <c r="S250" s="1">
        <f t="shared" si="69"/>
        <v>0</v>
      </c>
      <c r="T250" s="1">
        <f t="shared" si="70"/>
        <v>0</v>
      </c>
      <c r="U250" s="1">
        <f t="shared" si="71"/>
        <v>0</v>
      </c>
      <c r="V250" s="1">
        <f t="shared" si="72"/>
        <v>0</v>
      </c>
      <c r="W250" s="1">
        <f t="shared" si="73"/>
        <v>0</v>
      </c>
      <c r="X250" s="1">
        <f t="shared" si="74"/>
        <v>0</v>
      </c>
      <c r="Y250" s="1">
        <f t="shared" si="75"/>
        <v>0</v>
      </c>
      <c r="Z250" s="1">
        <f t="shared" si="76"/>
        <v>0</v>
      </c>
      <c r="AA250" s="1">
        <f t="shared" si="77"/>
        <v>0</v>
      </c>
      <c r="AB250" s="1">
        <f t="shared" si="78"/>
        <v>0</v>
      </c>
      <c r="AD250" s="1">
        <f t="shared" si="79"/>
        <v>0</v>
      </c>
      <c r="AE250" s="1">
        <f t="shared" si="80"/>
        <v>1</v>
      </c>
      <c r="AF250" s="1">
        <f t="shared" si="81"/>
        <v>0</v>
      </c>
      <c r="AG250" s="1">
        <f t="shared" si="82"/>
        <v>1</v>
      </c>
      <c r="AH250" s="1">
        <f t="shared" si="83"/>
        <v>0</v>
      </c>
      <c r="AI250" s="1">
        <f t="shared" si="84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1140</v>
      </c>
      <c r="E251" s="32" t="s">
        <v>164</v>
      </c>
      <c r="F251" s="32" t="s">
        <v>1142</v>
      </c>
      <c r="G251" s="32" t="s">
        <v>219</v>
      </c>
      <c r="H251" s="32" t="s">
        <v>352</v>
      </c>
      <c r="I251" s="31" t="s">
        <v>1141</v>
      </c>
      <c r="J251" s="31">
        <v>8</v>
      </c>
      <c r="K251" s="33" t="s">
        <v>693</v>
      </c>
      <c r="L251" s="33" t="s">
        <v>1679</v>
      </c>
      <c r="M251" s="34" t="s">
        <v>1374</v>
      </c>
      <c r="N251" s="34" t="s">
        <v>1710</v>
      </c>
      <c r="O251" s="35">
        <v>1</v>
      </c>
      <c r="P251" s="35"/>
      <c r="Q251" s="32"/>
      <c r="S251" s="1">
        <f t="shared" si="69"/>
        <v>0</v>
      </c>
      <c r="T251" s="1">
        <f t="shared" si="70"/>
        <v>0</v>
      </c>
      <c r="U251" s="1">
        <f t="shared" si="71"/>
        <v>0</v>
      </c>
      <c r="V251" s="1">
        <f t="shared" si="72"/>
        <v>0</v>
      </c>
      <c r="W251" s="1">
        <f t="shared" si="73"/>
        <v>0</v>
      </c>
      <c r="X251" s="1">
        <f t="shared" si="74"/>
        <v>0</v>
      </c>
      <c r="Y251" s="1">
        <f t="shared" si="75"/>
        <v>0</v>
      </c>
      <c r="Z251" s="1">
        <f t="shared" si="76"/>
        <v>1</v>
      </c>
      <c r="AA251" s="1">
        <f t="shared" si="77"/>
        <v>0</v>
      </c>
      <c r="AB251" s="1">
        <f t="shared" si="78"/>
        <v>0</v>
      </c>
      <c r="AD251" s="1">
        <f t="shared" si="79"/>
        <v>0</v>
      </c>
      <c r="AE251" s="1">
        <f t="shared" si="80"/>
        <v>1</v>
      </c>
      <c r="AF251" s="1">
        <f t="shared" si="81"/>
        <v>0</v>
      </c>
      <c r="AG251" s="1">
        <f t="shared" si="82"/>
        <v>1</v>
      </c>
      <c r="AH251" s="1">
        <f t="shared" si="83"/>
        <v>0</v>
      </c>
      <c r="AI251" s="1">
        <f t="shared" si="84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558</v>
      </c>
      <c r="E252" s="32" t="s">
        <v>166</v>
      </c>
      <c r="F252" s="32" t="s">
        <v>653</v>
      </c>
      <c r="G252" s="32" t="s">
        <v>201</v>
      </c>
      <c r="H252" s="32" t="s">
        <v>352</v>
      </c>
      <c r="I252" s="31" t="s">
        <v>575</v>
      </c>
      <c r="J252" s="31">
        <v>10</v>
      </c>
      <c r="K252" s="33" t="s">
        <v>943</v>
      </c>
      <c r="L252" s="33" t="s">
        <v>684</v>
      </c>
      <c r="M252" s="34" t="s">
        <v>696</v>
      </c>
      <c r="N252" s="34" t="s">
        <v>1710</v>
      </c>
      <c r="O252" s="35">
        <v>1</v>
      </c>
      <c r="P252" s="35"/>
      <c r="Q252" s="36"/>
      <c r="S252" s="1">
        <f t="shared" si="69"/>
        <v>0</v>
      </c>
      <c r="T252" s="1">
        <f t="shared" si="70"/>
        <v>0</v>
      </c>
      <c r="U252" s="1">
        <f t="shared" si="71"/>
        <v>0</v>
      </c>
      <c r="V252" s="1">
        <f t="shared" si="72"/>
        <v>0</v>
      </c>
      <c r="W252" s="1">
        <f t="shared" si="73"/>
        <v>0</v>
      </c>
      <c r="X252" s="1">
        <f t="shared" si="74"/>
        <v>0</v>
      </c>
      <c r="Y252" s="1">
        <f t="shared" si="75"/>
        <v>0</v>
      </c>
      <c r="Z252" s="1">
        <f t="shared" si="76"/>
        <v>0</v>
      </c>
      <c r="AA252" s="1">
        <f t="shared" si="77"/>
        <v>0</v>
      </c>
      <c r="AB252" s="1">
        <f t="shared" si="78"/>
        <v>1</v>
      </c>
      <c r="AD252" s="1">
        <f t="shared" si="79"/>
        <v>0</v>
      </c>
      <c r="AE252" s="1">
        <f t="shared" si="80"/>
        <v>1</v>
      </c>
      <c r="AF252" s="1">
        <f t="shared" si="81"/>
        <v>0</v>
      </c>
      <c r="AG252" s="1">
        <f t="shared" si="82"/>
        <v>1</v>
      </c>
      <c r="AH252" s="1">
        <f t="shared" si="83"/>
        <v>0</v>
      </c>
      <c r="AI252" s="1">
        <f t="shared" si="84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880</v>
      </c>
      <c r="E253" s="32" t="s">
        <v>166</v>
      </c>
      <c r="F253" s="32" t="s">
        <v>920</v>
      </c>
      <c r="G253" s="32" t="s">
        <v>921</v>
      </c>
      <c r="H253" s="32" t="s">
        <v>352</v>
      </c>
      <c r="I253" s="31" t="s">
        <v>934</v>
      </c>
      <c r="J253" s="31">
        <v>99</v>
      </c>
      <c r="K253" s="33" t="s">
        <v>693</v>
      </c>
      <c r="L253" s="33" t="s">
        <v>680</v>
      </c>
      <c r="M253" s="34" t="s">
        <v>1375</v>
      </c>
      <c r="N253" s="34" t="s">
        <v>1723</v>
      </c>
      <c r="O253" s="35">
        <v>1</v>
      </c>
      <c r="P253" s="35"/>
      <c r="Q253" s="32"/>
      <c r="S253" s="1">
        <f t="shared" si="69"/>
        <v>0</v>
      </c>
      <c r="T253" s="1">
        <f t="shared" si="70"/>
        <v>0</v>
      </c>
      <c r="U253" s="1">
        <f t="shared" si="71"/>
        <v>0</v>
      </c>
      <c r="V253" s="1">
        <f t="shared" si="72"/>
        <v>0</v>
      </c>
      <c r="W253" s="1">
        <f t="shared" si="73"/>
        <v>0</v>
      </c>
      <c r="X253" s="1">
        <f t="shared" si="74"/>
        <v>0</v>
      </c>
      <c r="Y253" s="1">
        <f t="shared" si="75"/>
        <v>0</v>
      </c>
      <c r="Z253" s="1">
        <f t="shared" si="76"/>
        <v>0</v>
      </c>
      <c r="AA253" s="1">
        <f t="shared" si="77"/>
        <v>0</v>
      </c>
      <c r="AB253" s="1">
        <f t="shared" si="78"/>
        <v>0</v>
      </c>
      <c r="AD253" s="1">
        <f t="shared" si="79"/>
        <v>0</v>
      </c>
      <c r="AE253" s="1">
        <f t="shared" si="80"/>
        <v>1</v>
      </c>
      <c r="AF253" s="1">
        <f t="shared" si="81"/>
        <v>0</v>
      </c>
      <c r="AG253" s="1">
        <f t="shared" si="82"/>
        <v>1</v>
      </c>
      <c r="AH253" s="1">
        <f t="shared" si="83"/>
        <v>0</v>
      </c>
      <c r="AI253" s="1">
        <f t="shared" si="84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99</v>
      </c>
      <c r="E254" s="32" t="s">
        <v>166</v>
      </c>
      <c r="F254" s="32" t="s">
        <v>654</v>
      </c>
      <c r="G254" s="32" t="s">
        <v>656</v>
      </c>
      <c r="H254" s="32" t="s">
        <v>352</v>
      </c>
      <c r="I254" s="31" t="s">
        <v>444</v>
      </c>
      <c r="J254" s="31">
        <v>99</v>
      </c>
      <c r="K254" s="33" t="s">
        <v>713</v>
      </c>
      <c r="L254" s="33" t="s">
        <v>687</v>
      </c>
      <c r="M254" s="34" t="s">
        <v>698</v>
      </c>
      <c r="N254" s="34" t="s">
        <v>1711</v>
      </c>
      <c r="O254" s="35">
        <v>1</v>
      </c>
      <c r="P254" s="35"/>
      <c r="Q254" s="32"/>
      <c r="S254" s="1">
        <f t="shared" si="69"/>
        <v>0</v>
      </c>
      <c r="T254" s="1">
        <f t="shared" si="70"/>
        <v>0</v>
      </c>
      <c r="U254" s="1">
        <f t="shared" si="71"/>
        <v>0</v>
      </c>
      <c r="V254" s="1">
        <f t="shared" si="72"/>
        <v>0</v>
      </c>
      <c r="W254" s="1">
        <f t="shared" si="73"/>
        <v>0</v>
      </c>
      <c r="X254" s="1">
        <f t="shared" si="74"/>
        <v>0</v>
      </c>
      <c r="Y254" s="1">
        <f t="shared" si="75"/>
        <v>0</v>
      </c>
      <c r="Z254" s="1">
        <f t="shared" si="76"/>
        <v>0</v>
      </c>
      <c r="AA254" s="1">
        <f t="shared" si="77"/>
        <v>0</v>
      </c>
      <c r="AB254" s="1">
        <f t="shared" si="78"/>
        <v>0</v>
      </c>
      <c r="AD254" s="1">
        <f t="shared" si="79"/>
        <v>0</v>
      </c>
      <c r="AE254" s="1">
        <f t="shared" si="80"/>
        <v>1</v>
      </c>
      <c r="AF254" s="1">
        <f t="shared" si="81"/>
        <v>0</v>
      </c>
      <c r="AG254" s="1">
        <f t="shared" si="82"/>
        <v>1</v>
      </c>
      <c r="AH254" s="1">
        <f t="shared" si="83"/>
        <v>0</v>
      </c>
      <c r="AI254" s="1">
        <f t="shared" si="84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7</v>
      </c>
      <c r="D255" s="32" t="s">
        <v>86</v>
      </c>
      <c r="E255" s="32" t="s">
        <v>29</v>
      </c>
      <c r="F255" s="32" t="s">
        <v>655</v>
      </c>
      <c r="G255" s="32" t="s">
        <v>656</v>
      </c>
      <c r="H255" s="32" t="s">
        <v>352</v>
      </c>
      <c r="I255" s="31" t="s">
        <v>623</v>
      </c>
      <c r="J255" s="31">
        <v>99</v>
      </c>
      <c r="K255" s="33" t="s">
        <v>935</v>
      </c>
      <c r="L255" s="33" t="s">
        <v>684</v>
      </c>
      <c r="M255" s="34" t="s">
        <v>1376</v>
      </c>
      <c r="N255" s="34" t="s">
        <v>1693</v>
      </c>
      <c r="O255" s="35">
        <v>1</v>
      </c>
      <c r="P255" s="35">
        <v>1</v>
      </c>
      <c r="Q255" s="32"/>
      <c r="S255" s="1">
        <f t="shared" si="69"/>
        <v>0</v>
      </c>
      <c r="T255" s="1">
        <f t="shared" si="70"/>
        <v>0</v>
      </c>
      <c r="U255" s="1">
        <f t="shared" si="71"/>
        <v>0</v>
      </c>
      <c r="V255" s="1">
        <f t="shared" si="72"/>
        <v>0</v>
      </c>
      <c r="W255" s="1">
        <f t="shared" si="73"/>
        <v>0</v>
      </c>
      <c r="X255" s="1">
        <f t="shared" si="74"/>
        <v>0</v>
      </c>
      <c r="Y255" s="1">
        <f t="shared" si="75"/>
        <v>0</v>
      </c>
      <c r="Z255" s="1">
        <f t="shared" si="76"/>
        <v>0</v>
      </c>
      <c r="AA255" s="1">
        <f t="shared" si="77"/>
        <v>0</v>
      </c>
      <c r="AB255" s="1">
        <f t="shared" si="78"/>
        <v>0</v>
      </c>
      <c r="AD255" s="1">
        <f t="shared" si="79"/>
        <v>1</v>
      </c>
      <c r="AE255" s="1">
        <f t="shared" si="80"/>
        <v>0</v>
      </c>
      <c r="AF255" s="1">
        <f t="shared" si="81"/>
        <v>1</v>
      </c>
      <c r="AG255" s="1">
        <f t="shared" si="82"/>
        <v>0</v>
      </c>
      <c r="AH255" s="1">
        <f t="shared" si="83"/>
        <v>1</v>
      </c>
      <c r="AI255" s="1">
        <f t="shared" si="84"/>
        <v>0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642</v>
      </c>
      <c r="E256" s="32" t="s">
        <v>29</v>
      </c>
      <c r="F256" s="32" t="s">
        <v>618</v>
      </c>
      <c r="G256" s="32" t="s">
        <v>231</v>
      </c>
      <c r="H256" s="32" t="s">
        <v>352</v>
      </c>
      <c r="I256" s="31" t="s">
        <v>619</v>
      </c>
      <c r="J256" s="31">
        <v>99</v>
      </c>
      <c r="K256" s="33" t="s">
        <v>704</v>
      </c>
      <c r="L256" s="33" t="s">
        <v>687</v>
      </c>
      <c r="M256" s="34" t="s">
        <v>954</v>
      </c>
      <c r="N256" s="34" t="s">
        <v>1810</v>
      </c>
      <c r="O256" s="35">
        <v>1</v>
      </c>
      <c r="P256" s="35"/>
      <c r="Q256" s="32"/>
      <c r="S256" s="1">
        <f t="shared" si="69"/>
        <v>0</v>
      </c>
      <c r="T256" s="1">
        <f t="shared" si="70"/>
        <v>0</v>
      </c>
      <c r="U256" s="1">
        <f t="shared" si="71"/>
        <v>0</v>
      </c>
      <c r="V256" s="1">
        <f t="shared" si="72"/>
        <v>0</v>
      </c>
      <c r="W256" s="1">
        <f t="shared" si="73"/>
        <v>0</v>
      </c>
      <c r="X256" s="1">
        <f t="shared" si="74"/>
        <v>0</v>
      </c>
      <c r="Y256" s="1">
        <f t="shared" si="75"/>
        <v>0</v>
      </c>
      <c r="Z256" s="1">
        <f t="shared" si="76"/>
        <v>0</v>
      </c>
      <c r="AA256" s="1">
        <f t="shared" si="77"/>
        <v>0</v>
      </c>
      <c r="AB256" s="1">
        <f t="shared" si="78"/>
        <v>0</v>
      </c>
      <c r="AD256" s="1">
        <f t="shared" si="79"/>
        <v>0</v>
      </c>
      <c r="AE256" s="1">
        <f t="shared" si="80"/>
        <v>1</v>
      </c>
      <c r="AF256" s="1">
        <f t="shared" si="81"/>
        <v>0</v>
      </c>
      <c r="AG256" s="1">
        <f t="shared" si="82"/>
        <v>1</v>
      </c>
      <c r="AH256" s="1">
        <f t="shared" si="83"/>
        <v>0</v>
      </c>
      <c r="AI256" s="1">
        <f t="shared" si="84"/>
        <v>1</v>
      </c>
    </row>
    <row r="257" spans="1:35" s="1" customFormat="1" ht="14.25" customHeight="1" x14ac:dyDescent="0.25">
      <c r="A257" s="15">
        <v>0</v>
      </c>
      <c r="B257" s="15">
        <v>1</v>
      </c>
      <c r="C257" s="15">
        <v>7</v>
      </c>
      <c r="D257" s="16" t="s">
        <v>964</v>
      </c>
      <c r="E257" s="16" t="s">
        <v>29</v>
      </c>
      <c r="F257" s="16" t="s">
        <v>965</v>
      </c>
      <c r="G257" s="16" t="s">
        <v>966</v>
      </c>
      <c r="H257" s="16" t="s">
        <v>352</v>
      </c>
      <c r="I257" s="15" t="s">
        <v>963</v>
      </c>
      <c r="J257" s="15">
        <v>99</v>
      </c>
      <c r="K257" s="10" t="s">
        <v>694</v>
      </c>
      <c r="L257" s="10">
        <v>20</v>
      </c>
      <c r="M257" s="19" t="s">
        <v>954</v>
      </c>
      <c r="N257" s="19"/>
      <c r="Q257" s="16"/>
      <c r="S257" s="1">
        <f t="shared" si="69"/>
        <v>0</v>
      </c>
      <c r="T257" s="1">
        <f t="shared" si="70"/>
        <v>0</v>
      </c>
      <c r="U257" s="1">
        <f t="shared" si="71"/>
        <v>0</v>
      </c>
      <c r="V257" s="1">
        <f t="shared" si="72"/>
        <v>0</v>
      </c>
      <c r="W257" s="1">
        <f t="shared" si="73"/>
        <v>0</v>
      </c>
      <c r="X257" s="1">
        <f t="shared" si="74"/>
        <v>0</v>
      </c>
      <c r="Y257" s="1">
        <f t="shared" si="75"/>
        <v>0</v>
      </c>
      <c r="Z257" s="1">
        <f t="shared" si="76"/>
        <v>0</v>
      </c>
      <c r="AA257" s="1">
        <f t="shared" si="77"/>
        <v>0</v>
      </c>
      <c r="AB257" s="1">
        <f t="shared" si="78"/>
        <v>0</v>
      </c>
      <c r="AD257" s="1">
        <f t="shared" si="79"/>
        <v>0</v>
      </c>
      <c r="AE257" s="1">
        <f t="shared" si="80"/>
        <v>0</v>
      </c>
      <c r="AF257" s="1">
        <f t="shared" si="81"/>
        <v>0</v>
      </c>
      <c r="AG257" s="1">
        <f t="shared" si="82"/>
        <v>0</v>
      </c>
      <c r="AH257" s="1">
        <f t="shared" si="83"/>
        <v>0</v>
      </c>
      <c r="AI257" s="1">
        <f t="shared" si="84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583</v>
      </c>
      <c r="E258" s="32" t="s">
        <v>29</v>
      </c>
      <c r="F258" s="32" t="s">
        <v>584</v>
      </c>
      <c r="G258" s="32" t="s">
        <v>1054</v>
      </c>
      <c r="H258" s="32" t="s">
        <v>352</v>
      </c>
      <c r="I258" s="31" t="s">
        <v>585</v>
      </c>
      <c r="J258" s="31">
        <v>99</v>
      </c>
      <c r="K258" s="33" t="s">
        <v>694</v>
      </c>
      <c r="L258" s="33">
        <v>35</v>
      </c>
      <c r="M258" s="34" t="s">
        <v>1376</v>
      </c>
      <c r="N258" s="34" t="s">
        <v>1693</v>
      </c>
      <c r="O258" s="35">
        <v>1</v>
      </c>
      <c r="P258" s="35">
        <v>1</v>
      </c>
      <c r="Q258" s="32"/>
      <c r="S258" s="1">
        <f t="shared" si="69"/>
        <v>0</v>
      </c>
      <c r="T258" s="1">
        <f t="shared" si="70"/>
        <v>0</v>
      </c>
      <c r="U258" s="1">
        <f t="shared" si="71"/>
        <v>0</v>
      </c>
      <c r="V258" s="1">
        <f t="shared" si="72"/>
        <v>0</v>
      </c>
      <c r="W258" s="1">
        <f t="shared" si="73"/>
        <v>0</v>
      </c>
      <c r="X258" s="1">
        <f t="shared" si="74"/>
        <v>0</v>
      </c>
      <c r="Y258" s="1">
        <f t="shared" si="75"/>
        <v>0</v>
      </c>
      <c r="Z258" s="1">
        <f t="shared" si="76"/>
        <v>0</v>
      </c>
      <c r="AA258" s="1">
        <f t="shared" si="77"/>
        <v>0</v>
      </c>
      <c r="AB258" s="1">
        <f t="shared" si="78"/>
        <v>0</v>
      </c>
      <c r="AD258" s="1">
        <f t="shared" si="79"/>
        <v>1</v>
      </c>
      <c r="AE258" s="1">
        <f t="shared" si="80"/>
        <v>0</v>
      </c>
      <c r="AF258" s="1">
        <f t="shared" si="81"/>
        <v>1</v>
      </c>
      <c r="AG258" s="1">
        <f t="shared" si="82"/>
        <v>0</v>
      </c>
      <c r="AH258" s="1">
        <f t="shared" si="83"/>
        <v>1</v>
      </c>
      <c r="AI258" s="1">
        <f t="shared" si="84"/>
        <v>0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1594</v>
      </c>
      <c r="E259" s="32" t="s">
        <v>29</v>
      </c>
      <c r="F259" s="32" t="s">
        <v>1648</v>
      </c>
      <c r="G259" s="32" t="s">
        <v>310</v>
      </c>
      <c r="H259" s="32" t="s">
        <v>352</v>
      </c>
      <c r="I259" s="31" t="s">
        <v>1595</v>
      </c>
      <c r="J259" s="31"/>
      <c r="K259" s="33" t="s">
        <v>704</v>
      </c>
      <c r="L259" s="33">
        <v>45</v>
      </c>
      <c r="M259" s="34" t="s">
        <v>1761</v>
      </c>
      <c r="N259" s="34" t="s">
        <v>1699</v>
      </c>
      <c r="O259" s="35">
        <v>1</v>
      </c>
      <c r="P259" s="35">
        <v>1</v>
      </c>
      <c r="Q259" s="32"/>
      <c r="S259" s="1">
        <f t="shared" si="69"/>
        <v>0</v>
      </c>
      <c r="T259" s="1">
        <f t="shared" si="70"/>
        <v>0</v>
      </c>
      <c r="U259" s="1">
        <f t="shared" si="71"/>
        <v>0</v>
      </c>
      <c r="V259" s="1">
        <f t="shared" si="72"/>
        <v>0</v>
      </c>
      <c r="W259" s="1">
        <f t="shared" si="73"/>
        <v>0</v>
      </c>
      <c r="X259" s="1">
        <f t="shared" si="74"/>
        <v>0</v>
      </c>
      <c r="Y259" s="1">
        <f t="shared" si="75"/>
        <v>0</v>
      </c>
      <c r="Z259" s="1">
        <f t="shared" si="76"/>
        <v>0</v>
      </c>
      <c r="AA259" s="1">
        <f t="shared" si="77"/>
        <v>0</v>
      </c>
      <c r="AB259" s="1">
        <f t="shared" si="78"/>
        <v>0</v>
      </c>
      <c r="AD259" s="1">
        <f t="shared" si="79"/>
        <v>1</v>
      </c>
      <c r="AE259" s="1">
        <f t="shared" si="80"/>
        <v>0</v>
      </c>
      <c r="AF259" s="1">
        <f t="shared" si="81"/>
        <v>1</v>
      </c>
      <c r="AG259" s="1">
        <f t="shared" si="82"/>
        <v>0</v>
      </c>
      <c r="AH259" s="1">
        <f t="shared" si="83"/>
        <v>1</v>
      </c>
      <c r="AI259" s="1">
        <f t="shared" si="84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844</v>
      </c>
      <c r="E260" s="32" t="s">
        <v>29</v>
      </c>
      <c r="F260" s="32" t="s">
        <v>845</v>
      </c>
      <c r="G260" s="32" t="s">
        <v>201</v>
      </c>
      <c r="H260" s="32" t="s">
        <v>352</v>
      </c>
      <c r="I260" s="31" t="s">
        <v>846</v>
      </c>
      <c r="J260" s="31">
        <v>10</v>
      </c>
      <c r="K260" s="33" t="s">
        <v>704</v>
      </c>
      <c r="L260" s="33" t="s">
        <v>684</v>
      </c>
      <c r="M260" s="34" t="s">
        <v>1376</v>
      </c>
      <c r="N260" s="34" t="s">
        <v>1717</v>
      </c>
      <c r="O260" s="35">
        <v>1</v>
      </c>
      <c r="P260" s="35"/>
      <c r="Q260" s="32"/>
      <c r="S260" s="1">
        <f t="shared" si="69"/>
        <v>0</v>
      </c>
      <c r="T260" s="1">
        <f t="shared" si="70"/>
        <v>0</v>
      </c>
      <c r="U260" s="1">
        <f t="shared" si="71"/>
        <v>0</v>
      </c>
      <c r="V260" s="1">
        <f t="shared" si="72"/>
        <v>0</v>
      </c>
      <c r="W260" s="1">
        <f t="shared" si="73"/>
        <v>0</v>
      </c>
      <c r="X260" s="1">
        <f t="shared" si="74"/>
        <v>0</v>
      </c>
      <c r="Y260" s="1">
        <f t="shared" si="75"/>
        <v>0</v>
      </c>
      <c r="Z260" s="1">
        <f t="shared" si="76"/>
        <v>0</v>
      </c>
      <c r="AA260" s="1">
        <f t="shared" si="77"/>
        <v>0</v>
      </c>
      <c r="AB260" s="1">
        <f t="shared" si="78"/>
        <v>1</v>
      </c>
      <c r="AD260" s="1">
        <f t="shared" si="79"/>
        <v>0</v>
      </c>
      <c r="AE260" s="1">
        <f t="shared" si="80"/>
        <v>1</v>
      </c>
      <c r="AF260" s="1">
        <f t="shared" si="81"/>
        <v>0</v>
      </c>
      <c r="AG260" s="1">
        <f t="shared" si="82"/>
        <v>1</v>
      </c>
      <c r="AH260" s="1">
        <f t="shared" si="83"/>
        <v>0</v>
      </c>
      <c r="AI260" s="1">
        <f t="shared" si="84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40</v>
      </c>
      <c r="E261" s="32" t="s">
        <v>29</v>
      </c>
      <c r="F261" s="32" t="s">
        <v>279</v>
      </c>
      <c r="G261" s="32" t="s">
        <v>229</v>
      </c>
      <c r="H261" s="32" t="s">
        <v>352</v>
      </c>
      <c r="I261" s="31" t="s">
        <v>433</v>
      </c>
      <c r="J261" s="31">
        <v>7</v>
      </c>
      <c r="K261" s="33" t="s">
        <v>704</v>
      </c>
      <c r="L261" s="33" t="s">
        <v>687</v>
      </c>
      <c r="M261" s="34" t="s">
        <v>954</v>
      </c>
      <c r="N261" s="34" t="s">
        <v>1693</v>
      </c>
      <c r="O261" s="35">
        <v>1</v>
      </c>
      <c r="P261" s="35">
        <v>1</v>
      </c>
      <c r="Q261" s="32"/>
      <c r="S261" s="1">
        <f t="shared" si="69"/>
        <v>0</v>
      </c>
      <c r="T261" s="1">
        <f t="shared" si="70"/>
        <v>0</v>
      </c>
      <c r="U261" s="1">
        <f t="shared" si="71"/>
        <v>0</v>
      </c>
      <c r="V261" s="1">
        <f t="shared" si="72"/>
        <v>0</v>
      </c>
      <c r="W261" s="1">
        <f t="shared" si="73"/>
        <v>0</v>
      </c>
      <c r="X261" s="1">
        <f t="shared" si="74"/>
        <v>0</v>
      </c>
      <c r="Y261" s="1">
        <f t="shared" si="75"/>
        <v>1</v>
      </c>
      <c r="Z261" s="1">
        <f t="shared" si="76"/>
        <v>0</v>
      </c>
      <c r="AA261" s="1">
        <f t="shared" si="77"/>
        <v>0</v>
      </c>
      <c r="AB261" s="1">
        <f t="shared" si="78"/>
        <v>0</v>
      </c>
      <c r="AD261" s="1">
        <f t="shared" si="79"/>
        <v>1</v>
      </c>
      <c r="AE261" s="1">
        <f t="shared" si="80"/>
        <v>0</v>
      </c>
      <c r="AF261" s="1">
        <f t="shared" si="81"/>
        <v>1</v>
      </c>
      <c r="AG261" s="1">
        <f t="shared" si="82"/>
        <v>0</v>
      </c>
      <c r="AH261" s="1">
        <f t="shared" si="83"/>
        <v>1</v>
      </c>
      <c r="AI261" s="1">
        <f t="shared" si="84"/>
        <v>0</v>
      </c>
    </row>
    <row r="262" spans="1:35" s="1" customFormat="1" ht="14.25" customHeight="1" x14ac:dyDescent="0.25">
      <c r="A262" s="31">
        <v>1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1568</v>
      </c>
      <c r="G262" s="32" t="s">
        <v>39</v>
      </c>
      <c r="H262" s="32" t="s">
        <v>352</v>
      </c>
      <c r="I262" s="31" t="s">
        <v>1569</v>
      </c>
      <c r="J262" s="31">
        <v>99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69"/>
        <v>0</v>
      </c>
      <c r="T262" s="1">
        <f t="shared" si="70"/>
        <v>0</v>
      </c>
      <c r="U262" s="1">
        <f t="shared" si="71"/>
        <v>0</v>
      </c>
      <c r="V262" s="1">
        <f t="shared" si="72"/>
        <v>0</v>
      </c>
      <c r="W262" s="1">
        <f t="shared" si="73"/>
        <v>0</v>
      </c>
      <c r="X262" s="1">
        <f t="shared" si="74"/>
        <v>0</v>
      </c>
      <c r="Y262" s="1">
        <f t="shared" si="75"/>
        <v>0</v>
      </c>
      <c r="Z262" s="1">
        <f t="shared" si="76"/>
        <v>0</v>
      </c>
      <c r="AA262" s="1">
        <f t="shared" si="77"/>
        <v>0</v>
      </c>
      <c r="AB262" s="1">
        <f t="shared" si="78"/>
        <v>0</v>
      </c>
      <c r="AD262" s="1">
        <f t="shared" si="79"/>
        <v>1</v>
      </c>
      <c r="AE262" s="1">
        <f t="shared" si="80"/>
        <v>0</v>
      </c>
      <c r="AF262" s="1">
        <f t="shared" si="81"/>
        <v>0</v>
      </c>
      <c r="AG262" s="1">
        <f t="shared" si="82"/>
        <v>0</v>
      </c>
      <c r="AH262" s="1">
        <f t="shared" si="83"/>
        <v>0</v>
      </c>
      <c r="AI262" s="1">
        <f t="shared" si="84"/>
        <v>0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1453</v>
      </c>
      <c r="E263" s="32" t="s">
        <v>29</v>
      </c>
      <c r="F263" s="32" t="s">
        <v>985</v>
      </c>
      <c r="G263" s="32" t="s">
        <v>1083</v>
      </c>
      <c r="H263" s="32" t="s">
        <v>352</v>
      </c>
      <c r="I263" s="31" t="s">
        <v>1091</v>
      </c>
      <c r="J263" s="31">
        <v>10</v>
      </c>
      <c r="K263" s="33" t="s">
        <v>704</v>
      </c>
      <c r="L263" s="33" t="s">
        <v>685</v>
      </c>
      <c r="M263" s="34" t="s">
        <v>954</v>
      </c>
      <c r="N263" s="34" t="s">
        <v>1706</v>
      </c>
      <c r="O263" s="35">
        <v>1</v>
      </c>
      <c r="P263" s="35"/>
      <c r="Q263" s="32"/>
      <c r="S263" s="1">
        <f t="shared" si="69"/>
        <v>0</v>
      </c>
      <c r="T263" s="1">
        <f t="shared" si="70"/>
        <v>0</v>
      </c>
      <c r="U263" s="1">
        <f t="shared" si="71"/>
        <v>0</v>
      </c>
      <c r="V263" s="1">
        <f t="shared" si="72"/>
        <v>0</v>
      </c>
      <c r="W263" s="1">
        <f t="shared" si="73"/>
        <v>0</v>
      </c>
      <c r="X263" s="1">
        <f t="shared" si="74"/>
        <v>0</v>
      </c>
      <c r="Y263" s="1">
        <f t="shared" si="75"/>
        <v>0</v>
      </c>
      <c r="Z263" s="1">
        <f t="shared" si="76"/>
        <v>0</v>
      </c>
      <c r="AA263" s="1">
        <f t="shared" si="77"/>
        <v>0</v>
      </c>
      <c r="AB263" s="1">
        <f t="shared" si="78"/>
        <v>1</v>
      </c>
      <c r="AD263" s="1">
        <f t="shared" si="79"/>
        <v>0</v>
      </c>
      <c r="AE263" s="1">
        <f t="shared" si="80"/>
        <v>1</v>
      </c>
      <c r="AF263" s="1">
        <f t="shared" si="81"/>
        <v>0</v>
      </c>
      <c r="AG263" s="1">
        <f t="shared" si="82"/>
        <v>1</v>
      </c>
      <c r="AH263" s="1">
        <f t="shared" si="83"/>
        <v>0</v>
      </c>
      <c r="AI263" s="1">
        <f t="shared" si="84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1454</v>
      </c>
      <c r="E264" s="32" t="s">
        <v>29</v>
      </c>
      <c r="F264" s="36" t="s">
        <v>983</v>
      </c>
      <c r="G264" s="36" t="s">
        <v>239</v>
      </c>
      <c r="H264" s="36" t="s">
        <v>352</v>
      </c>
      <c r="I264" s="37" t="s">
        <v>984</v>
      </c>
      <c r="J264" s="31">
        <v>1</v>
      </c>
      <c r="K264" s="33" t="s">
        <v>942</v>
      </c>
      <c r="L264" s="33" t="s">
        <v>685</v>
      </c>
      <c r="M264" s="34" t="s">
        <v>954</v>
      </c>
      <c r="N264" s="34" t="s">
        <v>1762</v>
      </c>
      <c r="O264" s="35">
        <v>1</v>
      </c>
      <c r="P264" s="35"/>
      <c r="Q264" s="36"/>
      <c r="S264" s="1">
        <f t="shared" si="69"/>
        <v>1</v>
      </c>
      <c r="T264" s="1">
        <f t="shared" si="70"/>
        <v>0</v>
      </c>
      <c r="U264" s="1">
        <f t="shared" si="71"/>
        <v>0</v>
      </c>
      <c r="V264" s="1">
        <f t="shared" si="72"/>
        <v>0</v>
      </c>
      <c r="W264" s="1">
        <f t="shared" si="73"/>
        <v>0</v>
      </c>
      <c r="X264" s="1">
        <f t="shared" si="74"/>
        <v>0</v>
      </c>
      <c r="Y264" s="1">
        <f t="shared" si="75"/>
        <v>0</v>
      </c>
      <c r="Z264" s="1">
        <f t="shared" si="76"/>
        <v>0</v>
      </c>
      <c r="AA264" s="1">
        <f t="shared" si="77"/>
        <v>0</v>
      </c>
      <c r="AB264" s="1">
        <f t="shared" si="78"/>
        <v>0</v>
      </c>
      <c r="AD264" s="1">
        <f t="shared" si="79"/>
        <v>0</v>
      </c>
      <c r="AE264" s="1">
        <f t="shared" si="80"/>
        <v>1</v>
      </c>
      <c r="AF264" s="1">
        <f t="shared" si="81"/>
        <v>0</v>
      </c>
      <c r="AG264" s="1">
        <f t="shared" si="82"/>
        <v>1</v>
      </c>
      <c r="AH264" s="1">
        <f t="shared" si="83"/>
        <v>0</v>
      </c>
      <c r="AI264" s="1">
        <f t="shared" si="84"/>
        <v>1</v>
      </c>
    </row>
    <row r="265" spans="1:35" s="1" customFormat="1" ht="14.25" customHeight="1" x14ac:dyDescent="0.25">
      <c r="A265" s="31">
        <v>1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2132</v>
      </c>
      <c r="G265" s="36" t="s">
        <v>219</v>
      </c>
      <c r="H265" s="36" t="s">
        <v>352</v>
      </c>
      <c r="I265" s="37" t="s">
        <v>2133</v>
      </c>
      <c r="J265" s="31">
        <v>8</v>
      </c>
      <c r="K265" s="33" t="s">
        <v>942</v>
      </c>
      <c r="L265" s="33" t="s">
        <v>685</v>
      </c>
      <c r="M265" s="34" t="s">
        <v>954</v>
      </c>
      <c r="N265" s="34" t="s">
        <v>1762</v>
      </c>
      <c r="O265" s="35">
        <v>1</v>
      </c>
      <c r="P265" s="35"/>
      <c r="Q265" s="36"/>
      <c r="S265" s="1">
        <f t="shared" si="69"/>
        <v>0</v>
      </c>
      <c r="T265" s="1">
        <f t="shared" si="70"/>
        <v>0</v>
      </c>
      <c r="U265" s="1">
        <f t="shared" si="71"/>
        <v>0</v>
      </c>
      <c r="V265" s="1">
        <f t="shared" si="72"/>
        <v>0</v>
      </c>
      <c r="W265" s="1">
        <f t="shared" si="73"/>
        <v>0</v>
      </c>
      <c r="X265" s="1">
        <f t="shared" si="74"/>
        <v>0</v>
      </c>
      <c r="Y265" s="1">
        <f t="shared" si="75"/>
        <v>0</v>
      </c>
      <c r="Z265" s="1">
        <f t="shared" si="76"/>
        <v>1</v>
      </c>
      <c r="AA265" s="1">
        <f t="shared" si="77"/>
        <v>0</v>
      </c>
      <c r="AB265" s="1">
        <f t="shared" si="78"/>
        <v>0</v>
      </c>
      <c r="AD265" s="1">
        <f t="shared" si="79"/>
        <v>0</v>
      </c>
      <c r="AE265" s="1">
        <f t="shared" si="80"/>
        <v>1</v>
      </c>
      <c r="AF265" s="1">
        <f t="shared" si="81"/>
        <v>0</v>
      </c>
      <c r="AG265" s="1">
        <f t="shared" si="82"/>
        <v>0</v>
      </c>
      <c r="AH265" s="1">
        <f t="shared" si="83"/>
        <v>0</v>
      </c>
      <c r="AI265" s="1">
        <f t="shared" si="84"/>
        <v>0</v>
      </c>
    </row>
    <row r="266" spans="1:35" s="1" customFormat="1" ht="14.25" customHeight="1" x14ac:dyDescent="0.25">
      <c r="A266" s="15">
        <v>0</v>
      </c>
      <c r="B266" s="15">
        <v>1</v>
      </c>
      <c r="C266" s="15">
        <v>7</v>
      </c>
      <c r="D266" s="20" t="s">
        <v>881</v>
      </c>
      <c r="E266" s="20" t="s">
        <v>29</v>
      </c>
      <c r="F266" s="20" t="s">
        <v>882</v>
      </c>
      <c r="G266" s="16" t="s">
        <v>39</v>
      </c>
      <c r="H266" s="20" t="s">
        <v>353</v>
      </c>
      <c r="I266" s="21" t="s">
        <v>883</v>
      </c>
      <c r="J266" s="15">
        <v>11</v>
      </c>
      <c r="K266" s="10" t="s">
        <v>694</v>
      </c>
      <c r="L266" s="10">
        <v>35</v>
      </c>
      <c r="M266" s="19" t="s">
        <v>1376</v>
      </c>
      <c r="N266" s="17"/>
      <c r="Q266" s="16" t="s">
        <v>1863</v>
      </c>
      <c r="S266" s="1">
        <f t="shared" si="69"/>
        <v>0</v>
      </c>
      <c r="T266" s="1">
        <f t="shared" si="70"/>
        <v>0</v>
      </c>
      <c r="U266" s="1">
        <f t="shared" si="71"/>
        <v>0</v>
      </c>
      <c r="V266" s="1">
        <f t="shared" si="72"/>
        <v>0</v>
      </c>
      <c r="W266" s="1">
        <f t="shared" si="73"/>
        <v>0</v>
      </c>
      <c r="X266" s="1">
        <f t="shared" si="74"/>
        <v>0</v>
      </c>
      <c r="Y266" s="1">
        <f t="shared" si="75"/>
        <v>0</v>
      </c>
      <c r="Z266" s="1">
        <f t="shared" si="76"/>
        <v>0</v>
      </c>
      <c r="AA266" s="1">
        <f t="shared" si="77"/>
        <v>0</v>
      </c>
      <c r="AB266" s="1">
        <f t="shared" si="78"/>
        <v>0</v>
      </c>
      <c r="AD266" s="1">
        <f t="shared" si="79"/>
        <v>0</v>
      </c>
      <c r="AE266" s="1">
        <f t="shared" si="80"/>
        <v>0</v>
      </c>
      <c r="AF266" s="1">
        <f t="shared" si="81"/>
        <v>0</v>
      </c>
      <c r="AG266" s="1">
        <f t="shared" si="82"/>
        <v>0</v>
      </c>
      <c r="AH266" s="1">
        <f t="shared" si="83"/>
        <v>0</v>
      </c>
      <c r="AI266" s="1">
        <f t="shared" si="84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1065</v>
      </c>
      <c r="E267" s="32" t="s">
        <v>29</v>
      </c>
      <c r="F267" s="36" t="s">
        <v>967</v>
      </c>
      <c r="G267" s="36" t="s">
        <v>202</v>
      </c>
      <c r="H267" s="36" t="s">
        <v>352</v>
      </c>
      <c r="I267" s="37" t="s">
        <v>968</v>
      </c>
      <c r="J267" s="31">
        <v>99</v>
      </c>
      <c r="K267" s="33" t="s">
        <v>704</v>
      </c>
      <c r="L267" s="33" t="s">
        <v>685</v>
      </c>
      <c r="M267" s="34" t="s">
        <v>1411</v>
      </c>
      <c r="N267" s="34" t="s">
        <v>1693</v>
      </c>
      <c r="O267" s="35">
        <v>1</v>
      </c>
      <c r="P267" s="35">
        <v>1</v>
      </c>
      <c r="Q267" s="36"/>
      <c r="S267" s="1">
        <f t="shared" si="69"/>
        <v>0</v>
      </c>
      <c r="T267" s="1">
        <f t="shared" si="70"/>
        <v>0</v>
      </c>
      <c r="U267" s="1">
        <f t="shared" si="71"/>
        <v>0</v>
      </c>
      <c r="V267" s="1">
        <f t="shared" si="72"/>
        <v>0</v>
      </c>
      <c r="W267" s="1">
        <f t="shared" si="73"/>
        <v>0</v>
      </c>
      <c r="X267" s="1">
        <f t="shared" si="74"/>
        <v>0</v>
      </c>
      <c r="Y267" s="1">
        <f t="shared" si="75"/>
        <v>0</v>
      </c>
      <c r="Z267" s="1">
        <f t="shared" si="76"/>
        <v>0</v>
      </c>
      <c r="AA267" s="1">
        <f t="shared" si="77"/>
        <v>0</v>
      </c>
      <c r="AB267" s="1">
        <f t="shared" si="78"/>
        <v>0</v>
      </c>
      <c r="AD267" s="1">
        <f t="shared" si="79"/>
        <v>1</v>
      </c>
      <c r="AE267" s="1">
        <f t="shared" si="80"/>
        <v>0</v>
      </c>
      <c r="AF267" s="1">
        <f t="shared" si="81"/>
        <v>1</v>
      </c>
      <c r="AG267" s="1">
        <f t="shared" si="82"/>
        <v>0</v>
      </c>
      <c r="AH267" s="1">
        <f t="shared" si="83"/>
        <v>1</v>
      </c>
      <c r="AI267" s="1">
        <f t="shared" si="84"/>
        <v>0</v>
      </c>
    </row>
    <row r="268" spans="1:35" s="1" customFormat="1" ht="14.25" customHeight="1" x14ac:dyDescent="0.25">
      <c r="A268" s="15">
        <v>0</v>
      </c>
      <c r="B268" s="15">
        <v>1</v>
      </c>
      <c r="C268" s="15">
        <v>7</v>
      </c>
      <c r="D268" s="16" t="s">
        <v>741</v>
      </c>
      <c r="E268" s="16" t="s">
        <v>29</v>
      </c>
      <c r="F268" s="16" t="s">
        <v>742</v>
      </c>
      <c r="G268" s="16" t="s">
        <v>743</v>
      </c>
      <c r="H268" s="16" t="s">
        <v>352</v>
      </c>
      <c r="I268" s="15" t="s">
        <v>744</v>
      </c>
      <c r="J268" s="15">
        <v>99</v>
      </c>
      <c r="K268" s="10" t="s">
        <v>694</v>
      </c>
      <c r="L268" s="10">
        <v>20</v>
      </c>
      <c r="M268" s="19" t="s">
        <v>1101</v>
      </c>
      <c r="N268" s="17"/>
      <c r="Q268" s="16"/>
      <c r="S268" s="1">
        <f t="shared" si="69"/>
        <v>0</v>
      </c>
      <c r="T268" s="1">
        <f t="shared" si="70"/>
        <v>0</v>
      </c>
      <c r="U268" s="1">
        <f t="shared" si="71"/>
        <v>0</v>
      </c>
      <c r="V268" s="1">
        <f t="shared" si="72"/>
        <v>0</v>
      </c>
      <c r="W268" s="1">
        <f t="shared" si="73"/>
        <v>0</v>
      </c>
      <c r="X268" s="1">
        <f t="shared" si="74"/>
        <v>0</v>
      </c>
      <c r="Y268" s="1">
        <f t="shared" si="75"/>
        <v>0</v>
      </c>
      <c r="Z268" s="1">
        <f t="shared" si="76"/>
        <v>0</v>
      </c>
      <c r="AA268" s="1">
        <f t="shared" si="77"/>
        <v>0</v>
      </c>
      <c r="AB268" s="1">
        <f t="shared" si="78"/>
        <v>0</v>
      </c>
      <c r="AD268" s="1">
        <f t="shared" si="79"/>
        <v>0</v>
      </c>
      <c r="AE268" s="1">
        <f t="shared" si="80"/>
        <v>0</v>
      </c>
      <c r="AF268" s="1">
        <f t="shared" si="81"/>
        <v>0</v>
      </c>
      <c r="AG268" s="1">
        <f t="shared" si="82"/>
        <v>0</v>
      </c>
      <c r="AH268" s="1">
        <f t="shared" si="83"/>
        <v>0</v>
      </c>
      <c r="AI268" s="1">
        <f t="shared" si="84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813</v>
      </c>
      <c r="E269" s="32" t="s">
        <v>29</v>
      </c>
      <c r="F269" s="36" t="s">
        <v>814</v>
      </c>
      <c r="G269" s="36" t="s">
        <v>911</v>
      </c>
      <c r="H269" s="36" t="s">
        <v>352</v>
      </c>
      <c r="I269" s="37" t="s">
        <v>815</v>
      </c>
      <c r="J269" s="31">
        <v>99</v>
      </c>
      <c r="K269" s="33" t="s">
        <v>936</v>
      </c>
      <c r="L269" s="33" t="s">
        <v>685</v>
      </c>
      <c r="M269" s="34" t="s">
        <v>954</v>
      </c>
      <c r="N269" s="34" t="s">
        <v>1786</v>
      </c>
      <c r="O269" s="35">
        <v>1</v>
      </c>
      <c r="P269" s="35"/>
      <c r="Q269" s="36"/>
      <c r="S269" s="1">
        <f t="shared" si="69"/>
        <v>0</v>
      </c>
      <c r="T269" s="1">
        <f t="shared" si="70"/>
        <v>0</v>
      </c>
      <c r="U269" s="1">
        <f t="shared" si="71"/>
        <v>0</v>
      </c>
      <c r="V269" s="1">
        <f t="shared" si="72"/>
        <v>0</v>
      </c>
      <c r="W269" s="1">
        <f t="shared" si="73"/>
        <v>0</v>
      </c>
      <c r="X269" s="1">
        <f t="shared" si="74"/>
        <v>0</v>
      </c>
      <c r="Y269" s="1">
        <f t="shared" si="75"/>
        <v>0</v>
      </c>
      <c r="Z269" s="1">
        <f t="shared" si="76"/>
        <v>0</v>
      </c>
      <c r="AA269" s="1">
        <f t="shared" si="77"/>
        <v>0</v>
      </c>
      <c r="AB269" s="1">
        <f t="shared" si="78"/>
        <v>0</v>
      </c>
      <c r="AD269" s="1">
        <f t="shared" si="79"/>
        <v>0</v>
      </c>
      <c r="AE269" s="1">
        <f t="shared" si="80"/>
        <v>1</v>
      </c>
      <c r="AF269" s="1">
        <f t="shared" si="81"/>
        <v>0</v>
      </c>
      <c r="AG269" s="1">
        <f t="shared" si="82"/>
        <v>1</v>
      </c>
      <c r="AH269" s="1">
        <f t="shared" si="83"/>
        <v>0</v>
      </c>
      <c r="AI269" s="1">
        <f t="shared" si="84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1686</v>
      </c>
      <c r="E270" s="32" t="s">
        <v>29</v>
      </c>
      <c r="F270" s="36" t="s">
        <v>1687</v>
      </c>
      <c r="G270" s="36" t="s">
        <v>248</v>
      </c>
      <c r="H270" s="36" t="s">
        <v>352</v>
      </c>
      <c r="I270" s="37" t="s">
        <v>1688</v>
      </c>
      <c r="J270" s="31"/>
      <c r="K270" s="33" t="s">
        <v>694</v>
      </c>
      <c r="L270" s="33"/>
      <c r="M270" s="34"/>
      <c r="N270" s="34" t="s">
        <v>1693</v>
      </c>
      <c r="O270" s="35">
        <v>1</v>
      </c>
      <c r="P270" s="35">
        <v>1</v>
      </c>
      <c r="Q270" s="36"/>
      <c r="S270" s="1">
        <f t="shared" si="69"/>
        <v>0</v>
      </c>
      <c r="T270" s="1">
        <f t="shared" si="70"/>
        <v>0</v>
      </c>
      <c r="U270" s="1">
        <f t="shared" si="71"/>
        <v>0</v>
      </c>
      <c r="V270" s="1">
        <f t="shared" si="72"/>
        <v>0</v>
      </c>
      <c r="W270" s="1">
        <f t="shared" si="73"/>
        <v>0</v>
      </c>
      <c r="X270" s="1">
        <f t="shared" si="74"/>
        <v>0</v>
      </c>
      <c r="Y270" s="1">
        <f t="shared" si="75"/>
        <v>0</v>
      </c>
      <c r="Z270" s="1">
        <f t="shared" si="76"/>
        <v>0</v>
      </c>
      <c r="AA270" s="1">
        <f t="shared" si="77"/>
        <v>0</v>
      </c>
      <c r="AB270" s="1">
        <f t="shared" si="78"/>
        <v>0</v>
      </c>
      <c r="AD270" s="1">
        <f t="shared" si="79"/>
        <v>1</v>
      </c>
      <c r="AE270" s="1">
        <f t="shared" si="80"/>
        <v>0</v>
      </c>
      <c r="AF270" s="1">
        <f t="shared" si="81"/>
        <v>1</v>
      </c>
      <c r="AG270" s="1">
        <f t="shared" si="82"/>
        <v>0</v>
      </c>
      <c r="AH270" s="1">
        <f t="shared" si="83"/>
        <v>1</v>
      </c>
      <c r="AI270" s="1">
        <f t="shared" si="84"/>
        <v>0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2" t="s">
        <v>884</v>
      </c>
      <c r="E271" s="32" t="s">
        <v>29</v>
      </c>
      <c r="F271" s="32" t="s">
        <v>885</v>
      </c>
      <c r="G271" s="32" t="s">
        <v>227</v>
      </c>
      <c r="H271" s="32" t="s">
        <v>352</v>
      </c>
      <c r="I271" s="31" t="s">
        <v>886</v>
      </c>
      <c r="J271" s="31">
        <v>99</v>
      </c>
      <c r="K271" s="33" t="s">
        <v>704</v>
      </c>
      <c r="L271" s="33" t="s">
        <v>685</v>
      </c>
      <c r="M271" s="34" t="s">
        <v>1377</v>
      </c>
      <c r="N271" s="34" t="s">
        <v>1710</v>
      </c>
      <c r="O271" s="35">
        <v>1</v>
      </c>
      <c r="P271" s="35"/>
      <c r="Q271" s="32"/>
      <c r="S271" s="1">
        <f t="shared" si="69"/>
        <v>0</v>
      </c>
      <c r="T271" s="1">
        <f t="shared" si="70"/>
        <v>0</v>
      </c>
      <c r="U271" s="1">
        <f t="shared" si="71"/>
        <v>0</v>
      </c>
      <c r="V271" s="1">
        <f t="shared" si="72"/>
        <v>0</v>
      </c>
      <c r="W271" s="1">
        <f t="shared" si="73"/>
        <v>0</v>
      </c>
      <c r="X271" s="1">
        <f t="shared" si="74"/>
        <v>0</v>
      </c>
      <c r="Y271" s="1">
        <f t="shared" si="75"/>
        <v>0</v>
      </c>
      <c r="Z271" s="1">
        <f t="shared" si="76"/>
        <v>0</v>
      </c>
      <c r="AA271" s="1">
        <f t="shared" si="77"/>
        <v>0</v>
      </c>
      <c r="AB271" s="1">
        <f t="shared" si="78"/>
        <v>0</v>
      </c>
      <c r="AD271" s="1">
        <f t="shared" si="79"/>
        <v>0</v>
      </c>
      <c r="AE271" s="1">
        <f t="shared" si="80"/>
        <v>1</v>
      </c>
      <c r="AF271" s="1">
        <f t="shared" si="81"/>
        <v>0</v>
      </c>
      <c r="AG271" s="1">
        <f t="shared" si="82"/>
        <v>1</v>
      </c>
      <c r="AH271" s="1">
        <f t="shared" si="83"/>
        <v>0</v>
      </c>
      <c r="AI271" s="1">
        <f t="shared" si="84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2" t="s">
        <v>88</v>
      </c>
      <c r="E272" s="32" t="s">
        <v>29</v>
      </c>
      <c r="F272" s="32" t="s">
        <v>280</v>
      </c>
      <c r="G272" s="32" t="s">
        <v>281</v>
      </c>
      <c r="H272" s="32" t="s">
        <v>352</v>
      </c>
      <c r="I272" s="31" t="s">
        <v>925</v>
      </c>
      <c r="J272" s="31">
        <v>99</v>
      </c>
      <c r="K272" s="33" t="s">
        <v>936</v>
      </c>
      <c r="L272" s="33" t="s">
        <v>685</v>
      </c>
      <c r="M272" s="34" t="s">
        <v>954</v>
      </c>
      <c r="N272" s="34" t="s">
        <v>1810</v>
      </c>
      <c r="O272" s="35">
        <v>1</v>
      </c>
      <c r="P272" s="35"/>
      <c r="Q272" s="32"/>
      <c r="S272" s="1">
        <f t="shared" si="69"/>
        <v>0</v>
      </c>
      <c r="T272" s="1">
        <f t="shared" si="70"/>
        <v>0</v>
      </c>
      <c r="U272" s="1">
        <f t="shared" si="71"/>
        <v>0</v>
      </c>
      <c r="V272" s="1">
        <f t="shared" si="72"/>
        <v>0</v>
      </c>
      <c r="W272" s="1">
        <f t="shared" si="73"/>
        <v>0</v>
      </c>
      <c r="X272" s="1">
        <f t="shared" si="74"/>
        <v>0</v>
      </c>
      <c r="Y272" s="1">
        <f t="shared" si="75"/>
        <v>0</v>
      </c>
      <c r="Z272" s="1">
        <f t="shared" si="76"/>
        <v>0</v>
      </c>
      <c r="AA272" s="1">
        <f t="shared" si="77"/>
        <v>0</v>
      </c>
      <c r="AB272" s="1">
        <f t="shared" si="78"/>
        <v>0</v>
      </c>
      <c r="AD272" s="1">
        <f t="shared" si="79"/>
        <v>0</v>
      </c>
      <c r="AE272" s="1">
        <f t="shared" si="80"/>
        <v>1</v>
      </c>
      <c r="AF272" s="1">
        <f t="shared" si="81"/>
        <v>0</v>
      </c>
      <c r="AG272" s="1">
        <f t="shared" si="82"/>
        <v>1</v>
      </c>
      <c r="AH272" s="1">
        <f t="shared" si="83"/>
        <v>0</v>
      </c>
      <c r="AI272" s="1">
        <f t="shared" si="84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1603</v>
      </c>
      <c r="E273" s="32" t="s">
        <v>29</v>
      </c>
      <c r="F273" s="36" t="s">
        <v>1502</v>
      </c>
      <c r="G273" s="36" t="s">
        <v>39</v>
      </c>
      <c r="H273" s="36" t="s">
        <v>869</v>
      </c>
      <c r="I273" s="37" t="s">
        <v>1503</v>
      </c>
      <c r="J273" s="31">
        <v>17</v>
      </c>
      <c r="K273" s="33" t="s">
        <v>704</v>
      </c>
      <c r="L273" s="33" t="s">
        <v>688</v>
      </c>
      <c r="M273" s="34" t="s">
        <v>1426</v>
      </c>
      <c r="N273" s="34" t="s">
        <v>1693</v>
      </c>
      <c r="O273" s="35">
        <v>1</v>
      </c>
      <c r="P273" s="35">
        <v>1</v>
      </c>
      <c r="Q273" s="36"/>
      <c r="S273" s="1">
        <f t="shared" si="69"/>
        <v>0</v>
      </c>
      <c r="T273" s="1">
        <f t="shared" si="70"/>
        <v>0</v>
      </c>
      <c r="U273" s="1">
        <f t="shared" si="71"/>
        <v>0</v>
      </c>
      <c r="V273" s="1">
        <f t="shared" si="72"/>
        <v>0</v>
      </c>
      <c r="W273" s="1">
        <f t="shared" si="73"/>
        <v>0</v>
      </c>
      <c r="X273" s="1">
        <f t="shared" si="74"/>
        <v>0</v>
      </c>
      <c r="Y273" s="1">
        <f t="shared" si="75"/>
        <v>0</v>
      </c>
      <c r="Z273" s="1">
        <f t="shared" si="76"/>
        <v>0</v>
      </c>
      <c r="AA273" s="1">
        <f t="shared" si="77"/>
        <v>0</v>
      </c>
      <c r="AB273" s="1">
        <f t="shared" si="78"/>
        <v>0</v>
      </c>
      <c r="AD273" s="1">
        <f t="shared" si="79"/>
        <v>1</v>
      </c>
      <c r="AE273" s="1">
        <f t="shared" si="80"/>
        <v>0</v>
      </c>
      <c r="AF273" s="1">
        <f t="shared" si="81"/>
        <v>1</v>
      </c>
      <c r="AG273" s="1">
        <f t="shared" si="82"/>
        <v>0</v>
      </c>
      <c r="AH273" s="1">
        <f t="shared" si="83"/>
        <v>1</v>
      </c>
      <c r="AI273" s="1">
        <f t="shared" si="84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2" t="s">
        <v>1423</v>
      </c>
      <c r="E274" s="32" t="s">
        <v>29</v>
      </c>
      <c r="F274" s="32" t="s">
        <v>1424</v>
      </c>
      <c r="G274" s="32" t="s">
        <v>319</v>
      </c>
      <c r="H274" s="32" t="s">
        <v>352</v>
      </c>
      <c r="I274" s="31" t="s">
        <v>1425</v>
      </c>
      <c r="J274" s="31">
        <v>99</v>
      </c>
      <c r="K274" s="33" t="s">
        <v>694</v>
      </c>
      <c r="L274" s="33">
        <v>30</v>
      </c>
      <c r="M274" s="34" t="s">
        <v>1426</v>
      </c>
      <c r="N274" s="34" t="s">
        <v>1786</v>
      </c>
      <c r="O274" s="35">
        <v>1</v>
      </c>
      <c r="P274" s="35"/>
      <c r="Q274" s="32"/>
      <c r="S274" s="1">
        <f t="shared" ref="S274:S337" si="85">IF(J274=$S$7,1,0)</f>
        <v>0</v>
      </c>
      <c r="T274" s="1">
        <f t="shared" ref="T274:T337" si="86">IF(J274=$T$7,1,0)</f>
        <v>0</v>
      </c>
      <c r="U274" s="1">
        <f t="shared" ref="U274:U337" si="87">IF(J274=$U$7,1,0)</f>
        <v>0</v>
      </c>
      <c r="V274" s="1">
        <f t="shared" ref="V274:V337" si="88">IF(J274=$V$7,1,0)</f>
        <v>0</v>
      </c>
      <c r="W274" s="1">
        <f t="shared" ref="W274:W337" si="89">IF(J274=$W$7,1,0)</f>
        <v>0</v>
      </c>
      <c r="X274" s="1">
        <f t="shared" ref="X274:X337" si="90">IF(J274=$X$7,1,0)</f>
        <v>0</v>
      </c>
      <c r="Y274" s="1">
        <f t="shared" ref="Y274:Y337" si="91">IF(J274=$Y$7,1,0)</f>
        <v>0</v>
      </c>
      <c r="Z274" s="1">
        <f t="shared" ref="Z274:Z337" si="92">IF(J274=$Z$7,1,0)</f>
        <v>0</v>
      </c>
      <c r="AA274" s="1">
        <f t="shared" ref="AA274:AA337" si="93">IF(J274=$AA$7,1,0)</f>
        <v>0</v>
      </c>
      <c r="AB274" s="1">
        <f t="shared" ref="AB274:AB337" si="94">IF(J274=$AB$7,1,0)</f>
        <v>0</v>
      </c>
      <c r="AD274" s="1">
        <f t="shared" ref="AD274:AD337" si="95">+O274*P274</f>
        <v>0</v>
      </c>
      <c r="AE274" s="1">
        <f t="shared" ref="AE274:AE337" si="96">O274*(1-P274)</f>
        <v>1</v>
      </c>
      <c r="AF274" s="1">
        <f t="shared" si="81"/>
        <v>0</v>
      </c>
      <c r="AG274" s="1">
        <f t="shared" si="82"/>
        <v>1</v>
      </c>
      <c r="AH274" s="1">
        <f t="shared" si="83"/>
        <v>0</v>
      </c>
      <c r="AI274" s="1">
        <f t="shared" si="84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831</v>
      </c>
      <c r="E275" s="32" t="s">
        <v>29</v>
      </c>
      <c r="F275" s="36" t="s">
        <v>832</v>
      </c>
      <c r="G275" s="36" t="s">
        <v>221</v>
      </c>
      <c r="H275" s="36" t="s">
        <v>352</v>
      </c>
      <c r="I275" s="37" t="s">
        <v>833</v>
      </c>
      <c r="J275" s="31">
        <v>99</v>
      </c>
      <c r="K275" s="33" t="s">
        <v>936</v>
      </c>
      <c r="L275" s="33" t="s">
        <v>685</v>
      </c>
      <c r="M275" s="34" t="s">
        <v>954</v>
      </c>
      <c r="N275" s="34" t="s">
        <v>1810</v>
      </c>
      <c r="O275" s="35">
        <v>1</v>
      </c>
      <c r="P275" s="35"/>
      <c r="Q275" s="36"/>
      <c r="S275" s="1">
        <f t="shared" si="85"/>
        <v>0</v>
      </c>
      <c r="T275" s="1">
        <f t="shared" si="86"/>
        <v>0</v>
      </c>
      <c r="U275" s="1">
        <f t="shared" si="87"/>
        <v>0</v>
      </c>
      <c r="V275" s="1">
        <f t="shared" si="88"/>
        <v>0</v>
      </c>
      <c r="W275" s="1">
        <f t="shared" si="89"/>
        <v>0</v>
      </c>
      <c r="X275" s="1">
        <f t="shared" si="90"/>
        <v>0</v>
      </c>
      <c r="Y275" s="1">
        <f t="shared" si="91"/>
        <v>0</v>
      </c>
      <c r="Z275" s="1">
        <f t="shared" si="92"/>
        <v>0</v>
      </c>
      <c r="AA275" s="1">
        <f t="shared" si="93"/>
        <v>0</v>
      </c>
      <c r="AB275" s="1">
        <f t="shared" si="94"/>
        <v>0</v>
      </c>
      <c r="AD275" s="1">
        <f t="shared" si="95"/>
        <v>0</v>
      </c>
      <c r="AE275" s="1">
        <f t="shared" si="96"/>
        <v>1</v>
      </c>
      <c r="AF275" s="1">
        <f t="shared" ref="AF275:AF338" si="97">+O275*P275*(1-A275)</f>
        <v>0</v>
      </c>
      <c r="AG275" s="1">
        <f t="shared" ref="AG275:AG338" si="98">O275*(1-P275)*(1-A275)</f>
        <v>1</v>
      </c>
      <c r="AH275" s="1">
        <f t="shared" ref="AH275:AH338" si="99">+P275*(1-A275)</f>
        <v>0</v>
      </c>
      <c r="AI275" s="1">
        <f t="shared" ref="AI275:AI338" si="100">+(1-A275)*(1-P275)</f>
        <v>1</v>
      </c>
    </row>
    <row r="276" spans="1:35" s="1" customFormat="1" ht="14.25" customHeight="1" x14ac:dyDescent="0.25">
      <c r="A276" s="31">
        <v>1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913</v>
      </c>
      <c r="G276" s="36" t="s">
        <v>278</v>
      </c>
      <c r="H276" s="36" t="s">
        <v>352</v>
      </c>
      <c r="I276" s="37" t="s">
        <v>834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1810</v>
      </c>
      <c r="O276" s="35">
        <v>1</v>
      </c>
      <c r="P276" s="35"/>
      <c r="Q276" s="36"/>
      <c r="S276" s="1">
        <f t="shared" si="85"/>
        <v>0</v>
      </c>
      <c r="T276" s="1">
        <f t="shared" si="86"/>
        <v>0</v>
      </c>
      <c r="U276" s="1">
        <f t="shared" si="87"/>
        <v>0</v>
      </c>
      <c r="V276" s="1">
        <f t="shared" si="88"/>
        <v>0</v>
      </c>
      <c r="W276" s="1">
        <f t="shared" si="89"/>
        <v>0</v>
      </c>
      <c r="X276" s="1">
        <f t="shared" si="90"/>
        <v>0</v>
      </c>
      <c r="Y276" s="1">
        <f t="shared" si="91"/>
        <v>0</v>
      </c>
      <c r="Z276" s="1">
        <f t="shared" si="92"/>
        <v>0</v>
      </c>
      <c r="AA276" s="1">
        <f t="shared" si="93"/>
        <v>0</v>
      </c>
      <c r="AB276" s="1">
        <f t="shared" si="94"/>
        <v>0</v>
      </c>
      <c r="AD276" s="1">
        <f t="shared" si="95"/>
        <v>0</v>
      </c>
      <c r="AE276" s="1">
        <f t="shared" si="96"/>
        <v>1</v>
      </c>
      <c r="AF276" s="1">
        <f t="shared" si="97"/>
        <v>0</v>
      </c>
      <c r="AG276" s="1">
        <f t="shared" si="98"/>
        <v>0</v>
      </c>
      <c r="AH276" s="1">
        <f t="shared" si="99"/>
        <v>0</v>
      </c>
      <c r="AI276" s="1">
        <f t="shared" si="100"/>
        <v>0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2" t="s">
        <v>1191</v>
      </c>
      <c r="E277" s="32" t="s">
        <v>29</v>
      </c>
      <c r="F277" s="32" t="s">
        <v>1192</v>
      </c>
      <c r="G277" s="32" t="s">
        <v>237</v>
      </c>
      <c r="H277" s="32" t="s">
        <v>352</v>
      </c>
      <c r="I277" s="31" t="s">
        <v>1333</v>
      </c>
      <c r="J277" s="31">
        <v>99</v>
      </c>
      <c r="K277" s="33" t="s">
        <v>704</v>
      </c>
      <c r="L277" s="33" t="s">
        <v>685</v>
      </c>
      <c r="M277" s="34" t="s">
        <v>1378</v>
      </c>
      <c r="N277" s="34" t="s">
        <v>1717</v>
      </c>
      <c r="O277" s="35">
        <v>1</v>
      </c>
      <c r="P277" s="35"/>
      <c r="Q277" s="32"/>
      <c r="S277" s="1">
        <f t="shared" si="85"/>
        <v>0</v>
      </c>
      <c r="T277" s="1">
        <f t="shared" si="86"/>
        <v>0</v>
      </c>
      <c r="U277" s="1">
        <f t="shared" si="87"/>
        <v>0</v>
      </c>
      <c r="V277" s="1">
        <f t="shared" si="88"/>
        <v>0</v>
      </c>
      <c r="W277" s="1">
        <f t="shared" si="89"/>
        <v>0</v>
      </c>
      <c r="X277" s="1">
        <f t="shared" si="90"/>
        <v>0</v>
      </c>
      <c r="Y277" s="1">
        <f t="shared" si="91"/>
        <v>0</v>
      </c>
      <c r="Z277" s="1">
        <f t="shared" si="92"/>
        <v>0</v>
      </c>
      <c r="AA277" s="1">
        <f t="shared" si="93"/>
        <v>0</v>
      </c>
      <c r="AB277" s="1">
        <f t="shared" si="94"/>
        <v>0</v>
      </c>
      <c r="AD277" s="1">
        <f t="shared" si="95"/>
        <v>0</v>
      </c>
      <c r="AE277" s="1">
        <f t="shared" si="96"/>
        <v>1</v>
      </c>
      <c r="AF277" s="1">
        <f t="shared" si="97"/>
        <v>0</v>
      </c>
      <c r="AG277" s="1">
        <f t="shared" si="98"/>
        <v>1</v>
      </c>
      <c r="AH277" s="1">
        <f t="shared" si="99"/>
        <v>0</v>
      </c>
      <c r="AI277" s="1">
        <f t="shared" si="100"/>
        <v>1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1208</v>
      </c>
      <c r="E278" s="32" t="s">
        <v>29</v>
      </c>
      <c r="F278" s="36" t="s">
        <v>1209</v>
      </c>
      <c r="G278" s="36" t="s">
        <v>237</v>
      </c>
      <c r="H278" s="36" t="s">
        <v>352</v>
      </c>
      <c r="I278" s="37" t="s">
        <v>1210</v>
      </c>
      <c r="J278" s="31">
        <v>99</v>
      </c>
      <c r="K278" s="33" t="s">
        <v>704</v>
      </c>
      <c r="L278" s="33" t="s">
        <v>684</v>
      </c>
      <c r="M278" s="34" t="s">
        <v>1378</v>
      </c>
      <c r="N278" s="34" t="s">
        <v>1786</v>
      </c>
      <c r="O278" s="35">
        <v>1</v>
      </c>
      <c r="P278" s="35"/>
      <c r="Q278" s="36"/>
      <c r="S278" s="1">
        <f t="shared" si="85"/>
        <v>0</v>
      </c>
      <c r="T278" s="1">
        <f t="shared" si="86"/>
        <v>0</v>
      </c>
      <c r="U278" s="1">
        <f t="shared" si="87"/>
        <v>0</v>
      </c>
      <c r="V278" s="1">
        <f t="shared" si="88"/>
        <v>0</v>
      </c>
      <c r="W278" s="1">
        <f t="shared" si="89"/>
        <v>0</v>
      </c>
      <c r="X278" s="1">
        <f t="shared" si="90"/>
        <v>0</v>
      </c>
      <c r="Y278" s="1">
        <f t="shared" si="91"/>
        <v>0</v>
      </c>
      <c r="Z278" s="1">
        <f t="shared" si="92"/>
        <v>0</v>
      </c>
      <c r="AA278" s="1">
        <f t="shared" si="93"/>
        <v>0</v>
      </c>
      <c r="AB278" s="1">
        <f t="shared" si="94"/>
        <v>0</v>
      </c>
      <c r="AD278" s="1">
        <f t="shared" si="95"/>
        <v>0</v>
      </c>
      <c r="AE278" s="1">
        <f t="shared" si="96"/>
        <v>1</v>
      </c>
      <c r="AF278" s="1">
        <f t="shared" si="97"/>
        <v>0</v>
      </c>
      <c r="AG278" s="1">
        <f t="shared" si="98"/>
        <v>1</v>
      </c>
      <c r="AH278" s="1">
        <f t="shared" si="99"/>
        <v>0</v>
      </c>
      <c r="AI278" s="1">
        <f t="shared" si="100"/>
        <v>1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92</v>
      </c>
      <c r="E279" s="32" t="s">
        <v>29</v>
      </c>
      <c r="F279" s="36" t="s">
        <v>286</v>
      </c>
      <c r="G279" s="36" t="s">
        <v>189</v>
      </c>
      <c r="H279" s="36" t="s">
        <v>352</v>
      </c>
      <c r="I279" s="37" t="s">
        <v>438</v>
      </c>
      <c r="J279" s="31">
        <v>99</v>
      </c>
      <c r="K279" s="33" t="s">
        <v>704</v>
      </c>
      <c r="L279" s="33" t="s">
        <v>685</v>
      </c>
      <c r="M279" s="34" t="s">
        <v>1379</v>
      </c>
      <c r="N279" s="34" t="s">
        <v>1712</v>
      </c>
      <c r="O279" s="35">
        <v>1</v>
      </c>
      <c r="P279" s="35"/>
      <c r="Q279" s="36"/>
      <c r="S279" s="1">
        <f t="shared" si="85"/>
        <v>0</v>
      </c>
      <c r="T279" s="1">
        <f t="shared" si="86"/>
        <v>0</v>
      </c>
      <c r="U279" s="1">
        <f t="shared" si="87"/>
        <v>0</v>
      </c>
      <c r="V279" s="1">
        <f t="shared" si="88"/>
        <v>0</v>
      </c>
      <c r="W279" s="1">
        <f t="shared" si="89"/>
        <v>0</v>
      </c>
      <c r="X279" s="1">
        <f t="shared" si="90"/>
        <v>0</v>
      </c>
      <c r="Y279" s="1">
        <f t="shared" si="91"/>
        <v>0</v>
      </c>
      <c r="Z279" s="1">
        <f t="shared" si="92"/>
        <v>0</v>
      </c>
      <c r="AA279" s="1">
        <f t="shared" si="93"/>
        <v>0</v>
      </c>
      <c r="AB279" s="1">
        <f t="shared" si="94"/>
        <v>0</v>
      </c>
      <c r="AD279" s="1">
        <f t="shared" si="95"/>
        <v>0</v>
      </c>
      <c r="AE279" s="1">
        <f t="shared" si="96"/>
        <v>1</v>
      </c>
      <c r="AF279" s="1">
        <f t="shared" si="97"/>
        <v>0</v>
      </c>
      <c r="AG279" s="1">
        <f t="shared" si="98"/>
        <v>1</v>
      </c>
      <c r="AH279" s="1">
        <f t="shared" si="99"/>
        <v>0</v>
      </c>
      <c r="AI279" s="1">
        <f t="shared" si="100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2" t="s">
        <v>855</v>
      </c>
      <c r="E280" s="32" t="s">
        <v>29</v>
      </c>
      <c r="F280" s="32" t="s">
        <v>856</v>
      </c>
      <c r="G280" s="32" t="s">
        <v>193</v>
      </c>
      <c r="H280" s="32" t="s">
        <v>352</v>
      </c>
      <c r="I280" s="31" t="s">
        <v>857</v>
      </c>
      <c r="J280" s="31">
        <v>9</v>
      </c>
      <c r="K280" s="33" t="s">
        <v>704</v>
      </c>
      <c r="L280" s="33" t="s">
        <v>687</v>
      </c>
      <c r="M280" s="34" t="s">
        <v>699</v>
      </c>
      <c r="N280" s="34" t="s">
        <v>1706</v>
      </c>
      <c r="O280" s="35">
        <v>1</v>
      </c>
      <c r="P280" s="35"/>
      <c r="Q280" s="32"/>
      <c r="S280" s="1">
        <f t="shared" si="85"/>
        <v>0</v>
      </c>
      <c r="T280" s="1">
        <f t="shared" si="86"/>
        <v>0</v>
      </c>
      <c r="U280" s="1">
        <f t="shared" si="87"/>
        <v>0</v>
      </c>
      <c r="V280" s="1">
        <f t="shared" si="88"/>
        <v>0</v>
      </c>
      <c r="W280" s="1">
        <f t="shared" si="89"/>
        <v>0</v>
      </c>
      <c r="X280" s="1">
        <f t="shared" si="90"/>
        <v>0</v>
      </c>
      <c r="Y280" s="1">
        <f t="shared" si="91"/>
        <v>0</v>
      </c>
      <c r="Z280" s="1">
        <f t="shared" si="92"/>
        <v>0</v>
      </c>
      <c r="AA280" s="1">
        <f t="shared" si="93"/>
        <v>1</v>
      </c>
      <c r="AB280" s="1">
        <f t="shared" si="94"/>
        <v>0</v>
      </c>
      <c r="AD280" s="1">
        <f t="shared" si="95"/>
        <v>0</v>
      </c>
      <c r="AE280" s="1">
        <f t="shared" si="96"/>
        <v>1</v>
      </c>
      <c r="AF280" s="1">
        <f t="shared" si="97"/>
        <v>0</v>
      </c>
      <c r="AG280" s="1">
        <f t="shared" si="98"/>
        <v>1</v>
      </c>
      <c r="AH280" s="1">
        <f t="shared" si="99"/>
        <v>0</v>
      </c>
      <c r="AI280" s="1">
        <f t="shared" si="100"/>
        <v>1</v>
      </c>
    </row>
    <row r="281" spans="1:35" s="1" customFormat="1" ht="14.25" customHeight="1" x14ac:dyDescent="0.25">
      <c r="A281" s="31">
        <v>1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1049</v>
      </c>
      <c r="G281" s="32" t="s">
        <v>319</v>
      </c>
      <c r="H281" s="32" t="s">
        <v>352</v>
      </c>
      <c r="I281" s="31" t="s">
        <v>1050</v>
      </c>
      <c r="J281" s="31">
        <v>99</v>
      </c>
      <c r="K281" s="33" t="s">
        <v>704</v>
      </c>
      <c r="L281" s="33" t="s">
        <v>687</v>
      </c>
      <c r="M281" s="34" t="s">
        <v>699</v>
      </c>
      <c r="N281" s="34" t="s">
        <v>1706</v>
      </c>
      <c r="O281" s="35">
        <v>1</v>
      </c>
      <c r="P281" s="35"/>
      <c r="Q281" s="32"/>
      <c r="S281" s="1">
        <f t="shared" si="85"/>
        <v>0</v>
      </c>
      <c r="T281" s="1">
        <f t="shared" si="86"/>
        <v>0</v>
      </c>
      <c r="U281" s="1">
        <f t="shared" si="87"/>
        <v>0</v>
      </c>
      <c r="V281" s="1">
        <f t="shared" si="88"/>
        <v>0</v>
      </c>
      <c r="W281" s="1">
        <f t="shared" si="89"/>
        <v>0</v>
      </c>
      <c r="X281" s="1">
        <f t="shared" si="90"/>
        <v>0</v>
      </c>
      <c r="Y281" s="1">
        <f t="shared" si="91"/>
        <v>0</v>
      </c>
      <c r="Z281" s="1">
        <f t="shared" si="92"/>
        <v>0</v>
      </c>
      <c r="AA281" s="1">
        <f t="shared" si="93"/>
        <v>0</v>
      </c>
      <c r="AB281" s="1">
        <f t="shared" si="94"/>
        <v>0</v>
      </c>
      <c r="AD281" s="1">
        <f t="shared" si="95"/>
        <v>0</v>
      </c>
      <c r="AE281" s="1">
        <f t="shared" si="96"/>
        <v>1</v>
      </c>
      <c r="AF281" s="1">
        <f t="shared" si="97"/>
        <v>0</v>
      </c>
      <c r="AG281" s="1">
        <f t="shared" si="98"/>
        <v>0</v>
      </c>
      <c r="AH281" s="1">
        <f t="shared" si="99"/>
        <v>0</v>
      </c>
      <c r="AI281" s="1">
        <f t="shared" si="100"/>
        <v>0</v>
      </c>
    </row>
    <row r="282" spans="1:35" s="1" customFormat="1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1979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1706</v>
      </c>
      <c r="O282" s="35">
        <v>1</v>
      </c>
      <c r="P282" s="35"/>
      <c r="Q282" s="32"/>
      <c r="S282" s="1">
        <f t="shared" si="85"/>
        <v>0</v>
      </c>
      <c r="T282" s="1">
        <f t="shared" si="86"/>
        <v>0</v>
      </c>
      <c r="U282" s="1">
        <f t="shared" si="87"/>
        <v>0</v>
      </c>
      <c r="V282" s="1">
        <f t="shared" si="88"/>
        <v>0</v>
      </c>
      <c r="W282" s="1">
        <f t="shared" si="89"/>
        <v>0</v>
      </c>
      <c r="X282" s="1">
        <f t="shared" si="90"/>
        <v>0</v>
      </c>
      <c r="Y282" s="1">
        <f t="shared" si="91"/>
        <v>0</v>
      </c>
      <c r="Z282" s="1">
        <f t="shared" si="92"/>
        <v>0</v>
      </c>
      <c r="AA282" s="1">
        <f t="shared" si="93"/>
        <v>1</v>
      </c>
      <c r="AB282" s="1">
        <f t="shared" si="94"/>
        <v>0</v>
      </c>
      <c r="AD282" s="1">
        <f t="shared" si="95"/>
        <v>0</v>
      </c>
      <c r="AE282" s="1">
        <f t="shared" si="96"/>
        <v>1</v>
      </c>
      <c r="AF282" s="1">
        <f t="shared" si="97"/>
        <v>0</v>
      </c>
      <c r="AG282" s="1">
        <f t="shared" si="98"/>
        <v>0</v>
      </c>
      <c r="AH282" s="1">
        <f t="shared" si="99"/>
        <v>0</v>
      </c>
      <c r="AI282" s="1">
        <f t="shared" si="100"/>
        <v>0</v>
      </c>
    </row>
    <row r="283" spans="1:35" s="1" customFormat="1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1981</v>
      </c>
      <c r="G283" s="32" t="s">
        <v>208</v>
      </c>
      <c r="H283" s="32" t="s">
        <v>352</v>
      </c>
      <c r="I283" s="31" t="s">
        <v>1980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1706</v>
      </c>
      <c r="O283" s="35">
        <v>1</v>
      </c>
      <c r="P283" s="35"/>
      <c r="Q283" s="32"/>
      <c r="S283" s="1">
        <f t="shared" si="85"/>
        <v>0</v>
      </c>
      <c r="T283" s="1">
        <f t="shared" si="86"/>
        <v>0</v>
      </c>
      <c r="U283" s="1">
        <f t="shared" si="87"/>
        <v>0</v>
      </c>
      <c r="V283" s="1">
        <f t="shared" si="88"/>
        <v>0</v>
      </c>
      <c r="W283" s="1">
        <f t="shared" si="89"/>
        <v>0</v>
      </c>
      <c r="X283" s="1">
        <f t="shared" si="90"/>
        <v>0</v>
      </c>
      <c r="Y283" s="1">
        <f t="shared" si="91"/>
        <v>0</v>
      </c>
      <c r="Z283" s="1">
        <f t="shared" si="92"/>
        <v>0</v>
      </c>
      <c r="AA283" s="1">
        <f t="shared" si="93"/>
        <v>0</v>
      </c>
      <c r="AB283" s="1">
        <f t="shared" si="94"/>
        <v>0</v>
      </c>
      <c r="AD283" s="1">
        <f t="shared" si="95"/>
        <v>0</v>
      </c>
      <c r="AE283" s="1">
        <f t="shared" si="96"/>
        <v>1</v>
      </c>
      <c r="AF283" s="1">
        <f t="shared" si="97"/>
        <v>0</v>
      </c>
      <c r="AG283" s="1">
        <f t="shared" si="98"/>
        <v>0</v>
      </c>
      <c r="AH283" s="1">
        <f t="shared" si="99"/>
        <v>0</v>
      </c>
      <c r="AI283" s="1">
        <f t="shared" si="100"/>
        <v>0</v>
      </c>
    </row>
    <row r="284" spans="1:35" s="1" customFormat="1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6" t="s">
        <v>1645</v>
      </c>
      <c r="G284" s="36" t="s">
        <v>2134</v>
      </c>
      <c r="H284" s="32" t="s">
        <v>352</v>
      </c>
      <c r="I284" s="37" t="s">
        <v>2135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1706</v>
      </c>
      <c r="O284" s="35">
        <v>1</v>
      </c>
      <c r="P284" s="35"/>
      <c r="Q284" s="32"/>
      <c r="S284" s="1">
        <f t="shared" si="85"/>
        <v>0</v>
      </c>
      <c r="T284" s="1">
        <f t="shared" si="86"/>
        <v>0</v>
      </c>
      <c r="U284" s="1">
        <f t="shared" si="87"/>
        <v>0</v>
      </c>
      <c r="V284" s="1">
        <f t="shared" si="88"/>
        <v>0</v>
      </c>
      <c r="W284" s="1">
        <f t="shared" si="89"/>
        <v>0</v>
      </c>
      <c r="X284" s="1">
        <f t="shared" si="90"/>
        <v>0</v>
      </c>
      <c r="Y284" s="1">
        <f t="shared" si="91"/>
        <v>0</v>
      </c>
      <c r="Z284" s="1">
        <f t="shared" si="92"/>
        <v>0</v>
      </c>
      <c r="AA284" s="1">
        <f t="shared" si="93"/>
        <v>0</v>
      </c>
      <c r="AB284" s="1">
        <f t="shared" si="94"/>
        <v>0</v>
      </c>
      <c r="AD284" s="1">
        <f t="shared" si="95"/>
        <v>0</v>
      </c>
      <c r="AE284" s="1">
        <f t="shared" si="96"/>
        <v>1</v>
      </c>
      <c r="AF284" s="1">
        <f t="shared" si="97"/>
        <v>0</v>
      </c>
      <c r="AG284" s="1">
        <f t="shared" si="98"/>
        <v>0</v>
      </c>
      <c r="AH284" s="1">
        <f t="shared" si="99"/>
        <v>0</v>
      </c>
      <c r="AI284" s="1">
        <f t="shared" si="100"/>
        <v>0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6" t="s">
        <v>95</v>
      </c>
      <c r="E285" s="32" t="s">
        <v>29</v>
      </c>
      <c r="F285" s="36" t="s">
        <v>290</v>
      </c>
      <c r="G285" s="36" t="s">
        <v>291</v>
      </c>
      <c r="H285" s="36" t="s">
        <v>352</v>
      </c>
      <c r="I285" s="37" t="s">
        <v>1098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1710</v>
      </c>
      <c r="O285" s="35">
        <v>1</v>
      </c>
      <c r="P285" s="35"/>
      <c r="Q285" s="36"/>
      <c r="S285" s="1">
        <f t="shared" si="85"/>
        <v>0</v>
      </c>
      <c r="T285" s="1">
        <f t="shared" si="86"/>
        <v>0</v>
      </c>
      <c r="U285" s="1">
        <f t="shared" si="87"/>
        <v>0</v>
      </c>
      <c r="V285" s="1">
        <f t="shared" si="88"/>
        <v>0</v>
      </c>
      <c r="W285" s="1">
        <f t="shared" si="89"/>
        <v>0</v>
      </c>
      <c r="X285" s="1">
        <f t="shared" si="90"/>
        <v>0</v>
      </c>
      <c r="Y285" s="1">
        <f t="shared" si="91"/>
        <v>0</v>
      </c>
      <c r="Z285" s="1">
        <f t="shared" si="92"/>
        <v>0</v>
      </c>
      <c r="AA285" s="1">
        <f t="shared" si="93"/>
        <v>0</v>
      </c>
      <c r="AB285" s="1">
        <f t="shared" si="94"/>
        <v>0</v>
      </c>
      <c r="AD285" s="1">
        <f t="shared" si="95"/>
        <v>0</v>
      </c>
      <c r="AE285" s="1">
        <f t="shared" si="96"/>
        <v>1</v>
      </c>
      <c r="AF285" s="1">
        <f t="shared" si="97"/>
        <v>0</v>
      </c>
      <c r="AG285" s="1">
        <f t="shared" si="98"/>
        <v>1</v>
      </c>
      <c r="AH285" s="1">
        <f t="shared" si="99"/>
        <v>0</v>
      </c>
      <c r="AI285" s="1">
        <f t="shared" si="100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6" t="s">
        <v>528</v>
      </c>
      <c r="E286" s="32" t="s">
        <v>29</v>
      </c>
      <c r="F286" s="36" t="s">
        <v>657</v>
      </c>
      <c r="G286" s="36" t="s">
        <v>39</v>
      </c>
      <c r="H286" s="36" t="s">
        <v>529</v>
      </c>
      <c r="I286" s="37" t="s">
        <v>1656</v>
      </c>
      <c r="J286" s="31">
        <v>14</v>
      </c>
      <c r="K286" s="33" t="s">
        <v>935</v>
      </c>
      <c r="L286" s="33">
        <v>40</v>
      </c>
      <c r="M286" s="34" t="s">
        <v>699</v>
      </c>
      <c r="N286" s="34" t="s">
        <v>1706</v>
      </c>
      <c r="O286" s="35">
        <v>1</v>
      </c>
      <c r="P286" s="35"/>
      <c r="Q286" s="36"/>
      <c r="S286" s="1">
        <f t="shared" si="85"/>
        <v>0</v>
      </c>
      <c r="T286" s="1">
        <f t="shared" si="86"/>
        <v>0</v>
      </c>
      <c r="U286" s="1">
        <f t="shared" si="87"/>
        <v>0</v>
      </c>
      <c r="V286" s="1">
        <f t="shared" si="88"/>
        <v>0</v>
      </c>
      <c r="W286" s="1">
        <f t="shared" si="89"/>
        <v>0</v>
      </c>
      <c r="X286" s="1">
        <f t="shared" si="90"/>
        <v>0</v>
      </c>
      <c r="Y286" s="1">
        <f t="shared" si="91"/>
        <v>0</v>
      </c>
      <c r="Z286" s="1">
        <f t="shared" si="92"/>
        <v>0</v>
      </c>
      <c r="AA286" s="1">
        <f t="shared" si="93"/>
        <v>0</v>
      </c>
      <c r="AB286" s="1">
        <f t="shared" si="94"/>
        <v>0</v>
      </c>
      <c r="AD286" s="1">
        <f t="shared" si="95"/>
        <v>0</v>
      </c>
      <c r="AE286" s="1">
        <f t="shared" si="96"/>
        <v>1</v>
      </c>
      <c r="AF286" s="1">
        <f t="shared" si="97"/>
        <v>0</v>
      </c>
      <c r="AG286" s="1">
        <f t="shared" si="98"/>
        <v>1</v>
      </c>
      <c r="AH286" s="1">
        <f t="shared" si="99"/>
        <v>0</v>
      </c>
      <c r="AI286" s="1">
        <f t="shared" si="100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6" t="s">
        <v>1295</v>
      </c>
      <c r="E287" s="32" t="s">
        <v>29</v>
      </c>
      <c r="F287" s="36" t="s">
        <v>1319</v>
      </c>
      <c r="G287" s="36" t="s">
        <v>39</v>
      </c>
      <c r="H287" s="36" t="s">
        <v>352</v>
      </c>
      <c r="I287" s="37" t="s">
        <v>1128</v>
      </c>
      <c r="J287" s="31">
        <v>99</v>
      </c>
      <c r="K287" s="33" t="s">
        <v>704</v>
      </c>
      <c r="L287" s="33" t="s">
        <v>684</v>
      </c>
      <c r="M287" s="34" t="s">
        <v>1380</v>
      </c>
      <c r="N287" s="34" t="s">
        <v>1699</v>
      </c>
      <c r="O287" s="35">
        <v>1</v>
      </c>
      <c r="P287" s="35">
        <v>1</v>
      </c>
      <c r="Q287" s="36"/>
      <c r="S287" s="1">
        <f t="shared" si="85"/>
        <v>0</v>
      </c>
      <c r="T287" s="1">
        <f t="shared" si="86"/>
        <v>0</v>
      </c>
      <c r="U287" s="1">
        <f t="shared" si="87"/>
        <v>0</v>
      </c>
      <c r="V287" s="1">
        <f t="shared" si="88"/>
        <v>0</v>
      </c>
      <c r="W287" s="1">
        <f t="shared" si="89"/>
        <v>0</v>
      </c>
      <c r="X287" s="1">
        <f t="shared" si="90"/>
        <v>0</v>
      </c>
      <c r="Y287" s="1">
        <f t="shared" si="91"/>
        <v>0</v>
      </c>
      <c r="Z287" s="1">
        <f t="shared" si="92"/>
        <v>0</v>
      </c>
      <c r="AA287" s="1">
        <f t="shared" si="93"/>
        <v>0</v>
      </c>
      <c r="AB287" s="1">
        <f t="shared" si="94"/>
        <v>0</v>
      </c>
      <c r="AD287" s="1">
        <f t="shared" si="95"/>
        <v>1</v>
      </c>
      <c r="AE287" s="1">
        <f t="shared" si="96"/>
        <v>0</v>
      </c>
      <c r="AF287" s="1">
        <f t="shared" si="97"/>
        <v>1</v>
      </c>
      <c r="AG287" s="1">
        <f t="shared" si="98"/>
        <v>0</v>
      </c>
      <c r="AH287" s="1">
        <f t="shared" si="99"/>
        <v>1</v>
      </c>
      <c r="AI287" s="1">
        <f t="shared" si="100"/>
        <v>0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2" t="s">
        <v>96</v>
      </c>
      <c r="E288" s="32" t="s">
        <v>29</v>
      </c>
      <c r="F288" s="32" t="s">
        <v>293</v>
      </c>
      <c r="G288" s="32" t="s">
        <v>262</v>
      </c>
      <c r="H288" s="32" t="s">
        <v>352</v>
      </c>
      <c r="I288" s="31" t="s">
        <v>442</v>
      </c>
      <c r="J288" s="31">
        <v>1</v>
      </c>
      <c r="K288" s="33" t="s">
        <v>704</v>
      </c>
      <c r="L288" s="33" t="s">
        <v>685</v>
      </c>
      <c r="M288" s="34" t="s">
        <v>699</v>
      </c>
      <c r="N288" s="34" t="s">
        <v>1706</v>
      </c>
      <c r="O288" s="35">
        <v>1</v>
      </c>
      <c r="P288" s="35"/>
      <c r="Q288" s="32"/>
      <c r="S288" s="1">
        <f t="shared" si="85"/>
        <v>1</v>
      </c>
      <c r="T288" s="1">
        <f t="shared" si="86"/>
        <v>0</v>
      </c>
      <c r="U288" s="1">
        <f t="shared" si="87"/>
        <v>0</v>
      </c>
      <c r="V288" s="1">
        <f t="shared" si="88"/>
        <v>0</v>
      </c>
      <c r="W288" s="1">
        <f t="shared" si="89"/>
        <v>0</v>
      </c>
      <c r="X288" s="1">
        <f t="shared" si="90"/>
        <v>0</v>
      </c>
      <c r="Y288" s="1">
        <f t="shared" si="91"/>
        <v>0</v>
      </c>
      <c r="Z288" s="1">
        <f t="shared" si="92"/>
        <v>0</v>
      </c>
      <c r="AA288" s="1">
        <f t="shared" si="93"/>
        <v>0</v>
      </c>
      <c r="AB288" s="1">
        <f t="shared" si="94"/>
        <v>0</v>
      </c>
      <c r="AD288" s="1">
        <f t="shared" si="95"/>
        <v>0</v>
      </c>
      <c r="AE288" s="1">
        <f t="shared" si="96"/>
        <v>1</v>
      </c>
      <c r="AF288" s="1">
        <f t="shared" si="97"/>
        <v>0</v>
      </c>
      <c r="AG288" s="1">
        <f t="shared" si="98"/>
        <v>1</v>
      </c>
      <c r="AH288" s="1">
        <f t="shared" si="99"/>
        <v>0</v>
      </c>
      <c r="AI288" s="1">
        <f t="shared" si="100"/>
        <v>1</v>
      </c>
    </row>
    <row r="289" spans="1:35" s="1" customFormat="1" ht="14.25" customHeight="1" x14ac:dyDescent="0.25">
      <c r="A289" s="15">
        <v>0</v>
      </c>
      <c r="B289" s="15">
        <v>1</v>
      </c>
      <c r="C289" s="15">
        <v>7</v>
      </c>
      <c r="D289" s="16" t="s">
        <v>745</v>
      </c>
      <c r="E289" s="16" t="s">
        <v>29</v>
      </c>
      <c r="F289" s="20" t="s">
        <v>2056</v>
      </c>
      <c r="G289" s="16" t="s">
        <v>39</v>
      </c>
      <c r="H289" s="20" t="s">
        <v>365</v>
      </c>
      <c r="I289" s="21" t="s">
        <v>2057</v>
      </c>
      <c r="J289" s="15">
        <v>18</v>
      </c>
      <c r="K289" s="10" t="s">
        <v>694</v>
      </c>
      <c r="L289" s="10" t="s">
        <v>688</v>
      </c>
      <c r="M289" s="19" t="s">
        <v>699</v>
      </c>
      <c r="N289" s="17"/>
      <c r="Q289" s="16"/>
      <c r="S289" s="1">
        <f t="shared" si="85"/>
        <v>0</v>
      </c>
      <c r="T289" s="1">
        <f t="shared" si="86"/>
        <v>0</v>
      </c>
      <c r="U289" s="1">
        <f t="shared" si="87"/>
        <v>0</v>
      </c>
      <c r="V289" s="1">
        <f t="shared" si="88"/>
        <v>0</v>
      </c>
      <c r="W289" s="1">
        <f t="shared" si="89"/>
        <v>0</v>
      </c>
      <c r="X289" s="1">
        <f t="shared" si="90"/>
        <v>0</v>
      </c>
      <c r="Y289" s="1">
        <f t="shared" si="91"/>
        <v>0</v>
      </c>
      <c r="Z289" s="1">
        <f t="shared" si="92"/>
        <v>0</v>
      </c>
      <c r="AA289" s="1">
        <f t="shared" si="93"/>
        <v>0</v>
      </c>
      <c r="AB289" s="1">
        <f t="shared" si="94"/>
        <v>0</v>
      </c>
      <c r="AD289" s="1">
        <f t="shared" si="95"/>
        <v>0</v>
      </c>
      <c r="AE289" s="1">
        <f t="shared" si="96"/>
        <v>0</v>
      </c>
      <c r="AF289" s="1">
        <f t="shared" si="97"/>
        <v>0</v>
      </c>
      <c r="AG289" s="1">
        <f t="shared" si="98"/>
        <v>0</v>
      </c>
      <c r="AH289" s="1">
        <f t="shared" si="99"/>
        <v>0</v>
      </c>
      <c r="AI289" s="1">
        <f t="shared" si="100"/>
        <v>1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6" t="s">
        <v>1486</v>
      </c>
      <c r="E290" s="32" t="s">
        <v>29</v>
      </c>
      <c r="F290" s="36" t="s">
        <v>1638</v>
      </c>
      <c r="G290" s="36" t="s">
        <v>1639</v>
      </c>
      <c r="H290" s="36" t="s">
        <v>352</v>
      </c>
      <c r="I290" s="37" t="s">
        <v>1487</v>
      </c>
      <c r="J290" s="31">
        <v>99</v>
      </c>
      <c r="K290" s="33" t="s">
        <v>704</v>
      </c>
      <c r="L290" s="33" t="s">
        <v>39</v>
      </c>
      <c r="M290" s="34" t="s">
        <v>39</v>
      </c>
      <c r="N290" s="34" t="s">
        <v>1693</v>
      </c>
      <c r="O290" s="35">
        <v>1</v>
      </c>
      <c r="P290" s="35">
        <v>1</v>
      </c>
      <c r="Q290" s="36"/>
      <c r="S290" s="1">
        <f t="shared" si="85"/>
        <v>0</v>
      </c>
      <c r="T290" s="1">
        <f t="shared" si="86"/>
        <v>0</v>
      </c>
      <c r="U290" s="1">
        <f t="shared" si="87"/>
        <v>0</v>
      </c>
      <c r="V290" s="1">
        <f t="shared" si="88"/>
        <v>0</v>
      </c>
      <c r="W290" s="1">
        <f t="shared" si="89"/>
        <v>0</v>
      </c>
      <c r="X290" s="1">
        <f t="shared" si="90"/>
        <v>0</v>
      </c>
      <c r="Y290" s="1">
        <f t="shared" si="91"/>
        <v>0</v>
      </c>
      <c r="Z290" s="1">
        <f t="shared" si="92"/>
        <v>0</v>
      </c>
      <c r="AA290" s="1">
        <f t="shared" si="93"/>
        <v>0</v>
      </c>
      <c r="AB290" s="1">
        <f t="shared" si="94"/>
        <v>0</v>
      </c>
      <c r="AD290" s="1">
        <f t="shared" si="95"/>
        <v>1</v>
      </c>
      <c r="AE290" s="1">
        <f t="shared" si="96"/>
        <v>0</v>
      </c>
      <c r="AF290" s="1">
        <f t="shared" si="97"/>
        <v>1</v>
      </c>
      <c r="AG290" s="1">
        <f t="shared" si="98"/>
        <v>0</v>
      </c>
      <c r="AH290" s="1">
        <f t="shared" si="99"/>
        <v>1</v>
      </c>
      <c r="AI290" s="1">
        <f t="shared" si="100"/>
        <v>0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2" t="s">
        <v>1122</v>
      </c>
      <c r="E291" s="32" t="s">
        <v>29</v>
      </c>
      <c r="F291" s="32" t="s">
        <v>1123</v>
      </c>
      <c r="G291" s="32" t="s">
        <v>1125</v>
      </c>
      <c r="H291" s="32" t="s">
        <v>352</v>
      </c>
      <c r="I291" s="31" t="s">
        <v>1124</v>
      </c>
      <c r="J291" s="31">
        <v>99</v>
      </c>
      <c r="K291" s="33" t="s">
        <v>694</v>
      </c>
      <c r="L291" s="33">
        <v>30</v>
      </c>
      <c r="M291" s="34" t="s">
        <v>1381</v>
      </c>
      <c r="N291" s="34" t="s">
        <v>1810</v>
      </c>
      <c r="O291" s="35">
        <v>1</v>
      </c>
      <c r="P291" s="35"/>
      <c r="Q291" s="32"/>
      <c r="S291" s="1">
        <f t="shared" si="85"/>
        <v>0</v>
      </c>
      <c r="T291" s="1">
        <f t="shared" si="86"/>
        <v>0</v>
      </c>
      <c r="U291" s="1">
        <f t="shared" si="87"/>
        <v>0</v>
      </c>
      <c r="V291" s="1">
        <f t="shared" si="88"/>
        <v>0</v>
      </c>
      <c r="W291" s="1">
        <f t="shared" si="89"/>
        <v>0</v>
      </c>
      <c r="X291" s="1">
        <f t="shared" si="90"/>
        <v>0</v>
      </c>
      <c r="Y291" s="1">
        <f t="shared" si="91"/>
        <v>0</v>
      </c>
      <c r="Z291" s="1">
        <f t="shared" si="92"/>
        <v>0</v>
      </c>
      <c r="AA291" s="1">
        <f t="shared" si="93"/>
        <v>0</v>
      </c>
      <c r="AB291" s="1">
        <f t="shared" si="94"/>
        <v>0</v>
      </c>
      <c r="AD291" s="1">
        <f t="shared" si="95"/>
        <v>0</v>
      </c>
      <c r="AE291" s="1">
        <f t="shared" si="96"/>
        <v>1</v>
      </c>
      <c r="AF291" s="1">
        <f t="shared" si="97"/>
        <v>0</v>
      </c>
      <c r="AG291" s="1">
        <f t="shared" si="98"/>
        <v>1</v>
      </c>
      <c r="AH291" s="1">
        <f t="shared" si="99"/>
        <v>0</v>
      </c>
      <c r="AI291" s="1">
        <f t="shared" si="100"/>
        <v>1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2" t="s">
        <v>98</v>
      </c>
      <c r="E292" s="32" t="s">
        <v>29</v>
      </c>
      <c r="F292" s="32" t="s">
        <v>295</v>
      </c>
      <c r="G292" s="32" t="s">
        <v>196</v>
      </c>
      <c r="H292" s="32" t="s">
        <v>352</v>
      </c>
      <c r="I292" s="31" t="s">
        <v>443</v>
      </c>
      <c r="J292" s="31">
        <v>9</v>
      </c>
      <c r="K292" s="33" t="s">
        <v>694</v>
      </c>
      <c r="L292" s="33">
        <v>30</v>
      </c>
      <c r="M292" s="34" t="s">
        <v>699</v>
      </c>
      <c r="N292" s="34" t="s">
        <v>1706</v>
      </c>
      <c r="O292" s="35">
        <v>1</v>
      </c>
      <c r="P292" s="35"/>
      <c r="Q292" s="32"/>
      <c r="S292" s="1">
        <f t="shared" si="85"/>
        <v>0</v>
      </c>
      <c r="T292" s="1">
        <f t="shared" si="86"/>
        <v>0</v>
      </c>
      <c r="U292" s="1">
        <f t="shared" si="87"/>
        <v>0</v>
      </c>
      <c r="V292" s="1">
        <f t="shared" si="88"/>
        <v>0</v>
      </c>
      <c r="W292" s="1">
        <f t="shared" si="89"/>
        <v>0</v>
      </c>
      <c r="X292" s="1">
        <f t="shared" si="90"/>
        <v>0</v>
      </c>
      <c r="Y292" s="1">
        <f t="shared" si="91"/>
        <v>0</v>
      </c>
      <c r="Z292" s="1">
        <f t="shared" si="92"/>
        <v>0</v>
      </c>
      <c r="AA292" s="1">
        <f t="shared" si="93"/>
        <v>1</v>
      </c>
      <c r="AB292" s="1">
        <f t="shared" si="94"/>
        <v>0</v>
      </c>
      <c r="AD292" s="1">
        <f t="shared" si="95"/>
        <v>0</v>
      </c>
      <c r="AE292" s="1">
        <f t="shared" si="96"/>
        <v>1</v>
      </c>
      <c r="AF292" s="1">
        <f t="shared" si="97"/>
        <v>0</v>
      </c>
      <c r="AG292" s="1">
        <f t="shared" si="98"/>
        <v>1</v>
      </c>
      <c r="AH292" s="1">
        <f t="shared" si="99"/>
        <v>0</v>
      </c>
      <c r="AI292" s="1">
        <f t="shared" si="100"/>
        <v>1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2" t="s">
        <v>788</v>
      </c>
      <c r="E293" s="32" t="s">
        <v>29</v>
      </c>
      <c r="F293" s="32" t="s">
        <v>767</v>
      </c>
      <c r="G293" s="32" t="s">
        <v>789</v>
      </c>
      <c r="H293" s="32" t="s">
        <v>352</v>
      </c>
      <c r="I293" s="31" t="s">
        <v>933</v>
      </c>
      <c r="J293" s="31">
        <v>99</v>
      </c>
      <c r="K293" s="33" t="s">
        <v>704</v>
      </c>
      <c r="L293" s="33" t="s">
        <v>685</v>
      </c>
      <c r="M293" s="34" t="s">
        <v>699</v>
      </c>
      <c r="N293" s="34" t="s">
        <v>1786</v>
      </c>
      <c r="O293" s="35">
        <v>1</v>
      </c>
      <c r="P293" s="35"/>
      <c r="Q293" s="32"/>
      <c r="S293" s="1">
        <f t="shared" si="85"/>
        <v>0</v>
      </c>
      <c r="T293" s="1">
        <f t="shared" si="86"/>
        <v>0</v>
      </c>
      <c r="U293" s="1">
        <f t="shared" si="87"/>
        <v>0</v>
      </c>
      <c r="V293" s="1">
        <f t="shared" si="88"/>
        <v>0</v>
      </c>
      <c r="W293" s="1">
        <f t="shared" si="89"/>
        <v>0</v>
      </c>
      <c r="X293" s="1">
        <f t="shared" si="90"/>
        <v>0</v>
      </c>
      <c r="Y293" s="1">
        <f t="shared" si="91"/>
        <v>0</v>
      </c>
      <c r="Z293" s="1">
        <f t="shared" si="92"/>
        <v>0</v>
      </c>
      <c r="AA293" s="1">
        <f t="shared" si="93"/>
        <v>0</v>
      </c>
      <c r="AB293" s="1">
        <f t="shared" si="94"/>
        <v>0</v>
      </c>
      <c r="AD293" s="1">
        <f t="shared" si="95"/>
        <v>0</v>
      </c>
      <c r="AE293" s="1">
        <f t="shared" si="96"/>
        <v>1</v>
      </c>
      <c r="AF293" s="1">
        <f t="shared" si="97"/>
        <v>0</v>
      </c>
      <c r="AG293" s="1">
        <f t="shared" si="98"/>
        <v>1</v>
      </c>
      <c r="AH293" s="1">
        <f t="shared" si="99"/>
        <v>0</v>
      </c>
      <c r="AI293" s="1">
        <f t="shared" si="100"/>
        <v>1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2" t="s">
        <v>1298</v>
      </c>
      <c r="E294" s="32" t="s">
        <v>29</v>
      </c>
      <c r="F294" s="32" t="s">
        <v>1321</v>
      </c>
      <c r="G294" s="32" t="s">
        <v>1159</v>
      </c>
      <c r="H294" s="32" t="s">
        <v>352</v>
      </c>
      <c r="I294" s="31" t="s">
        <v>1658</v>
      </c>
      <c r="J294" s="31">
        <v>99</v>
      </c>
      <c r="K294" s="33" t="s">
        <v>704</v>
      </c>
      <c r="L294" s="33" t="s">
        <v>685</v>
      </c>
      <c r="M294" s="34" t="s">
        <v>1382</v>
      </c>
      <c r="N294" s="34" t="s">
        <v>1723</v>
      </c>
      <c r="O294" s="35">
        <v>1</v>
      </c>
      <c r="P294" s="35"/>
      <c r="Q294" s="32"/>
      <c r="S294" s="1">
        <f t="shared" si="85"/>
        <v>0</v>
      </c>
      <c r="T294" s="1">
        <f t="shared" si="86"/>
        <v>0</v>
      </c>
      <c r="U294" s="1">
        <f t="shared" si="87"/>
        <v>0</v>
      </c>
      <c r="V294" s="1">
        <f t="shared" si="88"/>
        <v>0</v>
      </c>
      <c r="W294" s="1">
        <f t="shared" si="89"/>
        <v>0</v>
      </c>
      <c r="X294" s="1">
        <f t="shared" si="90"/>
        <v>0</v>
      </c>
      <c r="Y294" s="1">
        <f t="shared" si="91"/>
        <v>0</v>
      </c>
      <c r="Z294" s="1">
        <f t="shared" si="92"/>
        <v>0</v>
      </c>
      <c r="AA294" s="1">
        <f t="shared" si="93"/>
        <v>0</v>
      </c>
      <c r="AB294" s="1">
        <f t="shared" si="94"/>
        <v>0</v>
      </c>
      <c r="AD294" s="1">
        <f t="shared" si="95"/>
        <v>0</v>
      </c>
      <c r="AE294" s="1">
        <f t="shared" si="96"/>
        <v>1</v>
      </c>
      <c r="AF294" s="1">
        <f t="shared" si="97"/>
        <v>0</v>
      </c>
      <c r="AG294" s="1">
        <f t="shared" si="98"/>
        <v>1</v>
      </c>
      <c r="AH294" s="1">
        <f t="shared" si="99"/>
        <v>0</v>
      </c>
      <c r="AI294" s="1">
        <f t="shared" si="100"/>
        <v>1</v>
      </c>
    </row>
    <row r="295" spans="1:35" s="1" customFormat="1" ht="14.25" customHeight="1" x14ac:dyDescent="0.25">
      <c r="A295" s="15">
        <v>0</v>
      </c>
      <c r="B295" s="15">
        <v>1</v>
      </c>
      <c r="C295" s="15">
        <v>7</v>
      </c>
      <c r="D295" s="20" t="s">
        <v>1253</v>
      </c>
      <c r="E295" s="20" t="s">
        <v>29</v>
      </c>
      <c r="F295" s="20" t="s">
        <v>1254</v>
      </c>
      <c r="G295" s="16" t="s">
        <v>1255</v>
      </c>
      <c r="H295" s="20" t="s">
        <v>352</v>
      </c>
      <c r="I295" s="21" t="s">
        <v>1256</v>
      </c>
      <c r="J295" s="15">
        <v>99</v>
      </c>
      <c r="K295" s="10" t="s">
        <v>704</v>
      </c>
      <c r="L295" s="10" t="s">
        <v>685</v>
      </c>
      <c r="M295" s="19" t="s">
        <v>699</v>
      </c>
      <c r="N295" s="17"/>
      <c r="Q295" s="16"/>
      <c r="S295" s="1">
        <f t="shared" si="85"/>
        <v>0</v>
      </c>
      <c r="T295" s="1">
        <f t="shared" si="86"/>
        <v>0</v>
      </c>
      <c r="U295" s="1">
        <f t="shared" si="87"/>
        <v>0</v>
      </c>
      <c r="V295" s="1">
        <f t="shared" si="88"/>
        <v>0</v>
      </c>
      <c r="W295" s="1">
        <f t="shared" si="89"/>
        <v>0</v>
      </c>
      <c r="X295" s="1">
        <f t="shared" si="90"/>
        <v>0</v>
      </c>
      <c r="Y295" s="1">
        <f t="shared" si="91"/>
        <v>0</v>
      </c>
      <c r="Z295" s="1">
        <f t="shared" si="92"/>
        <v>0</v>
      </c>
      <c r="AA295" s="1">
        <f t="shared" si="93"/>
        <v>0</v>
      </c>
      <c r="AB295" s="1">
        <f t="shared" si="94"/>
        <v>0</v>
      </c>
      <c r="AD295" s="1">
        <f t="shared" si="95"/>
        <v>0</v>
      </c>
      <c r="AE295" s="1">
        <f t="shared" si="96"/>
        <v>0</v>
      </c>
      <c r="AF295" s="1">
        <f t="shared" si="97"/>
        <v>0</v>
      </c>
      <c r="AG295" s="1">
        <f t="shared" si="98"/>
        <v>0</v>
      </c>
      <c r="AH295" s="1">
        <f t="shared" si="99"/>
        <v>0</v>
      </c>
      <c r="AI295" s="1">
        <f t="shared" si="100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700</v>
      </c>
      <c r="E296" s="32" t="s">
        <v>29</v>
      </c>
      <c r="F296" s="32" t="s">
        <v>701</v>
      </c>
      <c r="G296" s="32" t="s">
        <v>183</v>
      </c>
      <c r="H296" s="32" t="s">
        <v>352</v>
      </c>
      <c r="I296" s="31" t="s">
        <v>702</v>
      </c>
      <c r="J296" s="31">
        <v>99</v>
      </c>
      <c r="K296" s="33" t="s">
        <v>936</v>
      </c>
      <c r="L296" s="33" t="s">
        <v>39</v>
      </c>
      <c r="M296" s="34" t="s">
        <v>39</v>
      </c>
      <c r="N296" s="34" t="s">
        <v>1699</v>
      </c>
      <c r="O296" s="35">
        <v>1</v>
      </c>
      <c r="P296" s="35">
        <v>1</v>
      </c>
      <c r="Q296" s="32"/>
      <c r="S296" s="1">
        <f t="shared" si="85"/>
        <v>0</v>
      </c>
      <c r="T296" s="1">
        <f t="shared" si="86"/>
        <v>0</v>
      </c>
      <c r="U296" s="1">
        <f t="shared" si="87"/>
        <v>0</v>
      </c>
      <c r="V296" s="1">
        <f t="shared" si="88"/>
        <v>0</v>
      </c>
      <c r="W296" s="1">
        <f t="shared" si="89"/>
        <v>0</v>
      </c>
      <c r="X296" s="1">
        <f t="shared" si="90"/>
        <v>0</v>
      </c>
      <c r="Y296" s="1">
        <f t="shared" si="91"/>
        <v>0</v>
      </c>
      <c r="Z296" s="1">
        <f t="shared" si="92"/>
        <v>0</v>
      </c>
      <c r="AA296" s="1">
        <f t="shared" si="93"/>
        <v>0</v>
      </c>
      <c r="AB296" s="1">
        <f t="shared" si="94"/>
        <v>0</v>
      </c>
      <c r="AD296" s="1">
        <f t="shared" si="95"/>
        <v>1</v>
      </c>
      <c r="AE296" s="1">
        <f t="shared" si="96"/>
        <v>0</v>
      </c>
      <c r="AF296" s="1">
        <f t="shared" si="97"/>
        <v>1</v>
      </c>
      <c r="AG296" s="1">
        <f t="shared" si="98"/>
        <v>0</v>
      </c>
      <c r="AH296" s="1">
        <f t="shared" si="99"/>
        <v>1</v>
      </c>
      <c r="AI296" s="1">
        <f t="shared" si="100"/>
        <v>0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6" t="s">
        <v>2087</v>
      </c>
      <c r="E297" s="36" t="s">
        <v>29</v>
      </c>
      <c r="F297" s="36" t="s">
        <v>2088</v>
      </c>
      <c r="G297" s="36" t="s">
        <v>239</v>
      </c>
      <c r="H297" s="36" t="s">
        <v>352</v>
      </c>
      <c r="I297" s="37" t="s">
        <v>2089</v>
      </c>
      <c r="J297" s="31">
        <v>1</v>
      </c>
      <c r="K297" s="33" t="s">
        <v>694</v>
      </c>
      <c r="L297" s="33"/>
      <c r="M297" s="34"/>
      <c r="N297" s="34" t="s">
        <v>1710</v>
      </c>
      <c r="O297" s="35">
        <v>1</v>
      </c>
      <c r="P297" s="35"/>
      <c r="Q297" s="32" t="s">
        <v>2090</v>
      </c>
      <c r="S297" s="1">
        <f t="shared" si="85"/>
        <v>1</v>
      </c>
      <c r="T297" s="1">
        <f t="shared" si="86"/>
        <v>0</v>
      </c>
      <c r="U297" s="1">
        <f t="shared" si="87"/>
        <v>0</v>
      </c>
      <c r="V297" s="1">
        <f t="shared" si="88"/>
        <v>0</v>
      </c>
      <c r="W297" s="1">
        <f t="shared" si="89"/>
        <v>0</v>
      </c>
      <c r="X297" s="1">
        <f t="shared" si="90"/>
        <v>0</v>
      </c>
      <c r="Y297" s="1">
        <f t="shared" si="91"/>
        <v>0</v>
      </c>
      <c r="Z297" s="1">
        <f t="shared" si="92"/>
        <v>0</v>
      </c>
      <c r="AA297" s="1">
        <f t="shared" si="93"/>
        <v>0</v>
      </c>
      <c r="AB297" s="1">
        <f t="shared" si="94"/>
        <v>0</v>
      </c>
      <c r="AD297" s="1">
        <f t="shared" si="95"/>
        <v>0</v>
      </c>
      <c r="AE297" s="1">
        <f t="shared" si="96"/>
        <v>1</v>
      </c>
      <c r="AF297" s="1">
        <f t="shared" si="97"/>
        <v>0</v>
      </c>
      <c r="AG297" s="1">
        <f t="shared" si="98"/>
        <v>1</v>
      </c>
      <c r="AH297" s="1">
        <f t="shared" si="99"/>
        <v>0</v>
      </c>
      <c r="AI297" s="1">
        <f t="shared" si="100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532</v>
      </c>
      <c r="E298" s="32" t="s">
        <v>34</v>
      </c>
      <c r="F298" s="32" t="s">
        <v>533</v>
      </c>
      <c r="G298" s="32" t="s">
        <v>219</v>
      </c>
      <c r="H298" s="32" t="s">
        <v>352</v>
      </c>
      <c r="I298" s="31" t="s">
        <v>534</v>
      </c>
      <c r="J298" s="31">
        <v>8</v>
      </c>
      <c r="K298" s="33" t="s">
        <v>704</v>
      </c>
      <c r="L298" s="33" t="s">
        <v>704</v>
      </c>
      <c r="M298" s="34" t="s">
        <v>705</v>
      </c>
      <c r="N298" s="34" t="s">
        <v>1710</v>
      </c>
      <c r="O298" s="35">
        <v>1</v>
      </c>
      <c r="P298" s="35"/>
      <c r="Q298" s="32"/>
      <c r="S298" s="1">
        <f t="shared" si="85"/>
        <v>0</v>
      </c>
      <c r="T298" s="1">
        <f t="shared" si="86"/>
        <v>0</v>
      </c>
      <c r="U298" s="1">
        <f t="shared" si="87"/>
        <v>0</v>
      </c>
      <c r="V298" s="1">
        <f t="shared" si="88"/>
        <v>0</v>
      </c>
      <c r="W298" s="1">
        <f t="shared" si="89"/>
        <v>0</v>
      </c>
      <c r="X298" s="1">
        <f t="shared" si="90"/>
        <v>0</v>
      </c>
      <c r="Y298" s="1">
        <f t="shared" si="91"/>
        <v>0</v>
      </c>
      <c r="Z298" s="1">
        <f t="shared" si="92"/>
        <v>1</v>
      </c>
      <c r="AA298" s="1">
        <f t="shared" si="93"/>
        <v>0</v>
      </c>
      <c r="AB298" s="1">
        <f t="shared" si="94"/>
        <v>0</v>
      </c>
      <c r="AD298" s="1">
        <f t="shared" si="95"/>
        <v>0</v>
      </c>
      <c r="AE298" s="1">
        <f t="shared" si="96"/>
        <v>1</v>
      </c>
      <c r="AF298" s="1">
        <f t="shared" si="97"/>
        <v>0</v>
      </c>
      <c r="AG298" s="1">
        <f t="shared" si="98"/>
        <v>1</v>
      </c>
      <c r="AH298" s="1">
        <f t="shared" si="99"/>
        <v>0</v>
      </c>
      <c r="AI298" s="1">
        <f t="shared" si="100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1264</v>
      </c>
      <c r="E299" s="32" t="s">
        <v>555</v>
      </c>
      <c r="F299" s="32" t="s">
        <v>1265</v>
      </c>
      <c r="G299" s="32" t="s">
        <v>229</v>
      </c>
      <c r="H299" s="32" t="s">
        <v>352</v>
      </c>
      <c r="I299" s="31" t="s">
        <v>1266</v>
      </c>
      <c r="J299" s="31">
        <v>7</v>
      </c>
      <c r="K299" s="33" t="s">
        <v>704</v>
      </c>
      <c r="L299" s="33" t="s">
        <v>704</v>
      </c>
      <c r="M299" s="34" t="s">
        <v>705</v>
      </c>
      <c r="N299" s="34" t="s">
        <v>1718</v>
      </c>
      <c r="O299" s="35">
        <v>1</v>
      </c>
      <c r="P299" s="35"/>
      <c r="Q299" s="32"/>
      <c r="S299" s="1">
        <f t="shared" si="85"/>
        <v>0</v>
      </c>
      <c r="T299" s="1">
        <f t="shared" si="86"/>
        <v>0</v>
      </c>
      <c r="U299" s="1">
        <f t="shared" si="87"/>
        <v>0</v>
      </c>
      <c r="V299" s="1">
        <f t="shared" si="88"/>
        <v>0</v>
      </c>
      <c r="W299" s="1">
        <f t="shared" si="89"/>
        <v>0</v>
      </c>
      <c r="X299" s="1">
        <f t="shared" si="90"/>
        <v>0</v>
      </c>
      <c r="Y299" s="1">
        <f t="shared" si="91"/>
        <v>1</v>
      </c>
      <c r="Z299" s="1">
        <f t="shared" si="92"/>
        <v>0</v>
      </c>
      <c r="AA299" s="1">
        <f t="shared" si="93"/>
        <v>0</v>
      </c>
      <c r="AB299" s="1">
        <f t="shared" si="94"/>
        <v>0</v>
      </c>
      <c r="AD299" s="1">
        <f t="shared" si="95"/>
        <v>0</v>
      </c>
      <c r="AE299" s="1">
        <f t="shared" si="96"/>
        <v>1</v>
      </c>
      <c r="AF299" s="1">
        <f t="shared" si="97"/>
        <v>0</v>
      </c>
      <c r="AG299" s="1">
        <f t="shared" si="98"/>
        <v>1</v>
      </c>
      <c r="AH299" s="1">
        <f t="shared" si="99"/>
        <v>0</v>
      </c>
      <c r="AI299" s="1">
        <f t="shared" si="100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1300</v>
      </c>
      <c r="E300" s="32" t="s">
        <v>555</v>
      </c>
      <c r="F300" s="32" t="s">
        <v>1943</v>
      </c>
      <c r="G300" s="32" t="s">
        <v>212</v>
      </c>
      <c r="H300" s="32" t="s">
        <v>352</v>
      </c>
      <c r="I300" s="31" t="s">
        <v>1134</v>
      </c>
      <c r="J300" s="31">
        <v>1</v>
      </c>
      <c r="K300" s="33" t="s">
        <v>935</v>
      </c>
      <c r="L300" s="33" t="s">
        <v>704</v>
      </c>
      <c r="M300" s="34" t="s">
        <v>705</v>
      </c>
      <c r="N300" s="34" t="s">
        <v>1723</v>
      </c>
      <c r="O300" s="35">
        <v>1</v>
      </c>
      <c r="P300" s="35"/>
      <c r="Q300" s="32"/>
      <c r="S300" s="1">
        <f t="shared" si="85"/>
        <v>1</v>
      </c>
      <c r="T300" s="1">
        <f t="shared" si="86"/>
        <v>0</v>
      </c>
      <c r="U300" s="1">
        <f t="shared" si="87"/>
        <v>0</v>
      </c>
      <c r="V300" s="1">
        <f t="shared" si="88"/>
        <v>0</v>
      </c>
      <c r="W300" s="1">
        <f t="shared" si="89"/>
        <v>0</v>
      </c>
      <c r="X300" s="1">
        <f t="shared" si="90"/>
        <v>0</v>
      </c>
      <c r="Y300" s="1">
        <f t="shared" si="91"/>
        <v>0</v>
      </c>
      <c r="Z300" s="1">
        <f t="shared" si="92"/>
        <v>0</v>
      </c>
      <c r="AA300" s="1">
        <f t="shared" si="93"/>
        <v>0</v>
      </c>
      <c r="AB300" s="1">
        <f t="shared" si="94"/>
        <v>0</v>
      </c>
      <c r="AD300" s="1">
        <f t="shared" si="95"/>
        <v>0</v>
      </c>
      <c r="AE300" s="1">
        <f t="shared" si="96"/>
        <v>1</v>
      </c>
      <c r="AF300" s="1">
        <f t="shared" si="97"/>
        <v>0</v>
      </c>
      <c r="AG300" s="1">
        <f t="shared" si="98"/>
        <v>1</v>
      </c>
      <c r="AH300" s="1">
        <f t="shared" si="99"/>
        <v>0</v>
      </c>
      <c r="AI300" s="1">
        <f t="shared" si="100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1301</v>
      </c>
      <c r="E301" s="32" t="s">
        <v>555</v>
      </c>
      <c r="F301" s="32" t="s">
        <v>1129</v>
      </c>
      <c r="G301" s="32" t="s">
        <v>283</v>
      </c>
      <c r="H301" s="32" t="s">
        <v>352</v>
      </c>
      <c r="I301" s="31" t="s">
        <v>1130</v>
      </c>
      <c r="J301" s="31">
        <v>10</v>
      </c>
      <c r="K301" s="33" t="s">
        <v>935</v>
      </c>
      <c r="L301" s="33" t="s">
        <v>704</v>
      </c>
      <c r="M301" s="34" t="s">
        <v>705</v>
      </c>
      <c r="N301" s="34" t="s">
        <v>1723</v>
      </c>
      <c r="O301" s="35">
        <v>1</v>
      </c>
      <c r="P301" s="35"/>
      <c r="Q301" s="32"/>
      <c r="S301" s="1">
        <f t="shared" si="85"/>
        <v>0</v>
      </c>
      <c r="T301" s="1">
        <f t="shared" si="86"/>
        <v>0</v>
      </c>
      <c r="U301" s="1">
        <f t="shared" si="87"/>
        <v>0</v>
      </c>
      <c r="V301" s="1">
        <f t="shared" si="88"/>
        <v>0</v>
      </c>
      <c r="W301" s="1">
        <f t="shared" si="89"/>
        <v>0</v>
      </c>
      <c r="X301" s="1">
        <f t="shared" si="90"/>
        <v>0</v>
      </c>
      <c r="Y301" s="1">
        <f t="shared" si="91"/>
        <v>0</v>
      </c>
      <c r="Z301" s="1">
        <f t="shared" si="92"/>
        <v>0</v>
      </c>
      <c r="AA301" s="1">
        <f t="shared" si="93"/>
        <v>0</v>
      </c>
      <c r="AB301" s="1">
        <f t="shared" si="94"/>
        <v>1</v>
      </c>
      <c r="AD301" s="1">
        <f t="shared" si="95"/>
        <v>0</v>
      </c>
      <c r="AE301" s="1">
        <f t="shared" si="96"/>
        <v>1</v>
      </c>
      <c r="AF301" s="1">
        <f t="shared" si="97"/>
        <v>0</v>
      </c>
      <c r="AG301" s="1">
        <f t="shared" si="98"/>
        <v>1</v>
      </c>
      <c r="AH301" s="1">
        <f t="shared" si="99"/>
        <v>0</v>
      </c>
      <c r="AI301" s="1">
        <f t="shared" si="100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2022</v>
      </c>
      <c r="E302" s="32" t="s">
        <v>36</v>
      </c>
      <c r="F302" s="32" t="s">
        <v>2023</v>
      </c>
      <c r="G302" s="32" t="s">
        <v>1452</v>
      </c>
      <c r="H302" s="32" t="s">
        <v>352</v>
      </c>
      <c r="I302" s="31" t="s">
        <v>2025</v>
      </c>
      <c r="J302" s="31">
        <v>99</v>
      </c>
      <c r="K302" s="33" t="s">
        <v>694</v>
      </c>
      <c r="L302" s="33">
        <v>7</v>
      </c>
      <c r="M302" s="34" t="s">
        <v>2024</v>
      </c>
      <c r="N302" s="34" t="s">
        <v>1699</v>
      </c>
      <c r="O302" s="35">
        <v>1</v>
      </c>
      <c r="P302" s="35">
        <v>1</v>
      </c>
      <c r="Q302" s="32" t="s">
        <v>2026</v>
      </c>
      <c r="S302" s="1">
        <f t="shared" si="85"/>
        <v>0</v>
      </c>
      <c r="T302" s="1">
        <f t="shared" si="86"/>
        <v>0</v>
      </c>
      <c r="U302" s="1">
        <f t="shared" si="87"/>
        <v>0</v>
      </c>
      <c r="V302" s="1">
        <f t="shared" si="88"/>
        <v>0</v>
      </c>
      <c r="W302" s="1">
        <f t="shared" si="89"/>
        <v>0</v>
      </c>
      <c r="X302" s="1">
        <f t="shared" si="90"/>
        <v>0</v>
      </c>
      <c r="Y302" s="1">
        <f t="shared" si="91"/>
        <v>0</v>
      </c>
      <c r="Z302" s="1">
        <f t="shared" si="92"/>
        <v>0</v>
      </c>
      <c r="AA302" s="1">
        <f t="shared" si="93"/>
        <v>0</v>
      </c>
      <c r="AB302" s="1">
        <f t="shared" si="94"/>
        <v>0</v>
      </c>
      <c r="AD302" s="1">
        <f t="shared" si="95"/>
        <v>1</v>
      </c>
      <c r="AE302" s="1">
        <f t="shared" si="96"/>
        <v>0</v>
      </c>
      <c r="AF302" s="1">
        <f t="shared" si="97"/>
        <v>1</v>
      </c>
      <c r="AG302" s="1">
        <f t="shared" si="98"/>
        <v>0</v>
      </c>
      <c r="AH302" s="1">
        <f t="shared" si="99"/>
        <v>1</v>
      </c>
      <c r="AI302" s="1">
        <f t="shared" si="100"/>
        <v>0</v>
      </c>
    </row>
    <row r="303" spans="1:35" s="1" customFormat="1" ht="14.25" customHeight="1" x14ac:dyDescent="0.25">
      <c r="A303" s="15">
        <v>0</v>
      </c>
      <c r="B303" s="15">
        <v>2</v>
      </c>
      <c r="C303" s="15">
        <v>1</v>
      </c>
      <c r="D303" s="16" t="s">
        <v>508</v>
      </c>
      <c r="E303" s="16" t="s">
        <v>34</v>
      </c>
      <c r="F303" s="16" t="s">
        <v>507</v>
      </c>
      <c r="G303" s="16" t="s">
        <v>542</v>
      </c>
      <c r="H303" s="16" t="s">
        <v>352</v>
      </c>
      <c r="I303" s="15" t="s">
        <v>1336</v>
      </c>
      <c r="J303" s="15">
        <v>99</v>
      </c>
      <c r="K303" s="10" t="s">
        <v>936</v>
      </c>
      <c r="L303" s="10" t="s">
        <v>704</v>
      </c>
      <c r="M303" s="19" t="s">
        <v>705</v>
      </c>
      <c r="N303" s="19"/>
      <c r="Q303" s="20" t="s">
        <v>1966</v>
      </c>
      <c r="S303" s="1">
        <f t="shared" si="85"/>
        <v>0</v>
      </c>
      <c r="T303" s="1">
        <f t="shared" si="86"/>
        <v>0</v>
      </c>
      <c r="U303" s="1">
        <f t="shared" si="87"/>
        <v>0</v>
      </c>
      <c r="V303" s="1">
        <f t="shared" si="88"/>
        <v>0</v>
      </c>
      <c r="W303" s="1">
        <f t="shared" si="89"/>
        <v>0</v>
      </c>
      <c r="X303" s="1">
        <f t="shared" si="90"/>
        <v>0</v>
      </c>
      <c r="Y303" s="1">
        <f t="shared" si="91"/>
        <v>0</v>
      </c>
      <c r="Z303" s="1">
        <f t="shared" si="92"/>
        <v>0</v>
      </c>
      <c r="AA303" s="1">
        <f t="shared" si="93"/>
        <v>0</v>
      </c>
      <c r="AB303" s="1">
        <f t="shared" si="94"/>
        <v>0</v>
      </c>
      <c r="AD303" s="1">
        <f t="shared" si="95"/>
        <v>0</v>
      </c>
      <c r="AE303" s="1">
        <f t="shared" si="96"/>
        <v>0</v>
      </c>
      <c r="AF303" s="1">
        <f t="shared" si="97"/>
        <v>0</v>
      </c>
      <c r="AG303" s="1">
        <f t="shared" si="98"/>
        <v>0</v>
      </c>
      <c r="AH303" s="1">
        <f t="shared" si="99"/>
        <v>0</v>
      </c>
      <c r="AI303" s="1">
        <f t="shared" si="100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1023</v>
      </c>
      <c r="E304" s="32" t="s">
        <v>36</v>
      </c>
      <c r="F304" s="32" t="s">
        <v>1626</v>
      </c>
      <c r="G304" s="32" t="s">
        <v>620</v>
      </c>
      <c r="H304" s="32" t="s">
        <v>352</v>
      </c>
      <c r="I304" s="31" t="s">
        <v>1024</v>
      </c>
      <c r="J304" s="31">
        <v>99</v>
      </c>
      <c r="K304" s="33" t="s">
        <v>940</v>
      </c>
      <c r="L304" s="33" t="s">
        <v>704</v>
      </c>
      <c r="M304" s="34" t="s">
        <v>705</v>
      </c>
      <c r="N304" s="34" t="s">
        <v>1699</v>
      </c>
      <c r="O304" s="35">
        <v>1</v>
      </c>
      <c r="P304" s="35">
        <v>1</v>
      </c>
      <c r="Q304" s="32" t="s">
        <v>1859</v>
      </c>
      <c r="S304" s="1">
        <f t="shared" si="85"/>
        <v>0</v>
      </c>
      <c r="T304" s="1">
        <f t="shared" si="86"/>
        <v>0</v>
      </c>
      <c r="U304" s="1">
        <f t="shared" si="87"/>
        <v>0</v>
      </c>
      <c r="V304" s="1">
        <f t="shared" si="88"/>
        <v>0</v>
      </c>
      <c r="W304" s="1">
        <f t="shared" si="89"/>
        <v>0</v>
      </c>
      <c r="X304" s="1">
        <f t="shared" si="90"/>
        <v>0</v>
      </c>
      <c r="Y304" s="1">
        <f t="shared" si="91"/>
        <v>0</v>
      </c>
      <c r="Z304" s="1">
        <f t="shared" si="92"/>
        <v>0</v>
      </c>
      <c r="AA304" s="1">
        <f t="shared" si="93"/>
        <v>0</v>
      </c>
      <c r="AB304" s="1">
        <f t="shared" si="94"/>
        <v>0</v>
      </c>
      <c r="AD304" s="1">
        <f t="shared" si="95"/>
        <v>1</v>
      </c>
      <c r="AE304" s="1">
        <f t="shared" si="96"/>
        <v>0</v>
      </c>
      <c r="AF304" s="1">
        <f t="shared" si="97"/>
        <v>1</v>
      </c>
      <c r="AG304" s="1">
        <f t="shared" si="98"/>
        <v>0</v>
      </c>
      <c r="AH304" s="1">
        <f t="shared" si="99"/>
        <v>1</v>
      </c>
      <c r="AI304" s="1">
        <f t="shared" si="100"/>
        <v>0</v>
      </c>
    </row>
    <row r="305" spans="1:35" s="1" customFormat="1" ht="14.25" customHeight="1" x14ac:dyDescent="0.25">
      <c r="A305" s="31">
        <v>1</v>
      </c>
      <c r="B305" s="31">
        <v>2</v>
      </c>
      <c r="C305" s="31">
        <v>1</v>
      </c>
      <c r="D305" s="32" t="s">
        <v>49</v>
      </c>
      <c r="E305" s="32" t="s">
        <v>1288</v>
      </c>
      <c r="F305" s="32" t="s">
        <v>190</v>
      </c>
      <c r="G305" s="32" t="s">
        <v>191</v>
      </c>
      <c r="H305" s="32" t="s">
        <v>352</v>
      </c>
      <c r="I305" s="31" t="s">
        <v>384</v>
      </c>
      <c r="J305" s="31">
        <v>99</v>
      </c>
      <c r="K305" s="33" t="s">
        <v>703</v>
      </c>
      <c r="L305" s="33" t="s">
        <v>704</v>
      </c>
      <c r="M305" s="34" t="s">
        <v>705</v>
      </c>
      <c r="N305" s="34" t="s">
        <v>1718</v>
      </c>
      <c r="O305" s="35">
        <v>1</v>
      </c>
      <c r="P305" s="35"/>
      <c r="Q305" s="32"/>
      <c r="S305" s="1">
        <f t="shared" si="85"/>
        <v>0</v>
      </c>
      <c r="T305" s="1">
        <f t="shared" si="86"/>
        <v>0</v>
      </c>
      <c r="U305" s="1">
        <f t="shared" si="87"/>
        <v>0</v>
      </c>
      <c r="V305" s="1">
        <f t="shared" si="88"/>
        <v>0</v>
      </c>
      <c r="W305" s="1">
        <f t="shared" si="89"/>
        <v>0</v>
      </c>
      <c r="X305" s="1">
        <f t="shared" si="90"/>
        <v>0</v>
      </c>
      <c r="Y305" s="1">
        <f t="shared" si="91"/>
        <v>0</v>
      </c>
      <c r="Z305" s="1">
        <f t="shared" si="92"/>
        <v>0</v>
      </c>
      <c r="AA305" s="1">
        <f t="shared" si="93"/>
        <v>0</v>
      </c>
      <c r="AB305" s="1">
        <f t="shared" si="94"/>
        <v>0</v>
      </c>
      <c r="AD305" s="1">
        <f t="shared" si="95"/>
        <v>0</v>
      </c>
      <c r="AE305" s="1">
        <f t="shared" si="96"/>
        <v>1</v>
      </c>
      <c r="AF305" s="1">
        <f t="shared" si="97"/>
        <v>0</v>
      </c>
      <c r="AG305" s="1">
        <f t="shared" si="98"/>
        <v>0</v>
      </c>
      <c r="AH305" s="1">
        <f t="shared" si="99"/>
        <v>0</v>
      </c>
      <c r="AI305" s="1">
        <f t="shared" si="100"/>
        <v>0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1055</v>
      </c>
      <c r="E306" s="32" t="s">
        <v>1288</v>
      </c>
      <c r="F306" s="32" t="s">
        <v>1070</v>
      </c>
      <c r="G306" s="32" t="s">
        <v>201</v>
      </c>
      <c r="H306" s="32" t="s">
        <v>352</v>
      </c>
      <c r="I306" s="31" t="s">
        <v>384</v>
      </c>
      <c r="J306" s="31">
        <v>10</v>
      </c>
      <c r="K306" s="33" t="s">
        <v>703</v>
      </c>
      <c r="L306" s="33" t="s">
        <v>704</v>
      </c>
      <c r="M306" s="34" t="s">
        <v>705</v>
      </c>
      <c r="N306" s="34" t="s">
        <v>1718</v>
      </c>
      <c r="O306" s="35">
        <v>1</v>
      </c>
      <c r="P306" s="35"/>
      <c r="Q306" s="32"/>
      <c r="S306" s="1">
        <f t="shared" si="85"/>
        <v>0</v>
      </c>
      <c r="T306" s="1">
        <f t="shared" si="86"/>
        <v>0</v>
      </c>
      <c r="U306" s="1">
        <f t="shared" si="87"/>
        <v>0</v>
      </c>
      <c r="V306" s="1">
        <f t="shared" si="88"/>
        <v>0</v>
      </c>
      <c r="W306" s="1">
        <f t="shared" si="89"/>
        <v>0</v>
      </c>
      <c r="X306" s="1">
        <f t="shared" si="90"/>
        <v>0</v>
      </c>
      <c r="Y306" s="1">
        <f t="shared" si="91"/>
        <v>0</v>
      </c>
      <c r="Z306" s="1">
        <f t="shared" si="92"/>
        <v>0</v>
      </c>
      <c r="AA306" s="1">
        <f t="shared" si="93"/>
        <v>0</v>
      </c>
      <c r="AB306" s="1">
        <f t="shared" si="94"/>
        <v>1</v>
      </c>
      <c r="AD306" s="1">
        <f t="shared" si="95"/>
        <v>0</v>
      </c>
      <c r="AE306" s="1">
        <f t="shared" si="96"/>
        <v>1</v>
      </c>
      <c r="AF306" s="1">
        <f t="shared" si="97"/>
        <v>0</v>
      </c>
      <c r="AG306" s="1">
        <f t="shared" si="98"/>
        <v>1</v>
      </c>
      <c r="AH306" s="1">
        <f t="shared" si="99"/>
        <v>0</v>
      </c>
      <c r="AI306" s="1">
        <f t="shared" si="100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1247</v>
      </c>
      <c r="E307" s="32" t="s">
        <v>555</v>
      </c>
      <c r="F307" s="32" t="s">
        <v>1248</v>
      </c>
      <c r="G307" s="32" t="s">
        <v>257</v>
      </c>
      <c r="H307" s="32" t="s">
        <v>352</v>
      </c>
      <c r="I307" s="31" t="s">
        <v>1249</v>
      </c>
      <c r="J307" s="31">
        <v>8</v>
      </c>
      <c r="K307" s="33" t="s">
        <v>935</v>
      </c>
      <c r="L307" s="33" t="s">
        <v>704</v>
      </c>
      <c r="M307" s="34" t="s">
        <v>705</v>
      </c>
      <c r="N307" s="34" t="s">
        <v>1710</v>
      </c>
      <c r="O307" s="35">
        <v>1</v>
      </c>
      <c r="P307" s="35"/>
      <c r="Q307" s="32"/>
      <c r="S307" s="1">
        <f t="shared" si="85"/>
        <v>0</v>
      </c>
      <c r="T307" s="1">
        <f t="shared" si="86"/>
        <v>0</v>
      </c>
      <c r="U307" s="1">
        <f t="shared" si="87"/>
        <v>0</v>
      </c>
      <c r="V307" s="1">
        <f t="shared" si="88"/>
        <v>0</v>
      </c>
      <c r="W307" s="1">
        <f t="shared" si="89"/>
        <v>0</v>
      </c>
      <c r="X307" s="1">
        <f t="shared" si="90"/>
        <v>0</v>
      </c>
      <c r="Y307" s="1">
        <f t="shared" si="91"/>
        <v>0</v>
      </c>
      <c r="Z307" s="1">
        <f t="shared" si="92"/>
        <v>1</v>
      </c>
      <c r="AA307" s="1">
        <f t="shared" si="93"/>
        <v>0</v>
      </c>
      <c r="AB307" s="1">
        <f t="shared" si="94"/>
        <v>0</v>
      </c>
      <c r="AD307" s="1">
        <f t="shared" si="95"/>
        <v>0</v>
      </c>
      <c r="AE307" s="1">
        <f t="shared" si="96"/>
        <v>1</v>
      </c>
      <c r="AF307" s="1">
        <f t="shared" si="97"/>
        <v>0</v>
      </c>
      <c r="AG307" s="1">
        <f t="shared" si="98"/>
        <v>1</v>
      </c>
      <c r="AH307" s="1">
        <f t="shared" si="99"/>
        <v>0</v>
      </c>
      <c r="AI307" s="1">
        <f t="shared" si="100"/>
        <v>1</v>
      </c>
    </row>
    <row r="308" spans="1:35" s="1" customFormat="1" ht="14.25" customHeight="1" x14ac:dyDescent="0.25">
      <c r="A308" s="15">
        <v>0</v>
      </c>
      <c r="B308" s="15">
        <v>2</v>
      </c>
      <c r="C308" s="15">
        <v>1</v>
      </c>
      <c r="D308" s="16" t="s">
        <v>48</v>
      </c>
      <c r="E308" s="16" t="s">
        <v>571</v>
      </c>
      <c r="F308" s="16" t="s">
        <v>188</v>
      </c>
      <c r="G308" s="16" t="s">
        <v>298</v>
      </c>
      <c r="H308" s="16" t="s">
        <v>352</v>
      </c>
      <c r="I308" s="15" t="s">
        <v>383</v>
      </c>
      <c r="J308" s="15">
        <v>99</v>
      </c>
      <c r="K308" s="10" t="s">
        <v>704</v>
      </c>
      <c r="L308" s="10" t="s">
        <v>704</v>
      </c>
      <c r="M308" s="19" t="s">
        <v>705</v>
      </c>
      <c r="N308" s="19"/>
      <c r="Q308" s="16"/>
      <c r="S308" s="1">
        <f t="shared" si="85"/>
        <v>0</v>
      </c>
      <c r="T308" s="1">
        <f t="shared" si="86"/>
        <v>0</v>
      </c>
      <c r="U308" s="1">
        <f t="shared" si="87"/>
        <v>0</v>
      </c>
      <c r="V308" s="1">
        <f t="shared" si="88"/>
        <v>0</v>
      </c>
      <c r="W308" s="1">
        <f t="shared" si="89"/>
        <v>0</v>
      </c>
      <c r="X308" s="1">
        <f t="shared" si="90"/>
        <v>0</v>
      </c>
      <c r="Y308" s="1">
        <f t="shared" si="91"/>
        <v>0</v>
      </c>
      <c r="Z308" s="1">
        <f t="shared" si="92"/>
        <v>0</v>
      </c>
      <c r="AA308" s="1">
        <f t="shared" si="93"/>
        <v>0</v>
      </c>
      <c r="AB308" s="1">
        <f t="shared" si="94"/>
        <v>0</v>
      </c>
      <c r="AD308" s="1">
        <f t="shared" si="95"/>
        <v>0</v>
      </c>
      <c r="AE308" s="1">
        <f t="shared" si="96"/>
        <v>0</v>
      </c>
      <c r="AF308" s="1">
        <f t="shared" si="97"/>
        <v>0</v>
      </c>
      <c r="AG308" s="1">
        <f t="shared" si="98"/>
        <v>0</v>
      </c>
      <c r="AH308" s="1">
        <f t="shared" si="99"/>
        <v>0</v>
      </c>
      <c r="AI308" s="1">
        <f t="shared" si="100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57</v>
      </c>
      <c r="E309" s="32" t="s">
        <v>161</v>
      </c>
      <c r="F309" s="32" t="s">
        <v>658</v>
      </c>
      <c r="G309" s="32" t="s">
        <v>220</v>
      </c>
      <c r="H309" s="32" t="s">
        <v>352</v>
      </c>
      <c r="I309" s="31" t="s">
        <v>394</v>
      </c>
      <c r="J309" s="31">
        <v>99</v>
      </c>
      <c r="K309" s="33" t="s">
        <v>942</v>
      </c>
      <c r="L309" s="33" t="s">
        <v>704</v>
      </c>
      <c r="M309" s="34" t="s">
        <v>705</v>
      </c>
      <c r="N309" s="34" t="s">
        <v>1706</v>
      </c>
      <c r="O309" s="35">
        <v>1</v>
      </c>
      <c r="P309" s="35"/>
      <c r="Q309" s="32"/>
      <c r="S309" s="1">
        <f t="shared" si="85"/>
        <v>0</v>
      </c>
      <c r="T309" s="1">
        <f t="shared" si="86"/>
        <v>0</v>
      </c>
      <c r="U309" s="1">
        <f t="shared" si="87"/>
        <v>0</v>
      </c>
      <c r="V309" s="1">
        <f t="shared" si="88"/>
        <v>0</v>
      </c>
      <c r="W309" s="1">
        <f t="shared" si="89"/>
        <v>0</v>
      </c>
      <c r="X309" s="1">
        <f t="shared" si="90"/>
        <v>0</v>
      </c>
      <c r="Y309" s="1">
        <f t="shared" si="91"/>
        <v>0</v>
      </c>
      <c r="Z309" s="1">
        <f t="shared" si="92"/>
        <v>0</v>
      </c>
      <c r="AA309" s="1">
        <f t="shared" si="93"/>
        <v>0</v>
      </c>
      <c r="AB309" s="1">
        <f t="shared" si="94"/>
        <v>0</v>
      </c>
      <c r="AD309" s="1">
        <f t="shared" si="95"/>
        <v>0</v>
      </c>
      <c r="AE309" s="1">
        <f t="shared" si="96"/>
        <v>1</v>
      </c>
      <c r="AF309" s="1">
        <f t="shared" si="97"/>
        <v>0</v>
      </c>
      <c r="AG309" s="1">
        <f t="shared" si="98"/>
        <v>1</v>
      </c>
      <c r="AH309" s="1">
        <f t="shared" si="99"/>
        <v>0</v>
      </c>
      <c r="AI309" s="1">
        <f t="shared" si="100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511</v>
      </c>
      <c r="E310" s="32" t="s">
        <v>555</v>
      </c>
      <c r="F310" s="32" t="s">
        <v>228</v>
      </c>
      <c r="G310" s="32" t="s">
        <v>229</v>
      </c>
      <c r="H310" s="32" t="s">
        <v>352</v>
      </c>
      <c r="I310" s="31" t="s">
        <v>398</v>
      </c>
      <c r="J310" s="31">
        <v>7</v>
      </c>
      <c r="K310" s="33" t="s">
        <v>935</v>
      </c>
      <c r="L310" s="33" t="s">
        <v>704</v>
      </c>
      <c r="M310" s="34" t="s">
        <v>705</v>
      </c>
      <c r="N310" s="34" t="s">
        <v>1711</v>
      </c>
      <c r="O310" s="35">
        <v>1</v>
      </c>
      <c r="P310" s="35"/>
      <c r="Q310" s="32"/>
      <c r="S310" s="1">
        <f t="shared" si="85"/>
        <v>0</v>
      </c>
      <c r="T310" s="1">
        <f t="shared" si="86"/>
        <v>0</v>
      </c>
      <c r="U310" s="1">
        <f t="shared" si="87"/>
        <v>0</v>
      </c>
      <c r="V310" s="1">
        <f t="shared" si="88"/>
        <v>0</v>
      </c>
      <c r="W310" s="1">
        <f t="shared" si="89"/>
        <v>0</v>
      </c>
      <c r="X310" s="1">
        <f t="shared" si="90"/>
        <v>0</v>
      </c>
      <c r="Y310" s="1">
        <f t="shared" si="91"/>
        <v>1</v>
      </c>
      <c r="Z310" s="1">
        <f t="shared" si="92"/>
        <v>0</v>
      </c>
      <c r="AA310" s="1">
        <f t="shared" si="93"/>
        <v>0</v>
      </c>
      <c r="AB310" s="1">
        <f t="shared" si="94"/>
        <v>0</v>
      </c>
      <c r="AD310" s="1">
        <f t="shared" si="95"/>
        <v>0</v>
      </c>
      <c r="AE310" s="1">
        <f t="shared" si="96"/>
        <v>1</v>
      </c>
      <c r="AF310" s="1">
        <f t="shared" si="97"/>
        <v>0</v>
      </c>
      <c r="AG310" s="1">
        <f t="shared" si="98"/>
        <v>1</v>
      </c>
      <c r="AH310" s="1">
        <f t="shared" si="99"/>
        <v>0</v>
      </c>
      <c r="AI310" s="1">
        <f t="shared" si="100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554</v>
      </c>
      <c r="E311" s="32" t="s">
        <v>555</v>
      </c>
      <c r="F311" s="32" t="s">
        <v>556</v>
      </c>
      <c r="G311" s="32" t="s">
        <v>207</v>
      </c>
      <c r="H311" s="32" t="s">
        <v>352</v>
      </c>
      <c r="I311" s="31" t="s">
        <v>557</v>
      </c>
      <c r="J311" s="31">
        <v>3</v>
      </c>
      <c r="K311" s="33" t="s">
        <v>703</v>
      </c>
      <c r="L311" s="33" t="s">
        <v>704</v>
      </c>
      <c r="M311" s="34" t="s">
        <v>705</v>
      </c>
      <c r="N311" s="34" t="s">
        <v>1699</v>
      </c>
      <c r="O311" s="35">
        <v>1</v>
      </c>
      <c r="P311" s="35">
        <v>1</v>
      </c>
      <c r="Q311" s="32"/>
      <c r="S311" s="1">
        <f t="shared" si="85"/>
        <v>0</v>
      </c>
      <c r="T311" s="1">
        <f t="shared" si="86"/>
        <v>0</v>
      </c>
      <c r="U311" s="1">
        <f t="shared" si="87"/>
        <v>1</v>
      </c>
      <c r="V311" s="1">
        <f t="shared" si="88"/>
        <v>0</v>
      </c>
      <c r="W311" s="1">
        <f t="shared" si="89"/>
        <v>0</v>
      </c>
      <c r="X311" s="1">
        <f t="shared" si="90"/>
        <v>0</v>
      </c>
      <c r="Y311" s="1">
        <f t="shared" si="91"/>
        <v>0</v>
      </c>
      <c r="Z311" s="1">
        <f t="shared" si="92"/>
        <v>0</v>
      </c>
      <c r="AA311" s="1">
        <f t="shared" si="93"/>
        <v>0</v>
      </c>
      <c r="AB311" s="1">
        <f t="shared" si="94"/>
        <v>0</v>
      </c>
      <c r="AD311" s="1">
        <f t="shared" si="95"/>
        <v>1</v>
      </c>
      <c r="AE311" s="1">
        <f t="shared" si="96"/>
        <v>0</v>
      </c>
      <c r="AF311" s="1">
        <f t="shared" si="97"/>
        <v>1</v>
      </c>
      <c r="AG311" s="1">
        <f t="shared" si="98"/>
        <v>0</v>
      </c>
      <c r="AH311" s="1">
        <f t="shared" si="99"/>
        <v>1</v>
      </c>
      <c r="AI311" s="1">
        <f t="shared" si="100"/>
        <v>0</v>
      </c>
    </row>
    <row r="312" spans="1:35" s="1" customFormat="1" ht="14.25" customHeight="1" x14ac:dyDescent="0.25">
      <c r="A312" s="37">
        <v>0</v>
      </c>
      <c r="B312" s="37">
        <v>2</v>
      </c>
      <c r="C312" s="37">
        <v>1</v>
      </c>
      <c r="D312" s="36" t="s">
        <v>1034</v>
      </c>
      <c r="E312" s="36" t="s">
        <v>32</v>
      </c>
      <c r="F312" s="36" t="s">
        <v>1251</v>
      </c>
      <c r="G312" s="36" t="s">
        <v>531</v>
      </c>
      <c r="H312" s="36" t="s">
        <v>352</v>
      </c>
      <c r="I312" s="37" t="s">
        <v>1252</v>
      </c>
      <c r="J312" s="37">
        <v>6</v>
      </c>
      <c r="K312" s="50" t="s">
        <v>704</v>
      </c>
      <c r="L312" s="33" t="s">
        <v>704</v>
      </c>
      <c r="M312" s="34" t="s">
        <v>705</v>
      </c>
      <c r="N312" s="34" t="s">
        <v>1710</v>
      </c>
      <c r="O312" s="35">
        <v>1</v>
      </c>
      <c r="P312" s="35"/>
      <c r="Q312" s="36"/>
      <c r="S312" s="1">
        <f t="shared" si="85"/>
        <v>0</v>
      </c>
      <c r="T312" s="1">
        <f t="shared" si="86"/>
        <v>0</v>
      </c>
      <c r="U312" s="1">
        <f t="shared" si="87"/>
        <v>0</v>
      </c>
      <c r="V312" s="1">
        <f t="shared" si="88"/>
        <v>0</v>
      </c>
      <c r="W312" s="1">
        <f t="shared" si="89"/>
        <v>0</v>
      </c>
      <c r="X312" s="1">
        <f t="shared" si="90"/>
        <v>1</v>
      </c>
      <c r="Y312" s="1">
        <f t="shared" si="91"/>
        <v>0</v>
      </c>
      <c r="Z312" s="1">
        <f t="shared" si="92"/>
        <v>0</v>
      </c>
      <c r="AA312" s="1">
        <f t="shared" si="93"/>
        <v>0</v>
      </c>
      <c r="AB312" s="1">
        <f t="shared" si="94"/>
        <v>0</v>
      </c>
      <c r="AD312" s="1">
        <f t="shared" si="95"/>
        <v>0</v>
      </c>
      <c r="AE312" s="1">
        <f t="shared" si="96"/>
        <v>1</v>
      </c>
      <c r="AF312" s="1">
        <f t="shared" si="97"/>
        <v>0</v>
      </c>
      <c r="AG312" s="1">
        <f t="shared" si="98"/>
        <v>1</v>
      </c>
      <c r="AH312" s="1">
        <f t="shared" si="99"/>
        <v>0</v>
      </c>
      <c r="AI312" s="1">
        <f t="shared" si="100"/>
        <v>1</v>
      </c>
    </row>
    <row r="313" spans="1:35" s="1" customFormat="1" ht="14.25" customHeight="1" x14ac:dyDescent="0.25">
      <c r="A313" s="44">
        <v>0</v>
      </c>
      <c r="B313" s="44">
        <v>2</v>
      </c>
      <c r="C313" s="44">
        <v>1</v>
      </c>
      <c r="D313" s="57" t="s">
        <v>900</v>
      </c>
      <c r="E313" s="45" t="s">
        <v>1307</v>
      </c>
      <c r="F313" s="45" t="s">
        <v>774</v>
      </c>
      <c r="G313" s="45" t="s">
        <v>256</v>
      </c>
      <c r="H313" s="45" t="s">
        <v>352</v>
      </c>
      <c r="I313" s="44" t="s">
        <v>926</v>
      </c>
      <c r="J313" s="44">
        <v>99</v>
      </c>
      <c r="K313" s="46" t="s">
        <v>703</v>
      </c>
      <c r="L313" s="46" t="s">
        <v>704</v>
      </c>
      <c r="M313" s="47" t="s">
        <v>705</v>
      </c>
      <c r="N313" s="47" t="s">
        <v>1700</v>
      </c>
      <c r="O313" s="48"/>
      <c r="P313" s="48"/>
      <c r="Q313" s="45"/>
      <c r="S313" s="1">
        <f t="shared" si="85"/>
        <v>0</v>
      </c>
      <c r="T313" s="1">
        <f t="shared" si="86"/>
        <v>0</v>
      </c>
      <c r="U313" s="1">
        <f t="shared" si="87"/>
        <v>0</v>
      </c>
      <c r="V313" s="1">
        <f t="shared" si="88"/>
        <v>0</v>
      </c>
      <c r="W313" s="1">
        <f t="shared" si="89"/>
        <v>0</v>
      </c>
      <c r="X313" s="1">
        <f t="shared" si="90"/>
        <v>0</v>
      </c>
      <c r="Y313" s="1">
        <f t="shared" si="91"/>
        <v>0</v>
      </c>
      <c r="Z313" s="1">
        <f t="shared" si="92"/>
        <v>0</v>
      </c>
      <c r="AA313" s="1">
        <f t="shared" si="93"/>
        <v>0</v>
      </c>
      <c r="AB313" s="1">
        <f t="shared" si="94"/>
        <v>0</v>
      </c>
      <c r="AD313" s="1">
        <f t="shared" si="95"/>
        <v>0</v>
      </c>
      <c r="AE313" s="1">
        <f t="shared" si="96"/>
        <v>0</v>
      </c>
      <c r="AF313" s="1">
        <f t="shared" si="97"/>
        <v>0</v>
      </c>
      <c r="AG313" s="1">
        <f t="shared" si="98"/>
        <v>0</v>
      </c>
      <c r="AH313" s="1">
        <f t="shared" si="99"/>
        <v>0</v>
      </c>
      <c r="AI313" s="1">
        <f t="shared" si="100"/>
        <v>1</v>
      </c>
    </row>
    <row r="314" spans="1:35" s="1" customFormat="1" ht="14.25" customHeight="1" x14ac:dyDescent="0.25">
      <c r="A314" s="37">
        <v>0</v>
      </c>
      <c r="B314" s="37">
        <v>2</v>
      </c>
      <c r="C314" s="37">
        <v>1</v>
      </c>
      <c r="D314" s="36" t="s">
        <v>1733</v>
      </c>
      <c r="E314" s="36" t="s">
        <v>1734</v>
      </c>
      <c r="F314" s="36" t="s">
        <v>1735</v>
      </c>
      <c r="G314" s="36" t="s">
        <v>179</v>
      </c>
      <c r="H314" s="36" t="s">
        <v>352</v>
      </c>
      <c r="I314" s="37" t="s">
        <v>1736</v>
      </c>
      <c r="J314" s="37"/>
      <c r="K314" s="50" t="s">
        <v>694</v>
      </c>
      <c r="L314" s="33">
        <v>4</v>
      </c>
      <c r="M314" s="34" t="s">
        <v>705</v>
      </c>
      <c r="N314" s="34" t="s">
        <v>1706</v>
      </c>
      <c r="O314" s="35">
        <v>1</v>
      </c>
      <c r="P314" s="35"/>
      <c r="Q314" s="36"/>
      <c r="S314" s="1">
        <f t="shared" si="85"/>
        <v>0</v>
      </c>
      <c r="T314" s="1">
        <f t="shared" si="86"/>
        <v>0</v>
      </c>
      <c r="U314" s="1">
        <f t="shared" si="87"/>
        <v>0</v>
      </c>
      <c r="V314" s="1">
        <f t="shared" si="88"/>
        <v>0</v>
      </c>
      <c r="W314" s="1">
        <f t="shared" si="89"/>
        <v>0</v>
      </c>
      <c r="X314" s="1">
        <f t="shared" si="90"/>
        <v>0</v>
      </c>
      <c r="Y314" s="1">
        <f t="shared" si="91"/>
        <v>0</v>
      </c>
      <c r="Z314" s="1">
        <f t="shared" si="92"/>
        <v>0</v>
      </c>
      <c r="AA314" s="1">
        <f t="shared" si="93"/>
        <v>0</v>
      </c>
      <c r="AB314" s="1">
        <f t="shared" si="94"/>
        <v>0</v>
      </c>
      <c r="AD314" s="1">
        <f t="shared" si="95"/>
        <v>0</v>
      </c>
      <c r="AE314" s="1">
        <f t="shared" si="96"/>
        <v>1</v>
      </c>
      <c r="AF314" s="1">
        <f t="shared" si="97"/>
        <v>0</v>
      </c>
      <c r="AG314" s="1">
        <f t="shared" si="98"/>
        <v>1</v>
      </c>
      <c r="AH314" s="1">
        <f t="shared" si="99"/>
        <v>0</v>
      </c>
      <c r="AI314" s="1">
        <f t="shared" si="100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611</v>
      </c>
      <c r="E315" s="32" t="s">
        <v>612</v>
      </c>
      <c r="F315" s="32" t="s">
        <v>613</v>
      </c>
      <c r="G315" s="32" t="s">
        <v>614</v>
      </c>
      <c r="H315" s="32" t="s">
        <v>352</v>
      </c>
      <c r="I315" s="31" t="s">
        <v>615</v>
      </c>
      <c r="J315" s="31">
        <v>99</v>
      </c>
      <c r="K315" s="33" t="s">
        <v>703</v>
      </c>
      <c r="L315" s="33" t="s">
        <v>704</v>
      </c>
      <c r="M315" s="34" t="s">
        <v>705</v>
      </c>
      <c r="N315" s="34" t="s">
        <v>1718</v>
      </c>
      <c r="O315" s="35">
        <v>1</v>
      </c>
      <c r="P315" s="35"/>
      <c r="Q315" s="32"/>
      <c r="S315" s="1">
        <f t="shared" si="85"/>
        <v>0</v>
      </c>
      <c r="T315" s="1">
        <f t="shared" si="86"/>
        <v>0</v>
      </c>
      <c r="U315" s="1">
        <f t="shared" si="87"/>
        <v>0</v>
      </c>
      <c r="V315" s="1">
        <f t="shared" si="88"/>
        <v>0</v>
      </c>
      <c r="W315" s="1">
        <f t="shared" si="89"/>
        <v>0</v>
      </c>
      <c r="X315" s="1">
        <f t="shared" si="90"/>
        <v>0</v>
      </c>
      <c r="Y315" s="1">
        <f t="shared" si="91"/>
        <v>0</v>
      </c>
      <c r="Z315" s="1">
        <f t="shared" si="92"/>
        <v>0</v>
      </c>
      <c r="AA315" s="1">
        <f t="shared" si="93"/>
        <v>0</v>
      </c>
      <c r="AB315" s="1">
        <f t="shared" si="94"/>
        <v>0</v>
      </c>
      <c r="AD315" s="1">
        <f t="shared" si="95"/>
        <v>0</v>
      </c>
      <c r="AE315" s="1">
        <f t="shared" si="96"/>
        <v>1</v>
      </c>
      <c r="AF315" s="1">
        <f t="shared" si="97"/>
        <v>0</v>
      </c>
      <c r="AG315" s="1">
        <f t="shared" si="98"/>
        <v>1</v>
      </c>
      <c r="AH315" s="1">
        <f t="shared" si="99"/>
        <v>0</v>
      </c>
      <c r="AI315" s="1">
        <f t="shared" si="100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1061</v>
      </c>
      <c r="E316" s="32" t="s">
        <v>1308</v>
      </c>
      <c r="F316" s="32" t="s">
        <v>1630</v>
      </c>
      <c r="G316" s="32" t="s">
        <v>189</v>
      </c>
      <c r="H316" s="32" t="s">
        <v>352</v>
      </c>
      <c r="I316" s="31" t="s">
        <v>1822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1706</v>
      </c>
      <c r="O316" s="35">
        <v>1</v>
      </c>
      <c r="P316" s="35"/>
      <c r="Q316" s="32"/>
      <c r="S316" s="1">
        <f t="shared" si="85"/>
        <v>0</v>
      </c>
      <c r="T316" s="1">
        <f t="shared" si="86"/>
        <v>0</v>
      </c>
      <c r="U316" s="1">
        <f t="shared" si="87"/>
        <v>0</v>
      </c>
      <c r="V316" s="1">
        <f t="shared" si="88"/>
        <v>0</v>
      </c>
      <c r="W316" s="1">
        <f t="shared" si="89"/>
        <v>0</v>
      </c>
      <c r="X316" s="1">
        <f t="shared" si="90"/>
        <v>0</v>
      </c>
      <c r="Y316" s="1">
        <f t="shared" si="91"/>
        <v>0</v>
      </c>
      <c r="Z316" s="1">
        <f t="shared" si="92"/>
        <v>0</v>
      </c>
      <c r="AA316" s="1">
        <f t="shared" si="93"/>
        <v>0</v>
      </c>
      <c r="AB316" s="1">
        <f t="shared" si="94"/>
        <v>0</v>
      </c>
      <c r="AD316" s="1">
        <f t="shared" si="95"/>
        <v>0</v>
      </c>
      <c r="AE316" s="1">
        <f t="shared" si="96"/>
        <v>1</v>
      </c>
      <c r="AF316" s="1">
        <f t="shared" si="97"/>
        <v>0</v>
      </c>
      <c r="AG316" s="1">
        <f t="shared" si="98"/>
        <v>1</v>
      </c>
      <c r="AH316" s="1">
        <f t="shared" si="99"/>
        <v>0</v>
      </c>
      <c r="AI316" s="1">
        <f t="shared" si="100"/>
        <v>1</v>
      </c>
    </row>
    <row r="317" spans="1:35" s="1" customFormat="1" ht="14.25" customHeight="1" x14ac:dyDescent="0.25">
      <c r="A317" s="15">
        <v>0</v>
      </c>
      <c r="B317" s="15">
        <v>2</v>
      </c>
      <c r="C317" s="15">
        <v>1</v>
      </c>
      <c r="D317" s="16" t="s">
        <v>643</v>
      </c>
      <c r="E317" s="16" t="s">
        <v>36</v>
      </c>
      <c r="F317" s="16" t="s">
        <v>659</v>
      </c>
      <c r="G317" s="16" t="s">
        <v>200</v>
      </c>
      <c r="H317" s="16" t="s">
        <v>352</v>
      </c>
      <c r="I317" s="15" t="s">
        <v>986</v>
      </c>
      <c r="J317" s="15">
        <v>99</v>
      </c>
      <c r="K317" s="10" t="s">
        <v>694</v>
      </c>
      <c r="L317" s="10">
        <v>4</v>
      </c>
      <c r="M317" s="19" t="s">
        <v>705</v>
      </c>
      <c r="N317" s="17"/>
      <c r="Q317" s="16"/>
      <c r="S317" s="1">
        <f t="shared" si="85"/>
        <v>0</v>
      </c>
      <c r="T317" s="1">
        <f t="shared" si="86"/>
        <v>0</v>
      </c>
      <c r="U317" s="1">
        <f t="shared" si="87"/>
        <v>0</v>
      </c>
      <c r="V317" s="1">
        <f t="shared" si="88"/>
        <v>0</v>
      </c>
      <c r="W317" s="1">
        <f t="shared" si="89"/>
        <v>0</v>
      </c>
      <c r="X317" s="1">
        <f t="shared" si="90"/>
        <v>0</v>
      </c>
      <c r="Y317" s="1">
        <f t="shared" si="91"/>
        <v>0</v>
      </c>
      <c r="Z317" s="1">
        <f t="shared" si="92"/>
        <v>0</v>
      </c>
      <c r="AA317" s="1">
        <f t="shared" si="93"/>
        <v>0</v>
      </c>
      <c r="AB317" s="1">
        <f t="shared" si="94"/>
        <v>0</v>
      </c>
      <c r="AD317" s="1">
        <f t="shared" si="95"/>
        <v>0</v>
      </c>
      <c r="AE317" s="1">
        <f t="shared" si="96"/>
        <v>0</v>
      </c>
      <c r="AF317" s="1">
        <f t="shared" si="97"/>
        <v>0</v>
      </c>
      <c r="AG317" s="1">
        <f t="shared" si="98"/>
        <v>0</v>
      </c>
      <c r="AH317" s="1">
        <f t="shared" si="99"/>
        <v>0</v>
      </c>
      <c r="AI317" s="1">
        <f t="shared" si="100"/>
        <v>1</v>
      </c>
    </row>
    <row r="318" spans="1:35" s="1" customFormat="1" ht="14.25" customHeight="1" x14ac:dyDescent="0.25">
      <c r="A318" s="44">
        <v>0</v>
      </c>
      <c r="B318" s="44">
        <v>2</v>
      </c>
      <c r="C318" s="44">
        <v>1</v>
      </c>
      <c r="D318" s="45" t="s">
        <v>1238</v>
      </c>
      <c r="E318" s="45" t="s">
        <v>1239</v>
      </c>
      <c r="F318" s="45" t="s">
        <v>1240</v>
      </c>
      <c r="G318" s="45" t="s">
        <v>1143</v>
      </c>
      <c r="H318" s="45" t="s">
        <v>352</v>
      </c>
      <c r="I318" s="44" t="s">
        <v>1241</v>
      </c>
      <c r="J318" s="44">
        <v>11</v>
      </c>
      <c r="K318" s="46" t="s">
        <v>694</v>
      </c>
      <c r="L318" s="46">
        <v>6</v>
      </c>
      <c r="M318" s="47" t="s">
        <v>1694</v>
      </c>
      <c r="N318" s="47" t="s">
        <v>1770</v>
      </c>
      <c r="O318" s="48"/>
      <c r="P318" s="48"/>
      <c r="Q318" s="45"/>
      <c r="S318" s="1">
        <f t="shared" si="85"/>
        <v>0</v>
      </c>
      <c r="T318" s="1">
        <f t="shared" si="86"/>
        <v>0</v>
      </c>
      <c r="U318" s="1">
        <f t="shared" si="87"/>
        <v>0</v>
      </c>
      <c r="V318" s="1">
        <f t="shared" si="88"/>
        <v>0</v>
      </c>
      <c r="W318" s="1">
        <f t="shared" si="89"/>
        <v>0</v>
      </c>
      <c r="X318" s="1">
        <f t="shared" si="90"/>
        <v>0</v>
      </c>
      <c r="Y318" s="1">
        <f t="shared" si="91"/>
        <v>0</v>
      </c>
      <c r="Z318" s="1">
        <f t="shared" si="92"/>
        <v>0</v>
      </c>
      <c r="AA318" s="1">
        <f t="shared" si="93"/>
        <v>0</v>
      </c>
      <c r="AB318" s="1">
        <f t="shared" si="94"/>
        <v>0</v>
      </c>
      <c r="AD318" s="1">
        <f t="shared" si="95"/>
        <v>0</v>
      </c>
      <c r="AE318" s="1">
        <f t="shared" si="96"/>
        <v>0</v>
      </c>
      <c r="AF318" s="1">
        <f t="shared" si="97"/>
        <v>0</v>
      </c>
      <c r="AG318" s="1">
        <f t="shared" si="98"/>
        <v>0</v>
      </c>
      <c r="AH318" s="1">
        <f t="shared" si="99"/>
        <v>0</v>
      </c>
      <c r="AI318" s="1">
        <f t="shared" si="100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1104</v>
      </c>
      <c r="E319" s="32" t="s">
        <v>1288</v>
      </c>
      <c r="F319" s="32" t="s">
        <v>1102</v>
      </c>
      <c r="G319" s="32" t="s">
        <v>229</v>
      </c>
      <c r="H319" s="32" t="s">
        <v>352</v>
      </c>
      <c r="I319" s="31" t="s">
        <v>1103</v>
      </c>
      <c r="J319" s="31">
        <v>7</v>
      </c>
      <c r="K319" s="33" t="s">
        <v>704</v>
      </c>
      <c r="L319" s="33" t="s">
        <v>1675</v>
      </c>
      <c r="M319" s="34" t="s">
        <v>705</v>
      </c>
      <c r="N319" s="34" t="s">
        <v>1718</v>
      </c>
      <c r="O319" s="35">
        <v>1</v>
      </c>
      <c r="P319" s="35"/>
      <c r="Q319" s="32"/>
      <c r="S319" s="1">
        <f t="shared" si="85"/>
        <v>0</v>
      </c>
      <c r="T319" s="1">
        <f t="shared" si="86"/>
        <v>0</v>
      </c>
      <c r="U319" s="1">
        <f t="shared" si="87"/>
        <v>0</v>
      </c>
      <c r="V319" s="1">
        <f t="shared" si="88"/>
        <v>0</v>
      </c>
      <c r="W319" s="1">
        <f t="shared" si="89"/>
        <v>0</v>
      </c>
      <c r="X319" s="1">
        <f t="shared" si="90"/>
        <v>0</v>
      </c>
      <c r="Y319" s="1">
        <f t="shared" si="91"/>
        <v>1</v>
      </c>
      <c r="Z319" s="1">
        <f t="shared" si="92"/>
        <v>0</v>
      </c>
      <c r="AA319" s="1">
        <f t="shared" si="93"/>
        <v>0</v>
      </c>
      <c r="AB319" s="1">
        <f t="shared" si="94"/>
        <v>0</v>
      </c>
      <c r="AD319" s="1">
        <f t="shared" si="95"/>
        <v>0</v>
      </c>
      <c r="AE319" s="1">
        <f t="shared" si="96"/>
        <v>1</v>
      </c>
      <c r="AF319" s="1">
        <f t="shared" si="97"/>
        <v>0</v>
      </c>
      <c r="AG319" s="1">
        <f t="shared" si="98"/>
        <v>1</v>
      </c>
      <c r="AH319" s="1">
        <f t="shared" si="99"/>
        <v>0</v>
      </c>
      <c r="AI319" s="1">
        <f t="shared" si="100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989</v>
      </c>
      <c r="E320" s="32" t="s">
        <v>1310</v>
      </c>
      <c r="F320" s="32" t="s">
        <v>990</v>
      </c>
      <c r="G320" s="32" t="s">
        <v>1081</v>
      </c>
      <c r="H320" s="32" t="s">
        <v>352</v>
      </c>
      <c r="I320" s="31" t="s">
        <v>406</v>
      </c>
      <c r="J320" s="31">
        <v>99</v>
      </c>
      <c r="K320" s="33" t="s">
        <v>704</v>
      </c>
      <c r="L320" s="33" t="s">
        <v>704</v>
      </c>
      <c r="M320" s="34" t="s">
        <v>705</v>
      </c>
      <c r="N320" s="34" t="s">
        <v>1706</v>
      </c>
      <c r="O320" s="35">
        <v>1</v>
      </c>
      <c r="P320" s="35"/>
      <c r="Q320" s="32"/>
      <c r="S320" s="1">
        <f t="shared" si="85"/>
        <v>0</v>
      </c>
      <c r="T320" s="1">
        <f t="shared" si="86"/>
        <v>0</v>
      </c>
      <c r="U320" s="1">
        <f t="shared" si="87"/>
        <v>0</v>
      </c>
      <c r="V320" s="1">
        <f t="shared" si="88"/>
        <v>0</v>
      </c>
      <c r="W320" s="1">
        <f t="shared" si="89"/>
        <v>0</v>
      </c>
      <c r="X320" s="1">
        <f t="shared" si="90"/>
        <v>0</v>
      </c>
      <c r="Y320" s="1">
        <f t="shared" si="91"/>
        <v>0</v>
      </c>
      <c r="Z320" s="1">
        <f t="shared" si="92"/>
        <v>0</v>
      </c>
      <c r="AA320" s="1">
        <f t="shared" si="93"/>
        <v>0</v>
      </c>
      <c r="AB320" s="1">
        <f t="shared" si="94"/>
        <v>0</v>
      </c>
      <c r="AD320" s="1">
        <f t="shared" si="95"/>
        <v>0</v>
      </c>
      <c r="AE320" s="1">
        <f t="shared" si="96"/>
        <v>1</v>
      </c>
      <c r="AF320" s="1">
        <f t="shared" si="97"/>
        <v>0</v>
      </c>
      <c r="AG320" s="1">
        <f t="shared" si="98"/>
        <v>1</v>
      </c>
      <c r="AH320" s="1">
        <f t="shared" si="99"/>
        <v>0</v>
      </c>
      <c r="AI320" s="1">
        <f t="shared" si="100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1111</v>
      </c>
      <c r="E321" s="32" t="s">
        <v>555</v>
      </c>
      <c r="F321" s="32" t="s">
        <v>1327</v>
      </c>
      <c r="G321" s="32" t="s">
        <v>264</v>
      </c>
      <c r="H321" s="32" t="s">
        <v>352</v>
      </c>
      <c r="I321" s="31" t="s">
        <v>1112</v>
      </c>
      <c r="J321" s="31">
        <v>8</v>
      </c>
      <c r="K321" s="33" t="s">
        <v>703</v>
      </c>
      <c r="L321" s="33" t="s">
        <v>1675</v>
      </c>
      <c r="M321" s="34" t="s">
        <v>705</v>
      </c>
      <c r="N321" s="34" t="s">
        <v>1710</v>
      </c>
      <c r="O321" s="35">
        <v>1</v>
      </c>
      <c r="P321" s="35"/>
      <c r="Q321" s="32"/>
      <c r="S321" s="1">
        <f t="shared" si="85"/>
        <v>0</v>
      </c>
      <c r="T321" s="1">
        <f t="shared" si="86"/>
        <v>0</v>
      </c>
      <c r="U321" s="1">
        <f t="shared" si="87"/>
        <v>0</v>
      </c>
      <c r="V321" s="1">
        <f t="shared" si="88"/>
        <v>0</v>
      </c>
      <c r="W321" s="1">
        <f t="shared" si="89"/>
        <v>0</v>
      </c>
      <c r="X321" s="1">
        <f t="shared" si="90"/>
        <v>0</v>
      </c>
      <c r="Y321" s="1">
        <f t="shared" si="91"/>
        <v>0</v>
      </c>
      <c r="Z321" s="1">
        <f t="shared" si="92"/>
        <v>1</v>
      </c>
      <c r="AA321" s="1">
        <f t="shared" si="93"/>
        <v>0</v>
      </c>
      <c r="AB321" s="1">
        <f t="shared" si="94"/>
        <v>0</v>
      </c>
      <c r="AD321" s="1">
        <f t="shared" si="95"/>
        <v>0</v>
      </c>
      <c r="AE321" s="1">
        <f t="shared" si="96"/>
        <v>1</v>
      </c>
      <c r="AF321" s="1">
        <f t="shared" si="97"/>
        <v>0</v>
      </c>
      <c r="AG321" s="1">
        <f t="shared" si="98"/>
        <v>1</v>
      </c>
      <c r="AH321" s="1">
        <f t="shared" si="99"/>
        <v>0</v>
      </c>
      <c r="AI321" s="1">
        <f t="shared" si="100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1260</v>
      </c>
      <c r="E322" s="32" t="s">
        <v>1308</v>
      </c>
      <c r="F322" s="32" t="s">
        <v>1257</v>
      </c>
      <c r="G322" s="32" t="s">
        <v>1258</v>
      </c>
      <c r="H322" s="32" t="s">
        <v>352</v>
      </c>
      <c r="I322" s="31" t="s">
        <v>1259</v>
      </c>
      <c r="J322" s="31">
        <v>1</v>
      </c>
      <c r="K322" s="33" t="s">
        <v>703</v>
      </c>
      <c r="L322" s="33" t="s">
        <v>704</v>
      </c>
      <c r="M322" s="34" t="s">
        <v>705</v>
      </c>
      <c r="N322" s="34" t="s">
        <v>1723</v>
      </c>
      <c r="O322" s="35">
        <v>1</v>
      </c>
      <c r="P322" s="35"/>
      <c r="Q322" s="32" t="s">
        <v>1862</v>
      </c>
      <c r="S322" s="1">
        <f t="shared" si="85"/>
        <v>1</v>
      </c>
      <c r="T322" s="1">
        <f t="shared" si="86"/>
        <v>0</v>
      </c>
      <c r="U322" s="1">
        <f t="shared" si="87"/>
        <v>0</v>
      </c>
      <c r="V322" s="1">
        <f t="shared" si="88"/>
        <v>0</v>
      </c>
      <c r="W322" s="1">
        <f t="shared" si="89"/>
        <v>0</v>
      </c>
      <c r="X322" s="1">
        <f t="shared" si="90"/>
        <v>0</v>
      </c>
      <c r="Y322" s="1">
        <f t="shared" si="91"/>
        <v>0</v>
      </c>
      <c r="Z322" s="1">
        <f t="shared" si="92"/>
        <v>0</v>
      </c>
      <c r="AA322" s="1">
        <f t="shared" si="93"/>
        <v>0</v>
      </c>
      <c r="AB322" s="1">
        <f t="shared" si="94"/>
        <v>0</v>
      </c>
      <c r="AD322" s="1">
        <f t="shared" si="95"/>
        <v>0</v>
      </c>
      <c r="AE322" s="1">
        <f t="shared" si="96"/>
        <v>1</v>
      </c>
      <c r="AF322" s="1">
        <f t="shared" si="97"/>
        <v>0</v>
      </c>
      <c r="AG322" s="1">
        <f t="shared" si="98"/>
        <v>1</v>
      </c>
      <c r="AH322" s="1">
        <f t="shared" si="99"/>
        <v>0</v>
      </c>
      <c r="AI322" s="1">
        <f t="shared" si="100"/>
        <v>1</v>
      </c>
    </row>
    <row r="323" spans="1:35" s="1" customFormat="1" ht="14.25" customHeight="1" x14ac:dyDescent="0.25">
      <c r="A323" s="15">
        <v>0</v>
      </c>
      <c r="B323" s="15">
        <v>2</v>
      </c>
      <c r="C323" s="15">
        <v>1</v>
      </c>
      <c r="D323" s="16" t="s">
        <v>52</v>
      </c>
      <c r="E323" s="16" t="s">
        <v>32</v>
      </c>
      <c r="F323" s="16" t="s">
        <v>205</v>
      </c>
      <c r="G323" s="16" t="s">
        <v>206</v>
      </c>
      <c r="H323" s="16" t="s">
        <v>352</v>
      </c>
      <c r="I323" s="15" t="s">
        <v>389</v>
      </c>
      <c r="J323" s="15">
        <v>99</v>
      </c>
      <c r="K323" s="10" t="s">
        <v>703</v>
      </c>
      <c r="L323" s="10" t="s">
        <v>704</v>
      </c>
      <c r="M323" s="19" t="s">
        <v>705</v>
      </c>
      <c r="N323" s="19"/>
      <c r="Q323" s="16"/>
      <c r="S323" s="1">
        <f t="shared" si="85"/>
        <v>0</v>
      </c>
      <c r="T323" s="1">
        <f t="shared" si="86"/>
        <v>0</v>
      </c>
      <c r="U323" s="1">
        <f t="shared" si="87"/>
        <v>0</v>
      </c>
      <c r="V323" s="1">
        <f t="shared" si="88"/>
        <v>0</v>
      </c>
      <c r="W323" s="1">
        <f t="shared" si="89"/>
        <v>0</v>
      </c>
      <c r="X323" s="1">
        <f t="shared" si="90"/>
        <v>0</v>
      </c>
      <c r="Y323" s="1">
        <f t="shared" si="91"/>
        <v>0</v>
      </c>
      <c r="Z323" s="1">
        <f t="shared" si="92"/>
        <v>0</v>
      </c>
      <c r="AA323" s="1">
        <f t="shared" si="93"/>
        <v>0</v>
      </c>
      <c r="AB323" s="1">
        <f t="shared" si="94"/>
        <v>0</v>
      </c>
      <c r="AD323" s="1">
        <f t="shared" si="95"/>
        <v>0</v>
      </c>
      <c r="AE323" s="1">
        <f t="shared" si="96"/>
        <v>0</v>
      </c>
      <c r="AF323" s="1">
        <f t="shared" si="97"/>
        <v>0</v>
      </c>
      <c r="AG323" s="1">
        <f t="shared" si="98"/>
        <v>0</v>
      </c>
      <c r="AH323" s="1">
        <f t="shared" si="99"/>
        <v>0</v>
      </c>
      <c r="AI323" s="1">
        <f t="shared" si="100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73</v>
      </c>
      <c r="E324" s="32" t="s">
        <v>555</v>
      </c>
      <c r="F324" s="32" t="s">
        <v>1031</v>
      </c>
      <c r="G324" s="32" t="s">
        <v>189</v>
      </c>
      <c r="H324" s="32" t="s">
        <v>352</v>
      </c>
      <c r="I324" s="31" t="s">
        <v>419</v>
      </c>
      <c r="J324" s="31">
        <v>99</v>
      </c>
      <c r="K324" s="33" t="s">
        <v>935</v>
      </c>
      <c r="L324" s="33" t="s">
        <v>704</v>
      </c>
      <c r="M324" s="34" t="s">
        <v>705</v>
      </c>
      <c r="N324" s="34" t="s">
        <v>1706</v>
      </c>
      <c r="O324" s="35">
        <v>1</v>
      </c>
      <c r="P324" s="35"/>
      <c r="Q324" s="32"/>
      <c r="S324" s="1">
        <f t="shared" si="85"/>
        <v>0</v>
      </c>
      <c r="T324" s="1">
        <f t="shared" si="86"/>
        <v>0</v>
      </c>
      <c r="U324" s="1">
        <f t="shared" si="87"/>
        <v>0</v>
      </c>
      <c r="V324" s="1">
        <f t="shared" si="88"/>
        <v>0</v>
      </c>
      <c r="W324" s="1">
        <f t="shared" si="89"/>
        <v>0</v>
      </c>
      <c r="X324" s="1">
        <f t="shared" si="90"/>
        <v>0</v>
      </c>
      <c r="Y324" s="1">
        <f t="shared" si="91"/>
        <v>0</v>
      </c>
      <c r="Z324" s="1">
        <f t="shared" si="92"/>
        <v>0</v>
      </c>
      <c r="AA324" s="1">
        <f t="shared" si="93"/>
        <v>0</v>
      </c>
      <c r="AB324" s="1">
        <f t="shared" si="94"/>
        <v>0</v>
      </c>
      <c r="AD324" s="1">
        <f t="shared" si="95"/>
        <v>0</v>
      </c>
      <c r="AE324" s="1">
        <f t="shared" si="96"/>
        <v>1</v>
      </c>
      <c r="AF324" s="1">
        <f t="shared" si="97"/>
        <v>0</v>
      </c>
      <c r="AG324" s="1">
        <f t="shared" si="98"/>
        <v>1</v>
      </c>
      <c r="AH324" s="1">
        <f t="shared" si="99"/>
        <v>0</v>
      </c>
      <c r="AI324" s="1">
        <f t="shared" si="100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47</v>
      </c>
      <c r="E325" s="32" t="s">
        <v>32</v>
      </c>
      <c r="F325" s="32" t="s">
        <v>186</v>
      </c>
      <c r="G325" s="32" t="s">
        <v>179</v>
      </c>
      <c r="H325" s="32" t="s">
        <v>352</v>
      </c>
      <c r="I325" s="31" t="s">
        <v>381</v>
      </c>
      <c r="J325" s="31">
        <v>10</v>
      </c>
      <c r="K325" s="33" t="s">
        <v>936</v>
      </c>
      <c r="L325" s="33" t="s">
        <v>704</v>
      </c>
      <c r="M325" s="34" t="s">
        <v>705</v>
      </c>
      <c r="N325" s="34" t="s">
        <v>1706</v>
      </c>
      <c r="O325" s="35">
        <v>1</v>
      </c>
      <c r="P325" s="35"/>
      <c r="Q325" s="32"/>
      <c r="S325" s="1">
        <f t="shared" si="85"/>
        <v>0</v>
      </c>
      <c r="T325" s="1">
        <f t="shared" si="86"/>
        <v>0</v>
      </c>
      <c r="U325" s="1">
        <f t="shared" si="87"/>
        <v>0</v>
      </c>
      <c r="V325" s="1">
        <f t="shared" si="88"/>
        <v>0</v>
      </c>
      <c r="W325" s="1">
        <f t="shared" si="89"/>
        <v>0</v>
      </c>
      <c r="X325" s="1">
        <f t="shared" si="90"/>
        <v>0</v>
      </c>
      <c r="Y325" s="1">
        <f t="shared" si="91"/>
        <v>0</v>
      </c>
      <c r="Z325" s="1">
        <f t="shared" si="92"/>
        <v>0</v>
      </c>
      <c r="AA325" s="1">
        <f t="shared" si="93"/>
        <v>0</v>
      </c>
      <c r="AB325" s="1">
        <f t="shared" si="94"/>
        <v>1</v>
      </c>
      <c r="AD325" s="1">
        <f t="shared" si="95"/>
        <v>0</v>
      </c>
      <c r="AE325" s="1">
        <f t="shared" si="96"/>
        <v>1</v>
      </c>
      <c r="AF325" s="1">
        <f t="shared" si="97"/>
        <v>0</v>
      </c>
      <c r="AG325" s="1">
        <f t="shared" si="98"/>
        <v>1</v>
      </c>
      <c r="AH325" s="1">
        <f t="shared" si="99"/>
        <v>0</v>
      </c>
      <c r="AI325" s="1">
        <f t="shared" si="100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644</v>
      </c>
      <c r="E326" s="32" t="s">
        <v>159</v>
      </c>
      <c r="F326" s="32" t="s">
        <v>187</v>
      </c>
      <c r="G326" s="32" t="s">
        <v>660</v>
      </c>
      <c r="H326" s="32" t="s">
        <v>352</v>
      </c>
      <c r="I326" s="31" t="s">
        <v>382</v>
      </c>
      <c r="J326" s="31">
        <v>99</v>
      </c>
      <c r="K326" s="33" t="s">
        <v>703</v>
      </c>
      <c r="L326" s="33" t="s">
        <v>704</v>
      </c>
      <c r="M326" s="34" t="s">
        <v>705</v>
      </c>
      <c r="N326" s="34" t="s">
        <v>1718</v>
      </c>
      <c r="O326" s="35">
        <v>1</v>
      </c>
      <c r="P326" s="35"/>
      <c r="Q326" s="32"/>
      <c r="S326" s="1">
        <f t="shared" si="85"/>
        <v>0</v>
      </c>
      <c r="T326" s="1">
        <f t="shared" si="86"/>
        <v>0</v>
      </c>
      <c r="U326" s="1">
        <f t="shared" si="87"/>
        <v>0</v>
      </c>
      <c r="V326" s="1">
        <f t="shared" si="88"/>
        <v>0</v>
      </c>
      <c r="W326" s="1">
        <f t="shared" si="89"/>
        <v>0</v>
      </c>
      <c r="X326" s="1">
        <f t="shared" si="90"/>
        <v>0</v>
      </c>
      <c r="Y326" s="1">
        <f t="shared" si="91"/>
        <v>0</v>
      </c>
      <c r="Z326" s="1">
        <f t="shared" si="92"/>
        <v>0</v>
      </c>
      <c r="AA326" s="1">
        <f t="shared" si="93"/>
        <v>0</v>
      </c>
      <c r="AB326" s="1">
        <f t="shared" si="94"/>
        <v>0</v>
      </c>
      <c r="AD326" s="1">
        <f t="shared" si="95"/>
        <v>0</v>
      </c>
      <c r="AE326" s="1">
        <f t="shared" si="96"/>
        <v>1</v>
      </c>
      <c r="AF326" s="1">
        <f t="shared" si="97"/>
        <v>0</v>
      </c>
      <c r="AG326" s="1">
        <f t="shared" si="98"/>
        <v>1</v>
      </c>
      <c r="AH326" s="1">
        <f t="shared" si="99"/>
        <v>0</v>
      </c>
      <c r="AI326" s="1">
        <f t="shared" si="100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1278</v>
      </c>
      <c r="E327" s="32" t="s">
        <v>36</v>
      </c>
      <c r="F327" s="32" t="s">
        <v>1279</v>
      </c>
      <c r="G327" s="32" t="s">
        <v>257</v>
      </c>
      <c r="H327" s="32" t="s">
        <v>352</v>
      </c>
      <c r="I327" s="31" t="s">
        <v>1280</v>
      </c>
      <c r="J327" s="31">
        <v>8</v>
      </c>
      <c r="K327" s="33" t="s">
        <v>940</v>
      </c>
      <c r="L327" s="33" t="s">
        <v>704</v>
      </c>
      <c r="M327" s="34" t="s">
        <v>705</v>
      </c>
      <c r="N327" s="34" t="s">
        <v>1699</v>
      </c>
      <c r="O327" s="35">
        <v>1</v>
      </c>
      <c r="P327" s="35">
        <v>1</v>
      </c>
      <c r="Q327" s="32"/>
      <c r="S327" s="1">
        <f t="shared" si="85"/>
        <v>0</v>
      </c>
      <c r="T327" s="1">
        <f t="shared" si="86"/>
        <v>0</v>
      </c>
      <c r="U327" s="1">
        <f t="shared" si="87"/>
        <v>0</v>
      </c>
      <c r="V327" s="1">
        <f t="shared" si="88"/>
        <v>0</v>
      </c>
      <c r="W327" s="1">
        <f t="shared" si="89"/>
        <v>0</v>
      </c>
      <c r="X327" s="1">
        <f t="shared" si="90"/>
        <v>0</v>
      </c>
      <c r="Y327" s="1">
        <f t="shared" si="91"/>
        <v>0</v>
      </c>
      <c r="Z327" s="1">
        <f t="shared" si="92"/>
        <v>1</v>
      </c>
      <c r="AA327" s="1">
        <f t="shared" si="93"/>
        <v>0</v>
      </c>
      <c r="AB327" s="1">
        <f t="shared" si="94"/>
        <v>0</v>
      </c>
      <c r="AD327" s="1">
        <f t="shared" si="95"/>
        <v>1</v>
      </c>
      <c r="AE327" s="1">
        <f t="shared" si="96"/>
        <v>0</v>
      </c>
      <c r="AF327" s="1">
        <f t="shared" si="97"/>
        <v>1</v>
      </c>
      <c r="AG327" s="1">
        <f t="shared" si="98"/>
        <v>0</v>
      </c>
      <c r="AH327" s="1">
        <f t="shared" si="99"/>
        <v>1</v>
      </c>
      <c r="AI327" s="1">
        <f t="shared" si="100"/>
        <v>0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54</v>
      </c>
      <c r="E328" s="32" t="s">
        <v>555</v>
      </c>
      <c r="F328" s="32" t="s">
        <v>211</v>
      </c>
      <c r="G328" s="32" t="s">
        <v>212</v>
      </c>
      <c r="H328" s="32" t="s">
        <v>352</v>
      </c>
      <c r="I328" s="31" t="s">
        <v>391</v>
      </c>
      <c r="J328" s="31">
        <v>1</v>
      </c>
      <c r="K328" s="33" t="s">
        <v>936</v>
      </c>
      <c r="L328" s="33" t="s">
        <v>704</v>
      </c>
      <c r="M328" s="34" t="s">
        <v>39</v>
      </c>
      <c r="N328" s="34" t="s">
        <v>1706</v>
      </c>
      <c r="O328" s="35">
        <v>1</v>
      </c>
      <c r="P328" s="35"/>
      <c r="Q328" s="32"/>
      <c r="S328" s="1">
        <f t="shared" si="85"/>
        <v>1</v>
      </c>
      <c r="T328" s="1">
        <f t="shared" si="86"/>
        <v>0</v>
      </c>
      <c r="U328" s="1">
        <f t="shared" si="87"/>
        <v>0</v>
      </c>
      <c r="V328" s="1">
        <f t="shared" si="88"/>
        <v>0</v>
      </c>
      <c r="W328" s="1">
        <f t="shared" si="89"/>
        <v>0</v>
      </c>
      <c r="X328" s="1">
        <f t="shared" si="90"/>
        <v>0</v>
      </c>
      <c r="Y328" s="1">
        <f t="shared" si="91"/>
        <v>0</v>
      </c>
      <c r="Z328" s="1">
        <f t="shared" si="92"/>
        <v>0</v>
      </c>
      <c r="AA328" s="1">
        <f t="shared" si="93"/>
        <v>0</v>
      </c>
      <c r="AB328" s="1">
        <f t="shared" si="94"/>
        <v>0</v>
      </c>
      <c r="AD328" s="1">
        <f t="shared" si="95"/>
        <v>0</v>
      </c>
      <c r="AE328" s="1">
        <f t="shared" si="96"/>
        <v>1</v>
      </c>
      <c r="AF328" s="1">
        <f t="shared" si="97"/>
        <v>0</v>
      </c>
      <c r="AG328" s="1">
        <f t="shared" si="98"/>
        <v>1</v>
      </c>
      <c r="AH328" s="1">
        <f t="shared" si="99"/>
        <v>0</v>
      </c>
      <c r="AI328" s="1">
        <f t="shared" si="100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61</v>
      </c>
      <c r="E329" s="32" t="s">
        <v>539</v>
      </c>
      <c r="F329" s="32" t="s">
        <v>232</v>
      </c>
      <c r="G329" s="32" t="s">
        <v>203</v>
      </c>
      <c r="H329" s="32" t="s">
        <v>352</v>
      </c>
      <c r="I329" s="31" t="s">
        <v>399</v>
      </c>
      <c r="J329" s="31">
        <v>7</v>
      </c>
      <c r="K329" s="33" t="s">
        <v>703</v>
      </c>
      <c r="L329" s="33" t="s">
        <v>704</v>
      </c>
      <c r="M329" s="34" t="s">
        <v>705</v>
      </c>
      <c r="N329" s="34" t="s">
        <v>1723</v>
      </c>
      <c r="O329" s="35">
        <v>1</v>
      </c>
      <c r="P329" s="35"/>
      <c r="Q329" s="32"/>
      <c r="S329" s="1">
        <f t="shared" si="85"/>
        <v>0</v>
      </c>
      <c r="T329" s="1">
        <f t="shared" si="86"/>
        <v>0</v>
      </c>
      <c r="U329" s="1">
        <f t="shared" si="87"/>
        <v>0</v>
      </c>
      <c r="V329" s="1">
        <f t="shared" si="88"/>
        <v>0</v>
      </c>
      <c r="W329" s="1">
        <f t="shared" si="89"/>
        <v>0</v>
      </c>
      <c r="X329" s="1">
        <f t="shared" si="90"/>
        <v>0</v>
      </c>
      <c r="Y329" s="1">
        <f t="shared" si="91"/>
        <v>1</v>
      </c>
      <c r="Z329" s="1">
        <f t="shared" si="92"/>
        <v>0</v>
      </c>
      <c r="AA329" s="1">
        <f t="shared" si="93"/>
        <v>0</v>
      </c>
      <c r="AB329" s="1">
        <f t="shared" si="94"/>
        <v>0</v>
      </c>
      <c r="AD329" s="1">
        <f t="shared" si="95"/>
        <v>0</v>
      </c>
      <c r="AE329" s="1">
        <f t="shared" si="96"/>
        <v>1</v>
      </c>
      <c r="AF329" s="1">
        <f t="shared" si="97"/>
        <v>0</v>
      </c>
      <c r="AG329" s="1">
        <f t="shared" si="98"/>
        <v>1</v>
      </c>
      <c r="AH329" s="1">
        <f t="shared" si="99"/>
        <v>0</v>
      </c>
      <c r="AI329" s="1">
        <f t="shared" si="100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1614</v>
      </c>
      <c r="E330" s="32" t="s">
        <v>555</v>
      </c>
      <c r="F330" s="32" t="s">
        <v>1330</v>
      </c>
      <c r="G330" s="32" t="s">
        <v>1258</v>
      </c>
      <c r="H330" s="32" t="s">
        <v>352</v>
      </c>
      <c r="I330" s="31" t="s">
        <v>1145</v>
      </c>
      <c r="J330" s="31">
        <v>99</v>
      </c>
      <c r="K330" s="33" t="s">
        <v>703</v>
      </c>
      <c r="L330" s="33" t="s">
        <v>704</v>
      </c>
      <c r="M330" s="34" t="s">
        <v>705</v>
      </c>
      <c r="N330" s="34" t="s">
        <v>1710</v>
      </c>
      <c r="O330" s="35">
        <v>1</v>
      </c>
      <c r="P330" s="35"/>
      <c r="Q330" s="32" t="s">
        <v>1861</v>
      </c>
      <c r="S330" s="1">
        <f t="shared" si="85"/>
        <v>0</v>
      </c>
      <c r="T330" s="1">
        <f t="shared" si="86"/>
        <v>0</v>
      </c>
      <c r="U330" s="1">
        <f t="shared" si="87"/>
        <v>0</v>
      </c>
      <c r="V330" s="1">
        <f t="shared" si="88"/>
        <v>0</v>
      </c>
      <c r="W330" s="1">
        <f t="shared" si="89"/>
        <v>0</v>
      </c>
      <c r="X330" s="1">
        <f t="shared" si="90"/>
        <v>0</v>
      </c>
      <c r="Y330" s="1">
        <f t="shared" si="91"/>
        <v>0</v>
      </c>
      <c r="Z330" s="1">
        <f t="shared" si="92"/>
        <v>0</v>
      </c>
      <c r="AA330" s="1">
        <f t="shared" si="93"/>
        <v>0</v>
      </c>
      <c r="AB330" s="1">
        <f t="shared" si="94"/>
        <v>0</v>
      </c>
      <c r="AD330" s="1">
        <f t="shared" si="95"/>
        <v>0</v>
      </c>
      <c r="AE330" s="1">
        <f t="shared" si="96"/>
        <v>1</v>
      </c>
      <c r="AF330" s="1">
        <f t="shared" si="97"/>
        <v>0</v>
      </c>
      <c r="AG330" s="1">
        <f t="shared" si="98"/>
        <v>1</v>
      </c>
      <c r="AH330" s="1">
        <f t="shared" si="99"/>
        <v>0</v>
      </c>
      <c r="AI330" s="1">
        <f t="shared" si="100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1744</v>
      </c>
      <c r="E331" s="32" t="s">
        <v>1745</v>
      </c>
      <c r="F331" s="32" t="s">
        <v>1746</v>
      </c>
      <c r="G331" s="32" t="s">
        <v>1747</v>
      </c>
      <c r="H331" s="32" t="s">
        <v>352</v>
      </c>
      <c r="I331" s="31"/>
      <c r="J331" s="31">
        <v>1</v>
      </c>
      <c r="K331" s="33" t="s">
        <v>694</v>
      </c>
      <c r="L331" s="33"/>
      <c r="M331" s="34"/>
      <c r="N331" s="34" t="s">
        <v>1706</v>
      </c>
      <c r="O331" s="35">
        <v>1</v>
      </c>
      <c r="P331" s="35"/>
      <c r="Q331" s="32" t="s">
        <v>1869</v>
      </c>
      <c r="S331" s="1">
        <f t="shared" si="85"/>
        <v>1</v>
      </c>
      <c r="T331" s="1">
        <f t="shared" si="86"/>
        <v>0</v>
      </c>
      <c r="U331" s="1">
        <f t="shared" si="87"/>
        <v>0</v>
      </c>
      <c r="V331" s="1">
        <f t="shared" si="88"/>
        <v>0</v>
      </c>
      <c r="W331" s="1">
        <f t="shared" si="89"/>
        <v>0</v>
      </c>
      <c r="X331" s="1">
        <f t="shared" si="90"/>
        <v>0</v>
      </c>
      <c r="Y331" s="1">
        <f t="shared" si="91"/>
        <v>0</v>
      </c>
      <c r="Z331" s="1">
        <f t="shared" si="92"/>
        <v>0</v>
      </c>
      <c r="AA331" s="1">
        <f t="shared" si="93"/>
        <v>0</v>
      </c>
      <c r="AB331" s="1">
        <f t="shared" si="94"/>
        <v>0</v>
      </c>
      <c r="AD331" s="1">
        <f t="shared" si="95"/>
        <v>0</v>
      </c>
      <c r="AE331" s="1">
        <f t="shared" si="96"/>
        <v>1</v>
      </c>
      <c r="AF331" s="1">
        <f t="shared" si="97"/>
        <v>0</v>
      </c>
      <c r="AG331" s="1">
        <f t="shared" si="98"/>
        <v>1</v>
      </c>
      <c r="AH331" s="1">
        <f t="shared" si="99"/>
        <v>0</v>
      </c>
      <c r="AI331" s="1">
        <f t="shared" si="100"/>
        <v>1</v>
      </c>
    </row>
    <row r="332" spans="1:35" s="1" customFormat="1" ht="14.25" customHeight="1" x14ac:dyDescent="0.25">
      <c r="A332" s="62">
        <v>0</v>
      </c>
      <c r="B332" s="62">
        <v>2</v>
      </c>
      <c r="C332" s="62">
        <v>1</v>
      </c>
      <c r="D332" s="63" t="s">
        <v>1292</v>
      </c>
      <c r="E332" s="63" t="s">
        <v>1312</v>
      </c>
      <c r="F332" s="63" t="s">
        <v>1275</v>
      </c>
      <c r="G332" s="63" t="s">
        <v>1276</v>
      </c>
      <c r="H332" s="63" t="s">
        <v>352</v>
      </c>
      <c r="I332" s="62" t="s">
        <v>1277</v>
      </c>
      <c r="J332" s="62">
        <v>99</v>
      </c>
      <c r="K332" s="64" t="s">
        <v>936</v>
      </c>
      <c r="L332" s="64" t="s">
        <v>704</v>
      </c>
      <c r="M332" s="65" t="s">
        <v>705</v>
      </c>
      <c r="N332" s="65" t="s">
        <v>1879</v>
      </c>
      <c r="O332" s="66">
        <v>1</v>
      </c>
      <c r="P332" s="66"/>
      <c r="Q332" s="63"/>
      <c r="S332" s="1">
        <f t="shared" si="85"/>
        <v>0</v>
      </c>
      <c r="T332" s="1">
        <f t="shared" si="86"/>
        <v>0</v>
      </c>
      <c r="U332" s="1">
        <f t="shared" si="87"/>
        <v>0</v>
      </c>
      <c r="V332" s="1">
        <f t="shared" si="88"/>
        <v>0</v>
      </c>
      <c r="W332" s="1">
        <f t="shared" si="89"/>
        <v>0</v>
      </c>
      <c r="X332" s="1">
        <f t="shared" si="90"/>
        <v>0</v>
      </c>
      <c r="Y332" s="1">
        <f t="shared" si="91"/>
        <v>0</v>
      </c>
      <c r="Z332" s="1">
        <f t="shared" si="92"/>
        <v>0</v>
      </c>
      <c r="AA332" s="1">
        <f t="shared" si="93"/>
        <v>0</v>
      </c>
      <c r="AB332" s="1">
        <f t="shared" si="94"/>
        <v>0</v>
      </c>
      <c r="AD332" s="1">
        <f t="shared" si="95"/>
        <v>0</v>
      </c>
      <c r="AE332" s="1">
        <f t="shared" si="96"/>
        <v>1</v>
      </c>
      <c r="AF332" s="1">
        <f t="shared" si="97"/>
        <v>0</v>
      </c>
      <c r="AG332" s="1">
        <f t="shared" si="98"/>
        <v>1</v>
      </c>
      <c r="AH332" s="1">
        <f t="shared" si="99"/>
        <v>0</v>
      </c>
      <c r="AI332" s="1">
        <f t="shared" si="100"/>
        <v>1</v>
      </c>
    </row>
    <row r="333" spans="1:35" s="1" customFormat="1" ht="14.25" customHeight="1" x14ac:dyDescent="0.25">
      <c r="A333" s="15">
        <v>0</v>
      </c>
      <c r="B333" s="15">
        <v>2</v>
      </c>
      <c r="C333" s="15">
        <v>1</v>
      </c>
      <c r="D333" s="16" t="s">
        <v>1287</v>
      </c>
      <c r="E333" s="16" t="s">
        <v>159</v>
      </c>
      <c r="F333" s="16" t="s">
        <v>1289</v>
      </c>
      <c r="G333" s="16" t="s">
        <v>1290</v>
      </c>
      <c r="H333" s="16" t="s">
        <v>352</v>
      </c>
      <c r="I333" s="15" t="s">
        <v>1291</v>
      </c>
      <c r="J333" s="15">
        <v>8</v>
      </c>
      <c r="K333" s="10" t="s">
        <v>704</v>
      </c>
      <c r="L333" s="10" t="s">
        <v>704</v>
      </c>
      <c r="M333" s="19" t="s">
        <v>705</v>
      </c>
      <c r="N333" s="19"/>
      <c r="Q333" s="16"/>
      <c r="S333" s="1">
        <f t="shared" si="85"/>
        <v>0</v>
      </c>
      <c r="T333" s="1">
        <f t="shared" si="86"/>
        <v>0</v>
      </c>
      <c r="U333" s="1">
        <f t="shared" si="87"/>
        <v>0</v>
      </c>
      <c r="V333" s="1">
        <f t="shared" si="88"/>
        <v>0</v>
      </c>
      <c r="W333" s="1">
        <f t="shared" si="89"/>
        <v>0</v>
      </c>
      <c r="X333" s="1">
        <f t="shared" si="90"/>
        <v>0</v>
      </c>
      <c r="Y333" s="1">
        <f t="shared" si="91"/>
        <v>0</v>
      </c>
      <c r="Z333" s="1">
        <f t="shared" si="92"/>
        <v>1</v>
      </c>
      <c r="AA333" s="1">
        <f t="shared" si="93"/>
        <v>0</v>
      </c>
      <c r="AB333" s="1">
        <f t="shared" si="94"/>
        <v>0</v>
      </c>
      <c r="AD333" s="1">
        <f t="shared" si="95"/>
        <v>0</v>
      </c>
      <c r="AE333" s="1">
        <f t="shared" si="96"/>
        <v>0</v>
      </c>
      <c r="AF333" s="1">
        <f t="shared" si="97"/>
        <v>0</v>
      </c>
      <c r="AG333" s="1">
        <f t="shared" si="98"/>
        <v>0</v>
      </c>
      <c r="AH333" s="1">
        <f t="shared" si="99"/>
        <v>0</v>
      </c>
      <c r="AI333" s="1">
        <f t="shared" si="100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1613</v>
      </c>
      <c r="E334" s="32" t="s">
        <v>1146</v>
      </c>
      <c r="F334" s="32" t="s">
        <v>1646</v>
      </c>
      <c r="G334" s="32" t="s">
        <v>189</v>
      </c>
      <c r="H334" s="32" t="s">
        <v>352</v>
      </c>
      <c r="I334" s="31" t="s">
        <v>1574</v>
      </c>
      <c r="J334" s="31">
        <v>99</v>
      </c>
      <c r="K334" s="33" t="s">
        <v>704</v>
      </c>
      <c r="L334" s="33" t="s">
        <v>687</v>
      </c>
      <c r="M334" s="34" t="s">
        <v>1575</v>
      </c>
      <c r="N334" s="34" t="s">
        <v>1723</v>
      </c>
      <c r="O334" s="35">
        <v>1</v>
      </c>
      <c r="P334" s="35"/>
      <c r="Q334" s="32"/>
      <c r="S334" s="1">
        <f t="shared" si="85"/>
        <v>0</v>
      </c>
      <c r="T334" s="1">
        <f t="shared" si="86"/>
        <v>0</v>
      </c>
      <c r="U334" s="1">
        <f t="shared" si="87"/>
        <v>0</v>
      </c>
      <c r="V334" s="1">
        <f t="shared" si="88"/>
        <v>0</v>
      </c>
      <c r="W334" s="1">
        <f t="shared" si="89"/>
        <v>0</v>
      </c>
      <c r="X334" s="1">
        <f t="shared" si="90"/>
        <v>0</v>
      </c>
      <c r="Y334" s="1">
        <f t="shared" si="91"/>
        <v>0</v>
      </c>
      <c r="Z334" s="1">
        <f t="shared" si="92"/>
        <v>0</v>
      </c>
      <c r="AA334" s="1">
        <f t="shared" si="93"/>
        <v>0</v>
      </c>
      <c r="AB334" s="1">
        <f t="shared" si="94"/>
        <v>0</v>
      </c>
      <c r="AD334" s="1">
        <f t="shared" si="95"/>
        <v>0</v>
      </c>
      <c r="AE334" s="1">
        <f t="shared" si="96"/>
        <v>1</v>
      </c>
      <c r="AF334" s="1">
        <f t="shared" si="97"/>
        <v>0</v>
      </c>
      <c r="AG334" s="1">
        <f t="shared" si="98"/>
        <v>1</v>
      </c>
      <c r="AH334" s="1">
        <f t="shared" si="99"/>
        <v>0</v>
      </c>
      <c r="AI334" s="1">
        <f t="shared" si="100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65</v>
      </c>
      <c r="E335" s="32" t="s">
        <v>163</v>
      </c>
      <c r="F335" s="32" t="s">
        <v>242</v>
      </c>
      <c r="G335" s="32" t="s">
        <v>199</v>
      </c>
      <c r="H335" s="32" t="s">
        <v>352</v>
      </c>
      <c r="I335" s="31" t="s">
        <v>405</v>
      </c>
      <c r="J335" s="31">
        <v>2</v>
      </c>
      <c r="K335" s="33" t="s">
        <v>936</v>
      </c>
      <c r="L335" s="33" t="s">
        <v>687</v>
      </c>
      <c r="M335" s="34" t="s">
        <v>706</v>
      </c>
      <c r="N335" s="34" t="s">
        <v>1706</v>
      </c>
      <c r="O335" s="35">
        <v>1</v>
      </c>
      <c r="P335" s="35"/>
      <c r="Q335" s="32"/>
      <c r="S335" s="1">
        <f t="shared" si="85"/>
        <v>0</v>
      </c>
      <c r="T335" s="1">
        <f t="shared" si="86"/>
        <v>1</v>
      </c>
      <c r="U335" s="1">
        <f t="shared" si="87"/>
        <v>0</v>
      </c>
      <c r="V335" s="1">
        <f t="shared" si="88"/>
        <v>0</v>
      </c>
      <c r="W335" s="1">
        <f t="shared" si="89"/>
        <v>0</v>
      </c>
      <c r="X335" s="1">
        <f t="shared" si="90"/>
        <v>0</v>
      </c>
      <c r="Y335" s="1">
        <f t="shared" si="91"/>
        <v>0</v>
      </c>
      <c r="Z335" s="1">
        <f t="shared" si="92"/>
        <v>0</v>
      </c>
      <c r="AA335" s="1">
        <f t="shared" si="93"/>
        <v>0</v>
      </c>
      <c r="AB335" s="1">
        <f t="shared" si="94"/>
        <v>0</v>
      </c>
      <c r="AD335" s="1">
        <f t="shared" si="95"/>
        <v>0</v>
      </c>
      <c r="AE335" s="1">
        <f t="shared" si="96"/>
        <v>1</v>
      </c>
      <c r="AF335" s="1">
        <f t="shared" si="97"/>
        <v>0</v>
      </c>
      <c r="AG335" s="1">
        <f t="shared" si="98"/>
        <v>1</v>
      </c>
      <c r="AH335" s="1">
        <f t="shared" si="99"/>
        <v>0</v>
      </c>
      <c r="AI335" s="1">
        <f t="shared" si="100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1789</v>
      </c>
      <c r="E336" s="32" t="s">
        <v>1790</v>
      </c>
      <c r="F336" s="32" t="s">
        <v>1791</v>
      </c>
      <c r="G336" s="32" t="s">
        <v>195</v>
      </c>
      <c r="H336" s="32" t="s">
        <v>352</v>
      </c>
      <c r="I336" s="31" t="s">
        <v>1792</v>
      </c>
      <c r="J336" s="31"/>
      <c r="K336" s="33" t="s">
        <v>694</v>
      </c>
      <c r="L336" s="33">
        <v>20</v>
      </c>
      <c r="M336" s="34" t="s">
        <v>1793</v>
      </c>
      <c r="N336" s="34" t="s">
        <v>1710</v>
      </c>
      <c r="O336" s="35">
        <v>1</v>
      </c>
      <c r="P336" s="35"/>
      <c r="Q336" s="32"/>
      <c r="S336" s="1">
        <f t="shared" si="85"/>
        <v>0</v>
      </c>
      <c r="T336" s="1">
        <f t="shared" si="86"/>
        <v>0</v>
      </c>
      <c r="U336" s="1">
        <f t="shared" si="87"/>
        <v>0</v>
      </c>
      <c r="V336" s="1">
        <f t="shared" si="88"/>
        <v>0</v>
      </c>
      <c r="W336" s="1">
        <f t="shared" si="89"/>
        <v>0</v>
      </c>
      <c r="X336" s="1">
        <f t="shared" si="90"/>
        <v>0</v>
      </c>
      <c r="Y336" s="1">
        <f t="shared" si="91"/>
        <v>0</v>
      </c>
      <c r="Z336" s="1">
        <f t="shared" si="92"/>
        <v>0</v>
      </c>
      <c r="AA336" s="1">
        <f t="shared" si="93"/>
        <v>0</v>
      </c>
      <c r="AB336" s="1">
        <f t="shared" si="94"/>
        <v>0</v>
      </c>
      <c r="AD336" s="1">
        <f t="shared" si="95"/>
        <v>0</v>
      </c>
      <c r="AE336" s="1">
        <f t="shared" si="96"/>
        <v>1</v>
      </c>
      <c r="AF336" s="1">
        <f t="shared" si="97"/>
        <v>0</v>
      </c>
      <c r="AG336" s="1">
        <f t="shared" si="98"/>
        <v>1</v>
      </c>
      <c r="AH336" s="1">
        <f t="shared" si="99"/>
        <v>0</v>
      </c>
      <c r="AI336" s="1">
        <f t="shared" si="100"/>
        <v>1</v>
      </c>
    </row>
    <row r="337" spans="1:35" s="1" customFormat="1" ht="14.25" customHeight="1" x14ac:dyDescent="0.25">
      <c r="A337" s="37">
        <v>0</v>
      </c>
      <c r="B337" s="37">
        <v>2</v>
      </c>
      <c r="C337" s="37">
        <v>2</v>
      </c>
      <c r="D337" s="36" t="s">
        <v>2097</v>
      </c>
      <c r="E337" s="36" t="s">
        <v>2095</v>
      </c>
      <c r="F337" s="36" t="s">
        <v>2096</v>
      </c>
      <c r="G337" s="36" t="s">
        <v>256</v>
      </c>
      <c r="H337" s="36" t="s">
        <v>352</v>
      </c>
      <c r="I337" s="37" t="s">
        <v>30</v>
      </c>
      <c r="J337" s="37">
        <v>2</v>
      </c>
      <c r="K337" s="33" t="s">
        <v>694</v>
      </c>
      <c r="L337" s="33"/>
      <c r="M337" s="34"/>
      <c r="N337" s="34" t="s">
        <v>1693</v>
      </c>
      <c r="O337" s="35">
        <v>1</v>
      </c>
      <c r="P337" s="35">
        <v>1</v>
      </c>
      <c r="Q337" s="36"/>
      <c r="S337" s="1">
        <f t="shared" si="85"/>
        <v>0</v>
      </c>
      <c r="T337" s="1">
        <f t="shared" si="86"/>
        <v>1</v>
      </c>
      <c r="U337" s="1">
        <f t="shared" si="87"/>
        <v>0</v>
      </c>
      <c r="V337" s="1">
        <f t="shared" si="88"/>
        <v>0</v>
      </c>
      <c r="W337" s="1">
        <f t="shared" si="89"/>
        <v>0</v>
      </c>
      <c r="X337" s="1">
        <f t="shared" si="90"/>
        <v>0</v>
      </c>
      <c r="Y337" s="1">
        <f t="shared" si="91"/>
        <v>0</v>
      </c>
      <c r="Z337" s="1">
        <f t="shared" si="92"/>
        <v>0</v>
      </c>
      <c r="AA337" s="1">
        <f t="shared" si="93"/>
        <v>0</v>
      </c>
      <c r="AB337" s="1">
        <f t="shared" si="94"/>
        <v>0</v>
      </c>
      <c r="AD337" s="1">
        <f t="shared" si="95"/>
        <v>1</v>
      </c>
      <c r="AE337" s="1">
        <f t="shared" si="96"/>
        <v>0</v>
      </c>
      <c r="AF337" s="1">
        <f t="shared" si="97"/>
        <v>1</v>
      </c>
      <c r="AG337" s="1">
        <f t="shared" si="98"/>
        <v>0</v>
      </c>
      <c r="AH337" s="1">
        <f t="shared" si="99"/>
        <v>1</v>
      </c>
      <c r="AI337" s="1">
        <f t="shared" si="100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1543</v>
      </c>
      <c r="E338" s="32" t="s">
        <v>1544</v>
      </c>
      <c r="F338" s="32" t="s">
        <v>1546</v>
      </c>
      <c r="G338" s="32" t="s">
        <v>1547</v>
      </c>
      <c r="H338" s="32" t="s">
        <v>352</v>
      </c>
      <c r="I338" s="31" t="s">
        <v>1545</v>
      </c>
      <c r="J338" s="31">
        <v>99</v>
      </c>
      <c r="K338" s="33" t="s">
        <v>694</v>
      </c>
      <c r="L338" s="33">
        <v>18</v>
      </c>
      <c r="M338" s="34" t="s">
        <v>1548</v>
      </c>
      <c r="N338" s="34" t="s">
        <v>1710</v>
      </c>
      <c r="O338" s="35">
        <v>1</v>
      </c>
      <c r="P338" s="35"/>
      <c r="Q338" s="32"/>
      <c r="S338" s="1">
        <f t="shared" ref="S338:S401" si="101">IF(J338=$S$7,1,0)</f>
        <v>0</v>
      </c>
      <c r="T338" s="1">
        <f t="shared" ref="T338:T401" si="102">IF(J338=$T$7,1,0)</f>
        <v>0</v>
      </c>
      <c r="U338" s="1">
        <f t="shared" ref="U338:U401" si="103">IF(J338=$U$7,1,0)</f>
        <v>0</v>
      </c>
      <c r="V338" s="1">
        <f t="shared" ref="V338:V401" si="104">IF(J338=$V$7,1,0)</f>
        <v>0</v>
      </c>
      <c r="W338" s="1">
        <f t="shared" ref="W338:W401" si="105">IF(J338=$W$7,1,0)</f>
        <v>0</v>
      </c>
      <c r="X338" s="1">
        <f t="shared" ref="X338:X401" si="106">IF(J338=$X$7,1,0)</f>
        <v>0</v>
      </c>
      <c r="Y338" s="1">
        <f t="shared" ref="Y338:Y401" si="107">IF(J338=$Y$7,1,0)</f>
        <v>0</v>
      </c>
      <c r="Z338" s="1">
        <f t="shared" ref="Z338:Z401" si="108">IF(J338=$Z$7,1,0)</f>
        <v>0</v>
      </c>
      <c r="AA338" s="1">
        <f t="shared" ref="AA338:AA401" si="109">IF(J338=$AA$7,1,0)</f>
        <v>0</v>
      </c>
      <c r="AB338" s="1">
        <f t="shared" ref="AB338:AB401" si="110">IF(J338=$AB$7,1,0)</f>
        <v>0</v>
      </c>
      <c r="AD338" s="1">
        <f t="shared" ref="AD338:AD401" si="111">+O338*P338</f>
        <v>0</v>
      </c>
      <c r="AE338" s="1">
        <f t="shared" ref="AE338:AE401" si="112">O338*(1-P338)</f>
        <v>1</v>
      </c>
      <c r="AF338" s="1">
        <f t="shared" si="97"/>
        <v>0</v>
      </c>
      <c r="AG338" s="1">
        <f t="shared" si="98"/>
        <v>1</v>
      </c>
      <c r="AH338" s="1">
        <f t="shared" si="99"/>
        <v>0</v>
      </c>
      <c r="AI338" s="1">
        <f t="shared" si="100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64</v>
      </c>
      <c r="E339" s="32" t="s">
        <v>33</v>
      </c>
      <c r="F339" s="32" t="s">
        <v>240</v>
      </c>
      <c r="G339" s="32" t="s">
        <v>241</v>
      </c>
      <c r="H339" s="32" t="s">
        <v>352</v>
      </c>
      <c r="I339" s="31" t="s">
        <v>404</v>
      </c>
      <c r="J339" s="31">
        <v>1</v>
      </c>
      <c r="K339" s="33" t="s">
        <v>942</v>
      </c>
      <c r="L339" s="33" t="s">
        <v>707</v>
      </c>
      <c r="M339" s="34" t="s">
        <v>708</v>
      </c>
      <c r="N339" s="34" t="s">
        <v>1706</v>
      </c>
      <c r="O339" s="35">
        <v>1</v>
      </c>
      <c r="P339" s="35"/>
      <c r="Q339" s="32"/>
      <c r="S339" s="1">
        <f t="shared" si="101"/>
        <v>1</v>
      </c>
      <c r="T339" s="1">
        <f t="shared" si="102"/>
        <v>0</v>
      </c>
      <c r="U339" s="1">
        <f t="shared" si="103"/>
        <v>0</v>
      </c>
      <c r="V339" s="1">
        <f t="shared" si="104"/>
        <v>0</v>
      </c>
      <c r="W339" s="1">
        <f t="shared" si="105"/>
        <v>0</v>
      </c>
      <c r="X339" s="1">
        <f t="shared" si="106"/>
        <v>0</v>
      </c>
      <c r="Y339" s="1">
        <f t="shared" si="107"/>
        <v>0</v>
      </c>
      <c r="Z339" s="1">
        <f t="shared" si="108"/>
        <v>0</v>
      </c>
      <c r="AA339" s="1">
        <f t="shared" si="109"/>
        <v>0</v>
      </c>
      <c r="AB339" s="1">
        <f t="shared" si="110"/>
        <v>0</v>
      </c>
      <c r="AD339" s="1">
        <f t="shared" si="111"/>
        <v>0</v>
      </c>
      <c r="AE339" s="1">
        <f t="shared" si="112"/>
        <v>1</v>
      </c>
      <c r="AF339" s="1">
        <f t="shared" ref="AF339:AF402" si="113">+O339*P339*(1-A339)</f>
        <v>0</v>
      </c>
      <c r="AG339" s="1">
        <f t="shared" ref="AG339:AG402" si="114">O339*(1-P339)*(1-A339)</f>
        <v>1</v>
      </c>
      <c r="AH339" s="1">
        <f t="shared" ref="AH339:AH402" si="115">+P339*(1-A339)</f>
        <v>0</v>
      </c>
      <c r="AI339" s="1">
        <f t="shared" ref="AI339:AI402" si="116">+(1-A339)*(1-P339)</f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62</v>
      </c>
      <c r="E340" s="32" t="s">
        <v>1067</v>
      </c>
      <c r="F340" s="32" t="s">
        <v>233</v>
      </c>
      <c r="G340" s="32" t="s">
        <v>234</v>
      </c>
      <c r="H340" s="32" t="s">
        <v>352</v>
      </c>
      <c r="I340" s="31" t="s">
        <v>1337</v>
      </c>
      <c r="J340" s="31">
        <v>99</v>
      </c>
      <c r="K340" s="33" t="s">
        <v>936</v>
      </c>
      <c r="L340" s="33" t="s">
        <v>707</v>
      </c>
      <c r="M340" s="34" t="s">
        <v>709</v>
      </c>
      <c r="N340" s="34" t="s">
        <v>1706</v>
      </c>
      <c r="O340" s="35">
        <v>1</v>
      </c>
      <c r="P340" s="35"/>
      <c r="Q340" s="32"/>
      <c r="S340" s="1">
        <f t="shared" si="101"/>
        <v>0</v>
      </c>
      <c r="T340" s="1">
        <f t="shared" si="102"/>
        <v>0</v>
      </c>
      <c r="U340" s="1">
        <f t="shared" si="103"/>
        <v>0</v>
      </c>
      <c r="V340" s="1">
        <f t="shared" si="104"/>
        <v>0</v>
      </c>
      <c r="W340" s="1">
        <f t="shared" si="105"/>
        <v>0</v>
      </c>
      <c r="X340" s="1">
        <f t="shared" si="106"/>
        <v>0</v>
      </c>
      <c r="Y340" s="1">
        <f t="shared" si="107"/>
        <v>0</v>
      </c>
      <c r="Z340" s="1">
        <f t="shared" si="108"/>
        <v>0</v>
      </c>
      <c r="AA340" s="1">
        <f t="shared" si="109"/>
        <v>0</v>
      </c>
      <c r="AB340" s="1">
        <f t="shared" si="110"/>
        <v>0</v>
      </c>
      <c r="AD340" s="1">
        <f t="shared" si="111"/>
        <v>0</v>
      </c>
      <c r="AE340" s="1">
        <f t="shared" si="112"/>
        <v>1</v>
      </c>
      <c r="AF340" s="1">
        <f t="shared" si="113"/>
        <v>0</v>
      </c>
      <c r="AG340" s="1">
        <f t="shared" si="114"/>
        <v>1</v>
      </c>
      <c r="AH340" s="1">
        <f t="shared" si="115"/>
        <v>0</v>
      </c>
      <c r="AI340" s="1">
        <f t="shared" si="116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1682</v>
      </c>
      <c r="E341" s="32" t="s">
        <v>1684</v>
      </c>
      <c r="F341" s="32" t="s">
        <v>1683</v>
      </c>
      <c r="G341" s="32"/>
      <c r="H341" s="32" t="s">
        <v>352</v>
      </c>
      <c r="I341" s="31" t="s">
        <v>1685</v>
      </c>
      <c r="J341" s="31"/>
      <c r="K341" s="33" t="s">
        <v>694</v>
      </c>
      <c r="L341" s="33"/>
      <c r="M341" s="34"/>
      <c r="N341" s="34" t="s">
        <v>1693</v>
      </c>
      <c r="O341" s="35">
        <v>1</v>
      </c>
      <c r="P341" s="35">
        <v>1</v>
      </c>
      <c r="Q341" s="32"/>
      <c r="S341" s="1">
        <f t="shared" si="101"/>
        <v>0</v>
      </c>
      <c r="T341" s="1">
        <f t="shared" si="102"/>
        <v>0</v>
      </c>
      <c r="U341" s="1">
        <f t="shared" si="103"/>
        <v>0</v>
      </c>
      <c r="V341" s="1">
        <f t="shared" si="104"/>
        <v>0</v>
      </c>
      <c r="W341" s="1">
        <f t="shared" si="105"/>
        <v>0</v>
      </c>
      <c r="X341" s="1">
        <f t="shared" si="106"/>
        <v>0</v>
      </c>
      <c r="Y341" s="1">
        <f t="shared" si="107"/>
        <v>0</v>
      </c>
      <c r="Z341" s="1">
        <f t="shared" si="108"/>
        <v>0</v>
      </c>
      <c r="AA341" s="1">
        <f t="shared" si="109"/>
        <v>0</v>
      </c>
      <c r="AB341" s="1">
        <f t="shared" si="110"/>
        <v>0</v>
      </c>
      <c r="AD341" s="1">
        <f t="shared" si="111"/>
        <v>1</v>
      </c>
      <c r="AE341" s="1">
        <f t="shared" si="112"/>
        <v>0</v>
      </c>
      <c r="AF341" s="1">
        <f t="shared" si="113"/>
        <v>1</v>
      </c>
      <c r="AG341" s="1">
        <f t="shared" si="114"/>
        <v>0</v>
      </c>
      <c r="AH341" s="1">
        <f t="shared" si="115"/>
        <v>1</v>
      </c>
      <c r="AI341" s="1">
        <f t="shared" si="116"/>
        <v>0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772</v>
      </c>
      <c r="E342" s="32" t="s">
        <v>892</v>
      </c>
      <c r="F342" s="32" t="s">
        <v>1538</v>
      </c>
      <c r="G342" s="32" t="s">
        <v>229</v>
      </c>
      <c r="H342" s="32" t="s">
        <v>352</v>
      </c>
      <c r="I342" s="31" t="s">
        <v>1660</v>
      </c>
      <c r="J342" s="31">
        <v>7</v>
      </c>
      <c r="K342" s="33" t="s">
        <v>704</v>
      </c>
      <c r="L342" s="33">
        <v>20</v>
      </c>
      <c r="M342" s="34" t="s">
        <v>39</v>
      </c>
      <c r="N342" s="34" t="s">
        <v>1711</v>
      </c>
      <c r="O342" s="35">
        <v>1</v>
      </c>
      <c r="P342" s="35"/>
      <c r="Q342" s="32"/>
      <c r="S342" s="1">
        <f t="shared" si="101"/>
        <v>0</v>
      </c>
      <c r="T342" s="1">
        <f t="shared" si="102"/>
        <v>0</v>
      </c>
      <c r="U342" s="1">
        <f t="shared" si="103"/>
        <v>0</v>
      </c>
      <c r="V342" s="1">
        <f t="shared" si="104"/>
        <v>0</v>
      </c>
      <c r="W342" s="1">
        <f t="shared" si="105"/>
        <v>0</v>
      </c>
      <c r="X342" s="1">
        <f t="shared" si="106"/>
        <v>0</v>
      </c>
      <c r="Y342" s="1">
        <f t="shared" si="107"/>
        <v>1</v>
      </c>
      <c r="Z342" s="1">
        <f t="shared" si="108"/>
        <v>0</v>
      </c>
      <c r="AA342" s="1">
        <f t="shared" si="109"/>
        <v>0</v>
      </c>
      <c r="AB342" s="1">
        <f t="shared" si="110"/>
        <v>0</v>
      </c>
      <c r="AD342" s="1">
        <f t="shared" si="111"/>
        <v>0</v>
      </c>
      <c r="AE342" s="1">
        <f t="shared" si="112"/>
        <v>1</v>
      </c>
      <c r="AF342" s="1">
        <f t="shared" si="113"/>
        <v>0</v>
      </c>
      <c r="AG342" s="1">
        <f t="shared" si="114"/>
        <v>1</v>
      </c>
      <c r="AH342" s="1">
        <f t="shared" si="115"/>
        <v>0</v>
      </c>
      <c r="AI342" s="1">
        <f t="shared" si="116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837</v>
      </c>
      <c r="E343" s="32" t="s">
        <v>537</v>
      </c>
      <c r="F343" s="32" t="s">
        <v>839</v>
      </c>
      <c r="G343" s="32" t="s">
        <v>219</v>
      </c>
      <c r="H343" s="32" t="s">
        <v>352</v>
      </c>
      <c r="I343" s="31" t="s">
        <v>840</v>
      </c>
      <c r="J343" s="31">
        <v>8</v>
      </c>
      <c r="K343" s="33" t="s">
        <v>704</v>
      </c>
      <c r="L343" s="33" t="s">
        <v>707</v>
      </c>
      <c r="M343" s="34" t="s">
        <v>1383</v>
      </c>
      <c r="N343" s="34" t="s">
        <v>1706</v>
      </c>
      <c r="O343" s="35">
        <v>1</v>
      </c>
      <c r="P343" s="35"/>
      <c r="Q343" s="32"/>
      <c r="S343" s="1">
        <f t="shared" si="101"/>
        <v>0</v>
      </c>
      <c r="T343" s="1">
        <f t="shared" si="102"/>
        <v>0</v>
      </c>
      <c r="U343" s="1">
        <f t="shared" si="103"/>
        <v>0</v>
      </c>
      <c r="V343" s="1">
        <f t="shared" si="104"/>
        <v>0</v>
      </c>
      <c r="W343" s="1">
        <f t="shared" si="105"/>
        <v>0</v>
      </c>
      <c r="X343" s="1">
        <f t="shared" si="106"/>
        <v>0</v>
      </c>
      <c r="Y343" s="1">
        <f t="shared" si="107"/>
        <v>0</v>
      </c>
      <c r="Z343" s="1">
        <f t="shared" si="108"/>
        <v>1</v>
      </c>
      <c r="AA343" s="1">
        <f t="shared" si="109"/>
        <v>0</v>
      </c>
      <c r="AB343" s="1">
        <f t="shared" si="110"/>
        <v>0</v>
      </c>
      <c r="AD343" s="1">
        <f t="shared" si="111"/>
        <v>0</v>
      </c>
      <c r="AE343" s="1">
        <f t="shared" si="112"/>
        <v>1</v>
      </c>
      <c r="AF343" s="1">
        <f t="shared" si="113"/>
        <v>0</v>
      </c>
      <c r="AG343" s="1">
        <f t="shared" si="114"/>
        <v>1</v>
      </c>
      <c r="AH343" s="1">
        <f t="shared" si="115"/>
        <v>0</v>
      </c>
      <c r="AI343" s="1">
        <f t="shared" si="116"/>
        <v>1</v>
      </c>
    </row>
    <row r="344" spans="1:35" s="1" customFormat="1" ht="14.25" customHeight="1" x14ac:dyDescent="0.25">
      <c r="A344" s="31">
        <v>1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1326</v>
      </c>
      <c r="G344" s="32" t="s">
        <v>193</v>
      </c>
      <c r="H344" s="32" t="s">
        <v>352</v>
      </c>
      <c r="I344" s="31" t="s">
        <v>838</v>
      </c>
      <c r="J344" s="31">
        <v>9</v>
      </c>
      <c r="K344" s="33" t="s">
        <v>704</v>
      </c>
      <c r="L344" s="33" t="s">
        <v>707</v>
      </c>
      <c r="M344" s="34" t="s">
        <v>1383</v>
      </c>
      <c r="N344" s="34" t="s">
        <v>1706</v>
      </c>
      <c r="O344" s="35">
        <v>1</v>
      </c>
      <c r="P344" s="35"/>
      <c r="Q344" s="32"/>
      <c r="S344" s="1">
        <f t="shared" si="101"/>
        <v>0</v>
      </c>
      <c r="T344" s="1">
        <f t="shared" si="102"/>
        <v>0</v>
      </c>
      <c r="U344" s="1">
        <f t="shared" si="103"/>
        <v>0</v>
      </c>
      <c r="V344" s="1">
        <f t="shared" si="104"/>
        <v>0</v>
      </c>
      <c r="W344" s="1">
        <f t="shared" si="105"/>
        <v>0</v>
      </c>
      <c r="X344" s="1">
        <f t="shared" si="106"/>
        <v>0</v>
      </c>
      <c r="Y344" s="1">
        <f t="shared" si="107"/>
        <v>0</v>
      </c>
      <c r="Z344" s="1">
        <f t="shared" si="108"/>
        <v>0</v>
      </c>
      <c r="AA344" s="1">
        <f t="shared" si="109"/>
        <v>1</v>
      </c>
      <c r="AB344" s="1">
        <f t="shared" si="110"/>
        <v>0</v>
      </c>
      <c r="AD344" s="1">
        <f t="shared" si="111"/>
        <v>0</v>
      </c>
      <c r="AE344" s="1">
        <f t="shared" si="112"/>
        <v>1</v>
      </c>
      <c r="AF344" s="1">
        <f t="shared" si="113"/>
        <v>0</v>
      </c>
      <c r="AG344" s="1">
        <f t="shared" si="114"/>
        <v>0</v>
      </c>
      <c r="AH344" s="1">
        <f t="shared" si="115"/>
        <v>0</v>
      </c>
      <c r="AI344" s="1">
        <f t="shared" si="116"/>
        <v>0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901</v>
      </c>
      <c r="E345" s="32" t="s">
        <v>770</v>
      </c>
      <c r="F345" s="32" t="s">
        <v>771</v>
      </c>
      <c r="G345" s="32" t="s">
        <v>229</v>
      </c>
      <c r="H345" s="32" t="s">
        <v>352</v>
      </c>
      <c r="I345" s="31" t="s">
        <v>773</v>
      </c>
      <c r="J345" s="31">
        <v>7</v>
      </c>
      <c r="K345" s="33" t="s">
        <v>703</v>
      </c>
      <c r="L345" s="33">
        <v>15</v>
      </c>
      <c r="M345" s="34" t="s">
        <v>39</v>
      </c>
      <c r="N345" s="34" t="s">
        <v>1706</v>
      </c>
      <c r="O345" s="35">
        <v>1</v>
      </c>
      <c r="P345" s="35"/>
      <c r="Q345" s="32"/>
      <c r="S345" s="1">
        <f t="shared" si="101"/>
        <v>0</v>
      </c>
      <c r="T345" s="1">
        <f t="shared" si="102"/>
        <v>0</v>
      </c>
      <c r="U345" s="1">
        <f t="shared" si="103"/>
        <v>0</v>
      </c>
      <c r="V345" s="1">
        <f t="shared" si="104"/>
        <v>0</v>
      </c>
      <c r="W345" s="1">
        <f t="shared" si="105"/>
        <v>0</v>
      </c>
      <c r="X345" s="1">
        <f t="shared" si="106"/>
        <v>0</v>
      </c>
      <c r="Y345" s="1">
        <f t="shared" si="107"/>
        <v>1</v>
      </c>
      <c r="Z345" s="1">
        <f t="shared" si="108"/>
        <v>0</v>
      </c>
      <c r="AA345" s="1">
        <f t="shared" si="109"/>
        <v>0</v>
      </c>
      <c r="AB345" s="1">
        <f t="shared" si="110"/>
        <v>0</v>
      </c>
      <c r="AD345" s="1">
        <f t="shared" si="111"/>
        <v>0</v>
      </c>
      <c r="AE345" s="1">
        <f t="shared" si="112"/>
        <v>1</v>
      </c>
      <c r="AF345" s="1">
        <f t="shared" si="113"/>
        <v>0</v>
      </c>
      <c r="AG345" s="1">
        <f t="shared" si="114"/>
        <v>1</v>
      </c>
      <c r="AH345" s="1">
        <f t="shared" si="115"/>
        <v>0</v>
      </c>
      <c r="AI345" s="1">
        <f t="shared" si="116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83</v>
      </c>
      <c r="E346" s="32" t="s">
        <v>156</v>
      </c>
      <c r="F346" s="32" t="s">
        <v>1833</v>
      </c>
      <c r="G346" s="32" t="s">
        <v>208</v>
      </c>
      <c r="H346" s="32" t="s">
        <v>352</v>
      </c>
      <c r="I346" s="31" t="s">
        <v>430</v>
      </c>
      <c r="J346" s="31">
        <v>99</v>
      </c>
      <c r="K346" s="33" t="s">
        <v>935</v>
      </c>
      <c r="L346" s="33" t="s">
        <v>695</v>
      </c>
      <c r="M346" s="34" t="s">
        <v>710</v>
      </c>
      <c r="N346" s="34" t="s">
        <v>1706</v>
      </c>
      <c r="O346" s="35">
        <v>1</v>
      </c>
      <c r="P346" s="35"/>
      <c r="Q346" s="32"/>
      <c r="S346" s="1">
        <f t="shared" si="101"/>
        <v>0</v>
      </c>
      <c r="T346" s="1">
        <f t="shared" si="102"/>
        <v>0</v>
      </c>
      <c r="U346" s="1">
        <f t="shared" si="103"/>
        <v>0</v>
      </c>
      <c r="V346" s="1">
        <f t="shared" si="104"/>
        <v>0</v>
      </c>
      <c r="W346" s="1">
        <f t="shared" si="105"/>
        <v>0</v>
      </c>
      <c r="X346" s="1">
        <f t="shared" si="106"/>
        <v>0</v>
      </c>
      <c r="Y346" s="1">
        <f t="shared" si="107"/>
        <v>0</v>
      </c>
      <c r="Z346" s="1">
        <f t="shared" si="108"/>
        <v>0</v>
      </c>
      <c r="AA346" s="1">
        <f t="shared" si="109"/>
        <v>0</v>
      </c>
      <c r="AB346" s="1">
        <f t="shared" si="110"/>
        <v>0</v>
      </c>
      <c r="AD346" s="1">
        <f t="shared" si="111"/>
        <v>0</v>
      </c>
      <c r="AE346" s="1">
        <f t="shared" si="112"/>
        <v>1</v>
      </c>
      <c r="AF346" s="1">
        <f t="shared" si="113"/>
        <v>0</v>
      </c>
      <c r="AG346" s="1">
        <f t="shared" si="114"/>
        <v>1</v>
      </c>
      <c r="AH346" s="1">
        <f t="shared" si="115"/>
        <v>0</v>
      </c>
      <c r="AI346" s="1">
        <f t="shared" si="116"/>
        <v>1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1531</v>
      </c>
      <c r="E347" s="32" t="s">
        <v>1308</v>
      </c>
      <c r="F347" s="32" t="s">
        <v>1532</v>
      </c>
      <c r="G347" s="32" t="s">
        <v>1144</v>
      </c>
      <c r="H347" s="32" t="s">
        <v>352</v>
      </c>
      <c r="I347" s="31" t="s">
        <v>1533</v>
      </c>
      <c r="J347" s="31">
        <v>1</v>
      </c>
      <c r="K347" s="33" t="s">
        <v>704</v>
      </c>
      <c r="L347" s="33" t="s">
        <v>39</v>
      </c>
      <c r="M347" s="34" t="s">
        <v>39</v>
      </c>
      <c r="N347" s="34" t="s">
        <v>1693</v>
      </c>
      <c r="O347" s="35">
        <v>1</v>
      </c>
      <c r="P347" s="35">
        <v>1</v>
      </c>
      <c r="Q347" s="32"/>
      <c r="S347" s="1">
        <f t="shared" si="101"/>
        <v>1</v>
      </c>
      <c r="T347" s="1">
        <f t="shared" si="102"/>
        <v>0</v>
      </c>
      <c r="U347" s="1">
        <f t="shared" si="103"/>
        <v>0</v>
      </c>
      <c r="V347" s="1">
        <f t="shared" si="104"/>
        <v>0</v>
      </c>
      <c r="W347" s="1">
        <f t="shared" si="105"/>
        <v>0</v>
      </c>
      <c r="X347" s="1">
        <f t="shared" si="106"/>
        <v>0</v>
      </c>
      <c r="Y347" s="1">
        <f t="shared" si="107"/>
        <v>0</v>
      </c>
      <c r="Z347" s="1">
        <f t="shared" si="108"/>
        <v>0</v>
      </c>
      <c r="AA347" s="1">
        <f t="shared" si="109"/>
        <v>0</v>
      </c>
      <c r="AB347" s="1">
        <f t="shared" si="110"/>
        <v>0</v>
      </c>
      <c r="AD347" s="1">
        <f t="shared" si="111"/>
        <v>1</v>
      </c>
      <c r="AE347" s="1">
        <f t="shared" si="112"/>
        <v>0</v>
      </c>
      <c r="AF347" s="1">
        <f t="shared" si="113"/>
        <v>1</v>
      </c>
      <c r="AG347" s="1">
        <f t="shared" si="114"/>
        <v>0</v>
      </c>
      <c r="AH347" s="1">
        <f t="shared" si="115"/>
        <v>1</v>
      </c>
      <c r="AI347" s="1">
        <f t="shared" si="116"/>
        <v>0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1707</v>
      </c>
      <c r="E348" s="32" t="s">
        <v>27</v>
      </c>
      <c r="F348" s="32" t="s">
        <v>1025</v>
      </c>
      <c r="G348" s="32" t="s">
        <v>219</v>
      </c>
      <c r="H348" s="32" t="s">
        <v>352</v>
      </c>
      <c r="I348" s="31" t="s">
        <v>1026</v>
      </c>
      <c r="J348" s="31">
        <v>8</v>
      </c>
      <c r="K348" s="33" t="s">
        <v>704</v>
      </c>
      <c r="L348" s="33">
        <v>25</v>
      </c>
      <c r="M348" s="34" t="s">
        <v>1708</v>
      </c>
      <c r="N348" s="34" t="s">
        <v>1693</v>
      </c>
      <c r="O348" s="35">
        <v>1</v>
      </c>
      <c r="P348" s="35">
        <v>1</v>
      </c>
      <c r="Q348" s="32"/>
      <c r="S348" s="1">
        <f t="shared" si="101"/>
        <v>0</v>
      </c>
      <c r="T348" s="1">
        <f t="shared" si="102"/>
        <v>0</v>
      </c>
      <c r="U348" s="1">
        <f t="shared" si="103"/>
        <v>0</v>
      </c>
      <c r="V348" s="1">
        <f t="shared" si="104"/>
        <v>0</v>
      </c>
      <c r="W348" s="1">
        <f t="shared" si="105"/>
        <v>0</v>
      </c>
      <c r="X348" s="1">
        <f t="shared" si="106"/>
        <v>0</v>
      </c>
      <c r="Y348" s="1">
        <f t="shared" si="107"/>
        <v>0</v>
      </c>
      <c r="Z348" s="1">
        <f t="shared" si="108"/>
        <v>1</v>
      </c>
      <c r="AA348" s="1">
        <f t="shared" si="109"/>
        <v>0</v>
      </c>
      <c r="AB348" s="1">
        <f t="shared" si="110"/>
        <v>0</v>
      </c>
      <c r="AD348" s="1">
        <f t="shared" si="111"/>
        <v>1</v>
      </c>
      <c r="AE348" s="1">
        <f t="shared" si="112"/>
        <v>0</v>
      </c>
      <c r="AF348" s="1">
        <f t="shared" si="113"/>
        <v>1</v>
      </c>
      <c r="AG348" s="1">
        <f t="shared" si="114"/>
        <v>0</v>
      </c>
      <c r="AH348" s="1">
        <f t="shared" si="115"/>
        <v>1</v>
      </c>
      <c r="AI348" s="1">
        <f t="shared" si="116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45</v>
      </c>
      <c r="E349" s="32" t="s">
        <v>44</v>
      </c>
      <c r="F349" s="32" t="s">
        <v>661</v>
      </c>
      <c r="G349" s="32" t="s">
        <v>179</v>
      </c>
      <c r="H349" s="32" t="s">
        <v>352</v>
      </c>
      <c r="I349" s="31" t="s">
        <v>931</v>
      </c>
      <c r="J349" s="31">
        <v>10</v>
      </c>
      <c r="K349" s="33" t="s">
        <v>704</v>
      </c>
      <c r="L349" s="33" t="s">
        <v>711</v>
      </c>
      <c r="M349" s="34" t="s">
        <v>712</v>
      </c>
      <c r="N349" s="34" t="s">
        <v>1693</v>
      </c>
      <c r="O349" s="35">
        <v>1</v>
      </c>
      <c r="P349" s="35">
        <v>1</v>
      </c>
      <c r="Q349" s="32"/>
      <c r="S349" s="1">
        <f t="shared" si="101"/>
        <v>0</v>
      </c>
      <c r="T349" s="1">
        <f t="shared" si="102"/>
        <v>0</v>
      </c>
      <c r="U349" s="1">
        <f t="shared" si="103"/>
        <v>0</v>
      </c>
      <c r="V349" s="1">
        <f t="shared" si="104"/>
        <v>0</v>
      </c>
      <c r="W349" s="1">
        <f t="shared" si="105"/>
        <v>0</v>
      </c>
      <c r="X349" s="1">
        <f t="shared" si="106"/>
        <v>0</v>
      </c>
      <c r="Y349" s="1">
        <f t="shared" si="107"/>
        <v>0</v>
      </c>
      <c r="Z349" s="1">
        <f t="shared" si="108"/>
        <v>0</v>
      </c>
      <c r="AA349" s="1">
        <f t="shared" si="109"/>
        <v>0</v>
      </c>
      <c r="AB349" s="1">
        <f t="shared" si="110"/>
        <v>1</v>
      </c>
      <c r="AD349" s="1">
        <f t="shared" si="111"/>
        <v>1</v>
      </c>
      <c r="AE349" s="1">
        <f t="shared" si="112"/>
        <v>0</v>
      </c>
      <c r="AF349" s="1">
        <f t="shared" si="113"/>
        <v>1</v>
      </c>
      <c r="AG349" s="1">
        <f t="shared" si="114"/>
        <v>0</v>
      </c>
      <c r="AH349" s="1">
        <f t="shared" si="115"/>
        <v>1</v>
      </c>
      <c r="AI349" s="1">
        <f t="shared" si="116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1417</v>
      </c>
      <c r="E350" s="32" t="s">
        <v>1620</v>
      </c>
      <c r="F350" s="32" t="s">
        <v>1635</v>
      </c>
      <c r="G350" s="32" t="s">
        <v>229</v>
      </c>
      <c r="H350" s="32" t="s">
        <v>352</v>
      </c>
      <c r="I350" s="31" t="s">
        <v>1418</v>
      </c>
      <c r="J350" s="31">
        <v>99</v>
      </c>
      <c r="K350" s="33" t="s">
        <v>936</v>
      </c>
      <c r="L350" s="33">
        <v>20</v>
      </c>
      <c r="M350" s="34" t="s">
        <v>39</v>
      </c>
      <c r="N350" s="34" t="s">
        <v>1693</v>
      </c>
      <c r="O350" s="35">
        <v>1</v>
      </c>
      <c r="P350" s="35">
        <v>1</v>
      </c>
      <c r="Q350" s="32"/>
      <c r="S350" s="1">
        <f t="shared" si="101"/>
        <v>0</v>
      </c>
      <c r="T350" s="1">
        <f t="shared" si="102"/>
        <v>0</v>
      </c>
      <c r="U350" s="1">
        <f t="shared" si="103"/>
        <v>0</v>
      </c>
      <c r="V350" s="1">
        <f t="shared" si="104"/>
        <v>0</v>
      </c>
      <c r="W350" s="1">
        <f t="shared" si="105"/>
        <v>0</v>
      </c>
      <c r="X350" s="1">
        <f t="shared" si="106"/>
        <v>0</v>
      </c>
      <c r="Y350" s="1">
        <f t="shared" si="107"/>
        <v>0</v>
      </c>
      <c r="Z350" s="1">
        <f t="shared" si="108"/>
        <v>0</v>
      </c>
      <c r="AA350" s="1">
        <f t="shared" si="109"/>
        <v>0</v>
      </c>
      <c r="AB350" s="1">
        <f t="shared" si="110"/>
        <v>0</v>
      </c>
      <c r="AD350" s="1">
        <f t="shared" si="111"/>
        <v>1</v>
      </c>
      <c r="AE350" s="1">
        <f t="shared" si="112"/>
        <v>0</v>
      </c>
      <c r="AF350" s="1">
        <f t="shared" si="113"/>
        <v>1</v>
      </c>
      <c r="AG350" s="1">
        <f t="shared" si="114"/>
        <v>0</v>
      </c>
      <c r="AH350" s="1">
        <f t="shared" si="115"/>
        <v>1</v>
      </c>
      <c r="AI350" s="1">
        <f t="shared" si="116"/>
        <v>0</v>
      </c>
    </row>
    <row r="351" spans="1:35" s="1" customFormat="1" ht="14.25" customHeight="1" x14ac:dyDescent="0.25">
      <c r="A351" s="59">
        <v>0</v>
      </c>
      <c r="B351" s="59">
        <v>2</v>
      </c>
      <c r="C351" s="59">
        <v>2</v>
      </c>
      <c r="D351" s="49" t="s">
        <v>1948</v>
      </c>
      <c r="E351" s="49" t="s">
        <v>2032</v>
      </c>
      <c r="F351" s="49" t="s">
        <v>1949</v>
      </c>
      <c r="G351" s="49" t="s">
        <v>178</v>
      </c>
      <c r="H351" s="49" t="s">
        <v>352</v>
      </c>
      <c r="I351" s="59" t="s">
        <v>1950</v>
      </c>
      <c r="J351" s="59"/>
      <c r="K351" s="59" t="s">
        <v>694</v>
      </c>
      <c r="L351" s="59"/>
      <c r="M351" s="49"/>
      <c r="N351" s="49"/>
      <c r="O351" s="60"/>
      <c r="P351" s="60">
        <v>1</v>
      </c>
      <c r="Q351" s="49"/>
      <c r="S351" s="1">
        <f t="shared" si="101"/>
        <v>0</v>
      </c>
      <c r="T351" s="1">
        <f t="shared" si="102"/>
        <v>0</v>
      </c>
      <c r="U351" s="1">
        <f t="shared" si="103"/>
        <v>0</v>
      </c>
      <c r="V351" s="1">
        <f t="shared" si="104"/>
        <v>0</v>
      </c>
      <c r="W351" s="1">
        <f t="shared" si="105"/>
        <v>0</v>
      </c>
      <c r="X351" s="1">
        <f t="shared" si="106"/>
        <v>0</v>
      </c>
      <c r="Y351" s="1">
        <f t="shared" si="107"/>
        <v>0</v>
      </c>
      <c r="Z351" s="1">
        <f t="shared" si="108"/>
        <v>0</v>
      </c>
      <c r="AA351" s="1">
        <f t="shared" si="109"/>
        <v>0</v>
      </c>
      <c r="AB351" s="1">
        <f t="shared" si="110"/>
        <v>0</v>
      </c>
      <c r="AD351" s="1">
        <f t="shared" si="111"/>
        <v>0</v>
      </c>
      <c r="AE351" s="1">
        <f t="shared" si="112"/>
        <v>0</v>
      </c>
      <c r="AF351" s="1">
        <f t="shared" si="113"/>
        <v>0</v>
      </c>
      <c r="AG351" s="1">
        <f t="shared" si="114"/>
        <v>0</v>
      </c>
      <c r="AH351" s="1">
        <f t="shared" si="115"/>
        <v>1</v>
      </c>
      <c r="AI351" s="1">
        <f t="shared" si="116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598</v>
      </c>
      <c r="E352" s="32" t="s">
        <v>599</v>
      </c>
      <c r="F352" s="32" t="s">
        <v>600</v>
      </c>
      <c r="G352" s="32" t="s">
        <v>256</v>
      </c>
      <c r="H352" s="32" t="s">
        <v>352</v>
      </c>
      <c r="I352" s="31" t="s">
        <v>601</v>
      </c>
      <c r="J352" s="31">
        <v>99</v>
      </c>
      <c r="K352" s="33" t="s">
        <v>936</v>
      </c>
      <c r="L352" s="33" t="s">
        <v>695</v>
      </c>
      <c r="M352" s="34" t="s">
        <v>1384</v>
      </c>
      <c r="N352" s="34" t="s">
        <v>1706</v>
      </c>
      <c r="O352" s="35">
        <v>1</v>
      </c>
      <c r="P352" s="35"/>
      <c r="Q352" s="32"/>
      <c r="S352" s="1">
        <f t="shared" si="101"/>
        <v>0</v>
      </c>
      <c r="T352" s="1">
        <f t="shared" si="102"/>
        <v>0</v>
      </c>
      <c r="U352" s="1">
        <f t="shared" si="103"/>
        <v>0</v>
      </c>
      <c r="V352" s="1">
        <f t="shared" si="104"/>
        <v>0</v>
      </c>
      <c r="W352" s="1">
        <f t="shared" si="105"/>
        <v>0</v>
      </c>
      <c r="X352" s="1">
        <f t="shared" si="106"/>
        <v>0</v>
      </c>
      <c r="Y352" s="1">
        <f t="shared" si="107"/>
        <v>0</v>
      </c>
      <c r="Z352" s="1">
        <f t="shared" si="108"/>
        <v>0</v>
      </c>
      <c r="AA352" s="1">
        <f t="shared" si="109"/>
        <v>0</v>
      </c>
      <c r="AB352" s="1">
        <f t="shared" si="110"/>
        <v>0</v>
      </c>
      <c r="AD352" s="1">
        <f t="shared" si="111"/>
        <v>0</v>
      </c>
      <c r="AE352" s="1">
        <f t="shared" si="112"/>
        <v>1</v>
      </c>
      <c r="AF352" s="1">
        <f t="shared" si="113"/>
        <v>0</v>
      </c>
      <c r="AG352" s="1">
        <f t="shared" si="114"/>
        <v>1</v>
      </c>
      <c r="AH352" s="1">
        <f t="shared" si="115"/>
        <v>0</v>
      </c>
      <c r="AI352" s="1">
        <f t="shared" si="116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2</v>
      </c>
      <c r="D353" s="32" t="s">
        <v>1885</v>
      </c>
      <c r="E353" s="32" t="s">
        <v>1886</v>
      </c>
      <c r="F353" s="32" t="s">
        <v>1887</v>
      </c>
      <c r="G353" s="32" t="s">
        <v>183</v>
      </c>
      <c r="H353" s="32" t="s">
        <v>352</v>
      </c>
      <c r="I353" s="31" t="s">
        <v>1889</v>
      </c>
      <c r="J353" s="31">
        <v>99</v>
      </c>
      <c r="K353" s="33" t="s">
        <v>694</v>
      </c>
      <c r="L353" s="33"/>
      <c r="M353" s="34"/>
      <c r="N353" s="34" t="s">
        <v>1693</v>
      </c>
      <c r="O353" s="35">
        <v>1</v>
      </c>
      <c r="P353" s="35">
        <v>1</v>
      </c>
      <c r="Q353" s="32" t="s">
        <v>1888</v>
      </c>
      <c r="S353" s="1">
        <f t="shared" si="101"/>
        <v>0</v>
      </c>
      <c r="T353" s="1">
        <f t="shared" si="102"/>
        <v>0</v>
      </c>
      <c r="U353" s="1">
        <f t="shared" si="103"/>
        <v>0</v>
      </c>
      <c r="V353" s="1">
        <f t="shared" si="104"/>
        <v>0</v>
      </c>
      <c r="W353" s="1">
        <f t="shared" si="105"/>
        <v>0</v>
      </c>
      <c r="X353" s="1">
        <f t="shared" si="106"/>
        <v>0</v>
      </c>
      <c r="Y353" s="1">
        <f t="shared" si="107"/>
        <v>0</v>
      </c>
      <c r="Z353" s="1">
        <f t="shared" si="108"/>
        <v>0</v>
      </c>
      <c r="AA353" s="1">
        <f t="shared" si="109"/>
        <v>0</v>
      </c>
      <c r="AB353" s="1">
        <f t="shared" si="110"/>
        <v>0</v>
      </c>
      <c r="AD353" s="1">
        <f t="shared" si="111"/>
        <v>1</v>
      </c>
      <c r="AE353" s="1">
        <f t="shared" si="112"/>
        <v>0</v>
      </c>
      <c r="AF353" s="1">
        <f t="shared" si="113"/>
        <v>1</v>
      </c>
      <c r="AG353" s="1">
        <f t="shared" si="114"/>
        <v>0</v>
      </c>
      <c r="AH353" s="1">
        <f t="shared" si="115"/>
        <v>1</v>
      </c>
      <c r="AI353" s="1">
        <f t="shared" si="116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1610</v>
      </c>
      <c r="E354" s="32" t="s">
        <v>1146</v>
      </c>
      <c r="F354" s="32" t="s">
        <v>1641</v>
      </c>
      <c r="G354" s="32" t="s">
        <v>179</v>
      </c>
      <c r="H354" s="32" t="s">
        <v>352</v>
      </c>
      <c r="I354" s="31" t="s">
        <v>1463</v>
      </c>
      <c r="J354" s="31">
        <v>10</v>
      </c>
      <c r="K354" s="33" t="s">
        <v>703</v>
      </c>
      <c r="L354" s="33">
        <v>15</v>
      </c>
      <c r="M354" s="34" t="s">
        <v>39</v>
      </c>
      <c r="N354" s="34" t="s">
        <v>1751</v>
      </c>
      <c r="O354" s="35">
        <v>1</v>
      </c>
      <c r="P354" s="35"/>
      <c r="Q354" s="32"/>
      <c r="S354" s="1">
        <f t="shared" si="101"/>
        <v>0</v>
      </c>
      <c r="T354" s="1">
        <f t="shared" si="102"/>
        <v>0</v>
      </c>
      <c r="U354" s="1">
        <f t="shared" si="103"/>
        <v>0</v>
      </c>
      <c r="V354" s="1">
        <f t="shared" si="104"/>
        <v>0</v>
      </c>
      <c r="W354" s="1">
        <f t="shared" si="105"/>
        <v>0</v>
      </c>
      <c r="X354" s="1">
        <f t="shared" si="106"/>
        <v>0</v>
      </c>
      <c r="Y354" s="1">
        <f t="shared" si="107"/>
        <v>0</v>
      </c>
      <c r="Z354" s="1">
        <f t="shared" si="108"/>
        <v>0</v>
      </c>
      <c r="AA354" s="1">
        <f t="shared" si="109"/>
        <v>0</v>
      </c>
      <c r="AB354" s="1">
        <f t="shared" si="110"/>
        <v>1</v>
      </c>
      <c r="AD354" s="1">
        <f t="shared" si="111"/>
        <v>0</v>
      </c>
      <c r="AE354" s="1">
        <f t="shared" si="112"/>
        <v>1</v>
      </c>
      <c r="AF354" s="1">
        <f t="shared" si="113"/>
        <v>0</v>
      </c>
      <c r="AG354" s="1">
        <f t="shared" si="114"/>
        <v>1</v>
      </c>
      <c r="AH354" s="1">
        <f t="shared" si="115"/>
        <v>0</v>
      </c>
      <c r="AI354" s="1">
        <f t="shared" si="116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847</v>
      </c>
      <c r="E355" s="32" t="s">
        <v>540</v>
      </c>
      <c r="F355" s="32" t="s">
        <v>848</v>
      </c>
      <c r="G355" s="32" t="s">
        <v>312</v>
      </c>
      <c r="H355" s="32" t="s">
        <v>352</v>
      </c>
      <c r="I355" s="31" t="s">
        <v>849</v>
      </c>
      <c r="J355" s="31">
        <v>1</v>
      </c>
      <c r="K355" s="33" t="s">
        <v>703</v>
      </c>
      <c r="L355" s="33">
        <v>25</v>
      </c>
      <c r="M355" s="34" t="s">
        <v>39</v>
      </c>
      <c r="N355" s="34" t="s">
        <v>1706</v>
      </c>
      <c r="O355" s="35">
        <v>1</v>
      </c>
      <c r="P355" s="35"/>
      <c r="Q355" s="32"/>
      <c r="S355" s="1">
        <f t="shared" si="101"/>
        <v>1</v>
      </c>
      <c r="T355" s="1">
        <f t="shared" si="102"/>
        <v>0</v>
      </c>
      <c r="U355" s="1">
        <f t="shared" si="103"/>
        <v>0</v>
      </c>
      <c r="V355" s="1">
        <f t="shared" si="104"/>
        <v>0</v>
      </c>
      <c r="W355" s="1">
        <f t="shared" si="105"/>
        <v>0</v>
      </c>
      <c r="X355" s="1">
        <f t="shared" si="106"/>
        <v>0</v>
      </c>
      <c r="Y355" s="1">
        <f t="shared" si="107"/>
        <v>0</v>
      </c>
      <c r="Z355" s="1">
        <f t="shared" si="108"/>
        <v>0</v>
      </c>
      <c r="AA355" s="1">
        <f t="shared" si="109"/>
        <v>0</v>
      </c>
      <c r="AB355" s="1">
        <f t="shared" si="110"/>
        <v>0</v>
      </c>
      <c r="AD355" s="1">
        <f t="shared" si="111"/>
        <v>0</v>
      </c>
      <c r="AE355" s="1">
        <f t="shared" si="112"/>
        <v>1</v>
      </c>
      <c r="AF355" s="1">
        <f t="shared" si="113"/>
        <v>0</v>
      </c>
      <c r="AG355" s="1">
        <f t="shared" si="114"/>
        <v>1</v>
      </c>
      <c r="AH355" s="1">
        <f t="shared" si="115"/>
        <v>0</v>
      </c>
      <c r="AI355" s="1">
        <f t="shared" si="116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562</v>
      </c>
      <c r="E356" s="32" t="s">
        <v>38</v>
      </c>
      <c r="F356" s="32" t="s">
        <v>236</v>
      </c>
      <c r="G356" s="32" t="s">
        <v>535</v>
      </c>
      <c r="H356" s="32" t="s">
        <v>352</v>
      </c>
      <c r="I356" s="31" t="s">
        <v>401</v>
      </c>
      <c r="J356" s="31">
        <v>1</v>
      </c>
      <c r="K356" s="33" t="s">
        <v>703</v>
      </c>
      <c r="L356" s="33" t="s">
        <v>715</v>
      </c>
      <c r="M356" s="34" t="s">
        <v>716</v>
      </c>
      <c r="N356" s="34" t="s">
        <v>1693</v>
      </c>
      <c r="O356" s="35">
        <v>1</v>
      </c>
      <c r="P356" s="35">
        <v>1</v>
      </c>
      <c r="Q356" s="32"/>
      <c r="S356" s="1">
        <f t="shared" si="101"/>
        <v>1</v>
      </c>
      <c r="T356" s="1">
        <f t="shared" si="102"/>
        <v>0</v>
      </c>
      <c r="U356" s="1">
        <f t="shared" si="103"/>
        <v>0</v>
      </c>
      <c r="V356" s="1">
        <f t="shared" si="104"/>
        <v>0</v>
      </c>
      <c r="W356" s="1">
        <f t="shared" si="105"/>
        <v>0</v>
      </c>
      <c r="X356" s="1">
        <f t="shared" si="106"/>
        <v>0</v>
      </c>
      <c r="Y356" s="1">
        <f t="shared" si="107"/>
        <v>0</v>
      </c>
      <c r="Z356" s="1">
        <f t="shared" si="108"/>
        <v>0</v>
      </c>
      <c r="AA356" s="1">
        <f t="shared" si="109"/>
        <v>0</v>
      </c>
      <c r="AB356" s="1">
        <f t="shared" si="110"/>
        <v>0</v>
      </c>
      <c r="AD356" s="1">
        <f t="shared" si="111"/>
        <v>1</v>
      </c>
      <c r="AE356" s="1">
        <f t="shared" si="112"/>
        <v>0</v>
      </c>
      <c r="AF356" s="1">
        <f t="shared" si="113"/>
        <v>1</v>
      </c>
      <c r="AG356" s="1">
        <f t="shared" si="114"/>
        <v>0</v>
      </c>
      <c r="AH356" s="1">
        <f t="shared" si="115"/>
        <v>1</v>
      </c>
      <c r="AI356" s="1">
        <f t="shared" si="116"/>
        <v>0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835</v>
      </c>
      <c r="E357" s="32" t="s">
        <v>34</v>
      </c>
      <c r="F357" s="32" t="s">
        <v>909</v>
      </c>
      <c r="G357" s="32" t="s">
        <v>630</v>
      </c>
      <c r="H357" s="32" t="s">
        <v>352</v>
      </c>
      <c r="I357" s="31" t="s">
        <v>836</v>
      </c>
      <c r="J357" s="31">
        <v>1</v>
      </c>
      <c r="K357" s="33" t="s">
        <v>935</v>
      </c>
      <c r="L357" s="33" t="s">
        <v>720</v>
      </c>
      <c r="M357" s="34" t="s">
        <v>714</v>
      </c>
      <c r="N357" s="34" t="s">
        <v>1706</v>
      </c>
      <c r="O357" s="35">
        <v>1</v>
      </c>
      <c r="P357" s="35"/>
      <c r="Q357" s="32"/>
      <c r="S357" s="1">
        <f t="shared" si="101"/>
        <v>1</v>
      </c>
      <c r="T357" s="1">
        <f t="shared" si="102"/>
        <v>0</v>
      </c>
      <c r="U357" s="1">
        <f t="shared" si="103"/>
        <v>0</v>
      </c>
      <c r="V357" s="1">
        <f t="shared" si="104"/>
        <v>0</v>
      </c>
      <c r="W357" s="1">
        <f t="shared" si="105"/>
        <v>0</v>
      </c>
      <c r="X357" s="1">
        <f t="shared" si="106"/>
        <v>0</v>
      </c>
      <c r="Y357" s="1">
        <f t="shared" si="107"/>
        <v>0</v>
      </c>
      <c r="Z357" s="1">
        <f t="shared" si="108"/>
        <v>0</v>
      </c>
      <c r="AA357" s="1">
        <f t="shared" si="109"/>
        <v>0</v>
      </c>
      <c r="AB357" s="1">
        <f t="shared" si="110"/>
        <v>0</v>
      </c>
      <c r="AD357" s="1">
        <f t="shared" si="111"/>
        <v>0</v>
      </c>
      <c r="AE357" s="1">
        <f t="shared" si="112"/>
        <v>1</v>
      </c>
      <c r="AF357" s="1">
        <f t="shared" si="113"/>
        <v>0</v>
      </c>
      <c r="AG357" s="1">
        <f t="shared" si="114"/>
        <v>1</v>
      </c>
      <c r="AH357" s="1">
        <f t="shared" si="115"/>
        <v>0</v>
      </c>
      <c r="AI357" s="1">
        <f t="shared" si="116"/>
        <v>1</v>
      </c>
    </row>
    <row r="358" spans="1:35" s="1" customFormat="1" ht="14.25" customHeight="1" x14ac:dyDescent="0.25">
      <c r="A358" s="44">
        <v>0</v>
      </c>
      <c r="B358" s="44">
        <v>2</v>
      </c>
      <c r="C358" s="44">
        <v>3</v>
      </c>
      <c r="D358" s="45" t="s">
        <v>778</v>
      </c>
      <c r="E358" s="45" t="s">
        <v>32</v>
      </c>
      <c r="F358" s="45" t="s">
        <v>779</v>
      </c>
      <c r="G358" s="45" t="s">
        <v>250</v>
      </c>
      <c r="H358" s="45" t="s">
        <v>352</v>
      </c>
      <c r="I358" s="44" t="s">
        <v>780</v>
      </c>
      <c r="J358" s="44">
        <v>99</v>
      </c>
      <c r="K358" s="46" t="s">
        <v>704</v>
      </c>
      <c r="L358" s="46" t="s">
        <v>713</v>
      </c>
      <c r="M358" s="47" t="s">
        <v>714</v>
      </c>
      <c r="N358" s="47" t="s">
        <v>1770</v>
      </c>
      <c r="O358" s="48"/>
      <c r="P358" s="48"/>
      <c r="Q358" s="45"/>
      <c r="S358" s="1">
        <f t="shared" si="101"/>
        <v>0</v>
      </c>
      <c r="T358" s="1">
        <f t="shared" si="102"/>
        <v>0</v>
      </c>
      <c r="U358" s="1">
        <f t="shared" si="103"/>
        <v>0</v>
      </c>
      <c r="V358" s="1">
        <f t="shared" si="104"/>
        <v>0</v>
      </c>
      <c r="W358" s="1">
        <f t="shared" si="105"/>
        <v>0</v>
      </c>
      <c r="X358" s="1">
        <f t="shared" si="106"/>
        <v>0</v>
      </c>
      <c r="Y358" s="1">
        <f t="shared" si="107"/>
        <v>0</v>
      </c>
      <c r="Z358" s="1">
        <f t="shared" si="108"/>
        <v>0</v>
      </c>
      <c r="AA358" s="1">
        <f t="shared" si="109"/>
        <v>0</v>
      </c>
      <c r="AB358" s="1">
        <f t="shared" si="110"/>
        <v>0</v>
      </c>
      <c r="AD358" s="1">
        <f t="shared" si="111"/>
        <v>0</v>
      </c>
      <c r="AE358" s="1">
        <f t="shared" si="112"/>
        <v>0</v>
      </c>
      <c r="AF358" s="1">
        <f t="shared" si="113"/>
        <v>0</v>
      </c>
      <c r="AG358" s="1">
        <f t="shared" si="114"/>
        <v>0</v>
      </c>
      <c r="AH358" s="1">
        <f t="shared" si="115"/>
        <v>0</v>
      </c>
      <c r="AI358" s="1">
        <f t="shared" si="116"/>
        <v>1</v>
      </c>
    </row>
    <row r="359" spans="1:35" s="1" customFormat="1" ht="14.25" customHeight="1" x14ac:dyDescent="0.25">
      <c r="A359" s="44">
        <v>0</v>
      </c>
      <c r="B359" s="44">
        <v>2</v>
      </c>
      <c r="C359" s="44">
        <v>3</v>
      </c>
      <c r="D359" s="45" t="s">
        <v>56</v>
      </c>
      <c r="E359" s="45" t="s">
        <v>160</v>
      </c>
      <c r="F359" s="45" t="s">
        <v>218</v>
      </c>
      <c r="G359" s="45" t="s">
        <v>195</v>
      </c>
      <c r="H359" s="45" t="s">
        <v>352</v>
      </c>
      <c r="I359" s="44" t="s">
        <v>547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1763</v>
      </c>
      <c r="O359" s="48"/>
      <c r="P359" s="48"/>
      <c r="Q359" s="45"/>
      <c r="S359" s="1">
        <f t="shared" si="101"/>
        <v>0</v>
      </c>
      <c r="T359" s="1">
        <f t="shared" si="102"/>
        <v>0</v>
      </c>
      <c r="U359" s="1">
        <f t="shared" si="103"/>
        <v>0</v>
      </c>
      <c r="V359" s="1">
        <f t="shared" si="104"/>
        <v>0</v>
      </c>
      <c r="W359" s="1">
        <f t="shared" si="105"/>
        <v>0</v>
      </c>
      <c r="X359" s="1">
        <f t="shared" si="106"/>
        <v>0</v>
      </c>
      <c r="Y359" s="1">
        <f t="shared" si="107"/>
        <v>0</v>
      </c>
      <c r="Z359" s="1">
        <f t="shared" si="108"/>
        <v>0</v>
      </c>
      <c r="AA359" s="1">
        <f t="shared" si="109"/>
        <v>0</v>
      </c>
      <c r="AB359" s="1">
        <f t="shared" si="110"/>
        <v>0</v>
      </c>
      <c r="AD359" s="1">
        <f t="shared" si="111"/>
        <v>0</v>
      </c>
      <c r="AE359" s="1">
        <f t="shared" si="112"/>
        <v>0</v>
      </c>
      <c r="AF359" s="1">
        <f t="shared" si="113"/>
        <v>0</v>
      </c>
      <c r="AG359" s="1">
        <f t="shared" si="114"/>
        <v>0</v>
      </c>
      <c r="AH359" s="1">
        <f t="shared" si="115"/>
        <v>0</v>
      </c>
      <c r="AI359" s="1">
        <f t="shared" si="11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1153</v>
      </c>
      <c r="E360" s="32" t="s">
        <v>1309</v>
      </c>
      <c r="F360" s="32" t="s">
        <v>1154</v>
      </c>
      <c r="G360" s="32" t="s">
        <v>300</v>
      </c>
      <c r="H360" s="32" t="s">
        <v>352</v>
      </c>
      <c r="I360" s="31" t="s">
        <v>1155</v>
      </c>
      <c r="J360" s="31">
        <v>1</v>
      </c>
      <c r="K360" s="33" t="s">
        <v>936</v>
      </c>
      <c r="L360" s="33" t="s">
        <v>684</v>
      </c>
      <c r="M360" s="34" t="s">
        <v>1385</v>
      </c>
      <c r="N360" s="34" t="s">
        <v>1706</v>
      </c>
      <c r="O360" s="35">
        <v>1</v>
      </c>
      <c r="P360" s="35"/>
      <c r="Q360" s="32"/>
      <c r="S360" s="1">
        <f t="shared" si="101"/>
        <v>1</v>
      </c>
      <c r="T360" s="1">
        <f t="shared" si="102"/>
        <v>0</v>
      </c>
      <c r="U360" s="1">
        <f t="shared" si="103"/>
        <v>0</v>
      </c>
      <c r="V360" s="1">
        <f t="shared" si="104"/>
        <v>0</v>
      </c>
      <c r="W360" s="1">
        <f t="shared" si="105"/>
        <v>0</v>
      </c>
      <c r="X360" s="1">
        <f t="shared" si="106"/>
        <v>0</v>
      </c>
      <c r="Y360" s="1">
        <f t="shared" si="107"/>
        <v>0</v>
      </c>
      <c r="Z360" s="1">
        <f t="shared" si="108"/>
        <v>0</v>
      </c>
      <c r="AA360" s="1">
        <f t="shared" si="109"/>
        <v>0</v>
      </c>
      <c r="AB360" s="1">
        <f t="shared" si="110"/>
        <v>0</v>
      </c>
      <c r="AD360" s="1">
        <f t="shared" si="111"/>
        <v>0</v>
      </c>
      <c r="AE360" s="1">
        <f t="shared" si="112"/>
        <v>1</v>
      </c>
      <c r="AF360" s="1">
        <f t="shared" si="113"/>
        <v>0</v>
      </c>
      <c r="AG360" s="1">
        <f t="shared" si="114"/>
        <v>1</v>
      </c>
      <c r="AH360" s="1">
        <f t="shared" si="115"/>
        <v>0</v>
      </c>
      <c r="AI360" s="1">
        <f t="shared" si="116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1150</v>
      </c>
      <c r="E361" s="32" t="s">
        <v>1309</v>
      </c>
      <c r="F361" s="32" t="s">
        <v>1151</v>
      </c>
      <c r="G361" s="32" t="s">
        <v>1037</v>
      </c>
      <c r="H361" s="32" t="s">
        <v>352</v>
      </c>
      <c r="I361" s="31" t="s">
        <v>1152</v>
      </c>
      <c r="J361" s="31">
        <v>1</v>
      </c>
      <c r="K361" s="33" t="s">
        <v>704</v>
      </c>
      <c r="L361" s="33" t="s">
        <v>684</v>
      </c>
      <c r="M361" s="34" t="s">
        <v>1385</v>
      </c>
      <c r="N361" s="34" t="s">
        <v>1706</v>
      </c>
      <c r="O361" s="35">
        <v>1</v>
      </c>
      <c r="P361" s="35"/>
      <c r="Q361" s="32"/>
      <c r="S361" s="1">
        <f t="shared" si="101"/>
        <v>1</v>
      </c>
      <c r="T361" s="1">
        <f t="shared" si="102"/>
        <v>0</v>
      </c>
      <c r="U361" s="1">
        <f t="shared" si="103"/>
        <v>0</v>
      </c>
      <c r="V361" s="1">
        <f t="shared" si="104"/>
        <v>0</v>
      </c>
      <c r="W361" s="1">
        <f t="shared" si="105"/>
        <v>0</v>
      </c>
      <c r="X361" s="1">
        <f t="shared" si="106"/>
        <v>0</v>
      </c>
      <c r="Y361" s="1">
        <f t="shared" si="107"/>
        <v>0</v>
      </c>
      <c r="Z361" s="1">
        <f t="shared" si="108"/>
        <v>0</v>
      </c>
      <c r="AA361" s="1">
        <f t="shared" si="109"/>
        <v>0</v>
      </c>
      <c r="AB361" s="1">
        <f t="shared" si="110"/>
        <v>0</v>
      </c>
      <c r="AD361" s="1">
        <f t="shared" si="111"/>
        <v>0</v>
      </c>
      <c r="AE361" s="1">
        <f t="shared" si="112"/>
        <v>1</v>
      </c>
      <c r="AF361" s="1">
        <f t="shared" si="113"/>
        <v>0</v>
      </c>
      <c r="AG361" s="1">
        <f t="shared" si="114"/>
        <v>1</v>
      </c>
      <c r="AH361" s="1">
        <f t="shared" si="115"/>
        <v>0</v>
      </c>
      <c r="AI361" s="1">
        <f t="shared" si="116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1268</v>
      </c>
      <c r="E362" s="32" t="s">
        <v>32</v>
      </c>
      <c r="F362" s="32" t="s">
        <v>1269</v>
      </c>
      <c r="G362" s="32" t="s">
        <v>221</v>
      </c>
      <c r="H362" s="32" t="s">
        <v>352</v>
      </c>
      <c r="I362" s="31" t="s">
        <v>1655</v>
      </c>
      <c r="J362" s="31">
        <v>99</v>
      </c>
      <c r="K362" s="33" t="s">
        <v>704</v>
      </c>
      <c r="L362" s="33" t="s">
        <v>707</v>
      </c>
      <c r="M362" s="34" t="s">
        <v>1270</v>
      </c>
      <c r="N362" s="34" t="s">
        <v>1693</v>
      </c>
      <c r="O362" s="35">
        <v>1</v>
      </c>
      <c r="P362" s="35">
        <v>1</v>
      </c>
      <c r="Q362" s="32"/>
      <c r="S362" s="1">
        <f t="shared" si="101"/>
        <v>0</v>
      </c>
      <c r="T362" s="1">
        <f t="shared" si="102"/>
        <v>0</v>
      </c>
      <c r="U362" s="1">
        <f t="shared" si="103"/>
        <v>0</v>
      </c>
      <c r="V362" s="1">
        <f t="shared" si="104"/>
        <v>0</v>
      </c>
      <c r="W362" s="1">
        <f t="shared" si="105"/>
        <v>0</v>
      </c>
      <c r="X362" s="1">
        <f t="shared" si="106"/>
        <v>0</v>
      </c>
      <c r="Y362" s="1">
        <f t="shared" si="107"/>
        <v>0</v>
      </c>
      <c r="Z362" s="1">
        <f t="shared" si="108"/>
        <v>0</v>
      </c>
      <c r="AA362" s="1">
        <f t="shared" si="109"/>
        <v>0</v>
      </c>
      <c r="AB362" s="1">
        <f t="shared" si="110"/>
        <v>0</v>
      </c>
      <c r="AD362" s="1">
        <f t="shared" si="111"/>
        <v>1</v>
      </c>
      <c r="AE362" s="1">
        <f t="shared" si="112"/>
        <v>0</v>
      </c>
      <c r="AF362" s="1">
        <f t="shared" si="113"/>
        <v>1</v>
      </c>
      <c r="AG362" s="1">
        <f t="shared" si="114"/>
        <v>0</v>
      </c>
      <c r="AH362" s="1">
        <f t="shared" si="115"/>
        <v>1</v>
      </c>
      <c r="AI362" s="1">
        <f t="shared" si="116"/>
        <v>0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746</v>
      </c>
      <c r="E363" s="32" t="s">
        <v>896</v>
      </c>
      <c r="F363" s="32" t="s">
        <v>747</v>
      </c>
      <c r="G363" s="32" t="s">
        <v>219</v>
      </c>
      <c r="H363" s="32" t="s">
        <v>352</v>
      </c>
      <c r="I363" s="31" t="s">
        <v>748</v>
      </c>
      <c r="J363" s="31">
        <v>8</v>
      </c>
      <c r="K363" s="33" t="s">
        <v>936</v>
      </c>
      <c r="L363" s="33" t="s">
        <v>720</v>
      </c>
      <c r="M363" s="34" t="s">
        <v>714</v>
      </c>
      <c r="N363" s="34" t="s">
        <v>1710</v>
      </c>
      <c r="O363" s="35">
        <v>1</v>
      </c>
      <c r="P363" s="35"/>
      <c r="Q363" s="32"/>
      <c r="S363" s="1">
        <f t="shared" si="101"/>
        <v>0</v>
      </c>
      <c r="T363" s="1">
        <f t="shared" si="102"/>
        <v>0</v>
      </c>
      <c r="U363" s="1">
        <f t="shared" si="103"/>
        <v>0</v>
      </c>
      <c r="V363" s="1">
        <f t="shared" si="104"/>
        <v>0</v>
      </c>
      <c r="W363" s="1">
        <f t="shared" si="105"/>
        <v>0</v>
      </c>
      <c r="X363" s="1">
        <f t="shared" si="106"/>
        <v>0</v>
      </c>
      <c r="Y363" s="1">
        <f t="shared" si="107"/>
        <v>0</v>
      </c>
      <c r="Z363" s="1">
        <f t="shared" si="108"/>
        <v>1</v>
      </c>
      <c r="AA363" s="1">
        <f t="shared" si="109"/>
        <v>0</v>
      </c>
      <c r="AB363" s="1">
        <f t="shared" si="110"/>
        <v>0</v>
      </c>
      <c r="AD363" s="1">
        <f t="shared" si="111"/>
        <v>0</v>
      </c>
      <c r="AE363" s="1">
        <f t="shared" si="112"/>
        <v>1</v>
      </c>
      <c r="AF363" s="1">
        <f t="shared" si="113"/>
        <v>0</v>
      </c>
      <c r="AG363" s="1">
        <f t="shared" si="114"/>
        <v>1</v>
      </c>
      <c r="AH363" s="1">
        <f t="shared" si="115"/>
        <v>0</v>
      </c>
      <c r="AI363" s="1">
        <f t="shared" si="116"/>
        <v>1</v>
      </c>
    </row>
    <row r="364" spans="1:35" s="1" customFormat="1" ht="14.25" customHeight="1" x14ac:dyDescent="0.25">
      <c r="A364" s="44">
        <v>0</v>
      </c>
      <c r="B364" s="44">
        <v>2</v>
      </c>
      <c r="C364" s="44">
        <v>3</v>
      </c>
      <c r="D364" s="45" t="s">
        <v>1464</v>
      </c>
      <c r="E364" s="45" t="s">
        <v>1465</v>
      </c>
      <c r="F364" s="45" t="s">
        <v>1466</v>
      </c>
      <c r="G364" s="45" t="s">
        <v>237</v>
      </c>
      <c r="H364" s="45" t="s">
        <v>352</v>
      </c>
      <c r="I364" s="44" t="s">
        <v>1467</v>
      </c>
      <c r="J364" s="44">
        <v>4</v>
      </c>
      <c r="K364" s="46" t="s">
        <v>703</v>
      </c>
      <c r="L364" s="46">
        <v>15</v>
      </c>
      <c r="M364" s="47" t="s">
        <v>39</v>
      </c>
      <c r="N364" s="47" t="s">
        <v>1763</v>
      </c>
      <c r="O364" s="48"/>
      <c r="P364" s="48"/>
      <c r="Q364" s="45"/>
      <c r="S364" s="1">
        <f t="shared" si="101"/>
        <v>0</v>
      </c>
      <c r="T364" s="1">
        <f t="shared" si="102"/>
        <v>0</v>
      </c>
      <c r="U364" s="1">
        <f t="shared" si="103"/>
        <v>0</v>
      </c>
      <c r="V364" s="1">
        <f t="shared" si="104"/>
        <v>1</v>
      </c>
      <c r="W364" s="1">
        <f t="shared" si="105"/>
        <v>0</v>
      </c>
      <c r="X364" s="1">
        <f t="shared" si="106"/>
        <v>0</v>
      </c>
      <c r="Y364" s="1">
        <f t="shared" si="107"/>
        <v>0</v>
      </c>
      <c r="Z364" s="1">
        <f t="shared" si="108"/>
        <v>0</v>
      </c>
      <c r="AA364" s="1">
        <f t="shared" si="109"/>
        <v>0</v>
      </c>
      <c r="AB364" s="1">
        <f t="shared" si="110"/>
        <v>0</v>
      </c>
      <c r="AD364" s="1">
        <f t="shared" si="111"/>
        <v>0</v>
      </c>
      <c r="AE364" s="1">
        <f t="shared" si="112"/>
        <v>0</v>
      </c>
      <c r="AF364" s="1">
        <f t="shared" si="113"/>
        <v>0</v>
      </c>
      <c r="AG364" s="1">
        <f t="shared" si="114"/>
        <v>0</v>
      </c>
      <c r="AH364" s="1">
        <f t="shared" si="115"/>
        <v>0</v>
      </c>
      <c r="AI364" s="1">
        <f t="shared" si="116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1520</v>
      </c>
      <c r="E365" s="32" t="s">
        <v>1521</v>
      </c>
      <c r="F365" s="32" t="s">
        <v>1522</v>
      </c>
      <c r="G365" s="32" t="s">
        <v>1523</v>
      </c>
      <c r="H365" s="32" t="s">
        <v>352</v>
      </c>
      <c r="I365" s="31" t="s">
        <v>1524</v>
      </c>
      <c r="J365" s="31">
        <v>7</v>
      </c>
      <c r="K365" s="33" t="s">
        <v>936</v>
      </c>
      <c r="L365" s="33">
        <v>10</v>
      </c>
      <c r="M365" s="34" t="s">
        <v>39</v>
      </c>
      <c r="N365" s="34" t="s">
        <v>1706</v>
      </c>
      <c r="O365" s="35">
        <v>1</v>
      </c>
      <c r="P365" s="35"/>
      <c r="Q365" s="32"/>
      <c r="S365" s="1">
        <f t="shared" si="101"/>
        <v>0</v>
      </c>
      <c r="T365" s="1">
        <f t="shared" si="102"/>
        <v>0</v>
      </c>
      <c r="U365" s="1">
        <f t="shared" si="103"/>
        <v>0</v>
      </c>
      <c r="V365" s="1">
        <f t="shared" si="104"/>
        <v>0</v>
      </c>
      <c r="W365" s="1">
        <f t="shared" si="105"/>
        <v>0</v>
      </c>
      <c r="X365" s="1">
        <f t="shared" si="106"/>
        <v>0</v>
      </c>
      <c r="Y365" s="1">
        <f t="shared" si="107"/>
        <v>1</v>
      </c>
      <c r="Z365" s="1">
        <f t="shared" si="108"/>
        <v>0</v>
      </c>
      <c r="AA365" s="1">
        <f t="shared" si="109"/>
        <v>0</v>
      </c>
      <c r="AB365" s="1">
        <f t="shared" si="110"/>
        <v>0</v>
      </c>
      <c r="AD365" s="1">
        <f t="shared" si="111"/>
        <v>0</v>
      </c>
      <c r="AE365" s="1">
        <f t="shared" si="112"/>
        <v>1</v>
      </c>
      <c r="AF365" s="1">
        <f t="shared" si="113"/>
        <v>0</v>
      </c>
      <c r="AG365" s="1">
        <f t="shared" si="114"/>
        <v>1</v>
      </c>
      <c r="AH365" s="1">
        <f t="shared" si="115"/>
        <v>0</v>
      </c>
      <c r="AI365" s="1">
        <f t="shared" si="116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3</v>
      </c>
      <c r="D366" s="32" t="s">
        <v>826</v>
      </c>
      <c r="E366" s="32" t="s">
        <v>32</v>
      </c>
      <c r="F366" s="32" t="s">
        <v>828</v>
      </c>
      <c r="G366" s="32" t="s">
        <v>39</v>
      </c>
      <c r="H366" s="32" t="s">
        <v>352</v>
      </c>
      <c r="I366" s="31" t="s">
        <v>827</v>
      </c>
      <c r="J366" s="31">
        <v>1</v>
      </c>
      <c r="K366" s="33" t="s">
        <v>704</v>
      </c>
      <c r="L366" s="33" t="s">
        <v>685</v>
      </c>
      <c r="M366" s="34" t="s">
        <v>1385</v>
      </c>
      <c r="N366" s="34" t="s">
        <v>1706</v>
      </c>
      <c r="O366" s="35">
        <v>1</v>
      </c>
      <c r="P366" s="35"/>
      <c r="Q366" s="32"/>
      <c r="S366" s="1">
        <f t="shared" si="101"/>
        <v>1</v>
      </c>
      <c r="T366" s="1">
        <f t="shared" si="102"/>
        <v>0</v>
      </c>
      <c r="U366" s="1">
        <f t="shared" si="103"/>
        <v>0</v>
      </c>
      <c r="V366" s="1">
        <f t="shared" si="104"/>
        <v>0</v>
      </c>
      <c r="W366" s="1">
        <f t="shared" si="105"/>
        <v>0</v>
      </c>
      <c r="X366" s="1">
        <f t="shared" si="106"/>
        <v>0</v>
      </c>
      <c r="Y366" s="1">
        <f t="shared" si="107"/>
        <v>0</v>
      </c>
      <c r="Z366" s="1">
        <f t="shared" si="108"/>
        <v>0</v>
      </c>
      <c r="AA366" s="1">
        <f t="shared" si="109"/>
        <v>0</v>
      </c>
      <c r="AB366" s="1">
        <f t="shared" si="110"/>
        <v>0</v>
      </c>
      <c r="AD366" s="1">
        <f t="shared" si="111"/>
        <v>0</v>
      </c>
      <c r="AE366" s="1">
        <f t="shared" si="112"/>
        <v>1</v>
      </c>
      <c r="AF366" s="1">
        <f t="shared" si="113"/>
        <v>0</v>
      </c>
      <c r="AG366" s="1">
        <f t="shared" si="114"/>
        <v>1</v>
      </c>
      <c r="AH366" s="1">
        <f t="shared" si="115"/>
        <v>0</v>
      </c>
      <c r="AI366" s="1">
        <f t="shared" si="116"/>
        <v>1</v>
      </c>
    </row>
    <row r="367" spans="1:35" s="1" customFormat="1" ht="14.25" customHeight="1" x14ac:dyDescent="0.25">
      <c r="A367" s="15">
        <v>0</v>
      </c>
      <c r="B367" s="15">
        <v>2</v>
      </c>
      <c r="C367" s="15">
        <v>4</v>
      </c>
      <c r="D367" s="16" t="s">
        <v>749</v>
      </c>
      <c r="E367" s="16" t="s">
        <v>750</v>
      </c>
      <c r="F367" s="16" t="s">
        <v>751</v>
      </c>
      <c r="G367" s="16" t="s">
        <v>752</v>
      </c>
      <c r="H367" s="16" t="s">
        <v>352</v>
      </c>
      <c r="I367" s="15" t="s">
        <v>753</v>
      </c>
      <c r="J367" s="15">
        <v>99</v>
      </c>
      <c r="K367" s="10" t="s">
        <v>694</v>
      </c>
      <c r="L367" s="10">
        <v>15</v>
      </c>
      <c r="M367" s="19" t="s">
        <v>754</v>
      </c>
      <c r="N367" s="19"/>
      <c r="Q367" s="16"/>
      <c r="S367" s="1">
        <f t="shared" si="101"/>
        <v>0</v>
      </c>
      <c r="T367" s="1">
        <f t="shared" si="102"/>
        <v>0</v>
      </c>
      <c r="U367" s="1">
        <f t="shared" si="103"/>
        <v>0</v>
      </c>
      <c r="V367" s="1">
        <f t="shared" si="104"/>
        <v>0</v>
      </c>
      <c r="W367" s="1">
        <f t="shared" si="105"/>
        <v>0</v>
      </c>
      <c r="X367" s="1">
        <f t="shared" si="106"/>
        <v>0</v>
      </c>
      <c r="Y367" s="1">
        <f t="shared" si="107"/>
        <v>0</v>
      </c>
      <c r="Z367" s="1">
        <f t="shared" si="108"/>
        <v>0</v>
      </c>
      <c r="AA367" s="1">
        <f t="shared" si="109"/>
        <v>0</v>
      </c>
      <c r="AB367" s="1">
        <f t="shared" si="110"/>
        <v>0</v>
      </c>
      <c r="AD367" s="1">
        <f t="shared" si="111"/>
        <v>0</v>
      </c>
      <c r="AE367" s="1">
        <f t="shared" si="112"/>
        <v>0</v>
      </c>
      <c r="AF367" s="1">
        <f t="shared" si="113"/>
        <v>0</v>
      </c>
      <c r="AG367" s="1">
        <f t="shared" si="114"/>
        <v>0</v>
      </c>
      <c r="AH367" s="1">
        <f t="shared" si="115"/>
        <v>0</v>
      </c>
      <c r="AI367" s="1">
        <f t="shared" si="116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783</v>
      </c>
      <c r="E368" s="32" t="s">
        <v>891</v>
      </c>
      <c r="F368" s="32" t="s">
        <v>908</v>
      </c>
      <c r="G368" s="32" t="s">
        <v>207</v>
      </c>
      <c r="H368" s="32" t="s">
        <v>352</v>
      </c>
      <c r="I368" s="31" t="s">
        <v>1335</v>
      </c>
      <c r="J368" s="31">
        <v>3</v>
      </c>
      <c r="K368" s="33" t="s">
        <v>694</v>
      </c>
      <c r="L368" s="33">
        <v>20</v>
      </c>
      <c r="M368" s="34" t="s">
        <v>1387</v>
      </c>
      <c r="N368" s="34" t="s">
        <v>1786</v>
      </c>
      <c r="O368" s="35">
        <v>1</v>
      </c>
      <c r="P368" s="35"/>
      <c r="Q368" s="32"/>
      <c r="S368" s="1">
        <f t="shared" si="101"/>
        <v>0</v>
      </c>
      <c r="T368" s="1">
        <f t="shared" si="102"/>
        <v>0</v>
      </c>
      <c r="U368" s="1">
        <f t="shared" si="103"/>
        <v>1</v>
      </c>
      <c r="V368" s="1">
        <f t="shared" si="104"/>
        <v>0</v>
      </c>
      <c r="W368" s="1">
        <f t="shared" si="105"/>
        <v>0</v>
      </c>
      <c r="X368" s="1">
        <f t="shared" si="106"/>
        <v>0</v>
      </c>
      <c r="Y368" s="1">
        <f t="shared" si="107"/>
        <v>0</v>
      </c>
      <c r="Z368" s="1">
        <f t="shared" si="108"/>
        <v>0</v>
      </c>
      <c r="AA368" s="1">
        <f t="shared" si="109"/>
        <v>0</v>
      </c>
      <c r="AB368" s="1">
        <f t="shared" si="110"/>
        <v>0</v>
      </c>
      <c r="AD368" s="1">
        <f t="shared" si="111"/>
        <v>0</v>
      </c>
      <c r="AE368" s="1">
        <f t="shared" si="112"/>
        <v>1</v>
      </c>
      <c r="AF368" s="1">
        <f t="shared" si="113"/>
        <v>0</v>
      </c>
      <c r="AG368" s="1">
        <f t="shared" si="114"/>
        <v>1</v>
      </c>
      <c r="AH368" s="1">
        <f t="shared" si="115"/>
        <v>0</v>
      </c>
      <c r="AI368" s="1">
        <f t="shared" si="116"/>
        <v>1</v>
      </c>
    </row>
    <row r="369" spans="1:35" s="1" customFormat="1" ht="14.25" customHeight="1" x14ac:dyDescent="0.25">
      <c r="A369" s="51">
        <v>0</v>
      </c>
      <c r="B369" s="51">
        <v>2</v>
      </c>
      <c r="C369" s="51">
        <v>4</v>
      </c>
      <c r="D369" s="52" t="s">
        <v>561</v>
      </c>
      <c r="E369" s="52" t="s">
        <v>37</v>
      </c>
      <c r="F369" s="52" t="s">
        <v>204</v>
      </c>
      <c r="G369" s="52" t="s">
        <v>39</v>
      </c>
      <c r="H369" s="52" t="s">
        <v>352</v>
      </c>
      <c r="I369" s="51" t="s">
        <v>387</v>
      </c>
      <c r="J369" s="51">
        <v>6</v>
      </c>
      <c r="K369" s="53" t="s">
        <v>694</v>
      </c>
      <c r="L369" s="53" t="s">
        <v>39</v>
      </c>
      <c r="M369" s="54" t="s">
        <v>39</v>
      </c>
      <c r="N369" s="55"/>
      <c r="O369" s="56"/>
      <c r="P369" s="56"/>
      <c r="Q369" s="52"/>
      <c r="S369" s="1">
        <f t="shared" si="101"/>
        <v>0</v>
      </c>
      <c r="T369" s="1">
        <f t="shared" si="102"/>
        <v>0</v>
      </c>
      <c r="U369" s="1">
        <f t="shared" si="103"/>
        <v>0</v>
      </c>
      <c r="V369" s="1">
        <f t="shared" si="104"/>
        <v>0</v>
      </c>
      <c r="W369" s="1">
        <f t="shared" si="105"/>
        <v>0</v>
      </c>
      <c r="X369" s="1">
        <f t="shared" si="106"/>
        <v>1</v>
      </c>
      <c r="Y369" s="1">
        <f t="shared" si="107"/>
        <v>0</v>
      </c>
      <c r="Z369" s="1">
        <f t="shared" si="108"/>
        <v>0</v>
      </c>
      <c r="AA369" s="1">
        <f t="shared" si="109"/>
        <v>0</v>
      </c>
      <c r="AB369" s="1">
        <f t="shared" si="110"/>
        <v>0</v>
      </c>
      <c r="AD369" s="1">
        <f t="shared" si="111"/>
        <v>0</v>
      </c>
      <c r="AE369" s="1">
        <f t="shared" si="112"/>
        <v>0</v>
      </c>
      <c r="AF369" s="1">
        <f t="shared" si="113"/>
        <v>0</v>
      </c>
      <c r="AG369" s="1">
        <f t="shared" si="114"/>
        <v>0</v>
      </c>
      <c r="AH369" s="1">
        <f t="shared" si="115"/>
        <v>0</v>
      </c>
      <c r="AI369" s="1">
        <f t="shared" si="116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645</v>
      </c>
      <c r="E370" s="32" t="s">
        <v>893</v>
      </c>
      <c r="F370" s="32" t="s">
        <v>616</v>
      </c>
      <c r="G370" s="32" t="s">
        <v>339</v>
      </c>
      <c r="H370" s="32" t="s">
        <v>352</v>
      </c>
      <c r="I370" s="31" t="s">
        <v>617</v>
      </c>
      <c r="J370" s="31">
        <v>10</v>
      </c>
      <c r="K370" s="33" t="s">
        <v>935</v>
      </c>
      <c r="L370" s="33" t="s">
        <v>695</v>
      </c>
      <c r="M370" s="34" t="s">
        <v>1388</v>
      </c>
      <c r="N370" s="34" t="s">
        <v>1711</v>
      </c>
      <c r="O370" s="35">
        <v>1</v>
      </c>
      <c r="P370" s="35"/>
      <c r="Q370" s="32"/>
      <c r="S370" s="1">
        <f t="shared" si="101"/>
        <v>0</v>
      </c>
      <c r="T370" s="1">
        <f t="shared" si="102"/>
        <v>0</v>
      </c>
      <c r="U370" s="1">
        <f t="shared" si="103"/>
        <v>0</v>
      </c>
      <c r="V370" s="1">
        <f t="shared" si="104"/>
        <v>0</v>
      </c>
      <c r="W370" s="1">
        <f t="shared" si="105"/>
        <v>0</v>
      </c>
      <c r="X370" s="1">
        <f t="shared" si="106"/>
        <v>0</v>
      </c>
      <c r="Y370" s="1">
        <f t="shared" si="107"/>
        <v>0</v>
      </c>
      <c r="Z370" s="1">
        <f t="shared" si="108"/>
        <v>0</v>
      </c>
      <c r="AA370" s="1">
        <f t="shared" si="109"/>
        <v>0</v>
      </c>
      <c r="AB370" s="1">
        <f t="shared" si="110"/>
        <v>1</v>
      </c>
      <c r="AD370" s="1">
        <f t="shared" si="111"/>
        <v>0</v>
      </c>
      <c r="AE370" s="1">
        <f t="shared" si="112"/>
        <v>1</v>
      </c>
      <c r="AF370" s="1">
        <f t="shared" si="113"/>
        <v>0</v>
      </c>
      <c r="AG370" s="1">
        <f t="shared" si="114"/>
        <v>1</v>
      </c>
      <c r="AH370" s="1">
        <f t="shared" si="115"/>
        <v>0</v>
      </c>
      <c r="AI370" s="1">
        <f t="shared" si="116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75</v>
      </c>
      <c r="E371" s="32" t="s">
        <v>35</v>
      </c>
      <c r="F371" s="32" t="s">
        <v>265</v>
      </c>
      <c r="G371" s="32" t="s">
        <v>212</v>
      </c>
      <c r="H371" s="32" t="s">
        <v>352</v>
      </c>
      <c r="I371" s="31" t="s">
        <v>927</v>
      </c>
      <c r="J371" s="31">
        <v>1</v>
      </c>
      <c r="K371" s="33" t="s">
        <v>704</v>
      </c>
      <c r="L371" s="33" t="s">
        <v>695</v>
      </c>
      <c r="M371" s="34" t="s">
        <v>1389</v>
      </c>
      <c r="N371" s="34" t="s">
        <v>1706</v>
      </c>
      <c r="O371" s="35">
        <v>1</v>
      </c>
      <c r="P371" s="35"/>
      <c r="Q371" s="32"/>
      <c r="S371" s="1">
        <f t="shared" si="101"/>
        <v>1</v>
      </c>
      <c r="T371" s="1">
        <f t="shared" si="102"/>
        <v>0</v>
      </c>
      <c r="U371" s="1">
        <f t="shared" si="103"/>
        <v>0</v>
      </c>
      <c r="V371" s="1">
        <f t="shared" si="104"/>
        <v>0</v>
      </c>
      <c r="W371" s="1">
        <f t="shared" si="105"/>
        <v>0</v>
      </c>
      <c r="X371" s="1">
        <f t="shared" si="106"/>
        <v>0</v>
      </c>
      <c r="Y371" s="1">
        <f t="shared" si="107"/>
        <v>0</v>
      </c>
      <c r="Z371" s="1">
        <f t="shared" si="108"/>
        <v>0</v>
      </c>
      <c r="AA371" s="1">
        <f t="shared" si="109"/>
        <v>0</v>
      </c>
      <c r="AB371" s="1">
        <f t="shared" si="110"/>
        <v>0</v>
      </c>
      <c r="AD371" s="1">
        <f t="shared" si="111"/>
        <v>0</v>
      </c>
      <c r="AE371" s="1">
        <f t="shared" si="112"/>
        <v>1</v>
      </c>
      <c r="AF371" s="1">
        <f t="shared" si="113"/>
        <v>0</v>
      </c>
      <c r="AG371" s="1">
        <f t="shared" si="114"/>
        <v>1</v>
      </c>
      <c r="AH371" s="1">
        <f t="shared" si="115"/>
        <v>0</v>
      </c>
      <c r="AI371" s="1">
        <f t="shared" si="116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902</v>
      </c>
      <c r="E372" s="32" t="s">
        <v>895</v>
      </c>
      <c r="F372" s="32" t="s">
        <v>767</v>
      </c>
      <c r="G372" s="32" t="s">
        <v>283</v>
      </c>
      <c r="H372" s="32" t="s">
        <v>352</v>
      </c>
      <c r="I372" s="31" t="s">
        <v>928</v>
      </c>
      <c r="J372" s="31">
        <v>4</v>
      </c>
      <c r="K372" s="33" t="s">
        <v>704</v>
      </c>
      <c r="L372" s="33" t="s">
        <v>687</v>
      </c>
      <c r="M372" s="34" t="s">
        <v>1390</v>
      </c>
      <c r="N372" s="34" t="s">
        <v>1711</v>
      </c>
      <c r="O372" s="35">
        <v>1</v>
      </c>
      <c r="P372" s="35"/>
      <c r="Q372" s="32"/>
      <c r="S372" s="1">
        <f t="shared" si="101"/>
        <v>0</v>
      </c>
      <c r="T372" s="1">
        <f t="shared" si="102"/>
        <v>0</v>
      </c>
      <c r="U372" s="1">
        <f t="shared" si="103"/>
        <v>0</v>
      </c>
      <c r="V372" s="1">
        <f t="shared" si="104"/>
        <v>1</v>
      </c>
      <c r="W372" s="1">
        <f t="shared" si="105"/>
        <v>0</v>
      </c>
      <c r="X372" s="1">
        <f t="shared" si="106"/>
        <v>0</v>
      </c>
      <c r="Y372" s="1">
        <f t="shared" si="107"/>
        <v>0</v>
      </c>
      <c r="Z372" s="1">
        <f t="shared" si="108"/>
        <v>0</v>
      </c>
      <c r="AA372" s="1">
        <f t="shared" si="109"/>
        <v>0</v>
      </c>
      <c r="AB372" s="1">
        <f t="shared" si="110"/>
        <v>0</v>
      </c>
      <c r="AD372" s="1">
        <f t="shared" si="111"/>
        <v>0</v>
      </c>
      <c r="AE372" s="1">
        <f t="shared" si="112"/>
        <v>1</v>
      </c>
      <c r="AF372" s="1">
        <f t="shared" si="113"/>
        <v>0</v>
      </c>
      <c r="AG372" s="1">
        <f t="shared" si="114"/>
        <v>1</v>
      </c>
      <c r="AH372" s="1">
        <f t="shared" si="115"/>
        <v>0</v>
      </c>
      <c r="AI372" s="1">
        <f t="shared" si="116"/>
        <v>1</v>
      </c>
    </row>
    <row r="373" spans="1:35" s="1" customFormat="1" ht="14.25" customHeight="1" x14ac:dyDescent="0.25">
      <c r="A373" s="15">
        <v>0</v>
      </c>
      <c r="B373" s="15">
        <v>2</v>
      </c>
      <c r="C373" s="15">
        <v>4</v>
      </c>
      <c r="D373" s="16" t="s">
        <v>621</v>
      </c>
      <c r="E373" s="16" t="s">
        <v>676</v>
      </c>
      <c r="F373" s="16" t="s">
        <v>662</v>
      </c>
      <c r="G373" s="16" t="s">
        <v>620</v>
      </c>
      <c r="H373" s="16" t="s">
        <v>352</v>
      </c>
      <c r="I373" s="15" t="s">
        <v>622</v>
      </c>
      <c r="J373" s="15">
        <v>99</v>
      </c>
      <c r="K373" s="10" t="s">
        <v>936</v>
      </c>
      <c r="L373" s="10" t="s">
        <v>39</v>
      </c>
      <c r="M373" s="19" t="s">
        <v>39</v>
      </c>
      <c r="N373" s="17"/>
      <c r="Q373" s="20" t="s">
        <v>1857</v>
      </c>
      <c r="S373" s="1">
        <f t="shared" si="101"/>
        <v>0</v>
      </c>
      <c r="T373" s="1">
        <f t="shared" si="102"/>
        <v>0</v>
      </c>
      <c r="U373" s="1">
        <f t="shared" si="103"/>
        <v>0</v>
      </c>
      <c r="V373" s="1">
        <f t="shared" si="104"/>
        <v>0</v>
      </c>
      <c r="W373" s="1">
        <f t="shared" si="105"/>
        <v>0</v>
      </c>
      <c r="X373" s="1">
        <f t="shared" si="106"/>
        <v>0</v>
      </c>
      <c r="Y373" s="1">
        <f t="shared" si="107"/>
        <v>0</v>
      </c>
      <c r="Z373" s="1">
        <f t="shared" si="108"/>
        <v>0</v>
      </c>
      <c r="AA373" s="1">
        <f t="shared" si="109"/>
        <v>0</v>
      </c>
      <c r="AB373" s="1">
        <f t="shared" si="110"/>
        <v>0</v>
      </c>
      <c r="AD373" s="1">
        <f t="shared" si="111"/>
        <v>0</v>
      </c>
      <c r="AE373" s="1">
        <f t="shared" si="112"/>
        <v>0</v>
      </c>
      <c r="AF373" s="1">
        <f t="shared" si="113"/>
        <v>0</v>
      </c>
      <c r="AG373" s="1">
        <f t="shared" si="114"/>
        <v>0</v>
      </c>
      <c r="AH373" s="1">
        <f t="shared" si="115"/>
        <v>0</v>
      </c>
      <c r="AI373" s="1">
        <f t="shared" si="116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84</v>
      </c>
      <c r="E374" s="32" t="s">
        <v>35</v>
      </c>
      <c r="F374" s="32" t="s">
        <v>276</v>
      </c>
      <c r="G374" s="32" t="s">
        <v>223</v>
      </c>
      <c r="H374" s="32" t="s">
        <v>352</v>
      </c>
      <c r="I374" s="31" t="s">
        <v>431</v>
      </c>
      <c r="J374" s="31">
        <v>99</v>
      </c>
      <c r="K374" s="33" t="s">
        <v>935</v>
      </c>
      <c r="L374" s="33" t="s">
        <v>695</v>
      </c>
      <c r="M374" s="34" t="s">
        <v>717</v>
      </c>
      <c r="N374" s="34" t="s">
        <v>1723</v>
      </c>
      <c r="O374" s="35">
        <v>1</v>
      </c>
      <c r="P374" s="35"/>
      <c r="Q374" s="32"/>
      <c r="S374" s="1">
        <f t="shared" si="101"/>
        <v>0</v>
      </c>
      <c r="T374" s="1">
        <f t="shared" si="102"/>
        <v>0</v>
      </c>
      <c r="U374" s="1">
        <f t="shared" si="103"/>
        <v>0</v>
      </c>
      <c r="V374" s="1">
        <f t="shared" si="104"/>
        <v>0</v>
      </c>
      <c r="W374" s="1">
        <f t="shared" si="105"/>
        <v>0</v>
      </c>
      <c r="X374" s="1">
        <f t="shared" si="106"/>
        <v>0</v>
      </c>
      <c r="Y374" s="1">
        <f t="shared" si="107"/>
        <v>0</v>
      </c>
      <c r="Z374" s="1">
        <f t="shared" si="108"/>
        <v>0</v>
      </c>
      <c r="AA374" s="1">
        <f t="shared" si="109"/>
        <v>0</v>
      </c>
      <c r="AB374" s="1">
        <f t="shared" si="110"/>
        <v>0</v>
      </c>
      <c r="AD374" s="1">
        <f t="shared" si="111"/>
        <v>0</v>
      </c>
      <c r="AE374" s="1">
        <f t="shared" si="112"/>
        <v>1</v>
      </c>
      <c r="AF374" s="1">
        <f t="shared" si="113"/>
        <v>0</v>
      </c>
      <c r="AG374" s="1">
        <f t="shared" si="114"/>
        <v>1</v>
      </c>
      <c r="AH374" s="1">
        <f t="shared" si="115"/>
        <v>0</v>
      </c>
      <c r="AI374" s="1">
        <f t="shared" si="116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864</v>
      </c>
      <c r="E375" s="32" t="s">
        <v>757</v>
      </c>
      <c r="F375" s="32" t="s">
        <v>862</v>
      </c>
      <c r="G375" s="32" t="s">
        <v>278</v>
      </c>
      <c r="H375" s="32" t="s">
        <v>352</v>
      </c>
      <c r="I375" s="31" t="s">
        <v>863</v>
      </c>
      <c r="J375" s="31">
        <v>99</v>
      </c>
      <c r="K375" s="33" t="s">
        <v>694</v>
      </c>
      <c r="L375" s="33">
        <v>25</v>
      </c>
      <c r="M375" s="34" t="s">
        <v>1391</v>
      </c>
      <c r="N375" s="34" t="s">
        <v>1810</v>
      </c>
      <c r="O375" s="35">
        <v>1</v>
      </c>
      <c r="P375" s="35"/>
      <c r="Q375" s="32"/>
      <c r="S375" s="1">
        <f t="shared" si="101"/>
        <v>0</v>
      </c>
      <c r="T375" s="1">
        <f t="shared" si="102"/>
        <v>0</v>
      </c>
      <c r="U375" s="1">
        <f t="shared" si="103"/>
        <v>0</v>
      </c>
      <c r="V375" s="1">
        <f t="shared" si="104"/>
        <v>0</v>
      </c>
      <c r="W375" s="1">
        <f t="shared" si="105"/>
        <v>0</v>
      </c>
      <c r="X375" s="1">
        <f t="shared" si="106"/>
        <v>0</v>
      </c>
      <c r="Y375" s="1">
        <f t="shared" si="107"/>
        <v>0</v>
      </c>
      <c r="Z375" s="1">
        <f t="shared" si="108"/>
        <v>0</v>
      </c>
      <c r="AA375" s="1">
        <f t="shared" si="109"/>
        <v>0</v>
      </c>
      <c r="AB375" s="1">
        <f t="shared" si="110"/>
        <v>0</v>
      </c>
      <c r="AD375" s="1">
        <f t="shared" si="111"/>
        <v>0</v>
      </c>
      <c r="AE375" s="1">
        <f t="shared" si="112"/>
        <v>1</v>
      </c>
      <c r="AF375" s="1">
        <f t="shared" si="113"/>
        <v>0</v>
      </c>
      <c r="AG375" s="1">
        <f t="shared" si="114"/>
        <v>1</v>
      </c>
      <c r="AH375" s="1">
        <f t="shared" si="115"/>
        <v>0</v>
      </c>
      <c r="AI375" s="1">
        <f t="shared" si="116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905</v>
      </c>
      <c r="E376" s="32" t="s">
        <v>757</v>
      </c>
      <c r="F376" s="32" t="s">
        <v>829</v>
      </c>
      <c r="G376" s="32" t="s">
        <v>208</v>
      </c>
      <c r="H376" s="32" t="s">
        <v>352</v>
      </c>
      <c r="I376" s="31" t="s">
        <v>830</v>
      </c>
      <c r="J376" s="31">
        <v>99</v>
      </c>
      <c r="K376" s="33" t="s">
        <v>703</v>
      </c>
      <c r="L376" s="33" t="s">
        <v>695</v>
      </c>
      <c r="M376" s="34" t="s">
        <v>717</v>
      </c>
      <c r="N376" s="34" t="s">
        <v>1718</v>
      </c>
      <c r="O376" s="35">
        <v>1</v>
      </c>
      <c r="P376" s="35"/>
      <c r="Q376" s="32"/>
      <c r="S376" s="1">
        <f t="shared" si="101"/>
        <v>0</v>
      </c>
      <c r="T376" s="1">
        <f t="shared" si="102"/>
        <v>0</v>
      </c>
      <c r="U376" s="1">
        <f t="shared" si="103"/>
        <v>0</v>
      </c>
      <c r="V376" s="1">
        <f t="shared" si="104"/>
        <v>0</v>
      </c>
      <c r="W376" s="1">
        <f t="shared" si="105"/>
        <v>0</v>
      </c>
      <c r="X376" s="1">
        <f t="shared" si="106"/>
        <v>0</v>
      </c>
      <c r="Y376" s="1">
        <f t="shared" si="107"/>
        <v>0</v>
      </c>
      <c r="Z376" s="1">
        <f t="shared" si="108"/>
        <v>0</v>
      </c>
      <c r="AA376" s="1">
        <f t="shared" si="109"/>
        <v>0</v>
      </c>
      <c r="AB376" s="1">
        <f t="shared" si="110"/>
        <v>0</v>
      </c>
      <c r="AD376" s="1">
        <f t="shared" si="111"/>
        <v>0</v>
      </c>
      <c r="AE376" s="1">
        <f t="shared" si="112"/>
        <v>1</v>
      </c>
      <c r="AF376" s="1">
        <f t="shared" si="113"/>
        <v>0</v>
      </c>
      <c r="AG376" s="1">
        <f t="shared" si="114"/>
        <v>1</v>
      </c>
      <c r="AH376" s="1">
        <f t="shared" si="115"/>
        <v>0</v>
      </c>
      <c r="AI376" s="1">
        <f t="shared" si="116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1982</v>
      </c>
      <c r="E377" s="32" t="s">
        <v>35</v>
      </c>
      <c r="F377" s="32" t="s">
        <v>1983</v>
      </c>
      <c r="G377" s="32" t="s">
        <v>208</v>
      </c>
      <c r="H377" s="32" t="s">
        <v>352</v>
      </c>
      <c r="I377" s="31" t="s">
        <v>1984</v>
      </c>
      <c r="J377" s="31">
        <v>99</v>
      </c>
      <c r="K377" s="33" t="s">
        <v>694</v>
      </c>
      <c r="L377" s="33">
        <v>25</v>
      </c>
      <c r="M377" s="34" t="s">
        <v>1986</v>
      </c>
      <c r="N377" s="34" t="s">
        <v>1810</v>
      </c>
      <c r="O377" s="35">
        <v>1</v>
      </c>
      <c r="P377" s="35"/>
      <c r="Q377" s="32" t="s">
        <v>1985</v>
      </c>
      <c r="S377" s="1">
        <f t="shared" si="101"/>
        <v>0</v>
      </c>
      <c r="T377" s="1">
        <f t="shared" si="102"/>
        <v>0</v>
      </c>
      <c r="U377" s="1">
        <f t="shared" si="103"/>
        <v>0</v>
      </c>
      <c r="V377" s="1">
        <f t="shared" si="104"/>
        <v>0</v>
      </c>
      <c r="W377" s="1">
        <f t="shared" si="105"/>
        <v>0</v>
      </c>
      <c r="X377" s="1">
        <f t="shared" si="106"/>
        <v>0</v>
      </c>
      <c r="Y377" s="1">
        <f t="shared" si="107"/>
        <v>0</v>
      </c>
      <c r="Z377" s="1">
        <f t="shared" si="108"/>
        <v>0</v>
      </c>
      <c r="AA377" s="1">
        <f t="shared" si="109"/>
        <v>0</v>
      </c>
      <c r="AB377" s="1">
        <f t="shared" si="110"/>
        <v>0</v>
      </c>
      <c r="AD377" s="1">
        <f t="shared" si="111"/>
        <v>0</v>
      </c>
      <c r="AE377" s="1">
        <f t="shared" si="112"/>
        <v>1</v>
      </c>
      <c r="AF377" s="1">
        <f t="shared" si="113"/>
        <v>0</v>
      </c>
      <c r="AG377" s="1">
        <f t="shared" si="114"/>
        <v>1</v>
      </c>
      <c r="AH377" s="1">
        <f t="shared" si="115"/>
        <v>0</v>
      </c>
      <c r="AI377" s="1">
        <f t="shared" si="116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1198</v>
      </c>
      <c r="E378" s="32" t="s">
        <v>1197</v>
      </c>
      <c r="F378" s="32" t="s">
        <v>1199</v>
      </c>
      <c r="G378" s="32" t="s">
        <v>531</v>
      </c>
      <c r="H378" s="32" t="s">
        <v>352</v>
      </c>
      <c r="I378" s="31" t="s">
        <v>1200</v>
      </c>
      <c r="J378" s="31">
        <v>99</v>
      </c>
      <c r="K378" s="33" t="s">
        <v>704</v>
      </c>
      <c r="L378" s="33" t="s">
        <v>685</v>
      </c>
      <c r="M378" s="34" t="s">
        <v>1392</v>
      </c>
      <c r="N378" s="34" t="s">
        <v>1693</v>
      </c>
      <c r="O378" s="35">
        <v>1</v>
      </c>
      <c r="P378" s="35">
        <v>1</v>
      </c>
      <c r="Q378" s="32"/>
      <c r="S378" s="1">
        <f t="shared" si="101"/>
        <v>0</v>
      </c>
      <c r="T378" s="1">
        <f t="shared" si="102"/>
        <v>0</v>
      </c>
      <c r="U378" s="1">
        <f t="shared" si="103"/>
        <v>0</v>
      </c>
      <c r="V378" s="1">
        <f t="shared" si="104"/>
        <v>0</v>
      </c>
      <c r="W378" s="1">
        <f t="shared" si="105"/>
        <v>0</v>
      </c>
      <c r="X378" s="1">
        <f t="shared" si="106"/>
        <v>0</v>
      </c>
      <c r="Y378" s="1">
        <f t="shared" si="107"/>
        <v>0</v>
      </c>
      <c r="Z378" s="1">
        <f t="shared" si="108"/>
        <v>0</v>
      </c>
      <c r="AA378" s="1">
        <f t="shared" si="109"/>
        <v>0</v>
      </c>
      <c r="AB378" s="1">
        <f t="shared" si="110"/>
        <v>0</v>
      </c>
      <c r="AD378" s="1">
        <f t="shared" si="111"/>
        <v>1</v>
      </c>
      <c r="AE378" s="1">
        <f t="shared" si="112"/>
        <v>0</v>
      </c>
      <c r="AF378" s="1">
        <f t="shared" si="113"/>
        <v>1</v>
      </c>
      <c r="AG378" s="1">
        <f t="shared" si="114"/>
        <v>0</v>
      </c>
      <c r="AH378" s="1">
        <f t="shared" si="115"/>
        <v>1</v>
      </c>
      <c r="AI378" s="1">
        <f t="shared" si="116"/>
        <v>0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808</v>
      </c>
      <c r="E379" s="32" t="s">
        <v>582</v>
      </c>
      <c r="F379" s="32" t="s">
        <v>809</v>
      </c>
      <c r="G379" s="32" t="s">
        <v>919</v>
      </c>
      <c r="H379" s="32" t="s">
        <v>352</v>
      </c>
      <c r="I379" s="31" t="s">
        <v>932</v>
      </c>
      <c r="J379" s="31">
        <v>7</v>
      </c>
      <c r="K379" s="33" t="s">
        <v>703</v>
      </c>
      <c r="L379" s="33" t="s">
        <v>39</v>
      </c>
      <c r="M379" s="34" t="s">
        <v>39</v>
      </c>
      <c r="N379" s="34" t="s">
        <v>1693</v>
      </c>
      <c r="O379" s="35">
        <v>1</v>
      </c>
      <c r="P379" s="35">
        <v>1</v>
      </c>
      <c r="Q379" s="32"/>
      <c r="S379" s="1">
        <f t="shared" si="101"/>
        <v>0</v>
      </c>
      <c r="T379" s="1">
        <f t="shared" si="102"/>
        <v>0</v>
      </c>
      <c r="U379" s="1">
        <f t="shared" si="103"/>
        <v>0</v>
      </c>
      <c r="V379" s="1">
        <f t="shared" si="104"/>
        <v>0</v>
      </c>
      <c r="W379" s="1">
        <f t="shared" si="105"/>
        <v>0</v>
      </c>
      <c r="X379" s="1">
        <f t="shared" si="106"/>
        <v>0</v>
      </c>
      <c r="Y379" s="1">
        <f t="shared" si="107"/>
        <v>1</v>
      </c>
      <c r="Z379" s="1">
        <f t="shared" si="108"/>
        <v>0</v>
      </c>
      <c r="AA379" s="1">
        <f t="shared" si="109"/>
        <v>0</v>
      </c>
      <c r="AB379" s="1">
        <f t="shared" si="110"/>
        <v>0</v>
      </c>
      <c r="AD379" s="1">
        <f t="shared" si="111"/>
        <v>1</v>
      </c>
      <c r="AE379" s="1">
        <f t="shared" si="112"/>
        <v>0</v>
      </c>
      <c r="AF379" s="1">
        <f t="shared" si="113"/>
        <v>1</v>
      </c>
      <c r="AG379" s="1">
        <f t="shared" si="114"/>
        <v>0</v>
      </c>
      <c r="AH379" s="1">
        <f t="shared" si="115"/>
        <v>1</v>
      </c>
      <c r="AI379" s="1">
        <f t="shared" si="116"/>
        <v>0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1572</v>
      </c>
      <c r="E380" s="32" t="s">
        <v>1622</v>
      </c>
      <c r="F380" s="32" t="s">
        <v>1573</v>
      </c>
      <c r="G380" s="32" t="s">
        <v>331</v>
      </c>
      <c r="H380" s="32" t="s">
        <v>352</v>
      </c>
      <c r="I380" s="31" t="s">
        <v>30</v>
      </c>
      <c r="J380" s="31">
        <v>99</v>
      </c>
      <c r="K380" s="33" t="s">
        <v>704</v>
      </c>
      <c r="L380" s="33">
        <v>20</v>
      </c>
      <c r="M380" s="34" t="s">
        <v>39</v>
      </c>
      <c r="N380" s="34" t="s">
        <v>1717</v>
      </c>
      <c r="O380" s="35">
        <v>1</v>
      </c>
      <c r="P380" s="35"/>
      <c r="Q380" s="32"/>
      <c r="S380" s="1">
        <f t="shared" si="101"/>
        <v>0</v>
      </c>
      <c r="T380" s="1">
        <f t="shared" si="102"/>
        <v>0</v>
      </c>
      <c r="U380" s="1">
        <f t="shared" si="103"/>
        <v>0</v>
      </c>
      <c r="V380" s="1">
        <f t="shared" si="104"/>
        <v>0</v>
      </c>
      <c r="W380" s="1">
        <f t="shared" si="105"/>
        <v>0</v>
      </c>
      <c r="X380" s="1">
        <f t="shared" si="106"/>
        <v>0</v>
      </c>
      <c r="Y380" s="1">
        <f t="shared" si="107"/>
        <v>0</v>
      </c>
      <c r="Z380" s="1">
        <f t="shared" si="108"/>
        <v>0</v>
      </c>
      <c r="AA380" s="1">
        <f t="shared" si="109"/>
        <v>0</v>
      </c>
      <c r="AB380" s="1">
        <f t="shared" si="110"/>
        <v>0</v>
      </c>
      <c r="AD380" s="1">
        <f t="shared" si="111"/>
        <v>0</v>
      </c>
      <c r="AE380" s="1">
        <f t="shared" si="112"/>
        <v>1</v>
      </c>
      <c r="AF380" s="1">
        <f t="shared" si="113"/>
        <v>0</v>
      </c>
      <c r="AG380" s="1">
        <f t="shared" si="114"/>
        <v>1</v>
      </c>
      <c r="AH380" s="1">
        <f t="shared" si="115"/>
        <v>0</v>
      </c>
      <c r="AI380" s="1">
        <f t="shared" si="116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58</v>
      </c>
      <c r="E381" s="32" t="s">
        <v>44</v>
      </c>
      <c r="F381" s="32" t="s">
        <v>663</v>
      </c>
      <c r="G381" s="32" t="s">
        <v>222</v>
      </c>
      <c r="H381" s="32" t="s">
        <v>352</v>
      </c>
      <c r="I381" s="31" t="s">
        <v>395</v>
      </c>
      <c r="J381" s="31">
        <v>8</v>
      </c>
      <c r="K381" s="33" t="s">
        <v>704</v>
      </c>
      <c r="L381" s="33" t="s">
        <v>707</v>
      </c>
      <c r="M381" s="34" t="s">
        <v>1393</v>
      </c>
      <c r="N381" s="34" t="s">
        <v>1710</v>
      </c>
      <c r="O381" s="35">
        <v>1</v>
      </c>
      <c r="P381" s="35"/>
      <c r="Q381" s="32"/>
      <c r="S381" s="1">
        <f t="shared" si="101"/>
        <v>0</v>
      </c>
      <c r="T381" s="1">
        <f t="shared" si="102"/>
        <v>0</v>
      </c>
      <c r="U381" s="1">
        <f t="shared" si="103"/>
        <v>0</v>
      </c>
      <c r="V381" s="1">
        <f t="shared" si="104"/>
        <v>0</v>
      </c>
      <c r="W381" s="1">
        <f t="shared" si="105"/>
        <v>0</v>
      </c>
      <c r="X381" s="1">
        <f t="shared" si="106"/>
        <v>0</v>
      </c>
      <c r="Y381" s="1">
        <f t="shared" si="107"/>
        <v>0</v>
      </c>
      <c r="Z381" s="1">
        <f t="shared" si="108"/>
        <v>1</v>
      </c>
      <c r="AA381" s="1">
        <f t="shared" si="109"/>
        <v>0</v>
      </c>
      <c r="AB381" s="1">
        <f t="shared" si="110"/>
        <v>0</v>
      </c>
      <c r="AD381" s="1">
        <f t="shared" si="111"/>
        <v>0</v>
      </c>
      <c r="AE381" s="1">
        <f t="shared" si="112"/>
        <v>1</v>
      </c>
      <c r="AF381" s="1">
        <f t="shared" si="113"/>
        <v>0</v>
      </c>
      <c r="AG381" s="1">
        <f t="shared" si="114"/>
        <v>1</v>
      </c>
      <c r="AH381" s="1">
        <f t="shared" si="115"/>
        <v>0</v>
      </c>
      <c r="AI381" s="1">
        <f t="shared" si="116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817</v>
      </c>
      <c r="E382" s="32" t="s">
        <v>816</v>
      </c>
      <c r="F382" s="32" t="s">
        <v>907</v>
      </c>
      <c r="G382" s="32" t="s">
        <v>212</v>
      </c>
      <c r="H382" s="32" t="s">
        <v>352</v>
      </c>
      <c r="I382" s="31" t="s">
        <v>818</v>
      </c>
      <c r="J382" s="31">
        <v>1</v>
      </c>
      <c r="K382" s="33" t="s">
        <v>703</v>
      </c>
      <c r="L382" s="33" t="s">
        <v>684</v>
      </c>
      <c r="M382" s="34" t="s">
        <v>1394</v>
      </c>
      <c r="N382" s="34" t="s">
        <v>1706</v>
      </c>
      <c r="O382" s="35">
        <v>1</v>
      </c>
      <c r="P382" s="35"/>
      <c r="Q382" s="32"/>
      <c r="S382" s="1">
        <f t="shared" si="101"/>
        <v>1</v>
      </c>
      <c r="T382" s="1">
        <f t="shared" si="102"/>
        <v>0</v>
      </c>
      <c r="U382" s="1">
        <f t="shared" si="103"/>
        <v>0</v>
      </c>
      <c r="V382" s="1">
        <f t="shared" si="104"/>
        <v>0</v>
      </c>
      <c r="W382" s="1">
        <f t="shared" si="105"/>
        <v>0</v>
      </c>
      <c r="X382" s="1">
        <f t="shared" si="106"/>
        <v>0</v>
      </c>
      <c r="Y382" s="1">
        <f t="shared" si="107"/>
        <v>0</v>
      </c>
      <c r="Z382" s="1">
        <f t="shared" si="108"/>
        <v>0</v>
      </c>
      <c r="AA382" s="1">
        <f t="shared" si="109"/>
        <v>0</v>
      </c>
      <c r="AB382" s="1">
        <f t="shared" si="110"/>
        <v>0</v>
      </c>
      <c r="AD382" s="1">
        <f t="shared" si="111"/>
        <v>0</v>
      </c>
      <c r="AE382" s="1">
        <f t="shared" si="112"/>
        <v>1</v>
      </c>
      <c r="AF382" s="1">
        <f t="shared" si="113"/>
        <v>0</v>
      </c>
      <c r="AG382" s="1">
        <f t="shared" si="114"/>
        <v>1</v>
      </c>
      <c r="AH382" s="1">
        <f t="shared" si="115"/>
        <v>0</v>
      </c>
      <c r="AI382" s="1">
        <f t="shared" si="116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6" t="s">
        <v>2015</v>
      </c>
      <c r="E383" s="36" t="s">
        <v>169</v>
      </c>
      <c r="F383" s="36" t="s">
        <v>2016</v>
      </c>
      <c r="G383" s="36" t="s">
        <v>1501</v>
      </c>
      <c r="H383" s="36" t="s">
        <v>352</v>
      </c>
      <c r="I383" s="37" t="s">
        <v>2017</v>
      </c>
      <c r="J383" s="31">
        <v>5</v>
      </c>
      <c r="K383" s="33" t="s">
        <v>694</v>
      </c>
      <c r="L383" s="33"/>
      <c r="M383" s="34"/>
      <c r="N383" s="34" t="s">
        <v>1693</v>
      </c>
      <c r="O383" s="35">
        <v>1</v>
      </c>
      <c r="P383" s="35">
        <v>1</v>
      </c>
      <c r="Q383" s="36" t="s">
        <v>2018</v>
      </c>
      <c r="S383" s="1">
        <f t="shared" si="101"/>
        <v>0</v>
      </c>
      <c r="T383" s="1">
        <f t="shared" si="102"/>
        <v>0</v>
      </c>
      <c r="U383" s="1">
        <f t="shared" si="103"/>
        <v>0</v>
      </c>
      <c r="V383" s="1">
        <f t="shared" si="104"/>
        <v>0</v>
      </c>
      <c r="W383" s="1">
        <f t="shared" si="105"/>
        <v>1</v>
      </c>
      <c r="X383" s="1">
        <f t="shared" si="106"/>
        <v>0</v>
      </c>
      <c r="Y383" s="1">
        <f t="shared" si="107"/>
        <v>0</v>
      </c>
      <c r="Z383" s="1">
        <f t="shared" si="108"/>
        <v>0</v>
      </c>
      <c r="AA383" s="1">
        <f t="shared" si="109"/>
        <v>0</v>
      </c>
      <c r="AB383" s="1">
        <f t="shared" si="110"/>
        <v>0</v>
      </c>
      <c r="AD383" s="1">
        <f t="shared" si="111"/>
        <v>1</v>
      </c>
      <c r="AE383" s="1">
        <f t="shared" si="112"/>
        <v>0</v>
      </c>
      <c r="AF383" s="1">
        <f t="shared" si="113"/>
        <v>1</v>
      </c>
      <c r="AG383" s="1">
        <f t="shared" si="114"/>
        <v>0</v>
      </c>
      <c r="AH383" s="1">
        <f t="shared" si="115"/>
        <v>1</v>
      </c>
      <c r="AI383" s="1">
        <f t="shared" si="116"/>
        <v>0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65</v>
      </c>
      <c r="E384" s="32" t="s">
        <v>163</v>
      </c>
      <c r="F384" s="32" t="s">
        <v>543</v>
      </c>
      <c r="G384" s="32" t="s">
        <v>193</v>
      </c>
      <c r="H384" s="32" t="s">
        <v>352</v>
      </c>
      <c r="I384" s="31" t="s">
        <v>548</v>
      </c>
      <c r="J384" s="31">
        <v>9</v>
      </c>
      <c r="K384" s="33" t="s">
        <v>704</v>
      </c>
      <c r="L384" s="33" t="s">
        <v>678</v>
      </c>
      <c r="M384" s="34" t="s">
        <v>1412</v>
      </c>
      <c r="N384" s="34" t="s">
        <v>1723</v>
      </c>
      <c r="O384" s="35">
        <v>1</v>
      </c>
      <c r="P384" s="35"/>
      <c r="Q384" s="32"/>
      <c r="S384" s="1">
        <f t="shared" si="101"/>
        <v>0</v>
      </c>
      <c r="T384" s="1">
        <f t="shared" si="102"/>
        <v>0</v>
      </c>
      <c r="U384" s="1">
        <f t="shared" si="103"/>
        <v>0</v>
      </c>
      <c r="V384" s="1">
        <f t="shared" si="104"/>
        <v>0</v>
      </c>
      <c r="W384" s="1">
        <f t="shared" si="105"/>
        <v>0</v>
      </c>
      <c r="X384" s="1">
        <f t="shared" si="106"/>
        <v>0</v>
      </c>
      <c r="Y384" s="1">
        <f t="shared" si="107"/>
        <v>0</v>
      </c>
      <c r="Z384" s="1">
        <f t="shared" si="108"/>
        <v>0</v>
      </c>
      <c r="AA384" s="1">
        <f t="shared" si="109"/>
        <v>1</v>
      </c>
      <c r="AB384" s="1">
        <f t="shared" si="110"/>
        <v>0</v>
      </c>
      <c r="AD384" s="1">
        <f t="shared" si="111"/>
        <v>0</v>
      </c>
      <c r="AE384" s="1">
        <f t="shared" si="112"/>
        <v>1</v>
      </c>
      <c r="AF384" s="1">
        <f t="shared" si="113"/>
        <v>0</v>
      </c>
      <c r="AG384" s="1">
        <f t="shared" si="114"/>
        <v>1</v>
      </c>
      <c r="AH384" s="1">
        <f t="shared" si="115"/>
        <v>0</v>
      </c>
      <c r="AI384" s="1">
        <f t="shared" si="116"/>
        <v>1</v>
      </c>
    </row>
    <row r="385" spans="1:35" s="1" customFormat="1" ht="14.25" customHeight="1" x14ac:dyDescent="0.25">
      <c r="A385" s="44">
        <v>0</v>
      </c>
      <c r="B385" s="44">
        <v>2</v>
      </c>
      <c r="C385" s="44">
        <v>5</v>
      </c>
      <c r="D385" s="45" t="s">
        <v>1455</v>
      </c>
      <c r="E385" s="45" t="s">
        <v>35</v>
      </c>
      <c r="F385" s="57" t="s">
        <v>1834</v>
      </c>
      <c r="G385" s="45" t="s">
        <v>221</v>
      </c>
      <c r="H385" s="45" t="s">
        <v>352</v>
      </c>
      <c r="I385" s="44" t="s">
        <v>1652</v>
      </c>
      <c r="J385" s="44">
        <v>99</v>
      </c>
      <c r="K385" s="46" t="s">
        <v>704</v>
      </c>
      <c r="L385" s="46">
        <v>25</v>
      </c>
      <c r="M385" s="47" t="s">
        <v>39</v>
      </c>
      <c r="N385" s="47" t="s">
        <v>1703</v>
      </c>
      <c r="O385" s="48"/>
      <c r="P385" s="48"/>
      <c r="Q385" s="45"/>
      <c r="S385" s="1">
        <f t="shared" si="101"/>
        <v>0</v>
      </c>
      <c r="T385" s="1">
        <f t="shared" si="102"/>
        <v>0</v>
      </c>
      <c r="U385" s="1">
        <f t="shared" si="103"/>
        <v>0</v>
      </c>
      <c r="V385" s="1">
        <f t="shared" si="104"/>
        <v>0</v>
      </c>
      <c r="W385" s="1">
        <f t="shared" si="105"/>
        <v>0</v>
      </c>
      <c r="X385" s="1">
        <f t="shared" si="106"/>
        <v>0</v>
      </c>
      <c r="Y385" s="1">
        <f t="shared" si="107"/>
        <v>0</v>
      </c>
      <c r="Z385" s="1">
        <f t="shared" si="108"/>
        <v>0</v>
      </c>
      <c r="AA385" s="1">
        <f t="shared" si="109"/>
        <v>0</v>
      </c>
      <c r="AB385" s="1">
        <f t="shared" si="110"/>
        <v>0</v>
      </c>
      <c r="AD385" s="1">
        <f t="shared" si="111"/>
        <v>0</v>
      </c>
      <c r="AE385" s="1">
        <f t="shared" si="112"/>
        <v>0</v>
      </c>
      <c r="AF385" s="1">
        <f t="shared" si="113"/>
        <v>0</v>
      </c>
      <c r="AG385" s="1">
        <f t="shared" si="114"/>
        <v>0</v>
      </c>
      <c r="AH385" s="1">
        <f t="shared" si="115"/>
        <v>0</v>
      </c>
      <c r="AI385" s="1">
        <f t="shared" si="116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1780</v>
      </c>
      <c r="E386" s="32" t="s">
        <v>757</v>
      </c>
      <c r="F386" s="32" t="s">
        <v>1781</v>
      </c>
      <c r="G386" s="32" t="s">
        <v>223</v>
      </c>
      <c r="H386" s="32" t="s">
        <v>352</v>
      </c>
      <c r="I386" s="31" t="s">
        <v>1782</v>
      </c>
      <c r="J386" s="31">
        <v>99</v>
      </c>
      <c r="K386" s="33" t="s">
        <v>1783</v>
      </c>
      <c r="L386" s="33">
        <v>40</v>
      </c>
      <c r="M386" s="34" t="s">
        <v>1784</v>
      </c>
      <c r="N386" s="34" t="s">
        <v>1810</v>
      </c>
      <c r="O386" s="35">
        <v>1</v>
      </c>
      <c r="P386" s="35"/>
      <c r="Q386" s="32"/>
      <c r="S386" s="1">
        <f t="shared" si="101"/>
        <v>0</v>
      </c>
      <c r="T386" s="1">
        <f t="shared" si="102"/>
        <v>0</v>
      </c>
      <c r="U386" s="1">
        <f t="shared" si="103"/>
        <v>0</v>
      </c>
      <c r="V386" s="1">
        <f t="shared" si="104"/>
        <v>0</v>
      </c>
      <c r="W386" s="1">
        <f t="shared" si="105"/>
        <v>0</v>
      </c>
      <c r="X386" s="1">
        <f t="shared" si="106"/>
        <v>0</v>
      </c>
      <c r="Y386" s="1">
        <f t="shared" si="107"/>
        <v>0</v>
      </c>
      <c r="Z386" s="1">
        <f t="shared" si="108"/>
        <v>0</v>
      </c>
      <c r="AA386" s="1">
        <f t="shared" si="109"/>
        <v>0</v>
      </c>
      <c r="AB386" s="1">
        <f t="shared" si="110"/>
        <v>0</v>
      </c>
      <c r="AD386" s="1">
        <f t="shared" si="111"/>
        <v>0</v>
      </c>
      <c r="AE386" s="1">
        <f t="shared" si="112"/>
        <v>1</v>
      </c>
      <c r="AF386" s="1">
        <f t="shared" si="113"/>
        <v>0</v>
      </c>
      <c r="AG386" s="1">
        <f t="shared" si="114"/>
        <v>1</v>
      </c>
      <c r="AH386" s="1">
        <f t="shared" si="115"/>
        <v>0</v>
      </c>
      <c r="AI386" s="1">
        <f t="shared" si="116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608</v>
      </c>
      <c r="E387" s="32" t="s">
        <v>677</v>
      </c>
      <c r="F387" s="32" t="s">
        <v>609</v>
      </c>
      <c r="G387" s="32" t="s">
        <v>285</v>
      </c>
      <c r="H387" s="32" t="s">
        <v>352</v>
      </c>
      <c r="I387" s="31" t="s">
        <v>610</v>
      </c>
      <c r="J387" s="31">
        <v>99</v>
      </c>
      <c r="K387" s="33" t="s">
        <v>703</v>
      </c>
      <c r="L387" s="33" t="s">
        <v>695</v>
      </c>
      <c r="M387" s="34" t="s">
        <v>1395</v>
      </c>
      <c r="N387" s="34" t="s">
        <v>1706</v>
      </c>
      <c r="O387" s="35">
        <v>1</v>
      </c>
      <c r="P387" s="35"/>
      <c r="Q387" s="32"/>
      <c r="S387" s="1">
        <f t="shared" si="101"/>
        <v>0</v>
      </c>
      <c r="T387" s="1">
        <f t="shared" si="102"/>
        <v>0</v>
      </c>
      <c r="U387" s="1">
        <f t="shared" si="103"/>
        <v>0</v>
      </c>
      <c r="V387" s="1">
        <f t="shared" si="104"/>
        <v>0</v>
      </c>
      <c r="W387" s="1">
        <f t="shared" si="105"/>
        <v>0</v>
      </c>
      <c r="X387" s="1">
        <f t="shared" si="106"/>
        <v>0</v>
      </c>
      <c r="Y387" s="1">
        <f t="shared" si="107"/>
        <v>0</v>
      </c>
      <c r="Z387" s="1">
        <f t="shared" si="108"/>
        <v>0</v>
      </c>
      <c r="AA387" s="1">
        <f t="shared" si="109"/>
        <v>0</v>
      </c>
      <c r="AB387" s="1">
        <f t="shared" si="110"/>
        <v>0</v>
      </c>
      <c r="AD387" s="1">
        <f t="shared" si="111"/>
        <v>0</v>
      </c>
      <c r="AE387" s="1">
        <f t="shared" si="112"/>
        <v>1</v>
      </c>
      <c r="AF387" s="1">
        <f t="shared" si="113"/>
        <v>0</v>
      </c>
      <c r="AG387" s="1">
        <f t="shared" si="114"/>
        <v>1</v>
      </c>
      <c r="AH387" s="1">
        <f t="shared" si="115"/>
        <v>0</v>
      </c>
      <c r="AI387" s="1">
        <f t="shared" si="116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1457</v>
      </c>
      <c r="E388" s="32" t="s">
        <v>757</v>
      </c>
      <c r="F388" s="32" t="s">
        <v>1458</v>
      </c>
      <c r="G388" s="32" t="s">
        <v>195</v>
      </c>
      <c r="H388" s="32" t="s">
        <v>352</v>
      </c>
      <c r="I388" s="31" t="s">
        <v>1459</v>
      </c>
      <c r="J388" s="31">
        <v>99</v>
      </c>
      <c r="K388" s="33" t="s">
        <v>935</v>
      </c>
      <c r="L388" s="33" t="s">
        <v>684</v>
      </c>
      <c r="M388" s="34" t="s">
        <v>1386</v>
      </c>
      <c r="N388" s="34" t="s">
        <v>1706</v>
      </c>
      <c r="O388" s="35">
        <v>1</v>
      </c>
      <c r="P388" s="35"/>
      <c r="Q388" s="32"/>
      <c r="S388" s="1">
        <f t="shared" si="101"/>
        <v>0</v>
      </c>
      <c r="T388" s="1">
        <f t="shared" si="102"/>
        <v>0</v>
      </c>
      <c r="U388" s="1">
        <f t="shared" si="103"/>
        <v>0</v>
      </c>
      <c r="V388" s="1">
        <f t="shared" si="104"/>
        <v>0</v>
      </c>
      <c r="W388" s="1">
        <f t="shared" si="105"/>
        <v>0</v>
      </c>
      <c r="X388" s="1">
        <f t="shared" si="106"/>
        <v>0</v>
      </c>
      <c r="Y388" s="1">
        <f t="shared" si="107"/>
        <v>0</v>
      </c>
      <c r="Z388" s="1">
        <f t="shared" si="108"/>
        <v>0</v>
      </c>
      <c r="AA388" s="1">
        <f t="shared" si="109"/>
        <v>0</v>
      </c>
      <c r="AB388" s="1">
        <f t="shared" si="110"/>
        <v>0</v>
      </c>
      <c r="AD388" s="1">
        <f t="shared" si="111"/>
        <v>0</v>
      </c>
      <c r="AE388" s="1">
        <f t="shared" si="112"/>
        <v>1</v>
      </c>
      <c r="AF388" s="1">
        <f t="shared" si="113"/>
        <v>0</v>
      </c>
      <c r="AG388" s="1">
        <f t="shared" si="114"/>
        <v>1</v>
      </c>
      <c r="AH388" s="1">
        <f t="shared" si="115"/>
        <v>0</v>
      </c>
      <c r="AI388" s="1">
        <f t="shared" si="116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760</v>
      </c>
      <c r="E389" s="32" t="s">
        <v>757</v>
      </c>
      <c r="F389" s="32" t="s">
        <v>762</v>
      </c>
      <c r="G389" s="32" t="s">
        <v>206</v>
      </c>
      <c r="H389" s="32" t="s">
        <v>352</v>
      </c>
      <c r="I389" s="31" t="s">
        <v>761</v>
      </c>
      <c r="J389" s="31">
        <v>99</v>
      </c>
      <c r="K389" s="33" t="s">
        <v>703</v>
      </c>
      <c r="L389" s="33" t="s">
        <v>685</v>
      </c>
      <c r="M389" s="34" t="s">
        <v>1396</v>
      </c>
      <c r="N389" s="34" t="s">
        <v>1706</v>
      </c>
      <c r="O389" s="35">
        <v>1</v>
      </c>
      <c r="P389" s="35"/>
      <c r="Q389" s="32"/>
      <c r="S389" s="1">
        <f t="shared" si="101"/>
        <v>0</v>
      </c>
      <c r="T389" s="1">
        <f t="shared" si="102"/>
        <v>0</v>
      </c>
      <c r="U389" s="1">
        <f t="shared" si="103"/>
        <v>0</v>
      </c>
      <c r="V389" s="1">
        <f t="shared" si="104"/>
        <v>0</v>
      </c>
      <c r="W389" s="1">
        <f t="shared" si="105"/>
        <v>0</v>
      </c>
      <c r="X389" s="1">
        <f t="shared" si="106"/>
        <v>0</v>
      </c>
      <c r="Y389" s="1">
        <f t="shared" si="107"/>
        <v>0</v>
      </c>
      <c r="Z389" s="1">
        <f t="shared" si="108"/>
        <v>0</v>
      </c>
      <c r="AA389" s="1">
        <f t="shared" si="109"/>
        <v>0</v>
      </c>
      <c r="AB389" s="1">
        <f t="shared" si="110"/>
        <v>0</v>
      </c>
      <c r="AD389" s="1">
        <f t="shared" si="111"/>
        <v>0</v>
      </c>
      <c r="AE389" s="1">
        <f t="shared" si="112"/>
        <v>1</v>
      </c>
      <c r="AF389" s="1">
        <f t="shared" si="113"/>
        <v>0</v>
      </c>
      <c r="AG389" s="1">
        <f t="shared" si="114"/>
        <v>1</v>
      </c>
      <c r="AH389" s="1">
        <f t="shared" si="115"/>
        <v>0</v>
      </c>
      <c r="AI389" s="1">
        <f t="shared" si="116"/>
        <v>1</v>
      </c>
    </row>
    <row r="390" spans="1:35" s="1" customFormat="1" ht="14.25" customHeight="1" x14ac:dyDescent="0.25">
      <c r="A390" s="31">
        <v>1</v>
      </c>
      <c r="B390" s="31">
        <v>2</v>
      </c>
      <c r="C390" s="31">
        <v>5</v>
      </c>
      <c r="D390" s="32" t="s">
        <v>760</v>
      </c>
      <c r="E390" s="32" t="s">
        <v>757</v>
      </c>
      <c r="F390" s="32" t="s">
        <v>987</v>
      </c>
      <c r="G390" s="32" t="s">
        <v>189</v>
      </c>
      <c r="H390" s="32" t="s">
        <v>352</v>
      </c>
      <c r="I390" s="31" t="s">
        <v>988</v>
      </c>
      <c r="J390" s="31">
        <v>99</v>
      </c>
      <c r="K390" s="33" t="s">
        <v>703</v>
      </c>
      <c r="L390" s="33" t="s">
        <v>685</v>
      </c>
      <c r="M390" s="34" t="s">
        <v>1396</v>
      </c>
      <c r="N390" s="34" t="s">
        <v>1706</v>
      </c>
      <c r="O390" s="35">
        <v>1</v>
      </c>
      <c r="P390" s="35"/>
      <c r="Q390" s="32"/>
      <c r="S390" s="1">
        <f t="shared" si="101"/>
        <v>0</v>
      </c>
      <c r="T390" s="1">
        <f t="shared" si="102"/>
        <v>0</v>
      </c>
      <c r="U390" s="1">
        <f t="shared" si="103"/>
        <v>0</v>
      </c>
      <c r="V390" s="1">
        <f t="shared" si="104"/>
        <v>0</v>
      </c>
      <c r="W390" s="1">
        <f t="shared" si="105"/>
        <v>0</v>
      </c>
      <c r="X390" s="1">
        <f t="shared" si="106"/>
        <v>0</v>
      </c>
      <c r="Y390" s="1">
        <f t="shared" si="107"/>
        <v>0</v>
      </c>
      <c r="Z390" s="1">
        <f t="shared" si="108"/>
        <v>0</v>
      </c>
      <c r="AA390" s="1">
        <f t="shared" si="109"/>
        <v>0</v>
      </c>
      <c r="AB390" s="1">
        <f t="shared" si="110"/>
        <v>0</v>
      </c>
      <c r="AD390" s="1">
        <f t="shared" si="111"/>
        <v>0</v>
      </c>
      <c r="AE390" s="1">
        <f t="shared" si="112"/>
        <v>1</v>
      </c>
      <c r="AF390" s="1">
        <f t="shared" si="113"/>
        <v>0</v>
      </c>
      <c r="AG390" s="1">
        <f t="shared" si="114"/>
        <v>0</v>
      </c>
      <c r="AH390" s="1">
        <f t="shared" si="115"/>
        <v>0</v>
      </c>
      <c r="AI390" s="1">
        <f t="shared" si="116"/>
        <v>0</v>
      </c>
    </row>
    <row r="391" spans="1:35" s="1" customFormat="1" ht="14.25" customHeight="1" x14ac:dyDescent="0.25">
      <c r="A391" s="15">
        <v>0</v>
      </c>
      <c r="B391" s="15">
        <v>2</v>
      </c>
      <c r="C391" s="15">
        <v>5</v>
      </c>
      <c r="D391" s="16" t="s">
        <v>899</v>
      </c>
      <c r="E391" s="16" t="s">
        <v>894</v>
      </c>
      <c r="F391" s="16" t="s">
        <v>912</v>
      </c>
      <c r="G391" s="16" t="s">
        <v>1323</v>
      </c>
      <c r="H391" s="16" t="s">
        <v>352</v>
      </c>
      <c r="I391" s="15" t="s">
        <v>755</v>
      </c>
      <c r="J391" s="15">
        <v>99</v>
      </c>
      <c r="K391" s="10" t="s">
        <v>694</v>
      </c>
      <c r="L391" s="10">
        <v>20</v>
      </c>
      <c r="M391" s="19" t="s">
        <v>1397</v>
      </c>
      <c r="N391" s="19"/>
      <c r="Q391" s="16"/>
      <c r="S391" s="1">
        <f t="shared" si="101"/>
        <v>0</v>
      </c>
      <c r="T391" s="1">
        <f t="shared" si="102"/>
        <v>0</v>
      </c>
      <c r="U391" s="1">
        <f t="shared" si="103"/>
        <v>0</v>
      </c>
      <c r="V391" s="1">
        <f t="shared" si="104"/>
        <v>0</v>
      </c>
      <c r="W391" s="1">
        <f t="shared" si="105"/>
        <v>0</v>
      </c>
      <c r="X391" s="1">
        <f t="shared" si="106"/>
        <v>0</v>
      </c>
      <c r="Y391" s="1">
        <f t="shared" si="107"/>
        <v>0</v>
      </c>
      <c r="Z391" s="1">
        <f t="shared" si="108"/>
        <v>0</v>
      </c>
      <c r="AA391" s="1">
        <f t="shared" si="109"/>
        <v>0</v>
      </c>
      <c r="AB391" s="1">
        <f t="shared" si="110"/>
        <v>0</v>
      </c>
      <c r="AD391" s="1">
        <f t="shared" si="111"/>
        <v>0</v>
      </c>
      <c r="AE391" s="1">
        <f t="shared" si="112"/>
        <v>0</v>
      </c>
      <c r="AF391" s="1">
        <f t="shared" si="113"/>
        <v>0</v>
      </c>
      <c r="AG391" s="1">
        <f t="shared" si="114"/>
        <v>0</v>
      </c>
      <c r="AH391" s="1">
        <f t="shared" si="115"/>
        <v>0</v>
      </c>
      <c r="AI391" s="1">
        <f t="shared" si="116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1881</v>
      </c>
      <c r="E392" s="32"/>
      <c r="F392" s="32" t="s">
        <v>1882</v>
      </c>
      <c r="G392" s="32" t="s">
        <v>207</v>
      </c>
      <c r="H392" s="32" t="s">
        <v>352</v>
      </c>
      <c r="I392" s="31" t="s">
        <v>1883</v>
      </c>
      <c r="J392" s="31">
        <v>3</v>
      </c>
      <c r="K392" s="33" t="s">
        <v>694</v>
      </c>
      <c r="L392" s="33"/>
      <c r="M392" s="34"/>
      <c r="N392" s="34" t="s">
        <v>1693</v>
      </c>
      <c r="O392" s="35">
        <v>1</v>
      </c>
      <c r="P392" s="35">
        <v>1</v>
      </c>
      <c r="Q392" s="32" t="s">
        <v>1884</v>
      </c>
      <c r="S392" s="1">
        <f t="shared" si="101"/>
        <v>0</v>
      </c>
      <c r="T392" s="1">
        <f t="shared" si="102"/>
        <v>0</v>
      </c>
      <c r="U392" s="1">
        <f t="shared" si="103"/>
        <v>1</v>
      </c>
      <c r="V392" s="1">
        <f t="shared" si="104"/>
        <v>0</v>
      </c>
      <c r="W392" s="1">
        <f t="shared" si="105"/>
        <v>0</v>
      </c>
      <c r="X392" s="1">
        <f t="shared" si="106"/>
        <v>0</v>
      </c>
      <c r="Y392" s="1">
        <f t="shared" si="107"/>
        <v>0</v>
      </c>
      <c r="Z392" s="1">
        <f t="shared" si="108"/>
        <v>0</v>
      </c>
      <c r="AA392" s="1">
        <f t="shared" si="109"/>
        <v>0</v>
      </c>
      <c r="AB392" s="1">
        <f t="shared" si="110"/>
        <v>0</v>
      </c>
      <c r="AD392" s="1">
        <f t="shared" si="111"/>
        <v>1</v>
      </c>
      <c r="AE392" s="1">
        <f t="shared" si="112"/>
        <v>0</v>
      </c>
      <c r="AF392" s="1">
        <f t="shared" si="113"/>
        <v>1</v>
      </c>
      <c r="AG392" s="1">
        <f t="shared" si="114"/>
        <v>0</v>
      </c>
      <c r="AH392" s="1">
        <f t="shared" si="115"/>
        <v>1</v>
      </c>
      <c r="AI392" s="1">
        <f t="shared" si="116"/>
        <v>0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1244</v>
      </c>
      <c r="E393" s="32" t="s">
        <v>1245</v>
      </c>
      <c r="F393" s="32" t="s">
        <v>1246</v>
      </c>
      <c r="G393" s="32" t="s">
        <v>219</v>
      </c>
      <c r="H393" s="32" t="s">
        <v>352</v>
      </c>
      <c r="I393" s="31" t="s">
        <v>1689</v>
      </c>
      <c r="J393" s="31">
        <v>8</v>
      </c>
      <c r="K393" s="33" t="s">
        <v>704</v>
      </c>
      <c r="L393" s="33" t="s">
        <v>39</v>
      </c>
      <c r="M393" s="34" t="s">
        <v>39</v>
      </c>
      <c r="N393" s="34" t="s">
        <v>1693</v>
      </c>
      <c r="O393" s="35">
        <v>1</v>
      </c>
      <c r="P393" s="35">
        <v>1</v>
      </c>
      <c r="Q393" s="32"/>
      <c r="S393" s="1">
        <f t="shared" si="101"/>
        <v>0</v>
      </c>
      <c r="T393" s="1">
        <f t="shared" si="102"/>
        <v>0</v>
      </c>
      <c r="U393" s="1">
        <f t="shared" si="103"/>
        <v>0</v>
      </c>
      <c r="V393" s="1">
        <f t="shared" si="104"/>
        <v>0</v>
      </c>
      <c r="W393" s="1">
        <f t="shared" si="105"/>
        <v>0</v>
      </c>
      <c r="X393" s="1">
        <f t="shared" si="106"/>
        <v>0</v>
      </c>
      <c r="Y393" s="1">
        <f t="shared" si="107"/>
        <v>0</v>
      </c>
      <c r="Z393" s="1">
        <f t="shared" si="108"/>
        <v>1</v>
      </c>
      <c r="AA393" s="1">
        <f t="shared" si="109"/>
        <v>0</v>
      </c>
      <c r="AB393" s="1">
        <f t="shared" si="110"/>
        <v>0</v>
      </c>
      <c r="AD393" s="1">
        <f t="shared" si="111"/>
        <v>1</v>
      </c>
      <c r="AE393" s="1">
        <f t="shared" si="112"/>
        <v>0</v>
      </c>
      <c r="AF393" s="1">
        <f t="shared" si="113"/>
        <v>1</v>
      </c>
      <c r="AG393" s="1">
        <f t="shared" si="114"/>
        <v>0</v>
      </c>
      <c r="AH393" s="1">
        <f t="shared" si="115"/>
        <v>1</v>
      </c>
      <c r="AI393" s="1">
        <f t="shared" si="116"/>
        <v>0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1063</v>
      </c>
      <c r="E394" s="32" t="s">
        <v>154</v>
      </c>
      <c r="F394" s="32" t="s">
        <v>1047</v>
      </c>
      <c r="G394" s="32" t="s">
        <v>319</v>
      </c>
      <c r="H394" s="32" t="s">
        <v>352</v>
      </c>
      <c r="I394" s="31" t="s">
        <v>1048</v>
      </c>
      <c r="J394" s="31">
        <v>99</v>
      </c>
      <c r="K394" s="33" t="s">
        <v>704</v>
      </c>
      <c r="L394" s="33" t="s">
        <v>685</v>
      </c>
      <c r="M394" s="34" t="s">
        <v>1398</v>
      </c>
      <c r="N394" s="34" t="s">
        <v>1718</v>
      </c>
      <c r="O394" s="35">
        <v>1</v>
      </c>
      <c r="P394" s="35"/>
      <c r="Q394" s="32"/>
      <c r="S394" s="1">
        <f t="shared" si="101"/>
        <v>0</v>
      </c>
      <c r="T394" s="1">
        <f t="shared" si="102"/>
        <v>0</v>
      </c>
      <c r="U394" s="1">
        <f t="shared" si="103"/>
        <v>0</v>
      </c>
      <c r="V394" s="1">
        <f t="shared" si="104"/>
        <v>0</v>
      </c>
      <c r="W394" s="1">
        <f t="shared" si="105"/>
        <v>0</v>
      </c>
      <c r="X394" s="1">
        <f t="shared" si="106"/>
        <v>0</v>
      </c>
      <c r="Y394" s="1">
        <f t="shared" si="107"/>
        <v>0</v>
      </c>
      <c r="Z394" s="1">
        <f t="shared" si="108"/>
        <v>0</v>
      </c>
      <c r="AA394" s="1">
        <f t="shared" si="109"/>
        <v>0</v>
      </c>
      <c r="AB394" s="1">
        <f t="shared" si="110"/>
        <v>0</v>
      </c>
      <c r="AD394" s="1">
        <f t="shared" si="111"/>
        <v>0</v>
      </c>
      <c r="AE394" s="1">
        <f t="shared" si="112"/>
        <v>1</v>
      </c>
      <c r="AF394" s="1">
        <f t="shared" si="113"/>
        <v>0</v>
      </c>
      <c r="AG394" s="1">
        <f t="shared" si="114"/>
        <v>1</v>
      </c>
      <c r="AH394" s="1">
        <f t="shared" si="115"/>
        <v>0</v>
      </c>
      <c r="AI394" s="1">
        <f t="shared" si="116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781</v>
      </c>
      <c r="E395" s="32" t="s">
        <v>757</v>
      </c>
      <c r="F395" s="32" t="s">
        <v>915</v>
      </c>
      <c r="G395" s="32" t="s">
        <v>219</v>
      </c>
      <c r="H395" s="32" t="s">
        <v>352</v>
      </c>
      <c r="I395" s="31" t="s">
        <v>782</v>
      </c>
      <c r="J395" s="31">
        <v>8</v>
      </c>
      <c r="K395" s="33" t="s">
        <v>694</v>
      </c>
      <c r="L395" s="33">
        <v>20</v>
      </c>
      <c r="M395" s="34" t="s">
        <v>1389</v>
      </c>
      <c r="N395" s="34" t="s">
        <v>1786</v>
      </c>
      <c r="O395" s="35">
        <v>1</v>
      </c>
      <c r="P395" s="35"/>
      <c r="Q395" s="32"/>
      <c r="S395" s="1">
        <f t="shared" si="101"/>
        <v>0</v>
      </c>
      <c r="T395" s="1">
        <f t="shared" si="102"/>
        <v>0</v>
      </c>
      <c r="U395" s="1">
        <f t="shared" si="103"/>
        <v>0</v>
      </c>
      <c r="V395" s="1">
        <f t="shared" si="104"/>
        <v>0</v>
      </c>
      <c r="W395" s="1">
        <f t="shared" si="105"/>
        <v>0</v>
      </c>
      <c r="X395" s="1">
        <f t="shared" si="106"/>
        <v>0</v>
      </c>
      <c r="Y395" s="1">
        <f t="shared" si="107"/>
        <v>0</v>
      </c>
      <c r="Z395" s="1">
        <f t="shared" si="108"/>
        <v>1</v>
      </c>
      <c r="AA395" s="1">
        <f t="shared" si="109"/>
        <v>0</v>
      </c>
      <c r="AB395" s="1">
        <f t="shared" si="110"/>
        <v>0</v>
      </c>
      <c r="AD395" s="1">
        <f t="shared" si="111"/>
        <v>0</v>
      </c>
      <c r="AE395" s="1">
        <f t="shared" si="112"/>
        <v>1</v>
      </c>
      <c r="AF395" s="1">
        <f t="shared" si="113"/>
        <v>0</v>
      </c>
      <c r="AG395" s="1">
        <f t="shared" si="114"/>
        <v>1</v>
      </c>
      <c r="AH395" s="1">
        <f t="shared" si="115"/>
        <v>0</v>
      </c>
      <c r="AI395" s="1">
        <f t="shared" si="116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79</v>
      </c>
      <c r="E396" s="32" t="s">
        <v>158</v>
      </c>
      <c r="F396" s="32" t="s">
        <v>267</v>
      </c>
      <c r="G396" s="32" t="s">
        <v>212</v>
      </c>
      <c r="H396" s="32" t="s">
        <v>352</v>
      </c>
      <c r="I396" s="31" t="s">
        <v>423</v>
      </c>
      <c r="J396" s="31">
        <v>1</v>
      </c>
      <c r="K396" s="33" t="s">
        <v>936</v>
      </c>
      <c r="L396" s="33" t="s">
        <v>695</v>
      </c>
      <c r="M396" s="34" t="s">
        <v>718</v>
      </c>
      <c r="N396" s="34" t="s">
        <v>1706</v>
      </c>
      <c r="O396" s="35">
        <v>1</v>
      </c>
      <c r="P396" s="35"/>
      <c r="Q396" s="32"/>
      <c r="S396" s="1">
        <f t="shared" si="101"/>
        <v>1</v>
      </c>
      <c r="T396" s="1">
        <f t="shared" si="102"/>
        <v>0</v>
      </c>
      <c r="U396" s="1">
        <f t="shared" si="103"/>
        <v>0</v>
      </c>
      <c r="V396" s="1">
        <f t="shared" si="104"/>
        <v>0</v>
      </c>
      <c r="W396" s="1">
        <f t="shared" si="105"/>
        <v>0</v>
      </c>
      <c r="X396" s="1">
        <f t="shared" si="106"/>
        <v>0</v>
      </c>
      <c r="Y396" s="1">
        <f t="shared" si="107"/>
        <v>0</v>
      </c>
      <c r="Z396" s="1">
        <f t="shared" si="108"/>
        <v>0</v>
      </c>
      <c r="AA396" s="1">
        <f t="shared" si="109"/>
        <v>0</v>
      </c>
      <c r="AB396" s="1">
        <f t="shared" si="110"/>
        <v>0</v>
      </c>
      <c r="AD396" s="1">
        <f t="shared" si="111"/>
        <v>0</v>
      </c>
      <c r="AE396" s="1">
        <f t="shared" si="112"/>
        <v>1</v>
      </c>
      <c r="AF396" s="1">
        <f t="shared" si="113"/>
        <v>0</v>
      </c>
      <c r="AG396" s="1">
        <f t="shared" si="114"/>
        <v>1</v>
      </c>
      <c r="AH396" s="1">
        <f t="shared" si="115"/>
        <v>0</v>
      </c>
      <c r="AI396" s="1">
        <f t="shared" si="116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6" t="s">
        <v>2104</v>
      </c>
      <c r="E397" s="36" t="s">
        <v>816</v>
      </c>
      <c r="F397" s="36" t="s">
        <v>2105</v>
      </c>
      <c r="G397" s="36" t="s">
        <v>202</v>
      </c>
      <c r="H397" s="36" t="s">
        <v>352</v>
      </c>
      <c r="I397" s="37" t="s">
        <v>2106</v>
      </c>
      <c r="J397" s="31">
        <v>99</v>
      </c>
      <c r="K397" s="33" t="s">
        <v>694</v>
      </c>
      <c r="L397" s="33"/>
      <c r="M397" s="34"/>
      <c r="N397" s="34" t="s">
        <v>1693</v>
      </c>
      <c r="O397" s="35">
        <v>1</v>
      </c>
      <c r="P397" s="35">
        <v>1</v>
      </c>
      <c r="Q397" s="32"/>
      <c r="S397" s="1">
        <f t="shared" si="101"/>
        <v>0</v>
      </c>
      <c r="T397" s="1">
        <f t="shared" si="102"/>
        <v>0</v>
      </c>
      <c r="U397" s="1">
        <f t="shared" si="103"/>
        <v>0</v>
      </c>
      <c r="V397" s="1">
        <f t="shared" si="104"/>
        <v>0</v>
      </c>
      <c r="W397" s="1">
        <f t="shared" si="105"/>
        <v>0</v>
      </c>
      <c r="X397" s="1">
        <f t="shared" si="106"/>
        <v>0</v>
      </c>
      <c r="Y397" s="1">
        <f t="shared" si="107"/>
        <v>0</v>
      </c>
      <c r="Z397" s="1">
        <f t="shared" si="108"/>
        <v>0</v>
      </c>
      <c r="AA397" s="1">
        <f t="shared" si="109"/>
        <v>0</v>
      </c>
      <c r="AB397" s="1">
        <f t="shared" si="110"/>
        <v>0</v>
      </c>
      <c r="AD397" s="1">
        <f t="shared" si="111"/>
        <v>1</v>
      </c>
      <c r="AE397" s="1">
        <f t="shared" si="112"/>
        <v>0</v>
      </c>
      <c r="AF397" s="1">
        <f t="shared" si="113"/>
        <v>1</v>
      </c>
      <c r="AG397" s="1">
        <f t="shared" si="114"/>
        <v>0</v>
      </c>
      <c r="AH397" s="1">
        <f t="shared" si="115"/>
        <v>1</v>
      </c>
      <c r="AI397" s="1">
        <f t="shared" si="116"/>
        <v>0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2040</v>
      </c>
      <c r="E398" s="32" t="s">
        <v>171</v>
      </c>
      <c r="F398" s="32" t="s">
        <v>2041</v>
      </c>
      <c r="G398" s="32" t="s">
        <v>206</v>
      </c>
      <c r="H398" s="32" t="s">
        <v>352</v>
      </c>
      <c r="I398" s="31" t="s">
        <v>2042</v>
      </c>
      <c r="J398" s="31">
        <v>99</v>
      </c>
      <c r="K398" s="33" t="s">
        <v>694</v>
      </c>
      <c r="L398" s="33">
        <v>30</v>
      </c>
      <c r="M398" s="34" t="s">
        <v>951</v>
      </c>
      <c r="N398" s="34" t="s">
        <v>1706</v>
      </c>
      <c r="O398" s="35">
        <v>1</v>
      </c>
      <c r="P398" s="35"/>
      <c r="Q398" s="32" t="s">
        <v>2043</v>
      </c>
      <c r="S398" s="1">
        <f t="shared" si="101"/>
        <v>0</v>
      </c>
      <c r="T398" s="1">
        <f t="shared" si="102"/>
        <v>0</v>
      </c>
      <c r="U398" s="1">
        <f t="shared" si="103"/>
        <v>0</v>
      </c>
      <c r="V398" s="1">
        <f t="shared" si="104"/>
        <v>0</v>
      </c>
      <c r="W398" s="1">
        <f t="shared" si="105"/>
        <v>0</v>
      </c>
      <c r="X398" s="1">
        <f t="shared" si="106"/>
        <v>0</v>
      </c>
      <c r="Y398" s="1">
        <f t="shared" si="107"/>
        <v>0</v>
      </c>
      <c r="Z398" s="1">
        <f t="shared" si="108"/>
        <v>0</v>
      </c>
      <c r="AA398" s="1">
        <f t="shared" si="109"/>
        <v>0</v>
      </c>
      <c r="AB398" s="1">
        <f t="shared" si="110"/>
        <v>0</v>
      </c>
      <c r="AD398" s="1">
        <f t="shared" si="111"/>
        <v>0</v>
      </c>
      <c r="AE398" s="1">
        <f t="shared" si="112"/>
        <v>1</v>
      </c>
      <c r="AF398" s="1">
        <f t="shared" si="113"/>
        <v>0</v>
      </c>
      <c r="AG398" s="1">
        <f t="shared" si="114"/>
        <v>1</v>
      </c>
      <c r="AH398" s="1">
        <f t="shared" si="115"/>
        <v>0</v>
      </c>
      <c r="AI398" s="1">
        <f t="shared" si="116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1609</v>
      </c>
      <c r="E399" s="32" t="s">
        <v>1621</v>
      </c>
      <c r="F399" s="32" t="s">
        <v>1518</v>
      </c>
      <c r="G399" s="32" t="s">
        <v>261</v>
      </c>
      <c r="H399" s="32" t="s">
        <v>352</v>
      </c>
      <c r="I399" s="31" t="s">
        <v>1519</v>
      </c>
      <c r="J399" s="31">
        <v>99</v>
      </c>
      <c r="K399" s="33" t="s">
        <v>936</v>
      </c>
      <c r="L399" s="33">
        <v>40</v>
      </c>
      <c r="M399" s="34" t="s">
        <v>39</v>
      </c>
      <c r="N399" s="34" t="s">
        <v>1786</v>
      </c>
      <c r="O399" s="35">
        <v>1</v>
      </c>
      <c r="P399" s="35"/>
      <c r="Q399" s="32"/>
      <c r="S399" s="1">
        <f t="shared" si="101"/>
        <v>0</v>
      </c>
      <c r="T399" s="1">
        <f t="shared" si="102"/>
        <v>0</v>
      </c>
      <c r="U399" s="1">
        <f t="shared" si="103"/>
        <v>0</v>
      </c>
      <c r="V399" s="1">
        <f t="shared" si="104"/>
        <v>0</v>
      </c>
      <c r="W399" s="1">
        <f t="shared" si="105"/>
        <v>0</v>
      </c>
      <c r="X399" s="1">
        <f t="shared" si="106"/>
        <v>0</v>
      </c>
      <c r="Y399" s="1">
        <f t="shared" si="107"/>
        <v>0</v>
      </c>
      <c r="Z399" s="1">
        <f t="shared" si="108"/>
        <v>0</v>
      </c>
      <c r="AA399" s="1">
        <f t="shared" si="109"/>
        <v>0</v>
      </c>
      <c r="AB399" s="1">
        <f t="shared" si="110"/>
        <v>0</v>
      </c>
      <c r="AD399" s="1">
        <f t="shared" si="111"/>
        <v>0</v>
      </c>
      <c r="AE399" s="1">
        <f t="shared" si="112"/>
        <v>1</v>
      </c>
      <c r="AF399" s="1">
        <f t="shared" si="113"/>
        <v>0</v>
      </c>
      <c r="AG399" s="1">
        <f t="shared" si="114"/>
        <v>1</v>
      </c>
      <c r="AH399" s="1">
        <f t="shared" si="115"/>
        <v>0</v>
      </c>
      <c r="AI399" s="1">
        <f t="shared" si="116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1271</v>
      </c>
      <c r="E400" s="32" t="s">
        <v>27</v>
      </c>
      <c r="F400" s="32" t="s">
        <v>1272</v>
      </c>
      <c r="G400" s="32" t="s">
        <v>1273</v>
      </c>
      <c r="H400" s="32" t="s">
        <v>352</v>
      </c>
      <c r="I400" s="31" t="s">
        <v>1274</v>
      </c>
      <c r="J400" s="31">
        <v>99</v>
      </c>
      <c r="K400" s="33" t="s">
        <v>936</v>
      </c>
      <c r="L400" s="33" t="s">
        <v>39</v>
      </c>
      <c r="M400" s="34" t="s">
        <v>39</v>
      </c>
      <c r="N400" s="34" t="s">
        <v>1693</v>
      </c>
      <c r="O400" s="35">
        <v>1</v>
      </c>
      <c r="P400" s="35">
        <v>1</v>
      </c>
      <c r="Q400" s="36"/>
      <c r="S400" s="1">
        <f t="shared" si="101"/>
        <v>0</v>
      </c>
      <c r="T400" s="1">
        <f t="shared" si="102"/>
        <v>0</v>
      </c>
      <c r="U400" s="1">
        <f t="shared" si="103"/>
        <v>0</v>
      </c>
      <c r="V400" s="1">
        <f t="shared" si="104"/>
        <v>0</v>
      </c>
      <c r="W400" s="1">
        <f t="shared" si="105"/>
        <v>0</v>
      </c>
      <c r="X400" s="1">
        <f t="shared" si="106"/>
        <v>0</v>
      </c>
      <c r="Y400" s="1">
        <f t="shared" si="107"/>
        <v>0</v>
      </c>
      <c r="Z400" s="1">
        <f t="shared" si="108"/>
        <v>0</v>
      </c>
      <c r="AA400" s="1">
        <f t="shared" si="109"/>
        <v>0</v>
      </c>
      <c r="AB400" s="1">
        <f t="shared" si="110"/>
        <v>0</v>
      </c>
      <c r="AD400" s="1">
        <f t="shared" si="111"/>
        <v>1</v>
      </c>
      <c r="AE400" s="1">
        <f t="shared" si="112"/>
        <v>0</v>
      </c>
      <c r="AF400" s="1">
        <f t="shared" si="113"/>
        <v>1</v>
      </c>
      <c r="AG400" s="1">
        <f t="shared" si="114"/>
        <v>0</v>
      </c>
      <c r="AH400" s="1">
        <f t="shared" si="115"/>
        <v>1</v>
      </c>
      <c r="AI400" s="1">
        <f t="shared" si="116"/>
        <v>0</v>
      </c>
    </row>
    <row r="401" spans="1:35" s="1" customFormat="1" ht="14.25" customHeight="1" x14ac:dyDescent="0.25">
      <c r="A401" s="15">
        <v>0</v>
      </c>
      <c r="B401" s="15">
        <v>2</v>
      </c>
      <c r="C401" s="15">
        <v>5</v>
      </c>
      <c r="D401" s="16" t="s">
        <v>1570</v>
      </c>
      <c r="E401" s="16" t="s">
        <v>158</v>
      </c>
      <c r="F401" s="16" t="s">
        <v>2103</v>
      </c>
      <c r="G401" s="16" t="s">
        <v>1437</v>
      </c>
      <c r="H401" s="16" t="s">
        <v>352</v>
      </c>
      <c r="I401" s="15" t="s">
        <v>1438</v>
      </c>
      <c r="J401" s="15">
        <v>99</v>
      </c>
      <c r="K401" s="10" t="s">
        <v>704</v>
      </c>
      <c r="L401" s="10" t="s">
        <v>687</v>
      </c>
      <c r="M401" s="19" t="s">
        <v>1439</v>
      </c>
      <c r="N401" s="19"/>
      <c r="Q401" s="16"/>
      <c r="S401" s="1">
        <f t="shared" si="101"/>
        <v>0</v>
      </c>
      <c r="T401" s="1">
        <f t="shared" si="102"/>
        <v>0</v>
      </c>
      <c r="U401" s="1">
        <f t="shared" si="103"/>
        <v>0</v>
      </c>
      <c r="V401" s="1">
        <f t="shared" si="104"/>
        <v>0</v>
      </c>
      <c r="W401" s="1">
        <f t="shared" si="105"/>
        <v>0</v>
      </c>
      <c r="X401" s="1">
        <f t="shared" si="106"/>
        <v>0</v>
      </c>
      <c r="Y401" s="1">
        <f t="shared" si="107"/>
        <v>0</v>
      </c>
      <c r="Z401" s="1">
        <f t="shared" si="108"/>
        <v>0</v>
      </c>
      <c r="AA401" s="1">
        <f t="shared" si="109"/>
        <v>0</v>
      </c>
      <c r="AB401" s="1">
        <f t="shared" si="110"/>
        <v>0</v>
      </c>
      <c r="AD401" s="1">
        <f t="shared" si="111"/>
        <v>0</v>
      </c>
      <c r="AE401" s="1">
        <f t="shared" si="112"/>
        <v>0</v>
      </c>
      <c r="AF401" s="1">
        <f t="shared" si="113"/>
        <v>0</v>
      </c>
      <c r="AG401" s="1">
        <f t="shared" si="114"/>
        <v>0</v>
      </c>
      <c r="AH401" s="1">
        <f t="shared" si="115"/>
        <v>0</v>
      </c>
      <c r="AI401" s="1">
        <f t="shared" si="116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1999</v>
      </c>
      <c r="E402" s="32" t="s">
        <v>2000</v>
      </c>
      <c r="F402" s="32" t="s">
        <v>2001</v>
      </c>
      <c r="G402" s="32" t="s">
        <v>2004</v>
      </c>
      <c r="H402" s="32" t="s">
        <v>352</v>
      </c>
      <c r="I402" s="31" t="s">
        <v>2002</v>
      </c>
      <c r="J402" s="31"/>
      <c r="K402" s="33" t="s">
        <v>1783</v>
      </c>
      <c r="L402" s="33"/>
      <c r="M402" s="34"/>
      <c r="N402" s="34" t="s">
        <v>1693</v>
      </c>
      <c r="O402" s="35">
        <v>1</v>
      </c>
      <c r="P402" s="35">
        <v>1</v>
      </c>
      <c r="Q402" s="32" t="s">
        <v>2003</v>
      </c>
      <c r="S402" s="1">
        <f t="shared" ref="S402:S465" si="117">IF(J402=$S$7,1,0)</f>
        <v>0</v>
      </c>
      <c r="T402" s="1">
        <f t="shared" ref="T402:T465" si="118">IF(J402=$T$7,1,0)</f>
        <v>0</v>
      </c>
      <c r="U402" s="1">
        <f t="shared" ref="U402:U465" si="119">IF(J402=$U$7,1,0)</f>
        <v>0</v>
      </c>
      <c r="V402" s="1">
        <f t="shared" ref="V402:V465" si="120">IF(J402=$V$7,1,0)</f>
        <v>0</v>
      </c>
      <c r="W402" s="1">
        <f t="shared" ref="W402:W465" si="121">IF(J402=$W$7,1,0)</f>
        <v>0</v>
      </c>
      <c r="X402" s="1">
        <f t="shared" ref="X402:X465" si="122">IF(J402=$X$7,1,0)</f>
        <v>0</v>
      </c>
      <c r="Y402" s="1">
        <f t="shared" ref="Y402:Y465" si="123">IF(J402=$Y$7,1,0)</f>
        <v>0</v>
      </c>
      <c r="Z402" s="1">
        <f t="shared" ref="Z402:Z465" si="124">IF(J402=$Z$7,1,0)</f>
        <v>0</v>
      </c>
      <c r="AA402" s="1">
        <f t="shared" ref="AA402:AA465" si="125">IF(J402=$AA$7,1,0)</f>
        <v>0</v>
      </c>
      <c r="AB402" s="1">
        <f t="shared" ref="AB402:AB465" si="126">IF(J402=$AB$7,1,0)</f>
        <v>0</v>
      </c>
      <c r="AD402" s="1">
        <f t="shared" ref="AD402:AD465" si="127">+O402*P402</f>
        <v>1</v>
      </c>
      <c r="AE402" s="1">
        <f t="shared" ref="AE402:AE465" si="128">O402*(1-P402)</f>
        <v>0</v>
      </c>
      <c r="AF402" s="1">
        <f t="shared" si="113"/>
        <v>1</v>
      </c>
      <c r="AG402" s="1">
        <f t="shared" si="114"/>
        <v>0</v>
      </c>
      <c r="AH402" s="1">
        <f t="shared" si="115"/>
        <v>1</v>
      </c>
      <c r="AI402" s="1">
        <f t="shared" si="116"/>
        <v>0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1740</v>
      </c>
      <c r="E403" s="32" t="s">
        <v>154</v>
      </c>
      <c r="F403" s="32" t="s">
        <v>1741</v>
      </c>
      <c r="G403" s="32" t="s">
        <v>648</v>
      </c>
      <c r="H403" s="32" t="s">
        <v>352</v>
      </c>
      <c r="I403" s="31" t="s">
        <v>1742</v>
      </c>
      <c r="J403" s="31"/>
      <c r="K403" s="33" t="s">
        <v>694</v>
      </c>
      <c r="L403" s="33">
        <v>40</v>
      </c>
      <c r="M403" s="34" t="s">
        <v>1743</v>
      </c>
      <c r="N403" s="34" t="s">
        <v>1706</v>
      </c>
      <c r="O403" s="35">
        <v>1</v>
      </c>
      <c r="P403" s="35"/>
      <c r="Q403" s="32"/>
      <c r="S403" s="1">
        <f t="shared" si="117"/>
        <v>0</v>
      </c>
      <c r="T403" s="1">
        <f t="shared" si="118"/>
        <v>0</v>
      </c>
      <c r="U403" s="1">
        <f t="shared" si="119"/>
        <v>0</v>
      </c>
      <c r="V403" s="1">
        <f t="shared" si="120"/>
        <v>0</v>
      </c>
      <c r="W403" s="1">
        <f t="shared" si="121"/>
        <v>0</v>
      </c>
      <c r="X403" s="1">
        <f t="shared" si="122"/>
        <v>0</v>
      </c>
      <c r="Y403" s="1">
        <f t="shared" si="123"/>
        <v>0</v>
      </c>
      <c r="Z403" s="1">
        <f t="shared" si="124"/>
        <v>0</v>
      </c>
      <c r="AA403" s="1">
        <f t="shared" si="125"/>
        <v>0</v>
      </c>
      <c r="AB403" s="1">
        <f t="shared" si="126"/>
        <v>0</v>
      </c>
      <c r="AD403" s="1">
        <f t="shared" si="127"/>
        <v>0</v>
      </c>
      <c r="AE403" s="1">
        <f t="shared" si="128"/>
        <v>1</v>
      </c>
      <c r="AF403" s="1">
        <f t="shared" ref="AF403:AF466" si="129">+O403*P403*(1-A403)</f>
        <v>0</v>
      </c>
      <c r="AG403" s="1">
        <f t="shared" ref="AG403:AG466" si="130">O403*(1-P403)*(1-A403)</f>
        <v>1</v>
      </c>
      <c r="AH403" s="1">
        <f t="shared" ref="AH403:AH466" si="131">+P403*(1-A403)</f>
        <v>0</v>
      </c>
      <c r="AI403" s="1">
        <f t="shared" ref="AI403:AI466" si="132">+(1-A403)*(1-P403)</f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5</v>
      </c>
      <c r="D404" s="32" t="s">
        <v>822</v>
      </c>
      <c r="E404" s="32" t="s">
        <v>816</v>
      </c>
      <c r="F404" s="32" t="s">
        <v>923</v>
      </c>
      <c r="G404" s="32" t="s">
        <v>179</v>
      </c>
      <c r="H404" s="32" t="s">
        <v>352</v>
      </c>
      <c r="I404" s="31" t="s">
        <v>1090</v>
      </c>
      <c r="J404" s="31">
        <v>10</v>
      </c>
      <c r="K404" s="33" t="s">
        <v>703</v>
      </c>
      <c r="L404" s="33" t="s">
        <v>684</v>
      </c>
      <c r="M404" s="34" t="s">
        <v>1399</v>
      </c>
      <c r="N404" s="34" t="s">
        <v>1717</v>
      </c>
      <c r="O404" s="35">
        <v>1</v>
      </c>
      <c r="P404" s="35"/>
      <c r="Q404" s="32"/>
      <c r="S404" s="1">
        <f t="shared" si="117"/>
        <v>0</v>
      </c>
      <c r="T404" s="1">
        <f t="shared" si="118"/>
        <v>0</v>
      </c>
      <c r="U404" s="1">
        <f t="shared" si="119"/>
        <v>0</v>
      </c>
      <c r="V404" s="1">
        <f t="shared" si="120"/>
        <v>0</v>
      </c>
      <c r="W404" s="1">
        <f t="shared" si="121"/>
        <v>0</v>
      </c>
      <c r="X404" s="1">
        <f t="shared" si="122"/>
        <v>0</v>
      </c>
      <c r="Y404" s="1">
        <f t="shared" si="123"/>
        <v>0</v>
      </c>
      <c r="Z404" s="1">
        <f t="shared" si="124"/>
        <v>0</v>
      </c>
      <c r="AA404" s="1">
        <f t="shared" si="125"/>
        <v>0</v>
      </c>
      <c r="AB404" s="1">
        <f t="shared" si="126"/>
        <v>1</v>
      </c>
      <c r="AD404" s="1">
        <f t="shared" si="127"/>
        <v>0</v>
      </c>
      <c r="AE404" s="1">
        <f t="shared" si="128"/>
        <v>1</v>
      </c>
      <c r="AF404" s="1">
        <f t="shared" si="129"/>
        <v>0</v>
      </c>
      <c r="AG404" s="1">
        <f t="shared" si="130"/>
        <v>1</v>
      </c>
      <c r="AH404" s="1">
        <f t="shared" si="131"/>
        <v>0</v>
      </c>
      <c r="AI404" s="1">
        <f t="shared" si="132"/>
        <v>1</v>
      </c>
    </row>
    <row r="405" spans="1:35" s="1" customFormat="1" ht="14.25" customHeight="1" x14ac:dyDescent="0.25">
      <c r="A405" s="51">
        <v>0</v>
      </c>
      <c r="B405" s="51">
        <v>2</v>
      </c>
      <c r="C405" s="51">
        <v>6</v>
      </c>
      <c r="D405" s="52" t="s">
        <v>1510</v>
      </c>
      <c r="E405" s="52" t="s">
        <v>27</v>
      </c>
      <c r="F405" s="52" t="s">
        <v>1512</v>
      </c>
      <c r="G405" s="52" t="s">
        <v>1501</v>
      </c>
      <c r="H405" s="52" t="s">
        <v>352</v>
      </c>
      <c r="I405" s="51" t="s">
        <v>1511</v>
      </c>
      <c r="J405" s="51">
        <v>5</v>
      </c>
      <c r="K405" s="53" t="s">
        <v>936</v>
      </c>
      <c r="L405" s="53" t="s">
        <v>39</v>
      </c>
      <c r="M405" s="54" t="s">
        <v>39</v>
      </c>
      <c r="N405" s="55"/>
      <c r="O405" s="56"/>
      <c r="P405" s="56"/>
      <c r="Q405" s="58" t="s">
        <v>1860</v>
      </c>
      <c r="S405" s="1">
        <f t="shared" si="117"/>
        <v>0</v>
      </c>
      <c r="T405" s="1">
        <f t="shared" si="118"/>
        <v>0</v>
      </c>
      <c r="U405" s="1">
        <f t="shared" si="119"/>
        <v>0</v>
      </c>
      <c r="V405" s="1">
        <f t="shared" si="120"/>
        <v>0</v>
      </c>
      <c r="W405" s="1">
        <f t="shared" si="121"/>
        <v>1</v>
      </c>
      <c r="X405" s="1">
        <f t="shared" si="122"/>
        <v>0</v>
      </c>
      <c r="Y405" s="1">
        <f t="shared" si="123"/>
        <v>0</v>
      </c>
      <c r="Z405" s="1">
        <f t="shared" si="124"/>
        <v>0</v>
      </c>
      <c r="AA405" s="1">
        <f t="shared" si="125"/>
        <v>0</v>
      </c>
      <c r="AB405" s="1">
        <f t="shared" si="126"/>
        <v>0</v>
      </c>
      <c r="AD405" s="1">
        <f t="shared" si="127"/>
        <v>0</v>
      </c>
      <c r="AE405" s="1">
        <f t="shared" si="128"/>
        <v>0</v>
      </c>
      <c r="AF405" s="1">
        <f t="shared" si="129"/>
        <v>0</v>
      </c>
      <c r="AG405" s="1">
        <f t="shared" si="130"/>
        <v>0</v>
      </c>
      <c r="AH405" s="1">
        <f t="shared" si="131"/>
        <v>0</v>
      </c>
      <c r="AI405" s="1">
        <f t="shared" si="132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6</v>
      </c>
      <c r="D406" s="32" t="s">
        <v>515</v>
      </c>
      <c r="E406" s="32" t="s">
        <v>31</v>
      </c>
      <c r="F406" s="32" t="s">
        <v>664</v>
      </c>
      <c r="G406" s="32" t="s">
        <v>199</v>
      </c>
      <c r="H406" s="32" t="s">
        <v>352</v>
      </c>
      <c r="I406" s="31" t="s">
        <v>516</v>
      </c>
      <c r="J406" s="31">
        <v>2</v>
      </c>
      <c r="K406" s="33" t="s">
        <v>935</v>
      </c>
      <c r="L406" s="33" t="s">
        <v>685</v>
      </c>
      <c r="M406" s="34" t="s">
        <v>1400</v>
      </c>
      <c r="N406" s="34" t="s">
        <v>1706</v>
      </c>
      <c r="O406" s="35">
        <v>1</v>
      </c>
      <c r="P406" s="35"/>
      <c r="Q406" s="32"/>
      <c r="S406" s="1">
        <f t="shared" si="117"/>
        <v>0</v>
      </c>
      <c r="T406" s="1">
        <f t="shared" si="118"/>
        <v>1</v>
      </c>
      <c r="U406" s="1">
        <f t="shared" si="119"/>
        <v>0</v>
      </c>
      <c r="V406" s="1">
        <f t="shared" si="120"/>
        <v>0</v>
      </c>
      <c r="W406" s="1">
        <f t="shared" si="121"/>
        <v>0</v>
      </c>
      <c r="X406" s="1">
        <f t="shared" si="122"/>
        <v>0</v>
      </c>
      <c r="Y406" s="1">
        <f t="shared" si="123"/>
        <v>0</v>
      </c>
      <c r="Z406" s="1">
        <f t="shared" si="124"/>
        <v>0</v>
      </c>
      <c r="AA406" s="1">
        <f t="shared" si="125"/>
        <v>0</v>
      </c>
      <c r="AB406" s="1">
        <f t="shared" si="126"/>
        <v>0</v>
      </c>
      <c r="AD406" s="1">
        <f t="shared" si="127"/>
        <v>0</v>
      </c>
      <c r="AE406" s="1">
        <f t="shared" si="128"/>
        <v>1</v>
      </c>
      <c r="AF406" s="1">
        <f t="shared" si="129"/>
        <v>0</v>
      </c>
      <c r="AG406" s="1">
        <f t="shared" si="130"/>
        <v>1</v>
      </c>
      <c r="AH406" s="1">
        <f t="shared" si="131"/>
        <v>0</v>
      </c>
      <c r="AI406" s="1">
        <f t="shared" si="132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6</v>
      </c>
      <c r="D407" s="32" t="s">
        <v>53</v>
      </c>
      <c r="E407" s="32" t="s">
        <v>31</v>
      </c>
      <c r="F407" s="32" t="s">
        <v>209</v>
      </c>
      <c r="G407" s="32" t="s">
        <v>210</v>
      </c>
      <c r="H407" s="32" t="s">
        <v>352</v>
      </c>
      <c r="I407" s="31" t="s">
        <v>390</v>
      </c>
      <c r="J407" s="31">
        <v>1</v>
      </c>
      <c r="K407" s="33" t="s">
        <v>703</v>
      </c>
      <c r="L407" s="33" t="s">
        <v>695</v>
      </c>
      <c r="M407" s="34" t="s">
        <v>719</v>
      </c>
      <c r="N407" s="34" t="s">
        <v>1706</v>
      </c>
      <c r="O407" s="35">
        <v>1</v>
      </c>
      <c r="P407" s="35"/>
      <c r="Q407" s="32"/>
      <c r="S407" s="1">
        <f t="shared" si="117"/>
        <v>1</v>
      </c>
      <c r="T407" s="1">
        <f t="shared" si="118"/>
        <v>0</v>
      </c>
      <c r="U407" s="1">
        <f t="shared" si="119"/>
        <v>0</v>
      </c>
      <c r="V407" s="1">
        <f t="shared" si="120"/>
        <v>0</v>
      </c>
      <c r="W407" s="1">
        <f t="shared" si="121"/>
        <v>0</v>
      </c>
      <c r="X407" s="1">
        <f t="shared" si="122"/>
        <v>0</v>
      </c>
      <c r="Y407" s="1">
        <f t="shared" si="123"/>
        <v>0</v>
      </c>
      <c r="Z407" s="1">
        <f t="shared" si="124"/>
        <v>0</v>
      </c>
      <c r="AA407" s="1">
        <f t="shared" si="125"/>
        <v>0</v>
      </c>
      <c r="AB407" s="1">
        <f t="shared" si="126"/>
        <v>0</v>
      </c>
      <c r="AD407" s="1">
        <f t="shared" si="127"/>
        <v>0</v>
      </c>
      <c r="AE407" s="1">
        <f t="shared" si="128"/>
        <v>1</v>
      </c>
      <c r="AF407" s="1">
        <f t="shared" si="129"/>
        <v>0</v>
      </c>
      <c r="AG407" s="1">
        <f t="shared" si="130"/>
        <v>1</v>
      </c>
      <c r="AH407" s="1">
        <f t="shared" si="131"/>
        <v>0</v>
      </c>
      <c r="AI407" s="1">
        <f t="shared" si="132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6</v>
      </c>
      <c r="D408" s="32" t="s">
        <v>1823</v>
      </c>
      <c r="E408" s="32" t="s">
        <v>1824</v>
      </c>
      <c r="F408" s="32" t="s">
        <v>1825</v>
      </c>
      <c r="G408" s="32"/>
      <c r="H408" s="32" t="s">
        <v>352</v>
      </c>
      <c r="I408" s="31" t="s">
        <v>1826</v>
      </c>
      <c r="J408" s="31">
        <v>99</v>
      </c>
      <c r="K408" s="33" t="s">
        <v>694</v>
      </c>
      <c r="L408" s="33">
        <v>25</v>
      </c>
      <c r="M408" s="34" t="s">
        <v>1827</v>
      </c>
      <c r="N408" s="34" t="s">
        <v>1706</v>
      </c>
      <c r="O408" s="35">
        <v>1</v>
      </c>
      <c r="P408" s="35"/>
      <c r="Q408" s="32" t="s">
        <v>2005</v>
      </c>
      <c r="S408" s="1">
        <f t="shared" si="117"/>
        <v>0</v>
      </c>
      <c r="T408" s="1">
        <f t="shared" si="118"/>
        <v>0</v>
      </c>
      <c r="U408" s="1">
        <f t="shared" si="119"/>
        <v>0</v>
      </c>
      <c r="V408" s="1">
        <f t="shared" si="120"/>
        <v>0</v>
      </c>
      <c r="W408" s="1">
        <f t="shared" si="121"/>
        <v>0</v>
      </c>
      <c r="X408" s="1">
        <f t="shared" si="122"/>
        <v>0</v>
      </c>
      <c r="Y408" s="1">
        <f t="shared" si="123"/>
        <v>0</v>
      </c>
      <c r="Z408" s="1">
        <f t="shared" si="124"/>
        <v>0</v>
      </c>
      <c r="AA408" s="1">
        <f t="shared" si="125"/>
        <v>0</v>
      </c>
      <c r="AB408" s="1">
        <f t="shared" si="126"/>
        <v>0</v>
      </c>
      <c r="AD408" s="1">
        <f t="shared" si="127"/>
        <v>0</v>
      </c>
      <c r="AE408" s="1">
        <f t="shared" si="128"/>
        <v>1</v>
      </c>
      <c r="AF408" s="1">
        <f t="shared" si="129"/>
        <v>0</v>
      </c>
      <c r="AG408" s="1">
        <f t="shared" si="130"/>
        <v>1</v>
      </c>
      <c r="AH408" s="1">
        <f t="shared" si="131"/>
        <v>0</v>
      </c>
      <c r="AI408" s="1">
        <f t="shared" si="132"/>
        <v>1</v>
      </c>
    </row>
    <row r="409" spans="1:35" s="1" customFormat="1" ht="14.25" customHeight="1" x14ac:dyDescent="0.25">
      <c r="A409" s="44">
        <v>0</v>
      </c>
      <c r="B409" s="44">
        <v>2</v>
      </c>
      <c r="C409" s="44">
        <v>6</v>
      </c>
      <c r="D409" s="45" t="s">
        <v>80</v>
      </c>
      <c r="E409" s="45" t="s">
        <v>31</v>
      </c>
      <c r="F409" s="45" t="s">
        <v>269</v>
      </c>
      <c r="G409" s="45" t="s">
        <v>223</v>
      </c>
      <c r="H409" s="45" t="s">
        <v>352</v>
      </c>
      <c r="I409" s="44" t="s">
        <v>670</v>
      </c>
      <c r="J409" s="44">
        <v>99</v>
      </c>
      <c r="K409" s="46" t="s">
        <v>936</v>
      </c>
      <c r="L409" s="46" t="s">
        <v>685</v>
      </c>
      <c r="M409" s="47" t="s">
        <v>1401</v>
      </c>
      <c r="N409" s="47" t="s">
        <v>1770</v>
      </c>
      <c r="O409" s="48"/>
      <c r="P409" s="48"/>
      <c r="Q409" s="45"/>
      <c r="S409" s="1">
        <f t="shared" si="117"/>
        <v>0</v>
      </c>
      <c r="T409" s="1">
        <f t="shared" si="118"/>
        <v>0</v>
      </c>
      <c r="U409" s="1">
        <f t="shared" si="119"/>
        <v>0</v>
      </c>
      <c r="V409" s="1">
        <f t="shared" si="120"/>
        <v>0</v>
      </c>
      <c r="W409" s="1">
        <f t="shared" si="121"/>
        <v>0</v>
      </c>
      <c r="X409" s="1">
        <f t="shared" si="122"/>
        <v>0</v>
      </c>
      <c r="Y409" s="1">
        <f t="shared" si="123"/>
        <v>0</v>
      </c>
      <c r="Z409" s="1">
        <f t="shared" si="124"/>
        <v>0</v>
      </c>
      <c r="AA409" s="1">
        <f t="shared" si="125"/>
        <v>0</v>
      </c>
      <c r="AB409" s="1">
        <f t="shared" si="126"/>
        <v>0</v>
      </c>
      <c r="AD409" s="1">
        <f t="shared" si="127"/>
        <v>0</v>
      </c>
      <c r="AE409" s="1">
        <f t="shared" si="128"/>
        <v>0</v>
      </c>
      <c r="AF409" s="1">
        <f t="shared" si="129"/>
        <v>0</v>
      </c>
      <c r="AG409" s="1">
        <f t="shared" si="130"/>
        <v>0</v>
      </c>
      <c r="AH409" s="1">
        <f t="shared" si="131"/>
        <v>0</v>
      </c>
      <c r="AI409" s="1">
        <f t="shared" si="132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6</v>
      </c>
      <c r="D410" s="32" t="s">
        <v>631</v>
      </c>
      <c r="E410" s="32" t="s">
        <v>31</v>
      </c>
      <c r="F410" s="32" t="s">
        <v>632</v>
      </c>
      <c r="G410" s="32" t="s">
        <v>239</v>
      </c>
      <c r="H410" s="32" t="s">
        <v>352</v>
      </c>
      <c r="I410" s="31" t="s">
        <v>633</v>
      </c>
      <c r="J410" s="31">
        <v>1</v>
      </c>
      <c r="K410" s="33" t="s">
        <v>704</v>
      </c>
      <c r="L410" s="33" t="s">
        <v>685</v>
      </c>
      <c r="M410" s="34" t="s">
        <v>1402</v>
      </c>
      <c r="N410" s="34" t="s">
        <v>1706</v>
      </c>
      <c r="O410" s="35">
        <v>1</v>
      </c>
      <c r="P410" s="35"/>
      <c r="Q410" s="32"/>
      <c r="S410" s="1">
        <f t="shared" si="117"/>
        <v>1</v>
      </c>
      <c r="T410" s="1">
        <f t="shared" si="118"/>
        <v>0</v>
      </c>
      <c r="U410" s="1">
        <f t="shared" si="119"/>
        <v>0</v>
      </c>
      <c r="V410" s="1">
        <f t="shared" si="120"/>
        <v>0</v>
      </c>
      <c r="W410" s="1">
        <f t="shared" si="121"/>
        <v>0</v>
      </c>
      <c r="X410" s="1">
        <f t="shared" si="122"/>
        <v>0</v>
      </c>
      <c r="Y410" s="1">
        <f t="shared" si="123"/>
        <v>0</v>
      </c>
      <c r="Z410" s="1">
        <f t="shared" si="124"/>
        <v>0</v>
      </c>
      <c r="AA410" s="1">
        <f t="shared" si="125"/>
        <v>0</v>
      </c>
      <c r="AB410" s="1">
        <f t="shared" si="126"/>
        <v>0</v>
      </c>
      <c r="AD410" s="1">
        <f t="shared" si="127"/>
        <v>0</v>
      </c>
      <c r="AE410" s="1">
        <f t="shared" si="128"/>
        <v>1</v>
      </c>
      <c r="AF410" s="1">
        <f t="shared" si="129"/>
        <v>0</v>
      </c>
      <c r="AG410" s="1">
        <f t="shared" si="130"/>
        <v>1</v>
      </c>
      <c r="AH410" s="1">
        <f t="shared" si="131"/>
        <v>0</v>
      </c>
      <c r="AI410" s="1">
        <f t="shared" si="132"/>
        <v>1</v>
      </c>
    </row>
    <row r="411" spans="1:35" s="1" customFormat="1" ht="14.25" customHeight="1" x14ac:dyDescent="0.25">
      <c r="A411" s="44">
        <v>0</v>
      </c>
      <c r="B411" s="44">
        <v>2</v>
      </c>
      <c r="C411" s="44">
        <v>6</v>
      </c>
      <c r="D411" s="45" t="s">
        <v>1113</v>
      </c>
      <c r="E411" s="45" t="s">
        <v>31</v>
      </c>
      <c r="F411" s="45" t="s">
        <v>664</v>
      </c>
      <c r="G411" s="45" t="s">
        <v>199</v>
      </c>
      <c r="H411" s="45" t="s">
        <v>352</v>
      </c>
      <c r="I411" s="44" t="s">
        <v>516</v>
      </c>
      <c r="J411" s="44">
        <v>2</v>
      </c>
      <c r="K411" s="46" t="s">
        <v>703</v>
      </c>
      <c r="L411" s="46" t="s">
        <v>685</v>
      </c>
      <c r="M411" s="47" t="s">
        <v>719</v>
      </c>
      <c r="N411" s="47" t="s">
        <v>1701</v>
      </c>
      <c r="O411" s="48"/>
      <c r="P411" s="48"/>
      <c r="Q411" s="45"/>
      <c r="S411" s="1">
        <f t="shared" si="117"/>
        <v>0</v>
      </c>
      <c r="T411" s="1">
        <f t="shared" si="118"/>
        <v>1</v>
      </c>
      <c r="U411" s="1">
        <f t="shared" si="119"/>
        <v>0</v>
      </c>
      <c r="V411" s="1">
        <f t="shared" si="120"/>
        <v>0</v>
      </c>
      <c r="W411" s="1">
        <f t="shared" si="121"/>
        <v>0</v>
      </c>
      <c r="X411" s="1">
        <f t="shared" si="122"/>
        <v>0</v>
      </c>
      <c r="Y411" s="1">
        <f t="shared" si="123"/>
        <v>0</v>
      </c>
      <c r="Z411" s="1">
        <f t="shared" si="124"/>
        <v>0</v>
      </c>
      <c r="AA411" s="1">
        <f t="shared" si="125"/>
        <v>0</v>
      </c>
      <c r="AB411" s="1">
        <f t="shared" si="126"/>
        <v>0</v>
      </c>
      <c r="AD411" s="1">
        <f t="shared" si="127"/>
        <v>0</v>
      </c>
      <c r="AE411" s="1">
        <f t="shared" si="128"/>
        <v>0</v>
      </c>
      <c r="AF411" s="1">
        <f t="shared" si="129"/>
        <v>0</v>
      </c>
      <c r="AG411" s="1">
        <f t="shared" si="130"/>
        <v>0</v>
      </c>
      <c r="AH411" s="1">
        <f t="shared" si="131"/>
        <v>0</v>
      </c>
      <c r="AI411" s="1">
        <f t="shared" si="132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1064</v>
      </c>
      <c r="E412" s="32" t="s">
        <v>158</v>
      </c>
      <c r="F412" s="32" t="s">
        <v>197</v>
      </c>
      <c r="G412" s="32" t="s">
        <v>198</v>
      </c>
      <c r="H412" s="32" t="s">
        <v>352</v>
      </c>
      <c r="I412" s="31" t="s">
        <v>386</v>
      </c>
      <c r="J412" s="31">
        <v>99</v>
      </c>
      <c r="K412" s="33" t="s">
        <v>703</v>
      </c>
      <c r="L412" s="33" t="s">
        <v>707</v>
      </c>
      <c r="M412" s="34" t="s">
        <v>721</v>
      </c>
      <c r="N412" s="34" t="s">
        <v>1711</v>
      </c>
      <c r="O412" s="35">
        <v>1</v>
      </c>
      <c r="P412" s="35"/>
      <c r="Q412" s="32"/>
      <c r="S412" s="1">
        <f t="shared" si="117"/>
        <v>0</v>
      </c>
      <c r="T412" s="1">
        <f t="shared" si="118"/>
        <v>0</v>
      </c>
      <c r="U412" s="1">
        <f t="shared" si="119"/>
        <v>0</v>
      </c>
      <c r="V412" s="1">
        <f t="shared" si="120"/>
        <v>0</v>
      </c>
      <c r="W412" s="1">
        <f t="shared" si="121"/>
        <v>0</v>
      </c>
      <c r="X412" s="1">
        <f t="shared" si="122"/>
        <v>0</v>
      </c>
      <c r="Y412" s="1">
        <f t="shared" si="123"/>
        <v>0</v>
      </c>
      <c r="Z412" s="1">
        <f t="shared" si="124"/>
        <v>0</v>
      </c>
      <c r="AA412" s="1">
        <f t="shared" si="125"/>
        <v>0</v>
      </c>
      <c r="AB412" s="1">
        <f t="shared" si="126"/>
        <v>0</v>
      </c>
      <c r="AD412" s="1">
        <f t="shared" si="127"/>
        <v>0</v>
      </c>
      <c r="AE412" s="1">
        <f t="shared" si="128"/>
        <v>1</v>
      </c>
      <c r="AF412" s="1">
        <f t="shared" si="129"/>
        <v>0</v>
      </c>
      <c r="AG412" s="1">
        <f t="shared" si="130"/>
        <v>1</v>
      </c>
      <c r="AH412" s="1">
        <f t="shared" si="131"/>
        <v>0</v>
      </c>
      <c r="AI412" s="1">
        <f t="shared" si="132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505</v>
      </c>
      <c r="E413" s="32" t="s">
        <v>155</v>
      </c>
      <c r="F413" s="32" t="s">
        <v>506</v>
      </c>
      <c r="G413" s="32" t="s">
        <v>39</v>
      </c>
      <c r="H413" s="32" t="s">
        <v>352</v>
      </c>
      <c r="I413" s="31" t="s">
        <v>924</v>
      </c>
      <c r="J413" s="31">
        <v>7</v>
      </c>
      <c r="K413" s="33" t="s">
        <v>936</v>
      </c>
      <c r="L413" s="33" t="s">
        <v>39</v>
      </c>
      <c r="M413" s="34" t="s">
        <v>39</v>
      </c>
      <c r="N413" s="34" t="s">
        <v>1693</v>
      </c>
      <c r="O413" s="35">
        <v>1</v>
      </c>
      <c r="P413" s="35">
        <v>1</v>
      </c>
      <c r="Q413" s="32"/>
      <c r="S413" s="1">
        <f t="shared" si="117"/>
        <v>0</v>
      </c>
      <c r="T413" s="1">
        <f t="shared" si="118"/>
        <v>0</v>
      </c>
      <c r="U413" s="1">
        <f t="shared" si="119"/>
        <v>0</v>
      </c>
      <c r="V413" s="1">
        <f t="shared" si="120"/>
        <v>0</v>
      </c>
      <c r="W413" s="1">
        <f t="shared" si="121"/>
        <v>0</v>
      </c>
      <c r="X413" s="1">
        <f t="shared" si="122"/>
        <v>0</v>
      </c>
      <c r="Y413" s="1">
        <f t="shared" si="123"/>
        <v>1</v>
      </c>
      <c r="Z413" s="1">
        <f t="shared" si="124"/>
        <v>0</v>
      </c>
      <c r="AA413" s="1">
        <f t="shared" si="125"/>
        <v>0</v>
      </c>
      <c r="AB413" s="1">
        <f t="shared" si="126"/>
        <v>0</v>
      </c>
      <c r="AD413" s="1">
        <f t="shared" si="127"/>
        <v>1</v>
      </c>
      <c r="AE413" s="1">
        <f t="shared" si="128"/>
        <v>0</v>
      </c>
      <c r="AF413" s="1">
        <f t="shared" si="129"/>
        <v>1</v>
      </c>
      <c r="AG413" s="1">
        <f t="shared" si="130"/>
        <v>0</v>
      </c>
      <c r="AH413" s="1">
        <f t="shared" si="131"/>
        <v>1</v>
      </c>
      <c r="AI413" s="1">
        <f t="shared" si="132"/>
        <v>0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70</v>
      </c>
      <c r="E414" s="32" t="s">
        <v>28</v>
      </c>
      <c r="F414" s="32" t="s">
        <v>665</v>
      </c>
      <c r="G414" s="32" t="s">
        <v>257</v>
      </c>
      <c r="H414" s="32" t="s">
        <v>352</v>
      </c>
      <c r="I414" s="31" t="s">
        <v>415</v>
      </c>
      <c r="J414" s="31">
        <v>8</v>
      </c>
      <c r="K414" s="33" t="s">
        <v>704</v>
      </c>
      <c r="L414" s="33" t="s">
        <v>704</v>
      </c>
      <c r="M414" s="34" t="s">
        <v>722</v>
      </c>
      <c r="N414" s="34" t="s">
        <v>1706</v>
      </c>
      <c r="O414" s="35">
        <v>1</v>
      </c>
      <c r="P414" s="35"/>
      <c r="Q414" s="32"/>
      <c r="S414" s="1">
        <f t="shared" si="117"/>
        <v>0</v>
      </c>
      <c r="T414" s="1">
        <f t="shared" si="118"/>
        <v>0</v>
      </c>
      <c r="U414" s="1">
        <f t="shared" si="119"/>
        <v>0</v>
      </c>
      <c r="V414" s="1">
        <f t="shared" si="120"/>
        <v>0</v>
      </c>
      <c r="W414" s="1">
        <f t="shared" si="121"/>
        <v>0</v>
      </c>
      <c r="X414" s="1">
        <f t="shared" si="122"/>
        <v>0</v>
      </c>
      <c r="Y414" s="1">
        <f t="shared" si="123"/>
        <v>0</v>
      </c>
      <c r="Z414" s="1">
        <f t="shared" si="124"/>
        <v>1</v>
      </c>
      <c r="AA414" s="1">
        <f t="shared" si="125"/>
        <v>0</v>
      </c>
      <c r="AB414" s="1">
        <f t="shared" si="126"/>
        <v>0</v>
      </c>
      <c r="AD414" s="1">
        <f t="shared" si="127"/>
        <v>0</v>
      </c>
      <c r="AE414" s="1">
        <f t="shared" si="128"/>
        <v>1</v>
      </c>
      <c r="AF414" s="1">
        <f t="shared" si="129"/>
        <v>0</v>
      </c>
      <c r="AG414" s="1">
        <f t="shared" si="130"/>
        <v>1</v>
      </c>
      <c r="AH414" s="1">
        <f t="shared" si="131"/>
        <v>0</v>
      </c>
      <c r="AI414" s="1">
        <f t="shared" si="132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646</v>
      </c>
      <c r="E415" s="32" t="s">
        <v>155</v>
      </c>
      <c r="F415" s="32" t="s">
        <v>577</v>
      </c>
      <c r="G415" s="32" t="s">
        <v>248</v>
      </c>
      <c r="H415" s="32" t="s">
        <v>352</v>
      </c>
      <c r="I415" s="31" t="s">
        <v>671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17"/>
        <v>0</v>
      </c>
      <c r="T415" s="1">
        <f t="shared" si="118"/>
        <v>0</v>
      </c>
      <c r="U415" s="1">
        <f t="shared" si="119"/>
        <v>0</v>
      </c>
      <c r="V415" s="1">
        <f t="shared" si="120"/>
        <v>0</v>
      </c>
      <c r="W415" s="1">
        <f t="shared" si="121"/>
        <v>0</v>
      </c>
      <c r="X415" s="1">
        <f t="shared" si="122"/>
        <v>0</v>
      </c>
      <c r="Y415" s="1">
        <f t="shared" si="123"/>
        <v>1</v>
      </c>
      <c r="Z415" s="1">
        <f t="shared" si="124"/>
        <v>0</v>
      </c>
      <c r="AA415" s="1">
        <f t="shared" si="125"/>
        <v>0</v>
      </c>
      <c r="AB415" s="1">
        <f t="shared" si="126"/>
        <v>0</v>
      </c>
      <c r="AD415" s="1">
        <f t="shared" si="127"/>
        <v>1</v>
      </c>
      <c r="AE415" s="1">
        <f t="shared" si="128"/>
        <v>0</v>
      </c>
      <c r="AF415" s="1">
        <f t="shared" si="129"/>
        <v>1</v>
      </c>
      <c r="AG415" s="1">
        <f t="shared" si="130"/>
        <v>0</v>
      </c>
      <c r="AH415" s="1">
        <f t="shared" si="131"/>
        <v>1</v>
      </c>
      <c r="AI415" s="1">
        <f t="shared" si="132"/>
        <v>0</v>
      </c>
    </row>
    <row r="416" spans="1:35" s="1" customFormat="1" ht="14.25" customHeight="1" x14ac:dyDescent="0.25">
      <c r="A416" s="44">
        <v>0</v>
      </c>
      <c r="B416" s="44">
        <v>2</v>
      </c>
      <c r="C416" s="44">
        <v>7</v>
      </c>
      <c r="D416" s="45" t="s">
        <v>1601</v>
      </c>
      <c r="E416" s="45" t="s">
        <v>155</v>
      </c>
      <c r="F416" s="45" t="s">
        <v>1624</v>
      </c>
      <c r="G416" s="45" t="s">
        <v>212</v>
      </c>
      <c r="H416" s="45" t="s">
        <v>352</v>
      </c>
      <c r="I416" s="44" t="s">
        <v>586</v>
      </c>
      <c r="J416" s="44">
        <v>1</v>
      </c>
      <c r="K416" s="46" t="s">
        <v>703</v>
      </c>
      <c r="L416" s="46" t="s">
        <v>713</v>
      </c>
      <c r="M416" s="47" t="s">
        <v>1403</v>
      </c>
      <c r="N416" s="47" t="s">
        <v>1701</v>
      </c>
      <c r="O416" s="48"/>
      <c r="P416" s="48"/>
      <c r="Q416" s="45"/>
      <c r="S416" s="1">
        <f t="shared" si="117"/>
        <v>1</v>
      </c>
      <c r="T416" s="1">
        <f t="shared" si="118"/>
        <v>0</v>
      </c>
      <c r="U416" s="1">
        <f t="shared" si="119"/>
        <v>0</v>
      </c>
      <c r="V416" s="1">
        <f t="shared" si="120"/>
        <v>0</v>
      </c>
      <c r="W416" s="1">
        <f t="shared" si="121"/>
        <v>0</v>
      </c>
      <c r="X416" s="1">
        <f t="shared" si="122"/>
        <v>0</v>
      </c>
      <c r="Y416" s="1">
        <f t="shared" si="123"/>
        <v>0</v>
      </c>
      <c r="Z416" s="1">
        <f t="shared" si="124"/>
        <v>0</v>
      </c>
      <c r="AA416" s="1">
        <f t="shared" si="125"/>
        <v>0</v>
      </c>
      <c r="AB416" s="1">
        <f t="shared" si="126"/>
        <v>0</v>
      </c>
      <c r="AD416" s="1">
        <f t="shared" si="127"/>
        <v>0</v>
      </c>
      <c r="AE416" s="1">
        <f t="shared" si="128"/>
        <v>0</v>
      </c>
      <c r="AF416" s="1">
        <f t="shared" si="129"/>
        <v>0</v>
      </c>
      <c r="AG416" s="1">
        <f t="shared" si="130"/>
        <v>0</v>
      </c>
      <c r="AH416" s="1">
        <f t="shared" si="131"/>
        <v>0</v>
      </c>
      <c r="AI416" s="1">
        <f t="shared" si="132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1051</v>
      </c>
      <c r="E417" s="32" t="s">
        <v>1027</v>
      </c>
      <c r="F417" s="32" t="s">
        <v>1052</v>
      </c>
      <c r="G417" s="32" t="s">
        <v>212</v>
      </c>
      <c r="H417" s="32" t="s">
        <v>352</v>
      </c>
      <c r="I417" s="31" t="s">
        <v>1053</v>
      </c>
      <c r="J417" s="31">
        <v>1</v>
      </c>
      <c r="K417" s="33" t="s">
        <v>936</v>
      </c>
      <c r="L417" s="33" t="s">
        <v>713</v>
      </c>
      <c r="M417" s="34" t="s">
        <v>1404</v>
      </c>
      <c r="N417" s="34" t="s">
        <v>1706</v>
      </c>
      <c r="O417" s="35">
        <v>1</v>
      </c>
      <c r="P417" s="35"/>
      <c r="Q417" s="32" t="s">
        <v>1878</v>
      </c>
      <c r="S417" s="1">
        <f t="shared" si="117"/>
        <v>1</v>
      </c>
      <c r="T417" s="1">
        <f t="shared" si="118"/>
        <v>0</v>
      </c>
      <c r="U417" s="1">
        <f t="shared" si="119"/>
        <v>0</v>
      </c>
      <c r="V417" s="1">
        <f t="shared" si="120"/>
        <v>0</v>
      </c>
      <c r="W417" s="1">
        <f t="shared" si="121"/>
        <v>0</v>
      </c>
      <c r="X417" s="1">
        <f t="shared" si="122"/>
        <v>0</v>
      </c>
      <c r="Y417" s="1">
        <f t="shared" si="123"/>
        <v>0</v>
      </c>
      <c r="Z417" s="1">
        <f t="shared" si="124"/>
        <v>0</v>
      </c>
      <c r="AA417" s="1">
        <f t="shared" si="125"/>
        <v>0</v>
      </c>
      <c r="AB417" s="1">
        <f t="shared" si="126"/>
        <v>0</v>
      </c>
      <c r="AD417" s="1">
        <f t="shared" si="127"/>
        <v>0</v>
      </c>
      <c r="AE417" s="1">
        <f t="shared" si="128"/>
        <v>1</v>
      </c>
      <c r="AF417" s="1">
        <f t="shared" si="129"/>
        <v>0</v>
      </c>
      <c r="AG417" s="1">
        <f t="shared" si="130"/>
        <v>1</v>
      </c>
      <c r="AH417" s="1">
        <f t="shared" si="131"/>
        <v>0</v>
      </c>
      <c r="AI417" s="1">
        <f t="shared" si="132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998</v>
      </c>
      <c r="E418" s="32" t="s">
        <v>155</v>
      </c>
      <c r="F418" s="32" t="s">
        <v>1069</v>
      </c>
      <c r="G418" s="32" t="s">
        <v>1079</v>
      </c>
      <c r="H418" s="32" t="s">
        <v>352</v>
      </c>
      <c r="I418" s="31" t="s">
        <v>999</v>
      </c>
      <c r="J418" s="31">
        <v>99</v>
      </c>
      <c r="K418" s="33" t="s">
        <v>704</v>
      </c>
      <c r="L418" s="33" t="s">
        <v>713</v>
      </c>
      <c r="M418" s="34" t="s">
        <v>1404</v>
      </c>
      <c r="N418" s="34" t="s">
        <v>1710</v>
      </c>
      <c r="O418" s="35">
        <v>1</v>
      </c>
      <c r="P418" s="35"/>
      <c r="Q418" s="32"/>
      <c r="S418" s="1">
        <f t="shared" si="117"/>
        <v>0</v>
      </c>
      <c r="T418" s="1">
        <f t="shared" si="118"/>
        <v>0</v>
      </c>
      <c r="U418" s="1">
        <f t="shared" si="119"/>
        <v>0</v>
      </c>
      <c r="V418" s="1">
        <f t="shared" si="120"/>
        <v>0</v>
      </c>
      <c r="W418" s="1">
        <f t="shared" si="121"/>
        <v>0</v>
      </c>
      <c r="X418" s="1">
        <f t="shared" si="122"/>
        <v>0</v>
      </c>
      <c r="Y418" s="1">
        <f t="shared" si="123"/>
        <v>0</v>
      </c>
      <c r="Z418" s="1">
        <f t="shared" si="124"/>
        <v>0</v>
      </c>
      <c r="AA418" s="1">
        <f t="shared" si="125"/>
        <v>0</v>
      </c>
      <c r="AB418" s="1">
        <f t="shared" si="126"/>
        <v>0</v>
      </c>
      <c r="AD418" s="1">
        <f t="shared" si="127"/>
        <v>0</v>
      </c>
      <c r="AE418" s="1">
        <f t="shared" si="128"/>
        <v>1</v>
      </c>
      <c r="AF418" s="1">
        <f t="shared" si="129"/>
        <v>0</v>
      </c>
      <c r="AG418" s="1">
        <f t="shared" si="130"/>
        <v>1</v>
      </c>
      <c r="AH418" s="1">
        <f t="shared" si="131"/>
        <v>0</v>
      </c>
      <c r="AI418" s="1">
        <f t="shared" si="132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1180</v>
      </c>
      <c r="E419" s="32" t="s">
        <v>1306</v>
      </c>
      <c r="F419" s="32" t="s">
        <v>1181</v>
      </c>
      <c r="G419" s="32" t="s">
        <v>39</v>
      </c>
      <c r="H419" s="32" t="s">
        <v>352</v>
      </c>
      <c r="I419" s="31" t="s">
        <v>1651</v>
      </c>
      <c r="J419" s="31">
        <v>99</v>
      </c>
      <c r="K419" s="33" t="s">
        <v>936</v>
      </c>
      <c r="L419" s="33" t="s">
        <v>720</v>
      </c>
      <c r="M419" s="34" t="s">
        <v>1405</v>
      </c>
      <c r="N419" s="34" t="s">
        <v>1710</v>
      </c>
      <c r="O419" s="35">
        <v>1</v>
      </c>
      <c r="P419" s="35"/>
      <c r="Q419" s="32"/>
      <c r="S419" s="1">
        <f t="shared" si="117"/>
        <v>0</v>
      </c>
      <c r="T419" s="1">
        <f t="shared" si="118"/>
        <v>0</v>
      </c>
      <c r="U419" s="1">
        <f t="shared" si="119"/>
        <v>0</v>
      </c>
      <c r="V419" s="1">
        <f t="shared" si="120"/>
        <v>0</v>
      </c>
      <c r="W419" s="1">
        <f t="shared" si="121"/>
        <v>0</v>
      </c>
      <c r="X419" s="1">
        <f t="shared" si="122"/>
        <v>0</v>
      </c>
      <c r="Y419" s="1">
        <f t="shared" si="123"/>
        <v>0</v>
      </c>
      <c r="Z419" s="1">
        <f t="shared" si="124"/>
        <v>0</v>
      </c>
      <c r="AA419" s="1">
        <f t="shared" si="125"/>
        <v>0</v>
      </c>
      <c r="AB419" s="1">
        <f t="shared" si="126"/>
        <v>0</v>
      </c>
      <c r="AD419" s="1">
        <f t="shared" si="127"/>
        <v>0</v>
      </c>
      <c r="AE419" s="1">
        <f t="shared" si="128"/>
        <v>1</v>
      </c>
      <c r="AF419" s="1">
        <f t="shared" si="129"/>
        <v>0</v>
      </c>
      <c r="AG419" s="1">
        <f t="shared" si="130"/>
        <v>1</v>
      </c>
      <c r="AH419" s="1">
        <f t="shared" si="131"/>
        <v>0</v>
      </c>
      <c r="AI419" s="1">
        <f t="shared" si="132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636</v>
      </c>
      <c r="G420" s="32" t="s">
        <v>531</v>
      </c>
      <c r="H420" s="32" t="s">
        <v>352</v>
      </c>
      <c r="I420" s="31" t="s">
        <v>392</v>
      </c>
      <c r="J420" s="31">
        <v>6</v>
      </c>
      <c r="K420" s="33" t="s">
        <v>703</v>
      </c>
      <c r="L420" s="33" t="s">
        <v>704</v>
      </c>
      <c r="M420" s="34" t="s">
        <v>722</v>
      </c>
      <c r="N420" s="34" t="s">
        <v>1723</v>
      </c>
      <c r="O420" s="35">
        <v>1</v>
      </c>
      <c r="P420" s="35"/>
      <c r="Q420" s="32"/>
      <c r="S420" s="1">
        <f t="shared" si="117"/>
        <v>0</v>
      </c>
      <c r="T420" s="1">
        <f t="shared" si="118"/>
        <v>0</v>
      </c>
      <c r="U420" s="1">
        <f t="shared" si="119"/>
        <v>0</v>
      </c>
      <c r="V420" s="1">
        <f t="shared" si="120"/>
        <v>0</v>
      </c>
      <c r="W420" s="1">
        <f t="shared" si="121"/>
        <v>0</v>
      </c>
      <c r="X420" s="1">
        <f t="shared" si="122"/>
        <v>1</v>
      </c>
      <c r="Y420" s="1">
        <f t="shared" si="123"/>
        <v>0</v>
      </c>
      <c r="Z420" s="1">
        <f t="shared" si="124"/>
        <v>0</v>
      </c>
      <c r="AA420" s="1">
        <f t="shared" si="125"/>
        <v>0</v>
      </c>
      <c r="AB420" s="1">
        <f t="shared" si="126"/>
        <v>0</v>
      </c>
      <c r="AD420" s="1">
        <f t="shared" si="127"/>
        <v>0</v>
      </c>
      <c r="AE420" s="1">
        <f t="shared" si="128"/>
        <v>1</v>
      </c>
      <c r="AF420" s="1">
        <f t="shared" si="129"/>
        <v>0</v>
      </c>
      <c r="AG420" s="1">
        <f t="shared" si="130"/>
        <v>1</v>
      </c>
      <c r="AH420" s="1">
        <f t="shared" si="131"/>
        <v>0</v>
      </c>
      <c r="AI420" s="1">
        <f t="shared" si="132"/>
        <v>1</v>
      </c>
    </row>
    <row r="421" spans="1:35" s="1" customFormat="1" ht="14.25" customHeight="1" x14ac:dyDescent="0.25">
      <c r="A421" s="31">
        <v>1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215</v>
      </c>
      <c r="G421" s="32" t="s">
        <v>39</v>
      </c>
      <c r="H421" s="32" t="s">
        <v>352</v>
      </c>
      <c r="I421" s="31" t="s">
        <v>30</v>
      </c>
      <c r="J421" s="31">
        <v>99</v>
      </c>
      <c r="K421" s="33" t="s">
        <v>703</v>
      </c>
      <c r="L421" s="33" t="s">
        <v>704</v>
      </c>
      <c r="M421" s="34" t="s">
        <v>722</v>
      </c>
      <c r="N421" s="34" t="s">
        <v>1723</v>
      </c>
      <c r="O421" s="35">
        <v>1</v>
      </c>
      <c r="P421" s="35"/>
      <c r="Q421" s="32"/>
      <c r="S421" s="1">
        <f t="shared" si="117"/>
        <v>0</v>
      </c>
      <c r="T421" s="1">
        <f t="shared" si="118"/>
        <v>0</v>
      </c>
      <c r="U421" s="1">
        <f t="shared" si="119"/>
        <v>0</v>
      </c>
      <c r="V421" s="1">
        <f t="shared" si="120"/>
        <v>0</v>
      </c>
      <c r="W421" s="1">
        <f t="shared" si="121"/>
        <v>0</v>
      </c>
      <c r="X421" s="1">
        <f t="shared" si="122"/>
        <v>0</v>
      </c>
      <c r="Y421" s="1">
        <f t="shared" si="123"/>
        <v>0</v>
      </c>
      <c r="Z421" s="1">
        <f t="shared" si="124"/>
        <v>0</v>
      </c>
      <c r="AA421" s="1">
        <f t="shared" si="125"/>
        <v>0</v>
      </c>
      <c r="AB421" s="1">
        <f t="shared" si="126"/>
        <v>0</v>
      </c>
      <c r="AD421" s="1">
        <f t="shared" si="127"/>
        <v>0</v>
      </c>
      <c r="AE421" s="1">
        <f t="shared" si="128"/>
        <v>1</v>
      </c>
      <c r="AF421" s="1">
        <f t="shared" si="129"/>
        <v>0</v>
      </c>
      <c r="AG421" s="1">
        <f t="shared" si="130"/>
        <v>0</v>
      </c>
      <c r="AH421" s="1">
        <f t="shared" si="131"/>
        <v>0</v>
      </c>
      <c r="AI421" s="1">
        <f t="shared" si="132"/>
        <v>0</v>
      </c>
    </row>
    <row r="422" spans="1:35" s="1" customFormat="1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214</v>
      </c>
      <c r="G422" s="32" t="s">
        <v>39</v>
      </c>
      <c r="H422" s="32" t="s">
        <v>352</v>
      </c>
      <c r="I422" s="31" t="s">
        <v>392</v>
      </c>
      <c r="J422" s="31">
        <v>99</v>
      </c>
      <c r="K422" s="33" t="s">
        <v>703</v>
      </c>
      <c r="L422" s="33" t="s">
        <v>704</v>
      </c>
      <c r="M422" s="34" t="s">
        <v>722</v>
      </c>
      <c r="N422" s="34" t="s">
        <v>1723</v>
      </c>
      <c r="O422" s="35">
        <v>1</v>
      </c>
      <c r="P422" s="35"/>
      <c r="Q422" s="32"/>
      <c r="S422" s="1">
        <f t="shared" si="117"/>
        <v>0</v>
      </c>
      <c r="T422" s="1">
        <f t="shared" si="118"/>
        <v>0</v>
      </c>
      <c r="U422" s="1">
        <f t="shared" si="119"/>
        <v>0</v>
      </c>
      <c r="V422" s="1">
        <f t="shared" si="120"/>
        <v>0</v>
      </c>
      <c r="W422" s="1">
        <f t="shared" si="121"/>
        <v>0</v>
      </c>
      <c r="X422" s="1">
        <f t="shared" si="122"/>
        <v>0</v>
      </c>
      <c r="Y422" s="1">
        <f t="shared" si="123"/>
        <v>0</v>
      </c>
      <c r="Z422" s="1">
        <f t="shared" si="124"/>
        <v>0</v>
      </c>
      <c r="AA422" s="1">
        <f t="shared" si="125"/>
        <v>0</v>
      </c>
      <c r="AB422" s="1">
        <f t="shared" si="126"/>
        <v>0</v>
      </c>
      <c r="AD422" s="1">
        <f t="shared" si="127"/>
        <v>0</v>
      </c>
      <c r="AE422" s="1">
        <f t="shared" si="128"/>
        <v>1</v>
      </c>
      <c r="AF422" s="1">
        <f t="shared" si="129"/>
        <v>0</v>
      </c>
      <c r="AG422" s="1">
        <f t="shared" si="130"/>
        <v>0</v>
      </c>
      <c r="AH422" s="1">
        <f t="shared" si="131"/>
        <v>0</v>
      </c>
      <c r="AI422" s="1">
        <f t="shared" si="132"/>
        <v>0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216</v>
      </c>
      <c r="G423" s="32" t="s">
        <v>217</v>
      </c>
      <c r="H423" s="32" t="s">
        <v>352</v>
      </c>
      <c r="I423" s="31" t="s">
        <v>393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1723</v>
      </c>
      <c r="O423" s="35">
        <v>1</v>
      </c>
      <c r="P423" s="35"/>
      <c r="Q423" s="32"/>
      <c r="S423" s="1">
        <f t="shared" si="117"/>
        <v>0</v>
      </c>
      <c r="T423" s="1">
        <f t="shared" si="118"/>
        <v>0</v>
      </c>
      <c r="U423" s="1">
        <f t="shared" si="119"/>
        <v>0</v>
      </c>
      <c r="V423" s="1">
        <f t="shared" si="120"/>
        <v>0</v>
      </c>
      <c r="W423" s="1">
        <f t="shared" si="121"/>
        <v>0</v>
      </c>
      <c r="X423" s="1">
        <f t="shared" si="122"/>
        <v>0</v>
      </c>
      <c r="Y423" s="1">
        <f t="shared" si="123"/>
        <v>0</v>
      </c>
      <c r="Z423" s="1">
        <f t="shared" si="124"/>
        <v>0</v>
      </c>
      <c r="AA423" s="1">
        <f t="shared" si="125"/>
        <v>0</v>
      </c>
      <c r="AB423" s="1">
        <f t="shared" si="126"/>
        <v>0</v>
      </c>
      <c r="AD423" s="1">
        <f t="shared" si="127"/>
        <v>0</v>
      </c>
      <c r="AE423" s="1">
        <f t="shared" si="128"/>
        <v>1</v>
      </c>
      <c r="AF423" s="1">
        <f t="shared" si="129"/>
        <v>0</v>
      </c>
      <c r="AG423" s="1">
        <f t="shared" si="130"/>
        <v>0</v>
      </c>
      <c r="AH423" s="1">
        <f t="shared" si="131"/>
        <v>0</v>
      </c>
      <c r="AI423" s="1">
        <f t="shared" si="132"/>
        <v>0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6" t="s">
        <v>2007</v>
      </c>
      <c r="E424" s="36" t="s">
        <v>155</v>
      </c>
      <c r="F424" s="36" t="s">
        <v>2008</v>
      </c>
      <c r="G424" s="36" t="s">
        <v>219</v>
      </c>
      <c r="H424" s="36" t="s">
        <v>352</v>
      </c>
      <c r="I424" s="37" t="s">
        <v>2009</v>
      </c>
      <c r="J424" s="31">
        <v>99</v>
      </c>
      <c r="K424" s="33" t="s">
        <v>694</v>
      </c>
      <c r="L424" s="33">
        <v>10</v>
      </c>
      <c r="M424" s="34" t="s">
        <v>2010</v>
      </c>
      <c r="N424" s="34" t="s">
        <v>1710</v>
      </c>
      <c r="O424" s="35">
        <v>1</v>
      </c>
      <c r="P424" s="35"/>
      <c r="Q424" s="32"/>
      <c r="S424" s="1">
        <f t="shared" si="117"/>
        <v>0</v>
      </c>
      <c r="T424" s="1">
        <f t="shared" si="118"/>
        <v>0</v>
      </c>
      <c r="U424" s="1">
        <f t="shared" si="119"/>
        <v>0</v>
      </c>
      <c r="V424" s="1">
        <f t="shared" si="120"/>
        <v>0</v>
      </c>
      <c r="W424" s="1">
        <f t="shared" si="121"/>
        <v>0</v>
      </c>
      <c r="X424" s="1">
        <f t="shared" si="122"/>
        <v>0</v>
      </c>
      <c r="Y424" s="1">
        <f t="shared" si="123"/>
        <v>0</v>
      </c>
      <c r="Z424" s="1">
        <f t="shared" si="124"/>
        <v>0</v>
      </c>
      <c r="AA424" s="1">
        <f t="shared" si="125"/>
        <v>0</v>
      </c>
      <c r="AB424" s="1">
        <f t="shared" si="126"/>
        <v>0</v>
      </c>
      <c r="AD424" s="1">
        <f t="shared" si="127"/>
        <v>0</v>
      </c>
      <c r="AE424" s="1">
        <f t="shared" si="128"/>
        <v>1</v>
      </c>
      <c r="AF424" s="1">
        <f t="shared" si="129"/>
        <v>0</v>
      </c>
      <c r="AG424" s="1">
        <f t="shared" si="130"/>
        <v>1</v>
      </c>
      <c r="AH424" s="1">
        <f t="shared" si="131"/>
        <v>0</v>
      </c>
      <c r="AI424" s="1">
        <f t="shared" si="132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6" t="s">
        <v>68</v>
      </c>
      <c r="E425" s="36" t="s">
        <v>28</v>
      </c>
      <c r="F425" s="36" t="s">
        <v>252</v>
      </c>
      <c r="G425" s="36" t="s">
        <v>253</v>
      </c>
      <c r="H425" s="36" t="s">
        <v>352</v>
      </c>
      <c r="I425" s="37" t="s">
        <v>412</v>
      </c>
      <c r="J425" s="31">
        <v>99</v>
      </c>
      <c r="K425" s="33" t="s">
        <v>704</v>
      </c>
      <c r="L425" s="33" t="s">
        <v>704</v>
      </c>
      <c r="M425" s="34" t="s">
        <v>722</v>
      </c>
      <c r="N425" s="34" t="s">
        <v>1786</v>
      </c>
      <c r="O425" s="35">
        <v>1</v>
      </c>
      <c r="P425" s="35"/>
      <c r="Q425" s="32"/>
      <c r="S425" s="1">
        <f t="shared" si="117"/>
        <v>0</v>
      </c>
      <c r="T425" s="1">
        <f t="shared" si="118"/>
        <v>0</v>
      </c>
      <c r="U425" s="1">
        <f t="shared" si="119"/>
        <v>0</v>
      </c>
      <c r="V425" s="1">
        <f t="shared" si="120"/>
        <v>0</v>
      </c>
      <c r="W425" s="1">
        <f t="shared" si="121"/>
        <v>0</v>
      </c>
      <c r="X425" s="1">
        <f t="shared" si="122"/>
        <v>0</v>
      </c>
      <c r="Y425" s="1">
        <f t="shared" si="123"/>
        <v>0</v>
      </c>
      <c r="Z425" s="1">
        <f t="shared" si="124"/>
        <v>0</v>
      </c>
      <c r="AA425" s="1">
        <f t="shared" si="125"/>
        <v>0</v>
      </c>
      <c r="AB425" s="1">
        <f t="shared" si="126"/>
        <v>0</v>
      </c>
      <c r="AD425" s="1">
        <f t="shared" si="127"/>
        <v>0</v>
      </c>
      <c r="AE425" s="1">
        <f t="shared" si="128"/>
        <v>1</v>
      </c>
      <c r="AF425" s="1">
        <f t="shared" si="129"/>
        <v>0</v>
      </c>
      <c r="AG425" s="1">
        <f t="shared" si="130"/>
        <v>1</v>
      </c>
      <c r="AH425" s="1">
        <f t="shared" si="131"/>
        <v>0</v>
      </c>
      <c r="AI425" s="1">
        <f t="shared" si="132"/>
        <v>1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2" t="s">
        <v>1971</v>
      </c>
      <c r="E426" s="32" t="s">
        <v>28</v>
      </c>
      <c r="F426" s="32" t="s">
        <v>1973</v>
      </c>
      <c r="G426" s="32" t="s">
        <v>1085</v>
      </c>
      <c r="H426" s="32" t="s">
        <v>352</v>
      </c>
      <c r="I426" s="31" t="s">
        <v>1974</v>
      </c>
      <c r="J426" s="31">
        <v>1</v>
      </c>
      <c r="K426" s="33" t="s">
        <v>694</v>
      </c>
      <c r="L426" s="33"/>
      <c r="M426" s="34"/>
      <c r="N426" s="34" t="s">
        <v>1693</v>
      </c>
      <c r="O426" s="35">
        <v>1</v>
      </c>
      <c r="P426" s="35">
        <v>1</v>
      </c>
      <c r="Q426" s="32" t="s">
        <v>1976</v>
      </c>
      <c r="S426" s="1">
        <f t="shared" si="117"/>
        <v>1</v>
      </c>
      <c r="T426" s="1">
        <f t="shared" si="118"/>
        <v>0</v>
      </c>
      <c r="U426" s="1">
        <f t="shared" si="119"/>
        <v>0</v>
      </c>
      <c r="V426" s="1">
        <f t="shared" si="120"/>
        <v>0</v>
      </c>
      <c r="W426" s="1">
        <f t="shared" si="121"/>
        <v>0</v>
      </c>
      <c r="X426" s="1">
        <f t="shared" si="122"/>
        <v>0</v>
      </c>
      <c r="Y426" s="1">
        <f t="shared" si="123"/>
        <v>0</v>
      </c>
      <c r="Z426" s="1">
        <f t="shared" si="124"/>
        <v>0</v>
      </c>
      <c r="AA426" s="1">
        <f t="shared" si="125"/>
        <v>0</v>
      </c>
      <c r="AB426" s="1">
        <f t="shared" si="126"/>
        <v>0</v>
      </c>
      <c r="AD426" s="1">
        <f t="shared" si="127"/>
        <v>1</v>
      </c>
      <c r="AE426" s="1">
        <f t="shared" si="128"/>
        <v>0</v>
      </c>
      <c r="AF426" s="1">
        <f t="shared" si="129"/>
        <v>1</v>
      </c>
      <c r="AG426" s="1">
        <f t="shared" si="130"/>
        <v>0</v>
      </c>
      <c r="AH426" s="1">
        <f t="shared" si="131"/>
        <v>1</v>
      </c>
      <c r="AI426" s="1">
        <f t="shared" si="132"/>
        <v>0</v>
      </c>
    </row>
    <row r="427" spans="1:35" s="1" customFormat="1" ht="14.25" customHeight="1" x14ac:dyDescent="0.25">
      <c r="A427" s="31">
        <v>1</v>
      </c>
      <c r="B427" s="31">
        <v>2</v>
      </c>
      <c r="C427" s="31">
        <v>7</v>
      </c>
      <c r="D427" s="32" t="s">
        <v>1971</v>
      </c>
      <c r="E427" s="32" t="s">
        <v>28</v>
      </c>
      <c r="F427" s="32" t="s">
        <v>1972</v>
      </c>
      <c r="G427" s="36" t="s">
        <v>1978</v>
      </c>
      <c r="H427" s="32" t="s">
        <v>352</v>
      </c>
      <c r="I427" s="31" t="s">
        <v>1975</v>
      </c>
      <c r="J427" s="31">
        <v>8</v>
      </c>
      <c r="K427" s="33" t="s">
        <v>694</v>
      </c>
      <c r="L427" s="33"/>
      <c r="M427" s="34"/>
      <c r="N427" s="34" t="s">
        <v>1693</v>
      </c>
      <c r="O427" s="35">
        <v>1</v>
      </c>
      <c r="P427" s="35">
        <v>1</v>
      </c>
      <c r="Q427" s="32" t="s">
        <v>1977</v>
      </c>
      <c r="S427" s="1">
        <f t="shared" si="117"/>
        <v>0</v>
      </c>
      <c r="T427" s="1">
        <f t="shared" si="118"/>
        <v>0</v>
      </c>
      <c r="U427" s="1">
        <f t="shared" si="119"/>
        <v>0</v>
      </c>
      <c r="V427" s="1">
        <f t="shared" si="120"/>
        <v>0</v>
      </c>
      <c r="W427" s="1">
        <f t="shared" si="121"/>
        <v>0</v>
      </c>
      <c r="X427" s="1">
        <f t="shared" si="122"/>
        <v>0</v>
      </c>
      <c r="Y427" s="1">
        <f t="shared" si="123"/>
        <v>0</v>
      </c>
      <c r="Z427" s="1">
        <f t="shared" si="124"/>
        <v>1</v>
      </c>
      <c r="AA427" s="1">
        <f t="shared" si="125"/>
        <v>0</v>
      </c>
      <c r="AB427" s="1">
        <f t="shared" si="126"/>
        <v>0</v>
      </c>
      <c r="AD427" s="1">
        <f t="shared" si="127"/>
        <v>1</v>
      </c>
      <c r="AE427" s="1">
        <f t="shared" si="128"/>
        <v>0</v>
      </c>
      <c r="AF427" s="1">
        <f t="shared" si="129"/>
        <v>0</v>
      </c>
      <c r="AG427" s="1">
        <f t="shared" si="130"/>
        <v>0</v>
      </c>
      <c r="AH427" s="1">
        <f t="shared" si="131"/>
        <v>0</v>
      </c>
      <c r="AI427" s="1">
        <f t="shared" si="132"/>
        <v>0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69</v>
      </c>
      <c r="E428" s="32" t="s">
        <v>28</v>
      </c>
      <c r="F428" s="32" t="s">
        <v>254</v>
      </c>
      <c r="G428" s="36" t="s">
        <v>206</v>
      </c>
      <c r="H428" s="32" t="s">
        <v>352</v>
      </c>
      <c r="I428" s="31" t="s">
        <v>413</v>
      </c>
      <c r="J428" s="31">
        <v>99</v>
      </c>
      <c r="K428" s="33" t="s">
        <v>936</v>
      </c>
      <c r="L428" s="33" t="s">
        <v>704</v>
      </c>
      <c r="M428" s="34" t="s">
        <v>722</v>
      </c>
      <c r="N428" s="34" t="s">
        <v>1699</v>
      </c>
      <c r="O428" s="35">
        <v>1</v>
      </c>
      <c r="P428" s="35">
        <v>1</v>
      </c>
      <c r="Q428" s="32"/>
      <c r="S428" s="1">
        <f t="shared" si="117"/>
        <v>0</v>
      </c>
      <c r="T428" s="1">
        <f t="shared" si="118"/>
        <v>0</v>
      </c>
      <c r="U428" s="1">
        <f t="shared" si="119"/>
        <v>0</v>
      </c>
      <c r="V428" s="1">
        <f t="shared" si="120"/>
        <v>0</v>
      </c>
      <c r="W428" s="1">
        <f t="shared" si="121"/>
        <v>0</v>
      </c>
      <c r="X428" s="1">
        <f t="shared" si="122"/>
        <v>0</v>
      </c>
      <c r="Y428" s="1">
        <f t="shared" si="123"/>
        <v>0</v>
      </c>
      <c r="Z428" s="1">
        <f t="shared" si="124"/>
        <v>0</v>
      </c>
      <c r="AA428" s="1">
        <f t="shared" si="125"/>
        <v>0</v>
      </c>
      <c r="AB428" s="1">
        <f t="shared" si="126"/>
        <v>0</v>
      </c>
      <c r="AD428" s="1">
        <f t="shared" si="127"/>
        <v>1</v>
      </c>
      <c r="AE428" s="1">
        <f t="shared" si="128"/>
        <v>0</v>
      </c>
      <c r="AF428" s="1">
        <f t="shared" si="129"/>
        <v>1</v>
      </c>
      <c r="AG428" s="1">
        <f t="shared" si="130"/>
        <v>0</v>
      </c>
      <c r="AH428" s="1">
        <f t="shared" si="131"/>
        <v>1</v>
      </c>
      <c r="AI428" s="1">
        <f t="shared" si="132"/>
        <v>0</v>
      </c>
    </row>
    <row r="429" spans="1:35" s="1" customFormat="1" ht="14.25" customHeight="1" x14ac:dyDescent="0.25">
      <c r="A429" s="31">
        <v>1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1835</v>
      </c>
      <c r="G429" s="36" t="s">
        <v>255</v>
      </c>
      <c r="H429" s="32" t="s">
        <v>352</v>
      </c>
      <c r="I429" s="31" t="s">
        <v>414</v>
      </c>
      <c r="J429" s="31">
        <v>99</v>
      </c>
      <c r="K429" s="33" t="s">
        <v>936</v>
      </c>
      <c r="L429" s="33" t="s">
        <v>704</v>
      </c>
      <c r="M429" s="34" t="s">
        <v>722</v>
      </c>
      <c r="N429" s="34" t="s">
        <v>1699</v>
      </c>
      <c r="O429" s="35">
        <v>1</v>
      </c>
      <c r="P429" s="35">
        <v>1</v>
      </c>
      <c r="Q429" s="32"/>
      <c r="S429" s="1">
        <f t="shared" si="117"/>
        <v>0</v>
      </c>
      <c r="T429" s="1">
        <f t="shared" si="118"/>
        <v>0</v>
      </c>
      <c r="U429" s="1">
        <f t="shared" si="119"/>
        <v>0</v>
      </c>
      <c r="V429" s="1">
        <f t="shared" si="120"/>
        <v>0</v>
      </c>
      <c r="W429" s="1">
        <f t="shared" si="121"/>
        <v>0</v>
      </c>
      <c r="X429" s="1">
        <f t="shared" si="122"/>
        <v>0</v>
      </c>
      <c r="Y429" s="1">
        <f t="shared" si="123"/>
        <v>0</v>
      </c>
      <c r="Z429" s="1">
        <f t="shared" si="124"/>
        <v>0</v>
      </c>
      <c r="AA429" s="1">
        <f t="shared" si="125"/>
        <v>0</v>
      </c>
      <c r="AB429" s="1">
        <f t="shared" si="126"/>
        <v>0</v>
      </c>
      <c r="AD429" s="1">
        <f t="shared" si="127"/>
        <v>1</v>
      </c>
      <c r="AE429" s="1">
        <f t="shared" si="128"/>
        <v>0</v>
      </c>
      <c r="AF429" s="1">
        <f t="shared" si="129"/>
        <v>0</v>
      </c>
      <c r="AG429" s="1">
        <f t="shared" si="130"/>
        <v>0</v>
      </c>
      <c r="AH429" s="1">
        <f t="shared" si="131"/>
        <v>0</v>
      </c>
      <c r="AI429" s="1">
        <f t="shared" si="132"/>
        <v>0</v>
      </c>
    </row>
    <row r="430" spans="1:35" s="1" customFormat="1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563</v>
      </c>
      <c r="G430" s="36" t="s">
        <v>564</v>
      </c>
      <c r="H430" s="32" t="s">
        <v>352</v>
      </c>
      <c r="I430" s="31" t="s">
        <v>572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17"/>
        <v>0</v>
      </c>
      <c r="T430" s="1">
        <f t="shared" si="118"/>
        <v>0</v>
      </c>
      <c r="U430" s="1">
        <f t="shared" si="119"/>
        <v>0</v>
      </c>
      <c r="V430" s="1">
        <f t="shared" si="120"/>
        <v>0</v>
      </c>
      <c r="W430" s="1">
        <f t="shared" si="121"/>
        <v>0</v>
      </c>
      <c r="X430" s="1">
        <f t="shared" si="122"/>
        <v>0</v>
      </c>
      <c r="Y430" s="1">
        <f t="shared" si="123"/>
        <v>0</v>
      </c>
      <c r="Z430" s="1">
        <f t="shared" si="124"/>
        <v>0</v>
      </c>
      <c r="AA430" s="1">
        <f t="shared" si="125"/>
        <v>0</v>
      </c>
      <c r="AB430" s="1">
        <f t="shared" si="126"/>
        <v>0</v>
      </c>
      <c r="AD430" s="1">
        <f t="shared" si="127"/>
        <v>1</v>
      </c>
      <c r="AE430" s="1">
        <f t="shared" si="128"/>
        <v>0</v>
      </c>
      <c r="AF430" s="1">
        <f t="shared" si="129"/>
        <v>0</v>
      </c>
      <c r="AG430" s="1">
        <f t="shared" si="130"/>
        <v>0</v>
      </c>
      <c r="AH430" s="1">
        <f t="shared" si="131"/>
        <v>0</v>
      </c>
      <c r="AI430" s="1">
        <f t="shared" si="132"/>
        <v>0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71</v>
      </c>
      <c r="E431" s="45" t="s">
        <v>28</v>
      </c>
      <c r="F431" s="45" t="s">
        <v>1322</v>
      </c>
      <c r="G431" s="45" t="s">
        <v>258</v>
      </c>
      <c r="H431" s="45" t="s">
        <v>352</v>
      </c>
      <c r="I431" s="44" t="s">
        <v>416</v>
      </c>
      <c r="J431" s="44">
        <v>99</v>
      </c>
      <c r="K431" s="46" t="s">
        <v>704</v>
      </c>
      <c r="L431" s="46" t="s">
        <v>704</v>
      </c>
      <c r="M431" s="47" t="s">
        <v>722</v>
      </c>
      <c r="N431" s="47" t="s">
        <v>1763</v>
      </c>
      <c r="O431" s="48"/>
      <c r="P431" s="48"/>
      <c r="Q431" s="45"/>
      <c r="S431" s="1">
        <f t="shared" si="117"/>
        <v>0</v>
      </c>
      <c r="T431" s="1">
        <f t="shared" si="118"/>
        <v>0</v>
      </c>
      <c r="U431" s="1">
        <f t="shared" si="119"/>
        <v>0</v>
      </c>
      <c r="V431" s="1">
        <f t="shared" si="120"/>
        <v>0</v>
      </c>
      <c r="W431" s="1">
        <f t="shared" si="121"/>
        <v>0</v>
      </c>
      <c r="X431" s="1">
        <f t="shared" si="122"/>
        <v>0</v>
      </c>
      <c r="Y431" s="1">
        <f t="shared" si="123"/>
        <v>0</v>
      </c>
      <c r="Z431" s="1">
        <f t="shared" si="124"/>
        <v>0</v>
      </c>
      <c r="AA431" s="1">
        <f t="shared" si="125"/>
        <v>0</v>
      </c>
      <c r="AB431" s="1">
        <f t="shared" si="126"/>
        <v>0</v>
      </c>
      <c r="AD431" s="1">
        <f t="shared" si="127"/>
        <v>0</v>
      </c>
      <c r="AE431" s="1">
        <f t="shared" si="128"/>
        <v>0</v>
      </c>
      <c r="AF431" s="1">
        <f t="shared" si="129"/>
        <v>0</v>
      </c>
      <c r="AG431" s="1">
        <f t="shared" si="130"/>
        <v>0</v>
      </c>
      <c r="AH431" s="1">
        <f t="shared" si="131"/>
        <v>0</v>
      </c>
      <c r="AI431" s="1">
        <f t="shared" si="132"/>
        <v>1</v>
      </c>
    </row>
    <row r="432" spans="1:35" s="1" customFormat="1" ht="14.25" customHeight="1" x14ac:dyDescent="0.25">
      <c r="A432" s="44">
        <v>0</v>
      </c>
      <c r="B432" s="44">
        <v>2</v>
      </c>
      <c r="C432" s="44">
        <v>7</v>
      </c>
      <c r="D432" s="45" t="s">
        <v>1043</v>
      </c>
      <c r="E432" s="45" t="s">
        <v>28</v>
      </c>
      <c r="F432" s="45" t="s">
        <v>1044</v>
      </c>
      <c r="G432" s="45" t="s">
        <v>1045</v>
      </c>
      <c r="H432" s="45" t="s">
        <v>352</v>
      </c>
      <c r="I432" s="44" t="s">
        <v>1046</v>
      </c>
      <c r="J432" s="44">
        <v>99</v>
      </c>
      <c r="K432" s="46" t="s">
        <v>704</v>
      </c>
      <c r="L432" s="46" t="s">
        <v>704</v>
      </c>
      <c r="M432" s="47" t="s">
        <v>722</v>
      </c>
      <c r="N432" s="47" t="s">
        <v>1763</v>
      </c>
      <c r="O432" s="48"/>
      <c r="P432" s="48"/>
      <c r="Q432" s="45"/>
      <c r="S432" s="1">
        <f t="shared" si="117"/>
        <v>0</v>
      </c>
      <c r="T432" s="1">
        <f t="shared" si="118"/>
        <v>0</v>
      </c>
      <c r="U432" s="1">
        <f t="shared" si="119"/>
        <v>0</v>
      </c>
      <c r="V432" s="1">
        <f t="shared" si="120"/>
        <v>0</v>
      </c>
      <c r="W432" s="1">
        <f t="shared" si="121"/>
        <v>0</v>
      </c>
      <c r="X432" s="1">
        <f t="shared" si="122"/>
        <v>0</v>
      </c>
      <c r="Y432" s="1">
        <f t="shared" si="123"/>
        <v>0</v>
      </c>
      <c r="Z432" s="1">
        <f t="shared" si="124"/>
        <v>0</v>
      </c>
      <c r="AA432" s="1">
        <f t="shared" si="125"/>
        <v>0</v>
      </c>
      <c r="AB432" s="1">
        <f t="shared" si="126"/>
        <v>0</v>
      </c>
      <c r="AD432" s="1">
        <f t="shared" si="127"/>
        <v>0</v>
      </c>
      <c r="AE432" s="1">
        <f t="shared" si="128"/>
        <v>0</v>
      </c>
      <c r="AF432" s="1">
        <f t="shared" si="129"/>
        <v>0</v>
      </c>
      <c r="AG432" s="1">
        <f t="shared" si="130"/>
        <v>0</v>
      </c>
      <c r="AH432" s="1">
        <f t="shared" si="131"/>
        <v>0</v>
      </c>
      <c r="AI432" s="1">
        <f t="shared" si="132"/>
        <v>1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1767</v>
      </c>
      <c r="E433" s="32" t="s">
        <v>155</v>
      </c>
      <c r="F433" s="32" t="s">
        <v>1768</v>
      </c>
      <c r="G433" s="32"/>
      <c r="H433" s="32" t="s">
        <v>352</v>
      </c>
      <c r="I433" s="31" t="s">
        <v>1769</v>
      </c>
      <c r="J433" s="31">
        <v>99</v>
      </c>
      <c r="K433" s="33" t="s">
        <v>694</v>
      </c>
      <c r="L433" s="33"/>
      <c r="M433" s="34"/>
      <c r="N433" s="34" t="s">
        <v>1693</v>
      </c>
      <c r="O433" s="35">
        <v>1</v>
      </c>
      <c r="P433" s="35">
        <v>1</v>
      </c>
      <c r="Q433" s="32"/>
      <c r="S433" s="1">
        <f t="shared" si="117"/>
        <v>0</v>
      </c>
      <c r="T433" s="1">
        <f t="shared" si="118"/>
        <v>0</v>
      </c>
      <c r="U433" s="1">
        <f t="shared" si="119"/>
        <v>0</v>
      </c>
      <c r="V433" s="1">
        <f t="shared" si="120"/>
        <v>0</v>
      </c>
      <c r="W433" s="1">
        <f t="shared" si="121"/>
        <v>0</v>
      </c>
      <c r="X433" s="1">
        <f t="shared" si="122"/>
        <v>0</v>
      </c>
      <c r="Y433" s="1">
        <f t="shared" si="123"/>
        <v>0</v>
      </c>
      <c r="Z433" s="1">
        <f t="shared" si="124"/>
        <v>0</v>
      </c>
      <c r="AA433" s="1">
        <f t="shared" si="125"/>
        <v>0</v>
      </c>
      <c r="AB433" s="1">
        <f t="shared" si="126"/>
        <v>0</v>
      </c>
      <c r="AD433" s="1">
        <f t="shared" si="127"/>
        <v>1</v>
      </c>
      <c r="AE433" s="1">
        <f t="shared" si="128"/>
        <v>0</v>
      </c>
      <c r="AF433" s="1">
        <f t="shared" si="129"/>
        <v>1</v>
      </c>
      <c r="AG433" s="1">
        <f t="shared" si="130"/>
        <v>0</v>
      </c>
      <c r="AH433" s="1">
        <f t="shared" si="131"/>
        <v>1</v>
      </c>
      <c r="AI433" s="1">
        <f t="shared" si="132"/>
        <v>0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1156</v>
      </c>
      <c r="E434" s="32" t="s">
        <v>155</v>
      </c>
      <c r="F434" s="32" t="s">
        <v>1157</v>
      </c>
      <c r="G434" s="32" t="s">
        <v>291</v>
      </c>
      <c r="H434" s="32" t="s">
        <v>352</v>
      </c>
      <c r="I434" s="31" t="s">
        <v>1158</v>
      </c>
      <c r="J434" s="31">
        <v>99</v>
      </c>
      <c r="K434" s="33" t="s">
        <v>704</v>
      </c>
      <c r="L434" s="33" t="s">
        <v>713</v>
      </c>
      <c r="M434" s="34" t="s">
        <v>1404</v>
      </c>
      <c r="N434" s="34" t="s">
        <v>1710</v>
      </c>
      <c r="O434" s="35">
        <v>1</v>
      </c>
      <c r="P434" s="35"/>
      <c r="Q434" s="32"/>
      <c r="S434" s="1">
        <f t="shared" si="117"/>
        <v>0</v>
      </c>
      <c r="T434" s="1">
        <f t="shared" si="118"/>
        <v>0</v>
      </c>
      <c r="U434" s="1">
        <f t="shared" si="119"/>
        <v>0</v>
      </c>
      <c r="V434" s="1">
        <f t="shared" si="120"/>
        <v>0</v>
      </c>
      <c r="W434" s="1">
        <f t="shared" si="121"/>
        <v>0</v>
      </c>
      <c r="X434" s="1">
        <f t="shared" si="122"/>
        <v>0</v>
      </c>
      <c r="Y434" s="1">
        <f t="shared" si="123"/>
        <v>0</v>
      </c>
      <c r="Z434" s="1">
        <f t="shared" si="124"/>
        <v>0</v>
      </c>
      <c r="AA434" s="1">
        <f t="shared" si="125"/>
        <v>0</v>
      </c>
      <c r="AB434" s="1">
        <f t="shared" si="126"/>
        <v>0</v>
      </c>
      <c r="AD434" s="1">
        <f t="shared" si="127"/>
        <v>0</v>
      </c>
      <c r="AE434" s="1">
        <f t="shared" si="128"/>
        <v>1</v>
      </c>
      <c r="AF434" s="1">
        <f t="shared" si="129"/>
        <v>0</v>
      </c>
      <c r="AG434" s="1">
        <f t="shared" si="130"/>
        <v>1</v>
      </c>
      <c r="AH434" s="1">
        <f t="shared" si="131"/>
        <v>0</v>
      </c>
      <c r="AI434" s="1">
        <f t="shared" si="132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6" t="s">
        <v>2136</v>
      </c>
      <c r="E435" s="32" t="s">
        <v>155</v>
      </c>
      <c r="F435" s="32" t="s">
        <v>1961</v>
      </c>
      <c r="G435" s="32" t="s">
        <v>281</v>
      </c>
      <c r="H435" s="32" t="s">
        <v>352</v>
      </c>
      <c r="I435" s="31" t="s">
        <v>1962</v>
      </c>
      <c r="J435" s="31">
        <v>99</v>
      </c>
      <c r="K435" s="33" t="s">
        <v>694</v>
      </c>
      <c r="L435" s="33" t="s">
        <v>713</v>
      </c>
      <c r="M435" s="34" t="s">
        <v>723</v>
      </c>
      <c r="N435" s="34" t="s">
        <v>1693</v>
      </c>
      <c r="O435" s="35">
        <v>1</v>
      </c>
      <c r="P435" s="35">
        <v>1</v>
      </c>
      <c r="Q435" s="32"/>
      <c r="S435" s="1">
        <f t="shared" si="117"/>
        <v>0</v>
      </c>
      <c r="T435" s="1">
        <f t="shared" si="118"/>
        <v>0</v>
      </c>
      <c r="U435" s="1">
        <f t="shared" si="119"/>
        <v>0</v>
      </c>
      <c r="V435" s="1">
        <f t="shared" si="120"/>
        <v>0</v>
      </c>
      <c r="W435" s="1">
        <f t="shared" si="121"/>
        <v>0</v>
      </c>
      <c r="X435" s="1">
        <f t="shared" si="122"/>
        <v>0</v>
      </c>
      <c r="Y435" s="1">
        <f t="shared" si="123"/>
        <v>0</v>
      </c>
      <c r="Z435" s="1">
        <f t="shared" si="124"/>
        <v>0</v>
      </c>
      <c r="AA435" s="1">
        <f t="shared" si="125"/>
        <v>0</v>
      </c>
      <c r="AB435" s="1">
        <f t="shared" si="126"/>
        <v>0</v>
      </c>
      <c r="AD435" s="1">
        <f t="shared" si="127"/>
        <v>1</v>
      </c>
      <c r="AE435" s="1">
        <f t="shared" si="128"/>
        <v>0</v>
      </c>
      <c r="AF435" s="1">
        <f t="shared" si="129"/>
        <v>1</v>
      </c>
      <c r="AG435" s="1">
        <f t="shared" si="130"/>
        <v>0</v>
      </c>
      <c r="AH435" s="1">
        <f t="shared" si="131"/>
        <v>1</v>
      </c>
      <c r="AI435" s="1">
        <f t="shared" si="132"/>
        <v>0</v>
      </c>
    </row>
    <row r="436" spans="1:35" s="1" customFormat="1" ht="14.25" customHeight="1" x14ac:dyDescent="0.25">
      <c r="A436" s="31">
        <v>1</v>
      </c>
      <c r="B436" s="31">
        <v>2</v>
      </c>
      <c r="C436" s="31">
        <v>7</v>
      </c>
      <c r="D436" s="36" t="s">
        <v>2136</v>
      </c>
      <c r="E436" s="32" t="s">
        <v>155</v>
      </c>
      <c r="F436" s="32" t="s">
        <v>1963</v>
      </c>
      <c r="G436" s="32" t="s">
        <v>1964</v>
      </c>
      <c r="H436" s="32" t="s">
        <v>352</v>
      </c>
      <c r="I436" s="31" t="s">
        <v>1965</v>
      </c>
      <c r="J436" s="31">
        <v>99</v>
      </c>
      <c r="K436" s="33" t="s">
        <v>694</v>
      </c>
      <c r="L436" s="33" t="s">
        <v>713</v>
      </c>
      <c r="M436" s="34" t="s">
        <v>723</v>
      </c>
      <c r="N436" s="34" t="s">
        <v>1693</v>
      </c>
      <c r="O436" s="35">
        <v>1</v>
      </c>
      <c r="P436" s="35">
        <v>1</v>
      </c>
      <c r="Q436" s="32"/>
      <c r="S436" s="1">
        <f t="shared" si="117"/>
        <v>0</v>
      </c>
      <c r="T436" s="1">
        <f t="shared" si="118"/>
        <v>0</v>
      </c>
      <c r="U436" s="1">
        <f t="shared" si="119"/>
        <v>0</v>
      </c>
      <c r="V436" s="1">
        <f t="shared" si="120"/>
        <v>0</v>
      </c>
      <c r="W436" s="1">
        <f t="shared" si="121"/>
        <v>0</v>
      </c>
      <c r="X436" s="1">
        <f t="shared" si="122"/>
        <v>0</v>
      </c>
      <c r="Y436" s="1">
        <f t="shared" si="123"/>
        <v>0</v>
      </c>
      <c r="Z436" s="1">
        <f t="shared" si="124"/>
        <v>0</v>
      </c>
      <c r="AA436" s="1">
        <f t="shared" si="125"/>
        <v>0</v>
      </c>
      <c r="AB436" s="1">
        <f t="shared" si="126"/>
        <v>0</v>
      </c>
      <c r="AD436" s="1">
        <f t="shared" si="127"/>
        <v>1</v>
      </c>
      <c r="AE436" s="1">
        <f t="shared" si="128"/>
        <v>0</v>
      </c>
      <c r="AF436" s="1">
        <f t="shared" si="129"/>
        <v>0</v>
      </c>
      <c r="AG436" s="1">
        <f t="shared" si="130"/>
        <v>0</v>
      </c>
      <c r="AH436" s="1">
        <f t="shared" si="131"/>
        <v>0</v>
      </c>
      <c r="AI436" s="1">
        <f t="shared" si="132"/>
        <v>0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1131</v>
      </c>
      <c r="E437" s="32" t="s">
        <v>1132</v>
      </c>
      <c r="F437" s="36" t="s">
        <v>1838</v>
      </c>
      <c r="G437" s="32" t="s">
        <v>620</v>
      </c>
      <c r="H437" s="32" t="s">
        <v>352</v>
      </c>
      <c r="I437" s="31" t="s">
        <v>1133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1706</v>
      </c>
      <c r="O437" s="35">
        <v>1</v>
      </c>
      <c r="P437" s="35"/>
      <c r="Q437" s="36" t="s">
        <v>1858</v>
      </c>
      <c r="S437" s="1">
        <f t="shared" si="117"/>
        <v>0</v>
      </c>
      <c r="T437" s="1">
        <f t="shared" si="118"/>
        <v>0</v>
      </c>
      <c r="U437" s="1">
        <f t="shared" si="119"/>
        <v>0</v>
      </c>
      <c r="V437" s="1">
        <f t="shared" si="120"/>
        <v>0</v>
      </c>
      <c r="W437" s="1">
        <f t="shared" si="121"/>
        <v>0</v>
      </c>
      <c r="X437" s="1">
        <f t="shared" si="122"/>
        <v>0</v>
      </c>
      <c r="Y437" s="1">
        <f t="shared" si="123"/>
        <v>0</v>
      </c>
      <c r="Z437" s="1">
        <f t="shared" si="124"/>
        <v>0</v>
      </c>
      <c r="AA437" s="1">
        <f t="shared" si="125"/>
        <v>0</v>
      </c>
      <c r="AB437" s="1">
        <f t="shared" si="126"/>
        <v>0</v>
      </c>
      <c r="AD437" s="1">
        <f t="shared" si="127"/>
        <v>0</v>
      </c>
      <c r="AE437" s="1">
        <f t="shared" si="128"/>
        <v>1</v>
      </c>
      <c r="AF437" s="1">
        <f t="shared" si="129"/>
        <v>0</v>
      </c>
      <c r="AG437" s="1">
        <f t="shared" si="130"/>
        <v>1</v>
      </c>
      <c r="AH437" s="1">
        <f t="shared" si="131"/>
        <v>0</v>
      </c>
      <c r="AI437" s="1">
        <f t="shared" si="132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538</v>
      </c>
      <c r="E438" s="32" t="s">
        <v>157</v>
      </c>
      <c r="F438" s="32" t="s">
        <v>194</v>
      </c>
      <c r="G438" s="32" t="s">
        <v>195</v>
      </c>
      <c r="H438" s="32" t="s">
        <v>352</v>
      </c>
      <c r="I438" s="31" t="s">
        <v>546</v>
      </c>
      <c r="J438" s="31">
        <v>99</v>
      </c>
      <c r="K438" s="33" t="s">
        <v>936</v>
      </c>
      <c r="L438" s="33" t="s">
        <v>687</v>
      </c>
      <c r="M438" s="34" t="s">
        <v>1406</v>
      </c>
      <c r="N438" s="34" t="s">
        <v>1710</v>
      </c>
      <c r="O438" s="35">
        <v>1</v>
      </c>
      <c r="P438" s="35"/>
      <c r="Q438" s="32"/>
      <c r="S438" s="1">
        <f t="shared" si="117"/>
        <v>0</v>
      </c>
      <c r="T438" s="1">
        <f t="shared" si="118"/>
        <v>0</v>
      </c>
      <c r="U438" s="1">
        <f t="shared" si="119"/>
        <v>0</v>
      </c>
      <c r="V438" s="1">
        <f t="shared" si="120"/>
        <v>0</v>
      </c>
      <c r="W438" s="1">
        <f t="shared" si="121"/>
        <v>0</v>
      </c>
      <c r="X438" s="1">
        <f t="shared" si="122"/>
        <v>0</v>
      </c>
      <c r="Y438" s="1">
        <f t="shared" si="123"/>
        <v>0</v>
      </c>
      <c r="Z438" s="1">
        <f t="shared" si="124"/>
        <v>0</v>
      </c>
      <c r="AA438" s="1">
        <f t="shared" si="125"/>
        <v>0</v>
      </c>
      <c r="AB438" s="1">
        <f t="shared" si="126"/>
        <v>0</v>
      </c>
      <c r="AD438" s="1">
        <f t="shared" si="127"/>
        <v>0</v>
      </c>
      <c r="AE438" s="1">
        <f t="shared" si="128"/>
        <v>1</v>
      </c>
      <c r="AF438" s="1">
        <f t="shared" si="129"/>
        <v>0</v>
      </c>
      <c r="AG438" s="1">
        <f t="shared" si="130"/>
        <v>1</v>
      </c>
      <c r="AH438" s="1">
        <f t="shared" si="131"/>
        <v>0</v>
      </c>
      <c r="AI438" s="1">
        <f t="shared" si="132"/>
        <v>1</v>
      </c>
    </row>
    <row r="439" spans="1:35" s="1" customFormat="1" ht="14.25" customHeight="1" x14ac:dyDescent="0.25">
      <c r="A439" s="44">
        <v>0</v>
      </c>
      <c r="B439" s="44">
        <v>2</v>
      </c>
      <c r="C439" s="44">
        <v>7</v>
      </c>
      <c r="D439" s="45" t="s">
        <v>46</v>
      </c>
      <c r="E439" s="45" t="s">
        <v>155</v>
      </c>
      <c r="F439" s="45" t="s">
        <v>182</v>
      </c>
      <c r="G439" s="45" t="s">
        <v>178</v>
      </c>
      <c r="H439" s="45" t="s">
        <v>352</v>
      </c>
      <c r="I439" s="44" t="s">
        <v>380</v>
      </c>
      <c r="J439" s="44">
        <v>10</v>
      </c>
      <c r="K439" s="46" t="s">
        <v>936</v>
      </c>
      <c r="L439" s="46" t="s">
        <v>713</v>
      </c>
      <c r="M439" s="47" t="s">
        <v>1404</v>
      </c>
      <c r="N439" s="47" t="s">
        <v>1770</v>
      </c>
      <c r="O439" s="48"/>
      <c r="P439" s="48"/>
      <c r="Q439" s="45"/>
      <c r="S439" s="1">
        <f t="shared" si="117"/>
        <v>0</v>
      </c>
      <c r="T439" s="1">
        <f t="shared" si="118"/>
        <v>0</v>
      </c>
      <c r="U439" s="1">
        <f t="shared" si="119"/>
        <v>0</v>
      </c>
      <c r="V439" s="1">
        <f t="shared" si="120"/>
        <v>0</v>
      </c>
      <c r="W439" s="1">
        <f t="shared" si="121"/>
        <v>0</v>
      </c>
      <c r="X439" s="1">
        <f t="shared" si="122"/>
        <v>0</v>
      </c>
      <c r="Y439" s="1">
        <f t="shared" si="123"/>
        <v>0</v>
      </c>
      <c r="Z439" s="1">
        <f t="shared" si="124"/>
        <v>0</v>
      </c>
      <c r="AA439" s="1">
        <f t="shared" si="125"/>
        <v>0</v>
      </c>
      <c r="AB439" s="1">
        <f t="shared" si="126"/>
        <v>1</v>
      </c>
      <c r="AD439" s="1">
        <f t="shared" si="127"/>
        <v>0</v>
      </c>
      <c r="AE439" s="1">
        <f t="shared" si="128"/>
        <v>0</v>
      </c>
      <c r="AF439" s="1">
        <f t="shared" si="129"/>
        <v>0</v>
      </c>
      <c r="AG439" s="1">
        <f t="shared" si="130"/>
        <v>0</v>
      </c>
      <c r="AH439" s="1">
        <f t="shared" si="131"/>
        <v>0</v>
      </c>
      <c r="AI439" s="1">
        <f t="shared" si="132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67</v>
      </c>
      <c r="E440" s="32" t="s">
        <v>28</v>
      </c>
      <c r="F440" s="32" t="s">
        <v>247</v>
      </c>
      <c r="G440" s="32" t="s">
        <v>248</v>
      </c>
      <c r="H440" s="32" t="s">
        <v>352</v>
      </c>
      <c r="I440" s="31" t="s">
        <v>409</v>
      </c>
      <c r="J440" s="31">
        <v>7</v>
      </c>
      <c r="K440" s="33" t="s">
        <v>704</v>
      </c>
      <c r="L440" s="33" t="s">
        <v>704</v>
      </c>
      <c r="M440" s="34" t="s">
        <v>722</v>
      </c>
      <c r="N440" s="34" t="s">
        <v>1711</v>
      </c>
      <c r="O440" s="35">
        <v>1</v>
      </c>
      <c r="P440" s="35"/>
      <c r="Q440" s="32"/>
      <c r="S440" s="1">
        <f t="shared" si="117"/>
        <v>0</v>
      </c>
      <c r="T440" s="1">
        <f t="shared" si="118"/>
        <v>0</v>
      </c>
      <c r="U440" s="1">
        <f t="shared" si="119"/>
        <v>0</v>
      </c>
      <c r="V440" s="1">
        <f t="shared" si="120"/>
        <v>0</v>
      </c>
      <c r="W440" s="1">
        <f t="shared" si="121"/>
        <v>0</v>
      </c>
      <c r="X440" s="1">
        <f t="shared" si="122"/>
        <v>0</v>
      </c>
      <c r="Y440" s="1">
        <f t="shared" si="123"/>
        <v>1</v>
      </c>
      <c r="Z440" s="1">
        <f t="shared" si="124"/>
        <v>0</v>
      </c>
      <c r="AA440" s="1">
        <f t="shared" si="125"/>
        <v>0</v>
      </c>
      <c r="AB440" s="1">
        <f t="shared" si="126"/>
        <v>0</v>
      </c>
      <c r="AD440" s="1">
        <f t="shared" si="127"/>
        <v>0</v>
      </c>
      <c r="AE440" s="1">
        <f t="shared" si="128"/>
        <v>1</v>
      </c>
      <c r="AF440" s="1">
        <f t="shared" si="129"/>
        <v>0</v>
      </c>
      <c r="AG440" s="1">
        <f t="shared" si="130"/>
        <v>1</v>
      </c>
      <c r="AH440" s="1">
        <f t="shared" si="131"/>
        <v>0</v>
      </c>
      <c r="AI440" s="1">
        <f t="shared" si="132"/>
        <v>1</v>
      </c>
    </row>
    <row r="441" spans="1:35" s="1" customFormat="1" ht="14.25" customHeight="1" x14ac:dyDescent="0.25">
      <c r="A441" s="31">
        <v>1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1020</v>
      </c>
      <c r="G441" s="32" t="s">
        <v>535</v>
      </c>
      <c r="H441" s="32" t="s">
        <v>352</v>
      </c>
      <c r="I441" s="31" t="s">
        <v>30</v>
      </c>
      <c r="J441" s="31">
        <v>1</v>
      </c>
      <c r="K441" s="33" t="s">
        <v>704</v>
      </c>
      <c r="L441" s="33" t="s">
        <v>704</v>
      </c>
      <c r="M441" s="34" t="s">
        <v>722</v>
      </c>
      <c r="N441" s="34" t="s">
        <v>1711</v>
      </c>
      <c r="O441" s="35">
        <v>1</v>
      </c>
      <c r="P441" s="35"/>
      <c r="Q441" s="32"/>
      <c r="S441" s="1">
        <f t="shared" si="117"/>
        <v>1</v>
      </c>
      <c r="T441" s="1">
        <f t="shared" si="118"/>
        <v>0</v>
      </c>
      <c r="U441" s="1">
        <f t="shared" si="119"/>
        <v>0</v>
      </c>
      <c r="V441" s="1">
        <f t="shared" si="120"/>
        <v>0</v>
      </c>
      <c r="W441" s="1">
        <f t="shared" si="121"/>
        <v>0</v>
      </c>
      <c r="X441" s="1">
        <f t="shared" si="122"/>
        <v>0</v>
      </c>
      <c r="Y441" s="1">
        <f t="shared" si="123"/>
        <v>0</v>
      </c>
      <c r="Z441" s="1">
        <f t="shared" si="124"/>
        <v>0</v>
      </c>
      <c r="AA441" s="1">
        <f t="shared" si="125"/>
        <v>0</v>
      </c>
      <c r="AB441" s="1">
        <f t="shared" si="126"/>
        <v>0</v>
      </c>
      <c r="AD441" s="1">
        <f t="shared" si="127"/>
        <v>0</v>
      </c>
      <c r="AE441" s="1">
        <f t="shared" si="128"/>
        <v>1</v>
      </c>
      <c r="AF441" s="1">
        <f t="shared" si="129"/>
        <v>0</v>
      </c>
      <c r="AG441" s="1">
        <f t="shared" si="130"/>
        <v>0</v>
      </c>
      <c r="AH441" s="1">
        <f t="shared" si="131"/>
        <v>0</v>
      </c>
      <c r="AI441" s="1">
        <f t="shared" si="132"/>
        <v>0</v>
      </c>
    </row>
    <row r="442" spans="1:35" s="1" customFormat="1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249</v>
      </c>
      <c r="G442" s="32" t="s">
        <v>199</v>
      </c>
      <c r="H442" s="32" t="s">
        <v>352</v>
      </c>
      <c r="I442" s="31" t="s">
        <v>410</v>
      </c>
      <c r="J442" s="31">
        <v>2</v>
      </c>
      <c r="K442" s="33" t="s">
        <v>704</v>
      </c>
      <c r="L442" s="33" t="s">
        <v>704</v>
      </c>
      <c r="M442" s="34" t="s">
        <v>722</v>
      </c>
      <c r="N442" s="34" t="s">
        <v>1711</v>
      </c>
      <c r="O442" s="35">
        <v>1</v>
      </c>
      <c r="P442" s="35"/>
      <c r="Q442" s="32"/>
      <c r="S442" s="1">
        <f t="shared" si="117"/>
        <v>0</v>
      </c>
      <c r="T442" s="1">
        <f t="shared" si="118"/>
        <v>1</v>
      </c>
      <c r="U442" s="1">
        <f t="shared" si="119"/>
        <v>0</v>
      </c>
      <c r="V442" s="1">
        <f t="shared" si="120"/>
        <v>0</v>
      </c>
      <c r="W442" s="1">
        <f t="shared" si="121"/>
        <v>0</v>
      </c>
      <c r="X442" s="1">
        <f t="shared" si="122"/>
        <v>0</v>
      </c>
      <c r="Y442" s="1">
        <f t="shared" si="123"/>
        <v>0</v>
      </c>
      <c r="Z442" s="1">
        <f t="shared" si="124"/>
        <v>0</v>
      </c>
      <c r="AA442" s="1">
        <f t="shared" si="125"/>
        <v>0</v>
      </c>
      <c r="AB442" s="1">
        <f t="shared" si="126"/>
        <v>0</v>
      </c>
      <c r="AD442" s="1">
        <f t="shared" si="127"/>
        <v>0</v>
      </c>
      <c r="AE442" s="1">
        <f t="shared" si="128"/>
        <v>1</v>
      </c>
      <c r="AF442" s="1">
        <f t="shared" si="129"/>
        <v>0</v>
      </c>
      <c r="AG442" s="1">
        <f t="shared" si="130"/>
        <v>0</v>
      </c>
      <c r="AH442" s="1">
        <f t="shared" si="131"/>
        <v>0</v>
      </c>
      <c r="AI442" s="1">
        <f t="shared" si="132"/>
        <v>0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246</v>
      </c>
      <c r="G443" s="32" t="s">
        <v>1324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1711</v>
      </c>
      <c r="O443" s="35">
        <v>1</v>
      </c>
      <c r="P443" s="35"/>
      <c r="Q443" s="32" t="s">
        <v>1877</v>
      </c>
      <c r="S443" s="1">
        <f t="shared" si="117"/>
        <v>1</v>
      </c>
      <c r="T443" s="1">
        <f t="shared" si="118"/>
        <v>0</v>
      </c>
      <c r="U443" s="1">
        <f t="shared" si="119"/>
        <v>0</v>
      </c>
      <c r="V443" s="1">
        <f t="shared" si="120"/>
        <v>0</v>
      </c>
      <c r="W443" s="1">
        <f t="shared" si="121"/>
        <v>0</v>
      </c>
      <c r="X443" s="1">
        <f t="shared" si="122"/>
        <v>0</v>
      </c>
      <c r="Y443" s="1">
        <f t="shared" si="123"/>
        <v>0</v>
      </c>
      <c r="Z443" s="1">
        <f t="shared" si="124"/>
        <v>0</v>
      </c>
      <c r="AA443" s="1">
        <f t="shared" si="125"/>
        <v>0</v>
      </c>
      <c r="AB443" s="1">
        <f t="shared" si="126"/>
        <v>0</v>
      </c>
      <c r="AD443" s="1">
        <f t="shared" si="127"/>
        <v>0</v>
      </c>
      <c r="AE443" s="1">
        <f t="shared" si="128"/>
        <v>1</v>
      </c>
      <c r="AF443" s="1">
        <f t="shared" si="129"/>
        <v>0</v>
      </c>
      <c r="AG443" s="1">
        <f t="shared" si="130"/>
        <v>0</v>
      </c>
      <c r="AH443" s="1">
        <f t="shared" si="131"/>
        <v>0</v>
      </c>
      <c r="AI443" s="1">
        <f t="shared" si="132"/>
        <v>0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251</v>
      </c>
      <c r="G444" s="32" t="s">
        <v>193</v>
      </c>
      <c r="H444" s="32" t="s">
        <v>352</v>
      </c>
      <c r="I444" s="31" t="s">
        <v>411</v>
      </c>
      <c r="J444" s="31">
        <v>9</v>
      </c>
      <c r="K444" s="33" t="s">
        <v>704</v>
      </c>
      <c r="L444" s="33" t="s">
        <v>704</v>
      </c>
      <c r="M444" s="34" t="s">
        <v>722</v>
      </c>
      <c r="N444" s="34" t="s">
        <v>1711</v>
      </c>
      <c r="O444" s="35">
        <v>1</v>
      </c>
      <c r="P444" s="35"/>
      <c r="Q444" s="32"/>
      <c r="S444" s="1">
        <f t="shared" si="117"/>
        <v>0</v>
      </c>
      <c r="T444" s="1">
        <f t="shared" si="118"/>
        <v>0</v>
      </c>
      <c r="U444" s="1">
        <f t="shared" si="119"/>
        <v>0</v>
      </c>
      <c r="V444" s="1">
        <f t="shared" si="120"/>
        <v>0</v>
      </c>
      <c r="W444" s="1">
        <f t="shared" si="121"/>
        <v>0</v>
      </c>
      <c r="X444" s="1">
        <f t="shared" si="122"/>
        <v>0</v>
      </c>
      <c r="Y444" s="1">
        <f t="shared" si="123"/>
        <v>0</v>
      </c>
      <c r="Z444" s="1">
        <f t="shared" si="124"/>
        <v>0</v>
      </c>
      <c r="AA444" s="1">
        <f t="shared" si="125"/>
        <v>1</v>
      </c>
      <c r="AB444" s="1">
        <f t="shared" si="126"/>
        <v>0</v>
      </c>
      <c r="AD444" s="1">
        <f t="shared" si="127"/>
        <v>0</v>
      </c>
      <c r="AE444" s="1">
        <f t="shared" si="128"/>
        <v>1</v>
      </c>
      <c r="AF444" s="1">
        <f t="shared" si="129"/>
        <v>0</v>
      </c>
      <c r="AG444" s="1">
        <f t="shared" si="130"/>
        <v>0</v>
      </c>
      <c r="AH444" s="1">
        <f t="shared" si="131"/>
        <v>0</v>
      </c>
      <c r="AI444" s="1">
        <f t="shared" si="132"/>
        <v>0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1004</v>
      </c>
      <c r="E445" s="32" t="s">
        <v>28</v>
      </c>
      <c r="F445" s="32" t="s">
        <v>1005</v>
      </c>
      <c r="G445" s="32" t="s">
        <v>193</v>
      </c>
      <c r="H445" s="32" t="s">
        <v>352</v>
      </c>
      <c r="I445" s="31" t="s">
        <v>1006</v>
      </c>
      <c r="J445" s="31">
        <v>9</v>
      </c>
      <c r="K445" s="33" t="s">
        <v>703</v>
      </c>
      <c r="L445" s="33" t="s">
        <v>704</v>
      </c>
      <c r="M445" s="34" t="s">
        <v>722</v>
      </c>
      <c r="N445" s="34" t="s">
        <v>1706</v>
      </c>
      <c r="O445" s="35">
        <v>1</v>
      </c>
      <c r="P445" s="35"/>
      <c r="Q445" s="32"/>
      <c r="S445" s="1">
        <f t="shared" si="117"/>
        <v>0</v>
      </c>
      <c r="T445" s="1">
        <f t="shared" si="118"/>
        <v>0</v>
      </c>
      <c r="U445" s="1">
        <f t="shared" si="119"/>
        <v>0</v>
      </c>
      <c r="V445" s="1">
        <f t="shared" si="120"/>
        <v>0</v>
      </c>
      <c r="W445" s="1">
        <f t="shared" si="121"/>
        <v>0</v>
      </c>
      <c r="X445" s="1">
        <f t="shared" si="122"/>
        <v>0</v>
      </c>
      <c r="Y445" s="1">
        <f t="shared" si="123"/>
        <v>0</v>
      </c>
      <c r="Z445" s="1">
        <f t="shared" si="124"/>
        <v>0</v>
      </c>
      <c r="AA445" s="1">
        <f t="shared" si="125"/>
        <v>1</v>
      </c>
      <c r="AB445" s="1">
        <f t="shared" si="126"/>
        <v>0</v>
      </c>
      <c r="AD445" s="1">
        <f t="shared" si="127"/>
        <v>0</v>
      </c>
      <c r="AE445" s="1">
        <f t="shared" si="128"/>
        <v>1</v>
      </c>
      <c r="AF445" s="1">
        <f t="shared" si="129"/>
        <v>0</v>
      </c>
      <c r="AG445" s="1">
        <f t="shared" si="130"/>
        <v>1</v>
      </c>
      <c r="AH445" s="1">
        <f t="shared" si="131"/>
        <v>0</v>
      </c>
      <c r="AI445" s="1">
        <f t="shared" si="132"/>
        <v>1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2" t="s">
        <v>1794</v>
      </c>
      <c r="E446" s="32" t="s">
        <v>1795</v>
      </c>
      <c r="F446" s="32" t="s">
        <v>1796</v>
      </c>
      <c r="G446" s="32" t="s">
        <v>206</v>
      </c>
      <c r="H446" s="32" t="s">
        <v>352</v>
      </c>
      <c r="I446" s="31" t="s">
        <v>30</v>
      </c>
      <c r="J446" s="31"/>
      <c r="K446" s="33" t="s">
        <v>694</v>
      </c>
      <c r="L446" s="33">
        <v>20</v>
      </c>
      <c r="M446" s="34" t="s">
        <v>1797</v>
      </c>
      <c r="N446" s="34" t="s">
        <v>1706</v>
      </c>
      <c r="O446" s="35">
        <v>1</v>
      </c>
      <c r="P446" s="35"/>
      <c r="Q446" s="32"/>
      <c r="S446" s="1">
        <f t="shared" si="117"/>
        <v>0</v>
      </c>
      <c r="T446" s="1">
        <f t="shared" si="118"/>
        <v>0</v>
      </c>
      <c r="U446" s="1">
        <f t="shared" si="119"/>
        <v>0</v>
      </c>
      <c r="V446" s="1">
        <f t="shared" si="120"/>
        <v>0</v>
      </c>
      <c r="W446" s="1">
        <f t="shared" si="121"/>
        <v>0</v>
      </c>
      <c r="X446" s="1">
        <f t="shared" si="122"/>
        <v>0</v>
      </c>
      <c r="Y446" s="1">
        <f t="shared" si="123"/>
        <v>0</v>
      </c>
      <c r="Z446" s="1">
        <f t="shared" si="124"/>
        <v>0</v>
      </c>
      <c r="AA446" s="1">
        <f t="shared" si="125"/>
        <v>0</v>
      </c>
      <c r="AB446" s="1">
        <f t="shared" si="126"/>
        <v>0</v>
      </c>
      <c r="AD446" s="1">
        <f t="shared" si="127"/>
        <v>0</v>
      </c>
      <c r="AE446" s="1">
        <f t="shared" si="128"/>
        <v>1</v>
      </c>
      <c r="AF446" s="1">
        <f t="shared" si="129"/>
        <v>0</v>
      </c>
      <c r="AG446" s="1">
        <f t="shared" si="130"/>
        <v>1</v>
      </c>
      <c r="AH446" s="1">
        <f t="shared" si="131"/>
        <v>0</v>
      </c>
      <c r="AI446" s="1">
        <f t="shared" si="132"/>
        <v>1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1060</v>
      </c>
      <c r="E447" s="32" t="s">
        <v>540</v>
      </c>
      <c r="F447" s="32" t="s">
        <v>1041</v>
      </c>
      <c r="G447" s="32" t="s">
        <v>237</v>
      </c>
      <c r="H447" s="32" t="s">
        <v>352</v>
      </c>
      <c r="I447" s="31" t="s">
        <v>1042</v>
      </c>
      <c r="J447" s="31">
        <v>99</v>
      </c>
      <c r="K447" s="33" t="s">
        <v>936</v>
      </c>
      <c r="L447" s="33" t="s">
        <v>713</v>
      </c>
      <c r="M447" s="34" t="s">
        <v>1407</v>
      </c>
      <c r="N447" s="34" t="s">
        <v>1706</v>
      </c>
      <c r="O447" s="35">
        <v>1</v>
      </c>
      <c r="P447" s="35"/>
      <c r="Q447" s="32"/>
      <c r="S447" s="1">
        <f t="shared" si="117"/>
        <v>0</v>
      </c>
      <c r="T447" s="1">
        <f t="shared" si="118"/>
        <v>0</v>
      </c>
      <c r="U447" s="1">
        <f t="shared" si="119"/>
        <v>0</v>
      </c>
      <c r="V447" s="1">
        <f t="shared" si="120"/>
        <v>0</v>
      </c>
      <c r="W447" s="1">
        <f t="shared" si="121"/>
        <v>0</v>
      </c>
      <c r="X447" s="1">
        <f t="shared" si="122"/>
        <v>0</v>
      </c>
      <c r="Y447" s="1">
        <f t="shared" si="123"/>
        <v>0</v>
      </c>
      <c r="Z447" s="1">
        <f t="shared" si="124"/>
        <v>0</v>
      </c>
      <c r="AA447" s="1">
        <f t="shared" si="125"/>
        <v>0</v>
      </c>
      <c r="AB447" s="1">
        <f t="shared" si="126"/>
        <v>0</v>
      </c>
      <c r="AD447" s="1">
        <f t="shared" si="127"/>
        <v>0</v>
      </c>
      <c r="AE447" s="1">
        <f t="shared" si="128"/>
        <v>1</v>
      </c>
      <c r="AF447" s="1">
        <f t="shared" si="129"/>
        <v>0</v>
      </c>
      <c r="AG447" s="1">
        <f t="shared" si="130"/>
        <v>1</v>
      </c>
      <c r="AH447" s="1">
        <f t="shared" si="131"/>
        <v>0</v>
      </c>
      <c r="AI447" s="1">
        <f t="shared" si="132"/>
        <v>1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1201</v>
      </c>
      <c r="E448" s="32" t="s">
        <v>155</v>
      </c>
      <c r="F448" s="32" t="s">
        <v>1202</v>
      </c>
      <c r="G448" s="32" t="s">
        <v>250</v>
      </c>
      <c r="H448" s="32" t="s">
        <v>352</v>
      </c>
      <c r="I448" s="31" t="s">
        <v>1203</v>
      </c>
      <c r="J448" s="31">
        <v>99</v>
      </c>
      <c r="K448" s="33" t="s">
        <v>704</v>
      </c>
      <c r="L448" s="33">
        <v>10</v>
      </c>
      <c r="M448" s="34" t="s">
        <v>1709</v>
      </c>
      <c r="N448" s="34" t="s">
        <v>1693</v>
      </c>
      <c r="O448" s="35">
        <v>1</v>
      </c>
      <c r="P448" s="35">
        <v>1</v>
      </c>
      <c r="Q448" s="32"/>
      <c r="S448" s="1">
        <f t="shared" si="117"/>
        <v>0</v>
      </c>
      <c r="T448" s="1">
        <f t="shared" si="118"/>
        <v>0</v>
      </c>
      <c r="U448" s="1">
        <f t="shared" si="119"/>
        <v>0</v>
      </c>
      <c r="V448" s="1">
        <f t="shared" si="120"/>
        <v>0</v>
      </c>
      <c r="W448" s="1">
        <f t="shared" si="121"/>
        <v>0</v>
      </c>
      <c r="X448" s="1">
        <f t="shared" si="122"/>
        <v>0</v>
      </c>
      <c r="Y448" s="1">
        <f t="shared" si="123"/>
        <v>0</v>
      </c>
      <c r="Z448" s="1">
        <f t="shared" si="124"/>
        <v>0</v>
      </c>
      <c r="AA448" s="1">
        <f t="shared" si="125"/>
        <v>0</v>
      </c>
      <c r="AB448" s="1">
        <f t="shared" si="126"/>
        <v>0</v>
      </c>
      <c r="AD448" s="1">
        <f t="shared" si="127"/>
        <v>1</v>
      </c>
      <c r="AE448" s="1">
        <f t="shared" si="128"/>
        <v>0</v>
      </c>
      <c r="AF448" s="1">
        <f t="shared" si="129"/>
        <v>1</v>
      </c>
      <c r="AG448" s="1">
        <f t="shared" si="130"/>
        <v>0</v>
      </c>
      <c r="AH448" s="1">
        <f t="shared" si="131"/>
        <v>1</v>
      </c>
      <c r="AI448" s="1">
        <f t="shared" si="132"/>
        <v>0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6" t="s">
        <v>1764</v>
      </c>
      <c r="E449" s="36" t="s">
        <v>28</v>
      </c>
      <c r="F449" s="36" t="s">
        <v>1765</v>
      </c>
      <c r="G449" s="36" t="s">
        <v>179</v>
      </c>
      <c r="H449" s="36" t="s">
        <v>352</v>
      </c>
      <c r="I449" s="37" t="s">
        <v>1766</v>
      </c>
      <c r="J449" s="31">
        <v>10</v>
      </c>
      <c r="K449" s="33" t="s">
        <v>694</v>
      </c>
      <c r="L449" s="33">
        <v>10</v>
      </c>
      <c r="M449" s="34"/>
      <c r="N449" s="34" t="s">
        <v>1693</v>
      </c>
      <c r="O449" s="35">
        <v>1</v>
      </c>
      <c r="P449" s="35">
        <v>1</v>
      </c>
      <c r="Q449" s="36"/>
      <c r="S449" s="1">
        <f t="shared" si="117"/>
        <v>0</v>
      </c>
      <c r="T449" s="1">
        <f t="shared" si="118"/>
        <v>0</v>
      </c>
      <c r="U449" s="1">
        <f t="shared" si="119"/>
        <v>0</v>
      </c>
      <c r="V449" s="1">
        <f t="shared" si="120"/>
        <v>0</v>
      </c>
      <c r="W449" s="1">
        <f t="shared" si="121"/>
        <v>0</v>
      </c>
      <c r="X449" s="1">
        <f t="shared" si="122"/>
        <v>0</v>
      </c>
      <c r="Y449" s="1">
        <f t="shared" si="123"/>
        <v>0</v>
      </c>
      <c r="Z449" s="1">
        <f t="shared" si="124"/>
        <v>0</v>
      </c>
      <c r="AA449" s="1">
        <f t="shared" si="125"/>
        <v>0</v>
      </c>
      <c r="AB449" s="1">
        <f t="shared" si="126"/>
        <v>1</v>
      </c>
      <c r="AD449" s="1">
        <f t="shared" si="127"/>
        <v>1</v>
      </c>
      <c r="AE449" s="1">
        <f t="shared" si="128"/>
        <v>0</v>
      </c>
      <c r="AF449" s="1">
        <f t="shared" si="129"/>
        <v>1</v>
      </c>
      <c r="AG449" s="1">
        <f t="shared" si="130"/>
        <v>0</v>
      </c>
      <c r="AH449" s="1">
        <f t="shared" si="131"/>
        <v>1</v>
      </c>
      <c r="AI449" s="1">
        <f t="shared" si="132"/>
        <v>0</v>
      </c>
    </row>
    <row r="450" spans="1:35" s="1" customFormat="1" ht="14.25" customHeight="1" x14ac:dyDescent="0.25">
      <c r="A450" s="37">
        <v>0</v>
      </c>
      <c r="B450" s="37">
        <v>2</v>
      </c>
      <c r="C450" s="37">
        <v>7</v>
      </c>
      <c r="D450" s="36" t="s">
        <v>1552</v>
      </c>
      <c r="E450" s="36" t="s">
        <v>1618</v>
      </c>
      <c r="F450" s="36" t="s">
        <v>1553</v>
      </c>
      <c r="G450" s="36" t="s">
        <v>648</v>
      </c>
      <c r="H450" s="36" t="s">
        <v>352</v>
      </c>
      <c r="I450" s="37" t="s">
        <v>1554</v>
      </c>
      <c r="J450" s="37">
        <v>99</v>
      </c>
      <c r="K450" s="33" t="s">
        <v>704</v>
      </c>
      <c r="L450" s="33" t="s">
        <v>39</v>
      </c>
      <c r="M450" s="34" t="s">
        <v>39</v>
      </c>
      <c r="N450" s="34" t="s">
        <v>1693</v>
      </c>
      <c r="O450" s="35">
        <v>1</v>
      </c>
      <c r="P450" s="35">
        <v>1</v>
      </c>
      <c r="Q450" s="36"/>
      <c r="S450" s="1">
        <f t="shared" si="117"/>
        <v>0</v>
      </c>
      <c r="T450" s="1">
        <f t="shared" si="118"/>
        <v>0</v>
      </c>
      <c r="U450" s="1">
        <f t="shared" si="119"/>
        <v>0</v>
      </c>
      <c r="V450" s="1">
        <f t="shared" si="120"/>
        <v>0</v>
      </c>
      <c r="W450" s="1">
        <f t="shared" si="121"/>
        <v>0</v>
      </c>
      <c r="X450" s="1">
        <f t="shared" si="122"/>
        <v>0</v>
      </c>
      <c r="Y450" s="1">
        <f t="shared" si="123"/>
        <v>0</v>
      </c>
      <c r="Z450" s="1">
        <f t="shared" si="124"/>
        <v>0</v>
      </c>
      <c r="AA450" s="1">
        <f t="shared" si="125"/>
        <v>0</v>
      </c>
      <c r="AB450" s="1">
        <f t="shared" si="126"/>
        <v>0</v>
      </c>
      <c r="AD450" s="1">
        <f t="shared" si="127"/>
        <v>1</v>
      </c>
      <c r="AE450" s="1">
        <f t="shared" si="128"/>
        <v>0</v>
      </c>
      <c r="AF450" s="1">
        <f t="shared" si="129"/>
        <v>1</v>
      </c>
      <c r="AG450" s="1">
        <f t="shared" si="130"/>
        <v>0</v>
      </c>
      <c r="AH450" s="1">
        <f t="shared" si="131"/>
        <v>1</v>
      </c>
      <c r="AI450" s="1">
        <f t="shared" si="132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1504</v>
      </c>
      <c r="E451" s="32" t="s">
        <v>28</v>
      </c>
      <c r="F451" s="32" t="s">
        <v>1629</v>
      </c>
      <c r="G451" s="32" t="s">
        <v>285</v>
      </c>
      <c r="H451" s="32" t="s">
        <v>352</v>
      </c>
      <c r="I451" s="31" t="s">
        <v>1654</v>
      </c>
      <c r="J451" s="31">
        <v>99</v>
      </c>
      <c r="K451" s="33" t="s">
        <v>704</v>
      </c>
      <c r="L451" s="33" t="s">
        <v>704</v>
      </c>
      <c r="M451" s="34" t="s">
        <v>722</v>
      </c>
      <c r="N451" s="34" t="s">
        <v>1706</v>
      </c>
      <c r="O451" s="35">
        <v>1</v>
      </c>
      <c r="P451" s="35"/>
      <c r="Q451" s="32"/>
      <c r="S451" s="1">
        <f t="shared" si="117"/>
        <v>0</v>
      </c>
      <c r="T451" s="1">
        <f t="shared" si="118"/>
        <v>0</v>
      </c>
      <c r="U451" s="1">
        <f t="shared" si="119"/>
        <v>0</v>
      </c>
      <c r="V451" s="1">
        <f t="shared" si="120"/>
        <v>0</v>
      </c>
      <c r="W451" s="1">
        <f t="shared" si="121"/>
        <v>0</v>
      </c>
      <c r="X451" s="1">
        <f t="shared" si="122"/>
        <v>0</v>
      </c>
      <c r="Y451" s="1">
        <f t="shared" si="123"/>
        <v>0</v>
      </c>
      <c r="Z451" s="1">
        <f t="shared" si="124"/>
        <v>0</v>
      </c>
      <c r="AA451" s="1">
        <f t="shared" si="125"/>
        <v>0</v>
      </c>
      <c r="AB451" s="1">
        <f t="shared" si="126"/>
        <v>0</v>
      </c>
      <c r="AD451" s="1">
        <f t="shared" si="127"/>
        <v>0</v>
      </c>
      <c r="AE451" s="1">
        <f t="shared" si="128"/>
        <v>1</v>
      </c>
      <c r="AF451" s="1">
        <f t="shared" si="129"/>
        <v>0</v>
      </c>
      <c r="AG451" s="1">
        <f t="shared" si="130"/>
        <v>1</v>
      </c>
      <c r="AH451" s="1">
        <f t="shared" si="131"/>
        <v>0</v>
      </c>
      <c r="AI451" s="1">
        <f t="shared" si="132"/>
        <v>1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1302</v>
      </c>
      <c r="E452" s="32" t="s">
        <v>28</v>
      </c>
      <c r="F452" s="32" t="s">
        <v>565</v>
      </c>
      <c r="G452" s="32" t="s">
        <v>180</v>
      </c>
      <c r="H452" s="32" t="s">
        <v>352</v>
      </c>
      <c r="I452" s="31" t="s">
        <v>428</v>
      </c>
      <c r="J452" s="31">
        <v>7</v>
      </c>
      <c r="K452" s="33" t="s">
        <v>703</v>
      </c>
      <c r="L452" s="33" t="s">
        <v>704</v>
      </c>
      <c r="M452" s="34" t="s">
        <v>722</v>
      </c>
      <c r="N452" s="34" t="s">
        <v>1706</v>
      </c>
      <c r="O452" s="35">
        <v>1</v>
      </c>
      <c r="P452" s="35"/>
      <c r="Q452" s="32"/>
      <c r="S452" s="1">
        <f t="shared" si="117"/>
        <v>0</v>
      </c>
      <c r="T452" s="1">
        <f t="shared" si="118"/>
        <v>0</v>
      </c>
      <c r="U452" s="1">
        <f t="shared" si="119"/>
        <v>0</v>
      </c>
      <c r="V452" s="1">
        <f t="shared" si="120"/>
        <v>0</v>
      </c>
      <c r="W452" s="1">
        <f t="shared" si="121"/>
        <v>0</v>
      </c>
      <c r="X452" s="1">
        <f t="shared" si="122"/>
        <v>0</v>
      </c>
      <c r="Y452" s="1">
        <f t="shared" si="123"/>
        <v>1</v>
      </c>
      <c r="Z452" s="1">
        <f t="shared" si="124"/>
        <v>0</v>
      </c>
      <c r="AA452" s="1">
        <f t="shared" si="125"/>
        <v>0</v>
      </c>
      <c r="AB452" s="1">
        <f t="shared" si="126"/>
        <v>0</v>
      </c>
      <c r="AD452" s="1">
        <f t="shared" si="127"/>
        <v>0</v>
      </c>
      <c r="AE452" s="1">
        <f t="shared" si="128"/>
        <v>1</v>
      </c>
      <c r="AF452" s="1">
        <f t="shared" si="129"/>
        <v>0</v>
      </c>
      <c r="AG452" s="1">
        <f t="shared" si="130"/>
        <v>1</v>
      </c>
      <c r="AH452" s="1">
        <f t="shared" si="131"/>
        <v>0</v>
      </c>
      <c r="AI452" s="1">
        <f t="shared" si="132"/>
        <v>1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72</v>
      </c>
      <c r="E453" s="32" t="s">
        <v>28</v>
      </c>
      <c r="F453" s="32" t="s">
        <v>260</v>
      </c>
      <c r="G453" s="32" t="s">
        <v>219</v>
      </c>
      <c r="H453" s="32" t="s">
        <v>352</v>
      </c>
      <c r="I453" s="31" t="s">
        <v>418</v>
      </c>
      <c r="J453" s="31">
        <v>8</v>
      </c>
      <c r="K453" s="33" t="s">
        <v>704</v>
      </c>
      <c r="L453" s="33" t="s">
        <v>704</v>
      </c>
      <c r="M453" s="34" t="s">
        <v>722</v>
      </c>
      <c r="N453" s="34" t="s">
        <v>1706</v>
      </c>
      <c r="O453" s="35">
        <v>1</v>
      </c>
      <c r="P453" s="35"/>
      <c r="Q453" s="32"/>
      <c r="S453" s="1">
        <f t="shared" si="117"/>
        <v>0</v>
      </c>
      <c r="T453" s="1">
        <f t="shared" si="118"/>
        <v>0</v>
      </c>
      <c r="U453" s="1">
        <f t="shared" si="119"/>
        <v>0</v>
      </c>
      <c r="V453" s="1">
        <f t="shared" si="120"/>
        <v>0</v>
      </c>
      <c r="W453" s="1">
        <f t="shared" si="121"/>
        <v>0</v>
      </c>
      <c r="X453" s="1">
        <f t="shared" si="122"/>
        <v>0</v>
      </c>
      <c r="Y453" s="1">
        <f t="shared" si="123"/>
        <v>0</v>
      </c>
      <c r="Z453" s="1">
        <f t="shared" si="124"/>
        <v>1</v>
      </c>
      <c r="AA453" s="1">
        <f t="shared" si="125"/>
        <v>0</v>
      </c>
      <c r="AB453" s="1">
        <f t="shared" si="126"/>
        <v>0</v>
      </c>
      <c r="AD453" s="1">
        <f t="shared" si="127"/>
        <v>0</v>
      </c>
      <c r="AE453" s="1">
        <f t="shared" si="128"/>
        <v>1</v>
      </c>
      <c r="AF453" s="1">
        <f t="shared" si="129"/>
        <v>0</v>
      </c>
      <c r="AG453" s="1">
        <f t="shared" si="130"/>
        <v>1</v>
      </c>
      <c r="AH453" s="1">
        <f t="shared" si="131"/>
        <v>0</v>
      </c>
      <c r="AI453" s="1">
        <f t="shared" si="132"/>
        <v>1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259</v>
      </c>
      <c r="G454" s="32" t="s">
        <v>177</v>
      </c>
      <c r="H454" s="32" t="s">
        <v>352</v>
      </c>
      <c r="I454" s="31" t="s">
        <v>417</v>
      </c>
      <c r="J454" s="31">
        <v>1</v>
      </c>
      <c r="K454" s="33" t="s">
        <v>704</v>
      </c>
      <c r="L454" s="33" t="s">
        <v>704</v>
      </c>
      <c r="M454" s="34" t="s">
        <v>722</v>
      </c>
      <c r="N454" s="34" t="s">
        <v>1706</v>
      </c>
      <c r="O454" s="35">
        <v>1</v>
      </c>
      <c r="P454" s="35"/>
      <c r="Q454" s="32"/>
      <c r="S454" s="1">
        <f t="shared" si="117"/>
        <v>1</v>
      </c>
      <c r="T454" s="1">
        <f t="shared" si="118"/>
        <v>0</v>
      </c>
      <c r="U454" s="1">
        <f t="shared" si="119"/>
        <v>0</v>
      </c>
      <c r="V454" s="1">
        <f t="shared" si="120"/>
        <v>0</v>
      </c>
      <c r="W454" s="1">
        <f t="shared" si="121"/>
        <v>0</v>
      </c>
      <c r="X454" s="1">
        <f t="shared" si="122"/>
        <v>0</v>
      </c>
      <c r="Y454" s="1">
        <f t="shared" si="123"/>
        <v>0</v>
      </c>
      <c r="Z454" s="1">
        <f t="shared" si="124"/>
        <v>0</v>
      </c>
      <c r="AA454" s="1">
        <f t="shared" si="125"/>
        <v>0</v>
      </c>
      <c r="AB454" s="1">
        <f t="shared" si="126"/>
        <v>0</v>
      </c>
      <c r="AD454" s="1">
        <f t="shared" si="127"/>
        <v>0</v>
      </c>
      <c r="AE454" s="1">
        <f t="shared" si="128"/>
        <v>1</v>
      </c>
      <c r="AF454" s="1">
        <f t="shared" si="129"/>
        <v>0</v>
      </c>
      <c r="AG454" s="1">
        <f t="shared" si="130"/>
        <v>0</v>
      </c>
      <c r="AH454" s="1">
        <f t="shared" si="131"/>
        <v>0</v>
      </c>
      <c r="AI454" s="1">
        <f t="shared" si="132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763</v>
      </c>
      <c r="E455" s="32" t="s">
        <v>28</v>
      </c>
      <c r="F455" s="32" t="s">
        <v>764</v>
      </c>
      <c r="G455" s="32" t="s">
        <v>278</v>
      </c>
      <c r="H455" s="32" t="s">
        <v>352</v>
      </c>
      <c r="I455" s="31" t="s">
        <v>765</v>
      </c>
      <c r="J455" s="31">
        <v>99</v>
      </c>
      <c r="K455" s="33" t="s">
        <v>704</v>
      </c>
      <c r="L455" s="33" t="s">
        <v>704</v>
      </c>
      <c r="M455" s="34" t="s">
        <v>722</v>
      </c>
      <c r="N455" s="34" t="s">
        <v>1706</v>
      </c>
      <c r="O455" s="35">
        <v>1</v>
      </c>
      <c r="P455" s="35"/>
      <c r="Q455" s="32"/>
      <c r="S455" s="1">
        <f t="shared" si="117"/>
        <v>0</v>
      </c>
      <c r="T455" s="1">
        <f t="shared" si="118"/>
        <v>0</v>
      </c>
      <c r="U455" s="1">
        <f t="shared" si="119"/>
        <v>0</v>
      </c>
      <c r="V455" s="1">
        <f t="shared" si="120"/>
        <v>0</v>
      </c>
      <c r="W455" s="1">
        <f t="shared" si="121"/>
        <v>0</v>
      </c>
      <c r="X455" s="1">
        <f t="shared" si="122"/>
        <v>0</v>
      </c>
      <c r="Y455" s="1">
        <f t="shared" si="123"/>
        <v>0</v>
      </c>
      <c r="Z455" s="1">
        <f t="shared" si="124"/>
        <v>0</v>
      </c>
      <c r="AA455" s="1">
        <f t="shared" si="125"/>
        <v>0</v>
      </c>
      <c r="AB455" s="1">
        <f t="shared" si="126"/>
        <v>0</v>
      </c>
      <c r="AD455" s="1">
        <f t="shared" si="127"/>
        <v>0</v>
      </c>
      <c r="AE455" s="1">
        <f t="shared" si="128"/>
        <v>1</v>
      </c>
      <c r="AF455" s="1">
        <f t="shared" si="129"/>
        <v>0</v>
      </c>
      <c r="AG455" s="1">
        <f t="shared" si="130"/>
        <v>1</v>
      </c>
      <c r="AH455" s="1">
        <f t="shared" si="131"/>
        <v>0</v>
      </c>
      <c r="AI455" s="1">
        <f t="shared" si="132"/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85</v>
      </c>
      <c r="E456" s="32" t="s">
        <v>28</v>
      </c>
      <c r="F456" s="32" t="s">
        <v>277</v>
      </c>
      <c r="G456" s="32" t="s">
        <v>278</v>
      </c>
      <c r="H456" s="32" t="s">
        <v>352</v>
      </c>
      <c r="I456" s="31" t="s">
        <v>432</v>
      </c>
      <c r="J456" s="31">
        <v>99</v>
      </c>
      <c r="K456" s="33" t="s">
        <v>704</v>
      </c>
      <c r="L456" s="33" t="s">
        <v>704</v>
      </c>
      <c r="M456" s="34" t="s">
        <v>722</v>
      </c>
      <c r="N456" s="34" t="s">
        <v>1706</v>
      </c>
      <c r="O456" s="35">
        <v>1</v>
      </c>
      <c r="P456" s="35"/>
      <c r="Q456" s="32"/>
      <c r="S456" s="1">
        <f t="shared" si="117"/>
        <v>0</v>
      </c>
      <c r="T456" s="1">
        <f t="shared" si="118"/>
        <v>0</v>
      </c>
      <c r="U456" s="1">
        <f t="shared" si="119"/>
        <v>0</v>
      </c>
      <c r="V456" s="1">
        <f t="shared" si="120"/>
        <v>0</v>
      </c>
      <c r="W456" s="1">
        <f t="shared" si="121"/>
        <v>0</v>
      </c>
      <c r="X456" s="1">
        <f t="shared" si="122"/>
        <v>0</v>
      </c>
      <c r="Y456" s="1">
        <f t="shared" si="123"/>
        <v>0</v>
      </c>
      <c r="Z456" s="1">
        <f t="shared" si="124"/>
        <v>0</v>
      </c>
      <c r="AA456" s="1">
        <f t="shared" si="125"/>
        <v>0</v>
      </c>
      <c r="AB456" s="1">
        <f t="shared" si="126"/>
        <v>0</v>
      </c>
      <c r="AD456" s="1">
        <f t="shared" si="127"/>
        <v>0</v>
      </c>
      <c r="AE456" s="1">
        <f t="shared" si="128"/>
        <v>1</v>
      </c>
      <c r="AF456" s="1">
        <f t="shared" si="129"/>
        <v>0</v>
      </c>
      <c r="AG456" s="1">
        <f t="shared" si="130"/>
        <v>1</v>
      </c>
      <c r="AH456" s="1">
        <f t="shared" si="131"/>
        <v>0</v>
      </c>
      <c r="AI456" s="1">
        <f t="shared" si="132"/>
        <v>1</v>
      </c>
    </row>
    <row r="457" spans="1:35" s="1" customFormat="1" ht="14.25" customHeight="1" x14ac:dyDescent="0.25">
      <c r="A457" s="37">
        <v>0</v>
      </c>
      <c r="B457" s="37">
        <v>2</v>
      </c>
      <c r="C457" s="37">
        <v>7</v>
      </c>
      <c r="D457" s="36" t="s">
        <v>1897</v>
      </c>
      <c r="E457" s="36" t="s">
        <v>28</v>
      </c>
      <c r="F457" s="36" t="s">
        <v>1898</v>
      </c>
      <c r="G457" s="36" t="s">
        <v>184</v>
      </c>
      <c r="H457" s="36" t="s">
        <v>352</v>
      </c>
      <c r="I457" s="37" t="s">
        <v>1899</v>
      </c>
      <c r="J457" s="37">
        <v>99</v>
      </c>
      <c r="K457" s="33" t="s">
        <v>694</v>
      </c>
      <c r="L457" s="33">
        <v>4</v>
      </c>
      <c r="M457" s="34" t="s">
        <v>722</v>
      </c>
      <c r="N457" s="34" t="s">
        <v>1706</v>
      </c>
      <c r="O457" s="35">
        <v>1</v>
      </c>
      <c r="P457" s="35"/>
      <c r="Q457" s="36" t="s">
        <v>1900</v>
      </c>
      <c r="S457" s="1">
        <f t="shared" si="117"/>
        <v>0</v>
      </c>
      <c r="T457" s="1">
        <f t="shared" si="118"/>
        <v>0</v>
      </c>
      <c r="U457" s="1">
        <f t="shared" si="119"/>
        <v>0</v>
      </c>
      <c r="V457" s="1">
        <f t="shared" si="120"/>
        <v>0</v>
      </c>
      <c r="W457" s="1">
        <f t="shared" si="121"/>
        <v>0</v>
      </c>
      <c r="X457" s="1">
        <f t="shared" si="122"/>
        <v>0</v>
      </c>
      <c r="Y457" s="1">
        <f t="shared" si="123"/>
        <v>0</v>
      </c>
      <c r="Z457" s="1">
        <f t="shared" si="124"/>
        <v>0</v>
      </c>
      <c r="AA457" s="1">
        <f t="shared" si="125"/>
        <v>0</v>
      </c>
      <c r="AB457" s="1">
        <f t="shared" si="126"/>
        <v>0</v>
      </c>
      <c r="AD457" s="1">
        <f t="shared" si="127"/>
        <v>0</v>
      </c>
      <c r="AE457" s="1">
        <f t="shared" si="128"/>
        <v>1</v>
      </c>
      <c r="AF457" s="1">
        <f t="shared" si="129"/>
        <v>0</v>
      </c>
      <c r="AG457" s="1">
        <f t="shared" si="130"/>
        <v>1</v>
      </c>
      <c r="AH457" s="1">
        <f t="shared" si="131"/>
        <v>0</v>
      </c>
      <c r="AI457" s="1">
        <f t="shared" si="132"/>
        <v>1</v>
      </c>
    </row>
    <row r="458" spans="1:35" s="1" customFormat="1" ht="14.25" customHeight="1" x14ac:dyDescent="0.25">
      <c r="A458" s="37">
        <v>0</v>
      </c>
      <c r="B458" s="37">
        <v>2</v>
      </c>
      <c r="C458" s="37">
        <v>7</v>
      </c>
      <c r="D458" s="36" t="s">
        <v>549</v>
      </c>
      <c r="E458" s="36" t="s">
        <v>28</v>
      </c>
      <c r="F458" s="36" t="s">
        <v>1836</v>
      </c>
      <c r="G458" s="36" t="s">
        <v>552</v>
      </c>
      <c r="H458" s="36" t="s">
        <v>352</v>
      </c>
      <c r="I458" s="37" t="s">
        <v>553</v>
      </c>
      <c r="J458" s="37">
        <v>99</v>
      </c>
      <c r="K458" s="33" t="s">
        <v>704</v>
      </c>
      <c r="L458" s="33" t="s">
        <v>704</v>
      </c>
      <c r="M458" s="34" t="s">
        <v>722</v>
      </c>
      <c r="N458" s="34" t="s">
        <v>1786</v>
      </c>
      <c r="O458" s="35">
        <v>1</v>
      </c>
      <c r="P458" s="35"/>
      <c r="Q458" s="36"/>
      <c r="S458" s="1">
        <f t="shared" si="117"/>
        <v>0</v>
      </c>
      <c r="T458" s="1">
        <f t="shared" si="118"/>
        <v>0</v>
      </c>
      <c r="U458" s="1">
        <f t="shared" si="119"/>
        <v>0</v>
      </c>
      <c r="V458" s="1">
        <f t="shared" si="120"/>
        <v>0</v>
      </c>
      <c r="W458" s="1">
        <f t="shared" si="121"/>
        <v>0</v>
      </c>
      <c r="X458" s="1">
        <f t="shared" si="122"/>
        <v>0</v>
      </c>
      <c r="Y458" s="1">
        <f t="shared" si="123"/>
        <v>0</v>
      </c>
      <c r="Z458" s="1">
        <f t="shared" si="124"/>
        <v>0</v>
      </c>
      <c r="AA458" s="1">
        <f t="shared" si="125"/>
        <v>0</v>
      </c>
      <c r="AB458" s="1">
        <f t="shared" si="126"/>
        <v>0</v>
      </c>
      <c r="AD458" s="1">
        <f t="shared" si="127"/>
        <v>0</v>
      </c>
      <c r="AE458" s="1">
        <f t="shared" si="128"/>
        <v>1</v>
      </c>
      <c r="AF458" s="1">
        <f t="shared" si="129"/>
        <v>0</v>
      </c>
      <c r="AG458" s="1">
        <f t="shared" si="130"/>
        <v>1</v>
      </c>
      <c r="AH458" s="1">
        <f t="shared" si="131"/>
        <v>0</v>
      </c>
      <c r="AI458" s="1">
        <f t="shared" si="132"/>
        <v>1</v>
      </c>
    </row>
    <row r="459" spans="1:35" s="1" customFormat="1" ht="14.25" customHeight="1" x14ac:dyDescent="0.25">
      <c r="A459" s="37">
        <v>1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1837</v>
      </c>
      <c r="G459" s="36" t="s">
        <v>550</v>
      </c>
      <c r="H459" s="36" t="s">
        <v>352</v>
      </c>
      <c r="I459" s="37" t="s">
        <v>551</v>
      </c>
      <c r="J459" s="37">
        <v>99</v>
      </c>
      <c r="K459" s="33" t="s">
        <v>704</v>
      </c>
      <c r="L459" s="33" t="s">
        <v>704</v>
      </c>
      <c r="M459" s="34" t="s">
        <v>722</v>
      </c>
      <c r="N459" s="34" t="s">
        <v>1786</v>
      </c>
      <c r="O459" s="35">
        <v>1</v>
      </c>
      <c r="P459" s="35"/>
      <c r="Q459" s="36"/>
      <c r="S459" s="1">
        <f t="shared" si="117"/>
        <v>0</v>
      </c>
      <c r="T459" s="1">
        <f t="shared" si="118"/>
        <v>0</v>
      </c>
      <c r="U459" s="1">
        <f t="shared" si="119"/>
        <v>0</v>
      </c>
      <c r="V459" s="1">
        <f t="shared" si="120"/>
        <v>0</v>
      </c>
      <c r="W459" s="1">
        <f t="shared" si="121"/>
        <v>0</v>
      </c>
      <c r="X459" s="1">
        <f t="shared" si="122"/>
        <v>0</v>
      </c>
      <c r="Y459" s="1">
        <f t="shared" si="123"/>
        <v>0</v>
      </c>
      <c r="Z459" s="1">
        <f t="shared" si="124"/>
        <v>0</v>
      </c>
      <c r="AA459" s="1">
        <f t="shared" si="125"/>
        <v>0</v>
      </c>
      <c r="AB459" s="1">
        <f t="shared" si="126"/>
        <v>0</v>
      </c>
      <c r="AD459" s="1">
        <f t="shared" si="127"/>
        <v>0</v>
      </c>
      <c r="AE459" s="1">
        <f t="shared" si="128"/>
        <v>1</v>
      </c>
      <c r="AF459" s="1">
        <f t="shared" si="129"/>
        <v>0</v>
      </c>
      <c r="AG459" s="1">
        <f t="shared" si="130"/>
        <v>0</v>
      </c>
      <c r="AH459" s="1">
        <f t="shared" si="131"/>
        <v>0</v>
      </c>
      <c r="AI459" s="1">
        <f t="shared" si="132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1160</v>
      </c>
      <c r="E460" s="32" t="s">
        <v>28</v>
      </c>
      <c r="F460" s="32" t="s">
        <v>1644</v>
      </c>
      <c r="G460" s="32" t="s">
        <v>234</v>
      </c>
      <c r="H460" s="32" t="s">
        <v>352</v>
      </c>
      <c r="I460" s="31" t="s">
        <v>1338</v>
      </c>
      <c r="J460" s="31">
        <v>99</v>
      </c>
      <c r="K460" s="33" t="s">
        <v>703</v>
      </c>
      <c r="L460" s="33" t="s">
        <v>704</v>
      </c>
      <c r="M460" s="34" t="s">
        <v>722</v>
      </c>
      <c r="N460" s="34" t="s">
        <v>1706</v>
      </c>
      <c r="O460" s="35">
        <v>1</v>
      </c>
      <c r="P460" s="35"/>
      <c r="Q460" s="32"/>
      <c r="S460" s="1">
        <f t="shared" si="117"/>
        <v>0</v>
      </c>
      <c r="T460" s="1">
        <f t="shared" si="118"/>
        <v>0</v>
      </c>
      <c r="U460" s="1">
        <f t="shared" si="119"/>
        <v>0</v>
      </c>
      <c r="V460" s="1">
        <f t="shared" si="120"/>
        <v>0</v>
      </c>
      <c r="W460" s="1">
        <f t="shared" si="121"/>
        <v>0</v>
      </c>
      <c r="X460" s="1">
        <f t="shared" si="122"/>
        <v>0</v>
      </c>
      <c r="Y460" s="1">
        <f t="shared" si="123"/>
        <v>0</v>
      </c>
      <c r="Z460" s="1">
        <f t="shared" si="124"/>
        <v>0</v>
      </c>
      <c r="AA460" s="1">
        <f t="shared" si="125"/>
        <v>0</v>
      </c>
      <c r="AB460" s="1">
        <f t="shared" si="126"/>
        <v>0</v>
      </c>
      <c r="AD460" s="1">
        <f t="shared" si="127"/>
        <v>0</v>
      </c>
      <c r="AE460" s="1">
        <f t="shared" si="128"/>
        <v>1</v>
      </c>
      <c r="AF460" s="1">
        <f t="shared" si="129"/>
        <v>0</v>
      </c>
      <c r="AG460" s="1">
        <f t="shared" si="130"/>
        <v>1</v>
      </c>
      <c r="AH460" s="1">
        <f t="shared" si="131"/>
        <v>0</v>
      </c>
      <c r="AI460" s="1">
        <f t="shared" si="132"/>
        <v>1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1160</v>
      </c>
      <c r="E461" s="32" t="s">
        <v>28</v>
      </c>
      <c r="F461" s="32" t="s">
        <v>1645</v>
      </c>
      <c r="G461" s="32" t="s">
        <v>1325</v>
      </c>
      <c r="H461" s="32" t="s">
        <v>352</v>
      </c>
      <c r="I461" s="31" t="s">
        <v>1339</v>
      </c>
      <c r="J461" s="31">
        <v>99</v>
      </c>
      <c r="K461" s="33" t="s">
        <v>703</v>
      </c>
      <c r="L461" s="33" t="s">
        <v>704</v>
      </c>
      <c r="M461" s="34" t="s">
        <v>722</v>
      </c>
      <c r="N461" s="34" t="s">
        <v>1706</v>
      </c>
      <c r="O461" s="35">
        <v>1</v>
      </c>
      <c r="P461" s="35"/>
      <c r="Q461" s="32"/>
      <c r="S461" s="1">
        <f t="shared" si="117"/>
        <v>0</v>
      </c>
      <c r="T461" s="1">
        <f t="shared" si="118"/>
        <v>0</v>
      </c>
      <c r="U461" s="1">
        <f t="shared" si="119"/>
        <v>0</v>
      </c>
      <c r="V461" s="1">
        <f t="shared" si="120"/>
        <v>0</v>
      </c>
      <c r="W461" s="1">
        <f t="shared" si="121"/>
        <v>0</v>
      </c>
      <c r="X461" s="1">
        <f t="shared" si="122"/>
        <v>0</v>
      </c>
      <c r="Y461" s="1">
        <f t="shared" si="123"/>
        <v>0</v>
      </c>
      <c r="Z461" s="1">
        <f t="shared" si="124"/>
        <v>0</v>
      </c>
      <c r="AA461" s="1">
        <f t="shared" si="125"/>
        <v>0</v>
      </c>
      <c r="AB461" s="1">
        <f t="shared" si="126"/>
        <v>0</v>
      </c>
      <c r="AD461" s="1">
        <f t="shared" si="127"/>
        <v>0</v>
      </c>
      <c r="AE461" s="1">
        <f t="shared" si="128"/>
        <v>1</v>
      </c>
      <c r="AF461" s="1">
        <f t="shared" si="129"/>
        <v>0</v>
      </c>
      <c r="AG461" s="1">
        <f t="shared" si="130"/>
        <v>0</v>
      </c>
      <c r="AH461" s="1">
        <f t="shared" si="131"/>
        <v>0</v>
      </c>
      <c r="AI461" s="1">
        <f t="shared" si="132"/>
        <v>0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1228</v>
      </c>
      <c r="E462" s="32" t="s">
        <v>28</v>
      </c>
      <c r="F462" s="32" t="s">
        <v>1227</v>
      </c>
      <c r="G462" s="32" t="s">
        <v>1212</v>
      </c>
      <c r="H462" s="32" t="s">
        <v>352</v>
      </c>
      <c r="I462" s="31" t="s">
        <v>1229</v>
      </c>
      <c r="J462" s="31">
        <v>99</v>
      </c>
      <c r="K462" s="33" t="s">
        <v>694</v>
      </c>
      <c r="L462" s="33" t="s">
        <v>704</v>
      </c>
      <c r="M462" s="34" t="s">
        <v>722</v>
      </c>
      <c r="N462" s="34" t="s">
        <v>1706</v>
      </c>
      <c r="O462" s="35">
        <v>1</v>
      </c>
      <c r="P462" s="35"/>
      <c r="Q462" s="32"/>
      <c r="S462" s="1">
        <f t="shared" si="117"/>
        <v>0</v>
      </c>
      <c r="T462" s="1">
        <f t="shared" si="118"/>
        <v>0</v>
      </c>
      <c r="U462" s="1">
        <f t="shared" si="119"/>
        <v>0</v>
      </c>
      <c r="V462" s="1">
        <f t="shared" si="120"/>
        <v>0</v>
      </c>
      <c r="W462" s="1">
        <f t="shared" si="121"/>
        <v>0</v>
      </c>
      <c r="X462" s="1">
        <f t="shared" si="122"/>
        <v>0</v>
      </c>
      <c r="Y462" s="1">
        <f t="shared" si="123"/>
        <v>0</v>
      </c>
      <c r="Z462" s="1">
        <f t="shared" si="124"/>
        <v>0</v>
      </c>
      <c r="AA462" s="1">
        <f t="shared" si="125"/>
        <v>0</v>
      </c>
      <c r="AB462" s="1">
        <f t="shared" si="126"/>
        <v>0</v>
      </c>
      <c r="AD462" s="1">
        <f t="shared" si="127"/>
        <v>0</v>
      </c>
      <c r="AE462" s="1">
        <f t="shared" si="128"/>
        <v>1</v>
      </c>
      <c r="AF462" s="1">
        <f t="shared" si="129"/>
        <v>0</v>
      </c>
      <c r="AG462" s="1">
        <f t="shared" si="130"/>
        <v>1</v>
      </c>
      <c r="AH462" s="1">
        <f t="shared" si="131"/>
        <v>0</v>
      </c>
      <c r="AI462" s="1">
        <f t="shared" si="132"/>
        <v>1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1228</v>
      </c>
      <c r="E463" s="32" t="s">
        <v>28</v>
      </c>
      <c r="F463" s="32" t="s">
        <v>1226</v>
      </c>
      <c r="G463" s="32" t="s">
        <v>39</v>
      </c>
      <c r="H463" s="32" t="s">
        <v>352</v>
      </c>
      <c r="I463" s="31" t="s">
        <v>1230</v>
      </c>
      <c r="J463" s="31">
        <v>9</v>
      </c>
      <c r="K463" s="33" t="s">
        <v>694</v>
      </c>
      <c r="L463" s="33" t="s">
        <v>704</v>
      </c>
      <c r="M463" s="34" t="s">
        <v>722</v>
      </c>
      <c r="N463" s="34" t="s">
        <v>1706</v>
      </c>
      <c r="O463" s="35">
        <v>1</v>
      </c>
      <c r="P463" s="35"/>
      <c r="Q463" s="32"/>
      <c r="S463" s="1">
        <f t="shared" si="117"/>
        <v>0</v>
      </c>
      <c r="T463" s="1">
        <f t="shared" si="118"/>
        <v>0</v>
      </c>
      <c r="U463" s="1">
        <f t="shared" si="119"/>
        <v>0</v>
      </c>
      <c r="V463" s="1">
        <f t="shared" si="120"/>
        <v>0</v>
      </c>
      <c r="W463" s="1">
        <f t="shared" si="121"/>
        <v>0</v>
      </c>
      <c r="X463" s="1">
        <f t="shared" si="122"/>
        <v>0</v>
      </c>
      <c r="Y463" s="1">
        <f t="shared" si="123"/>
        <v>0</v>
      </c>
      <c r="Z463" s="1">
        <f t="shared" si="124"/>
        <v>0</v>
      </c>
      <c r="AA463" s="1">
        <f t="shared" si="125"/>
        <v>1</v>
      </c>
      <c r="AB463" s="1">
        <f t="shared" si="126"/>
        <v>0</v>
      </c>
      <c r="AD463" s="1">
        <f t="shared" si="127"/>
        <v>0</v>
      </c>
      <c r="AE463" s="1">
        <f t="shared" si="128"/>
        <v>1</v>
      </c>
      <c r="AF463" s="1">
        <f t="shared" si="129"/>
        <v>0</v>
      </c>
      <c r="AG463" s="1">
        <f t="shared" si="130"/>
        <v>0</v>
      </c>
      <c r="AH463" s="1">
        <f t="shared" si="131"/>
        <v>0</v>
      </c>
      <c r="AI463" s="1">
        <f t="shared" si="132"/>
        <v>0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1228</v>
      </c>
      <c r="E464" s="32" t="s">
        <v>28</v>
      </c>
      <c r="F464" s="36" t="s">
        <v>1785</v>
      </c>
      <c r="G464" s="36" t="s">
        <v>257</v>
      </c>
      <c r="H464" s="32" t="s">
        <v>352</v>
      </c>
      <c r="I464" s="37" t="s">
        <v>30</v>
      </c>
      <c r="J464" s="31">
        <v>8</v>
      </c>
      <c r="K464" s="33" t="s">
        <v>694</v>
      </c>
      <c r="L464" s="33" t="s">
        <v>704</v>
      </c>
      <c r="M464" s="34" t="s">
        <v>722</v>
      </c>
      <c r="N464" s="34" t="s">
        <v>1706</v>
      </c>
      <c r="O464" s="35">
        <v>1</v>
      </c>
      <c r="P464" s="35"/>
      <c r="Q464" s="32"/>
      <c r="S464" s="1">
        <f t="shared" si="117"/>
        <v>0</v>
      </c>
      <c r="T464" s="1">
        <f t="shared" si="118"/>
        <v>0</v>
      </c>
      <c r="U464" s="1">
        <f t="shared" si="119"/>
        <v>0</v>
      </c>
      <c r="V464" s="1">
        <f t="shared" si="120"/>
        <v>0</v>
      </c>
      <c r="W464" s="1">
        <f t="shared" si="121"/>
        <v>0</v>
      </c>
      <c r="X464" s="1">
        <f t="shared" si="122"/>
        <v>0</v>
      </c>
      <c r="Y464" s="1">
        <f t="shared" si="123"/>
        <v>0</v>
      </c>
      <c r="Z464" s="1">
        <f t="shared" si="124"/>
        <v>1</v>
      </c>
      <c r="AA464" s="1">
        <f t="shared" si="125"/>
        <v>0</v>
      </c>
      <c r="AB464" s="1">
        <f t="shared" si="126"/>
        <v>0</v>
      </c>
      <c r="AD464" s="1">
        <f t="shared" si="127"/>
        <v>0</v>
      </c>
      <c r="AE464" s="1">
        <f t="shared" si="128"/>
        <v>1</v>
      </c>
      <c r="AF464" s="1">
        <f t="shared" si="129"/>
        <v>0</v>
      </c>
      <c r="AG464" s="1">
        <f t="shared" si="130"/>
        <v>0</v>
      </c>
      <c r="AH464" s="1">
        <f t="shared" si="131"/>
        <v>0</v>
      </c>
      <c r="AI464" s="1">
        <f t="shared" si="132"/>
        <v>0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51</v>
      </c>
      <c r="E465" s="32" t="s">
        <v>28</v>
      </c>
      <c r="F465" s="32" t="s">
        <v>666</v>
      </c>
      <c r="G465" s="32" t="s">
        <v>184</v>
      </c>
      <c r="H465" s="32" t="s">
        <v>352</v>
      </c>
      <c r="I465" s="31" t="s">
        <v>388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1711</v>
      </c>
      <c r="O465" s="35">
        <v>1</v>
      </c>
      <c r="P465" s="35"/>
      <c r="Q465" s="32"/>
      <c r="S465" s="1">
        <f t="shared" si="117"/>
        <v>0</v>
      </c>
      <c r="T465" s="1">
        <f t="shared" si="118"/>
        <v>0</v>
      </c>
      <c r="U465" s="1">
        <f t="shared" si="119"/>
        <v>0</v>
      </c>
      <c r="V465" s="1">
        <f t="shared" si="120"/>
        <v>0</v>
      </c>
      <c r="W465" s="1">
        <f t="shared" si="121"/>
        <v>0</v>
      </c>
      <c r="X465" s="1">
        <f t="shared" si="122"/>
        <v>0</v>
      </c>
      <c r="Y465" s="1">
        <f t="shared" si="123"/>
        <v>0</v>
      </c>
      <c r="Z465" s="1">
        <f t="shared" si="124"/>
        <v>0</v>
      </c>
      <c r="AA465" s="1">
        <f t="shared" si="125"/>
        <v>0</v>
      </c>
      <c r="AB465" s="1">
        <f t="shared" si="126"/>
        <v>0</v>
      </c>
      <c r="AD465" s="1">
        <f t="shared" si="127"/>
        <v>0</v>
      </c>
      <c r="AE465" s="1">
        <f t="shared" si="128"/>
        <v>1</v>
      </c>
      <c r="AF465" s="1">
        <f t="shared" si="129"/>
        <v>0</v>
      </c>
      <c r="AG465" s="1">
        <f t="shared" si="130"/>
        <v>1</v>
      </c>
      <c r="AH465" s="1">
        <f t="shared" si="131"/>
        <v>0</v>
      </c>
      <c r="AI465" s="1">
        <f t="shared" si="132"/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1062</v>
      </c>
      <c r="E466" s="32" t="s">
        <v>28</v>
      </c>
      <c r="F466" s="32" t="s">
        <v>979</v>
      </c>
      <c r="G466" s="32" t="s">
        <v>239</v>
      </c>
      <c r="H466" s="32" t="s">
        <v>352</v>
      </c>
      <c r="I466" s="31" t="s">
        <v>1087</v>
      </c>
      <c r="J466" s="31">
        <v>1</v>
      </c>
      <c r="K466" s="33" t="s">
        <v>703</v>
      </c>
      <c r="L466" s="33" t="s">
        <v>704</v>
      </c>
      <c r="M466" s="34" t="s">
        <v>722</v>
      </c>
      <c r="N466" s="34" t="s">
        <v>1706</v>
      </c>
      <c r="O466" s="35">
        <v>1</v>
      </c>
      <c r="P466" s="35"/>
      <c r="Q466" s="32"/>
      <c r="S466" s="1">
        <f t="shared" ref="S466:S509" si="133">IF(J466=$S$7,1,0)</f>
        <v>1</v>
      </c>
      <c r="T466" s="1">
        <f t="shared" ref="T466:T509" si="134">IF(J466=$T$7,1,0)</f>
        <v>0</v>
      </c>
      <c r="U466" s="1">
        <f t="shared" ref="U466:U509" si="135">IF(J466=$U$7,1,0)</f>
        <v>0</v>
      </c>
      <c r="V466" s="1">
        <f t="shared" ref="V466:V509" si="136">IF(J466=$V$7,1,0)</f>
        <v>0</v>
      </c>
      <c r="W466" s="1">
        <f t="shared" ref="W466:W509" si="137">IF(J466=$W$7,1,0)</f>
        <v>0</v>
      </c>
      <c r="X466" s="1">
        <f t="shared" ref="X466:X509" si="138">IF(J466=$X$7,1,0)</f>
        <v>0</v>
      </c>
      <c r="Y466" s="1">
        <f t="shared" ref="Y466:Y509" si="139">IF(J466=$Y$7,1,0)</f>
        <v>0</v>
      </c>
      <c r="Z466" s="1">
        <f t="shared" ref="Z466:Z509" si="140">IF(J466=$Z$7,1,0)</f>
        <v>0</v>
      </c>
      <c r="AA466" s="1">
        <f t="shared" ref="AA466:AA509" si="141">IF(J466=$AA$7,1,0)</f>
        <v>0</v>
      </c>
      <c r="AB466" s="1">
        <f t="shared" ref="AB466:AB509" si="142">IF(J466=$AB$7,1,0)</f>
        <v>0</v>
      </c>
      <c r="AD466" s="1">
        <f t="shared" ref="AD466:AD509" si="143">+O466*P466</f>
        <v>0</v>
      </c>
      <c r="AE466" s="1">
        <f t="shared" ref="AE466:AE509" si="144">O466*(1-P466)</f>
        <v>1</v>
      </c>
      <c r="AF466" s="1">
        <f t="shared" si="129"/>
        <v>0</v>
      </c>
      <c r="AG466" s="1">
        <f t="shared" si="130"/>
        <v>1</v>
      </c>
      <c r="AH466" s="1">
        <f t="shared" si="131"/>
        <v>0</v>
      </c>
      <c r="AI466" s="1">
        <f t="shared" si="132"/>
        <v>1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1062</v>
      </c>
      <c r="E467" s="32" t="s">
        <v>28</v>
      </c>
      <c r="F467" s="32" t="s">
        <v>980</v>
      </c>
      <c r="G467" s="32" t="s">
        <v>1080</v>
      </c>
      <c r="H467" s="32" t="s">
        <v>352</v>
      </c>
      <c r="I467" s="31" t="s">
        <v>1088</v>
      </c>
      <c r="J467" s="31">
        <v>1</v>
      </c>
      <c r="K467" s="33" t="s">
        <v>703</v>
      </c>
      <c r="L467" s="33" t="s">
        <v>704</v>
      </c>
      <c r="M467" s="34" t="s">
        <v>722</v>
      </c>
      <c r="N467" s="34" t="s">
        <v>1706</v>
      </c>
      <c r="O467" s="35">
        <v>1</v>
      </c>
      <c r="P467" s="35"/>
      <c r="Q467" s="32"/>
      <c r="S467" s="1">
        <f t="shared" si="133"/>
        <v>1</v>
      </c>
      <c r="T467" s="1">
        <f t="shared" si="134"/>
        <v>0</v>
      </c>
      <c r="U467" s="1">
        <f t="shared" si="135"/>
        <v>0</v>
      </c>
      <c r="V467" s="1">
        <f t="shared" si="136"/>
        <v>0</v>
      </c>
      <c r="W467" s="1">
        <f t="shared" si="137"/>
        <v>0</v>
      </c>
      <c r="X467" s="1">
        <f t="shared" si="138"/>
        <v>0</v>
      </c>
      <c r="Y467" s="1">
        <f t="shared" si="139"/>
        <v>0</v>
      </c>
      <c r="Z467" s="1">
        <f t="shared" si="140"/>
        <v>0</v>
      </c>
      <c r="AA467" s="1">
        <f t="shared" si="141"/>
        <v>0</v>
      </c>
      <c r="AB467" s="1">
        <f t="shared" si="142"/>
        <v>0</v>
      </c>
      <c r="AD467" s="1">
        <f t="shared" si="143"/>
        <v>0</v>
      </c>
      <c r="AE467" s="1">
        <f t="shared" si="144"/>
        <v>1</v>
      </c>
      <c r="AF467" s="1">
        <f t="shared" ref="AF467:AF509" si="145">+O467*P467*(1-A467)</f>
        <v>0</v>
      </c>
      <c r="AG467" s="1">
        <f t="shared" ref="AG467:AG509" si="146">O467*(1-P467)*(1-A467)</f>
        <v>0</v>
      </c>
      <c r="AH467" s="1">
        <f t="shared" ref="AH467:AH509" si="147">+P467*(1-A467)</f>
        <v>0</v>
      </c>
      <c r="AI467" s="1">
        <f t="shared" ref="AI467:AI509" si="148">+(1-A467)*(1-P467)</f>
        <v>0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1605</v>
      </c>
      <c r="E468" s="32" t="s">
        <v>155</v>
      </c>
      <c r="F468" s="32" t="s">
        <v>1460</v>
      </c>
      <c r="G468" s="32" t="s">
        <v>1461</v>
      </c>
      <c r="H468" s="32" t="s">
        <v>352</v>
      </c>
      <c r="I468" s="31" t="s">
        <v>1462</v>
      </c>
      <c r="J468" s="31">
        <v>99</v>
      </c>
      <c r="K468" s="33" t="s">
        <v>936</v>
      </c>
      <c r="L468" s="33" t="s">
        <v>713</v>
      </c>
      <c r="M468" s="34" t="s">
        <v>723</v>
      </c>
      <c r="N468" s="34" t="s">
        <v>1710</v>
      </c>
      <c r="O468" s="35">
        <v>1</v>
      </c>
      <c r="P468" s="35"/>
      <c r="Q468" s="32"/>
      <c r="S468" s="1">
        <f t="shared" si="133"/>
        <v>0</v>
      </c>
      <c r="T468" s="1">
        <f t="shared" si="134"/>
        <v>0</v>
      </c>
      <c r="U468" s="1">
        <f t="shared" si="135"/>
        <v>0</v>
      </c>
      <c r="V468" s="1">
        <f t="shared" si="136"/>
        <v>0</v>
      </c>
      <c r="W468" s="1">
        <f t="shared" si="137"/>
        <v>0</v>
      </c>
      <c r="X468" s="1">
        <f t="shared" si="138"/>
        <v>0</v>
      </c>
      <c r="Y468" s="1">
        <f t="shared" si="139"/>
        <v>0</v>
      </c>
      <c r="Z468" s="1">
        <f t="shared" si="140"/>
        <v>0</v>
      </c>
      <c r="AA468" s="1">
        <f t="shared" si="141"/>
        <v>0</v>
      </c>
      <c r="AB468" s="1">
        <f t="shared" si="142"/>
        <v>0</v>
      </c>
      <c r="AD468" s="1">
        <f t="shared" si="143"/>
        <v>0</v>
      </c>
      <c r="AE468" s="1">
        <f t="shared" si="144"/>
        <v>1</v>
      </c>
      <c r="AF468" s="1">
        <f t="shared" si="145"/>
        <v>0</v>
      </c>
      <c r="AG468" s="1">
        <f t="shared" si="146"/>
        <v>1</v>
      </c>
      <c r="AH468" s="1">
        <f t="shared" si="147"/>
        <v>0</v>
      </c>
      <c r="AI468" s="1">
        <f t="shared" si="148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82</v>
      </c>
      <c r="E469" s="32" t="s">
        <v>28</v>
      </c>
      <c r="F469" s="32" t="s">
        <v>273</v>
      </c>
      <c r="G469" s="32" t="s">
        <v>274</v>
      </c>
      <c r="H469" s="32" t="s">
        <v>352</v>
      </c>
      <c r="I469" s="31" t="s">
        <v>427</v>
      </c>
      <c r="J469" s="31">
        <v>7</v>
      </c>
      <c r="K469" s="33" t="s">
        <v>936</v>
      </c>
      <c r="L469" s="33" t="s">
        <v>935</v>
      </c>
      <c r="M469" s="34" t="s">
        <v>949</v>
      </c>
      <c r="N469" s="34" t="s">
        <v>1810</v>
      </c>
      <c r="O469" s="35">
        <v>1</v>
      </c>
      <c r="P469" s="35"/>
      <c r="Q469" s="32"/>
      <c r="S469" s="1">
        <f t="shared" si="133"/>
        <v>0</v>
      </c>
      <c r="T469" s="1">
        <f t="shared" si="134"/>
        <v>0</v>
      </c>
      <c r="U469" s="1">
        <f t="shared" si="135"/>
        <v>0</v>
      </c>
      <c r="V469" s="1">
        <f t="shared" si="136"/>
        <v>0</v>
      </c>
      <c r="W469" s="1">
        <f t="shared" si="137"/>
        <v>0</v>
      </c>
      <c r="X469" s="1">
        <f t="shared" si="138"/>
        <v>0</v>
      </c>
      <c r="Y469" s="1">
        <f t="shared" si="139"/>
        <v>1</v>
      </c>
      <c r="Z469" s="1">
        <f t="shared" si="140"/>
        <v>0</v>
      </c>
      <c r="AA469" s="1">
        <f t="shared" si="141"/>
        <v>0</v>
      </c>
      <c r="AB469" s="1">
        <f t="shared" si="142"/>
        <v>0</v>
      </c>
      <c r="AD469" s="1">
        <f t="shared" si="143"/>
        <v>0</v>
      </c>
      <c r="AE469" s="1">
        <f t="shared" si="144"/>
        <v>1</v>
      </c>
      <c r="AF469" s="1">
        <f t="shared" si="145"/>
        <v>0</v>
      </c>
      <c r="AG469" s="1">
        <f t="shared" si="146"/>
        <v>1</v>
      </c>
      <c r="AH469" s="1">
        <f t="shared" si="147"/>
        <v>0</v>
      </c>
      <c r="AI469" s="1">
        <f t="shared" si="148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76</v>
      </c>
      <c r="E470" s="32" t="s">
        <v>28</v>
      </c>
      <c r="F470" s="32" t="s">
        <v>1647</v>
      </c>
      <c r="G470" s="32" t="s">
        <v>189</v>
      </c>
      <c r="H470" s="32" t="s">
        <v>352</v>
      </c>
      <c r="I470" s="31" t="s">
        <v>421</v>
      </c>
      <c r="J470" s="31">
        <v>99</v>
      </c>
      <c r="K470" s="33" t="s">
        <v>935</v>
      </c>
      <c r="L470" s="33" t="s">
        <v>704</v>
      </c>
      <c r="M470" s="34" t="s">
        <v>722</v>
      </c>
      <c r="N470" s="34" t="s">
        <v>1706</v>
      </c>
      <c r="O470" s="35">
        <v>1</v>
      </c>
      <c r="P470" s="35"/>
      <c r="Q470" s="32"/>
      <c r="S470" s="1">
        <f t="shared" si="133"/>
        <v>0</v>
      </c>
      <c r="T470" s="1">
        <f t="shared" si="134"/>
        <v>0</v>
      </c>
      <c r="U470" s="1">
        <f t="shared" si="135"/>
        <v>0</v>
      </c>
      <c r="V470" s="1">
        <f t="shared" si="136"/>
        <v>0</v>
      </c>
      <c r="W470" s="1">
        <f t="shared" si="137"/>
        <v>0</v>
      </c>
      <c r="X470" s="1">
        <f t="shared" si="138"/>
        <v>0</v>
      </c>
      <c r="Y470" s="1">
        <f t="shared" si="139"/>
        <v>0</v>
      </c>
      <c r="Z470" s="1">
        <f t="shared" si="140"/>
        <v>0</v>
      </c>
      <c r="AA470" s="1">
        <f t="shared" si="141"/>
        <v>0</v>
      </c>
      <c r="AB470" s="1">
        <f t="shared" si="142"/>
        <v>0</v>
      </c>
      <c r="AD470" s="1">
        <f t="shared" si="143"/>
        <v>0</v>
      </c>
      <c r="AE470" s="1">
        <f t="shared" si="144"/>
        <v>1</v>
      </c>
      <c r="AF470" s="1">
        <f t="shared" si="145"/>
        <v>0</v>
      </c>
      <c r="AG470" s="1">
        <f t="shared" si="146"/>
        <v>1</v>
      </c>
      <c r="AH470" s="1">
        <f t="shared" si="147"/>
        <v>0</v>
      </c>
      <c r="AI470" s="1">
        <f t="shared" si="148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6" t="s">
        <v>1987</v>
      </c>
      <c r="E471" s="32" t="s">
        <v>1991</v>
      </c>
      <c r="F471" s="36" t="s">
        <v>1988</v>
      </c>
      <c r="G471" s="36" t="s">
        <v>1989</v>
      </c>
      <c r="H471" s="36" t="s">
        <v>352</v>
      </c>
      <c r="I471" s="37" t="s">
        <v>1990</v>
      </c>
      <c r="J471" s="31">
        <v>99</v>
      </c>
      <c r="K471" s="33" t="s">
        <v>694</v>
      </c>
      <c r="L471" s="33">
        <v>20</v>
      </c>
      <c r="M471" s="34" t="s">
        <v>1993</v>
      </c>
      <c r="N471" s="34" t="s">
        <v>1710</v>
      </c>
      <c r="O471" s="35">
        <v>1</v>
      </c>
      <c r="P471" s="35"/>
      <c r="Q471" s="36" t="s">
        <v>1992</v>
      </c>
      <c r="S471" s="1">
        <f t="shared" si="133"/>
        <v>0</v>
      </c>
      <c r="T471" s="1">
        <f t="shared" si="134"/>
        <v>0</v>
      </c>
      <c r="U471" s="1">
        <f t="shared" si="135"/>
        <v>0</v>
      </c>
      <c r="V471" s="1">
        <f t="shared" si="136"/>
        <v>0</v>
      </c>
      <c r="W471" s="1">
        <f t="shared" si="137"/>
        <v>0</v>
      </c>
      <c r="X471" s="1">
        <f t="shared" si="138"/>
        <v>0</v>
      </c>
      <c r="Y471" s="1">
        <f t="shared" si="139"/>
        <v>0</v>
      </c>
      <c r="Z471" s="1">
        <f t="shared" si="140"/>
        <v>0</v>
      </c>
      <c r="AA471" s="1">
        <f t="shared" si="141"/>
        <v>0</v>
      </c>
      <c r="AB471" s="1">
        <f t="shared" si="142"/>
        <v>0</v>
      </c>
      <c r="AD471" s="1">
        <f t="shared" si="143"/>
        <v>0</v>
      </c>
      <c r="AE471" s="1">
        <f t="shared" si="144"/>
        <v>1</v>
      </c>
      <c r="AF471" s="1">
        <f t="shared" si="145"/>
        <v>0</v>
      </c>
      <c r="AG471" s="1">
        <f t="shared" si="146"/>
        <v>1</v>
      </c>
      <c r="AH471" s="1">
        <f t="shared" si="147"/>
        <v>0</v>
      </c>
      <c r="AI471" s="1">
        <f t="shared" si="148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1607</v>
      </c>
      <c r="E472" s="32" t="s">
        <v>162</v>
      </c>
      <c r="F472" s="32" t="s">
        <v>243</v>
      </c>
      <c r="G472" s="32" t="s">
        <v>217</v>
      </c>
      <c r="H472" s="32" t="s">
        <v>352</v>
      </c>
      <c r="I472" s="31" t="s">
        <v>406</v>
      </c>
      <c r="J472" s="31">
        <v>99</v>
      </c>
      <c r="K472" s="33" t="s">
        <v>704</v>
      </c>
      <c r="L472" s="33" t="s">
        <v>713</v>
      </c>
      <c r="M472" s="34" t="s">
        <v>723</v>
      </c>
      <c r="N472" s="34" t="s">
        <v>1693</v>
      </c>
      <c r="O472" s="35">
        <v>1</v>
      </c>
      <c r="P472" s="35">
        <v>1</v>
      </c>
      <c r="Q472" s="32"/>
      <c r="S472" s="1">
        <f t="shared" si="133"/>
        <v>0</v>
      </c>
      <c r="T472" s="1">
        <f t="shared" si="134"/>
        <v>0</v>
      </c>
      <c r="U472" s="1">
        <f t="shared" si="135"/>
        <v>0</v>
      </c>
      <c r="V472" s="1">
        <f t="shared" si="136"/>
        <v>0</v>
      </c>
      <c r="W472" s="1">
        <f t="shared" si="137"/>
        <v>0</v>
      </c>
      <c r="X472" s="1">
        <f t="shared" si="138"/>
        <v>0</v>
      </c>
      <c r="Y472" s="1">
        <f t="shared" si="139"/>
        <v>0</v>
      </c>
      <c r="Z472" s="1">
        <f t="shared" si="140"/>
        <v>0</v>
      </c>
      <c r="AA472" s="1">
        <f t="shared" si="141"/>
        <v>0</v>
      </c>
      <c r="AB472" s="1">
        <f t="shared" si="142"/>
        <v>0</v>
      </c>
      <c r="AD472" s="1">
        <f t="shared" si="143"/>
        <v>1</v>
      </c>
      <c r="AE472" s="1">
        <f t="shared" si="144"/>
        <v>0</v>
      </c>
      <c r="AF472" s="1">
        <f t="shared" si="145"/>
        <v>1</v>
      </c>
      <c r="AG472" s="1">
        <f t="shared" si="146"/>
        <v>0</v>
      </c>
      <c r="AH472" s="1">
        <f t="shared" si="147"/>
        <v>1</v>
      </c>
      <c r="AI472" s="1">
        <f t="shared" si="148"/>
        <v>0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1505</v>
      </c>
      <c r="E473" s="32" t="s">
        <v>155</v>
      </c>
      <c r="F473" s="32" t="s">
        <v>1506</v>
      </c>
      <c r="G473" s="32" t="s">
        <v>39</v>
      </c>
      <c r="H473" s="32" t="s">
        <v>352</v>
      </c>
      <c r="I473" s="31" t="s">
        <v>1507</v>
      </c>
      <c r="J473" s="31">
        <v>99</v>
      </c>
      <c r="K473" s="33" t="s">
        <v>704</v>
      </c>
      <c r="L473" s="33" t="s">
        <v>713</v>
      </c>
      <c r="M473" s="34" t="s">
        <v>723</v>
      </c>
      <c r="N473" s="34" t="s">
        <v>1710</v>
      </c>
      <c r="O473" s="35">
        <v>1</v>
      </c>
      <c r="P473" s="35"/>
      <c r="Q473" s="32"/>
      <c r="S473" s="1">
        <f t="shared" si="133"/>
        <v>0</v>
      </c>
      <c r="T473" s="1">
        <f t="shared" si="134"/>
        <v>0</v>
      </c>
      <c r="U473" s="1">
        <f t="shared" si="135"/>
        <v>0</v>
      </c>
      <c r="V473" s="1">
        <f t="shared" si="136"/>
        <v>0</v>
      </c>
      <c r="W473" s="1">
        <f t="shared" si="137"/>
        <v>0</v>
      </c>
      <c r="X473" s="1">
        <f t="shared" si="138"/>
        <v>0</v>
      </c>
      <c r="Y473" s="1">
        <f t="shared" si="139"/>
        <v>0</v>
      </c>
      <c r="Z473" s="1">
        <f t="shared" si="140"/>
        <v>0</v>
      </c>
      <c r="AA473" s="1">
        <f t="shared" si="141"/>
        <v>0</v>
      </c>
      <c r="AB473" s="1">
        <f t="shared" si="142"/>
        <v>0</v>
      </c>
      <c r="AD473" s="1">
        <f t="shared" si="143"/>
        <v>0</v>
      </c>
      <c r="AE473" s="1">
        <f t="shared" si="144"/>
        <v>1</v>
      </c>
      <c r="AF473" s="1">
        <f t="shared" si="145"/>
        <v>0</v>
      </c>
      <c r="AG473" s="1">
        <f t="shared" si="146"/>
        <v>1</v>
      </c>
      <c r="AH473" s="1">
        <f t="shared" si="147"/>
        <v>0</v>
      </c>
      <c r="AI473" s="1">
        <f t="shared" si="148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955</v>
      </c>
      <c r="G474" s="32" t="s">
        <v>1082</v>
      </c>
      <c r="H474" s="32" t="s">
        <v>352</v>
      </c>
      <c r="I474" s="31" t="s">
        <v>1089</v>
      </c>
      <c r="J474" s="31">
        <v>99</v>
      </c>
      <c r="K474" s="33" t="s">
        <v>704</v>
      </c>
      <c r="L474" s="33" t="s">
        <v>704</v>
      </c>
      <c r="M474" s="34" t="s">
        <v>722</v>
      </c>
      <c r="N474" s="34" t="s">
        <v>1706</v>
      </c>
      <c r="O474" s="35">
        <v>1</v>
      </c>
      <c r="P474" s="35"/>
      <c r="Q474" s="32"/>
      <c r="S474" s="1">
        <f t="shared" si="133"/>
        <v>0</v>
      </c>
      <c r="T474" s="1">
        <f t="shared" si="134"/>
        <v>0</v>
      </c>
      <c r="U474" s="1">
        <f t="shared" si="135"/>
        <v>0</v>
      </c>
      <c r="V474" s="1">
        <f t="shared" si="136"/>
        <v>0</v>
      </c>
      <c r="W474" s="1">
        <f t="shared" si="137"/>
        <v>0</v>
      </c>
      <c r="X474" s="1">
        <f t="shared" si="138"/>
        <v>0</v>
      </c>
      <c r="Y474" s="1">
        <f t="shared" si="139"/>
        <v>0</v>
      </c>
      <c r="Z474" s="1">
        <f t="shared" si="140"/>
        <v>0</v>
      </c>
      <c r="AA474" s="1">
        <f t="shared" si="141"/>
        <v>0</v>
      </c>
      <c r="AB474" s="1">
        <f t="shared" si="142"/>
        <v>0</v>
      </c>
      <c r="AD474" s="1">
        <f t="shared" si="143"/>
        <v>0</v>
      </c>
      <c r="AE474" s="1">
        <f t="shared" si="144"/>
        <v>1</v>
      </c>
      <c r="AF474" s="1">
        <f t="shared" si="145"/>
        <v>0</v>
      </c>
      <c r="AG474" s="1">
        <f t="shared" si="146"/>
        <v>1</v>
      </c>
      <c r="AH474" s="1">
        <f t="shared" si="147"/>
        <v>0</v>
      </c>
      <c r="AI474" s="1">
        <f t="shared" si="148"/>
        <v>1</v>
      </c>
    </row>
    <row r="475" spans="1:35" s="1" customFormat="1" ht="14.25" customHeight="1" x14ac:dyDescent="0.25">
      <c r="A475" s="31">
        <v>1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244</v>
      </c>
      <c r="G475" s="32" t="s">
        <v>223</v>
      </c>
      <c r="H475" s="32" t="s">
        <v>352</v>
      </c>
      <c r="I475" s="31" t="s">
        <v>407</v>
      </c>
      <c r="J475" s="31">
        <v>99</v>
      </c>
      <c r="K475" s="33" t="s">
        <v>704</v>
      </c>
      <c r="L475" s="33" t="s">
        <v>704</v>
      </c>
      <c r="M475" s="34" t="s">
        <v>722</v>
      </c>
      <c r="N475" s="34" t="s">
        <v>1706</v>
      </c>
      <c r="O475" s="35">
        <v>1</v>
      </c>
      <c r="P475" s="35"/>
      <c r="Q475" s="32"/>
      <c r="S475" s="1">
        <f t="shared" si="133"/>
        <v>0</v>
      </c>
      <c r="T475" s="1">
        <f t="shared" si="134"/>
        <v>0</v>
      </c>
      <c r="U475" s="1">
        <f t="shared" si="135"/>
        <v>0</v>
      </c>
      <c r="V475" s="1">
        <f t="shared" si="136"/>
        <v>0</v>
      </c>
      <c r="W475" s="1">
        <f t="shared" si="137"/>
        <v>0</v>
      </c>
      <c r="X475" s="1">
        <f t="shared" si="138"/>
        <v>0</v>
      </c>
      <c r="Y475" s="1">
        <f t="shared" si="139"/>
        <v>0</v>
      </c>
      <c r="Z475" s="1">
        <f t="shared" si="140"/>
        <v>0</v>
      </c>
      <c r="AA475" s="1">
        <f t="shared" si="141"/>
        <v>0</v>
      </c>
      <c r="AB475" s="1">
        <f t="shared" si="142"/>
        <v>0</v>
      </c>
      <c r="AD475" s="1">
        <f t="shared" si="143"/>
        <v>0</v>
      </c>
      <c r="AE475" s="1">
        <f t="shared" si="144"/>
        <v>1</v>
      </c>
      <c r="AF475" s="1">
        <f t="shared" si="145"/>
        <v>0</v>
      </c>
      <c r="AG475" s="1">
        <f t="shared" si="146"/>
        <v>0</v>
      </c>
      <c r="AH475" s="1">
        <f t="shared" si="147"/>
        <v>0</v>
      </c>
      <c r="AI475" s="1">
        <f t="shared" si="148"/>
        <v>0</v>
      </c>
    </row>
    <row r="476" spans="1:35" s="1" customFormat="1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245</v>
      </c>
      <c r="G476" s="32" t="s">
        <v>219</v>
      </c>
      <c r="H476" s="32" t="s">
        <v>352</v>
      </c>
      <c r="I476" s="31" t="s">
        <v>408</v>
      </c>
      <c r="J476" s="31">
        <v>8</v>
      </c>
      <c r="K476" s="33" t="s">
        <v>704</v>
      </c>
      <c r="L476" s="33" t="s">
        <v>704</v>
      </c>
      <c r="M476" s="34" t="s">
        <v>722</v>
      </c>
      <c r="N476" s="34" t="s">
        <v>1706</v>
      </c>
      <c r="O476" s="35">
        <v>1</v>
      </c>
      <c r="P476" s="35"/>
      <c r="Q476" s="32" t="s">
        <v>1970</v>
      </c>
      <c r="S476" s="1">
        <f t="shared" si="133"/>
        <v>0</v>
      </c>
      <c r="T476" s="1">
        <f t="shared" si="134"/>
        <v>0</v>
      </c>
      <c r="U476" s="1">
        <f t="shared" si="135"/>
        <v>0</v>
      </c>
      <c r="V476" s="1">
        <f t="shared" si="136"/>
        <v>0</v>
      </c>
      <c r="W476" s="1">
        <f t="shared" si="137"/>
        <v>0</v>
      </c>
      <c r="X476" s="1">
        <f t="shared" si="138"/>
        <v>0</v>
      </c>
      <c r="Y476" s="1">
        <f t="shared" si="139"/>
        <v>0</v>
      </c>
      <c r="Z476" s="1">
        <f t="shared" si="140"/>
        <v>1</v>
      </c>
      <c r="AA476" s="1">
        <f t="shared" si="141"/>
        <v>0</v>
      </c>
      <c r="AB476" s="1">
        <f t="shared" si="142"/>
        <v>0</v>
      </c>
      <c r="AD476" s="1">
        <f t="shared" si="143"/>
        <v>0</v>
      </c>
      <c r="AE476" s="1">
        <f t="shared" si="144"/>
        <v>1</v>
      </c>
      <c r="AF476" s="1">
        <f t="shared" si="145"/>
        <v>0</v>
      </c>
      <c r="AG476" s="1">
        <f t="shared" si="146"/>
        <v>0</v>
      </c>
      <c r="AH476" s="1">
        <f t="shared" si="147"/>
        <v>0</v>
      </c>
      <c r="AI476" s="1">
        <f t="shared" si="148"/>
        <v>0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1015</v>
      </c>
      <c r="G477" s="32" t="s">
        <v>39</v>
      </c>
      <c r="H477" s="32" t="s">
        <v>352</v>
      </c>
      <c r="I477" s="31" t="s">
        <v>1016</v>
      </c>
      <c r="J477" s="31">
        <v>1</v>
      </c>
      <c r="K477" s="33" t="s">
        <v>704</v>
      </c>
      <c r="L477" s="33" t="s">
        <v>704</v>
      </c>
      <c r="M477" s="34" t="s">
        <v>722</v>
      </c>
      <c r="N477" s="34" t="s">
        <v>1706</v>
      </c>
      <c r="O477" s="35">
        <v>1</v>
      </c>
      <c r="P477" s="35"/>
      <c r="Q477" s="32"/>
      <c r="S477" s="1">
        <f t="shared" si="133"/>
        <v>1</v>
      </c>
      <c r="T477" s="1">
        <f t="shared" si="134"/>
        <v>0</v>
      </c>
      <c r="U477" s="1">
        <f t="shared" si="135"/>
        <v>0</v>
      </c>
      <c r="V477" s="1">
        <f t="shared" si="136"/>
        <v>0</v>
      </c>
      <c r="W477" s="1">
        <f t="shared" si="137"/>
        <v>0</v>
      </c>
      <c r="X477" s="1">
        <f t="shared" si="138"/>
        <v>0</v>
      </c>
      <c r="Y477" s="1">
        <f t="shared" si="139"/>
        <v>0</v>
      </c>
      <c r="Z477" s="1">
        <f t="shared" si="140"/>
        <v>0</v>
      </c>
      <c r="AA477" s="1">
        <f t="shared" si="141"/>
        <v>0</v>
      </c>
      <c r="AB477" s="1">
        <f t="shared" si="142"/>
        <v>0</v>
      </c>
      <c r="AD477" s="1">
        <f t="shared" si="143"/>
        <v>0</v>
      </c>
      <c r="AE477" s="1">
        <f t="shared" si="144"/>
        <v>1</v>
      </c>
      <c r="AF477" s="1">
        <f t="shared" si="145"/>
        <v>0</v>
      </c>
      <c r="AG477" s="1">
        <f t="shared" si="146"/>
        <v>0</v>
      </c>
      <c r="AH477" s="1">
        <f t="shared" si="147"/>
        <v>0</v>
      </c>
      <c r="AI477" s="1">
        <f t="shared" si="148"/>
        <v>0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1017</v>
      </c>
      <c r="G478" s="32" t="s">
        <v>300</v>
      </c>
      <c r="H478" s="32" t="s">
        <v>352</v>
      </c>
      <c r="I478" s="31" t="s">
        <v>1018</v>
      </c>
      <c r="J478" s="31">
        <v>1</v>
      </c>
      <c r="K478" s="33" t="s">
        <v>704</v>
      </c>
      <c r="L478" s="33" t="s">
        <v>704</v>
      </c>
      <c r="M478" s="34" t="s">
        <v>722</v>
      </c>
      <c r="N478" s="34" t="s">
        <v>1706</v>
      </c>
      <c r="O478" s="35">
        <v>1</v>
      </c>
      <c r="P478" s="35"/>
      <c r="Q478" s="32"/>
      <c r="S478" s="1">
        <f t="shared" si="133"/>
        <v>1</v>
      </c>
      <c r="T478" s="1">
        <f t="shared" si="134"/>
        <v>0</v>
      </c>
      <c r="U478" s="1">
        <f t="shared" si="135"/>
        <v>0</v>
      </c>
      <c r="V478" s="1">
        <f t="shared" si="136"/>
        <v>0</v>
      </c>
      <c r="W478" s="1">
        <f t="shared" si="137"/>
        <v>0</v>
      </c>
      <c r="X478" s="1">
        <f t="shared" si="138"/>
        <v>0</v>
      </c>
      <c r="Y478" s="1">
        <f t="shared" si="139"/>
        <v>0</v>
      </c>
      <c r="Z478" s="1">
        <f t="shared" si="140"/>
        <v>0</v>
      </c>
      <c r="AA478" s="1">
        <f t="shared" si="141"/>
        <v>0</v>
      </c>
      <c r="AB478" s="1">
        <f t="shared" si="142"/>
        <v>0</v>
      </c>
      <c r="AD478" s="1">
        <f t="shared" si="143"/>
        <v>0</v>
      </c>
      <c r="AE478" s="1">
        <f t="shared" si="144"/>
        <v>1</v>
      </c>
      <c r="AF478" s="1">
        <f t="shared" si="145"/>
        <v>0</v>
      </c>
      <c r="AG478" s="1">
        <f t="shared" si="146"/>
        <v>0</v>
      </c>
      <c r="AH478" s="1">
        <f t="shared" si="147"/>
        <v>0</v>
      </c>
      <c r="AI478" s="1">
        <f t="shared" si="148"/>
        <v>0</v>
      </c>
    </row>
    <row r="479" spans="1:35" s="1" customFormat="1" ht="14.25" customHeight="1" x14ac:dyDescent="0.25">
      <c r="A479" s="15">
        <v>0</v>
      </c>
      <c r="B479" s="15">
        <v>2</v>
      </c>
      <c r="C479" s="15">
        <v>7</v>
      </c>
      <c r="D479" s="20" t="s">
        <v>1540</v>
      </c>
      <c r="E479" s="20" t="s">
        <v>155</v>
      </c>
      <c r="F479" s="20" t="s">
        <v>1541</v>
      </c>
      <c r="G479" s="16" t="s">
        <v>206</v>
      </c>
      <c r="H479" s="20" t="s">
        <v>352</v>
      </c>
      <c r="I479" s="21" t="s">
        <v>1542</v>
      </c>
      <c r="J479" s="15">
        <v>99</v>
      </c>
      <c r="K479" s="10" t="s">
        <v>703</v>
      </c>
      <c r="L479" s="10" t="s">
        <v>713</v>
      </c>
      <c r="M479" s="19" t="s">
        <v>723</v>
      </c>
      <c r="N479" s="17"/>
      <c r="Q479" s="16"/>
      <c r="S479" s="1">
        <f t="shared" si="133"/>
        <v>0</v>
      </c>
      <c r="T479" s="1">
        <f t="shared" si="134"/>
        <v>0</v>
      </c>
      <c r="U479" s="1">
        <f t="shared" si="135"/>
        <v>0</v>
      </c>
      <c r="V479" s="1">
        <f t="shared" si="136"/>
        <v>0</v>
      </c>
      <c r="W479" s="1">
        <f t="shared" si="137"/>
        <v>0</v>
      </c>
      <c r="X479" s="1">
        <f t="shared" si="138"/>
        <v>0</v>
      </c>
      <c r="Y479" s="1">
        <f t="shared" si="139"/>
        <v>0</v>
      </c>
      <c r="Z479" s="1">
        <f t="shared" si="140"/>
        <v>0</v>
      </c>
      <c r="AA479" s="1">
        <f t="shared" si="141"/>
        <v>0</v>
      </c>
      <c r="AB479" s="1">
        <f t="shared" si="142"/>
        <v>0</v>
      </c>
      <c r="AD479" s="1">
        <f t="shared" si="143"/>
        <v>0</v>
      </c>
      <c r="AE479" s="1">
        <f t="shared" si="144"/>
        <v>0</v>
      </c>
      <c r="AF479" s="1">
        <f t="shared" si="145"/>
        <v>0</v>
      </c>
      <c r="AG479" s="1">
        <f t="shared" si="146"/>
        <v>0</v>
      </c>
      <c r="AH479" s="1">
        <f t="shared" si="147"/>
        <v>0</v>
      </c>
      <c r="AI479" s="1">
        <f t="shared" si="148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73</v>
      </c>
      <c r="E480" s="32" t="s">
        <v>28</v>
      </c>
      <c r="F480" s="32" t="s">
        <v>263</v>
      </c>
      <c r="G480" s="32" t="s">
        <v>193</v>
      </c>
      <c r="H480" s="32" t="s">
        <v>352</v>
      </c>
      <c r="I480" s="31" t="s">
        <v>419</v>
      </c>
      <c r="J480" s="31">
        <v>9</v>
      </c>
      <c r="K480" s="33" t="s">
        <v>703</v>
      </c>
      <c r="L480" s="33" t="s">
        <v>704</v>
      </c>
      <c r="M480" s="34" t="s">
        <v>722</v>
      </c>
      <c r="N480" s="34" t="s">
        <v>1706</v>
      </c>
      <c r="O480" s="35">
        <v>1</v>
      </c>
      <c r="P480" s="35"/>
      <c r="Q480" s="32"/>
      <c r="S480" s="1">
        <f t="shared" si="133"/>
        <v>0</v>
      </c>
      <c r="T480" s="1">
        <f t="shared" si="134"/>
        <v>0</v>
      </c>
      <c r="U480" s="1">
        <f t="shared" si="135"/>
        <v>0</v>
      </c>
      <c r="V480" s="1">
        <f t="shared" si="136"/>
        <v>0</v>
      </c>
      <c r="W480" s="1">
        <f t="shared" si="137"/>
        <v>0</v>
      </c>
      <c r="X480" s="1">
        <f t="shared" si="138"/>
        <v>0</v>
      </c>
      <c r="Y480" s="1">
        <f t="shared" si="139"/>
        <v>0</v>
      </c>
      <c r="Z480" s="1">
        <f t="shared" si="140"/>
        <v>0</v>
      </c>
      <c r="AA480" s="1">
        <f t="shared" si="141"/>
        <v>1</v>
      </c>
      <c r="AB480" s="1">
        <f t="shared" si="142"/>
        <v>0</v>
      </c>
      <c r="AD480" s="1">
        <f t="shared" si="143"/>
        <v>0</v>
      </c>
      <c r="AE480" s="1">
        <f t="shared" si="144"/>
        <v>1</v>
      </c>
      <c r="AF480" s="1">
        <f t="shared" si="145"/>
        <v>0</v>
      </c>
      <c r="AG480" s="1">
        <f t="shared" si="146"/>
        <v>1</v>
      </c>
      <c r="AH480" s="1">
        <f t="shared" si="147"/>
        <v>0</v>
      </c>
      <c r="AI480" s="1">
        <f t="shared" si="148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59</v>
      </c>
      <c r="E481" s="32" t="s">
        <v>162</v>
      </c>
      <c r="F481" s="32" t="s">
        <v>224</v>
      </c>
      <c r="G481" s="32" t="s">
        <v>225</v>
      </c>
      <c r="H481" s="32" t="s">
        <v>352</v>
      </c>
      <c r="I481" s="31" t="s">
        <v>396</v>
      </c>
      <c r="J481" s="31">
        <v>99</v>
      </c>
      <c r="K481" s="33" t="s">
        <v>704</v>
      </c>
      <c r="L481" s="33" t="s">
        <v>713</v>
      </c>
      <c r="M481" s="34" t="s">
        <v>723</v>
      </c>
      <c r="N481" s="34" t="s">
        <v>1712</v>
      </c>
      <c r="O481" s="35">
        <v>1</v>
      </c>
      <c r="P481" s="35"/>
      <c r="Q481" s="32"/>
      <c r="S481" s="1">
        <f t="shared" si="133"/>
        <v>0</v>
      </c>
      <c r="T481" s="1">
        <f t="shared" si="134"/>
        <v>0</v>
      </c>
      <c r="U481" s="1">
        <f t="shared" si="135"/>
        <v>0</v>
      </c>
      <c r="V481" s="1">
        <f t="shared" si="136"/>
        <v>0</v>
      </c>
      <c r="W481" s="1">
        <f t="shared" si="137"/>
        <v>0</v>
      </c>
      <c r="X481" s="1">
        <f t="shared" si="138"/>
        <v>0</v>
      </c>
      <c r="Y481" s="1">
        <f t="shared" si="139"/>
        <v>0</v>
      </c>
      <c r="Z481" s="1">
        <f t="shared" si="140"/>
        <v>0</v>
      </c>
      <c r="AA481" s="1">
        <f t="shared" si="141"/>
        <v>0</v>
      </c>
      <c r="AB481" s="1">
        <f t="shared" si="142"/>
        <v>0</v>
      </c>
      <c r="AD481" s="1">
        <f t="shared" si="143"/>
        <v>0</v>
      </c>
      <c r="AE481" s="1">
        <f t="shared" si="144"/>
        <v>1</v>
      </c>
      <c r="AF481" s="1">
        <f t="shared" si="145"/>
        <v>0</v>
      </c>
      <c r="AG481" s="1">
        <f t="shared" si="146"/>
        <v>1</v>
      </c>
      <c r="AH481" s="1">
        <f t="shared" si="147"/>
        <v>0</v>
      </c>
      <c r="AI481" s="1">
        <f t="shared" si="148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1056</v>
      </c>
      <c r="E482" s="32" t="s">
        <v>155</v>
      </c>
      <c r="F482" s="32" t="s">
        <v>1057</v>
      </c>
      <c r="G482" s="32" t="s">
        <v>219</v>
      </c>
      <c r="H482" s="32" t="s">
        <v>352</v>
      </c>
      <c r="I482" s="31" t="s">
        <v>1058</v>
      </c>
      <c r="J482" s="31">
        <v>8</v>
      </c>
      <c r="K482" s="33" t="s">
        <v>703</v>
      </c>
      <c r="L482" s="33" t="s">
        <v>713</v>
      </c>
      <c r="M482" s="34" t="s">
        <v>723</v>
      </c>
      <c r="N482" s="34" t="s">
        <v>1710</v>
      </c>
      <c r="O482" s="35">
        <v>1</v>
      </c>
      <c r="P482" s="35"/>
      <c r="Q482" s="32"/>
      <c r="S482" s="1">
        <f t="shared" si="133"/>
        <v>0</v>
      </c>
      <c r="T482" s="1">
        <f t="shared" si="134"/>
        <v>0</v>
      </c>
      <c r="U482" s="1">
        <f t="shared" si="135"/>
        <v>0</v>
      </c>
      <c r="V482" s="1">
        <f t="shared" si="136"/>
        <v>0</v>
      </c>
      <c r="W482" s="1">
        <f t="shared" si="137"/>
        <v>0</v>
      </c>
      <c r="X482" s="1">
        <f t="shared" si="138"/>
        <v>0</v>
      </c>
      <c r="Y482" s="1">
        <f t="shared" si="139"/>
        <v>0</v>
      </c>
      <c r="Z482" s="1">
        <f t="shared" si="140"/>
        <v>1</v>
      </c>
      <c r="AA482" s="1">
        <f t="shared" si="141"/>
        <v>0</v>
      </c>
      <c r="AB482" s="1">
        <f t="shared" si="142"/>
        <v>0</v>
      </c>
      <c r="AD482" s="1">
        <f t="shared" si="143"/>
        <v>0</v>
      </c>
      <c r="AE482" s="1">
        <f t="shared" si="144"/>
        <v>1</v>
      </c>
      <c r="AF482" s="1">
        <f t="shared" si="145"/>
        <v>0</v>
      </c>
      <c r="AG482" s="1">
        <f t="shared" si="146"/>
        <v>1</v>
      </c>
      <c r="AH482" s="1">
        <f t="shared" si="147"/>
        <v>0</v>
      </c>
      <c r="AI482" s="1">
        <f t="shared" si="148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81</v>
      </c>
      <c r="E483" s="32" t="s">
        <v>155</v>
      </c>
      <c r="F483" s="32" t="s">
        <v>272</v>
      </c>
      <c r="G483" s="32" t="s">
        <v>253</v>
      </c>
      <c r="H483" s="32" t="s">
        <v>352</v>
      </c>
      <c r="I483" s="31" t="s">
        <v>426</v>
      </c>
      <c r="J483" s="31">
        <v>99</v>
      </c>
      <c r="K483" s="33" t="s">
        <v>704</v>
      </c>
      <c r="L483" s="33" t="s">
        <v>724</v>
      </c>
      <c r="M483" s="34" t="s">
        <v>725</v>
      </c>
      <c r="N483" s="34" t="s">
        <v>1718</v>
      </c>
      <c r="O483" s="35">
        <v>1</v>
      </c>
      <c r="P483" s="35"/>
      <c r="Q483" s="32"/>
      <c r="S483" s="1">
        <f t="shared" si="133"/>
        <v>0</v>
      </c>
      <c r="T483" s="1">
        <f t="shared" si="134"/>
        <v>0</v>
      </c>
      <c r="U483" s="1">
        <f t="shared" si="135"/>
        <v>0</v>
      </c>
      <c r="V483" s="1">
        <f t="shared" si="136"/>
        <v>0</v>
      </c>
      <c r="W483" s="1">
        <f t="shared" si="137"/>
        <v>0</v>
      </c>
      <c r="X483" s="1">
        <f t="shared" si="138"/>
        <v>0</v>
      </c>
      <c r="Y483" s="1">
        <f t="shared" si="139"/>
        <v>0</v>
      </c>
      <c r="Z483" s="1">
        <f t="shared" si="140"/>
        <v>0</v>
      </c>
      <c r="AA483" s="1">
        <f t="shared" si="141"/>
        <v>0</v>
      </c>
      <c r="AB483" s="1">
        <f t="shared" si="142"/>
        <v>0</v>
      </c>
      <c r="AD483" s="1">
        <f t="shared" si="143"/>
        <v>0</v>
      </c>
      <c r="AE483" s="1">
        <f t="shared" si="144"/>
        <v>1</v>
      </c>
      <c r="AF483" s="1">
        <f t="shared" si="145"/>
        <v>0</v>
      </c>
      <c r="AG483" s="1">
        <f t="shared" si="146"/>
        <v>1</v>
      </c>
      <c r="AH483" s="1">
        <f t="shared" si="147"/>
        <v>0</v>
      </c>
      <c r="AI483" s="1">
        <f t="shared" si="148"/>
        <v>1</v>
      </c>
    </row>
    <row r="484" spans="1:35" s="1" customFormat="1" ht="14.25" customHeight="1" x14ac:dyDescent="0.25">
      <c r="A484" s="37">
        <v>0</v>
      </c>
      <c r="B484" s="37">
        <v>2</v>
      </c>
      <c r="C484" s="37">
        <v>7</v>
      </c>
      <c r="D484" s="36" t="s">
        <v>1737</v>
      </c>
      <c r="E484" s="36" t="s">
        <v>1738</v>
      </c>
      <c r="F484" s="36" t="s">
        <v>1739</v>
      </c>
      <c r="G484" s="36" t="s">
        <v>189</v>
      </c>
      <c r="H484" s="36" t="s">
        <v>352</v>
      </c>
      <c r="I484" s="37"/>
      <c r="J484" s="37"/>
      <c r="K484" s="33" t="s">
        <v>694</v>
      </c>
      <c r="L484" s="33"/>
      <c r="M484" s="34"/>
      <c r="N484" s="34" t="s">
        <v>1693</v>
      </c>
      <c r="O484" s="35">
        <v>1</v>
      </c>
      <c r="P484" s="35">
        <v>1</v>
      </c>
      <c r="Q484" s="36"/>
      <c r="S484" s="1">
        <f t="shared" si="133"/>
        <v>0</v>
      </c>
      <c r="T484" s="1">
        <f t="shared" si="134"/>
        <v>0</v>
      </c>
      <c r="U484" s="1">
        <f t="shared" si="135"/>
        <v>0</v>
      </c>
      <c r="V484" s="1">
        <f t="shared" si="136"/>
        <v>0</v>
      </c>
      <c r="W484" s="1">
        <f t="shared" si="137"/>
        <v>0</v>
      </c>
      <c r="X484" s="1">
        <f t="shared" si="138"/>
        <v>0</v>
      </c>
      <c r="Y484" s="1">
        <f t="shared" si="139"/>
        <v>0</v>
      </c>
      <c r="Z484" s="1">
        <f t="shared" si="140"/>
        <v>0</v>
      </c>
      <c r="AA484" s="1">
        <f t="shared" si="141"/>
        <v>0</v>
      </c>
      <c r="AB484" s="1">
        <f t="shared" si="142"/>
        <v>0</v>
      </c>
      <c r="AD484" s="1">
        <f t="shared" si="143"/>
        <v>1</v>
      </c>
      <c r="AE484" s="1">
        <f t="shared" si="144"/>
        <v>0</v>
      </c>
      <c r="AF484" s="1">
        <f t="shared" si="145"/>
        <v>1</v>
      </c>
      <c r="AG484" s="1">
        <f t="shared" si="146"/>
        <v>0</v>
      </c>
      <c r="AH484" s="1">
        <f t="shared" si="147"/>
        <v>1</v>
      </c>
      <c r="AI484" s="1">
        <f t="shared" si="148"/>
        <v>0</v>
      </c>
    </row>
    <row r="485" spans="1:35" s="1" customFormat="1" ht="14.25" customHeight="1" x14ac:dyDescent="0.25">
      <c r="A485" s="37">
        <v>0</v>
      </c>
      <c r="B485" s="37">
        <v>2</v>
      </c>
      <c r="C485" s="37">
        <v>7</v>
      </c>
      <c r="D485" s="36" t="s">
        <v>510</v>
      </c>
      <c r="E485" s="36" t="s">
        <v>155</v>
      </c>
      <c r="F485" s="36" t="s">
        <v>567</v>
      </c>
      <c r="G485" s="36" t="s">
        <v>319</v>
      </c>
      <c r="H485" s="36" t="s">
        <v>352</v>
      </c>
      <c r="I485" s="37" t="s">
        <v>573</v>
      </c>
      <c r="J485" s="37">
        <v>99</v>
      </c>
      <c r="K485" s="33" t="s">
        <v>935</v>
      </c>
      <c r="L485" s="33" t="s">
        <v>713</v>
      </c>
      <c r="M485" s="34" t="s">
        <v>723</v>
      </c>
      <c r="N485" s="34" t="s">
        <v>1723</v>
      </c>
      <c r="O485" s="35">
        <v>1</v>
      </c>
      <c r="P485" s="35"/>
      <c r="Q485" s="36"/>
      <c r="S485" s="1">
        <f t="shared" si="133"/>
        <v>0</v>
      </c>
      <c r="T485" s="1">
        <f t="shared" si="134"/>
        <v>0</v>
      </c>
      <c r="U485" s="1">
        <f t="shared" si="135"/>
        <v>0</v>
      </c>
      <c r="V485" s="1">
        <f t="shared" si="136"/>
        <v>0</v>
      </c>
      <c r="W485" s="1">
        <f t="shared" si="137"/>
        <v>0</v>
      </c>
      <c r="X485" s="1">
        <f t="shared" si="138"/>
        <v>0</v>
      </c>
      <c r="Y485" s="1">
        <f t="shared" si="139"/>
        <v>0</v>
      </c>
      <c r="Z485" s="1">
        <f t="shared" si="140"/>
        <v>0</v>
      </c>
      <c r="AA485" s="1">
        <f t="shared" si="141"/>
        <v>0</v>
      </c>
      <c r="AB485" s="1">
        <f t="shared" si="142"/>
        <v>0</v>
      </c>
      <c r="AD485" s="1">
        <f t="shared" si="143"/>
        <v>0</v>
      </c>
      <c r="AE485" s="1">
        <f t="shared" si="144"/>
        <v>1</v>
      </c>
      <c r="AF485" s="1">
        <f t="shared" si="145"/>
        <v>0</v>
      </c>
      <c r="AG485" s="1">
        <f t="shared" si="146"/>
        <v>1</v>
      </c>
      <c r="AH485" s="1">
        <f t="shared" si="147"/>
        <v>0</v>
      </c>
      <c r="AI485" s="1">
        <f t="shared" si="148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74</v>
      </c>
      <c r="E486" s="32" t="s">
        <v>155</v>
      </c>
      <c r="F486" s="32" t="s">
        <v>667</v>
      </c>
      <c r="G486" s="32" t="s">
        <v>264</v>
      </c>
      <c r="H486" s="32" t="s">
        <v>352</v>
      </c>
      <c r="I486" s="31" t="s">
        <v>420</v>
      </c>
      <c r="J486" s="31">
        <v>99</v>
      </c>
      <c r="K486" s="33" t="s">
        <v>703</v>
      </c>
      <c r="L486" s="33" t="s">
        <v>720</v>
      </c>
      <c r="M486" s="34" t="s">
        <v>723</v>
      </c>
      <c r="N486" s="34" t="s">
        <v>1706</v>
      </c>
      <c r="O486" s="35">
        <v>1</v>
      </c>
      <c r="P486" s="35"/>
      <c r="Q486" s="32"/>
      <c r="S486" s="1">
        <f t="shared" si="133"/>
        <v>0</v>
      </c>
      <c r="T486" s="1">
        <f t="shared" si="134"/>
        <v>0</v>
      </c>
      <c r="U486" s="1">
        <f t="shared" si="135"/>
        <v>0</v>
      </c>
      <c r="V486" s="1">
        <f t="shared" si="136"/>
        <v>0</v>
      </c>
      <c r="W486" s="1">
        <f t="shared" si="137"/>
        <v>0</v>
      </c>
      <c r="X486" s="1">
        <f t="shared" si="138"/>
        <v>0</v>
      </c>
      <c r="Y486" s="1">
        <f t="shared" si="139"/>
        <v>0</v>
      </c>
      <c r="Z486" s="1">
        <f t="shared" si="140"/>
        <v>0</v>
      </c>
      <c r="AA486" s="1">
        <f t="shared" si="141"/>
        <v>0</v>
      </c>
      <c r="AB486" s="1">
        <f t="shared" si="142"/>
        <v>0</v>
      </c>
      <c r="AD486" s="1">
        <f t="shared" si="143"/>
        <v>0</v>
      </c>
      <c r="AE486" s="1">
        <f t="shared" si="144"/>
        <v>1</v>
      </c>
      <c r="AF486" s="1">
        <f t="shared" si="145"/>
        <v>0</v>
      </c>
      <c r="AG486" s="1">
        <f t="shared" si="146"/>
        <v>1</v>
      </c>
      <c r="AH486" s="1">
        <f t="shared" si="147"/>
        <v>0</v>
      </c>
      <c r="AI486" s="1">
        <f t="shared" si="148"/>
        <v>1</v>
      </c>
    </row>
    <row r="487" spans="1:35" s="1" customFormat="1" ht="14.25" customHeight="1" x14ac:dyDescent="0.25">
      <c r="A487" s="15">
        <v>0</v>
      </c>
      <c r="B487" s="15">
        <v>2</v>
      </c>
      <c r="C487" s="15">
        <v>7</v>
      </c>
      <c r="D487" s="20" t="s">
        <v>1819</v>
      </c>
      <c r="E487" s="16" t="s">
        <v>155</v>
      </c>
      <c r="F487" s="20" t="s">
        <v>1820</v>
      </c>
      <c r="G487" s="20" t="s">
        <v>281</v>
      </c>
      <c r="H487" s="20" t="s">
        <v>352</v>
      </c>
      <c r="I487" s="21" t="s">
        <v>1821</v>
      </c>
      <c r="J487" s="15">
        <v>99</v>
      </c>
      <c r="K487" s="10" t="s">
        <v>694</v>
      </c>
      <c r="L487" s="10" t="s">
        <v>713</v>
      </c>
      <c r="M487" s="19" t="s">
        <v>723</v>
      </c>
      <c r="N487" s="19"/>
      <c r="Q487" s="20"/>
      <c r="S487" s="1">
        <f t="shared" si="133"/>
        <v>0</v>
      </c>
      <c r="T487" s="1">
        <f t="shared" si="134"/>
        <v>0</v>
      </c>
      <c r="U487" s="1">
        <f t="shared" si="135"/>
        <v>0</v>
      </c>
      <c r="V487" s="1">
        <f t="shared" si="136"/>
        <v>0</v>
      </c>
      <c r="W487" s="1">
        <f t="shared" si="137"/>
        <v>0</v>
      </c>
      <c r="X487" s="1">
        <f t="shared" si="138"/>
        <v>0</v>
      </c>
      <c r="Y487" s="1">
        <f t="shared" si="139"/>
        <v>0</v>
      </c>
      <c r="Z487" s="1">
        <f t="shared" si="140"/>
        <v>0</v>
      </c>
      <c r="AA487" s="1">
        <f t="shared" si="141"/>
        <v>0</v>
      </c>
      <c r="AB487" s="1">
        <f t="shared" si="142"/>
        <v>0</v>
      </c>
      <c r="AD487" s="1">
        <f t="shared" si="143"/>
        <v>0</v>
      </c>
      <c r="AE487" s="1">
        <f t="shared" si="144"/>
        <v>0</v>
      </c>
      <c r="AF487" s="1">
        <f t="shared" si="145"/>
        <v>0</v>
      </c>
      <c r="AG487" s="1">
        <f t="shared" si="146"/>
        <v>0</v>
      </c>
      <c r="AH487" s="1">
        <f t="shared" si="147"/>
        <v>0</v>
      </c>
      <c r="AI487" s="1">
        <f t="shared" si="148"/>
        <v>1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60</v>
      </c>
      <c r="E488" s="32" t="s">
        <v>162</v>
      </c>
      <c r="F488" s="32" t="s">
        <v>226</v>
      </c>
      <c r="G488" s="32" t="s">
        <v>189</v>
      </c>
      <c r="H488" s="32" t="s">
        <v>352</v>
      </c>
      <c r="I488" s="31" t="s">
        <v>397</v>
      </c>
      <c r="J488" s="31">
        <v>99</v>
      </c>
      <c r="K488" s="33" t="s">
        <v>704</v>
      </c>
      <c r="L488" s="33" t="s">
        <v>713</v>
      </c>
      <c r="M488" s="34" t="s">
        <v>723</v>
      </c>
      <c r="N488" s="34" t="s">
        <v>1710</v>
      </c>
      <c r="O488" s="35">
        <v>1</v>
      </c>
      <c r="P488" s="35"/>
      <c r="Q488" s="32"/>
      <c r="S488" s="1">
        <f t="shared" si="133"/>
        <v>0</v>
      </c>
      <c r="T488" s="1">
        <f t="shared" si="134"/>
        <v>0</v>
      </c>
      <c r="U488" s="1">
        <f t="shared" si="135"/>
        <v>0</v>
      </c>
      <c r="V488" s="1">
        <f t="shared" si="136"/>
        <v>0</v>
      </c>
      <c r="W488" s="1">
        <f t="shared" si="137"/>
        <v>0</v>
      </c>
      <c r="X488" s="1">
        <f t="shared" si="138"/>
        <v>0</v>
      </c>
      <c r="Y488" s="1">
        <f t="shared" si="139"/>
        <v>0</v>
      </c>
      <c r="Z488" s="1">
        <f t="shared" si="140"/>
        <v>0</v>
      </c>
      <c r="AA488" s="1">
        <f t="shared" si="141"/>
        <v>0</v>
      </c>
      <c r="AB488" s="1">
        <f t="shared" si="142"/>
        <v>0</v>
      </c>
      <c r="AD488" s="1">
        <f t="shared" si="143"/>
        <v>0</v>
      </c>
      <c r="AE488" s="1">
        <f t="shared" si="144"/>
        <v>1</v>
      </c>
      <c r="AF488" s="1">
        <f t="shared" si="145"/>
        <v>0</v>
      </c>
      <c r="AG488" s="1">
        <f t="shared" si="146"/>
        <v>1</v>
      </c>
      <c r="AH488" s="1">
        <f t="shared" si="147"/>
        <v>0</v>
      </c>
      <c r="AI488" s="1">
        <f t="shared" si="148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1303</v>
      </c>
      <c r="E489" s="32" t="s">
        <v>155</v>
      </c>
      <c r="F489" s="32" t="s">
        <v>1121</v>
      </c>
      <c r="G489" s="32" t="s">
        <v>191</v>
      </c>
      <c r="H489" s="32" t="s">
        <v>352</v>
      </c>
      <c r="I489" s="31" t="s">
        <v>1340</v>
      </c>
      <c r="J489" s="31">
        <v>99</v>
      </c>
      <c r="K489" s="33" t="s">
        <v>703</v>
      </c>
      <c r="L489" s="33" t="s">
        <v>39</v>
      </c>
      <c r="M489" s="34" t="s">
        <v>39</v>
      </c>
      <c r="N489" s="34" t="s">
        <v>1693</v>
      </c>
      <c r="O489" s="35">
        <v>1</v>
      </c>
      <c r="P489" s="35">
        <v>1</v>
      </c>
      <c r="Q489" s="32"/>
      <c r="S489" s="1">
        <f t="shared" si="133"/>
        <v>0</v>
      </c>
      <c r="T489" s="1">
        <f t="shared" si="134"/>
        <v>0</v>
      </c>
      <c r="U489" s="1">
        <f t="shared" si="135"/>
        <v>0</v>
      </c>
      <c r="V489" s="1">
        <f t="shared" si="136"/>
        <v>0</v>
      </c>
      <c r="W489" s="1">
        <f t="shared" si="137"/>
        <v>0</v>
      </c>
      <c r="X489" s="1">
        <f t="shared" si="138"/>
        <v>0</v>
      </c>
      <c r="Y489" s="1">
        <f t="shared" si="139"/>
        <v>0</v>
      </c>
      <c r="Z489" s="1">
        <f t="shared" si="140"/>
        <v>0</v>
      </c>
      <c r="AA489" s="1">
        <f t="shared" si="141"/>
        <v>0</v>
      </c>
      <c r="AB489" s="1">
        <f t="shared" si="142"/>
        <v>0</v>
      </c>
      <c r="AD489" s="1">
        <f t="shared" si="143"/>
        <v>1</v>
      </c>
      <c r="AE489" s="1">
        <f t="shared" si="144"/>
        <v>0</v>
      </c>
      <c r="AF489" s="1">
        <f t="shared" si="145"/>
        <v>1</v>
      </c>
      <c r="AG489" s="1">
        <f t="shared" si="146"/>
        <v>0</v>
      </c>
      <c r="AH489" s="1">
        <f t="shared" si="147"/>
        <v>1</v>
      </c>
      <c r="AI489" s="1">
        <f t="shared" si="148"/>
        <v>0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581</v>
      </c>
      <c r="E490" s="32" t="s">
        <v>1311</v>
      </c>
      <c r="F490" s="32" t="s">
        <v>668</v>
      </c>
      <c r="G490" s="32" t="s">
        <v>239</v>
      </c>
      <c r="H490" s="32" t="s">
        <v>352</v>
      </c>
      <c r="I490" s="31" t="s">
        <v>403</v>
      </c>
      <c r="J490" s="31">
        <v>1</v>
      </c>
      <c r="K490" s="33" t="s">
        <v>704</v>
      </c>
      <c r="L490" s="33" t="s">
        <v>1677</v>
      </c>
      <c r="M490" s="34" t="s">
        <v>1408</v>
      </c>
      <c r="N490" s="34" t="s">
        <v>1710</v>
      </c>
      <c r="O490" s="35">
        <v>1</v>
      </c>
      <c r="P490" s="35"/>
      <c r="Q490" s="32"/>
      <c r="S490" s="1">
        <f t="shared" si="133"/>
        <v>1</v>
      </c>
      <c r="T490" s="1">
        <f t="shared" si="134"/>
        <v>0</v>
      </c>
      <c r="U490" s="1">
        <f t="shared" si="135"/>
        <v>0</v>
      </c>
      <c r="V490" s="1">
        <f t="shared" si="136"/>
        <v>0</v>
      </c>
      <c r="W490" s="1">
        <f t="shared" si="137"/>
        <v>0</v>
      </c>
      <c r="X490" s="1">
        <f t="shared" si="138"/>
        <v>0</v>
      </c>
      <c r="Y490" s="1">
        <f t="shared" si="139"/>
        <v>0</v>
      </c>
      <c r="Z490" s="1">
        <f t="shared" si="140"/>
        <v>0</v>
      </c>
      <c r="AA490" s="1">
        <f t="shared" si="141"/>
        <v>0</v>
      </c>
      <c r="AB490" s="1">
        <f t="shared" si="142"/>
        <v>0</v>
      </c>
      <c r="AD490" s="1">
        <f t="shared" si="143"/>
        <v>0</v>
      </c>
      <c r="AE490" s="1">
        <f t="shared" si="144"/>
        <v>1</v>
      </c>
      <c r="AF490" s="1">
        <f t="shared" si="145"/>
        <v>0</v>
      </c>
      <c r="AG490" s="1">
        <f t="shared" si="146"/>
        <v>1</v>
      </c>
      <c r="AH490" s="1">
        <f t="shared" si="147"/>
        <v>0</v>
      </c>
      <c r="AI490" s="1">
        <f t="shared" si="148"/>
        <v>1</v>
      </c>
    </row>
    <row r="491" spans="1:35" s="1" customFormat="1" ht="14.25" customHeight="1" x14ac:dyDescent="0.25">
      <c r="A491" s="31">
        <v>1</v>
      </c>
      <c r="B491" s="31">
        <v>2</v>
      </c>
      <c r="C491" s="31">
        <v>7</v>
      </c>
      <c r="D491" s="32" t="s">
        <v>581</v>
      </c>
      <c r="E491" s="32" t="s">
        <v>1311</v>
      </c>
      <c r="F491" s="32" t="s">
        <v>238</v>
      </c>
      <c r="G491" s="32" t="s">
        <v>177</v>
      </c>
      <c r="H491" s="32" t="s">
        <v>352</v>
      </c>
      <c r="I491" s="31" t="s">
        <v>402</v>
      </c>
      <c r="J491" s="31">
        <v>1</v>
      </c>
      <c r="K491" s="33" t="s">
        <v>704</v>
      </c>
      <c r="L491" s="33" t="s">
        <v>1677</v>
      </c>
      <c r="M491" s="34" t="s">
        <v>1408</v>
      </c>
      <c r="N491" s="34" t="s">
        <v>1710</v>
      </c>
      <c r="O491" s="35">
        <v>1</v>
      </c>
      <c r="P491" s="35"/>
      <c r="Q491" s="36" t="s">
        <v>1871</v>
      </c>
      <c r="S491" s="1">
        <f t="shared" si="133"/>
        <v>1</v>
      </c>
      <c r="T491" s="1">
        <f t="shared" si="134"/>
        <v>0</v>
      </c>
      <c r="U491" s="1">
        <f t="shared" si="135"/>
        <v>0</v>
      </c>
      <c r="V491" s="1">
        <f t="shared" si="136"/>
        <v>0</v>
      </c>
      <c r="W491" s="1">
        <f t="shared" si="137"/>
        <v>0</v>
      </c>
      <c r="X491" s="1">
        <f t="shared" si="138"/>
        <v>0</v>
      </c>
      <c r="Y491" s="1">
        <f t="shared" si="139"/>
        <v>0</v>
      </c>
      <c r="Z491" s="1">
        <f t="shared" si="140"/>
        <v>0</v>
      </c>
      <c r="AA491" s="1">
        <f t="shared" si="141"/>
        <v>0</v>
      </c>
      <c r="AB491" s="1">
        <f t="shared" si="142"/>
        <v>0</v>
      </c>
      <c r="AD491" s="1">
        <f t="shared" si="143"/>
        <v>0</v>
      </c>
      <c r="AE491" s="1">
        <f t="shared" si="144"/>
        <v>1</v>
      </c>
      <c r="AF491" s="1">
        <f t="shared" si="145"/>
        <v>0</v>
      </c>
      <c r="AG491" s="1">
        <f t="shared" si="146"/>
        <v>0</v>
      </c>
      <c r="AH491" s="1">
        <f t="shared" si="147"/>
        <v>0</v>
      </c>
      <c r="AI491" s="1">
        <f t="shared" si="148"/>
        <v>0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1304</v>
      </c>
      <c r="E492" s="32" t="s">
        <v>155</v>
      </c>
      <c r="F492" s="32" t="s">
        <v>1328</v>
      </c>
      <c r="G492" s="32" t="s">
        <v>257</v>
      </c>
      <c r="H492" s="32" t="s">
        <v>352</v>
      </c>
      <c r="I492" s="31" t="s">
        <v>1214</v>
      </c>
      <c r="J492" s="31">
        <v>8</v>
      </c>
      <c r="K492" s="33" t="s">
        <v>936</v>
      </c>
      <c r="L492" s="33" t="s">
        <v>713</v>
      </c>
      <c r="M492" s="34" t="s">
        <v>723</v>
      </c>
      <c r="N492" s="34" t="s">
        <v>1710</v>
      </c>
      <c r="O492" s="35">
        <v>1</v>
      </c>
      <c r="P492" s="35"/>
      <c r="Q492" s="32"/>
      <c r="S492" s="1">
        <f t="shared" si="133"/>
        <v>0</v>
      </c>
      <c r="T492" s="1">
        <f t="shared" si="134"/>
        <v>0</v>
      </c>
      <c r="U492" s="1">
        <f t="shared" si="135"/>
        <v>0</v>
      </c>
      <c r="V492" s="1">
        <f t="shared" si="136"/>
        <v>0</v>
      </c>
      <c r="W492" s="1">
        <f t="shared" si="137"/>
        <v>0</v>
      </c>
      <c r="X492" s="1">
        <f t="shared" si="138"/>
        <v>0</v>
      </c>
      <c r="Y492" s="1">
        <f t="shared" si="139"/>
        <v>0</v>
      </c>
      <c r="Z492" s="1">
        <f t="shared" si="140"/>
        <v>1</v>
      </c>
      <c r="AA492" s="1">
        <f t="shared" si="141"/>
        <v>0</v>
      </c>
      <c r="AB492" s="1">
        <f t="shared" si="142"/>
        <v>0</v>
      </c>
      <c r="AD492" s="1">
        <f t="shared" si="143"/>
        <v>0</v>
      </c>
      <c r="AE492" s="1">
        <f t="shared" si="144"/>
        <v>1</v>
      </c>
      <c r="AF492" s="1">
        <f t="shared" si="145"/>
        <v>0</v>
      </c>
      <c r="AG492" s="1">
        <f t="shared" si="146"/>
        <v>1</v>
      </c>
      <c r="AH492" s="1">
        <f t="shared" si="147"/>
        <v>0</v>
      </c>
      <c r="AI492" s="1">
        <f t="shared" si="148"/>
        <v>1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1304</v>
      </c>
      <c r="E493" s="32" t="s">
        <v>155</v>
      </c>
      <c r="F493" s="32" t="s">
        <v>1193</v>
      </c>
      <c r="G493" s="32" t="s">
        <v>217</v>
      </c>
      <c r="H493" s="32" t="s">
        <v>352</v>
      </c>
      <c r="I493" s="31" t="s">
        <v>1214</v>
      </c>
      <c r="J493" s="31">
        <v>99</v>
      </c>
      <c r="K493" s="33" t="s">
        <v>936</v>
      </c>
      <c r="L493" s="33" t="s">
        <v>713</v>
      </c>
      <c r="M493" s="34" t="s">
        <v>723</v>
      </c>
      <c r="N493" s="34" t="s">
        <v>1710</v>
      </c>
      <c r="O493" s="35">
        <v>1</v>
      </c>
      <c r="P493" s="35"/>
      <c r="Q493" s="32"/>
      <c r="S493" s="1">
        <f t="shared" si="133"/>
        <v>0</v>
      </c>
      <c r="T493" s="1">
        <f t="shared" si="134"/>
        <v>0</v>
      </c>
      <c r="U493" s="1">
        <f t="shared" si="135"/>
        <v>0</v>
      </c>
      <c r="V493" s="1">
        <f t="shared" si="136"/>
        <v>0</v>
      </c>
      <c r="W493" s="1">
        <f t="shared" si="137"/>
        <v>0</v>
      </c>
      <c r="X493" s="1">
        <f t="shared" si="138"/>
        <v>0</v>
      </c>
      <c r="Y493" s="1">
        <f t="shared" si="139"/>
        <v>0</v>
      </c>
      <c r="Z493" s="1">
        <f t="shared" si="140"/>
        <v>0</v>
      </c>
      <c r="AA493" s="1">
        <f t="shared" si="141"/>
        <v>0</v>
      </c>
      <c r="AB493" s="1">
        <f t="shared" si="142"/>
        <v>0</v>
      </c>
      <c r="AD493" s="1">
        <f t="shared" si="143"/>
        <v>0</v>
      </c>
      <c r="AE493" s="1">
        <f t="shared" si="144"/>
        <v>1</v>
      </c>
      <c r="AF493" s="1">
        <f t="shared" si="145"/>
        <v>0</v>
      </c>
      <c r="AG493" s="1">
        <f t="shared" si="146"/>
        <v>0</v>
      </c>
      <c r="AH493" s="1">
        <f t="shared" si="147"/>
        <v>0</v>
      </c>
      <c r="AI493" s="1">
        <f t="shared" si="148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1223</v>
      </c>
      <c r="E494" s="32" t="s">
        <v>155</v>
      </c>
      <c r="F494" s="32" t="s">
        <v>1225</v>
      </c>
      <c r="G494" s="32" t="s">
        <v>219</v>
      </c>
      <c r="H494" s="32" t="s">
        <v>352</v>
      </c>
      <c r="I494" s="31" t="s">
        <v>1341</v>
      </c>
      <c r="J494" s="31">
        <v>8</v>
      </c>
      <c r="K494" s="33" t="s">
        <v>935</v>
      </c>
      <c r="L494" s="33" t="s">
        <v>713</v>
      </c>
      <c r="M494" s="34" t="s">
        <v>723</v>
      </c>
      <c r="N494" s="34" t="s">
        <v>1706</v>
      </c>
      <c r="O494" s="35">
        <v>1</v>
      </c>
      <c r="P494" s="35"/>
      <c r="Q494" s="32"/>
      <c r="S494" s="1">
        <f t="shared" si="133"/>
        <v>0</v>
      </c>
      <c r="T494" s="1">
        <f t="shared" si="134"/>
        <v>0</v>
      </c>
      <c r="U494" s="1">
        <f t="shared" si="135"/>
        <v>0</v>
      </c>
      <c r="V494" s="1">
        <f t="shared" si="136"/>
        <v>0</v>
      </c>
      <c r="W494" s="1">
        <f t="shared" si="137"/>
        <v>0</v>
      </c>
      <c r="X494" s="1">
        <f t="shared" si="138"/>
        <v>0</v>
      </c>
      <c r="Y494" s="1">
        <f t="shared" si="139"/>
        <v>0</v>
      </c>
      <c r="Z494" s="1">
        <f t="shared" si="140"/>
        <v>1</v>
      </c>
      <c r="AA494" s="1">
        <f t="shared" si="141"/>
        <v>0</v>
      </c>
      <c r="AB494" s="1">
        <f t="shared" si="142"/>
        <v>0</v>
      </c>
      <c r="AD494" s="1">
        <f t="shared" si="143"/>
        <v>0</v>
      </c>
      <c r="AE494" s="1">
        <f t="shared" si="144"/>
        <v>1</v>
      </c>
      <c r="AF494" s="1">
        <f t="shared" si="145"/>
        <v>0</v>
      </c>
      <c r="AG494" s="1">
        <f t="shared" si="146"/>
        <v>1</v>
      </c>
      <c r="AH494" s="1">
        <f t="shared" si="147"/>
        <v>0</v>
      </c>
      <c r="AI494" s="1">
        <f t="shared" si="148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1223</v>
      </c>
      <c r="E495" s="32" t="s">
        <v>155</v>
      </c>
      <c r="F495" s="32" t="s">
        <v>1329</v>
      </c>
      <c r="G495" s="32" t="s">
        <v>39</v>
      </c>
      <c r="H495" s="32" t="s">
        <v>353</v>
      </c>
      <c r="I495" s="31" t="s">
        <v>1224</v>
      </c>
      <c r="J495" s="31">
        <v>99</v>
      </c>
      <c r="K495" s="33" t="s">
        <v>935</v>
      </c>
      <c r="L495" s="33" t="s">
        <v>713</v>
      </c>
      <c r="M495" s="34" t="s">
        <v>723</v>
      </c>
      <c r="N495" s="34" t="s">
        <v>1706</v>
      </c>
      <c r="O495" s="35">
        <v>1</v>
      </c>
      <c r="P495" s="35"/>
      <c r="Q495" s="32" t="s">
        <v>1864</v>
      </c>
      <c r="S495" s="1">
        <f t="shared" si="133"/>
        <v>0</v>
      </c>
      <c r="T495" s="1">
        <f t="shared" si="134"/>
        <v>0</v>
      </c>
      <c r="U495" s="1">
        <f t="shared" si="135"/>
        <v>0</v>
      </c>
      <c r="V495" s="1">
        <f t="shared" si="136"/>
        <v>0</v>
      </c>
      <c r="W495" s="1">
        <f t="shared" si="137"/>
        <v>0</v>
      </c>
      <c r="X495" s="1">
        <f t="shared" si="138"/>
        <v>0</v>
      </c>
      <c r="Y495" s="1">
        <f t="shared" si="139"/>
        <v>0</v>
      </c>
      <c r="Z495" s="1">
        <f t="shared" si="140"/>
        <v>0</v>
      </c>
      <c r="AA495" s="1">
        <f t="shared" si="141"/>
        <v>0</v>
      </c>
      <c r="AB495" s="1">
        <f t="shared" si="142"/>
        <v>0</v>
      </c>
      <c r="AD495" s="1">
        <f t="shared" si="143"/>
        <v>0</v>
      </c>
      <c r="AE495" s="1">
        <f t="shared" si="144"/>
        <v>1</v>
      </c>
      <c r="AF495" s="1">
        <f t="shared" si="145"/>
        <v>0</v>
      </c>
      <c r="AG495" s="1">
        <f t="shared" si="146"/>
        <v>0</v>
      </c>
      <c r="AH495" s="1">
        <f t="shared" si="147"/>
        <v>0</v>
      </c>
      <c r="AI495" s="1">
        <f t="shared" si="148"/>
        <v>0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1223</v>
      </c>
      <c r="E496" s="32" t="s">
        <v>155</v>
      </c>
      <c r="F496" s="32" t="s">
        <v>1491</v>
      </c>
      <c r="G496" s="32" t="s">
        <v>234</v>
      </c>
      <c r="H496" s="32" t="s">
        <v>352</v>
      </c>
      <c r="I496" s="31" t="s">
        <v>1657</v>
      </c>
      <c r="J496" s="31">
        <v>99</v>
      </c>
      <c r="K496" s="33" t="s">
        <v>935</v>
      </c>
      <c r="L496" s="33" t="s">
        <v>713</v>
      </c>
      <c r="M496" s="34" t="s">
        <v>723</v>
      </c>
      <c r="N496" s="34" t="s">
        <v>1706</v>
      </c>
      <c r="O496" s="35">
        <v>1</v>
      </c>
      <c r="P496" s="35"/>
      <c r="Q496" s="32"/>
      <c r="S496" s="1">
        <f t="shared" si="133"/>
        <v>0</v>
      </c>
      <c r="T496" s="1">
        <f t="shared" si="134"/>
        <v>0</v>
      </c>
      <c r="U496" s="1">
        <f t="shared" si="135"/>
        <v>0</v>
      </c>
      <c r="V496" s="1">
        <f t="shared" si="136"/>
        <v>0</v>
      </c>
      <c r="W496" s="1">
        <f t="shared" si="137"/>
        <v>0</v>
      </c>
      <c r="X496" s="1">
        <f t="shared" si="138"/>
        <v>0</v>
      </c>
      <c r="Y496" s="1">
        <f t="shared" si="139"/>
        <v>0</v>
      </c>
      <c r="Z496" s="1">
        <f t="shared" si="140"/>
        <v>0</v>
      </c>
      <c r="AA496" s="1">
        <f t="shared" si="141"/>
        <v>0</v>
      </c>
      <c r="AB496" s="1">
        <f t="shared" si="142"/>
        <v>0</v>
      </c>
      <c r="AD496" s="1">
        <f t="shared" si="143"/>
        <v>0</v>
      </c>
      <c r="AE496" s="1">
        <f t="shared" si="144"/>
        <v>1</v>
      </c>
      <c r="AF496" s="1">
        <f t="shared" si="145"/>
        <v>0</v>
      </c>
      <c r="AG496" s="1">
        <f t="shared" si="146"/>
        <v>0</v>
      </c>
      <c r="AH496" s="1">
        <f t="shared" si="147"/>
        <v>0</v>
      </c>
      <c r="AI496" s="1">
        <f t="shared" si="148"/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1811</v>
      </c>
      <c r="E497" s="32" t="s">
        <v>1812</v>
      </c>
      <c r="F497" s="32" t="s">
        <v>1813</v>
      </c>
      <c r="G497" s="32" t="s">
        <v>264</v>
      </c>
      <c r="H497" s="32" t="s">
        <v>352</v>
      </c>
      <c r="I497" s="31" t="s">
        <v>1814</v>
      </c>
      <c r="J497" s="31">
        <v>99</v>
      </c>
      <c r="K497" s="33" t="s">
        <v>694</v>
      </c>
      <c r="L497" s="33"/>
      <c r="M497" s="34"/>
      <c r="N497" s="34" t="s">
        <v>1693</v>
      </c>
      <c r="O497" s="35">
        <v>1</v>
      </c>
      <c r="P497" s="35">
        <v>1</v>
      </c>
      <c r="Q497" s="32"/>
      <c r="S497" s="1">
        <f t="shared" si="133"/>
        <v>0</v>
      </c>
      <c r="T497" s="1">
        <f t="shared" si="134"/>
        <v>0</v>
      </c>
      <c r="U497" s="1">
        <f t="shared" si="135"/>
        <v>0</v>
      </c>
      <c r="V497" s="1">
        <f t="shared" si="136"/>
        <v>0</v>
      </c>
      <c r="W497" s="1">
        <f t="shared" si="137"/>
        <v>0</v>
      </c>
      <c r="X497" s="1">
        <f t="shared" si="138"/>
        <v>0</v>
      </c>
      <c r="Y497" s="1">
        <f t="shared" si="139"/>
        <v>0</v>
      </c>
      <c r="Z497" s="1">
        <f t="shared" si="140"/>
        <v>0</v>
      </c>
      <c r="AA497" s="1">
        <f t="shared" si="141"/>
        <v>0</v>
      </c>
      <c r="AB497" s="1">
        <f t="shared" si="142"/>
        <v>0</v>
      </c>
      <c r="AD497" s="1">
        <f t="shared" si="143"/>
        <v>1</v>
      </c>
      <c r="AE497" s="1">
        <f t="shared" si="144"/>
        <v>0</v>
      </c>
      <c r="AF497" s="1">
        <f t="shared" si="145"/>
        <v>1</v>
      </c>
      <c r="AG497" s="1">
        <f t="shared" si="146"/>
        <v>0</v>
      </c>
      <c r="AH497" s="1">
        <f t="shared" si="147"/>
        <v>1</v>
      </c>
      <c r="AI497" s="1">
        <f t="shared" si="148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1218</v>
      </c>
      <c r="E498" s="32" t="s">
        <v>28</v>
      </c>
      <c r="F498" s="32" t="s">
        <v>1211</v>
      </c>
      <c r="G498" s="32" t="s">
        <v>1212</v>
      </c>
      <c r="H498" s="32" t="s">
        <v>352</v>
      </c>
      <c r="I498" s="31" t="s">
        <v>1213</v>
      </c>
      <c r="J498" s="31">
        <v>99</v>
      </c>
      <c r="K498" s="33" t="s">
        <v>703</v>
      </c>
      <c r="L498" s="33" t="s">
        <v>704</v>
      </c>
      <c r="M498" s="34" t="s">
        <v>722</v>
      </c>
      <c r="N498" s="34" t="s">
        <v>1706</v>
      </c>
      <c r="O498" s="35">
        <v>1</v>
      </c>
      <c r="P498" s="35"/>
      <c r="Q498" s="32"/>
      <c r="S498" s="1">
        <f t="shared" si="133"/>
        <v>0</v>
      </c>
      <c r="T498" s="1">
        <f t="shared" si="134"/>
        <v>0</v>
      </c>
      <c r="U498" s="1">
        <f t="shared" si="135"/>
        <v>0</v>
      </c>
      <c r="V498" s="1">
        <f t="shared" si="136"/>
        <v>0</v>
      </c>
      <c r="W498" s="1">
        <f t="shared" si="137"/>
        <v>0</v>
      </c>
      <c r="X498" s="1">
        <f t="shared" si="138"/>
        <v>0</v>
      </c>
      <c r="Y498" s="1">
        <f t="shared" si="139"/>
        <v>0</v>
      </c>
      <c r="Z498" s="1">
        <f t="shared" si="140"/>
        <v>0</v>
      </c>
      <c r="AA498" s="1">
        <f t="shared" si="141"/>
        <v>0</v>
      </c>
      <c r="AB498" s="1">
        <f t="shared" si="142"/>
        <v>0</v>
      </c>
      <c r="AD498" s="1">
        <f t="shared" si="143"/>
        <v>0</v>
      </c>
      <c r="AE498" s="1">
        <f t="shared" si="144"/>
        <v>1</v>
      </c>
      <c r="AF498" s="1">
        <f t="shared" si="145"/>
        <v>0</v>
      </c>
      <c r="AG498" s="1">
        <f t="shared" si="146"/>
        <v>1</v>
      </c>
      <c r="AH498" s="1">
        <f t="shared" si="147"/>
        <v>0</v>
      </c>
      <c r="AI498" s="1">
        <f t="shared" si="148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1215</v>
      </c>
      <c r="E499" s="32" t="s">
        <v>28</v>
      </c>
      <c r="F499" s="32" t="s">
        <v>1216</v>
      </c>
      <c r="G499" s="32" t="s">
        <v>519</v>
      </c>
      <c r="H499" s="32" t="s">
        <v>352</v>
      </c>
      <c r="I499" s="31" t="s">
        <v>1217</v>
      </c>
      <c r="J499" s="31">
        <v>99</v>
      </c>
      <c r="K499" s="33" t="s">
        <v>703</v>
      </c>
      <c r="L499" s="33" t="s">
        <v>704</v>
      </c>
      <c r="M499" s="34" t="s">
        <v>722</v>
      </c>
      <c r="N499" s="34" t="s">
        <v>1706</v>
      </c>
      <c r="O499" s="35">
        <v>1</v>
      </c>
      <c r="P499" s="35"/>
      <c r="Q499" s="32"/>
      <c r="S499" s="1">
        <f t="shared" si="133"/>
        <v>0</v>
      </c>
      <c r="T499" s="1">
        <f t="shared" si="134"/>
        <v>0</v>
      </c>
      <c r="U499" s="1">
        <f t="shared" si="135"/>
        <v>0</v>
      </c>
      <c r="V499" s="1">
        <f t="shared" si="136"/>
        <v>0</v>
      </c>
      <c r="W499" s="1">
        <f t="shared" si="137"/>
        <v>0</v>
      </c>
      <c r="X499" s="1">
        <f t="shared" si="138"/>
        <v>0</v>
      </c>
      <c r="Y499" s="1">
        <f t="shared" si="139"/>
        <v>0</v>
      </c>
      <c r="Z499" s="1">
        <f t="shared" si="140"/>
        <v>0</v>
      </c>
      <c r="AA499" s="1">
        <f t="shared" si="141"/>
        <v>0</v>
      </c>
      <c r="AB499" s="1">
        <f t="shared" si="142"/>
        <v>0</v>
      </c>
      <c r="AD499" s="1">
        <f t="shared" si="143"/>
        <v>0</v>
      </c>
      <c r="AE499" s="1">
        <f t="shared" si="144"/>
        <v>1</v>
      </c>
      <c r="AF499" s="1">
        <f t="shared" si="145"/>
        <v>0</v>
      </c>
      <c r="AG499" s="1">
        <f t="shared" si="146"/>
        <v>0</v>
      </c>
      <c r="AH499" s="1">
        <f t="shared" si="147"/>
        <v>0</v>
      </c>
      <c r="AI499" s="1">
        <f t="shared" si="148"/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1807</v>
      </c>
      <c r="E500" s="32" t="s">
        <v>1146</v>
      </c>
      <c r="F500" s="32" t="s">
        <v>1808</v>
      </c>
      <c r="G500" s="32"/>
      <c r="H500" s="32" t="s">
        <v>352</v>
      </c>
      <c r="I500" s="31" t="s">
        <v>1809</v>
      </c>
      <c r="J500" s="31">
        <v>6</v>
      </c>
      <c r="K500" s="33" t="s">
        <v>694</v>
      </c>
      <c r="L500" s="33"/>
      <c r="M500" s="34"/>
      <c r="N500" s="34" t="s">
        <v>1710</v>
      </c>
      <c r="O500" s="35">
        <v>1</v>
      </c>
      <c r="P500" s="35"/>
      <c r="Q500" s="32"/>
      <c r="S500" s="1">
        <f t="shared" si="133"/>
        <v>0</v>
      </c>
      <c r="T500" s="1">
        <f t="shared" si="134"/>
        <v>0</v>
      </c>
      <c r="U500" s="1">
        <f t="shared" si="135"/>
        <v>0</v>
      </c>
      <c r="V500" s="1">
        <f t="shared" si="136"/>
        <v>0</v>
      </c>
      <c r="W500" s="1">
        <f t="shared" si="137"/>
        <v>0</v>
      </c>
      <c r="X500" s="1">
        <f t="shared" si="138"/>
        <v>1</v>
      </c>
      <c r="Y500" s="1">
        <f t="shared" si="139"/>
        <v>0</v>
      </c>
      <c r="Z500" s="1">
        <f t="shared" si="140"/>
        <v>0</v>
      </c>
      <c r="AA500" s="1">
        <f t="shared" si="141"/>
        <v>0</v>
      </c>
      <c r="AB500" s="1">
        <f t="shared" si="142"/>
        <v>0</v>
      </c>
      <c r="AD500" s="1">
        <f t="shared" si="143"/>
        <v>0</v>
      </c>
      <c r="AE500" s="1">
        <f t="shared" si="144"/>
        <v>1</v>
      </c>
      <c r="AF500" s="1">
        <f t="shared" si="145"/>
        <v>0</v>
      </c>
      <c r="AG500" s="1">
        <f t="shared" si="146"/>
        <v>1</v>
      </c>
      <c r="AH500" s="1">
        <f t="shared" si="147"/>
        <v>0</v>
      </c>
      <c r="AI500" s="1">
        <f t="shared" si="148"/>
        <v>1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1427</v>
      </c>
      <c r="E501" s="32" t="s">
        <v>28</v>
      </c>
      <c r="F501" s="32" t="s">
        <v>1428</v>
      </c>
      <c r="G501" s="32" t="s">
        <v>1429</v>
      </c>
      <c r="H501" s="32" t="s">
        <v>352</v>
      </c>
      <c r="I501" s="31" t="s">
        <v>1430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1706</v>
      </c>
      <c r="O501" s="35">
        <v>1</v>
      </c>
      <c r="P501" s="35"/>
      <c r="Q501" s="32" t="s">
        <v>1891</v>
      </c>
      <c r="S501" s="1">
        <f t="shared" si="133"/>
        <v>0</v>
      </c>
      <c r="T501" s="1">
        <f t="shared" si="134"/>
        <v>0</v>
      </c>
      <c r="U501" s="1">
        <f t="shared" si="135"/>
        <v>0</v>
      </c>
      <c r="V501" s="1">
        <f t="shared" si="136"/>
        <v>0</v>
      </c>
      <c r="W501" s="1">
        <f t="shared" si="137"/>
        <v>0</v>
      </c>
      <c r="X501" s="1">
        <f t="shared" si="138"/>
        <v>0</v>
      </c>
      <c r="Y501" s="1">
        <f t="shared" si="139"/>
        <v>0</v>
      </c>
      <c r="Z501" s="1">
        <f t="shared" si="140"/>
        <v>0</v>
      </c>
      <c r="AA501" s="1">
        <f t="shared" si="141"/>
        <v>0</v>
      </c>
      <c r="AB501" s="1">
        <f t="shared" si="142"/>
        <v>0</v>
      </c>
      <c r="AD501" s="1">
        <f t="shared" si="143"/>
        <v>0</v>
      </c>
      <c r="AE501" s="1">
        <f t="shared" si="144"/>
        <v>1</v>
      </c>
      <c r="AF501" s="1">
        <f t="shared" si="145"/>
        <v>0</v>
      </c>
      <c r="AG501" s="1">
        <f t="shared" si="146"/>
        <v>1</v>
      </c>
      <c r="AH501" s="1">
        <f t="shared" si="147"/>
        <v>0</v>
      </c>
      <c r="AI501" s="1">
        <f t="shared" si="148"/>
        <v>1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2091</v>
      </c>
      <c r="E502" s="32" t="s">
        <v>155</v>
      </c>
      <c r="F502" s="32" t="s">
        <v>2092</v>
      </c>
      <c r="G502" s="32" t="s">
        <v>552</v>
      </c>
      <c r="H502" s="32" t="s">
        <v>352</v>
      </c>
      <c r="I502" s="31" t="s">
        <v>2093</v>
      </c>
      <c r="J502" s="31">
        <v>99</v>
      </c>
      <c r="K502" s="33" t="s">
        <v>694</v>
      </c>
      <c r="L502" s="33">
        <v>7</v>
      </c>
      <c r="M502" s="34" t="s">
        <v>723</v>
      </c>
      <c r="N502" s="34" t="s">
        <v>1710</v>
      </c>
      <c r="O502" s="35">
        <v>1</v>
      </c>
      <c r="P502" s="35"/>
      <c r="Q502" s="32"/>
      <c r="S502" s="1">
        <f t="shared" si="133"/>
        <v>0</v>
      </c>
      <c r="T502" s="1">
        <f t="shared" si="134"/>
        <v>0</v>
      </c>
      <c r="U502" s="1">
        <f t="shared" si="135"/>
        <v>0</v>
      </c>
      <c r="V502" s="1">
        <f t="shared" si="136"/>
        <v>0</v>
      </c>
      <c r="W502" s="1">
        <f t="shared" si="137"/>
        <v>0</v>
      </c>
      <c r="X502" s="1">
        <f t="shared" si="138"/>
        <v>0</v>
      </c>
      <c r="Y502" s="1">
        <f t="shared" si="139"/>
        <v>0</v>
      </c>
      <c r="Z502" s="1">
        <f t="shared" si="140"/>
        <v>0</v>
      </c>
      <c r="AA502" s="1">
        <f t="shared" si="141"/>
        <v>0</v>
      </c>
      <c r="AB502" s="1">
        <f t="shared" si="142"/>
        <v>0</v>
      </c>
      <c r="AD502" s="1">
        <f t="shared" si="143"/>
        <v>0</v>
      </c>
      <c r="AE502" s="1">
        <f t="shared" si="144"/>
        <v>1</v>
      </c>
      <c r="AF502" s="1">
        <f t="shared" si="145"/>
        <v>0</v>
      </c>
      <c r="AG502" s="1">
        <f t="shared" si="146"/>
        <v>1</v>
      </c>
      <c r="AH502" s="1">
        <f t="shared" si="147"/>
        <v>0</v>
      </c>
      <c r="AI502" s="1">
        <f t="shared" si="148"/>
        <v>1</v>
      </c>
    </row>
    <row r="503" spans="1:35" s="1" customFormat="1" ht="14.25" customHeight="1" x14ac:dyDescent="0.25">
      <c r="A503" s="31">
        <v>1</v>
      </c>
      <c r="B503" s="31">
        <v>2</v>
      </c>
      <c r="C503" s="31">
        <v>7</v>
      </c>
      <c r="D503" s="32" t="s">
        <v>2091</v>
      </c>
      <c r="E503" s="32" t="s">
        <v>155</v>
      </c>
      <c r="F503" s="32" t="s">
        <v>2094</v>
      </c>
      <c r="G503" s="32" t="s">
        <v>203</v>
      </c>
      <c r="H503" s="32" t="s">
        <v>352</v>
      </c>
      <c r="I503" s="31" t="s">
        <v>2093</v>
      </c>
      <c r="J503" s="31">
        <v>7</v>
      </c>
      <c r="K503" s="33" t="s">
        <v>694</v>
      </c>
      <c r="L503" s="33">
        <v>7</v>
      </c>
      <c r="M503" s="34" t="s">
        <v>723</v>
      </c>
      <c r="N503" s="34" t="s">
        <v>1710</v>
      </c>
      <c r="O503" s="35">
        <v>1</v>
      </c>
      <c r="P503" s="35"/>
      <c r="Q503" s="32"/>
      <c r="S503" s="1">
        <f t="shared" si="133"/>
        <v>0</v>
      </c>
      <c r="T503" s="1">
        <f t="shared" si="134"/>
        <v>0</v>
      </c>
      <c r="U503" s="1">
        <f t="shared" si="135"/>
        <v>0</v>
      </c>
      <c r="V503" s="1">
        <f t="shared" si="136"/>
        <v>0</v>
      </c>
      <c r="W503" s="1">
        <f t="shared" si="137"/>
        <v>0</v>
      </c>
      <c r="X503" s="1">
        <f t="shared" si="138"/>
        <v>0</v>
      </c>
      <c r="Y503" s="1">
        <f t="shared" si="139"/>
        <v>1</v>
      </c>
      <c r="Z503" s="1">
        <f t="shared" si="140"/>
        <v>0</v>
      </c>
      <c r="AA503" s="1">
        <f t="shared" si="141"/>
        <v>0</v>
      </c>
      <c r="AB503" s="1">
        <f t="shared" si="142"/>
        <v>0</v>
      </c>
      <c r="AD503" s="1">
        <f t="shared" si="143"/>
        <v>0</v>
      </c>
      <c r="AE503" s="1">
        <f t="shared" si="144"/>
        <v>1</v>
      </c>
      <c r="AF503" s="1">
        <f t="shared" si="145"/>
        <v>0</v>
      </c>
      <c r="AG503" s="1">
        <f t="shared" si="146"/>
        <v>0</v>
      </c>
      <c r="AH503" s="1">
        <f t="shared" si="147"/>
        <v>0</v>
      </c>
      <c r="AI503" s="1">
        <f t="shared" si="148"/>
        <v>0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568</v>
      </c>
      <c r="G504" s="32" t="s">
        <v>234</v>
      </c>
      <c r="H504" s="32" t="s">
        <v>352</v>
      </c>
      <c r="I504" s="31" t="s">
        <v>574</v>
      </c>
      <c r="J504" s="31">
        <v>99</v>
      </c>
      <c r="K504" s="33" t="s">
        <v>703</v>
      </c>
      <c r="L504" s="33" t="s">
        <v>720</v>
      </c>
      <c r="M504" s="34" t="s">
        <v>1409</v>
      </c>
      <c r="N504" s="34" t="s">
        <v>1710</v>
      </c>
      <c r="O504" s="35">
        <v>1</v>
      </c>
      <c r="P504" s="35"/>
      <c r="Q504" s="32"/>
      <c r="S504" s="1">
        <f t="shared" si="133"/>
        <v>0</v>
      </c>
      <c r="T504" s="1">
        <f t="shared" si="134"/>
        <v>0</v>
      </c>
      <c r="U504" s="1">
        <f t="shared" si="135"/>
        <v>0</v>
      </c>
      <c r="V504" s="1">
        <f t="shared" si="136"/>
        <v>0</v>
      </c>
      <c r="W504" s="1">
        <f t="shared" si="137"/>
        <v>0</v>
      </c>
      <c r="X504" s="1">
        <f t="shared" si="138"/>
        <v>0</v>
      </c>
      <c r="Y504" s="1">
        <f t="shared" si="139"/>
        <v>0</v>
      </c>
      <c r="Z504" s="1">
        <f t="shared" si="140"/>
        <v>0</v>
      </c>
      <c r="AA504" s="1">
        <f t="shared" si="141"/>
        <v>0</v>
      </c>
      <c r="AB504" s="1">
        <f t="shared" si="142"/>
        <v>0</v>
      </c>
      <c r="AD504" s="1">
        <f t="shared" si="143"/>
        <v>0</v>
      </c>
      <c r="AE504" s="1">
        <f t="shared" si="144"/>
        <v>1</v>
      </c>
      <c r="AF504" s="1">
        <f t="shared" si="145"/>
        <v>0</v>
      </c>
      <c r="AG504" s="1">
        <f t="shared" si="146"/>
        <v>1</v>
      </c>
      <c r="AH504" s="1">
        <f t="shared" si="147"/>
        <v>0</v>
      </c>
      <c r="AI504" s="1">
        <f t="shared" si="148"/>
        <v>1</v>
      </c>
    </row>
    <row r="505" spans="1:35" s="1" customFormat="1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270</v>
      </c>
      <c r="G505" s="32" t="s">
        <v>179</v>
      </c>
      <c r="H505" s="32" t="s">
        <v>352</v>
      </c>
      <c r="I505" s="31" t="s">
        <v>424</v>
      </c>
      <c r="J505" s="31">
        <v>10</v>
      </c>
      <c r="K505" s="33" t="s">
        <v>703</v>
      </c>
      <c r="L505" s="33" t="s">
        <v>720</v>
      </c>
      <c r="M505" s="34" t="s">
        <v>1409</v>
      </c>
      <c r="N505" s="34" t="s">
        <v>1710</v>
      </c>
      <c r="O505" s="35">
        <v>1</v>
      </c>
      <c r="P505" s="35"/>
      <c r="Q505" s="32"/>
      <c r="S505" s="1">
        <f t="shared" si="133"/>
        <v>0</v>
      </c>
      <c r="T505" s="1">
        <f t="shared" si="134"/>
        <v>0</v>
      </c>
      <c r="U505" s="1">
        <f t="shared" si="135"/>
        <v>0</v>
      </c>
      <c r="V505" s="1">
        <f t="shared" si="136"/>
        <v>0</v>
      </c>
      <c r="W505" s="1">
        <f t="shared" si="137"/>
        <v>0</v>
      </c>
      <c r="X505" s="1">
        <f t="shared" si="138"/>
        <v>0</v>
      </c>
      <c r="Y505" s="1">
        <f t="shared" si="139"/>
        <v>0</v>
      </c>
      <c r="Z505" s="1">
        <f t="shared" si="140"/>
        <v>0</v>
      </c>
      <c r="AA505" s="1">
        <f t="shared" si="141"/>
        <v>0</v>
      </c>
      <c r="AB505" s="1">
        <f t="shared" si="142"/>
        <v>1</v>
      </c>
      <c r="AD505" s="1">
        <f t="shared" si="143"/>
        <v>0</v>
      </c>
      <c r="AE505" s="1">
        <f t="shared" si="144"/>
        <v>1</v>
      </c>
      <c r="AF505" s="1">
        <f t="shared" si="145"/>
        <v>0</v>
      </c>
      <c r="AG505" s="1">
        <f t="shared" si="146"/>
        <v>0</v>
      </c>
      <c r="AH505" s="1">
        <f t="shared" si="147"/>
        <v>0</v>
      </c>
      <c r="AI505" s="1">
        <f t="shared" si="148"/>
        <v>0</v>
      </c>
    </row>
    <row r="506" spans="1:35" s="1" customFormat="1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271</v>
      </c>
      <c r="G506" s="32" t="s">
        <v>39</v>
      </c>
      <c r="H506" s="32" t="s">
        <v>352</v>
      </c>
      <c r="I506" s="31" t="s">
        <v>425</v>
      </c>
      <c r="J506" s="31">
        <v>5</v>
      </c>
      <c r="K506" s="33" t="s">
        <v>703</v>
      </c>
      <c r="L506" s="33" t="s">
        <v>720</v>
      </c>
      <c r="M506" s="34" t="s">
        <v>1409</v>
      </c>
      <c r="N506" s="34" t="s">
        <v>1710</v>
      </c>
      <c r="O506" s="35">
        <v>1</v>
      </c>
      <c r="P506" s="35"/>
      <c r="Q506" s="32"/>
      <c r="S506" s="1">
        <f t="shared" si="133"/>
        <v>0</v>
      </c>
      <c r="T506" s="1">
        <f t="shared" si="134"/>
        <v>0</v>
      </c>
      <c r="U506" s="1">
        <f t="shared" si="135"/>
        <v>0</v>
      </c>
      <c r="V506" s="1">
        <f t="shared" si="136"/>
        <v>0</v>
      </c>
      <c r="W506" s="1">
        <f t="shared" si="137"/>
        <v>1</v>
      </c>
      <c r="X506" s="1">
        <f t="shared" si="138"/>
        <v>0</v>
      </c>
      <c r="Y506" s="1">
        <f t="shared" si="139"/>
        <v>0</v>
      </c>
      <c r="Z506" s="1">
        <f t="shared" si="140"/>
        <v>0</v>
      </c>
      <c r="AA506" s="1">
        <f t="shared" si="141"/>
        <v>0</v>
      </c>
      <c r="AB506" s="1">
        <f t="shared" si="142"/>
        <v>0</v>
      </c>
      <c r="AD506" s="1">
        <f t="shared" si="143"/>
        <v>0</v>
      </c>
      <c r="AE506" s="1">
        <f t="shared" si="144"/>
        <v>1</v>
      </c>
      <c r="AF506" s="1">
        <f t="shared" si="145"/>
        <v>0</v>
      </c>
      <c r="AG506" s="1">
        <f t="shared" si="146"/>
        <v>0</v>
      </c>
      <c r="AH506" s="1">
        <f t="shared" si="147"/>
        <v>0</v>
      </c>
      <c r="AI506" s="1">
        <f t="shared" si="148"/>
        <v>0</v>
      </c>
    </row>
    <row r="507" spans="1:35" s="1" customFormat="1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275</v>
      </c>
      <c r="G507" s="32" t="s">
        <v>193</v>
      </c>
      <c r="H507" s="32" t="s">
        <v>352</v>
      </c>
      <c r="I507" s="31" t="s">
        <v>429</v>
      </c>
      <c r="J507" s="31">
        <v>9</v>
      </c>
      <c r="K507" s="33" t="s">
        <v>703</v>
      </c>
      <c r="L507" s="33" t="s">
        <v>720</v>
      </c>
      <c r="M507" s="34" t="s">
        <v>1409</v>
      </c>
      <c r="N507" s="34" t="s">
        <v>1710</v>
      </c>
      <c r="O507" s="35">
        <v>1</v>
      </c>
      <c r="P507" s="35"/>
      <c r="Q507" s="32"/>
      <c r="S507" s="1">
        <f t="shared" si="133"/>
        <v>0</v>
      </c>
      <c r="T507" s="1">
        <f t="shared" si="134"/>
        <v>0</v>
      </c>
      <c r="U507" s="1">
        <f t="shared" si="135"/>
        <v>0</v>
      </c>
      <c r="V507" s="1">
        <f t="shared" si="136"/>
        <v>0</v>
      </c>
      <c r="W507" s="1">
        <f t="shared" si="137"/>
        <v>0</v>
      </c>
      <c r="X507" s="1">
        <f t="shared" si="138"/>
        <v>0</v>
      </c>
      <c r="Y507" s="1">
        <f t="shared" si="139"/>
        <v>0</v>
      </c>
      <c r="Z507" s="1">
        <f t="shared" si="140"/>
        <v>0</v>
      </c>
      <c r="AA507" s="1">
        <f t="shared" si="141"/>
        <v>1</v>
      </c>
      <c r="AB507" s="1">
        <f t="shared" si="142"/>
        <v>0</v>
      </c>
      <c r="AD507" s="1">
        <f t="shared" si="143"/>
        <v>0</v>
      </c>
      <c r="AE507" s="1">
        <f t="shared" si="144"/>
        <v>1</v>
      </c>
      <c r="AF507" s="1">
        <f t="shared" si="145"/>
        <v>0</v>
      </c>
      <c r="AG507" s="1">
        <f t="shared" si="146"/>
        <v>0</v>
      </c>
      <c r="AH507" s="1">
        <f t="shared" si="147"/>
        <v>0</v>
      </c>
      <c r="AI507" s="1">
        <f t="shared" si="148"/>
        <v>0</v>
      </c>
    </row>
    <row r="508" spans="1:35" s="1" customFormat="1" ht="14.25" customHeight="1" x14ac:dyDescent="0.25">
      <c r="A508" s="31">
        <v>0</v>
      </c>
      <c r="B508" s="31">
        <v>2</v>
      </c>
      <c r="C508" s="31">
        <v>7</v>
      </c>
      <c r="D508" s="32" t="s">
        <v>1528</v>
      </c>
      <c r="E508" s="32" t="s">
        <v>28</v>
      </c>
      <c r="F508" s="32" t="s">
        <v>1529</v>
      </c>
      <c r="G508" s="32" t="s">
        <v>237</v>
      </c>
      <c r="H508" s="32" t="s">
        <v>352</v>
      </c>
      <c r="I508" s="31" t="s">
        <v>1661</v>
      </c>
      <c r="J508" s="31">
        <v>4</v>
      </c>
      <c r="K508" s="33" t="s">
        <v>704</v>
      </c>
      <c r="L508" s="33" t="s">
        <v>704</v>
      </c>
      <c r="M508" s="34" t="s">
        <v>722</v>
      </c>
      <c r="N508" s="34" t="s">
        <v>1706</v>
      </c>
      <c r="O508" s="35">
        <v>1</v>
      </c>
      <c r="P508" s="35"/>
      <c r="Q508" s="32"/>
      <c r="S508" s="1">
        <f t="shared" si="133"/>
        <v>0</v>
      </c>
      <c r="T508" s="1">
        <f t="shared" si="134"/>
        <v>0</v>
      </c>
      <c r="U508" s="1">
        <f t="shared" si="135"/>
        <v>0</v>
      </c>
      <c r="V508" s="1">
        <f t="shared" si="136"/>
        <v>1</v>
      </c>
      <c r="W508" s="1">
        <f t="shared" si="137"/>
        <v>0</v>
      </c>
      <c r="X508" s="1">
        <f t="shared" si="138"/>
        <v>0</v>
      </c>
      <c r="Y508" s="1">
        <f t="shared" si="139"/>
        <v>0</v>
      </c>
      <c r="Z508" s="1">
        <f t="shared" si="140"/>
        <v>0</v>
      </c>
      <c r="AA508" s="1">
        <f t="shared" si="141"/>
        <v>0</v>
      </c>
      <c r="AB508" s="1">
        <f t="shared" si="142"/>
        <v>0</v>
      </c>
      <c r="AD508" s="1">
        <f t="shared" si="143"/>
        <v>0</v>
      </c>
      <c r="AE508" s="1">
        <f t="shared" si="144"/>
        <v>1</v>
      </c>
      <c r="AF508" s="1">
        <f t="shared" si="145"/>
        <v>0</v>
      </c>
      <c r="AG508" s="1">
        <f t="shared" si="146"/>
        <v>1</v>
      </c>
      <c r="AH508" s="1">
        <f t="shared" si="147"/>
        <v>0</v>
      </c>
      <c r="AI508" s="1">
        <f t="shared" si="148"/>
        <v>1</v>
      </c>
    </row>
    <row r="509" spans="1:35" s="1" customFormat="1" ht="14.25" customHeight="1" x14ac:dyDescent="0.25">
      <c r="A509" s="31">
        <v>0</v>
      </c>
      <c r="B509" s="31">
        <v>2</v>
      </c>
      <c r="C509" s="31">
        <v>7</v>
      </c>
      <c r="D509" s="32" t="s">
        <v>63</v>
      </c>
      <c r="E509" s="32" t="s">
        <v>44</v>
      </c>
      <c r="F509" s="32" t="s">
        <v>235</v>
      </c>
      <c r="G509" s="32" t="s">
        <v>199</v>
      </c>
      <c r="H509" s="32" t="s">
        <v>352</v>
      </c>
      <c r="I509" s="31" t="s">
        <v>400</v>
      </c>
      <c r="J509" s="31">
        <v>2</v>
      </c>
      <c r="K509" s="33" t="s">
        <v>704</v>
      </c>
      <c r="L509" s="33" t="s">
        <v>713</v>
      </c>
      <c r="M509" s="34" t="s">
        <v>726</v>
      </c>
      <c r="N509" s="34" t="s">
        <v>1706</v>
      </c>
      <c r="O509" s="35">
        <v>1</v>
      </c>
      <c r="P509" s="35"/>
      <c r="Q509" s="32"/>
      <c r="S509" s="1">
        <f t="shared" si="133"/>
        <v>0</v>
      </c>
      <c r="T509" s="1">
        <f t="shared" si="134"/>
        <v>1</v>
      </c>
      <c r="U509" s="1">
        <f t="shared" si="135"/>
        <v>0</v>
      </c>
      <c r="V509" s="1">
        <f t="shared" si="136"/>
        <v>0</v>
      </c>
      <c r="W509" s="1">
        <f t="shared" si="137"/>
        <v>0</v>
      </c>
      <c r="X509" s="1">
        <f t="shared" si="138"/>
        <v>0</v>
      </c>
      <c r="Y509" s="1">
        <f t="shared" si="139"/>
        <v>0</v>
      </c>
      <c r="Z509" s="1">
        <f t="shared" si="140"/>
        <v>0</v>
      </c>
      <c r="AA509" s="1">
        <f t="shared" si="141"/>
        <v>0</v>
      </c>
      <c r="AB509" s="1">
        <f t="shared" si="142"/>
        <v>0</v>
      </c>
      <c r="AD509" s="1">
        <f t="shared" si="143"/>
        <v>0</v>
      </c>
      <c r="AE509" s="1">
        <f t="shared" si="144"/>
        <v>1</v>
      </c>
      <c r="AF509" s="1">
        <f t="shared" si="145"/>
        <v>0</v>
      </c>
      <c r="AG509" s="1">
        <f t="shared" si="146"/>
        <v>1</v>
      </c>
      <c r="AH509" s="1">
        <f t="shared" si="147"/>
        <v>0</v>
      </c>
      <c r="AI509" s="1">
        <f t="shared" si="148"/>
        <v>1</v>
      </c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9"/>
      <c r="N801" s="17"/>
      <c r="Q801" s="16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9"/>
      <c r="N802" s="17"/>
      <c r="Q802" s="16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9"/>
      <c r="N803" s="17"/>
      <c r="Q803" s="16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9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7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7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7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7"/>
      <c r="N808" s="17"/>
      <c r="Q808" s="16"/>
    </row>
    <row r="809" spans="1:17" s="1" customFormat="1" ht="14.25" customHeight="1" x14ac:dyDescent="0.2">
      <c r="D809" s="2"/>
      <c r="E809" s="11"/>
      <c r="F809" s="2"/>
      <c r="G809" s="11"/>
      <c r="H809" s="11"/>
      <c r="L809" s="10"/>
      <c r="M809" s="14"/>
      <c r="N809" s="14"/>
      <c r="Q809" s="11"/>
    </row>
  </sheetData>
  <autoFilter ref="A7:Q509" xr:uid="{AEE30112-88BB-441D-AEFC-A7A733AB1798}">
    <sortState xmlns:xlrd2="http://schemas.microsoft.com/office/spreadsheetml/2017/richdata2" ref="A8:Q509">
      <sortCondition ref="B8:B509"/>
      <sortCondition ref="C8:C509"/>
      <sortCondition ref="D8:D509"/>
      <sortCondition ref="A8:A509"/>
    </sortState>
  </autoFilter>
  <sortState xmlns:xlrd2="http://schemas.microsoft.com/office/spreadsheetml/2017/richdata2" ref="A8:Q509">
    <sortCondition ref="B8:B509"/>
    <sortCondition ref="C8:C509"/>
    <sortCondition ref="D8:D509"/>
    <sortCondition ref="A8:A50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2026-09-19T11:52:15Z</dcterms:modified>
</cp:coreProperties>
</file>