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D8FA1E00-1B5D-4125-9E80-6B2CD793C9AE}" xr6:coauthVersionLast="47" xr6:coauthVersionMax="47" xr10:uidLastSave="{00000000-0000-0000-0000-000000000000}"/>
  <bookViews>
    <workbookView xWindow="-120" yWindow="-120" windowWidth="29040" windowHeight="15840" tabRatio="665" xr2:uid="{370BB6BA-2F30-4775-942F-04016D8D18C4}"/>
  </bookViews>
  <sheets>
    <sheet name="Tavole e pause golose" sheetId="6" r:id="rId1"/>
  </sheets>
  <definedNames>
    <definedName name="_xlnm._FilterDatabase" localSheetId="0" hidden="1">'Tavole e pause golose'!$A$7:$Q$513</definedName>
    <definedName name="_xlnm.Print_Area" localSheetId="0">'Tavole e pause golose'!$D$7:$I$191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172" i="6" l="1"/>
  <c r="AE172" i="6"/>
  <c r="AD173" i="6"/>
  <c r="AE173" i="6"/>
  <c r="AD174" i="6"/>
  <c r="AE174" i="6"/>
  <c r="S173" i="6"/>
  <c r="T173" i="6"/>
  <c r="U173" i="6"/>
  <c r="V173" i="6"/>
  <c r="W173" i="6"/>
  <c r="X173" i="6"/>
  <c r="Y173" i="6"/>
  <c r="Z173" i="6"/>
  <c r="AA173" i="6"/>
  <c r="AB173" i="6"/>
  <c r="AF173" i="6"/>
  <c r="AG173" i="6"/>
  <c r="AH173" i="6"/>
  <c r="AI173" i="6"/>
  <c r="AD383" i="6"/>
  <c r="AE383" i="6"/>
  <c r="AF383" i="6"/>
  <c r="AG383" i="6"/>
  <c r="AH383" i="6"/>
  <c r="AI383" i="6"/>
  <c r="AD384" i="6"/>
  <c r="AE384" i="6"/>
  <c r="AF384" i="6"/>
  <c r="AG384" i="6"/>
  <c r="AH384" i="6"/>
  <c r="AI384" i="6"/>
  <c r="AD385" i="6"/>
  <c r="AE385" i="6"/>
  <c r="AF385" i="6"/>
  <c r="AG385" i="6"/>
  <c r="AH385" i="6"/>
  <c r="AI385" i="6"/>
  <c r="AD386" i="6"/>
  <c r="AE386" i="6"/>
  <c r="AF386" i="6"/>
  <c r="AG386" i="6"/>
  <c r="AH386" i="6"/>
  <c r="AI386" i="6"/>
  <c r="S383" i="6"/>
  <c r="AD454" i="6"/>
  <c r="AE454" i="6"/>
  <c r="AF454" i="6"/>
  <c r="AG454" i="6"/>
  <c r="AH454" i="6"/>
  <c r="AI454" i="6"/>
  <c r="AD455" i="6"/>
  <c r="AE455" i="6"/>
  <c r="AF455" i="6"/>
  <c r="AG455" i="6"/>
  <c r="AH455" i="6"/>
  <c r="AI455" i="6"/>
  <c r="AD456" i="6"/>
  <c r="AE456" i="6"/>
  <c r="AF456" i="6"/>
  <c r="AG456" i="6"/>
  <c r="AH456" i="6"/>
  <c r="AI456" i="6"/>
  <c r="S454" i="6"/>
  <c r="S231" i="6"/>
  <c r="S232" i="6"/>
  <c r="S233" i="6"/>
  <c r="AD232" i="6"/>
  <c r="AE232" i="6"/>
  <c r="AF232" i="6"/>
  <c r="AG232" i="6"/>
  <c r="AH232" i="6"/>
  <c r="AI232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1" i="6"/>
  <c r="AD51" i="6"/>
  <c r="AE51" i="6"/>
  <c r="AF51" i="6"/>
  <c r="AG51" i="6"/>
  <c r="AH51" i="6"/>
  <c r="AI51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S54" i="6"/>
  <c r="AD54" i="6"/>
  <c r="AE54" i="6"/>
  <c r="AF54" i="6"/>
  <c r="AG54" i="6"/>
  <c r="AH54" i="6"/>
  <c r="AI54" i="6"/>
  <c r="S55" i="6"/>
  <c r="AD55" i="6"/>
  <c r="AE55" i="6"/>
  <c r="AF55" i="6"/>
  <c r="AG55" i="6"/>
  <c r="AH55" i="6"/>
  <c r="AI55" i="6"/>
  <c r="S56" i="6"/>
  <c r="AD56" i="6"/>
  <c r="AE56" i="6"/>
  <c r="AF56" i="6"/>
  <c r="AG56" i="6"/>
  <c r="AH56" i="6"/>
  <c r="AI56" i="6"/>
  <c r="S57" i="6"/>
  <c r="AD57" i="6"/>
  <c r="AE57" i="6"/>
  <c r="AF57" i="6"/>
  <c r="AG57" i="6"/>
  <c r="AH57" i="6"/>
  <c r="AI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AD71" i="6"/>
  <c r="AE71" i="6"/>
  <c r="AF71" i="6"/>
  <c r="AG71" i="6"/>
  <c r="AH71" i="6"/>
  <c r="AI71" i="6"/>
  <c r="S72" i="6"/>
  <c r="AD72" i="6"/>
  <c r="AE72" i="6"/>
  <c r="AF72" i="6"/>
  <c r="AG72" i="6"/>
  <c r="AH72" i="6"/>
  <c r="AI72" i="6"/>
  <c r="S73" i="6"/>
  <c r="AD73" i="6"/>
  <c r="AE73" i="6"/>
  <c r="AF73" i="6"/>
  <c r="AG73" i="6"/>
  <c r="AH73" i="6"/>
  <c r="AI73" i="6"/>
  <c r="S74" i="6"/>
  <c r="AD74" i="6"/>
  <c r="AE74" i="6"/>
  <c r="AF74" i="6"/>
  <c r="AG74" i="6"/>
  <c r="AH74" i="6"/>
  <c r="AI74" i="6"/>
  <c r="S75" i="6"/>
  <c r="AD75" i="6"/>
  <c r="AE75" i="6"/>
  <c r="AF75" i="6"/>
  <c r="AG75" i="6"/>
  <c r="AH75" i="6"/>
  <c r="AI75" i="6"/>
  <c r="S76" i="6"/>
  <c r="AD76" i="6"/>
  <c r="AE76" i="6"/>
  <c r="AF76" i="6"/>
  <c r="AG76" i="6"/>
  <c r="AH76" i="6"/>
  <c r="AI76" i="6"/>
  <c r="S77" i="6"/>
  <c r="AD77" i="6"/>
  <c r="AE77" i="6"/>
  <c r="AF77" i="6"/>
  <c r="AG77" i="6"/>
  <c r="AH77" i="6"/>
  <c r="AI77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4" i="6"/>
  <c r="AD84" i="6"/>
  <c r="AE84" i="6"/>
  <c r="AF84" i="6"/>
  <c r="AG84" i="6"/>
  <c r="AH84" i="6"/>
  <c r="AI84" i="6"/>
  <c r="S85" i="6"/>
  <c r="AD85" i="6"/>
  <c r="AE85" i="6"/>
  <c r="AF85" i="6"/>
  <c r="AG85" i="6"/>
  <c r="AH85" i="6"/>
  <c r="AI85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1" i="6"/>
  <c r="AD91" i="6"/>
  <c r="AE91" i="6"/>
  <c r="AF91" i="6"/>
  <c r="AG91" i="6"/>
  <c r="AH91" i="6"/>
  <c r="AI91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S94" i="6"/>
  <c r="AD94" i="6"/>
  <c r="AE94" i="6"/>
  <c r="AF94" i="6"/>
  <c r="AG94" i="6"/>
  <c r="AH94" i="6"/>
  <c r="AI94" i="6"/>
  <c r="S95" i="6"/>
  <c r="AD95" i="6"/>
  <c r="AE95" i="6"/>
  <c r="AF95" i="6"/>
  <c r="AG95" i="6"/>
  <c r="AH95" i="6"/>
  <c r="AI95" i="6"/>
  <c r="S96" i="6"/>
  <c r="AD96" i="6"/>
  <c r="AE96" i="6"/>
  <c r="AF96" i="6"/>
  <c r="AG96" i="6"/>
  <c r="AH96" i="6"/>
  <c r="AI96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99" i="6"/>
  <c r="AD99" i="6"/>
  <c r="AE99" i="6"/>
  <c r="AF99" i="6"/>
  <c r="AG99" i="6"/>
  <c r="AH99" i="6"/>
  <c r="AI99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2" i="6"/>
  <c r="AD112" i="6"/>
  <c r="AE112" i="6"/>
  <c r="AF112" i="6"/>
  <c r="AG112" i="6"/>
  <c r="AH112" i="6"/>
  <c r="AI112" i="6"/>
  <c r="S113" i="6"/>
  <c r="AD113" i="6"/>
  <c r="AE113" i="6"/>
  <c r="AF113" i="6"/>
  <c r="AG113" i="6"/>
  <c r="AH113" i="6"/>
  <c r="AI113" i="6"/>
  <c r="S114" i="6"/>
  <c r="AD114" i="6"/>
  <c r="AE114" i="6"/>
  <c r="AF114" i="6"/>
  <c r="AG114" i="6"/>
  <c r="AH114" i="6"/>
  <c r="AI114" i="6"/>
  <c r="S115" i="6"/>
  <c r="AD115" i="6"/>
  <c r="AE115" i="6"/>
  <c r="AF115" i="6"/>
  <c r="AG115" i="6"/>
  <c r="AH115" i="6"/>
  <c r="AI115" i="6"/>
  <c r="S116" i="6"/>
  <c r="AD116" i="6"/>
  <c r="AE116" i="6"/>
  <c r="AF116" i="6"/>
  <c r="AG116" i="6"/>
  <c r="AH116" i="6"/>
  <c r="AI116" i="6"/>
  <c r="S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AD119" i="6"/>
  <c r="AE119" i="6"/>
  <c r="AF119" i="6"/>
  <c r="AG119" i="6"/>
  <c r="AH119" i="6"/>
  <c r="AI119" i="6"/>
  <c r="S120" i="6"/>
  <c r="AD120" i="6"/>
  <c r="AE120" i="6"/>
  <c r="AF120" i="6"/>
  <c r="AG120" i="6"/>
  <c r="AH120" i="6"/>
  <c r="AI120" i="6"/>
  <c r="S121" i="6"/>
  <c r="AD121" i="6"/>
  <c r="AE121" i="6"/>
  <c r="AF121" i="6"/>
  <c r="AG121" i="6"/>
  <c r="AH121" i="6"/>
  <c r="AI121" i="6"/>
  <c r="S122" i="6"/>
  <c r="AD122" i="6"/>
  <c r="AE122" i="6"/>
  <c r="AF122" i="6"/>
  <c r="AG122" i="6"/>
  <c r="AH122" i="6"/>
  <c r="AI122" i="6"/>
  <c r="S123" i="6"/>
  <c r="AD123" i="6"/>
  <c r="AE123" i="6"/>
  <c r="AF123" i="6"/>
  <c r="AG123" i="6"/>
  <c r="AH123" i="6"/>
  <c r="AI123" i="6"/>
  <c r="S124" i="6"/>
  <c r="AD124" i="6"/>
  <c r="AE124" i="6"/>
  <c r="AF124" i="6"/>
  <c r="AG124" i="6"/>
  <c r="AH124" i="6"/>
  <c r="AI124" i="6"/>
  <c r="S125" i="6"/>
  <c r="AD125" i="6"/>
  <c r="AE125" i="6"/>
  <c r="AF125" i="6"/>
  <c r="AG125" i="6"/>
  <c r="AH125" i="6"/>
  <c r="AI125" i="6"/>
  <c r="S126" i="6"/>
  <c r="AD126" i="6"/>
  <c r="AE126" i="6"/>
  <c r="AF126" i="6"/>
  <c r="AG126" i="6"/>
  <c r="AH126" i="6"/>
  <c r="AI126" i="6"/>
  <c r="S127" i="6"/>
  <c r="AD127" i="6"/>
  <c r="AE127" i="6"/>
  <c r="AF127" i="6"/>
  <c r="AG127" i="6"/>
  <c r="AH127" i="6"/>
  <c r="AI127" i="6"/>
  <c r="S128" i="6"/>
  <c r="AD128" i="6"/>
  <c r="AE128" i="6"/>
  <c r="AF128" i="6"/>
  <c r="AG128" i="6"/>
  <c r="AH128" i="6"/>
  <c r="AI128" i="6"/>
  <c r="S129" i="6"/>
  <c r="AD129" i="6"/>
  <c r="AE129" i="6"/>
  <c r="AF129" i="6"/>
  <c r="AG129" i="6"/>
  <c r="AH129" i="6"/>
  <c r="AI129" i="6"/>
  <c r="S130" i="6"/>
  <c r="AD130" i="6"/>
  <c r="AE130" i="6"/>
  <c r="AF130" i="6"/>
  <c r="AG130" i="6"/>
  <c r="AH130" i="6"/>
  <c r="AI130" i="6"/>
  <c r="S131" i="6"/>
  <c r="AD131" i="6"/>
  <c r="AE131" i="6"/>
  <c r="AF131" i="6"/>
  <c r="AG131" i="6"/>
  <c r="AH131" i="6"/>
  <c r="AI131" i="6"/>
  <c r="S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8" i="6"/>
  <c r="AD138" i="6"/>
  <c r="AE138" i="6"/>
  <c r="AF138" i="6"/>
  <c r="AG138" i="6"/>
  <c r="AH138" i="6"/>
  <c r="AI138" i="6"/>
  <c r="S139" i="6"/>
  <c r="AD139" i="6"/>
  <c r="AE139" i="6"/>
  <c r="AF139" i="6"/>
  <c r="AG139" i="6"/>
  <c r="AH139" i="6"/>
  <c r="AI139" i="6"/>
  <c r="S140" i="6"/>
  <c r="AD140" i="6"/>
  <c r="AE140" i="6"/>
  <c r="AF140" i="6"/>
  <c r="AG140" i="6"/>
  <c r="AH140" i="6"/>
  <c r="AI140" i="6"/>
  <c r="S141" i="6"/>
  <c r="AD141" i="6"/>
  <c r="AE141" i="6"/>
  <c r="AF141" i="6"/>
  <c r="AG141" i="6"/>
  <c r="AH141" i="6"/>
  <c r="AI141" i="6"/>
  <c r="S142" i="6"/>
  <c r="AD142" i="6"/>
  <c r="AE142" i="6"/>
  <c r="AF142" i="6"/>
  <c r="AG142" i="6"/>
  <c r="AH142" i="6"/>
  <c r="AI142" i="6"/>
  <c r="S143" i="6"/>
  <c r="AD143" i="6"/>
  <c r="AE143" i="6"/>
  <c r="AF143" i="6"/>
  <c r="AG143" i="6"/>
  <c r="AH143" i="6"/>
  <c r="AI143" i="6"/>
  <c r="S144" i="6"/>
  <c r="AD144" i="6"/>
  <c r="AE144" i="6"/>
  <c r="AF144" i="6"/>
  <c r="AG144" i="6"/>
  <c r="AH144" i="6"/>
  <c r="AI144" i="6"/>
  <c r="S145" i="6"/>
  <c r="AD145" i="6"/>
  <c r="AE145" i="6"/>
  <c r="AF145" i="6"/>
  <c r="AG145" i="6"/>
  <c r="AH145" i="6"/>
  <c r="AI145" i="6"/>
  <c r="S146" i="6"/>
  <c r="AD146" i="6"/>
  <c r="AE146" i="6"/>
  <c r="AF146" i="6"/>
  <c r="AG146" i="6"/>
  <c r="AH146" i="6"/>
  <c r="AI146" i="6"/>
  <c r="S147" i="6"/>
  <c r="AD147" i="6"/>
  <c r="AE147" i="6"/>
  <c r="AF147" i="6"/>
  <c r="AG147" i="6"/>
  <c r="AH147" i="6"/>
  <c r="AI147" i="6"/>
  <c r="S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1" i="6"/>
  <c r="AD151" i="6"/>
  <c r="AE151" i="6"/>
  <c r="AF151" i="6"/>
  <c r="AG151" i="6"/>
  <c r="AH151" i="6"/>
  <c r="AI151" i="6"/>
  <c r="S152" i="6"/>
  <c r="AD152" i="6"/>
  <c r="AE152" i="6"/>
  <c r="AF152" i="6"/>
  <c r="AG152" i="6"/>
  <c r="AH152" i="6"/>
  <c r="AI152" i="6"/>
  <c r="S153" i="6"/>
  <c r="AD153" i="6"/>
  <c r="AE153" i="6"/>
  <c r="AF153" i="6"/>
  <c r="AG153" i="6"/>
  <c r="AH153" i="6"/>
  <c r="AI153" i="6"/>
  <c r="S154" i="6"/>
  <c r="AD154" i="6"/>
  <c r="AE154" i="6"/>
  <c r="AF154" i="6"/>
  <c r="AG154" i="6"/>
  <c r="AH154" i="6"/>
  <c r="AI154" i="6"/>
  <c r="S155" i="6"/>
  <c r="AD155" i="6"/>
  <c r="AE155" i="6"/>
  <c r="AF155" i="6"/>
  <c r="AG155" i="6"/>
  <c r="AH155" i="6"/>
  <c r="AI155" i="6"/>
  <c r="S156" i="6"/>
  <c r="AD156" i="6"/>
  <c r="AE156" i="6"/>
  <c r="AF156" i="6"/>
  <c r="AG156" i="6"/>
  <c r="AH156" i="6"/>
  <c r="AI156" i="6"/>
  <c r="S157" i="6"/>
  <c r="AD157" i="6"/>
  <c r="AE157" i="6"/>
  <c r="AF157" i="6"/>
  <c r="AG157" i="6"/>
  <c r="AH157" i="6"/>
  <c r="AI157" i="6"/>
  <c r="S158" i="6"/>
  <c r="AD158" i="6"/>
  <c r="AE158" i="6"/>
  <c r="AF158" i="6"/>
  <c r="AG158" i="6"/>
  <c r="AH158" i="6"/>
  <c r="AI158" i="6"/>
  <c r="S159" i="6"/>
  <c r="AD159" i="6"/>
  <c r="AE159" i="6"/>
  <c r="AF159" i="6"/>
  <c r="AG159" i="6"/>
  <c r="AH159" i="6"/>
  <c r="AI159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S162" i="6"/>
  <c r="AD162" i="6"/>
  <c r="AE162" i="6"/>
  <c r="AF162" i="6"/>
  <c r="AG162" i="6"/>
  <c r="AH162" i="6"/>
  <c r="AI162" i="6"/>
  <c r="S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65" i="6"/>
  <c r="AD165" i="6"/>
  <c r="AE165" i="6"/>
  <c r="AF165" i="6"/>
  <c r="AG165" i="6"/>
  <c r="AH165" i="6"/>
  <c r="AI165" i="6"/>
  <c r="S166" i="6"/>
  <c r="AD166" i="6"/>
  <c r="AE166" i="6"/>
  <c r="AF166" i="6"/>
  <c r="AG166" i="6"/>
  <c r="AH166" i="6"/>
  <c r="AI166" i="6"/>
  <c r="S167" i="6"/>
  <c r="AD167" i="6"/>
  <c r="AE167" i="6"/>
  <c r="AF167" i="6"/>
  <c r="AG167" i="6"/>
  <c r="AH167" i="6"/>
  <c r="AI167" i="6"/>
  <c r="S168" i="6"/>
  <c r="AD168" i="6"/>
  <c r="AE168" i="6"/>
  <c r="AF168" i="6"/>
  <c r="AG168" i="6"/>
  <c r="AH168" i="6"/>
  <c r="AI168" i="6"/>
  <c r="S169" i="6"/>
  <c r="AD169" i="6"/>
  <c r="AE169" i="6"/>
  <c r="AF169" i="6"/>
  <c r="AG169" i="6"/>
  <c r="AH169" i="6"/>
  <c r="AI169" i="6"/>
  <c r="S170" i="6"/>
  <c r="AD170" i="6"/>
  <c r="AE170" i="6"/>
  <c r="AF170" i="6"/>
  <c r="AG170" i="6"/>
  <c r="AH170" i="6"/>
  <c r="AI170" i="6"/>
  <c r="S171" i="6"/>
  <c r="AD171" i="6"/>
  <c r="AE171" i="6"/>
  <c r="AF171" i="6"/>
  <c r="AG171" i="6"/>
  <c r="AH171" i="6"/>
  <c r="AI171" i="6"/>
  <c r="S172" i="6"/>
  <c r="AF172" i="6"/>
  <c r="AG172" i="6"/>
  <c r="AH172" i="6"/>
  <c r="AI172" i="6"/>
  <c r="S174" i="6"/>
  <c r="AF174" i="6"/>
  <c r="AG174" i="6"/>
  <c r="AH174" i="6"/>
  <c r="AI174" i="6"/>
  <c r="S175" i="6"/>
  <c r="AD175" i="6"/>
  <c r="AE175" i="6"/>
  <c r="AF175" i="6"/>
  <c r="AG175" i="6"/>
  <c r="AH175" i="6"/>
  <c r="AI175" i="6"/>
  <c r="S176" i="6"/>
  <c r="AD176" i="6"/>
  <c r="AE176" i="6"/>
  <c r="AF176" i="6"/>
  <c r="AG176" i="6"/>
  <c r="AH176" i="6"/>
  <c r="AI176" i="6"/>
  <c r="S177" i="6"/>
  <c r="AD177" i="6"/>
  <c r="AE177" i="6"/>
  <c r="AF177" i="6"/>
  <c r="AG177" i="6"/>
  <c r="AH177" i="6"/>
  <c r="AI177" i="6"/>
  <c r="S178" i="6"/>
  <c r="AD178" i="6"/>
  <c r="AE178" i="6"/>
  <c r="AF178" i="6"/>
  <c r="AG178" i="6"/>
  <c r="AH178" i="6"/>
  <c r="AI178" i="6"/>
  <c r="S179" i="6"/>
  <c r="AD179" i="6"/>
  <c r="AE179" i="6"/>
  <c r="AF179" i="6"/>
  <c r="AG179" i="6"/>
  <c r="AH179" i="6"/>
  <c r="AI179" i="6"/>
  <c r="S180" i="6"/>
  <c r="AD180" i="6"/>
  <c r="AE180" i="6"/>
  <c r="AF180" i="6"/>
  <c r="AG180" i="6"/>
  <c r="AH180" i="6"/>
  <c r="AI180" i="6"/>
  <c r="S181" i="6"/>
  <c r="AD181" i="6"/>
  <c r="AE181" i="6"/>
  <c r="AF181" i="6"/>
  <c r="AG181" i="6"/>
  <c r="AH181" i="6"/>
  <c r="AI181" i="6"/>
  <c r="S182" i="6"/>
  <c r="AD182" i="6"/>
  <c r="AE182" i="6"/>
  <c r="AF182" i="6"/>
  <c r="AG182" i="6"/>
  <c r="AH182" i="6"/>
  <c r="AI182" i="6"/>
  <c r="S183" i="6"/>
  <c r="AD183" i="6"/>
  <c r="AE183" i="6"/>
  <c r="AF183" i="6"/>
  <c r="AG183" i="6"/>
  <c r="AH183" i="6"/>
  <c r="AI183" i="6"/>
  <c r="S184" i="6"/>
  <c r="AD184" i="6"/>
  <c r="AE184" i="6"/>
  <c r="AF184" i="6"/>
  <c r="AG184" i="6"/>
  <c r="AH184" i="6"/>
  <c r="AI184" i="6"/>
  <c r="S185" i="6"/>
  <c r="AD185" i="6"/>
  <c r="AE185" i="6"/>
  <c r="AF185" i="6"/>
  <c r="AG185" i="6"/>
  <c r="AH185" i="6"/>
  <c r="AI185" i="6"/>
  <c r="S186" i="6"/>
  <c r="AD186" i="6"/>
  <c r="AE186" i="6"/>
  <c r="AF186" i="6"/>
  <c r="AG186" i="6"/>
  <c r="AH186" i="6"/>
  <c r="AI186" i="6"/>
  <c r="S187" i="6"/>
  <c r="AD187" i="6"/>
  <c r="AE187" i="6"/>
  <c r="AF187" i="6"/>
  <c r="AG187" i="6"/>
  <c r="AH187" i="6"/>
  <c r="AI187" i="6"/>
  <c r="S188" i="6"/>
  <c r="AD188" i="6"/>
  <c r="AE188" i="6"/>
  <c r="AF188" i="6"/>
  <c r="AG188" i="6"/>
  <c r="AH188" i="6"/>
  <c r="AI188" i="6"/>
  <c r="S189" i="6"/>
  <c r="AD189" i="6"/>
  <c r="AE189" i="6"/>
  <c r="AF189" i="6"/>
  <c r="AG189" i="6"/>
  <c r="AH189" i="6"/>
  <c r="AI189" i="6"/>
  <c r="S190" i="6"/>
  <c r="AD190" i="6"/>
  <c r="AE190" i="6"/>
  <c r="AF190" i="6"/>
  <c r="AG190" i="6"/>
  <c r="AH190" i="6"/>
  <c r="AI190" i="6"/>
  <c r="S191" i="6"/>
  <c r="AD191" i="6"/>
  <c r="AE191" i="6"/>
  <c r="AF191" i="6"/>
  <c r="AG191" i="6"/>
  <c r="AH191" i="6"/>
  <c r="AI191" i="6"/>
  <c r="S192" i="6"/>
  <c r="AD192" i="6"/>
  <c r="AE192" i="6"/>
  <c r="AF192" i="6"/>
  <c r="AG192" i="6"/>
  <c r="AH192" i="6"/>
  <c r="AI192" i="6"/>
  <c r="S193" i="6"/>
  <c r="AD193" i="6"/>
  <c r="AE193" i="6"/>
  <c r="AF193" i="6"/>
  <c r="AG193" i="6"/>
  <c r="AH193" i="6"/>
  <c r="AI193" i="6"/>
  <c r="S194" i="6"/>
  <c r="AD194" i="6"/>
  <c r="AE194" i="6"/>
  <c r="AF194" i="6"/>
  <c r="AG194" i="6"/>
  <c r="AH194" i="6"/>
  <c r="AI194" i="6"/>
  <c r="S195" i="6"/>
  <c r="AD195" i="6"/>
  <c r="AE195" i="6"/>
  <c r="AF195" i="6"/>
  <c r="AG195" i="6"/>
  <c r="AH195" i="6"/>
  <c r="AI195" i="6"/>
  <c r="S196" i="6"/>
  <c r="AD196" i="6"/>
  <c r="AE196" i="6"/>
  <c r="AF196" i="6"/>
  <c r="AG196" i="6"/>
  <c r="AH196" i="6"/>
  <c r="AI196" i="6"/>
  <c r="S197" i="6"/>
  <c r="AD197" i="6"/>
  <c r="AE197" i="6"/>
  <c r="AF197" i="6"/>
  <c r="AG197" i="6"/>
  <c r="AH197" i="6"/>
  <c r="AI197" i="6"/>
  <c r="S198" i="6"/>
  <c r="AD198" i="6"/>
  <c r="AE198" i="6"/>
  <c r="AF198" i="6"/>
  <c r="AG198" i="6"/>
  <c r="AH198" i="6"/>
  <c r="AI198" i="6"/>
  <c r="S199" i="6"/>
  <c r="AD199" i="6"/>
  <c r="AE199" i="6"/>
  <c r="AF199" i="6"/>
  <c r="AG199" i="6"/>
  <c r="AH199" i="6"/>
  <c r="AI199" i="6"/>
  <c r="S200" i="6"/>
  <c r="AD200" i="6"/>
  <c r="AE200" i="6"/>
  <c r="AF200" i="6"/>
  <c r="AG200" i="6"/>
  <c r="AH200" i="6"/>
  <c r="AI200" i="6"/>
  <c r="S201" i="6"/>
  <c r="AD201" i="6"/>
  <c r="AE201" i="6"/>
  <c r="AF201" i="6"/>
  <c r="AG201" i="6"/>
  <c r="AH201" i="6"/>
  <c r="AI201" i="6"/>
  <c r="S202" i="6"/>
  <c r="AD202" i="6"/>
  <c r="AE202" i="6"/>
  <c r="AF202" i="6"/>
  <c r="AG202" i="6"/>
  <c r="AH202" i="6"/>
  <c r="AI202" i="6"/>
  <c r="S203" i="6"/>
  <c r="AD203" i="6"/>
  <c r="AE203" i="6"/>
  <c r="AF203" i="6"/>
  <c r="AG203" i="6"/>
  <c r="AH203" i="6"/>
  <c r="AI203" i="6"/>
  <c r="S204" i="6"/>
  <c r="AD204" i="6"/>
  <c r="AE204" i="6"/>
  <c r="AF204" i="6"/>
  <c r="AG204" i="6"/>
  <c r="AH204" i="6"/>
  <c r="AI204" i="6"/>
  <c r="S205" i="6"/>
  <c r="AD205" i="6"/>
  <c r="AE205" i="6"/>
  <c r="AF205" i="6"/>
  <c r="AG205" i="6"/>
  <c r="AH205" i="6"/>
  <c r="AI205" i="6"/>
  <c r="S206" i="6"/>
  <c r="AD206" i="6"/>
  <c r="AE206" i="6"/>
  <c r="AF206" i="6"/>
  <c r="AG206" i="6"/>
  <c r="AH206" i="6"/>
  <c r="AI206" i="6"/>
  <c r="S207" i="6"/>
  <c r="AD207" i="6"/>
  <c r="AE207" i="6"/>
  <c r="AF207" i="6"/>
  <c r="AG207" i="6"/>
  <c r="AH207" i="6"/>
  <c r="AI207" i="6"/>
  <c r="S208" i="6"/>
  <c r="AD208" i="6"/>
  <c r="AE208" i="6"/>
  <c r="AF208" i="6"/>
  <c r="AG208" i="6"/>
  <c r="AH208" i="6"/>
  <c r="AI208" i="6"/>
  <c r="S209" i="6"/>
  <c r="AD209" i="6"/>
  <c r="AE209" i="6"/>
  <c r="AF209" i="6"/>
  <c r="AG209" i="6"/>
  <c r="AH209" i="6"/>
  <c r="AI209" i="6"/>
  <c r="S210" i="6"/>
  <c r="AD210" i="6"/>
  <c r="AE210" i="6"/>
  <c r="AF210" i="6"/>
  <c r="AG210" i="6"/>
  <c r="AH210" i="6"/>
  <c r="AI210" i="6"/>
  <c r="S211" i="6"/>
  <c r="AD211" i="6"/>
  <c r="AE211" i="6"/>
  <c r="AF211" i="6"/>
  <c r="AG211" i="6"/>
  <c r="AH211" i="6"/>
  <c r="AI211" i="6"/>
  <c r="S212" i="6"/>
  <c r="AD212" i="6"/>
  <c r="AE212" i="6"/>
  <c r="AF212" i="6"/>
  <c r="AG212" i="6"/>
  <c r="AH212" i="6"/>
  <c r="AI212" i="6"/>
  <c r="S213" i="6"/>
  <c r="AD213" i="6"/>
  <c r="AE213" i="6"/>
  <c r="AF213" i="6"/>
  <c r="AG213" i="6"/>
  <c r="AH213" i="6"/>
  <c r="AI213" i="6"/>
  <c r="S214" i="6"/>
  <c r="AD214" i="6"/>
  <c r="AE214" i="6"/>
  <c r="AF214" i="6"/>
  <c r="AG214" i="6"/>
  <c r="AH214" i="6"/>
  <c r="AI214" i="6"/>
  <c r="S215" i="6"/>
  <c r="AD215" i="6"/>
  <c r="AE215" i="6"/>
  <c r="AF215" i="6"/>
  <c r="AG215" i="6"/>
  <c r="AH215" i="6"/>
  <c r="AI215" i="6"/>
  <c r="S216" i="6"/>
  <c r="AD216" i="6"/>
  <c r="AE216" i="6"/>
  <c r="AF216" i="6"/>
  <c r="AG216" i="6"/>
  <c r="AH216" i="6"/>
  <c r="AI216" i="6"/>
  <c r="S217" i="6"/>
  <c r="AD217" i="6"/>
  <c r="AE217" i="6"/>
  <c r="AF217" i="6"/>
  <c r="AG217" i="6"/>
  <c r="AH217" i="6"/>
  <c r="AI217" i="6"/>
  <c r="S218" i="6"/>
  <c r="AD218" i="6"/>
  <c r="AE218" i="6"/>
  <c r="AF218" i="6"/>
  <c r="AG218" i="6"/>
  <c r="AH218" i="6"/>
  <c r="AI218" i="6"/>
  <c r="S219" i="6"/>
  <c r="AD219" i="6"/>
  <c r="AE219" i="6"/>
  <c r="AF219" i="6"/>
  <c r="AG219" i="6"/>
  <c r="AH219" i="6"/>
  <c r="AI219" i="6"/>
  <c r="S220" i="6"/>
  <c r="AD220" i="6"/>
  <c r="AE220" i="6"/>
  <c r="AF220" i="6"/>
  <c r="AG220" i="6"/>
  <c r="AH220" i="6"/>
  <c r="AI220" i="6"/>
  <c r="S221" i="6"/>
  <c r="AD221" i="6"/>
  <c r="AE221" i="6"/>
  <c r="AF221" i="6"/>
  <c r="AG221" i="6"/>
  <c r="AH221" i="6"/>
  <c r="AI221" i="6"/>
  <c r="S222" i="6"/>
  <c r="AD222" i="6"/>
  <c r="AE222" i="6"/>
  <c r="AF222" i="6"/>
  <c r="AG222" i="6"/>
  <c r="AH222" i="6"/>
  <c r="AI222" i="6"/>
  <c r="S223" i="6"/>
  <c r="AD223" i="6"/>
  <c r="AE223" i="6"/>
  <c r="AF223" i="6"/>
  <c r="AG223" i="6"/>
  <c r="AH223" i="6"/>
  <c r="AI223" i="6"/>
  <c r="S224" i="6"/>
  <c r="AD224" i="6"/>
  <c r="AE224" i="6"/>
  <c r="AF224" i="6"/>
  <c r="AG224" i="6"/>
  <c r="AH224" i="6"/>
  <c r="AI224" i="6"/>
  <c r="S225" i="6"/>
  <c r="AD225" i="6"/>
  <c r="AE225" i="6"/>
  <c r="AF225" i="6"/>
  <c r="AG225" i="6"/>
  <c r="AH225" i="6"/>
  <c r="AI225" i="6"/>
  <c r="S226" i="6"/>
  <c r="AD226" i="6"/>
  <c r="AE226" i="6"/>
  <c r="AF226" i="6"/>
  <c r="AG226" i="6"/>
  <c r="AH226" i="6"/>
  <c r="AI226" i="6"/>
  <c r="S227" i="6"/>
  <c r="AD227" i="6"/>
  <c r="AE227" i="6"/>
  <c r="AF227" i="6"/>
  <c r="AG227" i="6"/>
  <c r="AH227" i="6"/>
  <c r="AI227" i="6"/>
  <c r="S228" i="6"/>
  <c r="AD228" i="6"/>
  <c r="AE228" i="6"/>
  <c r="AF228" i="6"/>
  <c r="AG228" i="6"/>
  <c r="AH228" i="6"/>
  <c r="AI228" i="6"/>
  <c r="S229" i="6"/>
  <c r="AD229" i="6"/>
  <c r="AE229" i="6"/>
  <c r="AF229" i="6"/>
  <c r="AG229" i="6"/>
  <c r="AH229" i="6"/>
  <c r="AI229" i="6"/>
  <c r="S230" i="6"/>
  <c r="AD230" i="6"/>
  <c r="AE230" i="6"/>
  <c r="AF230" i="6"/>
  <c r="AG230" i="6"/>
  <c r="AH230" i="6"/>
  <c r="AI230" i="6"/>
  <c r="AD231" i="6"/>
  <c r="AE231" i="6"/>
  <c r="AF231" i="6"/>
  <c r="AG231" i="6"/>
  <c r="AH231" i="6"/>
  <c r="AI231" i="6"/>
  <c r="AD233" i="6"/>
  <c r="AE233" i="6"/>
  <c r="AF233" i="6"/>
  <c r="AG233" i="6"/>
  <c r="AH233" i="6"/>
  <c r="AI233" i="6"/>
  <c r="S234" i="6"/>
  <c r="AD234" i="6"/>
  <c r="AE234" i="6"/>
  <c r="AF234" i="6"/>
  <c r="AG234" i="6"/>
  <c r="AH234" i="6"/>
  <c r="AI234" i="6"/>
  <c r="S235" i="6"/>
  <c r="AD235" i="6"/>
  <c r="AE235" i="6"/>
  <c r="AF235" i="6"/>
  <c r="AG235" i="6"/>
  <c r="AH235" i="6"/>
  <c r="AI235" i="6"/>
  <c r="S236" i="6"/>
  <c r="AD236" i="6"/>
  <c r="AE236" i="6"/>
  <c r="AF236" i="6"/>
  <c r="AG236" i="6"/>
  <c r="AH236" i="6"/>
  <c r="AI236" i="6"/>
  <c r="S237" i="6"/>
  <c r="AD237" i="6"/>
  <c r="AE237" i="6"/>
  <c r="AF237" i="6"/>
  <c r="AG237" i="6"/>
  <c r="AH237" i="6"/>
  <c r="AI237" i="6"/>
  <c r="S238" i="6"/>
  <c r="AD238" i="6"/>
  <c r="AE238" i="6"/>
  <c r="AF238" i="6"/>
  <c r="AG238" i="6"/>
  <c r="AH238" i="6"/>
  <c r="AI238" i="6"/>
  <c r="S239" i="6"/>
  <c r="AD239" i="6"/>
  <c r="AE239" i="6"/>
  <c r="AF239" i="6"/>
  <c r="AG239" i="6"/>
  <c r="AH239" i="6"/>
  <c r="AI239" i="6"/>
  <c r="S240" i="6"/>
  <c r="AD240" i="6"/>
  <c r="AE240" i="6"/>
  <c r="AF240" i="6"/>
  <c r="AG240" i="6"/>
  <c r="AH240" i="6"/>
  <c r="AI240" i="6"/>
  <c r="S241" i="6"/>
  <c r="AD241" i="6"/>
  <c r="AE241" i="6"/>
  <c r="AF241" i="6"/>
  <c r="AG241" i="6"/>
  <c r="AH241" i="6"/>
  <c r="AI241" i="6"/>
  <c r="S242" i="6"/>
  <c r="AD242" i="6"/>
  <c r="AE242" i="6"/>
  <c r="AF242" i="6"/>
  <c r="AG242" i="6"/>
  <c r="AH242" i="6"/>
  <c r="AI242" i="6"/>
  <c r="S243" i="6"/>
  <c r="AD243" i="6"/>
  <c r="AE243" i="6"/>
  <c r="AF243" i="6"/>
  <c r="AG243" i="6"/>
  <c r="AH243" i="6"/>
  <c r="AI243" i="6"/>
  <c r="S244" i="6"/>
  <c r="AD244" i="6"/>
  <c r="AE244" i="6"/>
  <c r="AF244" i="6"/>
  <c r="AG244" i="6"/>
  <c r="AH244" i="6"/>
  <c r="AI244" i="6"/>
  <c r="S245" i="6"/>
  <c r="AD245" i="6"/>
  <c r="AE245" i="6"/>
  <c r="AF245" i="6"/>
  <c r="AG245" i="6"/>
  <c r="AH245" i="6"/>
  <c r="AI245" i="6"/>
  <c r="S246" i="6"/>
  <c r="AD246" i="6"/>
  <c r="AE246" i="6"/>
  <c r="AF246" i="6"/>
  <c r="AG246" i="6"/>
  <c r="AH246" i="6"/>
  <c r="AI246" i="6"/>
  <c r="S247" i="6"/>
  <c r="AD247" i="6"/>
  <c r="AE247" i="6"/>
  <c r="AF247" i="6"/>
  <c r="AG247" i="6"/>
  <c r="AH247" i="6"/>
  <c r="AI247" i="6"/>
  <c r="S248" i="6"/>
  <c r="AD248" i="6"/>
  <c r="AE248" i="6"/>
  <c r="AF248" i="6"/>
  <c r="AG248" i="6"/>
  <c r="AH248" i="6"/>
  <c r="AI248" i="6"/>
  <c r="S249" i="6"/>
  <c r="AD249" i="6"/>
  <c r="AE249" i="6"/>
  <c r="AF249" i="6"/>
  <c r="AG249" i="6"/>
  <c r="AH249" i="6"/>
  <c r="AI249" i="6"/>
  <c r="S250" i="6"/>
  <c r="AD250" i="6"/>
  <c r="AE250" i="6"/>
  <c r="AF250" i="6"/>
  <c r="AG250" i="6"/>
  <c r="AH250" i="6"/>
  <c r="AI250" i="6"/>
  <c r="S251" i="6"/>
  <c r="AD251" i="6"/>
  <c r="AE251" i="6"/>
  <c r="AF251" i="6"/>
  <c r="AG251" i="6"/>
  <c r="AH251" i="6"/>
  <c r="AI251" i="6"/>
  <c r="S252" i="6"/>
  <c r="AD252" i="6"/>
  <c r="AE252" i="6"/>
  <c r="AF252" i="6"/>
  <c r="AG252" i="6"/>
  <c r="AH252" i="6"/>
  <c r="AI252" i="6"/>
  <c r="S253" i="6"/>
  <c r="AD253" i="6"/>
  <c r="AE253" i="6"/>
  <c r="AF253" i="6"/>
  <c r="AG253" i="6"/>
  <c r="AH253" i="6"/>
  <c r="AI253" i="6"/>
  <c r="S254" i="6"/>
  <c r="AD254" i="6"/>
  <c r="AE254" i="6"/>
  <c r="AF254" i="6"/>
  <c r="AG254" i="6"/>
  <c r="AH254" i="6"/>
  <c r="AI254" i="6"/>
  <c r="S255" i="6"/>
  <c r="AD255" i="6"/>
  <c r="AE255" i="6"/>
  <c r="AF255" i="6"/>
  <c r="AG255" i="6"/>
  <c r="AH255" i="6"/>
  <c r="AI255" i="6"/>
  <c r="S256" i="6"/>
  <c r="AD256" i="6"/>
  <c r="AE256" i="6"/>
  <c r="AF256" i="6"/>
  <c r="AG256" i="6"/>
  <c r="AH256" i="6"/>
  <c r="AI256" i="6"/>
  <c r="S257" i="6"/>
  <c r="AD257" i="6"/>
  <c r="AE257" i="6"/>
  <c r="AF257" i="6"/>
  <c r="AG257" i="6"/>
  <c r="AH257" i="6"/>
  <c r="AI257" i="6"/>
  <c r="S258" i="6"/>
  <c r="AD258" i="6"/>
  <c r="AE258" i="6"/>
  <c r="AF258" i="6"/>
  <c r="AG258" i="6"/>
  <c r="AH258" i="6"/>
  <c r="AI258" i="6"/>
  <c r="S259" i="6"/>
  <c r="AD259" i="6"/>
  <c r="AE259" i="6"/>
  <c r="AF259" i="6"/>
  <c r="AG259" i="6"/>
  <c r="AH259" i="6"/>
  <c r="AI259" i="6"/>
  <c r="S260" i="6"/>
  <c r="AD260" i="6"/>
  <c r="AE260" i="6"/>
  <c r="AF260" i="6"/>
  <c r="AG260" i="6"/>
  <c r="AH260" i="6"/>
  <c r="AI260" i="6"/>
  <c r="S261" i="6"/>
  <c r="AD261" i="6"/>
  <c r="AE261" i="6"/>
  <c r="AF261" i="6"/>
  <c r="AG261" i="6"/>
  <c r="AH261" i="6"/>
  <c r="AI261" i="6"/>
  <c r="S262" i="6"/>
  <c r="AD262" i="6"/>
  <c r="AE262" i="6"/>
  <c r="AF262" i="6"/>
  <c r="AG262" i="6"/>
  <c r="AH262" i="6"/>
  <c r="AI262" i="6"/>
  <c r="S263" i="6"/>
  <c r="AD263" i="6"/>
  <c r="AE263" i="6"/>
  <c r="AF263" i="6"/>
  <c r="AG263" i="6"/>
  <c r="AH263" i="6"/>
  <c r="AI263" i="6"/>
  <c r="S264" i="6"/>
  <c r="AD264" i="6"/>
  <c r="AE264" i="6"/>
  <c r="AF264" i="6"/>
  <c r="AG264" i="6"/>
  <c r="AH264" i="6"/>
  <c r="AI264" i="6"/>
  <c r="S265" i="6"/>
  <c r="AD265" i="6"/>
  <c r="AE265" i="6"/>
  <c r="AF265" i="6"/>
  <c r="AG265" i="6"/>
  <c r="AH265" i="6"/>
  <c r="AI265" i="6"/>
  <c r="S266" i="6"/>
  <c r="AD266" i="6"/>
  <c r="AE266" i="6"/>
  <c r="AF266" i="6"/>
  <c r="AG266" i="6"/>
  <c r="AH266" i="6"/>
  <c r="AI266" i="6"/>
  <c r="S267" i="6"/>
  <c r="AD267" i="6"/>
  <c r="AE267" i="6"/>
  <c r="AF267" i="6"/>
  <c r="AG267" i="6"/>
  <c r="AH267" i="6"/>
  <c r="AI267" i="6"/>
  <c r="S268" i="6"/>
  <c r="AD268" i="6"/>
  <c r="AE268" i="6"/>
  <c r="AF268" i="6"/>
  <c r="AG268" i="6"/>
  <c r="AH268" i="6"/>
  <c r="AI268" i="6"/>
  <c r="S269" i="6"/>
  <c r="AD269" i="6"/>
  <c r="AE269" i="6"/>
  <c r="AF269" i="6"/>
  <c r="AG269" i="6"/>
  <c r="AH269" i="6"/>
  <c r="AI269" i="6"/>
  <c r="S270" i="6"/>
  <c r="AD270" i="6"/>
  <c r="AE270" i="6"/>
  <c r="AF270" i="6"/>
  <c r="AG270" i="6"/>
  <c r="AH270" i="6"/>
  <c r="AI270" i="6"/>
  <c r="S271" i="6"/>
  <c r="AD271" i="6"/>
  <c r="AE271" i="6"/>
  <c r="AF271" i="6"/>
  <c r="AG271" i="6"/>
  <c r="AH271" i="6"/>
  <c r="AI271" i="6"/>
  <c r="S272" i="6"/>
  <c r="AD272" i="6"/>
  <c r="AE272" i="6"/>
  <c r="AF272" i="6"/>
  <c r="AG272" i="6"/>
  <c r="AH272" i="6"/>
  <c r="AI272" i="6"/>
  <c r="S273" i="6"/>
  <c r="AD273" i="6"/>
  <c r="AE273" i="6"/>
  <c r="AF273" i="6"/>
  <c r="AG273" i="6"/>
  <c r="AH273" i="6"/>
  <c r="AI273" i="6"/>
  <c r="S274" i="6"/>
  <c r="AD274" i="6"/>
  <c r="AE274" i="6"/>
  <c r="AF274" i="6"/>
  <c r="AG274" i="6"/>
  <c r="AH274" i="6"/>
  <c r="AI274" i="6"/>
  <c r="S275" i="6"/>
  <c r="AD275" i="6"/>
  <c r="AE275" i="6"/>
  <c r="AF275" i="6"/>
  <c r="AG275" i="6"/>
  <c r="AH275" i="6"/>
  <c r="AI275" i="6"/>
  <c r="S276" i="6"/>
  <c r="AD276" i="6"/>
  <c r="AE276" i="6"/>
  <c r="AF276" i="6"/>
  <c r="AG276" i="6"/>
  <c r="AH276" i="6"/>
  <c r="AI276" i="6"/>
  <c r="S277" i="6"/>
  <c r="AD277" i="6"/>
  <c r="AE277" i="6"/>
  <c r="AF277" i="6"/>
  <c r="AG277" i="6"/>
  <c r="AH277" i="6"/>
  <c r="AI277" i="6"/>
  <c r="S278" i="6"/>
  <c r="AD278" i="6"/>
  <c r="AE278" i="6"/>
  <c r="AF278" i="6"/>
  <c r="AG278" i="6"/>
  <c r="AH278" i="6"/>
  <c r="AI278" i="6"/>
  <c r="S279" i="6"/>
  <c r="AD279" i="6"/>
  <c r="AE279" i="6"/>
  <c r="AF279" i="6"/>
  <c r="AG279" i="6"/>
  <c r="AH279" i="6"/>
  <c r="AI279" i="6"/>
  <c r="S280" i="6"/>
  <c r="AD280" i="6"/>
  <c r="AE280" i="6"/>
  <c r="AF280" i="6"/>
  <c r="AG280" i="6"/>
  <c r="AH280" i="6"/>
  <c r="AI280" i="6"/>
  <c r="S281" i="6"/>
  <c r="AD281" i="6"/>
  <c r="AE281" i="6"/>
  <c r="AF281" i="6"/>
  <c r="AG281" i="6"/>
  <c r="AH281" i="6"/>
  <c r="AI281" i="6"/>
  <c r="S282" i="6"/>
  <c r="AD282" i="6"/>
  <c r="AE282" i="6"/>
  <c r="AF282" i="6"/>
  <c r="AG282" i="6"/>
  <c r="AH282" i="6"/>
  <c r="AI282" i="6"/>
  <c r="S283" i="6"/>
  <c r="AD283" i="6"/>
  <c r="AE283" i="6"/>
  <c r="AF283" i="6"/>
  <c r="AG283" i="6"/>
  <c r="AH283" i="6"/>
  <c r="AI283" i="6"/>
  <c r="S284" i="6"/>
  <c r="AD284" i="6"/>
  <c r="AE284" i="6"/>
  <c r="AF284" i="6"/>
  <c r="AG284" i="6"/>
  <c r="AH284" i="6"/>
  <c r="AI284" i="6"/>
  <c r="S285" i="6"/>
  <c r="AD285" i="6"/>
  <c r="AE285" i="6"/>
  <c r="AF285" i="6"/>
  <c r="AG285" i="6"/>
  <c r="AH285" i="6"/>
  <c r="AI285" i="6"/>
  <c r="S286" i="6"/>
  <c r="AD286" i="6"/>
  <c r="AE286" i="6"/>
  <c r="AF286" i="6"/>
  <c r="AG286" i="6"/>
  <c r="AH286" i="6"/>
  <c r="AI286" i="6"/>
  <c r="S287" i="6"/>
  <c r="AD287" i="6"/>
  <c r="AE287" i="6"/>
  <c r="AF287" i="6"/>
  <c r="AG287" i="6"/>
  <c r="AH287" i="6"/>
  <c r="AI287" i="6"/>
  <c r="S288" i="6"/>
  <c r="AD288" i="6"/>
  <c r="AE288" i="6"/>
  <c r="AF288" i="6"/>
  <c r="AG288" i="6"/>
  <c r="AH288" i="6"/>
  <c r="AI288" i="6"/>
  <c r="S289" i="6"/>
  <c r="AD289" i="6"/>
  <c r="AE289" i="6"/>
  <c r="AF289" i="6"/>
  <c r="AG289" i="6"/>
  <c r="AH289" i="6"/>
  <c r="AI289" i="6"/>
  <c r="S290" i="6"/>
  <c r="AD290" i="6"/>
  <c r="AE290" i="6"/>
  <c r="AF290" i="6"/>
  <c r="AG290" i="6"/>
  <c r="AH290" i="6"/>
  <c r="AI290" i="6"/>
  <c r="S291" i="6"/>
  <c r="AD291" i="6"/>
  <c r="AE291" i="6"/>
  <c r="AF291" i="6"/>
  <c r="AG291" i="6"/>
  <c r="AH291" i="6"/>
  <c r="AI291" i="6"/>
  <c r="S292" i="6"/>
  <c r="AD292" i="6"/>
  <c r="AE292" i="6"/>
  <c r="AF292" i="6"/>
  <c r="AG292" i="6"/>
  <c r="AH292" i="6"/>
  <c r="AI292" i="6"/>
  <c r="S293" i="6"/>
  <c r="AD293" i="6"/>
  <c r="AE293" i="6"/>
  <c r="AF293" i="6"/>
  <c r="AG293" i="6"/>
  <c r="AH293" i="6"/>
  <c r="AI293" i="6"/>
  <c r="S294" i="6"/>
  <c r="AD294" i="6"/>
  <c r="AE294" i="6"/>
  <c r="AF294" i="6"/>
  <c r="AG294" i="6"/>
  <c r="AH294" i="6"/>
  <c r="AI294" i="6"/>
  <c r="S295" i="6"/>
  <c r="AD295" i="6"/>
  <c r="AE295" i="6"/>
  <c r="AF295" i="6"/>
  <c r="AG295" i="6"/>
  <c r="AH295" i="6"/>
  <c r="AI295" i="6"/>
  <c r="S296" i="6"/>
  <c r="AD296" i="6"/>
  <c r="AE296" i="6"/>
  <c r="AF296" i="6"/>
  <c r="AG296" i="6"/>
  <c r="AH296" i="6"/>
  <c r="AI296" i="6"/>
  <c r="S297" i="6"/>
  <c r="AD297" i="6"/>
  <c r="AE297" i="6"/>
  <c r="AF297" i="6"/>
  <c r="AG297" i="6"/>
  <c r="AH297" i="6"/>
  <c r="AI297" i="6"/>
  <c r="S298" i="6"/>
  <c r="AD298" i="6"/>
  <c r="AE298" i="6"/>
  <c r="AF298" i="6"/>
  <c r="AG298" i="6"/>
  <c r="AH298" i="6"/>
  <c r="AI298" i="6"/>
  <c r="S299" i="6"/>
  <c r="AD299" i="6"/>
  <c r="AE299" i="6"/>
  <c r="AF299" i="6"/>
  <c r="AG299" i="6"/>
  <c r="AH299" i="6"/>
  <c r="AI299" i="6"/>
  <c r="S300" i="6"/>
  <c r="AD300" i="6"/>
  <c r="AE300" i="6"/>
  <c r="AF300" i="6"/>
  <c r="AG300" i="6"/>
  <c r="AH300" i="6"/>
  <c r="AI300" i="6"/>
  <c r="S301" i="6"/>
  <c r="AD301" i="6"/>
  <c r="AE301" i="6"/>
  <c r="AF301" i="6"/>
  <c r="AG301" i="6"/>
  <c r="AH301" i="6"/>
  <c r="AI301" i="6"/>
  <c r="S302" i="6"/>
  <c r="AD302" i="6"/>
  <c r="AE302" i="6"/>
  <c r="AF302" i="6"/>
  <c r="AG302" i="6"/>
  <c r="AH302" i="6"/>
  <c r="AI302" i="6"/>
  <c r="S303" i="6"/>
  <c r="AD303" i="6"/>
  <c r="AE303" i="6"/>
  <c r="AF303" i="6"/>
  <c r="AG303" i="6"/>
  <c r="AH303" i="6"/>
  <c r="AI303" i="6"/>
  <c r="S304" i="6"/>
  <c r="AD304" i="6"/>
  <c r="AE304" i="6"/>
  <c r="AF304" i="6"/>
  <c r="AG304" i="6"/>
  <c r="AH304" i="6"/>
  <c r="AI304" i="6"/>
  <c r="S305" i="6"/>
  <c r="AD305" i="6"/>
  <c r="AE305" i="6"/>
  <c r="AF305" i="6"/>
  <c r="AG305" i="6"/>
  <c r="AH305" i="6"/>
  <c r="AI305" i="6"/>
  <c r="S306" i="6"/>
  <c r="AD306" i="6"/>
  <c r="AE306" i="6"/>
  <c r="AF306" i="6"/>
  <c r="AG306" i="6"/>
  <c r="AH306" i="6"/>
  <c r="AI306" i="6"/>
  <c r="S307" i="6"/>
  <c r="AD307" i="6"/>
  <c r="AE307" i="6"/>
  <c r="AF307" i="6"/>
  <c r="AG307" i="6"/>
  <c r="AH307" i="6"/>
  <c r="AI307" i="6"/>
  <c r="S308" i="6"/>
  <c r="AD308" i="6"/>
  <c r="AE308" i="6"/>
  <c r="AF308" i="6"/>
  <c r="AG308" i="6"/>
  <c r="AH308" i="6"/>
  <c r="AI308" i="6"/>
  <c r="S309" i="6"/>
  <c r="AD309" i="6"/>
  <c r="AE309" i="6"/>
  <c r="AF309" i="6"/>
  <c r="AG309" i="6"/>
  <c r="AH309" i="6"/>
  <c r="AI309" i="6"/>
  <c r="S310" i="6"/>
  <c r="AD310" i="6"/>
  <c r="AE310" i="6"/>
  <c r="AF310" i="6"/>
  <c r="AG310" i="6"/>
  <c r="AH310" i="6"/>
  <c r="AI310" i="6"/>
  <c r="S311" i="6"/>
  <c r="AD311" i="6"/>
  <c r="AE311" i="6"/>
  <c r="AF311" i="6"/>
  <c r="AG311" i="6"/>
  <c r="AH311" i="6"/>
  <c r="AI311" i="6"/>
  <c r="S312" i="6"/>
  <c r="AD312" i="6"/>
  <c r="AE312" i="6"/>
  <c r="AF312" i="6"/>
  <c r="AG312" i="6"/>
  <c r="AH312" i="6"/>
  <c r="AI312" i="6"/>
  <c r="S313" i="6"/>
  <c r="AD313" i="6"/>
  <c r="AE313" i="6"/>
  <c r="AF313" i="6"/>
  <c r="AG313" i="6"/>
  <c r="AH313" i="6"/>
  <c r="AI313" i="6"/>
  <c r="S314" i="6"/>
  <c r="AD314" i="6"/>
  <c r="AE314" i="6"/>
  <c r="AF314" i="6"/>
  <c r="AG314" i="6"/>
  <c r="AH314" i="6"/>
  <c r="AI314" i="6"/>
  <c r="S315" i="6"/>
  <c r="AD315" i="6"/>
  <c r="AE315" i="6"/>
  <c r="AF315" i="6"/>
  <c r="AG315" i="6"/>
  <c r="AH315" i="6"/>
  <c r="AI315" i="6"/>
  <c r="S316" i="6"/>
  <c r="AD316" i="6"/>
  <c r="AE316" i="6"/>
  <c r="AF316" i="6"/>
  <c r="AG316" i="6"/>
  <c r="AH316" i="6"/>
  <c r="AI316" i="6"/>
  <c r="S317" i="6"/>
  <c r="AD317" i="6"/>
  <c r="AE317" i="6"/>
  <c r="AF317" i="6"/>
  <c r="AG317" i="6"/>
  <c r="AH317" i="6"/>
  <c r="AI317" i="6"/>
  <c r="S318" i="6"/>
  <c r="AD318" i="6"/>
  <c r="AE318" i="6"/>
  <c r="AF318" i="6"/>
  <c r="AG318" i="6"/>
  <c r="AH318" i="6"/>
  <c r="AI318" i="6"/>
  <c r="S319" i="6"/>
  <c r="AD319" i="6"/>
  <c r="AE319" i="6"/>
  <c r="AF319" i="6"/>
  <c r="AG319" i="6"/>
  <c r="AH319" i="6"/>
  <c r="AI319" i="6"/>
  <c r="S320" i="6"/>
  <c r="AD320" i="6"/>
  <c r="AE320" i="6"/>
  <c r="AF320" i="6"/>
  <c r="AG320" i="6"/>
  <c r="AH320" i="6"/>
  <c r="AI320" i="6"/>
  <c r="S321" i="6"/>
  <c r="AD321" i="6"/>
  <c r="AE321" i="6"/>
  <c r="AF321" i="6"/>
  <c r="AG321" i="6"/>
  <c r="AH321" i="6"/>
  <c r="AI321" i="6"/>
  <c r="S322" i="6"/>
  <c r="AD322" i="6"/>
  <c r="AE322" i="6"/>
  <c r="AF322" i="6"/>
  <c r="AG322" i="6"/>
  <c r="AH322" i="6"/>
  <c r="AI322" i="6"/>
  <c r="S323" i="6"/>
  <c r="AD323" i="6"/>
  <c r="AE323" i="6"/>
  <c r="AF323" i="6"/>
  <c r="AG323" i="6"/>
  <c r="AH323" i="6"/>
  <c r="AI323" i="6"/>
  <c r="S324" i="6"/>
  <c r="AD324" i="6"/>
  <c r="AE324" i="6"/>
  <c r="AF324" i="6"/>
  <c r="AG324" i="6"/>
  <c r="AH324" i="6"/>
  <c r="AI324" i="6"/>
  <c r="S325" i="6"/>
  <c r="AD325" i="6"/>
  <c r="AE325" i="6"/>
  <c r="AF325" i="6"/>
  <c r="AG325" i="6"/>
  <c r="AH325" i="6"/>
  <c r="AI325" i="6"/>
  <c r="S326" i="6"/>
  <c r="AD326" i="6"/>
  <c r="AE326" i="6"/>
  <c r="AF326" i="6"/>
  <c r="AG326" i="6"/>
  <c r="AH326" i="6"/>
  <c r="AI326" i="6"/>
  <c r="S327" i="6"/>
  <c r="AD327" i="6"/>
  <c r="AE327" i="6"/>
  <c r="AF327" i="6"/>
  <c r="AG327" i="6"/>
  <c r="AH327" i="6"/>
  <c r="AI327" i="6"/>
  <c r="S328" i="6"/>
  <c r="AD328" i="6"/>
  <c r="AE328" i="6"/>
  <c r="AF328" i="6"/>
  <c r="AG328" i="6"/>
  <c r="AH328" i="6"/>
  <c r="AI328" i="6"/>
  <c r="S329" i="6"/>
  <c r="AD329" i="6"/>
  <c r="AE329" i="6"/>
  <c r="AF329" i="6"/>
  <c r="AG329" i="6"/>
  <c r="AH329" i="6"/>
  <c r="AI329" i="6"/>
  <c r="S330" i="6"/>
  <c r="AD330" i="6"/>
  <c r="AE330" i="6"/>
  <c r="AF330" i="6"/>
  <c r="AG330" i="6"/>
  <c r="AH330" i="6"/>
  <c r="AI330" i="6"/>
  <c r="S331" i="6"/>
  <c r="AD331" i="6"/>
  <c r="AE331" i="6"/>
  <c r="AF331" i="6"/>
  <c r="AG331" i="6"/>
  <c r="AH331" i="6"/>
  <c r="AI331" i="6"/>
  <c r="S332" i="6"/>
  <c r="AD332" i="6"/>
  <c r="AE332" i="6"/>
  <c r="AF332" i="6"/>
  <c r="AG332" i="6"/>
  <c r="AH332" i="6"/>
  <c r="AI332" i="6"/>
  <c r="S333" i="6"/>
  <c r="AD333" i="6"/>
  <c r="AE333" i="6"/>
  <c r="AF333" i="6"/>
  <c r="AG333" i="6"/>
  <c r="AH333" i="6"/>
  <c r="AI333" i="6"/>
  <c r="S334" i="6"/>
  <c r="AD334" i="6"/>
  <c r="AE334" i="6"/>
  <c r="AF334" i="6"/>
  <c r="AG334" i="6"/>
  <c r="AH334" i="6"/>
  <c r="AI334" i="6"/>
  <c r="S335" i="6"/>
  <c r="AD335" i="6"/>
  <c r="AE335" i="6"/>
  <c r="AF335" i="6"/>
  <c r="AG335" i="6"/>
  <c r="AH335" i="6"/>
  <c r="AI335" i="6"/>
  <c r="S336" i="6"/>
  <c r="AD336" i="6"/>
  <c r="AE336" i="6"/>
  <c r="AF336" i="6"/>
  <c r="AG336" i="6"/>
  <c r="AH336" i="6"/>
  <c r="AI336" i="6"/>
  <c r="S337" i="6"/>
  <c r="AD337" i="6"/>
  <c r="AE337" i="6"/>
  <c r="AF337" i="6"/>
  <c r="AG337" i="6"/>
  <c r="AH337" i="6"/>
  <c r="AI337" i="6"/>
  <c r="S338" i="6"/>
  <c r="AD338" i="6"/>
  <c r="AE338" i="6"/>
  <c r="AF338" i="6"/>
  <c r="AG338" i="6"/>
  <c r="AH338" i="6"/>
  <c r="AI338" i="6"/>
  <c r="S339" i="6"/>
  <c r="AD339" i="6"/>
  <c r="AE339" i="6"/>
  <c r="AF339" i="6"/>
  <c r="AG339" i="6"/>
  <c r="AH339" i="6"/>
  <c r="AI339" i="6"/>
  <c r="S340" i="6"/>
  <c r="AD340" i="6"/>
  <c r="AE340" i="6"/>
  <c r="AF340" i="6"/>
  <c r="AG340" i="6"/>
  <c r="AH340" i="6"/>
  <c r="AI340" i="6"/>
  <c r="S341" i="6"/>
  <c r="AD341" i="6"/>
  <c r="AE341" i="6"/>
  <c r="AF341" i="6"/>
  <c r="AG341" i="6"/>
  <c r="AH341" i="6"/>
  <c r="AI341" i="6"/>
  <c r="S342" i="6"/>
  <c r="AD342" i="6"/>
  <c r="AE342" i="6"/>
  <c r="AF342" i="6"/>
  <c r="AG342" i="6"/>
  <c r="AH342" i="6"/>
  <c r="AI342" i="6"/>
  <c r="S343" i="6"/>
  <c r="AD343" i="6"/>
  <c r="AE343" i="6"/>
  <c r="AF343" i="6"/>
  <c r="AG343" i="6"/>
  <c r="AH343" i="6"/>
  <c r="AI343" i="6"/>
  <c r="S344" i="6"/>
  <c r="AD344" i="6"/>
  <c r="AE344" i="6"/>
  <c r="AF344" i="6"/>
  <c r="AG344" i="6"/>
  <c r="AH344" i="6"/>
  <c r="AI344" i="6"/>
  <c r="S345" i="6"/>
  <c r="AD345" i="6"/>
  <c r="AE345" i="6"/>
  <c r="AF345" i="6"/>
  <c r="AG345" i="6"/>
  <c r="AH345" i="6"/>
  <c r="AI345" i="6"/>
  <c r="S346" i="6"/>
  <c r="AD346" i="6"/>
  <c r="AE346" i="6"/>
  <c r="AF346" i="6"/>
  <c r="AG346" i="6"/>
  <c r="AH346" i="6"/>
  <c r="AI346" i="6"/>
  <c r="S347" i="6"/>
  <c r="AD347" i="6"/>
  <c r="AE347" i="6"/>
  <c r="AF347" i="6"/>
  <c r="AG347" i="6"/>
  <c r="AH347" i="6"/>
  <c r="AI347" i="6"/>
  <c r="S348" i="6"/>
  <c r="AD348" i="6"/>
  <c r="AE348" i="6"/>
  <c r="AF348" i="6"/>
  <c r="AG348" i="6"/>
  <c r="AH348" i="6"/>
  <c r="AI348" i="6"/>
  <c r="S349" i="6"/>
  <c r="AD349" i="6"/>
  <c r="AE349" i="6"/>
  <c r="AF349" i="6"/>
  <c r="AG349" i="6"/>
  <c r="AH349" i="6"/>
  <c r="AI349" i="6"/>
  <c r="S350" i="6"/>
  <c r="AD350" i="6"/>
  <c r="AE350" i="6"/>
  <c r="AF350" i="6"/>
  <c r="AG350" i="6"/>
  <c r="AH350" i="6"/>
  <c r="AI350" i="6"/>
  <c r="S351" i="6"/>
  <c r="AD351" i="6"/>
  <c r="AE351" i="6"/>
  <c r="AF351" i="6"/>
  <c r="AG351" i="6"/>
  <c r="AH351" i="6"/>
  <c r="AI351" i="6"/>
  <c r="S352" i="6"/>
  <c r="AD352" i="6"/>
  <c r="AE352" i="6"/>
  <c r="AF352" i="6"/>
  <c r="AG352" i="6"/>
  <c r="AH352" i="6"/>
  <c r="AI352" i="6"/>
  <c r="S353" i="6"/>
  <c r="AD353" i="6"/>
  <c r="AE353" i="6"/>
  <c r="AF353" i="6"/>
  <c r="AG353" i="6"/>
  <c r="AH353" i="6"/>
  <c r="AI353" i="6"/>
  <c r="S354" i="6"/>
  <c r="AD354" i="6"/>
  <c r="AE354" i="6"/>
  <c r="AF354" i="6"/>
  <c r="AG354" i="6"/>
  <c r="AH354" i="6"/>
  <c r="AI354" i="6"/>
  <c r="S355" i="6"/>
  <c r="AD355" i="6"/>
  <c r="AE355" i="6"/>
  <c r="AF355" i="6"/>
  <c r="AG355" i="6"/>
  <c r="AH355" i="6"/>
  <c r="AI355" i="6"/>
  <c r="S356" i="6"/>
  <c r="AD356" i="6"/>
  <c r="AE356" i="6"/>
  <c r="AF356" i="6"/>
  <c r="AG356" i="6"/>
  <c r="AH356" i="6"/>
  <c r="AI356" i="6"/>
  <c r="S357" i="6"/>
  <c r="AD357" i="6"/>
  <c r="AE357" i="6"/>
  <c r="AF357" i="6"/>
  <c r="AG357" i="6"/>
  <c r="AH357" i="6"/>
  <c r="AI357" i="6"/>
  <c r="S358" i="6"/>
  <c r="AD358" i="6"/>
  <c r="AE358" i="6"/>
  <c r="AF358" i="6"/>
  <c r="AG358" i="6"/>
  <c r="AH358" i="6"/>
  <c r="AI358" i="6"/>
  <c r="S359" i="6"/>
  <c r="AD359" i="6"/>
  <c r="AE359" i="6"/>
  <c r="AF359" i="6"/>
  <c r="AG359" i="6"/>
  <c r="AH359" i="6"/>
  <c r="AI359" i="6"/>
  <c r="S360" i="6"/>
  <c r="AD360" i="6"/>
  <c r="AE360" i="6"/>
  <c r="AF360" i="6"/>
  <c r="AG360" i="6"/>
  <c r="AH360" i="6"/>
  <c r="AI360" i="6"/>
  <c r="S361" i="6"/>
  <c r="AD361" i="6"/>
  <c r="AE361" i="6"/>
  <c r="AF361" i="6"/>
  <c r="AG361" i="6"/>
  <c r="AH361" i="6"/>
  <c r="AI361" i="6"/>
  <c r="S362" i="6"/>
  <c r="AD362" i="6"/>
  <c r="AE362" i="6"/>
  <c r="AF362" i="6"/>
  <c r="AG362" i="6"/>
  <c r="AH362" i="6"/>
  <c r="AI362" i="6"/>
  <c r="S363" i="6"/>
  <c r="AD363" i="6"/>
  <c r="AE363" i="6"/>
  <c r="AF363" i="6"/>
  <c r="AG363" i="6"/>
  <c r="AH363" i="6"/>
  <c r="AI363" i="6"/>
  <c r="S364" i="6"/>
  <c r="AD364" i="6"/>
  <c r="AE364" i="6"/>
  <c r="AF364" i="6"/>
  <c r="AG364" i="6"/>
  <c r="AH364" i="6"/>
  <c r="AI364" i="6"/>
  <c r="S365" i="6"/>
  <c r="AD365" i="6"/>
  <c r="AE365" i="6"/>
  <c r="AF365" i="6"/>
  <c r="AG365" i="6"/>
  <c r="AH365" i="6"/>
  <c r="AI365" i="6"/>
  <c r="S366" i="6"/>
  <c r="AD366" i="6"/>
  <c r="AE366" i="6"/>
  <c r="AF366" i="6"/>
  <c r="AG366" i="6"/>
  <c r="AH366" i="6"/>
  <c r="AI366" i="6"/>
  <c r="S367" i="6"/>
  <c r="AD367" i="6"/>
  <c r="AE367" i="6"/>
  <c r="AF367" i="6"/>
  <c r="AG367" i="6"/>
  <c r="AH367" i="6"/>
  <c r="AI367" i="6"/>
  <c r="S368" i="6"/>
  <c r="AD368" i="6"/>
  <c r="AE368" i="6"/>
  <c r="AF368" i="6"/>
  <c r="AG368" i="6"/>
  <c r="AH368" i="6"/>
  <c r="AI368" i="6"/>
  <c r="S369" i="6"/>
  <c r="AD369" i="6"/>
  <c r="AE369" i="6"/>
  <c r="AF369" i="6"/>
  <c r="AG369" i="6"/>
  <c r="AH369" i="6"/>
  <c r="AI369" i="6"/>
  <c r="S370" i="6"/>
  <c r="AD370" i="6"/>
  <c r="AE370" i="6"/>
  <c r="AF370" i="6"/>
  <c r="AG370" i="6"/>
  <c r="AH370" i="6"/>
  <c r="AI370" i="6"/>
  <c r="S371" i="6"/>
  <c r="AD371" i="6"/>
  <c r="AE371" i="6"/>
  <c r="AF371" i="6"/>
  <c r="AG371" i="6"/>
  <c r="AH371" i="6"/>
  <c r="AI371" i="6"/>
  <c r="S372" i="6"/>
  <c r="AD372" i="6"/>
  <c r="AE372" i="6"/>
  <c r="AF372" i="6"/>
  <c r="AG372" i="6"/>
  <c r="AH372" i="6"/>
  <c r="AI372" i="6"/>
  <c r="S373" i="6"/>
  <c r="AD373" i="6"/>
  <c r="AE373" i="6"/>
  <c r="AF373" i="6"/>
  <c r="AG373" i="6"/>
  <c r="AH373" i="6"/>
  <c r="AI373" i="6"/>
  <c r="S374" i="6"/>
  <c r="AD374" i="6"/>
  <c r="AE374" i="6"/>
  <c r="AF374" i="6"/>
  <c r="AG374" i="6"/>
  <c r="AH374" i="6"/>
  <c r="AI374" i="6"/>
  <c r="S375" i="6"/>
  <c r="AD375" i="6"/>
  <c r="AE375" i="6"/>
  <c r="AF375" i="6"/>
  <c r="AG375" i="6"/>
  <c r="AH375" i="6"/>
  <c r="AI375" i="6"/>
  <c r="S376" i="6"/>
  <c r="AD376" i="6"/>
  <c r="AE376" i="6"/>
  <c r="AF376" i="6"/>
  <c r="AG376" i="6"/>
  <c r="AH376" i="6"/>
  <c r="AI376" i="6"/>
  <c r="S377" i="6"/>
  <c r="AD377" i="6"/>
  <c r="AE377" i="6"/>
  <c r="AF377" i="6"/>
  <c r="AG377" i="6"/>
  <c r="AH377" i="6"/>
  <c r="AI377" i="6"/>
  <c r="S378" i="6"/>
  <c r="AD378" i="6"/>
  <c r="AE378" i="6"/>
  <c r="AF378" i="6"/>
  <c r="AG378" i="6"/>
  <c r="AH378" i="6"/>
  <c r="AI378" i="6"/>
  <c r="S379" i="6"/>
  <c r="AD379" i="6"/>
  <c r="AE379" i="6"/>
  <c r="AF379" i="6"/>
  <c r="AG379" i="6"/>
  <c r="AH379" i="6"/>
  <c r="AI379" i="6"/>
  <c r="S380" i="6"/>
  <c r="AD380" i="6"/>
  <c r="AE380" i="6"/>
  <c r="AF380" i="6"/>
  <c r="AG380" i="6"/>
  <c r="AH380" i="6"/>
  <c r="AI380" i="6"/>
  <c r="S381" i="6"/>
  <c r="AD381" i="6"/>
  <c r="AE381" i="6"/>
  <c r="AF381" i="6"/>
  <c r="AG381" i="6"/>
  <c r="AH381" i="6"/>
  <c r="AI381" i="6"/>
  <c r="S382" i="6"/>
  <c r="AD382" i="6"/>
  <c r="AE382" i="6"/>
  <c r="AF382" i="6"/>
  <c r="AG382" i="6"/>
  <c r="AH382" i="6"/>
  <c r="AI382" i="6"/>
  <c r="S384" i="6"/>
  <c r="S385" i="6"/>
  <c r="S386" i="6"/>
  <c r="S387" i="6"/>
  <c r="AD387" i="6"/>
  <c r="AE387" i="6"/>
  <c r="AF387" i="6"/>
  <c r="AG387" i="6"/>
  <c r="AH387" i="6"/>
  <c r="AI387" i="6"/>
  <c r="S388" i="6"/>
  <c r="AD388" i="6"/>
  <c r="AE388" i="6"/>
  <c r="AF388" i="6"/>
  <c r="AG388" i="6"/>
  <c r="AH388" i="6"/>
  <c r="AI388" i="6"/>
  <c r="S389" i="6"/>
  <c r="AD389" i="6"/>
  <c r="AE389" i="6"/>
  <c r="AF389" i="6"/>
  <c r="AG389" i="6"/>
  <c r="AH389" i="6"/>
  <c r="AI389" i="6"/>
  <c r="S390" i="6"/>
  <c r="AD390" i="6"/>
  <c r="AE390" i="6"/>
  <c r="AF390" i="6"/>
  <c r="AG390" i="6"/>
  <c r="AH390" i="6"/>
  <c r="AI390" i="6"/>
  <c r="S391" i="6"/>
  <c r="AD391" i="6"/>
  <c r="AE391" i="6"/>
  <c r="AF391" i="6"/>
  <c r="AG391" i="6"/>
  <c r="AH391" i="6"/>
  <c r="AI391" i="6"/>
  <c r="S392" i="6"/>
  <c r="AD392" i="6"/>
  <c r="AE392" i="6"/>
  <c r="AF392" i="6"/>
  <c r="AG392" i="6"/>
  <c r="AH392" i="6"/>
  <c r="AI392" i="6"/>
  <c r="S393" i="6"/>
  <c r="AD393" i="6"/>
  <c r="AE393" i="6"/>
  <c r="AF393" i="6"/>
  <c r="AG393" i="6"/>
  <c r="AH393" i="6"/>
  <c r="AI393" i="6"/>
  <c r="S394" i="6"/>
  <c r="AD394" i="6"/>
  <c r="AE394" i="6"/>
  <c r="AF394" i="6"/>
  <c r="AG394" i="6"/>
  <c r="AH394" i="6"/>
  <c r="AI394" i="6"/>
  <c r="S395" i="6"/>
  <c r="AD395" i="6"/>
  <c r="AE395" i="6"/>
  <c r="AF395" i="6"/>
  <c r="AG395" i="6"/>
  <c r="AH395" i="6"/>
  <c r="AI395" i="6"/>
  <c r="S396" i="6"/>
  <c r="AD396" i="6"/>
  <c r="AE396" i="6"/>
  <c r="AF396" i="6"/>
  <c r="AG396" i="6"/>
  <c r="AH396" i="6"/>
  <c r="AI396" i="6"/>
  <c r="S397" i="6"/>
  <c r="AD397" i="6"/>
  <c r="AE397" i="6"/>
  <c r="AF397" i="6"/>
  <c r="AG397" i="6"/>
  <c r="AH397" i="6"/>
  <c r="AI397" i="6"/>
  <c r="S398" i="6"/>
  <c r="AD398" i="6"/>
  <c r="AE398" i="6"/>
  <c r="AF398" i="6"/>
  <c r="AG398" i="6"/>
  <c r="AH398" i="6"/>
  <c r="AI398" i="6"/>
  <c r="S399" i="6"/>
  <c r="AD399" i="6"/>
  <c r="AE399" i="6"/>
  <c r="AF399" i="6"/>
  <c r="AG399" i="6"/>
  <c r="AH399" i="6"/>
  <c r="AI399" i="6"/>
  <c r="S400" i="6"/>
  <c r="AD400" i="6"/>
  <c r="AE400" i="6"/>
  <c r="AF400" i="6"/>
  <c r="AG400" i="6"/>
  <c r="AH400" i="6"/>
  <c r="AI400" i="6"/>
  <c r="S401" i="6"/>
  <c r="AD401" i="6"/>
  <c r="AE401" i="6"/>
  <c r="AF401" i="6"/>
  <c r="AG401" i="6"/>
  <c r="AH401" i="6"/>
  <c r="AI401" i="6"/>
  <c r="S402" i="6"/>
  <c r="AD402" i="6"/>
  <c r="AE402" i="6"/>
  <c r="AF402" i="6"/>
  <c r="AG402" i="6"/>
  <c r="AH402" i="6"/>
  <c r="AI402" i="6"/>
  <c r="S403" i="6"/>
  <c r="AD403" i="6"/>
  <c r="AE403" i="6"/>
  <c r="AF403" i="6"/>
  <c r="AG403" i="6"/>
  <c r="AH403" i="6"/>
  <c r="AI403" i="6"/>
  <c r="S404" i="6"/>
  <c r="AD404" i="6"/>
  <c r="AE404" i="6"/>
  <c r="AF404" i="6"/>
  <c r="AG404" i="6"/>
  <c r="AH404" i="6"/>
  <c r="AI404" i="6"/>
  <c r="S405" i="6"/>
  <c r="AD405" i="6"/>
  <c r="AE405" i="6"/>
  <c r="AF405" i="6"/>
  <c r="AG405" i="6"/>
  <c r="AH405" i="6"/>
  <c r="AI405" i="6"/>
  <c r="S406" i="6"/>
  <c r="AD406" i="6"/>
  <c r="AE406" i="6"/>
  <c r="AF406" i="6"/>
  <c r="AG406" i="6"/>
  <c r="AH406" i="6"/>
  <c r="AI406" i="6"/>
  <c r="S407" i="6"/>
  <c r="AD407" i="6"/>
  <c r="AE407" i="6"/>
  <c r="AF407" i="6"/>
  <c r="AG407" i="6"/>
  <c r="AH407" i="6"/>
  <c r="AI407" i="6"/>
  <c r="S408" i="6"/>
  <c r="AD408" i="6"/>
  <c r="AE408" i="6"/>
  <c r="AF408" i="6"/>
  <c r="AG408" i="6"/>
  <c r="AH408" i="6"/>
  <c r="AI408" i="6"/>
  <c r="S409" i="6"/>
  <c r="AD409" i="6"/>
  <c r="AE409" i="6"/>
  <c r="AF409" i="6"/>
  <c r="AG409" i="6"/>
  <c r="AH409" i="6"/>
  <c r="AI409" i="6"/>
  <c r="S410" i="6"/>
  <c r="AD410" i="6"/>
  <c r="AE410" i="6"/>
  <c r="AF410" i="6"/>
  <c r="AG410" i="6"/>
  <c r="AH410" i="6"/>
  <c r="AI410" i="6"/>
  <c r="S411" i="6"/>
  <c r="AD411" i="6"/>
  <c r="AE411" i="6"/>
  <c r="AF411" i="6"/>
  <c r="AG411" i="6"/>
  <c r="AH411" i="6"/>
  <c r="AI411" i="6"/>
  <c r="S412" i="6"/>
  <c r="AD412" i="6"/>
  <c r="AE412" i="6"/>
  <c r="AF412" i="6"/>
  <c r="AG412" i="6"/>
  <c r="AH412" i="6"/>
  <c r="AI412" i="6"/>
  <c r="S413" i="6"/>
  <c r="AD413" i="6"/>
  <c r="AE413" i="6"/>
  <c r="AF413" i="6"/>
  <c r="AG413" i="6"/>
  <c r="AH413" i="6"/>
  <c r="AI413" i="6"/>
  <c r="S414" i="6"/>
  <c r="AD414" i="6"/>
  <c r="AE414" i="6"/>
  <c r="AF414" i="6"/>
  <c r="AG414" i="6"/>
  <c r="AH414" i="6"/>
  <c r="AI414" i="6"/>
  <c r="S415" i="6"/>
  <c r="AD415" i="6"/>
  <c r="AE415" i="6"/>
  <c r="AF415" i="6"/>
  <c r="AG415" i="6"/>
  <c r="AH415" i="6"/>
  <c r="AI415" i="6"/>
  <c r="S416" i="6"/>
  <c r="AD416" i="6"/>
  <c r="AE416" i="6"/>
  <c r="AF416" i="6"/>
  <c r="AG416" i="6"/>
  <c r="AH416" i="6"/>
  <c r="AI416" i="6"/>
  <c r="S417" i="6"/>
  <c r="AD417" i="6"/>
  <c r="AE417" i="6"/>
  <c r="AF417" i="6"/>
  <c r="AG417" i="6"/>
  <c r="AH417" i="6"/>
  <c r="AI417" i="6"/>
  <c r="S418" i="6"/>
  <c r="AD418" i="6"/>
  <c r="AE418" i="6"/>
  <c r="AF418" i="6"/>
  <c r="AG418" i="6"/>
  <c r="AH418" i="6"/>
  <c r="AI418" i="6"/>
  <c r="S419" i="6"/>
  <c r="AD419" i="6"/>
  <c r="AE419" i="6"/>
  <c r="AF419" i="6"/>
  <c r="AG419" i="6"/>
  <c r="AH419" i="6"/>
  <c r="AI419" i="6"/>
  <c r="S420" i="6"/>
  <c r="AD420" i="6"/>
  <c r="AE420" i="6"/>
  <c r="AF420" i="6"/>
  <c r="AG420" i="6"/>
  <c r="AH420" i="6"/>
  <c r="AI420" i="6"/>
  <c r="S421" i="6"/>
  <c r="AD421" i="6"/>
  <c r="AE421" i="6"/>
  <c r="AF421" i="6"/>
  <c r="AG421" i="6"/>
  <c r="AH421" i="6"/>
  <c r="AI421" i="6"/>
  <c r="S422" i="6"/>
  <c r="AD422" i="6"/>
  <c r="AE422" i="6"/>
  <c r="AF422" i="6"/>
  <c r="AG422" i="6"/>
  <c r="AH422" i="6"/>
  <c r="AI422" i="6"/>
  <c r="S423" i="6"/>
  <c r="AD423" i="6"/>
  <c r="AE423" i="6"/>
  <c r="AF423" i="6"/>
  <c r="AG423" i="6"/>
  <c r="AH423" i="6"/>
  <c r="AI423" i="6"/>
  <c r="S424" i="6"/>
  <c r="AD424" i="6"/>
  <c r="AE424" i="6"/>
  <c r="AF424" i="6"/>
  <c r="AG424" i="6"/>
  <c r="AH424" i="6"/>
  <c r="AI424" i="6"/>
  <c r="S425" i="6"/>
  <c r="AD425" i="6"/>
  <c r="AE425" i="6"/>
  <c r="AF425" i="6"/>
  <c r="AG425" i="6"/>
  <c r="AH425" i="6"/>
  <c r="AI425" i="6"/>
  <c r="S426" i="6"/>
  <c r="AD426" i="6"/>
  <c r="AE426" i="6"/>
  <c r="AF426" i="6"/>
  <c r="AG426" i="6"/>
  <c r="AH426" i="6"/>
  <c r="AI426" i="6"/>
  <c r="S427" i="6"/>
  <c r="AD427" i="6"/>
  <c r="AE427" i="6"/>
  <c r="AF427" i="6"/>
  <c r="AG427" i="6"/>
  <c r="AH427" i="6"/>
  <c r="AI427" i="6"/>
  <c r="S428" i="6"/>
  <c r="AD428" i="6"/>
  <c r="AE428" i="6"/>
  <c r="AF428" i="6"/>
  <c r="AG428" i="6"/>
  <c r="AH428" i="6"/>
  <c r="AI428" i="6"/>
  <c r="S429" i="6"/>
  <c r="AD429" i="6"/>
  <c r="AE429" i="6"/>
  <c r="AF429" i="6"/>
  <c r="AG429" i="6"/>
  <c r="AH429" i="6"/>
  <c r="AI429" i="6"/>
  <c r="S430" i="6"/>
  <c r="AD430" i="6"/>
  <c r="AE430" i="6"/>
  <c r="AF430" i="6"/>
  <c r="AG430" i="6"/>
  <c r="AH430" i="6"/>
  <c r="AI430" i="6"/>
  <c r="S431" i="6"/>
  <c r="AD431" i="6"/>
  <c r="AE431" i="6"/>
  <c r="AF431" i="6"/>
  <c r="AG431" i="6"/>
  <c r="AH431" i="6"/>
  <c r="AI431" i="6"/>
  <c r="S432" i="6"/>
  <c r="AD432" i="6"/>
  <c r="AE432" i="6"/>
  <c r="AF432" i="6"/>
  <c r="AG432" i="6"/>
  <c r="AH432" i="6"/>
  <c r="AI432" i="6"/>
  <c r="S433" i="6"/>
  <c r="AD433" i="6"/>
  <c r="AE433" i="6"/>
  <c r="AF433" i="6"/>
  <c r="AG433" i="6"/>
  <c r="AH433" i="6"/>
  <c r="AI433" i="6"/>
  <c r="S434" i="6"/>
  <c r="AD434" i="6"/>
  <c r="AE434" i="6"/>
  <c r="AF434" i="6"/>
  <c r="AG434" i="6"/>
  <c r="AH434" i="6"/>
  <c r="AI434" i="6"/>
  <c r="S435" i="6"/>
  <c r="AD435" i="6"/>
  <c r="AE435" i="6"/>
  <c r="AF435" i="6"/>
  <c r="AG435" i="6"/>
  <c r="AH435" i="6"/>
  <c r="AI435" i="6"/>
  <c r="S436" i="6"/>
  <c r="AD436" i="6"/>
  <c r="AE436" i="6"/>
  <c r="AF436" i="6"/>
  <c r="AG436" i="6"/>
  <c r="AH436" i="6"/>
  <c r="AI436" i="6"/>
  <c r="S437" i="6"/>
  <c r="AD437" i="6"/>
  <c r="AE437" i="6"/>
  <c r="AF437" i="6"/>
  <c r="AG437" i="6"/>
  <c r="AH437" i="6"/>
  <c r="AI437" i="6"/>
  <c r="S438" i="6"/>
  <c r="AD438" i="6"/>
  <c r="AE438" i="6"/>
  <c r="AF438" i="6"/>
  <c r="AG438" i="6"/>
  <c r="AH438" i="6"/>
  <c r="AI438" i="6"/>
  <c r="S439" i="6"/>
  <c r="AD439" i="6"/>
  <c r="AE439" i="6"/>
  <c r="AF439" i="6"/>
  <c r="AG439" i="6"/>
  <c r="AH439" i="6"/>
  <c r="AI439" i="6"/>
  <c r="S440" i="6"/>
  <c r="AD440" i="6"/>
  <c r="AE440" i="6"/>
  <c r="AF440" i="6"/>
  <c r="AG440" i="6"/>
  <c r="AH440" i="6"/>
  <c r="AI440" i="6"/>
  <c r="S441" i="6"/>
  <c r="AD441" i="6"/>
  <c r="AE441" i="6"/>
  <c r="AF441" i="6"/>
  <c r="AG441" i="6"/>
  <c r="AH441" i="6"/>
  <c r="AI441" i="6"/>
  <c r="S442" i="6"/>
  <c r="AD442" i="6"/>
  <c r="AE442" i="6"/>
  <c r="AF442" i="6"/>
  <c r="AG442" i="6"/>
  <c r="AH442" i="6"/>
  <c r="AI442" i="6"/>
  <c r="S443" i="6"/>
  <c r="AD443" i="6"/>
  <c r="AE443" i="6"/>
  <c r="AF443" i="6"/>
  <c r="AG443" i="6"/>
  <c r="AH443" i="6"/>
  <c r="AI443" i="6"/>
  <c r="S444" i="6"/>
  <c r="AD444" i="6"/>
  <c r="AE444" i="6"/>
  <c r="AF444" i="6"/>
  <c r="AG444" i="6"/>
  <c r="AH444" i="6"/>
  <c r="AI444" i="6"/>
  <c r="S445" i="6"/>
  <c r="AD445" i="6"/>
  <c r="AE445" i="6"/>
  <c r="AF445" i="6"/>
  <c r="AG445" i="6"/>
  <c r="AH445" i="6"/>
  <c r="AI445" i="6"/>
  <c r="S446" i="6"/>
  <c r="AD446" i="6"/>
  <c r="AE446" i="6"/>
  <c r="AF446" i="6"/>
  <c r="AG446" i="6"/>
  <c r="AH446" i="6"/>
  <c r="AI446" i="6"/>
  <c r="S447" i="6"/>
  <c r="AD447" i="6"/>
  <c r="AE447" i="6"/>
  <c r="AF447" i="6"/>
  <c r="AG447" i="6"/>
  <c r="AH447" i="6"/>
  <c r="AI447" i="6"/>
  <c r="S448" i="6"/>
  <c r="AD448" i="6"/>
  <c r="AE448" i="6"/>
  <c r="AF448" i="6"/>
  <c r="AG448" i="6"/>
  <c r="AH448" i="6"/>
  <c r="AI448" i="6"/>
  <c r="S449" i="6"/>
  <c r="AD449" i="6"/>
  <c r="AE449" i="6"/>
  <c r="AF449" i="6"/>
  <c r="AG449" i="6"/>
  <c r="AH449" i="6"/>
  <c r="AI449" i="6"/>
  <c r="S450" i="6"/>
  <c r="AD450" i="6"/>
  <c r="AE450" i="6"/>
  <c r="AF450" i="6"/>
  <c r="AG450" i="6"/>
  <c r="AH450" i="6"/>
  <c r="AI450" i="6"/>
  <c r="S451" i="6"/>
  <c r="AD451" i="6"/>
  <c r="AE451" i="6"/>
  <c r="AF451" i="6"/>
  <c r="AG451" i="6"/>
  <c r="AH451" i="6"/>
  <c r="AI451" i="6"/>
  <c r="S452" i="6"/>
  <c r="AD452" i="6"/>
  <c r="AE452" i="6"/>
  <c r="AF452" i="6"/>
  <c r="AG452" i="6"/>
  <c r="AH452" i="6"/>
  <c r="AI452" i="6"/>
  <c r="S453" i="6"/>
  <c r="AD453" i="6"/>
  <c r="AE453" i="6"/>
  <c r="AF453" i="6"/>
  <c r="AG453" i="6"/>
  <c r="AH453" i="6"/>
  <c r="AI453" i="6"/>
  <c r="S455" i="6"/>
  <c r="S456" i="6"/>
  <c r="S457" i="6"/>
  <c r="AD457" i="6"/>
  <c r="AE457" i="6"/>
  <c r="AF457" i="6"/>
  <c r="AG457" i="6"/>
  <c r="AH457" i="6"/>
  <c r="AI457" i="6"/>
  <c r="S458" i="6"/>
  <c r="AD458" i="6"/>
  <c r="AE458" i="6"/>
  <c r="AF458" i="6"/>
  <c r="AG458" i="6"/>
  <c r="AH458" i="6"/>
  <c r="AI458" i="6"/>
  <c r="S459" i="6"/>
  <c r="AD459" i="6"/>
  <c r="AE459" i="6"/>
  <c r="AF459" i="6"/>
  <c r="AG459" i="6"/>
  <c r="AH459" i="6"/>
  <c r="AI459" i="6"/>
  <c r="S460" i="6"/>
  <c r="AD460" i="6"/>
  <c r="AE460" i="6"/>
  <c r="AF460" i="6"/>
  <c r="AG460" i="6"/>
  <c r="AH460" i="6"/>
  <c r="AI460" i="6"/>
  <c r="S461" i="6"/>
  <c r="AD461" i="6"/>
  <c r="AE461" i="6"/>
  <c r="AF461" i="6"/>
  <c r="AG461" i="6"/>
  <c r="AH461" i="6"/>
  <c r="AI461" i="6"/>
  <c r="S462" i="6"/>
  <c r="AD462" i="6"/>
  <c r="AE462" i="6"/>
  <c r="AF462" i="6"/>
  <c r="AG462" i="6"/>
  <c r="AH462" i="6"/>
  <c r="AI462" i="6"/>
  <c r="S463" i="6"/>
  <c r="AD463" i="6"/>
  <c r="AE463" i="6"/>
  <c r="AF463" i="6"/>
  <c r="AG463" i="6"/>
  <c r="AH463" i="6"/>
  <c r="AI463" i="6"/>
  <c r="S464" i="6"/>
  <c r="AD464" i="6"/>
  <c r="AE464" i="6"/>
  <c r="AF464" i="6"/>
  <c r="AG464" i="6"/>
  <c r="AH464" i="6"/>
  <c r="AI464" i="6"/>
  <c r="S465" i="6"/>
  <c r="AD465" i="6"/>
  <c r="AE465" i="6"/>
  <c r="AF465" i="6"/>
  <c r="AG465" i="6"/>
  <c r="AH465" i="6"/>
  <c r="AI465" i="6"/>
  <c r="S466" i="6"/>
  <c r="AD466" i="6"/>
  <c r="AE466" i="6"/>
  <c r="AF466" i="6"/>
  <c r="AG466" i="6"/>
  <c r="AH466" i="6"/>
  <c r="AI466" i="6"/>
  <c r="S467" i="6"/>
  <c r="AD467" i="6"/>
  <c r="AE467" i="6"/>
  <c r="AF467" i="6"/>
  <c r="AG467" i="6"/>
  <c r="AH467" i="6"/>
  <c r="AI467" i="6"/>
  <c r="S468" i="6"/>
  <c r="AD468" i="6"/>
  <c r="AE468" i="6"/>
  <c r="AF468" i="6"/>
  <c r="AG468" i="6"/>
  <c r="AH468" i="6"/>
  <c r="AI468" i="6"/>
  <c r="S469" i="6"/>
  <c r="AD469" i="6"/>
  <c r="AE469" i="6"/>
  <c r="AF469" i="6"/>
  <c r="AG469" i="6"/>
  <c r="AH469" i="6"/>
  <c r="AI469" i="6"/>
  <c r="S470" i="6"/>
  <c r="AD470" i="6"/>
  <c r="AE470" i="6"/>
  <c r="AF470" i="6"/>
  <c r="AG470" i="6"/>
  <c r="AH470" i="6"/>
  <c r="AI470" i="6"/>
  <c r="S471" i="6"/>
  <c r="AD471" i="6"/>
  <c r="AE471" i="6"/>
  <c r="AF471" i="6"/>
  <c r="AG471" i="6"/>
  <c r="AH471" i="6"/>
  <c r="AI471" i="6"/>
  <c r="S472" i="6"/>
  <c r="AD472" i="6"/>
  <c r="AE472" i="6"/>
  <c r="AF472" i="6"/>
  <c r="AG472" i="6"/>
  <c r="AH472" i="6"/>
  <c r="AI472" i="6"/>
  <c r="S473" i="6"/>
  <c r="AD473" i="6"/>
  <c r="AE473" i="6"/>
  <c r="AF473" i="6"/>
  <c r="AG473" i="6"/>
  <c r="AH473" i="6"/>
  <c r="AI473" i="6"/>
  <c r="S474" i="6"/>
  <c r="AD474" i="6"/>
  <c r="AE474" i="6"/>
  <c r="AF474" i="6"/>
  <c r="AG474" i="6"/>
  <c r="AH474" i="6"/>
  <c r="AI474" i="6"/>
  <c r="S475" i="6"/>
  <c r="AD475" i="6"/>
  <c r="AE475" i="6"/>
  <c r="AF475" i="6"/>
  <c r="AG475" i="6"/>
  <c r="AH475" i="6"/>
  <c r="AI475" i="6"/>
  <c r="S476" i="6"/>
  <c r="AD476" i="6"/>
  <c r="AE476" i="6"/>
  <c r="AF476" i="6"/>
  <c r="AG476" i="6"/>
  <c r="AH476" i="6"/>
  <c r="AI476" i="6"/>
  <c r="S477" i="6"/>
  <c r="AD477" i="6"/>
  <c r="AE477" i="6"/>
  <c r="AF477" i="6"/>
  <c r="AG477" i="6"/>
  <c r="AH477" i="6"/>
  <c r="AI477" i="6"/>
  <c r="S478" i="6"/>
  <c r="AD478" i="6"/>
  <c r="AE478" i="6"/>
  <c r="AF478" i="6"/>
  <c r="AG478" i="6"/>
  <c r="AH478" i="6"/>
  <c r="AI478" i="6"/>
  <c r="S479" i="6"/>
  <c r="AD479" i="6"/>
  <c r="AE479" i="6"/>
  <c r="AF479" i="6"/>
  <c r="AG479" i="6"/>
  <c r="AH479" i="6"/>
  <c r="AI479" i="6"/>
  <c r="S480" i="6"/>
  <c r="AD480" i="6"/>
  <c r="AE480" i="6"/>
  <c r="AF480" i="6"/>
  <c r="AG480" i="6"/>
  <c r="AH480" i="6"/>
  <c r="AI480" i="6"/>
  <c r="S481" i="6"/>
  <c r="AD481" i="6"/>
  <c r="AE481" i="6"/>
  <c r="AF481" i="6"/>
  <c r="AG481" i="6"/>
  <c r="AH481" i="6"/>
  <c r="AI481" i="6"/>
  <c r="S482" i="6"/>
  <c r="AD482" i="6"/>
  <c r="AE482" i="6"/>
  <c r="AF482" i="6"/>
  <c r="AG482" i="6"/>
  <c r="AH482" i="6"/>
  <c r="AI482" i="6"/>
  <c r="S483" i="6"/>
  <c r="AD483" i="6"/>
  <c r="AE483" i="6"/>
  <c r="AF483" i="6"/>
  <c r="AG483" i="6"/>
  <c r="AH483" i="6"/>
  <c r="AI483" i="6"/>
  <c r="S484" i="6"/>
  <c r="AD484" i="6"/>
  <c r="AE484" i="6"/>
  <c r="AF484" i="6"/>
  <c r="AG484" i="6"/>
  <c r="AH484" i="6"/>
  <c r="AI484" i="6"/>
  <c r="S485" i="6"/>
  <c r="AD485" i="6"/>
  <c r="AE485" i="6"/>
  <c r="AF485" i="6"/>
  <c r="AG485" i="6"/>
  <c r="AH485" i="6"/>
  <c r="AI485" i="6"/>
  <c r="S486" i="6"/>
  <c r="AD486" i="6"/>
  <c r="AE486" i="6"/>
  <c r="AF486" i="6"/>
  <c r="AG486" i="6"/>
  <c r="AH486" i="6"/>
  <c r="AI486" i="6"/>
  <c r="S487" i="6"/>
  <c r="AD487" i="6"/>
  <c r="AE487" i="6"/>
  <c r="AF487" i="6"/>
  <c r="AG487" i="6"/>
  <c r="AH487" i="6"/>
  <c r="AI487" i="6"/>
  <c r="S488" i="6"/>
  <c r="AD488" i="6"/>
  <c r="AE488" i="6"/>
  <c r="AF488" i="6"/>
  <c r="AG488" i="6"/>
  <c r="AH488" i="6"/>
  <c r="AI488" i="6"/>
  <c r="S489" i="6"/>
  <c r="AD489" i="6"/>
  <c r="AE489" i="6"/>
  <c r="AF489" i="6"/>
  <c r="AG489" i="6"/>
  <c r="AH489" i="6"/>
  <c r="AI489" i="6"/>
  <c r="S490" i="6"/>
  <c r="AD490" i="6"/>
  <c r="AE490" i="6"/>
  <c r="AF490" i="6"/>
  <c r="AG490" i="6"/>
  <c r="AH490" i="6"/>
  <c r="AI490" i="6"/>
  <c r="S491" i="6"/>
  <c r="AD491" i="6"/>
  <c r="AE491" i="6"/>
  <c r="AF491" i="6"/>
  <c r="AG491" i="6"/>
  <c r="AH491" i="6"/>
  <c r="AI491" i="6"/>
  <c r="S492" i="6"/>
  <c r="AD492" i="6"/>
  <c r="AE492" i="6"/>
  <c r="AF492" i="6"/>
  <c r="AG492" i="6"/>
  <c r="AH492" i="6"/>
  <c r="AI492" i="6"/>
  <c r="S493" i="6"/>
  <c r="AD493" i="6"/>
  <c r="AE493" i="6"/>
  <c r="AF493" i="6"/>
  <c r="AG493" i="6"/>
  <c r="AH493" i="6"/>
  <c r="AI493" i="6"/>
  <c r="S494" i="6"/>
  <c r="AD494" i="6"/>
  <c r="AE494" i="6"/>
  <c r="AF494" i="6"/>
  <c r="AG494" i="6"/>
  <c r="AH494" i="6"/>
  <c r="AI494" i="6"/>
  <c r="S495" i="6"/>
  <c r="AD495" i="6"/>
  <c r="AE495" i="6"/>
  <c r="AF495" i="6"/>
  <c r="AG495" i="6"/>
  <c r="AH495" i="6"/>
  <c r="AI495" i="6"/>
  <c r="S496" i="6"/>
  <c r="AD496" i="6"/>
  <c r="AE496" i="6"/>
  <c r="AF496" i="6"/>
  <c r="AG496" i="6"/>
  <c r="AH496" i="6"/>
  <c r="AI496" i="6"/>
  <c r="S497" i="6"/>
  <c r="AD497" i="6"/>
  <c r="AE497" i="6"/>
  <c r="AF497" i="6"/>
  <c r="AG497" i="6"/>
  <c r="AH497" i="6"/>
  <c r="AI497" i="6"/>
  <c r="S498" i="6"/>
  <c r="AD498" i="6"/>
  <c r="AE498" i="6"/>
  <c r="AF498" i="6"/>
  <c r="AG498" i="6"/>
  <c r="AH498" i="6"/>
  <c r="AI498" i="6"/>
  <c r="S499" i="6"/>
  <c r="AD499" i="6"/>
  <c r="AE499" i="6"/>
  <c r="AF499" i="6"/>
  <c r="AG499" i="6"/>
  <c r="AH499" i="6"/>
  <c r="AI499" i="6"/>
  <c r="S500" i="6"/>
  <c r="AD500" i="6"/>
  <c r="AE500" i="6"/>
  <c r="AF500" i="6"/>
  <c r="AG500" i="6"/>
  <c r="AH500" i="6"/>
  <c r="AI500" i="6"/>
  <c r="S501" i="6"/>
  <c r="AD501" i="6"/>
  <c r="AE501" i="6"/>
  <c r="AF501" i="6"/>
  <c r="AG501" i="6"/>
  <c r="AH501" i="6"/>
  <c r="AI501" i="6"/>
  <c r="S502" i="6"/>
  <c r="AD502" i="6"/>
  <c r="AE502" i="6"/>
  <c r="AF502" i="6"/>
  <c r="AG502" i="6"/>
  <c r="AH502" i="6"/>
  <c r="AI502" i="6"/>
  <c r="S503" i="6"/>
  <c r="AD503" i="6"/>
  <c r="AE503" i="6"/>
  <c r="AF503" i="6"/>
  <c r="AG503" i="6"/>
  <c r="AH503" i="6"/>
  <c r="AI503" i="6"/>
  <c r="S504" i="6"/>
  <c r="AD504" i="6"/>
  <c r="AE504" i="6"/>
  <c r="AF504" i="6"/>
  <c r="AG504" i="6"/>
  <c r="AH504" i="6"/>
  <c r="AI504" i="6"/>
  <c r="S505" i="6"/>
  <c r="AD505" i="6"/>
  <c r="AE505" i="6"/>
  <c r="AF505" i="6"/>
  <c r="AG505" i="6"/>
  <c r="AH505" i="6"/>
  <c r="AI505" i="6"/>
  <c r="S506" i="6"/>
  <c r="AD506" i="6"/>
  <c r="AE506" i="6"/>
  <c r="AF506" i="6"/>
  <c r="AG506" i="6"/>
  <c r="AH506" i="6"/>
  <c r="AI506" i="6"/>
  <c r="S507" i="6"/>
  <c r="AD507" i="6"/>
  <c r="AE507" i="6"/>
  <c r="AF507" i="6"/>
  <c r="AG507" i="6"/>
  <c r="AH507" i="6"/>
  <c r="AI507" i="6"/>
  <c r="S508" i="6"/>
  <c r="AD508" i="6"/>
  <c r="AE508" i="6"/>
  <c r="AF508" i="6"/>
  <c r="AG508" i="6"/>
  <c r="AH508" i="6"/>
  <c r="AI508" i="6"/>
  <c r="S509" i="6"/>
  <c r="AD509" i="6"/>
  <c r="AE509" i="6"/>
  <c r="AF509" i="6"/>
  <c r="AG509" i="6"/>
  <c r="AH509" i="6"/>
  <c r="AI509" i="6"/>
  <c r="S510" i="6"/>
  <c r="AD510" i="6"/>
  <c r="AE510" i="6"/>
  <c r="AF510" i="6"/>
  <c r="AG510" i="6"/>
  <c r="AH510" i="6"/>
  <c r="AI510" i="6"/>
  <c r="S511" i="6"/>
  <c r="AD511" i="6"/>
  <c r="AE511" i="6"/>
  <c r="AF511" i="6"/>
  <c r="AG511" i="6"/>
  <c r="AH511" i="6"/>
  <c r="AI511" i="6"/>
  <c r="S512" i="6"/>
  <c r="AD512" i="6"/>
  <c r="AE512" i="6"/>
  <c r="AF512" i="6"/>
  <c r="AG512" i="6"/>
  <c r="AH512" i="6"/>
  <c r="AI512" i="6"/>
  <c r="S513" i="6"/>
  <c r="AD513" i="6"/>
  <c r="AE513" i="6"/>
  <c r="AF513" i="6"/>
  <c r="AG513" i="6"/>
  <c r="AH513" i="6"/>
  <c r="AI513" i="6"/>
  <c r="S13" i="6" l="1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2" i="6"/>
  <c r="AD12" i="6"/>
  <c r="AE12" i="6"/>
  <c r="AF12" i="6"/>
  <c r="AG12" i="6"/>
  <c r="AH12" i="6"/>
  <c r="AI12" i="6"/>
  <c r="S9" i="6"/>
  <c r="AD9" i="6"/>
  <c r="AE9" i="6"/>
  <c r="AF9" i="6"/>
  <c r="AG9" i="6"/>
  <c r="AH9" i="6"/>
  <c r="AI9" i="6"/>
  <c r="S10" i="6"/>
  <c r="AD10" i="6"/>
  <c r="AE10" i="6"/>
  <c r="AF10" i="6"/>
  <c r="AG10" i="6"/>
  <c r="AH10" i="6"/>
  <c r="AI10" i="6"/>
  <c r="S11" i="6"/>
  <c r="AD11" i="6"/>
  <c r="AE11" i="6"/>
  <c r="AF11" i="6"/>
  <c r="AG11" i="6"/>
  <c r="AH11" i="6"/>
  <c r="AI11" i="6"/>
  <c r="S8" i="6"/>
  <c r="AD8" i="6"/>
  <c r="AE8" i="6"/>
  <c r="AF8" i="6"/>
  <c r="AG8" i="6"/>
  <c r="AH8" i="6"/>
  <c r="AI8" i="6"/>
  <c r="T7" i="6"/>
  <c r="T454" i="6" l="1"/>
  <c r="T383" i="6"/>
  <c r="T231" i="6"/>
  <c r="T233" i="6"/>
  <c r="T232" i="6"/>
  <c r="T15" i="6"/>
  <c r="T16" i="6"/>
  <c r="T17" i="6"/>
  <c r="T18" i="6"/>
  <c r="T19" i="6"/>
  <c r="T20" i="6"/>
  <c r="T21" i="6"/>
  <c r="T22" i="6"/>
  <c r="T23" i="6"/>
  <c r="T24" i="6"/>
  <c r="T25" i="6"/>
  <c r="T26" i="6"/>
  <c r="T27" i="6"/>
  <c r="T28" i="6"/>
  <c r="T29" i="6"/>
  <c r="T30" i="6"/>
  <c r="T31" i="6"/>
  <c r="T32" i="6"/>
  <c r="T33" i="6"/>
  <c r="T34" i="6"/>
  <c r="T35" i="6"/>
  <c r="T36" i="6"/>
  <c r="T37" i="6"/>
  <c r="T38" i="6"/>
  <c r="T39" i="6"/>
  <c r="T40" i="6"/>
  <c r="T41" i="6"/>
  <c r="T42" i="6"/>
  <c r="T43" i="6"/>
  <c r="T44" i="6"/>
  <c r="T45" i="6"/>
  <c r="T46" i="6"/>
  <c r="T47" i="6"/>
  <c r="T48" i="6"/>
  <c r="T49" i="6"/>
  <c r="T50" i="6"/>
  <c r="T51" i="6"/>
  <c r="T52" i="6"/>
  <c r="T53" i="6"/>
  <c r="T54" i="6"/>
  <c r="T55" i="6"/>
  <c r="T56" i="6"/>
  <c r="T57" i="6"/>
  <c r="T58" i="6"/>
  <c r="T59" i="6"/>
  <c r="T60" i="6"/>
  <c r="T61" i="6"/>
  <c r="T62" i="6"/>
  <c r="T63" i="6"/>
  <c r="T64" i="6"/>
  <c r="T65" i="6"/>
  <c r="T66" i="6"/>
  <c r="T67" i="6"/>
  <c r="T68" i="6"/>
  <c r="T69" i="6"/>
  <c r="T70" i="6"/>
  <c r="T71" i="6"/>
  <c r="T72" i="6"/>
  <c r="T73" i="6"/>
  <c r="T74" i="6"/>
  <c r="T75" i="6"/>
  <c r="T76" i="6"/>
  <c r="T77" i="6"/>
  <c r="T78" i="6"/>
  <c r="T79" i="6"/>
  <c r="T80" i="6"/>
  <c r="T81" i="6"/>
  <c r="T82" i="6"/>
  <c r="T83" i="6"/>
  <c r="T84" i="6"/>
  <c r="T85" i="6"/>
  <c r="T86" i="6"/>
  <c r="T87" i="6"/>
  <c r="T88" i="6"/>
  <c r="T89" i="6"/>
  <c r="T90" i="6"/>
  <c r="T91" i="6"/>
  <c r="T92" i="6"/>
  <c r="T93" i="6"/>
  <c r="T94" i="6"/>
  <c r="T95" i="6"/>
  <c r="T96" i="6"/>
  <c r="T97" i="6"/>
  <c r="T98" i="6"/>
  <c r="T99" i="6"/>
  <c r="T100" i="6"/>
  <c r="T101" i="6"/>
  <c r="T102" i="6"/>
  <c r="T103" i="6"/>
  <c r="T104" i="6"/>
  <c r="T105" i="6"/>
  <c r="T106" i="6"/>
  <c r="T107" i="6"/>
  <c r="T108" i="6"/>
  <c r="T109" i="6"/>
  <c r="T110" i="6"/>
  <c r="T111" i="6"/>
  <c r="T112" i="6"/>
  <c r="T113" i="6"/>
  <c r="T114" i="6"/>
  <c r="T115" i="6"/>
  <c r="T116" i="6"/>
  <c r="T117" i="6"/>
  <c r="T118" i="6"/>
  <c r="T119" i="6"/>
  <c r="T124" i="6"/>
  <c r="T132" i="6"/>
  <c r="T142" i="6"/>
  <c r="T135" i="6"/>
  <c r="T121" i="6"/>
  <c r="T129" i="6"/>
  <c r="T141" i="6"/>
  <c r="T126" i="6"/>
  <c r="T140" i="6"/>
  <c r="T134" i="6"/>
  <c r="T123" i="6"/>
  <c r="T131" i="6"/>
  <c r="T139" i="6"/>
  <c r="T120" i="6"/>
  <c r="T128" i="6"/>
  <c r="T138" i="6"/>
  <c r="T125" i="6"/>
  <c r="T133" i="6"/>
  <c r="T137" i="6"/>
  <c r="T145" i="6"/>
  <c r="T146" i="6"/>
  <c r="T147" i="6"/>
  <c r="T148" i="6"/>
  <c r="T149" i="6"/>
  <c r="T150" i="6"/>
  <c r="T151" i="6"/>
  <c r="T152" i="6"/>
  <c r="T153" i="6"/>
  <c r="T154" i="6"/>
  <c r="T155" i="6"/>
  <c r="T156" i="6"/>
  <c r="T157" i="6"/>
  <c r="T158" i="6"/>
  <c r="T159" i="6"/>
  <c r="T160" i="6"/>
  <c r="T161" i="6"/>
  <c r="T162" i="6"/>
  <c r="T163" i="6"/>
  <c r="T164" i="6"/>
  <c r="T165" i="6"/>
  <c r="T166" i="6"/>
  <c r="T167" i="6"/>
  <c r="T168" i="6"/>
  <c r="T169" i="6"/>
  <c r="T170" i="6"/>
  <c r="T171" i="6"/>
  <c r="T172" i="6"/>
  <c r="T174" i="6"/>
  <c r="T175" i="6"/>
  <c r="T176" i="6"/>
  <c r="T177" i="6"/>
  <c r="T178" i="6"/>
  <c r="T179" i="6"/>
  <c r="T180" i="6"/>
  <c r="T181" i="6"/>
  <c r="T182" i="6"/>
  <c r="T183" i="6"/>
  <c r="T184" i="6"/>
  <c r="T185" i="6"/>
  <c r="T186" i="6"/>
  <c r="T187" i="6"/>
  <c r="T188" i="6"/>
  <c r="T189" i="6"/>
  <c r="T190" i="6"/>
  <c r="T191" i="6"/>
  <c r="T192" i="6"/>
  <c r="T193" i="6"/>
  <c r="T194" i="6"/>
  <c r="T195" i="6"/>
  <c r="T196" i="6"/>
  <c r="T197" i="6"/>
  <c r="T198" i="6"/>
  <c r="T199" i="6"/>
  <c r="T200" i="6"/>
  <c r="T201" i="6"/>
  <c r="T202" i="6"/>
  <c r="T203" i="6"/>
  <c r="T204" i="6"/>
  <c r="T205" i="6"/>
  <c r="T206" i="6"/>
  <c r="T207" i="6"/>
  <c r="T208" i="6"/>
  <c r="T209" i="6"/>
  <c r="T210" i="6"/>
  <c r="T211" i="6"/>
  <c r="T212" i="6"/>
  <c r="T213" i="6"/>
  <c r="T214" i="6"/>
  <c r="T215" i="6"/>
  <c r="T216" i="6"/>
  <c r="T217" i="6"/>
  <c r="T218" i="6"/>
  <c r="T127" i="6"/>
  <c r="T136" i="6"/>
  <c r="T143" i="6"/>
  <c r="T224" i="6"/>
  <c r="T241" i="6"/>
  <c r="T223" i="6"/>
  <c r="T240" i="6"/>
  <c r="T122" i="6"/>
  <c r="T219" i="6"/>
  <c r="T222" i="6"/>
  <c r="T230" i="6"/>
  <c r="T239" i="6"/>
  <c r="T229" i="6"/>
  <c r="T238" i="6"/>
  <c r="T221" i="6"/>
  <c r="T228" i="6"/>
  <c r="T237" i="6"/>
  <c r="T144" i="6"/>
  <c r="T227" i="6"/>
  <c r="T236" i="6"/>
  <c r="T226" i="6"/>
  <c r="T235" i="6"/>
  <c r="T220" i="6"/>
  <c r="T225" i="6"/>
  <c r="T244" i="6"/>
  <c r="T260" i="6"/>
  <c r="T276" i="6"/>
  <c r="T292" i="6"/>
  <c r="T253" i="6"/>
  <c r="T269" i="6"/>
  <c r="T285" i="6"/>
  <c r="T301" i="6"/>
  <c r="T246" i="6"/>
  <c r="T262" i="6"/>
  <c r="T278" i="6"/>
  <c r="T294" i="6"/>
  <c r="T255" i="6"/>
  <c r="T271" i="6"/>
  <c r="T287" i="6"/>
  <c r="T303" i="6"/>
  <c r="T308" i="6"/>
  <c r="T312" i="6"/>
  <c r="T316" i="6"/>
  <c r="T320" i="6"/>
  <c r="T324" i="6"/>
  <c r="T248" i="6"/>
  <c r="T264" i="6"/>
  <c r="T280" i="6"/>
  <c r="T296" i="6"/>
  <c r="T257" i="6"/>
  <c r="T273" i="6"/>
  <c r="T289" i="6"/>
  <c r="T305" i="6"/>
  <c r="T250" i="6"/>
  <c r="T266" i="6"/>
  <c r="T282" i="6"/>
  <c r="T298" i="6"/>
  <c r="T243" i="6"/>
  <c r="T259" i="6"/>
  <c r="T275" i="6"/>
  <c r="T291" i="6"/>
  <c r="T307" i="6"/>
  <c r="T311" i="6"/>
  <c r="T315" i="6"/>
  <c r="T319" i="6"/>
  <c r="T323" i="6"/>
  <c r="T327" i="6"/>
  <c r="T328" i="6"/>
  <c r="T329" i="6"/>
  <c r="T330" i="6"/>
  <c r="T331" i="6"/>
  <c r="T332" i="6"/>
  <c r="T333" i="6"/>
  <c r="T334" i="6"/>
  <c r="T335" i="6"/>
  <c r="T336" i="6"/>
  <c r="T337" i="6"/>
  <c r="T338" i="6"/>
  <c r="T339" i="6"/>
  <c r="T340" i="6"/>
  <c r="T341" i="6"/>
  <c r="T342" i="6"/>
  <c r="T343" i="6"/>
  <c r="T344" i="6"/>
  <c r="T345" i="6"/>
  <c r="T346" i="6"/>
  <c r="T347" i="6"/>
  <c r="T348" i="6"/>
  <c r="T349" i="6"/>
  <c r="T350" i="6"/>
  <c r="T351" i="6"/>
  <c r="T352" i="6"/>
  <c r="T353" i="6"/>
  <c r="T354" i="6"/>
  <c r="T355" i="6"/>
  <c r="T356" i="6"/>
  <c r="T357" i="6"/>
  <c r="T358" i="6"/>
  <c r="T359" i="6"/>
  <c r="T360" i="6"/>
  <c r="T361" i="6"/>
  <c r="T362" i="6"/>
  <c r="T363" i="6"/>
  <c r="T364" i="6"/>
  <c r="T365" i="6"/>
  <c r="T366" i="6"/>
  <c r="T367" i="6"/>
  <c r="T368" i="6"/>
  <c r="T369" i="6"/>
  <c r="T370" i="6"/>
  <c r="T371" i="6"/>
  <c r="T372" i="6"/>
  <c r="T373" i="6"/>
  <c r="T374" i="6"/>
  <c r="T375" i="6"/>
  <c r="T376" i="6"/>
  <c r="T377" i="6"/>
  <c r="T378" i="6"/>
  <c r="T379" i="6"/>
  <c r="T380" i="6"/>
  <c r="T381" i="6"/>
  <c r="T382" i="6"/>
  <c r="T384" i="6"/>
  <c r="T385" i="6"/>
  <c r="T386" i="6"/>
  <c r="T387" i="6"/>
  <c r="T130" i="6"/>
  <c r="T252" i="6"/>
  <c r="T268" i="6"/>
  <c r="T284" i="6"/>
  <c r="T300" i="6"/>
  <c r="T245" i="6"/>
  <c r="T261" i="6"/>
  <c r="T277" i="6"/>
  <c r="T293" i="6"/>
  <c r="T254" i="6"/>
  <c r="T270" i="6"/>
  <c r="T286" i="6"/>
  <c r="T302" i="6"/>
  <c r="T247" i="6"/>
  <c r="T263" i="6"/>
  <c r="T279" i="6"/>
  <c r="T295" i="6"/>
  <c r="T310" i="6"/>
  <c r="T314" i="6"/>
  <c r="T318" i="6"/>
  <c r="T322" i="6"/>
  <c r="T326" i="6"/>
  <c r="T256" i="6"/>
  <c r="T272" i="6"/>
  <c r="T288" i="6"/>
  <c r="T304" i="6"/>
  <c r="T249" i="6"/>
  <c r="T265" i="6"/>
  <c r="T281" i="6"/>
  <c r="T297" i="6"/>
  <c r="T317" i="6"/>
  <c r="T393" i="6"/>
  <c r="T267" i="6"/>
  <c r="T313" i="6"/>
  <c r="T234" i="6"/>
  <c r="T309" i="6"/>
  <c r="T392" i="6"/>
  <c r="T274" i="6"/>
  <c r="T391" i="6"/>
  <c r="T283" i="6"/>
  <c r="T390" i="6"/>
  <c r="T290" i="6"/>
  <c r="T389" i="6"/>
  <c r="T299" i="6"/>
  <c r="T397" i="6"/>
  <c r="T398" i="6"/>
  <c r="T399" i="6"/>
  <c r="T400" i="6"/>
  <c r="T401" i="6"/>
  <c r="T402" i="6"/>
  <c r="T403" i="6"/>
  <c r="T404" i="6"/>
  <c r="T405" i="6"/>
  <c r="T406" i="6"/>
  <c r="T407" i="6"/>
  <c r="T408" i="6"/>
  <c r="T409" i="6"/>
  <c r="T410" i="6"/>
  <c r="T411" i="6"/>
  <c r="T412" i="6"/>
  <c r="T413" i="6"/>
  <c r="T414" i="6"/>
  <c r="T415" i="6"/>
  <c r="T416" i="6"/>
  <c r="T417" i="6"/>
  <c r="T418" i="6"/>
  <c r="T419" i="6"/>
  <c r="T420" i="6"/>
  <c r="T421" i="6"/>
  <c r="T422" i="6"/>
  <c r="T423" i="6"/>
  <c r="T424" i="6"/>
  <c r="T425" i="6"/>
  <c r="T426" i="6"/>
  <c r="T427" i="6"/>
  <c r="T428" i="6"/>
  <c r="T429" i="6"/>
  <c r="T430" i="6"/>
  <c r="T431" i="6"/>
  <c r="T432" i="6"/>
  <c r="T433" i="6"/>
  <c r="T434" i="6"/>
  <c r="T435" i="6"/>
  <c r="T436" i="6"/>
  <c r="T437" i="6"/>
  <c r="T438" i="6"/>
  <c r="T439" i="6"/>
  <c r="T440" i="6"/>
  <c r="T441" i="6"/>
  <c r="T442" i="6"/>
  <c r="T443" i="6"/>
  <c r="T444" i="6"/>
  <c r="T445" i="6"/>
  <c r="T446" i="6"/>
  <c r="T396" i="6"/>
  <c r="T242" i="6"/>
  <c r="T306" i="6"/>
  <c r="T388" i="6"/>
  <c r="T395" i="6"/>
  <c r="T251" i="6"/>
  <c r="T325" i="6"/>
  <c r="T457" i="6"/>
  <c r="T394" i="6"/>
  <c r="T462" i="6"/>
  <c r="T450" i="6"/>
  <c r="T467" i="6"/>
  <c r="T321" i="6"/>
  <c r="T456" i="6"/>
  <c r="T461" i="6"/>
  <c r="T472" i="6"/>
  <c r="T477" i="6"/>
  <c r="T479" i="6"/>
  <c r="T483" i="6"/>
  <c r="T486" i="6"/>
  <c r="T489" i="6"/>
  <c r="T493" i="6"/>
  <c r="T495" i="6"/>
  <c r="T498" i="6"/>
  <c r="T502" i="6"/>
  <c r="T506" i="6"/>
  <c r="T508" i="6"/>
  <c r="T511" i="6"/>
  <c r="T449" i="6"/>
  <c r="T466" i="6"/>
  <c r="T474" i="6"/>
  <c r="T480" i="6"/>
  <c r="T485" i="6"/>
  <c r="T488" i="6"/>
  <c r="T492" i="6"/>
  <c r="T497" i="6"/>
  <c r="T500" i="6"/>
  <c r="T504" i="6"/>
  <c r="T507" i="6"/>
  <c r="T510" i="6"/>
  <c r="T512" i="6"/>
  <c r="T455" i="6"/>
  <c r="T473" i="6"/>
  <c r="T476" i="6"/>
  <c r="T478" i="6"/>
  <c r="T481" i="6"/>
  <c r="T484" i="6"/>
  <c r="T487" i="6"/>
  <c r="T490" i="6"/>
  <c r="T494" i="6"/>
  <c r="T496" i="6"/>
  <c r="T499" i="6"/>
  <c r="T503" i="6"/>
  <c r="T505" i="6"/>
  <c r="T509" i="6"/>
  <c r="T513" i="6"/>
  <c r="T460" i="6"/>
  <c r="T471" i="6"/>
  <c r="T475" i="6"/>
  <c r="T482" i="6"/>
  <c r="T491" i="6"/>
  <c r="T501" i="6"/>
  <c r="T468" i="6"/>
  <c r="T448" i="6"/>
  <c r="T465" i="6"/>
  <c r="T470" i="6"/>
  <c r="T258" i="6"/>
  <c r="T453" i="6"/>
  <c r="T459" i="6"/>
  <c r="T451" i="6"/>
  <c r="T447" i="6"/>
  <c r="T464" i="6"/>
  <c r="T452" i="6"/>
  <c r="T469" i="6"/>
  <c r="T458" i="6"/>
  <c r="T463" i="6"/>
  <c r="T13" i="6"/>
  <c r="T14" i="6"/>
  <c r="T9" i="6"/>
  <c r="T11" i="6"/>
  <c r="U7" i="6"/>
  <c r="T12" i="6"/>
  <c r="T10" i="6"/>
  <c r="AD6" i="6"/>
  <c r="F3" i="6" s="1"/>
  <c r="S5" i="6"/>
  <c r="AF6" i="6"/>
  <c r="G3" i="6" s="1"/>
  <c r="AG6" i="6"/>
  <c r="G4" i="6" s="1"/>
  <c r="AE6" i="6"/>
  <c r="F4" i="6" s="1"/>
  <c r="AI6" i="6"/>
  <c r="E4" i="6" s="1"/>
  <c r="AH6" i="6"/>
  <c r="E3" i="6" s="1"/>
  <c r="T8" i="6"/>
  <c r="U454" i="6" l="1"/>
  <c r="U383" i="6"/>
  <c r="U231" i="6"/>
  <c r="U233" i="6"/>
  <c r="U232" i="6"/>
  <c r="U15" i="6"/>
  <c r="U16" i="6"/>
  <c r="U17" i="6"/>
  <c r="U18" i="6"/>
  <c r="U19" i="6"/>
  <c r="U20" i="6"/>
  <c r="U21" i="6"/>
  <c r="U22" i="6"/>
  <c r="U23" i="6"/>
  <c r="U24" i="6"/>
  <c r="U25" i="6"/>
  <c r="U26" i="6"/>
  <c r="U27" i="6"/>
  <c r="U28" i="6"/>
  <c r="U29" i="6"/>
  <c r="U30" i="6"/>
  <c r="U31" i="6"/>
  <c r="U32" i="6"/>
  <c r="U33" i="6"/>
  <c r="U34" i="6"/>
  <c r="U35" i="6"/>
  <c r="U36" i="6"/>
  <c r="U37" i="6"/>
  <c r="U38" i="6"/>
  <c r="U39" i="6"/>
  <c r="U40" i="6"/>
  <c r="U41" i="6"/>
  <c r="U42" i="6"/>
  <c r="U43" i="6"/>
  <c r="U44" i="6"/>
  <c r="U45" i="6"/>
  <c r="U46" i="6"/>
  <c r="U47" i="6"/>
  <c r="U48" i="6"/>
  <c r="U49" i="6"/>
  <c r="U50" i="6"/>
  <c r="U51" i="6"/>
  <c r="U52" i="6"/>
  <c r="U53" i="6"/>
  <c r="U54" i="6"/>
  <c r="U55" i="6"/>
  <c r="U56" i="6"/>
  <c r="U57" i="6"/>
  <c r="U58" i="6"/>
  <c r="U59" i="6"/>
  <c r="U60" i="6"/>
  <c r="U61" i="6"/>
  <c r="U62" i="6"/>
  <c r="U63" i="6"/>
  <c r="U64" i="6"/>
  <c r="U65" i="6"/>
  <c r="U66" i="6"/>
  <c r="U67" i="6"/>
  <c r="U68" i="6"/>
  <c r="U69" i="6"/>
  <c r="U70" i="6"/>
  <c r="U71" i="6"/>
  <c r="U72" i="6"/>
  <c r="U73" i="6"/>
  <c r="U74" i="6"/>
  <c r="U75" i="6"/>
  <c r="U76" i="6"/>
  <c r="U77" i="6"/>
  <c r="U78" i="6"/>
  <c r="U79" i="6"/>
  <c r="U80" i="6"/>
  <c r="U81" i="6"/>
  <c r="U82" i="6"/>
  <c r="U83" i="6"/>
  <c r="U84" i="6"/>
  <c r="U85" i="6"/>
  <c r="U86" i="6"/>
  <c r="U87" i="6"/>
  <c r="U88" i="6"/>
  <c r="U89" i="6"/>
  <c r="U90" i="6"/>
  <c r="U91" i="6"/>
  <c r="U92" i="6"/>
  <c r="U93" i="6"/>
  <c r="U94" i="6"/>
  <c r="U95" i="6"/>
  <c r="U96" i="6"/>
  <c r="U97" i="6"/>
  <c r="U98" i="6"/>
  <c r="U99" i="6"/>
  <c r="U103" i="6"/>
  <c r="U119" i="6"/>
  <c r="U127" i="6"/>
  <c r="U136" i="6"/>
  <c r="U143" i="6"/>
  <c r="U112" i="6"/>
  <c r="U105" i="6"/>
  <c r="U124" i="6"/>
  <c r="U132" i="6"/>
  <c r="U142" i="6"/>
  <c r="U114" i="6"/>
  <c r="U135" i="6"/>
  <c r="U107" i="6"/>
  <c r="U121" i="6"/>
  <c r="U129" i="6"/>
  <c r="U141" i="6"/>
  <c r="U100" i="6"/>
  <c r="U116" i="6"/>
  <c r="U109" i="6"/>
  <c r="U126" i="6"/>
  <c r="U140" i="6"/>
  <c r="U102" i="6"/>
  <c r="U118" i="6"/>
  <c r="U134" i="6"/>
  <c r="U111" i="6"/>
  <c r="U123" i="6"/>
  <c r="U131" i="6"/>
  <c r="U139" i="6"/>
  <c r="U104" i="6"/>
  <c r="U113" i="6"/>
  <c r="U120" i="6"/>
  <c r="U128" i="6"/>
  <c r="U138" i="6"/>
  <c r="U106" i="6"/>
  <c r="U115" i="6"/>
  <c r="U125" i="6"/>
  <c r="U133" i="6"/>
  <c r="U110" i="6"/>
  <c r="U159" i="6"/>
  <c r="U176" i="6"/>
  <c r="U192" i="6"/>
  <c r="U208" i="6"/>
  <c r="U152" i="6"/>
  <c r="U168" i="6"/>
  <c r="U185" i="6"/>
  <c r="U201" i="6"/>
  <c r="U217" i="6"/>
  <c r="U224" i="6"/>
  <c r="U241" i="6"/>
  <c r="U145" i="6"/>
  <c r="U161" i="6"/>
  <c r="U178" i="6"/>
  <c r="U194" i="6"/>
  <c r="U210" i="6"/>
  <c r="U137" i="6"/>
  <c r="U154" i="6"/>
  <c r="U170" i="6"/>
  <c r="U187" i="6"/>
  <c r="U203" i="6"/>
  <c r="U223" i="6"/>
  <c r="U240" i="6"/>
  <c r="U122" i="6"/>
  <c r="U147" i="6"/>
  <c r="U163" i="6"/>
  <c r="U180" i="6"/>
  <c r="U196" i="6"/>
  <c r="U212" i="6"/>
  <c r="U219" i="6"/>
  <c r="U156" i="6"/>
  <c r="U172" i="6"/>
  <c r="U189" i="6"/>
  <c r="U205" i="6"/>
  <c r="U222" i="6"/>
  <c r="U230" i="6"/>
  <c r="U239" i="6"/>
  <c r="U149" i="6"/>
  <c r="U165" i="6"/>
  <c r="U182" i="6"/>
  <c r="U198" i="6"/>
  <c r="U214" i="6"/>
  <c r="U158" i="6"/>
  <c r="U175" i="6"/>
  <c r="U191" i="6"/>
  <c r="U207" i="6"/>
  <c r="U229" i="6"/>
  <c r="U238" i="6"/>
  <c r="U151" i="6"/>
  <c r="U167" i="6"/>
  <c r="U184" i="6"/>
  <c r="U200" i="6"/>
  <c r="U216" i="6"/>
  <c r="U160" i="6"/>
  <c r="U177" i="6"/>
  <c r="U193" i="6"/>
  <c r="U209" i="6"/>
  <c r="U221" i="6"/>
  <c r="U228" i="6"/>
  <c r="U237" i="6"/>
  <c r="U144" i="6"/>
  <c r="U153" i="6"/>
  <c r="U169" i="6"/>
  <c r="U186" i="6"/>
  <c r="U202" i="6"/>
  <c r="U218" i="6"/>
  <c r="U101" i="6"/>
  <c r="U146" i="6"/>
  <c r="U162" i="6"/>
  <c r="U179" i="6"/>
  <c r="U195" i="6"/>
  <c r="U211" i="6"/>
  <c r="U227" i="6"/>
  <c r="U236" i="6"/>
  <c r="U155" i="6"/>
  <c r="U171" i="6"/>
  <c r="U188" i="6"/>
  <c r="U204" i="6"/>
  <c r="U108" i="6"/>
  <c r="U148" i="6"/>
  <c r="U164" i="6"/>
  <c r="U181" i="6"/>
  <c r="U197" i="6"/>
  <c r="U213" i="6"/>
  <c r="U226" i="6"/>
  <c r="U235" i="6"/>
  <c r="U234" i="6"/>
  <c r="U251" i="6"/>
  <c r="U267" i="6"/>
  <c r="U283" i="6"/>
  <c r="U299" i="6"/>
  <c r="U309" i="6"/>
  <c r="U313" i="6"/>
  <c r="U317" i="6"/>
  <c r="U321" i="6"/>
  <c r="U325" i="6"/>
  <c r="U190" i="6"/>
  <c r="U225" i="6"/>
  <c r="U244" i="6"/>
  <c r="U260" i="6"/>
  <c r="U276" i="6"/>
  <c r="U292" i="6"/>
  <c r="U253" i="6"/>
  <c r="U269" i="6"/>
  <c r="U285" i="6"/>
  <c r="U301" i="6"/>
  <c r="U199" i="6"/>
  <c r="U246" i="6"/>
  <c r="U262" i="6"/>
  <c r="U278" i="6"/>
  <c r="U294" i="6"/>
  <c r="U255" i="6"/>
  <c r="U271" i="6"/>
  <c r="U287" i="6"/>
  <c r="U303" i="6"/>
  <c r="U308" i="6"/>
  <c r="U312" i="6"/>
  <c r="U316" i="6"/>
  <c r="U320" i="6"/>
  <c r="U324" i="6"/>
  <c r="U206" i="6"/>
  <c r="U248" i="6"/>
  <c r="U264" i="6"/>
  <c r="U280" i="6"/>
  <c r="U296" i="6"/>
  <c r="U257" i="6"/>
  <c r="U273" i="6"/>
  <c r="U289" i="6"/>
  <c r="U305" i="6"/>
  <c r="U150" i="6"/>
  <c r="U215" i="6"/>
  <c r="U250" i="6"/>
  <c r="U266" i="6"/>
  <c r="U282" i="6"/>
  <c r="U298" i="6"/>
  <c r="U243" i="6"/>
  <c r="U259" i="6"/>
  <c r="U275" i="6"/>
  <c r="U291" i="6"/>
  <c r="U307" i="6"/>
  <c r="U311" i="6"/>
  <c r="U315" i="6"/>
  <c r="U319" i="6"/>
  <c r="U323" i="6"/>
  <c r="U327" i="6"/>
  <c r="U328" i="6"/>
  <c r="U329" i="6"/>
  <c r="U330" i="6"/>
  <c r="U331" i="6"/>
  <c r="U332" i="6"/>
  <c r="U333" i="6"/>
  <c r="U334" i="6"/>
  <c r="U335" i="6"/>
  <c r="U336" i="6"/>
  <c r="U337" i="6"/>
  <c r="U338" i="6"/>
  <c r="U339" i="6"/>
  <c r="U340" i="6"/>
  <c r="U341" i="6"/>
  <c r="U342" i="6"/>
  <c r="U343" i="6"/>
  <c r="U344" i="6"/>
  <c r="U345" i="6"/>
  <c r="U346" i="6"/>
  <c r="U347" i="6"/>
  <c r="U348" i="6"/>
  <c r="U349" i="6"/>
  <c r="U350" i="6"/>
  <c r="U351" i="6"/>
  <c r="U352" i="6"/>
  <c r="U353" i="6"/>
  <c r="U354" i="6"/>
  <c r="U355" i="6"/>
  <c r="U356" i="6"/>
  <c r="U357" i="6"/>
  <c r="U358" i="6"/>
  <c r="U359" i="6"/>
  <c r="U360" i="6"/>
  <c r="U361" i="6"/>
  <c r="U362" i="6"/>
  <c r="U363" i="6"/>
  <c r="U364" i="6"/>
  <c r="U365" i="6"/>
  <c r="U366" i="6"/>
  <c r="U367" i="6"/>
  <c r="U368" i="6"/>
  <c r="U369" i="6"/>
  <c r="U370" i="6"/>
  <c r="U371" i="6"/>
  <c r="U372" i="6"/>
  <c r="U373" i="6"/>
  <c r="U374" i="6"/>
  <c r="U375" i="6"/>
  <c r="U376" i="6"/>
  <c r="U377" i="6"/>
  <c r="U378" i="6"/>
  <c r="U379" i="6"/>
  <c r="U380" i="6"/>
  <c r="U381" i="6"/>
  <c r="U382" i="6"/>
  <c r="U384" i="6"/>
  <c r="U385" i="6"/>
  <c r="U386" i="6"/>
  <c r="U387" i="6"/>
  <c r="U388" i="6"/>
  <c r="U389" i="6"/>
  <c r="U390" i="6"/>
  <c r="U391" i="6"/>
  <c r="U392" i="6"/>
  <c r="U393" i="6"/>
  <c r="U394" i="6"/>
  <c r="U395" i="6"/>
  <c r="U130" i="6"/>
  <c r="U157" i="6"/>
  <c r="U252" i="6"/>
  <c r="U268" i="6"/>
  <c r="U284" i="6"/>
  <c r="U300" i="6"/>
  <c r="U245" i="6"/>
  <c r="U261" i="6"/>
  <c r="U277" i="6"/>
  <c r="U293" i="6"/>
  <c r="U166" i="6"/>
  <c r="U220" i="6"/>
  <c r="U254" i="6"/>
  <c r="U270" i="6"/>
  <c r="U286" i="6"/>
  <c r="U302" i="6"/>
  <c r="U117" i="6"/>
  <c r="U247" i="6"/>
  <c r="U263" i="6"/>
  <c r="U279" i="6"/>
  <c r="U295" i="6"/>
  <c r="U310" i="6"/>
  <c r="U314" i="6"/>
  <c r="U318" i="6"/>
  <c r="U322" i="6"/>
  <c r="U326" i="6"/>
  <c r="U174" i="6"/>
  <c r="U256" i="6"/>
  <c r="U272" i="6"/>
  <c r="U288" i="6"/>
  <c r="U304" i="6"/>
  <c r="U258" i="6"/>
  <c r="U265" i="6"/>
  <c r="U183" i="6"/>
  <c r="U274" i="6"/>
  <c r="U281" i="6"/>
  <c r="U290" i="6"/>
  <c r="U297" i="6"/>
  <c r="U397" i="6"/>
  <c r="U398" i="6"/>
  <c r="U399" i="6"/>
  <c r="U400" i="6"/>
  <c r="U401" i="6"/>
  <c r="U402" i="6"/>
  <c r="U403" i="6"/>
  <c r="U404" i="6"/>
  <c r="U405" i="6"/>
  <c r="U406" i="6"/>
  <c r="U407" i="6"/>
  <c r="U408" i="6"/>
  <c r="U409" i="6"/>
  <c r="U410" i="6"/>
  <c r="U411" i="6"/>
  <c r="U412" i="6"/>
  <c r="U413" i="6"/>
  <c r="U414" i="6"/>
  <c r="U415" i="6"/>
  <c r="U416" i="6"/>
  <c r="U417" i="6"/>
  <c r="U418" i="6"/>
  <c r="U419" i="6"/>
  <c r="U420" i="6"/>
  <c r="U421" i="6"/>
  <c r="U422" i="6"/>
  <c r="U423" i="6"/>
  <c r="U424" i="6"/>
  <c r="U425" i="6"/>
  <c r="U426" i="6"/>
  <c r="U427" i="6"/>
  <c r="U428" i="6"/>
  <c r="U429" i="6"/>
  <c r="U430" i="6"/>
  <c r="U431" i="6"/>
  <c r="U432" i="6"/>
  <c r="U433" i="6"/>
  <c r="U434" i="6"/>
  <c r="U435" i="6"/>
  <c r="U436" i="6"/>
  <c r="U437" i="6"/>
  <c r="U438" i="6"/>
  <c r="U439" i="6"/>
  <c r="U440" i="6"/>
  <c r="U441" i="6"/>
  <c r="U396" i="6"/>
  <c r="U242" i="6"/>
  <c r="U306" i="6"/>
  <c r="U446" i="6"/>
  <c r="U451" i="6"/>
  <c r="U468" i="6"/>
  <c r="U457" i="6"/>
  <c r="U462" i="6"/>
  <c r="U450" i="6"/>
  <c r="U467" i="6"/>
  <c r="U463" i="6"/>
  <c r="U442" i="6"/>
  <c r="U456" i="6"/>
  <c r="U445" i="6"/>
  <c r="U461" i="6"/>
  <c r="U449" i="6"/>
  <c r="U466" i="6"/>
  <c r="U455" i="6"/>
  <c r="U460" i="6"/>
  <c r="U471" i="6"/>
  <c r="U472" i="6"/>
  <c r="U473" i="6"/>
  <c r="U474" i="6"/>
  <c r="U475" i="6"/>
  <c r="U476" i="6"/>
  <c r="U477" i="6"/>
  <c r="U478" i="6"/>
  <c r="U479" i="6"/>
  <c r="U480" i="6"/>
  <c r="U481" i="6"/>
  <c r="U482" i="6"/>
  <c r="U483" i="6"/>
  <c r="U484" i="6"/>
  <c r="U485" i="6"/>
  <c r="U486" i="6"/>
  <c r="U487" i="6"/>
  <c r="U488" i="6"/>
  <c r="U489" i="6"/>
  <c r="U490" i="6"/>
  <c r="U491" i="6"/>
  <c r="U492" i="6"/>
  <c r="U493" i="6"/>
  <c r="U494" i="6"/>
  <c r="U495" i="6"/>
  <c r="U496" i="6"/>
  <c r="U497" i="6"/>
  <c r="U498" i="6"/>
  <c r="U499" i="6"/>
  <c r="U500" i="6"/>
  <c r="U501" i="6"/>
  <c r="U502" i="6"/>
  <c r="U503" i="6"/>
  <c r="U504" i="6"/>
  <c r="U505" i="6"/>
  <c r="U506" i="6"/>
  <c r="U507" i="6"/>
  <c r="U508" i="6"/>
  <c r="U509" i="6"/>
  <c r="U510" i="6"/>
  <c r="U511" i="6"/>
  <c r="U512" i="6"/>
  <c r="U513" i="6"/>
  <c r="U249" i="6"/>
  <c r="U448" i="6"/>
  <c r="U465" i="6"/>
  <c r="U444" i="6"/>
  <c r="U453" i="6"/>
  <c r="U470" i="6"/>
  <c r="U443" i="6"/>
  <c r="U459" i="6"/>
  <c r="U447" i="6"/>
  <c r="U464" i="6"/>
  <c r="U452" i="6"/>
  <c r="U469" i="6"/>
  <c r="U458" i="6"/>
  <c r="U13" i="6"/>
  <c r="U14" i="6"/>
  <c r="V7" i="6"/>
  <c r="U9" i="6"/>
  <c r="U11" i="6"/>
  <c r="U10" i="6"/>
  <c r="U8" i="6"/>
  <c r="U12" i="6"/>
  <c r="F5" i="6"/>
  <c r="G5" i="6"/>
  <c r="E5" i="6"/>
  <c r="H4" i="6"/>
  <c r="H3" i="6"/>
  <c r="T5" i="6"/>
  <c r="V454" i="6" l="1"/>
  <c r="V383" i="6"/>
  <c r="V231" i="6"/>
  <c r="V233" i="6"/>
  <c r="V232" i="6"/>
  <c r="V15" i="6"/>
  <c r="V16" i="6"/>
  <c r="V17" i="6"/>
  <c r="V18" i="6"/>
  <c r="V19" i="6"/>
  <c r="V20" i="6"/>
  <c r="V21" i="6"/>
  <c r="V22" i="6"/>
  <c r="V23" i="6"/>
  <c r="V24" i="6"/>
  <c r="V25" i="6"/>
  <c r="V26" i="6"/>
  <c r="V27" i="6"/>
  <c r="V28" i="6"/>
  <c r="V29" i="6"/>
  <c r="V30" i="6"/>
  <c r="V31" i="6"/>
  <c r="V32" i="6"/>
  <c r="V33" i="6"/>
  <c r="V34" i="6"/>
  <c r="V35" i="6"/>
  <c r="V36" i="6"/>
  <c r="V37" i="6"/>
  <c r="V38" i="6"/>
  <c r="V39" i="6"/>
  <c r="V40" i="6"/>
  <c r="V41" i="6"/>
  <c r="V42" i="6"/>
  <c r="V43" i="6"/>
  <c r="V44" i="6"/>
  <c r="V45" i="6"/>
  <c r="V46" i="6"/>
  <c r="V47" i="6"/>
  <c r="V48" i="6"/>
  <c r="V49" i="6"/>
  <c r="V50" i="6"/>
  <c r="V51" i="6"/>
  <c r="V52" i="6"/>
  <c r="V53" i="6"/>
  <c r="V54" i="6"/>
  <c r="V55" i="6"/>
  <c r="V56" i="6"/>
  <c r="V57" i="6"/>
  <c r="V58" i="6"/>
  <c r="V59" i="6"/>
  <c r="V60" i="6"/>
  <c r="V61" i="6"/>
  <c r="V62" i="6"/>
  <c r="V63" i="6"/>
  <c r="V64" i="6"/>
  <c r="V65" i="6"/>
  <c r="V66" i="6"/>
  <c r="V67" i="6"/>
  <c r="V68" i="6"/>
  <c r="V69" i="6"/>
  <c r="V70" i="6"/>
  <c r="V71" i="6"/>
  <c r="V72" i="6"/>
  <c r="V73" i="6"/>
  <c r="V74" i="6"/>
  <c r="V75" i="6"/>
  <c r="V76" i="6"/>
  <c r="V77" i="6"/>
  <c r="V78" i="6"/>
  <c r="V79" i="6"/>
  <c r="V80" i="6"/>
  <c r="V81" i="6"/>
  <c r="V82" i="6"/>
  <c r="V83" i="6"/>
  <c r="V84" i="6"/>
  <c r="V85" i="6"/>
  <c r="V86" i="6"/>
  <c r="V87" i="6"/>
  <c r="V88" i="6"/>
  <c r="V89" i="6"/>
  <c r="V90" i="6"/>
  <c r="V91" i="6"/>
  <c r="V92" i="6"/>
  <c r="V93" i="6"/>
  <c r="V94" i="6"/>
  <c r="V95" i="6"/>
  <c r="V96" i="6"/>
  <c r="V97" i="6"/>
  <c r="V98" i="6"/>
  <c r="V99" i="6"/>
  <c r="V110" i="6"/>
  <c r="V103" i="6"/>
  <c r="V119" i="6"/>
  <c r="V127" i="6"/>
  <c r="V136" i="6"/>
  <c r="V143" i="6"/>
  <c r="V112" i="6"/>
  <c r="V105" i="6"/>
  <c r="V124" i="6"/>
  <c r="V132" i="6"/>
  <c r="V142" i="6"/>
  <c r="V114" i="6"/>
  <c r="V135" i="6"/>
  <c r="V107" i="6"/>
  <c r="V121" i="6"/>
  <c r="V129" i="6"/>
  <c r="V141" i="6"/>
  <c r="V100" i="6"/>
  <c r="V116" i="6"/>
  <c r="V109" i="6"/>
  <c r="V126" i="6"/>
  <c r="V140" i="6"/>
  <c r="V102" i="6"/>
  <c r="V118" i="6"/>
  <c r="V134" i="6"/>
  <c r="V111" i="6"/>
  <c r="V123" i="6"/>
  <c r="V131" i="6"/>
  <c r="V139" i="6"/>
  <c r="V104" i="6"/>
  <c r="V113" i="6"/>
  <c r="V120" i="6"/>
  <c r="V128" i="6"/>
  <c r="V138" i="6"/>
  <c r="V106" i="6"/>
  <c r="V101" i="6"/>
  <c r="V117" i="6"/>
  <c r="V122" i="6"/>
  <c r="V130" i="6"/>
  <c r="V144" i="6"/>
  <c r="V115" i="6"/>
  <c r="V150" i="6"/>
  <c r="V166" i="6"/>
  <c r="V183" i="6"/>
  <c r="V199" i="6"/>
  <c r="V215" i="6"/>
  <c r="V225" i="6"/>
  <c r="V234" i="6"/>
  <c r="V242" i="6"/>
  <c r="V243" i="6"/>
  <c r="V244" i="6"/>
  <c r="V245" i="6"/>
  <c r="V246" i="6"/>
  <c r="V247" i="6"/>
  <c r="V248" i="6"/>
  <c r="V249" i="6"/>
  <c r="V250" i="6"/>
  <c r="V251" i="6"/>
  <c r="V252" i="6"/>
  <c r="V253" i="6"/>
  <c r="V254" i="6"/>
  <c r="V255" i="6"/>
  <c r="V256" i="6"/>
  <c r="V257" i="6"/>
  <c r="V258" i="6"/>
  <c r="V259" i="6"/>
  <c r="V260" i="6"/>
  <c r="V261" i="6"/>
  <c r="V262" i="6"/>
  <c r="V263" i="6"/>
  <c r="V264" i="6"/>
  <c r="V265" i="6"/>
  <c r="V266" i="6"/>
  <c r="V267" i="6"/>
  <c r="V268" i="6"/>
  <c r="V269" i="6"/>
  <c r="V270" i="6"/>
  <c r="V271" i="6"/>
  <c r="V272" i="6"/>
  <c r="V273" i="6"/>
  <c r="V274" i="6"/>
  <c r="V275" i="6"/>
  <c r="V276" i="6"/>
  <c r="V277" i="6"/>
  <c r="V278" i="6"/>
  <c r="V279" i="6"/>
  <c r="V280" i="6"/>
  <c r="V281" i="6"/>
  <c r="V282" i="6"/>
  <c r="V283" i="6"/>
  <c r="V284" i="6"/>
  <c r="V285" i="6"/>
  <c r="V286" i="6"/>
  <c r="V287" i="6"/>
  <c r="V288" i="6"/>
  <c r="V289" i="6"/>
  <c r="V290" i="6"/>
  <c r="V291" i="6"/>
  <c r="V292" i="6"/>
  <c r="V293" i="6"/>
  <c r="V294" i="6"/>
  <c r="V295" i="6"/>
  <c r="V296" i="6"/>
  <c r="V297" i="6"/>
  <c r="V298" i="6"/>
  <c r="V299" i="6"/>
  <c r="V300" i="6"/>
  <c r="V301" i="6"/>
  <c r="V302" i="6"/>
  <c r="V303" i="6"/>
  <c r="V304" i="6"/>
  <c r="V305" i="6"/>
  <c r="V306" i="6"/>
  <c r="V307" i="6"/>
  <c r="V308" i="6"/>
  <c r="V309" i="6"/>
  <c r="V310" i="6"/>
  <c r="V311" i="6"/>
  <c r="V312" i="6"/>
  <c r="V313" i="6"/>
  <c r="V314" i="6"/>
  <c r="V315" i="6"/>
  <c r="V316" i="6"/>
  <c r="V317" i="6"/>
  <c r="V318" i="6"/>
  <c r="V319" i="6"/>
  <c r="V320" i="6"/>
  <c r="V321" i="6"/>
  <c r="V322" i="6"/>
  <c r="V323" i="6"/>
  <c r="V324" i="6"/>
  <c r="V325" i="6"/>
  <c r="V326" i="6"/>
  <c r="V159" i="6"/>
  <c r="V176" i="6"/>
  <c r="V192" i="6"/>
  <c r="V208" i="6"/>
  <c r="V152" i="6"/>
  <c r="V168" i="6"/>
  <c r="V185" i="6"/>
  <c r="V201" i="6"/>
  <c r="V217" i="6"/>
  <c r="V224" i="6"/>
  <c r="V241" i="6"/>
  <c r="V145" i="6"/>
  <c r="V161" i="6"/>
  <c r="V178" i="6"/>
  <c r="V194" i="6"/>
  <c r="V210" i="6"/>
  <c r="V137" i="6"/>
  <c r="V154" i="6"/>
  <c r="V170" i="6"/>
  <c r="V187" i="6"/>
  <c r="V203" i="6"/>
  <c r="V223" i="6"/>
  <c r="V240" i="6"/>
  <c r="V133" i="6"/>
  <c r="V147" i="6"/>
  <c r="V163" i="6"/>
  <c r="V180" i="6"/>
  <c r="V196" i="6"/>
  <c r="V212" i="6"/>
  <c r="V219" i="6"/>
  <c r="V156" i="6"/>
  <c r="V172" i="6"/>
  <c r="V189" i="6"/>
  <c r="V205" i="6"/>
  <c r="V222" i="6"/>
  <c r="V230" i="6"/>
  <c r="V239" i="6"/>
  <c r="V149" i="6"/>
  <c r="V165" i="6"/>
  <c r="V182" i="6"/>
  <c r="V198" i="6"/>
  <c r="V214" i="6"/>
  <c r="V158" i="6"/>
  <c r="V175" i="6"/>
  <c r="V191" i="6"/>
  <c r="V207" i="6"/>
  <c r="V229" i="6"/>
  <c r="V238" i="6"/>
  <c r="V151" i="6"/>
  <c r="V167" i="6"/>
  <c r="V184" i="6"/>
  <c r="V200" i="6"/>
  <c r="V216" i="6"/>
  <c r="V125" i="6"/>
  <c r="V160" i="6"/>
  <c r="V177" i="6"/>
  <c r="V193" i="6"/>
  <c r="V209" i="6"/>
  <c r="V221" i="6"/>
  <c r="V228" i="6"/>
  <c r="V237" i="6"/>
  <c r="V153" i="6"/>
  <c r="V169" i="6"/>
  <c r="V186" i="6"/>
  <c r="V202" i="6"/>
  <c r="V218" i="6"/>
  <c r="V146" i="6"/>
  <c r="V162" i="6"/>
  <c r="V179" i="6"/>
  <c r="V195" i="6"/>
  <c r="V211" i="6"/>
  <c r="V227" i="6"/>
  <c r="V236" i="6"/>
  <c r="V155" i="6"/>
  <c r="V171" i="6"/>
  <c r="V188" i="6"/>
  <c r="V204" i="6"/>
  <c r="V181" i="6"/>
  <c r="V190" i="6"/>
  <c r="V197" i="6"/>
  <c r="V206" i="6"/>
  <c r="V148" i="6"/>
  <c r="V213" i="6"/>
  <c r="V235" i="6"/>
  <c r="V226" i="6"/>
  <c r="V327" i="6"/>
  <c r="V328" i="6"/>
  <c r="V329" i="6"/>
  <c r="V330" i="6"/>
  <c r="V331" i="6"/>
  <c r="V332" i="6"/>
  <c r="V333" i="6"/>
  <c r="V334" i="6"/>
  <c r="V335" i="6"/>
  <c r="V336" i="6"/>
  <c r="V337" i="6"/>
  <c r="V338" i="6"/>
  <c r="V339" i="6"/>
  <c r="V340" i="6"/>
  <c r="V341" i="6"/>
  <c r="V342" i="6"/>
  <c r="V343" i="6"/>
  <c r="V344" i="6"/>
  <c r="V345" i="6"/>
  <c r="V346" i="6"/>
  <c r="V347" i="6"/>
  <c r="V348" i="6"/>
  <c r="V349" i="6"/>
  <c r="V350" i="6"/>
  <c r="V351" i="6"/>
  <c r="V352" i="6"/>
  <c r="V353" i="6"/>
  <c r="V354" i="6"/>
  <c r="V355" i="6"/>
  <c r="V356" i="6"/>
  <c r="V357" i="6"/>
  <c r="V358" i="6"/>
  <c r="V359" i="6"/>
  <c r="V360" i="6"/>
  <c r="V361" i="6"/>
  <c r="V362" i="6"/>
  <c r="V363" i="6"/>
  <c r="V364" i="6"/>
  <c r="V365" i="6"/>
  <c r="V366" i="6"/>
  <c r="V367" i="6"/>
  <c r="V368" i="6"/>
  <c r="V369" i="6"/>
  <c r="V370" i="6"/>
  <c r="V371" i="6"/>
  <c r="V372" i="6"/>
  <c r="V373" i="6"/>
  <c r="V374" i="6"/>
  <c r="V375" i="6"/>
  <c r="V376" i="6"/>
  <c r="V377" i="6"/>
  <c r="V378" i="6"/>
  <c r="V379" i="6"/>
  <c r="V380" i="6"/>
  <c r="V381" i="6"/>
  <c r="V157" i="6"/>
  <c r="V108" i="6"/>
  <c r="V164" i="6"/>
  <c r="V220" i="6"/>
  <c r="V393" i="6"/>
  <c r="V174" i="6"/>
  <c r="V386" i="6"/>
  <c r="V392" i="6"/>
  <c r="V391" i="6"/>
  <c r="V385" i="6"/>
  <c r="V390" i="6"/>
  <c r="V389" i="6"/>
  <c r="V384" i="6"/>
  <c r="V397" i="6"/>
  <c r="V398" i="6"/>
  <c r="V399" i="6"/>
  <c r="V400" i="6"/>
  <c r="V401" i="6"/>
  <c r="V402" i="6"/>
  <c r="V403" i="6"/>
  <c r="V404" i="6"/>
  <c r="V405" i="6"/>
  <c r="V406" i="6"/>
  <c r="V407" i="6"/>
  <c r="V408" i="6"/>
  <c r="V409" i="6"/>
  <c r="V410" i="6"/>
  <c r="V411" i="6"/>
  <c r="V412" i="6"/>
  <c r="V413" i="6"/>
  <c r="V414" i="6"/>
  <c r="V415" i="6"/>
  <c r="V416" i="6"/>
  <c r="V417" i="6"/>
  <c r="V418" i="6"/>
  <c r="V419" i="6"/>
  <c r="V420" i="6"/>
  <c r="V421" i="6"/>
  <c r="V422" i="6"/>
  <c r="V423" i="6"/>
  <c r="V424" i="6"/>
  <c r="V425" i="6"/>
  <c r="V426" i="6"/>
  <c r="V427" i="6"/>
  <c r="V428" i="6"/>
  <c r="V429" i="6"/>
  <c r="V430" i="6"/>
  <c r="V431" i="6"/>
  <c r="V432" i="6"/>
  <c r="V433" i="6"/>
  <c r="V434" i="6"/>
  <c r="V435" i="6"/>
  <c r="V436" i="6"/>
  <c r="V437" i="6"/>
  <c r="V438" i="6"/>
  <c r="V388" i="6"/>
  <c r="V396" i="6"/>
  <c r="V395" i="6"/>
  <c r="V440" i="6"/>
  <c r="V443" i="6"/>
  <c r="V463" i="6"/>
  <c r="V457" i="6"/>
  <c r="V446" i="6"/>
  <c r="V451" i="6"/>
  <c r="V468" i="6"/>
  <c r="V394" i="6"/>
  <c r="V462" i="6"/>
  <c r="V450" i="6"/>
  <c r="V467" i="6"/>
  <c r="V491" i="6"/>
  <c r="V497" i="6"/>
  <c r="V505" i="6"/>
  <c r="V511" i="6"/>
  <c r="V442" i="6"/>
  <c r="V456" i="6"/>
  <c r="V490" i="6"/>
  <c r="V501" i="6"/>
  <c r="V509" i="6"/>
  <c r="V458" i="6"/>
  <c r="V439" i="6"/>
  <c r="V445" i="6"/>
  <c r="V461" i="6"/>
  <c r="V492" i="6"/>
  <c r="V498" i="6"/>
  <c r="V504" i="6"/>
  <c r="V508" i="6"/>
  <c r="V449" i="6"/>
  <c r="V466" i="6"/>
  <c r="V500" i="6"/>
  <c r="V506" i="6"/>
  <c r="V512" i="6"/>
  <c r="V455" i="6"/>
  <c r="V472" i="6"/>
  <c r="V474" i="6"/>
  <c r="V475" i="6"/>
  <c r="V477" i="6"/>
  <c r="V479" i="6"/>
  <c r="V481" i="6"/>
  <c r="V482" i="6"/>
  <c r="V484" i="6"/>
  <c r="V486" i="6"/>
  <c r="V487" i="6"/>
  <c r="V489" i="6"/>
  <c r="V494" i="6"/>
  <c r="V495" i="6"/>
  <c r="V499" i="6"/>
  <c r="V502" i="6"/>
  <c r="V507" i="6"/>
  <c r="V510" i="6"/>
  <c r="V460" i="6"/>
  <c r="V471" i="6"/>
  <c r="V473" i="6"/>
  <c r="V476" i="6"/>
  <c r="V478" i="6"/>
  <c r="V480" i="6"/>
  <c r="V483" i="6"/>
  <c r="V485" i="6"/>
  <c r="V488" i="6"/>
  <c r="V493" i="6"/>
  <c r="V496" i="6"/>
  <c r="V503" i="6"/>
  <c r="V513" i="6"/>
  <c r="V441" i="6"/>
  <c r="V448" i="6"/>
  <c r="V465" i="6"/>
  <c r="V444" i="6"/>
  <c r="V453" i="6"/>
  <c r="V470" i="6"/>
  <c r="V387" i="6"/>
  <c r="V459" i="6"/>
  <c r="V382" i="6"/>
  <c r="V447" i="6"/>
  <c r="V464" i="6"/>
  <c r="V469" i="6"/>
  <c r="V452" i="6"/>
  <c r="V13" i="6"/>
  <c r="V14" i="6"/>
  <c r="V12" i="6"/>
  <c r="V9" i="6"/>
  <c r="W7" i="6"/>
  <c r="V10" i="6"/>
  <c r="V11" i="6"/>
  <c r="V8" i="6"/>
  <c r="U5" i="6"/>
  <c r="H5" i="6"/>
  <c r="W454" i="6" l="1"/>
  <c r="W383" i="6"/>
  <c r="W231" i="6"/>
  <c r="W233" i="6"/>
  <c r="W232" i="6"/>
  <c r="W15" i="6"/>
  <c r="W17" i="6"/>
  <c r="W19" i="6"/>
  <c r="W21" i="6"/>
  <c r="W23" i="6"/>
  <c r="W25" i="6"/>
  <c r="W27" i="6"/>
  <c r="W29" i="6"/>
  <c r="W31" i="6"/>
  <c r="W33" i="6"/>
  <c r="W35" i="6"/>
  <c r="W37" i="6"/>
  <c r="W39" i="6"/>
  <c r="W41" i="6"/>
  <c r="W43" i="6"/>
  <c r="W45" i="6"/>
  <c r="W47" i="6"/>
  <c r="W49" i="6"/>
  <c r="W51" i="6"/>
  <c r="W53" i="6"/>
  <c r="W55" i="6"/>
  <c r="W57" i="6"/>
  <c r="W59" i="6"/>
  <c r="W61" i="6"/>
  <c r="W63" i="6"/>
  <c r="W65" i="6"/>
  <c r="W67" i="6"/>
  <c r="W69" i="6"/>
  <c r="W71" i="6"/>
  <c r="W73" i="6"/>
  <c r="W75" i="6"/>
  <c r="W77" i="6"/>
  <c r="W79" i="6"/>
  <c r="W81" i="6"/>
  <c r="W83" i="6"/>
  <c r="W85" i="6"/>
  <c r="W87" i="6"/>
  <c r="W89" i="6"/>
  <c r="W91" i="6"/>
  <c r="W93" i="6"/>
  <c r="W95" i="6"/>
  <c r="W97" i="6"/>
  <c r="W100" i="6"/>
  <c r="W101" i="6"/>
  <c r="W102" i="6"/>
  <c r="W103" i="6"/>
  <c r="W104" i="6"/>
  <c r="W105" i="6"/>
  <c r="W106" i="6"/>
  <c r="W107" i="6"/>
  <c r="W108" i="6"/>
  <c r="W109" i="6"/>
  <c r="W110" i="6"/>
  <c r="W111" i="6"/>
  <c r="W112" i="6"/>
  <c r="W113" i="6"/>
  <c r="W114" i="6"/>
  <c r="W115" i="6"/>
  <c r="W116" i="6"/>
  <c r="W117" i="6"/>
  <c r="W118" i="6"/>
  <c r="W119" i="6"/>
  <c r="W120" i="6"/>
  <c r="W121" i="6"/>
  <c r="W122" i="6"/>
  <c r="W123" i="6"/>
  <c r="W124" i="6"/>
  <c r="W125" i="6"/>
  <c r="W126" i="6"/>
  <c r="W127" i="6"/>
  <c r="W128" i="6"/>
  <c r="W129" i="6"/>
  <c r="W130" i="6"/>
  <c r="W131" i="6"/>
  <c r="W132" i="6"/>
  <c r="W133" i="6"/>
  <c r="W134" i="6"/>
  <c r="W135" i="6"/>
  <c r="W136" i="6"/>
  <c r="W137" i="6"/>
  <c r="W138" i="6"/>
  <c r="W139" i="6"/>
  <c r="W140" i="6"/>
  <c r="W141" i="6"/>
  <c r="W142" i="6"/>
  <c r="W143" i="6"/>
  <c r="W99" i="6"/>
  <c r="W16" i="6"/>
  <c r="W18" i="6"/>
  <c r="W20" i="6"/>
  <c r="W22" i="6"/>
  <c r="W24" i="6"/>
  <c r="W26" i="6"/>
  <c r="W28" i="6"/>
  <c r="W30" i="6"/>
  <c r="W32" i="6"/>
  <c r="W34" i="6"/>
  <c r="W36" i="6"/>
  <c r="W38" i="6"/>
  <c r="W40" i="6"/>
  <c r="W42" i="6"/>
  <c r="W44" i="6"/>
  <c r="W46" i="6"/>
  <c r="W48" i="6"/>
  <c r="W50" i="6"/>
  <c r="W52" i="6"/>
  <c r="W54" i="6"/>
  <c r="W56" i="6"/>
  <c r="W58" i="6"/>
  <c r="W60" i="6"/>
  <c r="W62" i="6"/>
  <c r="W64" i="6"/>
  <c r="W66" i="6"/>
  <c r="W68" i="6"/>
  <c r="W70" i="6"/>
  <c r="W72" i="6"/>
  <c r="W74" i="6"/>
  <c r="W76" i="6"/>
  <c r="W78" i="6"/>
  <c r="W80" i="6"/>
  <c r="W82" i="6"/>
  <c r="W84" i="6"/>
  <c r="W86" i="6"/>
  <c r="W88" i="6"/>
  <c r="W90" i="6"/>
  <c r="W92" i="6"/>
  <c r="W94" i="6"/>
  <c r="W96" i="6"/>
  <c r="W98" i="6"/>
  <c r="W144" i="6"/>
  <c r="W145" i="6"/>
  <c r="W146" i="6"/>
  <c r="W147" i="6"/>
  <c r="W148" i="6"/>
  <c r="W149" i="6"/>
  <c r="W150" i="6"/>
  <c r="W151" i="6"/>
  <c r="W152" i="6"/>
  <c r="W153" i="6"/>
  <c r="W154" i="6"/>
  <c r="W155" i="6"/>
  <c r="W156" i="6"/>
  <c r="W157" i="6"/>
  <c r="W158" i="6"/>
  <c r="W159" i="6"/>
  <c r="W160" i="6"/>
  <c r="W161" i="6"/>
  <c r="W162" i="6"/>
  <c r="W163" i="6"/>
  <c r="W164" i="6"/>
  <c r="W165" i="6"/>
  <c r="W166" i="6"/>
  <c r="W167" i="6"/>
  <c r="W168" i="6"/>
  <c r="W169" i="6"/>
  <c r="W170" i="6"/>
  <c r="W171" i="6"/>
  <c r="W172" i="6"/>
  <c r="W174" i="6"/>
  <c r="W175" i="6"/>
  <c r="W176" i="6"/>
  <c r="W177" i="6"/>
  <c r="W178" i="6"/>
  <c r="W179" i="6"/>
  <c r="W180" i="6"/>
  <c r="W181" i="6"/>
  <c r="W182" i="6"/>
  <c r="W183" i="6"/>
  <c r="W184" i="6"/>
  <c r="W185" i="6"/>
  <c r="W186" i="6"/>
  <c r="W187" i="6"/>
  <c r="W188" i="6"/>
  <c r="W189" i="6"/>
  <c r="W190" i="6"/>
  <c r="W191" i="6"/>
  <c r="W192" i="6"/>
  <c r="W193" i="6"/>
  <c r="W194" i="6"/>
  <c r="W195" i="6"/>
  <c r="W196" i="6"/>
  <c r="W197" i="6"/>
  <c r="W198" i="6"/>
  <c r="W199" i="6"/>
  <c r="W200" i="6"/>
  <c r="W201" i="6"/>
  <c r="W202" i="6"/>
  <c r="W203" i="6"/>
  <c r="W204" i="6"/>
  <c r="W205" i="6"/>
  <c r="W206" i="6"/>
  <c r="W207" i="6"/>
  <c r="W208" i="6"/>
  <c r="W209" i="6"/>
  <c r="W210" i="6"/>
  <c r="W211" i="6"/>
  <c r="W212" i="6"/>
  <c r="W213" i="6"/>
  <c r="W214" i="6"/>
  <c r="W215" i="6"/>
  <c r="W216" i="6"/>
  <c r="W217" i="6"/>
  <c r="W218" i="6"/>
  <c r="W219" i="6"/>
  <c r="W220" i="6"/>
  <c r="W225" i="6"/>
  <c r="W234" i="6"/>
  <c r="W242" i="6"/>
  <c r="W243" i="6"/>
  <c r="W244" i="6"/>
  <c r="W245" i="6"/>
  <c r="W246" i="6"/>
  <c r="W247" i="6"/>
  <c r="W248" i="6"/>
  <c r="W249" i="6"/>
  <c r="W250" i="6"/>
  <c r="W251" i="6"/>
  <c r="W252" i="6"/>
  <c r="W253" i="6"/>
  <c r="W254" i="6"/>
  <c r="W255" i="6"/>
  <c r="W256" i="6"/>
  <c r="W257" i="6"/>
  <c r="W258" i="6"/>
  <c r="W259" i="6"/>
  <c r="W260" i="6"/>
  <c r="W261" i="6"/>
  <c r="W262" i="6"/>
  <c r="W263" i="6"/>
  <c r="W264" i="6"/>
  <c r="W265" i="6"/>
  <c r="W266" i="6"/>
  <c r="W267" i="6"/>
  <c r="W268" i="6"/>
  <c r="W269" i="6"/>
  <c r="W270" i="6"/>
  <c r="W271" i="6"/>
  <c r="W272" i="6"/>
  <c r="W273" i="6"/>
  <c r="W274" i="6"/>
  <c r="W275" i="6"/>
  <c r="W276" i="6"/>
  <c r="W277" i="6"/>
  <c r="W278" i="6"/>
  <c r="W279" i="6"/>
  <c r="W280" i="6"/>
  <c r="W281" i="6"/>
  <c r="W282" i="6"/>
  <c r="W283" i="6"/>
  <c r="W284" i="6"/>
  <c r="W285" i="6"/>
  <c r="W286" i="6"/>
  <c r="W287" i="6"/>
  <c r="W288" i="6"/>
  <c r="W289" i="6"/>
  <c r="W290" i="6"/>
  <c r="W291" i="6"/>
  <c r="W292" i="6"/>
  <c r="W293" i="6"/>
  <c r="W294" i="6"/>
  <c r="W295" i="6"/>
  <c r="W296" i="6"/>
  <c r="W297" i="6"/>
  <c r="W298" i="6"/>
  <c r="W299" i="6"/>
  <c r="W300" i="6"/>
  <c r="W301" i="6"/>
  <c r="W302" i="6"/>
  <c r="W303" i="6"/>
  <c r="W304" i="6"/>
  <c r="W305" i="6"/>
  <c r="W306" i="6"/>
  <c r="W307" i="6"/>
  <c r="W308" i="6"/>
  <c r="W309" i="6"/>
  <c r="W310" i="6"/>
  <c r="W311" i="6"/>
  <c r="W312" i="6"/>
  <c r="W313" i="6"/>
  <c r="W314" i="6"/>
  <c r="W315" i="6"/>
  <c r="W316" i="6"/>
  <c r="W317" i="6"/>
  <c r="W318" i="6"/>
  <c r="W319" i="6"/>
  <c r="W320" i="6"/>
  <c r="W321" i="6"/>
  <c r="W322" i="6"/>
  <c r="W323" i="6"/>
  <c r="W324" i="6"/>
  <c r="W325" i="6"/>
  <c r="W326" i="6"/>
  <c r="W224" i="6"/>
  <c r="W241" i="6"/>
  <c r="W223" i="6"/>
  <c r="W240" i="6"/>
  <c r="W222" i="6"/>
  <c r="W230" i="6"/>
  <c r="W239" i="6"/>
  <c r="W229" i="6"/>
  <c r="W238" i="6"/>
  <c r="W221" i="6"/>
  <c r="W228" i="6"/>
  <c r="W237" i="6"/>
  <c r="W227" i="6"/>
  <c r="W236" i="6"/>
  <c r="W235" i="6"/>
  <c r="W226" i="6"/>
  <c r="W327" i="6"/>
  <c r="W328" i="6"/>
  <c r="W329" i="6"/>
  <c r="W330" i="6"/>
  <c r="W331" i="6"/>
  <c r="W332" i="6"/>
  <c r="W333" i="6"/>
  <c r="W334" i="6"/>
  <c r="W335" i="6"/>
  <c r="W336" i="6"/>
  <c r="W337" i="6"/>
  <c r="W338" i="6"/>
  <c r="W339" i="6"/>
  <c r="W340" i="6"/>
  <c r="W341" i="6"/>
  <c r="W342" i="6"/>
  <c r="W343" i="6"/>
  <c r="W344" i="6"/>
  <c r="W345" i="6"/>
  <c r="W346" i="6"/>
  <c r="W347" i="6"/>
  <c r="W348" i="6"/>
  <c r="W349" i="6"/>
  <c r="W350" i="6"/>
  <c r="W351" i="6"/>
  <c r="W352" i="6"/>
  <c r="W353" i="6"/>
  <c r="W354" i="6"/>
  <c r="W355" i="6"/>
  <c r="W356" i="6"/>
  <c r="W357" i="6"/>
  <c r="W358" i="6"/>
  <c r="W359" i="6"/>
  <c r="W360" i="6"/>
  <c r="W361" i="6"/>
  <c r="W362" i="6"/>
  <c r="W363" i="6"/>
  <c r="W364" i="6"/>
  <c r="W365" i="6"/>
  <c r="W366" i="6"/>
  <c r="W367" i="6"/>
  <c r="W368" i="6"/>
  <c r="W369" i="6"/>
  <c r="W370" i="6"/>
  <c r="W371" i="6"/>
  <c r="W372" i="6"/>
  <c r="W373" i="6"/>
  <c r="W374" i="6"/>
  <c r="W375" i="6"/>
  <c r="W376" i="6"/>
  <c r="W377" i="6"/>
  <c r="W378" i="6"/>
  <c r="W379" i="6"/>
  <c r="W380" i="6"/>
  <c r="W381" i="6"/>
  <c r="W382" i="6"/>
  <c r="W387" i="6"/>
  <c r="W394" i="6"/>
  <c r="W393" i="6"/>
  <c r="W386" i="6"/>
  <c r="W392" i="6"/>
  <c r="W391" i="6"/>
  <c r="W385" i="6"/>
  <c r="W390" i="6"/>
  <c r="W389" i="6"/>
  <c r="W384" i="6"/>
  <c r="W397" i="6"/>
  <c r="W398" i="6"/>
  <c r="W399" i="6"/>
  <c r="W400" i="6"/>
  <c r="W401" i="6"/>
  <c r="W402" i="6"/>
  <c r="W403" i="6"/>
  <c r="W404" i="6"/>
  <c r="W405" i="6"/>
  <c r="W406" i="6"/>
  <c r="W407" i="6"/>
  <c r="W408" i="6"/>
  <c r="W409" i="6"/>
  <c r="W410" i="6"/>
  <c r="W411" i="6"/>
  <c r="W412" i="6"/>
  <c r="W413" i="6"/>
  <c r="W414" i="6"/>
  <c r="W415" i="6"/>
  <c r="W416" i="6"/>
  <c r="W417" i="6"/>
  <c r="W418" i="6"/>
  <c r="W419" i="6"/>
  <c r="W420" i="6"/>
  <c r="W421" i="6"/>
  <c r="W422" i="6"/>
  <c r="W423" i="6"/>
  <c r="W424" i="6"/>
  <c r="W425" i="6"/>
  <c r="W426" i="6"/>
  <c r="W427" i="6"/>
  <c r="W428" i="6"/>
  <c r="W429" i="6"/>
  <c r="W430" i="6"/>
  <c r="W431" i="6"/>
  <c r="W432" i="6"/>
  <c r="W433" i="6"/>
  <c r="W434" i="6"/>
  <c r="W435" i="6"/>
  <c r="W436" i="6"/>
  <c r="W437" i="6"/>
  <c r="W438" i="6"/>
  <c r="W439" i="6"/>
  <c r="W440" i="6"/>
  <c r="W441" i="6"/>
  <c r="W442" i="6"/>
  <c r="W443" i="6"/>
  <c r="W444" i="6"/>
  <c r="W445" i="6"/>
  <c r="W446" i="6"/>
  <c r="W388" i="6"/>
  <c r="W396" i="6"/>
  <c r="W458" i="6"/>
  <c r="W463" i="6"/>
  <c r="W451" i="6"/>
  <c r="W468" i="6"/>
  <c r="W457" i="6"/>
  <c r="W462" i="6"/>
  <c r="W490" i="6"/>
  <c r="W500" i="6"/>
  <c r="W508" i="6"/>
  <c r="W450" i="6"/>
  <c r="W467" i="6"/>
  <c r="W491" i="6"/>
  <c r="W495" i="6"/>
  <c r="W501" i="6"/>
  <c r="W507" i="6"/>
  <c r="W512" i="6"/>
  <c r="W456" i="6"/>
  <c r="W488" i="6"/>
  <c r="W502" i="6"/>
  <c r="W509" i="6"/>
  <c r="W461" i="6"/>
  <c r="W493" i="6"/>
  <c r="W503" i="6"/>
  <c r="W511" i="6"/>
  <c r="W449" i="6"/>
  <c r="W466" i="6"/>
  <c r="W489" i="6"/>
  <c r="W497" i="6"/>
  <c r="W506" i="6"/>
  <c r="W513" i="6"/>
  <c r="W455" i="6"/>
  <c r="W494" i="6"/>
  <c r="W498" i="6"/>
  <c r="W504" i="6"/>
  <c r="W510" i="6"/>
  <c r="W395" i="6"/>
  <c r="W460" i="6"/>
  <c r="W471" i="6"/>
  <c r="W472" i="6"/>
  <c r="W473" i="6"/>
  <c r="W474" i="6"/>
  <c r="W475" i="6"/>
  <c r="W476" i="6"/>
  <c r="W477" i="6"/>
  <c r="W478" i="6"/>
  <c r="W479" i="6"/>
  <c r="W480" i="6"/>
  <c r="W481" i="6"/>
  <c r="W482" i="6"/>
  <c r="W483" i="6"/>
  <c r="W484" i="6"/>
  <c r="W485" i="6"/>
  <c r="W486" i="6"/>
  <c r="W487" i="6"/>
  <c r="W492" i="6"/>
  <c r="W496" i="6"/>
  <c r="W499" i="6"/>
  <c r="W505" i="6"/>
  <c r="W448" i="6"/>
  <c r="W465" i="6"/>
  <c r="W453" i="6"/>
  <c r="W470" i="6"/>
  <c r="W459" i="6"/>
  <c r="W447" i="6"/>
  <c r="W464" i="6"/>
  <c r="W452" i="6"/>
  <c r="W469" i="6"/>
  <c r="W13" i="6"/>
  <c r="W14" i="6"/>
  <c r="W12" i="6"/>
  <c r="W8" i="6"/>
  <c r="V5" i="6"/>
  <c r="X7" i="6"/>
  <c r="W10" i="6"/>
  <c r="W9" i="6"/>
  <c r="W11" i="6"/>
  <c r="X454" i="6" l="1"/>
  <c r="X383" i="6"/>
  <c r="X231" i="6"/>
  <c r="X233" i="6"/>
  <c r="X232" i="6"/>
  <c r="X15" i="6"/>
  <c r="X16" i="6"/>
  <c r="X17" i="6"/>
  <c r="X18" i="6"/>
  <c r="X19" i="6"/>
  <c r="X20" i="6"/>
  <c r="X21" i="6"/>
  <c r="X22" i="6"/>
  <c r="X23" i="6"/>
  <c r="X24" i="6"/>
  <c r="X25" i="6"/>
  <c r="X26" i="6"/>
  <c r="X27" i="6"/>
  <c r="X28" i="6"/>
  <c r="X29" i="6"/>
  <c r="X30" i="6"/>
  <c r="X31" i="6"/>
  <c r="X32" i="6"/>
  <c r="X33" i="6"/>
  <c r="X34" i="6"/>
  <c r="X35" i="6"/>
  <c r="X36" i="6"/>
  <c r="X37" i="6"/>
  <c r="X38" i="6"/>
  <c r="X39" i="6"/>
  <c r="X40" i="6"/>
  <c r="X41" i="6"/>
  <c r="X42" i="6"/>
  <c r="X43" i="6"/>
  <c r="X44" i="6"/>
  <c r="X45" i="6"/>
  <c r="X46" i="6"/>
  <c r="X47" i="6"/>
  <c r="X48" i="6"/>
  <c r="X49" i="6"/>
  <c r="X50" i="6"/>
  <c r="X51" i="6"/>
  <c r="X52" i="6"/>
  <c r="X53" i="6"/>
  <c r="X54" i="6"/>
  <c r="X55" i="6"/>
  <c r="X56" i="6"/>
  <c r="X57" i="6"/>
  <c r="X58" i="6"/>
  <c r="X59" i="6"/>
  <c r="X60" i="6"/>
  <c r="X61" i="6"/>
  <c r="X62" i="6"/>
  <c r="X63" i="6"/>
  <c r="X64" i="6"/>
  <c r="X65" i="6"/>
  <c r="X66" i="6"/>
  <c r="X67" i="6"/>
  <c r="X68" i="6"/>
  <c r="X69" i="6"/>
  <c r="X70" i="6"/>
  <c r="X71" i="6"/>
  <c r="X72" i="6"/>
  <c r="X73" i="6"/>
  <c r="X74" i="6"/>
  <c r="X75" i="6"/>
  <c r="X76" i="6"/>
  <c r="X77" i="6"/>
  <c r="X78" i="6"/>
  <c r="X79" i="6"/>
  <c r="X80" i="6"/>
  <c r="X81" i="6"/>
  <c r="X82" i="6"/>
  <c r="X83" i="6"/>
  <c r="X84" i="6"/>
  <c r="X85" i="6"/>
  <c r="X86" i="6"/>
  <c r="X87" i="6"/>
  <c r="X88" i="6"/>
  <c r="X89" i="6"/>
  <c r="X90" i="6"/>
  <c r="X91" i="6"/>
  <c r="X92" i="6"/>
  <c r="X93" i="6"/>
  <c r="X94" i="6"/>
  <c r="X95" i="6"/>
  <c r="X96" i="6"/>
  <c r="X97" i="6"/>
  <c r="X98" i="6"/>
  <c r="X99" i="6"/>
  <c r="X100" i="6"/>
  <c r="X101" i="6"/>
  <c r="X102" i="6"/>
  <c r="X103" i="6"/>
  <c r="X104" i="6"/>
  <c r="X105" i="6"/>
  <c r="X106" i="6"/>
  <c r="X107" i="6"/>
  <c r="X108" i="6"/>
  <c r="X109" i="6"/>
  <c r="X110" i="6"/>
  <c r="X111" i="6"/>
  <c r="X112" i="6"/>
  <c r="X113" i="6"/>
  <c r="X114" i="6"/>
  <c r="X115" i="6"/>
  <c r="X116" i="6"/>
  <c r="X117" i="6"/>
  <c r="X118" i="6"/>
  <c r="X119" i="6"/>
  <c r="X120" i="6"/>
  <c r="X121" i="6"/>
  <c r="X122" i="6"/>
  <c r="X123" i="6"/>
  <c r="X124" i="6"/>
  <c r="X125" i="6"/>
  <c r="X126" i="6"/>
  <c r="X127" i="6"/>
  <c r="X128" i="6"/>
  <c r="X129" i="6"/>
  <c r="X130" i="6"/>
  <c r="X131" i="6"/>
  <c r="X132" i="6"/>
  <c r="X133" i="6"/>
  <c r="X134" i="6"/>
  <c r="X135" i="6"/>
  <c r="X136" i="6"/>
  <c r="X137" i="6"/>
  <c r="X138" i="6"/>
  <c r="X139" i="6"/>
  <c r="X140" i="6"/>
  <c r="X141" i="6"/>
  <c r="X142" i="6"/>
  <c r="X143" i="6"/>
  <c r="X144" i="6"/>
  <c r="X145" i="6"/>
  <c r="X146" i="6"/>
  <c r="X147" i="6"/>
  <c r="X148" i="6"/>
  <c r="X149" i="6"/>
  <c r="X150" i="6"/>
  <c r="X151" i="6"/>
  <c r="X152" i="6"/>
  <c r="X153" i="6"/>
  <c r="X154" i="6"/>
  <c r="X155" i="6"/>
  <c r="X156" i="6"/>
  <c r="X157" i="6"/>
  <c r="X158" i="6"/>
  <c r="X159" i="6"/>
  <c r="X160" i="6"/>
  <c r="X161" i="6"/>
  <c r="X162" i="6"/>
  <c r="X163" i="6"/>
  <c r="X164" i="6"/>
  <c r="X165" i="6"/>
  <c r="X166" i="6"/>
  <c r="X167" i="6"/>
  <c r="X168" i="6"/>
  <c r="X169" i="6"/>
  <c r="X170" i="6"/>
  <c r="X171" i="6"/>
  <c r="X172" i="6"/>
  <c r="X174" i="6"/>
  <c r="X175" i="6"/>
  <c r="X176" i="6"/>
  <c r="X177" i="6"/>
  <c r="X178" i="6"/>
  <c r="X179" i="6"/>
  <c r="X180" i="6"/>
  <c r="X181" i="6"/>
  <c r="X182" i="6"/>
  <c r="X183" i="6"/>
  <c r="X184" i="6"/>
  <c r="X185" i="6"/>
  <c r="X186" i="6"/>
  <c r="X187" i="6"/>
  <c r="X188" i="6"/>
  <c r="X189" i="6"/>
  <c r="X190" i="6"/>
  <c r="X191" i="6"/>
  <c r="X192" i="6"/>
  <c r="X193" i="6"/>
  <c r="X194" i="6"/>
  <c r="X195" i="6"/>
  <c r="X196" i="6"/>
  <c r="X197" i="6"/>
  <c r="X198" i="6"/>
  <c r="X199" i="6"/>
  <c r="X200" i="6"/>
  <c r="X201" i="6"/>
  <c r="X202" i="6"/>
  <c r="X203" i="6"/>
  <c r="X204" i="6"/>
  <c r="X205" i="6"/>
  <c r="X206" i="6"/>
  <c r="X207" i="6"/>
  <c r="X208" i="6"/>
  <c r="X209" i="6"/>
  <c r="X210" i="6"/>
  <c r="X211" i="6"/>
  <c r="X212" i="6"/>
  <c r="X213" i="6"/>
  <c r="X214" i="6"/>
  <c r="X215" i="6"/>
  <c r="X216" i="6"/>
  <c r="X217" i="6"/>
  <c r="X218" i="6"/>
  <c r="X219" i="6"/>
  <c r="X220" i="6"/>
  <c r="X221" i="6"/>
  <c r="X222" i="6"/>
  <c r="X223" i="6"/>
  <c r="X224" i="6"/>
  <c r="X225" i="6"/>
  <c r="X226" i="6"/>
  <c r="X227" i="6"/>
  <c r="X228" i="6"/>
  <c r="X229" i="6"/>
  <c r="X230" i="6"/>
  <c r="X234" i="6"/>
  <c r="X235" i="6"/>
  <c r="X236" i="6"/>
  <c r="X237" i="6"/>
  <c r="X238" i="6"/>
  <c r="X239" i="6"/>
  <c r="X240" i="6"/>
  <c r="X241" i="6"/>
  <c r="X242" i="6"/>
  <c r="X243" i="6"/>
  <c r="X244" i="6"/>
  <c r="X245" i="6"/>
  <c r="X246" i="6"/>
  <c r="X247" i="6"/>
  <c r="X248" i="6"/>
  <c r="X249" i="6"/>
  <c r="X250" i="6"/>
  <c r="X251" i="6"/>
  <c r="X252" i="6"/>
  <c r="X253" i="6"/>
  <c r="X254" i="6"/>
  <c r="X255" i="6"/>
  <c r="X256" i="6"/>
  <c r="X257" i="6"/>
  <c r="X258" i="6"/>
  <c r="X259" i="6"/>
  <c r="X260" i="6"/>
  <c r="X261" i="6"/>
  <c r="X262" i="6"/>
  <c r="X263" i="6"/>
  <c r="X264" i="6"/>
  <c r="X265" i="6"/>
  <c r="X266" i="6"/>
  <c r="X267" i="6"/>
  <c r="X268" i="6"/>
  <c r="X269" i="6"/>
  <c r="X270" i="6"/>
  <c r="X271" i="6"/>
  <c r="X272" i="6"/>
  <c r="X273" i="6"/>
  <c r="X274" i="6"/>
  <c r="X275" i="6"/>
  <c r="X276" i="6"/>
  <c r="X277" i="6"/>
  <c r="X278" i="6"/>
  <c r="X279" i="6"/>
  <c r="X280" i="6"/>
  <c r="X281" i="6"/>
  <c r="X282" i="6"/>
  <c r="X283" i="6"/>
  <c r="X284" i="6"/>
  <c r="X285" i="6"/>
  <c r="X286" i="6"/>
  <c r="X287" i="6"/>
  <c r="X288" i="6"/>
  <c r="X289" i="6"/>
  <c r="X290" i="6"/>
  <c r="X291" i="6"/>
  <c r="X292" i="6"/>
  <c r="X293" i="6"/>
  <c r="X294" i="6"/>
  <c r="X295" i="6"/>
  <c r="X296" i="6"/>
  <c r="X297" i="6"/>
  <c r="X298" i="6"/>
  <c r="X299" i="6"/>
  <c r="X300" i="6"/>
  <c r="X301" i="6"/>
  <c r="X302" i="6"/>
  <c r="X303" i="6"/>
  <c r="X304" i="6"/>
  <c r="X305" i="6"/>
  <c r="X306" i="6"/>
  <c r="X309" i="6"/>
  <c r="X313" i="6"/>
  <c r="X317" i="6"/>
  <c r="X321" i="6"/>
  <c r="X325" i="6"/>
  <c r="X308" i="6"/>
  <c r="X312" i="6"/>
  <c r="X316" i="6"/>
  <c r="X320" i="6"/>
  <c r="X324" i="6"/>
  <c r="X307" i="6"/>
  <c r="X311" i="6"/>
  <c r="X315" i="6"/>
  <c r="X319" i="6"/>
  <c r="X323" i="6"/>
  <c r="X327" i="6"/>
  <c r="X328" i="6"/>
  <c r="X329" i="6"/>
  <c r="X330" i="6"/>
  <c r="X331" i="6"/>
  <c r="X332" i="6"/>
  <c r="X333" i="6"/>
  <c r="X334" i="6"/>
  <c r="X335" i="6"/>
  <c r="X336" i="6"/>
  <c r="X337" i="6"/>
  <c r="X338" i="6"/>
  <c r="X339" i="6"/>
  <c r="X340" i="6"/>
  <c r="X341" i="6"/>
  <c r="X342" i="6"/>
  <c r="X343" i="6"/>
  <c r="X344" i="6"/>
  <c r="X345" i="6"/>
  <c r="X346" i="6"/>
  <c r="X347" i="6"/>
  <c r="X348" i="6"/>
  <c r="X349" i="6"/>
  <c r="X350" i="6"/>
  <c r="X351" i="6"/>
  <c r="X352" i="6"/>
  <c r="X353" i="6"/>
  <c r="X354" i="6"/>
  <c r="X355" i="6"/>
  <c r="X356" i="6"/>
  <c r="X357" i="6"/>
  <c r="X358" i="6"/>
  <c r="X359" i="6"/>
  <c r="X360" i="6"/>
  <c r="X361" i="6"/>
  <c r="X362" i="6"/>
  <c r="X363" i="6"/>
  <c r="X364" i="6"/>
  <c r="X365" i="6"/>
  <c r="X366" i="6"/>
  <c r="X367" i="6"/>
  <c r="X368" i="6"/>
  <c r="X369" i="6"/>
  <c r="X370" i="6"/>
  <c r="X371" i="6"/>
  <c r="X372" i="6"/>
  <c r="X373" i="6"/>
  <c r="X374" i="6"/>
  <c r="X375" i="6"/>
  <c r="X376" i="6"/>
  <c r="X377" i="6"/>
  <c r="X378" i="6"/>
  <c r="X379" i="6"/>
  <c r="X380" i="6"/>
  <c r="X381" i="6"/>
  <c r="X382" i="6"/>
  <c r="X384" i="6"/>
  <c r="X385" i="6"/>
  <c r="X386" i="6"/>
  <c r="X387" i="6"/>
  <c r="X388" i="6"/>
  <c r="X310" i="6"/>
  <c r="X314" i="6"/>
  <c r="X318" i="6"/>
  <c r="X322" i="6"/>
  <c r="X326" i="6"/>
  <c r="X394" i="6"/>
  <c r="X393" i="6"/>
  <c r="X392" i="6"/>
  <c r="X391" i="6"/>
  <c r="X390" i="6"/>
  <c r="X389" i="6"/>
  <c r="X397" i="6"/>
  <c r="X398" i="6"/>
  <c r="X399" i="6"/>
  <c r="X400" i="6"/>
  <c r="X401" i="6"/>
  <c r="X402" i="6"/>
  <c r="X403" i="6"/>
  <c r="X404" i="6"/>
  <c r="X405" i="6"/>
  <c r="X406" i="6"/>
  <c r="X407" i="6"/>
  <c r="X408" i="6"/>
  <c r="X409" i="6"/>
  <c r="X410" i="6"/>
  <c r="X411" i="6"/>
  <c r="X412" i="6"/>
  <c r="X413" i="6"/>
  <c r="X414" i="6"/>
  <c r="X415" i="6"/>
  <c r="X416" i="6"/>
  <c r="X417" i="6"/>
  <c r="X418" i="6"/>
  <c r="X419" i="6"/>
  <c r="X420" i="6"/>
  <c r="X421" i="6"/>
  <c r="X422" i="6"/>
  <c r="X423" i="6"/>
  <c r="X424" i="6"/>
  <c r="X425" i="6"/>
  <c r="X426" i="6"/>
  <c r="X427" i="6"/>
  <c r="X428" i="6"/>
  <c r="X429" i="6"/>
  <c r="X430" i="6"/>
  <c r="X431" i="6"/>
  <c r="X432" i="6"/>
  <c r="X433" i="6"/>
  <c r="X434" i="6"/>
  <c r="X435" i="6"/>
  <c r="X436" i="6"/>
  <c r="X437" i="6"/>
  <c r="X438" i="6"/>
  <c r="X439" i="6"/>
  <c r="X440" i="6"/>
  <c r="X441" i="6"/>
  <c r="X442" i="6"/>
  <c r="X443" i="6"/>
  <c r="X444" i="6"/>
  <c r="X445" i="6"/>
  <c r="X446" i="6"/>
  <c r="X447" i="6"/>
  <c r="X448" i="6"/>
  <c r="X449" i="6"/>
  <c r="X450" i="6"/>
  <c r="X451" i="6"/>
  <c r="X452" i="6"/>
  <c r="X453" i="6"/>
  <c r="X455" i="6"/>
  <c r="X456" i="6"/>
  <c r="X457" i="6"/>
  <c r="X458" i="6"/>
  <c r="X459" i="6"/>
  <c r="X460" i="6"/>
  <c r="X461" i="6"/>
  <c r="X462" i="6"/>
  <c r="X463" i="6"/>
  <c r="X464" i="6"/>
  <c r="X465" i="6"/>
  <c r="X466" i="6"/>
  <c r="X467" i="6"/>
  <c r="X468" i="6"/>
  <c r="X469" i="6"/>
  <c r="X396" i="6"/>
  <c r="X500" i="6"/>
  <c r="X507" i="6"/>
  <c r="X499" i="6"/>
  <c r="X509" i="6"/>
  <c r="X498" i="6"/>
  <c r="X506" i="6"/>
  <c r="X505" i="6"/>
  <c r="X512" i="6"/>
  <c r="X501" i="6"/>
  <c r="X508" i="6"/>
  <c r="X502" i="6"/>
  <c r="X513" i="6"/>
  <c r="X503" i="6"/>
  <c r="X511" i="6"/>
  <c r="X395" i="6"/>
  <c r="X471" i="6"/>
  <c r="X472" i="6"/>
  <c r="X473" i="6"/>
  <c r="X474" i="6"/>
  <c r="X475" i="6"/>
  <c r="X476" i="6"/>
  <c r="X477" i="6"/>
  <c r="X478" i="6"/>
  <c r="X479" i="6"/>
  <c r="X480" i="6"/>
  <c r="X481" i="6"/>
  <c r="X482" i="6"/>
  <c r="X483" i="6"/>
  <c r="X484" i="6"/>
  <c r="X485" i="6"/>
  <c r="X486" i="6"/>
  <c r="X487" i="6"/>
  <c r="X488" i="6"/>
  <c r="X489" i="6"/>
  <c r="X490" i="6"/>
  <c r="X491" i="6"/>
  <c r="X492" i="6"/>
  <c r="X493" i="6"/>
  <c r="X494" i="6"/>
  <c r="X495" i="6"/>
  <c r="X496" i="6"/>
  <c r="X497" i="6"/>
  <c r="X504" i="6"/>
  <c r="X510" i="6"/>
  <c r="X470" i="6"/>
  <c r="X13" i="6"/>
  <c r="X14" i="6"/>
  <c r="W5" i="6"/>
  <c r="X10" i="6"/>
  <c r="Y7" i="6"/>
  <c r="X9" i="6"/>
  <c r="X11" i="6"/>
  <c r="X12" i="6"/>
  <c r="X8" i="6"/>
  <c r="Y454" i="6" l="1"/>
  <c r="Y383" i="6"/>
  <c r="Y232" i="6"/>
  <c r="Y231" i="6"/>
  <c r="Y233" i="6"/>
  <c r="Y15" i="6"/>
  <c r="Y16" i="6"/>
  <c r="Y17" i="6"/>
  <c r="Y18" i="6"/>
  <c r="Y19" i="6"/>
  <c r="Y20" i="6"/>
  <c r="Y21" i="6"/>
  <c r="Y22" i="6"/>
  <c r="Y23" i="6"/>
  <c r="Y24" i="6"/>
  <c r="Y25" i="6"/>
  <c r="Y26" i="6"/>
  <c r="Y27" i="6"/>
  <c r="Y28" i="6"/>
  <c r="Y29" i="6"/>
  <c r="Y30" i="6"/>
  <c r="Y31" i="6"/>
  <c r="Y32" i="6"/>
  <c r="Y33" i="6"/>
  <c r="Y34" i="6"/>
  <c r="Y35" i="6"/>
  <c r="Y36" i="6"/>
  <c r="Y37" i="6"/>
  <c r="Y38" i="6"/>
  <c r="Y39" i="6"/>
  <c r="Y40" i="6"/>
  <c r="Y41" i="6"/>
  <c r="Y42" i="6"/>
  <c r="Y43" i="6"/>
  <c r="Y44" i="6"/>
  <c r="Y45" i="6"/>
  <c r="Y46" i="6"/>
  <c r="Y47" i="6"/>
  <c r="Y48" i="6"/>
  <c r="Y49" i="6"/>
  <c r="Y50" i="6"/>
  <c r="Y51" i="6"/>
  <c r="Y52" i="6"/>
  <c r="Y53" i="6"/>
  <c r="Y54" i="6"/>
  <c r="Y55" i="6"/>
  <c r="Y56" i="6"/>
  <c r="Y57" i="6"/>
  <c r="Y58" i="6"/>
  <c r="Y59" i="6"/>
  <c r="Y60" i="6"/>
  <c r="Y61" i="6"/>
  <c r="Y62" i="6"/>
  <c r="Y63" i="6"/>
  <c r="Y64" i="6"/>
  <c r="Y65" i="6"/>
  <c r="Y66" i="6"/>
  <c r="Y67" i="6"/>
  <c r="Y68" i="6"/>
  <c r="Y69" i="6"/>
  <c r="Y70" i="6"/>
  <c r="Y71" i="6"/>
  <c r="Y72" i="6"/>
  <c r="Y73" i="6"/>
  <c r="Y74" i="6"/>
  <c r="Y75" i="6"/>
  <c r="Y76" i="6"/>
  <c r="Y77" i="6"/>
  <c r="Y78" i="6"/>
  <c r="Y79" i="6"/>
  <c r="Y80" i="6"/>
  <c r="Y81" i="6"/>
  <c r="Y82" i="6"/>
  <c r="Y83" i="6"/>
  <c r="Y84" i="6"/>
  <c r="Y85" i="6"/>
  <c r="Y86" i="6"/>
  <c r="Y87" i="6"/>
  <c r="Y88" i="6"/>
  <c r="Y89" i="6"/>
  <c r="Y90" i="6"/>
  <c r="Y91" i="6"/>
  <c r="Y92" i="6"/>
  <c r="Y93" i="6"/>
  <c r="Y94" i="6"/>
  <c r="Y95" i="6"/>
  <c r="Y96" i="6"/>
  <c r="Y97" i="6"/>
  <c r="Y98" i="6"/>
  <c r="Y99" i="6"/>
  <c r="Y100" i="6"/>
  <c r="Y101" i="6"/>
  <c r="Y102" i="6"/>
  <c r="Y103" i="6"/>
  <c r="Y104" i="6"/>
  <c r="Y105" i="6"/>
  <c r="Y106" i="6"/>
  <c r="Y107" i="6"/>
  <c r="Y108" i="6"/>
  <c r="Y109" i="6"/>
  <c r="Y110" i="6"/>
  <c r="Y111" i="6"/>
  <c r="Y112" i="6"/>
  <c r="Y113" i="6"/>
  <c r="Y114" i="6"/>
  <c r="Y115" i="6"/>
  <c r="Y116" i="6"/>
  <c r="Y117" i="6"/>
  <c r="Y118" i="6"/>
  <c r="Y119" i="6"/>
  <c r="Y120" i="6"/>
  <c r="Y121" i="6"/>
  <c r="Y122" i="6"/>
  <c r="Y123" i="6"/>
  <c r="Y124" i="6"/>
  <c r="Y125" i="6"/>
  <c r="Y126" i="6"/>
  <c r="Y127" i="6"/>
  <c r="Y128" i="6"/>
  <c r="Y129" i="6"/>
  <c r="Y130" i="6"/>
  <c r="Y131" i="6"/>
  <c r="Y132" i="6"/>
  <c r="Y144" i="6"/>
  <c r="Y145" i="6"/>
  <c r="Y146" i="6"/>
  <c r="Y147" i="6"/>
  <c r="Y148" i="6"/>
  <c r="Y149" i="6"/>
  <c r="Y150" i="6"/>
  <c r="Y151" i="6"/>
  <c r="Y152" i="6"/>
  <c r="Y153" i="6"/>
  <c r="Y154" i="6"/>
  <c r="Y155" i="6"/>
  <c r="Y156" i="6"/>
  <c r="Y157" i="6"/>
  <c r="Y158" i="6"/>
  <c r="Y159" i="6"/>
  <c r="Y160" i="6"/>
  <c r="Y161" i="6"/>
  <c r="Y162" i="6"/>
  <c r="Y163" i="6"/>
  <c r="Y164" i="6"/>
  <c r="Y165" i="6"/>
  <c r="Y166" i="6"/>
  <c r="Y167" i="6"/>
  <c r="Y168" i="6"/>
  <c r="Y169" i="6"/>
  <c r="Y170" i="6"/>
  <c r="Y171" i="6"/>
  <c r="Y172" i="6"/>
  <c r="Y174" i="6"/>
  <c r="Y175" i="6"/>
  <c r="Y176" i="6"/>
  <c r="Y177" i="6"/>
  <c r="Y178" i="6"/>
  <c r="Y179" i="6"/>
  <c r="Y180" i="6"/>
  <c r="Y181" i="6"/>
  <c r="Y182" i="6"/>
  <c r="Y183" i="6"/>
  <c r="Y184" i="6"/>
  <c r="Y185" i="6"/>
  <c r="Y186" i="6"/>
  <c r="Y187" i="6"/>
  <c r="Y188" i="6"/>
  <c r="Y189" i="6"/>
  <c r="Y190" i="6"/>
  <c r="Y191" i="6"/>
  <c r="Y192" i="6"/>
  <c r="Y193" i="6"/>
  <c r="Y194" i="6"/>
  <c r="Y195" i="6"/>
  <c r="Y196" i="6"/>
  <c r="Y197" i="6"/>
  <c r="Y198" i="6"/>
  <c r="Y199" i="6"/>
  <c r="Y200" i="6"/>
  <c r="Y201" i="6"/>
  <c r="Y202" i="6"/>
  <c r="Y203" i="6"/>
  <c r="Y204" i="6"/>
  <c r="Y205" i="6"/>
  <c r="Y206" i="6"/>
  <c r="Y207" i="6"/>
  <c r="Y208" i="6"/>
  <c r="Y209" i="6"/>
  <c r="Y210" i="6"/>
  <c r="Y211" i="6"/>
  <c r="Y212" i="6"/>
  <c r="Y213" i="6"/>
  <c r="Y214" i="6"/>
  <c r="Y215" i="6"/>
  <c r="Y216" i="6"/>
  <c r="Y217" i="6"/>
  <c r="Y218" i="6"/>
  <c r="Y219" i="6"/>
  <c r="Y220" i="6"/>
  <c r="Y221" i="6"/>
  <c r="Y222" i="6"/>
  <c r="Y223" i="6"/>
  <c r="Y224" i="6"/>
  <c r="Y225" i="6"/>
  <c r="Y226" i="6"/>
  <c r="Y227" i="6"/>
  <c r="Y228" i="6"/>
  <c r="Y229" i="6"/>
  <c r="Y230" i="6"/>
  <c r="Y234" i="6"/>
  <c r="Y235" i="6"/>
  <c r="Y236" i="6"/>
  <c r="Y237" i="6"/>
  <c r="Y238" i="6"/>
  <c r="Y239" i="6"/>
  <c r="Y240" i="6"/>
  <c r="Y241" i="6"/>
  <c r="Y136" i="6"/>
  <c r="Y143" i="6"/>
  <c r="Y142" i="6"/>
  <c r="Y135" i="6"/>
  <c r="Y141" i="6"/>
  <c r="Y140" i="6"/>
  <c r="Y134" i="6"/>
  <c r="Y139" i="6"/>
  <c r="Y138" i="6"/>
  <c r="Y137" i="6"/>
  <c r="Y242" i="6"/>
  <c r="Y243" i="6"/>
  <c r="Y244" i="6"/>
  <c r="Y245" i="6"/>
  <c r="Y246" i="6"/>
  <c r="Y247" i="6"/>
  <c r="Y248" i="6"/>
  <c r="Y249" i="6"/>
  <c r="Y250" i="6"/>
  <c r="Y251" i="6"/>
  <c r="Y252" i="6"/>
  <c r="Y253" i="6"/>
  <c r="Y254" i="6"/>
  <c r="Y255" i="6"/>
  <c r="Y256" i="6"/>
  <c r="Y257" i="6"/>
  <c r="Y258" i="6"/>
  <c r="Y259" i="6"/>
  <c r="Y260" i="6"/>
  <c r="Y261" i="6"/>
  <c r="Y262" i="6"/>
  <c r="Y263" i="6"/>
  <c r="Y264" i="6"/>
  <c r="Y265" i="6"/>
  <c r="Y266" i="6"/>
  <c r="Y267" i="6"/>
  <c r="Y268" i="6"/>
  <c r="Y269" i="6"/>
  <c r="Y270" i="6"/>
  <c r="Y271" i="6"/>
  <c r="Y272" i="6"/>
  <c r="Y273" i="6"/>
  <c r="Y274" i="6"/>
  <c r="Y275" i="6"/>
  <c r="Y276" i="6"/>
  <c r="Y277" i="6"/>
  <c r="Y278" i="6"/>
  <c r="Y279" i="6"/>
  <c r="Y280" i="6"/>
  <c r="Y281" i="6"/>
  <c r="Y282" i="6"/>
  <c r="Y283" i="6"/>
  <c r="Y284" i="6"/>
  <c r="Y285" i="6"/>
  <c r="Y286" i="6"/>
  <c r="Y287" i="6"/>
  <c r="Y288" i="6"/>
  <c r="Y289" i="6"/>
  <c r="Y290" i="6"/>
  <c r="Y291" i="6"/>
  <c r="Y292" i="6"/>
  <c r="Y293" i="6"/>
  <c r="Y294" i="6"/>
  <c r="Y295" i="6"/>
  <c r="Y296" i="6"/>
  <c r="Y297" i="6"/>
  <c r="Y298" i="6"/>
  <c r="Y299" i="6"/>
  <c r="Y300" i="6"/>
  <c r="Y301" i="6"/>
  <c r="Y302" i="6"/>
  <c r="Y303" i="6"/>
  <c r="Y304" i="6"/>
  <c r="Y305" i="6"/>
  <c r="Y306" i="6"/>
  <c r="Y133" i="6"/>
  <c r="Y309" i="6"/>
  <c r="Y313" i="6"/>
  <c r="Y317" i="6"/>
  <c r="Y321" i="6"/>
  <c r="Y325" i="6"/>
  <c r="Y308" i="6"/>
  <c r="Y312" i="6"/>
  <c r="Y316" i="6"/>
  <c r="Y320" i="6"/>
  <c r="Y324" i="6"/>
  <c r="Y307" i="6"/>
  <c r="Y311" i="6"/>
  <c r="Y315" i="6"/>
  <c r="Y319" i="6"/>
  <c r="Y323" i="6"/>
  <c r="Y327" i="6"/>
  <c r="Y328" i="6"/>
  <c r="Y329" i="6"/>
  <c r="Y330" i="6"/>
  <c r="Y331" i="6"/>
  <c r="Y332" i="6"/>
  <c r="Y333" i="6"/>
  <c r="Y334" i="6"/>
  <c r="Y335" i="6"/>
  <c r="Y336" i="6"/>
  <c r="Y337" i="6"/>
  <c r="Y338" i="6"/>
  <c r="Y339" i="6"/>
  <c r="Y340" i="6"/>
  <c r="Y341" i="6"/>
  <c r="Y342" i="6"/>
  <c r="Y343" i="6"/>
  <c r="Y344" i="6"/>
  <c r="Y345" i="6"/>
  <c r="Y346" i="6"/>
  <c r="Y347" i="6"/>
  <c r="Y348" i="6"/>
  <c r="Y349" i="6"/>
  <c r="Y350" i="6"/>
  <c r="Y351" i="6"/>
  <c r="Y352" i="6"/>
  <c r="Y353" i="6"/>
  <c r="Y354" i="6"/>
  <c r="Y355" i="6"/>
  <c r="Y356" i="6"/>
  <c r="Y357" i="6"/>
  <c r="Y358" i="6"/>
  <c r="Y359" i="6"/>
  <c r="Y360" i="6"/>
  <c r="Y361" i="6"/>
  <c r="Y362" i="6"/>
  <c r="Y363" i="6"/>
  <c r="Y364" i="6"/>
  <c r="Y365" i="6"/>
  <c r="Y366" i="6"/>
  <c r="Y367" i="6"/>
  <c r="Y368" i="6"/>
  <c r="Y369" i="6"/>
  <c r="Y370" i="6"/>
  <c r="Y371" i="6"/>
  <c r="Y372" i="6"/>
  <c r="Y373" i="6"/>
  <c r="Y374" i="6"/>
  <c r="Y375" i="6"/>
  <c r="Y376" i="6"/>
  <c r="Y377" i="6"/>
  <c r="Y378" i="6"/>
  <c r="Y379" i="6"/>
  <c r="Y380" i="6"/>
  <c r="Y395" i="6"/>
  <c r="Y382" i="6"/>
  <c r="Y387" i="6"/>
  <c r="Y394" i="6"/>
  <c r="Y393" i="6"/>
  <c r="Y381" i="6"/>
  <c r="Y386" i="6"/>
  <c r="Y326" i="6"/>
  <c r="Y392" i="6"/>
  <c r="Y322" i="6"/>
  <c r="Y318" i="6"/>
  <c r="Y391" i="6"/>
  <c r="Y314" i="6"/>
  <c r="Y385" i="6"/>
  <c r="Y310" i="6"/>
  <c r="Y390" i="6"/>
  <c r="Y389" i="6"/>
  <c r="Y384" i="6"/>
  <c r="Y401" i="6"/>
  <c r="Y417" i="6"/>
  <c r="Y433" i="6"/>
  <c r="Y452" i="6"/>
  <c r="Y469" i="6"/>
  <c r="Y410" i="6"/>
  <c r="Y426" i="6"/>
  <c r="Y440" i="6"/>
  <c r="Y443" i="6"/>
  <c r="Y458" i="6"/>
  <c r="Y403" i="6"/>
  <c r="Y419" i="6"/>
  <c r="Y435" i="6"/>
  <c r="Y446" i="6"/>
  <c r="Y463" i="6"/>
  <c r="Y412" i="6"/>
  <c r="Y428" i="6"/>
  <c r="Y451" i="6"/>
  <c r="Y468" i="6"/>
  <c r="Y388" i="6"/>
  <c r="Y396" i="6"/>
  <c r="Y405" i="6"/>
  <c r="Y421" i="6"/>
  <c r="Y437" i="6"/>
  <c r="Y457" i="6"/>
  <c r="Y500" i="6"/>
  <c r="Y503" i="6"/>
  <c r="Y512" i="6"/>
  <c r="Y398" i="6"/>
  <c r="Y414" i="6"/>
  <c r="Y430" i="6"/>
  <c r="Y462" i="6"/>
  <c r="Y498" i="6"/>
  <c r="Y506" i="6"/>
  <c r="Y407" i="6"/>
  <c r="Y423" i="6"/>
  <c r="Y442" i="6"/>
  <c r="Y450" i="6"/>
  <c r="Y467" i="6"/>
  <c r="Y499" i="6"/>
  <c r="Y504" i="6"/>
  <c r="Y400" i="6"/>
  <c r="Y416" i="6"/>
  <c r="Y432" i="6"/>
  <c r="Y439" i="6"/>
  <c r="Y445" i="6"/>
  <c r="Y456" i="6"/>
  <c r="Y493" i="6"/>
  <c r="Y509" i="6"/>
  <c r="Y409" i="6"/>
  <c r="Y425" i="6"/>
  <c r="Y461" i="6"/>
  <c r="Y497" i="6"/>
  <c r="Y505" i="6"/>
  <c r="Y402" i="6"/>
  <c r="Y418" i="6"/>
  <c r="Y434" i="6"/>
  <c r="Y449" i="6"/>
  <c r="Y466" i="6"/>
  <c r="Y496" i="6"/>
  <c r="Y508" i="6"/>
  <c r="Y411" i="6"/>
  <c r="Y427" i="6"/>
  <c r="Y455" i="6"/>
  <c r="Y495" i="6"/>
  <c r="Y507" i="6"/>
  <c r="Y404" i="6"/>
  <c r="Y420" i="6"/>
  <c r="Y436" i="6"/>
  <c r="Y441" i="6"/>
  <c r="Y460" i="6"/>
  <c r="Y501" i="6"/>
  <c r="Y510" i="6"/>
  <c r="Y513" i="6"/>
  <c r="Y397" i="6"/>
  <c r="Y413" i="6"/>
  <c r="Y429" i="6"/>
  <c r="Y444" i="6"/>
  <c r="Y448" i="6"/>
  <c r="Y465" i="6"/>
  <c r="Y471" i="6"/>
  <c r="Y472" i="6"/>
  <c r="Y473" i="6"/>
  <c r="Y474" i="6"/>
  <c r="Y475" i="6"/>
  <c r="Y476" i="6"/>
  <c r="Y477" i="6"/>
  <c r="Y478" i="6"/>
  <c r="Y479" i="6"/>
  <c r="Y480" i="6"/>
  <c r="Y481" i="6"/>
  <c r="Y482" i="6"/>
  <c r="Y483" i="6"/>
  <c r="Y484" i="6"/>
  <c r="Y485" i="6"/>
  <c r="Y486" i="6"/>
  <c r="Y487" i="6"/>
  <c r="Y488" i="6"/>
  <c r="Y489" i="6"/>
  <c r="Y490" i="6"/>
  <c r="Y491" i="6"/>
  <c r="Y492" i="6"/>
  <c r="Y494" i="6"/>
  <c r="Y502" i="6"/>
  <c r="Y511" i="6"/>
  <c r="Y424" i="6"/>
  <c r="Y406" i="6"/>
  <c r="Y422" i="6"/>
  <c r="Y438" i="6"/>
  <c r="Y453" i="6"/>
  <c r="Y447" i="6"/>
  <c r="Y399" i="6"/>
  <c r="Y415" i="6"/>
  <c r="Y431" i="6"/>
  <c r="Y459" i="6"/>
  <c r="Y470" i="6"/>
  <c r="Y408" i="6"/>
  <c r="Y464" i="6"/>
  <c r="Y13" i="6"/>
  <c r="Y14" i="6"/>
  <c r="Y12" i="6"/>
  <c r="Y9" i="6"/>
  <c r="Y8" i="6"/>
  <c r="Y10" i="6"/>
  <c r="Y11" i="6"/>
  <c r="Z7" i="6"/>
  <c r="X5" i="6"/>
  <c r="Z454" i="6" l="1"/>
  <c r="Z383" i="6"/>
  <c r="Z232" i="6"/>
  <c r="Z231" i="6"/>
  <c r="Z233" i="6"/>
  <c r="Z15" i="6"/>
  <c r="Z16" i="6"/>
  <c r="Z17" i="6"/>
  <c r="Z18" i="6"/>
  <c r="Z19" i="6"/>
  <c r="Z20" i="6"/>
  <c r="Z21" i="6"/>
  <c r="Z22" i="6"/>
  <c r="Z23" i="6"/>
  <c r="Z24" i="6"/>
  <c r="Z25" i="6"/>
  <c r="Z26" i="6"/>
  <c r="Z27" i="6"/>
  <c r="Z28" i="6"/>
  <c r="Z29" i="6"/>
  <c r="Z30" i="6"/>
  <c r="Z31" i="6"/>
  <c r="Z32" i="6"/>
  <c r="Z33" i="6"/>
  <c r="Z34" i="6"/>
  <c r="Z35" i="6"/>
  <c r="Z36" i="6"/>
  <c r="Z37" i="6"/>
  <c r="Z38" i="6"/>
  <c r="Z39" i="6"/>
  <c r="Z40" i="6"/>
  <c r="Z41" i="6"/>
  <c r="Z42" i="6"/>
  <c r="Z43" i="6"/>
  <c r="Z44" i="6"/>
  <c r="Z45" i="6"/>
  <c r="Z46" i="6"/>
  <c r="Z47" i="6"/>
  <c r="Z48" i="6"/>
  <c r="Z49" i="6"/>
  <c r="Z50" i="6"/>
  <c r="Z51" i="6"/>
  <c r="Z52" i="6"/>
  <c r="Z53" i="6"/>
  <c r="Z54" i="6"/>
  <c r="Z55" i="6"/>
  <c r="Z56" i="6"/>
  <c r="Z57" i="6"/>
  <c r="Z58" i="6"/>
  <c r="Z59" i="6"/>
  <c r="Z60" i="6"/>
  <c r="Z61" i="6"/>
  <c r="Z62" i="6"/>
  <c r="Z63" i="6"/>
  <c r="Z64" i="6"/>
  <c r="Z65" i="6"/>
  <c r="Z66" i="6"/>
  <c r="Z67" i="6"/>
  <c r="Z68" i="6"/>
  <c r="Z69" i="6"/>
  <c r="Z70" i="6"/>
  <c r="Z71" i="6"/>
  <c r="Z72" i="6"/>
  <c r="Z73" i="6"/>
  <c r="Z74" i="6"/>
  <c r="Z75" i="6"/>
  <c r="Z76" i="6"/>
  <c r="Z77" i="6"/>
  <c r="Z78" i="6"/>
  <c r="Z79" i="6"/>
  <c r="Z80" i="6"/>
  <c r="Z81" i="6"/>
  <c r="Z82" i="6"/>
  <c r="Z83" i="6"/>
  <c r="Z84" i="6"/>
  <c r="Z85" i="6"/>
  <c r="Z86" i="6"/>
  <c r="Z87" i="6"/>
  <c r="Z88" i="6"/>
  <c r="Z89" i="6"/>
  <c r="Z90" i="6"/>
  <c r="Z91" i="6"/>
  <c r="Z92" i="6"/>
  <c r="Z93" i="6"/>
  <c r="Z94" i="6"/>
  <c r="Z95" i="6"/>
  <c r="Z96" i="6"/>
  <c r="Z97" i="6"/>
  <c r="Z98" i="6"/>
  <c r="Z100" i="6"/>
  <c r="Z101" i="6"/>
  <c r="Z102" i="6"/>
  <c r="Z103" i="6"/>
  <c r="Z104" i="6"/>
  <c r="Z105" i="6"/>
  <c r="Z106" i="6"/>
  <c r="Z107" i="6"/>
  <c r="Z108" i="6"/>
  <c r="Z109" i="6"/>
  <c r="Z110" i="6"/>
  <c r="Z111" i="6"/>
  <c r="Z112" i="6"/>
  <c r="Z113" i="6"/>
  <c r="Z114" i="6"/>
  <c r="Z115" i="6"/>
  <c r="Z116" i="6"/>
  <c r="Z117" i="6"/>
  <c r="Z118" i="6"/>
  <c r="Z119" i="6"/>
  <c r="Z120" i="6"/>
  <c r="Z121" i="6"/>
  <c r="Z122" i="6"/>
  <c r="Z123" i="6"/>
  <c r="Z124" i="6"/>
  <c r="Z125" i="6"/>
  <c r="Z126" i="6"/>
  <c r="Z127" i="6"/>
  <c r="Z128" i="6"/>
  <c r="Z129" i="6"/>
  <c r="Z130" i="6"/>
  <c r="Z131" i="6"/>
  <c r="Z132" i="6"/>
  <c r="Z133" i="6"/>
  <c r="Z99" i="6"/>
  <c r="Z137" i="6"/>
  <c r="Z144" i="6"/>
  <c r="Z145" i="6"/>
  <c r="Z146" i="6"/>
  <c r="Z147" i="6"/>
  <c r="Z148" i="6"/>
  <c r="Z149" i="6"/>
  <c r="Z150" i="6"/>
  <c r="Z151" i="6"/>
  <c r="Z152" i="6"/>
  <c r="Z153" i="6"/>
  <c r="Z154" i="6"/>
  <c r="Z155" i="6"/>
  <c r="Z156" i="6"/>
  <c r="Z157" i="6"/>
  <c r="Z158" i="6"/>
  <c r="Z159" i="6"/>
  <c r="Z160" i="6"/>
  <c r="Z161" i="6"/>
  <c r="Z162" i="6"/>
  <c r="Z163" i="6"/>
  <c r="Z164" i="6"/>
  <c r="Z165" i="6"/>
  <c r="Z166" i="6"/>
  <c r="Z167" i="6"/>
  <c r="Z168" i="6"/>
  <c r="Z169" i="6"/>
  <c r="Z170" i="6"/>
  <c r="Z171" i="6"/>
  <c r="Z172" i="6"/>
  <c r="Z174" i="6"/>
  <c r="Z175" i="6"/>
  <c r="Z176" i="6"/>
  <c r="Z177" i="6"/>
  <c r="Z178" i="6"/>
  <c r="Z179" i="6"/>
  <c r="Z180" i="6"/>
  <c r="Z181" i="6"/>
  <c r="Z182" i="6"/>
  <c r="Z183" i="6"/>
  <c r="Z184" i="6"/>
  <c r="Z185" i="6"/>
  <c r="Z186" i="6"/>
  <c r="Z187" i="6"/>
  <c r="Z188" i="6"/>
  <c r="Z189" i="6"/>
  <c r="Z190" i="6"/>
  <c r="Z191" i="6"/>
  <c r="Z192" i="6"/>
  <c r="Z193" i="6"/>
  <c r="Z194" i="6"/>
  <c r="Z195" i="6"/>
  <c r="Z196" i="6"/>
  <c r="Z197" i="6"/>
  <c r="Z198" i="6"/>
  <c r="Z199" i="6"/>
  <c r="Z200" i="6"/>
  <c r="Z201" i="6"/>
  <c r="Z202" i="6"/>
  <c r="Z203" i="6"/>
  <c r="Z204" i="6"/>
  <c r="Z205" i="6"/>
  <c r="Z206" i="6"/>
  <c r="Z207" i="6"/>
  <c r="Z208" i="6"/>
  <c r="Z209" i="6"/>
  <c r="Z210" i="6"/>
  <c r="Z211" i="6"/>
  <c r="Z212" i="6"/>
  <c r="Z213" i="6"/>
  <c r="Z214" i="6"/>
  <c r="Z215" i="6"/>
  <c r="Z216" i="6"/>
  <c r="Z217" i="6"/>
  <c r="Z218" i="6"/>
  <c r="Z219" i="6"/>
  <c r="Z220" i="6"/>
  <c r="Z221" i="6"/>
  <c r="Z136" i="6"/>
  <c r="Z143" i="6"/>
  <c r="Z142" i="6"/>
  <c r="Z135" i="6"/>
  <c r="Z141" i="6"/>
  <c r="Z140" i="6"/>
  <c r="Z134" i="6"/>
  <c r="Z139" i="6"/>
  <c r="Z226" i="6"/>
  <c r="Z235" i="6"/>
  <c r="Z225" i="6"/>
  <c r="Z234" i="6"/>
  <c r="Z224" i="6"/>
  <c r="Z241" i="6"/>
  <c r="Z242" i="6"/>
  <c r="Z243" i="6"/>
  <c r="Z244" i="6"/>
  <c r="Z245" i="6"/>
  <c r="Z246" i="6"/>
  <c r="Z247" i="6"/>
  <c r="Z248" i="6"/>
  <c r="Z249" i="6"/>
  <c r="Z250" i="6"/>
  <c r="Z251" i="6"/>
  <c r="Z252" i="6"/>
  <c r="Z253" i="6"/>
  <c r="Z254" i="6"/>
  <c r="Z255" i="6"/>
  <c r="Z256" i="6"/>
  <c r="Z257" i="6"/>
  <c r="Z258" i="6"/>
  <c r="Z259" i="6"/>
  <c r="Z260" i="6"/>
  <c r="Z261" i="6"/>
  <c r="Z262" i="6"/>
  <c r="Z263" i="6"/>
  <c r="Z264" i="6"/>
  <c r="Z265" i="6"/>
  <c r="Z266" i="6"/>
  <c r="Z267" i="6"/>
  <c r="Z268" i="6"/>
  <c r="Z269" i="6"/>
  <c r="Z270" i="6"/>
  <c r="Z271" i="6"/>
  <c r="Z272" i="6"/>
  <c r="Z273" i="6"/>
  <c r="Z274" i="6"/>
  <c r="Z275" i="6"/>
  <c r="Z276" i="6"/>
  <c r="Z277" i="6"/>
  <c r="Z278" i="6"/>
  <c r="Z279" i="6"/>
  <c r="Z280" i="6"/>
  <c r="Z281" i="6"/>
  <c r="Z282" i="6"/>
  <c r="Z283" i="6"/>
  <c r="Z284" i="6"/>
  <c r="Z285" i="6"/>
  <c r="Z286" i="6"/>
  <c r="Z287" i="6"/>
  <c r="Z288" i="6"/>
  <c r="Z289" i="6"/>
  <c r="Z290" i="6"/>
  <c r="Z291" i="6"/>
  <c r="Z292" i="6"/>
  <c r="Z293" i="6"/>
  <c r="Z294" i="6"/>
  <c r="Z295" i="6"/>
  <c r="Z296" i="6"/>
  <c r="Z297" i="6"/>
  <c r="Z298" i="6"/>
  <c r="Z299" i="6"/>
  <c r="Z300" i="6"/>
  <c r="Z301" i="6"/>
  <c r="Z302" i="6"/>
  <c r="Z303" i="6"/>
  <c r="Z304" i="6"/>
  <c r="Z305" i="6"/>
  <c r="Z306" i="6"/>
  <c r="Z223" i="6"/>
  <c r="Z240" i="6"/>
  <c r="Z222" i="6"/>
  <c r="Z230" i="6"/>
  <c r="Z239" i="6"/>
  <c r="Z229" i="6"/>
  <c r="Z238" i="6"/>
  <c r="Z138" i="6"/>
  <c r="Z228" i="6"/>
  <c r="Z237" i="6"/>
  <c r="Z236" i="6"/>
  <c r="Z227" i="6"/>
  <c r="Z309" i="6"/>
  <c r="Z313" i="6"/>
  <c r="Z317" i="6"/>
  <c r="Z321" i="6"/>
  <c r="Z325" i="6"/>
  <c r="Z308" i="6"/>
  <c r="Z312" i="6"/>
  <c r="Z316" i="6"/>
  <c r="Z320" i="6"/>
  <c r="Z324" i="6"/>
  <c r="Z307" i="6"/>
  <c r="Z311" i="6"/>
  <c r="Z315" i="6"/>
  <c r="Z319" i="6"/>
  <c r="Z323" i="6"/>
  <c r="Z327" i="6"/>
  <c r="Z328" i="6"/>
  <c r="Z329" i="6"/>
  <c r="Z330" i="6"/>
  <c r="Z331" i="6"/>
  <c r="Z332" i="6"/>
  <c r="Z333" i="6"/>
  <c r="Z334" i="6"/>
  <c r="Z335" i="6"/>
  <c r="Z336" i="6"/>
  <c r="Z337" i="6"/>
  <c r="Z338" i="6"/>
  <c r="Z339" i="6"/>
  <c r="Z340" i="6"/>
  <c r="Z341" i="6"/>
  <c r="Z342" i="6"/>
  <c r="Z343" i="6"/>
  <c r="Z344" i="6"/>
  <c r="Z345" i="6"/>
  <c r="Z346" i="6"/>
  <c r="Z347" i="6"/>
  <c r="Z348" i="6"/>
  <c r="Z349" i="6"/>
  <c r="Z350" i="6"/>
  <c r="Z351" i="6"/>
  <c r="Z352" i="6"/>
  <c r="Z353" i="6"/>
  <c r="Z354" i="6"/>
  <c r="Z355" i="6"/>
  <c r="Z356" i="6"/>
  <c r="Z357" i="6"/>
  <c r="Z358" i="6"/>
  <c r="Z359" i="6"/>
  <c r="Z360" i="6"/>
  <c r="Z361" i="6"/>
  <c r="Z362" i="6"/>
  <c r="Z363" i="6"/>
  <c r="Z364" i="6"/>
  <c r="Z365" i="6"/>
  <c r="Z366" i="6"/>
  <c r="Z367" i="6"/>
  <c r="Z368" i="6"/>
  <c r="Z369" i="6"/>
  <c r="Z370" i="6"/>
  <c r="Z371" i="6"/>
  <c r="Z372" i="6"/>
  <c r="Z373" i="6"/>
  <c r="Z374" i="6"/>
  <c r="Z375" i="6"/>
  <c r="Z376" i="6"/>
  <c r="Z377" i="6"/>
  <c r="Z378" i="6"/>
  <c r="Z379" i="6"/>
  <c r="Z380" i="6"/>
  <c r="Z381" i="6"/>
  <c r="Z382" i="6"/>
  <c r="Z384" i="6"/>
  <c r="Z385" i="6"/>
  <c r="Z386" i="6"/>
  <c r="Z387" i="6"/>
  <c r="Z388" i="6"/>
  <c r="Z389" i="6"/>
  <c r="Z390" i="6"/>
  <c r="Z391" i="6"/>
  <c r="Z392" i="6"/>
  <c r="Z393" i="6"/>
  <c r="Z394" i="6"/>
  <c r="Z395" i="6"/>
  <c r="Z396" i="6"/>
  <c r="Z326" i="6"/>
  <c r="Z322" i="6"/>
  <c r="Z318" i="6"/>
  <c r="Z314" i="6"/>
  <c r="Z310" i="6"/>
  <c r="Z408" i="6"/>
  <c r="Z424" i="6"/>
  <c r="Z447" i="6"/>
  <c r="Z464" i="6"/>
  <c r="Z401" i="6"/>
  <c r="Z417" i="6"/>
  <c r="Z433" i="6"/>
  <c r="Z452" i="6"/>
  <c r="Z469" i="6"/>
  <c r="Z458" i="6"/>
  <c r="Z410" i="6"/>
  <c r="Z426" i="6"/>
  <c r="Z440" i="6"/>
  <c r="Z443" i="6"/>
  <c r="Z403" i="6"/>
  <c r="Z419" i="6"/>
  <c r="Z435" i="6"/>
  <c r="Z446" i="6"/>
  <c r="Z463" i="6"/>
  <c r="Z412" i="6"/>
  <c r="Z428" i="6"/>
  <c r="Z451" i="6"/>
  <c r="Z468" i="6"/>
  <c r="Z405" i="6"/>
  <c r="Z421" i="6"/>
  <c r="Z437" i="6"/>
  <c r="Z457" i="6"/>
  <c r="Z398" i="6"/>
  <c r="Z414" i="6"/>
  <c r="Z430" i="6"/>
  <c r="Z462" i="6"/>
  <c r="Z467" i="6"/>
  <c r="Z459" i="6"/>
  <c r="Z407" i="6"/>
  <c r="Z423" i="6"/>
  <c r="Z442" i="6"/>
  <c r="Z450" i="6"/>
  <c r="Z400" i="6"/>
  <c r="Z416" i="6"/>
  <c r="Z432" i="6"/>
  <c r="Z439" i="6"/>
  <c r="Z445" i="6"/>
  <c r="Z456" i="6"/>
  <c r="Z409" i="6"/>
  <c r="Z425" i="6"/>
  <c r="Z461" i="6"/>
  <c r="Z402" i="6"/>
  <c r="Z418" i="6"/>
  <c r="Z434" i="6"/>
  <c r="Z449" i="6"/>
  <c r="Z466" i="6"/>
  <c r="Z415" i="6"/>
  <c r="Z411" i="6"/>
  <c r="Z427" i="6"/>
  <c r="Z455" i="6"/>
  <c r="Z399" i="6"/>
  <c r="Z470" i="6"/>
  <c r="Z404" i="6"/>
  <c r="Z420" i="6"/>
  <c r="Z436" i="6"/>
  <c r="Z441" i="6"/>
  <c r="Z460" i="6"/>
  <c r="Z397" i="6"/>
  <c r="Z413" i="6"/>
  <c r="Z429" i="6"/>
  <c r="Z444" i="6"/>
  <c r="Z448" i="6"/>
  <c r="Z465" i="6"/>
  <c r="Z471" i="6"/>
  <c r="Z472" i="6"/>
  <c r="Z473" i="6"/>
  <c r="Z474" i="6"/>
  <c r="Z475" i="6"/>
  <c r="Z476" i="6"/>
  <c r="Z477" i="6"/>
  <c r="Z478" i="6"/>
  <c r="Z479" i="6"/>
  <c r="Z480" i="6"/>
  <c r="Z481" i="6"/>
  <c r="Z482" i="6"/>
  <c r="Z483" i="6"/>
  <c r="Z484" i="6"/>
  <c r="Z485" i="6"/>
  <c r="Z486" i="6"/>
  <c r="Z487" i="6"/>
  <c r="Z488" i="6"/>
  <c r="Z489" i="6"/>
  <c r="Z490" i="6"/>
  <c r="Z491" i="6"/>
  <c r="Z492" i="6"/>
  <c r="Z493" i="6"/>
  <c r="Z494" i="6"/>
  <c r="Z495" i="6"/>
  <c r="Z496" i="6"/>
  <c r="Z497" i="6"/>
  <c r="Z498" i="6"/>
  <c r="Z499" i="6"/>
  <c r="Z500" i="6"/>
  <c r="Z501" i="6"/>
  <c r="Z502" i="6"/>
  <c r="Z503" i="6"/>
  <c r="Z504" i="6"/>
  <c r="Z505" i="6"/>
  <c r="Z506" i="6"/>
  <c r="Z507" i="6"/>
  <c r="Z508" i="6"/>
  <c r="Z509" i="6"/>
  <c r="Z510" i="6"/>
  <c r="Z511" i="6"/>
  <c r="Z512" i="6"/>
  <c r="Z513" i="6"/>
  <c r="Z406" i="6"/>
  <c r="Z422" i="6"/>
  <c r="Z438" i="6"/>
  <c r="Z453" i="6"/>
  <c r="Z431" i="6"/>
  <c r="Z13" i="6"/>
  <c r="Z14" i="6"/>
  <c r="Z12" i="6"/>
  <c r="Z8" i="6"/>
  <c r="Y5" i="6"/>
  <c r="AA7" i="6"/>
  <c r="Z10" i="6"/>
  <c r="Z9" i="6"/>
  <c r="Z11" i="6"/>
  <c r="AA454" i="6" l="1"/>
  <c r="AA383" i="6"/>
  <c r="AA232" i="6"/>
  <c r="AA231" i="6"/>
  <c r="AA233" i="6"/>
  <c r="AA15" i="6"/>
  <c r="AA16" i="6"/>
  <c r="AA17" i="6"/>
  <c r="AA18" i="6"/>
  <c r="AA19" i="6"/>
  <c r="AA20" i="6"/>
  <c r="AA21" i="6"/>
  <c r="AA22" i="6"/>
  <c r="AA23" i="6"/>
  <c r="AA24" i="6"/>
  <c r="AA25" i="6"/>
  <c r="AA26" i="6"/>
  <c r="AA27" i="6"/>
  <c r="AA28" i="6"/>
  <c r="AA29" i="6"/>
  <c r="AA30" i="6"/>
  <c r="AA31" i="6"/>
  <c r="AA32" i="6"/>
  <c r="AA33" i="6"/>
  <c r="AA34" i="6"/>
  <c r="AA35" i="6"/>
  <c r="AA36" i="6"/>
  <c r="AA37" i="6"/>
  <c r="AA38" i="6"/>
  <c r="AA39" i="6"/>
  <c r="AA40" i="6"/>
  <c r="AA41" i="6"/>
  <c r="AA42" i="6"/>
  <c r="AA43" i="6"/>
  <c r="AA44" i="6"/>
  <c r="AA45" i="6"/>
  <c r="AA46" i="6"/>
  <c r="AA47" i="6"/>
  <c r="AA48" i="6"/>
  <c r="AA49" i="6"/>
  <c r="AA50" i="6"/>
  <c r="AA51" i="6"/>
  <c r="AA52" i="6"/>
  <c r="AA53" i="6"/>
  <c r="AA54" i="6"/>
  <c r="AA55" i="6"/>
  <c r="AA56" i="6"/>
  <c r="AA57" i="6"/>
  <c r="AA58" i="6"/>
  <c r="AA59" i="6"/>
  <c r="AA60" i="6"/>
  <c r="AA61" i="6"/>
  <c r="AA62" i="6"/>
  <c r="AA63" i="6"/>
  <c r="AA64" i="6"/>
  <c r="AA65" i="6"/>
  <c r="AA66" i="6"/>
  <c r="AA67" i="6"/>
  <c r="AA68" i="6"/>
  <c r="AA69" i="6"/>
  <c r="AA70" i="6"/>
  <c r="AA71" i="6"/>
  <c r="AA72" i="6"/>
  <c r="AA73" i="6"/>
  <c r="AA74" i="6"/>
  <c r="AA75" i="6"/>
  <c r="AA76" i="6"/>
  <c r="AA77" i="6"/>
  <c r="AA78" i="6"/>
  <c r="AA79" i="6"/>
  <c r="AA80" i="6"/>
  <c r="AA81" i="6"/>
  <c r="AA82" i="6"/>
  <c r="AA83" i="6"/>
  <c r="AA84" i="6"/>
  <c r="AA85" i="6"/>
  <c r="AA86" i="6"/>
  <c r="AA87" i="6"/>
  <c r="AA88" i="6"/>
  <c r="AA89" i="6"/>
  <c r="AA90" i="6"/>
  <c r="AA91" i="6"/>
  <c r="AA92" i="6"/>
  <c r="AA93" i="6"/>
  <c r="AA94" i="6"/>
  <c r="AA95" i="6"/>
  <c r="AA96" i="6"/>
  <c r="AA97" i="6"/>
  <c r="AA100" i="6"/>
  <c r="AA101" i="6"/>
  <c r="AA102" i="6"/>
  <c r="AA103" i="6"/>
  <c r="AA104" i="6"/>
  <c r="AA105" i="6"/>
  <c r="AA106" i="6"/>
  <c r="AA107" i="6"/>
  <c r="AA108" i="6"/>
  <c r="AA109" i="6"/>
  <c r="AA110" i="6"/>
  <c r="AA111" i="6"/>
  <c r="AA112" i="6"/>
  <c r="AA113" i="6"/>
  <c r="AA114" i="6"/>
  <c r="AA115" i="6"/>
  <c r="AA116" i="6"/>
  <c r="AA117" i="6"/>
  <c r="AA118" i="6"/>
  <c r="AA119" i="6"/>
  <c r="AA120" i="6"/>
  <c r="AA121" i="6"/>
  <c r="AA122" i="6"/>
  <c r="AA123" i="6"/>
  <c r="AA124" i="6"/>
  <c r="AA125" i="6"/>
  <c r="AA126" i="6"/>
  <c r="AA127" i="6"/>
  <c r="AA128" i="6"/>
  <c r="AA129" i="6"/>
  <c r="AA130" i="6"/>
  <c r="AA131" i="6"/>
  <c r="AA132" i="6"/>
  <c r="AA133" i="6"/>
  <c r="AA134" i="6"/>
  <c r="AA99" i="6"/>
  <c r="AA137" i="6"/>
  <c r="AA144" i="6"/>
  <c r="AA145" i="6"/>
  <c r="AA146" i="6"/>
  <c r="AA147" i="6"/>
  <c r="AA148" i="6"/>
  <c r="AA149" i="6"/>
  <c r="AA150" i="6"/>
  <c r="AA151" i="6"/>
  <c r="AA152" i="6"/>
  <c r="AA153" i="6"/>
  <c r="AA154" i="6"/>
  <c r="AA155" i="6"/>
  <c r="AA156" i="6"/>
  <c r="AA157" i="6"/>
  <c r="AA158" i="6"/>
  <c r="AA159" i="6"/>
  <c r="AA160" i="6"/>
  <c r="AA161" i="6"/>
  <c r="AA162" i="6"/>
  <c r="AA163" i="6"/>
  <c r="AA164" i="6"/>
  <c r="AA165" i="6"/>
  <c r="AA166" i="6"/>
  <c r="AA167" i="6"/>
  <c r="AA168" i="6"/>
  <c r="AA169" i="6"/>
  <c r="AA170" i="6"/>
  <c r="AA171" i="6"/>
  <c r="AA172" i="6"/>
  <c r="AA174" i="6"/>
  <c r="AA175" i="6"/>
  <c r="AA176" i="6"/>
  <c r="AA177" i="6"/>
  <c r="AA178" i="6"/>
  <c r="AA179" i="6"/>
  <c r="AA180" i="6"/>
  <c r="AA181" i="6"/>
  <c r="AA182" i="6"/>
  <c r="AA183" i="6"/>
  <c r="AA184" i="6"/>
  <c r="AA185" i="6"/>
  <c r="AA186" i="6"/>
  <c r="AA187" i="6"/>
  <c r="AA188" i="6"/>
  <c r="AA189" i="6"/>
  <c r="AA190" i="6"/>
  <c r="AA191" i="6"/>
  <c r="AA192" i="6"/>
  <c r="AA193" i="6"/>
  <c r="AA194" i="6"/>
  <c r="AA195" i="6"/>
  <c r="AA196" i="6"/>
  <c r="AA197" i="6"/>
  <c r="AA198" i="6"/>
  <c r="AA199" i="6"/>
  <c r="AA200" i="6"/>
  <c r="AA201" i="6"/>
  <c r="AA202" i="6"/>
  <c r="AA203" i="6"/>
  <c r="AA204" i="6"/>
  <c r="AA205" i="6"/>
  <c r="AA206" i="6"/>
  <c r="AA207" i="6"/>
  <c r="AA208" i="6"/>
  <c r="AA209" i="6"/>
  <c r="AA210" i="6"/>
  <c r="AA211" i="6"/>
  <c r="AA212" i="6"/>
  <c r="AA213" i="6"/>
  <c r="AA214" i="6"/>
  <c r="AA215" i="6"/>
  <c r="AA216" i="6"/>
  <c r="AA217" i="6"/>
  <c r="AA218" i="6"/>
  <c r="AA219" i="6"/>
  <c r="AA220" i="6"/>
  <c r="AA221" i="6"/>
  <c r="AA136" i="6"/>
  <c r="AA143" i="6"/>
  <c r="AA98" i="6"/>
  <c r="AA142" i="6"/>
  <c r="AA135" i="6"/>
  <c r="AA141" i="6"/>
  <c r="AA140" i="6"/>
  <c r="AA139" i="6"/>
  <c r="AA226" i="6"/>
  <c r="AA235" i="6"/>
  <c r="AA225" i="6"/>
  <c r="AA234" i="6"/>
  <c r="AA224" i="6"/>
  <c r="AA241" i="6"/>
  <c r="AA242" i="6"/>
  <c r="AA243" i="6"/>
  <c r="AA244" i="6"/>
  <c r="AA245" i="6"/>
  <c r="AA246" i="6"/>
  <c r="AA247" i="6"/>
  <c r="AA248" i="6"/>
  <c r="AA249" i="6"/>
  <c r="AA250" i="6"/>
  <c r="AA251" i="6"/>
  <c r="AA252" i="6"/>
  <c r="AA253" i="6"/>
  <c r="AA254" i="6"/>
  <c r="AA255" i="6"/>
  <c r="AA256" i="6"/>
  <c r="AA257" i="6"/>
  <c r="AA258" i="6"/>
  <c r="AA259" i="6"/>
  <c r="AA260" i="6"/>
  <c r="AA261" i="6"/>
  <c r="AA262" i="6"/>
  <c r="AA263" i="6"/>
  <c r="AA264" i="6"/>
  <c r="AA265" i="6"/>
  <c r="AA266" i="6"/>
  <c r="AA267" i="6"/>
  <c r="AA268" i="6"/>
  <c r="AA269" i="6"/>
  <c r="AA270" i="6"/>
  <c r="AA271" i="6"/>
  <c r="AA272" i="6"/>
  <c r="AA273" i="6"/>
  <c r="AA274" i="6"/>
  <c r="AA275" i="6"/>
  <c r="AA276" i="6"/>
  <c r="AA277" i="6"/>
  <c r="AA278" i="6"/>
  <c r="AA279" i="6"/>
  <c r="AA280" i="6"/>
  <c r="AA281" i="6"/>
  <c r="AA282" i="6"/>
  <c r="AA283" i="6"/>
  <c r="AA284" i="6"/>
  <c r="AA285" i="6"/>
  <c r="AA286" i="6"/>
  <c r="AA287" i="6"/>
  <c r="AA288" i="6"/>
  <c r="AA289" i="6"/>
  <c r="AA290" i="6"/>
  <c r="AA291" i="6"/>
  <c r="AA292" i="6"/>
  <c r="AA293" i="6"/>
  <c r="AA294" i="6"/>
  <c r="AA295" i="6"/>
  <c r="AA296" i="6"/>
  <c r="AA297" i="6"/>
  <c r="AA298" i="6"/>
  <c r="AA299" i="6"/>
  <c r="AA300" i="6"/>
  <c r="AA301" i="6"/>
  <c r="AA302" i="6"/>
  <c r="AA303" i="6"/>
  <c r="AA304" i="6"/>
  <c r="AA305" i="6"/>
  <c r="AA306" i="6"/>
  <c r="AA307" i="6"/>
  <c r="AA308" i="6"/>
  <c r="AA309" i="6"/>
  <c r="AA310" i="6"/>
  <c r="AA311" i="6"/>
  <c r="AA312" i="6"/>
  <c r="AA313" i="6"/>
  <c r="AA314" i="6"/>
  <c r="AA315" i="6"/>
  <c r="AA316" i="6"/>
  <c r="AA317" i="6"/>
  <c r="AA318" i="6"/>
  <c r="AA319" i="6"/>
  <c r="AA320" i="6"/>
  <c r="AA321" i="6"/>
  <c r="AA322" i="6"/>
  <c r="AA323" i="6"/>
  <c r="AA324" i="6"/>
  <c r="AA325" i="6"/>
  <c r="AA326" i="6"/>
  <c r="AA223" i="6"/>
  <c r="AA240" i="6"/>
  <c r="AA222" i="6"/>
  <c r="AA230" i="6"/>
  <c r="AA239" i="6"/>
  <c r="AA229" i="6"/>
  <c r="AA238" i="6"/>
  <c r="AA138" i="6"/>
  <c r="AA228" i="6"/>
  <c r="AA237" i="6"/>
  <c r="AA236" i="6"/>
  <c r="AA227" i="6"/>
  <c r="AA336" i="6"/>
  <c r="AA352" i="6"/>
  <c r="AA368" i="6"/>
  <c r="AA396" i="6"/>
  <c r="AA397" i="6"/>
  <c r="AA398" i="6"/>
  <c r="AA399" i="6"/>
  <c r="AA400" i="6"/>
  <c r="AA401" i="6"/>
  <c r="AA402" i="6"/>
  <c r="AA403" i="6"/>
  <c r="AA404" i="6"/>
  <c r="AA405" i="6"/>
  <c r="AA406" i="6"/>
  <c r="AA407" i="6"/>
  <c r="AA408" i="6"/>
  <c r="AA409" i="6"/>
  <c r="AA410" i="6"/>
  <c r="AA411" i="6"/>
  <c r="AA412" i="6"/>
  <c r="AA413" i="6"/>
  <c r="AA414" i="6"/>
  <c r="AA415" i="6"/>
  <c r="AA416" i="6"/>
  <c r="AA417" i="6"/>
  <c r="AA418" i="6"/>
  <c r="AA419" i="6"/>
  <c r="AA420" i="6"/>
  <c r="AA421" i="6"/>
  <c r="AA422" i="6"/>
  <c r="AA423" i="6"/>
  <c r="AA424" i="6"/>
  <c r="AA425" i="6"/>
  <c r="AA426" i="6"/>
  <c r="AA427" i="6"/>
  <c r="AA428" i="6"/>
  <c r="AA429" i="6"/>
  <c r="AA430" i="6"/>
  <c r="AA431" i="6"/>
  <c r="AA432" i="6"/>
  <c r="AA433" i="6"/>
  <c r="AA434" i="6"/>
  <c r="AA435" i="6"/>
  <c r="AA436" i="6"/>
  <c r="AA437" i="6"/>
  <c r="AA438" i="6"/>
  <c r="AA439" i="6"/>
  <c r="AA440" i="6"/>
  <c r="AA441" i="6"/>
  <c r="AA442" i="6"/>
  <c r="AA443" i="6"/>
  <c r="AA444" i="6"/>
  <c r="AA445" i="6"/>
  <c r="AA446" i="6"/>
  <c r="AA447" i="6"/>
  <c r="AA448" i="6"/>
  <c r="AA449" i="6"/>
  <c r="AA450" i="6"/>
  <c r="AA451" i="6"/>
  <c r="AA452" i="6"/>
  <c r="AA453" i="6"/>
  <c r="AA455" i="6"/>
  <c r="AA456" i="6"/>
  <c r="AA457" i="6"/>
  <c r="AA458" i="6"/>
  <c r="AA459" i="6"/>
  <c r="AA460" i="6"/>
  <c r="AA461" i="6"/>
  <c r="AA462" i="6"/>
  <c r="AA463" i="6"/>
  <c r="AA464" i="6"/>
  <c r="AA465" i="6"/>
  <c r="AA466" i="6"/>
  <c r="AA467" i="6"/>
  <c r="AA468" i="6"/>
  <c r="AA469" i="6"/>
  <c r="AA470" i="6"/>
  <c r="AA329" i="6"/>
  <c r="AA345" i="6"/>
  <c r="AA361" i="6"/>
  <c r="AA377" i="6"/>
  <c r="AA395" i="6"/>
  <c r="AA338" i="6"/>
  <c r="AA354" i="6"/>
  <c r="AA370" i="6"/>
  <c r="AA382" i="6"/>
  <c r="AA387" i="6"/>
  <c r="AA331" i="6"/>
  <c r="AA347" i="6"/>
  <c r="AA363" i="6"/>
  <c r="AA379" i="6"/>
  <c r="AA394" i="6"/>
  <c r="AA340" i="6"/>
  <c r="AA356" i="6"/>
  <c r="AA372" i="6"/>
  <c r="AA333" i="6"/>
  <c r="AA349" i="6"/>
  <c r="AA365" i="6"/>
  <c r="AA393" i="6"/>
  <c r="AA342" i="6"/>
  <c r="AA358" i="6"/>
  <c r="AA374" i="6"/>
  <c r="AA381" i="6"/>
  <c r="AA386" i="6"/>
  <c r="AA335" i="6"/>
  <c r="AA351" i="6"/>
  <c r="AA367" i="6"/>
  <c r="AA392" i="6"/>
  <c r="AA328" i="6"/>
  <c r="AA344" i="6"/>
  <c r="AA360" i="6"/>
  <c r="AA376" i="6"/>
  <c r="AA337" i="6"/>
  <c r="AA353" i="6"/>
  <c r="AA369" i="6"/>
  <c r="AA391" i="6"/>
  <c r="AA330" i="6"/>
  <c r="AA346" i="6"/>
  <c r="AA362" i="6"/>
  <c r="AA378" i="6"/>
  <c r="AA385" i="6"/>
  <c r="AA339" i="6"/>
  <c r="AA355" i="6"/>
  <c r="AA371" i="6"/>
  <c r="AA390" i="6"/>
  <c r="AA332" i="6"/>
  <c r="AA348" i="6"/>
  <c r="AA364" i="6"/>
  <c r="AA380" i="6"/>
  <c r="AA341" i="6"/>
  <c r="AA357" i="6"/>
  <c r="AA373" i="6"/>
  <c r="AA389" i="6"/>
  <c r="AA334" i="6"/>
  <c r="AA343" i="6"/>
  <c r="AA350" i="6"/>
  <c r="AA384" i="6"/>
  <c r="AA388" i="6"/>
  <c r="AA359" i="6"/>
  <c r="AA327" i="6"/>
  <c r="AA366" i="6"/>
  <c r="AA375" i="6"/>
  <c r="AA471" i="6"/>
  <c r="AA473" i="6"/>
  <c r="AA474" i="6"/>
  <c r="AA476" i="6"/>
  <c r="AA478" i="6"/>
  <c r="AA480" i="6"/>
  <c r="AA482" i="6"/>
  <c r="AA484" i="6"/>
  <c r="AA486" i="6"/>
  <c r="AA488" i="6"/>
  <c r="AA490" i="6"/>
  <c r="AA492" i="6"/>
  <c r="AA494" i="6"/>
  <c r="AA496" i="6"/>
  <c r="AA498" i="6"/>
  <c r="AA499" i="6"/>
  <c r="AA502" i="6"/>
  <c r="AA504" i="6"/>
  <c r="AA507" i="6"/>
  <c r="AA509" i="6"/>
  <c r="AA511" i="6"/>
  <c r="AA513" i="6"/>
  <c r="AA472" i="6"/>
  <c r="AA475" i="6"/>
  <c r="AA477" i="6"/>
  <c r="AA479" i="6"/>
  <c r="AA481" i="6"/>
  <c r="AA483" i="6"/>
  <c r="AA485" i="6"/>
  <c r="AA487" i="6"/>
  <c r="AA489" i="6"/>
  <c r="AA491" i="6"/>
  <c r="AA493" i="6"/>
  <c r="AA495" i="6"/>
  <c r="AA497" i="6"/>
  <c r="AA500" i="6"/>
  <c r="AA501" i="6"/>
  <c r="AA503" i="6"/>
  <c r="AA505" i="6"/>
  <c r="AA506" i="6"/>
  <c r="AA508" i="6"/>
  <c r="AA510" i="6"/>
  <c r="AA512" i="6"/>
  <c r="AA13" i="6"/>
  <c r="AA14" i="6"/>
  <c r="AA11" i="6"/>
  <c r="Z5" i="6"/>
  <c r="AA8" i="6"/>
  <c r="AA10" i="6"/>
  <c r="AA12" i="6"/>
  <c r="AA9" i="6"/>
  <c r="AB7" i="6"/>
  <c r="AB454" i="6" l="1"/>
  <c r="AB383" i="6"/>
  <c r="AB232" i="6"/>
  <c r="AB231" i="6"/>
  <c r="AB233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55" i="6"/>
  <c r="AB56" i="6"/>
  <c r="AB57" i="6"/>
  <c r="AB58" i="6"/>
  <c r="AB59" i="6"/>
  <c r="AB60" i="6"/>
  <c r="AB61" i="6"/>
  <c r="AB62" i="6"/>
  <c r="AB63" i="6"/>
  <c r="AB64" i="6"/>
  <c r="AB65" i="6"/>
  <c r="AB66" i="6"/>
  <c r="AB67" i="6"/>
  <c r="AB68" i="6"/>
  <c r="AB69" i="6"/>
  <c r="AB70" i="6"/>
  <c r="AB71" i="6"/>
  <c r="AB72" i="6"/>
  <c r="AB73" i="6"/>
  <c r="AB74" i="6"/>
  <c r="AB75" i="6"/>
  <c r="AB76" i="6"/>
  <c r="AB77" i="6"/>
  <c r="AB78" i="6"/>
  <c r="AB79" i="6"/>
  <c r="AB80" i="6"/>
  <c r="AB81" i="6"/>
  <c r="AB82" i="6"/>
  <c r="AB83" i="6"/>
  <c r="AB84" i="6"/>
  <c r="AB85" i="6"/>
  <c r="AB86" i="6"/>
  <c r="AB87" i="6"/>
  <c r="AB88" i="6"/>
  <c r="AB89" i="6"/>
  <c r="AB90" i="6"/>
  <c r="AB91" i="6"/>
  <c r="AB92" i="6"/>
  <c r="AB93" i="6"/>
  <c r="AB94" i="6"/>
  <c r="AB95" i="6"/>
  <c r="AB96" i="6"/>
  <c r="AB97" i="6"/>
  <c r="AB98" i="6"/>
  <c r="AB99" i="6"/>
  <c r="AB100" i="6"/>
  <c r="AB101" i="6"/>
  <c r="AB102" i="6"/>
  <c r="AB103" i="6"/>
  <c r="AB104" i="6"/>
  <c r="AB105" i="6"/>
  <c r="AB106" i="6"/>
  <c r="AB107" i="6"/>
  <c r="AB108" i="6"/>
  <c r="AB109" i="6"/>
  <c r="AB110" i="6"/>
  <c r="AB111" i="6"/>
  <c r="AB112" i="6"/>
  <c r="AB113" i="6"/>
  <c r="AB114" i="6"/>
  <c r="AB115" i="6"/>
  <c r="AB116" i="6"/>
  <c r="AB117" i="6"/>
  <c r="AB118" i="6"/>
  <c r="AB119" i="6"/>
  <c r="AB120" i="6"/>
  <c r="AB121" i="6"/>
  <c r="AB122" i="6"/>
  <c r="AB123" i="6"/>
  <c r="AB124" i="6"/>
  <c r="AB125" i="6"/>
  <c r="AB126" i="6"/>
  <c r="AB127" i="6"/>
  <c r="AB128" i="6"/>
  <c r="AB129" i="6"/>
  <c r="AB130" i="6"/>
  <c r="AB131" i="6"/>
  <c r="AB132" i="6"/>
  <c r="AB133" i="6"/>
  <c r="AB134" i="6"/>
  <c r="AB135" i="6"/>
  <c r="AB136" i="6"/>
  <c r="AB137" i="6"/>
  <c r="AB144" i="6"/>
  <c r="AB145" i="6"/>
  <c r="AB146" i="6"/>
  <c r="AB147" i="6"/>
  <c r="AB148" i="6"/>
  <c r="AB149" i="6"/>
  <c r="AB150" i="6"/>
  <c r="AB151" i="6"/>
  <c r="AB152" i="6"/>
  <c r="AB153" i="6"/>
  <c r="AB154" i="6"/>
  <c r="AB155" i="6"/>
  <c r="AB156" i="6"/>
  <c r="AB157" i="6"/>
  <c r="AB158" i="6"/>
  <c r="AB159" i="6"/>
  <c r="AB160" i="6"/>
  <c r="AB161" i="6"/>
  <c r="AB162" i="6"/>
  <c r="AB163" i="6"/>
  <c r="AB164" i="6"/>
  <c r="AB165" i="6"/>
  <c r="AB166" i="6"/>
  <c r="AB167" i="6"/>
  <c r="AB168" i="6"/>
  <c r="AB169" i="6"/>
  <c r="AB170" i="6"/>
  <c r="AB171" i="6"/>
  <c r="AB172" i="6"/>
  <c r="AB174" i="6"/>
  <c r="AB175" i="6"/>
  <c r="AB176" i="6"/>
  <c r="AB177" i="6"/>
  <c r="AB178" i="6"/>
  <c r="AB179" i="6"/>
  <c r="AB180" i="6"/>
  <c r="AB181" i="6"/>
  <c r="AB182" i="6"/>
  <c r="AB183" i="6"/>
  <c r="AB184" i="6"/>
  <c r="AB185" i="6"/>
  <c r="AB186" i="6"/>
  <c r="AB187" i="6"/>
  <c r="AB188" i="6"/>
  <c r="AB189" i="6"/>
  <c r="AB190" i="6"/>
  <c r="AB191" i="6"/>
  <c r="AB192" i="6"/>
  <c r="AB193" i="6"/>
  <c r="AB194" i="6"/>
  <c r="AB195" i="6"/>
  <c r="AB196" i="6"/>
  <c r="AB197" i="6"/>
  <c r="AB198" i="6"/>
  <c r="AB199" i="6"/>
  <c r="AB200" i="6"/>
  <c r="AB201" i="6"/>
  <c r="AB202" i="6"/>
  <c r="AB203" i="6"/>
  <c r="AB204" i="6"/>
  <c r="AB205" i="6"/>
  <c r="AB206" i="6"/>
  <c r="AB207" i="6"/>
  <c r="AB208" i="6"/>
  <c r="AB209" i="6"/>
  <c r="AB210" i="6"/>
  <c r="AB211" i="6"/>
  <c r="AB212" i="6"/>
  <c r="AB213" i="6"/>
  <c r="AB214" i="6"/>
  <c r="AB215" i="6"/>
  <c r="AB216" i="6"/>
  <c r="AB217" i="6"/>
  <c r="AB218" i="6"/>
  <c r="AB219" i="6"/>
  <c r="AB220" i="6"/>
  <c r="AB143" i="6"/>
  <c r="AB142" i="6"/>
  <c r="AB141" i="6"/>
  <c r="AB140" i="6"/>
  <c r="AB138" i="6"/>
  <c r="AB227" i="6"/>
  <c r="AB236" i="6"/>
  <c r="AB226" i="6"/>
  <c r="AB235" i="6"/>
  <c r="AB225" i="6"/>
  <c r="AB234" i="6"/>
  <c r="AB139" i="6"/>
  <c r="AB224" i="6"/>
  <c r="AB241" i="6"/>
  <c r="AB242" i="6"/>
  <c r="AB243" i="6"/>
  <c r="AB244" i="6"/>
  <c r="AB245" i="6"/>
  <c r="AB246" i="6"/>
  <c r="AB247" i="6"/>
  <c r="AB248" i="6"/>
  <c r="AB249" i="6"/>
  <c r="AB250" i="6"/>
  <c r="AB251" i="6"/>
  <c r="AB252" i="6"/>
  <c r="AB253" i="6"/>
  <c r="AB254" i="6"/>
  <c r="AB255" i="6"/>
  <c r="AB256" i="6"/>
  <c r="AB257" i="6"/>
  <c r="AB258" i="6"/>
  <c r="AB259" i="6"/>
  <c r="AB260" i="6"/>
  <c r="AB261" i="6"/>
  <c r="AB262" i="6"/>
  <c r="AB263" i="6"/>
  <c r="AB264" i="6"/>
  <c r="AB265" i="6"/>
  <c r="AB266" i="6"/>
  <c r="AB267" i="6"/>
  <c r="AB268" i="6"/>
  <c r="AB269" i="6"/>
  <c r="AB270" i="6"/>
  <c r="AB271" i="6"/>
  <c r="AB272" i="6"/>
  <c r="AB273" i="6"/>
  <c r="AB274" i="6"/>
  <c r="AB275" i="6"/>
  <c r="AB276" i="6"/>
  <c r="AB277" i="6"/>
  <c r="AB278" i="6"/>
  <c r="AB279" i="6"/>
  <c r="AB280" i="6"/>
  <c r="AB281" i="6"/>
  <c r="AB282" i="6"/>
  <c r="AB283" i="6"/>
  <c r="AB284" i="6"/>
  <c r="AB285" i="6"/>
  <c r="AB286" i="6"/>
  <c r="AB287" i="6"/>
  <c r="AB288" i="6"/>
  <c r="AB289" i="6"/>
  <c r="AB290" i="6"/>
  <c r="AB291" i="6"/>
  <c r="AB292" i="6"/>
  <c r="AB293" i="6"/>
  <c r="AB294" i="6"/>
  <c r="AB295" i="6"/>
  <c r="AB296" i="6"/>
  <c r="AB297" i="6"/>
  <c r="AB298" i="6"/>
  <c r="AB299" i="6"/>
  <c r="AB300" i="6"/>
  <c r="AB301" i="6"/>
  <c r="AB302" i="6"/>
  <c r="AB303" i="6"/>
  <c r="AB304" i="6"/>
  <c r="AB305" i="6"/>
  <c r="AB306" i="6"/>
  <c r="AB307" i="6"/>
  <c r="AB308" i="6"/>
  <c r="AB309" i="6"/>
  <c r="AB310" i="6"/>
  <c r="AB311" i="6"/>
  <c r="AB312" i="6"/>
  <c r="AB313" i="6"/>
  <c r="AB314" i="6"/>
  <c r="AB315" i="6"/>
  <c r="AB316" i="6"/>
  <c r="AB317" i="6"/>
  <c r="AB318" i="6"/>
  <c r="AB319" i="6"/>
  <c r="AB320" i="6"/>
  <c r="AB321" i="6"/>
  <c r="AB322" i="6"/>
  <c r="AB323" i="6"/>
  <c r="AB324" i="6"/>
  <c r="AB325" i="6"/>
  <c r="AB326" i="6"/>
  <c r="AB223" i="6"/>
  <c r="AB240" i="6"/>
  <c r="AB222" i="6"/>
  <c r="AB230" i="6"/>
  <c r="AB239" i="6"/>
  <c r="AB221" i="6"/>
  <c r="AB229" i="6"/>
  <c r="AB238" i="6"/>
  <c r="AB237" i="6"/>
  <c r="AB228" i="6"/>
  <c r="AB327" i="6"/>
  <c r="AB343" i="6"/>
  <c r="AB359" i="6"/>
  <c r="AB375" i="6"/>
  <c r="AB388" i="6"/>
  <c r="AB336" i="6"/>
  <c r="AB352" i="6"/>
  <c r="AB368" i="6"/>
  <c r="AB396" i="6"/>
  <c r="AB397" i="6"/>
  <c r="AB398" i="6"/>
  <c r="AB399" i="6"/>
  <c r="AB400" i="6"/>
  <c r="AB401" i="6"/>
  <c r="AB402" i="6"/>
  <c r="AB403" i="6"/>
  <c r="AB404" i="6"/>
  <c r="AB405" i="6"/>
  <c r="AB406" i="6"/>
  <c r="AB407" i="6"/>
  <c r="AB408" i="6"/>
  <c r="AB409" i="6"/>
  <c r="AB410" i="6"/>
  <c r="AB411" i="6"/>
  <c r="AB412" i="6"/>
  <c r="AB413" i="6"/>
  <c r="AB414" i="6"/>
  <c r="AB415" i="6"/>
  <c r="AB416" i="6"/>
  <c r="AB417" i="6"/>
  <c r="AB418" i="6"/>
  <c r="AB419" i="6"/>
  <c r="AB420" i="6"/>
  <c r="AB421" i="6"/>
  <c r="AB422" i="6"/>
  <c r="AB423" i="6"/>
  <c r="AB424" i="6"/>
  <c r="AB425" i="6"/>
  <c r="AB426" i="6"/>
  <c r="AB427" i="6"/>
  <c r="AB428" i="6"/>
  <c r="AB429" i="6"/>
  <c r="AB430" i="6"/>
  <c r="AB431" i="6"/>
  <c r="AB432" i="6"/>
  <c r="AB433" i="6"/>
  <c r="AB434" i="6"/>
  <c r="AB435" i="6"/>
  <c r="AB436" i="6"/>
  <c r="AB437" i="6"/>
  <c r="AB438" i="6"/>
  <c r="AB439" i="6"/>
  <c r="AB440" i="6"/>
  <c r="AB441" i="6"/>
  <c r="AB442" i="6"/>
  <c r="AB443" i="6"/>
  <c r="AB444" i="6"/>
  <c r="AB445" i="6"/>
  <c r="AB446" i="6"/>
  <c r="AB447" i="6"/>
  <c r="AB448" i="6"/>
  <c r="AB449" i="6"/>
  <c r="AB450" i="6"/>
  <c r="AB451" i="6"/>
  <c r="AB452" i="6"/>
  <c r="AB453" i="6"/>
  <c r="AB455" i="6"/>
  <c r="AB456" i="6"/>
  <c r="AB457" i="6"/>
  <c r="AB458" i="6"/>
  <c r="AB459" i="6"/>
  <c r="AB460" i="6"/>
  <c r="AB461" i="6"/>
  <c r="AB462" i="6"/>
  <c r="AB463" i="6"/>
  <c r="AB464" i="6"/>
  <c r="AB465" i="6"/>
  <c r="AB466" i="6"/>
  <c r="AB467" i="6"/>
  <c r="AB468" i="6"/>
  <c r="AB469" i="6"/>
  <c r="AB470" i="6"/>
  <c r="AB329" i="6"/>
  <c r="AB345" i="6"/>
  <c r="AB361" i="6"/>
  <c r="AB377" i="6"/>
  <c r="AB395" i="6"/>
  <c r="AB338" i="6"/>
  <c r="AB354" i="6"/>
  <c r="AB370" i="6"/>
  <c r="AB382" i="6"/>
  <c r="AB387" i="6"/>
  <c r="AB331" i="6"/>
  <c r="AB347" i="6"/>
  <c r="AB363" i="6"/>
  <c r="AB379" i="6"/>
  <c r="AB394" i="6"/>
  <c r="AB340" i="6"/>
  <c r="AB356" i="6"/>
  <c r="AB372" i="6"/>
  <c r="AB333" i="6"/>
  <c r="AB349" i="6"/>
  <c r="AB365" i="6"/>
  <c r="AB393" i="6"/>
  <c r="AB342" i="6"/>
  <c r="AB358" i="6"/>
  <c r="AB374" i="6"/>
  <c r="AB381" i="6"/>
  <c r="AB386" i="6"/>
  <c r="AB335" i="6"/>
  <c r="AB351" i="6"/>
  <c r="AB367" i="6"/>
  <c r="AB392" i="6"/>
  <c r="AB328" i="6"/>
  <c r="AB344" i="6"/>
  <c r="AB360" i="6"/>
  <c r="AB376" i="6"/>
  <c r="AB337" i="6"/>
  <c r="AB353" i="6"/>
  <c r="AB369" i="6"/>
  <c r="AB391" i="6"/>
  <c r="AB330" i="6"/>
  <c r="AB346" i="6"/>
  <c r="AB362" i="6"/>
  <c r="AB378" i="6"/>
  <c r="AB385" i="6"/>
  <c r="AB339" i="6"/>
  <c r="AB355" i="6"/>
  <c r="AB371" i="6"/>
  <c r="AB390" i="6"/>
  <c r="AB332" i="6"/>
  <c r="AB348" i="6"/>
  <c r="AB364" i="6"/>
  <c r="AB380" i="6"/>
  <c r="AB477" i="6"/>
  <c r="AB501" i="6"/>
  <c r="AB474" i="6"/>
  <c r="AB502" i="6"/>
  <c r="AB334" i="6"/>
  <c r="AB485" i="6"/>
  <c r="AB500" i="6"/>
  <c r="AB489" i="6"/>
  <c r="AB511" i="6"/>
  <c r="AB341" i="6"/>
  <c r="AB476" i="6"/>
  <c r="AB506" i="6"/>
  <c r="AB510" i="6"/>
  <c r="AB350" i="6"/>
  <c r="AB384" i="6"/>
  <c r="AB505" i="6"/>
  <c r="AB480" i="6"/>
  <c r="AB488" i="6"/>
  <c r="AB496" i="6"/>
  <c r="AB508" i="6"/>
  <c r="AB357" i="6"/>
  <c r="AB495" i="6"/>
  <c r="AB475" i="6"/>
  <c r="AB486" i="6"/>
  <c r="AB497" i="6"/>
  <c r="AB512" i="6"/>
  <c r="AB366" i="6"/>
  <c r="AB472" i="6"/>
  <c r="AB481" i="6"/>
  <c r="AB487" i="6"/>
  <c r="AB494" i="6"/>
  <c r="AB499" i="6"/>
  <c r="AB509" i="6"/>
  <c r="AB483" i="6"/>
  <c r="AB493" i="6"/>
  <c r="AB503" i="6"/>
  <c r="AB513" i="6"/>
  <c r="AB373" i="6"/>
  <c r="AB471" i="6"/>
  <c r="AB479" i="6"/>
  <c r="AB484" i="6"/>
  <c r="AB491" i="6"/>
  <c r="AB498" i="6"/>
  <c r="AB507" i="6"/>
  <c r="AB389" i="6"/>
  <c r="AB490" i="6"/>
  <c r="AB473" i="6"/>
  <c r="AB478" i="6"/>
  <c r="AB482" i="6"/>
  <c r="AB492" i="6"/>
  <c r="AB504" i="6"/>
  <c r="AB13" i="6"/>
  <c r="AB14" i="6"/>
  <c r="AB11" i="6"/>
  <c r="AB9" i="6"/>
  <c r="AB12" i="6"/>
  <c r="AB10" i="6"/>
  <c r="AA5" i="6"/>
  <c r="AB8" i="6"/>
  <c r="AB5" i="6" l="1"/>
</calcChain>
</file>

<file path=xl/sharedStrings.xml><?xml version="1.0" encoding="utf-8"?>
<sst xmlns="http://schemas.openxmlformats.org/spreadsheetml/2006/main" count="4923" uniqueCount="2156">
  <si>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</si>
  <si>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</si>
  <si>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</si>
  <si>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</si>
  <si>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</si>
  <si>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</si>
  <si>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</si>
  <si>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</si>
  <si>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</si>
  <si>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</si>
  <si>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</si>
  <si>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</si>
  <si>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</si>
  <si>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</si>
  <si>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</si>
  <si>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</si>
  <si>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</si>
  <si>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Rimborso</t>
  </si>
  <si>
    <t>Zona</t>
  </si>
  <si>
    <t>da finire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</si>
  <si>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</si>
  <si>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</si>
  <si>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</si>
  <si>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</si>
  <si>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</si>
  <si>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</si>
  <si>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</si>
  <si>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bistrot</t>
  </si>
  <si>
    <t>gelateria</t>
  </si>
  <si>
    <t>pizzeria</t>
  </si>
  <si>
    <t>n.d.</t>
  </si>
  <si>
    <t>cocktail bar</t>
  </si>
  <si>
    <t>pasticceria / caffetteria</t>
  </si>
  <si>
    <t>pastificio con cucina</t>
  </si>
  <si>
    <t>caffetteria</t>
  </si>
  <si>
    <t>enoteca</t>
  </si>
  <si>
    <t>bar / pasticceria</t>
  </si>
  <si>
    <t>ristorante / cocktail bar</t>
  </si>
  <si>
    <t>sala da tè</t>
  </si>
  <si>
    <t/>
  </si>
  <si>
    <t>Berberè</t>
  </si>
  <si>
    <t>non recensibile</t>
  </si>
  <si>
    <t>Città</t>
  </si>
  <si>
    <t>Trapizzino</t>
  </si>
  <si>
    <t>panineria</t>
  </si>
  <si>
    <t>Mordi &amp; Vai</t>
  </si>
  <si>
    <t>Elettroforno Frontoni</t>
  </si>
  <si>
    <t>Pasticceria Barberini</t>
  </si>
  <si>
    <t>Cristalli di Zucchero</t>
  </si>
  <si>
    <t>Casa Manfredi</t>
  </si>
  <si>
    <t>Latteria</t>
  </si>
  <si>
    <t>Gori Gelato</t>
  </si>
  <si>
    <t>Nero Vaniglia</t>
  </si>
  <si>
    <t>Jerry Thomas Speakeasy</t>
  </si>
  <si>
    <t>Roscioli Caffè</t>
  </si>
  <si>
    <t>Claudio Torcè</t>
  </si>
  <si>
    <t>Fabrica</t>
  </si>
  <si>
    <t>D'Antoni dal 1974</t>
  </si>
  <si>
    <t>200 gradi</t>
  </si>
  <si>
    <t>Pane e Tempesta</t>
  </si>
  <si>
    <t>Prelibato</t>
  </si>
  <si>
    <t>Santi Sebastiano e Valentino</t>
  </si>
  <si>
    <t>Cus Cus</t>
  </si>
  <si>
    <t>Zia Rosetta</t>
  </si>
  <si>
    <t>Ciao Checca</t>
  </si>
  <si>
    <t>Aromaticus</t>
  </si>
  <si>
    <t>Neve di Latte</t>
  </si>
  <si>
    <t>Fatamorgana</t>
  </si>
  <si>
    <t>Come il Latte</t>
  </si>
  <si>
    <t>Cremeria Alpi</t>
  </si>
  <si>
    <t>Al Settimo Gelo</t>
  </si>
  <si>
    <t>Cremeria Aurelia</t>
  </si>
  <si>
    <t>Gelateria dei Gracchi</t>
  </si>
  <si>
    <t>Otaleg!</t>
  </si>
  <si>
    <t>Pizzarium</t>
  </si>
  <si>
    <t>Il Goccetto</t>
  </si>
  <si>
    <t>La Gourmandise</t>
  </si>
  <si>
    <t>Baccano</t>
  </si>
  <si>
    <t>Mangiafuoco</t>
  </si>
  <si>
    <t>Open Baladin</t>
  </si>
  <si>
    <t>Metropolita</t>
  </si>
  <si>
    <t>Pinsere</t>
  </si>
  <si>
    <t>La Casa del Cremolato</t>
  </si>
  <si>
    <t>La Differenza</t>
  </si>
  <si>
    <t>Mostò</t>
  </si>
  <si>
    <t>Gelateria I Mannari</t>
  </si>
  <si>
    <t>180g pizzeria romana</t>
  </si>
  <si>
    <t>Da Enzo al 29</t>
  </si>
  <si>
    <t>Fermentum</t>
  </si>
  <si>
    <t>Galbi</t>
  </si>
  <si>
    <t>Green T.</t>
  </si>
  <si>
    <t>Hasekura</t>
  </si>
  <si>
    <t>La Gatta Mangiona</t>
  </si>
  <si>
    <t>La Punta Expendio de Agave</t>
  </si>
  <si>
    <t>Lin</t>
  </si>
  <si>
    <t>Magnifica</t>
  </si>
  <si>
    <t>Piccolo Buco</t>
  </si>
  <si>
    <t>Sakana Sushi</t>
  </si>
  <si>
    <t>Seu Pizza Illuminati</t>
  </si>
  <si>
    <t>Waraku</t>
  </si>
  <si>
    <t>La Trota</t>
  </si>
  <si>
    <t>Trattoria del Pesce</t>
  </si>
  <si>
    <t>Per Me</t>
  </si>
  <si>
    <t>Da Fausto</t>
  </si>
  <si>
    <t>Lo Stuzzichino</t>
  </si>
  <si>
    <t>Iotto</t>
  </si>
  <si>
    <t>Il Pacchero Solitario</t>
  </si>
  <si>
    <t>Il Giardino</t>
  </si>
  <si>
    <t>Osteria del Velodromo Vecchio</t>
  </si>
  <si>
    <t>Il Pagliaccio</t>
  </si>
  <si>
    <t>Osteria del Vicolo Fatato</t>
  </si>
  <si>
    <t>Pascucci al Porticciolo</t>
  </si>
  <si>
    <t>Bistrot 64</t>
  </si>
  <si>
    <t>Pipero</t>
  </si>
  <si>
    <t>Chinappi</t>
  </si>
  <si>
    <t>Il Convivio Troiani</t>
  </si>
  <si>
    <t>Enoteca La Torre</t>
  </si>
  <si>
    <t>Materia Prima</t>
  </si>
  <si>
    <t>Chalet del Lago</t>
  </si>
  <si>
    <t>Il Tino</t>
  </si>
  <si>
    <t>La Pergola del Rome Cavalieri</t>
  </si>
  <si>
    <t>Hand Made</t>
  </si>
  <si>
    <t>Osteria La Briciola</t>
  </si>
  <si>
    <t>Acqua Pazza</t>
  </si>
  <si>
    <t>Acquolina</t>
  </si>
  <si>
    <t>Da Cesare</t>
  </si>
  <si>
    <t>Felice</t>
  </si>
  <si>
    <t>Il Torchio</t>
  </si>
  <si>
    <t>La Baia</t>
  </si>
  <si>
    <t>Mamma Angelina</t>
  </si>
  <si>
    <t>Osteria Bonelli</t>
  </si>
  <si>
    <t>Prato di Sopra</t>
  </si>
  <si>
    <t>Riso Amaro</t>
  </si>
  <si>
    <t>Roscioli</t>
  </si>
  <si>
    <t>Trattoria Monti</t>
  </si>
  <si>
    <t>Armando al Pantheon</t>
  </si>
  <si>
    <t>Flavio al Velavevodetto</t>
  </si>
  <si>
    <t>Moma</t>
  </si>
  <si>
    <t>Cuoco e Camicia</t>
  </si>
  <si>
    <t>Glass Hostaria</t>
  </si>
  <si>
    <t>Il Calice e la Stella</t>
  </si>
  <si>
    <t>Ristorante degli Angeli</t>
  </si>
  <si>
    <t>Al Ceppo</t>
  </si>
  <si>
    <t>Satricvm</t>
  </si>
  <si>
    <t>Osteria “Il Bersagliere”</t>
  </si>
  <si>
    <t>La Locanda del Bere</t>
  </si>
  <si>
    <t>Santo Palato</t>
  </si>
  <si>
    <t>La Parolina</t>
  </si>
  <si>
    <t>Sora Maria e Arcangelo</t>
  </si>
  <si>
    <t>All'Oro</t>
  </si>
  <si>
    <t>La Tavernaccia</t>
  </si>
  <si>
    <t>Zia Restaurant</t>
  </si>
  <si>
    <t>Osteria del Borgo</t>
  </si>
  <si>
    <t>Retrobottega</t>
  </si>
  <si>
    <t>vineria con cucina</t>
  </si>
  <si>
    <t>pizzeria al taglio</t>
  </si>
  <si>
    <t>gastronomia</t>
  </si>
  <si>
    <t>street food venezuelano</t>
  </si>
  <si>
    <t>birreria con cucina</t>
  </si>
  <si>
    <t>caffetteria / pasticceria</t>
  </si>
  <si>
    <t>bistrot / sala da tè</t>
  </si>
  <si>
    <t>bar / pasticceria / gelateria</t>
  </si>
  <si>
    <t>pizzeria al taglio / panificio</t>
  </si>
  <si>
    <t>negozio / bistrot</t>
  </si>
  <si>
    <t>cinese</t>
  </si>
  <si>
    <t>romana</t>
  </si>
  <si>
    <t>giapponese</t>
  </si>
  <si>
    <t>coreana</t>
  </si>
  <si>
    <t>messicana</t>
  </si>
  <si>
    <t>pesce</t>
  </si>
  <si>
    <t>ricercata</t>
  </si>
  <si>
    <t>tradizionale</t>
  </si>
  <si>
    <t>legata al territorio</t>
  </si>
  <si>
    <t>creativa</t>
  </si>
  <si>
    <t>tradizionale con spunti creativi</t>
  </si>
  <si>
    <t>principalmente pesce</t>
  </si>
  <si>
    <t>gastronomia con cucina</t>
  </si>
  <si>
    <t>Piazza del Popolo</t>
  </si>
  <si>
    <t>San Paolo</t>
  </si>
  <si>
    <t>Testaccio</t>
  </si>
  <si>
    <t>Piazza Istria</t>
  </si>
  <si>
    <t>Largo Somalia</t>
  </si>
  <si>
    <t>Via Ostiense, 387</t>
  </si>
  <si>
    <t>Batteria Nomentana</t>
  </si>
  <si>
    <t>Montesacro</t>
  </si>
  <si>
    <t>Piazza Navona</t>
  </si>
  <si>
    <t>Via Marmorata, 41</t>
  </si>
  <si>
    <t>Largo Benedetto Bompiani, 8/10</t>
  </si>
  <si>
    <t>Via di Val Tellina, 114</t>
  </si>
  <si>
    <t>Monteverde</t>
  </si>
  <si>
    <t>Viale Aventino, 91/93</t>
  </si>
  <si>
    <t>FAO</t>
  </si>
  <si>
    <t>Vicolo della Scala, 1</t>
  </si>
  <si>
    <t>Trastevere</t>
  </si>
  <si>
    <t>Via Tolemaide, 16</t>
  </si>
  <si>
    <t>Trionfale</t>
  </si>
  <si>
    <t>Porta Portese</t>
  </si>
  <si>
    <t>Via Carlo Caneva, 15</t>
  </si>
  <si>
    <t>Portonaccio</t>
  </si>
  <si>
    <t>Monti</t>
  </si>
  <si>
    <t>Laurentino</t>
  </si>
  <si>
    <t>Piramide</t>
  </si>
  <si>
    <t>Talenti</t>
  </si>
  <si>
    <t>Salario</t>
  </si>
  <si>
    <t>Viale Parioli, 200</t>
  </si>
  <si>
    <t>Circonvallazione Ostiense, 201</t>
  </si>
  <si>
    <t>Garbatella</t>
  </si>
  <si>
    <t>Pigneto</t>
  </si>
  <si>
    <t>San Giovanni</t>
  </si>
  <si>
    <t>Vicolo Cellini, 30</t>
  </si>
  <si>
    <t>Corso Vittorio Emanuele</t>
  </si>
  <si>
    <t>Piazza Benedetto Cairoli, 16</t>
  </si>
  <si>
    <t>Campo de' Fiori</t>
  </si>
  <si>
    <t>Aventino</t>
  </si>
  <si>
    <t>Viale Aventino, 59</t>
  </si>
  <si>
    <t>Viale Marconi, 445</t>
  </si>
  <si>
    <t>Viale dell'Aeronautica, 105</t>
  </si>
  <si>
    <t>EUR</t>
  </si>
  <si>
    <t>Via Girolamo Savonarola, 8</t>
  </si>
  <si>
    <t>Prati</t>
  </si>
  <si>
    <t>Collatino</t>
  </si>
  <si>
    <t>Furio Camillo</t>
  </si>
  <si>
    <t>Musei Vaticani</t>
  </si>
  <si>
    <t>Flaminio</t>
  </si>
  <si>
    <t>Via Giovanni de Calvi, 23/25</t>
  </si>
  <si>
    <t>Colli Portuensi</t>
  </si>
  <si>
    <t>Viale di Villa Pamphili, 214</t>
  </si>
  <si>
    <t>Pietralata</t>
  </si>
  <si>
    <t>Via Piave, 55</t>
  </si>
  <si>
    <t>Piazza Fiume</t>
  </si>
  <si>
    <t>Arco di Travertino</t>
  </si>
  <si>
    <t>Centocelle</t>
  </si>
  <si>
    <t>Via Tirso, 107</t>
  </si>
  <si>
    <t>Via Arezzo, 39</t>
  </si>
  <si>
    <t>Piazza Bologna</t>
  </si>
  <si>
    <t>Via Urbana, 54</t>
  </si>
  <si>
    <t>Piazza di Spagna, 23</t>
  </si>
  <si>
    <t>San Lorenzo</t>
  </si>
  <si>
    <t>Via di Ripetta, 40</t>
  </si>
  <si>
    <t>Pantheon</t>
  </si>
  <si>
    <t>Piazza di Firenze, 25/26</t>
  </si>
  <si>
    <t>Campo Marzio</t>
  </si>
  <si>
    <t>Via Urbana, 134</t>
  </si>
  <si>
    <t>Viale Europa, 339</t>
  </si>
  <si>
    <t>Via Luigi Poletti, 6</t>
  </si>
  <si>
    <t>Via Federico Cesi, 1</t>
  </si>
  <si>
    <t>Via dei Chiavari, 37</t>
  </si>
  <si>
    <t>Via Lago di Lesina, 9/11</t>
  </si>
  <si>
    <t>Trieste</t>
  </si>
  <si>
    <t>Piazza degli Zingari, 5</t>
  </si>
  <si>
    <t>Piazza Re di Roma</t>
  </si>
  <si>
    <t>Via Roma Libera, 11</t>
  </si>
  <si>
    <t>Via Silvio Spaventa 24/26</t>
  </si>
  <si>
    <t>Piazza Sallustio</t>
  </si>
  <si>
    <t>Via Padre Reginaldo Giuliani, 16</t>
  </si>
  <si>
    <t>Acilia</t>
  </si>
  <si>
    <t>Esquilino</t>
  </si>
  <si>
    <t>Piazza Mazzini</t>
  </si>
  <si>
    <t>Piazza Irnerio</t>
  </si>
  <si>
    <t>Via di Ripetta, 261</t>
  </si>
  <si>
    <t>Via dei Gracchi, 272</t>
  </si>
  <si>
    <t>Appio Latino</t>
  </si>
  <si>
    <t>Fontana di Trevi</t>
  </si>
  <si>
    <t>Via di San Cosimato, 14/A</t>
  </si>
  <si>
    <t>Piazzale degli Eroi</t>
  </si>
  <si>
    <t>Via dei Banchi Vecchi, 14</t>
  </si>
  <si>
    <t>Via delle Muratte, 23</t>
  </si>
  <si>
    <t>Via degli Specchi, 6</t>
  </si>
  <si>
    <t>Piazza Cavour</t>
  </si>
  <si>
    <t>Piazza Gentile da Fabriano, 2</t>
  </si>
  <si>
    <t>Via Giovanni Branca, 88</t>
  </si>
  <si>
    <t>Piazzale di Ponte Milvio, 13</t>
  </si>
  <si>
    <t>Via Flavia, 98</t>
  </si>
  <si>
    <t>Via di Priscilla, 18</t>
  </si>
  <si>
    <t>Piazza Crati</t>
  </si>
  <si>
    <t>Piazza Trilussa, 46</t>
  </si>
  <si>
    <t>Viale Pinturicchio, 32</t>
  </si>
  <si>
    <t>Via di Grotta Perfetta, 125</t>
  </si>
  <si>
    <t>Montagnola</t>
  </si>
  <si>
    <t>Via Mantova, 5</t>
  </si>
  <si>
    <t>Via Lemonia, 214</t>
  </si>
  <si>
    <t>Cinecittà</t>
  </si>
  <si>
    <t>Via Cremera, 21</t>
  </si>
  <si>
    <t>Ostiense</t>
  </si>
  <si>
    <t>Via dei Serpenti, 27</t>
  </si>
  <si>
    <t>Portuense</t>
  </si>
  <si>
    <t>Via Federico Ozanam, 30/32</t>
  </si>
  <si>
    <t>Via di Santa Cecilia, 8</t>
  </si>
  <si>
    <t>Via Basento, 70/76</t>
  </si>
  <si>
    <t>Via Po</t>
  </si>
  <si>
    <t>Via Ugo de Carolis, 72/D</t>
  </si>
  <si>
    <t>Balduina</t>
  </si>
  <si>
    <t>Via della Torre Clementina, 114</t>
  </si>
  <si>
    <t>Via del Lavatore, 91</t>
  </si>
  <si>
    <t>Via del Gazometro, 54</t>
  </si>
  <si>
    <t>Via Angelo Bargoni, 10/18</t>
  </si>
  <si>
    <t>Via Santa Susanna, 33</t>
  </si>
  <si>
    <t>Via Folco Portinari, 27</t>
  </si>
  <si>
    <t>Monteverde Nuovo</t>
  </si>
  <si>
    <t>Vicolo del Malpasso, 9</t>
  </si>
  <si>
    <t>Via Giulia</t>
  </si>
  <si>
    <t>Piazza Cesare Beccaria, 6</t>
  </si>
  <si>
    <t>Corso Vittorio Emanuele, 96</t>
  </si>
  <si>
    <t>Via Giuseppe Verdi, 29</t>
  </si>
  <si>
    <t>Via degli Ulivi, 43</t>
  </si>
  <si>
    <t>Via Genzano, 139</t>
  </si>
  <si>
    <t>Via Cicerone, 40</t>
  </si>
  <si>
    <t>Via dei Banchi Vecchi, 129/A</t>
  </si>
  <si>
    <t>Vicolo Forno Fatato, 11</t>
  </si>
  <si>
    <t>Viale Traiano, 85</t>
  </si>
  <si>
    <t>MAXXI</t>
  </si>
  <si>
    <t>Corso Vittorio Emanuele II, 250</t>
  </si>
  <si>
    <t>Chiesa Nuova</t>
  </si>
  <si>
    <t>Vicolo dei Soldati, 31</t>
  </si>
  <si>
    <t>Lungotevere delle Armi, 22/23</t>
  </si>
  <si>
    <t>Piazza Monte Grappa</t>
  </si>
  <si>
    <t>Via Sardegna, 8</t>
  </si>
  <si>
    <t>Via G.G. Belli, 59/61</t>
  </si>
  <si>
    <t>Via Reginaldo Belloni, 28/29</t>
  </si>
  <si>
    <t>Tuscolano</t>
  </si>
  <si>
    <t>Via Cadlolo, 101</t>
  </si>
  <si>
    <t>Monte Mario</t>
  </si>
  <si>
    <t>Via Scuole Rurali, 1</t>
  </si>
  <si>
    <t>Via del Vantaggio, 14</t>
  </si>
  <si>
    <t>Via Augusto Valenziani, 19</t>
  </si>
  <si>
    <t>Via del Casaletto, 45</t>
  </si>
  <si>
    <t>Via Mastro Giorgio, 29</t>
  </si>
  <si>
    <t>Via Goffredo Mameli, 3</t>
  </si>
  <si>
    <t>Via Silvi Marina, 1</t>
  </si>
  <si>
    <t>Viale Arrigo Boito, 65</t>
  </si>
  <si>
    <t>Viale dell'Acquedotto Alessandrino, 172/174</t>
  </si>
  <si>
    <t>Torpignattara</t>
  </si>
  <si>
    <t>Via Principe Amedeo, 7</t>
  </si>
  <si>
    <t>Viale Regina Margherita, 22</t>
  </si>
  <si>
    <t>Via dei Giubbonari, 21/22</t>
  </si>
  <si>
    <t>Via di Monte Testaccio, 97/99</t>
  </si>
  <si>
    <t>Ex Mattatoio</t>
  </si>
  <si>
    <t>Via di San Basilio, 42/43</t>
  </si>
  <si>
    <t>Vicolo del Cinque, 58</t>
  </si>
  <si>
    <t>Piazza Trilussa</t>
  </si>
  <si>
    <t>Piazza Garibaldi, 9</t>
  </si>
  <si>
    <t>Località Madonna degli Angeli</t>
  </si>
  <si>
    <t>Via Panama, 2</t>
  </si>
  <si>
    <t>Piazza Ungheria</t>
  </si>
  <si>
    <t>Strada Nettuno-Cisterna, 1227 - Loc. Le Ferriere</t>
  </si>
  <si>
    <t>Via Casilina, km 25,000</t>
  </si>
  <si>
    <t>Via Foro Appio, 64 - Loc. Borgo Faiti</t>
  </si>
  <si>
    <t>Via Giacomo Leopardi, 1</t>
  </si>
  <si>
    <t>Via Roma, 45</t>
  </si>
  <si>
    <t>Via Giuseppe Pisanelli, 23/25</t>
  </si>
  <si>
    <t>Via Goffredo Mameli, 45</t>
  </si>
  <si>
    <t>Via Borgo di Sopra, 21/23</t>
  </si>
  <si>
    <t>Roma</t>
  </si>
  <si>
    <t>Fiumicino</t>
  </si>
  <si>
    <t>Rivodutri</t>
  </si>
  <si>
    <t>Fondi</t>
  </si>
  <si>
    <t>Campodimele</t>
  </si>
  <si>
    <t>Campagnano di Roma</t>
  </si>
  <si>
    <t>Aprilia</t>
  </si>
  <si>
    <t>Ventotene</t>
  </si>
  <si>
    <t>Grottaferrata</t>
  </si>
  <si>
    <t>Tivoli</t>
  </si>
  <si>
    <t>Piglio</t>
  </si>
  <si>
    <t>Terracina</t>
  </si>
  <si>
    <t>Formia</t>
  </si>
  <si>
    <t>Latina</t>
  </si>
  <si>
    <t>Pontinia</t>
  </si>
  <si>
    <t>Genazzano</t>
  </si>
  <si>
    <t>Anguillara Sabazia</t>
  </si>
  <si>
    <t>Fregene</t>
  </si>
  <si>
    <t>Viterbo</t>
  </si>
  <si>
    <t>Ponza</t>
  </si>
  <si>
    <t>Anzio</t>
  </si>
  <si>
    <t>Frascati</t>
  </si>
  <si>
    <t>Canepina</t>
  </si>
  <si>
    <t>Magliano Sabina</t>
  </si>
  <si>
    <t>Colonna</t>
  </si>
  <si>
    <t>Trevinano</t>
  </si>
  <si>
    <t>Olevano Romano</t>
  </si>
  <si>
    <t>393/8123386</t>
  </si>
  <si>
    <t>06/45619534</t>
  </si>
  <si>
    <t>06/57250431</t>
  </si>
  <si>
    <t>06/5124103</t>
  </si>
  <si>
    <t>06/58230323</t>
  </si>
  <si>
    <t>06/97605892</t>
  </si>
  <si>
    <t>06/58332008</t>
  </si>
  <si>
    <t>06/45551271</t>
  </si>
  <si>
    <t>06/80662455</t>
  </si>
  <si>
    <t>06/8272092</t>
  </si>
  <si>
    <t>06/5780306</t>
  </si>
  <si>
    <t>06/96845937</t>
  </si>
  <si>
    <t>06/89165330</t>
  </si>
  <si>
    <t>06/5746876</t>
  </si>
  <si>
    <t>06/97882939</t>
  </si>
  <si>
    <t>06/2593441</t>
  </si>
  <si>
    <t>06/39754239</t>
  </si>
  <si>
    <t>06/87725015</t>
  </si>
  <si>
    <t>06/93577165</t>
  </si>
  <si>
    <t>06/42815714</t>
  </si>
  <si>
    <t>06/87568048</t>
  </si>
  <si>
    <t>06/31052516</t>
  </si>
  <si>
    <t>06/6786027</t>
  </si>
  <si>
    <t>06/32652670</t>
  </si>
  <si>
    <t>06/68803029</t>
  </si>
  <si>
    <t>06/68300368</t>
  </si>
  <si>
    <t>06/4881355</t>
  </si>
  <si>
    <t>06/69363592</t>
  </si>
  <si>
    <t>06/3208485</t>
  </si>
  <si>
    <t>06/3225744</t>
  </si>
  <si>
    <t>06/86391589</t>
  </si>
  <si>
    <t>06/48906955</t>
  </si>
  <si>
    <t>06/5803615</t>
  </si>
  <si>
    <t>06/42903882</t>
  </si>
  <si>
    <t>06/88921386</t>
  </si>
  <si>
    <t>06/5211942</t>
  </si>
  <si>
    <t>06/3725567</t>
  </si>
  <si>
    <t>06/6632499</t>
  </si>
  <si>
    <t>06/3224727</t>
  </si>
  <si>
    <t>06/3216668</t>
  </si>
  <si>
    <t>338/6515450</t>
  </si>
  <si>
    <t>06/39745416</t>
  </si>
  <si>
    <t>377/4116621</t>
  </si>
  <si>
    <t>06/69941166</t>
  </si>
  <si>
    <t>06/6838989</t>
  </si>
  <si>
    <t>06/43419624</t>
  </si>
  <si>
    <t>06/33221964</t>
  </si>
  <si>
    <t>06/42020924</t>
  </si>
  <si>
    <t>06/86200724</t>
  </si>
  <si>
    <t>06/64012423</t>
  </si>
  <si>
    <t>06/5817312</t>
  </si>
  <si>
    <t>06/70496477</t>
  </si>
  <si>
    <t>392/2579616</t>
  </si>
  <si>
    <t>06/5410448</t>
  </si>
  <si>
    <t>06/45654390</t>
  </si>
  <si>
    <t>06/5812260</t>
  </si>
  <si>
    <t>06/8842132</t>
  </si>
  <si>
    <t>06/6798628</t>
  </si>
  <si>
    <t>06/483648</t>
  </si>
  <si>
    <t>06/5346702</t>
  </si>
  <si>
    <t>06/5816665</t>
  </si>
  <si>
    <t>06/8546270</t>
  </si>
  <si>
    <t>06/6505251</t>
  </si>
  <si>
    <t>06/69380163</t>
  </si>
  <si>
    <t>06/5883384</t>
  </si>
  <si>
    <t>06/21702358</t>
  </si>
  <si>
    <t>0746/685078</t>
  </si>
  <si>
    <t>06/95945393</t>
  </si>
  <si>
    <t>06/6877365</t>
  </si>
  <si>
    <t>0771/531268</t>
  </si>
  <si>
    <t>0771/598099</t>
  </si>
  <si>
    <t>06/9041746</t>
  </si>
  <si>
    <t>06/92062042</t>
  </si>
  <si>
    <t>0771/85020</t>
  </si>
  <si>
    <t>06/7886793</t>
  </si>
  <si>
    <t>06/9411904</t>
  </si>
  <si>
    <t>06/68809595</t>
  </si>
  <si>
    <t>0775/503035</t>
  </si>
  <si>
    <t>06/65029204</t>
  </si>
  <si>
    <t>06/3235531</t>
  </si>
  <si>
    <t>06/68139022</t>
  </si>
  <si>
    <t>06/6869432</t>
  </si>
  <si>
    <t>06/45668304</t>
  </si>
  <si>
    <t>0773/86391</t>
  </si>
  <si>
    <t>06/3210992</t>
  </si>
  <si>
    <t>06/9968229</t>
  </si>
  <si>
    <t>06/35092152</t>
  </si>
  <si>
    <t>06/66562063</t>
  </si>
  <si>
    <t>0774/418421</t>
  </si>
  <si>
    <t>0771/80643</t>
  </si>
  <si>
    <t>06/3201590</t>
  </si>
  <si>
    <t>06/35072243</t>
  </si>
  <si>
    <t>06/4819005</t>
  </si>
  <si>
    <t>06/536015</t>
  </si>
  <si>
    <t>06/5746800</t>
  </si>
  <si>
    <t>06/9425520</t>
  </si>
  <si>
    <t>06/66561647</t>
  </si>
  <si>
    <t>06/8608928</t>
  </si>
  <si>
    <t>329/8633077</t>
  </si>
  <si>
    <t>06/94315464</t>
  </si>
  <si>
    <t>0771/523655</t>
  </si>
  <si>
    <t>06/6875287</t>
  </si>
  <si>
    <t>06/68803034</t>
  </si>
  <si>
    <t>06/5744194</t>
  </si>
  <si>
    <t>06/42011798</t>
  </si>
  <si>
    <t>06/88922987</t>
  </si>
  <si>
    <t>06/58335903</t>
  </si>
  <si>
    <t>328/9024761</t>
  </si>
  <si>
    <t>0744/91377</t>
  </si>
  <si>
    <t>06/8419696</t>
  </si>
  <si>
    <t>349/1923153</t>
  </si>
  <si>
    <t>0773/258620</t>
  </si>
  <si>
    <t>06/77207354</t>
  </si>
  <si>
    <t>0763/717130</t>
  </si>
  <si>
    <t>06/9564043</t>
  </si>
  <si>
    <t>06/97996907</t>
  </si>
  <si>
    <t>06/5812792</t>
  </si>
  <si>
    <t>06/23488093</t>
  </si>
  <si>
    <t>06/30430023</t>
  </si>
  <si>
    <t>Trecca - cucina di mercato</t>
  </si>
  <si>
    <t>Via Alessandro Severo, 222</t>
  </si>
  <si>
    <t>Ex Fiera</t>
  </si>
  <si>
    <t>06/88650867</t>
  </si>
  <si>
    <t>Molo 29</t>
  </si>
  <si>
    <t>Via Mario Musco, 29/31</t>
  </si>
  <si>
    <t>06/59600651</t>
  </si>
  <si>
    <t>Agostino</t>
  </si>
  <si>
    <t>Corso Trieste, 66</t>
  </si>
  <si>
    <t>Via Tuscolana, 1677</t>
  </si>
  <si>
    <t>Caffè Conti</t>
  </si>
  <si>
    <t>La Briciola di Adriana</t>
  </si>
  <si>
    <t>Pizza Chef</t>
  </si>
  <si>
    <t>Faro - Caffè Specialty</t>
  </si>
  <si>
    <t>Da Michele</t>
  </si>
  <si>
    <t>Via Tiberio Imperatore, 95/97</t>
  </si>
  <si>
    <t>06/5404352</t>
  </si>
  <si>
    <t>Drink Kong</t>
  </si>
  <si>
    <t>06/23488666</t>
  </si>
  <si>
    <t>Mikachan</t>
  </si>
  <si>
    <t>Via Torcegno, 39</t>
  </si>
  <si>
    <t>Infernetto</t>
  </si>
  <si>
    <t>338/1737246</t>
  </si>
  <si>
    <t>Osteria Fratelli Mori</t>
  </si>
  <si>
    <t>romana / pizzeria</t>
  </si>
  <si>
    <t>Via dei Conciatori, 10</t>
  </si>
  <si>
    <t>331/3234399</t>
  </si>
  <si>
    <t>Mudejar Spiriti e Cucina</t>
  </si>
  <si>
    <t>Sperlonga</t>
  </si>
  <si>
    <t>338/6839418</t>
  </si>
  <si>
    <t>Mater</t>
  </si>
  <si>
    <t>Fiano Romano</t>
  </si>
  <si>
    <t>Idylio by Apreda</t>
  </si>
  <si>
    <t>Parioli</t>
  </si>
  <si>
    <t>Artigiano del Caffè</t>
  </si>
  <si>
    <t>Via Famagosta, 14</t>
  </si>
  <si>
    <t>329/7467044</t>
  </si>
  <si>
    <t>Piazza di Spagna</t>
  </si>
  <si>
    <t>06/36000009</t>
  </si>
  <si>
    <t>street food romano</t>
  </si>
  <si>
    <t>El maiz</t>
  </si>
  <si>
    <t>panificio con cucina</t>
  </si>
  <si>
    <t>forno / bistrot</t>
  </si>
  <si>
    <t>tradizionale / romana</t>
  </si>
  <si>
    <t>Vermicino</t>
  </si>
  <si>
    <t>Via Natale del Grande, 6/7</t>
  </si>
  <si>
    <t>Piazza dei Quiriti, 4/5</t>
  </si>
  <si>
    <t>Via Domenichino, 14</t>
  </si>
  <si>
    <t>06/66006878</t>
  </si>
  <si>
    <t>06/3972 5514</t>
  </si>
  <si>
    <t>06/88798381</t>
  </si>
  <si>
    <t>Gelato d'Essai</t>
  </si>
  <si>
    <t>Prenestino</t>
  </si>
  <si>
    <t>06/89232228</t>
  </si>
  <si>
    <t>Colli Aniene</t>
  </si>
  <si>
    <t>06/64264692</t>
  </si>
  <si>
    <t>Fax Factory</t>
  </si>
  <si>
    <t>caffetteria specialty</t>
  </si>
  <si>
    <t>Via Antonio Raimondi, 87</t>
  </si>
  <si>
    <t>06/69301043</t>
  </si>
  <si>
    <t>Sushisen</t>
  </si>
  <si>
    <t>indirizzo
plurimo</t>
  </si>
  <si>
    <t>riservato
per</t>
  </si>
  <si>
    <t>Duke's - Fine Casual Bar &amp; Restaurant</t>
  </si>
  <si>
    <t>Babingtons</t>
  </si>
  <si>
    <t>Via Cristoforo Colombo, 1897</t>
  </si>
  <si>
    <t>Casal Palocco</t>
  </si>
  <si>
    <t>Via Bisagno, 19</t>
  </si>
  <si>
    <t>Ghetto</t>
  </si>
  <si>
    <t>Via Clelia, 63/A</t>
  </si>
  <si>
    <t>Piazzale delle Province, 9</t>
  </si>
  <si>
    <t>Via Dietro la Chiesa, 3/4</t>
  </si>
  <si>
    <t>Via dei Vascellari, 29</t>
  </si>
  <si>
    <t>pasticceria</t>
  </si>
  <si>
    <t>06/53095459</t>
  </si>
  <si>
    <t>06/87566046</t>
  </si>
  <si>
    <t>06/90239685</t>
  </si>
  <si>
    <t>06/5756945</t>
  </si>
  <si>
    <t>Sintesi</t>
  </si>
  <si>
    <t>Via Adige, 19/21</t>
  </si>
  <si>
    <t>Viale dei Castani, 17</t>
  </si>
  <si>
    <t>Ariccia</t>
  </si>
  <si>
    <t>06/45557597</t>
  </si>
  <si>
    <t>Salmoneria</t>
  </si>
  <si>
    <t>bottega con cucina</t>
  </si>
  <si>
    <t>Angelo Pezzella</t>
  </si>
  <si>
    <t>Via Appia Nuova, 1095</t>
  </si>
  <si>
    <t>06/7188560</t>
  </si>
  <si>
    <t>06/45495604</t>
  </si>
  <si>
    <t>Largo Argentina</t>
  </si>
  <si>
    <t>Barred</t>
  </si>
  <si>
    <t>Via Cesena, 30</t>
  </si>
  <si>
    <t>06/97273382</t>
  </si>
  <si>
    <t>Bottega Tredici</t>
  </si>
  <si>
    <t>Via dei Falegnami, 14</t>
  </si>
  <si>
    <t>06/92118504</t>
  </si>
  <si>
    <t>Via dell'Arco della Ciambella, 20</t>
  </si>
  <si>
    <t>Sinosteria</t>
  </si>
  <si>
    <t>324/6399916</t>
  </si>
  <si>
    <t>Viale Guglielmo Marconi, 586</t>
  </si>
  <si>
    <t>Radici - pizzicheria salentina</t>
  </si>
  <si>
    <t>street food pugliese</t>
  </si>
  <si>
    <t>Via Emanuele Filiberto, 38</t>
  </si>
  <si>
    <t>06/89021483</t>
  </si>
  <si>
    <t>tradizionale / carne</t>
  </si>
  <si>
    <t>Subiaco</t>
  </si>
  <si>
    <t>06/86937299</t>
  </si>
  <si>
    <t>La Villetta</t>
  </si>
  <si>
    <t>Via del Porticciolo Romano, snc</t>
  </si>
  <si>
    <t>0771/723113</t>
  </si>
  <si>
    <t>Dumpling Bar</t>
  </si>
  <si>
    <t>Piazza Antonio Meucci, 1</t>
  </si>
  <si>
    <t>344/0658913</t>
  </si>
  <si>
    <t>Gastromario</t>
  </si>
  <si>
    <t>pasticceria / bistrot</t>
  </si>
  <si>
    <t>Via Voghera, 10</t>
  </si>
  <si>
    <t>Piazza Lodi</t>
  </si>
  <si>
    <t>06/79782584</t>
  </si>
  <si>
    <t>Vicolo del Bologna, 19</t>
  </si>
  <si>
    <t>342/3006808</t>
  </si>
  <si>
    <t>Via di Tor Pignattara, 190</t>
  </si>
  <si>
    <t>345/5479532</t>
  </si>
  <si>
    <t>Collina Fleming</t>
  </si>
  <si>
    <t>Mine</t>
  </si>
  <si>
    <t>06/3337879</t>
  </si>
  <si>
    <t>347/9998983</t>
  </si>
  <si>
    <t>Porto Quadro</t>
  </si>
  <si>
    <t>Piazza Ippolito Nievo, 13/14</t>
  </si>
  <si>
    <t>340/8640569</t>
  </si>
  <si>
    <t>Tram Tram</t>
  </si>
  <si>
    <t>06/490416</t>
  </si>
  <si>
    <t>Via dei Reti, 44/46</t>
  </si>
  <si>
    <t>Centro</t>
  </si>
  <si>
    <t>N.O.D.O.</t>
  </si>
  <si>
    <t>Piazza delle Coppelle, 52</t>
  </si>
  <si>
    <t>06/94376334</t>
  </si>
  <si>
    <t>Carter Oblio</t>
  </si>
  <si>
    <t>Via Giuseppe Gioachino Belli, 21</t>
  </si>
  <si>
    <t>Piazza Euclide, 25</t>
  </si>
  <si>
    <t>Via Val di Sangro, 35</t>
  </si>
  <si>
    <t>348/0081620</t>
  </si>
  <si>
    <t>La Ciambella bar à vin</t>
  </si>
  <si>
    <t>Menabó Vino e Cucina</t>
  </si>
  <si>
    <t>Mangiadischi la moderna trattoria</t>
  </si>
  <si>
    <t>a Rota - pizzeria romanesca</t>
  </si>
  <si>
    <t>Il tuo fornaio</t>
  </si>
  <si>
    <t>Pasticceria Walter Musco</t>
  </si>
  <si>
    <t>Enoteca L'Antidoto</t>
  </si>
  <si>
    <t>amARanto</t>
  </si>
  <si>
    <t>Viale della Pineta di Fregene, 52/C</t>
  </si>
  <si>
    <t>San Pietro</t>
  </si>
  <si>
    <t>Via delle Palme, 44/D-E</t>
  </si>
  <si>
    <t>Corso San Leone, 3/A</t>
  </si>
  <si>
    <t>Via San Vito, 13/A</t>
  </si>
  <si>
    <t>Via Ostiense, 166/A</t>
  </si>
  <si>
    <t>Via Giuseppe Giulietti, 21/A</t>
  </si>
  <si>
    <t>Via Prenestina, 321/A</t>
  </si>
  <si>
    <t>Via Genazzano, 32</t>
  </si>
  <si>
    <t>Villa Gordiani</t>
  </si>
  <si>
    <t>Via Pier Paolo Pasolini, snc</t>
  </si>
  <si>
    <t>Via Dino Penazzato, 83/H</t>
  </si>
  <si>
    <t>Via Francesco Sapori, 35</t>
  </si>
  <si>
    <t>Tor Marancia</t>
  </si>
  <si>
    <t>Via Beniamino Franklin, 12/E</t>
  </si>
  <si>
    <t>Via Flaminia, 732/B</t>
  </si>
  <si>
    <t>Piazza del Risorgimento, 3</t>
  </si>
  <si>
    <t>Piazza di San Martino ai Monti, 8</t>
  </si>
  <si>
    <t>Via Vodice, 21/A</t>
  </si>
  <si>
    <t>Piazza Menenio Agrippa, 8/B-C</t>
  </si>
  <si>
    <t>Via della Meloria, 43</t>
  </si>
  <si>
    <t>Via della Dogana Vecchia, 12/13</t>
  </si>
  <si>
    <t>06/6832930</t>
  </si>
  <si>
    <t>06/84381895</t>
  </si>
  <si>
    <t>06/93374742</t>
  </si>
  <si>
    <t>creativa / pesce</t>
  </si>
  <si>
    <t>tradizionale / rivisitata</t>
  </si>
  <si>
    <t>vegetariana / vegana</t>
  </si>
  <si>
    <t>principalmente romana</t>
  </si>
  <si>
    <t>bottega / bistrot</t>
  </si>
  <si>
    <t>ravioleria cinese</t>
  </si>
  <si>
    <t>45</t>
  </si>
  <si>
    <t>40+20</t>
  </si>
  <si>
    <t>40</t>
  </si>
  <si>
    <t xml:space="preserve">	primo, secondo e dolce (o antipasto)</t>
  </si>
  <si>
    <t>primo, secondo e dolce (o antipasto)</t>
  </si>
  <si>
    <t>25+20</t>
  </si>
  <si>
    <t>35</t>
  </si>
  <si>
    <t>30</t>
  </si>
  <si>
    <t>50+20</t>
  </si>
  <si>
    <t>25</t>
  </si>
  <si>
    <t>30+20</t>
  </si>
  <si>
    <t>antipasto, primo e secondo</t>
  </si>
  <si>
    <t>La Galleria di Sopra</t>
  </si>
  <si>
    <t>Via Leonardo Murialdo, 9</t>
  </si>
  <si>
    <t>Albano Laziale</t>
  </si>
  <si>
    <t>7½</t>
  </si>
  <si>
    <t>novità</t>
  </si>
  <si>
    <t>20</t>
  </si>
  <si>
    <t>1 tipo di sushi (roll o nigiri), un piatto caldo, 1 frittura, 1 dolce</t>
  </si>
  <si>
    <t>1 tacos, 2 piatti forti</t>
  </si>
  <si>
    <t>1 ramen + altri due piatti salati</t>
  </si>
  <si>
    <t>un antipasto e due pizze</t>
  </si>
  <si>
    <t>Tonda</t>
  </si>
  <si>
    <t>Via Valle Corteno, 31</t>
  </si>
  <si>
    <t>06/8180960</t>
  </si>
  <si>
    <t>4,5</t>
  </si>
  <si>
    <t>4</t>
  </si>
  <si>
    <t>1 caffè, 1 cappuccino, 1 lievito</t>
  </si>
  <si>
    <t>2 piatti salati e una centrifuga o succo</t>
  </si>
  <si>
    <t>15</t>
  </si>
  <si>
    <t>2 piatti di pasta diversi</t>
  </si>
  <si>
    <t>2 ciotole cuscus diverse e un antipasto</t>
  </si>
  <si>
    <t>1 panino + 1 piatto freddo</t>
  </si>
  <si>
    <t>12</t>
  </si>
  <si>
    <t>due panini diversi e un fritto</t>
  </si>
  <si>
    <t>7</t>
  </si>
  <si>
    <t>tè + fetta di torta o dolce monoporzione</t>
  </si>
  <si>
    <t>17</t>
  </si>
  <si>
    <t>tea menù</t>
  </si>
  <si>
    <t>1 calice di vino + 2 piatti</t>
  </si>
  <si>
    <t>1 burger + 1 un'alra preparazione salata</t>
  </si>
  <si>
    <t>2 cocktail diversi</t>
  </si>
  <si>
    <t>10</t>
  </si>
  <si>
    <t>1 panino + 1 tagliere</t>
  </si>
  <si>
    <t>1 cono o 1 coppetta con tre gusti+panna</t>
  </si>
  <si>
    <t>2 tranci di pizza piccoli (obbligatorio la margherita) + 1 fritto caratteristico</t>
  </si>
  <si>
    <t>9</t>
  </si>
  <si>
    <t>2 pinse diverse</t>
  </si>
  <si>
    <t>3 mini panini diversi</t>
  </si>
  <si>
    <t>Buccia</t>
  </si>
  <si>
    <t>Sabaudia</t>
  </si>
  <si>
    <t>366/4990849</t>
  </si>
  <si>
    <t>Osteria del Tempo Perso</t>
  </si>
  <si>
    <t>Piazza San Rocco, 13</t>
  </si>
  <si>
    <t>Casalvieri</t>
  </si>
  <si>
    <t>0776/638039</t>
  </si>
  <si>
    <t>Osteria Santa Lucia</t>
  </si>
  <si>
    <t>Corso della Repubblica, 26</t>
  </si>
  <si>
    <t>Frosinone</t>
  </si>
  <si>
    <t>0775/211863</t>
  </si>
  <si>
    <t>Via Santi Sebastiano e Rocco, 95</t>
  </si>
  <si>
    <t>Sezze</t>
  </si>
  <si>
    <t>0773/888573</t>
  </si>
  <si>
    <t>Da Antonio</t>
  </si>
  <si>
    <t>Via Mario Lizzani, 21</t>
  </si>
  <si>
    <t>Torre Spaccata</t>
  </si>
  <si>
    <t>391/7475549</t>
  </si>
  <si>
    <t>Pupillo Pura Pizza</t>
  </si>
  <si>
    <t>Madeleine</t>
  </si>
  <si>
    <t>Via Monte Santo, 64</t>
  </si>
  <si>
    <t>06/3728537</t>
  </si>
  <si>
    <t>19.2 Winebar Enoteca</t>
  </si>
  <si>
    <t>winebar / caffetteria</t>
  </si>
  <si>
    <t>Largo Benito Jacovitti, 16</t>
  </si>
  <si>
    <t>Torrino</t>
  </si>
  <si>
    <t>347/4387426</t>
  </si>
  <si>
    <t>1 tagliere + 1 sfizio</t>
  </si>
  <si>
    <t>06/52831571</t>
  </si>
  <si>
    <t>Nettuno</t>
  </si>
  <si>
    <t>enoteca con cucina</t>
  </si>
  <si>
    <t>Via Pontina Km 74,000</t>
  </si>
  <si>
    <t>1 primo, 1 secondo+ 1 antipasto o 1 dolce</t>
  </si>
  <si>
    <t>Enoteca La Mescita</t>
  </si>
  <si>
    <t>333/3015847</t>
  </si>
  <si>
    <t>Via Luigi Fincati, 44</t>
  </si>
  <si>
    <t>Gelateria I Gemelli</t>
  </si>
  <si>
    <t>Via Fonte Buono, 114</t>
  </si>
  <si>
    <t>349/8360994</t>
  </si>
  <si>
    <t>0773/241940</t>
  </si>
  <si>
    <t>Via Antonio Pacinotti, 83</t>
  </si>
  <si>
    <t>Via Nino Bixio, 1</t>
  </si>
  <si>
    <t>06/630640</t>
  </si>
  <si>
    <t>street food cinese</t>
  </si>
  <si>
    <t>Via Bergamo, 15</t>
  </si>
  <si>
    <t>Drogherie del Mare</t>
  </si>
  <si>
    <t>388/8348616</t>
  </si>
  <si>
    <t>Via Giusti, 18</t>
  </si>
  <si>
    <t>Aventina</t>
  </si>
  <si>
    <t>06/66594151</t>
  </si>
  <si>
    <t>Viale della Piramide Cestia, 9</t>
  </si>
  <si>
    <t>Charlotte</t>
  </si>
  <si>
    <t>Via Vercelli, 12/14</t>
  </si>
  <si>
    <t>06/25399727</t>
  </si>
  <si>
    <t>Magazzino Scipioni</t>
  </si>
  <si>
    <t>06/39745233</t>
  </si>
  <si>
    <t>Bosco - Officine del Tartufo</t>
  </si>
  <si>
    <t>Mogano</t>
  </si>
  <si>
    <t>Formello</t>
  </si>
  <si>
    <t>Via del Praticello Alto, 5</t>
  </si>
  <si>
    <t>327/2312156</t>
  </si>
  <si>
    <t>Spiazzo</t>
  </si>
  <si>
    <t>Ponte di Ferro</t>
  </si>
  <si>
    <t>Via Giovan Battista Marzi, 1</t>
  </si>
  <si>
    <t>Tarquinia</t>
  </si>
  <si>
    <t>0766/731637</t>
  </si>
  <si>
    <t>Via Filippo Nicolai, 44</t>
  </si>
  <si>
    <t>Caprarola</t>
  </si>
  <si>
    <t>0761/646173</t>
  </si>
  <si>
    <t>Forma</t>
  </si>
  <si>
    <t>Via Trieste, 9</t>
  </si>
  <si>
    <t>Civitavecchia</t>
  </si>
  <si>
    <t>0766/672647</t>
  </si>
  <si>
    <t>Rimessa Roscioli</t>
  </si>
  <si>
    <t>06/68803914</t>
  </si>
  <si>
    <t>Il Casaletto</t>
  </si>
  <si>
    <t>Strada Grottana, 9</t>
  </si>
  <si>
    <t>Grotte Santo Stefano</t>
  </si>
  <si>
    <t>0761/367077</t>
  </si>
  <si>
    <t>Contrasto</t>
  </si>
  <si>
    <t>0761/973117</t>
  </si>
  <si>
    <t>Spaccio Grosso</t>
  </si>
  <si>
    <t>Via Ancona, 40</t>
  </si>
  <si>
    <t>06/9419004</t>
  </si>
  <si>
    <t>Ristorante Belvedere dal 1933</t>
  </si>
  <si>
    <t>Via Regina Margherita, 29</t>
  </si>
  <si>
    <t>Dazio Roma</t>
  </si>
  <si>
    <t>Via Nomentana, 1206</t>
  </si>
  <si>
    <t>06/83525515</t>
  </si>
  <si>
    <t>tapas bar</t>
  </si>
  <si>
    <t>53 Untitled</t>
  </si>
  <si>
    <t>375/7150155</t>
  </si>
  <si>
    <t>Pastorie</t>
  </si>
  <si>
    <t>Via Pesaro, 40</t>
  </si>
  <si>
    <t>393/9558235</t>
  </si>
  <si>
    <t>Vinificio</t>
  </si>
  <si>
    <t>Dogma</t>
  </si>
  <si>
    <t>06/86679819</t>
  </si>
  <si>
    <t>Piazza Zama, 34</t>
  </si>
  <si>
    <t>Velo Pasticceria</t>
  </si>
  <si>
    <t>06/45427861</t>
  </si>
  <si>
    <t>Via del Corso, 63</t>
  </si>
  <si>
    <t>Via Faleria, 12</t>
  </si>
  <si>
    <t>06/97278919</t>
  </si>
  <si>
    <t>I Quintili</t>
  </si>
  <si>
    <t>Via Eurialo, 7/C</t>
  </si>
  <si>
    <t>06/80077157</t>
  </si>
  <si>
    <t>06/2016003</t>
  </si>
  <si>
    <t>Caffè Doria</t>
  </si>
  <si>
    <t>06/6793805</t>
  </si>
  <si>
    <t>Il Maritozzo Rosso</t>
  </si>
  <si>
    <t>06/5817363</t>
  </si>
  <si>
    <t>Via Pietro Cavallini, 25</t>
  </si>
  <si>
    <t>06/90543525</t>
  </si>
  <si>
    <t>Pulejo</t>
  </si>
  <si>
    <t>Via dei Gracchi, 31</t>
  </si>
  <si>
    <t>06/85956532</t>
  </si>
  <si>
    <t>Baccio e i Gradini</t>
  </si>
  <si>
    <t>Viale della Piramide Cestia, 25</t>
  </si>
  <si>
    <t>351/8823737</t>
  </si>
  <si>
    <t>Tulipane</t>
  </si>
  <si>
    <t>Via del Pavone, 28</t>
  </si>
  <si>
    <t>06/01903840</t>
  </si>
  <si>
    <t>Piazza della Cancelleria, 80</t>
  </si>
  <si>
    <t>06/6897080</t>
  </si>
  <si>
    <t>Molo 21</t>
  </si>
  <si>
    <t>Lungomare Guglielmo Marconi, 21</t>
  </si>
  <si>
    <t>Santa Marinella</t>
  </si>
  <si>
    <t>L'Elementare</t>
  </si>
  <si>
    <t>Via Benedetta, 23</t>
  </si>
  <si>
    <t>06/5894016</t>
  </si>
  <si>
    <t>Michele Chinappi</t>
  </si>
  <si>
    <t>pesce / pizzeria</t>
  </si>
  <si>
    <t>Via Abate Tosti, 101</t>
  </si>
  <si>
    <t>0771/279917</t>
  </si>
  <si>
    <t>Via Guido de Ruggiero, 64</t>
  </si>
  <si>
    <t>06/95938970</t>
  </si>
  <si>
    <t>oWine</t>
  </si>
  <si>
    <t>Contatto</t>
  </si>
  <si>
    <t>Via Gioberti, 11</t>
  </si>
  <si>
    <t>06/21700957</t>
  </si>
  <si>
    <t>0773/703921</t>
  </si>
  <si>
    <t>Cassino</t>
  </si>
  <si>
    <t>Il Vecchio Mulino</t>
  </si>
  <si>
    <t>territoriale</t>
  </si>
  <si>
    <t>Lubriano</t>
  </si>
  <si>
    <t>0761/780505</t>
  </si>
  <si>
    <t>0774/282499</t>
  </si>
  <si>
    <t>NU' Trattoria Italiana dal 1960</t>
  </si>
  <si>
    <t>tipica</t>
  </si>
  <si>
    <t>Acuto</t>
  </si>
  <si>
    <t>0775/56372</t>
  </si>
  <si>
    <t>L'Osteria dell'Orologio</t>
  </si>
  <si>
    <t>Umami - trattoria giapponese</t>
  </si>
  <si>
    <t>Clementina</t>
  </si>
  <si>
    <t>Via della Torre Clementina, 158</t>
  </si>
  <si>
    <t>328/8181651</t>
  </si>
  <si>
    <t>Extremis</t>
  </si>
  <si>
    <t>Via del Casale Rocchi, 20/22</t>
  </si>
  <si>
    <t>06/87809051</t>
  </si>
  <si>
    <t>Osteria di Maccarese</t>
  </si>
  <si>
    <t>06/30328324</t>
  </si>
  <si>
    <t>Maccarese</t>
  </si>
  <si>
    <t>ricercata / principalmente pesce</t>
  </si>
  <si>
    <t>street food al tartufo</t>
  </si>
  <si>
    <t>panini di mare</t>
  </si>
  <si>
    <t>enoteca naturale</t>
  </si>
  <si>
    <t>hamburgheria / ristorante di carne</t>
  </si>
  <si>
    <t>cocktail bar / bistrot</t>
  </si>
  <si>
    <t>caffetteria / sala da tè</t>
  </si>
  <si>
    <t>abruzzese</t>
  </si>
  <si>
    <t>Dopo Lavoro Ricreativo</t>
  </si>
  <si>
    <t>Er Macellaio</t>
  </si>
  <si>
    <t>Forno Conti &amp; Co.</t>
  </si>
  <si>
    <t>Jiamo Lab</t>
  </si>
  <si>
    <t>LATTA - Fermenti e miscele</t>
  </si>
  <si>
    <t>Li Somari</t>
  </si>
  <si>
    <t>Mamma Orso</t>
  </si>
  <si>
    <t>Piano C - Circolo del vino</t>
  </si>
  <si>
    <t>Vineria Cesare dal 1963</t>
  </si>
  <si>
    <t>Via del Monte della Farina, 53</t>
  </si>
  <si>
    <t>Via Macerata, 8/C</t>
  </si>
  <si>
    <t>Galleria Doria Pamphilj, Via della Gatta, 1</t>
  </si>
  <si>
    <t>Via Cardinal Pietro La Fontaine, 21</t>
  </si>
  <si>
    <t>GRA</t>
  </si>
  <si>
    <t>Viale Aurelio Galleppini, 60/66</t>
  </si>
  <si>
    <t>Via Francesco Cangiullo, 16</t>
  </si>
  <si>
    <t>Contrada Taverna</t>
  </si>
  <si>
    <t>Via degli Scipioni, 30-30/A</t>
  </si>
  <si>
    <t>Via Arezzo, 17</t>
  </si>
  <si>
    <t>Via Prenestina, 27</t>
  </si>
  <si>
    <t>Via del Conservatorio, 58</t>
  </si>
  <si>
    <t>Porta Pia</t>
  </si>
  <si>
    <t>Via Mario Menghini, 99</t>
  </si>
  <si>
    <t>Parco della Caffarella</t>
  </si>
  <si>
    <t>Via San Francesco Nuovo, 1</t>
  </si>
  <si>
    <t>Piazza dell’Emporio, 1</t>
  </si>
  <si>
    <t>06/84382178</t>
  </si>
  <si>
    <t>06/88939709</t>
  </si>
  <si>
    <t>06/2757595</t>
  </si>
  <si>
    <t>06/99448583</t>
  </si>
  <si>
    <t>06/88923791</t>
  </si>
  <si>
    <t>06/97277922</t>
  </si>
  <si>
    <t>0766/1894210</t>
  </si>
  <si>
    <t>347/6632731</t>
  </si>
  <si>
    <t>331/4428878</t>
  </si>
  <si>
    <t>065562738</t>
  </si>
  <si>
    <t>06/89138094</t>
  </si>
  <si>
    <t>5</t>
  </si>
  <si>
    <t>3,5</t>
  </si>
  <si>
    <t>7+</t>
  </si>
  <si>
    <t>8-</t>
  </si>
  <si>
    <t>7-</t>
  </si>
  <si>
    <t>2,5</t>
  </si>
  <si>
    <t>8½</t>
  </si>
  <si>
    <t>3</t>
  </si>
  <si>
    <t>8</t>
  </si>
  <si>
    <t>6½</t>
  </si>
  <si>
    <t>8+</t>
  </si>
  <si>
    <t>9½</t>
  </si>
  <si>
    <t>9-</t>
  </si>
  <si>
    <t>9+</t>
  </si>
  <si>
    <t>2 cremolati diversi + panna</t>
  </si>
  <si>
    <t>due piatti salati + 1 dolce</t>
  </si>
  <si>
    <t>antipasto, primo, secondo, dolce</t>
  </si>
  <si>
    <t>antipasto, primo, secondo e dolce</t>
  </si>
  <si>
    <t>uno dei due menù degustazione</t>
  </si>
  <si>
    <t>due pizze diverse + 1 fritto</t>
  </si>
  <si>
    <t>Via Nomentana, 335/F</t>
  </si>
  <si>
    <t>Namo Ristobottega</t>
  </si>
  <si>
    <t>Via Firenze, 30</t>
  </si>
  <si>
    <t>06/87759632</t>
  </si>
  <si>
    <t>Mifang</t>
  </si>
  <si>
    <t>Scottadito</t>
  </si>
  <si>
    <t>Via Veglia, 14</t>
  </si>
  <si>
    <t>06/97162153</t>
  </si>
  <si>
    <t>06/52372056</t>
  </si>
  <si>
    <t>Al Setaccio</t>
  </si>
  <si>
    <t>Via di Mezzocammino, 193</t>
  </si>
  <si>
    <t>Tor de Cenci</t>
  </si>
  <si>
    <t>Via Francesco D'Ovidio, 27</t>
  </si>
  <si>
    <t>06/87609540</t>
  </si>
  <si>
    <t>Montelanico</t>
  </si>
  <si>
    <t>353/4196130</t>
  </si>
  <si>
    <t>Trattoria della Fortuna</t>
  </si>
  <si>
    <t>06/9004098</t>
  </si>
  <si>
    <t>Monterotondo</t>
  </si>
  <si>
    <t>Via Salaria, 57</t>
  </si>
  <si>
    <t>Iodio</t>
  </si>
  <si>
    <t>06/89619556</t>
  </si>
  <si>
    <t>La Barrique</t>
  </si>
  <si>
    <t>06/47825953</t>
  </si>
  <si>
    <t>Piazza di Sant'Eustachio, 47</t>
  </si>
  <si>
    <t>Via dei Pettinari, 43</t>
  </si>
  <si>
    <t>La Locanda della Chiocciola</t>
  </si>
  <si>
    <t>Orte</t>
  </si>
  <si>
    <t>Piazza delle Coppelle, 8</t>
  </si>
  <si>
    <t>06/89024862</t>
  </si>
  <si>
    <t>Via degli Stradivari, 1</t>
  </si>
  <si>
    <t>06/5017873</t>
  </si>
  <si>
    <t>Via Fratelli Bonnet, 5</t>
  </si>
  <si>
    <t>349/6134850</t>
  </si>
  <si>
    <t>Lievito Francesco Arnesano</t>
  </si>
  <si>
    <t>Via Simone Martini, 6/8</t>
  </si>
  <si>
    <t>Ai Due Otri</t>
  </si>
  <si>
    <t>Via Antonio de Viti de Marco, 36/38</t>
  </si>
  <si>
    <t>Corso Francia</t>
  </si>
  <si>
    <t>06/3292209</t>
  </si>
  <si>
    <t>Kohaku</t>
  </si>
  <si>
    <t>Via Marche, 66</t>
  </si>
  <si>
    <t>06/45665202</t>
  </si>
  <si>
    <t>Arte Bianca di Gabriele</t>
  </si>
  <si>
    <t>06/2757763</t>
  </si>
  <si>
    <t>Garibaldi dal 1970</t>
  </si>
  <si>
    <t>Via Tiberina, 62</t>
  </si>
  <si>
    <t>Prima Porta</t>
  </si>
  <si>
    <t>06/33611962</t>
  </si>
  <si>
    <t>Fior di Luna</t>
  </si>
  <si>
    <t>Via della Lungaretta, 96</t>
  </si>
  <si>
    <t>06/64561314</t>
  </si>
  <si>
    <t>Proloco Trastevere</t>
  </si>
  <si>
    <t>Via Goffredo Mameli, 23</t>
  </si>
  <si>
    <t>06/45596137</t>
  </si>
  <si>
    <t>Locanda Altobelli</t>
  </si>
  <si>
    <t>346/8256622</t>
  </si>
  <si>
    <t>Via Annunziata, 121</t>
  </si>
  <si>
    <t>Dieci</t>
  </si>
  <si>
    <t>Nepi</t>
  </si>
  <si>
    <t>Via Vittorio Veneto, 112</t>
  </si>
  <si>
    <t>06/87756896</t>
  </si>
  <si>
    <t>Via dei Banchi Vecchi, 140</t>
  </si>
  <si>
    <t>06/69276422</t>
  </si>
  <si>
    <t>Ludovisi</t>
  </si>
  <si>
    <t>Via della Croce, 46/47</t>
  </si>
  <si>
    <t>Piazza della Quercia, 23</t>
  </si>
  <si>
    <t>06/68300932</t>
  </si>
  <si>
    <t>Caffè Fleming</t>
  </si>
  <si>
    <t>06/3333960</t>
  </si>
  <si>
    <t>Via della Giuliana, 33</t>
  </si>
  <si>
    <t>06/98874558</t>
  </si>
  <si>
    <t>panificio / pizzeria al taglio</t>
  </si>
  <si>
    <t>Ristorante Moi</t>
  </si>
  <si>
    <t>Via Antonio Serra, 15</t>
  </si>
  <si>
    <t>06/87600399</t>
  </si>
  <si>
    <t>Viale dei Quattro Venti, 70</t>
  </si>
  <si>
    <t>Orma</t>
  </si>
  <si>
    <t>06/8543182</t>
  </si>
  <si>
    <t>Federico Prodon Pâtisserie</t>
  </si>
  <si>
    <t>Il Marchese</t>
  </si>
  <si>
    <t>Via di Ripetta, 162</t>
  </si>
  <si>
    <t>Ara Pacis</t>
  </si>
  <si>
    <t>06/90218872</t>
  </si>
  <si>
    <t>Tinello Bistrot</t>
  </si>
  <si>
    <t>Castel Gandolfo</t>
  </si>
  <si>
    <t>Via dei Dalmati, 3</t>
  </si>
  <si>
    <t>06/65498083</t>
  </si>
  <si>
    <t>Criollo - Il Bistrot Del Gelato</t>
  </si>
  <si>
    <t>Via Giuseppe Bagnera, 59</t>
  </si>
  <si>
    <t>Viale Marconi</t>
  </si>
  <si>
    <t>328/2511673</t>
  </si>
  <si>
    <t>Piazza di Santa Maria Ausiliatrice, 17/18</t>
  </si>
  <si>
    <t>327/9470778</t>
  </si>
  <si>
    <t>Via Licinio Stolone, 92</t>
  </si>
  <si>
    <t>327/4128238</t>
  </si>
  <si>
    <t>Antico Forno Roscioli</t>
  </si>
  <si>
    <t>Via dei Chiavari, 34</t>
  </si>
  <si>
    <t>06/6864045</t>
  </si>
  <si>
    <t>Capannelle</t>
  </si>
  <si>
    <t>Casa Manfredi Teatro</t>
  </si>
  <si>
    <t>Panificio Marè Prati</t>
  </si>
  <si>
    <t>Viale Angelico, 88</t>
  </si>
  <si>
    <t>06/37511594</t>
  </si>
  <si>
    <t>La Quercia</t>
  </si>
  <si>
    <t>Forno Ottavi 1921</t>
  </si>
  <si>
    <t>Grani, farine e caffè</t>
  </si>
  <si>
    <t>Günther Gelato</t>
  </si>
  <si>
    <t>Lento - Vineria con Cucina</t>
  </si>
  <si>
    <t>Pork’n’Roll</t>
  </si>
  <si>
    <t>Crunch!</t>
  </si>
  <si>
    <t>Mama-ya Ramen</t>
  </si>
  <si>
    <t>couscouseria siciliana</t>
  </si>
  <si>
    <t>tradizionale / pizzeria</t>
  </si>
  <si>
    <t>Largo Sangemini, 7/B-C</t>
  </si>
  <si>
    <t>Via dei Conciatori, 5/A</t>
  </si>
  <si>
    <t>Via Tortolini, 3/A</t>
  </si>
  <si>
    <t>Via Monte Cadria, 125</t>
  </si>
  <si>
    <t>Via G. Marconi, 25/A</t>
  </si>
  <si>
    <t>Via Tor de' Schiavi, 55/d</t>
  </si>
  <si>
    <t>Via del Boschetto, 41</t>
  </si>
  <si>
    <t>Via Boncompagni, 31/33</t>
  </si>
  <si>
    <t>Via dei Pastori, 26-A/28</t>
  </si>
  <si>
    <t>Via Vigna di Corte, 6</t>
  </si>
  <si>
    <t>Camilluccia</t>
  </si>
  <si>
    <t>Lungotevere dei Vallati</t>
  </si>
  <si>
    <t>Serafico</t>
  </si>
  <si>
    <t>Viale XXI Aprile</t>
  </si>
  <si>
    <t>Ponte Testaccio</t>
  </si>
  <si>
    <t>Via Boncompagni</t>
  </si>
  <si>
    <t>Piazza Farnese</t>
  </si>
  <si>
    <t>Repubblica</t>
  </si>
  <si>
    <t>06/68808292</t>
  </si>
  <si>
    <t>06/68395030</t>
  </si>
  <si>
    <t>06/69346839</t>
  </si>
  <si>
    <t>389/1798451</t>
  </si>
  <si>
    <t>06/83082083</t>
  </si>
  <si>
    <t>06/39728547</t>
  </si>
  <si>
    <t>0761/770885</t>
  </si>
  <si>
    <t>06/5522778</t>
  </si>
  <si>
    <t>06/9459338</t>
  </si>
  <si>
    <t>06/9322791</t>
  </si>
  <si>
    <t>0761/402734</t>
  </si>
  <si>
    <t>06/35452285</t>
  </si>
  <si>
    <t>06/5744958</t>
  </si>
  <si>
    <t xml:space="preserve">1 antipasto, 1 primo, 1 secondo, 1 dolce </t>
  </si>
  <si>
    <t>un antipasto e due pizze diverse</t>
  </si>
  <si>
    <t>Via Piave, 8</t>
  </si>
  <si>
    <t>376/2067672</t>
  </si>
  <si>
    <t>Le Levain Café</t>
  </si>
  <si>
    <t>0746/249202</t>
  </si>
  <si>
    <t>Contigliano</t>
  </si>
  <si>
    <t>Via Umberto I, 2</t>
  </si>
  <si>
    <t>La Palazzina</t>
  </si>
  <si>
    <t>351/7164206</t>
  </si>
  <si>
    <t>San Cesareo</t>
  </si>
  <si>
    <t>Love</t>
  </si>
  <si>
    <t>06/96525119</t>
  </si>
  <si>
    <t>Nite Kong</t>
  </si>
  <si>
    <t>366/8171293</t>
  </si>
  <si>
    <t>Portale 21 - Opificio di cucina</t>
  </si>
  <si>
    <t>Marino</t>
  </si>
  <si>
    <t>06/94837668</t>
  </si>
  <si>
    <t>Via Rodolfo Morandi, 32</t>
  </si>
  <si>
    <t>45+20</t>
  </si>
  <si>
    <t>0774/282912</t>
  </si>
  <si>
    <t>Viale Aventino, 46</t>
  </si>
  <si>
    <t>Santa Romana</t>
  </si>
  <si>
    <t>Piazza Certaldo, 12</t>
  </si>
  <si>
    <t>06/69317674</t>
  </si>
  <si>
    <t>Magliana</t>
  </si>
  <si>
    <t>Via Reggio Emilia, 24</t>
  </si>
  <si>
    <t>06/88936084</t>
  </si>
  <si>
    <t>06/2590699</t>
  </si>
  <si>
    <t>Via del Gazometro, 5/A</t>
  </si>
  <si>
    <t>06/45479738</t>
  </si>
  <si>
    <t>Don Choc</t>
  </si>
  <si>
    <t>gelateria / cioccolateria</t>
  </si>
  <si>
    <t>06/33221585</t>
  </si>
  <si>
    <t>06/64760483</t>
  </si>
  <si>
    <t>Piazza Rivarola, 21</t>
  </si>
  <si>
    <t>266 La Barraca</t>
  </si>
  <si>
    <t>Lungomare delle Meduse, 266</t>
  </si>
  <si>
    <t>06/85386554</t>
  </si>
  <si>
    <t>06/24597135</t>
  </si>
  <si>
    <t>Song</t>
  </si>
  <si>
    <t>06/3215804</t>
  </si>
  <si>
    <t>Via Valadier, 14</t>
  </si>
  <si>
    <t>Lido di Ostia</t>
  </si>
  <si>
    <t>Piazza Barberini</t>
  </si>
  <si>
    <t>06/3231436</t>
  </si>
  <si>
    <t>street food</t>
  </si>
  <si>
    <t>Osteria La Massaia</t>
  </si>
  <si>
    <t>06/52205140</t>
  </si>
  <si>
    <t>Via della Seta, 1</t>
  </si>
  <si>
    <t>Hotel Vilòn</t>
  </si>
  <si>
    <t>Via dell'Arancio, 68/69</t>
  </si>
  <si>
    <t>06/878187</t>
  </si>
  <si>
    <t>Hotel De' Ricci</t>
  </si>
  <si>
    <t>Via della Barchetta, 14</t>
  </si>
  <si>
    <t>06/6874775</t>
  </si>
  <si>
    <t>Da Tullio</t>
  </si>
  <si>
    <t>Via della Balduina, 211</t>
  </si>
  <si>
    <t>06/35347252</t>
  </si>
  <si>
    <t>Conca d'Oro</t>
  </si>
  <si>
    <t>Gelato Romano</t>
  </si>
  <si>
    <t>Casaloca</t>
  </si>
  <si>
    <t>Corso di Francia, 207</t>
  </si>
  <si>
    <t>06/40069361</t>
  </si>
  <si>
    <t>spagnola</t>
  </si>
  <si>
    <t>La Perla</t>
  </si>
  <si>
    <t>Via Collebianco, 11</t>
  </si>
  <si>
    <t>339/8876306</t>
  </si>
  <si>
    <t>Arpino</t>
  </si>
  <si>
    <t>Porta Maggiore</t>
  </si>
  <si>
    <t>06/69350147</t>
  </si>
  <si>
    <t>Oolong</t>
  </si>
  <si>
    <t>06/21707385</t>
  </si>
  <si>
    <t>Nena Mercato&amp;Cucina</t>
  </si>
  <si>
    <t>Via dei Sabelli, 193</t>
  </si>
  <si>
    <t>06/83434951</t>
  </si>
  <si>
    <t>La Tana dei Carbonari</t>
  </si>
  <si>
    <t>Via XX Settembre, 35</t>
  </si>
  <si>
    <t>Roccagorga</t>
  </si>
  <si>
    <t>351/7434838</t>
  </si>
  <si>
    <t>Becco</t>
  </si>
  <si>
    <t>Piazzale degli Eroi, 7</t>
  </si>
  <si>
    <t>Contrada Rapello</t>
  </si>
  <si>
    <t>0774/034382</t>
  </si>
  <si>
    <t>Popina Trattoria</t>
  </si>
  <si>
    <t>06/72499997</t>
  </si>
  <si>
    <t>Via Giovanni Verga, 42</t>
  </si>
  <si>
    <t>Trattoria A Casa Di Rita</t>
  </si>
  <si>
    <t>Via delle Ciliegie, 145</t>
  </si>
  <si>
    <t>Alessandrino</t>
  </si>
  <si>
    <t>338/9860960</t>
  </si>
  <si>
    <t>Il Maratoneta</t>
  </si>
  <si>
    <t>Via dei Volsci, 99</t>
  </si>
  <si>
    <t>Viale Europa, 15</t>
  </si>
  <si>
    <t>Via Santa Margherita, 1</t>
  </si>
  <si>
    <t>Cori</t>
  </si>
  <si>
    <t>06/9678949</t>
  </si>
  <si>
    <t>wine bar / bistrot</t>
  </si>
  <si>
    <t>Sottobanco</t>
  </si>
  <si>
    <t>Via Paolo Frisi, 1</t>
  </si>
  <si>
    <t>06/85857447</t>
  </si>
  <si>
    <t>Frumentario</t>
  </si>
  <si>
    <t>Via Tuscolana, 26</t>
  </si>
  <si>
    <t>324/0578982</t>
  </si>
  <si>
    <t>Mi Cucina Cinese Contemporanea</t>
  </si>
  <si>
    <t>Via Giovanni Botero, 31/33</t>
  </si>
  <si>
    <t>06/89346223</t>
  </si>
  <si>
    <t>Colli Albani</t>
  </si>
  <si>
    <t>InFucina</t>
  </si>
  <si>
    <t>Via dei Salentini, 6/12</t>
  </si>
  <si>
    <t>06/88791819</t>
  </si>
  <si>
    <t>Via Enrico Fermi, 102/104</t>
  </si>
  <si>
    <t>Marconi</t>
  </si>
  <si>
    <t>06/55296621</t>
  </si>
  <si>
    <t>06/45683049</t>
  </si>
  <si>
    <t>Stefano Ferrara - Gelateria</t>
  </si>
  <si>
    <t>Via Francesco Cilea, 244/246</t>
  </si>
  <si>
    <t>06/5578634</t>
  </si>
  <si>
    <t>Stefano Ferrara - Formaessenza</t>
  </si>
  <si>
    <t>Maksymovych</t>
  </si>
  <si>
    <t>06/5576474</t>
  </si>
  <si>
    <t>tradizionale con spunti creativi / pizzeria</t>
  </si>
  <si>
    <t>Via della Portella, 31</t>
  </si>
  <si>
    <t>Sancho</t>
  </si>
  <si>
    <t>06/6580690</t>
  </si>
  <si>
    <t>Via Giuseppe Gioachino Belli, 3/A</t>
  </si>
  <si>
    <t>Viale Trastevere, 255</t>
  </si>
  <si>
    <t>Via Pietro Blaserna, 11</t>
  </si>
  <si>
    <t>Giuffrè forno &amp; gelato</t>
  </si>
  <si>
    <t>06/77205274</t>
  </si>
  <si>
    <t>06/5899616</t>
  </si>
  <si>
    <t>Locanda Nocera</t>
  </si>
  <si>
    <t>Via Viggiano, 155</t>
  </si>
  <si>
    <t>351/7590202</t>
  </si>
  <si>
    <t>Tor Carbone</t>
  </si>
  <si>
    <t>Zero Miglia</t>
  </si>
  <si>
    <t>06/9803030</t>
  </si>
  <si>
    <t>Gallo Ristorante di Pesce</t>
  </si>
  <si>
    <t>Krapfen Paglia</t>
  </si>
  <si>
    <t>bar/ pasticceria</t>
  </si>
  <si>
    <t>Piazza Anco Marzio, 18/19</t>
  </si>
  <si>
    <t>06/5623344</t>
  </si>
  <si>
    <t>Via Girolamo Benzoni, 34</t>
  </si>
  <si>
    <t>334/3855945</t>
  </si>
  <si>
    <t>Koû Koû</t>
  </si>
  <si>
    <t>pasticceria / cucina giapponese</t>
  </si>
  <si>
    <t>Via Monte Pertica, 41</t>
  </si>
  <si>
    <t>Casa Matti</t>
  </si>
  <si>
    <t>Via Sabotino, 49/51</t>
  </si>
  <si>
    <t>06/93563371</t>
  </si>
  <si>
    <t>Hiromi La Maison</t>
  </si>
  <si>
    <t>Via Giovanni Schiaparelli, 21</t>
  </si>
  <si>
    <t>06/89325263</t>
  </si>
  <si>
    <t>TAC - Thin And Crunchy</t>
  </si>
  <si>
    <t>Via Fiume delle Perle, 136/138</t>
  </si>
  <si>
    <t>Mostacciano</t>
  </si>
  <si>
    <t>06/45652738</t>
  </si>
  <si>
    <t>Via Flaminia, 64</t>
  </si>
  <si>
    <t>Piazzale Flaminio</t>
  </si>
  <si>
    <t>06/64781692</t>
  </si>
  <si>
    <t>Marzapane Café &amp; Bakery</t>
  </si>
  <si>
    <t>Mazzo</t>
  </si>
  <si>
    <t>Via degli Equi, 62</t>
  </si>
  <si>
    <t>06/69420455</t>
  </si>
  <si>
    <t>Bap</t>
  </si>
  <si>
    <t>Via Raffaele Cadorna, 5</t>
  </si>
  <si>
    <t>06/2428174</t>
  </si>
  <si>
    <t>Piazza dei Caprettari, 56/60</t>
  </si>
  <si>
    <t>Libera</t>
  </si>
  <si>
    <t>Via Luigi Tosti, 54</t>
  </si>
  <si>
    <t>due dolci e una bevanda "lavorata" (tè, caffè)</t>
  </si>
  <si>
    <t>Scima</t>
  </si>
  <si>
    <t>Via Annia Regilla, 110</t>
  </si>
  <si>
    <t>Quarto Miglio</t>
  </si>
  <si>
    <t>339/8743355</t>
  </si>
  <si>
    <t>Via Cassia, 1839</t>
  </si>
  <si>
    <t>La Storta</t>
  </si>
  <si>
    <t>06/94379873</t>
  </si>
  <si>
    <t>Pontisso</t>
  </si>
  <si>
    <t>Via Antonio Cantore, 3</t>
  </si>
  <si>
    <t>06/86214524</t>
  </si>
  <si>
    <t>Mile</t>
  </si>
  <si>
    <t>Via Pesaro, 8</t>
  </si>
  <si>
    <t>327/5878046</t>
  </si>
  <si>
    <t>N'Antro</t>
  </si>
  <si>
    <t>Largo Appio Claudio, 350</t>
  </si>
  <si>
    <t>333/3900984</t>
  </si>
  <si>
    <t>TE Caffè</t>
  </si>
  <si>
    <t>caffetteria specialty / pasticceria</t>
  </si>
  <si>
    <t>Via Sforza Pallavicini, 19/25</t>
  </si>
  <si>
    <t>Castel Sant'Angelo</t>
  </si>
  <si>
    <t>375/7051217</t>
  </si>
  <si>
    <t>Sordoni</t>
  </si>
  <si>
    <t>Friccico Mangia&amp;Bevi</t>
  </si>
  <si>
    <t>La Bottega delle tre Sorelle</t>
  </si>
  <si>
    <t>MIA - pizzeria creativa</t>
  </si>
  <si>
    <t>NUH Osteria Contemporanea</t>
  </si>
  <si>
    <t>Ristorante Delicato</t>
  </si>
  <si>
    <t>Svario-Pizza Bar</t>
  </si>
  <si>
    <t>UMA</t>
  </si>
  <si>
    <t>Barnum Café</t>
  </si>
  <si>
    <t>Cafè Merenda</t>
  </si>
  <si>
    <t>Gelateria daRe</t>
  </si>
  <si>
    <t>Ruver - teglia frazionata</t>
  </si>
  <si>
    <t>San Biagio pizza e bolle</t>
  </si>
  <si>
    <t>cucina tradizionale con spunti creativi</t>
  </si>
  <si>
    <t>tramezzineria</t>
  </si>
  <si>
    <t>forno / caffetteria specialty</t>
  </si>
  <si>
    <t>caffetteria specialty / bakery</t>
  </si>
  <si>
    <t>albergo con sala da tè</t>
  </si>
  <si>
    <t>caffetteria specialty / forno</t>
  </si>
  <si>
    <t>sandwicheria</t>
  </si>
  <si>
    <t>bar / pasticceria / bistrot</t>
  </si>
  <si>
    <t>Contrada Rapello, 13</t>
  </si>
  <si>
    <t>Viale dei Colli Portuensi, 169</t>
  </si>
  <si>
    <t>Via di Santa Croce in Gerusalemme, 29</t>
  </si>
  <si>
    <t>Piazza Alessandria</t>
  </si>
  <si>
    <t>Via Giovanni XXIII, snc</t>
  </si>
  <si>
    <t>Via del Carzolese, 1 ang. Via Casilina</t>
  </si>
  <si>
    <t>Via Collatina, 126/D</t>
  </si>
  <si>
    <t>Via della Missione, 56</t>
  </si>
  <si>
    <t>Via Val Senio, 18</t>
  </si>
  <si>
    <t>Via Aurelia, 388/B</t>
  </si>
  <si>
    <t>Mezzocammino</t>
  </si>
  <si>
    <t>Campo dei Fiori</t>
  </si>
  <si>
    <t>Casalbertone</t>
  </si>
  <si>
    <t>Vicolo del Cedro, 26</t>
  </si>
  <si>
    <t>Via Tunisi, 51</t>
  </si>
  <si>
    <t>Via Oslavia, 39</t>
  </si>
  <si>
    <t>Via della Torre Clementina 142/A</t>
  </si>
  <si>
    <t>Via Flaminia, 67</t>
  </si>
  <si>
    <t>Torvaianica</t>
  </si>
  <si>
    <t>06/87807070</t>
  </si>
  <si>
    <t>06/42990845</t>
  </si>
  <si>
    <t>320/6851104</t>
  </si>
  <si>
    <t>06/701 8134</t>
  </si>
  <si>
    <t>351/9711876</t>
  </si>
  <si>
    <t>06/97997519 - 349/3603694</t>
  </si>
  <si>
    <t>06/24406688</t>
  </si>
  <si>
    <t>06/23488536</t>
  </si>
  <si>
    <t>327/0737999</t>
  </si>
  <si>
    <t>06/86299316</t>
  </si>
  <si>
    <t>pl.</t>
  </si>
  <si>
    <t>m.</t>
  </si>
  <si>
    <t>c.</t>
  </si>
  <si>
    <t>Perc.</t>
  </si>
  <si>
    <t>Piatti da provare</t>
  </si>
  <si>
    <t>menù il "vostro All'Oro"</t>
  </si>
  <si>
    <t>menù degustazione 5 portate</t>
  </si>
  <si>
    <t>menù Idylio Butterfly</t>
  </si>
  <si>
    <t>menù degustazione</t>
  </si>
  <si>
    <t>menù "primi passi"</t>
  </si>
  <si>
    <t>menù "piccolo"</t>
  </si>
  <si>
    <t>menù degustazione 6 portate</t>
  </si>
  <si>
    <t>3 piatti salati e 1 dolce</t>
  </si>
  <si>
    <t>menù 5 portate</t>
  </si>
  <si>
    <t>menù "bar a vin"</t>
  </si>
  <si>
    <t>55+20</t>
  </si>
  <si>
    <t>menù degustazione "La Perla"</t>
  </si>
  <si>
    <t>menù degustazione 6 piatti</t>
  </si>
  <si>
    <t>degustazione da 5 portate</t>
  </si>
  <si>
    <t>antipasto (no taglieri), primo, secondo a base di carne, dolci</t>
  </si>
  <si>
    <t>antipasto,primo,secondo e dolce</t>
  </si>
  <si>
    <t>1 antipasto, 1 primo, 1 secondo, 1 dolce (no semplici verdure)</t>
  </si>
  <si>
    <t>antipasto, primo,secondo e dolce</t>
  </si>
  <si>
    <t>1 antipasto (no taglieri e bruschette, verificare se quello della casa contiene cose cucinate, in caso prenderlo, altrimenti sostituirlo con un altro primo), 1 primo, 1 secondo e 1 dolce</t>
  </si>
  <si>
    <t>antipasto (no salumi e sott'oli, primo, secondo e dolce</t>
  </si>
  <si>
    <t>antipasto, primo,secondo, dolce</t>
  </si>
  <si>
    <t>antipasto,primo, secondo e dolce</t>
  </si>
  <si>
    <t>antipasto, primo, secondo,dolce</t>
  </si>
  <si>
    <t>da provare a cena: antipasto, primo, secondo e dolce</t>
  </si>
  <si>
    <t>menù percorso romano</t>
  </si>
  <si>
    <t>antipasto, riso o noodles, secondo di carne o pesce, dolce</t>
  </si>
  <si>
    <t>1 raviolo (no verdure), 1 dim sum, 1 piatto di riso (no semplice), 1 secondo (carne o verdure ma non piatti semplici)</t>
  </si>
  <si>
    <t>menù dim sum</t>
  </si>
  <si>
    <t>1 ramen, 1 piatto tra gyoza, bun o agemono, 1 tipo di huramaki</t>
  </si>
  <si>
    <t>1 fritto, 1 pizza classica, 1 gourmet, 1 dolce</t>
  </si>
  <si>
    <t>due pizze diverse + 1 fritto + 1 lingotto</t>
  </si>
  <si>
    <t>due pizze diverse+1antipasto o fritto+1 dolce</t>
  </si>
  <si>
    <t>due pizze diverse + 1 antipasto</t>
  </si>
  <si>
    <t>due pizze diverse+1 fritto+ 1 dolce</t>
  </si>
  <si>
    <t>1 fritto, due pizze diverse,1 dolce</t>
  </si>
  <si>
    <t>1 fritto, uno spicchio di pizza al padellino, 2 pizze diverse, 1 cocktail</t>
  </si>
  <si>
    <t>3 maritozzi piccoli, magari due salati e uno dolce</t>
  </si>
  <si>
    <t>1 puccia, 1 primo o secondo</t>
  </si>
  <si>
    <t>formula afternoon tea</t>
  </si>
  <si>
    <t>3 piatti salati + 1 calice di vino</t>
  </si>
  <si>
    <t>1 calice di vino + 1 sfizio+1 crostone</t>
  </si>
  <si>
    <t>2 piatti dal menù (no dolce e no piatti di sole verdure); per il vino ho calcolato 5€ di rimborso come il costo medio di un calice anche se la bottiglia rimane a chi la compra.</t>
  </si>
  <si>
    <t>un calice e 2 piatti (no cose semplici o di sole verdure)</t>
  </si>
  <si>
    <t>un calice + 1 fermentato e 2 piatti</t>
  </si>
  <si>
    <t>un calice + 2 fermini e 1 piatto</t>
  </si>
  <si>
    <t>2 piatti salati (no ostriche) e 1 calice di vino</t>
  </si>
  <si>
    <t>2 panini diversi</t>
  </si>
  <si>
    <t>short trip</t>
  </si>
  <si>
    <t>tre varietà di dumpling diversi</t>
  </si>
  <si>
    <t>1 calice di vino, 1 snack, 2 piatti diversi</t>
  </si>
  <si>
    <t>2 hamburger diversi + 1 fritto</t>
  </si>
  <si>
    <t>1 crostino, 1 tagliere misto, 1 piatto, 1 calice di vino</t>
  </si>
  <si>
    <t>3 piatti salati e 1 dolce (no salumi e formaggi, una sola tapas)</t>
  </si>
  <si>
    <t>2 cocktail diversi più due tapas</t>
  </si>
  <si>
    <t>2 cocktail + 1 piatto</t>
  </si>
  <si>
    <t>2 cocktail diversi + 1 piatto</t>
  </si>
  <si>
    <t>2 pizze al tegamino (1 "tradizione", 1 "evoluzione")</t>
  </si>
  <si>
    <t>2 tranci di pizza diversi + 1 fritto</t>
  </si>
  <si>
    <t>3 tramezzini diversi</t>
  </si>
  <si>
    <t>1 arepas, 1 empanada, 1 piatto a scelta</t>
  </si>
  <si>
    <t>2 tranci di pizza piccoli + 1 fritto caratteristico</t>
  </si>
  <si>
    <t>2 panini diversi con tipologie di pesce diverse</t>
  </si>
  <si>
    <t>2 trapizzini diversi + 1 fritto</t>
  </si>
  <si>
    <t>3 piatti salati + 1 dolce</t>
  </si>
  <si>
    <t>due pizze diverse, 1 fritto o antipasto, 1 dolce</t>
  </si>
  <si>
    <t>menù serale: antipasto (no insalate), primo, secondo (no sandwiches), dolce</t>
  </si>
  <si>
    <t>Via Conca d'Oro, 38</t>
  </si>
  <si>
    <t>06/83797040</t>
  </si>
  <si>
    <t>menù da 6 portate</t>
  </si>
  <si>
    <t>Riccioli d'Oro</t>
  </si>
  <si>
    <t>Mordi Roma</t>
  </si>
  <si>
    <t>334/7301833</t>
  </si>
  <si>
    <t>Aiki Pub</t>
  </si>
  <si>
    <t>Via Gaetano Rappini, 23</t>
  </si>
  <si>
    <t>378/3064424</t>
  </si>
  <si>
    <t>4 piatti salati (no sfizi iniziali e solo verdure)+ 1 dolce</t>
  </si>
  <si>
    <t>GioMà</t>
  </si>
  <si>
    <t>Via Calpurnio Fiamma, 40/44</t>
  </si>
  <si>
    <t>06/7674717</t>
  </si>
  <si>
    <t>1 fritto, 2 pizze diverse, 1 dolce</t>
  </si>
  <si>
    <t>Terra Gelato</t>
  </si>
  <si>
    <t>Piazza Santa Maria Maggiore, 9</t>
  </si>
  <si>
    <t>Via Cavour</t>
  </si>
  <si>
    <t>06/45666656</t>
  </si>
  <si>
    <t>Avus</t>
  </si>
  <si>
    <t>Via Cavour, 117</t>
  </si>
  <si>
    <t>vegetariano ma non solo</t>
  </si>
  <si>
    <t>06/30324564</t>
  </si>
  <si>
    <t>Via Muggia, 14</t>
  </si>
  <si>
    <t>Fase - cucina spontanea</t>
  </si>
  <si>
    <t>Quadraro</t>
  </si>
  <si>
    <t>370/1411858</t>
  </si>
  <si>
    <t xml:space="preserve">2 tapas salate e una dolce+2 birre diverse </t>
  </si>
  <si>
    <t>Giù Upside Down Restaurant</t>
  </si>
  <si>
    <t>Via Paolo Stoppa, 40</t>
  </si>
  <si>
    <t>Giardino di Roma</t>
  </si>
  <si>
    <t>375/5475445</t>
  </si>
  <si>
    <t>06/69401880</t>
  </si>
  <si>
    <t>Via Siria, 3</t>
  </si>
  <si>
    <t>menù 6 portate</t>
  </si>
  <si>
    <t>06/23209132</t>
  </si>
  <si>
    <t>3 piatti salati+1 dolce</t>
  </si>
  <si>
    <t>Nomisan</t>
  </si>
  <si>
    <t xml:space="preserve"> 342/8036080</t>
  </si>
  <si>
    <t>Viale Gianluigi Bonelli, 237</t>
  </si>
  <si>
    <t>Mezzocamino</t>
  </si>
  <si>
    <t>Brucio - La Contemporanea</t>
  </si>
  <si>
    <t>Brucio - La Romana</t>
  </si>
  <si>
    <t>Ciaparat</t>
  </si>
  <si>
    <t>06/86299221</t>
  </si>
  <si>
    <t>Enofficina</t>
  </si>
  <si>
    <t>Via Trionfale, 50</t>
  </si>
  <si>
    <t>06/39742353</t>
  </si>
  <si>
    <t>Via Vibio Mariano, 5</t>
  </si>
  <si>
    <t>Tomba di Nerone</t>
  </si>
  <si>
    <t>06/33251114 - 334/3112437</t>
  </si>
  <si>
    <t>333/4327944</t>
  </si>
  <si>
    <t>Said dal 1923</t>
  </si>
  <si>
    <t>cioccolateria / bistrot</t>
  </si>
  <si>
    <t>Via Tiburtina, 135</t>
  </si>
  <si>
    <t>06/4469204</t>
  </si>
  <si>
    <t>Piatto Romano</t>
  </si>
  <si>
    <t>Via Giovanni Battista Bodoni, 62</t>
  </si>
  <si>
    <t>06/64014447</t>
  </si>
  <si>
    <t>Locanda Ruggieri</t>
  </si>
  <si>
    <t>Via del Rio, 10</t>
  </si>
  <si>
    <t>333/4758507</t>
  </si>
  <si>
    <t>Il Grecale</t>
  </si>
  <si>
    <t>Riviera Zanardelli, 57</t>
  </si>
  <si>
    <t>06/9846822</t>
  </si>
  <si>
    <t>Locanda Dorica</t>
  </si>
  <si>
    <t>06/5590376</t>
  </si>
  <si>
    <t>Velletri</t>
  </si>
  <si>
    <t>Casa Malgarini</t>
  </si>
  <si>
    <t>06/87772889</t>
  </si>
  <si>
    <t>Parco di Veio</t>
  </si>
  <si>
    <t>Osteria Landi</t>
  </si>
  <si>
    <t>06/56305565</t>
  </si>
  <si>
    <t>Via Claudio, 28</t>
  </si>
  <si>
    <t>Santa Pizza</t>
  </si>
  <si>
    <t>06/85951563</t>
  </si>
  <si>
    <t>La Lampara</t>
  </si>
  <si>
    <t>Passoscuro</t>
  </si>
  <si>
    <t>06/6672038</t>
  </si>
  <si>
    <t>Via Catania, 51</t>
  </si>
  <si>
    <t>Borgo San Giorgio</t>
  </si>
  <si>
    <t>Via dei Pastori, 30</t>
  </si>
  <si>
    <t>06/59603683</t>
  </si>
  <si>
    <t>Tratto</t>
  </si>
  <si>
    <t>Viale Dell’Aeronautica 67/69</t>
  </si>
  <si>
    <t>06/5921244</t>
  </si>
  <si>
    <t>Enoteca Cavour 313</t>
  </si>
  <si>
    <t>Via Cavour, 313</t>
  </si>
  <si>
    <t>06/6785496</t>
  </si>
  <si>
    <t>Ponte Milvio</t>
  </si>
  <si>
    <t>Via Appia Nuova, 37</t>
  </si>
  <si>
    <t>379/1290077</t>
  </si>
  <si>
    <t>Gelasio</t>
  </si>
  <si>
    <t>Lina - La Pizza in Teglia</t>
  </si>
  <si>
    <t>Circonvallazione Trionfale, 53</t>
  </si>
  <si>
    <t>351/7747767</t>
  </si>
  <si>
    <t>Via Ponte Gregoriano, 1</t>
  </si>
  <si>
    <t>0774/011261</t>
  </si>
  <si>
    <t>Da Brando</t>
  </si>
  <si>
    <t>06/33225327</t>
  </si>
  <si>
    <t>Via Flaminia, 532</t>
  </si>
  <si>
    <t>Casale Verdeluna</t>
  </si>
  <si>
    <t>Località Civitella, 3</t>
  </si>
  <si>
    <t>0775/503051</t>
  </si>
  <si>
    <t>Atlas</t>
  </si>
  <si>
    <t>Via Ciro Menotti, 16/18</t>
  </si>
  <si>
    <t>Via Latina, 80</t>
  </si>
  <si>
    <t>06/86675708</t>
  </si>
  <si>
    <t>Shell</t>
  </si>
  <si>
    <t>libreria / bistrot</t>
  </si>
  <si>
    <t>Vicolo della Fontana, 28</t>
  </si>
  <si>
    <t>Villa Paganini</t>
  </si>
  <si>
    <t>06/86726388</t>
  </si>
  <si>
    <t>Divina Giulia</t>
  </si>
  <si>
    <t>340/8244624</t>
  </si>
  <si>
    <t>menù degustazione Albore</t>
  </si>
  <si>
    <t>Zelato</t>
  </si>
  <si>
    <t>Via degli Aurunci, 40</t>
  </si>
  <si>
    <t>342/5470485</t>
  </si>
  <si>
    <t>Luna</t>
  </si>
  <si>
    <t>Via delle Quattro Fontane, 175</t>
  </si>
  <si>
    <t>06/45595900</t>
  </si>
  <si>
    <t>Osteria Anna</t>
  </si>
  <si>
    <t>S.R. 630 Cassino Formia km. 15</t>
  </si>
  <si>
    <t>Castelnuovo Parano</t>
  </si>
  <si>
    <t>0776/952596</t>
  </si>
  <si>
    <t>Via Savoia, 38/42</t>
  </si>
  <si>
    <t>menù degustazione Dim Sum e Ramen</t>
  </si>
  <si>
    <t>Nonnarè</t>
  </si>
  <si>
    <t>Piazza Augusto Albini, 10</t>
  </si>
  <si>
    <t>328/5367252</t>
  </si>
  <si>
    <t>Cheebo</t>
  </si>
  <si>
    <t>hamburgheria</t>
  </si>
  <si>
    <t>351/7598556</t>
  </si>
  <si>
    <t>Via Aretusa, 6</t>
  </si>
  <si>
    <t>La Rustica</t>
  </si>
  <si>
    <t>1 smashburger, 1 burger con pollo o pulled pork</t>
  </si>
  <si>
    <t>Mario L'Ostricaro</t>
  </si>
  <si>
    <t>0773/702461</t>
  </si>
  <si>
    <t>Via Appia, km 102</t>
  </si>
  <si>
    <t>Garage Forno</t>
  </si>
  <si>
    <t>Via Paolo II, 14</t>
  </si>
  <si>
    <t>392/2984896</t>
  </si>
  <si>
    <t>Nomos Ante</t>
  </si>
  <si>
    <t>Via di San Paolo alla Regola, 3</t>
  </si>
  <si>
    <t>06/84102388</t>
  </si>
  <si>
    <t>Al Madrigale</t>
  </si>
  <si>
    <t>Mafè - osteria moderna</t>
  </si>
  <si>
    <t>Via Valsavaranche, 29/31</t>
  </si>
  <si>
    <t>Prati Fiscali</t>
  </si>
  <si>
    <t>Toma 52</t>
  </si>
  <si>
    <t>Via Cremona, 52/B</t>
  </si>
  <si>
    <t>06/5126917</t>
  </si>
  <si>
    <t>Arcangelo Vino &amp; Cucina</t>
  </si>
  <si>
    <t>Via Gallia, 28</t>
  </si>
  <si>
    <t>Trattoria del Cimino dal 1895</t>
  </si>
  <si>
    <t>Viale dello Scalo di San Lorenzo, 10</t>
  </si>
  <si>
    <t>06/85874176</t>
  </si>
  <si>
    <t>Taps</t>
  </si>
  <si>
    <t>1 antipasto, 1 primo, 1 secondo e 1 dolce</t>
  </si>
  <si>
    <t>Tante Care Cose</t>
  </si>
  <si>
    <t>Via Carlo Errera, 46</t>
  </si>
  <si>
    <t>333/6776681</t>
  </si>
  <si>
    <t>3 piatti salati</t>
  </si>
  <si>
    <t>La Renardière</t>
  </si>
  <si>
    <t>francese</t>
  </si>
  <si>
    <t>Viale Aventino, 31</t>
  </si>
  <si>
    <t>06/87785445</t>
  </si>
  <si>
    <t>due primi tipici, un secondo e un dolce</t>
  </si>
  <si>
    <t>Rosina - cucina di casa</t>
  </si>
  <si>
    <t>Vicolo delle Grotte, 27</t>
  </si>
  <si>
    <t>06/69374499</t>
  </si>
  <si>
    <t>Metis</t>
  </si>
  <si>
    <t>Piazza Enrico Martini, 24/25</t>
  </si>
  <si>
    <t>06/40066729</t>
  </si>
  <si>
    <t>Mare Bistrot</t>
  </si>
  <si>
    <t>Via della Torre Clementina, 126</t>
  </si>
  <si>
    <t>334/7978290</t>
  </si>
  <si>
    <t>L'Osteria di Ianus</t>
  </si>
  <si>
    <t>Antrodoco</t>
  </si>
  <si>
    <t>335/6151823</t>
  </si>
  <si>
    <t>Via Amiterno, 70</t>
  </si>
  <si>
    <t>Avenida Calò</t>
  </si>
  <si>
    <t>06/89238209</t>
  </si>
  <si>
    <t>La Taverna dei Corsari</t>
  </si>
  <si>
    <t>Piazza Vittorio Veneto, 10</t>
  </si>
  <si>
    <t>Montopoli di Sabina</t>
  </si>
  <si>
    <t>0765/279279</t>
  </si>
  <si>
    <t>v.26</t>
  </si>
  <si>
    <t>Amerina - la pizzetta</t>
  </si>
  <si>
    <t>EGO</t>
  </si>
  <si>
    <t>GianPà</t>
  </si>
  <si>
    <t>Hosteria Grappolo d'Oro</t>
  </si>
  <si>
    <t>Inverso</t>
  </si>
  <si>
    <t>Isotta - Trattoria Cortese</t>
  </si>
  <si>
    <t>Lievito Pizza Pane</t>
  </si>
  <si>
    <t>NuAN</t>
  </si>
  <si>
    <t>Santí - tradizione contadina</t>
  </si>
  <si>
    <t>Sicché - Roba toscana</t>
  </si>
  <si>
    <t>Trattoria Enoteca Assunta</t>
  </si>
  <si>
    <t>De Novo e D'Antico</t>
  </si>
  <si>
    <t>Aqla</t>
  </si>
  <si>
    <t>Sensorio Coffee Lab</t>
  </si>
  <si>
    <t>Dar Basha</t>
  </si>
  <si>
    <t>italiana / francese</t>
  </si>
  <si>
    <t>creativo</t>
  </si>
  <si>
    <t>pizzeria al taglio / forno</t>
  </si>
  <si>
    <t>tradizionale rivisitata</t>
  </si>
  <si>
    <t>cucina romana</t>
  </si>
  <si>
    <t>osteria contemporanea</t>
  </si>
  <si>
    <t>bar</t>
  </si>
  <si>
    <t>marocchina</t>
  </si>
  <si>
    <t>Largo dei Librari, 82</t>
  </si>
  <si>
    <t>Via Litoranea, Km 20,600</t>
  </si>
  <si>
    <t>Via Flaminia, 677/A</t>
  </si>
  <si>
    <t>Via della Giustiniana, 670/B</t>
  </si>
  <si>
    <t>Via Etruria, 35</t>
  </si>
  <si>
    <t>Via Portuense, 727 F/G</t>
  </si>
  <si>
    <t>Viale dei Quattro Venti, 152/C</t>
  </si>
  <si>
    <t>Campo dei fiori</t>
  </si>
  <si>
    <t>Via Carlo Livi, 10/16</t>
  </si>
  <si>
    <t>Torrevecchia</t>
  </si>
  <si>
    <t>Via Carbonia, 35</t>
  </si>
  <si>
    <t>Piazza Alessandria c/o Mercato Nomentano - box A2</t>
  </si>
  <si>
    <t>Re di Roma</t>
  </si>
  <si>
    <t>Piazza di San Paolo alla Regola, 40</t>
  </si>
  <si>
    <t>Via di Villa Faonte, 94</t>
  </si>
  <si>
    <t>Tufello</t>
  </si>
  <si>
    <t>Porta Metronia</t>
  </si>
  <si>
    <t>Via Beniamino Franklin, 12/C</t>
  </si>
  <si>
    <t>Piazza Giuseppe Mazzini, 45</t>
  </si>
  <si>
    <t>Via Giovanni Amendola 1/B</t>
  </si>
  <si>
    <t>Via Giacomo Boni, 33/35</t>
  </si>
  <si>
    <t>Piazza Santa Maria Consolatrice, 15/16</t>
  </si>
  <si>
    <t>Via Andrea Busiri Vici, 13</t>
  </si>
  <si>
    <t>Via Felice Cavallotti, 36/B</t>
  </si>
  <si>
    <t>Viale Pinturicchio, 38/42</t>
  </si>
  <si>
    <t>Via Aurora, 10</t>
  </si>
  <si>
    <t>Porta Pinciana</t>
  </si>
  <si>
    <t>06/98183647</t>
  </si>
  <si>
    <t>06/89716513</t>
  </si>
  <si>
    <t>331/1264351</t>
  </si>
  <si>
    <t>06/6858 5315</t>
  </si>
  <si>
    <t>06/90537554</t>
  </si>
  <si>
    <t>0765/ 480785 - 331/1650624</t>
  </si>
  <si>
    <t>06/55280963</t>
  </si>
  <si>
    <t>329/9299705</t>
  </si>
  <si>
    <t>06/4466573</t>
  </si>
  <si>
    <t>333/2256285</t>
  </si>
  <si>
    <t>375/8666287</t>
  </si>
  <si>
    <t>06/94377684 - 375/8207355</t>
  </si>
  <si>
    <t>6+</t>
  </si>
  <si>
    <t>10-</t>
  </si>
  <si>
    <t>50</t>
  </si>
  <si>
    <t>60</t>
  </si>
  <si>
    <t>85</t>
  </si>
  <si>
    <t>115</t>
  </si>
  <si>
    <t>65</t>
  </si>
  <si>
    <t>55</t>
  </si>
  <si>
    <t>150</t>
  </si>
  <si>
    <t>80</t>
  </si>
  <si>
    <t>34</t>
  </si>
  <si>
    <t>130</t>
  </si>
  <si>
    <t>6</t>
  </si>
  <si>
    <t>110</t>
  </si>
  <si>
    <t>18</t>
  </si>
  <si>
    <t>70</t>
  </si>
  <si>
    <t>29</t>
  </si>
  <si>
    <t>120</t>
  </si>
  <si>
    <t>100</t>
  </si>
  <si>
    <t>Dondolo</t>
  </si>
  <si>
    <t>Via di Monte Sacro, 23</t>
  </si>
  <si>
    <t>bakery</t>
  </si>
  <si>
    <t>06/45752197</t>
  </si>
  <si>
    <t>Diego Vitagliano</t>
  </si>
  <si>
    <t>Via Chiana, 80</t>
  </si>
  <si>
    <t>06/72276443</t>
  </si>
  <si>
    <t>351/3100815</t>
  </si>
  <si>
    <t>Stecca</t>
  </si>
  <si>
    <t>Viale Guglielmo Massaia, 28</t>
  </si>
  <si>
    <t>06/01906053</t>
  </si>
  <si>
    <t>Fernanda D'Arienzo</t>
  </si>
  <si>
    <t>1 caffè, 1 cappuccino, 1 krapfen e 1 lievito</t>
  </si>
  <si>
    <t>Da Danilo</t>
  </si>
  <si>
    <t>Via Petrarca, 13</t>
  </si>
  <si>
    <t>Piazza Vittorio</t>
  </si>
  <si>
    <t>06/77200111</t>
  </si>
  <si>
    <t>Simone Cargiani</t>
  </si>
  <si>
    <t>bloccato per Elisa Del Frate</t>
  </si>
  <si>
    <t>bloccato per Fabrizio Sbicca</t>
  </si>
  <si>
    <t>bloccato per Giorgio Sorbino</t>
  </si>
  <si>
    <t>35+20</t>
  </si>
  <si>
    <t>Fabrizio Sbicca</t>
  </si>
  <si>
    <t>MAE - Slow Brunchers</t>
  </si>
  <si>
    <t>1 tipo di pancake, 1 tipo di uova, 1 tipo di bagel, 1 bevanda</t>
  </si>
  <si>
    <t>1 fritto e 3 tranci piccoli di pizze diverse</t>
  </si>
  <si>
    <t>Luca Veglianti</t>
  </si>
  <si>
    <t>Elisa Del Frate</t>
  </si>
  <si>
    <t>Andrea Angiolino</t>
  </si>
  <si>
    <t>Brado</t>
  </si>
  <si>
    <t>carne / selvaggina</t>
  </si>
  <si>
    <t>Viale Amelia, 42</t>
  </si>
  <si>
    <t>375/5140851</t>
  </si>
  <si>
    <t>Valentino Affinita</t>
  </si>
  <si>
    <t>Giorgio Sorbino</t>
  </si>
  <si>
    <t>Poldo e Gianna</t>
  </si>
  <si>
    <t>Vicolo Rosini, 6</t>
  </si>
  <si>
    <t>Parlamento</t>
  </si>
  <si>
    <t>06/6893499</t>
  </si>
  <si>
    <t>Giulia Maria Bellucci</t>
  </si>
  <si>
    <t>Bless</t>
  </si>
  <si>
    <t>Via dell’Indipendenza, 208</t>
  </si>
  <si>
    <t>Gaeta</t>
  </si>
  <si>
    <t>0771/030188</t>
  </si>
  <si>
    <t>Via Marcantonio Bragadin, 13</t>
  </si>
  <si>
    <t>348/4302368 - 06/69459860</t>
  </si>
  <si>
    <t>Via Emilio Faà di Bruno, 31</t>
  </si>
  <si>
    <t>392/4799773</t>
  </si>
  <si>
    <t>4 piatti scelti dalle varie categorie</t>
  </si>
  <si>
    <t>Forno Ritorno</t>
  </si>
  <si>
    <t>forno / caffetteria</t>
  </si>
  <si>
    <t>Via Amerigo Vespucci, 20</t>
  </si>
  <si>
    <t>392/7768427</t>
  </si>
  <si>
    <t>Pizza Baar</t>
  </si>
  <si>
    <t>pizzeria al taglio / caffetteria specialty</t>
  </si>
  <si>
    <t xml:space="preserve">Via di Donna Olimpia, 71 </t>
  </si>
  <si>
    <t>Vineria Risorgimento</t>
  </si>
  <si>
    <t>Piazza del Risorgimento, 7</t>
  </si>
  <si>
    <t>06/89533745</t>
  </si>
  <si>
    <t>i calice di vino, 1 pane&amp;olio (per verificare lo stato dell'olio), 1 piatto dalla sezione Gastronomia, 1 piatto da Padellotto (no solo verdure), 1 trancio di pizza</t>
  </si>
  <si>
    <t>Slow</t>
  </si>
  <si>
    <t>caffetteria specilty / bakery</t>
  </si>
  <si>
    <t>Corso Vittorio Emanuele II, 73</t>
  </si>
  <si>
    <t>Largo di Torre Argentina</t>
  </si>
  <si>
    <t>Alla Magnatora</t>
  </si>
  <si>
    <t>0775/1626000</t>
  </si>
  <si>
    <t>Via Volubro, 4</t>
  </si>
  <si>
    <t>Marco Silleni</t>
  </si>
  <si>
    <t>Ie Koji Sakaba</t>
  </si>
  <si>
    <t>Mr. Meat Kitchen and Grill</t>
  </si>
  <si>
    <t>carne</t>
  </si>
  <si>
    <t>Via di Salone, 248</t>
  </si>
  <si>
    <t>Settecamini</t>
  </si>
  <si>
    <t>345/1764800</t>
  </si>
  <si>
    <t>Viale delle Orchidee, 100</t>
  </si>
  <si>
    <t>349/2422046</t>
  </si>
  <si>
    <t>100C Vino e Pesce</t>
  </si>
  <si>
    <t>1 montanara, 1 pizza Bruma, 1 pizza Roots, 1 spicchio doppio crunch</t>
  </si>
  <si>
    <t>Francesca Sebastio</t>
  </si>
  <si>
    <t>bloccato per Anca Enache</t>
  </si>
  <si>
    <t>Futura</t>
  </si>
  <si>
    <t>Piazza di Santa Maria Liberatrice, 31</t>
  </si>
  <si>
    <t>375/6342191</t>
  </si>
  <si>
    <t>Crunch Teglia</t>
  </si>
  <si>
    <t>Via della Bufalotta, 284</t>
  </si>
  <si>
    <t>06/99606077</t>
  </si>
  <si>
    <t>bloccato per Vanessa Picena</t>
  </si>
  <si>
    <t xml:space="preserve">Angelino "ai Fori" dal 1947 </t>
  </si>
  <si>
    <t>Largo Corrado Ricci, 40</t>
  </si>
  <si>
    <t>Fori Imperiali</t>
  </si>
  <si>
    <t>06/6791121</t>
  </si>
  <si>
    <t>antipasto (no salumi e formaggi), primo (preferibilmente della tradizione romana), secondo, dolce</t>
  </si>
  <si>
    <t>Controluce</t>
  </si>
  <si>
    <t>Via della Luce, 44</t>
  </si>
  <si>
    <t>06/5814839</t>
  </si>
  <si>
    <t>1 antipasto, 1 primo, 1 secondo, 1 dolce (no piatti semplici)</t>
  </si>
  <si>
    <t>Concreto Cucina e Vino</t>
  </si>
  <si>
    <t>Via Marianna Dionigi, 4</t>
  </si>
  <si>
    <t>06/5415084</t>
  </si>
  <si>
    <t xml:space="preserve">novità </t>
  </si>
  <si>
    <t>3 piatti salati (no giardiniera, no selezione formaggi e salumi, no sfizi iniziali)+ 1 dolce</t>
  </si>
  <si>
    <t>Via Antonio Cantore, 13</t>
  </si>
  <si>
    <t>Anca Enache</t>
  </si>
  <si>
    <t>Piazza delle Erbe, 16</t>
  </si>
  <si>
    <t>348/7277746</t>
  </si>
  <si>
    <t>Bottega Popolare</t>
  </si>
  <si>
    <t>cucina piemontese</t>
  </si>
  <si>
    <t>Via Andrea Doria, 41 Mercato Trionfale Box 113</t>
  </si>
  <si>
    <t>334/3351068</t>
  </si>
  <si>
    <t>farinata, plin, vitello tonnato</t>
  </si>
  <si>
    <t>Forno Bianchi</t>
  </si>
  <si>
    <t>forno / pizzeria</t>
  </si>
  <si>
    <t>Largo delle Sette Chiese, 16</t>
  </si>
  <si>
    <t>2 pezzi di pizza diversi+1 croissant salato</t>
  </si>
  <si>
    <t>Mrgda Ristorante</t>
  </si>
  <si>
    <t>etiope / eritrea</t>
  </si>
  <si>
    <t>Via Prenestina, 182</t>
  </si>
  <si>
    <t>329/933355</t>
  </si>
  <si>
    <t>Schenardino - Cucina Pizza &amp; Vino</t>
  </si>
  <si>
    <t>Specus</t>
  </si>
  <si>
    <t>Via Casilina, 315</t>
  </si>
  <si>
    <t>Valmontone</t>
  </si>
  <si>
    <t>06/89522332</t>
  </si>
  <si>
    <t>SupplicAmy</t>
  </si>
  <si>
    <t>Viale Parioli, 69</t>
  </si>
  <si>
    <t>377/3192153</t>
  </si>
  <si>
    <t>Vanessa Picena</t>
  </si>
  <si>
    <t>Sando Ie Koji</t>
  </si>
  <si>
    <t>street food giapponese</t>
  </si>
  <si>
    <t>Via Andrea Doria, 32</t>
  </si>
  <si>
    <t>392/8208889</t>
  </si>
  <si>
    <t>Brasserie La Neige</t>
  </si>
  <si>
    <t>Piazzale Plan De Valli, 50</t>
  </si>
  <si>
    <t>Terminillo</t>
  </si>
  <si>
    <t>379/1573597</t>
  </si>
  <si>
    <t>POP Pizzeria Popolare</t>
  </si>
  <si>
    <t>Largo Appio Claudio, 384</t>
  </si>
  <si>
    <t>351/7850356</t>
  </si>
  <si>
    <t>347/6145569</t>
  </si>
  <si>
    <t>Laverve fermenteria</t>
  </si>
  <si>
    <t>kombucha bar</t>
  </si>
  <si>
    <t>Via di Portonaccio, 21</t>
  </si>
  <si>
    <t>340/0832288</t>
  </si>
  <si>
    <t>kombucha alla spina, cocktail base kombucha e 2 sfizi (no patatine)</t>
  </si>
  <si>
    <t>Località Seripola, snc</t>
  </si>
  <si>
    <t>Via Guglielmo Calderini, 64</t>
  </si>
  <si>
    <t>Cesano</t>
  </si>
  <si>
    <t>Via Giovanni da Castel Bolognese, 63</t>
  </si>
  <si>
    <t>Via del Piè di Marmo, 28</t>
  </si>
  <si>
    <t>Largo Magnagrecia, 4</t>
  </si>
  <si>
    <t>Piazza S. Donà di Piave, 14</t>
  </si>
  <si>
    <t>Via dei Basaldella</t>
  </si>
  <si>
    <t>Viale Battista Bardanzellu, 77</t>
  </si>
  <si>
    <t>Via Tor de' Schiavi, 295</t>
  </si>
  <si>
    <t>Via Flaminia, 732</t>
  </si>
  <si>
    <t>Via di Monte Polacco, 4</t>
  </si>
  <si>
    <t>Salita de' Crescenzi, 31</t>
  </si>
  <si>
    <t>GPS</t>
  </si>
  <si>
    <t>40.895192392463066, 12.967058864523024</t>
  </si>
  <si>
    <t>40.79678482724941, 13.431396627622997</t>
  </si>
  <si>
    <t>41.639568304291025, 12.914128534051267</t>
  </si>
  <si>
    <t>41.52541475846666, 13.154755650341361</t>
  </si>
  <si>
    <t>41.668130127692955, 13.606285625808828</t>
  </si>
  <si>
    <t>41.63148771384029, 13.713537624096158</t>
  </si>
  <si>
    <t>41.39343717130358, 13.520841403709602</t>
  </si>
  <si>
    <t>42.09074687985093, 12.262343120947389</t>
  </si>
  <si>
    <t>42.47050614347387, 12.359566954675824</t>
  </si>
  <si>
    <t>42.38615019515154, 12.495906231519927</t>
  </si>
  <si>
    <t>42.45690899942159, 12.978489249161939</t>
  </si>
  <si>
    <t>42.498441707211114, 12.849190594785567</t>
  </si>
  <si>
    <t>42.63589349730473, 12.10927651128648</t>
  </si>
  <si>
    <t>42.24496578825659, 12.692992578950797</t>
  </si>
  <si>
    <t>42.08197413933925, 12.34996953999624</t>
  </si>
  <si>
    <t>41.94512375144278, 12.472919696984244</t>
  </si>
  <si>
    <t>41.94568113790995, 12.473223499943083</t>
  </si>
  <si>
    <t>41.94655573927396, 12.473496611504828</t>
  </si>
  <si>
    <t>41.9397435293709, 12.46968372581943</t>
  </si>
  <si>
    <t>41.9142700552323, 12.474733789090989</t>
  </si>
  <si>
    <t>41.91405522000567, 12.47504955492014</t>
  </si>
  <si>
    <t>41.77138755806573, 12.228188973513207</t>
  </si>
  <si>
    <t>41.77134406682577, 12.229144156450465</t>
  </si>
  <si>
    <t>41.77138359115486, 12.229620634749661</t>
  </si>
  <si>
    <t>41.51116783711071, 12.741851017737611</t>
  </si>
  <si>
    <t>41.8944379009184, 12.493778041993513</t>
  </si>
  <si>
    <t>41.94435489991688, 12.469034833268445</t>
  </si>
  <si>
    <t>41.89638993454456, 12.476047171258973</t>
  </si>
  <si>
    <t>41.9043954992026, 12.47526483926433</t>
  </si>
  <si>
    <t>41.90816049359635, 12.476063715583715</t>
  </si>
  <si>
    <t>41.89776107504589, 12.468759116941461</t>
  </si>
  <si>
    <t>41.37728946359321, 13.737764537660487</t>
  </si>
  <si>
    <t>41.82955701496672, 13.166111144621077</t>
  </si>
  <si>
    <t>41.82857927673047, 13.143353525815082</t>
  </si>
  <si>
    <t>41.80976549234967, 13.122920514770096</t>
  </si>
  <si>
    <t>41.89472309055656, 12.474234812461015</t>
  </si>
  <si>
    <t>41.89456883018618, 12.474274381610769</t>
  </si>
  <si>
    <t>Luca Veglianti (chiuso)</t>
  </si>
  <si>
    <t>41.768741212395845, 12.661723908109279</t>
  </si>
  <si>
    <t>IMHO</t>
  </si>
  <si>
    <t>Via Renzo da Ceri, 6</t>
  </si>
  <si>
    <t>06/94410660</t>
  </si>
  <si>
    <t>41.89206094245367, 12.5381366209542</t>
  </si>
  <si>
    <t>Radici Social Food</t>
  </si>
  <si>
    <t>brunch / caffetteria specialty</t>
  </si>
  <si>
    <t>Via Val Chisone, 28</t>
  </si>
  <si>
    <t>41.93387740594664, 12.52730874517291</t>
  </si>
  <si>
    <t>06/85353456</t>
  </si>
  <si>
    <t>41.8956791569936, 12.501959002216351</t>
  </si>
  <si>
    <t>41.89679564973395, 12.499504573152592</t>
  </si>
  <si>
    <t>Chinappi dal Presidente</t>
  </si>
  <si>
    <t>principalmente pesce / pizzeria</t>
  </si>
  <si>
    <t>Via Anfiteatro, 8</t>
  </si>
  <si>
    <t>41.257529410024596, 13.607647265635304</t>
  </si>
  <si>
    <t>0771/790002</t>
  </si>
  <si>
    <t>Gelateria Numa</t>
  </si>
  <si>
    <t>Via Franco Sacchetti, 105</t>
  </si>
  <si>
    <t>352/0104703</t>
  </si>
  <si>
    <t>41.94700822535606, 12.54287904662492</t>
  </si>
  <si>
    <t>Osteria al Forno di Agnese</t>
  </si>
  <si>
    <t>Civita di Bagnoregio</t>
  </si>
  <si>
    <t>Via S. Maria del Cassero</t>
  </si>
  <si>
    <t>0761/792571</t>
  </si>
  <si>
    <t>42.62801832889736, 12.113497979928281</t>
  </si>
  <si>
    <t>Parco delle Querce</t>
  </si>
  <si>
    <t>Orsola</t>
  </si>
  <si>
    <t>Il Filo Rosso di Coralli</t>
  </si>
  <si>
    <t>Leon d'Oro</t>
  </si>
  <si>
    <t>Bacchettone e Zazzà</t>
  </si>
  <si>
    <t>Piazzetta del Sole</t>
  </si>
  <si>
    <t>0761/458606</t>
  </si>
  <si>
    <t>Via XX Settembre, 129</t>
  </si>
  <si>
    <t>Farnese</t>
  </si>
  <si>
    <t>42.54204862838347, 11.832933159518674</t>
  </si>
  <si>
    <t>Km 15, SP13</t>
  </si>
  <si>
    <t>Valentano</t>
  </si>
  <si>
    <t>331/7702747</t>
  </si>
  <si>
    <t>42.54891885981214, 11.722242354291765</t>
  </si>
  <si>
    <t>0766/96070</t>
  </si>
  <si>
    <t>Allumiere</t>
  </si>
  <si>
    <t>Piazza della Repubblica, 4</t>
  </si>
  <si>
    <t>42.15604104501563, 11.902343389858135</t>
  </si>
  <si>
    <t>339/3998616</t>
  </si>
  <si>
    <t>Via Costa Del Sole, snc</t>
  </si>
  <si>
    <t>Collebaccaro</t>
  </si>
  <si>
    <t>42.39219014190762, 12.772112791252264</t>
  </si>
  <si>
    <t>Leonessa</t>
  </si>
  <si>
    <t>Corso San Giuseppe da Leonessa, 120</t>
  </si>
  <si>
    <t>0746/923320</t>
  </si>
  <si>
    <t>42.56262903667231, 12.963527058287966</t>
  </si>
  <si>
    <t>0775/662091</t>
  </si>
  <si>
    <t>Via dell'Orologio, 11/A</t>
  </si>
  <si>
    <t>Castro dei Volsci</t>
  </si>
  <si>
    <t>41.50866221112778, 13.40640249472946</t>
  </si>
  <si>
    <t>La Locanda del Ditirambo</t>
  </si>
  <si>
    <t>Castelforte</t>
  </si>
  <si>
    <t>principalmente carne</t>
  </si>
  <si>
    <t>Via delle Terme, 77</t>
  </si>
  <si>
    <t>0771/607015</t>
  </si>
  <si>
    <t>41.28954879741742, 13.83952498668336</t>
  </si>
  <si>
    <t>42.40925664400598, 12.76587676294282</t>
  </si>
  <si>
    <t>Via del Pellegrino, 63/65</t>
  </si>
  <si>
    <t>Terracotta Osteria con Brace</t>
  </si>
  <si>
    <t>osteria con brace</t>
  </si>
  <si>
    <t>Viale Maresciallo Pilsudski, 44</t>
  </si>
  <si>
    <t>393/0692511</t>
  </si>
  <si>
    <t>Origine</t>
  </si>
  <si>
    <t>Via Corinto, 66</t>
  </si>
  <si>
    <t>06/83405656</t>
  </si>
  <si>
    <t>Da Zacca ar 20</t>
  </si>
  <si>
    <t>Via Domenico Millelire, 20</t>
  </si>
  <si>
    <t>345/5017051</t>
  </si>
  <si>
    <t>41.90530306820849, 12.44651286331835</t>
  </si>
  <si>
    <t>Cipro</t>
  </si>
  <si>
    <t>Gordito</t>
  </si>
  <si>
    <t>Via Francesco Coletti, 21</t>
  </si>
  <si>
    <t>Vigna Clara</t>
  </si>
  <si>
    <t>366/5038646</t>
  </si>
  <si>
    <t>41.94641094326607, 12.465099700815312</t>
  </si>
  <si>
    <t>Via Tuscolana, 1472</t>
  </si>
  <si>
    <t>393/1161874</t>
  </si>
  <si>
    <t>Via Tornimparte, 3A</t>
  </si>
  <si>
    <t>Castelverde</t>
  </si>
  <si>
    <t>340/2752791</t>
  </si>
  <si>
    <t>41.819274095380585, 12.647856071662343</t>
  </si>
  <si>
    <t>Scambio Cucina Condivisa</t>
  </si>
  <si>
    <t>Via Federico Cesi, 22</t>
  </si>
  <si>
    <t>06/95008310</t>
  </si>
  <si>
    <t>41.90631739386229, 12.47060841676495</t>
  </si>
  <si>
    <t>Crema Alta Gelateria</t>
  </si>
  <si>
    <t>Via Leone IV, 62a</t>
  </si>
  <si>
    <t>Via Giulia, 18</t>
  </si>
  <si>
    <t>06/68805851</t>
  </si>
  <si>
    <t>06/42917005</t>
  </si>
  <si>
    <t>41.89563754119089, 12.468609293963063</t>
  </si>
  <si>
    <t>41.90996742029194, 12.454795365832444</t>
  </si>
  <si>
    <t>Largo Trionfale</t>
  </si>
  <si>
    <t>Via degli Stradivari, 25</t>
  </si>
  <si>
    <t>06/69310694</t>
  </si>
  <si>
    <t>Via Gallia, 83</t>
  </si>
  <si>
    <t>Ruvido</t>
  </si>
  <si>
    <t>Via Apulia, 11</t>
  </si>
  <si>
    <t>06/97619059</t>
  </si>
  <si>
    <t>41.88173174194172, 12.504400880125283</t>
  </si>
  <si>
    <t>due piatti principali + calice di vino</t>
  </si>
  <si>
    <t>Labhalo</t>
  </si>
  <si>
    <t>Via Giuseppe Candiani, 69</t>
  </si>
  <si>
    <t>Tor Tre Teste</t>
  </si>
  <si>
    <t>327/4576545</t>
  </si>
  <si>
    <t>fast fusion food</t>
  </si>
  <si>
    <t>41.891703213366675, 12.584924888955737</t>
  </si>
  <si>
    <t>1 snack (no nachos, no plant), 1 bao o 1 taco, 1 ciotola piccola con proteine</t>
  </si>
  <si>
    <t>41.861343527588865, 12.18767684194969</t>
  </si>
  <si>
    <t>Osteria Pontina</t>
  </si>
  <si>
    <t>Via Anime Sante, 31</t>
  </si>
  <si>
    <t>338/2477534</t>
  </si>
  <si>
    <t>41.55425946313123, 12.962091128660296</t>
  </si>
  <si>
    <t>Vetro</t>
  </si>
  <si>
    <t>snack bar</t>
  </si>
  <si>
    <t>Viale Carso, 17</t>
  </si>
  <si>
    <t>06/69317804</t>
  </si>
  <si>
    <t>41.919368054530466, 12.45991023163961</t>
  </si>
  <si>
    <t>Piazzale Clodio</t>
  </si>
  <si>
    <t>41.90607809405537, 12.53551711972588</t>
  </si>
  <si>
    <t>41.934777415596464, 12.420204632620242</t>
  </si>
  <si>
    <t>Clove</t>
  </si>
  <si>
    <t>Via dei Gracchi, 229</t>
  </si>
  <si>
    <t>06/35291876</t>
  </si>
  <si>
    <t>1 menù pranzo oppure due spicchi salati e un fritto</t>
  </si>
  <si>
    <t>Sbracio</t>
  </si>
  <si>
    <t>Via Enrico Fermi, 142</t>
  </si>
  <si>
    <t>06/45544466</t>
  </si>
  <si>
    <t>41.864863982721744, 12.473675090627594</t>
  </si>
  <si>
    <t>Alicina</t>
  </si>
  <si>
    <t>Via Riano, 15 - Mercato Rionale Ponte Milvio, box 8-9-10</t>
  </si>
  <si>
    <t>335/7743957</t>
  </si>
  <si>
    <t>41.93843330293366, 12.469444484857682</t>
  </si>
  <si>
    <t>Piazza dei Quiriti, 19/20</t>
  </si>
  <si>
    <t>06/31076456</t>
  </si>
  <si>
    <t>Aqualunae</t>
  </si>
  <si>
    <t>Caffè Colombo</t>
  </si>
  <si>
    <t>Via Bartolomeo Cavaceppi, 103/111</t>
  </si>
  <si>
    <t>1 caffè, 1 cappuccino, 2 lieviti (1 tradizionale, 1 vegano)</t>
  </si>
  <si>
    <t>06/59879544</t>
  </si>
  <si>
    <t>41.79699881917897, 12.430385400824383</t>
  </si>
  <si>
    <t>Parseh</t>
  </si>
  <si>
    <t>persiana</t>
  </si>
  <si>
    <t>Via Isidoro di Carace, 6</t>
  </si>
  <si>
    <t>351/7745120</t>
  </si>
  <si>
    <t>3 piatti salati, 1 dolce</t>
  </si>
  <si>
    <t>caffèa specialty / brunch</t>
  </si>
  <si>
    <t>Origini Cibo e Vino</t>
  </si>
  <si>
    <t>Via della Pila, 14</t>
  </si>
  <si>
    <t>328/2466250</t>
  </si>
  <si>
    <t>41.922880689590514, 13.09081426816814</t>
  </si>
  <si>
    <t>Via delle Zoccolette, 28</t>
  </si>
  <si>
    <t>06/95550234</t>
  </si>
  <si>
    <t>41.89282296914112, 12.472263712577922</t>
  </si>
  <si>
    <t>Raimondo</t>
  </si>
  <si>
    <t>Via Rosa Raimondi Garibaldi, 4</t>
  </si>
  <si>
    <t>06/86673381</t>
  </si>
  <si>
    <t>41.85970610279957, 12.493624587269387</t>
  </si>
  <si>
    <t>Via del Velabro, 9</t>
  </si>
  <si>
    <t>Circo Massimo</t>
  </si>
  <si>
    <t>41.889136189812106, 12.482551076173982</t>
  </si>
  <si>
    <t>Nakai</t>
  </si>
  <si>
    <t>Via di Santa Maria alle Fornaci, 14</t>
  </si>
  <si>
    <t>06/5133215</t>
  </si>
  <si>
    <t>41.898029886075065, 12.455706103885415</t>
  </si>
  <si>
    <t>La Tartaruga</t>
  </si>
  <si>
    <t>Via degli Ontani, 5</t>
  </si>
  <si>
    <t>Colleferro</t>
  </si>
  <si>
    <t>393/2933251</t>
  </si>
  <si>
    <t>41.722300234899336, 12.985776634939107</t>
  </si>
  <si>
    <t>Via Cesare Battisti, 30</t>
  </si>
  <si>
    <t>352/0640619</t>
  </si>
  <si>
    <t>Le Murelle</t>
  </si>
  <si>
    <t>Strada delle Murelle</t>
  </si>
  <si>
    <t>Montalto di Castro</t>
  </si>
  <si>
    <t>380/3424684</t>
  </si>
  <si>
    <t>42.31012456889271, 11.603388514188062</t>
  </si>
  <si>
    <t>Albertino alla Garbatella
--
Albertino alla Garbatella</t>
  </si>
  <si>
    <t>Via Guglielmo Massaia, 25/b</t>
  </si>
  <si>
    <t>392/7753940</t>
  </si>
  <si>
    <t>41.864422414935156, 12.492143684658373</t>
  </si>
  <si>
    <t>Il Duca in Trastevere</t>
  </si>
  <si>
    <t>Vicolo del Cinque, 56</t>
  </si>
  <si>
    <t>06/5817706</t>
  </si>
  <si>
    <t>41.89062969509955, 12.469286624826061</t>
  </si>
  <si>
    <t>Pepe Nero</t>
  </si>
  <si>
    <t>Viale Regina Margherita, snc</t>
  </si>
  <si>
    <t>Capodimonte</t>
  </si>
  <si>
    <t>0761/871909</t>
  </si>
  <si>
    <t>42.553602550849845, 11.89465268098301</t>
  </si>
  <si>
    <t>Hosteria Amedeo</t>
  </si>
  <si>
    <t>Via Montecompatri, 31</t>
  </si>
  <si>
    <t>Monte Porzio Catone</t>
  </si>
  <si>
    <t>06/94341163</t>
  </si>
  <si>
    <t>41.809800593317306, 12.726402166442702</t>
  </si>
  <si>
    <t>41.82441192672199, 12.794924682160278</t>
  </si>
  <si>
    <t xml:space="preserve">Il Picchio </t>
  </si>
  <si>
    <t>Piazza Vittorio Emanuele, 33</t>
  </si>
  <si>
    <t>Torano</t>
  </si>
  <si>
    <t>348/2328300</t>
  </si>
  <si>
    <t>42.1527981195671, 13.25939272388225</t>
  </si>
  <si>
    <t>Vico Pizza &amp; Wine</t>
  </si>
  <si>
    <t>Piazza Rondanini, 47</t>
  </si>
  <si>
    <t>06/87809501</t>
  </si>
  <si>
    <t>41.89979359752863, 12.475981967920298</t>
  </si>
  <si>
    <t>Tiella</t>
  </si>
  <si>
    <t>Via Vito Giuseppe Galati, 52</t>
  </si>
  <si>
    <t>393/9192692</t>
  </si>
  <si>
    <t>Piazza Regina Margherita, 25/26</t>
  </si>
  <si>
    <t>caffè specialty / brunch</t>
  </si>
  <si>
    <t>Via Pellegrino Rossi, 1</t>
  </si>
  <si>
    <t>Cafè Conti &amp; Co.</t>
  </si>
  <si>
    <t>La Clessidra</t>
  </si>
  <si>
    <t>antipasto, primo, secondo e dolce (provare un pesce dry aging)</t>
  </si>
  <si>
    <t>Via Antonio Gramsci, 97</t>
  </si>
  <si>
    <t>375/7975609</t>
  </si>
  <si>
    <t>41.45183832097367, 12.633921659316934</t>
  </si>
  <si>
    <t>Via Gaio Melisso, 32</t>
  </si>
  <si>
    <t>Para Compartir</t>
  </si>
  <si>
    <t>Via Carlo Lorenzini, 15</t>
  </si>
  <si>
    <t>351/4210351</t>
  </si>
  <si>
    <t>L'Acqua Bulle</t>
  </si>
  <si>
    <t>Viale Vittorio Veneto, 133</t>
  </si>
  <si>
    <t>06/68975537</t>
  </si>
  <si>
    <t>41.77738105113258, 12.682042775213542</t>
  </si>
  <si>
    <t>41.77006211765232, 12.22735940892787</t>
  </si>
  <si>
    <t>Via di Casal Bertone, 64</t>
  </si>
  <si>
    <t>Dahab</t>
  </si>
  <si>
    <t>06/89112891</t>
  </si>
  <si>
    <t>41.89708722399942, 12.532899721318955</t>
  </si>
  <si>
    <t xml:space="preserve">menù degustazione da 5 portate </t>
  </si>
  <si>
    <t>N'uovo Vino e Cucina</t>
  </si>
  <si>
    <t>0761/586988</t>
  </si>
  <si>
    <t>Sutri</t>
  </si>
  <si>
    <t>60+20</t>
  </si>
  <si>
    <t>menù degustazione di 4 portate o superiore</t>
  </si>
  <si>
    <t>SS Cassia km 46, 700</t>
  </si>
  <si>
    <t>42.23075667813577, 12.258508349882923</t>
  </si>
  <si>
    <t>Donkey's Bar</t>
  </si>
  <si>
    <t>Lungotevere Arnaldo da Brescia, 2</t>
  </si>
  <si>
    <t>327/4852960</t>
  </si>
  <si>
    <t>41.91037576013152, 12.47341002086633</t>
  </si>
  <si>
    <t>Da Santuccio</t>
  </si>
  <si>
    <t>Via Guido Nati, 15</t>
  </si>
  <si>
    <t>Roscioli F.A.B.</t>
  </si>
  <si>
    <t>Ie Koji</t>
  </si>
  <si>
    <t>Via Settembrini, 21/25</t>
  </si>
  <si>
    <t>06/88795874</t>
  </si>
  <si>
    <t>Casal Bertone</t>
  </si>
  <si>
    <t>06/83428715</t>
  </si>
  <si>
    <t>Der Biondo</t>
  </si>
  <si>
    <t>Gandhi</t>
  </si>
  <si>
    <t>indiana</t>
  </si>
  <si>
    <t>Via Pellegrino Matteucci, 124</t>
  </si>
  <si>
    <t>06/64420047</t>
  </si>
  <si>
    <t>Gelabakery</t>
  </si>
  <si>
    <t>gelateria / pasticceria</t>
  </si>
  <si>
    <t>351/9236312</t>
  </si>
  <si>
    <t>Via dei Colombi, 59 B/C</t>
  </si>
  <si>
    <t>Torre Maura</t>
  </si>
  <si>
    <t>41.86962392680513, 12.593240551998313</t>
  </si>
  <si>
    <t>Tibibbo</t>
  </si>
  <si>
    <t>wine bar</t>
  </si>
  <si>
    <t>Via Poggio Ameno, 52</t>
  </si>
  <si>
    <t>370/3741308</t>
  </si>
  <si>
    <t>tre piatti diversi e un calice</t>
  </si>
  <si>
    <t>41.847407047892766, 12.489860861650634</t>
  </si>
  <si>
    <t>1 antipasto, 1 piatto tandoori, 1 di carne,1 vegetale</t>
  </si>
  <si>
    <t>Pasqualina</t>
  </si>
  <si>
    <t>Via Santi Filippo e Giacomo, 12/14</t>
  </si>
  <si>
    <t>06/88929413</t>
  </si>
  <si>
    <t>41.80685427608568, 12.681206946039827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</si>
</sst>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6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8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22"/>
        <bgColor indexed="0"/>
      </patternFill>
    </fill>
    <fill>
      <patternFill patternType="solid">
        <fgColor indexed="1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00000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23">
    <xf numFmtId="0" fontId="0" fillId="0" borderId="0"/>
    <xf numFmtId="0" fontId="14" fillId="0" borderId="0" applyNumberFormat="0" applyFill="0" applyBorder="0" applyAlignment="0" applyProtection="0">
      <alignment vertical="top"/>
      <protection locked="0"/>
    </xf>
    <xf numFmtId="164" fontId="13" fillId="0" borderId="0" applyFont="0" applyFill="0" applyBorder="0" applyAlignment="0" applyProtection="0"/>
    <xf numFmtId="0" fontId="6" fillId="0" borderId="0"/>
    <xf numFmtId="0" fontId="3" fillId="0" borderId="0"/>
    <xf numFmtId="0" fontId="13" fillId="0" borderId="0"/>
    <xf numFmtId="0" fontId="3" fillId="0" borderId="0"/>
    <xf numFmtId="0" fontId="7" fillId="0" borderId="0"/>
    <xf numFmtId="0" fontId="5" fillId="0" borderId="0"/>
    <xf numFmtId="0" fontId="9" fillId="0" borderId="0"/>
    <xf numFmtId="0" fontId="5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67">
    <xf numFmtId="0" fontId="0" fillId="0" borderId="0" xfId="0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8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center" vertical="center"/>
    </xf>
    <xf numFmtId="0" fontId="3" fillId="0" borderId="0" xfId="8" applyFont="1" applyAlignment="1">
      <alignment vertical="center" wrapText="1"/>
    </xf>
    <xf numFmtId="0" fontId="10" fillId="0" borderId="0" xfId="9" applyFont="1" applyAlignment="1">
      <alignment horizontal="center" wrapText="1"/>
    </xf>
    <xf numFmtId="0" fontId="10" fillId="0" borderId="0" xfId="9" applyFont="1" applyAlignment="1">
      <alignment wrapText="1"/>
    </xf>
    <xf numFmtId="0" fontId="10" fillId="0" borderId="0" xfId="9" applyFont="1" applyAlignment="1">
      <alignment horizontal="left" wrapText="1"/>
    </xf>
    <xf numFmtId="0" fontId="8" fillId="3" borderId="4" xfId="7" applyFont="1" applyFill="1" applyBorder="1" applyAlignment="1">
      <alignment horizontal="center"/>
    </xf>
    <xf numFmtId="0" fontId="8" fillId="0" borderId="0" xfId="9" applyFont="1" applyAlignment="1">
      <alignment horizontal="left" wrapText="1"/>
    </xf>
    <xf numFmtId="0" fontId="8" fillId="0" borderId="0" xfId="9" applyFont="1" applyAlignment="1">
      <alignment wrapText="1"/>
    </xf>
    <xf numFmtId="0" fontId="8" fillId="0" borderId="0" xfId="9" applyFont="1" applyAlignment="1">
      <alignment horizontal="center" wrapText="1"/>
    </xf>
    <xf numFmtId="0" fontId="11" fillId="4" borderId="5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 wrapText="1"/>
    </xf>
    <xf numFmtId="0" fontId="11" fillId="6" borderId="5" xfId="0" applyFont="1" applyFill="1" applyBorder="1" applyAlignment="1">
      <alignment horizontal="center" vertical="center"/>
    </xf>
    <xf numFmtId="0" fontId="11" fillId="7" borderId="5" xfId="0" applyFont="1" applyFill="1" applyBorder="1" applyAlignment="1">
      <alignment horizontal="center" vertical="center" wrapText="1"/>
    </xf>
    <xf numFmtId="0" fontId="11" fillId="8" borderId="0" xfId="8" applyFont="1" applyFill="1" applyAlignment="1">
      <alignment horizontal="center" vertical="center" wrapText="1"/>
    </xf>
    <xf numFmtId="0" fontId="8" fillId="3" borderId="6" xfId="10" applyFont="1" applyFill="1" applyBorder="1" applyAlignment="1">
      <alignment horizontal="center"/>
    </xf>
    <xf numFmtId="0" fontId="8" fillId="3" borderId="4" xfId="9" applyFont="1" applyFill="1" applyBorder="1" applyAlignment="1">
      <alignment horizontal="left"/>
    </xf>
    <xf numFmtId="0" fontId="8" fillId="3" borderId="6" xfId="10" applyFont="1" applyFill="1" applyBorder="1" applyAlignment="1">
      <alignment horizontal="left"/>
    </xf>
    <xf numFmtId="0" fontId="11" fillId="9" borderId="5" xfId="0" applyFont="1" applyFill="1" applyBorder="1" applyAlignment="1">
      <alignment horizontal="center" vertical="center"/>
    </xf>
    <xf numFmtId="0" fontId="10" fillId="10" borderId="0" xfId="9" applyFont="1" applyFill="1" applyAlignment="1">
      <alignment horizontal="center" wrapText="1"/>
    </xf>
    <xf numFmtId="0" fontId="10" fillId="10" borderId="0" xfId="9" applyFont="1" applyFill="1" applyAlignment="1">
      <alignment wrapText="1"/>
    </xf>
    <xf numFmtId="0" fontId="3" fillId="10" borderId="0" xfId="8" applyFont="1" applyFill="1" applyAlignment="1">
      <alignment horizontal="center" vertical="center" wrapText="1"/>
    </xf>
    <xf numFmtId="0" fontId="8" fillId="10" borderId="0" xfId="9" applyFont="1" applyFill="1" applyAlignment="1">
      <alignment horizontal="left" wrapText="1"/>
    </xf>
    <xf numFmtId="0" fontId="3" fillId="10" borderId="0" xfId="0" applyFont="1" applyFill="1" applyAlignment="1">
      <alignment horizontal="center" vertical="center"/>
    </xf>
    <xf numFmtId="0" fontId="8" fillId="10" borderId="0" xfId="9" applyFont="1" applyFill="1" applyAlignment="1">
      <alignment wrapText="1"/>
    </xf>
    <xf numFmtId="0" fontId="8" fillId="10" borderId="0" xfId="9" applyFont="1" applyFill="1" applyAlignment="1">
      <alignment horizontal="center" wrapText="1"/>
    </xf>
    <xf numFmtId="0" fontId="10" fillId="9" borderId="0" xfId="9" applyFont="1" applyFill="1" applyAlignment="1">
      <alignment horizontal="center" wrapText="1"/>
    </xf>
    <xf numFmtId="0" fontId="10" fillId="9" borderId="0" xfId="9" applyFont="1" applyFill="1" applyAlignment="1">
      <alignment wrapText="1"/>
    </xf>
    <xf numFmtId="0" fontId="3" fillId="9" borderId="0" xfId="8" applyFont="1" applyFill="1" applyAlignment="1">
      <alignment horizontal="center" vertical="center" wrapText="1"/>
    </xf>
    <xf numFmtId="0" fontId="8" fillId="9" borderId="0" xfId="9" applyFont="1" applyFill="1" applyAlignment="1">
      <alignment horizontal="left" wrapText="1"/>
    </xf>
    <xf numFmtId="0" fontId="10" fillId="9" borderId="0" xfId="9" applyFont="1" applyFill="1" applyAlignment="1">
      <alignment horizontal="left" wrapText="1"/>
    </xf>
    <xf numFmtId="0" fontId="3" fillId="9" borderId="0" xfId="0" applyFont="1" applyFill="1" applyAlignment="1">
      <alignment horizontal="center" vertical="center"/>
    </xf>
    <xf numFmtId="0" fontId="10" fillId="5" borderId="0" xfId="9" applyFont="1" applyFill="1" applyAlignment="1">
      <alignment horizontal="center" wrapText="1"/>
    </xf>
    <xf numFmtId="0" fontId="10" fillId="5" borderId="0" xfId="9" applyFont="1" applyFill="1" applyAlignment="1">
      <alignment wrapText="1"/>
    </xf>
    <xf numFmtId="0" fontId="3" fillId="5" borderId="0" xfId="8" applyFont="1" applyFill="1" applyAlignment="1">
      <alignment horizontal="center" vertical="center" wrapText="1"/>
    </xf>
    <xf numFmtId="0" fontId="8" fillId="5" borderId="0" xfId="9" applyFont="1" applyFill="1" applyAlignment="1">
      <alignment horizontal="left" wrapText="1"/>
    </xf>
    <xf numFmtId="0" fontId="3" fillId="5" borderId="0" xfId="0" applyFont="1" applyFill="1" applyAlignment="1">
      <alignment horizontal="center" vertical="center"/>
    </xf>
    <xf numFmtId="0" fontId="8" fillId="9" borderId="0" xfId="9" applyFont="1" applyFill="1" applyAlignment="1">
      <alignment wrapText="1"/>
    </xf>
    <xf numFmtId="0" fontId="5" fillId="10" borderId="0" xfId="9" applyFont="1" applyFill="1" applyAlignment="1">
      <alignment horizontal="center" wrapText="1"/>
    </xf>
    <xf numFmtId="0" fontId="10" fillId="8" borderId="0" xfId="9" applyFont="1" applyFill="1" applyAlignment="1">
      <alignment horizontal="center" wrapText="1"/>
    </xf>
    <xf numFmtId="0" fontId="10" fillId="8" borderId="0" xfId="9" applyFont="1" applyFill="1" applyAlignment="1">
      <alignment wrapText="1"/>
    </xf>
    <xf numFmtId="0" fontId="3" fillId="8" borderId="0" xfId="8" applyFont="1" applyFill="1" applyAlignment="1">
      <alignment horizontal="center" vertical="center" wrapText="1"/>
    </xf>
    <xf numFmtId="0" fontId="8" fillId="8" borderId="0" xfId="9" applyFont="1" applyFill="1" applyAlignment="1">
      <alignment horizontal="left" wrapText="1"/>
    </xf>
    <xf numFmtId="0" fontId="10" fillId="8" borderId="0" xfId="9" applyFont="1" applyFill="1" applyAlignment="1">
      <alignment horizontal="left" wrapText="1"/>
    </xf>
    <xf numFmtId="0" fontId="3" fillId="8" borderId="0" xfId="0" applyFont="1" applyFill="1" applyAlignment="1">
      <alignment horizontal="center" vertical="center"/>
    </xf>
    <xf numFmtId="0" fontId="8" fillId="5" borderId="0" xfId="9" applyFont="1" applyFill="1" applyAlignment="1">
      <alignment wrapText="1"/>
    </xf>
    <xf numFmtId="0" fontId="8" fillId="8" borderId="0" xfId="9" applyFont="1" applyFill="1" applyAlignment="1">
      <alignment wrapText="1"/>
    </xf>
    <xf numFmtId="0" fontId="8" fillId="9" borderId="0" xfId="9" applyFont="1" applyFill="1" applyAlignment="1">
      <alignment horizontal="center" wrapText="1"/>
    </xf>
    <xf numFmtId="0" fontId="15" fillId="9" borderId="0" xfId="0" applyFont="1" applyFill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0" fillId="11" borderId="0" xfId="9" applyFont="1" applyFill="1" applyAlignment="1">
      <alignment horizontal="center" wrapText="1"/>
    </xf>
    <xf numFmtId="0" fontId="10" fillId="11" borderId="0" xfId="9" applyFont="1" applyFill="1" applyAlignment="1">
      <alignment wrapText="1"/>
    </xf>
    <xf numFmtId="0" fontId="3" fillId="11" borderId="0" xfId="8" applyFont="1" applyFill="1" applyAlignment="1">
      <alignment horizontal="center" vertical="center" wrapText="1"/>
    </xf>
    <xf numFmtId="0" fontId="8" fillId="11" borderId="0" xfId="9" applyFont="1" applyFill="1" applyAlignment="1">
      <alignment horizontal="left" wrapText="1"/>
    </xf>
    <xf numFmtId="0" fontId="3" fillId="11" borderId="0" xfId="0" applyFont="1" applyFill="1" applyAlignment="1">
      <alignment horizontal="center" vertical="center"/>
    </xf>
  </cellXfs>
  <cellStyles count="23">
    <cellStyle name="Collegamento ipertestuale 2" xfId="1" xr:uid="{BB94F41A-D5C6-4F8C-A563-8CC3AA6A9845}"/>
    <cellStyle name="Migliaia 2" xfId="2" xr:uid="{4B29E8E3-4E0F-4FC7-892F-A3B6FFAC2F05}"/>
    <cellStyle name="Normale" xfId="0" builtinId="0"/>
    <cellStyle name="Normale 2" xfId="3" xr:uid="{096CBD50-F433-46C8-80F5-B79FAE02FD52}"/>
    <cellStyle name="Normale 2 2" xfId="4" xr:uid="{CB6DAD72-1EB8-4FDC-9CB6-B9E82A86A6B9}"/>
    <cellStyle name="Normale 3" xfId="5" xr:uid="{85935AF1-2163-4E90-B3E1-017E40D5A6F4}"/>
    <cellStyle name="Normale 4" xfId="6" xr:uid="{A400F8A0-6216-4910-8DA0-197CB13D271B}"/>
    <cellStyle name="Normale_Locali da provare_4" xfId="7" xr:uid="{39E0E402-CF6C-4005-AE64-5DEF6D6DA7D1}"/>
    <cellStyle name="Normale_Ristoranti" xfId="8" xr:uid="{255E40EE-50BA-4C07-A4A9-E348E5495724}"/>
    <cellStyle name="Normale_Tavole e pause golose" xfId="9" xr:uid="{F9E92C35-1D2E-4658-BB67-EA93AF7462FE}"/>
    <cellStyle name="Normale_Tavole e pause golose_1" xfId="10" xr:uid="{85702457-6C8D-4DA2-90E2-E0D71DF14F11}"/>
    <cellStyle name="Percentuale 2" xfId="11" xr:uid="{DC49FEE1-D34F-4833-AB65-8127900D4206}"/>
    <cellStyle name="Percentuale 2 2" xfId="12" xr:uid="{71FAADCA-3C99-44E4-B744-C2F4B56061F1}"/>
    <cellStyle name="Percentuale 2 2 2" xfId="13" xr:uid="{B67F6AE5-5390-4D84-994A-D3E71488B8EA}"/>
    <cellStyle name="Percentuale 2 2 2 2" xfId="14" xr:uid="{3D568C5B-67DB-44DB-B93A-26C009CA29BA}"/>
    <cellStyle name="Percentuale 2 3" xfId="15" xr:uid="{8576ACC6-7B92-4287-A6F5-1DF2FE433CC0}"/>
    <cellStyle name="Percentuale 2 3 2" xfId="16" xr:uid="{34D0E967-D0D9-402B-8D01-01A86A43CA2A}"/>
    <cellStyle name="Percentuale 3" xfId="17" xr:uid="{EF2C2284-8F09-415E-B84F-57F287EFFD29}"/>
    <cellStyle name="Percentuale 3 2" xfId="18" xr:uid="{6CDD1AA1-B6DC-4EAB-BE85-CED041A5C7AA}"/>
    <cellStyle name="Percentuale 3 2 2" xfId="19" xr:uid="{68ECB8EA-AF8E-4CCE-8C44-B018BD1C06C0}"/>
    <cellStyle name="Percentuale 3 2 2 2" xfId="20" xr:uid="{EF0E4ABE-C49C-4DE8-8541-1413AF901F2B}"/>
    <cellStyle name="Percentuale 3 3" xfId="21" xr:uid="{18355B6F-3AB5-4FB7-9A26-80642E63573B}"/>
    <cellStyle name="Percentuale 3 3 2" xfId="22" xr:uid="{75C47007-311F-4D25-B521-E0F82B833469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F1B98-D301-4D81-BF1C-BA4579F153A5}">
  <sheetPr>
    <pageSetUpPr fitToPage="1"/>
  </sheetPr>
  <dimension ref="A1:XFD812"/>
  <sheetViews>
    <sheetView tabSelected="1" zoomScaleNormal="100" workbookViewId="0">
      <pane ySplit="7" topLeftCell="A155" activePane="bottomLeft" state="frozen"/>
      <selection pane="bottomLeft" activeCell="E166" sqref="E166"/>
    </sheetView>
  </sheetViews>
  <sheetFormatPr defaultColWidth="9.140625" defaultRowHeight="14.25" customHeight="1" x14ac:dyDescent="0.2"/>
  <cols>
    <col min="1" max="1" width="4.85546875" style="1" customWidth="1"/>
    <col min="2" max="2" width="3.7109375" style="1" customWidth="1"/>
    <col min="3" max="3" width="3.85546875" style="1" customWidth="1"/>
    <col min="4" max="4" width="29.7109375" style="2" customWidth="1"/>
    <col min="5" max="5" width="19" style="11" customWidth="1"/>
    <col min="6" max="6" width="25.7109375" style="2" customWidth="1"/>
    <col min="7" max="7" width="27" style="11" customWidth="1"/>
    <col min="8" max="8" width="17.28515625" style="11" customWidth="1"/>
    <col min="9" max="9" width="19" style="1" customWidth="1"/>
    <col min="10" max="10" width="10.5703125" style="1" customWidth="1"/>
    <col min="11" max="11" width="9.28515625" style="1" customWidth="1"/>
    <col min="12" max="12" width="12.42578125" style="10" customWidth="1"/>
    <col min="13" max="13" width="35.7109375" style="14" customWidth="1"/>
    <col min="14" max="14" width="21.140625" style="14" customWidth="1"/>
    <col min="15" max="15" width="6.42578125" style="1" customWidth="1"/>
    <col min="16" max="16" width="7" style="1" customWidth="1"/>
    <col min="17" max="17" width="17.28515625" style="11" customWidth="1"/>
    <col min="18" max="18" width="7.42578125" style="1" customWidth="1"/>
    <col min="19" max="19" width="9.28515625" style="1" customWidth="1"/>
    <col min="20" max="20" width="8.28515625" style="1" customWidth="1"/>
    <col min="21" max="21" width="5.7109375" style="1" customWidth="1"/>
    <col min="22" max="27" width="9.42578125" style="1" bestFit="1" customWidth="1"/>
    <col min="28" max="28" width="10.85546875" style="1" bestFit="1" customWidth="1"/>
    <col min="29" max="29" width="7" style="1" customWidth="1"/>
    <col min="30" max="30" width="21.85546875" style="1" customWidth="1"/>
    <col min="31" max="31" width="27.28515625" style="1" customWidth="1"/>
    <col min="32" max="32" width="18" style="1" customWidth="1"/>
    <col min="33" max="33" width="19.85546875" style="1" customWidth="1"/>
    <col min="34" max="34" width="15.140625" style="1" customWidth="1"/>
    <col min="35" max="35" width="18.140625" style="1" customWidth="1"/>
    <col min="36" max="16384" width="9.140625" style="1"/>
  </cols>
  <sheetData>
    <row r="1" spans="1:35" ht="14.25" customHeight="1" x14ac:dyDescent="0.2">
      <c r="D1" s="1"/>
      <c r="F1" s="1"/>
    </row>
    <row r="2" spans="1:35" ht="14.25" customHeight="1" x14ac:dyDescent="0.2">
      <c r="D2" s="3" t="s">
        <v>8</v>
      </c>
      <c r="E2" s="12" t="s">
        <v>24</v>
      </c>
      <c r="F2" s="3" t="s">
        <v>25</v>
      </c>
      <c r="G2" s="12" t="s">
        <v>26</v>
      </c>
      <c r="H2" s="12" t="s">
        <v>20</v>
      </c>
    </row>
    <row r="3" spans="1:35" ht="27" customHeight="1" x14ac:dyDescent="0.2">
      <c r="D3" s="1" t="s">
        <v>2</v>
      </c>
      <c r="E3" s="5">
        <f>+AH6</f>
        <v>131</v>
      </c>
      <c r="F3" s="5">
        <f>+AD6</f>
        <v>133</v>
      </c>
      <c r="G3" s="5">
        <f>+AF6</f>
        <v>128</v>
      </c>
      <c r="H3" s="5">
        <f>+E3-G3</f>
        <v>3</v>
      </c>
      <c r="I3" s="13" t="s">
        <v>9</v>
      </c>
      <c r="J3" s="4"/>
      <c r="K3" s="4"/>
    </row>
    <row r="4" spans="1:35" ht="27" customHeight="1" x14ac:dyDescent="0.25">
      <c r="D4" s="6" t="s">
        <v>3</v>
      </c>
      <c r="E4" s="7">
        <f>+AI6</f>
        <v>334</v>
      </c>
      <c r="F4" s="7">
        <f>+AE6</f>
        <v>306</v>
      </c>
      <c r="G4" s="7">
        <f>+AG6</f>
        <v>270</v>
      </c>
      <c r="H4" s="5">
        <f>+E4-G4</f>
        <v>64</v>
      </c>
      <c r="I4" s="22" t="s">
        <v>10</v>
      </c>
      <c r="J4" s="23" t="s">
        <v>560</v>
      </c>
      <c r="K4" s="24" t="s">
        <v>19</v>
      </c>
      <c r="M4" s="17"/>
      <c r="N4" s="17"/>
    </row>
    <row r="5" spans="1:35" ht="14.25" customHeight="1" x14ac:dyDescent="0.25">
      <c r="D5" s="8" t="s">
        <v>12</v>
      </c>
      <c r="E5" s="8">
        <f>+E3+E4</f>
        <v>465</v>
      </c>
      <c r="F5" s="8">
        <f>+F3+F4</f>
        <v>439</v>
      </c>
      <c r="G5" s="8">
        <f>+G3+G4</f>
        <v>398</v>
      </c>
      <c r="H5" s="8">
        <f>+H3+H4</f>
        <v>67</v>
      </c>
      <c r="I5" s="30" t="s">
        <v>16</v>
      </c>
      <c r="J5" s="25" t="s">
        <v>559</v>
      </c>
      <c r="K5" s="26" t="s">
        <v>41</v>
      </c>
      <c r="M5" s="17"/>
      <c r="N5" s="17"/>
      <c r="Q5" s="9"/>
      <c r="S5" s="9">
        <f t="shared" ref="S5:AB5" si="0">SUM(S8:S2455)</f>
        <v>60</v>
      </c>
      <c r="T5" s="9">
        <f t="shared" si="0"/>
        <v>11</v>
      </c>
      <c r="U5" s="9">
        <f t="shared" si="0"/>
        <v>6</v>
      </c>
      <c r="V5" s="9">
        <f t="shared" si="0"/>
        <v>6</v>
      </c>
      <c r="W5" s="9">
        <f t="shared" si="0"/>
        <v>3</v>
      </c>
      <c r="X5" s="9">
        <f t="shared" si="0"/>
        <v>5</v>
      </c>
      <c r="Y5" s="9">
        <f t="shared" si="0"/>
        <v>18</v>
      </c>
      <c r="Z5" s="9">
        <f t="shared" si="0"/>
        <v>30</v>
      </c>
      <c r="AA5" s="9">
        <f t="shared" si="0"/>
        <v>18</v>
      </c>
      <c r="AB5" s="9">
        <f t="shared" si="0"/>
        <v>23</v>
      </c>
      <c r="AC5" s="9"/>
      <c r="AD5" s="9"/>
      <c r="AE5" s="9"/>
      <c r="AF5" s="9"/>
      <c r="AG5" s="9"/>
    </row>
    <row r="6" spans="1:35" ht="14.25" customHeight="1" x14ac:dyDescent="0.25">
      <c r="D6" s="1"/>
      <c r="F6" s="1"/>
      <c r="M6" s="17"/>
      <c r="N6" s="17"/>
      <c r="S6" s="1" t="s">
        <v>15</v>
      </c>
      <c r="T6" s="1" t="s">
        <v>15</v>
      </c>
      <c r="U6" s="1" t="s">
        <v>15</v>
      </c>
      <c r="V6" s="1" t="s">
        <v>15</v>
      </c>
      <c r="W6" s="1" t="s">
        <v>15</v>
      </c>
      <c r="X6" s="1" t="s">
        <v>15</v>
      </c>
      <c r="Y6" s="1" t="s">
        <v>15</v>
      </c>
      <c r="Z6" s="1" t="s">
        <v>15</v>
      </c>
      <c r="AA6" s="1" t="s">
        <v>15</v>
      </c>
      <c r="AB6" s="1" t="s">
        <v>15</v>
      </c>
      <c r="AD6" s="1">
        <f t="shared" ref="AD6:AI6" si="1">SUM(AD8:AD1724)</f>
        <v>133</v>
      </c>
      <c r="AE6" s="1">
        <f t="shared" si="1"/>
        <v>306</v>
      </c>
      <c r="AF6" s="1">
        <f t="shared" si="1"/>
        <v>128</v>
      </c>
      <c r="AG6" s="1">
        <f t="shared" si="1"/>
        <v>270</v>
      </c>
      <c r="AH6" s="1">
        <f t="shared" si="1"/>
        <v>131</v>
      </c>
      <c r="AI6" s="1">
        <f t="shared" si="1"/>
        <v>334</v>
      </c>
    </row>
    <row r="7" spans="1:35" s="61" customFormat="1" ht="14.25" customHeight="1" x14ac:dyDescent="0.25">
      <c r="A7" s="27" t="s">
        <v>1342</v>
      </c>
      <c r="B7" s="27" t="s">
        <v>1343</v>
      </c>
      <c r="C7" s="27" t="s">
        <v>1344</v>
      </c>
      <c r="D7" s="29" t="s">
        <v>13</v>
      </c>
      <c r="E7" s="29" t="s">
        <v>23</v>
      </c>
      <c r="F7" s="29" t="s">
        <v>14</v>
      </c>
      <c r="G7" s="29" t="s">
        <v>18</v>
      </c>
      <c r="H7" s="29" t="s">
        <v>42</v>
      </c>
      <c r="I7" s="27" t="s">
        <v>11</v>
      </c>
      <c r="J7" s="27" t="s">
        <v>1345</v>
      </c>
      <c r="K7" s="27" t="s">
        <v>1600</v>
      </c>
      <c r="L7" s="27" t="s">
        <v>17</v>
      </c>
      <c r="M7" s="29" t="s">
        <v>1346</v>
      </c>
      <c r="N7" s="28" t="s">
        <v>0</v>
      </c>
      <c r="O7" s="18" t="s">
        <v>1</v>
      </c>
      <c r="P7" s="18" t="s">
        <v>2</v>
      </c>
      <c r="Q7" s="29" t="s">
        <v>1839</v>
      </c>
      <c r="S7" s="61">
        <v>1</v>
      </c>
      <c r="T7" s="61">
        <f>+S7+1</f>
        <v>2</v>
      </c>
      <c r="U7" s="61">
        <f t="shared" ref="U7:AB7" si="2">+T7+1</f>
        <v>3</v>
      </c>
      <c r="V7" s="61">
        <f t="shared" si="2"/>
        <v>4</v>
      </c>
      <c r="W7" s="61">
        <f t="shared" si="2"/>
        <v>5</v>
      </c>
      <c r="X7" s="61">
        <f t="shared" si="2"/>
        <v>6</v>
      </c>
      <c r="Y7" s="61">
        <f t="shared" si="2"/>
        <v>7</v>
      </c>
      <c r="Z7" s="61">
        <f t="shared" si="2"/>
        <v>8</v>
      </c>
      <c r="AA7" s="61">
        <f t="shared" si="2"/>
        <v>9</v>
      </c>
      <c r="AB7" s="61">
        <f t="shared" si="2"/>
        <v>10</v>
      </c>
      <c r="AD7" s="61" t="s">
        <v>21</v>
      </c>
      <c r="AE7" s="61" t="s">
        <v>22</v>
      </c>
      <c r="AF7" s="61" t="s">
        <v>4</v>
      </c>
      <c r="AG7" s="61" t="s">
        <v>5</v>
      </c>
      <c r="AH7" s="61" t="s">
        <v>6</v>
      </c>
      <c r="AI7" s="61" t="s">
        <v>7</v>
      </c>
    </row>
    <row r="8" spans="1:35" ht="14.25" customHeight="1" x14ac:dyDescent="0.25">
      <c r="A8" s="31">
        <v>0</v>
      </c>
      <c r="B8" s="31">
        <v>1</v>
      </c>
      <c r="C8" s="31">
        <v>1</v>
      </c>
      <c r="D8" s="32" t="s">
        <v>124</v>
      </c>
      <c r="E8" s="32" t="s">
        <v>890</v>
      </c>
      <c r="F8" s="32" t="s">
        <v>323</v>
      </c>
      <c r="G8" s="32" t="s">
        <v>177</v>
      </c>
      <c r="H8" s="32" t="s">
        <v>352</v>
      </c>
      <c r="I8" s="31" t="s">
        <v>469</v>
      </c>
      <c r="J8" s="31">
        <v>1</v>
      </c>
      <c r="K8" s="33" t="s">
        <v>724</v>
      </c>
      <c r="L8" s="33">
        <v>200</v>
      </c>
      <c r="M8" s="34" t="s">
        <v>39</v>
      </c>
      <c r="N8" s="34" t="s">
        <v>1704</v>
      </c>
      <c r="O8" s="35">
        <v>1</v>
      </c>
      <c r="P8" s="35"/>
      <c r="Q8" s="32"/>
      <c r="S8" s="1">
        <f>IF(J8=$S$7,1,0)</f>
        <v>1</v>
      </c>
      <c r="T8" s="1">
        <f>IF(J8=$T$7,1,0)</f>
        <v>0</v>
      </c>
      <c r="U8" s="1">
        <f>IF(J8=$U$7,1,0)</f>
        <v>0</v>
      </c>
      <c r="V8" s="1">
        <f>IF(J8=$V$7,1,0)</f>
        <v>0</v>
      </c>
      <c r="W8" s="1">
        <f>IF(J8=$W$7,1,0)</f>
        <v>0</v>
      </c>
      <c r="X8" s="1">
        <f>IF(J8=$X$7,1,0)</f>
        <v>0</v>
      </c>
      <c r="Y8" s="1">
        <f>IF(J8=$Y$7,1,0)</f>
        <v>0</v>
      </c>
      <c r="Z8" s="1">
        <f>IF(J8=$Z$7,1,0)</f>
        <v>0</v>
      </c>
      <c r="AA8" s="1">
        <f>IF(J8=$AA$7,1,0)</f>
        <v>0</v>
      </c>
      <c r="AB8" s="1">
        <f>IF(J8=$AB$7,1,0)</f>
        <v>0</v>
      </c>
      <c r="AD8" s="1">
        <f>+O8*P8</f>
        <v>0</v>
      </c>
      <c r="AE8" s="1">
        <f>O8*(1-P8)</f>
        <v>1</v>
      </c>
      <c r="AF8" s="1">
        <f t="shared" ref="AF8:AF12" si="3">+O8*P8*(1-A8)</f>
        <v>0</v>
      </c>
      <c r="AG8" s="1">
        <f t="shared" ref="AG8:AG12" si="4">O8*(1-P8)*(1-A8)</f>
        <v>1</v>
      </c>
      <c r="AH8" s="1">
        <f t="shared" ref="AH8:AH12" si="5">+P8*(1-A8)</f>
        <v>0</v>
      </c>
      <c r="AI8" s="1">
        <f t="shared" ref="AI8:AI12" si="6">+(1-A8)*(1-P8)</f>
        <v>1</v>
      </c>
    </row>
    <row r="9" spans="1:35" ht="14.25" customHeight="1" x14ac:dyDescent="0.25">
      <c r="A9" s="31">
        <v>0</v>
      </c>
      <c r="B9" s="31">
        <v>1</v>
      </c>
      <c r="C9" s="31">
        <v>1</v>
      </c>
      <c r="D9" s="32" t="s">
        <v>1558</v>
      </c>
      <c r="E9" s="32" t="s">
        <v>170</v>
      </c>
      <c r="F9" s="32" t="s">
        <v>1508</v>
      </c>
      <c r="G9" s="32" t="s">
        <v>39</v>
      </c>
      <c r="H9" s="32" t="s">
        <v>361</v>
      </c>
      <c r="I9" s="31" t="s">
        <v>1509</v>
      </c>
      <c r="J9" s="31">
        <v>99</v>
      </c>
      <c r="K9" s="33" t="s">
        <v>945</v>
      </c>
      <c r="L9" s="33" t="s">
        <v>1667</v>
      </c>
      <c r="M9" s="34" t="s">
        <v>1350</v>
      </c>
      <c r="N9" s="34" t="s">
        <v>1693</v>
      </c>
      <c r="O9" s="35">
        <v>1</v>
      </c>
      <c r="P9" s="35">
        <v>1</v>
      </c>
      <c r="Q9" s="32"/>
      <c r="S9" s="1">
        <f>IF(J9=$S$7,1,0)</f>
        <v>0</v>
      </c>
      <c r="T9" s="1">
        <f>IF(J9=$T$7,1,0)</f>
        <v>0</v>
      </c>
      <c r="U9" s="1">
        <f>IF(J9=$U$7,1,0)</f>
        <v>0</v>
      </c>
      <c r="V9" s="1">
        <f>IF(J9=$V$7,1,0)</f>
        <v>0</v>
      </c>
      <c r="W9" s="1">
        <f>IF(J9=$W$7,1,0)</f>
        <v>0</v>
      </c>
      <c r="X9" s="1">
        <f>IF(J9=$X$7,1,0)</f>
        <v>0</v>
      </c>
      <c r="Y9" s="1">
        <f>IF(J9=$Y$7,1,0)</f>
        <v>0</v>
      </c>
      <c r="Z9" s="1">
        <f>IF(J9=$Z$7,1,0)</f>
        <v>0</v>
      </c>
      <c r="AA9" s="1">
        <f>IF(J9=$AA$7,1,0)</f>
        <v>0</v>
      </c>
      <c r="AB9" s="1">
        <f>IF(J9=$AB$7,1,0)</f>
        <v>0</v>
      </c>
      <c r="AD9" s="1">
        <f>+O9*P9</f>
        <v>1</v>
      </c>
      <c r="AE9" s="1">
        <f>O9*(1-P9)</f>
        <v>0</v>
      </c>
      <c r="AF9" s="1">
        <f t="shared" si="3"/>
        <v>1</v>
      </c>
      <c r="AG9" s="1">
        <f t="shared" si="4"/>
        <v>0</v>
      </c>
      <c r="AH9" s="1">
        <f t="shared" si="5"/>
        <v>1</v>
      </c>
      <c r="AI9" s="1">
        <f t="shared" si="6"/>
        <v>0</v>
      </c>
    </row>
    <row r="10" spans="1:35" ht="14.25" customHeight="1" x14ac:dyDescent="0.25">
      <c r="A10" s="31">
        <v>0</v>
      </c>
      <c r="B10" s="31">
        <v>1</v>
      </c>
      <c r="C10" s="31">
        <v>1</v>
      </c>
      <c r="D10" s="32" t="s">
        <v>149</v>
      </c>
      <c r="E10" s="32" t="s">
        <v>170</v>
      </c>
      <c r="F10" s="32" t="s">
        <v>349</v>
      </c>
      <c r="G10" s="32" t="s">
        <v>177</v>
      </c>
      <c r="H10" s="32" t="s">
        <v>352</v>
      </c>
      <c r="I10" s="31" t="s">
        <v>494</v>
      </c>
      <c r="J10" s="31">
        <v>1</v>
      </c>
      <c r="K10" s="33" t="s">
        <v>945</v>
      </c>
      <c r="L10" s="33" t="s">
        <v>1668</v>
      </c>
      <c r="M10" s="34" t="s">
        <v>1347</v>
      </c>
      <c r="N10" s="34" t="s">
        <v>1808</v>
      </c>
      <c r="O10" s="35">
        <v>1</v>
      </c>
      <c r="P10" s="35"/>
      <c r="Q10" s="32"/>
      <c r="S10" s="1">
        <f>IF(J10=$S$7,1,0)</f>
        <v>1</v>
      </c>
      <c r="T10" s="1">
        <f>IF(J10=$T$7,1,0)</f>
        <v>0</v>
      </c>
      <c r="U10" s="1">
        <f>IF(J10=$U$7,1,0)</f>
        <v>0</v>
      </c>
      <c r="V10" s="1">
        <f>IF(J10=$V$7,1,0)</f>
        <v>0</v>
      </c>
      <c r="W10" s="1">
        <f>IF(J10=$W$7,1,0)</f>
        <v>0</v>
      </c>
      <c r="X10" s="1">
        <f>IF(J10=$X$7,1,0)</f>
        <v>0</v>
      </c>
      <c r="Y10" s="1">
        <f>IF(J10=$Y$7,1,0)</f>
        <v>0</v>
      </c>
      <c r="Z10" s="1">
        <f>IF(J10=$Z$7,1,0)</f>
        <v>0</v>
      </c>
      <c r="AA10" s="1">
        <f>IF(J10=$AA$7,1,0)</f>
        <v>0</v>
      </c>
      <c r="AB10" s="1">
        <f>IF(J10=$AB$7,1,0)</f>
        <v>0</v>
      </c>
      <c r="AD10" s="1">
        <f>+O10*P10</f>
        <v>0</v>
      </c>
      <c r="AE10" s="1">
        <f>O10*(1-P10)</f>
        <v>1</v>
      </c>
      <c r="AF10" s="1">
        <f t="shared" si="3"/>
        <v>0</v>
      </c>
      <c r="AG10" s="1">
        <f t="shared" si="4"/>
        <v>1</v>
      </c>
      <c r="AH10" s="1">
        <f t="shared" si="5"/>
        <v>0</v>
      </c>
      <c r="AI10" s="1">
        <f t="shared" si="6"/>
        <v>1</v>
      </c>
    </row>
    <row r="11" spans="1:35" ht="14.25" customHeight="1" x14ac:dyDescent="0.25">
      <c r="A11" s="31">
        <v>0</v>
      </c>
      <c r="B11" s="31">
        <v>1</v>
      </c>
      <c r="C11" s="31">
        <v>1</v>
      </c>
      <c r="D11" s="32" t="s">
        <v>1013</v>
      </c>
      <c r="E11" s="32" t="s">
        <v>173</v>
      </c>
      <c r="F11" s="32" t="s">
        <v>1071</v>
      </c>
      <c r="G11" s="32" t="s">
        <v>39</v>
      </c>
      <c r="H11" s="32" t="s">
        <v>1014</v>
      </c>
      <c r="I11" s="31" t="s">
        <v>1093</v>
      </c>
      <c r="J11" s="31">
        <v>16</v>
      </c>
      <c r="K11" s="33" t="s">
        <v>943</v>
      </c>
      <c r="L11" s="33">
        <v>45</v>
      </c>
      <c r="M11" s="34" t="s">
        <v>1348</v>
      </c>
      <c r="N11" s="34" t="s">
        <v>1784</v>
      </c>
      <c r="O11" s="35">
        <v>1</v>
      </c>
      <c r="P11" s="35"/>
      <c r="Q11" s="32"/>
      <c r="S11" s="1">
        <f>IF(J11=$S$7,1,0)</f>
        <v>0</v>
      </c>
      <c r="T11" s="1">
        <f>IF(J11=$T$7,1,0)</f>
        <v>0</v>
      </c>
      <c r="U11" s="1">
        <f>IF(J11=$U$7,1,0)</f>
        <v>0</v>
      </c>
      <c r="V11" s="1">
        <f>IF(J11=$V$7,1,0)</f>
        <v>0</v>
      </c>
      <c r="W11" s="1">
        <f>IF(J11=$W$7,1,0)</f>
        <v>0</v>
      </c>
      <c r="X11" s="1">
        <f>IF(J11=$X$7,1,0)</f>
        <v>0</v>
      </c>
      <c r="Y11" s="1">
        <f>IF(J11=$Y$7,1,0)</f>
        <v>0</v>
      </c>
      <c r="Z11" s="1">
        <f>IF(J11=$Z$7,1,0)</f>
        <v>0</v>
      </c>
      <c r="AA11" s="1">
        <f>IF(J11=$AA$7,1,0)</f>
        <v>0</v>
      </c>
      <c r="AB11" s="1">
        <f>IF(J11=$AB$7,1,0)</f>
        <v>0</v>
      </c>
      <c r="AD11" s="1">
        <f>+O11*P11</f>
        <v>0</v>
      </c>
      <c r="AE11" s="1">
        <f>O11*(1-P11)</f>
        <v>1</v>
      </c>
      <c r="AF11" s="1">
        <f t="shared" si="3"/>
        <v>0</v>
      </c>
      <c r="AG11" s="1">
        <f t="shared" si="4"/>
        <v>1</v>
      </c>
      <c r="AH11" s="1">
        <f t="shared" si="5"/>
        <v>0</v>
      </c>
      <c r="AI11" s="1">
        <f t="shared" si="6"/>
        <v>1</v>
      </c>
    </row>
    <row r="12" spans="1:35" ht="14.25" customHeight="1" x14ac:dyDescent="0.25">
      <c r="A12" s="31">
        <v>0</v>
      </c>
      <c r="B12" s="31">
        <v>1</v>
      </c>
      <c r="C12" s="31">
        <v>1</v>
      </c>
      <c r="D12" s="32" t="s">
        <v>116</v>
      </c>
      <c r="E12" s="32" t="s">
        <v>170</v>
      </c>
      <c r="F12" s="32" t="s">
        <v>314</v>
      </c>
      <c r="G12" s="32" t="s">
        <v>315</v>
      </c>
      <c r="H12" s="32" t="s">
        <v>352</v>
      </c>
      <c r="I12" s="31" t="s">
        <v>461</v>
      </c>
      <c r="J12" s="31">
        <v>8</v>
      </c>
      <c r="K12" s="33" t="s">
        <v>947</v>
      </c>
      <c r="L12" s="33" t="s">
        <v>1671</v>
      </c>
      <c r="M12" s="34" t="s">
        <v>1100</v>
      </c>
      <c r="N12" s="34" t="s">
        <v>1760</v>
      </c>
      <c r="O12" s="35">
        <v>1</v>
      </c>
      <c r="P12" s="35"/>
      <c r="Q12" s="32"/>
      <c r="S12" s="1">
        <f t="shared" ref="S12:S18" si="7">IF(J12=$S$7,1,0)</f>
        <v>0</v>
      </c>
      <c r="T12" s="1">
        <f t="shared" ref="T12:T18" si="8">IF(J12=$T$7,1,0)</f>
        <v>0</v>
      </c>
      <c r="U12" s="1">
        <f t="shared" ref="U12:U18" si="9">IF(J12=$U$7,1,0)</f>
        <v>0</v>
      </c>
      <c r="V12" s="1">
        <f t="shared" ref="V12:V18" si="10">IF(J12=$V$7,1,0)</f>
        <v>0</v>
      </c>
      <c r="W12" s="1">
        <f t="shared" ref="W12:W18" si="11">IF(J12=$W$7,1,0)</f>
        <v>0</v>
      </c>
      <c r="X12" s="1">
        <f t="shared" ref="X12:X18" si="12">IF(J12=$X$7,1,0)</f>
        <v>0</v>
      </c>
      <c r="Y12" s="1">
        <f t="shared" ref="Y12:Y18" si="13">IF(J12=$Y$7,1,0)</f>
        <v>0</v>
      </c>
      <c r="Z12" s="1">
        <f t="shared" ref="Z12:Z18" si="14">IF(J12=$Z$7,1,0)</f>
        <v>1</v>
      </c>
      <c r="AA12" s="1">
        <f t="shared" ref="AA12:AA18" si="15">IF(J12=$AA$7,1,0)</f>
        <v>0</v>
      </c>
      <c r="AB12" s="1">
        <f t="shared" ref="AB12:AB18" si="16">IF(J12=$AB$7,1,0)</f>
        <v>0</v>
      </c>
      <c r="AD12" s="1">
        <f t="shared" ref="AD12:AD18" si="17">+O12*P12</f>
        <v>0</v>
      </c>
      <c r="AE12" s="1">
        <f t="shared" ref="AE12:AE18" si="18">O12*(1-P12)</f>
        <v>1</v>
      </c>
      <c r="AF12" s="1">
        <f t="shared" si="3"/>
        <v>0</v>
      </c>
      <c r="AG12" s="1">
        <f t="shared" si="4"/>
        <v>1</v>
      </c>
      <c r="AH12" s="1">
        <f t="shared" si="5"/>
        <v>0</v>
      </c>
      <c r="AI12" s="1">
        <f t="shared" si="6"/>
        <v>1</v>
      </c>
    </row>
    <row r="13" spans="1:35" ht="14.25" customHeight="1" x14ac:dyDescent="0.25">
      <c r="A13" s="31">
        <v>0</v>
      </c>
      <c r="B13" s="31">
        <v>1</v>
      </c>
      <c r="C13" s="31">
        <v>1</v>
      </c>
      <c r="D13" s="32" t="s">
        <v>139</v>
      </c>
      <c r="E13" s="32" t="s">
        <v>170</v>
      </c>
      <c r="F13" s="32" t="s">
        <v>338</v>
      </c>
      <c r="G13" s="32" t="s">
        <v>339</v>
      </c>
      <c r="H13" s="32" t="s">
        <v>352</v>
      </c>
      <c r="I13" s="31" t="s">
        <v>485</v>
      </c>
      <c r="J13" s="31">
        <v>10</v>
      </c>
      <c r="K13" s="33" t="s">
        <v>945</v>
      </c>
      <c r="L13" s="33" t="s">
        <v>1672</v>
      </c>
      <c r="M13" s="34" t="s">
        <v>1100</v>
      </c>
      <c r="N13" s="34" t="s">
        <v>1760</v>
      </c>
      <c r="O13" s="35">
        <v>1</v>
      </c>
      <c r="P13" s="35"/>
      <c r="Q13" s="32"/>
      <c r="S13" s="1">
        <f t="shared" si="7"/>
        <v>0</v>
      </c>
      <c r="T13" s="1">
        <f t="shared" si="8"/>
        <v>0</v>
      </c>
      <c r="U13" s="1">
        <f t="shared" si="9"/>
        <v>0</v>
      </c>
      <c r="V13" s="1">
        <f t="shared" si="10"/>
        <v>0</v>
      </c>
      <c r="W13" s="1">
        <f t="shared" si="11"/>
        <v>0</v>
      </c>
      <c r="X13" s="1">
        <f t="shared" si="12"/>
        <v>0</v>
      </c>
      <c r="Y13" s="1">
        <f t="shared" si="13"/>
        <v>0</v>
      </c>
      <c r="Z13" s="1">
        <f t="shared" si="14"/>
        <v>0</v>
      </c>
      <c r="AA13" s="1">
        <f t="shared" si="15"/>
        <v>0</v>
      </c>
      <c r="AB13" s="1">
        <f t="shared" si="16"/>
        <v>1</v>
      </c>
      <c r="AD13" s="1">
        <f t="shared" si="17"/>
        <v>0</v>
      </c>
      <c r="AE13" s="1">
        <f t="shared" si="18"/>
        <v>1</v>
      </c>
      <c r="AF13" s="1">
        <f t="shared" ref="AF13:AF19" si="19">+O13*P13*(1-A13)</f>
        <v>0</v>
      </c>
      <c r="AG13" s="1">
        <f t="shared" ref="AG13:AG19" si="20">O13*(1-P13)*(1-A13)</f>
        <v>1</v>
      </c>
      <c r="AH13" s="1">
        <f t="shared" ref="AH13:AH19" si="21">+P13*(1-A13)</f>
        <v>0</v>
      </c>
      <c r="AI13" s="1">
        <f t="shared" ref="AI13:AI19" si="22">+(1-A13)*(1-P13)</f>
        <v>1</v>
      </c>
    </row>
    <row r="14" spans="1:35" ht="14.25" customHeight="1" x14ac:dyDescent="0.25">
      <c r="A14" s="31">
        <v>0</v>
      </c>
      <c r="B14" s="31">
        <v>1</v>
      </c>
      <c r="C14" s="31">
        <v>1</v>
      </c>
      <c r="D14" s="32" t="s">
        <v>530</v>
      </c>
      <c r="E14" s="32" t="s">
        <v>170</v>
      </c>
      <c r="F14" s="32" t="s">
        <v>1267</v>
      </c>
      <c r="G14" s="32" t="s">
        <v>239</v>
      </c>
      <c r="H14" s="32" t="s">
        <v>352</v>
      </c>
      <c r="I14" s="31" t="s">
        <v>1332</v>
      </c>
      <c r="J14" s="31">
        <v>1</v>
      </c>
      <c r="K14" s="33" t="s">
        <v>941</v>
      </c>
      <c r="L14" s="33" t="s">
        <v>1674</v>
      </c>
      <c r="M14" s="34" t="s">
        <v>1349</v>
      </c>
      <c r="N14" s="34" t="s">
        <v>1708</v>
      </c>
      <c r="O14" s="35">
        <v>1</v>
      </c>
      <c r="P14" s="35"/>
      <c r="Q14" s="32"/>
      <c r="S14" s="1">
        <f t="shared" si="7"/>
        <v>1</v>
      </c>
      <c r="T14" s="1">
        <f t="shared" si="8"/>
        <v>0</v>
      </c>
      <c r="U14" s="1">
        <f t="shared" si="9"/>
        <v>0</v>
      </c>
      <c r="V14" s="1">
        <f t="shared" si="10"/>
        <v>0</v>
      </c>
      <c r="W14" s="1">
        <f t="shared" si="11"/>
        <v>0</v>
      </c>
      <c r="X14" s="1">
        <f t="shared" si="12"/>
        <v>0</v>
      </c>
      <c r="Y14" s="1">
        <f t="shared" si="13"/>
        <v>0</v>
      </c>
      <c r="Z14" s="1">
        <f t="shared" si="14"/>
        <v>0</v>
      </c>
      <c r="AA14" s="1">
        <f t="shared" si="15"/>
        <v>0</v>
      </c>
      <c r="AB14" s="1">
        <f t="shared" si="16"/>
        <v>0</v>
      </c>
      <c r="AD14" s="1">
        <f t="shared" si="17"/>
        <v>0</v>
      </c>
      <c r="AE14" s="1">
        <f t="shared" si="18"/>
        <v>1</v>
      </c>
      <c r="AF14" s="1">
        <f t="shared" si="19"/>
        <v>0</v>
      </c>
      <c r="AG14" s="1">
        <f t="shared" si="20"/>
        <v>1</v>
      </c>
      <c r="AH14" s="1">
        <f t="shared" si="21"/>
        <v>0</v>
      </c>
      <c r="AI14" s="1">
        <f t="shared" si="22"/>
        <v>1</v>
      </c>
    </row>
    <row r="15" spans="1:35" ht="14.25" customHeight="1" x14ac:dyDescent="0.25">
      <c r="A15" s="31">
        <v>0</v>
      </c>
      <c r="B15" s="31">
        <v>1</v>
      </c>
      <c r="C15" s="31">
        <v>1</v>
      </c>
      <c r="D15" s="32" t="s">
        <v>115</v>
      </c>
      <c r="E15" s="32" t="s">
        <v>170</v>
      </c>
      <c r="F15" s="32" t="s">
        <v>313</v>
      </c>
      <c r="G15" s="32" t="s">
        <v>185</v>
      </c>
      <c r="H15" s="32" t="s">
        <v>352</v>
      </c>
      <c r="I15" s="31" t="s">
        <v>460</v>
      </c>
      <c r="J15" s="31">
        <v>1</v>
      </c>
      <c r="K15" s="33" t="s">
        <v>945</v>
      </c>
      <c r="L15" s="33">
        <v>135</v>
      </c>
      <c r="M15" s="34" t="s">
        <v>2114</v>
      </c>
      <c r="N15" s="34" t="s">
        <v>1808</v>
      </c>
      <c r="O15" s="35">
        <v>1</v>
      </c>
      <c r="P15" s="35"/>
      <c r="Q15" s="32"/>
      <c r="S15" s="1">
        <f t="shared" si="7"/>
        <v>1</v>
      </c>
      <c r="T15" s="1">
        <f t="shared" si="8"/>
        <v>0</v>
      </c>
      <c r="U15" s="1">
        <f t="shared" si="9"/>
        <v>0</v>
      </c>
      <c r="V15" s="1">
        <f t="shared" si="10"/>
        <v>0</v>
      </c>
      <c r="W15" s="1">
        <f t="shared" si="11"/>
        <v>0</v>
      </c>
      <c r="X15" s="1">
        <f t="shared" si="12"/>
        <v>0</v>
      </c>
      <c r="Y15" s="1">
        <f t="shared" si="13"/>
        <v>0</v>
      </c>
      <c r="Z15" s="1">
        <f t="shared" si="14"/>
        <v>0</v>
      </c>
      <c r="AA15" s="1">
        <f t="shared" si="15"/>
        <v>0</v>
      </c>
      <c r="AB15" s="1">
        <f t="shared" si="16"/>
        <v>0</v>
      </c>
      <c r="AD15" s="1">
        <f t="shared" si="17"/>
        <v>0</v>
      </c>
      <c r="AE15" s="1">
        <f t="shared" si="18"/>
        <v>1</v>
      </c>
      <c r="AF15" s="1">
        <f t="shared" si="19"/>
        <v>0</v>
      </c>
      <c r="AG15" s="1">
        <f t="shared" si="20"/>
        <v>1</v>
      </c>
      <c r="AH15" s="1">
        <f t="shared" si="21"/>
        <v>0</v>
      </c>
      <c r="AI15" s="1">
        <f t="shared" si="22"/>
        <v>1</v>
      </c>
    </row>
    <row r="16" spans="1:35" ht="14.25" customHeight="1" x14ac:dyDescent="0.25">
      <c r="A16" s="31">
        <v>0</v>
      </c>
      <c r="B16" s="31">
        <v>1</v>
      </c>
      <c r="C16" s="31">
        <v>1</v>
      </c>
      <c r="D16" s="32" t="s">
        <v>109</v>
      </c>
      <c r="E16" s="32" t="s">
        <v>170</v>
      </c>
      <c r="F16" s="32" t="s">
        <v>307</v>
      </c>
      <c r="G16" s="32" t="s">
        <v>212</v>
      </c>
      <c r="H16" s="32" t="s">
        <v>352</v>
      </c>
      <c r="I16" s="31" t="s">
        <v>455</v>
      </c>
      <c r="J16" s="31">
        <v>1</v>
      </c>
      <c r="K16" s="33" t="s">
        <v>1664</v>
      </c>
      <c r="L16" s="33" t="s">
        <v>39</v>
      </c>
      <c r="M16" s="34" t="s">
        <v>39</v>
      </c>
      <c r="N16" s="34" t="s">
        <v>1699</v>
      </c>
      <c r="O16" s="35">
        <v>1</v>
      </c>
      <c r="P16" s="35">
        <v>1</v>
      </c>
      <c r="Q16" s="32"/>
      <c r="S16" s="1">
        <f t="shared" si="7"/>
        <v>1</v>
      </c>
      <c r="T16" s="1">
        <f t="shared" si="8"/>
        <v>0</v>
      </c>
      <c r="U16" s="1">
        <f t="shared" si="9"/>
        <v>0</v>
      </c>
      <c r="V16" s="1">
        <f t="shared" si="10"/>
        <v>0</v>
      </c>
      <c r="W16" s="1">
        <f t="shared" si="11"/>
        <v>0</v>
      </c>
      <c r="X16" s="1">
        <f t="shared" si="12"/>
        <v>0</v>
      </c>
      <c r="Y16" s="1">
        <f t="shared" si="13"/>
        <v>0</v>
      </c>
      <c r="Z16" s="1">
        <f t="shared" si="14"/>
        <v>0</v>
      </c>
      <c r="AA16" s="1">
        <f t="shared" si="15"/>
        <v>0</v>
      </c>
      <c r="AB16" s="1">
        <f t="shared" si="16"/>
        <v>0</v>
      </c>
      <c r="AD16" s="1">
        <f t="shared" si="17"/>
        <v>1</v>
      </c>
      <c r="AE16" s="1">
        <f t="shared" si="18"/>
        <v>0</v>
      </c>
      <c r="AF16" s="1">
        <f t="shared" si="19"/>
        <v>1</v>
      </c>
      <c r="AG16" s="1">
        <f t="shared" si="20"/>
        <v>0</v>
      </c>
      <c r="AH16" s="1">
        <f t="shared" si="21"/>
        <v>1</v>
      </c>
      <c r="AI16" s="1">
        <f t="shared" si="22"/>
        <v>0</v>
      </c>
    </row>
    <row r="17" spans="1:35" ht="14.25" customHeight="1" x14ac:dyDescent="0.25">
      <c r="A17" s="31">
        <v>0</v>
      </c>
      <c r="B17" s="31">
        <v>1</v>
      </c>
      <c r="C17" s="31">
        <v>1</v>
      </c>
      <c r="D17" s="32" t="s">
        <v>119</v>
      </c>
      <c r="E17" s="32" t="s">
        <v>672</v>
      </c>
      <c r="F17" s="32" t="s">
        <v>1072</v>
      </c>
      <c r="G17" s="32" t="s">
        <v>39</v>
      </c>
      <c r="H17" s="32" t="s">
        <v>353</v>
      </c>
      <c r="I17" s="31" t="s">
        <v>1094</v>
      </c>
      <c r="J17" s="31">
        <v>11</v>
      </c>
      <c r="K17" s="33" t="s">
        <v>947</v>
      </c>
      <c r="L17" s="33" t="s">
        <v>1680</v>
      </c>
      <c r="M17" s="34" t="s">
        <v>1350</v>
      </c>
      <c r="N17" s="34" t="s">
        <v>1715</v>
      </c>
      <c r="O17" s="35">
        <v>1</v>
      </c>
      <c r="P17" s="35"/>
      <c r="Q17" s="32"/>
      <c r="S17" s="1">
        <f t="shared" si="7"/>
        <v>0</v>
      </c>
      <c r="T17" s="1">
        <f t="shared" si="8"/>
        <v>0</v>
      </c>
      <c r="U17" s="1">
        <f t="shared" si="9"/>
        <v>0</v>
      </c>
      <c r="V17" s="1">
        <f t="shared" si="10"/>
        <v>0</v>
      </c>
      <c r="W17" s="1">
        <f t="shared" si="11"/>
        <v>0</v>
      </c>
      <c r="X17" s="1">
        <f t="shared" si="12"/>
        <v>0</v>
      </c>
      <c r="Y17" s="1">
        <f t="shared" si="13"/>
        <v>0</v>
      </c>
      <c r="Z17" s="1">
        <f t="shared" si="14"/>
        <v>0</v>
      </c>
      <c r="AA17" s="1">
        <f t="shared" si="15"/>
        <v>0</v>
      </c>
      <c r="AB17" s="1">
        <f t="shared" si="16"/>
        <v>0</v>
      </c>
      <c r="AD17" s="1">
        <f t="shared" si="17"/>
        <v>0</v>
      </c>
      <c r="AE17" s="1">
        <f t="shared" si="18"/>
        <v>1</v>
      </c>
      <c r="AF17" s="1">
        <f t="shared" si="19"/>
        <v>0</v>
      </c>
      <c r="AG17" s="1">
        <f t="shared" si="20"/>
        <v>1</v>
      </c>
      <c r="AH17" s="1">
        <f t="shared" si="21"/>
        <v>0</v>
      </c>
      <c r="AI17" s="1">
        <f t="shared" si="22"/>
        <v>1</v>
      </c>
    </row>
    <row r="18" spans="1:35" ht="14.25" customHeight="1" x14ac:dyDescent="0.25">
      <c r="A18" s="44">
        <v>0</v>
      </c>
      <c r="B18" s="44">
        <v>1</v>
      </c>
      <c r="C18" s="44">
        <v>1</v>
      </c>
      <c r="D18" s="45" t="s">
        <v>147</v>
      </c>
      <c r="E18" s="45" t="s">
        <v>170</v>
      </c>
      <c r="F18" s="45" t="s">
        <v>347</v>
      </c>
      <c r="G18" s="45" t="s">
        <v>39</v>
      </c>
      <c r="H18" s="45" t="s">
        <v>377</v>
      </c>
      <c r="I18" s="44" t="s">
        <v>492</v>
      </c>
      <c r="J18" s="44">
        <v>16</v>
      </c>
      <c r="K18" s="46" t="s">
        <v>941</v>
      </c>
      <c r="L18" s="46">
        <v>75</v>
      </c>
      <c r="M18" s="47" t="s">
        <v>1350</v>
      </c>
      <c r="N18" s="47" t="s">
        <v>1761</v>
      </c>
      <c r="O18" s="48"/>
      <c r="P18" s="48"/>
      <c r="Q18" s="45"/>
      <c r="S18" s="1">
        <f t="shared" si="7"/>
        <v>0</v>
      </c>
      <c r="T18" s="1">
        <f t="shared" si="8"/>
        <v>0</v>
      </c>
      <c r="U18" s="1">
        <f t="shared" si="9"/>
        <v>0</v>
      </c>
      <c r="V18" s="1">
        <f t="shared" si="10"/>
        <v>0</v>
      </c>
      <c r="W18" s="1">
        <f t="shared" si="11"/>
        <v>0</v>
      </c>
      <c r="X18" s="1">
        <f t="shared" si="12"/>
        <v>0</v>
      </c>
      <c r="Y18" s="1">
        <f t="shared" si="13"/>
        <v>0</v>
      </c>
      <c r="Z18" s="1">
        <f t="shared" si="14"/>
        <v>0</v>
      </c>
      <c r="AA18" s="1">
        <f t="shared" si="15"/>
        <v>0</v>
      </c>
      <c r="AB18" s="1">
        <f t="shared" si="16"/>
        <v>0</v>
      </c>
      <c r="AD18" s="1">
        <f t="shared" si="17"/>
        <v>0</v>
      </c>
      <c r="AE18" s="1">
        <f t="shared" si="18"/>
        <v>0</v>
      </c>
      <c r="AF18" s="1">
        <f t="shared" si="19"/>
        <v>0</v>
      </c>
      <c r="AG18" s="1">
        <f t="shared" si="20"/>
        <v>0</v>
      </c>
      <c r="AH18" s="1">
        <f t="shared" si="21"/>
        <v>0</v>
      </c>
      <c r="AI18" s="1">
        <f t="shared" si="22"/>
        <v>1</v>
      </c>
    </row>
    <row r="19" spans="1:35" ht="14.25" customHeight="1" x14ac:dyDescent="0.25">
      <c r="A19" s="31">
        <v>0</v>
      </c>
      <c r="B19" s="31">
        <v>1</v>
      </c>
      <c r="C19" s="31">
        <v>1</v>
      </c>
      <c r="D19" s="32" t="s">
        <v>120</v>
      </c>
      <c r="E19" s="32" t="s">
        <v>170</v>
      </c>
      <c r="F19" s="32" t="s">
        <v>320</v>
      </c>
      <c r="G19" s="32" t="s">
        <v>321</v>
      </c>
      <c r="H19" s="32" t="s">
        <v>352</v>
      </c>
      <c r="I19" s="31" t="s">
        <v>465</v>
      </c>
      <c r="J19" s="31">
        <v>99</v>
      </c>
      <c r="K19" s="33" t="s">
        <v>946</v>
      </c>
      <c r="L19" s="33">
        <v>200</v>
      </c>
      <c r="M19" s="34" t="s">
        <v>39</v>
      </c>
      <c r="N19" s="34" t="s">
        <v>1808</v>
      </c>
      <c r="O19" s="35">
        <v>1</v>
      </c>
      <c r="P19" s="35"/>
      <c r="Q19" s="32"/>
      <c r="S19" s="1">
        <f t="shared" ref="S19:S81" si="23">IF(J19=$S$7,1,0)</f>
        <v>0</v>
      </c>
      <c r="T19" s="1">
        <f t="shared" ref="T19:T81" si="24">IF(J19=$T$7,1,0)</f>
        <v>0</v>
      </c>
      <c r="U19" s="1">
        <f t="shared" ref="U19:U81" si="25">IF(J19=$U$7,1,0)</f>
        <v>0</v>
      </c>
      <c r="V19" s="1">
        <f t="shared" ref="V19:V81" si="26">IF(J19=$V$7,1,0)</f>
        <v>0</v>
      </c>
      <c r="W19" s="1">
        <f t="shared" ref="W19:W81" si="27">IF(J19=$W$7,1,0)</f>
        <v>0</v>
      </c>
      <c r="X19" s="1">
        <f t="shared" ref="X19:X81" si="28">IF(J19=$X$7,1,0)</f>
        <v>0</v>
      </c>
      <c r="Y19" s="1">
        <f t="shared" ref="Y19:Y81" si="29">IF(J19=$Y$7,1,0)</f>
        <v>0</v>
      </c>
      <c r="Z19" s="1">
        <f t="shared" ref="Z19:Z81" si="30">IF(J19=$Z$7,1,0)</f>
        <v>0</v>
      </c>
      <c r="AA19" s="1">
        <f t="shared" ref="AA19:AA81" si="31">IF(J19=$AA$7,1,0)</f>
        <v>0</v>
      </c>
      <c r="AB19" s="1">
        <f t="shared" ref="AB19:AB81" si="32">IF(J19=$AB$7,1,0)</f>
        <v>0</v>
      </c>
      <c r="AD19" s="1">
        <f t="shared" ref="AD19:AD81" si="33">+O19*P19</f>
        <v>0</v>
      </c>
      <c r="AE19" s="1">
        <f t="shared" ref="AE19:AE81" si="34">O19*(1-P19)</f>
        <v>1</v>
      </c>
      <c r="AF19" s="1">
        <f t="shared" si="19"/>
        <v>0</v>
      </c>
      <c r="AG19" s="1">
        <f t="shared" si="20"/>
        <v>1</v>
      </c>
      <c r="AH19" s="1">
        <f t="shared" si="21"/>
        <v>0</v>
      </c>
      <c r="AI19" s="1">
        <f t="shared" si="22"/>
        <v>1</v>
      </c>
    </row>
    <row r="20" spans="1:35" ht="14.25" customHeight="1" x14ac:dyDescent="0.25">
      <c r="A20" s="31">
        <v>0</v>
      </c>
      <c r="B20" s="31">
        <v>1</v>
      </c>
      <c r="C20" s="31">
        <v>1</v>
      </c>
      <c r="D20" s="32" t="s">
        <v>100</v>
      </c>
      <c r="E20" s="32" t="s">
        <v>170</v>
      </c>
      <c r="F20" s="32" t="s">
        <v>296</v>
      </c>
      <c r="G20" s="32" t="s">
        <v>39</v>
      </c>
      <c r="H20" s="32" t="s">
        <v>354</v>
      </c>
      <c r="I20" s="31" t="s">
        <v>445</v>
      </c>
      <c r="J20" s="31">
        <v>15</v>
      </c>
      <c r="K20" s="33" t="s">
        <v>948</v>
      </c>
      <c r="L20" s="33" t="s">
        <v>39</v>
      </c>
      <c r="M20" s="34" t="s">
        <v>39</v>
      </c>
      <c r="N20" s="34" t="s">
        <v>1699</v>
      </c>
      <c r="O20" s="35">
        <v>1</v>
      </c>
      <c r="P20" s="35">
        <v>1</v>
      </c>
      <c r="Q20" s="32" t="s">
        <v>1851</v>
      </c>
      <c r="S20" s="1">
        <f t="shared" si="23"/>
        <v>0</v>
      </c>
      <c r="T20" s="1">
        <f t="shared" si="24"/>
        <v>0</v>
      </c>
      <c r="U20" s="1">
        <f t="shared" si="25"/>
        <v>0</v>
      </c>
      <c r="V20" s="1">
        <f t="shared" si="26"/>
        <v>0</v>
      </c>
      <c r="W20" s="1">
        <f t="shared" si="27"/>
        <v>0</v>
      </c>
      <c r="X20" s="1">
        <f t="shared" si="28"/>
        <v>0</v>
      </c>
      <c r="Y20" s="1">
        <f t="shared" si="29"/>
        <v>0</v>
      </c>
      <c r="Z20" s="1">
        <f t="shared" si="30"/>
        <v>0</v>
      </c>
      <c r="AA20" s="1">
        <f t="shared" si="31"/>
        <v>0</v>
      </c>
      <c r="AB20" s="1">
        <f t="shared" si="32"/>
        <v>0</v>
      </c>
      <c r="AD20" s="1">
        <f t="shared" si="33"/>
        <v>1</v>
      </c>
      <c r="AE20" s="1">
        <f t="shared" si="34"/>
        <v>0</v>
      </c>
      <c r="AF20" s="1">
        <f t="shared" ref="AF20:AF82" si="35">+O20*P20*(1-A20)</f>
        <v>1</v>
      </c>
      <c r="AG20" s="1">
        <f t="shared" ref="AG20:AG82" si="36">O20*(1-P20)*(1-A20)</f>
        <v>0</v>
      </c>
      <c r="AH20" s="1">
        <f t="shared" ref="AH20:AH82" si="37">+P20*(1-A20)</f>
        <v>1</v>
      </c>
      <c r="AI20" s="1">
        <f t="shared" ref="AI20:AI82" si="38">+(1-A20)*(1-P20)</f>
        <v>0</v>
      </c>
    </row>
    <row r="21" spans="1:35" ht="14.25" customHeight="1" x14ac:dyDescent="0.25">
      <c r="A21" s="31">
        <v>0</v>
      </c>
      <c r="B21" s="31">
        <v>1</v>
      </c>
      <c r="C21" s="31">
        <v>1</v>
      </c>
      <c r="D21" s="32" t="s">
        <v>879</v>
      </c>
      <c r="E21" s="32" t="s">
        <v>169</v>
      </c>
      <c r="F21" s="32" t="s">
        <v>292</v>
      </c>
      <c r="G21" s="32" t="s">
        <v>39</v>
      </c>
      <c r="H21" s="32" t="s">
        <v>353</v>
      </c>
      <c r="I21" s="31" t="s">
        <v>441</v>
      </c>
      <c r="J21" s="31">
        <v>11</v>
      </c>
      <c r="K21" s="33" t="s">
        <v>941</v>
      </c>
      <c r="L21" s="33" t="s">
        <v>39</v>
      </c>
      <c r="M21" s="34" t="s">
        <v>39</v>
      </c>
      <c r="N21" s="34" t="s">
        <v>1693</v>
      </c>
      <c r="O21" s="35">
        <v>1</v>
      </c>
      <c r="P21" s="35">
        <v>1</v>
      </c>
      <c r="Q21" s="32"/>
      <c r="S21" s="1">
        <f t="shared" si="23"/>
        <v>0</v>
      </c>
      <c r="T21" s="1">
        <f t="shared" si="24"/>
        <v>0</v>
      </c>
      <c r="U21" s="1">
        <f t="shared" si="25"/>
        <v>0</v>
      </c>
      <c r="V21" s="1">
        <f t="shared" si="26"/>
        <v>0</v>
      </c>
      <c r="W21" s="1">
        <f t="shared" si="27"/>
        <v>0</v>
      </c>
      <c r="X21" s="1">
        <f t="shared" si="28"/>
        <v>0</v>
      </c>
      <c r="Y21" s="1">
        <f t="shared" si="29"/>
        <v>0</v>
      </c>
      <c r="Z21" s="1">
        <f t="shared" si="30"/>
        <v>0</v>
      </c>
      <c r="AA21" s="1">
        <f t="shared" si="31"/>
        <v>0</v>
      </c>
      <c r="AB21" s="1">
        <f t="shared" si="32"/>
        <v>0</v>
      </c>
      <c r="AD21" s="1">
        <f t="shared" si="33"/>
        <v>1</v>
      </c>
      <c r="AE21" s="1">
        <f t="shared" si="34"/>
        <v>0</v>
      </c>
      <c r="AF21" s="1">
        <f t="shared" si="35"/>
        <v>1</v>
      </c>
      <c r="AG21" s="1">
        <f t="shared" si="36"/>
        <v>0</v>
      </c>
      <c r="AH21" s="1">
        <f t="shared" si="37"/>
        <v>1</v>
      </c>
      <c r="AI21" s="1">
        <f t="shared" si="38"/>
        <v>0</v>
      </c>
    </row>
    <row r="22" spans="1:35" ht="14.25" customHeight="1" x14ac:dyDescent="0.25">
      <c r="A22" s="31">
        <v>0</v>
      </c>
      <c r="B22" s="31">
        <v>1</v>
      </c>
      <c r="C22" s="31">
        <v>1</v>
      </c>
      <c r="D22" s="32" t="s">
        <v>117</v>
      </c>
      <c r="E22" s="32" t="s">
        <v>170</v>
      </c>
      <c r="F22" s="32" t="s">
        <v>316</v>
      </c>
      <c r="G22" s="32" t="s">
        <v>39</v>
      </c>
      <c r="H22" s="32" t="s">
        <v>366</v>
      </c>
      <c r="I22" s="31" t="s">
        <v>462</v>
      </c>
      <c r="J22" s="31">
        <v>18</v>
      </c>
      <c r="K22" s="33" t="s">
        <v>948</v>
      </c>
      <c r="L22" s="33" t="s">
        <v>39</v>
      </c>
      <c r="M22" s="34" t="s">
        <v>39</v>
      </c>
      <c r="N22" s="34" t="s">
        <v>1699</v>
      </c>
      <c r="O22" s="35">
        <v>1</v>
      </c>
      <c r="P22" s="35">
        <v>1</v>
      </c>
      <c r="Q22" s="32"/>
      <c r="S22" s="1">
        <f t="shared" si="23"/>
        <v>0</v>
      </c>
      <c r="T22" s="1">
        <f t="shared" si="24"/>
        <v>0</v>
      </c>
      <c r="U22" s="1">
        <f t="shared" si="25"/>
        <v>0</v>
      </c>
      <c r="V22" s="1">
        <f t="shared" si="26"/>
        <v>0</v>
      </c>
      <c r="W22" s="1">
        <f t="shared" si="27"/>
        <v>0</v>
      </c>
      <c r="X22" s="1">
        <f t="shared" si="28"/>
        <v>0</v>
      </c>
      <c r="Y22" s="1">
        <f t="shared" si="29"/>
        <v>0</v>
      </c>
      <c r="Z22" s="1">
        <f t="shared" si="30"/>
        <v>0</v>
      </c>
      <c r="AA22" s="1">
        <f t="shared" si="31"/>
        <v>0</v>
      </c>
      <c r="AB22" s="1">
        <f t="shared" si="32"/>
        <v>0</v>
      </c>
      <c r="AD22" s="1">
        <f t="shared" si="33"/>
        <v>1</v>
      </c>
      <c r="AE22" s="1">
        <f t="shared" si="34"/>
        <v>0</v>
      </c>
      <c r="AF22" s="1">
        <f t="shared" si="35"/>
        <v>1</v>
      </c>
      <c r="AG22" s="1">
        <f t="shared" si="36"/>
        <v>0</v>
      </c>
      <c r="AH22" s="1">
        <f t="shared" si="37"/>
        <v>1</v>
      </c>
      <c r="AI22" s="1">
        <f t="shared" si="38"/>
        <v>0</v>
      </c>
    </row>
    <row r="23" spans="1:35" ht="14.25" customHeight="1" x14ac:dyDescent="0.25">
      <c r="A23" s="31">
        <v>0</v>
      </c>
      <c r="B23" s="31">
        <v>1</v>
      </c>
      <c r="C23" s="31">
        <v>1</v>
      </c>
      <c r="D23" s="32" t="s">
        <v>137</v>
      </c>
      <c r="E23" s="32" t="s">
        <v>673</v>
      </c>
      <c r="F23" s="32" t="s">
        <v>337</v>
      </c>
      <c r="G23" s="32" t="s">
        <v>1144</v>
      </c>
      <c r="H23" s="32" t="s">
        <v>352</v>
      </c>
      <c r="I23" s="31" t="s">
        <v>483</v>
      </c>
      <c r="J23" s="31">
        <v>1</v>
      </c>
      <c r="K23" s="33" t="s">
        <v>941</v>
      </c>
      <c r="L23" s="33" t="s">
        <v>1672</v>
      </c>
      <c r="M23" s="34" t="s">
        <v>1100</v>
      </c>
      <c r="N23" s="34" t="s">
        <v>1704</v>
      </c>
      <c r="O23" s="35">
        <v>1</v>
      </c>
      <c r="P23" s="35"/>
      <c r="Q23" s="32"/>
      <c r="S23" s="1">
        <f t="shared" si="23"/>
        <v>1</v>
      </c>
      <c r="T23" s="1">
        <f t="shared" si="24"/>
        <v>0</v>
      </c>
      <c r="U23" s="1">
        <f t="shared" si="25"/>
        <v>0</v>
      </c>
      <c r="V23" s="1">
        <f t="shared" si="26"/>
        <v>0</v>
      </c>
      <c r="W23" s="1">
        <f t="shared" si="27"/>
        <v>0</v>
      </c>
      <c r="X23" s="1">
        <f t="shared" si="28"/>
        <v>0</v>
      </c>
      <c r="Y23" s="1">
        <f t="shared" si="29"/>
        <v>0</v>
      </c>
      <c r="Z23" s="1">
        <f t="shared" si="30"/>
        <v>0</v>
      </c>
      <c r="AA23" s="1">
        <f t="shared" si="31"/>
        <v>0</v>
      </c>
      <c r="AB23" s="1">
        <f t="shared" si="32"/>
        <v>0</v>
      </c>
      <c r="AD23" s="1">
        <f t="shared" si="33"/>
        <v>0</v>
      </c>
      <c r="AE23" s="1">
        <f t="shared" si="34"/>
        <v>1</v>
      </c>
      <c r="AF23" s="1">
        <f t="shared" si="35"/>
        <v>0</v>
      </c>
      <c r="AG23" s="1">
        <f t="shared" si="36"/>
        <v>1</v>
      </c>
      <c r="AH23" s="1">
        <f t="shared" si="37"/>
        <v>0</v>
      </c>
      <c r="AI23" s="1">
        <f t="shared" si="38"/>
        <v>1</v>
      </c>
    </row>
    <row r="24" spans="1:35" ht="14.25" customHeight="1" x14ac:dyDescent="0.25">
      <c r="A24" s="31">
        <v>0</v>
      </c>
      <c r="B24" s="31">
        <v>1</v>
      </c>
      <c r="C24" s="31">
        <v>1</v>
      </c>
      <c r="D24" s="32" t="s">
        <v>1555</v>
      </c>
      <c r="E24" s="32" t="s">
        <v>170</v>
      </c>
      <c r="F24" s="32" t="s">
        <v>1556</v>
      </c>
      <c r="G24" s="32" t="s">
        <v>212</v>
      </c>
      <c r="H24" s="32" t="s">
        <v>352</v>
      </c>
      <c r="I24" s="31" t="s">
        <v>1557</v>
      </c>
      <c r="J24" s="31">
        <v>1</v>
      </c>
      <c r="K24" s="33" t="s">
        <v>947</v>
      </c>
      <c r="L24" s="33" t="s">
        <v>39</v>
      </c>
      <c r="M24" s="34" t="s">
        <v>39</v>
      </c>
      <c r="N24" s="34" t="s">
        <v>1693</v>
      </c>
      <c r="O24" s="35">
        <v>1</v>
      </c>
      <c r="P24" s="35">
        <v>1</v>
      </c>
      <c r="Q24" s="32"/>
      <c r="S24" s="1">
        <f t="shared" si="23"/>
        <v>1</v>
      </c>
      <c r="T24" s="1">
        <f t="shared" si="24"/>
        <v>0</v>
      </c>
      <c r="U24" s="1">
        <f t="shared" si="25"/>
        <v>0</v>
      </c>
      <c r="V24" s="1">
        <f t="shared" si="26"/>
        <v>0</v>
      </c>
      <c r="W24" s="1">
        <f t="shared" si="27"/>
        <v>0</v>
      </c>
      <c r="X24" s="1">
        <f t="shared" si="28"/>
        <v>0</v>
      </c>
      <c r="Y24" s="1">
        <f t="shared" si="29"/>
        <v>0</v>
      </c>
      <c r="Z24" s="1">
        <f t="shared" si="30"/>
        <v>0</v>
      </c>
      <c r="AA24" s="1">
        <f t="shared" si="31"/>
        <v>0</v>
      </c>
      <c r="AB24" s="1">
        <f t="shared" si="32"/>
        <v>0</v>
      </c>
      <c r="AD24" s="1">
        <f t="shared" si="33"/>
        <v>1</v>
      </c>
      <c r="AE24" s="1">
        <f t="shared" si="34"/>
        <v>0</v>
      </c>
      <c r="AF24" s="1">
        <f t="shared" si="35"/>
        <v>1</v>
      </c>
      <c r="AG24" s="1">
        <f t="shared" si="36"/>
        <v>0</v>
      </c>
      <c r="AH24" s="1">
        <f t="shared" si="37"/>
        <v>1</v>
      </c>
      <c r="AI24" s="1">
        <f t="shared" si="38"/>
        <v>0</v>
      </c>
    </row>
    <row r="25" spans="1:35" ht="14.25" customHeight="1" x14ac:dyDescent="0.25">
      <c r="A25" s="31">
        <v>0</v>
      </c>
      <c r="B25" s="31">
        <v>1</v>
      </c>
      <c r="C25" s="31">
        <v>1</v>
      </c>
      <c r="D25" s="32" t="s">
        <v>1032</v>
      </c>
      <c r="E25" s="32" t="s">
        <v>170</v>
      </c>
      <c r="F25" s="32" t="s">
        <v>1076</v>
      </c>
      <c r="G25" s="32" t="s">
        <v>1019</v>
      </c>
      <c r="H25" s="32" t="s">
        <v>352</v>
      </c>
      <c r="I25" s="31" t="s">
        <v>1033</v>
      </c>
      <c r="J25" s="31">
        <v>99</v>
      </c>
      <c r="K25" s="33" t="s">
        <v>724</v>
      </c>
      <c r="L25" s="33">
        <v>150</v>
      </c>
      <c r="M25" s="34" t="s">
        <v>39</v>
      </c>
      <c r="N25" s="34" t="s">
        <v>1709</v>
      </c>
      <c r="O25" s="35">
        <v>1</v>
      </c>
      <c r="P25" s="35"/>
      <c r="Q25" s="32"/>
      <c r="S25" s="1">
        <f t="shared" si="23"/>
        <v>0</v>
      </c>
      <c r="T25" s="1">
        <f t="shared" si="24"/>
        <v>0</v>
      </c>
      <c r="U25" s="1">
        <f t="shared" si="25"/>
        <v>0</v>
      </c>
      <c r="V25" s="1">
        <f t="shared" si="26"/>
        <v>0</v>
      </c>
      <c r="W25" s="1">
        <f t="shared" si="27"/>
        <v>0</v>
      </c>
      <c r="X25" s="1">
        <f t="shared" si="28"/>
        <v>0</v>
      </c>
      <c r="Y25" s="1">
        <f t="shared" si="29"/>
        <v>0</v>
      </c>
      <c r="Z25" s="1">
        <f t="shared" si="30"/>
        <v>0</v>
      </c>
      <c r="AA25" s="1">
        <f t="shared" si="31"/>
        <v>0</v>
      </c>
      <c r="AB25" s="1">
        <f t="shared" si="32"/>
        <v>0</v>
      </c>
      <c r="AD25" s="1">
        <f t="shared" si="33"/>
        <v>0</v>
      </c>
      <c r="AE25" s="1">
        <f t="shared" si="34"/>
        <v>1</v>
      </c>
      <c r="AF25" s="1">
        <f t="shared" si="35"/>
        <v>0</v>
      </c>
      <c r="AG25" s="1">
        <f t="shared" si="36"/>
        <v>1</v>
      </c>
      <c r="AH25" s="1">
        <f t="shared" si="37"/>
        <v>0</v>
      </c>
      <c r="AI25" s="1">
        <f t="shared" si="38"/>
        <v>1</v>
      </c>
    </row>
    <row r="26" spans="1:35" ht="14.25" customHeight="1" x14ac:dyDescent="0.25">
      <c r="A26" s="31">
        <v>0</v>
      </c>
      <c r="B26" s="31">
        <v>1</v>
      </c>
      <c r="C26" s="31">
        <v>1</v>
      </c>
      <c r="D26" s="32" t="s">
        <v>111</v>
      </c>
      <c r="E26" s="32" t="s">
        <v>169</v>
      </c>
      <c r="F26" s="32" t="s">
        <v>309</v>
      </c>
      <c r="G26" s="32" t="s">
        <v>39</v>
      </c>
      <c r="H26" s="32" t="s">
        <v>353</v>
      </c>
      <c r="I26" s="31" t="s">
        <v>457</v>
      </c>
      <c r="J26" s="31">
        <v>11</v>
      </c>
      <c r="K26" s="33" t="s">
        <v>724</v>
      </c>
      <c r="L26" s="33" t="s">
        <v>39</v>
      </c>
      <c r="M26" s="34" t="s">
        <v>39</v>
      </c>
      <c r="N26" s="34" t="s">
        <v>1699</v>
      </c>
      <c r="O26" s="35">
        <v>1</v>
      </c>
      <c r="P26" s="35">
        <v>1</v>
      </c>
      <c r="Q26" s="32" t="s">
        <v>2109</v>
      </c>
      <c r="S26" s="1">
        <f t="shared" si="23"/>
        <v>0</v>
      </c>
      <c r="T26" s="1">
        <f t="shared" si="24"/>
        <v>0</v>
      </c>
      <c r="U26" s="1">
        <f t="shared" si="25"/>
        <v>0</v>
      </c>
      <c r="V26" s="1">
        <f t="shared" si="26"/>
        <v>0</v>
      </c>
      <c r="W26" s="1">
        <f t="shared" si="27"/>
        <v>0</v>
      </c>
      <c r="X26" s="1">
        <f t="shared" si="28"/>
        <v>0</v>
      </c>
      <c r="Y26" s="1">
        <f t="shared" si="29"/>
        <v>0</v>
      </c>
      <c r="Z26" s="1">
        <f t="shared" si="30"/>
        <v>0</v>
      </c>
      <c r="AA26" s="1">
        <f t="shared" si="31"/>
        <v>0</v>
      </c>
      <c r="AB26" s="1">
        <f t="shared" si="32"/>
        <v>0</v>
      </c>
      <c r="AD26" s="1">
        <f t="shared" si="33"/>
        <v>1</v>
      </c>
      <c r="AE26" s="1">
        <f t="shared" si="34"/>
        <v>0</v>
      </c>
      <c r="AF26" s="1">
        <f t="shared" si="35"/>
        <v>1</v>
      </c>
      <c r="AG26" s="1">
        <f t="shared" si="36"/>
        <v>0</v>
      </c>
      <c r="AH26" s="1">
        <f t="shared" si="37"/>
        <v>1</v>
      </c>
      <c r="AI26" s="1">
        <f t="shared" si="38"/>
        <v>0</v>
      </c>
    </row>
    <row r="27" spans="1:35" ht="14.25" customHeight="1" x14ac:dyDescent="0.25">
      <c r="A27" s="31">
        <v>0</v>
      </c>
      <c r="B27" s="31">
        <v>1</v>
      </c>
      <c r="C27" s="31">
        <v>1</v>
      </c>
      <c r="D27" s="32" t="s">
        <v>102</v>
      </c>
      <c r="E27" s="32" t="s">
        <v>170</v>
      </c>
      <c r="F27" s="32" t="s">
        <v>299</v>
      </c>
      <c r="G27" s="32" t="s">
        <v>300</v>
      </c>
      <c r="H27" s="32" t="s">
        <v>352</v>
      </c>
      <c r="I27" s="31" t="s">
        <v>447</v>
      </c>
      <c r="J27" s="31">
        <v>1</v>
      </c>
      <c r="K27" s="33" t="s">
        <v>945</v>
      </c>
      <c r="L27" s="33" t="s">
        <v>1681</v>
      </c>
      <c r="M27" s="34" t="s">
        <v>1351</v>
      </c>
      <c r="N27" s="34" t="s">
        <v>1760</v>
      </c>
      <c r="O27" s="35">
        <v>1</v>
      </c>
      <c r="P27" s="35"/>
      <c r="Q27" s="32"/>
      <c r="S27" s="1">
        <f t="shared" si="23"/>
        <v>1</v>
      </c>
      <c r="T27" s="1">
        <f t="shared" si="24"/>
        <v>0</v>
      </c>
      <c r="U27" s="1">
        <f t="shared" si="25"/>
        <v>0</v>
      </c>
      <c r="V27" s="1">
        <f t="shared" si="26"/>
        <v>0</v>
      </c>
      <c r="W27" s="1">
        <f t="shared" si="27"/>
        <v>0</v>
      </c>
      <c r="X27" s="1">
        <f t="shared" si="28"/>
        <v>0</v>
      </c>
      <c r="Y27" s="1">
        <f t="shared" si="29"/>
        <v>0</v>
      </c>
      <c r="Z27" s="1">
        <f t="shared" si="30"/>
        <v>0</v>
      </c>
      <c r="AA27" s="1">
        <f t="shared" si="31"/>
        <v>0</v>
      </c>
      <c r="AB27" s="1">
        <f t="shared" si="32"/>
        <v>0</v>
      </c>
      <c r="AD27" s="1">
        <f t="shared" si="33"/>
        <v>0</v>
      </c>
      <c r="AE27" s="1">
        <f t="shared" si="34"/>
        <v>1</v>
      </c>
      <c r="AF27" s="1">
        <f t="shared" si="35"/>
        <v>0</v>
      </c>
      <c r="AG27" s="1">
        <f t="shared" si="36"/>
        <v>1</v>
      </c>
      <c r="AH27" s="1">
        <f t="shared" si="37"/>
        <v>0</v>
      </c>
      <c r="AI27" s="1">
        <f t="shared" si="38"/>
        <v>1</v>
      </c>
    </row>
    <row r="28" spans="1:35" ht="14.25" customHeight="1" x14ac:dyDescent="0.25">
      <c r="A28" s="31">
        <v>0</v>
      </c>
      <c r="B28" s="31">
        <v>1</v>
      </c>
      <c r="C28" s="31">
        <v>1</v>
      </c>
      <c r="D28" s="32" t="s">
        <v>113</v>
      </c>
      <c r="E28" s="32" t="s">
        <v>170</v>
      </c>
      <c r="F28" s="32" t="s">
        <v>311</v>
      </c>
      <c r="G28" s="32" t="s">
        <v>312</v>
      </c>
      <c r="H28" s="32" t="s">
        <v>352</v>
      </c>
      <c r="I28" s="31" t="s">
        <v>459</v>
      </c>
      <c r="J28" s="31">
        <v>1</v>
      </c>
      <c r="K28" s="33" t="s">
        <v>948</v>
      </c>
      <c r="L28" s="33" t="s">
        <v>39</v>
      </c>
      <c r="M28" s="34" t="s">
        <v>39</v>
      </c>
      <c r="N28" s="34" t="s">
        <v>1699</v>
      </c>
      <c r="O28" s="35">
        <v>1</v>
      </c>
      <c r="P28" s="35">
        <v>1</v>
      </c>
      <c r="Q28" s="32" t="s">
        <v>1870</v>
      </c>
      <c r="S28" s="1">
        <f t="shared" si="23"/>
        <v>1</v>
      </c>
      <c r="T28" s="1">
        <f t="shared" si="24"/>
        <v>0</v>
      </c>
      <c r="U28" s="1">
        <f t="shared" si="25"/>
        <v>0</v>
      </c>
      <c r="V28" s="1">
        <f t="shared" si="26"/>
        <v>0</v>
      </c>
      <c r="W28" s="1">
        <f t="shared" si="27"/>
        <v>0</v>
      </c>
      <c r="X28" s="1">
        <f t="shared" si="28"/>
        <v>0</v>
      </c>
      <c r="Y28" s="1">
        <f t="shared" si="29"/>
        <v>0</v>
      </c>
      <c r="Z28" s="1">
        <f t="shared" si="30"/>
        <v>0</v>
      </c>
      <c r="AA28" s="1">
        <f t="shared" si="31"/>
        <v>0</v>
      </c>
      <c r="AB28" s="1">
        <f t="shared" si="32"/>
        <v>0</v>
      </c>
      <c r="AD28" s="1">
        <f t="shared" si="33"/>
        <v>1</v>
      </c>
      <c r="AE28" s="1">
        <f t="shared" si="34"/>
        <v>0</v>
      </c>
      <c r="AF28" s="1">
        <f t="shared" si="35"/>
        <v>1</v>
      </c>
      <c r="AG28" s="1">
        <f t="shared" si="36"/>
        <v>0</v>
      </c>
      <c r="AH28" s="1">
        <f t="shared" si="37"/>
        <v>1</v>
      </c>
      <c r="AI28" s="1">
        <f t="shared" si="38"/>
        <v>0</v>
      </c>
    </row>
    <row r="29" spans="1:35" ht="14.25" customHeight="1" x14ac:dyDescent="0.25">
      <c r="A29" s="31">
        <v>0</v>
      </c>
      <c r="B29" s="31">
        <v>1</v>
      </c>
      <c r="C29" s="31">
        <v>1</v>
      </c>
      <c r="D29" s="32" t="s">
        <v>841</v>
      </c>
      <c r="E29" s="32" t="s">
        <v>170</v>
      </c>
      <c r="F29" s="32" t="s">
        <v>842</v>
      </c>
      <c r="G29" s="32" t="s">
        <v>219</v>
      </c>
      <c r="H29" s="32" t="s">
        <v>352</v>
      </c>
      <c r="I29" s="31" t="s">
        <v>843</v>
      </c>
      <c r="J29" s="31">
        <v>8</v>
      </c>
      <c r="K29" s="33" t="s">
        <v>945</v>
      </c>
      <c r="L29" s="33" t="s">
        <v>1676</v>
      </c>
      <c r="M29" s="34" t="s">
        <v>1527</v>
      </c>
      <c r="N29" s="34" t="s">
        <v>1716</v>
      </c>
      <c r="O29" s="35">
        <v>1</v>
      </c>
      <c r="P29" s="35"/>
      <c r="Q29" s="32"/>
      <c r="S29" s="1">
        <f t="shared" si="23"/>
        <v>0</v>
      </c>
      <c r="T29" s="1">
        <f t="shared" si="24"/>
        <v>0</v>
      </c>
      <c r="U29" s="1">
        <f t="shared" si="25"/>
        <v>0</v>
      </c>
      <c r="V29" s="1">
        <f t="shared" si="26"/>
        <v>0</v>
      </c>
      <c r="W29" s="1">
        <f t="shared" si="27"/>
        <v>0</v>
      </c>
      <c r="X29" s="1">
        <f t="shared" si="28"/>
        <v>0</v>
      </c>
      <c r="Y29" s="1">
        <f t="shared" si="29"/>
        <v>0</v>
      </c>
      <c r="Z29" s="1">
        <f t="shared" si="30"/>
        <v>1</v>
      </c>
      <c r="AA29" s="1">
        <f t="shared" si="31"/>
        <v>0</v>
      </c>
      <c r="AB29" s="1">
        <f t="shared" si="32"/>
        <v>0</v>
      </c>
      <c r="AD29" s="1">
        <f t="shared" si="33"/>
        <v>0</v>
      </c>
      <c r="AE29" s="1">
        <f t="shared" si="34"/>
        <v>1</v>
      </c>
      <c r="AF29" s="1">
        <f t="shared" si="35"/>
        <v>0</v>
      </c>
      <c r="AG29" s="1">
        <f t="shared" si="36"/>
        <v>1</v>
      </c>
      <c r="AH29" s="1">
        <f t="shared" si="37"/>
        <v>0</v>
      </c>
      <c r="AI29" s="1">
        <f t="shared" si="38"/>
        <v>1</v>
      </c>
    </row>
    <row r="30" spans="1:35" ht="14.25" customHeight="1" x14ac:dyDescent="0.25">
      <c r="A30" s="31">
        <v>0</v>
      </c>
      <c r="B30" s="31">
        <v>1</v>
      </c>
      <c r="C30" s="31">
        <v>1</v>
      </c>
      <c r="D30" s="32" t="s">
        <v>132</v>
      </c>
      <c r="E30" s="32" t="s">
        <v>170</v>
      </c>
      <c r="F30" s="32" t="s">
        <v>333</v>
      </c>
      <c r="G30" s="32" t="s">
        <v>39</v>
      </c>
      <c r="H30" s="32" t="s">
        <v>355</v>
      </c>
      <c r="I30" s="31" t="s">
        <v>479</v>
      </c>
      <c r="J30" s="31">
        <v>18</v>
      </c>
      <c r="K30" s="33" t="s">
        <v>941</v>
      </c>
      <c r="L30" s="33" t="s">
        <v>39</v>
      </c>
      <c r="M30" s="34" t="s">
        <v>39</v>
      </c>
      <c r="N30" s="34" t="s">
        <v>1699</v>
      </c>
      <c r="O30" s="35">
        <v>1</v>
      </c>
      <c r="P30" s="35">
        <v>1</v>
      </c>
      <c r="Q30" s="32"/>
      <c r="S30" s="1">
        <f t="shared" si="23"/>
        <v>0</v>
      </c>
      <c r="T30" s="1">
        <f t="shared" si="24"/>
        <v>0</v>
      </c>
      <c r="U30" s="1">
        <f t="shared" si="25"/>
        <v>0</v>
      </c>
      <c r="V30" s="1">
        <f t="shared" si="26"/>
        <v>0</v>
      </c>
      <c r="W30" s="1">
        <f t="shared" si="27"/>
        <v>0</v>
      </c>
      <c r="X30" s="1">
        <f t="shared" si="28"/>
        <v>0</v>
      </c>
      <c r="Y30" s="1">
        <f t="shared" si="29"/>
        <v>0</v>
      </c>
      <c r="Z30" s="1">
        <f t="shared" si="30"/>
        <v>0</v>
      </c>
      <c r="AA30" s="1">
        <f t="shared" si="31"/>
        <v>0</v>
      </c>
      <c r="AB30" s="1">
        <f t="shared" si="32"/>
        <v>0</v>
      </c>
      <c r="AD30" s="1">
        <f t="shared" si="33"/>
        <v>1</v>
      </c>
      <c r="AE30" s="1">
        <f t="shared" si="34"/>
        <v>0</v>
      </c>
      <c r="AF30" s="1">
        <f t="shared" si="35"/>
        <v>1</v>
      </c>
      <c r="AG30" s="1">
        <f t="shared" si="36"/>
        <v>0</v>
      </c>
      <c r="AH30" s="1">
        <f t="shared" si="37"/>
        <v>1</v>
      </c>
      <c r="AI30" s="1">
        <f t="shared" si="38"/>
        <v>0</v>
      </c>
    </row>
    <row r="31" spans="1:35" ht="14.25" customHeight="1" x14ac:dyDescent="0.25">
      <c r="A31" s="44">
        <v>0</v>
      </c>
      <c r="B31" s="44">
        <v>1</v>
      </c>
      <c r="C31" s="44">
        <v>1</v>
      </c>
      <c r="D31" s="45" t="s">
        <v>143</v>
      </c>
      <c r="E31" s="45" t="s">
        <v>173</v>
      </c>
      <c r="F31" s="45" t="s">
        <v>344</v>
      </c>
      <c r="G31" s="45" t="s">
        <v>39</v>
      </c>
      <c r="H31" s="45" t="s">
        <v>365</v>
      </c>
      <c r="I31" s="44" t="s">
        <v>489</v>
      </c>
      <c r="J31" s="44">
        <v>18</v>
      </c>
      <c r="K31" s="46" t="s">
        <v>945</v>
      </c>
      <c r="L31" s="46">
        <v>70</v>
      </c>
      <c r="M31" s="47" t="s">
        <v>1352</v>
      </c>
      <c r="N31" s="47" t="s">
        <v>1700</v>
      </c>
      <c r="O31" s="48"/>
      <c r="P31" s="48"/>
      <c r="Q31" s="57" t="s">
        <v>1864</v>
      </c>
      <c r="S31" s="1">
        <f t="shared" si="23"/>
        <v>0</v>
      </c>
      <c r="T31" s="1">
        <f t="shared" si="24"/>
        <v>0</v>
      </c>
      <c r="U31" s="1">
        <f t="shared" si="25"/>
        <v>0</v>
      </c>
      <c r="V31" s="1">
        <f t="shared" si="26"/>
        <v>0</v>
      </c>
      <c r="W31" s="1">
        <f t="shared" si="27"/>
        <v>0</v>
      </c>
      <c r="X31" s="1">
        <f t="shared" si="28"/>
        <v>0</v>
      </c>
      <c r="Y31" s="1">
        <f t="shared" si="29"/>
        <v>0</v>
      </c>
      <c r="Z31" s="1">
        <f t="shared" si="30"/>
        <v>0</v>
      </c>
      <c r="AA31" s="1">
        <f t="shared" si="31"/>
        <v>0</v>
      </c>
      <c r="AB31" s="1">
        <f t="shared" si="32"/>
        <v>0</v>
      </c>
      <c r="AD31" s="1">
        <f t="shared" si="33"/>
        <v>0</v>
      </c>
      <c r="AE31" s="1">
        <f t="shared" si="34"/>
        <v>0</v>
      </c>
      <c r="AF31" s="1">
        <f t="shared" si="35"/>
        <v>0</v>
      </c>
      <c r="AG31" s="1">
        <f t="shared" si="36"/>
        <v>0</v>
      </c>
      <c r="AH31" s="1">
        <f t="shared" si="37"/>
        <v>0</v>
      </c>
      <c r="AI31" s="1">
        <f t="shared" si="38"/>
        <v>1</v>
      </c>
    </row>
    <row r="32" spans="1:35" ht="14.25" customHeight="1" x14ac:dyDescent="0.25">
      <c r="A32" s="31">
        <v>0</v>
      </c>
      <c r="B32" s="31">
        <v>1</v>
      </c>
      <c r="C32" s="31">
        <v>1</v>
      </c>
      <c r="D32" s="36" t="s">
        <v>151</v>
      </c>
      <c r="E32" s="36" t="s">
        <v>170</v>
      </c>
      <c r="F32" s="36" t="s">
        <v>350</v>
      </c>
      <c r="G32" s="36" t="s">
        <v>193</v>
      </c>
      <c r="H32" s="36" t="s">
        <v>352</v>
      </c>
      <c r="I32" s="37" t="s">
        <v>496</v>
      </c>
      <c r="J32" s="31">
        <v>9</v>
      </c>
      <c r="K32" s="33" t="s">
        <v>941</v>
      </c>
      <c r="L32" s="33" t="s">
        <v>1672</v>
      </c>
      <c r="M32" s="34" t="s">
        <v>1353</v>
      </c>
      <c r="N32" s="34" t="s">
        <v>1716</v>
      </c>
      <c r="O32" s="35">
        <v>1</v>
      </c>
      <c r="P32" s="35"/>
      <c r="Q32" s="36"/>
      <c r="S32" s="1">
        <f t="shared" si="23"/>
        <v>0</v>
      </c>
      <c r="T32" s="1">
        <f t="shared" si="24"/>
        <v>0</v>
      </c>
      <c r="U32" s="1">
        <f t="shared" si="25"/>
        <v>0</v>
      </c>
      <c r="V32" s="1">
        <f t="shared" si="26"/>
        <v>0</v>
      </c>
      <c r="W32" s="1">
        <f t="shared" si="27"/>
        <v>0</v>
      </c>
      <c r="X32" s="1">
        <f t="shared" si="28"/>
        <v>0</v>
      </c>
      <c r="Y32" s="1">
        <f t="shared" si="29"/>
        <v>0</v>
      </c>
      <c r="Z32" s="1">
        <f t="shared" si="30"/>
        <v>0</v>
      </c>
      <c r="AA32" s="1">
        <f t="shared" si="31"/>
        <v>1</v>
      </c>
      <c r="AB32" s="1">
        <f t="shared" si="32"/>
        <v>0</v>
      </c>
      <c r="AD32" s="1">
        <f t="shared" si="33"/>
        <v>0</v>
      </c>
      <c r="AE32" s="1">
        <f t="shared" si="34"/>
        <v>1</v>
      </c>
      <c r="AF32" s="1">
        <f t="shared" si="35"/>
        <v>0</v>
      </c>
      <c r="AG32" s="1">
        <f t="shared" si="36"/>
        <v>1</v>
      </c>
      <c r="AH32" s="1">
        <f t="shared" si="37"/>
        <v>0</v>
      </c>
      <c r="AI32" s="1">
        <f t="shared" si="38"/>
        <v>1</v>
      </c>
    </row>
    <row r="33" spans="1:35" ht="14.25" customHeight="1" x14ac:dyDescent="0.25">
      <c r="A33" s="31">
        <v>0</v>
      </c>
      <c r="B33" s="31">
        <v>1</v>
      </c>
      <c r="C33" s="31">
        <v>2</v>
      </c>
      <c r="D33" s="36" t="s">
        <v>1516</v>
      </c>
      <c r="E33" s="36" t="s">
        <v>1221</v>
      </c>
      <c r="F33" s="36" t="s">
        <v>1517</v>
      </c>
      <c r="G33" s="36" t="s">
        <v>257</v>
      </c>
      <c r="H33" s="36" t="s">
        <v>352</v>
      </c>
      <c r="I33" s="37" t="s">
        <v>470</v>
      </c>
      <c r="J33" s="31">
        <v>8</v>
      </c>
      <c r="K33" s="33" t="s">
        <v>693</v>
      </c>
      <c r="L33" s="33" t="s">
        <v>680</v>
      </c>
      <c r="M33" s="34" t="s">
        <v>681</v>
      </c>
      <c r="N33" s="34" t="s">
        <v>1749</v>
      </c>
      <c r="O33" s="35">
        <v>1</v>
      </c>
      <c r="P33" s="35"/>
      <c r="Q33" s="36"/>
      <c r="S33" s="1">
        <f t="shared" si="23"/>
        <v>0</v>
      </c>
      <c r="T33" s="1">
        <f t="shared" si="24"/>
        <v>0</v>
      </c>
      <c r="U33" s="1">
        <f t="shared" si="25"/>
        <v>0</v>
      </c>
      <c r="V33" s="1">
        <f t="shared" si="26"/>
        <v>0</v>
      </c>
      <c r="W33" s="1">
        <f t="shared" si="27"/>
        <v>0</v>
      </c>
      <c r="X33" s="1">
        <f t="shared" si="28"/>
        <v>0</v>
      </c>
      <c r="Y33" s="1">
        <f t="shared" si="29"/>
        <v>0</v>
      </c>
      <c r="Z33" s="1">
        <f t="shared" si="30"/>
        <v>1</v>
      </c>
      <c r="AA33" s="1">
        <f t="shared" si="31"/>
        <v>0</v>
      </c>
      <c r="AB33" s="1">
        <f t="shared" si="32"/>
        <v>0</v>
      </c>
      <c r="AD33" s="1">
        <f t="shared" si="33"/>
        <v>0</v>
      </c>
      <c r="AE33" s="1">
        <f t="shared" si="34"/>
        <v>1</v>
      </c>
      <c r="AF33" s="1">
        <f t="shared" si="35"/>
        <v>0</v>
      </c>
      <c r="AG33" s="1">
        <f t="shared" si="36"/>
        <v>1</v>
      </c>
      <c r="AH33" s="1">
        <f t="shared" si="37"/>
        <v>0</v>
      </c>
      <c r="AI33" s="1">
        <f t="shared" si="38"/>
        <v>1</v>
      </c>
    </row>
    <row r="34" spans="1:35" ht="14.25" customHeight="1" x14ac:dyDescent="0.25">
      <c r="A34" s="31">
        <v>0</v>
      </c>
      <c r="B34" s="31">
        <v>1</v>
      </c>
      <c r="C34" s="31">
        <v>2</v>
      </c>
      <c r="D34" s="36" t="s">
        <v>1431</v>
      </c>
      <c r="E34" s="36" t="s">
        <v>1433</v>
      </c>
      <c r="F34" s="36" t="s">
        <v>1432</v>
      </c>
      <c r="G34" s="36"/>
      <c r="H34" s="36" t="s">
        <v>1116</v>
      </c>
      <c r="I34" s="37" t="s">
        <v>1434</v>
      </c>
      <c r="J34" s="31">
        <v>99</v>
      </c>
      <c r="K34" s="33" t="s">
        <v>694</v>
      </c>
      <c r="L34" s="33"/>
      <c r="M34" s="34"/>
      <c r="N34" s="34" t="s">
        <v>1693</v>
      </c>
      <c r="O34" s="35">
        <v>1</v>
      </c>
      <c r="P34" s="35">
        <v>1</v>
      </c>
      <c r="Q34" s="36" t="s">
        <v>1878</v>
      </c>
      <c r="S34" s="1">
        <f t="shared" si="23"/>
        <v>0</v>
      </c>
      <c r="T34" s="1">
        <f t="shared" si="24"/>
        <v>0</v>
      </c>
      <c r="U34" s="1">
        <f t="shared" si="25"/>
        <v>0</v>
      </c>
      <c r="V34" s="1">
        <f t="shared" si="26"/>
        <v>0</v>
      </c>
      <c r="W34" s="1">
        <f t="shared" si="27"/>
        <v>0</v>
      </c>
      <c r="X34" s="1">
        <f t="shared" si="28"/>
        <v>0</v>
      </c>
      <c r="Y34" s="1">
        <f t="shared" si="29"/>
        <v>0</v>
      </c>
      <c r="Z34" s="1">
        <f t="shared" si="30"/>
        <v>0</v>
      </c>
      <c r="AA34" s="1">
        <f t="shared" si="31"/>
        <v>0</v>
      </c>
      <c r="AB34" s="1">
        <f t="shared" si="32"/>
        <v>0</v>
      </c>
      <c r="AD34" s="1">
        <f t="shared" si="33"/>
        <v>1</v>
      </c>
      <c r="AE34" s="1">
        <f t="shared" si="34"/>
        <v>0</v>
      </c>
      <c r="AF34" s="1">
        <f t="shared" si="35"/>
        <v>1</v>
      </c>
      <c r="AG34" s="1">
        <f t="shared" si="36"/>
        <v>0</v>
      </c>
      <c r="AH34" s="1">
        <f t="shared" si="37"/>
        <v>1</v>
      </c>
      <c r="AI34" s="1">
        <f t="shared" si="38"/>
        <v>0</v>
      </c>
    </row>
    <row r="35" spans="1:35" ht="14.25" customHeight="1" x14ac:dyDescent="0.25">
      <c r="A35" s="44">
        <v>0</v>
      </c>
      <c r="B35" s="44">
        <v>1</v>
      </c>
      <c r="C35" s="44">
        <v>2</v>
      </c>
      <c r="D35" s="45" t="s">
        <v>588</v>
      </c>
      <c r="E35" s="45" t="s">
        <v>174</v>
      </c>
      <c r="F35" s="45" t="s">
        <v>589</v>
      </c>
      <c r="G35" s="45" t="s">
        <v>250</v>
      </c>
      <c r="H35" s="45" t="s">
        <v>352</v>
      </c>
      <c r="I35" s="44" t="s">
        <v>590</v>
      </c>
      <c r="J35" s="44">
        <v>99</v>
      </c>
      <c r="K35" s="46" t="s">
        <v>937</v>
      </c>
      <c r="L35" s="46" t="s">
        <v>680</v>
      </c>
      <c r="M35" s="47" t="s">
        <v>1354</v>
      </c>
      <c r="N35" s="47" t="s">
        <v>1702</v>
      </c>
      <c r="O35" s="48"/>
      <c r="P35" s="48"/>
      <c r="Q35" s="57"/>
      <c r="S35" s="1">
        <f t="shared" si="23"/>
        <v>0</v>
      </c>
      <c r="T35" s="1">
        <f t="shared" si="24"/>
        <v>0</v>
      </c>
      <c r="U35" s="1">
        <f t="shared" si="25"/>
        <v>0</v>
      </c>
      <c r="V35" s="1">
        <f t="shared" si="26"/>
        <v>0</v>
      </c>
      <c r="W35" s="1">
        <f t="shared" si="27"/>
        <v>0</v>
      </c>
      <c r="X35" s="1">
        <f t="shared" si="28"/>
        <v>0</v>
      </c>
      <c r="Y35" s="1">
        <f t="shared" si="29"/>
        <v>0</v>
      </c>
      <c r="Z35" s="1">
        <f t="shared" si="30"/>
        <v>0</v>
      </c>
      <c r="AA35" s="1">
        <f t="shared" si="31"/>
        <v>0</v>
      </c>
      <c r="AB35" s="1">
        <f t="shared" si="32"/>
        <v>0</v>
      </c>
      <c r="AD35" s="1">
        <f t="shared" si="33"/>
        <v>0</v>
      </c>
      <c r="AE35" s="1">
        <f t="shared" si="34"/>
        <v>0</v>
      </c>
      <c r="AF35" s="1">
        <f t="shared" si="35"/>
        <v>0</v>
      </c>
      <c r="AG35" s="1">
        <f t="shared" si="36"/>
        <v>0</v>
      </c>
      <c r="AH35" s="1">
        <f t="shared" si="37"/>
        <v>0</v>
      </c>
      <c r="AI35" s="1">
        <f t="shared" si="38"/>
        <v>1</v>
      </c>
    </row>
    <row r="36" spans="1:35" ht="14.25" customHeight="1" x14ac:dyDescent="0.25">
      <c r="A36" s="31">
        <v>0</v>
      </c>
      <c r="B36" s="31">
        <v>1</v>
      </c>
      <c r="C36" s="31">
        <v>2</v>
      </c>
      <c r="D36" s="36" t="s">
        <v>112</v>
      </c>
      <c r="E36" s="36" t="s">
        <v>174</v>
      </c>
      <c r="F36" s="36" t="s">
        <v>1827</v>
      </c>
      <c r="G36" s="36" t="s">
        <v>310</v>
      </c>
      <c r="H36" s="36" t="s">
        <v>352</v>
      </c>
      <c r="I36" s="37" t="s">
        <v>458</v>
      </c>
      <c r="J36" s="31">
        <v>99</v>
      </c>
      <c r="K36" s="33" t="s">
        <v>693</v>
      </c>
      <c r="L36" s="33" t="s">
        <v>680</v>
      </c>
      <c r="M36" s="34" t="s">
        <v>682</v>
      </c>
      <c r="N36" s="34" t="s">
        <v>1784</v>
      </c>
      <c r="O36" s="35">
        <v>1</v>
      </c>
      <c r="P36" s="35"/>
      <c r="Q36" s="36"/>
      <c r="S36" s="1">
        <f t="shared" si="23"/>
        <v>0</v>
      </c>
      <c r="T36" s="1">
        <f t="shared" si="24"/>
        <v>0</v>
      </c>
      <c r="U36" s="1">
        <f t="shared" si="25"/>
        <v>0</v>
      </c>
      <c r="V36" s="1">
        <f t="shared" si="26"/>
        <v>0</v>
      </c>
      <c r="W36" s="1">
        <f t="shared" si="27"/>
        <v>0</v>
      </c>
      <c r="X36" s="1">
        <f t="shared" si="28"/>
        <v>0</v>
      </c>
      <c r="Y36" s="1">
        <f t="shared" si="29"/>
        <v>0</v>
      </c>
      <c r="Z36" s="1">
        <f t="shared" si="30"/>
        <v>0</v>
      </c>
      <c r="AA36" s="1">
        <f t="shared" si="31"/>
        <v>0</v>
      </c>
      <c r="AB36" s="1">
        <f t="shared" si="32"/>
        <v>0</v>
      </c>
      <c r="AD36" s="1">
        <f t="shared" si="33"/>
        <v>0</v>
      </c>
      <c r="AE36" s="1">
        <f t="shared" si="34"/>
        <v>1</v>
      </c>
      <c r="AF36" s="1">
        <f t="shared" si="35"/>
        <v>0</v>
      </c>
      <c r="AG36" s="1">
        <f t="shared" si="36"/>
        <v>1</v>
      </c>
      <c r="AH36" s="1">
        <f t="shared" si="37"/>
        <v>0</v>
      </c>
      <c r="AI36" s="1">
        <f t="shared" si="38"/>
        <v>1</v>
      </c>
    </row>
    <row r="37" spans="1:35" ht="14.25" customHeight="1" x14ac:dyDescent="0.25">
      <c r="A37" s="31">
        <v>0</v>
      </c>
      <c r="B37" s="31">
        <v>1</v>
      </c>
      <c r="C37" s="31">
        <v>2</v>
      </c>
      <c r="D37" s="36" t="s">
        <v>1722</v>
      </c>
      <c r="E37" s="36" t="s">
        <v>154</v>
      </c>
      <c r="F37" s="36" t="s">
        <v>1723</v>
      </c>
      <c r="G37" s="36"/>
      <c r="H37" s="36" t="s">
        <v>1724</v>
      </c>
      <c r="I37" s="37" t="s">
        <v>1725</v>
      </c>
      <c r="J37" s="31">
        <v>18</v>
      </c>
      <c r="K37" s="33" t="s">
        <v>694</v>
      </c>
      <c r="L37" s="33">
        <v>55</v>
      </c>
      <c r="M37" s="34" t="s">
        <v>1446</v>
      </c>
      <c r="N37" s="34" t="s">
        <v>1699</v>
      </c>
      <c r="O37" s="35">
        <v>1</v>
      </c>
      <c r="P37" s="35">
        <v>1</v>
      </c>
      <c r="Q37" s="36"/>
      <c r="S37" s="1">
        <f t="shared" si="23"/>
        <v>0</v>
      </c>
      <c r="T37" s="1">
        <f t="shared" si="24"/>
        <v>0</v>
      </c>
      <c r="U37" s="1">
        <f t="shared" si="25"/>
        <v>0</v>
      </c>
      <c r="V37" s="1">
        <f t="shared" si="26"/>
        <v>0</v>
      </c>
      <c r="W37" s="1">
        <f t="shared" si="27"/>
        <v>0</v>
      </c>
      <c r="X37" s="1">
        <f t="shared" si="28"/>
        <v>0</v>
      </c>
      <c r="Y37" s="1">
        <f t="shared" si="29"/>
        <v>0</v>
      </c>
      <c r="Z37" s="1">
        <f t="shared" si="30"/>
        <v>0</v>
      </c>
      <c r="AA37" s="1">
        <f t="shared" si="31"/>
        <v>0</v>
      </c>
      <c r="AB37" s="1">
        <f t="shared" si="32"/>
        <v>0</v>
      </c>
      <c r="AD37" s="1">
        <f t="shared" si="33"/>
        <v>1</v>
      </c>
      <c r="AE37" s="1">
        <f t="shared" si="34"/>
        <v>0</v>
      </c>
      <c r="AF37" s="1">
        <f t="shared" si="35"/>
        <v>1</v>
      </c>
      <c r="AG37" s="1">
        <f t="shared" si="36"/>
        <v>0</v>
      </c>
      <c r="AH37" s="1">
        <f t="shared" si="37"/>
        <v>1</v>
      </c>
      <c r="AI37" s="1">
        <f t="shared" si="38"/>
        <v>0</v>
      </c>
    </row>
    <row r="38" spans="1:35" ht="14.25" customHeight="1" x14ac:dyDescent="0.25">
      <c r="A38" s="31">
        <v>0</v>
      </c>
      <c r="B38" s="31">
        <v>1</v>
      </c>
      <c r="C38" s="31">
        <v>2</v>
      </c>
      <c r="D38" s="36" t="s">
        <v>591</v>
      </c>
      <c r="E38" s="36" t="s">
        <v>174</v>
      </c>
      <c r="F38" s="36" t="s">
        <v>592</v>
      </c>
      <c r="G38" s="36" t="s">
        <v>566</v>
      </c>
      <c r="H38" s="36" t="s">
        <v>352</v>
      </c>
      <c r="I38" s="37" t="s">
        <v>593</v>
      </c>
      <c r="J38" s="31">
        <v>1</v>
      </c>
      <c r="K38" s="33" t="s">
        <v>937</v>
      </c>
      <c r="L38" s="33" t="s">
        <v>1669</v>
      </c>
      <c r="M38" s="34" t="s">
        <v>1353</v>
      </c>
      <c r="N38" s="34" t="s">
        <v>1708</v>
      </c>
      <c r="O38" s="35">
        <v>1</v>
      </c>
      <c r="P38" s="35"/>
      <c r="Q38" s="36"/>
      <c r="S38" s="1">
        <f t="shared" si="23"/>
        <v>1</v>
      </c>
      <c r="T38" s="1">
        <f t="shared" si="24"/>
        <v>0</v>
      </c>
      <c r="U38" s="1">
        <f t="shared" si="25"/>
        <v>0</v>
      </c>
      <c r="V38" s="1">
        <f t="shared" si="26"/>
        <v>0</v>
      </c>
      <c r="W38" s="1">
        <f t="shared" si="27"/>
        <v>0</v>
      </c>
      <c r="X38" s="1">
        <f t="shared" si="28"/>
        <v>0</v>
      </c>
      <c r="Y38" s="1">
        <f t="shared" si="29"/>
        <v>0</v>
      </c>
      <c r="Z38" s="1">
        <f t="shared" si="30"/>
        <v>0</v>
      </c>
      <c r="AA38" s="1">
        <f t="shared" si="31"/>
        <v>0</v>
      </c>
      <c r="AB38" s="1">
        <f t="shared" si="32"/>
        <v>0</v>
      </c>
      <c r="AD38" s="1">
        <f t="shared" si="33"/>
        <v>0</v>
      </c>
      <c r="AE38" s="1">
        <f t="shared" si="34"/>
        <v>1</v>
      </c>
      <c r="AF38" s="1">
        <f t="shared" si="35"/>
        <v>0</v>
      </c>
      <c r="AG38" s="1">
        <f t="shared" si="36"/>
        <v>1</v>
      </c>
      <c r="AH38" s="1">
        <f t="shared" si="37"/>
        <v>0</v>
      </c>
      <c r="AI38" s="1">
        <f t="shared" si="38"/>
        <v>1</v>
      </c>
    </row>
    <row r="39" spans="1:35" ht="14.25" customHeight="1" x14ac:dyDescent="0.25">
      <c r="A39" s="31">
        <v>0</v>
      </c>
      <c r="B39" s="31">
        <v>1</v>
      </c>
      <c r="C39" s="31">
        <v>2</v>
      </c>
      <c r="D39" s="36" t="s">
        <v>1711</v>
      </c>
      <c r="E39" s="36" t="s">
        <v>1712</v>
      </c>
      <c r="F39" s="36" t="s">
        <v>1713</v>
      </c>
      <c r="G39" s="36" t="s">
        <v>319</v>
      </c>
      <c r="H39" s="36" t="s">
        <v>352</v>
      </c>
      <c r="I39" s="37" t="s">
        <v>1714</v>
      </c>
      <c r="J39" s="31">
        <v>99</v>
      </c>
      <c r="K39" s="33" t="s">
        <v>694</v>
      </c>
      <c r="L39" s="33"/>
      <c r="M39" s="34"/>
      <c r="N39" s="34" t="s">
        <v>1699</v>
      </c>
      <c r="O39" s="35">
        <v>1</v>
      </c>
      <c r="P39" s="35">
        <v>1</v>
      </c>
      <c r="Q39" s="36"/>
      <c r="S39" s="1">
        <f t="shared" si="23"/>
        <v>0</v>
      </c>
      <c r="T39" s="1">
        <f t="shared" si="24"/>
        <v>0</v>
      </c>
      <c r="U39" s="1">
        <f t="shared" si="25"/>
        <v>0</v>
      </c>
      <c r="V39" s="1">
        <f t="shared" si="26"/>
        <v>0</v>
      </c>
      <c r="W39" s="1">
        <f t="shared" si="27"/>
        <v>0</v>
      </c>
      <c r="X39" s="1">
        <f t="shared" si="28"/>
        <v>0</v>
      </c>
      <c r="Y39" s="1">
        <f t="shared" si="29"/>
        <v>0</v>
      </c>
      <c r="Z39" s="1">
        <f t="shared" si="30"/>
        <v>0</v>
      </c>
      <c r="AA39" s="1">
        <f t="shared" si="31"/>
        <v>0</v>
      </c>
      <c r="AB39" s="1">
        <f t="shared" si="32"/>
        <v>0</v>
      </c>
      <c r="AD39" s="1">
        <f t="shared" si="33"/>
        <v>1</v>
      </c>
      <c r="AE39" s="1">
        <f t="shared" si="34"/>
        <v>0</v>
      </c>
      <c r="AF39" s="1">
        <f t="shared" si="35"/>
        <v>1</v>
      </c>
      <c r="AG39" s="1">
        <f t="shared" si="36"/>
        <v>0</v>
      </c>
      <c r="AH39" s="1">
        <f t="shared" si="37"/>
        <v>1</v>
      </c>
      <c r="AI39" s="1">
        <f t="shared" si="38"/>
        <v>0</v>
      </c>
    </row>
    <row r="40" spans="1:35" ht="14.25" customHeight="1" x14ac:dyDescent="0.25">
      <c r="A40" s="44">
        <v>0</v>
      </c>
      <c r="B40" s="44">
        <v>1</v>
      </c>
      <c r="C40" s="44">
        <v>2</v>
      </c>
      <c r="D40" s="45" t="s">
        <v>634</v>
      </c>
      <c r="E40" s="45" t="s">
        <v>174</v>
      </c>
      <c r="F40" s="57" t="s">
        <v>635</v>
      </c>
      <c r="G40" s="45" t="s">
        <v>219</v>
      </c>
      <c r="H40" s="45" t="s">
        <v>352</v>
      </c>
      <c r="I40" s="44" t="s">
        <v>1092</v>
      </c>
      <c r="J40" s="44">
        <v>8</v>
      </c>
      <c r="K40" s="46" t="s">
        <v>937</v>
      </c>
      <c r="L40" s="46" t="s">
        <v>1666</v>
      </c>
      <c r="M40" s="47" t="s">
        <v>1348</v>
      </c>
      <c r="N40" s="47" t="s">
        <v>1768</v>
      </c>
      <c r="O40" s="48"/>
      <c r="P40" s="48"/>
      <c r="Q40" s="57"/>
      <c r="S40" s="1">
        <f t="shared" si="23"/>
        <v>0</v>
      </c>
      <c r="T40" s="1">
        <f t="shared" si="24"/>
        <v>0</v>
      </c>
      <c r="U40" s="1">
        <f t="shared" si="25"/>
        <v>0</v>
      </c>
      <c r="V40" s="1">
        <f t="shared" si="26"/>
        <v>0</v>
      </c>
      <c r="W40" s="1">
        <f t="shared" si="27"/>
        <v>0</v>
      </c>
      <c r="X40" s="1">
        <f t="shared" si="28"/>
        <v>0</v>
      </c>
      <c r="Y40" s="1">
        <f t="shared" si="29"/>
        <v>0</v>
      </c>
      <c r="Z40" s="1">
        <f t="shared" si="30"/>
        <v>1</v>
      </c>
      <c r="AA40" s="1">
        <f t="shared" si="31"/>
        <v>0</v>
      </c>
      <c r="AB40" s="1">
        <f t="shared" si="32"/>
        <v>0</v>
      </c>
      <c r="AD40" s="1">
        <f t="shared" si="33"/>
        <v>0</v>
      </c>
      <c r="AE40" s="1">
        <f t="shared" si="34"/>
        <v>0</v>
      </c>
      <c r="AF40" s="1">
        <f t="shared" si="35"/>
        <v>0</v>
      </c>
      <c r="AG40" s="1">
        <f t="shared" si="36"/>
        <v>0</v>
      </c>
      <c r="AH40" s="1">
        <f t="shared" si="37"/>
        <v>0</v>
      </c>
      <c r="AI40" s="1">
        <f t="shared" si="38"/>
        <v>1</v>
      </c>
    </row>
    <row r="41" spans="1:35" ht="14.25" customHeight="1" x14ac:dyDescent="0.25">
      <c r="A41" s="31">
        <v>0</v>
      </c>
      <c r="B41" s="31">
        <v>1</v>
      </c>
      <c r="C41" s="31">
        <v>2</v>
      </c>
      <c r="D41" s="36" t="s">
        <v>1480</v>
      </c>
      <c r="E41" s="36" t="s">
        <v>174</v>
      </c>
      <c r="F41" s="36" t="s">
        <v>1627</v>
      </c>
      <c r="G41" s="36" t="s">
        <v>1482</v>
      </c>
      <c r="H41" s="36" t="s">
        <v>352</v>
      </c>
      <c r="I41" s="37" t="s">
        <v>1481</v>
      </c>
      <c r="J41" s="31">
        <v>99</v>
      </c>
      <c r="K41" s="33" t="s">
        <v>938</v>
      </c>
      <c r="L41" s="33" t="s">
        <v>39</v>
      </c>
      <c r="M41" s="34" t="s">
        <v>39</v>
      </c>
      <c r="N41" s="34" t="s">
        <v>1693</v>
      </c>
      <c r="O41" s="35">
        <v>1</v>
      </c>
      <c r="P41" s="35">
        <v>1</v>
      </c>
      <c r="Q41" s="36"/>
      <c r="S41" s="1">
        <f t="shared" si="23"/>
        <v>0</v>
      </c>
      <c r="T41" s="1">
        <f t="shared" si="24"/>
        <v>0</v>
      </c>
      <c r="U41" s="1">
        <f t="shared" si="25"/>
        <v>0</v>
      </c>
      <c r="V41" s="1">
        <f t="shared" si="26"/>
        <v>0</v>
      </c>
      <c r="W41" s="1">
        <f t="shared" si="27"/>
        <v>0</v>
      </c>
      <c r="X41" s="1">
        <f t="shared" si="28"/>
        <v>0</v>
      </c>
      <c r="Y41" s="1">
        <f t="shared" si="29"/>
        <v>0</v>
      </c>
      <c r="Z41" s="1">
        <f t="shared" si="30"/>
        <v>0</v>
      </c>
      <c r="AA41" s="1">
        <f t="shared" si="31"/>
        <v>0</v>
      </c>
      <c r="AB41" s="1">
        <f t="shared" si="32"/>
        <v>0</v>
      </c>
      <c r="AD41" s="1">
        <f t="shared" si="33"/>
        <v>1</v>
      </c>
      <c r="AE41" s="1">
        <f t="shared" si="34"/>
        <v>0</v>
      </c>
      <c r="AF41" s="1">
        <f t="shared" si="35"/>
        <v>1</v>
      </c>
      <c r="AG41" s="1">
        <f t="shared" si="36"/>
        <v>0</v>
      </c>
      <c r="AH41" s="1">
        <f t="shared" si="37"/>
        <v>1</v>
      </c>
      <c r="AI41" s="1">
        <f t="shared" si="38"/>
        <v>0</v>
      </c>
    </row>
    <row r="42" spans="1:35" ht="14.25" customHeight="1" x14ac:dyDescent="0.25">
      <c r="A42" s="31">
        <v>0</v>
      </c>
      <c r="B42" s="31">
        <v>1</v>
      </c>
      <c r="C42" s="31">
        <v>2</v>
      </c>
      <c r="D42" s="32" t="s">
        <v>865</v>
      </c>
      <c r="E42" s="32" t="s">
        <v>173</v>
      </c>
      <c r="F42" s="32" t="s">
        <v>866</v>
      </c>
      <c r="G42" s="32" t="s">
        <v>39</v>
      </c>
      <c r="H42" s="32" t="s">
        <v>373</v>
      </c>
      <c r="I42" s="31" t="s">
        <v>867</v>
      </c>
      <c r="J42" s="31">
        <v>12</v>
      </c>
      <c r="K42" s="33" t="s">
        <v>693</v>
      </c>
      <c r="L42" s="33" t="s">
        <v>1670</v>
      </c>
      <c r="M42" s="34" t="s">
        <v>1355</v>
      </c>
      <c r="N42" s="34" t="s">
        <v>1784</v>
      </c>
      <c r="O42" s="35">
        <v>1</v>
      </c>
      <c r="P42" s="35"/>
      <c r="Q42" s="32"/>
      <c r="S42" s="1">
        <f t="shared" si="23"/>
        <v>0</v>
      </c>
      <c r="T42" s="1">
        <f t="shared" si="24"/>
        <v>0</v>
      </c>
      <c r="U42" s="1">
        <f t="shared" si="25"/>
        <v>0</v>
      </c>
      <c r="V42" s="1">
        <f t="shared" si="26"/>
        <v>0</v>
      </c>
      <c r="W42" s="1">
        <f t="shared" si="27"/>
        <v>0</v>
      </c>
      <c r="X42" s="1">
        <f t="shared" si="28"/>
        <v>0</v>
      </c>
      <c r="Y42" s="1">
        <f t="shared" si="29"/>
        <v>0</v>
      </c>
      <c r="Z42" s="1">
        <f t="shared" si="30"/>
        <v>0</v>
      </c>
      <c r="AA42" s="1">
        <f t="shared" si="31"/>
        <v>0</v>
      </c>
      <c r="AB42" s="1">
        <f t="shared" si="32"/>
        <v>0</v>
      </c>
      <c r="AD42" s="1">
        <f t="shared" si="33"/>
        <v>0</v>
      </c>
      <c r="AE42" s="1">
        <f t="shared" si="34"/>
        <v>1</v>
      </c>
      <c r="AF42" s="1">
        <f t="shared" si="35"/>
        <v>0</v>
      </c>
      <c r="AG42" s="1">
        <f t="shared" si="36"/>
        <v>1</v>
      </c>
      <c r="AH42" s="1">
        <f t="shared" si="37"/>
        <v>0</v>
      </c>
      <c r="AI42" s="1">
        <f t="shared" si="38"/>
        <v>1</v>
      </c>
    </row>
    <row r="43" spans="1:35" ht="14.25" customHeight="1" x14ac:dyDescent="0.25">
      <c r="A43" s="31">
        <v>0</v>
      </c>
      <c r="B43" s="31">
        <v>1</v>
      </c>
      <c r="C43" s="31">
        <v>2</v>
      </c>
      <c r="D43" s="32" t="s">
        <v>1774</v>
      </c>
      <c r="E43" s="32" t="s">
        <v>174</v>
      </c>
      <c r="F43" s="32" t="s">
        <v>1775</v>
      </c>
      <c r="G43" s="32" t="s">
        <v>193</v>
      </c>
      <c r="H43" s="32" t="s">
        <v>352</v>
      </c>
      <c r="I43" s="31" t="s">
        <v>1776</v>
      </c>
      <c r="J43" s="31">
        <v>9</v>
      </c>
      <c r="K43" s="33" t="s">
        <v>694</v>
      </c>
      <c r="L43" s="33">
        <v>60</v>
      </c>
      <c r="M43" s="34" t="s">
        <v>1777</v>
      </c>
      <c r="N43" s="34" t="s">
        <v>1808</v>
      </c>
      <c r="O43" s="35">
        <v>1</v>
      </c>
      <c r="P43" s="35"/>
      <c r="Q43" s="32"/>
      <c r="S43" s="1">
        <f t="shared" si="23"/>
        <v>0</v>
      </c>
      <c r="T43" s="1">
        <f t="shared" si="24"/>
        <v>0</v>
      </c>
      <c r="U43" s="1">
        <f t="shared" si="25"/>
        <v>0</v>
      </c>
      <c r="V43" s="1">
        <f t="shared" si="26"/>
        <v>0</v>
      </c>
      <c r="W43" s="1">
        <f t="shared" si="27"/>
        <v>0</v>
      </c>
      <c r="X43" s="1">
        <f t="shared" si="28"/>
        <v>0</v>
      </c>
      <c r="Y43" s="1">
        <f t="shared" si="29"/>
        <v>0</v>
      </c>
      <c r="Z43" s="1">
        <f t="shared" si="30"/>
        <v>0</v>
      </c>
      <c r="AA43" s="1">
        <f t="shared" si="31"/>
        <v>1</v>
      </c>
      <c r="AB43" s="1">
        <f t="shared" si="32"/>
        <v>0</v>
      </c>
      <c r="AD43" s="1">
        <f t="shared" si="33"/>
        <v>0</v>
      </c>
      <c r="AE43" s="1">
        <f t="shared" si="34"/>
        <v>1</v>
      </c>
      <c r="AF43" s="1">
        <f t="shared" si="35"/>
        <v>0</v>
      </c>
      <c r="AG43" s="1">
        <f t="shared" si="36"/>
        <v>1</v>
      </c>
      <c r="AH43" s="1">
        <f t="shared" si="37"/>
        <v>0</v>
      </c>
      <c r="AI43" s="1">
        <f t="shared" si="38"/>
        <v>1</v>
      </c>
    </row>
    <row r="44" spans="1:35" ht="14.25" customHeight="1" x14ac:dyDescent="0.25">
      <c r="A44" s="31">
        <v>0</v>
      </c>
      <c r="B44" s="31">
        <v>1</v>
      </c>
      <c r="C44" s="31">
        <v>2</v>
      </c>
      <c r="D44" s="32" t="s">
        <v>138</v>
      </c>
      <c r="E44" s="32" t="s">
        <v>174</v>
      </c>
      <c r="F44" s="32" t="s">
        <v>1837</v>
      </c>
      <c r="G44" s="32" t="s">
        <v>199</v>
      </c>
      <c r="H44" s="32" t="s">
        <v>352</v>
      </c>
      <c r="I44" s="31" t="s">
        <v>484</v>
      </c>
      <c r="J44" s="31">
        <v>2</v>
      </c>
      <c r="K44" s="33" t="s">
        <v>937</v>
      </c>
      <c r="L44" s="33" t="s">
        <v>684</v>
      </c>
      <c r="M44" s="34" t="s">
        <v>682</v>
      </c>
      <c r="N44" s="34" t="s">
        <v>1721</v>
      </c>
      <c r="O44" s="35">
        <v>1</v>
      </c>
      <c r="P44" s="35"/>
      <c r="Q44" s="32" t="s">
        <v>1865</v>
      </c>
      <c r="S44" s="1">
        <f t="shared" si="23"/>
        <v>0</v>
      </c>
      <c r="T44" s="1">
        <f t="shared" si="24"/>
        <v>1</v>
      </c>
      <c r="U44" s="1">
        <f t="shared" si="25"/>
        <v>0</v>
      </c>
      <c r="V44" s="1">
        <f t="shared" si="26"/>
        <v>0</v>
      </c>
      <c r="W44" s="1">
        <f t="shared" si="27"/>
        <v>0</v>
      </c>
      <c r="X44" s="1">
        <f t="shared" si="28"/>
        <v>0</v>
      </c>
      <c r="Y44" s="1">
        <f t="shared" si="29"/>
        <v>0</v>
      </c>
      <c r="Z44" s="1">
        <f t="shared" si="30"/>
        <v>0</v>
      </c>
      <c r="AA44" s="1">
        <f t="shared" si="31"/>
        <v>0</v>
      </c>
      <c r="AB44" s="1">
        <f t="shared" si="32"/>
        <v>0</v>
      </c>
      <c r="AD44" s="1">
        <f t="shared" si="33"/>
        <v>0</v>
      </c>
      <c r="AE44" s="1">
        <f t="shared" si="34"/>
        <v>1</v>
      </c>
      <c r="AF44" s="1">
        <f t="shared" si="35"/>
        <v>0</v>
      </c>
      <c r="AG44" s="1">
        <f t="shared" si="36"/>
        <v>1</v>
      </c>
      <c r="AH44" s="1">
        <f t="shared" si="37"/>
        <v>0</v>
      </c>
      <c r="AI44" s="1">
        <f t="shared" si="38"/>
        <v>1</v>
      </c>
    </row>
    <row r="45" spans="1:35" ht="14.25" customHeight="1" x14ac:dyDescent="0.25">
      <c r="A45" s="31">
        <v>0</v>
      </c>
      <c r="B45" s="31">
        <v>1</v>
      </c>
      <c r="C45" s="31">
        <v>2</v>
      </c>
      <c r="D45" s="32" t="s">
        <v>823</v>
      </c>
      <c r="E45" s="32" t="s">
        <v>174</v>
      </c>
      <c r="F45" s="32" t="s">
        <v>825</v>
      </c>
      <c r="G45" s="32" t="s">
        <v>39</v>
      </c>
      <c r="H45" s="32" t="s">
        <v>352</v>
      </c>
      <c r="I45" s="31" t="s">
        <v>824</v>
      </c>
      <c r="J45" s="31">
        <v>99</v>
      </c>
      <c r="K45" s="33" t="s">
        <v>943</v>
      </c>
      <c r="L45" s="33" t="s">
        <v>39</v>
      </c>
      <c r="M45" s="34" t="s">
        <v>39</v>
      </c>
      <c r="N45" s="34" t="s">
        <v>1699</v>
      </c>
      <c r="O45" s="35">
        <v>1</v>
      </c>
      <c r="P45" s="35">
        <v>1</v>
      </c>
      <c r="Q45" s="32"/>
      <c r="S45" s="1">
        <f t="shared" si="23"/>
        <v>0</v>
      </c>
      <c r="T45" s="1">
        <f t="shared" si="24"/>
        <v>0</v>
      </c>
      <c r="U45" s="1">
        <f t="shared" si="25"/>
        <v>0</v>
      </c>
      <c r="V45" s="1">
        <f t="shared" si="26"/>
        <v>0</v>
      </c>
      <c r="W45" s="1">
        <f t="shared" si="27"/>
        <v>0</v>
      </c>
      <c r="X45" s="1">
        <f t="shared" si="28"/>
        <v>0</v>
      </c>
      <c r="Y45" s="1">
        <f t="shared" si="29"/>
        <v>0</v>
      </c>
      <c r="Z45" s="1">
        <f t="shared" si="30"/>
        <v>0</v>
      </c>
      <c r="AA45" s="1">
        <f t="shared" si="31"/>
        <v>0</v>
      </c>
      <c r="AB45" s="1">
        <f t="shared" si="32"/>
        <v>0</v>
      </c>
      <c r="AD45" s="1">
        <f t="shared" si="33"/>
        <v>1</v>
      </c>
      <c r="AE45" s="1">
        <f t="shared" si="34"/>
        <v>0</v>
      </c>
      <c r="AF45" s="1">
        <f t="shared" si="35"/>
        <v>1</v>
      </c>
      <c r="AG45" s="1">
        <f t="shared" si="36"/>
        <v>0</v>
      </c>
      <c r="AH45" s="1">
        <f t="shared" si="37"/>
        <v>1</v>
      </c>
      <c r="AI45" s="1">
        <f t="shared" si="38"/>
        <v>0</v>
      </c>
    </row>
    <row r="46" spans="1:35" ht="14.25" customHeight="1" x14ac:dyDescent="0.25">
      <c r="A46" s="31">
        <v>0</v>
      </c>
      <c r="B46" s="31">
        <v>1</v>
      </c>
      <c r="C46" s="31">
        <v>2</v>
      </c>
      <c r="D46" s="32" t="s">
        <v>2122</v>
      </c>
      <c r="E46" s="32" t="s">
        <v>174</v>
      </c>
      <c r="F46" s="32" t="s">
        <v>2123</v>
      </c>
      <c r="G46" s="32" t="s">
        <v>177</v>
      </c>
      <c r="H46" s="32" t="s">
        <v>352</v>
      </c>
      <c r="I46" s="31" t="s">
        <v>2124</v>
      </c>
      <c r="J46" s="31">
        <v>1</v>
      </c>
      <c r="K46" s="33" t="s">
        <v>694</v>
      </c>
      <c r="L46" s="33"/>
      <c r="M46" s="34"/>
      <c r="N46" s="34" t="s">
        <v>1699</v>
      </c>
      <c r="O46" s="35">
        <v>1</v>
      </c>
      <c r="P46" s="35">
        <v>1</v>
      </c>
      <c r="Q46" s="32" t="s">
        <v>2125</v>
      </c>
      <c r="S46" s="1">
        <f t="shared" si="23"/>
        <v>1</v>
      </c>
      <c r="T46" s="1">
        <f t="shared" si="24"/>
        <v>0</v>
      </c>
      <c r="U46" s="1">
        <f t="shared" si="25"/>
        <v>0</v>
      </c>
      <c r="V46" s="1">
        <f t="shared" si="26"/>
        <v>0</v>
      </c>
      <c r="W46" s="1">
        <f t="shared" si="27"/>
        <v>0</v>
      </c>
      <c r="X46" s="1">
        <f t="shared" si="28"/>
        <v>0</v>
      </c>
      <c r="Y46" s="1">
        <f t="shared" si="29"/>
        <v>0</v>
      </c>
      <c r="Z46" s="1">
        <f t="shared" si="30"/>
        <v>0</v>
      </c>
      <c r="AA46" s="1">
        <f t="shared" si="31"/>
        <v>0</v>
      </c>
      <c r="AB46" s="1">
        <f t="shared" si="32"/>
        <v>0</v>
      </c>
      <c r="AD46" s="1">
        <f t="shared" si="33"/>
        <v>1</v>
      </c>
      <c r="AE46" s="1">
        <f t="shared" si="34"/>
        <v>0</v>
      </c>
      <c r="AF46" s="1">
        <f t="shared" si="35"/>
        <v>1</v>
      </c>
      <c r="AG46" s="1">
        <f t="shared" si="36"/>
        <v>0</v>
      </c>
      <c r="AH46" s="1">
        <f t="shared" si="37"/>
        <v>1</v>
      </c>
      <c r="AI46" s="1">
        <f t="shared" si="38"/>
        <v>0</v>
      </c>
    </row>
    <row r="47" spans="1:35" ht="14.25" customHeight="1" x14ac:dyDescent="0.25">
      <c r="A47" s="31">
        <v>0</v>
      </c>
      <c r="B47" s="31">
        <v>1</v>
      </c>
      <c r="C47" s="31">
        <v>2</v>
      </c>
      <c r="D47" s="32" t="s">
        <v>898</v>
      </c>
      <c r="E47" s="32" t="s">
        <v>174</v>
      </c>
      <c r="F47" s="32" t="s">
        <v>768</v>
      </c>
      <c r="G47" s="32" t="s">
        <v>39</v>
      </c>
      <c r="H47" s="32" t="s">
        <v>373</v>
      </c>
      <c r="I47" s="31" t="s">
        <v>769</v>
      </c>
      <c r="J47" s="31">
        <v>12</v>
      </c>
      <c r="K47" s="33" t="s">
        <v>713</v>
      </c>
      <c r="L47" s="33" t="s">
        <v>1665</v>
      </c>
      <c r="M47" s="34" t="s">
        <v>1100</v>
      </c>
      <c r="N47" s="34" t="s">
        <v>1784</v>
      </c>
      <c r="O47" s="35">
        <v>1</v>
      </c>
      <c r="P47" s="35"/>
      <c r="Q47" s="32"/>
      <c r="S47" s="1">
        <f t="shared" si="23"/>
        <v>0</v>
      </c>
      <c r="T47" s="1">
        <f t="shared" si="24"/>
        <v>0</v>
      </c>
      <c r="U47" s="1">
        <f t="shared" si="25"/>
        <v>0</v>
      </c>
      <c r="V47" s="1">
        <f t="shared" si="26"/>
        <v>0</v>
      </c>
      <c r="W47" s="1">
        <f t="shared" si="27"/>
        <v>0</v>
      </c>
      <c r="X47" s="1">
        <f t="shared" si="28"/>
        <v>0</v>
      </c>
      <c r="Y47" s="1">
        <f t="shared" si="29"/>
        <v>0</v>
      </c>
      <c r="Z47" s="1">
        <f t="shared" si="30"/>
        <v>0</v>
      </c>
      <c r="AA47" s="1">
        <f t="shared" si="31"/>
        <v>0</v>
      </c>
      <c r="AB47" s="1">
        <f t="shared" si="32"/>
        <v>0</v>
      </c>
      <c r="AD47" s="1">
        <f t="shared" si="33"/>
        <v>0</v>
      </c>
      <c r="AE47" s="1">
        <f t="shared" si="34"/>
        <v>1</v>
      </c>
      <c r="AF47" s="1">
        <f t="shared" si="35"/>
        <v>0</v>
      </c>
      <c r="AG47" s="1">
        <f t="shared" si="36"/>
        <v>1</v>
      </c>
      <c r="AH47" s="1">
        <f t="shared" si="37"/>
        <v>0</v>
      </c>
      <c r="AI47" s="1">
        <f t="shared" si="38"/>
        <v>1</v>
      </c>
    </row>
    <row r="48" spans="1:35" ht="14.25" customHeight="1" x14ac:dyDescent="0.25">
      <c r="A48" s="31">
        <v>0</v>
      </c>
      <c r="B48" s="31">
        <v>1</v>
      </c>
      <c r="C48" s="31">
        <v>2</v>
      </c>
      <c r="D48" s="32" t="s">
        <v>1602</v>
      </c>
      <c r="E48" s="32" t="s">
        <v>173</v>
      </c>
      <c r="F48" s="32" t="s">
        <v>1628</v>
      </c>
      <c r="G48" s="32" t="s">
        <v>250</v>
      </c>
      <c r="H48" s="32" t="s">
        <v>352</v>
      </c>
      <c r="I48" s="31" t="s">
        <v>1530</v>
      </c>
      <c r="J48" s="31">
        <v>99</v>
      </c>
      <c r="K48" s="33" t="s">
        <v>938</v>
      </c>
      <c r="L48" s="33" t="s">
        <v>39</v>
      </c>
      <c r="M48" s="34" t="s">
        <v>39</v>
      </c>
      <c r="N48" s="34" t="s">
        <v>1693</v>
      </c>
      <c r="O48" s="35">
        <v>1</v>
      </c>
      <c r="P48" s="35">
        <v>1</v>
      </c>
      <c r="Q48" s="32"/>
      <c r="S48" s="1">
        <f t="shared" si="23"/>
        <v>0</v>
      </c>
      <c r="T48" s="1">
        <f t="shared" si="24"/>
        <v>0</v>
      </c>
      <c r="U48" s="1">
        <f t="shared" si="25"/>
        <v>0</v>
      </c>
      <c r="V48" s="1">
        <f t="shared" si="26"/>
        <v>0</v>
      </c>
      <c r="W48" s="1">
        <f t="shared" si="27"/>
        <v>0</v>
      </c>
      <c r="X48" s="1">
        <f t="shared" si="28"/>
        <v>0</v>
      </c>
      <c r="Y48" s="1">
        <f t="shared" si="29"/>
        <v>0</v>
      </c>
      <c r="Z48" s="1">
        <f t="shared" si="30"/>
        <v>0</v>
      </c>
      <c r="AA48" s="1">
        <f t="shared" si="31"/>
        <v>0</v>
      </c>
      <c r="AB48" s="1">
        <f t="shared" si="32"/>
        <v>0</v>
      </c>
      <c r="AD48" s="1">
        <f t="shared" si="33"/>
        <v>1</v>
      </c>
      <c r="AE48" s="1">
        <f t="shared" si="34"/>
        <v>0</v>
      </c>
      <c r="AF48" s="1">
        <f t="shared" si="35"/>
        <v>1</v>
      </c>
      <c r="AG48" s="1">
        <f t="shared" si="36"/>
        <v>0</v>
      </c>
      <c r="AH48" s="1">
        <f t="shared" si="37"/>
        <v>1</v>
      </c>
      <c r="AI48" s="1">
        <f t="shared" si="38"/>
        <v>0</v>
      </c>
    </row>
    <row r="49" spans="1:35" ht="14.25" customHeight="1" x14ac:dyDescent="0.25">
      <c r="A49" s="31">
        <v>0</v>
      </c>
      <c r="B49" s="31">
        <v>1</v>
      </c>
      <c r="C49" s="31">
        <v>2</v>
      </c>
      <c r="D49" s="32" t="s">
        <v>1498</v>
      </c>
      <c r="E49" s="32" t="s">
        <v>1616</v>
      </c>
      <c r="F49" s="32" t="s">
        <v>1499</v>
      </c>
      <c r="G49" s="32" t="s">
        <v>199</v>
      </c>
      <c r="H49" s="32" t="s">
        <v>352</v>
      </c>
      <c r="I49" s="31" t="s">
        <v>1500</v>
      </c>
      <c r="J49" s="31">
        <v>2</v>
      </c>
      <c r="K49" s="33" t="s">
        <v>937</v>
      </c>
      <c r="L49" s="33">
        <v>70</v>
      </c>
      <c r="M49" s="34" t="s">
        <v>39</v>
      </c>
      <c r="N49" s="34" t="s">
        <v>1749</v>
      </c>
      <c r="O49" s="35">
        <v>1</v>
      </c>
      <c r="P49" s="35"/>
      <c r="Q49" s="32"/>
      <c r="S49" s="1">
        <f t="shared" si="23"/>
        <v>0</v>
      </c>
      <c r="T49" s="1">
        <f t="shared" si="24"/>
        <v>1</v>
      </c>
      <c r="U49" s="1">
        <f t="shared" si="25"/>
        <v>0</v>
      </c>
      <c r="V49" s="1">
        <f t="shared" si="26"/>
        <v>0</v>
      </c>
      <c r="W49" s="1">
        <f t="shared" si="27"/>
        <v>0</v>
      </c>
      <c r="X49" s="1">
        <f t="shared" si="28"/>
        <v>0</v>
      </c>
      <c r="Y49" s="1">
        <f t="shared" si="29"/>
        <v>0</v>
      </c>
      <c r="Z49" s="1">
        <f t="shared" si="30"/>
        <v>0</v>
      </c>
      <c r="AA49" s="1">
        <f t="shared" si="31"/>
        <v>0</v>
      </c>
      <c r="AB49" s="1">
        <f t="shared" si="32"/>
        <v>0</v>
      </c>
      <c r="AD49" s="1">
        <f t="shared" si="33"/>
        <v>0</v>
      </c>
      <c r="AE49" s="1">
        <f t="shared" si="34"/>
        <v>1</v>
      </c>
      <c r="AF49" s="1">
        <f t="shared" si="35"/>
        <v>0</v>
      </c>
      <c r="AG49" s="1">
        <f t="shared" si="36"/>
        <v>1</v>
      </c>
      <c r="AH49" s="1">
        <f t="shared" si="37"/>
        <v>0</v>
      </c>
      <c r="AI49" s="1">
        <f t="shared" si="38"/>
        <v>1</v>
      </c>
    </row>
    <row r="50" spans="1:35" ht="14.25" customHeight="1" x14ac:dyDescent="0.25">
      <c r="A50" s="31">
        <v>0</v>
      </c>
      <c r="B50" s="31">
        <v>1</v>
      </c>
      <c r="C50" s="31">
        <v>2</v>
      </c>
      <c r="D50" s="32" t="s">
        <v>1436</v>
      </c>
      <c r="E50" s="32" t="s">
        <v>1617</v>
      </c>
      <c r="F50" s="32" t="s">
        <v>1435</v>
      </c>
      <c r="G50" s="32" t="s">
        <v>219</v>
      </c>
      <c r="H50" s="32" t="s">
        <v>352</v>
      </c>
      <c r="I50" s="31" t="s">
        <v>1653</v>
      </c>
      <c r="J50" s="31">
        <v>8</v>
      </c>
      <c r="K50" s="33" t="s">
        <v>693</v>
      </c>
      <c r="L50" s="33">
        <v>70</v>
      </c>
      <c r="M50" s="34" t="s">
        <v>39</v>
      </c>
      <c r="N50" s="34" t="s">
        <v>1716</v>
      </c>
      <c r="O50" s="35">
        <v>1</v>
      </c>
      <c r="P50" s="35"/>
      <c r="Q50" s="32"/>
      <c r="S50" s="1">
        <f t="shared" si="23"/>
        <v>0</v>
      </c>
      <c r="T50" s="1">
        <f t="shared" si="24"/>
        <v>0</v>
      </c>
      <c r="U50" s="1">
        <f t="shared" si="25"/>
        <v>0</v>
      </c>
      <c r="V50" s="1">
        <f t="shared" si="26"/>
        <v>0</v>
      </c>
      <c r="W50" s="1">
        <f t="shared" si="27"/>
        <v>0</v>
      </c>
      <c r="X50" s="1">
        <f t="shared" si="28"/>
        <v>0</v>
      </c>
      <c r="Y50" s="1">
        <f t="shared" si="29"/>
        <v>0</v>
      </c>
      <c r="Z50" s="1">
        <f t="shared" si="30"/>
        <v>1</v>
      </c>
      <c r="AA50" s="1">
        <f t="shared" si="31"/>
        <v>0</v>
      </c>
      <c r="AB50" s="1">
        <f t="shared" si="32"/>
        <v>0</v>
      </c>
      <c r="AD50" s="1">
        <f t="shared" si="33"/>
        <v>0</v>
      </c>
      <c r="AE50" s="1">
        <f t="shared" si="34"/>
        <v>1</v>
      </c>
      <c r="AF50" s="1">
        <f t="shared" si="35"/>
        <v>0</v>
      </c>
      <c r="AG50" s="1">
        <f t="shared" si="36"/>
        <v>1</v>
      </c>
      <c r="AH50" s="1">
        <f t="shared" si="37"/>
        <v>0</v>
      </c>
      <c r="AI50" s="1">
        <f t="shared" si="38"/>
        <v>1</v>
      </c>
    </row>
    <row r="51" spans="1:35" ht="14.25" customHeight="1" x14ac:dyDescent="0.25">
      <c r="A51" s="15">
        <v>0</v>
      </c>
      <c r="B51" s="15">
        <v>1</v>
      </c>
      <c r="C51" s="15">
        <v>2</v>
      </c>
      <c r="D51" s="16" t="s">
        <v>796</v>
      </c>
      <c r="E51" s="16" t="s">
        <v>174</v>
      </c>
      <c r="F51" s="16" t="s">
        <v>797</v>
      </c>
      <c r="G51" s="16" t="s">
        <v>39</v>
      </c>
      <c r="H51" s="16" t="s">
        <v>798</v>
      </c>
      <c r="I51" s="15" t="s">
        <v>799</v>
      </c>
      <c r="J51" s="15">
        <v>11</v>
      </c>
      <c r="K51" s="10" t="s">
        <v>694</v>
      </c>
      <c r="L51" s="10">
        <v>50</v>
      </c>
      <c r="M51" s="19" t="s">
        <v>1100</v>
      </c>
      <c r="N51" s="19"/>
      <c r="Q51" s="16"/>
      <c r="S51" s="1">
        <f t="shared" si="23"/>
        <v>0</v>
      </c>
      <c r="T51" s="1">
        <f t="shared" si="24"/>
        <v>0</v>
      </c>
      <c r="U51" s="1">
        <f t="shared" si="25"/>
        <v>0</v>
      </c>
      <c r="V51" s="1">
        <f t="shared" si="26"/>
        <v>0</v>
      </c>
      <c r="W51" s="1">
        <f t="shared" si="27"/>
        <v>0</v>
      </c>
      <c r="X51" s="1">
        <f t="shared" si="28"/>
        <v>0</v>
      </c>
      <c r="Y51" s="1">
        <f t="shared" si="29"/>
        <v>0</v>
      </c>
      <c r="Z51" s="1">
        <f t="shared" si="30"/>
        <v>0</v>
      </c>
      <c r="AA51" s="1">
        <f t="shared" si="31"/>
        <v>0</v>
      </c>
      <c r="AB51" s="1">
        <f t="shared" si="32"/>
        <v>0</v>
      </c>
      <c r="AD51" s="1">
        <f t="shared" si="33"/>
        <v>0</v>
      </c>
      <c r="AE51" s="1">
        <f t="shared" si="34"/>
        <v>0</v>
      </c>
      <c r="AF51" s="1">
        <f t="shared" si="35"/>
        <v>0</v>
      </c>
      <c r="AG51" s="1">
        <f t="shared" si="36"/>
        <v>0</v>
      </c>
      <c r="AH51" s="1">
        <f t="shared" si="37"/>
        <v>0</v>
      </c>
      <c r="AI51" s="1">
        <f t="shared" si="38"/>
        <v>1</v>
      </c>
    </row>
    <row r="52" spans="1:35" ht="14.25" customHeight="1" x14ac:dyDescent="0.25">
      <c r="A52" s="31">
        <v>0</v>
      </c>
      <c r="B52" s="31">
        <v>1</v>
      </c>
      <c r="C52" s="31">
        <v>2</v>
      </c>
      <c r="D52" s="32" t="s">
        <v>1440</v>
      </c>
      <c r="E52" s="32"/>
      <c r="F52" s="32" t="s">
        <v>1441</v>
      </c>
      <c r="G52" s="32" t="s">
        <v>1442</v>
      </c>
      <c r="H52" s="32" t="s">
        <v>352</v>
      </c>
      <c r="I52" s="31" t="s">
        <v>1443</v>
      </c>
      <c r="J52" s="31">
        <v>99</v>
      </c>
      <c r="K52" s="33" t="s">
        <v>694</v>
      </c>
      <c r="L52" s="33">
        <v>35</v>
      </c>
      <c r="M52" s="34" t="s">
        <v>1448</v>
      </c>
      <c r="N52" s="34" t="s">
        <v>1708</v>
      </c>
      <c r="O52" s="35">
        <v>1</v>
      </c>
      <c r="P52" s="35"/>
      <c r="Q52" s="32"/>
      <c r="S52" s="1">
        <f t="shared" si="23"/>
        <v>0</v>
      </c>
      <c r="T52" s="1">
        <f t="shared" si="24"/>
        <v>0</v>
      </c>
      <c r="U52" s="1">
        <f t="shared" si="25"/>
        <v>0</v>
      </c>
      <c r="V52" s="1">
        <f t="shared" si="26"/>
        <v>0</v>
      </c>
      <c r="W52" s="1">
        <f t="shared" si="27"/>
        <v>0</v>
      </c>
      <c r="X52" s="1">
        <f t="shared" si="28"/>
        <v>0</v>
      </c>
      <c r="Y52" s="1">
        <f t="shared" si="29"/>
        <v>0</v>
      </c>
      <c r="Z52" s="1">
        <f t="shared" si="30"/>
        <v>0</v>
      </c>
      <c r="AA52" s="1">
        <f t="shared" si="31"/>
        <v>0</v>
      </c>
      <c r="AB52" s="1">
        <f t="shared" si="32"/>
        <v>0</v>
      </c>
      <c r="AD52" s="1">
        <f t="shared" si="33"/>
        <v>0</v>
      </c>
      <c r="AE52" s="1">
        <f t="shared" si="34"/>
        <v>1</v>
      </c>
      <c r="AF52" s="1">
        <f t="shared" si="35"/>
        <v>0</v>
      </c>
      <c r="AG52" s="1">
        <f t="shared" si="36"/>
        <v>1</v>
      </c>
      <c r="AH52" s="1">
        <f t="shared" si="37"/>
        <v>0</v>
      </c>
      <c r="AI52" s="1">
        <f t="shared" si="38"/>
        <v>1</v>
      </c>
    </row>
    <row r="53" spans="1:35" ht="14.25" customHeight="1" x14ac:dyDescent="0.25">
      <c r="A53" s="31">
        <v>0</v>
      </c>
      <c r="B53" s="31">
        <v>1</v>
      </c>
      <c r="C53" s="31">
        <v>2</v>
      </c>
      <c r="D53" s="32" t="s">
        <v>1954</v>
      </c>
      <c r="E53" s="32" t="s">
        <v>174</v>
      </c>
      <c r="F53" s="32" t="s">
        <v>1955</v>
      </c>
      <c r="G53" s="32" t="s">
        <v>1956</v>
      </c>
      <c r="H53" s="32" t="s">
        <v>352</v>
      </c>
      <c r="I53" s="31" t="s">
        <v>1957</v>
      </c>
      <c r="J53" s="31">
        <v>99</v>
      </c>
      <c r="K53" s="33" t="s">
        <v>694</v>
      </c>
      <c r="L53" s="33"/>
      <c r="M53" s="34"/>
      <c r="N53" s="34" t="s">
        <v>1699</v>
      </c>
      <c r="O53" s="35">
        <v>1</v>
      </c>
      <c r="P53" s="35">
        <v>1</v>
      </c>
      <c r="Q53" s="32" t="s">
        <v>1958</v>
      </c>
      <c r="S53" s="1">
        <f t="shared" si="23"/>
        <v>0</v>
      </c>
      <c r="T53" s="1">
        <f t="shared" si="24"/>
        <v>0</v>
      </c>
      <c r="U53" s="1">
        <f t="shared" si="25"/>
        <v>0</v>
      </c>
      <c r="V53" s="1">
        <f t="shared" si="26"/>
        <v>0</v>
      </c>
      <c r="W53" s="1">
        <f t="shared" si="27"/>
        <v>0</v>
      </c>
      <c r="X53" s="1">
        <f t="shared" si="28"/>
        <v>0</v>
      </c>
      <c r="Y53" s="1">
        <f t="shared" si="29"/>
        <v>0</v>
      </c>
      <c r="Z53" s="1">
        <f t="shared" si="30"/>
        <v>0</v>
      </c>
      <c r="AA53" s="1">
        <f t="shared" si="31"/>
        <v>0</v>
      </c>
      <c r="AB53" s="1">
        <f t="shared" si="32"/>
        <v>0</v>
      </c>
      <c r="AD53" s="1">
        <f t="shared" si="33"/>
        <v>1</v>
      </c>
      <c r="AE53" s="1">
        <f t="shared" si="34"/>
        <v>0</v>
      </c>
      <c r="AF53" s="1">
        <f t="shared" si="35"/>
        <v>1</v>
      </c>
      <c r="AG53" s="1">
        <f t="shared" si="36"/>
        <v>0</v>
      </c>
      <c r="AH53" s="1">
        <f t="shared" si="37"/>
        <v>1</v>
      </c>
      <c r="AI53" s="1">
        <f t="shared" si="38"/>
        <v>0</v>
      </c>
    </row>
    <row r="54" spans="1:35" ht="14.25" customHeight="1" x14ac:dyDescent="0.25">
      <c r="A54" s="44">
        <v>0</v>
      </c>
      <c r="B54" s="44">
        <v>1</v>
      </c>
      <c r="C54" s="44">
        <v>2</v>
      </c>
      <c r="D54" s="45" t="s">
        <v>121</v>
      </c>
      <c r="E54" s="45" t="s">
        <v>174</v>
      </c>
      <c r="F54" s="45" t="s">
        <v>647</v>
      </c>
      <c r="G54" s="45" t="s">
        <v>39</v>
      </c>
      <c r="H54" s="45" t="s">
        <v>369</v>
      </c>
      <c r="I54" s="44" t="s">
        <v>466</v>
      </c>
      <c r="J54" s="44">
        <v>11</v>
      </c>
      <c r="K54" s="46" t="s">
        <v>694</v>
      </c>
      <c r="L54" s="46">
        <v>40</v>
      </c>
      <c r="M54" s="47" t="s">
        <v>682</v>
      </c>
      <c r="N54" s="47" t="s">
        <v>1761</v>
      </c>
      <c r="O54" s="48"/>
      <c r="P54" s="48"/>
      <c r="Q54" s="45"/>
      <c r="S54" s="1">
        <f t="shared" si="23"/>
        <v>0</v>
      </c>
      <c r="T54" s="1">
        <f t="shared" si="24"/>
        <v>0</v>
      </c>
      <c r="U54" s="1">
        <f t="shared" si="25"/>
        <v>0</v>
      </c>
      <c r="V54" s="1">
        <f t="shared" si="26"/>
        <v>0</v>
      </c>
      <c r="W54" s="1">
        <f t="shared" si="27"/>
        <v>0</v>
      </c>
      <c r="X54" s="1">
        <f t="shared" si="28"/>
        <v>0</v>
      </c>
      <c r="Y54" s="1">
        <f t="shared" si="29"/>
        <v>0</v>
      </c>
      <c r="Z54" s="1">
        <f t="shared" si="30"/>
        <v>0</v>
      </c>
      <c r="AA54" s="1">
        <f t="shared" si="31"/>
        <v>0</v>
      </c>
      <c r="AB54" s="1">
        <f t="shared" si="32"/>
        <v>0</v>
      </c>
      <c r="AD54" s="1">
        <f t="shared" si="33"/>
        <v>0</v>
      </c>
      <c r="AE54" s="1">
        <f t="shared" si="34"/>
        <v>0</v>
      </c>
      <c r="AF54" s="1">
        <f t="shared" si="35"/>
        <v>0</v>
      </c>
      <c r="AG54" s="1">
        <f t="shared" si="36"/>
        <v>0</v>
      </c>
      <c r="AH54" s="1">
        <f t="shared" si="37"/>
        <v>0</v>
      </c>
      <c r="AI54" s="1">
        <f t="shared" si="38"/>
        <v>1</v>
      </c>
    </row>
    <row r="55" spans="1:35" ht="14.25" customHeight="1" x14ac:dyDescent="0.25">
      <c r="A55" s="31">
        <v>0</v>
      </c>
      <c r="B55" s="31">
        <v>1</v>
      </c>
      <c r="C55" s="31">
        <v>2</v>
      </c>
      <c r="D55" s="32" t="s">
        <v>1035</v>
      </c>
      <c r="E55" s="32" t="s">
        <v>174</v>
      </c>
      <c r="F55" s="32" t="s">
        <v>1036</v>
      </c>
      <c r="G55" s="32" t="s">
        <v>1037</v>
      </c>
      <c r="H55" s="32" t="s">
        <v>352</v>
      </c>
      <c r="I55" s="31" t="s">
        <v>1038</v>
      </c>
      <c r="J55" s="31">
        <v>1</v>
      </c>
      <c r="K55" s="33" t="s">
        <v>713</v>
      </c>
      <c r="L55" s="33" t="s">
        <v>678</v>
      </c>
      <c r="M55" s="34" t="s">
        <v>1100</v>
      </c>
      <c r="N55" s="34" t="s">
        <v>1749</v>
      </c>
      <c r="O55" s="35">
        <v>1</v>
      </c>
      <c r="P55" s="35"/>
      <c r="Q55" s="32" t="s">
        <v>1868</v>
      </c>
      <c r="S55" s="1">
        <f t="shared" si="23"/>
        <v>1</v>
      </c>
      <c r="T55" s="1">
        <f t="shared" si="24"/>
        <v>0</v>
      </c>
      <c r="U55" s="1">
        <f t="shared" si="25"/>
        <v>0</v>
      </c>
      <c r="V55" s="1">
        <f t="shared" si="26"/>
        <v>0</v>
      </c>
      <c r="W55" s="1">
        <f t="shared" si="27"/>
        <v>0</v>
      </c>
      <c r="X55" s="1">
        <f t="shared" si="28"/>
        <v>0</v>
      </c>
      <c r="Y55" s="1">
        <f t="shared" si="29"/>
        <v>0</v>
      </c>
      <c r="Z55" s="1">
        <f t="shared" si="30"/>
        <v>0</v>
      </c>
      <c r="AA55" s="1">
        <f t="shared" si="31"/>
        <v>0</v>
      </c>
      <c r="AB55" s="1">
        <f t="shared" si="32"/>
        <v>0</v>
      </c>
      <c r="AD55" s="1">
        <f t="shared" si="33"/>
        <v>0</v>
      </c>
      <c r="AE55" s="1">
        <f t="shared" si="34"/>
        <v>1</v>
      </c>
      <c r="AF55" s="1">
        <f t="shared" si="35"/>
        <v>0</v>
      </c>
      <c r="AG55" s="1">
        <f t="shared" si="36"/>
        <v>1</v>
      </c>
      <c r="AH55" s="1">
        <f t="shared" si="37"/>
        <v>0</v>
      </c>
      <c r="AI55" s="1">
        <f t="shared" si="38"/>
        <v>1</v>
      </c>
    </row>
    <row r="56" spans="1:35" ht="14.25" customHeight="1" x14ac:dyDescent="0.25">
      <c r="A56" s="15">
        <v>0</v>
      </c>
      <c r="B56" s="15">
        <v>1</v>
      </c>
      <c r="C56" s="15">
        <v>2</v>
      </c>
      <c r="D56" s="16" t="s">
        <v>2080</v>
      </c>
      <c r="E56" s="16" t="s">
        <v>171</v>
      </c>
      <c r="F56" s="16" t="s">
        <v>2081</v>
      </c>
      <c r="G56" s="16"/>
      <c r="H56" s="16" t="s">
        <v>2082</v>
      </c>
      <c r="I56" s="15" t="s">
        <v>2083</v>
      </c>
      <c r="J56" s="15">
        <v>15</v>
      </c>
      <c r="K56" s="10" t="s">
        <v>694</v>
      </c>
      <c r="L56" s="10" t="s">
        <v>1703</v>
      </c>
      <c r="M56" s="19" t="s">
        <v>1100</v>
      </c>
      <c r="N56" s="17"/>
      <c r="Q56" s="16" t="s">
        <v>2084</v>
      </c>
      <c r="S56" s="1">
        <f t="shared" si="23"/>
        <v>0</v>
      </c>
      <c r="T56" s="1">
        <f t="shared" si="24"/>
        <v>0</v>
      </c>
      <c r="U56" s="1">
        <f t="shared" si="25"/>
        <v>0</v>
      </c>
      <c r="V56" s="1">
        <f t="shared" si="26"/>
        <v>0</v>
      </c>
      <c r="W56" s="1">
        <f t="shared" si="27"/>
        <v>0</v>
      </c>
      <c r="X56" s="1">
        <f t="shared" si="28"/>
        <v>0</v>
      </c>
      <c r="Y56" s="1">
        <f t="shared" si="29"/>
        <v>0</v>
      </c>
      <c r="Z56" s="1">
        <f t="shared" si="30"/>
        <v>0</v>
      </c>
      <c r="AA56" s="1">
        <f t="shared" si="31"/>
        <v>0</v>
      </c>
      <c r="AB56" s="1">
        <f t="shared" si="32"/>
        <v>0</v>
      </c>
      <c r="AD56" s="1">
        <f t="shared" si="33"/>
        <v>0</v>
      </c>
      <c r="AE56" s="1">
        <f t="shared" si="34"/>
        <v>0</v>
      </c>
      <c r="AF56" s="1">
        <f t="shared" si="35"/>
        <v>0</v>
      </c>
      <c r="AG56" s="1">
        <f t="shared" si="36"/>
        <v>0</v>
      </c>
      <c r="AH56" s="1">
        <f t="shared" si="37"/>
        <v>0</v>
      </c>
      <c r="AI56" s="1">
        <f t="shared" si="38"/>
        <v>1</v>
      </c>
    </row>
    <row r="57" spans="1:35" ht="14.25" customHeight="1" x14ac:dyDescent="0.25">
      <c r="A57" s="31">
        <v>0</v>
      </c>
      <c r="B57" s="31">
        <v>1</v>
      </c>
      <c r="C57" s="31">
        <v>2</v>
      </c>
      <c r="D57" s="32" t="s">
        <v>1606</v>
      </c>
      <c r="E57" s="32" t="s">
        <v>174</v>
      </c>
      <c r="F57" s="32" t="s">
        <v>1632</v>
      </c>
      <c r="G57" s="32" t="s">
        <v>1633</v>
      </c>
      <c r="H57" s="32" t="s">
        <v>352</v>
      </c>
      <c r="I57" s="31" t="s">
        <v>1447</v>
      </c>
      <c r="J57" s="31">
        <v>99</v>
      </c>
      <c r="K57" s="33" t="s">
        <v>693</v>
      </c>
      <c r="L57" s="33">
        <v>45</v>
      </c>
      <c r="M57" s="34" t="s">
        <v>39</v>
      </c>
      <c r="N57" s="34" t="s">
        <v>1715</v>
      </c>
      <c r="O57" s="35">
        <v>1</v>
      </c>
      <c r="P57" s="35"/>
      <c r="Q57" s="32" t="s">
        <v>2004</v>
      </c>
      <c r="S57" s="1">
        <f t="shared" si="23"/>
        <v>0</v>
      </c>
      <c r="T57" s="1">
        <f t="shared" si="24"/>
        <v>0</v>
      </c>
      <c r="U57" s="1">
        <f t="shared" si="25"/>
        <v>0</v>
      </c>
      <c r="V57" s="1">
        <f t="shared" si="26"/>
        <v>0</v>
      </c>
      <c r="W57" s="1">
        <f t="shared" si="27"/>
        <v>0</v>
      </c>
      <c r="X57" s="1">
        <f t="shared" si="28"/>
        <v>0</v>
      </c>
      <c r="Y57" s="1">
        <f t="shared" si="29"/>
        <v>0</v>
      </c>
      <c r="Z57" s="1">
        <f t="shared" si="30"/>
        <v>0</v>
      </c>
      <c r="AA57" s="1">
        <f t="shared" si="31"/>
        <v>0</v>
      </c>
      <c r="AB57" s="1">
        <f t="shared" si="32"/>
        <v>0</v>
      </c>
      <c r="AD57" s="1">
        <f t="shared" si="33"/>
        <v>0</v>
      </c>
      <c r="AE57" s="1">
        <f t="shared" si="34"/>
        <v>1</v>
      </c>
      <c r="AF57" s="1">
        <f t="shared" si="35"/>
        <v>0</v>
      </c>
      <c r="AG57" s="1">
        <f t="shared" si="36"/>
        <v>1</v>
      </c>
      <c r="AH57" s="1">
        <f t="shared" si="37"/>
        <v>0</v>
      </c>
      <c r="AI57" s="1">
        <f t="shared" si="38"/>
        <v>1</v>
      </c>
    </row>
    <row r="58" spans="1:35" ht="14.25" customHeight="1" x14ac:dyDescent="0.25">
      <c r="A58" s="31">
        <v>0</v>
      </c>
      <c r="B58" s="31">
        <v>1</v>
      </c>
      <c r="C58" s="31">
        <v>2</v>
      </c>
      <c r="D58" s="32" t="s">
        <v>639</v>
      </c>
      <c r="E58" s="32" t="s">
        <v>174</v>
      </c>
      <c r="F58" s="32" t="s">
        <v>594</v>
      </c>
      <c r="G58" s="32" t="s">
        <v>587</v>
      </c>
      <c r="H58" s="32" t="s">
        <v>352</v>
      </c>
      <c r="I58" s="31" t="s">
        <v>669</v>
      </c>
      <c r="J58" s="31">
        <v>1</v>
      </c>
      <c r="K58" s="33" t="s">
        <v>693</v>
      </c>
      <c r="L58" s="33" t="s">
        <v>1666</v>
      </c>
      <c r="M58" s="34" t="s">
        <v>1356</v>
      </c>
      <c r="N58" s="34" t="s">
        <v>1704</v>
      </c>
      <c r="O58" s="35">
        <v>1</v>
      </c>
      <c r="P58" s="35"/>
      <c r="Q58" s="32"/>
      <c r="S58" s="1">
        <f t="shared" si="23"/>
        <v>1</v>
      </c>
      <c r="T58" s="1">
        <f t="shared" si="24"/>
        <v>0</v>
      </c>
      <c r="U58" s="1">
        <f t="shared" si="25"/>
        <v>0</v>
      </c>
      <c r="V58" s="1">
        <f t="shared" si="26"/>
        <v>0</v>
      </c>
      <c r="W58" s="1">
        <f t="shared" si="27"/>
        <v>0</v>
      </c>
      <c r="X58" s="1">
        <f t="shared" si="28"/>
        <v>0</v>
      </c>
      <c r="Y58" s="1">
        <f t="shared" si="29"/>
        <v>0</v>
      </c>
      <c r="Z58" s="1">
        <f t="shared" si="30"/>
        <v>0</v>
      </c>
      <c r="AA58" s="1">
        <f t="shared" si="31"/>
        <v>0</v>
      </c>
      <c r="AB58" s="1">
        <f t="shared" si="32"/>
        <v>0</v>
      </c>
      <c r="AD58" s="1">
        <f t="shared" si="33"/>
        <v>0</v>
      </c>
      <c r="AE58" s="1">
        <f t="shared" si="34"/>
        <v>1</v>
      </c>
      <c r="AF58" s="1">
        <f t="shared" si="35"/>
        <v>0</v>
      </c>
      <c r="AG58" s="1">
        <f t="shared" si="36"/>
        <v>1</v>
      </c>
      <c r="AH58" s="1">
        <f t="shared" si="37"/>
        <v>0</v>
      </c>
      <c r="AI58" s="1">
        <f t="shared" si="38"/>
        <v>1</v>
      </c>
    </row>
    <row r="59" spans="1:35" ht="14.25" customHeight="1" x14ac:dyDescent="0.25">
      <c r="A59" s="15">
        <v>0</v>
      </c>
      <c r="B59" s="15">
        <v>1</v>
      </c>
      <c r="C59" s="15">
        <v>2</v>
      </c>
      <c r="D59" s="16" t="s">
        <v>1165</v>
      </c>
      <c r="E59" s="16" t="s">
        <v>173</v>
      </c>
      <c r="F59" s="16" t="s">
        <v>1166</v>
      </c>
      <c r="G59" s="16" t="s">
        <v>39</v>
      </c>
      <c r="H59" s="16" t="s">
        <v>1168</v>
      </c>
      <c r="I59" s="15" t="s">
        <v>1167</v>
      </c>
      <c r="J59" s="15">
        <v>17</v>
      </c>
      <c r="K59" s="10" t="s">
        <v>694</v>
      </c>
      <c r="L59" s="10" t="s">
        <v>1357</v>
      </c>
      <c r="M59" s="19" t="s">
        <v>1358</v>
      </c>
      <c r="N59" s="17"/>
      <c r="Q59" s="16" t="s">
        <v>1844</v>
      </c>
      <c r="S59" s="1">
        <f t="shared" si="23"/>
        <v>0</v>
      </c>
      <c r="T59" s="1">
        <f t="shared" si="24"/>
        <v>0</v>
      </c>
      <c r="U59" s="1">
        <f t="shared" si="25"/>
        <v>0</v>
      </c>
      <c r="V59" s="1">
        <f t="shared" si="26"/>
        <v>0</v>
      </c>
      <c r="W59" s="1">
        <f t="shared" si="27"/>
        <v>0</v>
      </c>
      <c r="X59" s="1">
        <f t="shared" si="28"/>
        <v>0</v>
      </c>
      <c r="Y59" s="1">
        <f t="shared" si="29"/>
        <v>0</v>
      </c>
      <c r="Z59" s="1">
        <f t="shared" si="30"/>
        <v>0</v>
      </c>
      <c r="AA59" s="1">
        <f t="shared" si="31"/>
        <v>0</v>
      </c>
      <c r="AB59" s="1">
        <f t="shared" si="32"/>
        <v>0</v>
      </c>
      <c r="AD59" s="1">
        <f t="shared" si="33"/>
        <v>0</v>
      </c>
      <c r="AE59" s="1">
        <f t="shared" si="34"/>
        <v>0</v>
      </c>
      <c r="AF59" s="1">
        <f t="shared" si="35"/>
        <v>0</v>
      </c>
      <c r="AG59" s="1">
        <f t="shared" si="36"/>
        <v>0</v>
      </c>
      <c r="AH59" s="1">
        <f t="shared" si="37"/>
        <v>0</v>
      </c>
      <c r="AI59" s="1">
        <f t="shared" si="38"/>
        <v>1</v>
      </c>
    </row>
    <row r="60" spans="1:35" ht="14.25" customHeight="1" x14ac:dyDescent="0.25">
      <c r="A60" s="15">
        <v>0</v>
      </c>
      <c r="B60" s="15">
        <v>1</v>
      </c>
      <c r="C60" s="15">
        <v>2</v>
      </c>
      <c r="D60" s="20" t="s">
        <v>1176</v>
      </c>
      <c r="E60" s="20" t="s">
        <v>173</v>
      </c>
      <c r="F60" s="20" t="s">
        <v>1177</v>
      </c>
      <c r="G60" s="16" t="s">
        <v>39</v>
      </c>
      <c r="H60" s="20" t="s">
        <v>1178</v>
      </c>
      <c r="I60" s="21" t="s">
        <v>1179</v>
      </c>
      <c r="J60" s="15">
        <v>18</v>
      </c>
      <c r="K60" s="10" t="s">
        <v>938</v>
      </c>
      <c r="L60" s="10" t="s">
        <v>686</v>
      </c>
      <c r="M60" s="19" t="s">
        <v>951</v>
      </c>
      <c r="N60" s="17"/>
      <c r="Q60" s="16" t="s">
        <v>1843</v>
      </c>
      <c r="S60" s="1">
        <f t="shared" si="23"/>
        <v>0</v>
      </c>
      <c r="T60" s="1">
        <f t="shared" si="24"/>
        <v>0</v>
      </c>
      <c r="U60" s="1">
        <f t="shared" si="25"/>
        <v>0</v>
      </c>
      <c r="V60" s="1">
        <f t="shared" si="26"/>
        <v>0</v>
      </c>
      <c r="W60" s="1">
        <f t="shared" si="27"/>
        <v>0</v>
      </c>
      <c r="X60" s="1">
        <f t="shared" si="28"/>
        <v>0</v>
      </c>
      <c r="Y60" s="1">
        <f t="shared" si="29"/>
        <v>0</v>
      </c>
      <c r="Z60" s="1">
        <f t="shared" si="30"/>
        <v>0</v>
      </c>
      <c r="AA60" s="1">
        <f t="shared" si="31"/>
        <v>0</v>
      </c>
      <c r="AB60" s="1">
        <f t="shared" si="32"/>
        <v>0</v>
      </c>
      <c r="AD60" s="1">
        <f t="shared" si="33"/>
        <v>0</v>
      </c>
      <c r="AE60" s="1">
        <f t="shared" si="34"/>
        <v>0</v>
      </c>
      <c r="AF60" s="1">
        <f t="shared" si="35"/>
        <v>0</v>
      </c>
      <c r="AG60" s="1">
        <f t="shared" si="36"/>
        <v>0</v>
      </c>
      <c r="AH60" s="1">
        <f t="shared" si="37"/>
        <v>0</v>
      </c>
      <c r="AI60" s="1">
        <f t="shared" si="38"/>
        <v>1</v>
      </c>
    </row>
    <row r="61" spans="1:35" ht="14.25" customHeight="1" x14ac:dyDescent="0.25">
      <c r="A61" s="15">
        <v>0</v>
      </c>
      <c r="B61" s="15">
        <v>1</v>
      </c>
      <c r="C61" s="15">
        <v>2</v>
      </c>
      <c r="D61" s="20" t="s">
        <v>1010</v>
      </c>
      <c r="E61" s="20" t="s">
        <v>174</v>
      </c>
      <c r="F61" s="20" t="s">
        <v>1012</v>
      </c>
      <c r="G61" s="16" t="s">
        <v>39</v>
      </c>
      <c r="H61" s="20" t="s">
        <v>363</v>
      </c>
      <c r="I61" s="21" t="s">
        <v>1011</v>
      </c>
      <c r="J61" s="15">
        <v>18</v>
      </c>
      <c r="K61" s="10" t="s">
        <v>693</v>
      </c>
      <c r="L61" s="10" t="s">
        <v>1119</v>
      </c>
      <c r="M61" s="19" t="s">
        <v>682</v>
      </c>
      <c r="N61" s="17"/>
      <c r="Q61" s="16"/>
      <c r="S61" s="1">
        <f t="shared" si="23"/>
        <v>0</v>
      </c>
      <c r="T61" s="1">
        <f t="shared" si="24"/>
        <v>0</v>
      </c>
      <c r="U61" s="1">
        <f t="shared" si="25"/>
        <v>0</v>
      </c>
      <c r="V61" s="1">
        <f t="shared" si="26"/>
        <v>0</v>
      </c>
      <c r="W61" s="1">
        <f t="shared" si="27"/>
        <v>0</v>
      </c>
      <c r="X61" s="1">
        <f t="shared" si="28"/>
        <v>0</v>
      </c>
      <c r="Y61" s="1">
        <f t="shared" si="29"/>
        <v>0</v>
      </c>
      <c r="Z61" s="1">
        <f t="shared" si="30"/>
        <v>0</v>
      </c>
      <c r="AA61" s="1">
        <f t="shared" si="31"/>
        <v>0</v>
      </c>
      <c r="AB61" s="1">
        <f t="shared" si="32"/>
        <v>0</v>
      </c>
      <c r="AD61" s="1">
        <f t="shared" si="33"/>
        <v>0</v>
      </c>
      <c r="AE61" s="1">
        <f t="shared" si="34"/>
        <v>0</v>
      </c>
      <c r="AF61" s="1">
        <f t="shared" si="35"/>
        <v>0</v>
      </c>
      <c r="AG61" s="1">
        <f t="shared" si="36"/>
        <v>0</v>
      </c>
      <c r="AH61" s="1">
        <f t="shared" si="37"/>
        <v>0</v>
      </c>
      <c r="AI61" s="1">
        <f t="shared" si="38"/>
        <v>1</v>
      </c>
    </row>
    <row r="62" spans="1:35" ht="14.25" customHeight="1" x14ac:dyDescent="0.25">
      <c r="A62" s="31">
        <v>0</v>
      </c>
      <c r="B62" s="31">
        <v>1</v>
      </c>
      <c r="C62" s="31">
        <v>2</v>
      </c>
      <c r="D62" s="32" t="s">
        <v>1559</v>
      </c>
      <c r="E62" s="32" t="s">
        <v>174</v>
      </c>
      <c r="F62" s="32" t="s">
        <v>1560</v>
      </c>
      <c r="G62" s="32" t="s">
        <v>1561</v>
      </c>
      <c r="H62" s="32" t="s">
        <v>352</v>
      </c>
      <c r="I62" s="31" t="s">
        <v>1456</v>
      </c>
      <c r="J62" s="31">
        <v>99</v>
      </c>
      <c r="K62" s="33" t="s">
        <v>693</v>
      </c>
      <c r="L62" s="33" t="s">
        <v>39</v>
      </c>
      <c r="M62" s="34" t="s">
        <v>39</v>
      </c>
      <c r="N62" s="34" t="s">
        <v>1693</v>
      </c>
      <c r="O62" s="35">
        <v>1</v>
      </c>
      <c r="P62" s="35">
        <v>1</v>
      </c>
      <c r="Q62" s="32"/>
      <c r="S62" s="1">
        <f t="shared" si="23"/>
        <v>0</v>
      </c>
      <c r="T62" s="1">
        <f t="shared" si="24"/>
        <v>0</v>
      </c>
      <c r="U62" s="1">
        <f t="shared" si="25"/>
        <v>0</v>
      </c>
      <c r="V62" s="1">
        <f t="shared" si="26"/>
        <v>0</v>
      </c>
      <c r="W62" s="1">
        <f t="shared" si="27"/>
        <v>0</v>
      </c>
      <c r="X62" s="1">
        <f t="shared" si="28"/>
        <v>0</v>
      </c>
      <c r="Y62" s="1">
        <f t="shared" si="29"/>
        <v>0</v>
      </c>
      <c r="Z62" s="1">
        <f t="shared" si="30"/>
        <v>0</v>
      </c>
      <c r="AA62" s="1">
        <f t="shared" si="31"/>
        <v>0</v>
      </c>
      <c r="AB62" s="1">
        <f t="shared" si="32"/>
        <v>0</v>
      </c>
      <c r="AD62" s="1">
        <f t="shared" si="33"/>
        <v>1</v>
      </c>
      <c r="AE62" s="1">
        <f t="shared" si="34"/>
        <v>0</v>
      </c>
      <c r="AF62" s="1">
        <f t="shared" si="35"/>
        <v>1</v>
      </c>
      <c r="AG62" s="1">
        <f t="shared" si="36"/>
        <v>0</v>
      </c>
      <c r="AH62" s="1">
        <f t="shared" si="37"/>
        <v>1</v>
      </c>
      <c r="AI62" s="1">
        <f t="shared" si="38"/>
        <v>0</v>
      </c>
    </row>
    <row r="63" spans="1:35" ht="14.25" customHeight="1" x14ac:dyDescent="0.25">
      <c r="A63" s="31">
        <v>0</v>
      </c>
      <c r="B63" s="31">
        <v>1</v>
      </c>
      <c r="C63" s="31">
        <v>2</v>
      </c>
      <c r="D63" s="32" t="s">
        <v>1587</v>
      </c>
      <c r="E63" s="32" t="s">
        <v>169</v>
      </c>
      <c r="F63" s="32" t="s">
        <v>1588</v>
      </c>
      <c r="G63" s="32" t="s">
        <v>39</v>
      </c>
      <c r="H63" s="32" t="s">
        <v>353</v>
      </c>
      <c r="I63" s="31" t="s">
        <v>1589</v>
      </c>
      <c r="J63" s="31">
        <v>11</v>
      </c>
      <c r="K63" s="33" t="s">
        <v>938</v>
      </c>
      <c r="L63" s="33" t="s">
        <v>39</v>
      </c>
      <c r="M63" s="34" t="s">
        <v>39</v>
      </c>
      <c r="N63" s="34" t="s">
        <v>1693</v>
      </c>
      <c r="O63" s="35">
        <v>1</v>
      </c>
      <c r="P63" s="35">
        <v>1</v>
      </c>
      <c r="Q63" s="36" t="s">
        <v>1863</v>
      </c>
      <c r="S63" s="1">
        <f t="shared" si="23"/>
        <v>0</v>
      </c>
      <c r="T63" s="1">
        <f t="shared" si="24"/>
        <v>0</v>
      </c>
      <c r="U63" s="1">
        <f t="shared" si="25"/>
        <v>0</v>
      </c>
      <c r="V63" s="1">
        <f t="shared" si="26"/>
        <v>0</v>
      </c>
      <c r="W63" s="1">
        <f t="shared" si="27"/>
        <v>0</v>
      </c>
      <c r="X63" s="1">
        <f t="shared" si="28"/>
        <v>0</v>
      </c>
      <c r="Y63" s="1">
        <f t="shared" si="29"/>
        <v>0</v>
      </c>
      <c r="Z63" s="1">
        <f t="shared" si="30"/>
        <v>0</v>
      </c>
      <c r="AA63" s="1">
        <f t="shared" si="31"/>
        <v>0</v>
      </c>
      <c r="AB63" s="1">
        <f t="shared" si="32"/>
        <v>0</v>
      </c>
      <c r="AD63" s="1">
        <f t="shared" si="33"/>
        <v>1</v>
      </c>
      <c r="AE63" s="1">
        <f t="shared" si="34"/>
        <v>0</v>
      </c>
      <c r="AF63" s="1">
        <f t="shared" si="35"/>
        <v>1</v>
      </c>
      <c r="AG63" s="1">
        <f t="shared" si="36"/>
        <v>0</v>
      </c>
      <c r="AH63" s="1">
        <f t="shared" si="37"/>
        <v>1</v>
      </c>
      <c r="AI63" s="1">
        <f t="shared" si="38"/>
        <v>0</v>
      </c>
    </row>
    <row r="64" spans="1:35" ht="14.25" customHeight="1" x14ac:dyDescent="0.25">
      <c r="A64" s="31">
        <v>0</v>
      </c>
      <c r="B64" s="31">
        <v>1</v>
      </c>
      <c r="C64" s="31">
        <v>2</v>
      </c>
      <c r="D64" s="32" t="s">
        <v>1584</v>
      </c>
      <c r="E64" s="32" t="s">
        <v>173</v>
      </c>
      <c r="F64" s="32" t="s">
        <v>1585</v>
      </c>
      <c r="G64" s="32" t="s">
        <v>1452</v>
      </c>
      <c r="H64" s="32" t="s">
        <v>352</v>
      </c>
      <c r="I64" s="31" t="s">
        <v>1586</v>
      </c>
      <c r="J64" s="31">
        <v>99</v>
      </c>
      <c r="K64" s="33" t="s">
        <v>943</v>
      </c>
      <c r="L64" s="33" t="s">
        <v>39</v>
      </c>
      <c r="M64" s="34" t="s">
        <v>39</v>
      </c>
      <c r="N64" s="34" t="s">
        <v>1693</v>
      </c>
      <c r="O64" s="35">
        <v>1</v>
      </c>
      <c r="P64" s="35">
        <v>1</v>
      </c>
      <c r="Q64" s="32"/>
      <c r="S64" s="1">
        <f t="shared" si="23"/>
        <v>0</v>
      </c>
      <c r="T64" s="1">
        <f t="shared" si="24"/>
        <v>0</v>
      </c>
      <c r="U64" s="1">
        <f t="shared" si="25"/>
        <v>0</v>
      </c>
      <c r="V64" s="1">
        <f t="shared" si="26"/>
        <v>0</v>
      </c>
      <c r="W64" s="1">
        <f t="shared" si="27"/>
        <v>0</v>
      </c>
      <c r="X64" s="1">
        <f t="shared" si="28"/>
        <v>0</v>
      </c>
      <c r="Y64" s="1">
        <f t="shared" si="29"/>
        <v>0</v>
      </c>
      <c r="Z64" s="1">
        <f t="shared" si="30"/>
        <v>0</v>
      </c>
      <c r="AA64" s="1">
        <f t="shared" si="31"/>
        <v>0</v>
      </c>
      <c r="AB64" s="1">
        <f t="shared" si="32"/>
        <v>0</v>
      </c>
      <c r="AD64" s="1">
        <f t="shared" si="33"/>
        <v>1</v>
      </c>
      <c r="AE64" s="1">
        <f t="shared" si="34"/>
        <v>0</v>
      </c>
      <c r="AF64" s="1">
        <f t="shared" si="35"/>
        <v>1</v>
      </c>
      <c r="AG64" s="1">
        <f t="shared" si="36"/>
        <v>0</v>
      </c>
      <c r="AH64" s="1">
        <f t="shared" si="37"/>
        <v>1</v>
      </c>
      <c r="AI64" s="1">
        <f t="shared" si="38"/>
        <v>0</v>
      </c>
    </row>
    <row r="65" spans="1:35" ht="14.25" customHeight="1" x14ac:dyDescent="0.25">
      <c r="A65" s="31">
        <v>0</v>
      </c>
      <c r="B65" s="31">
        <v>1</v>
      </c>
      <c r="C65" s="31">
        <v>2</v>
      </c>
      <c r="D65" s="32" t="s">
        <v>784</v>
      </c>
      <c r="E65" s="32" t="s">
        <v>173</v>
      </c>
      <c r="F65" s="32" t="s">
        <v>786</v>
      </c>
      <c r="G65" s="32" t="s">
        <v>39</v>
      </c>
      <c r="H65" s="32" t="s">
        <v>785</v>
      </c>
      <c r="I65" s="31" t="s">
        <v>787</v>
      </c>
      <c r="J65" s="31">
        <v>14</v>
      </c>
      <c r="K65" s="33" t="s">
        <v>945</v>
      </c>
      <c r="L65" s="33" t="s">
        <v>1672</v>
      </c>
      <c r="M65" s="34" t="s">
        <v>1350</v>
      </c>
      <c r="N65" s="34" t="s">
        <v>1709</v>
      </c>
      <c r="O65" s="35">
        <v>1</v>
      </c>
      <c r="P65" s="35"/>
      <c r="Q65" s="32"/>
      <c r="S65" s="1">
        <f t="shared" si="23"/>
        <v>0</v>
      </c>
      <c r="T65" s="1">
        <f t="shared" si="24"/>
        <v>0</v>
      </c>
      <c r="U65" s="1">
        <f t="shared" si="25"/>
        <v>0</v>
      </c>
      <c r="V65" s="1">
        <f t="shared" si="26"/>
        <v>0</v>
      </c>
      <c r="W65" s="1">
        <f t="shared" si="27"/>
        <v>0</v>
      </c>
      <c r="X65" s="1">
        <f t="shared" si="28"/>
        <v>0</v>
      </c>
      <c r="Y65" s="1">
        <f t="shared" si="29"/>
        <v>0</v>
      </c>
      <c r="Z65" s="1">
        <f t="shared" si="30"/>
        <v>0</v>
      </c>
      <c r="AA65" s="1">
        <f t="shared" si="31"/>
        <v>0</v>
      </c>
      <c r="AB65" s="1">
        <f t="shared" si="32"/>
        <v>0</v>
      </c>
      <c r="AD65" s="1">
        <f t="shared" si="33"/>
        <v>0</v>
      </c>
      <c r="AE65" s="1">
        <f t="shared" si="34"/>
        <v>1</v>
      </c>
      <c r="AF65" s="1">
        <f t="shared" si="35"/>
        <v>0</v>
      </c>
      <c r="AG65" s="1">
        <f t="shared" si="36"/>
        <v>1</v>
      </c>
      <c r="AH65" s="1">
        <f t="shared" si="37"/>
        <v>0</v>
      </c>
      <c r="AI65" s="1">
        <f t="shared" si="38"/>
        <v>1</v>
      </c>
    </row>
    <row r="66" spans="1:35" ht="14.25" customHeight="1" x14ac:dyDescent="0.25">
      <c r="A66" s="44">
        <v>0</v>
      </c>
      <c r="B66" s="44">
        <v>1</v>
      </c>
      <c r="C66" s="44">
        <v>2</v>
      </c>
      <c r="D66" s="45" t="s">
        <v>1296</v>
      </c>
      <c r="E66" s="45" t="s">
        <v>174</v>
      </c>
      <c r="F66" s="45" t="s">
        <v>1320</v>
      </c>
      <c r="G66" s="45" t="s">
        <v>39</v>
      </c>
      <c r="H66" s="45" t="s">
        <v>361</v>
      </c>
      <c r="I66" s="44" t="s">
        <v>1120</v>
      </c>
      <c r="J66" s="44">
        <v>14</v>
      </c>
      <c r="K66" s="46" t="s">
        <v>713</v>
      </c>
      <c r="L66" s="46" t="s">
        <v>1665</v>
      </c>
      <c r="M66" s="47" t="s">
        <v>953</v>
      </c>
      <c r="N66" s="47" t="s">
        <v>1768</v>
      </c>
      <c r="O66" s="48"/>
      <c r="P66" s="48"/>
      <c r="Q66" s="45"/>
      <c r="S66" s="1">
        <f t="shared" si="23"/>
        <v>0</v>
      </c>
      <c r="T66" s="1">
        <f t="shared" si="24"/>
        <v>0</v>
      </c>
      <c r="U66" s="1">
        <f t="shared" si="25"/>
        <v>0</v>
      </c>
      <c r="V66" s="1">
        <f t="shared" si="26"/>
        <v>0</v>
      </c>
      <c r="W66" s="1">
        <f t="shared" si="27"/>
        <v>0</v>
      </c>
      <c r="X66" s="1">
        <f t="shared" si="28"/>
        <v>0</v>
      </c>
      <c r="Y66" s="1">
        <f t="shared" si="29"/>
        <v>0</v>
      </c>
      <c r="Z66" s="1">
        <f t="shared" si="30"/>
        <v>0</v>
      </c>
      <c r="AA66" s="1">
        <f t="shared" si="31"/>
        <v>0</v>
      </c>
      <c r="AB66" s="1">
        <f t="shared" si="32"/>
        <v>0</v>
      </c>
      <c r="AD66" s="1">
        <f t="shared" si="33"/>
        <v>0</v>
      </c>
      <c r="AE66" s="1">
        <f t="shared" si="34"/>
        <v>0</v>
      </c>
      <c r="AF66" s="1">
        <f t="shared" si="35"/>
        <v>0</v>
      </c>
      <c r="AG66" s="1">
        <f t="shared" si="36"/>
        <v>0</v>
      </c>
      <c r="AH66" s="1">
        <f t="shared" si="37"/>
        <v>0</v>
      </c>
      <c r="AI66" s="1">
        <f t="shared" si="38"/>
        <v>1</v>
      </c>
    </row>
    <row r="67" spans="1:35" ht="14.25" customHeight="1" x14ac:dyDescent="0.25">
      <c r="A67" s="44">
        <v>0</v>
      </c>
      <c r="B67" s="44">
        <v>1</v>
      </c>
      <c r="C67" s="44">
        <v>2</v>
      </c>
      <c r="D67" s="45" t="s">
        <v>2115</v>
      </c>
      <c r="E67" s="45" t="s">
        <v>174</v>
      </c>
      <c r="F67" s="45" t="s">
        <v>2120</v>
      </c>
      <c r="G67" s="45"/>
      <c r="H67" s="45" t="s">
        <v>2117</v>
      </c>
      <c r="I67" s="44" t="s">
        <v>2116</v>
      </c>
      <c r="J67" s="44">
        <v>16</v>
      </c>
      <c r="K67" s="46" t="s">
        <v>694</v>
      </c>
      <c r="L67" s="46" t="s">
        <v>2118</v>
      </c>
      <c r="M67" s="47" t="s">
        <v>2119</v>
      </c>
      <c r="N67" s="47" t="s">
        <v>1768</v>
      </c>
      <c r="O67" s="48"/>
      <c r="P67" s="48"/>
      <c r="Q67" s="45" t="s">
        <v>2121</v>
      </c>
      <c r="S67" s="1">
        <f t="shared" si="23"/>
        <v>0</v>
      </c>
      <c r="T67" s="1">
        <f t="shared" si="24"/>
        <v>0</v>
      </c>
      <c r="U67" s="1">
        <f t="shared" si="25"/>
        <v>0</v>
      </c>
      <c r="V67" s="1">
        <f t="shared" si="26"/>
        <v>0</v>
      </c>
      <c r="W67" s="1">
        <f t="shared" si="27"/>
        <v>0</v>
      </c>
      <c r="X67" s="1">
        <f t="shared" si="28"/>
        <v>0</v>
      </c>
      <c r="Y67" s="1">
        <f t="shared" si="29"/>
        <v>0</v>
      </c>
      <c r="Z67" s="1">
        <f t="shared" si="30"/>
        <v>0</v>
      </c>
      <c r="AA67" s="1">
        <f t="shared" si="31"/>
        <v>0</v>
      </c>
      <c r="AB67" s="1">
        <f t="shared" si="32"/>
        <v>0</v>
      </c>
      <c r="AD67" s="1">
        <f t="shared" si="33"/>
        <v>0</v>
      </c>
      <c r="AE67" s="1">
        <f t="shared" si="34"/>
        <v>0</v>
      </c>
      <c r="AF67" s="1">
        <f t="shared" si="35"/>
        <v>0</v>
      </c>
      <c r="AG67" s="1">
        <f t="shared" si="36"/>
        <v>0</v>
      </c>
      <c r="AH67" s="1">
        <f t="shared" si="37"/>
        <v>0</v>
      </c>
      <c r="AI67" s="1">
        <f t="shared" si="38"/>
        <v>1</v>
      </c>
    </row>
    <row r="68" spans="1:35" ht="14.25" customHeight="1" x14ac:dyDescent="0.25">
      <c r="A68" s="31">
        <v>0</v>
      </c>
      <c r="B68" s="31">
        <v>1</v>
      </c>
      <c r="C68" s="31">
        <v>2</v>
      </c>
      <c r="D68" s="32" t="s">
        <v>1483</v>
      </c>
      <c r="E68" s="32" t="s">
        <v>169</v>
      </c>
      <c r="F68" s="32" t="s">
        <v>1485</v>
      </c>
      <c r="G68" s="32" t="s">
        <v>1143</v>
      </c>
      <c r="H68" s="32" t="s">
        <v>352</v>
      </c>
      <c r="I68" s="31" t="s">
        <v>1484</v>
      </c>
      <c r="J68" s="31">
        <v>11</v>
      </c>
      <c r="K68" s="33" t="s">
        <v>713</v>
      </c>
      <c r="L68" s="33">
        <v>50</v>
      </c>
      <c r="M68" s="34" t="s">
        <v>39</v>
      </c>
      <c r="N68" s="34" t="s">
        <v>1808</v>
      </c>
      <c r="O68" s="35">
        <v>1</v>
      </c>
      <c r="P68" s="35"/>
      <c r="Q68" s="32"/>
      <c r="S68" s="1">
        <f t="shared" si="23"/>
        <v>0</v>
      </c>
      <c r="T68" s="1">
        <f t="shared" si="24"/>
        <v>0</v>
      </c>
      <c r="U68" s="1">
        <f t="shared" si="25"/>
        <v>0</v>
      </c>
      <c r="V68" s="1">
        <f t="shared" si="26"/>
        <v>0</v>
      </c>
      <c r="W68" s="1">
        <f t="shared" si="27"/>
        <v>0</v>
      </c>
      <c r="X68" s="1">
        <f t="shared" si="28"/>
        <v>0</v>
      </c>
      <c r="Y68" s="1">
        <f t="shared" si="29"/>
        <v>0</v>
      </c>
      <c r="Z68" s="1">
        <f t="shared" si="30"/>
        <v>0</v>
      </c>
      <c r="AA68" s="1">
        <f t="shared" si="31"/>
        <v>0</v>
      </c>
      <c r="AB68" s="1">
        <f t="shared" si="32"/>
        <v>0</v>
      </c>
      <c r="AD68" s="1">
        <f t="shared" si="33"/>
        <v>0</v>
      </c>
      <c r="AE68" s="1">
        <f t="shared" si="34"/>
        <v>1</v>
      </c>
      <c r="AF68" s="1">
        <f t="shared" si="35"/>
        <v>0</v>
      </c>
      <c r="AG68" s="1">
        <f t="shared" si="36"/>
        <v>1</v>
      </c>
      <c r="AH68" s="1">
        <f t="shared" si="37"/>
        <v>0</v>
      </c>
      <c r="AI68" s="1">
        <f t="shared" si="38"/>
        <v>1</v>
      </c>
    </row>
    <row r="69" spans="1:35" ht="14.25" customHeight="1" x14ac:dyDescent="0.25">
      <c r="A69" s="31">
        <v>0</v>
      </c>
      <c r="B69" s="31">
        <v>1</v>
      </c>
      <c r="C69" s="31">
        <v>2</v>
      </c>
      <c r="D69" s="32" t="s">
        <v>1115</v>
      </c>
      <c r="E69" s="32" t="s">
        <v>174</v>
      </c>
      <c r="F69" s="32" t="s">
        <v>1118</v>
      </c>
      <c r="G69" s="32" t="s">
        <v>39</v>
      </c>
      <c r="H69" s="32" t="s">
        <v>1116</v>
      </c>
      <c r="I69" s="31" t="s">
        <v>1117</v>
      </c>
      <c r="J69" s="31">
        <v>12</v>
      </c>
      <c r="K69" s="33" t="s">
        <v>694</v>
      </c>
      <c r="L69" s="33">
        <v>50</v>
      </c>
      <c r="M69" s="34" t="s">
        <v>39</v>
      </c>
      <c r="N69" s="34" t="s">
        <v>1709</v>
      </c>
      <c r="O69" s="35">
        <v>1</v>
      </c>
      <c r="P69" s="35"/>
      <c r="Q69" s="32"/>
      <c r="S69" s="1">
        <f t="shared" si="23"/>
        <v>0</v>
      </c>
      <c r="T69" s="1">
        <f t="shared" si="24"/>
        <v>0</v>
      </c>
      <c r="U69" s="1">
        <f t="shared" si="25"/>
        <v>0</v>
      </c>
      <c r="V69" s="1">
        <f t="shared" si="26"/>
        <v>0</v>
      </c>
      <c r="W69" s="1">
        <f t="shared" si="27"/>
        <v>0</v>
      </c>
      <c r="X69" s="1">
        <f t="shared" si="28"/>
        <v>0</v>
      </c>
      <c r="Y69" s="1">
        <f t="shared" si="29"/>
        <v>0</v>
      </c>
      <c r="Z69" s="1">
        <f t="shared" si="30"/>
        <v>0</v>
      </c>
      <c r="AA69" s="1">
        <f t="shared" si="31"/>
        <v>0</v>
      </c>
      <c r="AB69" s="1">
        <f t="shared" si="32"/>
        <v>0</v>
      </c>
      <c r="AD69" s="1">
        <f t="shared" si="33"/>
        <v>0</v>
      </c>
      <c r="AE69" s="1">
        <f t="shared" si="34"/>
        <v>1</v>
      </c>
      <c r="AF69" s="1">
        <f t="shared" si="35"/>
        <v>0</v>
      </c>
      <c r="AG69" s="1">
        <f t="shared" si="36"/>
        <v>1</v>
      </c>
      <c r="AH69" s="1">
        <f t="shared" si="37"/>
        <v>0</v>
      </c>
      <c r="AI69" s="1">
        <f t="shared" si="38"/>
        <v>1</v>
      </c>
    </row>
    <row r="70" spans="1:35" ht="14.25" customHeight="1" x14ac:dyDescent="0.25">
      <c r="A70" s="31">
        <v>0</v>
      </c>
      <c r="B70" s="31">
        <v>1</v>
      </c>
      <c r="C70" s="31">
        <v>2</v>
      </c>
      <c r="D70" s="32" t="s">
        <v>153</v>
      </c>
      <c r="E70" s="32" t="s">
        <v>170</v>
      </c>
      <c r="F70" s="32" t="s">
        <v>2042</v>
      </c>
      <c r="G70" s="32" t="s">
        <v>2043</v>
      </c>
      <c r="H70" s="32" t="s">
        <v>352</v>
      </c>
      <c r="I70" s="31"/>
      <c r="J70" s="31">
        <v>1</v>
      </c>
      <c r="K70" s="33" t="s">
        <v>941</v>
      </c>
      <c r="L70" s="33" t="s">
        <v>39</v>
      </c>
      <c r="M70" s="34" t="s">
        <v>39</v>
      </c>
      <c r="N70" s="34" t="s">
        <v>1699</v>
      </c>
      <c r="O70" s="35">
        <v>1</v>
      </c>
      <c r="P70" s="35">
        <v>1</v>
      </c>
      <c r="Q70" s="32" t="s">
        <v>2044</v>
      </c>
      <c r="S70" s="1">
        <f t="shared" si="23"/>
        <v>1</v>
      </c>
      <c r="T70" s="1">
        <f t="shared" si="24"/>
        <v>0</v>
      </c>
      <c r="U70" s="1">
        <f t="shared" si="25"/>
        <v>0</v>
      </c>
      <c r="V70" s="1">
        <f t="shared" si="26"/>
        <v>0</v>
      </c>
      <c r="W70" s="1">
        <f t="shared" si="27"/>
        <v>0</v>
      </c>
      <c r="X70" s="1">
        <f t="shared" si="28"/>
        <v>0</v>
      </c>
      <c r="Y70" s="1">
        <f t="shared" si="29"/>
        <v>0</v>
      </c>
      <c r="Z70" s="1">
        <f t="shared" si="30"/>
        <v>0</v>
      </c>
      <c r="AA70" s="1">
        <f t="shared" si="31"/>
        <v>0</v>
      </c>
      <c r="AB70" s="1">
        <f t="shared" si="32"/>
        <v>0</v>
      </c>
      <c r="AD70" s="1">
        <f t="shared" si="33"/>
        <v>1</v>
      </c>
      <c r="AE70" s="1">
        <f t="shared" si="34"/>
        <v>0</v>
      </c>
      <c r="AF70" s="1">
        <f t="shared" si="35"/>
        <v>1</v>
      </c>
      <c r="AG70" s="1">
        <f t="shared" si="36"/>
        <v>0</v>
      </c>
      <c r="AH70" s="1">
        <f t="shared" si="37"/>
        <v>1</v>
      </c>
      <c r="AI70" s="1">
        <f t="shared" si="38"/>
        <v>0</v>
      </c>
    </row>
    <row r="71" spans="1:35" ht="14.25" customHeight="1" x14ac:dyDescent="0.25">
      <c r="A71" s="31">
        <v>0</v>
      </c>
      <c r="B71" s="31">
        <v>1</v>
      </c>
      <c r="C71" s="31">
        <v>2</v>
      </c>
      <c r="D71" s="32" t="s">
        <v>1416</v>
      </c>
      <c r="E71" s="32" t="s">
        <v>174</v>
      </c>
      <c r="F71" s="32" t="s">
        <v>1413</v>
      </c>
      <c r="G71" s="32" t="s">
        <v>39</v>
      </c>
      <c r="H71" s="32" t="s">
        <v>352</v>
      </c>
      <c r="I71" s="31" t="s">
        <v>1414</v>
      </c>
      <c r="J71" s="31">
        <v>99</v>
      </c>
      <c r="K71" s="33" t="s">
        <v>693</v>
      </c>
      <c r="L71" s="33" t="s">
        <v>680</v>
      </c>
      <c r="M71" s="34" t="s">
        <v>1415</v>
      </c>
      <c r="N71" s="34" t="s">
        <v>1693</v>
      </c>
      <c r="O71" s="35">
        <v>1</v>
      </c>
      <c r="P71" s="35">
        <v>1</v>
      </c>
      <c r="Q71" s="32"/>
      <c r="S71" s="1">
        <f t="shared" si="23"/>
        <v>0</v>
      </c>
      <c r="T71" s="1">
        <f t="shared" si="24"/>
        <v>0</v>
      </c>
      <c r="U71" s="1">
        <f t="shared" si="25"/>
        <v>0</v>
      </c>
      <c r="V71" s="1">
        <f t="shared" si="26"/>
        <v>0</v>
      </c>
      <c r="W71" s="1">
        <f t="shared" si="27"/>
        <v>0</v>
      </c>
      <c r="X71" s="1">
        <f t="shared" si="28"/>
        <v>0</v>
      </c>
      <c r="Y71" s="1">
        <f t="shared" si="29"/>
        <v>0</v>
      </c>
      <c r="Z71" s="1">
        <f t="shared" si="30"/>
        <v>0</v>
      </c>
      <c r="AA71" s="1">
        <f t="shared" si="31"/>
        <v>0</v>
      </c>
      <c r="AB71" s="1">
        <f t="shared" si="32"/>
        <v>0</v>
      </c>
      <c r="AD71" s="1">
        <f t="shared" si="33"/>
        <v>1</v>
      </c>
      <c r="AE71" s="1">
        <f t="shared" si="34"/>
        <v>0</v>
      </c>
      <c r="AF71" s="1">
        <f t="shared" si="35"/>
        <v>1</v>
      </c>
      <c r="AG71" s="1">
        <f t="shared" si="36"/>
        <v>0</v>
      </c>
      <c r="AH71" s="1">
        <f t="shared" si="37"/>
        <v>1</v>
      </c>
      <c r="AI71" s="1">
        <f t="shared" si="38"/>
        <v>0</v>
      </c>
    </row>
    <row r="72" spans="1:35" ht="14.25" customHeight="1" x14ac:dyDescent="0.25">
      <c r="A72" s="15">
        <v>0</v>
      </c>
      <c r="B72" s="15">
        <v>1</v>
      </c>
      <c r="C72" s="15">
        <v>2</v>
      </c>
      <c r="D72" s="16" t="s">
        <v>800</v>
      </c>
      <c r="E72" s="16" t="s">
        <v>174</v>
      </c>
      <c r="F72" s="16" t="s">
        <v>918</v>
      </c>
      <c r="G72" s="16" t="s">
        <v>212</v>
      </c>
      <c r="H72" s="16" t="s">
        <v>352</v>
      </c>
      <c r="I72" s="15" t="s">
        <v>801</v>
      </c>
      <c r="J72" s="15">
        <v>1</v>
      </c>
      <c r="K72" s="10" t="s">
        <v>937</v>
      </c>
      <c r="L72" s="10" t="s">
        <v>680</v>
      </c>
      <c r="M72" s="19" t="s">
        <v>682</v>
      </c>
      <c r="N72" s="17"/>
      <c r="Q72" s="16"/>
      <c r="S72" s="1">
        <f t="shared" si="23"/>
        <v>1</v>
      </c>
      <c r="T72" s="1">
        <f t="shared" si="24"/>
        <v>0</v>
      </c>
      <c r="U72" s="1">
        <f t="shared" si="25"/>
        <v>0</v>
      </c>
      <c r="V72" s="1">
        <f t="shared" si="26"/>
        <v>0</v>
      </c>
      <c r="W72" s="1">
        <f t="shared" si="27"/>
        <v>0</v>
      </c>
      <c r="X72" s="1">
        <f t="shared" si="28"/>
        <v>0</v>
      </c>
      <c r="Y72" s="1">
        <f t="shared" si="29"/>
        <v>0</v>
      </c>
      <c r="Z72" s="1">
        <f t="shared" si="30"/>
        <v>0</v>
      </c>
      <c r="AA72" s="1">
        <f t="shared" si="31"/>
        <v>0</v>
      </c>
      <c r="AB72" s="1">
        <f t="shared" si="32"/>
        <v>0</v>
      </c>
      <c r="AD72" s="1">
        <f t="shared" si="33"/>
        <v>0</v>
      </c>
      <c r="AE72" s="1">
        <f t="shared" si="34"/>
        <v>0</v>
      </c>
      <c r="AF72" s="1">
        <f t="shared" si="35"/>
        <v>0</v>
      </c>
      <c r="AG72" s="1">
        <f t="shared" si="36"/>
        <v>0</v>
      </c>
      <c r="AH72" s="1">
        <f t="shared" si="37"/>
        <v>0</v>
      </c>
      <c r="AI72" s="1">
        <f t="shared" si="38"/>
        <v>1</v>
      </c>
    </row>
    <row r="73" spans="1:35" ht="14.25" customHeight="1" x14ac:dyDescent="0.25">
      <c r="A73" s="31">
        <v>0</v>
      </c>
      <c r="B73" s="31">
        <v>1</v>
      </c>
      <c r="C73" s="31">
        <v>2</v>
      </c>
      <c r="D73" s="32" t="s">
        <v>1297</v>
      </c>
      <c r="E73" s="32" t="s">
        <v>174</v>
      </c>
      <c r="F73" s="32" t="s">
        <v>1107</v>
      </c>
      <c r="G73" s="32" t="s">
        <v>39</v>
      </c>
      <c r="H73" s="32" t="s">
        <v>1106</v>
      </c>
      <c r="I73" s="31" t="s">
        <v>1105</v>
      </c>
      <c r="J73" s="31">
        <v>15</v>
      </c>
      <c r="K73" s="33" t="s">
        <v>938</v>
      </c>
      <c r="L73" s="33">
        <v>75</v>
      </c>
      <c r="M73" s="34" t="s">
        <v>1359</v>
      </c>
      <c r="N73" s="34" t="s">
        <v>1699</v>
      </c>
      <c r="O73" s="35">
        <v>1</v>
      </c>
      <c r="P73" s="35">
        <v>1</v>
      </c>
      <c r="Q73" s="32" t="s">
        <v>1940</v>
      </c>
      <c r="S73" s="1">
        <f t="shared" si="23"/>
        <v>0</v>
      </c>
      <c r="T73" s="1">
        <f t="shared" si="24"/>
        <v>0</v>
      </c>
      <c r="U73" s="1">
        <f t="shared" si="25"/>
        <v>0</v>
      </c>
      <c r="V73" s="1">
        <f t="shared" si="26"/>
        <v>0</v>
      </c>
      <c r="W73" s="1">
        <f t="shared" si="27"/>
        <v>0</v>
      </c>
      <c r="X73" s="1">
        <f t="shared" si="28"/>
        <v>0</v>
      </c>
      <c r="Y73" s="1">
        <f t="shared" si="29"/>
        <v>0</v>
      </c>
      <c r="Z73" s="1">
        <f t="shared" si="30"/>
        <v>0</v>
      </c>
      <c r="AA73" s="1">
        <f t="shared" si="31"/>
        <v>0</v>
      </c>
      <c r="AB73" s="1">
        <f t="shared" si="32"/>
        <v>0</v>
      </c>
      <c r="AD73" s="1">
        <f t="shared" si="33"/>
        <v>1</v>
      </c>
      <c r="AE73" s="1">
        <f t="shared" si="34"/>
        <v>0</v>
      </c>
      <c r="AF73" s="1">
        <f t="shared" si="35"/>
        <v>1</v>
      </c>
      <c r="AG73" s="1">
        <f t="shared" si="36"/>
        <v>0</v>
      </c>
      <c r="AH73" s="1">
        <f t="shared" si="37"/>
        <v>1</v>
      </c>
      <c r="AI73" s="1">
        <f t="shared" si="38"/>
        <v>0</v>
      </c>
    </row>
    <row r="74" spans="1:35" ht="14.25" customHeight="1" x14ac:dyDescent="0.25">
      <c r="A74" s="31">
        <v>0</v>
      </c>
      <c r="B74" s="31">
        <v>1</v>
      </c>
      <c r="C74" s="31">
        <v>2</v>
      </c>
      <c r="D74" s="32" t="s">
        <v>1028</v>
      </c>
      <c r="E74" s="32" t="s">
        <v>173</v>
      </c>
      <c r="F74" s="32" t="s">
        <v>1029</v>
      </c>
      <c r="G74" s="32" t="s">
        <v>620</v>
      </c>
      <c r="H74" s="32" t="s">
        <v>352</v>
      </c>
      <c r="I74" s="31" t="s">
        <v>1030</v>
      </c>
      <c r="J74" s="31">
        <v>99</v>
      </c>
      <c r="K74" s="33" t="s">
        <v>693</v>
      </c>
      <c r="L74" s="33" t="s">
        <v>39</v>
      </c>
      <c r="M74" s="34" t="s">
        <v>39</v>
      </c>
      <c r="N74" s="34" t="s">
        <v>1699</v>
      </c>
      <c r="O74" s="35">
        <v>1</v>
      </c>
      <c r="P74" s="35">
        <v>1</v>
      </c>
      <c r="Q74" s="32"/>
      <c r="S74" s="1">
        <f t="shared" si="23"/>
        <v>0</v>
      </c>
      <c r="T74" s="1">
        <f t="shared" si="24"/>
        <v>0</v>
      </c>
      <c r="U74" s="1">
        <f t="shared" si="25"/>
        <v>0</v>
      </c>
      <c r="V74" s="1">
        <f t="shared" si="26"/>
        <v>0</v>
      </c>
      <c r="W74" s="1">
        <f t="shared" si="27"/>
        <v>0</v>
      </c>
      <c r="X74" s="1">
        <f t="shared" si="28"/>
        <v>0</v>
      </c>
      <c r="Y74" s="1">
        <f t="shared" si="29"/>
        <v>0</v>
      </c>
      <c r="Z74" s="1">
        <f t="shared" si="30"/>
        <v>0</v>
      </c>
      <c r="AA74" s="1">
        <f t="shared" si="31"/>
        <v>0</v>
      </c>
      <c r="AB74" s="1">
        <f t="shared" si="32"/>
        <v>0</v>
      </c>
      <c r="AD74" s="1">
        <f t="shared" si="33"/>
        <v>1</v>
      </c>
      <c r="AE74" s="1">
        <f t="shared" si="34"/>
        <v>0</v>
      </c>
      <c r="AF74" s="1">
        <f t="shared" si="35"/>
        <v>1</v>
      </c>
      <c r="AG74" s="1">
        <f t="shared" si="36"/>
        <v>0</v>
      </c>
      <c r="AH74" s="1">
        <f t="shared" si="37"/>
        <v>1</v>
      </c>
      <c r="AI74" s="1">
        <f t="shared" si="38"/>
        <v>0</v>
      </c>
    </row>
    <row r="75" spans="1:35" ht="14.25" customHeight="1" x14ac:dyDescent="0.25">
      <c r="A75" s="31">
        <v>0</v>
      </c>
      <c r="B75" s="31">
        <v>1</v>
      </c>
      <c r="C75" s="31">
        <v>2</v>
      </c>
      <c r="D75" s="32" t="s">
        <v>2009</v>
      </c>
      <c r="E75" s="32" t="s">
        <v>1936</v>
      </c>
      <c r="F75" s="32" t="s">
        <v>2010</v>
      </c>
      <c r="G75" s="32" t="s">
        <v>283</v>
      </c>
      <c r="H75" s="32" t="s">
        <v>352</v>
      </c>
      <c r="I75" s="31" t="s">
        <v>2011</v>
      </c>
      <c r="J75" s="31">
        <v>10</v>
      </c>
      <c r="K75" s="33" t="s">
        <v>694</v>
      </c>
      <c r="L75" s="33"/>
      <c r="M75" s="34"/>
      <c r="N75" s="34" t="s">
        <v>1699</v>
      </c>
      <c r="O75" s="35">
        <v>1</v>
      </c>
      <c r="P75" s="35">
        <v>1</v>
      </c>
      <c r="Q75" s="36" t="s">
        <v>2012</v>
      </c>
      <c r="S75" s="1">
        <f t="shared" si="23"/>
        <v>0</v>
      </c>
      <c r="T75" s="1">
        <f t="shared" si="24"/>
        <v>0</v>
      </c>
      <c r="U75" s="1">
        <f t="shared" si="25"/>
        <v>0</v>
      </c>
      <c r="V75" s="1">
        <f t="shared" si="26"/>
        <v>0</v>
      </c>
      <c r="W75" s="1">
        <f t="shared" si="27"/>
        <v>0</v>
      </c>
      <c r="X75" s="1">
        <f t="shared" si="28"/>
        <v>0</v>
      </c>
      <c r="Y75" s="1">
        <f t="shared" si="29"/>
        <v>0</v>
      </c>
      <c r="Z75" s="1">
        <f t="shared" si="30"/>
        <v>0</v>
      </c>
      <c r="AA75" s="1">
        <f t="shared" si="31"/>
        <v>0</v>
      </c>
      <c r="AB75" s="1">
        <f t="shared" si="32"/>
        <v>1</v>
      </c>
      <c r="AD75" s="1">
        <f t="shared" si="33"/>
        <v>1</v>
      </c>
      <c r="AE75" s="1">
        <f t="shared" si="34"/>
        <v>0</v>
      </c>
      <c r="AF75" s="1">
        <f t="shared" si="35"/>
        <v>1</v>
      </c>
      <c r="AG75" s="1">
        <f t="shared" si="36"/>
        <v>0</v>
      </c>
      <c r="AH75" s="1">
        <f t="shared" si="37"/>
        <v>1</v>
      </c>
      <c r="AI75" s="1">
        <f t="shared" si="38"/>
        <v>0</v>
      </c>
    </row>
    <row r="76" spans="1:35" ht="14.25" customHeight="1" x14ac:dyDescent="0.25">
      <c r="A76" s="31">
        <v>0</v>
      </c>
      <c r="B76" s="31">
        <v>1</v>
      </c>
      <c r="C76" s="31">
        <v>2</v>
      </c>
      <c r="D76" s="36" t="s">
        <v>1965</v>
      </c>
      <c r="E76" s="32" t="s">
        <v>174</v>
      </c>
      <c r="F76" s="36" t="s">
        <v>1966</v>
      </c>
      <c r="G76" s="36" t="s">
        <v>219</v>
      </c>
      <c r="H76" s="36" t="s">
        <v>352</v>
      </c>
      <c r="I76" s="37" t="s">
        <v>1967</v>
      </c>
      <c r="J76" s="31">
        <v>8</v>
      </c>
      <c r="K76" s="33" t="s">
        <v>694</v>
      </c>
      <c r="L76" s="33"/>
      <c r="M76" s="34"/>
      <c r="N76" s="34" t="s">
        <v>1699</v>
      </c>
      <c r="O76" s="35">
        <v>1</v>
      </c>
      <c r="P76" s="35">
        <v>1</v>
      </c>
      <c r="Q76" s="32"/>
      <c r="S76" s="1">
        <f t="shared" si="23"/>
        <v>0</v>
      </c>
      <c r="T76" s="1">
        <f t="shared" si="24"/>
        <v>0</v>
      </c>
      <c r="U76" s="1">
        <f t="shared" si="25"/>
        <v>0</v>
      </c>
      <c r="V76" s="1">
        <f t="shared" si="26"/>
        <v>0</v>
      </c>
      <c r="W76" s="1">
        <f t="shared" si="27"/>
        <v>0</v>
      </c>
      <c r="X76" s="1">
        <f t="shared" si="28"/>
        <v>0</v>
      </c>
      <c r="Y76" s="1">
        <f t="shared" si="29"/>
        <v>0</v>
      </c>
      <c r="Z76" s="1">
        <f t="shared" si="30"/>
        <v>1</v>
      </c>
      <c r="AA76" s="1">
        <f t="shared" si="31"/>
        <v>0</v>
      </c>
      <c r="AB76" s="1">
        <f t="shared" si="32"/>
        <v>0</v>
      </c>
      <c r="AD76" s="1">
        <f t="shared" si="33"/>
        <v>1</v>
      </c>
      <c r="AE76" s="1">
        <f t="shared" si="34"/>
        <v>0</v>
      </c>
      <c r="AF76" s="1">
        <f t="shared" si="35"/>
        <v>1</v>
      </c>
      <c r="AG76" s="1">
        <f t="shared" si="36"/>
        <v>0</v>
      </c>
      <c r="AH76" s="1">
        <f t="shared" si="37"/>
        <v>1</v>
      </c>
      <c r="AI76" s="1">
        <f t="shared" si="38"/>
        <v>0</v>
      </c>
    </row>
    <row r="77" spans="1:35" ht="14.25" customHeight="1" x14ac:dyDescent="0.25">
      <c r="A77" s="31">
        <v>0</v>
      </c>
      <c r="B77" s="31">
        <v>1</v>
      </c>
      <c r="C77" s="31">
        <v>2</v>
      </c>
      <c r="D77" s="36" t="s">
        <v>576</v>
      </c>
      <c r="E77" s="32" t="s">
        <v>173</v>
      </c>
      <c r="F77" s="36" t="s">
        <v>578</v>
      </c>
      <c r="G77" s="36" t="s">
        <v>39</v>
      </c>
      <c r="H77" s="36" t="s">
        <v>579</v>
      </c>
      <c r="I77" s="37" t="s">
        <v>580</v>
      </c>
      <c r="J77" s="31">
        <v>12</v>
      </c>
      <c r="K77" s="33" t="s">
        <v>941</v>
      </c>
      <c r="L77" s="33" t="s">
        <v>1678</v>
      </c>
      <c r="M77" s="34" t="s">
        <v>1350</v>
      </c>
      <c r="N77" s="34" t="s">
        <v>1721</v>
      </c>
      <c r="O77" s="35">
        <v>1</v>
      </c>
      <c r="P77" s="35"/>
      <c r="Q77" s="32"/>
      <c r="S77" s="1">
        <f t="shared" si="23"/>
        <v>0</v>
      </c>
      <c r="T77" s="1">
        <f t="shared" si="24"/>
        <v>0</v>
      </c>
      <c r="U77" s="1">
        <f t="shared" si="25"/>
        <v>0</v>
      </c>
      <c r="V77" s="1">
        <f t="shared" si="26"/>
        <v>0</v>
      </c>
      <c r="W77" s="1">
        <f t="shared" si="27"/>
        <v>0</v>
      </c>
      <c r="X77" s="1">
        <f t="shared" si="28"/>
        <v>0</v>
      </c>
      <c r="Y77" s="1">
        <f t="shared" si="29"/>
        <v>0</v>
      </c>
      <c r="Z77" s="1">
        <f t="shared" si="30"/>
        <v>0</v>
      </c>
      <c r="AA77" s="1">
        <f t="shared" si="31"/>
        <v>0</v>
      </c>
      <c r="AB77" s="1">
        <f t="shared" si="32"/>
        <v>0</v>
      </c>
      <c r="AD77" s="1">
        <f t="shared" si="33"/>
        <v>0</v>
      </c>
      <c r="AE77" s="1">
        <f t="shared" si="34"/>
        <v>1</v>
      </c>
      <c r="AF77" s="1">
        <f t="shared" si="35"/>
        <v>0</v>
      </c>
      <c r="AG77" s="1">
        <f t="shared" si="36"/>
        <v>1</v>
      </c>
      <c r="AH77" s="1">
        <f t="shared" si="37"/>
        <v>0</v>
      </c>
      <c r="AI77" s="1">
        <f t="shared" si="38"/>
        <v>1</v>
      </c>
    </row>
    <row r="78" spans="1:35" ht="14.25" customHeight="1" x14ac:dyDescent="0.25">
      <c r="A78" s="31">
        <v>0</v>
      </c>
      <c r="B78" s="31">
        <v>1</v>
      </c>
      <c r="C78" s="31">
        <v>2</v>
      </c>
      <c r="D78" s="32" t="s">
        <v>1801</v>
      </c>
      <c r="E78" s="32" t="s">
        <v>173</v>
      </c>
      <c r="F78" s="32" t="s">
        <v>1802</v>
      </c>
      <c r="G78" s="32"/>
      <c r="H78" s="32" t="s">
        <v>1803</v>
      </c>
      <c r="I78" s="31" t="s">
        <v>1804</v>
      </c>
      <c r="J78" s="31">
        <v>14</v>
      </c>
      <c r="K78" s="33" t="s">
        <v>694</v>
      </c>
      <c r="L78" s="33">
        <v>75</v>
      </c>
      <c r="M78" s="34" t="s">
        <v>952</v>
      </c>
      <c r="N78" s="34" t="s">
        <v>1704</v>
      </c>
      <c r="O78" s="35">
        <v>1</v>
      </c>
      <c r="P78" s="35"/>
      <c r="Q78" s="32"/>
      <c r="S78" s="1">
        <f t="shared" si="23"/>
        <v>0</v>
      </c>
      <c r="T78" s="1">
        <f t="shared" si="24"/>
        <v>0</v>
      </c>
      <c r="U78" s="1">
        <f t="shared" si="25"/>
        <v>0</v>
      </c>
      <c r="V78" s="1">
        <f t="shared" si="26"/>
        <v>0</v>
      </c>
      <c r="W78" s="1">
        <f t="shared" si="27"/>
        <v>0</v>
      </c>
      <c r="X78" s="1">
        <f t="shared" si="28"/>
        <v>0</v>
      </c>
      <c r="Y78" s="1">
        <f t="shared" si="29"/>
        <v>0</v>
      </c>
      <c r="Z78" s="1">
        <f t="shared" si="30"/>
        <v>0</v>
      </c>
      <c r="AA78" s="1">
        <f t="shared" si="31"/>
        <v>0</v>
      </c>
      <c r="AB78" s="1">
        <f t="shared" si="32"/>
        <v>0</v>
      </c>
      <c r="AD78" s="1">
        <f t="shared" si="33"/>
        <v>0</v>
      </c>
      <c r="AE78" s="1">
        <f t="shared" si="34"/>
        <v>1</v>
      </c>
      <c r="AF78" s="1">
        <f t="shared" si="35"/>
        <v>0</v>
      </c>
      <c r="AG78" s="1">
        <f t="shared" si="36"/>
        <v>1</v>
      </c>
      <c r="AH78" s="1">
        <f t="shared" si="37"/>
        <v>0</v>
      </c>
      <c r="AI78" s="1">
        <f t="shared" si="38"/>
        <v>1</v>
      </c>
    </row>
    <row r="79" spans="1:35" ht="14.25" customHeight="1" x14ac:dyDescent="0.25">
      <c r="A79" s="31">
        <v>0</v>
      </c>
      <c r="B79" s="31">
        <v>1</v>
      </c>
      <c r="C79" s="31">
        <v>2</v>
      </c>
      <c r="D79" s="36" t="s">
        <v>1690</v>
      </c>
      <c r="E79" s="32" t="s">
        <v>174</v>
      </c>
      <c r="F79" s="36" t="s">
        <v>1691</v>
      </c>
      <c r="G79" s="36" t="s">
        <v>206</v>
      </c>
      <c r="H79" s="36" t="s">
        <v>352</v>
      </c>
      <c r="I79" s="37" t="s">
        <v>1692</v>
      </c>
      <c r="J79" s="31">
        <v>99</v>
      </c>
      <c r="K79" s="33" t="s">
        <v>694</v>
      </c>
      <c r="L79" s="33"/>
      <c r="M79" s="34"/>
      <c r="N79" s="34" t="s">
        <v>1693</v>
      </c>
      <c r="O79" s="35">
        <v>1</v>
      </c>
      <c r="P79" s="35">
        <v>1</v>
      </c>
      <c r="Q79" s="36"/>
      <c r="S79" s="1">
        <f t="shared" si="23"/>
        <v>0</v>
      </c>
      <c r="T79" s="1">
        <f t="shared" si="24"/>
        <v>0</v>
      </c>
      <c r="U79" s="1">
        <f t="shared" si="25"/>
        <v>0</v>
      </c>
      <c r="V79" s="1">
        <f t="shared" si="26"/>
        <v>0</v>
      </c>
      <c r="W79" s="1">
        <f t="shared" si="27"/>
        <v>0</v>
      </c>
      <c r="X79" s="1">
        <f t="shared" si="28"/>
        <v>0</v>
      </c>
      <c r="Y79" s="1">
        <f t="shared" si="29"/>
        <v>0</v>
      </c>
      <c r="Z79" s="1">
        <f t="shared" si="30"/>
        <v>0</v>
      </c>
      <c r="AA79" s="1">
        <f t="shared" si="31"/>
        <v>0</v>
      </c>
      <c r="AB79" s="1">
        <f t="shared" si="32"/>
        <v>0</v>
      </c>
      <c r="AD79" s="1">
        <f t="shared" si="33"/>
        <v>1</v>
      </c>
      <c r="AE79" s="1">
        <f t="shared" si="34"/>
        <v>0</v>
      </c>
      <c r="AF79" s="1">
        <f t="shared" si="35"/>
        <v>1</v>
      </c>
      <c r="AG79" s="1">
        <f t="shared" si="36"/>
        <v>0</v>
      </c>
      <c r="AH79" s="1">
        <f t="shared" si="37"/>
        <v>1</v>
      </c>
      <c r="AI79" s="1">
        <f t="shared" si="38"/>
        <v>0</v>
      </c>
    </row>
    <row r="80" spans="1:35" ht="14.25" customHeight="1" x14ac:dyDescent="0.25">
      <c r="A80" s="31">
        <v>0</v>
      </c>
      <c r="B80" s="31">
        <v>1</v>
      </c>
      <c r="C80" s="31">
        <v>2</v>
      </c>
      <c r="D80" s="36" t="s">
        <v>1039</v>
      </c>
      <c r="E80" s="32" t="s">
        <v>174</v>
      </c>
      <c r="F80" s="36" t="s">
        <v>1078</v>
      </c>
      <c r="G80" s="36" t="s">
        <v>39</v>
      </c>
      <c r="H80" s="36" t="s">
        <v>1040</v>
      </c>
      <c r="I80" s="37" t="s">
        <v>1139</v>
      </c>
      <c r="J80" s="31">
        <v>13</v>
      </c>
      <c r="K80" s="33" t="s">
        <v>693</v>
      </c>
      <c r="L80" s="33" t="s">
        <v>680</v>
      </c>
      <c r="M80" s="34" t="s">
        <v>1410</v>
      </c>
      <c r="N80" s="34" t="s">
        <v>1709</v>
      </c>
      <c r="O80" s="35">
        <v>1</v>
      </c>
      <c r="P80" s="35"/>
      <c r="Q80" s="36"/>
      <c r="S80" s="1">
        <f t="shared" si="23"/>
        <v>0</v>
      </c>
      <c r="T80" s="1">
        <f t="shared" si="24"/>
        <v>0</v>
      </c>
      <c r="U80" s="1">
        <f t="shared" si="25"/>
        <v>0</v>
      </c>
      <c r="V80" s="1">
        <f t="shared" si="26"/>
        <v>0</v>
      </c>
      <c r="W80" s="1">
        <f t="shared" si="27"/>
        <v>0</v>
      </c>
      <c r="X80" s="1">
        <f t="shared" si="28"/>
        <v>0</v>
      </c>
      <c r="Y80" s="1">
        <f t="shared" si="29"/>
        <v>0</v>
      </c>
      <c r="Z80" s="1">
        <f t="shared" si="30"/>
        <v>0</v>
      </c>
      <c r="AA80" s="1">
        <f t="shared" si="31"/>
        <v>0</v>
      </c>
      <c r="AB80" s="1">
        <f t="shared" si="32"/>
        <v>0</v>
      </c>
      <c r="AD80" s="1">
        <f t="shared" si="33"/>
        <v>0</v>
      </c>
      <c r="AE80" s="1">
        <f t="shared" si="34"/>
        <v>1</v>
      </c>
      <c r="AF80" s="1">
        <f t="shared" si="35"/>
        <v>0</v>
      </c>
      <c r="AG80" s="1">
        <f t="shared" si="36"/>
        <v>1</v>
      </c>
      <c r="AH80" s="1">
        <f t="shared" si="37"/>
        <v>0</v>
      </c>
      <c r="AI80" s="1">
        <f t="shared" si="38"/>
        <v>1</v>
      </c>
    </row>
    <row r="81" spans="1:35" ht="14.25" customHeight="1" x14ac:dyDescent="0.25">
      <c r="A81" s="31">
        <v>0</v>
      </c>
      <c r="B81" s="31">
        <v>1</v>
      </c>
      <c r="C81" s="31">
        <v>2</v>
      </c>
      <c r="D81" s="36" t="s">
        <v>1562</v>
      </c>
      <c r="E81" s="32" t="s">
        <v>174</v>
      </c>
      <c r="F81" s="36" t="s">
        <v>1563</v>
      </c>
      <c r="G81" s="36" t="s">
        <v>234</v>
      </c>
      <c r="H81" s="36" t="s">
        <v>352</v>
      </c>
      <c r="I81" s="37" t="s">
        <v>1564</v>
      </c>
      <c r="J81" s="31">
        <v>99</v>
      </c>
      <c r="K81" s="33" t="s">
        <v>937</v>
      </c>
      <c r="L81" s="33">
        <v>45</v>
      </c>
      <c r="M81" s="34" t="s">
        <v>39</v>
      </c>
      <c r="N81" s="34" t="s">
        <v>1749</v>
      </c>
      <c r="O81" s="35">
        <v>1</v>
      </c>
      <c r="P81" s="35"/>
      <c r="Q81" s="36"/>
      <c r="S81" s="1">
        <f t="shared" si="23"/>
        <v>0</v>
      </c>
      <c r="T81" s="1">
        <f t="shared" si="24"/>
        <v>0</v>
      </c>
      <c r="U81" s="1">
        <f t="shared" si="25"/>
        <v>0</v>
      </c>
      <c r="V81" s="1">
        <f t="shared" si="26"/>
        <v>0</v>
      </c>
      <c r="W81" s="1">
        <f t="shared" si="27"/>
        <v>0</v>
      </c>
      <c r="X81" s="1">
        <f t="shared" si="28"/>
        <v>0</v>
      </c>
      <c r="Y81" s="1">
        <f t="shared" si="29"/>
        <v>0</v>
      </c>
      <c r="Z81" s="1">
        <f t="shared" si="30"/>
        <v>0</v>
      </c>
      <c r="AA81" s="1">
        <f t="shared" si="31"/>
        <v>0</v>
      </c>
      <c r="AB81" s="1">
        <f t="shared" si="32"/>
        <v>0</v>
      </c>
      <c r="AD81" s="1">
        <f t="shared" si="33"/>
        <v>0</v>
      </c>
      <c r="AE81" s="1">
        <f t="shared" si="34"/>
        <v>1</v>
      </c>
      <c r="AF81" s="1">
        <f t="shared" si="35"/>
        <v>0</v>
      </c>
      <c r="AG81" s="1">
        <f t="shared" si="36"/>
        <v>1</v>
      </c>
      <c r="AH81" s="1">
        <f t="shared" si="37"/>
        <v>0</v>
      </c>
      <c r="AI81" s="1">
        <f t="shared" si="38"/>
        <v>1</v>
      </c>
    </row>
    <row r="82" spans="1:35" ht="14.25" customHeight="1" x14ac:dyDescent="0.25">
      <c r="A82" s="31">
        <v>0</v>
      </c>
      <c r="B82" s="31">
        <v>1</v>
      </c>
      <c r="C82" s="31">
        <v>2</v>
      </c>
      <c r="D82" s="36" t="s">
        <v>1299</v>
      </c>
      <c r="E82" s="32" t="s">
        <v>173</v>
      </c>
      <c r="F82" s="36" t="s">
        <v>1242</v>
      </c>
      <c r="G82" s="36" t="s">
        <v>206</v>
      </c>
      <c r="H82" s="36" t="s">
        <v>352</v>
      </c>
      <c r="I82" s="37" t="s">
        <v>1243</v>
      </c>
      <c r="J82" s="31">
        <v>99</v>
      </c>
      <c r="K82" s="33" t="s">
        <v>943</v>
      </c>
      <c r="L82" s="33" t="s">
        <v>39</v>
      </c>
      <c r="M82" s="34" t="s">
        <v>39</v>
      </c>
      <c r="N82" s="34" t="s">
        <v>1693</v>
      </c>
      <c r="O82" s="35">
        <v>1</v>
      </c>
      <c r="P82" s="35">
        <v>1</v>
      </c>
      <c r="Q82" s="36"/>
      <c r="S82" s="1">
        <f t="shared" ref="S82:S145" si="39">IF(J82=$S$7,1,0)</f>
        <v>0</v>
      </c>
      <c r="T82" s="1">
        <f t="shared" ref="T82:T145" si="40">IF(J82=$T$7,1,0)</f>
        <v>0</v>
      </c>
      <c r="U82" s="1">
        <f t="shared" ref="U82:U145" si="41">IF(J82=$U$7,1,0)</f>
        <v>0</v>
      </c>
      <c r="V82" s="1">
        <f t="shared" ref="V82:V145" si="42">IF(J82=$V$7,1,0)</f>
        <v>0</v>
      </c>
      <c r="W82" s="1">
        <f t="shared" ref="W82:W145" si="43">IF(J82=$W$7,1,0)</f>
        <v>0</v>
      </c>
      <c r="X82" s="1">
        <f t="shared" ref="X82:X145" si="44">IF(J82=$X$7,1,0)</f>
        <v>0</v>
      </c>
      <c r="Y82" s="1">
        <f t="shared" ref="Y82:Y145" si="45">IF(J82=$Y$7,1,0)</f>
        <v>0</v>
      </c>
      <c r="Z82" s="1">
        <f t="shared" ref="Z82:Z145" si="46">IF(J82=$Z$7,1,0)</f>
        <v>0</v>
      </c>
      <c r="AA82" s="1">
        <f t="shared" ref="AA82:AA145" si="47">IF(J82=$AA$7,1,0)</f>
        <v>0</v>
      </c>
      <c r="AB82" s="1">
        <f t="shared" ref="AB82:AB145" si="48">IF(J82=$AB$7,1,0)</f>
        <v>0</v>
      </c>
      <c r="AD82" s="1">
        <f t="shared" ref="AD82:AD145" si="49">+O82*P82</f>
        <v>1</v>
      </c>
      <c r="AE82" s="1">
        <f t="shared" ref="AE82:AE145" si="50">O82*(1-P82)</f>
        <v>0</v>
      </c>
      <c r="AF82" s="1">
        <f t="shared" si="35"/>
        <v>1</v>
      </c>
      <c r="AG82" s="1">
        <f t="shared" si="36"/>
        <v>0</v>
      </c>
      <c r="AH82" s="1">
        <f t="shared" si="37"/>
        <v>1</v>
      </c>
      <c r="AI82" s="1">
        <f t="shared" si="38"/>
        <v>0</v>
      </c>
    </row>
    <row r="83" spans="1:35" ht="14.25" customHeight="1" x14ac:dyDescent="0.25">
      <c r="A83" s="31">
        <v>0</v>
      </c>
      <c r="B83" s="31">
        <v>1</v>
      </c>
      <c r="C83" s="31">
        <v>3</v>
      </c>
      <c r="D83" s="36" t="s">
        <v>1758</v>
      </c>
      <c r="E83" s="32" t="s">
        <v>169</v>
      </c>
      <c r="F83" s="36" t="s">
        <v>1756</v>
      </c>
      <c r="G83" s="36" t="s">
        <v>231</v>
      </c>
      <c r="H83" s="36" t="s">
        <v>352</v>
      </c>
      <c r="I83" s="37" t="s">
        <v>1757</v>
      </c>
      <c r="J83" s="31">
        <v>99</v>
      </c>
      <c r="K83" s="33" t="s">
        <v>694</v>
      </c>
      <c r="L83" s="33"/>
      <c r="M83" s="34"/>
      <c r="N83" s="34" t="s">
        <v>1693</v>
      </c>
      <c r="O83" s="35">
        <v>1</v>
      </c>
      <c r="P83" s="35">
        <v>1</v>
      </c>
      <c r="Q83" s="36"/>
      <c r="S83" s="1">
        <f t="shared" si="39"/>
        <v>0</v>
      </c>
      <c r="T83" s="1">
        <f t="shared" si="40"/>
        <v>0</v>
      </c>
      <c r="U83" s="1">
        <f t="shared" si="41"/>
        <v>0</v>
      </c>
      <c r="V83" s="1">
        <f t="shared" si="42"/>
        <v>0</v>
      </c>
      <c r="W83" s="1">
        <f t="shared" si="43"/>
        <v>0</v>
      </c>
      <c r="X83" s="1">
        <f t="shared" si="44"/>
        <v>0</v>
      </c>
      <c r="Y83" s="1">
        <f t="shared" si="45"/>
        <v>0</v>
      </c>
      <c r="Z83" s="1">
        <f t="shared" si="46"/>
        <v>0</v>
      </c>
      <c r="AA83" s="1">
        <f t="shared" si="47"/>
        <v>0</v>
      </c>
      <c r="AB83" s="1">
        <f t="shared" si="48"/>
        <v>0</v>
      </c>
      <c r="AD83" s="1">
        <f t="shared" si="49"/>
        <v>1</v>
      </c>
      <c r="AE83" s="1">
        <f t="shared" si="50"/>
        <v>0</v>
      </c>
      <c r="AF83" s="1">
        <f t="shared" ref="AF83:AF146" si="51">+O83*P83*(1-A83)</f>
        <v>1</v>
      </c>
      <c r="AG83" s="1">
        <f t="shared" ref="AG83:AG146" si="52">O83*(1-P83)*(1-A83)</f>
        <v>0</v>
      </c>
      <c r="AH83" s="1">
        <f t="shared" ref="AH83:AH146" si="53">+P83*(1-A83)</f>
        <v>1</v>
      </c>
      <c r="AI83" s="1">
        <f t="shared" ref="AI83:AI146" si="54">+(1-A83)*(1-P83)</f>
        <v>0</v>
      </c>
    </row>
    <row r="84" spans="1:35" ht="14.25" customHeight="1" x14ac:dyDescent="0.25">
      <c r="A84" s="31">
        <v>0</v>
      </c>
      <c r="B84" s="31">
        <v>1</v>
      </c>
      <c r="C84" s="31">
        <v>3</v>
      </c>
      <c r="D84" s="36" t="s">
        <v>1136</v>
      </c>
      <c r="E84" s="32" t="s">
        <v>169</v>
      </c>
      <c r="F84" s="36" t="s">
        <v>1137</v>
      </c>
      <c r="G84" s="36" t="s">
        <v>39</v>
      </c>
      <c r="H84" s="36" t="s">
        <v>1331</v>
      </c>
      <c r="I84" s="37" t="s">
        <v>1138</v>
      </c>
      <c r="J84" s="31">
        <v>11</v>
      </c>
      <c r="K84" s="33" t="s">
        <v>693</v>
      </c>
      <c r="L84" s="33" t="s">
        <v>1665</v>
      </c>
      <c r="M84" s="34" t="s">
        <v>1360</v>
      </c>
      <c r="N84" s="34" t="s">
        <v>1709</v>
      </c>
      <c r="O84" s="35">
        <v>1</v>
      </c>
      <c r="P84" s="35"/>
      <c r="Q84" s="36"/>
      <c r="S84" s="1">
        <f t="shared" si="39"/>
        <v>0</v>
      </c>
      <c r="T84" s="1">
        <f t="shared" si="40"/>
        <v>0</v>
      </c>
      <c r="U84" s="1">
        <f t="shared" si="41"/>
        <v>0</v>
      </c>
      <c r="V84" s="1">
        <f t="shared" si="42"/>
        <v>0</v>
      </c>
      <c r="W84" s="1">
        <f t="shared" si="43"/>
        <v>0</v>
      </c>
      <c r="X84" s="1">
        <f t="shared" si="44"/>
        <v>0</v>
      </c>
      <c r="Y84" s="1">
        <f t="shared" si="45"/>
        <v>0</v>
      </c>
      <c r="Z84" s="1">
        <f t="shared" si="46"/>
        <v>0</v>
      </c>
      <c r="AA84" s="1">
        <f t="shared" si="47"/>
        <v>0</v>
      </c>
      <c r="AB84" s="1">
        <f t="shared" si="48"/>
        <v>0</v>
      </c>
      <c r="AD84" s="1">
        <f t="shared" si="49"/>
        <v>0</v>
      </c>
      <c r="AE84" s="1">
        <f t="shared" si="50"/>
        <v>1</v>
      </c>
      <c r="AF84" s="1">
        <f t="shared" si="51"/>
        <v>0</v>
      </c>
      <c r="AG84" s="1">
        <f t="shared" si="52"/>
        <v>1</v>
      </c>
      <c r="AH84" s="1">
        <f t="shared" si="53"/>
        <v>0</v>
      </c>
      <c r="AI84" s="1">
        <f t="shared" si="54"/>
        <v>1</v>
      </c>
    </row>
    <row r="85" spans="1:35" ht="14.25" customHeight="1" x14ac:dyDescent="0.25">
      <c r="A85" s="31">
        <v>0</v>
      </c>
      <c r="B85" s="31">
        <v>1</v>
      </c>
      <c r="C85" s="31">
        <v>3</v>
      </c>
      <c r="D85" s="36" t="s">
        <v>123</v>
      </c>
      <c r="E85" s="32" t="s">
        <v>169</v>
      </c>
      <c r="F85" s="36" t="s">
        <v>569</v>
      </c>
      <c r="G85" s="36" t="s">
        <v>39</v>
      </c>
      <c r="H85" s="36" t="s">
        <v>371</v>
      </c>
      <c r="I85" s="37" t="s">
        <v>468</v>
      </c>
      <c r="J85" s="31">
        <v>18</v>
      </c>
      <c r="K85" s="33" t="s">
        <v>694</v>
      </c>
      <c r="L85" s="33" t="s">
        <v>686</v>
      </c>
      <c r="M85" s="34" t="s">
        <v>682</v>
      </c>
      <c r="N85" s="34" t="s">
        <v>1784</v>
      </c>
      <c r="O85" s="35">
        <v>1</v>
      </c>
      <c r="P85" s="35"/>
      <c r="Q85" s="36" t="s">
        <v>1840</v>
      </c>
      <c r="S85" s="1">
        <f t="shared" si="39"/>
        <v>0</v>
      </c>
      <c r="T85" s="1">
        <f t="shared" si="40"/>
        <v>0</v>
      </c>
      <c r="U85" s="1">
        <f t="shared" si="41"/>
        <v>0</v>
      </c>
      <c r="V85" s="1">
        <f t="shared" si="42"/>
        <v>0</v>
      </c>
      <c r="W85" s="1">
        <f t="shared" si="43"/>
        <v>0</v>
      </c>
      <c r="X85" s="1">
        <f t="shared" si="44"/>
        <v>0</v>
      </c>
      <c r="Y85" s="1">
        <f t="shared" si="45"/>
        <v>0</v>
      </c>
      <c r="Z85" s="1">
        <f t="shared" si="46"/>
        <v>0</v>
      </c>
      <c r="AA85" s="1">
        <f t="shared" si="47"/>
        <v>0</v>
      </c>
      <c r="AB85" s="1">
        <f t="shared" si="48"/>
        <v>0</v>
      </c>
      <c r="AD85" s="1">
        <f t="shared" si="49"/>
        <v>0</v>
      </c>
      <c r="AE85" s="1">
        <f t="shared" si="50"/>
        <v>1</v>
      </c>
      <c r="AF85" s="1">
        <f t="shared" si="51"/>
        <v>0</v>
      </c>
      <c r="AG85" s="1">
        <f t="shared" si="52"/>
        <v>1</v>
      </c>
      <c r="AH85" s="1">
        <f t="shared" si="53"/>
        <v>0</v>
      </c>
      <c r="AI85" s="1">
        <f t="shared" si="54"/>
        <v>1</v>
      </c>
    </row>
    <row r="86" spans="1:35" ht="14.25" customHeight="1" x14ac:dyDescent="0.25">
      <c r="A86" s="31">
        <v>0</v>
      </c>
      <c r="B86" s="31">
        <v>1</v>
      </c>
      <c r="C86" s="31">
        <v>3</v>
      </c>
      <c r="D86" s="36" t="s">
        <v>991</v>
      </c>
      <c r="E86" s="32" t="s">
        <v>171</v>
      </c>
      <c r="F86" s="36" t="s">
        <v>992</v>
      </c>
      <c r="G86" s="36" t="s">
        <v>993</v>
      </c>
      <c r="H86" s="36" t="s">
        <v>352</v>
      </c>
      <c r="I86" s="37" t="s">
        <v>994</v>
      </c>
      <c r="J86" s="31">
        <v>99</v>
      </c>
      <c r="K86" s="33" t="s">
        <v>937</v>
      </c>
      <c r="L86" s="33" t="s">
        <v>39</v>
      </c>
      <c r="M86" s="34" t="s">
        <v>39</v>
      </c>
      <c r="N86" s="34" t="s">
        <v>1699</v>
      </c>
      <c r="O86" s="35">
        <v>1</v>
      </c>
      <c r="P86" s="35">
        <v>1</v>
      </c>
      <c r="Q86" s="36"/>
      <c r="S86" s="1">
        <f t="shared" si="39"/>
        <v>0</v>
      </c>
      <c r="T86" s="1">
        <f t="shared" si="40"/>
        <v>0</v>
      </c>
      <c r="U86" s="1">
        <f t="shared" si="41"/>
        <v>0</v>
      </c>
      <c r="V86" s="1">
        <f t="shared" si="42"/>
        <v>0</v>
      </c>
      <c r="W86" s="1">
        <f t="shared" si="43"/>
        <v>0</v>
      </c>
      <c r="X86" s="1">
        <f t="shared" si="44"/>
        <v>0</v>
      </c>
      <c r="Y86" s="1">
        <f t="shared" si="45"/>
        <v>0</v>
      </c>
      <c r="Z86" s="1">
        <f t="shared" si="46"/>
        <v>0</v>
      </c>
      <c r="AA86" s="1">
        <f t="shared" si="47"/>
        <v>0</v>
      </c>
      <c r="AB86" s="1">
        <f t="shared" si="48"/>
        <v>0</v>
      </c>
      <c r="AD86" s="1">
        <f t="shared" si="49"/>
        <v>1</v>
      </c>
      <c r="AE86" s="1">
        <f t="shared" si="50"/>
        <v>0</v>
      </c>
      <c r="AF86" s="1">
        <f t="shared" si="51"/>
        <v>1</v>
      </c>
      <c r="AG86" s="1">
        <f t="shared" si="52"/>
        <v>0</v>
      </c>
      <c r="AH86" s="1">
        <f t="shared" si="53"/>
        <v>1</v>
      </c>
      <c r="AI86" s="1">
        <f t="shared" si="54"/>
        <v>0</v>
      </c>
    </row>
    <row r="87" spans="1:35" ht="14.25" customHeight="1" x14ac:dyDescent="0.25">
      <c r="A87" s="31">
        <v>0</v>
      </c>
      <c r="B87" s="31">
        <v>1</v>
      </c>
      <c r="C87" s="31">
        <v>3</v>
      </c>
      <c r="D87" s="36" t="s">
        <v>142</v>
      </c>
      <c r="E87" s="32" t="s">
        <v>174</v>
      </c>
      <c r="F87" s="36" t="s">
        <v>342</v>
      </c>
      <c r="G87" s="36" t="s">
        <v>343</v>
      </c>
      <c r="H87" s="36" t="s">
        <v>352</v>
      </c>
      <c r="I87" s="37" t="s">
        <v>488</v>
      </c>
      <c r="J87" s="31">
        <v>6</v>
      </c>
      <c r="K87" s="33" t="s">
        <v>938</v>
      </c>
      <c r="L87" s="33" t="s">
        <v>678</v>
      </c>
      <c r="M87" s="34" t="s">
        <v>682</v>
      </c>
      <c r="N87" s="34" t="s">
        <v>1704</v>
      </c>
      <c r="O87" s="35">
        <v>1</v>
      </c>
      <c r="P87" s="35"/>
      <c r="Q87" s="36"/>
      <c r="S87" s="1">
        <f t="shared" si="39"/>
        <v>0</v>
      </c>
      <c r="T87" s="1">
        <f t="shared" si="40"/>
        <v>0</v>
      </c>
      <c r="U87" s="1">
        <f t="shared" si="41"/>
        <v>0</v>
      </c>
      <c r="V87" s="1">
        <f t="shared" si="42"/>
        <v>0</v>
      </c>
      <c r="W87" s="1">
        <f t="shared" si="43"/>
        <v>0</v>
      </c>
      <c r="X87" s="1">
        <f t="shared" si="44"/>
        <v>1</v>
      </c>
      <c r="Y87" s="1">
        <f t="shared" si="45"/>
        <v>0</v>
      </c>
      <c r="Z87" s="1">
        <f t="shared" si="46"/>
        <v>0</v>
      </c>
      <c r="AA87" s="1">
        <f t="shared" si="47"/>
        <v>0</v>
      </c>
      <c r="AB87" s="1">
        <f t="shared" si="48"/>
        <v>0</v>
      </c>
      <c r="AD87" s="1">
        <f t="shared" si="49"/>
        <v>0</v>
      </c>
      <c r="AE87" s="1">
        <f t="shared" si="50"/>
        <v>1</v>
      </c>
      <c r="AF87" s="1">
        <f t="shared" si="51"/>
        <v>0</v>
      </c>
      <c r="AG87" s="1">
        <f t="shared" si="52"/>
        <v>1</v>
      </c>
      <c r="AH87" s="1">
        <f t="shared" si="53"/>
        <v>0</v>
      </c>
      <c r="AI87" s="1">
        <f t="shared" si="54"/>
        <v>1</v>
      </c>
    </row>
    <row r="88" spans="1:35" ht="14.25" customHeight="1" x14ac:dyDescent="0.25">
      <c r="A88" s="31">
        <v>0</v>
      </c>
      <c r="B88" s="31">
        <v>1</v>
      </c>
      <c r="C88" s="31">
        <v>3</v>
      </c>
      <c r="D88" s="36" t="s">
        <v>2061</v>
      </c>
      <c r="E88" s="32" t="s">
        <v>169</v>
      </c>
      <c r="F88" s="36" t="s">
        <v>2062</v>
      </c>
      <c r="G88" s="36" t="s">
        <v>206</v>
      </c>
      <c r="H88" s="36" t="s">
        <v>352</v>
      </c>
      <c r="I88" s="37" t="s">
        <v>2063</v>
      </c>
      <c r="J88" s="31">
        <v>99</v>
      </c>
      <c r="K88" s="33" t="s">
        <v>694</v>
      </c>
      <c r="L88" s="33"/>
      <c r="M88" s="34"/>
      <c r="N88" s="34" t="s">
        <v>1699</v>
      </c>
      <c r="O88" s="35">
        <v>1</v>
      </c>
      <c r="P88" s="35">
        <v>1</v>
      </c>
      <c r="Q88" s="36" t="s">
        <v>2064</v>
      </c>
      <c r="S88" s="1">
        <f t="shared" si="39"/>
        <v>0</v>
      </c>
      <c r="T88" s="1">
        <f t="shared" si="40"/>
        <v>0</v>
      </c>
      <c r="U88" s="1">
        <f t="shared" si="41"/>
        <v>0</v>
      </c>
      <c r="V88" s="1">
        <f t="shared" si="42"/>
        <v>0</v>
      </c>
      <c r="W88" s="1">
        <f t="shared" si="43"/>
        <v>0</v>
      </c>
      <c r="X88" s="1">
        <f t="shared" si="44"/>
        <v>0</v>
      </c>
      <c r="Y88" s="1">
        <f t="shared" si="45"/>
        <v>0</v>
      </c>
      <c r="Z88" s="1">
        <f t="shared" si="46"/>
        <v>0</v>
      </c>
      <c r="AA88" s="1">
        <f t="shared" si="47"/>
        <v>0</v>
      </c>
      <c r="AB88" s="1">
        <f t="shared" si="48"/>
        <v>0</v>
      </c>
      <c r="AD88" s="1">
        <f t="shared" si="49"/>
        <v>1</v>
      </c>
      <c r="AE88" s="1">
        <f t="shared" si="50"/>
        <v>0</v>
      </c>
      <c r="AF88" s="1">
        <f t="shared" si="51"/>
        <v>1</v>
      </c>
      <c r="AG88" s="1">
        <f t="shared" si="52"/>
        <v>0</v>
      </c>
      <c r="AH88" s="1">
        <f t="shared" si="53"/>
        <v>1</v>
      </c>
      <c r="AI88" s="1">
        <f t="shared" si="54"/>
        <v>0</v>
      </c>
    </row>
    <row r="89" spans="1:35" ht="14.25" customHeight="1" x14ac:dyDescent="0.25">
      <c r="A89" s="15">
        <v>0</v>
      </c>
      <c r="B89" s="15">
        <v>1</v>
      </c>
      <c r="C89" s="15">
        <v>3</v>
      </c>
      <c r="D89" s="16" t="s">
        <v>1746</v>
      </c>
      <c r="E89" s="16" t="s">
        <v>171</v>
      </c>
      <c r="F89" s="16" t="s">
        <v>1748</v>
      </c>
      <c r="G89" s="16"/>
      <c r="H89" s="16" t="s">
        <v>362</v>
      </c>
      <c r="I89" s="15" t="s">
        <v>1747</v>
      </c>
      <c r="J89" s="15">
        <v>17</v>
      </c>
      <c r="K89" s="10" t="s">
        <v>694</v>
      </c>
      <c r="L89" s="10" t="s">
        <v>1703</v>
      </c>
      <c r="M89" s="19" t="s">
        <v>682</v>
      </c>
      <c r="N89" s="17"/>
      <c r="Q89" s="20" t="s">
        <v>1872</v>
      </c>
      <c r="S89" s="1">
        <f t="shared" si="39"/>
        <v>0</v>
      </c>
      <c r="T89" s="1">
        <f t="shared" si="40"/>
        <v>0</v>
      </c>
      <c r="U89" s="1">
        <f t="shared" si="41"/>
        <v>0</v>
      </c>
      <c r="V89" s="1">
        <f t="shared" si="42"/>
        <v>0</v>
      </c>
      <c r="W89" s="1">
        <f t="shared" si="43"/>
        <v>0</v>
      </c>
      <c r="X89" s="1">
        <f t="shared" si="44"/>
        <v>0</v>
      </c>
      <c r="Y89" s="1">
        <f t="shared" si="45"/>
        <v>0</v>
      </c>
      <c r="Z89" s="1">
        <f t="shared" si="46"/>
        <v>0</v>
      </c>
      <c r="AA89" s="1">
        <f t="shared" si="47"/>
        <v>0</v>
      </c>
      <c r="AB89" s="1">
        <f t="shared" si="48"/>
        <v>0</v>
      </c>
      <c r="AD89" s="1">
        <f t="shared" si="49"/>
        <v>0</v>
      </c>
      <c r="AE89" s="1">
        <f t="shared" si="50"/>
        <v>0</v>
      </c>
      <c r="AF89" s="1">
        <f t="shared" si="51"/>
        <v>0</v>
      </c>
      <c r="AG89" s="1">
        <f t="shared" si="52"/>
        <v>0</v>
      </c>
      <c r="AH89" s="1">
        <f t="shared" si="53"/>
        <v>0</v>
      </c>
      <c r="AI89" s="1">
        <f t="shared" si="54"/>
        <v>1</v>
      </c>
    </row>
    <row r="90" spans="1:35" ht="14.25" customHeight="1" x14ac:dyDescent="0.25">
      <c r="A90" s="31">
        <v>0</v>
      </c>
      <c r="B90" s="31">
        <v>1</v>
      </c>
      <c r="C90" s="31">
        <v>3</v>
      </c>
      <c r="D90" s="32" t="s">
        <v>1769</v>
      </c>
      <c r="E90" s="32" t="s">
        <v>171</v>
      </c>
      <c r="F90" s="32" t="s">
        <v>1770</v>
      </c>
      <c r="G90" s="32" t="s">
        <v>1771</v>
      </c>
      <c r="H90" s="32" t="s">
        <v>352</v>
      </c>
      <c r="I90" s="31" t="s">
        <v>1772</v>
      </c>
      <c r="J90" s="31">
        <v>1</v>
      </c>
      <c r="K90" s="33" t="s">
        <v>694</v>
      </c>
      <c r="L90" s="33">
        <v>60</v>
      </c>
      <c r="M90" s="34" t="s">
        <v>1773</v>
      </c>
      <c r="N90" s="34" t="s">
        <v>1808</v>
      </c>
      <c r="O90" s="35">
        <v>1</v>
      </c>
      <c r="P90" s="35"/>
      <c r="Q90" s="32"/>
      <c r="S90" s="1">
        <f t="shared" si="39"/>
        <v>1</v>
      </c>
      <c r="T90" s="1">
        <f t="shared" si="40"/>
        <v>0</v>
      </c>
      <c r="U90" s="1">
        <f t="shared" si="41"/>
        <v>0</v>
      </c>
      <c r="V90" s="1">
        <f t="shared" si="42"/>
        <v>0</v>
      </c>
      <c r="W90" s="1">
        <f t="shared" si="43"/>
        <v>0</v>
      </c>
      <c r="X90" s="1">
        <f t="shared" si="44"/>
        <v>0</v>
      </c>
      <c r="Y90" s="1">
        <f t="shared" si="45"/>
        <v>0</v>
      </c>
      <c r="Z90" s="1">
        <f t="shared" si="46"/>
        <v>0</v>
      </c>
      <c r="AA90" s="1">
        <f t="shared" si="47"/>
        <v>0</v>
      </c>
      <c r="AB90" s="1">
        <f t="shared" si="48"/>
        <v>0</v>
      </c>
      <c r="AD90" s="1">
        <f t="shared" si="49"/>
        <v>0</v>
      </c>
      <c r="AE90" s="1">
        <f t="shared" si="50"/>
        <v>1</v>
      </c>
      <c r="AF90" s="1">
        <f t="shared" si="51"/>
        <v>0</v>
      </c>
      <c r="AG90" s="1">
        <f t="shared" si="52"/>
        <v>1</v>
      </c>
      <c r="AH90" s="1">
        <f t="shared" si="53"/>
        <v>0</v>
      </c>
      <c r="AI90" s="1">
        <f t="shared" si="54"/>
        <v>1</v>
      </c>
    </row>
    <row r="91" spans="1:35" ht="14.25" customHeight="1" x14ac:dyDescent="0.25">
      <c r="A91" s="31">
        <v>0</v>
      </c>
      <c r="B91" s="31">
        <v>1</v>
      </c>
      <c r="C91" s="31">
        <v>3</v>
      </c>
      <c r="D91" s="36" t="s">
        <v>2019</v>
      </c>
      <c r="E91" s="36" t="s">
        <v>175</v>
      </c>
      <c r="F91" s="36" t="s">
        <v>2017</v>
      </c>
      <c r="G91" s="36" t="s">
        <v>219</v>
      </c>
      <c r="H91" s="36" t="s">
        <v>352</v>
      </c>
      <c r="I91" s="37" t="s">
        <v>2018</v>
      </c>
      <c r="J91" s="31">
        <v>8</v>
      </c>
      <c r="K91" s="33" t="s">
        <v>694</v>
      </c>
      <c r="L91" s="33"/>
      <c r="M91" s="34"/>
      <c r="N91" s="34" t="s">
        <v>1699</v>
      </c>
      <c r="O91" s="35">
        <v>1</v>
      </c>
      <c r="P91" s="35">
        <v>1</v>
      </c>
      <c r="Q91" s="36"/>
      <c r="S91" s="1">
        <f t="shared" si="39"/>
        <v>0</v>
      </c>
      <c r="T91" s="1">
        <f t="shared" si="40"/>
        <v>0</v>
      </c>
      <c r="U91" s="1">
        <f t="shared" si="41"/>
        <v>0</v>
      </c>
      <c r="V91" s="1">
        <f t="shared" si="42"/>
        <v>0</v>
      </c>
      <c r="W91" s="1">
        <f t="shared" si="43"/>
        <v>0</v>
      </c>
      <c r="X91" s="1">
        <f t="shared" si="44"/>
        <v>0</v>
      </c>
      <c r="Y91" s="1">
        <f t="shared" si="45"/>
        <v>0</v>
      </c>
      <c r="Z91" s="1">
        <f t="shared" si="46"/>
        <v>1</v>
      </c>
      <c r="AA91" s="1">
        <f t="shared" si="47"/>
        <v>0</v>
      </c>
      <c r="AB91" s="1">
        <f t="shared" si="48"/>
        <v>0</v>
      </c>
      <c r="AD91" s="1">
        <f t="shared" si="49"/>
        <v>1</v>
      </c>
      <c r="AE91" s="1">
        <f t="shared" si="50"/>
        <v>0</v>
      </c>
      <c r="AF91" s="1">
        <f t="shared" si="51"/>
        <v>1</v>
      </c>
      <c r="AG91" s="1">
        <f t="shared" si="52"/>
        <v>0</v>
      </c>
      <c r="AH91" s="1">
        <f t="shared" si="53"/>
        <v>1</v>
      </c>
      <c r="AI91" s="1">
        <f t="shared" si="54"/>
        <v>0</v>
      </c>
    </row>
    <row r="92" spans="1:35" ht="14.25" customHeight="1" x14ac:dyDescent="0.25">
      <c r="A92" s="31">
        <v>0</v>
      </c>
      <c r="B92" s="31">
        <v>1</v>
      </c>
      <c r="C92" s="31">
        <v>3</v>
      </c>
      <c r="D92" s="36" t="s">
        <v>1565</v>
      </c>
      <c r="E92" s="32" t="s">
        <v>174</v>
      </c>
      <c r="F92" s="36" t="s">
        <v>317</v>
      </c>
      <c r="G92" s="36" t="s">
        <v>268</v>
      </c>
      <c r="H92" s="36" t="s">
        <v>352</v>
      </c>
      <c r="I92" s="37" t="s">
        <v>463</v>
      </c>
      <c r="J92" s="31">
        <v>8</v>
      </c>
      <c r="K92" s="33" t="s">
        <v>693</v>
      </c>
      <c r="L92" s="33" t="s">
        <v>680</v>
      </c>
      <c r="M92" s="34" t="s">
        <v>682</v>
      </c>
      <c r="N92" s="34" t="s">
        <v>1715</v>
      </c>
      <c r="O92" s="35">
        <v>1</v>
      </c>
      <c r="P92" s="35"/>
      <c r="Q92" s="36"/>
      <c r="S92" s="1">
        <f t="shared" si="39"/>
        <v>0</v>
      </c>
      <c r="T92" s="1">
        <f t="shared" si="40"/>
        <v>0</v>
      </c>
      <c r="U92" s="1">
        <f t="shared" si="41"/>
        <v>0</v>
      </c>
      <c r="V92" s="1">
        <f t="shared" si="42"/>
        <v>0</v>
      </c>
      <c r="W92" s="1">
        <f t="shared" si="43"/>
        <v>0</v>
      </c>
      <c r="X92" s="1">
        <f t="shared" si="44"/>
        <v>0</v>
      </c>
      <c r="Y92" s="1">
        <f t="shared" si="45"/>
        <v>0</v>
      </c>
      <c r="Z92" s="1">
        <f t="shared" si="46"/>
        <v>1</v>
      </c>
      <c r="AA92" s="1">
        <f t="shared" si="47"/>
        <v>0</v>
      </c>
      <c r="AB92" s="1">
        <f t="shared" si="48"/>
        <v>0</v>
      </c>
      <c r="AD92" s="1">
        <f t="shared" si="49"/>
        <v>0</v>
      </c>
      <c r="AE92" s="1">
        <f t="shared" si="50"/>
        <v>1</v>
      </c>
      <c r="AF92" s="1">
        <f t="shared" si="51"/>
        <v>0</v>
      </c>
      <c r="AG92" s="1">
        <f t="shared" si="52"/>
        <v>1</v>
      </c>
      <c r="AH92" s="1">
        <f t="shared" si="53"/>
        <v>0</v>
      </c>
      <c r="AI92" s="1">
        <f t="shared" si="54"/>
        <v>1</v>
      </c>
    </row>
    <row r="93" spans="1:35" ht="14.25" customHeight="1" x14ac:dyDescent="0.25">
      <c r="A93" s="31">
        <v>0</v>
      </c>
      <c r="B93" s="31">
        <v>1</v>
      </c>
      <c r="C93" s="31">
        <v>3</v>
      </c>
      <c r="D93" s="36" t="s">
        <v>135</v>
      </c>
      <c r="E93" s="32" t="s">
        <v>171</v>
      </c>
      <c r="F93" s="36" t="s">
        <v>1838</v>
      </c>
      <c r="G93" s="36" t="s">
        <v>239</v>
      </c>
      <c r="H93" s="36" t="s">
        <v>352</v>
      </c>
      <c r="I93" s="37" t="s">
        <v>481</v>
      </c>
      <c r="J93" s="31">
        <v>1</v>
      </c>
      <c r="K93" s="33" t="s">
        <v>937</v>
      </c>
      <c r="L93" s="33" t="s">
        <v>680</v>
      </c>
      <c r="M93" s="34" t="s">
        <v>682</v>
      </c>
      <c r="N93" s="34" t="s">
        <v>1808</v>
      </c>
      <c r="O93" s="35">
        <v>1</v>
      </c>
      <c r="P93" s="35"/>
      <c r="Q93" s="36"/>
      <c r="S93" s="1">
        <f t="shared" si="39"/>
        <v>1</v>
      </c>
      <c r="T93" s="1">
        <f t="shared" si="40"/>
        <v>0</v>
      </c>
      <c r="U93" s="1">
        <f t="shared" si="41"/>
        <v>0</v>
      </c>
      <c r="V93" s="1">
        <f t="shared" si="42"/>
        <v>0</v>
      </c>
      <c r="W93" s="1">
        <f t="shared" si="43"/>
        <v>0</v>
      </c>
      <c r="X93" s="1">
        <f t="shared" si="44"/>
        <v>0</v>
      </c>
      <c r="Y93" s="1">
        <f t="shared" si="45"/>
        <v>0</v>
      </c>
      <c r="Z93" s="1">
        <f t="shared" si="46"/>
        <v>0</v>
      </c>
      <c r="AA93" s="1">
        <f t="shared" si="47"/>
        <v>0</v>
      </c>
      <c r="AB93" s="1">
        <f t="shared" si="48"/>
        <v>0</v>
      </c>
      <c r="AD93" s="1">
        <f t="shared" si="49"/>
        <v>0</v>
      </c>
      <c r="AE93" s="1">
        <f t="shared" si="50"/>
        <v>1</v>
      </c>
      <c r="AF93" s="1">
        <f t="shared" si="51"/>
        <v>0</v>
      </c>
      <c r="AG93" s="1">
        <f t="shared" si="52"/>
        <v>1</v>
      </c>
      <c r="AH93" s="1">
        <f t="shared" si="53"/>
        <v>0</v>
      </c>
      <c r="AI93" s="1">
        <f t="shared" si="54"/>
        <v>1</v>
      </c>
    </row>
    <row r="94" spans="1:35" ht="14.25" customHeight="1" x14ac:dyDescent="0.25">
      <c r="A94" s="15">
        <v>0</v>
      </c>
      <c r="B94" s="15">
        <v>1</v>
      </c>
      <c r="C94" s="15">
        <v>3</v>
      </c>
      <c r="D94" s="16" t="s">
        <v>775</v>
      </c>
      <c r="E94" s="16" t="s">
        <v>602</v>
      </c>
      <c r="F94" s="16" t="s">
        <v>777</v>
      </c>
      <c r="G94" s="16" t="s">
        <v>213</v>
      </c>
      <c r="H94" s="16" t="s">
        <v>352</v>
      </c>
      <c r="I94" s="15" t="s">
        <v>776</v>
      </c>
      <c r="J94" s="15">
        <v>99</v>
      </c>
      <c r="K94" s="10" t="s">
        <v>713</v>
      </c>
      <c r="L94" s="10" t="s">
        <v>1665</v>
      </c>
      <c r="M94" s="19" t="s">
        <v>1361</v>
      </c>
      <c r="N94" s="19"/>
      <c r="Q94" s="16"/>
      <c r="S94" s="1">
        <f t="shared" si="39"/>
        <v>0</v>
      </c>
      <c r="T94" s="1">
        <f t="shared" si="40"/>
        <v>0</v>
      </c>
      <c r="U94" s="1">
        <f t="shared" si="41"/>
        <v>0</v>
      </c>
      <c r="V94" s="1">
        <f t="shared" si="42"/>
        <v>0</v>
      </c>
      <c r="W94" s="1">
        <f t="shared" si="43"/>
        <v>0</v>
      </c>
      <c r="X94" s="1">
        <f t="shared" si="44"/>
        <v>0</v>
      </c>
      <c r="Y94" s="1">
        <f t="shared" si="45"/>
        <v>0</v>
      </c>
      <c r="Z94" s="1">
        <f t="shared" si="46"/>
        <v>0</v>
      </c>
      <c r="AA94" s="1">
        <f t="shared" si="47"/>
        <v>0</v>
      </c>
      <c r="AB94" s="1">
        <f t="shared" si="48"/>
        <v>0</v>
      </c>
      <c r="AD94" s="1">
        <f t="shared" si="49"/>
        <v>0</v>
      </c>
      <c r="AE94" s="1">
        <f t="shared" si="50"/>
        <v>0</v>
      </c>
      <c r="AF94" s="1">
        <f t="shared" si="51"/>
        <v>0</v>
      </c>
      <c r="AG94" s="1">
        <f t="shared" si="52"/>
        <v>0</v>
      </c>
      <c r="AH94" s="1">
        <f t="shared" si="53"/>
        <v>0</v>
      </c>
      <c r="AI94" s="1">
        <f t="shared" si="54"/>
        <v>1</v>
      </c>
    </row>
    <row r="95" spans="1:35" ht="14.25" customHeight="1" x14ac:dyDescent="0.25">
      <c r="A95" s="31">
        <v>0</v>
      </c>
      <c r="B95" s="31">
        <v>1</v>
      </c>
      <c r="C95" s="31">
        <v>3</v>
      </c>
      <c r="D95" s="32" t="s">
        <v>77</v>
      </c>
      <c r="E95" s="32" t="s">
        <v>171</v>
      </c>
      <c r="F95" s="32" t="s">
        <v>266</v>
      </c>
      <c r="G95" s="32" t="s">
        <v>262</v>
      </c>
      <c r="H95" s="32" t="s">
        <v>352</v>
      </c>
      <c r="I95" s="31" t="s">
        <v>422</v>
      </c>
      <c r="J95" s="31">
        <v>1</v>
      </c>
      <c r="K95" s="33" t="s">
        <v>937</v>
      </c>
      <c r="L95" s="33" t="s">
        <v>1665</v>
      </c>
      <c r="M95" s="34" t="s">
        <v>951</v>
      </c>
      <c r="N95" s="34" t="s">
        <v>1704</v>
      </c>
      <c r="O95" s="35">
        <v>1</v>
      </c>
      <c r="P95" s="35"/>
      <c r="Q95" s="32"/>
      <c r="S95" s="1">
        <f t="shared" si="39"/>
        <v>1</v>
      </c>
      <c r="T95" s="1">
        <f t="shared" si="40"/>
        <v>0</v>
      </c>
      <c r="U95" s="1">
        <f t="shared" si="41"/>
        <v>0</v>
      </c>
      <c r="V95" s="1">
        <f t="shared" si="42"/>
        <v>0</v>
      </c>
      <c r="W95" s="1">
        <f t="shared" si="43"/>
        <v>0</v>
      </c>
      <c r="X95" s="1">
        <f t="shared" si="44"/>
        <v>0</v>
      </c>
      <c r="Y95" s="1">
        <f t="shared" si="45"/>
        <v>0</v>
      </c>
      <c r="Z95" s="1">
        <f t="shared" si="46"/>
        <v>0</v>
      </c>
      <c r="AA95" s="1">
        <f t="shared" si="47"/>
        <v>0</v>
      </c>
      <c r="AB95" s="1">
        <f t="shared" si="48"/>
        <v>0</v>
      </c>
      <c r="AD95" s="1">
        <f t="shared" si="49"/>
        <v>0</v>
      </c>
      <c r="AE95" s="1">
        <f t="shared" si="50"/>
        <v>1</v>
      </c>
      <c r="AF95" s="1">
        <f t="shared" si="51"/>
        <v>0</v>
      </c>
      <c r="AG95" s="1">
        <f t="shared" si="52"/>
        <v>1</v>
      </c>
      <c r="AH95" s="1">
        <f t="shared" si="53"/>
        <v>0</v>
      </c>
      <c r="AI95" s="1">
        <f t="shared" si="54"/>
        <v>1</v>
      </c>
    </row>
    <row r="96" spans="1:35" ht="14.25" customHeight="1" x14ac:dyDescent="0.25">
      <c r="A96" s="15">
        <v>0</v>
      </c>
      <c r="B96" s="15">
        <v>1</v>
      </c>
      <c r="C96" s="15">
        <v>3</v>
      </c>
      <c r="D96" s="20" t="s">
        <v>1908</v>
      </c>
      <c r="E96" s="20" t="s">
        <v>1936</v>
      </c>
      <c r="F96" s="20" t="s">
        <v>1937</v>
      </c>
      <c r="G96" s="20"/>
      <c r="H96" s="20" t="s">
        <v>1935</v>
      </c>
      <c r="I96" s="21" t="s">
        <v>1938</v>
      </c>
      <c r="J96" s="15">
        <v>18</v>
      </c>
      <c r="K96" s="10" t="s">
        <v>694</v>
      </c>
      <c r="L96" s="10" t="s">
        <v>1703</v>
      </c>
      <c r="M96" s="19" t="s">
        <v>952</v>
      </c>
      <c r="N96" s="17"/>
      <c r="Q96" s="20" t="s">
        <v>1939</v>
      </c>
      <c r="S96" s="1">
        <f t="shared" si="39"/>
        <v>0</v>
      </c>
      <c r="T96" s="1">
        <f t="shared" si="40"/>
        <v>0</v>
      </c>
      <c r="U96" s="1">
        <f t="shared" si="41"/>
        <v>0</v>
      </c>
      <c r="V96" s="1">
        <f t="shared" si="42"/>
        <v>0</v>
      </c>
      <c r="W96" s="1">
        <f t="shared" si="43"/>
        <v>0</v>
      </c>
      <c r="X96" s="1">
        <f t="shared" si="44"/>
        <v>0</v>
      </c>
      <c r="Y96" s="1">
        <f t="shared" si="45"/>
        <v>0</v>
      </c>
      <c r="Z96" s="1">
        <f t="shared" si="46"/>
        <v>0</v>
      </c>
      <c r="AA96" s="1">
        <f t="shared" si="47"/>
        <v>0</v>
      </c>
      <c r="AB96" s="1">
        <f t="shared" si="48"/>
        <v>0</v>
      </c>
      <c r="AD96" s="1">
        <f t="shared" si="49"/>
        <v>0</v>
      </c>
      <c r="AE96" s="1">
        <f t="shared" si="50"/>
        <v>0</v>
      </c>
      <c r="AF96" s="1">
        <f t="shared" si="51"/>
        <v>0</v>
      </c>
      <c r="AG96" s="1">
        <f t="shared" si="52"/>
        <v>0</v>
      </c>
      <c r="AH96" s="1">
        <f t="shared" si="53"/>
        <v>0</v>
      </c>
      <c r="AI96" s="1">
        <f t="shared" si="54"/>
        <v>1</v>
      </c>
    </row>
    <row r="97" spans="1:35" ht="14.25" customHeight="1" x14ac:dyDescent="0.25">
      <c r="A97" s="31">
        <v>0</v>
      </c>
      <c r="B97" s="31">
        <v>1</v>
      </c>
      <c r="C97" s="31">
        <v>3</v>
      </c>
      <c r="D97" s="36" t="s">
        <v>1492</v>
      </c>
      <c r="E97" s="32" t="s">
        <v>175</v>
      </c>
      <c r="F97" s="36" t="s">
        <v>1493</v>
      </c>
      <c r="G97" s="36" t="s">
        <v>39</v>
      </c>
      <c r="H97" s="36" t="s">
        <v>889</v>
      </c>
      <c r="I97" s="37" t="s">
        <v>1494</v>
      </c>
      <c r="J97" s="31">
        <v>11</v>
      </c>
      <c r="K97" s="33" t="s">
        <v>945</v>
      </c>
      <c r="L97" s="33" t="s">
        <v>39</v>
      </c>
      <c r="M97" s="34" t="s">
        <v>39</v>
      </c>
      <c r="N97" s="34" t="s">
        <v>1699</v>
      </c>
      <c r="O97" s="35">
        <v>1</v>
      </c>
      <c r="P97" s="35">
        <v>1</v>
      </c>
      <c r="Q97" s="36"/>
      <c r="S97" s="1">
        <f t="shared" si="39"/>
        <v>0</v>
      </c>
      <c r="T97" s="1">
        <f t="shared" si="40"/>
        <v>0</v>
      </c>
      <c r="U97" s="1">
        <f t="shared" si="41"/>
        <v>0</v>
      </c>
      <c r="V97" s="1">
        <f t="shared" si="42"/>
        <v>0</v>
      </c>
      <c r="W97" s="1">
        <f t="shared" si="43"/>
        <v>0</v>
      </c>
      <c r="X97" s="1">
        <f t="shared" si="44"/>
        <v>0</v>
      </c>
      <c r="Y97" s="1">
        <f t="shared" si="45"/>
        <v>0</v>
      </c>
      <c r="Z97" s="1">
        <f t="shared" si="46"/>
        <v>0</v>
      </c>
      <c r="AA97" s="1">
        <f t="shared" si="47"/>
        <v>0</v>
      </c>
      <c r="AB97" s="1">
        <f t="shared" si="48"/>
        <v>0</v>
      </c>
      <c r="AD97" s="1">
        <f t="shared" si="49"/>
        <v>1</v>
      </c>
      <c r="AE97" s="1">
        <f t="shared" si="50"/>
        <v>0</v>
      </c>
      <c r="AF97" s="1">
        <f t="shared" si="51"/>
        <v>1</v>
      </c>
      <c r="AG97" s="1">
        <f t="shared" si="52"/>
        <v>0</v>
      </c>
      <c r="AH97" s="1">
        <f t="shared" si="53"/>
        <v>1</v>
      </c>
      <c r="AI97" s="1">
        <f t="shared" si="54"/>
        <v>0</v>
      </c>
    </row>
    <row r="98" spans="1:35" ht="14.25" customHeight="1" x14ac:dyDescent="0.25">
      <c r="A98" s="31">
        <v>0</v>
      </c>
      <c r="B98" s="31">
        <v>1</v>
      </c>
      <c r="C98" s="31">
        <v>3</v>
      </c>
      <c r="D98" s="36" t="s">
        <v>1813</v>
      </c>
      <c r="E98" s="36" t="s">
        <v>171</v>
      </c>
      <c r="F98" s="36" t="s">
        <v>1814</v>
      </c>
      <c r="G98" s="36"/>
      <c r="H98" s="36" t="s">
        <v>1815</v>
      </c>
      <c r="I98" s="37" t="s">
        <v>1816</v>
      </c>
      <c r="J98" s="31">
        <v>15</v>
      </c>
      <c r="K98" s="33" t="s">
        <v>694</v>
      </c>
      <c r="L98" s="33"/>
      <c r="M98" s="34"/>
      <c r="N98" s="34" t="s">
        <v>1699</v>
      </c>
      <c r="O98" s="35">
        <v>1</v>
      </c>
      <c r="P98" s="35">
        <v>1</v>
      </c>
      <c r="Q98" s="36" t="s">
        <v>1850</v>
      </c>
      <c r="S98" s="1">
        <f t="shared" si="39"/>
        <v>0</v>
      </c>
      <c r="T98" s="1">
        <f t="shared" si="40"/>
        <v>0</v>
      </c>
      <c r="U98" s="1">
        <f t="shared" si="41"/>
        <v>0</v>
      </c>
      <c r="V98" s="1">
        <f t="shared" si="42"/>
        <v>0</v>
      </c>
      <c r="W98" s="1">
        <f t="shared" si="43"/>
        <v>0</v>
      </c>
      <c r="X98" s="1">
        <f t="shared" si="44"/>
        <v>0</v>
      </c>
      <c r="Y98" s="1">
        <f t="shared" si="45"/>
        <v>0</v>
      </c>
      <c r="Z98" s="1">
        <f t="shared" si="46"/>
        <v>0</v>
      </c>
      <c r="AA98" s="1">
        <f t="shared" si="47"/>
        <v>0</v>
      </c>
      <c r="AB98" s="1">
        <f t="shared" si="48"/>
        <v>0</v>
      </c>
      <c r="AD98" s="1">
        <f t="shared" si="49"/>
        <v>1</v>
      </c>
      <c r="AE98" s="1">
        <f t="shared" si="50"/>
        <v>0</v>
      </c>
      <c r="AF98" s="1">
        <f t="shared" si="51"/>
        <v>1</v>
      </c>
      <c r="AG98" s="1">
        <f t="shared" si="52"/>
        <v>0</v>
      </c>
      <c r="AH98" s="1">
        <f t="shared" si="53"/>
        <v>1</v>
      </c>
      <c r="AI98" s="1">
        <f t="shared" si="54"/>
        <v>0</v>
      </c>
    </row>
    <row r="99" spans="1:35" ht="14.25" customHeight="1" x14ac:dyDescent="0.25">
      <c r="A99" s="31">
        <v>0</v>
      </c>
      <c r="B99" s="31">
        <v>1</v>
      </c>
      <c r="C99" s="31">
        <v>3</v>
      </c>
      <c r="D99" s="32" t="s">
        <v>727</v>
      </c>
      <c r="E99" s="32" t="s">
        <v>1305</v>
      </c>
      <c r="F99" s="32" t="s">
        <v>1625</v>
      </c>
      <c r="G99" s="32" t="s">
        <v>39</v>
      </c>
      <c r="H99" s="32" t="s">
        <v>728</v>
      </c>
      <c r="I99" s="31" t="s">
        <v>729</v>
      </c>
      <c r="J99" s="31">
        <v>18</v>
      </c>
      <c r="K99" s="33" t="s">
        <v>693</v>
      </c>
      <c r="L99" s="33" t="s">
        <v>679</v>
      </c>
      <c r="M99" s="34" t="s">
        <v>951</v>
      </c>
      <c r="N99" s="34" t="s">
        <v>1808</v>
      </c>
      <c r="O99" s="35">
        <v>1</v>
      </c>
      <c r="P99" s="35"/>
      <c r="Q99" s="32"/>
      <c r="S99" s="1">
        <f t="shared" si="39"/>
        <v>0</v>
      </c>
      <c r="T99" s="1">
        <f t="shared" si="40"/>
        <v>0</v>
      </c>
      <c r="U99" s="1">
        <f t="shared" si="41"/>
        <v>0</v>
      </c>
      <c r="V99" s="1">
        <f t="shared" si="42"/>
        <v>0</v>
      </c>
      <c r="W99" s="1">
        <f t="shared" si="43"/>
        <v>0</v>
      </c>
      <c r="X99" s="1">
        <f t="shared" si="44"/>
        <v>0</v>
      </c>
      <c r="Y99" s="1">
        <f t="shared" si="45"/>
        <v>0</v>
      </c>
      <c r="Z99" s="1">
        <f t="shared" si="46"/>
        <v>0</v>
      </c>
      <c r="AA99" s="1">
        <f t="shared" si="47"/>
        <v>0</v>
      </c>
      <c r="AB99" s="1">
        <f t="shared" si="48"/>
        <v>0</v>
      </c>
      <c r="AD99" s="1">
        <f t="shared" si="49"/>
        <v>0</v>
      </c>
      <c r="AE99" s="1">
        <f t="shared" si="50"/>
        <v>1</v>
      </c>
      <c r="AF99" s="1">
        <f t="shared" si="51"/>
        <v>0</v>
      </c>
      <c r="AG99" s="1">
        <f t="shared" si="52"/>
        <v>1</v>
      </c>
      <c r="AH99" s="1">
        <f t="shared" si="53"/>
        <v>0</v>
      </c>
      <c r="AI99" s="1">
        <f t="shared" si="54"/>
        <v>1</v>
      </c>
    </row>
    <row r="100" spans="1:35" ht="14.25" customHeight="1" x14ac:dyDescent="0.25">
      <c r="A100" s="31">
        <v>0</v>
      </c>
      <c r="B100" s="31">
        <v>1</v>
      </c>
      <c r="C100" s="31">
        <v>3</v>
      </c>
      <c r="D100" s="32" t="s">
        <v>1513</v>
      </c>
      <c r="E100" s="32" t="s">
        <v>171</v>
      </c>
      <c r="F100" s="32" t="s">
        <v>1514</v>
      </c>
      <c r="G100" s="32" t="s">
        <v>39</v>
      </c>
      <c r="H100" s="32" t="s">
        <v>362</v>
      </c>
      <c r="I100" s="31" t="s">
        <v>1515</v>
      </c>
      <c r="J100" s="31">
        <v>17</v>
      </c>
      <c r="K100" s="33" t="s">
        <v>713</v>
      </c>
      <c r="L100" s="33" t="s">
        <v>679</v>
      </c>
      <c r="M100" s="34" t="s">
        <v>39</v>
      </c>
      <c r="N100" s="34" t="s">
        <v>1693</v>
      </c>
      <c r="O100" s="35">
        <v>1</v>
      </c>
      <c r="P100" s="35">
        <v>1</v>
      </c>
      <c r="Q100" s="36" t="s">
        <v>1874</v>
      </c>
      <c r="S100" s="1">
        <f t="shared" si="39"/>
        <v>0</v>
      </c>
      <c r="T100" s="1">
        <f t="shared" si="40"/>
        <v>0</v>
      </c>
      <c r="U100" s="1">
        <f t="shared" si="41"/>
        <v>0</v>
      </c>
      <c r="V100" s="1">
        <f t="shared" si="42"/>
        <v>0</v>
      </c>
      <c r="W100" s="1">
        <f t="shared" si="43"/>
        <v>0</v>
      </c>
      <c r="X100" s="1">
        <f t="shared" si="44"/>
        <v>0</v>
      </c>
      <c r="Y100" s="1">
        <f t="shared" si="45"/>
        <v>0</v>
      </c>
      <c r="Z100" s="1">
        <f t="shared" si="46"/>
        <v>0</v>
      </c>
      <c r="AA100" s="1">
        <f t="shared" si="47"/>
        <v>0</v>
      </c>
      <c r="AB100" s="1">
        <f t="shared" si="48"/>
        <v>0</v>
      </c>
      <c r="AD100" s="1">
        <f t="shared" si="49"/>
        <v>1</v>
      </c>
      <c r="AE100" s="1">
        <f t="shared" si="50"/>
        <v>0</v>
      </c>
      <c r="AF100" s="1">
        <f t="shared" si="51"/>
        <v>1</v>
      </c>
      <c r="AG100" s="1">
        <f t="shared" si="52"/>
        <v>0</v>
      </c>
      <c r="AH100" s="1">
        <f t="shared" si="53"/>
        <v>1</v>
      </c>
      <c r="AI100" s="1">
        <f t="shared" si="54"/>
        <v>0</v>
      </c>
    </row>
    <row r="101" spans="1:35" ht="14.25" customHeight="1" x14ac:dyDescent="0.25">
      <c r="A101" s="31">
        <v>0</v>
      </c>
      <c r="B101" s="31">
        <v>1</v>
      </c>
      <c r="C101" s="31">
        <v>3</v>
      </c>
      <c r="D101" s="36" t="s">
        <v>118</v>
      </c>
      <c r="E101" s="32" t="s">
        <v>171</v>
      </c>
      <c r="F101" s="36" t="s">
        <v>318</v>
      </c>
      <c r="G101" s="36" t="s">
        <v>39</v>
      </c>
      <c r="H101" s="36" t="s">
        <v>368</v>
      </c>
      <c r="I101" s="37" t="s">
        <v>464</v>
      </c>
      <c r="J101" s="31">
        <v>14</v>
      </c>
      <c r="K101" s="33" t="s">
        <v>937</v>
      </c>
      <c r="L101" s="33" t="s">
        <v>685</v>
      </c>
      <c r="M101" s="34" t="s">
        <v>682</v>
      </c>
      <c r="N101" s="34" t="s">
        <v>1708</v>
      </c>
      <c r="O101" s="35">
        <v>1</v>
      </c>
      <c r="P101" s="35"/>
      <c r="Q101" s="36" t="s">
        <v>1847</v>
      </c>
      <c r="S101" s="1">
        <f t="shared" si="39"/>
        <v>0</v>
      </c>
      <c r="T101" s="1">
        <f t="shared" si="40"/>
        <v>0</v>
      </c>
      <c r="U101" s="1">
        <f t="shared" si="41"/>
        <v>0</v>
      </c>
      <c r="V101" s="1">
        <f t="shared" si="42"/>
        <v>0</v>
      </c>
      <c r="W101" s="1">
        <f t="shared" si="43"/>
        <v>0</v>
      </c>
      <c r="X101" s="1">
        <f t="shared" si="44"/>
        <v>0</v>
      </c>
      <c r="Y101" s="1">
        <f t="shared" si="45"/>
        <v>0</v>
      </c>
      <c r="Z101" s="1">
        <f t="shared" si="46"/>
        <v>0</v>
      </c>
      <c r="AA101" s="1">
        <f t="shared" si="47"/>
        <v>0</v>
      </c>
      <c r="AB101" s="1">
        <f t="shared" si="48"/>
        <v>0</v>
      </c>
      <c r="AD101" s="1">
        <f t="shared" si="49"/>
        <v>0</v>
      </c>
      <c r="AE101" s="1">
        <f t="shared" si="50"/>
        <v>1</v>
      </c>
      <c r="AF101" s="1">
        <f t="shared" si="51"/>
        <v>0</v>
      </c>
      <c r="AG101" s="1">
        <f t="shared" si="52"/>
        <v>1</v>
      </c>
      <c r="AH101" s="1">
        <f t="shared" si="53"/>
        <v>0</v>
      </c>
      <c r="AI101" s="1">
        <f t="shared" si="54"/>
        <v>1</v>
      </c>
    </row>
    <row r="102" spans="1:35" ht="14.25" customHeight="1" x14ac:dyDescent="0.25">
      <c r="A102" s="31">
        <v>0</v>
      </c>
      <c r="B102" s="31">
        <v>1</v>
      </c>
      <c r="C102" s="31">
        <v>3</v>
      </c>
      <c r="D102" s="36" t="s">
        <v>114</v>
      </c>
      <c r="E102" s="32" t="s">
        <v>169</v>
      </c>
      <c r="F102" s="36" t="s">
        <v>324</v>
      </c>
      <c r="G102" s="36" t="s">
        <v>229</v>
      </c>
      <c r="H102" s="36" t="s">
        <v>352</v>
      </c>
      <c r="I102" s="37" t="s">
        <v>471</v>
      </c>
      <c r="J102" s="31">
        <v>7</v>
      </c>
      <c r="K102" s="33" t="s">
        <v>693</v>
      </c>
      <c r="L102" s="33" t="s">
        <v>39</v>
      </c>
      <c r="M102" s="34" t="s">
        <v>39</v>
      </c>
      <c r="N102" s="34" t="s">
        <v>1699</v>
      </c>
      <c r="O102" s="35">
        <v>1</v>
      </c>
      <c r="P102" s="35">
        <v>1</v>
      </c>
      <c r="Q102" s="36"/>
      <c r="S102" s="1">
        <f t="shared" si="39"/>
        <v>0</v>
      </c>
      <c r="T102" s="1">
        <f t="shared" si="40"/>
        <v>0</v>
      </c>
      <c r="U102" s="1">
        <f t="shared" si="41"/>
        <v>0</v>
      </c>
      <c r="V102" s="1">
        <f t="shared" si="42"/>
        <v>0</v>
      </c>
      <c r="W102" s="1">
        <f t="shared" si="43"/>
        <v>0</v>
      </c>
      <c r="X102" s="1">
        <f t="shared" si="44"/>
        <v>0</v>
      </c>
      <c r="Y102" s="1">
        <f t="shared" si="45"/>
        <v>1</v>
      </c>
      <c r="Z102" s="1">
        <f t="shared" si="46"/>
        <v>0</v>
      </c>
      <c r="AA102" s="1">
        <f t="shared" si="47"/>
        <v>0</v>
      </c>
      <c r="AB102" s="1">
        <f t="shared" si="48"/>
        <v>0</v>
      </c>
      <c r="AD102" s="1">
        <f t="shared" si="49"/>
        <v>1</v>
      </c>
      <c r="AE102" s="1">
        <f t="shared" si="50"/>
        <v>0</v>
      </c>
      <c r="AF102" s="1">
        <f t="shared" si="51"/>
        <v>1</v>
      </c>
      <c r="AG102" s="1">
        <f t="shared" si="52"/>
        <v>0</v>
      </c>
      <c r="AH102" s="1">
        <f t="shared" si="53"/>
        <v>1</v>
      </c>
      <c r="AI102" s="1">
        <f t="shared" si="54"/>
        <v>0</v>
      </c>
    </row>
    <row r="103" spans="1:35" ht="14.25" customHeight="1" x14ac:dyDescent="0.25">
      <c r="A103" s="31">
        <v>0</v>
      </c>
      <c r="B103" s="31">
        <v>1</v>
      </c>
      <c r="C103" s="31">
        <v>3</v>
      </c>
      <c r="D103" s="36" t="s">
        <v>1890</v>
      </c>
      <c r="E103" s="32" t="s">
        <v>1891</v>
      </c>
      <c r="F103" s="36" t="s">
        <v>1892</v>
      </c>
      <c r="G103" s="36"/>
      <c r="H103" s="36" t="s">
        <v>364</v>
      </c>
      <c r="I103" s="37" t="s">
        <v>1894</v>
      </c>
      <c r="J103" s="31">
        <v>18</v>
      </c>
      <c r="K103" s="33" t="s">
        <v>694</v>
      </c>
      <c r="L103" s="33"/>
      <c r="M103" s="34"/>
      <c r="N103" s="34" t="s">
        <v>1699</v>
      </c>
      <c r="O103" s="35">
        <v>1</v>
      </c>
      <c r="P103" s="35">
        <v>1</v>
      </c>
      <c r="Q103" s="36" t="s">
        <v>1893</v>
      </c>
      <c r="S103" s="1">
        <f t="shared" si="39"/>
        <v>0</v>
      </c>
      <c r="T103" s="1">
        <f t="shared" si="40"/>
        <v>0</v>
      </c>
      <c r="U103" s="1">
        <f t="shared" si="41"/>
        <v>0</v>
      </c>
      <c r="V103" s="1">
        <f t="shared" si="42"/>
        <v>0</v>
      </c>
      <c r="W103" s="1">
        <f t="shared" si="43"/>
        <v>0</v>
      </c>
      <c r="X103" s="1">
        <f t="shared" si="44"/>
        <v>0</v>
      </c>
      <c r="Y103" s="1">
        <f t="shared" si="45"/>
        <v>0</v>
      </c>
      <c r="Z103" s="1">
        <f t="shared" si="46"/>
        <v>0</v>
      </c>
      <c r="AA103" s="1">
        <f t="shared" si="47"/>
        <v>0</v>
      </c>
      <c r="AB103" s="1">
        <f t="shared" si="48"/>
        <v>0</v>
      </c>
      <c r="AD103" s="1">
        <f t="shared" si="49"/>
        <v>1</v>
      </c>
      <c r="AE103" s="1">
        <f t="shared" si="50"/>
        <v>0</v>
      </c>
      <c r="AF103" s="1">
        <f t="shared" si="51"/>
        <v>1</v>
      </c>
      <c r="AG103" s="1">
        <f t="shared" si="52"/>
        <v>0</v>
      </c>
      <c r="AH103" s="1">
        <f t="shared" si="53"/>
        <v>1</v>
      </c>
      <c r="AI103" s="1">
        <f t="shared" si="54"/>
        <v>0</v>
      </c>
    </row>
    <row r="104" spans="1:35" ht="14.25" customHeight="1" x14ac:dyDescent="0.25">
      <c r="A104" s="31">
        <v>0</v>
      </c>
      <c r="B104" s="31">
        <v>1</v>
      </c>
      <c r="C104" s="31">
        <v>3</v>
      </c>
      <c r="D104" s="36" t="s">
        <v>1182</v>
      </c>
      <c r="E104" s="32" t="s">
        <v>174</v>
      </c>
      <c r="F104" s="36" t="s">
        <v>1313</v>
      </c>
      <c r="G104" s="36" t="s">
        <v>39</v>
      </c>
      <c r="H104" s="36" t="s">
        <v>603</v>
      </c>
      <c r="I104" s="37" t="s">
        <v>1183</v>
      </c>
      <c r="J104" s="31">
        <v>14</v>
      </c>
      <c r="K104" s="33" t="s">
        <v>937</v>
      </c>
      <c r="L104" s="33" t="s">
        <v>1665</v>
      </c>
      <c r="M104" s="34" t="s">
        <v>1362</v>
      </c>
      <c r="N104" s="34" t="s">
        <v>1784</v>
      </c>
      <c r="O104" s="35">
        <v>1</v>
      </c>
      <c r="P104" s="35"/>
      <c r="Q104" s="36"/>
      <c r="S104" s="1">
        <f t="shared" si="39"/>
        <v>0</v>
      </c>
      <c r="T104" s="1">
        <f t="shared" si="40"/>
        <v>0</v>
      </c>
      <c r="U104" s="1">
        <f t="shared" si="41"/>
        <v>0</v>
      </c>
      <c r="V104" s="1">
        <f t="shared" si="42"/>
        <v>0</v>
      </c>
      <c r="W104" s="1">
        <f t="shared" si="43"/>
        <v>0</v>
      </c>
      <c r="X104" s="1">
        <f t="shared" si="44"/>
        <v>0</v>
      </c>
      <c r="Y104" s="1">
        <f t="shared" si="45"/>
        <v>0</v>
      </c>
      <c r="Z104" s="1">
        <f t="shared" si="46"/>
        <v>0</v>
      </c>
      <c r="AA104" s="1">
        <f t="shared" si="47"/>
        <v>0</v>
      </c>
      <c r="AB104" s="1">
        <f t="shared" si="48"/>
        <v>0</v>
      </c>
      <c r="AD104" s="1">
        <f t="shared" si="49"/>
        <v>0</v>
      </c>
      <c r="AE104" s="1">
        <f t="shared" si="50"/>
        <v>1</v>
      </c>
      <c r="AF104" s="1">
        <f t="shared" si="51"/>
        <v>0</v>
      </c>
      <c r="AG104" s="1">
        <f t="shared" si="52"/>
        <v>1</v>
      </c>
      <c r="AH104" s="1">
        <f t="shared" si="53"/>
        <v>0</v>
      </c>
      <c r="AI104" s="1">
        <f t="shared" si="54"/>
        <v>1</v>
      </c>
    </row>
    <row r="105" spans="1:35" ht="14.25" customHeight="1" x14ac:dyDescent="0.25">
      <c r="A105" s="31">
        <v>0</v>
      </c>
      <c r="B105" s="31">
        <v>1</v>
      </c>
      <c r="C105" s="31">
        <v>3</v>
      </c>
      <c r="D105" s="36" t="s">
        <v>806</v>
      </c>
      <c r="E105" s="32" t="s">
        <v>175</v>
      </c>
      <c r="F105" s="36" t="s">
        <v>910</v>
      </c>
      <c r="G105" s="36" t="s">
        <v>39</v>
      </c>
      <c r="H105" s="36" t="s">
        <v>370</v>
      </c>
      <c r="I105" s="37" t="s">
        <v>807</v>
      </c>
      <c r="J105" s="31">
        <v>16</v>
      </c>
      <c r="K105" s="33" t="s">
        <v>938</v>
      </c>
      <c r="L105" s="33" t="s">
        <v>679</v>
      </c>
      <c r="M105" s="34" t="s">
        <v>951</v>
      </c>
      <c r="N105" s="34" t="s">
        <v>1693</v>
      </c>
      <c r="O105" s="35">
        <v>1</v>
      </c>
      <c r="P105" s="35">
        <v>1</v>
      </c>
      <c r="Q105" s="36"/>
      <c r="S105" s="1">
        <f t="shared" si="39"/>
        <v>0</v>
      </c>
      <c r="T105" s="1">
        <f t="shared" si="40"/>
        <v>0</v>
      </c>
      <c r="U105" s="1">
        <f t="shared" si="41"/>
        <v>0</v>
      </c>
      <c r="V105" s="1">
        <f t="shared" si="42"/>
        <v>0</v>
      </c>
      <c r="W105" s="1">
        <f t="shared" si="43"/>
        <v>0</v>
      </c>
      <c r="X105" s="1">
        <f t="shared" si="44"/>
        <v>0</v>
      </c>
      <c r="Y105" s="1">
        <f t="shared" si="45"/>
        <v>0</v>
      </c>
      <c r="Z105" s="1">
        <f t="shared" si="46"/>
        <v>0</v>
      </c>
      <c r="AA105" s="1">
        <f t="shared" si="47"/>
        <v>0</v>
      </c>
      <c r="AB105" s="1">
        <f t="shared" si="48"/>
        <v>0</v>
      </c>
      <c r="AD105" s="1">
        <f t="shared" si="49"/>
        <v>1</v>
      </c>
      <c r="AE105" s="1">
        <f t="shared" si="50"/>
        <v>0</v>
      </c>
      <c r="AF105" s="1">
        <f t="shared" si="51"/>
        <v>1</v>
      </c>
      <c r="AG105" s="1">
        <f t="shared" si="52"/>
        <v>0</v>
      </c>
      <c r="AH105" s="1">
        <f t="shared" si="53"/>
        <v>1</v>
      </c>
      <c r="AI105" s="1">
        <f t="shared" si="54"/>
        <v>0</v>
      </c>
    </row>
    <row r="106" spans="1:35" ht="14.25" customHeight="1" x14ac:dyDescent="0.25">
      <c r="A106" s="31">
        <v>0</v>
      </c>
      <c r="B106" s="31">
        <v>1</v>
      </c>
      <c r="C106" s="31">
        <v>3</v>
      </c>
      <c r="D106" s="32" t="s">
        <v>103</v>
      </c>
      <c r="E106" s="32" t="s">
        <v>169</v>
      </c>
      <c r="F106" s="32" t="s">
        <v>301</v>
      </c>
      <c r="G106" s="32" t="s">
        <v>39</v>
      </c>
      <c r="H106" s="32" t="s">
        <v>355</v>
      </c>
      <c r="I106" s="31" t="s">
        <v>448</v>
      </c>
      <c r="J106" s="31">
        <v>18</v>
      </c>
      <c r="K106" s="33" t="s">
        <v>693</v>
      </c>
      <c r="L106" s="33" t="s">
        <v>679</v>
      </c>
      <c r="M106" s="34" t="s">
        <v>682</v>
      </c>
      <c r="N106" s="34" t="s">
        <v>1704</v>
      </c>
      <c r="O106" s="35">
        <v>1</v>
      </c>
      <c r="P106" s="35"/>
      <c r="Q106" s="32"/>
      <c r="S106" s="1">
        <f t="shared" si="39"/>
        <v>0</v>
      </c>
      <c r="T106" s="1">
        <f t="shared" si="40"/>
        <v>0</v>
      </c>
      <c r="U106" s="1">
        <f t="shared" si="41"/>
        <v>0</v>
      </c>
      <c r="V106" s="1">
        <f t="shared" si="42"/>
        <v>0</v>
      </c>
      <c r="W106" s="1">
        <f t="shared" si="43"/>
        <v>0</v>
      </c>
      <c r="X106" s="1">
        <f t="shared" si="44"/>
        <v>0</v>
      </c>
      <c r="Y106" s="1">
        <f t="shared" si="45"/>
        <v>0</v>
      </c>
      <c r="Z106" s="1">
        <f t="shared" si="46"/>
        <v>0</v>
      </c>
      <c r="AA106" s="1">
        <f t="shared" si="47"/>
        <v>0</v>
      </c>
      <c r="AB106" s="1">
        <f t="shared" si="48"/>
        <v>0</v>
      </c>
      <c r="AD106" s="1">
        <f t="shared" si="49"/>
        <v>0</v>
      </c>
      <c r="AE106" s="1">
        <f t="shared" si="50"/>
        <v>1</v>
      </c>
      <c r="AF106" s="1">
        <f t="shared" si="51"/>
        <v>0</v>
      </c>
      <c r="AG106" s="1">
        <f t="shared" si="52"/>
        <v>1</v>
      </c>
      <c r="AH106" s="1">
        <f t="shared" si="53"/>
        <v>0</v>
      </c>
      <c r="AI106" s="1">
        <f t="shared" si="54"/>
        <v>1</v>
      </c>
    </row>
    <row r="107" spans="1:35" ht="14.25" customHeight="1" x14ac:dyDescent="0.25">
      <c r="A107" s="31">
        <v>0</v>
      </c>
      <c r="B107" s="31">
        <v>1</v>
      </c>
      <c r="C107" s="31">
        <v>3</v>
      </c>
      <c r="D107" s="32" t="s">
        <v>512</v>
      </c>
      <c r="E107" s="32" t="s">
        <v>169</v>
      </c>
      <c r="F107" s="32" t="s">
        <v>513</v>
      </c>
      <c r="G107" s="32" t="s">
        <v>500</v>
      </c>
      <c r="H107" s="32" t="s">
        <v>352</v>
      </c>
      <c r="I107" s="31" t="s">
        <v>514</v>
      </c>
      <c r="J107" s="31">
        <v>99</v>
      </c>
      <c r="K107" s="33" t="s">
        <v>937</v>
      </c>
      <c r="L107" s="33" t="s">
        <v>685</v>
      </c>
      <c r="M107" s="34" t="s">
        <v>682</v>
      </c>
      <c r="N107" s="34" t="s">
        <v>1708</v>
      </c>
      <c r="O107" s="35">
        <v>1</v>
      </c>
      <c r="P107" s="35"/>
      <c r="Q107" s="32"/>
      <c r="S107" s="1">
        <f t="shared" si="39"/>
        <v>0</v>
      </c>
      <c r="T107" s="1">
        <f t="shared" si="40"/>
        <v>0</v>
      </c>
      <c r="U107" s="1">
        <f t="shared" si="41"/>
        <v>0</v>
      </c>
      <c r="V107" s="1">
        <f t="shared" si="42"/>
        <v>0</v>
      </c>
      <c r="W107" s="1">
        <f t="shared" si="43"/>
        <v>0</v>
      </c>
      <c r="X107" s="1">
        <f t="shared" si="44"/>
        <v>0</v>
      </c>
      <c r="Y107" s="1">
        <f t="shared" si="45"/>
        <v>0</v>
      </c>
      <c r="Z107" s="1">
        <f t="shared" si="46"/>
        <v>0</v>
      </c>
      <c r="AA107" s="1">
        <f t="shared" si="47"/>
        <v>0</v>
      </c>
      <c r="AB107" s="1">
        <f t="shared" si="48"/>
        <v>0</v>
      </c>
      <c r="AD107" s="1">
        <f t="shared" si="49"/>
        <v>0</v>
      </c>
      <c r="AE107" s="1">
        <f t="shared" si="50"/>
        <v>1</v>
      </c>
      <c r="AF107" s="1">
        <f t="shared" si="51"/>
        <v>0</v>
      </c>
      <c r="AG107" s="1">
        <f t="shared" si="52"/>
        <v>1</v>
      </c>
      <c r="AH107" s="1">
        <f t="shared" si="53"/>
        <v>0</v>
      </c>
      <c r="AI107" s="1">
        <f t="shared" si="54"/>
        <v>1</v>
      </c>
    </row>
    <row r="108" spans="1:35" ht="14.25" customHeight="1" x14ac:dyDescent="0.25">
      <c r="A108" s="31">
        <v>0</v>
      </c>
      <c r="B108" s="31">
        <v>1</v>
      </c>
      <c r="C108" s="31">
        <v>3</v>
      </c>
      <c r="D108" s="36" t="s">
        <v>2126</v>
      </c>
      <c r="E108" s="32" t="s">
        <v>602</v>
      </c>
      <c r="F108" s="32" t="s">
        <v>738</v>
      </c>
      <c r="G108" s="32" t="s">
        <v>39</v>
      </c>
      <c r="H108" s="32" t="s">
        <v>739</v>
      </c>
      <c r="I108" s="31" t="s">
        <v>740</v>
      </c>
      <c r="J108" s="31">
        <v>18</v>
      </c>
      <c r="K108" s="33" t="s">
        <v>694</v>
      </c>
      <c r="L108" s="33" t="s">
        <v>688</v>
      </c>
      <c r="M108" s="34" t="s">
        <v>682</v>
      </c>
      <c r="N108" s="34" t="s">
        <v>1808</v>
      </c>
      <c r="O108" s="35">
        <v>1</v>
      </c>
      <c r="P108" s="35"/>
      <c r="Q108" s="36"/>
      <c r="S108" s="1">
        <f t="shared" si="39"/>
        <v>0</v>
      </c>
      <c r="T108" s="1">
        <f t="shared" si="40"/>
        <v>0</v>
      </c>
      <c r="U108" s="1">
        <f t="shared" si="41"/>
        <v>0</v>
      </c>
      <c r="V108" s="1">
        <f t="shared" si="42"/>
        <v>0</v>
      </c>
      <c r="W108" s="1">
        <f t="shared" si="43"/>
        <v>0</v>
      </c>
      <c r="X108" s="1">
        <f t="shared" si="44"/>
        <v>0</v>
      </c>
      <c r="Y108" s="1">
        <f t="shared" si="45"/>
        <v>0</v>
      </c>
      <c r="Z108" s="1">
        <f t="shared" si="46"/>
        <v>0</v>
      </c>
      <c r="AA108" s="1">
        <f t="shared" si="47"/>
        <v>0</v>
      </c>
      <c r="AB108" s="1">
        <f t="shared" si="48"/>
        <v>0</v>
      </c>
      <c r="AD108" s="1">
        <f t="shared" si="49"/>
        <v>0</v>
      </c>
      <c r="AE108" s="1">
        <f t="shared" si="50"/>
        <v>1</v>
      </c>
      <c r="AF108" s="1">
        <f t="shared" si="51"/>
        <v>0</v>
      </c>
      <c r="AG108" s="1">
        <f t="shared" si="52"/>
        <v>1</v>
      </c>
      <c r="AH108" s="1">
        <f t="shared" si="53"/>
        <v>0</v>
      </c>
      <c r="AI108" s="1">
        <f t="shared" si="54"/>
        <v>1</v>
      </c>
    </row>
    <row r="109" spans="1:35" ht="14.25" customHeight="1" x14ac:dyDescent="0.25">
      <c r="A109" s="31">
        <v>0</v>
      </c>
      <c r="B109" s="31">
        <v>1</v>
      </c>
      <c r="C109" s="31">
        <v>3</v>
      </c>
      <c r="D109" s="32" t="s">
        <v>2111</v>
      </c>
      <c r="E109" s="32" t="s">
        <v>169</v>
      </c>
      <c r="F109" s="32" t="s">
        <v>2110</v>
      </c>
      <c r="G109" s="32"/>
      <c r="H109" s="32" t="s">
        <v>352</v>
      </c>
      <c r="I109" s="31" t="s">
        <v>2112</v>
      </c>
      <c r="J109" s="31">
        <v>99</v>
      </c>
      <c r="K109" s="33" t="s">
        <v>694</v>
      </c>
      <c r="L109" s="33"/>
      <c r="M109" s="34"/>
      <c r="N109" s="34" t="s">
        <v>1784</v>
      </c>
      <c r="O109" s="35">
        <v>1</v>
      </c>
      <c r="P109" s="35"/>
      <c r="Q109" s="32" t="s">
        <v>2113</v>
      </c>
      <c r="S109" s="1">
        <f t="shared" si="39"/>
        <v>0</v>
      </c>
      <c r="T109" s="1">
        <f t="shared" si="40"/>
        <v>0</v>
      </c>
      <c r="U109" s="1">
        <f t="shared" si="41"/>
        <v>0</v>
      </c>
      <c r="V109" s="1">
        <f t="shared" si="42"/>
        <v>0</v>
      </c>
      <c r="W109" s="1">
        <f t="shared" si="43"/>
        <v>0</v>
      </c>
      <c r="X109" s="1">
        <f t="shared" si="44"/>
        <v>0</v>
      </c>
      <c r="Y109" s="1">
        <f t="shared" si="45"/>
        <v>0</v>
      </c>
      <c r="Z109" s="1">
        <f t="shared" si="46"/>
        <v>0</v>
      </c>
      <c r="AA109" s="1">
        <f t="shared" si="47"/>
        <v>0</v>
      </c>
      <c r="AB109" s="1">
        <f t="shared" si="48"/>
        <v>0</v>
      </c>
      <c r="AD109" s="1">
        <f t="shared" si="49"/>
        <v>0</v>
      </c>
      <c r="AE109" s="1">
        <f t="shared" si="50"/>
        <v>1</v>
      </c>
      <c r="AF109" s="1">
        <f t="shared" si="51"/>
        <v>0</v>
      </c>
      <c r="AG109" s="1">
        <f t="shared" si="52"/>
        <v>1</v>
      </c>
      <c r="AH109" s="1">
        <f t="shared" si="53"/>
        <v>0</v>
      </c>
      <c r="AI109" s="1">
        <f t="shared" si="54"/>
        <v>1</v>
      </c>
    </row>
    <row r="110" spans="1:35" ht="14.25" customHeight="1" x14ac:dyDescent="0.25">
      <c r="A110" s="15">
        <v>0</v>
      </c>
      <c r="B110" s="15">
        <v>1</v>
      </c>
      <c r="C110" s="15">
        <v>3</v>
      </c>
      <c r="D110" s="16" t="s">
        <v>1612</v>
      </c>
      <c r="E110" s="16" t="s">
        <v>1068</v>
      </c>
      <c r="F110" s="16" t="s">
        <v>1194</v>
      </c>
      <c r="G110" s="16" t="s">
        <v>39</v>
      </c>
      <c r="H110" s="16" t="s">
        <v>1195</v>
      </c>
      <c r="I110" s="15" t="s">
        <v>1196</v>
      </c>
      <c r="J110" s="15">
        <v>18</v>
      </c>
      <c r="K110" s="10" t="s">
        <v>939</v>
      </c>
      <c r="L110" s="10" t="s">
        <v>679</v>
      </c>
      <c r="M110" s="19" t="s">
        <v>951</v>
      </c>
      <c r="N110" s="17"/>
      <c r="Q110" s="16" t="s">
        <v>1842</v>
      </c>
      <c r="S110" s="1">
        <f t="shared" si="39"/>
        <v>0</v>
      </c>
      <c r="T110" s="1">
        <f t="shared" si="40"/>
        <v>0</v>
      </c>
      <c r="U110" s="1">
        <f t="shared" si="41"/>
        <v>0</v>
      </c>
      <c r="V110" s="1">
        <f t="shared" si="42"/>
        <v>0</v>
      </c>
      <c r="W110" s="1">
        <f t="shared" si="43"/>
        <v>0</v>
      </c>
      <c r="X110" s="1">
        <f t="shared" si="44"/>
        <v>0</v>
      </c>
      <c r="Y110" s="1">
        <f t="shared" si="45"/>
        <v>0</v>
      </c>
      <c r="Z110" s="1">
        <f t="shared" si="46"/>
        <v>0</v>
      </c>
      <c r="AA110" s="1">
        <f t="shared" si="47"/>
        <v>0</v>
      </c>
      <c r="AB110" s="1">
        <f t="shared" si="48"/>
        <v>0</v>
      </c>
      <c r="AD110" s="1">
        <f t="shared" si="49"/>
        <v>0</v>
      </c>
      <c r="AE110" s="1">
        <f t="shared" si="50"/>
        <v>0</v>
      </c>
      <c r="AF110" s="1">
        <f t="shared" si="51"/>
        <v>0</v>
      </c>
      <c r="AG110" s="1">
        <f t="shared" si="52"/>
        <v>0</v>
      </c>
      <c r="AH110" s="1">
        <f t="shared" si="53"/>
        <v>0</v>
      </c>
      <c r="AI110" s="1">
        <f t="shared" si="54"/>
        <v>1</v>
      </c>
    </row>
    <row r="111" spans="1:35" ht="14.25" customHeight="1" x14ac:dyDescent="0.25">
      <c r="A111" s="31">
        <v>0</v>
      </c>
      <c r="B111" s="31">
        <v>1</v>
      </c>
      <c r="C111" s="31">
        <v>3</v>
      </c>
      <c r="D111" s="32" t="s">
        <v>1525</v>
      </c>
      <c r="E111" s="32" t="s">
        <v>169</v>
      </c>
      <c r="F111" s="32" t="s">
        <v>1643</v>
      </c>
      <c r="G111" s="32" t="s">
        <v>39</v>
      </c>
      <c r="H111" s="32" t="s">
        <v>355</v>
      </c>
      <c r="I111" s="31" t="s">
        <v>1526</v>
      </c>
      <c r="J111" s="31">
        <v>18</v>
      </c>
      <c r="K111" s="33" t="s">
        <v>713</v>
      </c>
      <c r="L111" s="33" t="s">
        <v>679</v>
      </c>
      <c r="M111" s="34" t="s">
        <v>682</v>
      </c>
      <c r="N111" s="34" t="s">
        <v>1704</v>
      </c>
      <c r="O111" s="35">
        <v>1</v>
      </c>
      <c r="P111" s="35"/>
      <c r="Q111" s="32"/>
      <c r="S111" s="1">
        <f t="shared" si="39"/>
        <v>0</v>
      </c>
      <c r="T111" s="1">
        <f t="shared" si="40"/>
        <v>0</v>
      </c>
      <c r="U111" s="1">
        <f t="shared" si="41"/>
        <v>0</v>
      </c>
      <c r="V111" s="1">
        <f t="shared" si="42"/>
        <v>0</v>
      </c>
      <c r="W111" s="1">
        <f t="shared" si="43"/>
        <v>0</v>
      </c>
      <c r="X111" s="1">
        <f t="shared" si="44"/>
        <v>0</v>
      </c>
      <c r="Y111" s="1">
        <f t="shared" si="45"/>
        <v>0</v>
      </c>
      <c r="Z111" s="1">
        <f t="shared" si="46"/>
        <v>0</v>
      </c>
      <c r="AA111" s="1">
        <f t="shared" si="47"/>
        <v>0</v>
      </c>
      <c r="AB111" s="1">
        <f t="shared" si="48"/>
        <v>0</v>
      </c>
      <c r="AD111" s="1">
        <f t="shared" si="49"/>
        <v>0</v>
      </c>
      <c r="AE111" s="1">
        <f t="shared" si="50"/>
        <v>1</v>
      </c>
      <c r="AF111" s="1">
        <f t="shared" si="51"/>
        <v>0</v>
      </c>
      <c r="AG111" s="1">
        <f t="shared" si="52"/>
        <v>1</v>
      </c>
      <c r="AH111" s="1">
        <f t="shared" si="53"/>
        <v>0</v>
      </c>
      <c r="AI111" s="1">
        <f t="shared" si="54"/>
        <v>1</v>
      </c>
    </row>
    <row r="112" spans="1:35" ht="14.25" customHeight="1" x14ac:dyDescent="0.25">
      <c r="A112" s="31">
        <v>0</v>
      </c>
      <c r="B112" s="31">
        <v>1</v>
      </c>
      <c r="C112" s="31">
        <v>3</v>
      </c>
      <c r="D112" s="32" t="s">
        <v>1293</v>
      </c>
      <c r="E112" s="32" t="s">
        <v>174</v>
      </c>
      <c r="F112" s="32" t="s">
        <v>1314</v>
      </c>
      <c r="G112" s="32" t="s">
        <v>39</v>
      </c>
      <c r="H112" s="32" t="s">
        <v>352</v>
      </c>
      <c r="I112" s="31" t="s">
        <v>1114</v>
      </c>
      <c r="J112" s="31">
        <v>99</v>
      </c>
      <c r="K112" s="33" t="s">
        <v>693</v>
      </c>
      <c r="L112" s="33" t="s">
        <v>1665</v>
      </c>
      <c r="M112" s="34" t="s">
        <v>1363</v>
      </c>
      <c r="N112" s="34" t="s">
        <v>1709</v>
      </c>
      <c r="O112" s="35">
        <v>1</v>
      </c>
      <c r="P112" s="35"/>
      <c r="Q112" s="32"/>
      <c r="S112" s="1">
        <f t="shared" si="39"/>
        <v>0</v>
      </c>
      <c r="T112" s="1">
        <f t="shared" si="40"/>
        <v>0</v>
      </c>
      <c r="U112" s="1">
        <f t="shared" si="41"/>
        <v>0</v>
      </c>
      <c r="V112" s="1">
        <f t="shared" si="42"/>
        <v>0</v>
      </c>
      <c r="W112" s="1">
        <f t="shared" si="43"/>
        <v>0</v>
      </c>
      <c r="X112" s="1">
        <f t="shared" si="44"/>
        <v>0</v>
      </c>
      <c r="Y112" s="1">
        <f t="shared" si="45"/>
        <v>0</v>
      </c>
      <c r="Z112" s="1">
        <f t="shared" si="46"/>
        <v>0</v>
      </c>
      <c r="AA112" s="1">
        <f t="shared" si="47"/>
        <v>0</v>
      </c>
      <c r="AB112" s="1">
        <f t="shared" si="48"/>
        <v>0</v>
      </c>
      <c r="AD112" s="1">
        <f t="shared" si="49"/>
        <v>0</v>
      </c>
      <c r="AE112" s="1">
        <f t="shared" si="50"/>
        <v>1</v>
      </c>
      <c r="AF112" s="1">
        <f t="shared" si="51"/>
        <v>0</v>
      </c>
      <c r="AG112" s="1">
        <f t="shared" si="52"/>
        <v>1</v>
      </c>
      <c r="AH112" s="1">
        <f t="shared" si="53"/>
        <v>0</v>
      </c>
      <c r="AI112" s="1">
        <f t="shared" si="54"/>
        <v>1</v>
      </c>
    </row>
    <row r="113" spans="1:35" ht="14.25" customHeight="1" x14ac:dyDescent="0.25">
      <c r="A113" s="31">
        <v>0</v>
      </c>
      <c r="B113" s="31">
        <v>1</v>
      </c>
      <c r="C113" s="31">
        <v>3</v>
      </c>
      <c r="D113" s="32" t="s">
        <v>1237</v>
      </c>
      <c r="E113" s="32" t="s">
        <v>169</v>
      </c>
      <c r="F113" s="32" t="s">
        <v>1315</v>
      </c>
      <c r="G113" s="32" t="s">
        <v>1169</v>
      </c>
      <c r="H113" s="32" t="s">
        <v>352</v>
      </c>
      <c r="I113" s="31" t="s">
        <v>1170</v>
      </c>
      <c r="J113" s="31">
        <v>99</v>
      </c>
      <c r="K113" s="33" t="s">
        <v>713</v>
      </c>
      <c r="L113" s="33">
        <v>50</v>
      </c>
      <c r="M113" s="34" t="s">
        <v>39</v>
      </c>
      <c r="N113" s="34" t="s">
        <v>1760</v>
      </c>
      <c r="O113" s="35">
        <v>1</v>
      </c>
      <c r="P113" s="35"/>
      <c r="Q113" s="32"/>
      <c r="S113" s="1">
        <f t="shared" si="39"/>
        <v>0</v>
      </c>
      <c r="T113" s="1">
        <f t="shared" si="40"/>
        <v>0</v>
      </c>
      <c r="U113" s="1">
        <f t="shared" si="41"/>
        <v>0</v>
      </c>
      <c r="V113" s="1">
        <f t="shared" si="42"/>
        <v>0</v>
      </c>
      <c r="W113" s="1">
        <f t="shared" si="43"/>
        <v>0</v>
      </c>
      <c r="X113" s="1">
        <f t="shared" si="44"/>
        <v>0</v>
      </c>
      <c r="Y113" s="1">
        <f t="shared" si="45"/>
        <v>0</v>
      </c>
      <c r="Z113" s="1">
        <f t="shared" si="46"/>
        <v>0</v>
      </c>
      <c r="AA113" s="1">
        <f t="shared" si="47"/>
        <v>0</v>
      </c>
      <c r="AB113" s="1">
        <f t="shared" si="48"/>
        <v>0</v>
      </c>
      <c r="AD113" s="1">
        <f t="shared" si="49"/>
        <v>0</v>
      </c>
      <c r="AE113" s="1">
        <f t="shared" si="50"/>
        <v>1</v>
      </c>
      <c r="AF113" s="1">
        <f t="shared" si="51"/>
        <v>0</v>
      </c>
      <c r="AG113" s="1">
        <f t="shared" si="52"/>
        <v>1</v>
      </c>
      <c r="AH113" s="1">
        <f t="shared" si="53"/>
        <v>0</v>
      </c>
      <c r="AI113" s="1">
        <f t="shared" si="54"/>
        <v>1</v>
      </c>
    </row>
    <row r="114" spans="1:35" ht="14.25" customHeight="1" x14ac:dyDescent="0.25">
      <c r="A114" s="31">
        <v>0</v>
      </c>
      <c r="B114" s="31">
        <v>1</v>
      </c>
      <c r="C114" s="31">
        <v>3</v>
      </c>
      <c r="D114" s="32" t="s">
        <v>1000</v>
      </c>
      <c r="E114" s="32" t="s">
        <v>602</v>
      </c>
      <c r="F114" s="32" t="s">
        <v>1001</v>
      </c>
      <c r="G114" s="32" t="s">
        <v>1002</v>
      </c>
      <c r="H114" s="32" t="s">
        <v>352</v>
      </c>
      <c r="I114" s="31" t="s">
        <v>1003</v>
      </c>
      <c r="J114" s="31">
        <v>99</v>
      </c>
      <c r="K114" s="33" t="s">
        <v>937</v>
      </c>
      <c r="L114" s="33" t="s">
        <v>39</v>
      </c>
      <c r="M114" s="34" t="s">
        <v>39</v>
      </c>
      <c r="N114" s="34" t="s">
        <v>1699</v>
      </c>
      <c r="O114" s="35">
        <v>1</v>
      </c>
      <c r="P114" s="35">
        <v>1</v>
      </c>
      <c r="Q114" s="32"/>
      <c r="S114" s="1">
        <f t="shared" si="39"/>
        <v>0</v>
      </c>
      <c r="T114" s="1">
        <f t="shared" si="40"/>
        <v>0</v>
      </c>
      <c r="U114" s="1">
        <f t="shared" si="41"/>
        <v>0</v>
      </c>
      <c r="V114" s="1">
        <f t="shared" si="42"/>
        <v>0</v>
      </c>
      <c r="W114" s="1">
        <f t="shared" si="43"/>
        <v>0</v>
      </c>
      <c r="X114" s="1">
        <f t="shared" si="44"/>
        <v>0</v>
      </c>
      <c r="Y114" s="1">
        <f t="shared" si="45"/>
        <v>0</v>
      </c>
      <c r="Z114" s="1">
        <f t="shared" si="46"/>
        <v>0</v>
      </c>
      <c r="AA114" s="1">
        <f t="shared" si="47"/>
        <v>0</v>
      </c>
      <c r="AB114" s="1">
        <f t="shared" si="48"/>
        <v>0</v>
      </c>
      <c r="AD114" s="1">
        <f t="shared" si="49"/>
        <v>1</v>
      </c>
      <c r="AE114" s="1">
        <f t="shared" si="50"/>
        <v>0</v>
      </c>
      <c r="AF114" s="1">
        <f t="shared" si="51"/>
        <v>1</v>
      </c>
      <c r="AG114" s="1">
        <f t="shared" si="52"/>
        <v>0</v>
      </c>
      <c r="AH114" s="1">
        <f t="shared" si="53"/>
        <v>1</v>
      </c>
      <c r="AI114" s="1">
        <f t="shared" si="54"/>
        <v>0</v>
      </c>
    </row>
    <row r="115" spans="1:35" ht="14.25" customHeight="1" x14ac:dyDescent="0.25">
      <c r="A115" s="31">
        <v>0</v>
      </c>
      <c r="B115" s="31">
        <v>1</v>
      </c>
      <c r="C115" s="31">
        <v>3</v>
      </c>
      <c r="D115" s="32" t="s">
        <v>2074</v>
      </c>
      <c r="E115" s="32" t="s">
        <v>171</v>
      </c>
      <c r="F115" s="32" t="s">
        <v>2075</v>
      </c>
      <c r="G115" s="32"/>
      <c r="H115" s="32" t="s">
        <v>2076</v>
      </c>
      <c r="I115" s="31" t="s">
        <v>2077</v>
      </c>
      <c r="J115" s="31">
        <v>12</v>
      </c>
      <c r="K115" s="33" t="s">
        <v>694</v>
      </c>
      <c r="L115" s="33">
        <v>45</v>
      </c>
      <c r="M115" s="34" t="s">
        <v>1364</v>
      </c>
      <c r="N115" s="34" t="s">
        <v>1808</v>
      </c>
      <c r="O115" s="35">
        <v>1</v>
      </c>
      <c r="P115" s="35"/>
      <c r="Q115" s="32" t="s">
        <v>2078</v>
      </c>
      <c r="S115" s="1">
        <f t="shared" si="39"/>
        <v>0</v>
      </c>
      <c r="T115" s="1">
        <f t="shared" si="40"/>
        <v>0</v>
      </c>
      <c r="U115" s="1">
        <f t="shared" si="41"/>
        <v>0</v>
      </c>
      <c r="V115" s="1">
        <f t="shared" si="42"/>
        <v>0</v>
      </c>
      <c r="W115" s="1">
        <f t="shared" si="43"/>
        <v>0</v>
      </c>
      <c r="X115" s="1">
        <f t="shared" si="44"/>
        <v>0</v>
      </c>
      <c r="Y115" s="1">
        <f t="shared" si="45"/>
        <v>0</v>
      </c>
      <c r="Z115" s="1">
        <f t="shared" si="46"/>
        <v>0</v>
      </c>
      <c r="AA115" s="1">
        <f t="shared" si="47"/>
        <v>0</v>
      </c>
      <c r="AB115" s="1">
        <f t="shared" si="48"/>
        <v>0</v>
      </c>
      <c r="AD115" s="1">
        <f t="shared" si="49"/>
        <v>0</v>
      </c>
      <c r="AE115" s="1">
        <f t="shared" si="50"/>
        <v>1</v>
      </c>
      <c r="AF115" s="1">
        <f t="shared" si="51"/>
        <v>0</v>
      </c>
      <c r="AG115" s="1">
        <f t="shared" si="52"/>
        <v>1</v>
      </c>
      <c r="AH115" s="1">
        <f t="shared" si="53"/>
        <v>0</v>
      </c>
      <c r="AI115" s="1">
        <f t="shared" si="54"/>
        <v>1</v>
      </c>
    </row>
    <row r="116" spans="1:35" ht="14.25" customHeight="1" x14ac:dyDescent="0.25">
      <c r="A116" s="31">
        <v>0</v>
      </c>
      <c r="B116" s="31">
        <v>1</v>
      </c>
      <c r="C116" s="31">
        <v>3</v>
      </c>
      <c r="D116" s="32" t="s">
        <v>140</v>
      </c>
      <c r="E116" s="32" t="s">
        <v>174</v>
      </c>
      <c r="F116" s="32" t="s">
        <v>340</v>
      </c>
      <c r="G116" s="32" t="s">
        <v>39</v>
      </c>
      <c r="H116" s="32" t="s">
        <v>374</v>
      </c>
      <c r="I116" s="31" t="s">
        <v>486</v>
      </c>
      <c r="J116" s="31">
        <v>16</v>
      </c>
      <c r="K116" s="33" t="s">
        <v>693</v>
      </c>
      <c r="L116" s="33" t="s">
        <v>679</v>
      </c>
      <c r="M116" s="34" t="s">
        <v>1364</v>
      </c>
      <c r="N116" s="34" t="s">
        <v>1708</v>
      </c>
      <c r="O116" s="35">
        <v>1</v>
      </c>
      <c r="P116" s="35"/>
      <c r="Q116" s="32"/>
      <c r="S116" s="1">
        <f t="shared" si="39"/>
        <v>0</v>
      </c>
      <c r="T116" s="1">
        <f t="shared" si="40"/>
        <v>0</v>
      </c>
      <c r="U116" s="1">
        <f t="shared" si="41"/>
        <v>0</v>
      </c>
      <c r="V116" s="1">
        <f t="shared" si="42"/>
        <v>0</v>
      </c>
      <c r="W116" s="1">
        <f t="shared" si="43"/>
        <v>0</v>
      </c>
      <c r="X116" s="1">
        <f t="shared" si="44"/>
        <v>0</v>
      </c>
      <c r="Y116" s="1">
        <f t="shared" si="45"/>
        <v>0</v>
      </c>
      <c r="Z116" s="1">
        <f t="shared" si="46"/>
        <v>0</v>
      </c>
      <c r="AA116" s="1">
        <f t="shared" si="47"/>
        <v>0</v>
      </c>
      <c r="AB116" s="1">
        <f t="shared" si="48"/>
        <v>0</v>
      </c>
      <c r="AD116" s="1">
        <f t="shared" si="49"/>
        <v>0</v>
      </c>
      <c r="AE116" s="1">
        <f t="shared" si="50"/>
        <v>1</v>
      </c>
      <c r="AF116" s="1">
        <f t="shared" si="51"/>
        <v>0</v>
      </c>
      <c r="AG116" s="1">
        <f t="shared" si="52"/>
        <v>1</v>
      </c>
      <c r="AH116" s="1">
        <f t="shared" si="53"/>
        <v>0</v>
      </c>
      <c r="AI116" s="1">
        <f t="shared" si="54"/>
        <v>1</v>
      </c>
    </row>
    <row r="117" spans="1:35" ht="14.25" customHeight="1" x14ac:dyDescent="0.25">
      <c r="A117" s="31">
        <v>0</v>
      </c>
      <c r="B117" s="31">
        <v>1</v>
      </c>
      <c r="C117" s="31">
        <v>3</v>
      </c>
      <c r="D117" s="32" t="s">
        <v>802</v>
      </c>
      <c r="E117" s="32" t="s">
        <v>171</v>
      </c>
      <c r="F117" s="32" t="s">
        <v>803</v>
      </c>
      <c r="G117" s="32" t="s">
        <v>39</v>
      </c>
      <c r="H117" s="32" t="s">
        <v>804</v>
      </c>
      <c r="I117" s="31" t="s">
        <v>805</v>
      </c>
      <c r="J117" s="31">
        <v>16</v>
      </c>
      <c r="K117" s="33" t="s">
        <v>693</v>
      </c>
      <c r="L117" s="33" t="s">
        <v>679</v>
      </c>
      <c r="M117" s="34" t="s">
        <v>1364</v>
      </c>
      <c r="N117" s="34" t="s">
        <v>1693</v>
      </c>
      <c r="O117" s="35">
        <v>1</v>
      </c>
      <c r="P117" s="35">
        <v>1</v>
      </c>
      <c r="Q117" s="32"/>
      <c r="S117" s="1">
        <f t="shared" si="39"/>
        <v>0</v>
      </c>
      <c r="T117" s="1">
        <f t="shared" si="40"/>
        <v>0</v>
      </c>
      <c r="U117" s="1">
        <f t="shared" si="41"/>
        <v>0</v>
      </c>
      <c r="V117" s="1">
        <f t="shared" si="42"/>
        <v>0</v>
      </c>
      <c r="W117" s="1">
        <f t="shared" si="43"/>
        <v>0</v>
      </c>
      <c r="X117" s="1">
        <f t="shared" si="44"/>
        <v>0</v>
      </c>
      <c r="Y117" s="1">
        <f t="shared" si="45"/>
        <v>0</v>
      </c>
      <c r="Z117" s="1">
        <f t="shared" si="46"/>
        <v>0</v>
      </c>
      <c r="AA117" s="1">
        <f t="shared" si="47"/>
        <v>0</v>
      </c>
      <c r="AB117" s="1">
        <f t="shared" si="48"/>
        <v>0</v>
      </c>
      <c r="AD117" s="1">
        <f t="shared" si="49"/>
        <v>1</v>
      </c>
      <c r="AE117" s="1">
        <f t="shared" si="50"/>
        <v>0</v>
      </c>
      <c r="AF117" s="1">
        <f t="shared" si="51"/>
        <v>1</v>
      </c>
      <c r="AG117" s="1">
        <f t="shared" si="52"/>
        <v>0</v>
      </c>
      <c r="AH117" s="1">
        <f t="shared" si="53"/>
        <v>1</v>
      </c>
      <c r="AI117" s="1">
        <f t="shared" si="54"/>
        <v>0</v>
      </c>
    </row>
    <row r="118" spans="1:35" ht="14.25" customHeight="1" x14ac:dyDescent="0.25">
      <c r="A118" s="15">
        <v>0</v>
      </c>
      <c r="B118" s="15">
        <v>1</v>
      </c>
      <c r="C118" s="15">
        <v>3</v>
      </c>
      <c r="D118" s="16" t="s">
        <v>107</v>
      </c>
      <c r="E118" s="16" t="s">
        <v>169</v>
      </c>
      <c r="F118" s="16" t="s">
        <v>304</v>
      </c>
      <c r="G118" s="16" t="s">
        <v>39</v>
      </c>
      <c r="H118" s="16" t="s">
        <v>359</v>
      </c>
      <c r="I118" s="15" t="s">
        <v>452</v>
      </c>
      <c r="J118" s="15">
        <v>18</v>
      </c>
      <c r="K118" s="10" t="s">
        <v>694</v>
      </c>
      <c r="L118" s="10" t="s">
        <v>679</v>
      </c>
      <c r="M118" s="19" t="s">
        <v>682</v>
      </c>
      <c r="N118" s="17"/>
      <c r="Q118" s="20" t="s">
        <v>1841</v>
      </c>
      <c r="S118" s="1">
        <f t="shared" si="39"/>
        <v>0</v>
      </c>
      <c r="T118" s="1">
        <f t="shared" si="40"/>
        <v>0</v>
      </c>
      <c r="U118" s="1">
        <f t="shared" si="41"/>
        <v>0</v>
      </c>
      <c r="V118" s="1">
        <f t="shared" si="42"/>
        <v>0</v>
      </c>
      <c r="W118" s="1">
        <f t="shared" si="43"/>
        <v>0</v>
      </c>
      <c r="X118" s="1">
        <f t="shared" si="44"/>
        <v>0</v>
      </c>
      <c r="Y118" s="1">
        <f t="shared" si="45"/>
        <v>0</v>
      </c>
      <c r="Z118" s="1">
        <f t="shared" si="46"/>
        <v>0</v>
      </c>
      <c r="AA118" s="1">
        <f t="shared" si="47"/>
        <v>0</v>
      </c>
      <c r="AB118" s="1">
        <f t="shared" si="48"/>
        <v>0</v>
      </c>
      <c r="AD118" s="1">
        <f t="shared" si="49"/>
        <v>0</v>
      </c>
      <c r="AE118" s="1">
        <f t="shared" si="50"/>
        <v>0</v>
      </c>
      <c r="AF118" s="1">
        <f t="shared" si="51"/>
        <v>0</v>
      </c>
      <c r="AG118" s="1">
        <f t="shared" si="52"/>
        <v>0</v>
      </c>
      <c r="AH118" s="1">
        <f t="shared" si="53"/>
        <v>0</v>
      </c>
      <c r="AI118" s="1">
        <f t="shared" si="54"/>
        <v>1</v>
      </c>
    </row>
    <row r="119" spans="1:35" ht="14.25" customHeight="1" x14ac:dyDescent="0.25">
      <c r="A119" s="31">
        <v>0</v>
      </c>
      <c r="B119" s="31">
        <v>1</v>
      </c>
      <c r="C119" s="31">
        <v>3</v>
      </c>
      <c r="D119" s="32" t="s">
        <v>1474</v>
      </c>
      <c r="E119" s="32" t="s">
        <v>169</v>
      </c>
      <c r="F119" s="32" t="s">
        <v>1475</v>
      </c>
      <c r="G119" s="32" t="s">
        <v>39</v>
      </c>
      <c r="H119" s="32" t="s">
        <v>372</v>
      </c>
      <c r="I119" s="31" t="s">
        <v>1476</v>
      </c>
      <c r="J119" s="31">
        <v>11</v>
      </c>
      <c r="K119" s="33" t="s">
        <v>713</v>
      </c>
      <c r="L119" s="33">
        <v>50</v>
      </c>
      <c r="M119" s="34" t="s">
        <v>39</v>
      </c>
      <c r="N119" s="34" t="s">
        <v>1709</v>
      </c>
      <c r="O119" s="35">
        <v>1</v>
      </c>
      <c r="P119" s="35"/>
      <c r="Q119" s="32"/>
      <c r="S119" s="1">
        <f t="shared" si="39"/>
        <v>0</v>
      </c>
      <c r="T119" s="1">
        <f t="shared" si="40"/>
        <v>0</v>
      </c>
      <c r="U119" s="1">
        <f t="shared" si="41"/>
        <v>0</v>
      </c>
      <c r="V119" s="1">
        <f t="shared" si="42"/>
        <v>0</v>
      </c>
      <c r="W119" s="1">
        <f t="shared" si="43"/>
        <v>0</v>
      </c>
      <c r="X119" s="1">
        <f t="shared" si="44"/>
        <v>0</v>
      </c>
      <c r="Y119" s="1">
        <f t="shared" si="45"/>
        <v>0</v>
      </c>
      <c r="Z119" s="1">
        <f t="shared" si="46"/>
        <v>0</v>
      </c>
      <c r="AA119" s="1">
        <f t="shared" si="47"/>
        <v>0</v>
      </c>
      <c r="AB119" s="1">
        <f t="shared" si="48"/>
        <v>0</v>
      </c>
      <c r="AD119" s="1">
        <f t="shared" si="49"/>
        <v>0</v>
      </c>
      <c r="AE119" s="1">
        <f t="shared" si="50"/>
        <v>1</v>
      </c>
      <c r="AF119" s="1">
        <f t="shared" si="51"/>
        <v>0</v>
      </c>
      <c r="AG119" s="1">
        <f t="shared" si="52"/>
        <v>1</v>
      </c>
      <c r="AH119" s="1">
        <f t="shared" si="53"/>
        <v>0</v>
      </c>
      <c r="AI119" s="1">
        <f t="shared" si="54"/>
        <v>1</v>
      </c>
    </row>
    <row r="120" spans="1:35" ht="14.25" customHeight="1" x14ac:dyDescent="0.25">
      <c r="A120" s="31">
        <v>0</v>
      </c>
      <c r="B120" s="31">
        <v>1</v>
      </c>
      <c r="C120" s="31">
        <v>3</v>
      </c>
      <c r="D120" s="32" t="s">
        <v>106</v>
      </c>
      <c r="E120" s="32" t="s">
        <v>169</v>
      </c>
      <c r="F120" s="32" t="s">
        <v>303</v>
      </c>
      <c r="G120" s="32" t="s">
        <v>39</v>
      </c>
      <c r="H120" s="32" t="s">
        <v>358</v>
      </c>
      <c r="I120" s="31" t="s">
        <v>451</v>
      </c>
      <c r="J120" s="31">
        <v>18</v>
      </c>
      <c r="K120" s="33" t="s">
        <v>693</v>
      </c>
      <c r="L120" s="33">
        <v>55</v>
      </c>
      <c r="M120" s="34" t="s">
        <v>682</v>
      </c>
      <c r="N120" s="34" t="s">
        <v>1709</v>
      </c>
      <c r="O120" s="35">
        <v>1</v>
      </c>
      <c r="P120" s="35"/>
      <c r="Q120" s="32"/>
      <c r="S120" s="1">
        <f t="shared" si="39"/>
        <v>0</v>
      </c>
      <c r="T120" s="1">
        <f t="shared" si="40"/>
        <v>0</v>
      </c>
      <c r="U120" s="1">
        <f t="shared" si="41"/>
        <v>0</v>
      </c>
      <c r="V120" s="1">
        <f t="shared" si="42"/>
        <v>0</v>
      </c>
      <c r="W120" s="1">
        <f t="shared" si="43"/>
        <v>0</v>
      </c>
      <c r="X120" s="1">
        <f t="shared" si="44"/>
        <v>0</v>
      </c>
      <c r="Y120" s="1">
        <f t="shared" si="45"/>
        <v>0</v>
      </c>
      <c r="Z120" s="1">
        <f t="shared" si="46"/>
        <v>0</v>
      </c>
      <c r="AA120" s="1">
        <f t="shared" si="47"/>
        <v>0</v>
      </c>
      <c r="AB120" s="1">
        <f t="shared" si="48"/>
        <v>0</v>
      </c>
      <c r="AD120" s="1">
        <f t="shared" si="49"/>
        <v>0</v>
      </c>
      <c r="AE120" s="1">
        <f t="shared" si="50"/>
        <v>1</v>
      </c>
      <c r="AF120" s="1">
        <f t="shared" si="51"/>
        <v>0</v>
      </c>
      <c r="AG120" s="1">
        <f t="shared" si="52"/>
        <v>1</v>
      </c>
      <c r="AH120" s="1">
        <f t="shared" si="53"/>
        <v>0</v>
      </c>
      <c r="AI120" s="1">
        <f t="shared" si="54"/>
        <v>1</v>
      </c>
    </row>
    <row r="121" spans="1:35" ht="14.25" customHeight="1" x14ac:dyDescent="0.25">
      <c r="A121" s="31">
        <v>0</v>
      </c>
      <c r="B121" s="31">
        <v>1</v>
      </c>
      <c r="C121" s="31">
        <v>3</v>
      </c>
      <c r="D121" s="32" t="s">
        <v>127</v>
      </c>
      <c r="E121" s="32" t="s">
        <v>174</v>
      </c>
      <c r="F121" s="32" t="s">
        <v>327</v>
      </c>
      <c r="G121" s="32" t="s">
        <v>39</v>
      </c>
      <c r="H121" s="32" t="s">
        <v>373</v>
      </c>
      <c r="I121" s="31" t="s">
        <v>474</v>
      </c>
      <c r="J121" s="31">
        <v>12</v>
      </c>
      <c r="K121" s="33" t="s">
        <v>693</v>
      </c>
      <c r="L121" s="33">
        <v>35</v>
      </c>
      <c r="M121" s="34" t="s">
        <v>682</v>
      </c>
      <c r="N121" s="34" t="s">
        <v>1709</v>
      </c>
      <c r="O121" s="35">
        <v>1</v>
      </c>
      <c r="P121" s="35"/>
      <c r="Q121" s="32"/>
      <c r="S121" s="1">
        <f t="shared" si="39"/>
        <v>0</v>
      </c>
      <c r="T121" s="1">
        <f t="shared" si="40"/>
        <v>0</v>
      </c>
      <c r="U121" s="1">
        <f t="shared" si="41"/>
        <v>0</v>
      </c>
      <c r="V121" s="1">
        <f t="shared" si="42"/>
        <v>0</v>
      </c>
      <c r="W121" s="1">
        <f t="shared" si="43"/>
        <v>0</v>
      </c>
      <c r="X121" s="1">
        <f t="shared" si="44"/>
        <v>0</v>
      </c>
      <c r="Y121" s="1">
        <f t="shared" si="45"/>
        <v>0</v>
      </c>
      <c r="Z121" s="1">
        <f t="shared" si="46"/>
        <v>0</v>
      </c>
      <c r="AA121" s="1">
        <f t="shared" si="47"/>
        <v>0</v>
      </c>
      <c r="AB121" s="1">
        <f t="shared" si="48"/>
        <v>0</v>
      </c>
      <c r="AD121" s="1">
        <f t="shared" si="49"/>
        <v>0</v>
      </c>
      <c r="AE121" s="1">
        <f t="shared" si="50"/>
        <v>1</v>
      </c>
      <c r="AF121" s="1">
        <f t="shared" si="51"/>
        <v>0</v>
      </c>
      <c r="AG121" s="1">
        <f t="shared" si="52"/>
        <v>1</v>
      </c>
      <c r="AH121" s="1">
        <f t="shared" si="53"/>
        <v>0</v>
      </c>
      <c r="AI121" s="1">
        <f t="shared" si="54"/>
        <v>1</v>
      </c>
    </row>
    <row r="122" spans="1:35" ht="14.25" customHeight="1" x14ac:dyDescent="0.25">
      <c r="A122" s="15">
        <v>0</v>
      </c>
      <c r="B122" s="15">
        <v>1</v>
      </c>
      <c r="C122" s="15">
        <v>3</v>
      </c>
      <c r="D122" s="16" t="s">
        <v>975</v>
      </c>
      <c r="E122" s="16" t="s">
        <v>169</v>
      </c>
      <c r="F122" s="16" t="s">
        <v>1074</v>
      </c>
      <c r="G122" s="16" t="s">
        <v>231</v>
      </c>
      <c r="H122" s="16" t="s">
        <v>352</v>
      </c>
      <c r="I122" s="15" t="s">
        <v>976</v>
      </c>
      <c r="J122" s="15">
        <v>99</v>
      </c>
      <c r="K122" s="10" t="s">
        <v>937</v>
      </c>
      <c r="L122" s="10">
        <v>40</v>
      </c>
      <c r="M122" s="19" t="s">
        <v>39</v>
      </c>
      <c r="N122" s="19"/>
      <c r="Q122" s="16"/>
      <c r="S122" s="1">
        <f t="shared" si="39"/>
        <v>0</v>
      </c>
      <c r="T122" s="1">
        <f t="shared" si="40"/>
        <v>0</v>
      </c>
      <c r="U122" s="1">
        <f t="shared" si="41"/>
        <v>0</v>
      </c>
      <c r="V122" s="1">
        <f t="shared" si="42"/>
        <v>0</v>
      </c>
      <c r="W122" s="1">
        <f t="shared" si="43"/>
        <v>0</v>
      </c>
      <c r="X122" s="1">
        <f t="shared" si="44"/>
        <v>0</v>
      </c>
      <c r="Y122" s="1">
        <f t="shared" si="45"/>
        <v>0</v>
      </c>
      <c r="Z122" s="1">
        <f t="shared" si="46"/>
        <v>0</v>
      </c>
      <c r="AA122" s="1">
        <f t="shared" si="47"/>
        <v>0</v>
      </c>
      <c r="AB122" s="1">
        <f t="shared" si="48"/>
        <v>0</v>
      </c>
      <c r="AD122" s="1">
        <f t="shared" si="49"/>
        <v>0</v>
      </c>
      <c r="AE122" s="1">
        <f t="shared" si="50"/>
        <v>0</v>
      </c>
      <c r="AF122" s="1">
        <f t="shared" si="51"/>
        <v>0</v>
      </c>
      <c r="AG122" s="1">
        <f t="shared" si="52"/>
        <v>0</v>
      </c>
      <c r="AH122" s="1">
        <f t="shared" si="53"/>
        <v>0</v>
      </c>
      <c r="AI122" s="1">
        <f t="shared" si="54"/>
        <v>1</v>
      </c>
    </row>
    <row r="123" spans="1:35" ht="14.25" customHeight="1" x14ac:dyDescent="0.25">
      <c r="A123" s="31">
        <v>0</v>
      </c>
      <c r="B123" s="31">
        <v>1</v>
      </c>
      <c r="C123" s="31">
        <v>3</v>
      </c>
      <c r="D123" s="32" t="s">
        <v>128</v>
      </c>
      <c r="E123" s="32" t="s">
        <v>169</v>
      </c>
      <c r="F123" s="32" t="s">
        <v>328</v>
      </c>
      <c r="G123" s="32" t="s">
        <v>39</v>
      </c>
      <c r="H123" s="32" t="s">
        <v>369</v>
      </c>
      <c r="I123" s="31" t="s">
        <v>475</v>
      </c>
      <c r="J123" s="31">
        <v>11</v>
      </c>
      <c r="K123" s="33" t="s">
        <v>693</v>
      </c>
      <c r="L123" s="33" t="s">
        <v>39</v>
      </c>
      <c r="M123" s="34" t="s">
        <v>39</v>
      </c>
      <c r="N123" s="34" t="s">
        <v>1693</v>
      </c>
      <c r="O123" s="35">
        <v>1</v>
      </c>
      <c r="P123" s="35">
        <v>1</v>
      </c>
      <c r="Q123" s="32" t="s">
        <v>1992</v>
      </c>
      <c r="S123" s="1">
        <f t="shared" si="39"/>
        <v>0</v>
      </c>
      <c r="T123" s="1">
        <f t="shared" si="40"/>
        <v>0</v>
      </c>
      <c r="U123" s="1">
        <f t="shared" si="41"/>
        <v>0</v>
      </c>
      <c r="V123" s="1">
        <f t="shared" si="42"/>
        <v>0</v>
      </c>
      <c r="W123" s="1">
        <f t="shared" si="43"/>
        <v>0</v>
      </c>
      <c r="X123" s="1">
        <f t="shared" si="44"/>
        <v>0</v>
      </c>
      <c r="Y123" s="1">
        <f t="shared" si="45"/>
        <v>0</v>
      </c>
      <c r="Z123" s="1">
        <f t="shared" si="46"/>
        <v>0</v>
      </c>
      <c r="AA123" s="1">
        <f t="shared" si="47"/>
        <v>0</v>
      </c>
      <c r="AB123" s="1">
        <f t="shared" si="48"/>
        <v>0</v>
      </c>
      <c r="AD123" s="1">
        <f t="shared" si="49"/>
        <v>1</v>
      </c>
      <c r="AE123" s="1">
        <f t="shared" si="50"/>
        <v>0</v>
      </c>
      <c r="AF123" s="1">
        <f t="shared" si="51"/>
        <v>1</v>
      </c>
      <c r="AG123" s="1">
        <f t="shared" si="52"/>
        <v>0</v>
      </c>
      <c r="AH123" s="1">
        <f t="shared" si="53"/>
        <v>1</v>
      </c>
      <c r="AI123" s="1">
        <f t="shared" si="54"/>
        <v>0</v>
      </c>
    </row>
    <row r="124" spans="1:35" ht="14.25" customHeight="1" x14ac:dyDescent="0.25">
      <c r="A124" s="31">
        <v>0</v>
      </c>
      <c r="B124" s="31">
        <v>1</v>
      </c>
      <c r="C124" s="31">
        <v>3</v>
      </c>
      <c r="D124" s="32" t="s">
        <v>1294</v>
      </c>
      <c r="E124" s="32" t="s">
        <v>171</v>
      </c>
      <c r="F124" s="32" t="s">
        <v>1317</v>
      </c>
      <c r="G124" s="32" t="s">
        <v>39</v>
      </c>
      <c r="H124" s="32" t="s">
        <v>969</v>
      </c>
      <c r="I124" s="31" t="s">
        <v>970</v>
      </c>
      <c r="J124" s="31">
        <v>14</v>
      </c>
      <c r="K124" s="33" t="s">
        <v>694</v>
      </c>
      <c r="L124" s="33">
        <v>30</v>
      </c>
      <c r="M124" s="34" t="s">
        <v>952</v>
      </c>
      <c r="N124" s="34" t="s">
        <v>1704</v>
      </c>
      <c r="O124" s="35">
        <v>1</v>
      </c>
      <c r="P124" s="35"/>
      <c r="Q124" s="32"/>
      <c r="S124" s="1">
        <f t="shared" si="39"/>
        <v>0</v>
      </c>
      <c r="T124" s="1">
        <f t="shared" si="40"/>
        <v>0</v>
      </c>
      <c r="U124" s="1">
        <f t="shared" si="41"/>
        <v>0</v>
      </c>
      <c r="V124" s="1">
        <f t="shared" si="42"/>
        <v>0</v>
      </c>
      <c r="W124" s="1">
        <f t="shared" si="43"/>
        <v>0</v>
      </c>
      <c r="X124" s="1">
        <f t="shared" si="44"/>
        <v>0</v>
      </c>
      <c r="Y124" s="1">
        <f t="shared" si="45"/>
        <v>0</v>
      </c>
      <c r="Z124" s="1">
        <f t="shared" si="46"/>
        <v>0</v>
      </c>
      <c r="AA124" s="1">
        <f t="shared" si="47"/>
        <v>0</v>
      </c>
      <c r="AB124" s="1">
        <f t="shared" si="48"/>
        <v>0</v>
      </c>
      <c r="AD124" s="1">
        <f t="shared" si="49"/>
        <v>0</v>
      </c>
      <c r="AE124" s="1">
        <f t="shared" si="50"/>
        <v>1</v>
      </c>
      <c r="AF124" s="1">
        <f t="shared" si="51"/>
        <v>0</v>
      </c>
      <c r="AG124" s="1">
        <f t="shared" si="52"/>
        <v>1</v>
      </c>
      <c r="AH124" s="1">
        <f t="shared" si="53"/>
        <v>0</v>
      </c>
      <c r="AI124" s="1">
        <f t="shared" si="54"/>
        <v>1</v>
      </c>
    </row>
    <row r="125" spans="1:35" ht="14.25" customHeight="1" x14ac:dyDescent="0.25">
      <c r="A125" s="15">
        <v>0</v>
      </c>
      <c r="B125" s="15">
        <v>1</v>
      </c>
      <c r="C125" s="15">
        <v>3</v>
      </c>
      <c r="D125" s="16" t="s">
        <v>2096</v>
      </c>
      <c r="E125" s="16" t="s">
        <v>169</v>
      </c>
      <c r="F125" s="16" t="s">
        <v>2098</v>
      </c>
      <c r="G125" s="16"/>
      <c r="H125" s="16" t="s">
        <v>372</v>
      </c>
      <c r="I125" s="15" t="s">
        <v>2099</v>
      </c>
      <c r="J125" s="15">
        <v>11</v>
      </c>
      <c r="K125" s="10" t="s">
        <v>694</v>
      </c>
      <c r="L125" s="10">
        <v>50</v>
      </c>
      <c r="M125" s="19" t="s">
        <v>2097</v>
      </c>
      <c r="N125" s="17"/>
      <c r="Q125" s="16" t="s">
        <v>2100</v>
      </c>
      <c r="S125" s="1">
        <f t="shared" si="39"/>
        <v>0</v>
      </c>
      <c r="T125" s="1">
        <f t="shared" si="40"/>
        <v>0</v>
      </c>
      <c r="U125" s="1">
        <f t="shared" si="41"/>
        <v>0</v>
      </c>
      <c r="V125" s="1">
        <f t="shared" si="42"/>
        <v>0</v>
      </c>
      <c r="W125" s="1">
        <f t="shared" si="43"/>
        <v>0</v>
      </c>
      <c r="X125" s="1">
        <f t="shared" si="44"/>
        <v>0</v>
      </c>
      <c r="Y125" s="1">
        <f t="shared" si="45"/>
        <v>0</v>
      </c>
      <c r="Z125" s="1">
        <f t="shared" si="46"/>
        <v>0</v>
      </c>
      <c r="AA125" s="1">
        <f t="shared" si="47"/>
        <v>0</v>
      </c>
      <c r="AB125" s="1">
        <f t="shared" si="48"/>
        <v>0</v>
      </c>
      <c r="AD125" s="1">
        <f t="shared" si="49"/>
        <v>0</v>
      </c>
      <c r="AE125" s="1">
        <f t="shared" si="50"/>
        <v>0</v>
      </c>
      <c r="AF125" s="1">
        <f t="shared" si="51"/>
        <v>0</v>
      </c>
      <c r="AG125" s="1">
        <f t="shared" si="52"/>
        <v>0</v>
      </c>
      <c r="AH125" s="1">
        <f t="shared" si="53"/>
        <v>0</v>
      </c>
      <c r="AI125" s="1">
        <f t="shared" si="54"/>
        <v>1</v>
      </c>
    </row>
    <row r="126" spans="1:35" ht="14.25" customHeight="1" x14ac:dyDescent="0.25">
      <c r="A126" s="31">
        <v>0</v>
      </c>
      <c r="B126" s="31">
        <v>1</v>
      </c>
      <c r="C126" s="31">
        <v>3</v>
      </c>
      <c r="D126" s="32" t="s">
        <v>690</v>
      </c>
      <c r="E126" s="32" t="s">
        <v>174</v>
      </c>
      <c r="F126" s="32" t="s">
        <v>691</v>
      </c>
      <c r="G126" s="32" t="s">
        <v>39</v>
      </c>
      <c r="H126" s="32" t="s">
        <v>692</v>
      </c>
      <c r="I126" s="31" t="s">
        <v>1096</v>
      </c>
      <c r="J126" s="31">
        <v>13</v>
      </c>
      <c r="K126" s="33" t="s">
        <v>693</v>
      </c>
      <c r="L126" s="33" t="s">
        <v>1665</v>
      </c>
      <c r="M126" s="34" t="s">
        <v>951</v>
      </c>
      <c r="N126" s="34" t="s">
        <v>1784</v>
      </c>
      <c r="O126" s="35">
        <v>1</v>
      </c>
      <c r="P126" s="35"/>
      <c r="Q126" s="32"/>
      <c r="S126" s="1">
        <f t="shared" si="39"/>
        <v>0</v>
      </c>
      <c r="T126" s="1">
        <f t="shared" si="40"/>
        <v>0</v>
      </c>
      <c r="U126" s="1">
        <f t="shared" si="41"/>
        <v>0</v>
      </c>
      <c r="V126" s="1">
        <f t="shared" si="42"/>
        <v>0</v>
      </c>
      <c r="W126" s="1">
        <f t="shared" si="43"/>
        <v>0</v>
      </c>
      <c r="X126" s="1">
        <f t="shared" si="44"/>
        <v>0</v>
      </c>
      <c r="Y126" s="1">
        <f t="shared" si="45"/>
        <v>0</v>
      </c>
      <c r="Z126" s="1">
        <f t="shared" si="46"/>
        <v>0</v>
      </c>
      <c r="AA126" s="1">
        <f t="shared" si="47"/>
        <v>0</v>
      </c>
      <c r="AB126" s="1">
        <f t="shared" si="48"/>
        <v>0</v>
      </c>
      <c r="AD126" s="1">
        <f t="shared" si="49"/>
        <v>0</v>
      </c>
      <c r="AE126" s="1">
        <f t="shared" si="50"/>
        <v>1</v>
      </c>
      <c r="AF126" s="1">
        <f t="shared" si="51"/>
        <v>0</v>
      </c>
      <c r="AG126" s="1">
        <f t="shared" si="52"/>
        <v>1</v>
      </c>
      <c r="AH126" s="1">
        <f t="shared" si="53"/>
        <v>0</v>
      </c>
      <c r="AI126" s="1">
        <f t="shared" si="54"/>
        <v>1</v>
      </c>
    </row>
    <row r="127" spans="1:35" ht="14.25" customHeight="1" x14ac:dyDescent="0.25">
      <c r="A127" s="31">
        <v>0</v>
      </c>
      <c r="B127" s="31">
        <v>1</v>
      </c>
      <c r="C127" s="31">
        <v>3</v>
      </c>
      <c r="D127" s="32" t="s">
        <v>1488</v>
      </c>
      <c r="E127" s="32" t="s">
        <v>169</v>
      </c>
      <c r="F127" s="32" t="s">
        <v>1634</v>
      </c>
      <c r="G127" s="32" t="s">
        <v>39</v>
      </c>
      <c r="H127" s="32" t="s">
        <v>1489</v>
      </c>
      <c r="I127" s="31" t="s">
        <v>1490</v>
      </c>
      <c r="J127" s="31">
        <v>11</v>
      </c>
      <c r="K127" s="33" t="s">
        <v>713</v>
      </c>
      <c r="L127" s="33">
        <v>40</v>
      </c>
      <c r="M127" s="34" t="s">
        <v>39</v>
      </c>
      <c r="N127" s="34" t="s">
        <v>1693</v>
      </c>
      <c r="O127" s="35">
        <v>1</v>
      </c>
      <c r="P127" s="35">
        <v>1</v>
      </c>
      <c r="Q127" s="32"/>
      <c r="S127" s="1">
        <f t="shared" si="39"/>
        <v>0</v>
      </c>
      <c r="T127" s="1">
        <f t="shared" si="40"/>
        <v>0</v>
      </c>
      <c r="U127" s="1">
        <f t="shared" si="41"/>
        <v>0</v>
      </c>
      <c r="V127" s="1">
        <f t="shared" si="42"/>
        <v>0</v>
      </c>
      <c r="W127" s="1">
        <f t="shared" si="43"/>
        <v>0</v>
      </c>
      <c r="X127" s="1">
        <f t="shared" si="44"/>
        <v>0</v>
      </c>
      <c r="Y127" s="1">
        <f t="shared" si="45"/>
        <v>0</v>
      </c>
      <c r="Z127" s="1">
        <f t="shared" si="46"/>
        <v>0</v>
      </c>
      <c r="AA127" s="1">
        <f t="shared" si="47"/>
        <v>0</v>
      </c>
      <c r="AB127" s="1">
        <f t="shared" si="48"/>
        <v>0</v>
      </c>
      <c r="AD127" s="1">
        <f t="shared" si="49"/>
        <v>1</v>
      </c>
      <c r="AE127" s="1">
        <f t="shared" si="50"/>
        <v>0</v>
      </c>
      <c r="AF127" s="1">
        <f t="shared" si="51"/>
        <v>1</v>
      </c>
      <c r="AG127" s="1">
        <f t="shared" si="52"/>
        <v>0</v>
      </c>
      <c r="AH127" s="1">
        <f t="shared" si="53"/>
        <v>1</v>
      </c>
      <c r="AI127" s="1">
        <f t="shared" si="54"/>
        <v>0</v>
      </c>
    </row>
    <row r="128" spans="1:35" ht="14.25" customHeight="1" x14ac:dyDescent="0.25">
      <c r="A128" s="15">
        <v>0</v>
      </c>
      <c r="B128" s="15">
        <v>1</v>
      </c>
      <c r="C128" s="15">
        <v>3</v>
      </c>
      <c r="D128" s="16" t="s">
        <v>145</v>
      </c>
      <c r="E128" s="16" t="s">
        <v>171</v>
      </c>
      <c r="F128" s="16" t="s">
        <v>346</v>
      </c>
      <c r="G128" s="16" t="s">
        <v>39</v>
      </c>
      <c r="H128" s="16" t="s">
        <v>365</v>
      </c>
      <c r="I128" s="15" t="s">
        <v>490</v>
      </c>
      <c r="J128" s="15">
        <v>18</v>
      </c>
      <c r="K128" s="10" t="s">
        <v>937</v>
      </c>
      <c r="L128" s="10" t="s">
        <v>688</v>
      </c>
      <c r="M128" s="19" t="s">
        <v>951</v>
      </c>
      <c r="N128" s="17"/>
      <c r="Q128" s="16"/>
      <c r="S128" s="1">
        <f t="shared" si="39"/>
        <v>0</v>
      </c>
      <c r="T128" s="1">
        <f t="shared" si="40"/>
        <v>0</v>
      </c>
      <c r="U128" s="1">
        <f t="shared" si="41"/>
        <v>0</v>
      </c>
      <c r="V128" s="1">
        <f t="shared" si="42"/>
        <v>0</v>
      </c>
      <c r="W128" s="1">
        <f t="shared" si="43"/>
        <v>0</v>
      </c>
      <c r="X128" s="1">
        <f t="shared" si="44"/>
        <v>0</v>
      </c>
      <c r="Y128" s="1">
        <f t="shared" si="45"/>
        <v>0</v>
      </c>
      <c r="Z128" s="1">
        <f t="shared" si="46"/>
        <v>0</v>
      </c>
      <c r="AA128" s="1">
        <f t="shared" si="47"/>
        <v>0</v>
      </c>
      <c r="AB128" s="1">
        <f t="shared" si="48"/>
        <v>0</v>
      </c>
      <c r="AD128" s="1">
        <f t="shared" si="49"/>
        <v>0</v>
      </c>
      <c r="AE128" s="1">
        <f t="shared" si="50"/>
        <v>0</v>
      </c>
      <c r="AF128" s="1">
        <f t="shared" si="51"/>
        <v>0</v>
      </c>
      <c r="AG128" s="1">
        <f t="shared" si="52"/>
        <v>0</v>
      </c>
      <c r="AH128" s="1">
        <f t="shared" si="53"/>
        <v>0</v>
      </c>
      <c r="AI128" s="1">
        <f t="shared" si="54"/>
        <v>1</v>
      </c>
    </row>
    <row r="129" spans="1:35" ht="14.25" customHeight="1" x14ac:dyDescent="0.25">
      <c r="A129" s="15">
        <v>0</v>
      </c>
      <c r="B129" s="15">
        <v>1</v>
      </c>
      <c r="C129" s="15">
        <v>3</v>
      </c>
      <c r="D129" s="20" t="s">
        <v>1934</v>
      </c>
      <c r="E129" s="20" t="s">
        <v>171</v>
      </c>
      <c r="F129" s="20" t="s">
        <v>1931</v>
      </c>
      <c r="G129" s="20"/>
      <c r="H129" s="20" t="s">
        <v>1932</v>
      </c>
      <c r="I129" s="21" t="s">
        <v>1930</v>
      </c>
      <c r="J129" s="15">
        <v>17</v>
      </c>
      <c r="K129" s="10" t="s">
        <v>694</v>
      </c>
      <c r="L129" s="10" t="s">
        <v>1703</v>
      </c>
      <c r="M129" s="19" t="s">
        <v>952</v>
      </c>
      <c r="N129" s="17"/>
      <c r="Q129" s="20" t="s">
        <v>1933</v>
      </c>
      <c r="S129" s="1">
        <f t="shared" si="39"/>
        <v>0</v>
      </c>
      <c r="T129" s="1">
        <f t="shared" si="40"/>
        <v>0</v>
      </c>
      <c r="U129" s="1">
        <f t="shared" si="41"/>
        <v>0</v>
      </c>
      <c r="V129" s="1">
        <f t="shared" si="42"/>
        <v>0</v>
      </c>
      <c r="W129" s="1">
        <f t="shared" si="43"/>
        <v>0</v>
      </c>
      <c r="X129" s="1">
        <f t="shared" si="44"/>
        <v>0</v>
      </c>
      <c r="Y129" s="1">
        <f t="shared" si="45"/>
        <v>0</v>
      </c>
      <c r="Z129" s="1">
        <f t="shared" si="46"/>
        <v>0</v>
      </c>
      <c r="AA129" s="1">
        <f t="shared" si="47"/>
        <v>0</v>
      </c>
      <c r="AB129" s="1">
        <f t="shared" si="48"/>
        <v>0</v>
      </c>
      <c r="AD129" s="1">
        <f t="shared" si="49"/>
        <v>0</v>
      </c>
      <c r="AE129" s="1">
        <f t="shared" si="50"/>
        <v>0</v>
      </c>
      <c r="AF129" s="1">
        <f t="shared" si="51"/>
        <v>0</v>
      </c>
      <c r="AG129" s="1">
        <f t="shared" si="52"/>
        <v>0</v>
      </c>
      <c r="AH129" s="1">
        <f t="shared" si="53"/>
        <v>0</v>
      </c>
      <c r="AI129" s="1">
        <f t="shared" si="54"/>
        <v>1</v>
      </c>
    </row>
    <row r="130" spans="1:35" ht="14.25" customHeight="1" x14ac:dyDescent="0.25">
      <c r="A130" s="44">
        <v>0</v>
      </c>
      <c r="B130" s="44">
        <v>1</v>
      </c>
      <c r="C130" s="44">
        <v>3</v>
      </c>
      <c r="D130" s="45" t="s">
        <v>981</v>
      </c>
      <c r="E130" s="45" t="s">
        <v>171</v>
      </c>
      <c r="F130" s="57" t="s">
        <v>1826</v>
      </c>
      <c r="G130" s="45" t="s">
        <v>39</v>
      </c>
      <c r="H130" s="45" t="s">
        <v>982</v>
      </c>
      <c r="I130" s="44" t="s">
        <v>1097</v>
      </c>
      <c r="J130" s="44">
        <v>16</v>
      </c>
      <c r="K130" s="46" t="s">
        <v>713</v>
      </c>
      <c r="L130" s="46" t="s">
        <v>1703</v>
      </c>
      <c r="M130" s="47" t="s">
        <v>1365</v>
      </c>
      <c r="N130" s="47" t="s">
        <v>1761</v>
      </c>
      <c r="O130" s="48"/>
      <c r="P130" s="48"/>
      <c r="Q130" s="57" t="s">
        <v>1848</v>
      </c>
      <c r="S130" s="1">
        <f t="shared" si="39"/>
        <v>0</v>
      </c>
      <c r="T130" s="1">
        <f t="shared" si="40"/>
        <v>0</v>
      </c>
      <c r="U130" s="1">
        <f t="shared" si="41"/>
        <v>0</v>
      </c>
      <c r="V130" s="1">
        <f t="shared" si="42"/>
        <v>0</v>
      </c>
      <c r="W130" s="1">
        <f t="shared" si="43"/>
        <v>0</v>
      </c>
      <c r="X130" s="1">
        <f t="shared" si="44"/>
        <v>0</v>
      </c>
      <c r="Y130" s="1">
        <f t="shared" si="45"/>
        <v>0</v>
      </c>
      <c r="Z130" s="1">
        <f t="shared" si="46"/>
        <v>0</v>
      </c>
      <c r="AA130" s="1">
        <f t="shared" si="47"/>
        <v>0</v>
      </c>
      <c r="AB130" s="1">
        <f t="shared" si="48"/>
        <v>0</v>
      </c>
      <c r="AD130" s="1">
        <f t="shared" si="49"/>
        <v>0</v>
      </c>
      <c r="AE130" s="1">
        <f t="shared" si="50"/>
        <v>0</v>
      </c>
      <c r="AF130" s="1">
        <f t="shared" si="51"/>
        <v>0</v>
      </c>
      <c r="AG130" s="1">
        <f t="shared" si="52"/>
        <v>0</v>
      </c>
      <c r="AH130" s="1">
        <f t="shared" si="53"/>
        <v>0</v>
      </c>
      <c r="AI130" s="1">
        <f t="shared" si="54"/>
        <v>1</v>
      </c>
    </row>
    <row r="131" spans="1:35" ht="14.25" customHeight="1" x14ac:dyDescent="0.25">
      <c r="A131" s="31">
        <v>0</v>
      </c>
      <c r="B131" s="31">
        <v>1</v>
      </c>
      <c r="C131" s="31">
        <v>3</v>
      </c>
      <c r="D131" s="32" t="s">
        <v>1108</v>
      </c>
      <c r="E131" s="32" t="s">
        <v>171</v>
      </c>
      <c r="F131" s="32" t="s">
        <v>1318</v>
      </c>
      <c r="G131" s="32" t="s">
        <v>39</v>
      </c>
      <c r="H131" s="32" t="s">
        <v>1110</v>
      </c>
      <c r="I131" s="31" t="s">
        <v>1109</v>
      </c>
      <c r="J131" s="31">
        <v>14</v>
      </c>
      <c r="K131" s="33" t="s">
        <v>939</v>
      </c>
      <c r="L131" s="33" t="s">
        <v>1665</v>
      </c>
      <c r="M131" s="34" t="s">
        <v>1366</v>
      </c>
      <c r="N131" s="34" t="s">
        <v>1693</v>
      </c>
      <c r="O131" s="35">
        <v>1</v>
      </c>
      <c r="P131" s="35">
        <v>1</v>
      </c>
      <c r="Q131" s="32" t="s">
        <v>2079</v>
      </c>
      <c r="S131" s="1">
        <f t="shared" si="39"/>
        <v>0</v>
      </c>
      <c r="T131" s="1">
        <f t="shared" si="40"/>
        <v>0</v>
      </c>
      <c r="U131" s="1">
        <f t="shared" si="41"/>
        <v>0</v>
      </c>
      <c r="V131" s="1">
        <f t="shared" si="42"/>
        <v>0</v>
      </c>
      <c r="W131" s="1">
        <f t="shared" si="43"/>
        <v>0</v>
      </c>
      <c r="X131" s="1">
        <f t="shared" si="44"/>
        <v>0</v>
      </c>
      <c r="Y131" s="1">
        <f t="shared" si="45"/>
        <v>0</v>
      </c>
      <c r="Z131" s="1">
        <f t="shared" si="46"/>
        <v>0</v>
      </c>
      <c r="AA131" s="1">
        <f t="shared" si="47"/>
        <v>0</v>
      </c>
      <c r="AB131" s="1">
        <f t="shared" si="48"/>
        <v>0</v>
      </c>
      <c r="AD131" s="1">
        <f t="shared" si="49"/>
        <v>1</v>
      </c>
      <c r="AE131" s="1">
        <f t="shared" si="50"/>
        <v>0</v>
      </c>
      <c r="AF131" s="1">
        <f t="shared" si="51"/>
        <v>1</v>
      </c>
      <c r="AG131" s="1">
        <f t="shared" si="52"/>
        <v>0</v>
      </c>
      <c r="AH131" s="1">
        <f t="shared" si="53"/>
        <v>1</v>
      </c>
      <c r="AI131" s="1">
        <f t="shared" si="54"/>
        <v>0</v>
      </c>
    </row>
    <row r="132" spans="1:35" ht="14.25" customHeight="1" x14ac:dyDescent="0.25">
      <c r="A132" s="31">
        <v>0</v>
      </c>
      <c r="B132" s="31">
        <v>1</v>
      </c>
      <c r="C132" s="31">
        <v>3</v>
      </c>
      <c r="D132" s="32" t="s">
        <v>1059</v>
      </c>
      <c r="E132" s="32" t="s">
        <v>171</v>
      </c>
      <c r="F132" s="32" t="s">
        <v>1021</v>
      </c>
      <c r="G132" s="32" t="s">
        <v>1085</v>
      </c>
      <c r="H132" s="32" t="s">
        <v>352</v>
      </c>
      <c r="I132" s="31" t="s">
        <v>1022</v>
      </c>
      <c r="J132" s="31">
        <v>1</v>
      </c>
      <c r="K132" s="33" t="s">
        <v>939</v>
      </c>
      <c r="L132" s="33" t="s">
        <v>678</v>
      </c>
      <c r="M132" s="34" t="s">
        <v>952</v>
      </c>
      <c r="N132" s="34" t="s">
        <v>1715</v>
      </c>
      <c r="O132" s="35">
        <v>1</v>
      </c>
      <c r="P132" s="35"/>
      <c r="Q132" s="32"/>
      <c r="S132" s="1">
        <f t="shared" si="39"/>
        <v>1</v>
      </c>
      <c r="T132" s="1">
        <f t="shared" si="40"/>
        <v>0</v>
      </c>
      <c r="U132" s="1">
        <f t="shared" si="41"/>
        <v>0</v>
      </c>
      <c r="V132" s="1">
        <f t="shared" si="42"/>
        <v>0</v>
      </c>
      <c r="W132" s="1">
        <f t="shared" si="43"/>
        <v>0</v>
      </c>
      <c r="X132" s="1">
        <f t="shared" si="44"/>
        <v>0</v>
      </c>
      <c r="Y132" s="1">
        <f t="shared" si="45"/>
        <v>0</v>
      </c>
      <c r="Z132" s="1">
        <f t="shared" si="46"/>
        <v>0</v>
      </c>
      <c r="AA132" s="1">
        <f t="shared" si="47"/>
        <v>0</v>
      </c>
      <c r="AB132" s="1">
        <f t="shared" si="48"/>
        <v>0</v>
      </c>
      <c r="AD132" s="1">
        <f t="shared" si="49"/>
        <v>0</v>
      </c>
      <c r="AE132" s="1">
        <f t="shared" si="50"/>
        <v>1</v>
      </c>
      <c r="AF132" s="1">
        <f t="shared" si="51"/>
        <v>0</v>
      </c>
      <c r="AG132" s="1">
        <f t="shared" si="52"/>
        <v>1</v>
      </c>
      <c r="AH132" s="1">
        <f t="shared" si="53"/>
        <v>0</v>
      </c>
      <c r="AI132" s="1">
        <f t="shared" si="54"/>
        <v>1</v>
      </c>
    </row>
    <row r="133" spans="1:35" ht="14.25" customHeight="1" x14ac:dyDescent="0.25">
      <c r="A133" s="31">
        <v>0</v>
      </c>
      <c r="B133" s="31">
        <v>1</v>
      </c>
      <c r="C133" s="31">
        <v>3</v>
      </c>
      <c r="D133" s="36" t="s">
        <v>2049</v>
      </c>
      <c r="E133" s="36" t="s">
        <v>171</v>
      </c>
      <c r="F133" s="36" t="s">
        <v>2050</v>
      </c>
      <c r="G133" s="32"/>
      <c r="H133" s="36" t="s">
        <v>2051</v>
      </c>
      <c r="I133" s="37" t="s">
        <v>2052</v>
      </c>
      <c r="J133" s="31">
        <v>14</v>
      </c>
      <c r="K133" s="33" t="s">
        <v>694</v>
      </c>
      <c r="L133" s="33"/>
      <c r="M133" s="34"/>
      <c r="N133" s="34" t="s">
        <v>1699</v>
      </c>
      <c r="O133" s="35">
        <v>1</v>
      </c>
      <c r="P133" s="35">
        <v>1</v>
      </c>
      <c r="Q133" s="36" t="s">
        <v>2053</v>
      </c>
      <c r="S133" s="1">
        <f t="shared" si="39"/>
        <v>0</v>
      </c>
      <c r="T133" s="1">
        <f t="shared" si="40"/>
        <v>0</v>
      </c>
      <c r="U133" s="1">
        <f t="shared" si="41"/>
        <v>0</v>
      </c>
      <c r="V133" s="1">
        <f t="shared" si="42"/>
        <v>0</v>
      </c>
      <c r="W133" s="1">
        <f t="shared" si="43"/>
        <v>0</v>
      </c>
      <c r="X133" s="1">
        <f t="shared" si="44"/>
        <v>0</v>
      </c>
      <c r="Y133" s="1">
        <f t="shared" si="45"/>
        <v>0</v>
      </c>
      <c r="Z133" s="1">
        <f t="shared" si="46"/>
        <v>0</v>
      </c>
      <c r="AA133" s="1">
        <f t="shared" si="47"/>
        <v>0</v>
      </c>
      <c r="AB133" s="1">
        <f t="shared" si="48"/>
        <v>0</v>
      </c>
      <c r="AD133" s="1">
        <f t="shared" si="49"/>
        <v>1</v>
      </c>
      <c r="AE133" s="1">
        <f t="shared" si="50"/>
        <v>0</v>
      </c>
      <c r="AF133" s="1">
        <f t="shared" si="51"/>
        <v>1</v>
      </c>
      <c r="AG133" s="1">
        <f t="shared" si="52"/>
        <v>0</v>
      </c>
      <c r="AH133" s="1">
        <f t="shared" si="53"/>
        <v>1</v>
      </c>
      <c r="AI133" s="1">
        <f t="shared" si="54"/>
        <v>0</v>
      </c>
    </row>
    <row r="134" spans="1:35" ht="14.25" customHeight="1" x14ac:dyDescent="0.25">
      <c r="A134" s="31">
        <v>0</v>
      </c>
      <c r="B134" s="31">
        <v>1</v>
      </c>
      <c r="C134" s="31">
        <v>3</v>
      </c>
      <c r="D134" s="32" t="s">
        <v>1596</v>
      </c>
      <c r="E134" s="32" t="s">
        <v>1068</v>
      </c>
      <c r="F134" s="32" t="s">
        <v>1597</v>
      </c>
      <c r="G134" s="32" t="s">
        <v>39</v>
      </c>
      <c r="H134" s="32" t="s">
        <v>1598</v>
      </c>
      <c r="I134" s="31" t="s">
        <v>1599</v>
      </c>
      <c r="J134" s="31">
        <v>15</v>
      </c>
      <c r="K134" s="33" t="s">
        <v>939</v>
      </c>
      <c r="L134" s="33" t="s">
        <v>39</v>
      </c>
      <c r="M134" s="34" t="s">
        <v>39</v>
      </c>
      <c r="N134" s="34" t="s">
        <v>1708</v>
      </c>
      <c r="O134" s="35">
        <v>1</v>
      </c>
      <c r="P134" s="35"/>
      <c r="Q134" s="36" t="s">
        <v>1853</v>
      </c>
      <c r="S134" s="1">
        <f t="shared" si="39"/>
        <v>0</v>
      </c>
      <c r="T134" s="1">
        <f t="shared" si="40"/>
        <v>0</v>
      </c>
      <c r="U134" s="1">
        <f t="shared" si="41"/>
        <v>0</v>
      </c>
      <c r="V134" s="1">
        <f t="shared" si="42"/>
        <v>0</v>
      </c>
      <c r="W134" s="1">
        <f t="shared" si="43"/>
        <v>0</v>
      </c>
      <c r="X134" s="1">
        <f t="shared" si="44"/>
        <v>0</v>
      </c>
      <c r="Y134" s="1">
        <f t="shared" si="45"/>
        <v>0</v>
      </c>
      <c r="Z134" s="1">
        <f t="shared" si="46"/>
        <v>0</v>
      </c>
      <c r="AA134" s="1">
        <f t="shared" si="47"/>
        <v>0</v>
      </c>
      <c r="AB134" s="1">
        <f t="shared" si="48"/>
        <v>0</v>
      </c>
      <c r="AD134" s="1">
        <f t="shared" si="49"/>
        <v>0</v>
      </c>
      <c r="AE134" s="1">
        <f t="shared" si="50"/>
        <v>1</v>
      </c>
      <c r="AF134" s="1">
        <f t="shared" si="51"/>
        <v>0</v>
      </c>
      <c r="AG134" s="1">
        <f t="shared" si="52"/>
        <v>1</v>
      </c>
      <c r="AH134" s="1">
        <f t="shared" si="53"/>
        <v>0</v>
      </c>
      <c r="AI134" s="1">
        <f t="shared" si="54"/>
        <v>1</v>
      </c>
    </row>
    <row r="135" spans="1:35" ht="14.25" customHeight="1" x14ac:dyDescent="0.25">
      <c r="A135" s="15">
        <v>0</v>
      </c>
      <c r="B135" s="15">
        <v>1</v>
      </c>
      <c r="C135" s="15">
        <v>3</v>
      </c>
      <c r="D135" s="16" t="s">
        <v>605</v>
      </c>
      <c r="E135" s="16" t="s">
        <v>169</v>
      </c>
      <c r="F135" s="16" t="s">
        <v>606</v>
      </c>
      <c r="G135" s="16" t="s">
        <v>39</v>
      </c>
      <c r="H135" s="16" t="s">
        <v>364</v>
      </c>
      <c r="I135" s="15" t="s">
        <v>607</v>
      </c>
      <c r="J135" s="15">
        <v>18</v>
      </c>
      <c r="K135" s="10" t="s">
        <v>713</v>
      </c>
      <c r="L135" s="10" t="s">
        <v>1703</v>
      </c>
      <c r="M135" s="19" t="s">
        <v>39</v>
      </c>
      <c r="N135" s="17"/>
      <c r="Q135" s="16"/>
      <c r="S135" s="1">
        <f t="shared" si="39"/>
        <v>0</v>
      </c>
      <c r="T135" s="1">
        <f t="shared" si="40"/>
        <v>0</v>
      </c>
      <c r="U135" s="1">
        <f t="shared" si="41"/>
        <v>0</v>
      </c>
      <c r="V135" s="1">
        <f t="shared" si="42"/>
        <v>0</v>
      </c>
      <c r="W135" s="1">
        <f t="shared" si="43"/>
        <v>0</v>
      </c>
      <c r="X135" s="1">
        <f t="shared" si="44"/>
        <v>0</v>
      </c>
      <c r="Y135" s="1">
        <f t="shared" si="45"/>
        <v>0</v>
      </c>
      <c r="Z135" s="1">
        <f t="shared" si="46"/>
        <v>0</v>
      </c>
      <c r="AA135" s="1">
        <f t="shared" si="47"/>
        <v>0</v>
      </c>
      <c r="AB135" s="1">
        <f t="shared" si="48"/>
        <v>0</v>
      </c>
      <c r="AD135" s="1">
        <f t="shared" si="49"/>
        <v>0</v>
      </c>
      <c r="AE135" s="1">
        <f t="shared" si="50"/>
        <v>0</v>
      </c>
      <c r="AF135" s="1">
        <f t="shared" si="51"/>
        <v>0</v>
      </c>
      <c r="AG135" s="1">
        <f t="shared" si="52"/>
        <v>0</v>
      </c>
      <c r="AH135" s="1">
        <f t="shared" si="53"/>
        <v>0</v>
      </c>
      <c r="AI135" s="1">
        <f t="shared" si="54"/>
        <v>1</v>
      </c>
    </row>
    <row r="136" spans="1:35" ht="14.25" customHeight="1" x14ac:dyDescent="0.25">
      <c r="A136" s="31">
        <v>0</v>
      </c>
      <c r="B136" s="31">
        <v>1</v>
      </c>
      <c r="C136" s="31">
        <v>3</v>
      </c>
      <c r="D136" s="36" t="s">
        <v>2105</v>
      </c>
      <c r="E136" s="36" t="s">
        <v>171</v>
      </c>
      <c r="F136" s="36" t="s">
        <v>2106</v>
      </c>
      <c r="G136" s="32"/>
      <c r="H136" s="36" t="s">
        <v>360</v>
      </c>
      <c r="I136" s="37" t="s">
        <v>2107</v>
      </c>
      <c r="J136" s="31">
        <v>12</v>
      </c>
      <c r="K136" s="33" t="s">
        <v>694</v>
      </c>
      <c r="L136" s="33">
        <v>40</v>
      </c>
      <c r="M136" s="34" t="s">
        <v>952</v>
      </c>
      <c r="N136" s="34" t="s">
        <v>1704</v>
      </c>
      <c r="O136" s="35">
        <v>1</v>
      </c>
      <c r="P136" s="35"/>
      <c r="Q136" s="32" t="s">
        <v>2108</v>
      </c>
      <c r="S136" s="1">
        <f t="shared" si="39"/>
        <v>0</v>
      </c>
      <c r="T136" s="1">
        <f t="shared" si="40"/>
        <v>0</v>
      </c>
      <c r="U136" s="1">
        <f t="shared" si="41"/>
        <v>0</v>
      </c>
      <c r="V136" s="1">
        <f t="shared" si="42"/>
        <v>0</v>
      </c>
      <c r="W136" s="1">
        <f t="shared" si="43"/>
        <v>0</v>
      </c>
      <c r="X136" s="1">
        <f t="shared" si="44"/>
        <v>0</v>
      </c>
      <c r="Y136" s="1">
        <f t="shared" si="45"/>
        <v>0</v>
      </c>
      <c r="Z136" s="1">
        <f t="shared" si="46"/>
        <v>0</v>
      </c>
      <c r="AA136" s="1">
        <f t="shared" si="47"/>
        <v>0</v>
      </c>
      <c r="AB136" s="1">
        <f t="shared" si="48"/>
        <v>0</v>
      </c>
      <c r="AD136" s="1">
        <f t="shared" si="49"/>
        <v>0</v>
      </c>
      <c r="AE136" s="1">
        <f t="shared" si="50"/>
        <v>1</v>
      </c>
      <c r="AF136" s="1">
        <f t="shared" si="51"/>
        <v>0</v>
      </c>
      <c r="AG136" s="1">
        <f t="shared" si="52"/>
        <v>1</v>
      </c>
      <c r="AH136" s="1">
        <f t="shared" si="53"/>
        <v>0</v>
      </c>
      <c r="AI136" s="1">
        <f t="shared" si="54"/>
        <v>1</v>
      </c>
    </row>
    <row r="137" spans="1:35" ht="14.25" customHeight="1" x14ac:dyDescent="0.25">
      <c r="A137" s="15">
        <v>0</v>
      </c>
      <c r="B137" s="15">
        <v>1</v>
      </c>
      <c r="C137" s="15">
        <v>3</v>
      </c>
      <c r="D137" s="20" t="s">
        <v>2056</v>
      </c>
      <c r="E137" s="20" t="s">
        <v>859</v>
      </c>
      <c r="F137" s="20" t="s">
        <v>2057</v>
      </c>
      <c r="G137" s="16"/>
      <c r="H137" s="20" t="s">
        <v>2058</v>
      </c>
      <c r="I137" s="21" t="s">
        <v>2059</v>
      </c>
      <c r="J137" s="15">
        <v>16</v>
      </c>
      <c r="K137" s="10" t="s">
        <v>694</v>
      </c>
      <c r="L137" s="10" t="s">
        <v>679</v>
      </c>
      <c r="M137" s="19" t="s">
        <v>952</v>
      </c>
      <c r="N137" s="17"/>
      <c r="Q137" s="16" t="s">
        <v>2060</v>
      </c>
      <c r="S137" s="1">
        <f t="shared" si="39"/>
        <v>0</v>
      </c>
      <c r="T137" s="1">
        <f t="shared" si="40"/>
        <v>0</v>
      </c>
      <c r="U137" s="1">
        <f t="shared" si="41"/>
        <v>0</v>
      </c>
      <c r="V137" s="1">
        <f t="shared" si="42"/>
        <v>0</v>
      </c>
      <c r="W137" s="1">
        <f t="shared" si="43"/>
        <v>0</v>
      </c>
      <c r="X137" s="1">
        <f t="shared" si="44"/>
        <v>0</v>
      </c>
      <c r="Y137" s="1">
        <f t="shared" si="45"/>
        <v>0</v>
      </c>
      <c r="Z137" s="1">
        <f t="shared" si="46"/>
        <v>0</v>
      </c>
      <c r="AA137" s="1">
        <f t="shared" si="47"/>
        <v>0</v>
      </c>
      <c r="AB137" s="1">
        <f t="shared" si="48"/>
        <v>0</v>
      </c>
      <c r="AD137" s="1">
        <f t="shared" si="49"/>
        <v>0</v>
      </c>
      <c r="AE137" s="1">
        <f t="shared" si="50"/>
        <v>0</v>
      </c>
      <c r="AF137" s="1">
        <f t="shared" si="51"/>
        <v>0</v>
      </c>
      <c r="AG137" s="1">
        <f t="shared" si="52"/>
        <v>0</v>
      </c>
      <c r="AH137" s="1">
        <f t="shared" si="53"/>
        <v>0</v>
      </c>
      <c r="AI137" s="1">
        <f t="shared" si="54"/>
        <v>1</v>
      </c>
    </row>
    <row r="138" spans="1:35" ht="14.25" customHeight="1" x14ac:dyDescent="0.25">
      <c r="A138" s="15">
        <v>0</v>
      </c>
      <c r="B138" s="15">
        <v>1</v>
      </c>
      <c r="C138" s="15">
        <v>3</v>
      </c>
      <c r="D138" s="20" t="s">
        <v>1907</v>
      </c>
      <c r="E138" s="20" t="s">
        <v>171</v>
      </c>
      <c r="F138" s="20" t="s">
        <v>1927</v>
      </c>
      <c r="G138" s="20"/>
      <c r="H138" s="20" t="s">
        <v>1926</v>
      </c>
      <c r="I138" s="21" t="s">
        <v>1928</v>
      </c>
      <c r="J138" s="15">
        <v>15</v>
      </c>
      <c r="K138" s="10" t="s">
        <v>694</v>
      </c>
      <c r="L138" s="10" t="s">
        <v>1703</v>
      </c>
      <c r="M138" s="19" t="s">
        <v>952</v>
      </c>
      <c r="N138" s="17"/>
      <c r="Q138" s="20" t="s">
        <v>1929</v>
      </c>
      <c r="S138" s="1">
        <f t="shared" si="39"/>
        <v>0</v>
      </c>
      <c r="T138" s="1">
        <f t="shared" si="40"/>
        <v>0</v>
      </c>
      <c r="U138" s="1">
        <f t="shared" si="41"/>
        <v>0</v>
      </c>
      <c r="V138" s="1">
        <f t="shared" si="42"/>
        <v>0</v>
      </c>
      <c r="W138" s="1">
        <f t="shared" si="43"/>
        <v>0</v>
      </c>
      <c r="X138" s="1">
        <f t="shared" si="44"/>
        <v>0</v>
      </c>
      <c r="Y138" s="1">
        <f t="shared" si="45"/>
        <v>0</v>
      </c>
      <c r="Z138" s="1">
        <f t="shared" si="46"/>
        <v>0</v>
      </c>
      <c r="AA138" s="1">
        <f t="shared" si="47"/>
        <v>0</v>
      </c>
      <c r="AB138" s="1">
        <f t="shared" si="48"/>
        <v>0</v>
      </c>
      <c r="AD138" s="1">
        <f t="shared" si="49"/>
        <v>0</v>
      </c>
      <c r="AE138" s="1">
        <f t="shared" si="50"/>
        <v>0</v>
      </c>
      <c r="AF138" s="1">
        <f t="shared" si="51"/>
        <v>0</v>
      </c>
      <c r="AG138" s="1">
        <f t="shared" si="52"/>
        <v>0</v>
      </c>
      <c r="AH138" s="1">
        <f t="shared" si="53"/>
        <v>0</v>
      </c>
      <c r="AI138" s="1">
        <f t="shared" si="54"/>
        <v>1</v>
      </c>
    </row>
    <row r="139" spans="1:35" ht="14.25" customHeight="1" x14ac:dyDescent="0.25">
      <c r="A139" s="31">
        <v>0</v>
      </c>
      <c r="B139" s="31">
        <v>1</v>
      </c>
      <c r="C139" s="31">
        <v>3</v>
      </c>
      <c r="D139" s="32" t="s">
        <v>903</v>
      </c>
      <c r="E139" s="32" t="s">
        <v>171</v>
      </c>
      <c r="F139" s="32" t="s">
        <v>1135</v>
      </c>
      <c r="G139" s="32" t="s">
        <v>39</v>
      </c>
      <c r="H139" s="32" t="s">
        <v>361</v>
      </c>
      <c r="I139" s="31" t="s">
        <v>874</v>
      </c>
      <c r="J139" s="31">
        <v>14</v>
      </c>
      <c r="K139" s="33" t="s">
        <v>938</v>
      </c>
      <c r="L139" s="33" t="s">
        <v>39</v>
      </c>
      <c r="M139" s="34" t="s">
        <v>39</v>
      </c>
      <c r="N139" s="34" t="s">
        <v>1699</v>
      </c>
      <c r="O139" s="35">
        <v>1</v>
      </c>
      <c r="P139" s="35">
        <v>1</v>
      </c>
      <c r="Q139" s="36"/>
      <c r="S139" s="1">
        <f t="shared" si="39"/>
        <v>0</v>
      </c>
      <c r="T139" s="1">
        <f t="shared" si="40"/>
        <v>0</v>
      </c>
      <c r="U139" s="1">
        <f t="shared" si="41"/>
        <v>0</v>
      </c>
      <c r="V139" s="1">
        <f t="shared" si="42"/>
        <v>0</v>
      </c>
      <c r="W139" s="1">
        <f t="shared" si="43"/>
        <v>0</v>
      </c>
      <c r="X139" s="1">
        <f t="shared" si="44"/>
        <v>0</v>
      </c>
      <c r="Y139" s="1">
        <f t="shared" si="45"/>
        <v>0</v>
      </c>
      <c r="Z139" s="1">
        <f t="shared" si="46"/>
        <v>0</v>
      </c>
      <c r="AA139" s="1">
        <f t="shared" si="47"/>
        <v>0</v>
      </c>
      <c r="AB139" s="1">
        <f t="shared" si="48"/>
        <v>0</v>
      </c>
      <c r="AD139" s="1">
        <f t="shared" si="49"/>
        <v>1</v>
      </c>
      <c r="AE139" s="1">
        <f t="shared" si="50"/>
        <v>0</v>
      </c>
      <c r="AF139" s="1">
        <f t="shared" si="51"/>
        <v>1</v>
      </c>
      <c r="AG139" s="1">
        <f t="shared" si="52"/>
        <v>0</v>
      </c>
      <c r="AH139" s="1">
        <f t="shared" si="53"/>
        <v>1</v>
      </c>
      <c r="AI139" s="1">
        <f t="shared" si="54"/>
        <v>0</v>
      </c>
    </row>
    <row r="140" spans="1:35" ht="14.25" customHeight="1" x14ac:dyDescent="0.25">
      <c r="A140" s="31">
        <v>0</v>
      </c>
      <c r="B140" s="31">
        <v>1</v>
      </c>
      <c r="C140" s="31">
        <v>3</v>
      </c>
      <c r="D140" s="32" t="s">
        <v>104</v>
      </c>
      <c r="E140" s="32" t="s">
        <v>171</v>
      </c>
      <c r="F140" s="32" t="s">
        <v>914</v>
      </c>
      <c r="G140" s="32" t="s">
        <v>39</v>
      </c>
      <c r="H140" s="32" t="s">
        <v>356</v>
      </c>
      <c r="I140" s="31" t="s">
        <v>449</v>
      </c>
      <c r="J140" s="31">
        <v>18</v>
      </c>
      <c r="K140" s="33" t="s">
        <v>937</v>
      </c>
      <c r="L140" s="33" t="s">
        <v>688</v>
      </c>
      <c r="M140" s="34" t="s">
        <v>682</v>
      </c>
      <c r="N140" s="34" t="s">
        <v>1704</v>
      </c>
      <c r="O140" s="35">
        <v>1</v>
      </c>
      <c r="P140" s="35"/>
      <c r="Q140" s="36" t="s">
        <v>1846</v>
      </c>
      <c r="S140" s="1">
        <f t="shared" si="39"/>
        <v>0</v>
      </c>
      <c r="T140" s="1">
        <f t="shared" si="40"/>
        <v>0</v>
      </c>
      <c r="U140" s="1">
        <f t="shared" si="41"/>
        <v>0</v>
      </c>
      <c r="V140" s="1">
        <f t="shared" si="42"/>
        <v>0</v>
      </c>
      <c r="W140" s="1">
        <f t="shared" si="43"/>
        <v>0</v>
      </c>
      <c r="X140" s="1">
        <f t="shared" si="44"/>
        <v>0</v>
      </c>
      <c r="Y140" s="1">
        <f t="shared" si="45"/>
        <v>0</v>
      </c>
      <c r="Z140" s="1">
        <f t="shared" si="46"/>
        <v>0</v>
      </c>
      <c r="AA140" s="1">
        <f t="shared" si="47"/>
        <v>0</v>
      </c>
      <c r="AB140" s="1">
        <f t="shared" si="48"/>
        <v>0</v>
      </c>
      <c r="AD140" s="1">
        <f t="shared" si="49"/>
        <v>0</v>
      </c>
      <c r="AE140" s="1">
        <f t="shared" si="50"/>
        <v>1</v>
      </c>
      <c r="AF140" s="1">
        <f t="shared" si="51"/>
        <v>0</v>
      </c>
      <c r="AG140" s="1">
        <f t="shared" si="52"/>
        <v>1</v>
      </c>
      <c r="AH140" s="1">
        <f t="shared" si="53"/>
        <v>0</v>
      </c>
      <c r="AI140" s="1">
        <f t="shared" si="54"/>
        <v>1</v>
      </c>
    </row>
    <row r="141" spans="1:35" ht="14.25" customHeight="1" x14ac:dyDescent="0.25">
      <c r="A141" s="31">
        <v>0</v>
      </c>
      <c r="B141" s="31">
        <v>1</v>
      </c>
      <c r="C141" s="31">
        <v>3</v>
      </c>
      <c r="D141" s="32" t="s">
        <v>1477</v>
      </c>
      <c r="E141" s="32" t="s">
        <v>1619</v>
      </c>
      <c r="F141" s="36" t="s">
        <v>2127</v>
      </c>
      <c r="G141" s="32" t="s">
        <v>39</v>
      </c>
      <c r="H141" s="32" t="s">
        <v>1479</v>
      </c>
      <c r="I141" s="31" t="s">
        <v>1478</v>
      </c>
      <c r="J141" s="31">
        <v>14</v>
      </c>
      <c r="K141" s="33" t="s">
        <v>943</v>
      </c>
      <c r="L141" s="33" t="s">
        <v>678</v>
      </c>
      <c r="M141" s="34" t="s">
        <v>1367</v>
      </c>
      <c r="N141" s="34" t="s">
        <v>1693</v>
      </c>
      <c r="O141" s="35">
        <v>1</v>
      </c>
      <c r="P141" s="35">
        <v>1</v>
      </c>
      <c r="Q141" s="36"/>
      <c r="S141" s="1">
        <f t="shared" si="39"/>
        <v>0</v>
      </c>
      <c r="T141" s="1">
        <f t="shared" si="40"/>
        <v>0</v>
      </c>
      <c r="U141" s="1">
        <f t="shared" si="41"/>
        <v>0</v>
      </c>
      <c r="V141" s="1">
        <f t="shared" si="42"/>
        <v>0</v>
      </c>
      <c r="W141" s="1">
        <f t="shared" si="43"/>
        <v>0</v>
      </c>
      <c r="X141" s="1">
        <f t="shared" si="44"/>
        <v>0</v>
      </c>
      <c r="Y141" s="1">
        <f t="shared" si="45"/>
        <v>0</v>
      </c>
      <c r="Z141" s="1">
        <f t="shared" si="46"/>
        <v>0</v>
      </c>
      <c r="AA141" s="1">
        <f t="shared" si="47"/>
        <v>0</v>
      </c>
      <c r="AB141" s="1">
        <f t="shared" si="48"/>
        <v>0</v>
      </c>
      <c r="AD141" s="1">
        <f t="shared" si="49"/>
        <v>1</v>
      </c>
      <c r="AE141" s="1">
        <f t="shared" si="50"/>
        <v>0</v>
      </c>
      <c r="AF141" s="1">
        <f t="shared" si="51"/>
        <v>1</v>
      </c>
      <c r="AG141" s="1">
        <f t="shared" si="52"/>
        <v>0</v>
      </c>
      <c r="AH141" s="1">
        <f t="shared" si="53"/>
        <v>1</v>
      </c>
      <c r="AI141" s="1">
        <f t="shared" si="54"/>
        <v>0</v>
      </c>
    </row>
    <row r="142" spans="1:35" ht="14.25" customHeight="1" x14ac:dyDescent="0.25">
      <c r="A142" s="31">
        <v>0</v>
      </c>
      <c r="B142" s="31">
        <v>1</v>
      </c>
      <c r="C142" s="31">
        <v>3</v>
      </c>
      <c r="D142" s="32" t="s">
        <v>1231</v>
      </c>
      <c r="E142" s="32" t="s">
        <v>171</v>
      </c>
      <c r="F142" s="32" t="s">
        <v>1232</v>
      </c>
      <c r="G142" s="32" t="s">
        <v>1234</v>
      </c>
      <c r="H142" s="32" t="s">
        <v>352</v>
      </c>
      <c r="I142" s="31" t="s">
        <v>1233</v>
      </c>
      <c r="J142" s="31">
        <v>99</v>
      </c>
      <c r="K142" s="33" t="s">
        <v>939</v>
      </c>
      <c r="L142" s="33" t="s">
        <v>684</v>
      </c>
      <c r="M142" s="34" t="s">
        <v>952</v>
      </c>
      <c r="N142" s="34" t="s">
        <v>1784</v>
      </c>
      <c r="O142" s="35">
        <v>1</v>
      </c>
      <c r="P142" s="35"/>
      <c r="Q142" s="36"/>
      <c r="S142" s="1">
        <f t="shared" si="39"/>
        <v>0</v>
      </c>
      <c r="T142" s="1">
        <f t="shared" si="40"/>
        <v>0</v>
      </c>
      <c r="U142" s="1">
        <f t="shared" si="41"/>
        <v>0</v>
      </c>
      <c r="V142" s="1">
        <f t="shared" si="42"/>
        <v>0</v>
      </c>
      <c r="W142" s="1">
        <f t="shared" si="43"/>
        <v>0</v>
      </c>
      <c r="X142" s="1">
        <f t="shared" si="44"/>
        <v>0</v>
      </c>
      <c r="Y142" s="1">
        <f t="shared" si="45"/>
        <v>0</v>
      </c>
      <c r="Z142" s="1">
        <f t="shared" si="46"/>
        <v>0</v>
      </c>
      <c r="AA142" s="1">
        <f t="shared" si="47"/>
        <v>0</v>
      </c>
      <c r="AB142" s="1">
        <f t="shared" si="48"/>
        <v>0</v>
      </c>
      <c r="AD142" s="1">
        <f t="shared" si="49"/>
        <v>0</v>
      </c>
      <c r="AE142" s="1">
        <f t="shared" si="50"/>
        <v>1</v>
      </c>
      <c r="AF142" s="1">
        <f t="shared" si="51"/>
        <v>0</v>
      </c>
      <c r="AG142" s="1">
        <f t="shared" si="52"/>
        <v>1</v>
      </c>
      <c r="AH142" s="1">
        <f t="shared" si="53"/>
        <v>0</v>
      </c>
      <c r="AI142" s="1">
        <f t="shared" si="54"/>
        <v>1</v>
      </c>
    </row>
    <row r="143" spans="1:35" ht="14.25" customHeight="1" x14ac:dyDescent="0.25">
      <c r="A143" s="31">
        <v>0</v>
      </c>
      <c r="B143" s="31">
        <v>1</v>
      </c>
      <c r="C143" s="31">
        <v>3</v>
      </c>
      <c r="D143" s="32" t="s">
        <v>1471</v>
      </c>
      <c r="E143" s="32" t="s">
        <v>171</v>
      </c>
      <c r="F143" s="32" t="s">
        <v>1472</v>
      </c>
      <c r="G143" s="32" t="s">
        <v>39</v>
      </c>
      <c r="H143" s="32" t="s">
        <v>363</v>
      </c>
      <c r="I143" s="31" t="s">
        <v>1473</v>
      </c>
      <c r="J143" s="31">
        <v>18</v>
      </c>
      <c r="K143" s="33" t="s">
        <v>937</v>
      </c>
      <c r="L143" s="33" t="s">
        <v>1703</v>
      </c>
      <c r="M143" s="34" t="s">
        <v>39</v>
      </c>
      <c r="N143" s="34" t="s">
        <v>1708</v>
      </c>
      <c r="O143" s="35">
        <v>1</v>
      </c>
      <c r="P143" s="35"/>
      <c r="Q143" s="32"/>
      <c r="S143" s="1">
        <f t="shared" si="39"/>
        <v>0</v>
      </c>
      <c r="T143" s="1">
        <f t="shared" si="40"/>
        <v>0</v>
      </c>
      <c r="U143" s="1">
        <f t="shared" si="41"/>
        <v>0</v>
      </c>
      <c r="V143" s="1">
        <f t="shared" si="42"/>
        <v>0</v>
      </c>
      <c r="W143" s="1">
        <f t="shared" si="43"/>
        <v>0</v>
      </c>
      <c r="X143" s="1">
        <f t="shared" si="44"/>
        <v>0</v>
      </c>
      <c r="Y143" s="1">
        <f t="shared" si="45"/>
        <v>0</v>
      </c>
      <c r="Z143" s="1">
        <f t="shared" si="46"/>
        <v>0</v>
      </c>
      <c r="AA143" s="1">
        <f t="shared" si="47"/>
        <v>0</v>
      </c>
      <c r="AB143" s="1">
        <f t="shared" si="48"/>
        <v>0</v>
      </c>
      <c r="AD143" s="1">
        <f t="shared" si="49"/>
        <v>0</v>
      </c>
      <c r="AE143" s="1">
        <f t="shared" si="50"/>
        <v>1</v>
      </c>
      <c r="AF143" s="1">
        <f t="shared" si="51"/>
        <v>0</v>
      </c>
      <c r="AG143" s="1">
        <f t="shared" si="52"/>
        <v>1</v>
      </c>
      <c r="AH143" s="1">
        <f t="shared" si="53"/>
        <v>0</v>
      </c>
      <c r="AI143" s="1">
        <f t="shared" si="54"/>
        <v>1</v>
      </c>
    </row>
    <row r="144" spans="1:35" ht="14.25" customHeight="1" x14ac:dyDescent="0.25">
      <c r="A144" s="15">
        <v>0</v>
      </c>
      <c r="B144" s="15">
        <v>1</v>
      </c>
      <c r="C144" s="15">
        <v>3</v>
      </c>
      <c r="D144" s="16" t="s">
        <v>1590</v>
      </c>
      <c r="E144" s="16" t="s">
        <v>171</v>
      </c>
      <c r="F144" s="16" t="s">
        <v>1593</v>
      </c>
      <c r="G144" s="16" t="s">
        <v>39</v>
      </c>
      <c r="H144" s="16" t="s">
        <v>1591</v>
      </c>
      <c r="I144" s="15" t="s">
        <v>1592</v>
      </c>
      <c r="J144" s="15">
        <v>15</v>
      </c>
      <c r="K144" s="10" t="s">
        <v>713</v>
      </c>
      <c r="L144" s="10" t="s">
        <v>39</v>
      </c>
      <c r="M144" s="19" t="s">
        <v>39</v>
      </c>
      <c r="N144" s="17"/>
      <c r="Q144" s="16"/>
      <c r="S144" s="1">
        <f t="shared" si="39"/>
        <v>0</v>
      </c>
      <c r="T144" s="1">
        <f t="shared" si="40"/>
        <v>0</v>
      </c>
      <c r="U144" s="1">
        <f t="shared" si="41"/>
        <v>0</v>
      </c>
      <c r="V144" s="1">
        <f t="shared" si="42"/>
        <v>0</v>
      </c>
      <c r="W144" s="1">
        <f t="shared" si="43"/>
        <v>0</v>
      </c>
      <c r="X144" s="1">
        <f t="shared" si="44"/>
        <v>0</v>
      </c>
      <c r="Y144" s="1">
        <f t="shared" si="45"/>
        <v>0</v>
      </c>
      <c r="Z144" s="1">
        <f t="shared" si="46"/>
        <v>0</v>
      </c>
      <c r="AA144" s="1">
        <f t="shared" si="47"/>
        <v>0</v>
      </c>
      <c r="AB144" s="1">
        <f t="shared" si="48"/>
        <v>0</v>
      </c>
      <c r="AD144" s="1">
        <f t="shared" si="49"/>
        <v>0</v>
      </c>
      <c r="AE144" s="1">
        <f t="shared" si="50"/>
        <v>0</v>
      </c>
      <c r="AF144" s="1">
        <f t="shared" si="51"/>
        <v>0</v>
      </c>
      <c r="AG144" s="1">
        <f t="shared" si="52"/>
        <v>0</v>
      </c>
      <c r="AH144" s="1">
        <f t="shared" si="53"/>
        <v>0</v>
      </c>
      <c r="AI144" s="1">
        <f t="shared" si="54"/>
        <v>1</v>
      </c>
    </row>
    <row r="145" spans="1:35" ht="14.25" customHeight="1" x14ac:dyDescent="0.25">
      <c r="A145" s="31">
        <v>0</v>
      </c>
      <c r="B145" s="31">
        <v>1</v>
      </c>
      <c r="C145" s="31">
        <v>3</v>
      </c>
      <c r="D145" s="32" t="s">
        <v>1219</v>
      </c>
      <c r="E145" s="32" t="s">
        <v>1221</v>
      </c>
      <c r="F145" s="32" t="s">
        <v>1222</v>
      </c>
      <c r="G145" s="32" t="s">
        <v>39</v>
      </c>
      <c r="H145" s="32" t="s">
        <v>367</v>
      </c>
      <c r="I145" s="31" t="s">
        <v>1220</v>
      </c>
      <c r="J145" s="31">
        <v>14</v>
      </c>
      <c r="K145" s="33" t="s">
        <v>939</v>
      </c>
      <c r="L145" s="33" t="s">
        <v>678</v>
      </c>
      <c r="M145" s="34" t="s">
        <v>1367</v>
      </c>
      <c r="N145" s="34" t="s">
        <v>1699</v>
      </c>
      <c r="O145" s="35">
        <v>1</v>
      </c>
      <c r="P145" s="35">
        <v>1</v>
      </c>
      <c r="Q145" s="32"/>
      <c r="S145" s="1">
        <f t="shared" si="39"/>
        <v>0</v>
      </c>
      <c r="T145" s="1">
        <f t="shared" si="40"/>
        <v>0</v>
      </c>
      <c r="U145" s="1">
        <f t="shared" si="41"/>
        <v>0</v>
      </c>
      <c r="V145" s="1">
        <f t="shared" si="42"/>
        <v>0</v>
      </c>
      <c r="W145" s="1">
        <f t="shared" si="43"/>
        <v>0</v>
      </c>
      <c r="X145" s="1">
        <f t="shared" si="44"/>
        <v>0</v>
      </c>
      <c r="Y145" s="1">
        <f t="shared" si="45"/>
        <v>0</v>
      </c>
      <c r="Z145" s="1">
        <f t="shared" si="46"/>
        <v>0</v>
      </c>
      <c r="AA145" s="1">
        <f t="shared" si="47"/>
        <v>0</v>
      </c>
      <c r="AB145" s="1">
        <f t="shared" si="48"/>
        <v>0</v>
      </c>
      <c r="AD145" s="1">
        <f t="shared" si="49"/>
        <v>1</v>
      </c>
      <c r="AE145" s="1">
        <f t="shared" si="50"/>
        <v>0</v>
      </c>
      <c r="AF145" s="1">
        <f t="shared" si="51"/>
        <v>1</v>
      </c>
      <c r="AG145" s="1">
        <f t="shared" si="52"/>
        <v>0</v>
      </c>
      <c r="AH145" s="1">
        <f t="shared" si="53"/>
        <v>1</v>
      </c>
      <c r="AI145" s="1">
        <f t="shared" si="54"/>
        <v>0</v>
      </c>
    </row>
    <row r="146" spans="1:35" ht="14.25" customHeight="1" x14ac:dyDescent="0.25">
      <c r="A146" s="31">
        <v>0</v>
      </c>
      <c r="B146" s="31">
        <v>1</v>
      </c>
      <c r="C146" s="31">
        <v>3</v>
      </c>
      <c r="D146" s="32" t="s">
        <v>129</v>
      </c>
      <c r="E146" s="32" t="s">
        <v>175</v>
      </c>
      <c r="F146" s="32" t="s">
        <v>329</v>
      </c>
      <c r="G146" s="32" t="s">
        <v>181</v>
      </c>
      <c r="H146" s="32" t="s">
        <v>352</v>
      </c>
      <c r="I146" s="31" t="s">
        <v>476</v>
      </c>
      <c r="J146" s="31">
        <v>99</v>
      </c>
      <c r="K146" s="33" t="s">
        <v>938</v>
      </c>
      <c r="L146" s="33" t="s">
        <v>39</v>
      </c>
      <c r="M146" s="34" t="s">
        <v>39</v>
      </c>
      <c r="N146" s="34" t="s">
        <v>1699</v>
      </c>
      <c r="O146" s="35">
        <v>1</v>
      </c>
      <c r="P146" s="35">
        <v>1</v>
      </c>
      <c r="Q146" s="32"/>
      <c r="S146" s="1">
        <f t="shared" ref="S146:S210" si="55">IF(J146=$S$7,1,0)</f>
        <v>0</v>
      </c>
      <c r="T146" s="1">
        <f t="shared" ref="T146:T210" si="56">IF(J146=$T$7,1,0)</f>
        <v>0</v>
      </c>
      <c r="U146" s="1">
        <f t="shared" ref="U146:U210" si="57">IF(J146=$U$7,1,0)</f>
        <v>0</v>
      </c>
      <c r="V146" s="1">
        <f t="shared" ref="V146:V210" si="58">IF(J146=$V$7,1,0)</f>
        <v>0</v>
      </c>
      <c r="W146" s="1">
        <f t="shared" ref="W146:W210" si="59">IF(J146=$W$7,1,0)</f>
        <v>0</v>
      </c>
      <c r="X146" s="1">
        <f t="shared" ref="X146:X210" si="60">IF(J146=$X$7,1,0)</f>
        <v>0</v>
      </c>
      <c r="Y146" s="1">
        <f t="shared" ref="Y146:Y210" si="61">IF(J146=$Y$7,1,0)</f>
        <v>0</v>
      </c>
      <c r="Z146" s="1">
        <f t="shared" ref="Z146:Z210" si="62">IF(J146=$Z$7,1,0)</f>
        <v>0</v>
      </c>
      <c r="AA146" s="1">
        <f t="shared" ref="AA146:AA210" si="63">IF(J146=$AA$7,1,0)</f>
        <v>0</v>
      </c>
      <c r="AB146" s="1">
        <f t="shared" ref="AB146:AB210" si="64">IF(J146=$AB$7,1,0)</f>
        <v>0</v>
      </c>
      <c r="AD146" s="1">
        <f t="shared" ref="AD146:AD210" si="65">+O146*P146</f>
        <v>1</v>
      </c>
      <c r="AE146" s="1">
        <f t="shared" ref="AE146:AE210" si="66">O146*(1-P146)</f>
        <v>0</v>
      </c>
      <c r="AF146" s="1">
        <f t="shared" si="51"/>
        <v>1</v>
      </c>
      <c r="AG146" s="1">
        <f t="shared" si="52"/>
        <v>0</v>
      </c>
      <c r="AH146" s="1">
        <f t="shared" si="53"/>
        <v>1</v>
      </c>
      <c r="AI146" s="1">
        <f t="shared" si="54"/>
        <v>0</v>
      </c>
    </row>
    <row r="147" spans="1:35" ht="14.25" customHeight="1" x14ac:dyDescent="0.25">
      <c r="A147" s="31">
        <v>0</v>
      </c>
      <c r="B147" s="31">
        <v>1</v>
      </c>
      <c r="C147" s="31">
        <v>3</v>
      </c>
      <c r="D147" s="32" t="s">
        <v>904</v>
      </c>
      <c r="E147" s="32" t="s">
        <v>171</v>
      </c>
      <c r="F147" s="32" t="s">
        <v>916</v>
      </c>
      <c r="G147" s="32" t="s">
        <v>234</v>
      </c>
      <c r="H147" s="32" t="s">
        <v>352</v>
      </c>
      <c r="I147" s="31" t="s">
        <v>929</v>
      </c>
      <c r="J147" s="31">
        <v>99</v>
      </c>
      <c r="K147" s="33" t="s">
        <v>713</v>
      </c>
      <c r="L147" s="33">
        <v>45</v>
      </c>
      <c r="M147" s="34" t="s">
        <v>39</v>
      </c>
      <c r="N147" s="34" t="s">
        <v>1760</v>
      </c>
      <c r="O147" s="35">
        <v>1</v>
      </c>
      <c r="P147" s="35"/>
      <c r="Q147" s="32"/>
      <c r="S147" s="1">
        <f t="shared" si="55"/>
        <v>0</v>
      </c>
      <c r="T147" s="1">
        <f t="shared" si="56"/>
        <v>0</v>
      </c>
      <c r="U147" s="1">
        <f t="shared" si="57"/>
        <v>0</v>
      </c>
      <c r="V147" s="1">
        <f t="shared" si="58"/>
        <v>0</v>
      </c>
      <c r="W147" s="1">
        <f t="shared" si="59"/>
        <v>0</v>
      </c>
      <c r="X147" s="1">
        <f t="shared" si="60"/>
        <v>0</v>
      </c>
      <c r="Y147" s="1">
        <f t="shared" si="61"/>
        <v>0</v>
      </c>
      <c r="Z147" s="1">
        <f t="shared" si="62"/>
        <v>0</v>
      </c>
      <c r="AA147" s="1">
        <f t="shared" si="63"/>
        <v>0</v>
      </c>
      <c r="AB147" s="1">
        <f t="shared" si="64"/>
        <v>0</v>
      </c>
      <c r="AD147" s="1">
        <f t="shared" si="65"/>
        <v>0</v>
      </c>
      <c r="AE147" s="1">
        <f t="shared" si="66"/>
        <v>1</v>
      </c>
      <c r="AF147" s="1">
        <f t="shared" ref="AF147:AF211" si="67">+O147*P147*(1-A147)</f>
        <v>0</v>
      </c>
      <c r="AG147" s="1">
        <f t="shared" ref="AG147:AG211" si="68">O147*(1-P147)*(1-A147)</f>
        <v>1</v>
      </c>
      <c r="AH147" s="1">
        <f t="shared" ref="AH147:AH211" si="69">+P147*(1-A147)</f>
        <v>0</v>
      </c>
      <c r="AI147" s="1">
        <f t="shared" ref="AI147:AI211" si="70">+(1-A147)*(1-P147)</f>
        <v>1</v>
      </c>
    </row>
    <row r="148" spans="1:35" ht="14.25" customHeight="1" x14ac:dyDescent="0.25">
      <c r="A148" s="44">
        <v>0</v>
      </c>
      <c r="B148" s="44">
        <v>1</v>
      </c>
      <c r="C148" s="44">
        <v>3</v>
      </c>
      <c r="D148" s="45" t="s">
        <v>78</v>
      </c>
      <c r="E148" s="45" t="s">
        <v>602</v>
      </c>
      <c r="F148" s="45" t="s">
        <v>306</v>
      </c>
      <c r="G148" s="45" t="s">
        <v>39</v>
      </c>
      <c r="H148" s="45" t="s">
        <v>360</v>
      </c>
      <c r="I148" s="44" t="s">
        <v>454</v>
      </c>
      <c r="J148" s="44">
        <v>12</v>
      </c>
      <c r="K148" s="46" t="s">
        <v>694</v>
      </c>
      <c r="L148" s="46">
        <v>40</v>
      </c>
      <c r="M148" s="47" t="s">
        <v>952</v>
      </c>
      <c r="N148" s="47" t="s">
        <v>1761</v>
      </c>
      <c r="O148" s="48"/>
      <c r="P148" s="48"/>
      <c r="Q148" s="45"/>
      <c r="S148" s="1">
        <f t="shared" si="55"/>
        <v>0</v>
      </c>
      <c r="T148" s="1">
        <f t="shared" si="56"/>
        <v>0</v>
      </c>
      <c r="U148" s="1">
        <f t="shared" si="57"/>
        <v>0</v>
      </c>
      <c r="V148" s="1">
        <f t="shared" si="58"/>
        <v>0</v>
      </c>
      <c r="W148" s="1">
        <f t="shared" si="59"/>
        <v>0</v>
      </c>
      <c r="X148" s="1">
        <f t="shared" si="60"/>
        <v>0</v>
      </c>
      <c r="Y148" s="1">
        <f t="shared" si="61"/>
        <v>0</v>
      </c>
      <c r="Z148" s="1">
        <f t="shared" si="62"/>
        <v>0</v>
      </c>
      <c r="AA148" s="1">
        <f t="shared" si="63"/>
        <v>0</v>
      </c>
      <c r="AB148" s="1">
        <f t="shared" si="64"/>
        <v>0</v>
      </c>
      <c r="AD148" s="1">
        <f t="shared" si="65"/>
        <v>0</v>
      </c>
      <c r="AE148" s="1">
        <f t="shared" si="66"/>
        <v>0</v>
      </c>
      <c r="AF148" s="1">
        <f t="shared" si="67"/>
        <v>0</v>
      </c>
      <c r="AG148" s="1">
        <f t="shared" si="68"/>
        <v>0</v>
      </c>
      <c r="AH148" s="1">
        <f t="shared" si="69"/>
        <v>0</v>
      </c>
      <c r="AI148" s="1">
        <f t="shared" si="70"/>
        <v>1</v>
      </c>
    </row>
    <row r="149" spans="1:35" ht="14.25" customHeight="1" x14ac:dyDescent="0.25">
      <c r="A149" s="15">
        <v>0</v>
      </c>
      <c r="B149" s="15">
        <v>1</v>
      </c>
      <c r="C149" s="15">
        <v>3</v>
      </c>
      <c r="D149" s="16" t="s">
        <v>1549</v>
      </c>
      <c r="E149" s="16" t="s">
        <v>169</v>
      </c>
      <c r="F149" s="16" t="s">
        <v>1551</v>
      </c>
      <c r="G149" s="16"/>
      <c r="H149" s="16" t="s">
        <v>363</v>
      </c>
      <c r="I149" s="15" t="s">
        <v>1550</v>
      </c>
      <c r="J149" s="15">
        <v>18</v>
      </c>
      <c r="K149" s="10" t="s">
        <v>694</v>
      </c>
      <c r="L149" s="10" t="s">
        <v>679</v>
      </c>
      <c r="M149" s="19" t="s">
        <v>952</v>
      </c>
      <c r="N149" s="17"/>
      <c r="Q149" s="16"/>
      <c r="S149" s="1">
        <f t="shared" si="55"/>
        <v>0</v>
      </c>
      <c r="T149" s="1">
        <f t="shared" si="56"/>
        <v>0</v>
      </c>
      <c r="U149" s="1">
        <f t="shared" si="57"/>
        <v>0</v>
      </c>
      <c r="V149" s="1">
        <f t="shared" si="58"/>
        <v>0</v>
      </c>
      <c r="W149" s="1">
        <f t="shared" si="59"/>
        <v>0</v>
      </c>
      <c r="X149" s="1">
        <f t="shared" si="60"/>
        <v>0</v>
      </c>
      <c r="Y149" s="1">
        <f t="shared" si="61"/>
        <v>0</v>
      </c>
      <c r="Z149" s="1">
        <f t="shared" si="62"/>
        <v>0</v>
      </c>
      <c r="AA149" s="1">
        <f t="shared" si="63"/>
        <v>0</v>
      </c>
      <c r="AB149" s="1">
        <f t="shared" si="64"/>
        <v>0</v>
      </c>
      <c r="AD149" s="1">
        <f t="shared" si="65"/>
        <v>0</v>
      </c>
      <c r="AE149" s="1">
        <f t="shared" si="66"/>
        <v>0</v>
      </c>
      <c r="AF149" s="1">
        <f t="shared" si="67"/>
        <v>0</v>
      </c>
      <c r="AG149" s="1">
        <f t="shared" si="68"/>
        <v>0</v>
      </c>
      <c r="AH149" s="1">
        <f t="shared" si="69"/>
        <v>0</v>
      </c>
      <c r="AI149" s="1">
        <f t="shared" si="70"/>
        <v>1</v>
      </c>
    </row>
    <row r="150" spans="1:35" ht="14.25" customHeight="1" x14ac:dyDescent="0.25">
      <c r="A150" s="31">
        <v>0</v>
      </c>
      <c r="B150" s="31">
        <v>1</v>
      </c>
      <c r="C150" s="31">
        <v>3</v>
      </c>
      <c r="D150" s="32" t="s">
        <v>1261</v>
      </c>
      <c r="E150" s="32" t="s">
        <v>171</v>
      </c>
      <c r="F150" s="32" t="s">
        <v>1262</v>
      </c>
      <c r="G150" s="32" t="s">
        <v>237</v>
      </c>
      <c r="H150" s="32" t="s">
        <v>352</v>
      </c>
      <c r="I150" s="31" t="s">
        <v>1263</v>
      </c>
      <c r="J150" s="31">
        <v>4</v>
      </c>
      <c r="K150" s="33" t="s">
        <v>938</v>
      </c>
      <c r="L150" s="33" t="s">
        <v>39</v>
      </c>
      <c r="M150" s="34" t="s">
        <v>39</v>
      </c>
      <c r="N150" s="34" t="s">
        <v>1693</v>
      </c>
      <c r="O150" s="35">
        <v>1</v>
      </c>
      <c r="P150" s="35">
        <v>1</v>
      </c>
      <c r="Q150" s="32"/>
      <c r="S150" s="1">
        <f t="shared" si="55"/>
        <v>0</v>
      </c>
      <c r="T150" s="1">
        <f t="shared" si="56"/>
        <v>0</v>
      </c>
      <c r="U150" s="1">
        <f t="shared" si="57"/>
        <v>0</v>
      </c>
      <c r="V150" s="1">
        <f t="shared" si="58"/>
        <v>1</v>
      </c>
      <c r="W150" s="1">
        <f t="shared" si="59"/>
        <v>0</v>
      </c>
      <c r="X150" s="1">
        <f t="shared" si="60"/>
        <v>0</v>
      </c>
      <c r="Y150" s="1">
        <f t="shared" si="61"/>
        <v>0</v>
      </c>
      <c r="Z150" s="1">
        <f t="shared" si="62"/>
        <v>0</v>
      </c>
      <c r="AA150" s="1">
        <f t="shared" si="63"/>
        <v>0</v>
      </c>
      <c r="AB150" s="1">
        <f t="shared" si="64"/>
        <v>0</v>
      </c>
      <c r="AD150" s="1">
        <f t="shared" si="65"/>
        <v>1</v>
      </c>
      <c r="AE150" s="1">
        <f t="shared" si="66"/>
        <v>0</v>
      </c>
      <c r="AF150" s="1">
        <f t="shared" si="67"/>
        <v>1</v>
      </c>
      <c r="AG150" s="1">
        <f t="shared" si="68"/>
        <v>0</v>
      </c>
      <c r="AH150" s="1">
        <f t="shared" si="69"/>
        <v>1</v>
      </c>
      <c r="AI150" s="1">
        <f t="shared" si="70"/>
        <v>0</v>
      </c>
    </row>
    <row r="151" spans="1:35" ht="14.25" customHeight="1" x14ac:dyDescent="0.25">
      <c r="A151" s="31">
        <v>0</v>
      </c>
      <c r="B151" s="31">
        <v>1</v>
      </c>
      <c r="C151" s="31">
        <v>3</v>
      </c>
      <c r="D151" s="32" t="s">
        <v>640</v>
      </c>
      <c r="E151" s="32" t="s">
        <v>171</v>
      </c>
      <c r="F151" s="32" t="s">
        <v>649</v>
      </c>
      <c r="G151" s="32" t="s">
        <v>231</v>
      </c>
      <c r="H151" s="32" t="s">
        <v>352</v>
      </c>
      <c r="I151" s="31" t="s">
        <v>604</v>
      </c>
      <c r="J151" s="31">
        <v>99</v>
      </c>
      <c r="K151" s="33" t="s">
        <v>693</v>
      </c>
      <c r="L151" s="33" t="s">
        <v>39</v>
      </c>
      <c r="M151" s="34" t="s">
        <v>39</v>
      </c>
      <c r="N151" s="34" t="s">
        <v>1699</v>
      </c>
      <c r="O151" s="35">
        <v>1</v>
      </c>
      <c r="P151" s="35">
        <v>1</v>
      </c>
      <c r="Q151" s="32"/>
      <c r="S151" s="1">
        <f t="shared" si="55"/>
        <v>0</v>
      </c>
      <c r="T151" s="1">
        <f t="shared" si="56"/>
        <v>0</v>
      </c>
      <c r="U151" s="1">
        <f t="shared" si="57"/>
        <v>0</v>
      </c>
      <c r="V151" s="1">
        <f t="shared" si="58"/>
        <v>0</v>
      </c>
      <c r="W151" s="1">
        <f t="shared" si="59"/>
        <v>0</v>
      </c>
      <c r="X151" s="1">
        <f t="shared" si="60"/>
        <v>0</v>
      </c>
      <c r="Y151" s="1">
        <f t="shared" si="61"/>
        <v>0</v>
      </c>
      <c r="Z151" s="1">
        <f t="shared" si="62"/>
        <v>0</v>
      </c>
      <c r="AA151" s="1">
        <f t="shared" si="63"/>
        <v>0</v>
      </c>
      <c r="AB151" s="1">
        <f t="shared" si="64"/>
        <v>0</v>
      </c>
      <c r="AD151" s="1">
        <f t="shared" si="65"/>
        <v>1</v>
      </c>
      <c r="AE151" s="1">
        <f t="shared" si="66"/>
        <v>0</v>
      </c>
      <c r="AF151" s="1">
        <f t="shared" si="67"/>
        <v>1</v>
      </c>
      <c r="AG151" s="1">
        <f t="shared" si="68"/>
        <v>0</v>
      </c>
      <c r="AH151" s="1">
        <f t="shared" si="69"/>
        <v>1</v>
      </c>
      <c r="AI151" s="1">
        <f t="shared" si="70"/>
        <v>0</v>
      </c>
    </row>
    <row r="152" spans="1:35" ht="14.25" customHeight="1" x14ac:dyDescent="0.25">
      <c r="A152" s="38">
        <v>0</v>
      </c>
      <c r="B152" s="38">
        <v>1</v>
      </c>
      <c r="C152" s="38">
        <v>3</v>
      </c>
      <c r="D152" s="39" t="s">
        <v>858</v>
      </c>
      <c r="E152" s="39" t="s">
        <v>859</v>
      </c>
      <c r="F152" s="39" t="s">
        <v>860</v>
      </c>
      <c r="G152" s="39" t="s">
        <v>39</v>
      </c>
      <c r="H152" s="39" t="s">
        <v>364</v>
      </c>
      <c r="I152" s="38" t="s">
        <v>861</v>
      </c>
      <c r="J152" s="38">
        <v>18</v>
      </c>
      <c r="K152" s="40" t="s">
        <v>937</v>
      </c>
      <c r="L152" s="40" t="s">
        <v>39</v>
      </c>
      <c r="M152" s="41" t="s">
        <v>39</v>
      </c>
      <c r="N152" s="42"/>
      <c r="O152" s="43"/>
      <c r="P152" s="43">
        <v>1</v>
      </c>
      <c r="Q152" s="39"/>
      <c r="S152" s="1">
        <f t="shared" si="55"/>
        <v>0</v>
      </c>
      <c r="T152" s="1">
        <f t="shared" si="56"/>
        <v>0</v>
      </c>
      <c r="U152" s="1">
        <f t="shared" si="57"/>
        <v>0</v>
      </c>
      <c r="V152" s="1">
        <f t="shared" si="58"/>
        <v>0</v>
      </c>
      <c r="W152" s="1">
        <f t="shared" si="59"/>
        <v>0</v>
      </c>
      <c r="X152" s="1">
        <f t="shared" si="60"/>
        <v>0</v>
      </c>
      <c r="Y152" s="1">
        <f t="shared" si="61"/>
        <v>0</v>
      </c>
      <c r="Z152" s="1">
        <f t="shared" si="62"/>
        <v>0</v>
      </c>
      <c r="AA152" s="1">
        <f t="shared" si="63"/>
        <v>0</v>
      </c>
      <c r="AB152" s="1">
        <f t="shared" si="64"/>
        <v>0</v>
      </c>
      <c r="AD152" s="1">
        <f t="shared" si="65"/>
        <v>0</v>
      </c>
      <c r="AE152" s="1">
        <f t="shared" si="66"/>
        <v>0</v>
      </c>
      <c r="AF152" s="1">
        <f t="shared" si="67"/>
        <v>0</v>
      </c>
      <c r="AG152" s="1">
        <f t="shared" si="68"/>
        <v>0</v>
      </c>
      <c r="AH152" s="1">
        <f t="shared" si="69"/>
        <v>1</v>
      </c>
      <c r="AI152" s="1">
        <f t="shared" si="70"/>
        <v>0</v>
      </c>
    </row>
    <row r="153" spans="1:35" ht="14.25" customHeight="1" x14ac:dyDescent="0.25">
      <c r="A153" s="31">
        <v>0</v>
      </c>
      <c r="B153" s="31">
        <v>1</v>
      </c>
      <c r="C153" s="31">
        <v>3</v>
      </c>
      <c r="D153" s="32" t="s">
        <v>1281</v>
      </c>
      <c r="E153" s="32" t="s">
        <v>171</v>
      </c>
      <c r="F153" s="32" t="s">
        <v>1282</v>
      </c>
      <c r="G153" s="32" t="s">
        <v>207</v>
      </c>
      <c r="H153" s="32" t="s">
        <v>352</v>
      </c>
      <c r="I153" s="31" t="s">
        <v>1283</v>
      </c>
      <c r="J153" s="31">
        <v>3</v>
      </c>
      <c r="K153" s="33" t="s">
        <v>937</v>
      </c>
      <c r="L153" s="33" t="s">
        <v>39</v>
      </c>
      <c r="M153" s="34" t="s">
        <v>39</v>
      </c>
      <c r="N153" s="34" t="s">
        <v>1699</v>
      </c>
      <c r="O153" s="35">
        <v>1</v>
      </c>
      <c r="P153" s="35">
        <v>1</v>
      </c>
      <c r="Q153" s="32"/>
      <c r="S153" s="1">
        <f t="shared" si="55"/>
        <v>0</v>
      </c>
      <c r="T153" s="1">
        <f t="shared" si="56"/>
        <v>0</v>
      </c>
      <c r="U153" s="1">
        <f t="shared" si="57"/>
        <v>1</v>
      </c>
      <c r="V153" s="1">
        <f t="shared" si="58"/>
        <v>0</v>
      </c>
      <c r="W153" s="1">
        <f t="shared" si="59"/>
        <v>0</v>
      </c>
      <c r="X153" s="1">
        <f t="shared" si="60"/>
        <v>0</v>
      </c>
      <c r="Y153" s="1">
        <f t="shared" si="61"/>
        <v>0</v>
      </c>
      <c r="Z153" s="1">
        <f t="shared" si="62"/>
        <v>0</v>
      </c>
      <c r="AA153" s="1">
        <f t="shared" si="63"/>
        <v>0</v>
      </c>
      <c r="AB153" s="1">
        <f t="shared" si="64"/>
        <v>0</v>
      </c>
      <c r="AD153" s="1">
        <f t="shared" si="65"/>
        <v>1</v>
      </c>
      <c r="AE153" s="1">
        <f t="shared" si="66"/>
        <v>0</v>
      </c>
      <c r="AF153" s="1">
        <f t="shared" si="67"/>
        <v>1</v>
      </c>
      <c r="AG153" s="1">
        <f t="shared" si="68"/>
        <v>0</v>
      </c>
      <c r="AH153" s="1">
        <f t="shared" si="69"/>
        <v>1</v>
      </c>
      <c r="AI153" s="1">
        <f t="shared" si="70"/>
        <v>0</v>
      </c>
    </row>
    <row r="154" spans="1:35" ht="14.25" customHeight="1" x14ac:dyDescent="0.25">
      <c r="A154" s="31">
        <v>0</v>
      </c>
      <c r="B154" s="31">
        <v>1</v>
      </c>
      <c r="C154" s="31">
        <v>3</v>
      </c>
      <c r="D154" s="32" t="s">
        <v>852</v>
      </c>
      <c r="E154" s="32" t="s">
        <v>169</v>
      </c>
      <c r="F154" s="32" t="s">
        <v>853</v>
      </c>
      <c r="G154" s="32" t="s">
        <v>39</v>
      </c>
      <c r="H154" s="32" t="s">
        <v>854</v>
      </c>
      <c r="I154" s="31" t="s">
        <v>930</v>
      </c>
      <c r="J154" s="31">
        <v>11</v>
      </c>
      <c r="K154" s="33" t="s">
        <v>693</v>
      </c>
      <c r="L154" s="33" t="s">
        <v>680</v>
      </c>
      <c r="M154" s="34" t="s">
        <v>952</v>
      </c>
      <c r="N154" s="34" t="s">
        <v>1715</v>
      </c>
      <c r="O154" s="35">
        <v>1</v>
      </c>
      <c r="P154" s="35"/>
      <c r="Q154" s="32"/>
      <c r="S154" s="1">
        <f t="shared" si="55"/>
        <v>0</v>
      </c>
      <c r="T154" s="1">
        <f t="shared" si="56"/>
        <v>0</v>
      </c>
      <c r="U154" s="1">
        <f t="shared" si="57"/>
        <v>0</v>
      </c>
      <c r="V154" s="1">
        <f t="shared" si="58"/>
        <v>0</v>
      </c>
      <c r="W154" s="1">
        <f t="shared" si="59"/>
        <v>0</v>
      </c>
      <c r="X154" s="1">
        <f t="shared" si="60"/>
        <v>0</v>
      </c>
      <c r="Y154" s="1">
        <f t="shared" si="61"/>
        <v>0</v>
      </c>
      <c r="Z154" s="1">
        <f t="shared" si="62"/>
        <v>0</v>
      </c>
      <c r="AA154" s="1">
        <f t="shared" si="63"/>
        <v>0</v>
      </c>
      <c r="AB154" s="1">
        <f t="shared" si="64"/>
        <v>0</v>
      </c>
      <c r="AD154" s="1">
        <f t="shared" si="65"/>
        <v>0</v>
      </c>
      <c r="AE154" s="1">
        <f t="shared" si="66"/>
        <v>1</v>
      </c>
      <c r="AF154" s="1">
        <f t="shared" si="67"/>
        <v>0</v>
      </c>
      <c r="AG154" s="1">
        <f t="shared" si="68"/>
        <v>1</v>
      </c>
      <c r="AH154" s="1">
        <f t="shared" si="69"/>
        <v>0</v>
      </c>
      <c r="AI154" s="1">
        <f t="shared" si="70"/>
        <v>1</v>
      </c>
    </row>
    <row r="155" spans="1:35" ht="14.25" customHeight="1" x14ac:dyDescent="0.25">
      <c r="A155" s="15">
        <v>0</v>
      </c>
      <c r="B155" s="15">
        <v>1</v>
      </c>
      <c r="C155" s="15">
        <v>3</v>
      </c>
      <c r="D155" s="16" t="s">
        <v>502</v>
      </c>
      <c r="E155" s="16" t="s">
        <v>169</v>
      </c>
      <c r="F155" s="16" t="s">
        <v>503</v>
      </c>
      <c r="G155" s="16" t="s">
        <v>500</v>
      </c>
      <c r="H155" s="16" t="s">
        <v>352</v>
      </c>
      <c r="I155" s="15" t="s">
        <v>504</v>
      </c>
      <c r="J155" s="15">
        <v>99</v>
      </c>
      <c r="K155" s="10" t="s">
        <v>694</v>
      </c>
      <c r="L155" s="10">
        <v>40</v>
      </c>
      <c r="M155" s="19" t="s">
        <v>952</v>
      </c>
      <c r="N155" s="19"/>
      <c r="Q155" s="16"/>
      <c r="S155" s="1">
        <f t="shared" si="55"/>
        <v>0</v>
      </c>
      <c r="T155" s="1">
        <f t="shared" si="56"/>
        <v>0</v>
      </c>
      <c r="U155" s="1">
        <f t="shared" si="57"/>
        <v>0</v>
      </c>
      <c r="V155" s="1">
        <f t="shared" si="58"/>
        <v>0</v>
      </c>
      <c r="W155" s="1">
        <f t="shared" si="59"/>
        <v>0</v>
      </c>
      <c r="X155" s="1">
        <f t="shared" si="60"/>
        <v>0</v>
      </c>
      <c r="Y155" s="1">
        <f t="shared" si="61"/>
        <v>0</v>
      </c>
      <c r="Z155" s="1">
        <f t="shared" si="62"/>
        <v>0</v>
      </c>
      <c r="AA155" s="1">
        <f t="shared" si="63"/>
        <v>0</v>
      </c>
      <c r="AB155" s="1">
        <f t="shared" si="64"/>
        <v>0</v>
      </c>
      <c r="AD155" s="1">
        <f t="shared" si="65"/>
        <v>0</v>
      </c>
      <c r="AE155" s="1">
        <f t="shared" si="66"/>
        <v>0</v>
      </c>
      <c r="AF155" s="1">
        <f t="shared" si="67"/>
        <v>0</v>
      </c>
      <c r="AG155" s="1">
        <f t="shared" si="68"/>
        <v>0</v>
      </c>
      <c r="AH155" s="1">
        <f t="shared" si="69"/>
        <v>0</v>
      </c>
      <c r="AI155" s="1">
        <f t="shared" si="70"/>
        <v>1</v>
      </c>
    </row>
    <row r="156" spans="1:35" ht="14.25" customHeight="1" x14ac:dyDescent="0.25">
      <c r="A156" s="31">
        <v>0</v>
      </c>
      <c r="B156" s="31">
        <v>1</v>
      </c>
      <c r="C156" s="31">
        <v>3</v>
      </c>
      <c r="D156" s="36" t="s">
        <v>1751</v>
      </c>
      <c r="E156" s="36" t="s">
        <v>1752</v>
      </c>
      <c r="F156" s="36" t="s">
        <v>1753</v>
      </c>
      <c r="G156" s="36" t="s">
        <v>1754</v>
      </c>
      <c r="H156" s="36" t="s">
        <v>352</v>
      </c>
      <c r="I156" s="37" t="s">
        <v>1755</v>
      </c>
      <c r="J156" s="31">
        <v>99</v>
      </c>
      <c r="K156" s="33" t="s">
        <v>694</v>
      </c>
      <c r="L156" s="33"/>
      <c r="M156" s="34"/>
      <c r="N156" s="34" t="s">
        <v>1699</v>
      </c>
      <c r="O156" s="35">
        <v>1</v>
      </c>
      <c r="P156" s="35">
        <v>1</v>
      </c>
      <c r="Q156" s="36"/>
      <c r="S156" s="1">
        <f t="shared" si="55"/>
        <v>0</v>
      </c>
      <c r="T156" s="1">
        <f t="shared" si="56"/>
        <v>0</v>
      </c>
      <c r="U156" s="1">
        <f t="shared" si="57"/>
        <v>0</v>
      </c>
      <c r="V156" s="1">
        <f t="shared" si="58"/>
        <v>0</v>
      </c>
      <c r="W156" s="1">
        <f t="shared" si="59"/>
        <v>0</v>
      </c>
      <c r="X156" s="1">
        <f t="shared" si="60"/>
        <v>0</v>
      </c>
      <c r="Y156" s="1">
        <f t="shared" si="61"/>
        <v>0</v>
      </c>
      <c r="Z156" s="1">
        <f t="shared" si="62"/>
        <v>0</v>
      </c>
      <c r="AA156" s="1">
        <f t="shared" si="63"/>
        <v>0</v>
      </c>
      <c r="AB156" s="1">
        <f t="shared" si="64"/>
        <v>0</v>
      </c>
      <c r="AD156" s="1">
        <f t="shared" si="65"/>
        <v>1</v>
      </c>
      <c r="AE156" s="1">
        <f t="shared" si="66"/>
        <v>0</v>
      </c>
      <c r="AF156" s="1">
        <f t="shared" si="67"/>
        <v>1</v>
      </c>
      <c r="AG156" s="1">
        <f t="shared" si="68"/>
        <v>0</v>
      </c>
      <c r="AH156" s="1">
        <f t="shared" si="69"/>
        <v>1</v>
      </c>
      <c r="AI156" s="1">
        <f t="shared" si="70"/>
        <v>0</v>
      </c>
    </row>
    <row r="157" spans="1:35" ht="14.25" customHeight="1" x14ac:dyDescent="0.25">
      <c r="A157" s="31">
        <v>0</v>
      </c>
      <c r="B157" s="31">
        <v>1</v>
      </c>
      <c r="C157" s="31">
        <v>3</v>
      </c>
      <c r="D157" s="32" t="s">
        <v>525</v>
      </c>
      <c r="E157" s="32" t="s">
        <v>169</v>
      </c>
      <c r="F157" s="32" t="s">
        <v>650</v>
      </c>
      <c r="G157" s="32" t="s">
        <v>39</v>
      </c>
      <c r="H157" s="32" t="s">
        <v>526</v>
      </c>
      <c r="I157" s="31" t="s">
        <v>527</v>
      </c>
      <c r="J157" s="31">
        <v>18</v>
      </c>
      <c r="K157" s="33" t="s">
        <v>937</v>
      </c>
      <c r="L157" s="33" t="s">
        <v>1703</v>
      </c>
      <c r="M157" s="34" t="s">
        <v>951</v>
      </c>
      <c r="N157" s="34" t="s">
        <v>1699</v>
      </c>
      <c r="O157" s="35">
        <v>1</v>
      </c>
      <c r="P157" s="35">
        <v>1</v>
      </c>
      <c r="Q157" s="32"/>
      <c r="S157" s="1">
        <f t="shared" si="55"/>
        <v>0</v>
      </c>
      <c r="T157" s="1">
        <f t="shared" si="56"/>
        <v>0</v>
      </c>
      <c r="U157" s="1">
        <f t="shared" si="57"/>
        <v>0</v>
      </c>
      <c r="V157" s="1">
        <f t="shared" si="58"/>
        <v>0</v>
      </c>
      <c r="W157" s="1">
        <f t="shared" si="59"/>
        <v>0</v>
      </c>
      <c r="X157" s="1">
        <f t="shared" si="60"/>
        <v>0</v>
      </c>
      <c r="Y157" s="1">
        <f t="shared" si="61"/>
        <v>0</v>
      </c>
      <c r="Z157" s="1">
        <f t="shared" si="62"/>
        <v>0</v>
      </c>
      <c r="AA157" s="1">
        <f t="shared" si="63"/>
        <v>0</v>
      </c>
      <c r="AB157" s="1">
        <f t="shared" si="64"/>
        <v>0</v>
      </c>
      <c r="AD157" s="1">
        <f t="shared" si="65"/>
        <v>1</v>
      </c>
      <c r="AE157" s="1">
        <f t="shared" si="66"/>
        <v>0</v>
      </c>
      <c r="AF157" s="1">
        <f t="shared" si="67"/>
        <v>1</v>
      </c>
      <c r="AG157" s="1">
        <f t="shared" si="68"/>
        <v>0</v>
      </c>
      <c r="AH157" s="1">
        <f t="shared" si="69"/>
        <v>1</v>
      </c>
      <c r="AI157" s="1">
        <f t="shared" si="70"/>
        <v>0</v>
      </c>
    </row>
    <row r="158" spans="1:35" ht="14.25" customHeight="1" x14ac:dyDescent="0.25">
      <c r="A158" s="31">
        <v>0</v>
      </c>
      <c r="B158" s="31">
        <v>1</v>
      </c>
      <c r="C158" s="31">
        <v>3</v>
      </c>
      <c r="D158" s="32" t="s">
        <v>956</v>
      </c>
      <c r="E158" s="32" t="s">
        <v>174</v>
      </c>
      <c r="F158" s="32" t="s">
        <v>790</v>
      </c>
      <c r="G158" s="32" t="s">
        <v>39</v>
      </c>
      <c r="H158" s="32" t="s">
        <v>791</v>
      </c>
      <c r="I158" s="31" t="s">
        <v>792</v>
      </c>
      <c r="J158" s="31">
        <v>16</v>
      </c>
      <c r="K158" s="33" t="s">
        <v>938</v>
      </c>
      <c r="L158" s="33" t="s">
        <v>1119</v>
      </c>
      <c r="M158" s="34" t="s">
        <v>951</v>
      </c>
      <c r="N158" s="34" t="s">
        <v>1708</v>
      </c>
      <c r="O158" s="35">
        <v>1</v>
      </c>
      <c r="P158" s="35"/>
      <c r="Q158" s="32"/>
      <c r="S158" s="1">
        <f t="shared" si="55"/>
        <v>0</v>
      </c>
      <c r="T158" s="1">
        <f t="shared" si="56"/>
        <v>0</v>
      </c>
      <c r="U158" s="1">
        <f t="shared" si="57"/>
        <v>0</v>
      </c>
      <c r="V158" s="1">
        <f t="shared" si="58"/>
        <v>0</v>
      </c>
      <c r="W158" s="1">
        <f t="shared" si="59"/>
        <v>0</v>
      </c>
      <c r="X158" s="1">
        <f t="shared" si="60"/>
        <v>0</v>
      </c>
      <c r="Y158" s="1">
        <f t="shared" si="61"/>
        <v>0</v>
      </c>
      <c r="Z158" s="1">
        <f t="shared" si="62"/>
        <v>0</v>
      </c>
      <c r="AA158" s="1">
        <f t="shared" si="63"/>
        <v>0</v>
      </c>
      <c r="AB158" s="1">
        <f t="shared" si="64"/>
        <v>0</v>
      </c>
      <c r="AD158" s="1">
        <f t="shared" si="65"/>
        <v>0</v>
      </c>
      <c r="AE158" s="1">
        <f t="shared" si="66"/>
        <v>1</v>
      </c>
      <c r="AF158" s="1">
        <f t="shared" si="67"/>
        <v>0</v>
      </c>
      <c r="AG158" s="1">
        <f t="shared" si="68"/>
        <v>1</v>
      </c>
      <c r="AH158" s="1">
        <f t="shared" si="69"/>
        <v>0</v>
      </c>
      <c r="AI158" s="1">
        <f t="shared" si="70"/>
        <v>1</v>
      </c>
    </row>
    <row r="159" spans="1:35" ht="14.25" customHeight="1" x14ac:dyDescent="0.25">
      <c r="A159" s="31">
        <v>0</v>
      </c>
      <c r="B159" s="31">
        <v>1</v>
      </c>
      <c r="C159" s="31">
        <v>3</v>
      </c>
      <c r="D159" s="32" t="s">
        <v>1173</v>
      </c>
      <c r="E159" s="32" t="s">
        <v>171</v>
      </c>
      <c r="F159" s="32" t="s">
        <v>1174</v>
      </c>
      <c r="G159" s="32" t="s">
        <v>237</v>
      </c>
      <c r="H159" s="32" t="s">
        <v>352</v>
      </c>
      <c r="I159" s="31" t="s">
        <v>1175</v>
      </c>
      <c r="J159" s="31">
        <v>4</v>
      </c>
      <c r="K159" s="33" t="s">
        <v>944</v>
      </c>
      <c r="L159" s="33" t="s">
        <v>1665</v>
      </c>
      <c r="M159" s="34" t="s">
        <v>1571</v>
      </c>
      <c r="N159" s="34" t="s">
        <v>1693</v>
      </c>
      <c r="O159" s="35">
        <v>1</v>
      </c>
      <c r="P159" s="35">
        <v>1</v>
      </c>
      <c r="Q159" s="32"/>
      <c r="S159" s="1">
        <f t="shared" si="55"/>
        <v>0</v>
      </c>
      <c r="T159" s="1">
        <f t="shared" si="56"/>
        <v>0</v>
      </c>
      <c r="U159" s="1">
        <f t="shared" si="57"/>
        <v>0</v>
      </c>
      <c r="V159" s="1">
        <f t="shared" si="58"/>
        <v>1</v>
      </c>
      <c r="W159" s="1">
        <f t="shared" si="59"/>
        <v>0</v>
      </c>
      <c r="X159" s="1">
        <f t="shared" si="60"/>
        <v>0</v>
      </c>
      <c r="Y159" s="1">
        <f t="shared" si="61"/>
        <v>0</v>
      </c>
      <c r="Z159" s="1">
        <f t="shared" si="62"/>
        <v>0</v>
      </c>
      <c r="AA159" s="1">
        <f t="shared" si="63"/>
        <v>0</v>
      </c>
      <c r="AB159" s="1">
        <f t="shared" si="64"/>
        <v>0</v>
      </c>
      <c r="AD159" s="1">
        <f t="shared" si="65"/>
        <v>1</v>
      </c>
      <c r="AE159" s="1">
        <f t="shared" si="66"/>
        <v>0</v>
      </c>
      <c r="AF159" s="1">
        <f t="shared" si="67"/>
        <v>1</v>
      </c>
      <c r="AG159" s="1">
        <f t="shared" si="68"/>
        <v>0</v>
      </c>
      <c r="AH159" s="1">
        <f t="shared" si="69"/>
        <v>1</v>
      </c>
      <c r="AI159" s="1">
        <f t="shared" si="70"/>
        <v>0</v>
      </c>
    </row>
    <row r="160" spans="1:35" ht="14.25" customHeight="1" x14ac:dyDescent="0.25">
      <c r="A160" s="31">
        <v>0</v>
      </c>
      <c r="B160" s="31">
        <v>1</v>
      </c>
      <c r="C160" s="31">
        <v>3</v>
      </c>
      <c r="D160" s="32" t="s">
        <v>1608</v>
      </c>
      <c r="E160" s="32" t="s">
        <v>169</v>
      </c>
      <c r="F160" s="32" t="s">
        <v>1445</v>
      </c>
      <c r="G160" s="32" t="s">
        <v>1636</v>
      </c>
      <c r="H160" s="32" t="s">
        <v>352</v>
      </c>
      <c r="I160" s="31" t="s">
        <v>1444</v>
      </c>
      <c r="J160" s="31">
        <v>99</v>
      </c>
      <c r="K160" s="33" t="s">
        <v>693</v>
      </c>
      <c r="L160" s="33" t="s">
        <v>1670</v>
      </c>
      <c r="M160" s="34" t="s">
        <v>1446</v>
      </c>
      <c r="N160" s="34" t="s">
        <v>1709</v>
      </c>
      <c r="O160" s="35">
        <v>1</v>
      </c>
      <c r="P160" s="35"/>
      <c r="Q160" s="32"/>
      <c r="S160" s="1">
        <f t="shared" si="55"/>
        <v>0</v>
      </c>
      <c r="T160" s="1">
        <f t="shared" si="56"/>
        <v>0</v>
      </c>
      <c r="U160" s="1">
        <f t="shared" si="57"/>
        <v>0</v>
      </c>
      <c r="V160" s="1">
        <f t="shared" si="58"/>
        <v>0</v>
      </c>
      <c r="W160" s="1">
        <f t="shared" si="59"/>
        <v>0</v>
      </c>
      <c r="X160" s="1">
        <f t="shared" si="60"/>
        <v>0</v>
      </c>
      <c r="Y160" s="1">
        <f t="shared" si="61"/>
        <v>0</v>
      </c>
      <c r="Z160" s="1">
        <f t="shared" si="62"/>
        <v>0</v>
      </c>
      <c r="AA160" s="1">
        <f t="shared" si="63"/>
        <v>0</v>
      </c>
      <c r="AB160" s="1">
        <f t="shared" si="64"/>
        <v>0</v>
      </c>
      <c r="AD160" s="1">
        <f t="shared" si="65"/>
        <v>0</v>
      </c>
      <c r="AE160" s="1">
        <f t="shared" si="66"/>
        <v>1</v>
      </c>
      <c r="AF160" s="1">
        <f t="shared" si="67"/>
        <v>0</v>
      </c>
      <c r="AG160" s="1">
        <f t="shared" si="68"/>
        <v>1</v>
      </c>
      <c r="AH160" s="1">
        <f t="shared" si="69"/>
        <v>0</v>
      </c>
      <c r="AI160" s="1">
        <f t="shared" si="70"/>
        <v>1</v>
      </c>
    </row>
    <row r="161" spans="1:35" ht="14.25" customHeight="1" x14ac:dyDescent="0.25">
      <c r="A161" s="31">
        <v>0</v>
      </c>
      <c r="B161" s="31">
        <v>1</v>
      </c>
      <c r="C161" s="31">
        <v>3</v>
      </c>
      <c r="D161" s="36" t="s">
        <v>2031</v>
      </c>
      <c r="E161" s="36" t="s">
        <v>171</v>
      </c>
      <c r="F161" s="36" t="s">
        <v>2032</v>
      </c>
      <c r="G161" s="32"/>
      <c r="H161" s="36" t="s">
        <v>603</v>
      </c>
      <c r="I161" s="37" t="s">
        <v>2033</v>
      </c>
      <c r="J161" s="31">
        <v>14</v>
      </c>
      <c r="K161" s="33" t="s">
        <v>694</v>
      </c>
      <c r="L161" s="33"/>
      <c r="M161" s="34"/>
      <c r="N161" s="34" t="s">
        <v>1699</v>
      </c>
      <c r="O161" s="35">
        <v>1</v>
      </c>
      <c r="P161" s="35">
        <v>1</v>
      </c>
      <c r="Q161" s="32" t="s">
        <v>2034</v>
      </c>
      <c r="S161" s="1">
        <f t="shared" si="55"/>
        <v>0</v>
      </c>
      <c r="T161" s="1">
        <f t="shared" si="56"/>
        <v>0</v>
      </c>
      <c r="U161" s="1">
        <f t="shared" si="57"/>
        <v>0</v>
      </c>
      <c r="V161" s="1">
        <f t="shared" si="58"/>
        <v>0</v>
      </c>
      <c r="W161" s="1">
        <f t="shared" si="59"/>
        <v>0</v>
      </c>
      <c r="X161" s="1">
        <f t="shared" si="60"/>
        <v>0</v>
      </c>
      <c r="Y161" s="1">
        <f t="shared" si="61"/>
        <v>0</v>
      </c>
      <c r="Z161" s="1">
        <f t="shared" si="62"/>
        <v>0</v>
      </c>
      <c r="AA161" s="1">
        <f t="shared" si="63"/>
        <v>0</v>
      </c>
      <c r="AB161" s="1">
        <f t="shared" si="64"/>
        <v>0</v>
      </c>
      <c r="AD161" s="1">
        <f t="shared" si="65"/>
        <v>1</v>
      </c>
      <c r="AE161" s="1">
        <f t="shared" si="66"/>
        <v>0</v>
      </c>
      <c r="AF161" s="1">
        <f t="shared" si="67"/>
        <v>1</v>
      </c>
      <c r="AG161" s="1">
        <f t="shared" si="68"/>
        <v>0</v>
      </c>
      <c r="AH161" s="1">
        <f t="shared" si="69"/>
        <v>1</v>
      </c>
      <c r="AI161" s="1">
        <f t="shared" si="70"/>
        <v>0</v>
      </c>
    </row>
    <row r="162" spans="1:35" ht="14.25" customHeight="1" x14ac:dyDescent="0.25">
      <c r="A162" s="15">
        <v>0</v>
      </c>
      <c r="B162" s="15">
        <v>1</v>
      </c>
      <c r="C162" s="15">
        <v>3</v>
      </c>
      <c r="D162" s="20" t="s">
        <v>1905</v>
      </c>
      <c r="E162" s="20" t="s">
        <v>171</v>
      </c>
      <c r="F162" s="20" t="s">
        <v>1920</v>
      </c>
      <c r="G162" s="20"/>
      <c r="H162" s="20" t="s">
        <v>1919</v>
      </c>
      <c r="I162" s="21" t="s">
        <v>1918</v>
      </c>
      <c r="J162" s="15">
        <v>14</v>
      </c>
      <c r="K162" s="10" t="s">
        <v>694</v>
      </c>
      <c r="L162" s="10" t="s">
        <v>688</v>
      </c>
      <c r="M162" s="19" t="s">
        <v>952</v>
      </c>
      <c r="N162" s="17"/>
      <c r="Q162" s="20" t="s">
        <v>1921</v>
      </c>
      <c r="S162" s="1">
        <f t="shared" si="55"/>
        <v>0</v>
      </c>
      <c r="T162" s="1">
        <f t="shared" si="56"/>
        <v>0</v>
      </c>
      <c r="U162" s="1">
        <f t="shared" si="57"/>
        <v>0</v>
      </c>
      <c r="V162" s="1">
        <f t="shared" si="58"/>
        <v>0</v>
      </c>
      <c r="W162" s="1">
        <f t="shared" si="59"/>
        <v>0</v>
      </c>
      <c r="X162" s="1">
        <f t="shared" si="60"/>
        <v>0</v>
      </c>
      <c r="Y162" s="1">
        <f t="shared" si="61"/>
        <v>0</v>
      </c>
      <c r="Z162" s="1">
        <f t="shared" si="62"/>
        <v>0</v>
      </c>
      <c r="AA162" s="1">
        <f t="shared" si="63"/>
        <v>0</v>
      </c>
      <c r="AB162" s="1">
        <f t="shared" si="64"/>
        <v>0</v>
      </c>
      <c r="AD162" s="1">
        <f t="shared" si="65"/>
        <v>0</v>
      </c>
      <c r="AE162" s="1">
        <f t="shared" si="66"/>
        <v>0</v>
      </c>
      <c r="AF162" s="1">
        <f t="shared" si="67"/>
        <v>0</v>
      </c>
      <c r="AG162" s="1">
        <f t="shared" si="68"/>
        <v>0</v>
      </c>
      <c r="AH162" s="1">
        <f t="shared" si="69"/>
        <v>0</v>
      </c>
      <c r="AI162" s="1">
        <f t="shared" si="70"/>
        <v>1</v>
      </c>
    </row>
    <row r="163" spans="1:35" ht="14.25" customHeight="1" x14ac:dyDescent="0.25">
      <c r="A163" s="31">
        <v>0</v>
      </c>
      <c r="B163" s="31">
        <v>1</v>
      </c>
      <c r="C163" s="31">
        <v>3</v>
      </c>
      <c r="D163" s="32" t="s">
        <v>144</v>
      </c>
      <c r="E163" s="32" t="s">
        <v>171</v>
      </c>
      <c r="F163" s="32" t="s">
        <v>345</v>
      </c>
      <c r="G163" s="32" t="s">
        <v>39</v>
      </c>
      <c r="H163" s="32" t="s">
        <v>376</v>
      </c>
      <c r="I163" s="31" t="s">
        <v>1334</v>
      </c>
      <c r="J163" s="31">
        <v>14</v>
      </c>
      <c r="K163" s="33" t="s">
        <v>937</v>
      </c>
      <c r="L163" s="33" t="s">
        <v>680</v>
      </c>
      <c r="M163" s="34" t="s">
        <v>682</v>
      </c>
      <c r="N163" s="34" t="s">
        <v>1708</v>
      </c>
      <c r="O163" s="35">
        <v>1</v>
      </c>
      <c r="P163" s="35"/>
      <c r="Q163" s="32"/>
      <c r="S163" s="1">
        <f t="shared" si="55"/>
        <v>0</v>
      </c>
      <c r="T163" s="1">
        <f t="shared" si="56"/>
        <v>0</v>
      </c>
      <c r="U163" s="1">
        <f t="shared" si="57"/>
        <v>0</v>
      </c>
      <c r="V163" s="1">
        <f t="shared" si="58"/>
        <v>0</v>
      </c>
      <c r="W163" s="1">
        <f t="shared" si="59"/>
        <v>0</v>
      </c>
      <c r="X163" s="1">
        <f t="shared" si="60"/>
        <v>0</v>
      </c>
      <c r="Y163" s="1">
        <f t="shared" si="61"/>
        <v>0</v>
      </c>
      <c r="Z163" s="1">
        <f t="shared" si="62"/>
        <v>0</v>
      </c>
      <c r="AA163" s="1">
        <f t="shared" si="63"/>
        <v>0</v>
      </c>
      <c r="AB163" s="1">
        <f t="shared" si="64"/>
        <v>0</v>
      </c>
      <c r="AD163" s="1">
        <f t="shared" si="65"/>
        <v>0</v>
      </c>
      <c r="AE163" s="1">
        <f t="shared" si="66"/>
        <v>1</v>
      </c>
      <c r="AF163" s="1">
        <f t="shared" si="67"/>
        <v>0</v>
      </c>
      <c r="AG163" s="1">
        <f t="shared" si="68"/>
        <v>1</v>
      </c>
      <c r="AH163" s="1">
        <f t="shared" si="69"/>
        <v>0</v>
      </c>
      <c r="AI163" s="1">
        <f t="shared" si="70"/>
        <v>1</v>
      </c>
    </row>
    <row r="164" spans="1:35" ht="14.25" customHeight="1" x14ac:dyDescent="0.25">
      <c r="A164" s="31">
        <v>0</v>
      </c>
      <c r="B164" s="31">
        <v>1</v>
      </c>
      <c r="C164" s="31">
        <v>3</v>
      </c>
      <c r="D164" s="32" t="s">
        <v>1534</v>
      </c>
      <c r="E164" s="32" t="s">
        <v>171</v>
      </c>
      <c r="F164" s="32" t="s">
        <v>1535</v>
      </c>
      <c r="G164" s="32" t="s">
        <v>39</v>
      </c>
      <c r="H164" s="32" t="s">
        <v>1536</v>
      </c>
      <c r="I164" s="31" t="s">
        <v>1537</v>
      </c>
      <c r="J164" s="31">
        <v>17</v>
      </c>
      <c r="K164" s="33" t="s">
        <v>713</v>
      </c>
      <c r="L164" s="33" t="s">
        <v>39</v>
      </c>
      <c r="M164" s="34" t="s">
        <v>39</v>
      </c>
      <c r="N164" s="34" t="s">
        <v>1699</v>
      </c>
      <c r="O164" s="35">
        <v>1</v>
      </c>
      <c r="P164" s="35">
        <v>1</v>
      </c>
      <c r="Q164" s="32" t="s">
        <v>1871</v>
      </c>
      <c r="S164" s="1">
        <f t="shared" si="55"/>
        <v>0</v>
      </c>
      <c r="T164" s="1">
        <f t="shared" si="56"/>
        <v>0</v>
      </c>
      <c r="U164" s="1">
        <f t="shared" si="57"/>
        <v>0</v>
      </c>
      <c r="V164" s="1">
        <f t="shared" si="58"/>
        <v>0</v>
      </c>
      <c r="W164" s="1">
        <f t="shared" si="59"/>
        <v>0</v>
      </c>
      <c r="X164" s="1">
        <f t="shared" si="60"/>
        <v>0</v>
      </c>
      <c r="Y164" s="1">
        <f t="shared" si="61"/>
        <v>0</v>
      </c>
      <c r="Z164" s="1">
        <f t="shared" si="62"/>
        <v>0</v>
      </c>
      <c r="AA164" s="1">
        <f t="shared" si="63"/>
        <v>0</v>
      </c>
      <c r="AB164" s="1">
        <f t="shared" si="64"/>
        <v>0</v>
      </c>
      <c r="AD164" s="1">
        <f t="shared" si="65"/>
        <v>1</v>
      </c>
      <c r="AE164" s="1">
        <f t="shared" si="66"/>
        <v>0</v>
      </c>
      <c r="AF164" s="1">
        <f t="shared" si="67"/>
        <v>1</v>
      </c>
      <c r="AG164" s="1">
        <f t="shared" si="68"/>
        <v>0</v>
      </c>
      <c r="AH164" s="1">
        <f t="shared" si="69"/>
        <v>1</v>
      </c>
      <c r="AI164" s="1">
        <f t="shared" si="70"/>
        <v>0</v>
      </c>
    </row>
    <row r="165" spans="1:35" ht="14.25" customHeight="1" x14ac:dyDescent="0.25">
      <c r="A165" s="31">
        <v>0</v>
      </c>
      <c r="B165" s="31">
        <v>1</v>
      </c>
      <c r="C165" s="31">
        <v>3</v>
      </c>
      <c r="D165" s="32" t="s">
        <v>152</v>
      </c>
      <c r="E165" s="32" t="s">
        <v>171</v>
      </c>
      <c r="F165" s="32" t="s">
        <v>351</v>
      </c>
      <c r="G165" s="32" t="s">
        <v>39</v>
      </c>
      <c r="H165" s="32" t="s">
        <v>1828</v>
      </c>
      <c r="I165" s="31" t="s">
        <v>497</v>
      </c>
      <c r="J165" s="31">
        <v>14</v>
      </c>
      <c r="K165" s="33" t="s">
        <v>693</v>
      </c>
      <c r="L165" s="33" t="s">
        <v>680</v>
      </c>
      <c r="M165" s="34" t="s">
        <v>951</v>
      </c>
      <c r="N165" s="34" t="s">
        <v>1708</v>
      </c>
      <c r="O165" s="35">
        <v>1</v>
      </c>
      <c r="P165" s="35"/>
      <c r="Q165" s="32" t="s">
        <v>1854</v>
      </c>
      <c r="S165" s="1">
        <f t="shared" si="55"/>
        <v>0</v>
      </c>
      <c r="T165" s="1">
        <f t="shared" si="56"/>
        <v>0</v>
      </c>
      <c r="U165" s="1">
        <f t="shared" si="57"/>
        <v>0</v>
      </c>
      <c r="V165" s="1">
        <f t="shared" si="58"/>
        <v>0</v>
      </c>
      <c r="W165" s="1">
        <f t="shared" si="59"/>
        <v>0</v>
      </c>
      <c r="X165" s="1">
        <f t="shared" si="60"/>
        <v>0</v>
      </c>
      <c r="Y165" s="1">
        <f t="shared" si="61"/>
        <v>0</v>
      </c>
      <c r="Z165" s="1">
        <f t="shared" si="62"/>
        <v>0</v>
      </c>
      <c r="AA165" s="1">
        <f t="shared" si="63"/>
        <v>0</v>
      </c>
      <c r="AB165" s="1">
        <f t="shared" si="64"/>
        <v>0</v>
      </c>
      <c r="AD165" s="1">
        <f t="shared" si="65"/>
        <v>0</v>
      </c>
      <c r="AE165" s="1">
        <f t="shared" si="66"/>
        <v>1</v>
      </c>
      <c r="AF165" s="1">
        <f t="shared" si="67"/>
        <v>0</v>
      </c>
      <c r="AG165" s="1">
        <f t="shared" si="68"/>
        <v>1</v>
      </c>
      <c r="AH165" s="1">
        <f t="shared" si="69"/>
        <v>0</v>
      </c>
      <c r="AI165" s="1">
        <f t="shared" si="70"/>
        <v>1</v>
      </c>
    </row>
    <row r="166" spans="1:35" ht="14.25" customHeight="1" x14ac:dyDescent="0.25">
      <c r="A166" s="15">
        <v>0</v>
      </c>
      <c r="B166" s="15">
        <v>1</v>
      </c>
      <c r="C166" s="15">
        <v>3</v>
      </c>
      <c r="D166" s="16" t="s">
        <v>730</v>
      </c>
      <c r="E166" s="16" t="s">
        <v>171</v>
      </c>
      <c r="F166" s="16" t="s">
        <v>731</v>
      </c>
      <c r="G166" s="16" t="s">
        <v>39</v>
      </c>
      <c r="H166" s="16" t="s">
        <v>732</v>
      </c>
      <c r="I166" s="15" t="s">
        <v>733</v>
      </c>
      <c r="J166" s="15">
        <v>17</v>
      </c>
      <c r="K166" s="10" t="s">
        <v>713</v>
      </c>
      <c r="L166" s="10" t="s">
        <v>688</v>
      </c>
      <c r="M166" s="19" t="s">
        <v>682</v>
      </c>
      <c r="N166" s="17"/>
      <c r="Q166" s="16" t="s">
        <v>1845</v>
      </c>
      <c r="S166" s="1">
        <f t="shared" si="55"/>
        <v>0</v>
      </c>
      <c r="T166" s="1">
        <f t="shared" si="56"/>
        <v>0</v>
      </c>
      <c r="U166" s="1">
        <f t="shared" si="57"/>
        <v>0</v>
      </c>
      <c r="V166" s="1">
        <f t="shared" si="58"/>
        <v>0</v>
      </c>
      <c r="W166" s="1">
        <f t="shared" si="59"/>
        <v>0</v>
      </c>
      <c r="X166" s="1">
        <f t="shared" si="60"/>
        <v>0</v>
      </c>
      <c r="Y166" s="1">
        <f t="shared" si="61"/>
        <v>0</v>
      </c>
      <c r="Z166" s="1">
        <f t="shared" si="62"/>
        <v>0</v>
      </c>
      <c r="AA166" s="1">
        <f t="shared" si="63"/>
        <v>0</v>
      </c>
      <c r="AB166" s="1">
        <f t="shared" si="64"/>
        <v>0</v>
      </c>
      <c r="AD166" s="1">
        <f t="shared" si="65"/>
        <v>0</v>
      </c>
      <c r="AE166" s="1">
        <f t="shared" si="66"/>
        <v>0</v>
      </c>
      <c r="AF166" s="1">
        <f t="shared" si="67"/>
        <v>0</v>
      </c>
      <c r="AG166" s="1">
        <f t="shared" si="68"/>
        <v>0</v>
      </c>
      <c r="AH166" s="1">
        <f t="shared" si="69"/>
        <v>0</v>
      </c>
      <c r="AI166" s="1">
        <f t="shared" si="70"/>
        <v>1</v>
      </c>
    </row>
    <row r="167" spans="1:35" ht="14.25" customHeight="1" x14ac:dyDescent="0.25">
      <c r="A167" s="31">
        <v>0</v>
      </c>
      <c r="B167" s="31">
        <v>1</v>
      </c>
      <c r="C167" s="31">
        <v>3</v>
      </c>
      <c r="D167" s="32" t="s">
        <v>887</v>
      </c>
      <c r="E167" s="32" t="s">
        <v>171</v>
      </c>
      <c r="F167" s="32" t="s">
        <v>1077</v>
      </c>
      <c r="G167" s="32" t="s">
        <v>39</v>
      </c>
      <c r="H167" s="32" t="s">
        <v>889</v>
      </c>
      <c r="I167" s="31" t="s">
        <v>888</v>
      </c>
      <c r="J167" s="31">
        <v>11</v>
      </c>
      <c r="K167" s="33" t="s">
        <v>938</v>
      </c>
      <c r="L167" s="33">
        <v>60</v>
      </c>
      <c r="M167" s="34" t="s">
        <v>39</v>
      </c>
      <c r="N167" s="34" t="s">
        <v>1708</v>
      </c>
      <c r="O167" s="35">
        <v>1</v>
      </c>
      <c r="P167" s="35"/>
      <c r="Q167" s="32"/>
      <c r="S167" s="1">
        <f t="shared" si="55"/>
        <v>0</v>
      </c>
      <c r="T167" s="1">
        <f t="shared" si="56"/>
        <v>0</v>
      </c>
      <c r="U167" s="1">
        <f t="shared" si="57"/>
        <v>0</v>
      </c>
      <c r="V167" s="1">
        <f t="shared" si="58"/>
        <v>0</v>
      </c>
      <c r="W167" s="1">
        <f t="shared" si="59"/>
        <v>0</v>
      </c>
      <c r="X167" s="1">
        <f t="shared" si="60"/>
        <v>0</v>
      </c>
      <c r="Y167" s="1">
        <f t="shared" si="61"/>
        <v>0</v>
      </c>
      <c r="Z167" s="1">
        <f t="shared" si="62"/>
        <v>0</v>
      </c>
      <c r="AA167" s="1">
        <f t="shared" si="63"/>
        <v>0</v>
      </c>
      <c r="AB167" s="1">
        <f t="shared" si="64"/>
        <v>0</v>
      </c>
      <c r="AD167" s="1">
        <f t="shared" si="65"/>
        <v>0</v>
      </c>
      <c r="AE167" s="1">
        <f t="shared" si="66"/>
        <v>1</v>
      </c>
      <c r="AF167" s="1">
        <f t="shared" si="67"/>
        <v>0</v>
      </c>
      <c r="AG167" s="1">
        <f t="shared" si="68"/>
        <v>1</v>
      </c>
      <c r="AH167" s="1">
        <f t="shared" si="69"/>
        <v>0</v>
      </c>
      <c r="AI167" s="1">
        <f t="shared" si="70"/>
        <v>1</v>
      </c>
    </row>
    <row r="168" spans="1:35" ht="14.25" customHeight="1" x14ac:dyDescent="0.25">
      <c r="A168" s="31">
        <v>0</v>
      </c>
      <c r="B168" s="31">
        <v>1</v>
      </c>
      <c r="C168" s="31">
        <v>3</v>
      </c>
      <c r="D168" s="32" t="s">
        <v>122</v>
      </c>
      <c r="E168" s="32" t="s">
        <v>174</v>
      </c>
      <c r="F168" s="32" t="s">
        <v>322</v>
      </c>
      <c r="G168" s="32" t="s">
        <v>39</v>
      </c>
      <c r="H168" s="32" t="s">
        <v>361</v>
      </c>
      <c r="I168" s="31" t="s">
        <v>467</v>
      </c>
      <c r="J168" s="31">
        <v>14</v>
      </c>
      <c r="K168" s="33" t="s">
        <v>713</v>
      </c>
      <c r="L168" s="33" t="s">
        <v>684</v>
      </c>
      <c r="M168" s="34" t="s">
        <v>1350</v>
      </c>
      <c r="N168" s="34" t="s">
        <v>1808</v>
      </c>
      <c r="O168" s="35">
        <v>1</v>
      </c>
      <c r="P168" s="35"/>
      <c r="Q168" s="36"/>
      <c r="S168" s="1">
        <f t="shared" si="55"/>
        <v>0</v>
      </c>
      <c r="T168" s="1">
        <f t="shared" si="56"/>
        <v>0</v>
      </c>
      <c r="U168" s="1">
        <f t="shared" si="57"/>
        <v>0</v>
      </c>
      <c r="V168" s="1">
        <f t="shared" si="58"/>
        <v>0</v>
      </c>
      <c r="W168" s="1">
        <f t="shared" si="59"/>
        <v>0</v>
      </c>
      <c r="X168" s="1">
        <f t="shared" si="60"/>
        <v>0</v>
      </c>
      <c r="Y168" s="1">
        <f t="shared" si="61"/>
        <v>0</v>
      </c>
      <c r="Z168" s="1">
        <f t="shared" si="62"/>
        <v>0</v>
      </c>
      <c r="AA168" s="1">
        <f t="shared" si="63"/>
        <v>0</v>
      </c>
      <c r="AB168" s="1">
        <f t="shared" si="64"/>
        <v>0</v>
      </c>
      <c r="AD168" s="1">
        <f t="shared" si="65"/>
        <v>0</v>
      </c>
      <c r="AE168" s="1">
        <f t="shared" si="66"/>
        <v>1</v>
      </c>
      <c r="AF168" s="1">
        <f t="shared" si="67"/>
        <v>0</v>
      </c>
      <c r="AG168" s="1">
        <f t="shared" si="68"/>
        <v>1</v>
      </c>
      <c r="AH168" s="1">
        <f t="shared" si="69"/>
        <v>0</v>
      </c>
      <c r="AI168" s="1">
        <f t="shared" si="70"/>
        <v>1</v>
      </c>
    </row>
    <row r="169" spans="1:35" ht="14.25" customHeight="1" x14ac:dyDescent="0.25">
      <c r="A169" s="31">
        <v>0</v>
      </c>
      <c r="B169" s="31">
        <v>1</v>
      </c>
      <c r="C169" s="31">
        <v>3</v>
      </c>
      <c r="D169" s="32" t="s">
        <v>1147</v>
      </c>
      <c r="E169" s="32" t="s">
        <v>171</v>
      </c>
      <c r="F169" s="32" t="s">
        <v>1149</v>
      </c>
      <c r="G169" s="32" t="s">
        <v>752</v>
      </c>
      <c r="H169" s="32" t="s">
        <v>352</v>
      </c>
      <c r="I169" s="31" t="s">
        <v>1148</v>
      </c>
      <c r="J169" s="31">
        <v>99</v>
      </c>
      <c r="K169" s="33" t="s">
        <v>694</v>
      </c>
      <c r="L169" s="33">
        <v>30</v>
      </c>
      <c r="M169" s="34" t="s">
        <v>951</v>
      </c>
      <c r="N169" s="34" t="s">
        <v>1784</v>
      </c>
      <c r="O169" s="35">
        <v>1</v>
      </c>
      <c r="P169" s="35"/>
      <c r="Q169" s="36"/>
      <c r="S169" s="1">
        <f t="shared" si="55"/>
        <v>0</v>
      </c>
      <c r="T169" s="1">
        <f t="shared" si="56"/>
        <v>0</v>
      </c>
      <c r="U169" s="1">
        <f t="shared" si="57"/>
        <v>0</v>
      </c>
      <c r="V169" s="1">
        <f t="shared" si="58"/>
        <v>0</v>
      </c>
      <c r="W169" s="1">
        <f t="shared" si="59"/>
        <v>0</v>
      </c>
      <c r="X169" s="1">
        <f t="shared" si="60"/>
        <v>0</v>
      </c>
      <c r="Y169" s="1">
        <f t="shared" si="61"/>
        <v>0</v>
      </c>
      <c r="Z169" s="1">
        <f t="shared" si="62"/>
        <v>0</v>
      </c>
      <c r="AA169" s="1">
        <f t="shared" si="63"/>
        <v>0</v>
      </c>
      <c r="AB169" s="1">
        <f t="shared" si="64"/>
        <v>0</v>
      </c>
      <c r="AD169" s="1">
        <f t="shared" si="65"/>
        <v>0</v>
      </c>
      <c r="AE169" s="1">
        <f t="shared" si="66"/>
        <v>1</v>
      </c>
      <c r="AF169" s="1">
        <f t="shared" si="67"/>
        <v>0</v>
      </c>
      <c r="AG169" s="1">
        <f t="shared" si="68"/>
        <v>1</v>
      </c>
      <c r="AH169" s="1">
        <f t="shared" si="69"/>
        <v>0</v>
      </c>
      <c r="AI169" s="1">
        <f t="shared" si="70"/>
        <v>1</v>
      </c>
    </row>
    <row r="170" spans="1:35" ht="14.25" customHeight="1" x14ac:dyDescent="0.25">
      <c r="A170" s="31">
        <v>0</v>
      </c>
      <c r="B170" s="31">
        <v>1</v>
      </c>
      <c r="C170" s="31">
        <v>3</v>
      </c>
      <c r="D170" s="32" t="s">
        <v>1993</v>
      </c>
      <c r="E170" s="32" t="s">
        <v>171</v>
      </c>
      <c r="F170" s="32" t="s">
        <v>1994</v>
      </c>
      <c r="G170" s="32"/>
      <c r="H170" s="32" t="s">
        <v>352</v>
      </c>
      <c r="I170" s="31" t="s">
        <v>1995</v>
      </c>
      <c r="J170" s="31">
        <v>18</v>
      </c>
      <c r="K170" s="33" t="s">
        <v>694</v>
      </c>
      <c r="L170" s="33"/>
      <c r="M170" s="34"/>
      <c r="N170" s="34" t="s">
        <v>1699</v>
      </c>
      <c r="O170" s="35">
        <v>1</v>
      </c>
      <c r="P170" s="35">
        <v>1</v>
      </c>
      <c r="Q170" s="36" t="s">
        <v>1996</v>
      </c>
      <c r="S170" s="1">
        <f t="shared" si="55"/>
        <v>0</v>
      </c>
      <c r="T170" s="1">
        <f t="shared" si="56"/>
        <v>0</v>
      </c>
      <c r="U170" s="1">
        <f t="shared" si="57"/>
        <v>0</v>
      </c>
      <c r="V170" s="1">
        <f t="shared" si="58"/>
        <v>0</v>
      </c>
      <c r="W170" s="1">
        <f t="shared" si="59"/>
        <v>0</v>
      </c>
      <c r="X170" s="1">
        <f t="shared" si="60"/>
        <v>0</v>
      </c>
      <c r="Y170" s="1">
        <f t="shared" si="61"/>
        <v>0</v>
      </c>
      <c r="Z170" s="1">
        <f t="shared" si="62"/>
        <v>0</v>
      </c>
      <c r="AA170" s="1">
        <f t="shared" si="63"/>
        <v>0</v>
      </c>
      <c r="AB170" s="1">
        <f t="shared" si="64"/>
        <v>0</v>
      </c>
      <c r="AD170" s="1">
        <f t="shared" si="65"/>
        <v>1</v>
      </c>
      <c r="AE170" s="1">
        <f t="shared" si="66"/>
        <v>0</v>
      </c>
      <c r="AF170" s="1">
        <f t="shared" si="67"/>
        <v>1</v>
      </c>
      <c r="AG170" s="1">
        <f t="shared" si="68"/>
        <v>0</v>
      </c>
      <c r="AH170" s="1">
        <f t="shared" si="69"/>
        <v>1</v>
      </c>
      <c r="AI170" s="1">
        <f t="shared" si="70"/>
        <v>0</v>
      </c>
    </row>
    <row r="171" spans="1:35" ht="14.25" customHeight="1" x14ac:dyDescent="0.25">
      <c r="A171" s="15">
        <v>0</v>
      </c>
      <c r="B171" s="15">
        <v>1</v>
      </c>
      <c r="C171" s="15">
        <v>3</v>
      </c>
      <c r="D171" s="16" t="s">
        <v>734</v>
      </c>
      <c r="E171" s="16" t="s">
        <v>169</v>
      </c>
      <c r="F171" s="16" t="s">
        <v>735</v>
      </c>
      <c r="G171" s="16" t="s">
        <v>39</v>
      </c>
      <c r="H171" s="16" t="s">
        <v>736</v>
      </c>
      <c r="I171" s="15" t="s">
        <v>737</v>
      </c>
      <c r="J171" s="15">
        <v>17</v>
      </c>
      <c r="K171" s="10" t="s">
        <v>694</v>
      </c>
      <c r="L171" s="10" t="s">
        <v>688</v>
      </c>
      <c r="M171" s="19" t="s">
        <v>952</v>
      </c>
      <c r="N171" s="17"/>
      <c r="Q171" s="16"/>
      <c r="S171" s="1">
        <f t="shared" si="55"/>
        <v>0</v>
      </c>
      <c r="T171" s="1">
        <f t="shared" si="56"/>
        <v>0</v>
      </c>
      <c r="U171" s="1">
        <f t="shared" si="57"/>
        <v>0</v>
      </c>
      <c r="V171" s="1">
        <f t="shared" si="58"/>
        <v>0</v>
      </c>
      <c r="W171" s="1">
        <f t="shared" si="59"/>
        <v>0</v>
      </c>
      <c r="X171" s="1">
        <f t="shared" si="60"/>
        <v>0</v>
      </c>
      <c r="Y171" s="1">
        <f t="shared" si="61"/>
        <v>0</v>
      </c>
      <c r="Z171" s="1">
        <f t="shared" si="62"/>
        <v>0</v>
      </c>
      <c r="AA171" s="1">
        <f t="shared" si="63"/>
        <v>0</v>
      </c>
      <c r="AB171" s="1">
        <f t="shared" si="64"/>
        <v>0</v>
      </c>
      <c r="AD171" s="1">
        <f t="shared" si="65"/>
        <v>0</v>
      </c>
      <c r="AE171" s="1">
        <f t="shared" si="66"/>
        <v>0</v>
      </c>
      <c r="AF171" s="1">
        <f t="shared" si="67"/>
        <v>0</v>
      </c>
      <c r="AG171" s="1">
        <f t="shared" si="68"/>
        <v>0</v>
      </c>
      <c r="AH171" s="1">
        <f t="shared" si="69"/>
        <v>0</v>
      </c>
      <c r="AI171" s="1">
        <f t="shared" si="70"/>
        <v>1</v>
      </c>
    </row>
    <row r="172" spans="1:35" s="1" customFormat="1" ht="14.25" customHeight="1" x14ac:dyDescent="0.25">
      <c r="A172" s="15">
        <v>0</v>
      </c>
      <c r="B172" s="15">
        <v>1</v>
      </c>
      <c r="C172" s="15">
        <v>3</v>
      </c>
      <c r="D172" s="20" t="s">
        <v>1904</v>
      </c>
      <c r="E172" s="20" t="s">
        <v>171</v>
      </c>
      <c r="F172" s="20" t="s">
        <v>1914</v>
      </c>
      <c r="G172" s="20"/>
      <c r="H172" s="20" t="s">
        <v>1915</v>
      </c>
      <c r="I172" s="21" t="s">
        <v>1916</v>
      </c>
      <c r="J172" s="15">
        <v>16</v>
      </c>
      <c r="K172" s="10" t="s">
        <v>694</v>
      </c>
      <c r="L172" s="10" t="s">
        <v>688</v>
      </c>
      <c r="M172" s="19" t="s">
        <v>952</v>
      </c>
      <c r="N172" s="17"/>
      <c r="Q172" s="20" t="s">
        <v>1913</v>
      </c>
      <c r="S172" s="1">
        <f t="shared" si="55"/>
        <v>0</v>
      </c>
      <c r="T172" s="1">
        <f t="shared" si="56"/>
        <v>0</v>
      </c>
      <c r="U172" s="1">
        <f t="shared" si="57"/>
        <v>0</v>
      </c>
      <c r="V172" s="1">
        <f t="shared" si="58"/>
        <v>0</v>
      </c>
      <c r="W172" s="1">
        <f t="shared" si="59"/>
        <v>0</v>
      </c>
      <c r="X172" s="1">
        <f t="shared" si="60"/>
        <v>0</v>
      </c>
      <c r="Y172" s="1">
        <f t="shared" si="61"/>
        <v>0</v>
      </c>
      <c r="Z172" s="1">
        <f t="shared" si="62"/>
        <v>0</v>
      </c>
      <c r="AA172" s="1">
        <f t="shared" si="63"/>
        <v>0</v>
      </c>
      <c r="AB172" s="1">
        <f t="shared" si="64"/>
        <v>0</v>
      </c>
      <c r="AD172" s="1">
        <f t="shared" ref="AD172:AD174" si="71">+O172*P172</f>
        <v>0</v>
      </c>
      <c r="AE172" s="1">
        <f t="shared" ref="AE172:AE174" si="72">O172*(1-P172)</f>
        <v>0</v>
      </c>
      <c r="AF172" s="1">
        <f t="shared" si="67"/>
        <v>0</v>
      </c>
      <c r="AG172" s="1">
        <f t="shared" si="68"/>
        <v>0</v>
      </c>
      <c r="AH172" s="1">
        <f t="shared" si="69"/>
        <v>0</v>
      </c>
      <c r="AI172" s="1">
        <f t="shared" si="70"/>
        <v>1</v>
      </c>
    </row>
    <row r="173" spans="1:35" s="1" customFormat="1" ht="14.25" customHeight="1" x14ac:dyDescent="0.25">
      <c r="A173" s="15">
        <v>0</v>
      </c>
      <c r="B173" s="15">
        <v>1</v>
      </c>
      <c r="C173" s="15">
        <v>3</v>
      </c>
      <c r="D173" s="20" t="s">
        <v>2152</v>
      </c>
      <c r="E173" s="20" t="s">
        <v>171</v>
      </c>
      <c r="F173" s="20" t="s">
        <v>2153</v>
      </c>
      <c r="G173" s="20"/>
      <c r="H173" s="20" t="s">
        <v>373</v>
      </c>
      <c r="I173" s="21" t="s">
        <v>2154</v>
      </c>
      <c r="J173" s="15">
        <v>12</v>
      </c>
      <c r="K173" s="10" t="s">
        <v>694</v>
      </c>
      <c r="L173" s="10">
        <v>40</v>
      </c>
      <c r="M173" s="19" t="s">
        <v>952</v>
      </c>
      <c r="N173" s="17"/>
      <c r="Q173" s="20" t="s">
        <v>2155</v>
      </c>
      <c r="S173" s="1">
        <f t="shared" si="55"/>
        <v>0</v>
      </c>
      <c r="T173" s="1">
        <f t="shared" si="56"/>
        <v>0</v>
      </c>
      <c r="U173" s="1">
        <f t="shared" si="57"/>
        <v>0</v>
      </c>
      <c r="V173" s="1">
        <f t="shared" si="58"/>
        <v>0</v>
      </c>
      <c r="W173" s="1">
        <f t="shared" si="59"/>
        <v>0</v>
      </c>
      <c r="X173" s="1">
        <f t="shared" si="60"/>
        <v>0</v>
      </c>
      <c r="Y173" s="1">
        <f t="shared" si="61"/>
        <v>0</v>
      </c>
      <c r="Z173" s="1">
        <f t="shared" si="62"/>
        <v>0</v>
      </c>
      <c r="AA173" s="1">
        <f t="shared" si="63"/>
        <v>0</v>
      </c>
      <c r="AB173" s="1">
        <f t="shared" si="64"/>
        <v>0</v>
      </c>
      <c r="AD173" s="1">
        <f t="shared" si="71"/>
        <v>0</v>
      </c>
      <c r="AE173" s="1">
        <f t="shared" si="72"/>
        <v>0</v>
      </c>
      <c r="AF173" s="1">
        <f t="shared" si="67"/>
        <v>0</v>
      </c>
      <c r="AG173" s="1">
        <f t="shared" si="68"/>
        <v>0</v>
      </c>
      <c r="AH173" s="1">
        <f t="shared" si="69"/>
        <v>0</v>
      </c>
      <c r="AI173" s="1">
        <f t="shared" si="70"/>
        <v>1</v>
      </c>
    </row>
    <row r="174" spans="1:35" s="1" customFormat="1" ht="14.25" customHeight="1" x14ac:dyDescent="0.25">
      <c r="A174" s="31">
        <v>0</v>
      </c>
      <c r="B174" s="31">
        <v>1</v>
      </c>
      <c r="C174" s="31">
        <v>3</v>
      </c>
      <c r="D174" s="32" t="s">
        <v>819</v>
      </c>
      <c r="E174" s="32" t="s">
        <v>897</v>
      </c>
      <c r="F174" s="32" t="s">
        <v>820</v>
      </c>
      <c r="G174" s="32" t="s">
        <v>207</v>
      </c>
      <c r="H174" s="32" t="s">
        <v>352</v>
      </c>
      <c r="I174" s="37" t="s">
        <v>821</v>
      </c>
      <c r="J174" s="31">
        <v>3</v>
      </c>
      <c r="K174" s="33" t="s">
        <v>713</v>
      </c>
      <c r="L174" s="33" t="s">
        <v>684</v>
      </c>
      <c r="M174" s="34" t="s">
        <v>689</v>
      </c>
      <c r="N174" s="34" t="s">
        <v>1749</v>
      </c>
      <c r="O174" s="35">
        <v>1</v>
      </c>
      <c r="P174" s="35"/>
      <c r="Q174" s="36"/>
      <c r="S174" s="1">
        <f t="shared" si="55"/>
        <v>0</v>
      </c>
      <c r="T174" s="1">
        <f t="shared" si="56"/>
        <v>0</v>
      </c>
      <c r="U174" s="1">
        <f t="shared" si="57"/>
        <v>1</v>
      </c>
      <c r="V174" s="1">
        <f t="shared" si="58"/>
        <v>0</v>
      </c>
      <c r="W174" s="1">
        <f t="shared" si="59"/>
        <v>0</v>
      </c>
      <c r="X174" s="1">
        <f t="shared" si="60"/>
        <v>0</v>
      </c>
      <c r="Y174" s="1">
        <f t="shared" si="61"/>
        <v>0</v>
      </c>
      <c r="Z174" s="1">
        <f t="shared" si="62"/>
        <v>0</v>
      </c>
      <c r="AA174" s="1">
        <f t="shared" si="63"/>
        <v>0</v>
      </c>
      <c r="AB174" s="1">
        <f t="shared" si="64"/>
        <v>0</v>
      </c>
      <c r="AD174" s="1">
        <f t="shared" si="71"/>
        <v>0</v>
      </c>
      <c r="AE174" s="1">
        <f t="shared" si="72"/>
        <v>1</v>
      </c>
      <c r="AF174" s="1">
        <f t="shared" si="67"/>
        <v>0</v>
      </c>
      <c r="AG174" s="1">
        <f t="shared" si="68"/>
        <v>1</v>
      </c>
      <c r="AH174" s="1">
        <f t="shared" si="69"/>
        <v>0</v>
      </c>
      <c r="AI174" s="1">
        <f t="shared" si="70"/>
        <v>1</v>
      </c>
    </row>
    <row r="175" spans="1:35" s="1" customFormat="1" ht="14.25" customHeight="1" x14ac:dyDescent="0.25">
      <c r="A175" s="31">
        <v>0</v>
      </c>
      <c r="B175" s="31">
        <v>1</v>
      </c>
      <c r="C175" s="31">
        <v>3</v>
      </c>
      <c r="D175" s="32" t="s">
        <v>2069</v>
      </c>
      <c r="E175" s="32" t="s">
        <v>174</v>
      </c>
      <c r="F175" s="32" t="s">
        <v>2070</v>
      </c>
      <c r="G175" s="32"/>
      <c r="H175" s="32" t="s">
        <v>2071</v>
      </c>
      <c r="I175" s="37" t="s">
        <v>2072</v>
      </c>
      <c r="J175" s="31">
        <v>16</v>
      </c>
      <c r="K175" s="33" t="s">
        <v>694</v>
      </c>
      <c r="L175" s="33"/>
      <c r="M175" s="34"/>
      <c r="N175" s="34" t="s">
        <v>1693</v>
      </c>
      <c r="O175" s="35">
        <v>1</v>
      </c>
      <c r="P175" s="35">
        <v>1</v>
      </c>
      <c r="Q175" s="36" t="s">
        <v>2073</v>
      </c>
      <c r="S175" s="1">
        <f t="shared" si="55"/>
        <v>0</v>
      </c>
      <c r="T175" s="1">
        <f t="shared" si="56"/>
        <v>0</v>
      </c>
      <c r="U175" s="1">
        <f t="shared" si="57"/>
        <v>0</v>
      </c>
      <c r="V175" s="1">
        <f t="shared" si="58"/>
        <v>0</v>
      </c>
      <c r="W175" s="1">
        <f t="shared" si="59"/>
        <v>0</v>
      </c>
      <c r="X175" s="1">
        <f t="shared" si="60"/>
        <v>0</v>
      </c>
      <c r="Y175" s="1">
        <f t="shared" si="61"/>
        <v>0</v>
      </c>
      <c r="Z175" s="1">
        <f t="shared" si="62"/>
        <v>0</v>
      </c>
      <c r="AA175" s="1">
        <f t="shared" si="63"/>
        <v>0</v>
      </c>
      <c r="AB175" s="1">
        <f t="shared" si="64"/>
        <v>0</v>
      </c>
      <c r="AD175" s="1">
        <f t="shared" si="65"/>
        <v>1</v>
      </c>
      <c r="AE175" s="1">
        <f t="shared" si="66"/>
        <v>0</v>
      </c>
      <c r="AF175" s="1">
        <f t="shared" si="67"/>
        <v>1</v>
      </c>
      <c r="AG175" s="1">
        <f t="shared" si="68"/>
        <v>0</v>
      </c>
      <c r="AH175" s="1">
        <f t="shared" si="69"/>
        <v>1</v>
      </c>
      <c r="AI175" s="1">
        <f t="shared" si="70"/>
        <v>0</v>
      </c>
    </row>
    <row r="176" spans="1:35" s="1" customFormat="1" ht="14.25" customHeight="1" x14ac:dyDescent="0.25">
      <c r="A176" s="31">
        <v>0</v>
      </c>
      <c r="B176" s="31">
        <v>1</v>
      </c>
      <c r="C176" s="31">
        <v>3</v>
      </c>
      <c r="D176" s="32" t="s">
        <v>1909</v>
      </c>
      <c r="E176" s="32" t="s">
        <v>171</v>
      </c>
      <c r="F176" s="32" t="s">
        <v>1911</v>
      </c>
      <c r="G176" s="32"/>
      <c r="H176" s="32" t="s">
        <v>1912</v>
      </c>
      <c r="I176" s="37" t="s">
        <v>1910</v>
      </c>
      <c r="J176" s="31">
        <v>16</v>
      </c>
      <c r="K176" s="33" t="s">
        <v>694</v>
      </c>
      <c r="L176" s="33" t="s">
        <v>688</v>
      </c>
      <c r="M176" s="34" t="s">
        <v>952</v>
      </c>
      <c r="N176" s="34" t="s">
        <v>1708</v>
      </c>
      <c r="O176" s="35">
        <v>1</v>
      </c>
      <c r="P176" s="35"/>
      <c r="Q176" s="36" t="s">
        <v>1917</v>
      </c>
      <c r="S176" s="1">
        <f t="shared" si="55"/>
        <v>0</v>
      </c>
      <c r="T176" s="1">
        <f t="shared" si="56"/>
        <v>0</v>
      </c>
      <c r="U176" s="1">
        <f t="shared" si="57"/>
        <v>0</v>
      </c>
      <c r="V176" s="1">
        <f t="shared" si="58"/>
        <v>0</v>
      </c>
      <c r="W176" s="1">
        <f t="shared" si="59"/>
        <v>0</v>
      </c>
      <c r="X176" s="1">
        <f t="shared" si="60"/>
        <v>0</v>
      </c>
      <c r="Y176" s="1">
        <f t="shared" si="61"/>
        <v>0</v>
      </c>
      <c r="Z176" s="1">
        <f t="shared" si="62"/>
        <v>0</v>
      </c>
      <c r="AA176" s="1">
        <f t="shared" si="63"/>
        <v>0</v>
      </c>
      <c r="AB176" s="1">
        <f t="shared" si="64"/>
        <v>0</v>
      </c>
      <c r="AD176" s="1">
        <f t="shared" si="65"/>
        <v>0</v>
      </c>
      <c r="AE176" s="1">
        <f t="shared" si="66"/>
        <v>1</v>
      </c>
      <c r="AF176" s="1">
        <f t="shared" si="67"/>
        <v>0</v>
      </c>
      <c r="AG176" s="1">
        <f t="shared" si="68"/>
        <v>1</v>
      </c>
      <c r="AH176" s="1">
        <f t="shared" si="69"/>
        <v>0</v>
      </c>
      <c r="AI176" s="1">
        <f t="shared" si="70"/>
        <v>1</v>
      </c>
    </row>
    <row r="177" spans="1:35" s="1" customFormat="1" ht="14.25" customHeight="1" x14ac:dyDescent="0.25">
      <c r="A177" s="31">
        <v>0</v>
      </c>
      <c r="B177" s="31">
        <v>1</v>
      </c>
      <c r="C177" s="31">
        <v>3</v>
      </c>
      <c r="D177" s="32" t="s">
        <v>1184</v>
      </c>
      <c r="E177" s="32" t="s">
        <v>171</v>
      </c>
      <c r="F177" s="32" t="s">
        <v>1186</v>
      </c>
      <c r="G177" s="32" t="s">
        <v>184</v>
      </c>
      <c r="H177" s="32" t="s">
        <v>352</v>
      </c>
      <c r="I177" s="31" t="s">
        <v>1185</v>
      </c>
      <c r="J177" s="31">
        <v>99</v>
      </c>
      <c r="K177" s="33" t="s">
        <v>939</v>
      </c>
      <c r="L177" s="33" t="s">
        <v>680</v>
      </c>
      <c r="M177" s="34" t="s">
        <v>952</v>
      </c>
      <c r="N177" s="34" t="s">
        <v>1709</v>
      </c>
      <c r="O177" s="35">
        <v>1</v>
      </c>
      <c r="P177" s="35"/>
      <c r="Q177" s="32"/>
      <c r="S177" s="1">
        <f t="shared" si="55"/>
        <v>0</v>
      </c>
      <c r="T177" s="1">
        <f t="shared" si="56"/>
        <v>0</v>
      </c>
      <c r="U177" s="1">
        <f t="shared" si="57"/>
        <v>0</v>
      </c>
      <c r="V177" s="1">
        <f t="shared" si="58"/>
        <v>0</v>
      </c>
      <c r="W177" s="1">
        <f t="shared" si="59"/>
        <v>0</v>
      </c>
      <c r="X177" s="1">
        <f t="shared" si="60"/>
        <v>0</v>
      </c>
      <c r="Y177" s="1">
        <f t="shared" si="61"/>
        <v>0</v>
      </c>
      <c r="Z177" s="1">
        <f t="shared" si="62"/>
        <v>0</v>
      </c>
      <c r="AA177" s="1">
        <f t="shared" si="63"/>
        <v>0</v>
      </c>
      <c r="AB177" s="1">
        <f t="shared" si="64"/>
        <v>0</v>
      </c>
      <c r="AD177" s="1">
        <f t="shared" si="65"/>
        <v>0</v>
      </c>
      <c r="AE177" s="1">
        <f t="shared" si="66"/>
        <v>1</v>
      </c>
      <c r="AF177" s="1">
        <f t="shared" si="67"/>
        <v>0</v>
      </c>
      <c r="AG177" s="1">
        <f t="shared" si="68"/>
        <v>1</v>
      </c>
      <c r="AH177" s="1">
        <f t="shared" si="69"/>
        <v>0</v>
      </c>
      <c r="AI177" s="1">
        <f t="shared" si="70"/>
        <v>1</v>
      </c>
    </row>
    <row r="178" spans="1:35" s="1" customFormat="1" ht="14.25" customHeight="1" x14ac:dyDescent="0.25">
      <c r="A178" s="31">
        <v>0</v>
      </c>
      <c r="B178" s="31">
        <v>1</v>
      </c>
      <c r="C178" s="31">
        <v>3</v>
      </c>
      <c r="D178" s="32" t="s">
        <v>624</v>
      </c>
      <c r="E178" s="32" t="s">
        <v>169</v>
      </c>
      <c r="F178" s="32" t="s">
        <v>625</v>
      </c>
      <c r="G178" s="32" t="s">
        <v>193</v>
      </c>
      <c r="H178" s="32" t="s">
        <v>352</v>
      </c>
      <c r="I178" s="31" t="s">
        <v>626</v>
      </c>
      <c r="J178" s="31">
        <v>9</v>
      </c>
      <c r="K178" s="33" t="s">
        <v>938</v>
      </c>
      <c r="L178" s="33" t="s">
        <v>1665</v>
      </c>
      <c r="M178" s="34" t="s">
        <v>951</v>
      </c>
      <c r="N178" s="34" t="s">
        <v>1693</v>
      </c>
      <c r="O178" s="35">
        <v>1</v>
      </c>
      <c r="P178" s="35">
        <v>1</v>
      </c>
      <c r="Q178" s="32"/>
      <c r="S178" s="1">
        <f t="shared" si="55"/>
        <v>0</v>
      </c>
      <c r="T178" s="1">
        <f t="shared" si="56"/>
        <v>0</v>
      </c>
      <c r="U178" s="1">
        <f t="shared" si="57"/>
        <v>0</v>
      </c>
      <c r="V178" s="1">
        <f t="shared" si="58"/>
        <v>0</v>
      </c>
      <c r="W178" s="1">
        <f t="shared" si="59"/>
        <v>0</v>
      </c>
      <c r="X178" s="1">
        <f t="shared" si="60"/>
        <v>0</v>
      </c>
      <c r="Y178" s="1">
        <f t="shared" si="61"/>
        <v>0</v>
      </c>
      <c r="Z178" s="1">
        <f t="shared" si="62"/>
        <v>0</v>
      </c>
      <c r="AA178" s="1">
        <f t="shared" si="63"/>
        <v>1</v>
      </c>
      <c r="AB178" s="1">
        <f t="shared" si="64"/>
        <v>0</v>
      </c>
      <c r="AD178" s="1">
        <f t="shared" si="65"/>
        <v>1</v>
      </c>
      <c r="AE178" s="1">
        <f t="shared" si="66"/>
        <v>0</v>
      </c>
      <c r="AF178" s="1">
        <f t="shared" si="67"/>
        <v>1</v>
      </c>
      <c r="AG178" s="1">
        <f t="shared" si="68"/>
        <v>0</v>
      </c>
      <c r="AH178" s="1">
        <f t="shared" si="69"/>
        <v>1</v>
      </c>
      <c r="AI178" s="1">
        <f t="shared" si="70"/>
        <v>0</v>
      </c>
    </row>
    <row r="179" spans="1:35" s="1" customFormat="1" ht="14.25" customHeight="1" x14ac:dyDescent="0.25">
      <c r="A179" s="31">
        <v>0</v>
      </c>
      <c r="B179" s="31">
        <v>1</v>
      </c>
      <c r="C179" s="31">
        <v>3</v>
      </c>
      <c r="D179" s="32" t="s">
        <v>131</v>
      </c>
      <c r="E179" s="32" t="s">
        <v>674</v>
      </c>
      <c r="F179" s="32" t="s">
        <v>332</v>
      </c>
      <c r="G179" s="32" t="s">
        <v>39</v>
      </c>
      <c r="H179" s="32" t="s">
        <v>360</v>
      </c>
      <c r="I179" s="31" t="s">
        <v>478</v>
      </c>
      <c r="J179" s="31">
        <v>12</v>
      </c>
      <c r="K179" s="33" t="s">
        <v>713</v>
      </c>
      <c r="L179" s="33">
        <v>35</v>
      </c>
      <c r="M179" s="34" t="s">
        <v>39</v>
      </c>
      <c r="N179" s="34" t="s">
        <v>1784</v>
      </c>
      <c r="O179" s="35">
        <v>1</v>
      </c>
      <c r="P179" s="35"/>
      <c r="Q179" s="32"/>
      <c r="S179" s="1">
        <f t="shared" si="55"/>
        <v>0</v>
      </c>
      <c r="T179" s="1">
        <f t="shared" si="56"/>
        <v>0</v>
      </c>
      <c r="U179" s="1">
        <f t="shared" si="57"/>
        <v>0</v>
      </c>
      <c r="V179" s="1">
        <f t="shared" si="58"/>
        <v>0</v>
      </c>
      <c r="W179" s="1">
        <f t="shared" si="59"/>
        <v>0</v>
      </c>
      <c r="X179" s="1">
        <f t="shared" si="60"/>
        <v>0</v>
      </c>
      <c r="Y179" s="1">
        <f t="shared" si="61"/>
        <v>0</v>
      </c>
      <c r="Z179" s="1">
        <f t="shared" si="62"/>
        <v>0</v>
      </c>
      <c r="AA179" s="1">
        <f t="shared" si="63"/>
        <v>0</v>
      </c>
      <c r="AB179" s="1">
        <f t="shared" si="64"/>
        <v>0</v>
      </c>
      <c r="AD179" s="1">
        <f t="shared" si="65"/>
        <v>0</v>
      </c>
      <c r="AE179" s="1">
        <f t="shared" si="66"/>
        <v>1</v>
      </c>
      <c r="AF179" s="1">
        <f t="shared" si="67"/>
        <v>0</v>
      </c>
      <c r="AG179" s="1">
        <f t="shared" si="68"/>
        <v>1</v>
      </c>
      <c r="AH179" s="1">
        <f t="shared" si="69"/>
        <v>0</v>
      </c>
      <c r="AI179" s="1">
        <f t="shared" si="70"/>
        <v>1</v>
      </c>
    </row>
    <row r="180" spans="1:35" s="1" customFormat="1" ht="14.25" customHeight="1" x14ac:dyDescent="0.25">
      <c r="A180" s="15">
        <v>0</v>
      </c>
      <c r="B180" s="15">
        <v>1</v>
      </c>
      <c r="C180" s="15">
        <v>3</v>
      </c>
      <c r="D180" s="16" t="s">
        <v>811</v>
      </c>
      <c r="E180" s="16" t="s">
        <v>171</v>
      </c>
      <c r="F180" s="16" t="s">
        <v>812</v>
      </c>
      <c r="G180" s="16" t="s">
        <v>39</v>
      </c>
      <c r="H180" s="16" t="s">
        <v>373</v>
      </c>
      <c r="I180" s="15" t="s">
        <v>810</v>
      </c>
      <c r="J180" s="15">
        <v>12</v>
      </c>
      <c r="K180" s="10" t="s">
        <v>694</v>
      </c>
      <c r="L180" s="10">
        <v>40</v>
      </c>
      <c r="M180" s="19" t="s">
        <v>951</v>
      </c>
      <c r="N180" s="19"/>
      <c r="Q180" s="16"/>
      <c r="S180" s="1">
        <f t="shared" si="55"/>
        <v>0</v>
      </c>
      <c r="T180" s="1">
        <f t="shared" si="56"/>
        <v>0</v>
      </c>
      <c r="U180" s="1">
        <f t="shared" si="57"/>
        <v>0</v>
      </c>
      <c r="V180" s="1">
        <f t="shared" si="58"/>
        <v>0</v>
      </c>
      <c r="W180" s="1">
        <f t="shared" si="59"/>
        <v>0</v>
      </c>
      <c r="X180" s="1">
        <f t="shared" si="60"/>
        <v>0</v>
      </c>
      <c r="Y180" s="1">
        <f t="shared" si="61"/>
        <v>0</v>
      </c>
      <c r="Z180" s="1">
        <f t="shared" si="62"/>
        <v>0</v>
      </c>
      <c r="AA180" s="1">
        <f t="shared" si="63"/>
        <v>0</v>
      </c>
      <c r="AB180" s="1">
        <f t="shared" si="64"/>
        <v>0</v>
      </c>
      <c r="AD180" s="1">
        <f t="shared" si="65"/>
        <v>0</v>
      </c>
      <c r="AE180" s="1">
        <f t="shared" si="66"/>
        <v>0</v>
      </c>
      <c r="AF180" s="1">
        <f t="shared" si="67"/>
        <v>0</v>
      </c>
      <c r="AG180" s="1">
        <f t="shared" si="68"/>
        <v>0</v>
      </c>
      <c r="AH180" s="1">
        <f t="shared" si="69"/>
        <v>0</v>
      </c>
      <c r="AI180" s="1">
        <f t="shared" si="70"/>
        <v>1</v>
      </c>
    </row>
    <row r="181" spans="1:35" s="1" customFormat="1" ht="14.25" customHeight="1" x14ac:dyDescent="0.25">
      <c r="A181" s="31">
        <v>0</v>
      </c>
      <c r="B181" s="31">
        <v>1</v>
      </c>
      <c r="C181" s="31">
        <v>3</v>
      </c>
      <c r="D181" s="32" t="s">
        <v>141</v>
      </c>
      <c r="E181" s="32" t="s">
        <v>171</v>
      </c>
      <c r="F181" s="32" t="s">
        <v>341</v>
      </c>
      <c r="G181" s="32" t="s">
        <v>39</v>
      </c>
      <c r="H181" s="32" t="s">
        <v>375</v>
      </c>
      <c r="I181" s="31" t="s">
        <v>487</v>
      </c>
      <c r="J181" s="31">
        <v>15</v>
      </c>
      <c r="K181" s="33" t="s">
        <v>693</v>
      </c>
      <c r="L181" s="33" t="s">
        <v>683</v>
      </c>
      <c r="M181" s="34" t="s">
        <v>682</v>
      </c>
      <c r="N181" s="34" t="s">
        <v>1699</v>
      </c>
      <c r="O181" s="35">
        <v>1</v>
      </c>
      <c r="P181" s="35">
        <v>1</v>
      </c>
      <c r="Q181" s="36" t="s">
        <v>1849</v>
      </c>
      <c r="S181" s="1">
        <f t="shared" si="55"/>
        <v>0</v>
      </c>
      <c r="T181" s="1">
        <f t="shared" si="56"/>
        <v>0</v>
      </c>
      <c r="U181" s="1">
        <f t="shared" si="57"/>
        <v>0</v>
      </c>
      <c r="V181" s="1">
        <f t="shared" si="58"/>
        <v>0</v>
      </c>
      <c r="W181" s="1">
        <f t="shared" si="59"/>
        <v>0</v>
      </c>
      <c r="X181" s="1">
        <f t="shared" si="60"/>
        <v>0</v>
      </c>
      <c r="Y181" s="1">
        <f t="shared" si="61"/>
        <v>0</v>
      </c>
      <c r="Z181" s="1">
        <f t="shared" si="62"/>
        <v>0</v>
      </c>
      <c r="AA181" s="1">
        <f t="shared" si="63"/>
        <v>0</v>
      </c>
      <c r="AB181" s="1">
        <f t="shared" si="64"/>
        <v>0</v>
      </c>
      <c r="AD181" s="1">
        <f t="shared" si="65"/>
        <v>1</v>
      </c>
      <c r="AE181" s="1">
        <f t="shared" si="66"/>
        <v>0</v>
      </c>
      <c r="AF181" s="1">
        <f t="shared" si="67"/>
        <v>1</v>
      </c>
      <c r="AG181" s="1">
        <f t="shared" si="68"/>
        <v>0</v>
      </c>
      <c r="AH181" s="1">
        <f t="shared" si="69"/>
        <v>1</v>
      </c>
      <c r="AI181" s="1">
        <f t="shared" si="70"/>
        <v>0</v>
      </c>
    </row>
    <row r="182" spans="1:35" s="1" customFormat="1" ht="14.25" customHeight="1" x14ac:dyDescent="0.25">
      <c r="A182" s="31">
        <v>0</v>
      </c>
      <c r="B182" s="31">
        <v>1</v>
      </c>
      <c r="C182" s="31">
        <v>3</v>
      </c>
      <c r="D182" s="36" t="s">
        <v>1800</v>
      </c>
      <c r="E182" s="32" t="s">
        <v>1068</v>
      </c>
      <c r="F182" s="32" t="s">
        <v>1785</v>
      </c>
      <c r="G182" s="32"/>
      <c r="H182" s="32" t="s">
        <v>370</v>
      </c>
      <c r="I182" s="31" t="s">
        <v>1786</v>
      </c>
      <c r="J182" s="31">
        <v>16</v>
      </c>
      <c r="K182" s="33" t="s">
        <v>694</v>
      </c>
      <c r="L182" s="33"/>
      <c r="M182" s="34"/>
      <c r="N182" s="34" t="s">
        <v>1693</v>
      </c>
      <c r="O182" s="35">
        <v>1</v>
      </c>
      <c r="P182" s="35">
        <v>1</v>
      </c>
      <c r="Q182" s="32"/>
      <c r="S182" s="1">
        <f t="shared" si="55"/>
        <v>0</v>
      </c>
      <c r="T182" s="1">
        <f t="shared" si="56"/>
        <v>0</v>
      </c>
      <c r="U182" s="1">
        <f t="shared" si="57"/>
        <v>0</v>
      </c>
      <c r="V182" s="1">
        <f t="shared" si="58"/>
        <v>0</v>
      </c>
      <c r="W182" s="1">
        <f t="shared" si="59"/>
        <v>0</v>
      </c>
      <c r="X182" s="1">
        <f t="shared" si="60"/>
        <v>0</v>
      </c>
      <c r="Y182" s="1">
        <f t="shared" si="61"/>
        <v>0</v>
      </c>
      <c r="Z182" s="1">
        <f t="shared" si="62"/>
        <v>0</v>
      </c>
      <c r="AA182" s="1">
        <f t="shared" si="63"/>
        <v>0</v>
      </c>
      <c r="AB182" s="1">
        <f t="shared" si="64"/>
        <v>0</v>
      </c>
      <c r="AD182" s="1">
        <f t="shared" si="65"/>
        <v>1</v>
      </c>
      <c r="AE182" s="1">
        <f t="shared" si="66"/>
        <v>0</v>
      </c>
      <c r="AF182" s="1">
        <f t="shared" si="67"/>
        <v>1</v>
      </c>
      <c r="AG182" s="1">
        <f t="shared" si="68"/>
        <v>0</v>
      </c>
      <c r="AH182" s="1">
        <f t="shared" si="69"/>
        <v>1</v>
      </c>
      <c r="AI182" s="1">
        <f t="shared" si="70"/>
        <v>0</v>
      </c>
    </row>
    <row r="183" spans="1:35" s="1" customFormat="1" ht="14.25" customHeight="1" x14ac:dyDescent="0.25">
      <c r="A183" s="31">
        <v>0</v>
      </c>
      <c r="B183" s="31">
        <v>1</v>
      </c>
      <c r="C183" s="31">
        <v>3</v>
      </c>
      <c r="D183" s="32" t="s">
        <v>960</v>
      </c>
      <c r="E183" s="32" t="s">
        <v>602</v>
      </c>
      <c r="F183" s="32" t="s">
        <v>961</v>
      </c>
      <c r="G183" s="32" t="s">
        <v>202</v>
      </c>
      <c r="H183" s="32" t="s">
        <v>352</v>
      </c>
      <c r="I183" s="31" t="s">
        <v>962</v>
      </c>
      <c r="J183" s="31">
        <v>99</v>
      </c>
      <c r="K183" s="33" t="s">
        <v>937</v>
      </c>
      <c r="L183" s="33" t="s">
        <v>39</v>
      </c>
      <c r="M183" s="34" t="s">
        <v>39</v>
      </c>
      <c r="N183" s="34" t="s">
        <v>1693</v>
      </c>
      <c r="O183" s="35">
        <v>1</v>
      </c>
      <c r="P183" s="35">
        <v>1</v>
      </c>
      <c r="Q183" s="32"/>
      <c r="S183" s="1">
        <f t="shared" si="55"/>
        <v>0</v>
      </c>
      <c r="T183" s="1">
        <f t="shared" si="56"/>
        <v>0</v>
      </c>
      <c r="U183" s="1">
        <f t="shared" si="57"/>
        <v>0</v>
      </c>
      <c r="V183" s="1">
        <f t="shared" si="58"/>
        <v>0</v>
      </c>
      <c r="W183" s="1">
        <f t="shared" si="59"/>
        <v>0</v>
      </c>
      <c r="X183" s="1">
        <f t="shared" si="60"/>
        <v>0</v>
      </c>
      <c r="Y183" s="1">
        <f t="shared" si="61"/>
        <v>0</v>
      </c>
      <c r="Z183" s="1">
        <f t="shared" si="62"/>
        <v>0</v>
      </c>
      <c r="AA183" s="1">
        <f t="shared" si="63"/>
        <v>0</v>
      </c>
      <c r="AB183" s="1">
        <f t="shared" si="64"/>
        <v>0</v>
      </c>
      <c r="AD183" s="1">
        <f t="shared" si="65"/>
        <v>1</v>
      </c>
      <c r="AE183" s="1">
        <f t="shared" si="66"/>
        <v>0</v>
      </c>
      <c r="AF183" s="1">
        <f t="shared" si="67"/>
        <v>1</v>
      </c>
      <c r="AG183" s="1">
        <f t="shared" si="68"/>
        <v>0</v>
      </c>
      <c r="AH183" s="1">
        <f t="shared" si="69"/>
        <v>1</v>
      </c>
      <c r="AI183" s="1">
        <f t="shared" si="70"/>
        <v>0</v>
      </c>
    </row>
    <row r="184" spans="1:35" s="1" customFormat="1" ht="14.25" customHeight="1" x14ac:dyDescent="0.25">
      <c r="A184" s="31">
        <v>0</v>
      </c>
      <c r="B184" s="31">
        <v>1</v>
      </c>
      <c r="C184" s="31">
        <v>3</v>
      </c>
      <c r="D184" s="32" t="s">
        <v>148</v>
      </c>
      <c r="E184" s="32" t="s">
        <v>171</v>
      </c>
      <c r="F184" s="32" t="s">
        <v>348</v>
      </c>
      <c r="G184" s="32" t="s">
        <v>39</v>
      </c>
      <c r="H184" s="32" t="s">
        <v>378</v>
      </c>
      <c r="I184" s="31" t="s">
        <v>493</v>
      </c>
      <c r="J184" s="31">
        <v>14</v>
      </c>
      <c r="K184" s="33" t="s">
        <v>945</v>
      </c>
      <c r="L184" s="33" t="s">
        <v>39</v>
      </c>
      <c r="M184" s="34" t="s">
        <v>39</v>
      </c>
      <c r="N184" s="34" t="s">
        <v>1699</v>
      </c>
      <c r="O184" s="35">
        <v>1</v>
      </c>
      <c r="P184" s="35">
        <v>1</v>
      </c>
      <c r="Q184" s="32"/>
      <c r="S184" s="1">
        <f t="shared" si="55"/>
        <v>0</v>
      </c>
      <c r="T184" s="1">
        <f t="shared" si="56"/>
        <v>0</v>
      </c>
      <c r="U184" s="1">
        <f t="shared" si="57"/>
        <v>0</v>
      </c>
      <c r="V184" s="1">
        <f t="shared" si="58"/>
        <v>0</v>
      </c>
      <c r="W184" s="1">
        <f t="shared" si="59"/>
        <v>0</v>
      </c>
      <c r="X184" s="1">
        <f t="shared" si="60"/>
        <v>0</v>
      </c>
      <c r="Y184" s="1">
        <f t="shared" si="61"/>
        <v>0</v>
      </c>
      <c r="Z184" s="1">
        <f t="shared" si="62"/>
        <v>0</v>
      </c>
      <c r="AA184" s="1">
        <f t="shared" si="63"/>
        <v>0</v>
      </c>
      <c r="AB184" s="1">
        <f t="shared" si="64"/>
        <v>0</v>
      </c>
      <c r="AD184" s="1">
        <f t="shared" si="65"/>
        <v>1</v>
      </c>
      <c r="AE184" s="1">
        <f t="shared" si="66"/>
        <v>0</v>
      </c>
      <c r="AF184" s="1">
        <f t="shared" si="67"/>
        <v>1</v>
      </c>
      <c r="AG184" s="1">
        <f t="shared" si="68"/>
        <v>0</v>
      </c>
      <c r="AH184" s="1">
        <f t="shared" si="69"/>
        <v>1</v>
      </c>
      <c r="AI184" s="1">
        <f t="shared" si="70"/>
        <v>0</v>
      </c>
    </row>
    <row r="185" spans="1:35" s="1" customFormat="1" ht="14.25" customHeight="1" x14ac:dyDescent="0.25">
      <c r="A185" s="31">
        <v>0</v>
      </c>
      <c r="B185" s="31">
        <v>1</v>
      </c>
      <c r="C185" s="31">
        <v>3</v>
      </c>
      <c r="D185" s="32" t="s">
        <v>1942</v>
      </c>
      <c r="E185" s="32" t="s">
        <v>1943</v>
      </c>
      <c r="F185" s="32" t="s">
        <v>1944</v>
      </c>
      <c r="G185" s="32" t="s">
        <v>531</v>
      </c>
      <c r="H185" s="32" t="s">
        <v>352</v>
      </c>
      <c r="I185" s="31" t="s">
        <v>1945</v>
      </c>
      <c r="J185" s="31"/>
      <c r="K185" s="33" t="s">
        <v>694</v>
      </c>
      <c r="L185" s="33"/>
      <c r="M185" s="34"/>
      <c r="N185" s="34" t="s">
        <v>1699</v>
      </c>
      <c r="O185" s="35">
        <v>1</v>
      </c>
      <c r="P185" s="35">
        <v>1</v>
      </c>
      <c r="Q185" s="32"/>
      <c r="S185" s="1">
        <f t="shared" si="55"/>
        <v>0</v>
      </c>
      <c r="T185" s="1">
        <f t="shared" si="56"/>
        <v>0</v>
      </c>
      <c r="U185" s="1">
        <f t="shared" si="57"/>
        <v>0</v>
      </c>
      <c r="V185" s="1">
        <f t="shared" si="58"/>
        <v>0</v>
      </c>
      <c r="W185" s="1">
        <f t="shared" si="59"/>
        <v>0</v>
      </c>
      <c r="X185" s="1">
        <f t="shared" si="60"/>
        <v>0</v>
      </c>
      <c r="Y185" s="1">
        <f t="shared" si="61"/>
        <v>0</v>
      </c>
      <c r="Z185" s="1">
        <f t="shared" si="62"/>
        <v>0</v>
      </c>
      <c r="AA185" s="1">
        <f t="shared" si="63"/>
        <v>0</v>
      </c>
      <c r="AB185" s="1">
        <f t="shared" si="64"/>
        <v>0</v>
      </c>
      <c r="AD185" s="1">
        <f t="shared" si="65"/>
        <v>1</v>
      </c>
      <c r="AE185" s="1">
        <f t="shared" si="66"/>
        <v>0</v>
      </c>
      <c r="AF185" s="1">
        <f t="shared" si="67"/>
        <v>1</v>
      </c>
      <c r="AG185" s="1">
        <f t="shared" si="68"/>
        <v>0</v>
      </c>
      <c r="AH185" s="1">
        <f t="shared" si="69"/>
        <v>1</v>
      </c>
      <c r="AI185" s="1">
        <f t="shared" si="70"/>
        <v>0</v>
      </c>
    </row>
    <row r="186" spans="1:35" s="1" customFormat="1" ht="14.25" customHeight="1" x14ac:dyDescent="0.25">
      <c r="A186" s="31">
        <v>0</v>
      </c>
      <c r="B186" s="31">
        <v>1</v>
      </c>
      <c r="C186" s="31">
        <v>3</v>
      </c>
      <c r="D186" s="32" t="s">
        <v>627</v>
      </c>
      <c r="E186" s="32" t="s">
        <v>171</v>
      </c>
      <c r="F186" s="32" t="s">
        <v>629</v>
      </c>
      <c r="G186" s="32" t="s">
        <v>237</v>
      </c>
      <c r="H186" s="32" t="s">
        <v>352</v>
      </c>
      <c r="I186" s="31" t="s">
        <v>628</v>
      </c>
      <c r="J186" s="31">
        <v>4</v>
      </c>
      <c r="K186" s="33" t="s">
        <v>937</v>
      </c>
      <c r="L186" s="33" t="s">
        <v>39</v>
      </c>
      <c r="M186" s="34" t="s">
        <v>39</v>
      </c>
      <c r="N186" s="34" t="s">
        <v>1699</v>
      </c>
      <c r="O186" s="35">
        <v>1</v>
      </c>
      <c r="P186" s="35">
        <v>1</v>
      </c>
      <c r="Q186" s="32"/>
      <c r="S186" s="1">
        <f t="shared" si="55"/>
        <v>0</v>
      </c>
      <c r="T186" s="1">
        <f t="shared" si="56"/>
        <v>0</v>
      </c>
      <c r="U186" s="1">
        <f t="shared" si="57"/>
        <v>0</v>
      </c>
      <c r="V186" s="1">
        <f t="shared" si="58"/>
        <v>1</v>
      </c>
      <c r="W186" s="1">
        <f t="shared" si="59"/>
        <v>0</v>
      </c>
      <c r="X186" s="1">
        <f t="shared" si="60"/>
        <v>0</v>
      </c>
      <c r="Y186" s="1">
        <f t="shared" si="61"/>
        <v>0</v>
      </c>
      <c r="Z186" s="1">
        <f t="shared" si="62"/>
        <v>0</v>
      </c>
      <c r="AA186" s="1">
        <f t="shared" si="63"/>
        <v>0</v>
      </c>
      <c r="AB186" s="1">
        <f t="shared" si="64"/>
        <v>0</v>
      </c>
      <c r="AD186" s="1">
        <f t="shared" si="65"/>
        <v>1</v>
      </c>
      <c r="AE186" s="1">
        <f t="shared" si="66"/>
        <v>0</v>
      </c>
      <c r="AF186" s="1">
        <f t="shared" si="67"/>
        <v>1</v>
      </c>
      <c r="AG186" s="1">
        <f t="shared" si="68"/>
        <v>0</v>
      </c>
      <c r="AH186" s="1">
        <f t="shared" si="69"/>
        <v>1</v>
      </c>
      <c r="AI186" s="1">
        <f t="shared" si="70"/>
        <v>0</v>
      </c>
    </row>
    <row r="187" spans="1:35" s="1" customFormat="1" ht="14.25" customHeight="1" x14ac:dyDescent="0.25">
      <c r="A187" s="15">
        <v>0</v>
      </c>
      <c r="B187" s="15">
        <v>1</v>
      </c>
      <c r="C187" s="15">
        <v>3</v>
      </c>
      <c r="D187" s="16" t="s">
        <v>1495</v>
      </c>
      <c r="E187" s="16" t="s">
        <v>1068</v>
      </c>
      <c r="F187" s="16" t="s">
        <v>1496</v>
      </c>
      <c r="G187" s="16" t="s">
        <v>217</v>
      </c>
      <c r="H187" s="16" t="s">
        <v>352</v>
      </c>
      <c r="I187" s="15" t="s">
        <v>1497</v>
      </c>
      <c r="J187" s="15">
        <v>99</v>
      </c>
      <c r="K187" s="10" t="s">
        <v>694</v>
      </c>
      <c r="L187" s="10">
        <v>40</v>
      </c>
      <c r="M187" s="19" t="s">
        <v>951</v>
      </c>
      <c r="N187" s="19"/>
      <c r="Q187" s="16"/>
      <c r="S187" s="1">
        <f t="shared" si="55"/>
        <v>0</v>
      </c>
      <c r="T187" s="1">
        <f t="shared" si="56"/>
        <v>0</v>
      </c>
      <c r="U187" s="1">
        <f t="shared" si="57"/>
        <v>0</v>
      </c>
      <c r="V187" s="1">
        <f t="shared" si="58"/>
        <v>0</v>
      </c>
      <c r="W187" s="1">
        <f t="shared" si="59"/>
        <v>0</v>
      </c>
      <c r="X187" s="1">
        <f t="shared" si="60"/>
        <v>0</v>
      </c>
      <c r="Y187" s="1">
        <f t="shared" si="61"/>
        <v>0</v>
      </c>
      <c r="Z187" s="1">
        <f t="shared" si="62"/>
        <v>0</v>
      </c>
      <c r="AA187" s="1">
        <f t="shared" si="63"/>
        <v>0</v>
      </c>
      <c r="AB187" s="1">
        <f t="shared" si="64"/>
        <v>0</v>
      </c>
      <c r="AD187" s="1">
        <f t="shared" si="65"/>
        <v>0</v>
      </c>
      <c r="AE187" s="1">
        <f t="shared" si="66"/>
        <v>0</v>
      </c>
      <c r="AF187" s="1">
        <f t="shared" si="67"/>
        <v>0</v>
      </c>
      <c r="AG187" s="1">
        <f t="shared" si="68"/>
        <v>0</v>
      </c>
      <c r="AH187" s="1">
        <f t="shared" si="69"/>
        <v>0</v>
      </c>
      <c r="AI187" s="1">
        <f t="shared" si="70"/>
        <v>1</v>
      </c>
    </row>
    <row r="188" spans="1:35" s="1" customFormat="1" ht="14.25" customHeight="1" x14ac:dyDescent="0.25">
      <c r="A188" s="31">
        <v>0</v>
      </c>
      <c r="B188" s="31">
        <v>1</v>
      </c>
      <c r="C188" s="31">
        <v>3</v>
      </c>
      <c r="D188" s="32" t="s">
        <v>101</v>
      </c>
      <c r="E188" s="32" t="s">
        <v>171</v>
      </c>
      <c r="F188" s="32" t="s">
        <v>297</v>
      </c>
      <c r="G188" s="32" t="s">
        <v>298</v>
      </c>
      <c r="H188" s="32" t="s">
        <v>352</v>
      </c>
      <c r="I188" s="31" t="s">
        <v>446</v>
      </c>
      <c r="J188" s="31">
        <v>99</v>
      </c>
      <c r="K188" s="33" t="s">
        <v>939</v>
      </c>
      <c r="L188" s="33" t="s">
        <v>684</v>
      </c>
      <c r="M188" s="34" t="s">
        <v>682</v>
      </c>
      <c r="N188" s="34" t="s">
        <v>1704</v>
      </c>
      <c r="O188" s="35">
        <v>1</v>
      </c>
      <c r="P188" s="35"/>
      <c r="Q188" s="32"/>
      <c r="S188" s="1">
        <f t="shared" si="55"/>
        <v>0</v>
      </c>
      <c r="T188" s="1">
        <f t="shared" si="56"/>
        <v>0</v>
      </c>
      <c r="U188" s="1">
        <f t="shared" si="57"/>
        <v>0</v>
      </c>
      <c r="V188" s="1">
        <f t="shared" si="58"/>
        <v>0</v>
      </c>
      <c r="W188" s="1">
        <f t="shared" si="59"/>
        <v>0</v>
      </c>
      <c r="X188" s="1">
        <f t="shared" si="60"/>
        <v>0</v>
      </c>
      <c r="Y188" s="1">
        <f t="shared" si="61"/>
        <v>0</v>
      </c>
      <c r="Z188" s="1">
        <f t="shared" si="62"/>
        <v>0</v>
      </c>
      <c r="AA188" s="1">
        <f t="shared" si="63"/>
        <v>0</v>
      </c>
      <c r="AB188" s="1">
        <f t="shared" si="64"/>
        <v>0</v>
      </c>
      <c r="AD188" s="1">
        <f t="shared" si="65"/>
        <v>0</v>
      </c>
      <c r="AE188" s="1">
        <f t="shared" si="66"/>
        <v>1</v>
      </c>
      <c r="AF188" s="1">
        <f t="shared" si="67"/>
        <v>0</v>
      </c>
      <c r="AG188" s="1">
        <f t="shared" si="68"/>
        <v>1</v>
      </c>
      <c r="AH188" s="1">
        <f t="shared" si="69"/>
        <v>0</v>
      </c>
      <c r="AI188" s="1">
        <f t="shared" si="70"/>
        <v>1</v>
      </c>
    </row>
    <row r="189" spans="1:35" s="1" customFormat="1" ht="14.25" customHeight="1" x14ac:dyDescent="0.25">
      <c r="A189" s="31">
        <v>0</v>
      </c>
      <c r="B189" s="31">
        <v>1</v>
      </c>
      <c r="C189" s="31">
        <v>3</v>
      </c>
      <c r="D189" s="32" t="s">
        <v>971</v>
      </c>
      <c r="E189" s="32" t="s">
        <v>171</v>
      </c>
      <c r="F189" s="32" t="s">
        <v>974</v>
      </c>
      <c r="G189" s="32" t="s">
        <v>39</v>
      </c>
      <c r="H189" s="32" t="s">
        <v>973</v>
      </c>
      <c r="I189" s="31" t="s">
        <v>972</v>
      </c>
      <c r="J189" s="31">
        <v>14</v>
      </c>
      <c r="K189" s="33" t="s">
        <v>713</v>
      </c>
      <c r="L189" s="33" t="s">
        <v>685</v>
      </c>
      <c r="M189" s="34" t="s">
        <v>952</v>
      </c>
      <c r="N189" s="34" t="s">
        <v>1704</v>
      </c>
      <c r="O189" s="35">
        <v>1</v>
      </c>
      <c r="P189" s="35"/>
      <c r="Q189" s="32"/>
      <c r="S189" s="1">
        <f t="shared" si="55"/>
        <v>0</v>
      </c>
      <c r="T189" s="1">
        <f t="shared" si="56"/>
        <v>0</v>
      </c>
      <c r="U189" s="1">
        <f t="shared" si="57"/>
        <v>0</v>
      </c>
      <c r="V189" s="1">
        <f t="shared" si="58"/>
        <v>0</v>
      </c>
      <c r="W189" s="1">
        <f t="shared" si="59"/>
        <v>0</v>
      </c>
      <c r="X189" s="1">
        <f t="shared" si="60"/>
        <v>0</v>
      </c>
      <c r="Y189" s="1">
        <f t="shared" si="61"/>
        <v>0</v>
      </c>
      <c r="Z189" s="1">
        <f t="shared" si="62"/>
        <v>0</v>
      </c>
      <c r="AA189" s="1">
        <f t="shared" si="63"/>
        <v>0</v>
      </c>
      <c r="AB189" s="1">
        <f t="shared" si="64"/>
        <v>0</v>
      </c>
      <c r="AD189" s="1">
        <f t="shared" si="65"/>
        <v>0</v>
      </c>
      <c r="AE189" s="1">
        <f t="shared" si="66"/>
        <v>1</v>
      </c>
      <c r="AF189" s="1">
        <f t="shared" si="67"/>
        <v>0</v>
      </c>
      <c r="AG189" s="1">
        <f t="shared" si="68"/>
        <v>1</v>
      </c>
      <c r="AH189" s="1">
        <f t="shared" si="69"/>
        <v>0</v>
      </c>
      <c r="AI189" s="1">
        <f t="shared" si="70"/>
        <v>1</v>
      </c>
    </row>
    <row r="190" spans="1:35" s="1" customFormat="1" ht="14.25" customHeight="1" x14ac:dyDescent="0.25">
      <c r="A190" s="51">
        <v>0</v>
      </c>
      <c r="B190" s="51">
        <v>1</v>
      </c>
      <c r="C190" s="51">
        <v>3</v>
      </c>
      <c r="D190" s="52" t="s">
        <v>1611</v>
      </c>
      <c r="E190" s="52" t="s">
        <v>171</v>
      </c>
      <c r="F190" s="52" t="s">
        <v>758</v>
      </c>
      <c r="G190" s="52" t="s">
        <v>39</v>
      </c>
      <c r="H190" s="52" t="s">
        <v>365</v>
      </c>
      <c r="I190" s="51" t="s">
        <v>766</v>
      </c>
      <c r="J190" s="51">
        <v>18</v>
      </c>
      <c r="K190" s="53" t="s">
        <v>1663</v>
      </c>
      <c r="L190" s="53" t="s">
        <v>39</v>
      </c>
      <c r="M190" s="54" t="s">
        <v>759</v>
      </c>
      <c r="N190" s="55"/>
      <c r="O190" s="56"/>
      <c r="P190" s="56"/>
      <c r="Q190" s="52"/>
      <c r="S190" s="1">
        <f t="shared" si="55"/>
        <v>0</v>
      </c>
      <c r="T190" s="1">
        <f t="shared" si="56"/>
        <v>0</v>
      </c>
      <c r="U190" s="1">
        <f t="shared" si="57"/>
        <v>0</v>
      </c>
      <c r="V190" s="1">
        <f t="shared" si="58"/>
        <v>0</v>
      </c>
      <c r="W190" s="1">
        <f t="shared" si="59"/>
        <v>0</v>
      </c>
      <c r="X190" s="1">
        <f t="shared" si="60"/>
        <v>0</v>
      </c>
      <c r="Y190" s="1">
        <f t="shared" si="61"/>
        <v>0</v>
      </c>
      <c r="Z190" s="1">
        <f t="shared" si="62"/>
        <v>0</v>
      </c>
      <c r="AA190" s="1">
        <f t="shared" si="63"/>
        <v>0</v>
      </c>
      <c r="AB190" s="1">
        <f t="shared" si="64"/>
        <v>0</v>
      </c>
      <c r="AD190" s="1">
        <f t="shared" si="65"/>
        <v>0</v>
      </c>
      <c r="AE190" s="1">
        <f t="shared" si="66"/>
        <v>0</v>
      </c>
      <c r="AF190" s="1">
        <f t="shared" si="67"/>
        <v>0</v>
      </c>
      <c r="AG190" s="1">
        <f t="shared" si="68"/>
        <v>0</v>
      </c>
      <c r="AH190" s="1">
        <f t="shared" si="69"/>
        <v>0</v>
      </c>
      <c r="AI190" s="1">
        <f t="shared" si="70"/>
        <v>1</v>
      </c>
    </row>
    <row r="191" spans="1:35" s="1" customFormat="1" ht="14.25" customHeight="1" x14ac:dyDescent="0.25">
      <c r="A191" s="31">
        <v>0</v>
      </c>
      <c r="B191" s="31">
        <v>1</v>
      </c>
      <c r="C191" s="31">
        <v>3</v>
      </c>
      <c r="D191" s="32" t="s">
        <v>134</v>
      </c>
      <c r="E191" s="32" t="s">
        <v>171</v>
      </c>
      <c r="F191" s="32" t="s">
        <v>651</v>
      </c>
      <c r="G191" s="32" t="s">
        <v>256</v>
      </c>
      <c r="H191" s="32" t="s">
        <v>352</v>
      </c>
      <c r="I191" s="31" t="s">
        <v>1659</v>
      </c>
      <c r="J191" s="31">
        <v>99</v>
      </c>
      <c r="K191" s="33" t="s">
        <v>713</v>
      </c>
      <c r="L191" s="33" t="s">
        <v>678</v>
      </c>
      <c r="M191" s="34" t="s">
        <v>1368</v>
      </c>
      <c r="N191" s="34" t="s">
        <v>1704</v>
      </c>
      <c r="O191" s="35">
        <v>1</v>
      </c>
      <c r="P191" s="35"/>
      <c r="Q191" s="32" t="s">
        <v>1888</v>
      </c>
      <c r="S191" s="1">
        <f t="shared" si="55"/>
        <v>0</v>
      </c>
      <c r="T191" s="1">
        <f t="shared" si="56"/>
        <v>0</v>
      </c>
      <c r="U191" s="1">
        <f t="shared" si="57"/>
        <v>0</v>
      </c>
      <c r="V191" s="1">
        <f t="shared" si="58"/>
        <v>0</v>
      </c>
      <c r="W191" s="1">
        <f t="shared" si="59"/>
        <v>0</v>
      </c>
      <c r="X191" s="1">
        <f t="shared" si="60"/>
        <v>0</v>
      </c>
      <c r="Y191" s="1">
        <f t="shared" si="61"/>
        <v>0</v>
      </c>
      <c r="Z191" s="1">
        <f t="shared" si="62"/>
        <v>0</v>
      </c>
      <c r="AA191" s="1">
        <f t="shared" si="63"/>
        <v>0</v>
      </c>
      <c r="AB191" s="1">
        <f t="shared" si="64"/>
        <v>0</v>
      </c>
      <c r="AD191" s="1">
        <f t="shared" si="65"/>
        <v>0</v>
      </c>
      <c r="AE191" s="1">
        <f t="shared" si="66"/>
        <v>1</v>
      </c>
      <c r="AF191" s="1">
        <f t="shared" si="67"/>
        <v>0</v>
      </c>
      <c r="AG191" s="1">
        <f t="shared" si="68"/>
        <v>1</v>
      </c>
      <c r="AH191" s="1">
        <f t="shared" si="69"/>
        <v>0</v>
      </c>
      <c r="AI191" s="1">
        <f t="shared" si="70"/>
        <v>1</v>
      </c>
    </row>
    <row r="192" spans="1:35" s="1" customFormat="1" ht="14.25" customHeight="1" x14ac:dyDescent="0.25">
      <c r="A192" s="31">
        <v>0</v>
      </c>
      <c r="B192" s="31">
        <v>1</v>
      </c>
      <c r="C192" s="31">
        <v>3</v>
      </c>
      <c r="D192" s="32" t="s">
        <v>906</v>
      </c>
      <c r="E192" s="32" t="s">
        <v>169</v>
      </c>
      <c r="F192" s="32" t="s">
        <v>922</v>
      </c>
      <c r="G192" s="32" t="s">
        <v>39</v>
      </c>
      <c r="H192" s="32" t="s">
        <v>363</v>
      </c>
      <c r="I192" s="31" t="s">
        <v>868</v>
      </c>
      <c r="J192" s="31">
        <v>18</v>
      </c>
      <c r="K192" s="33" t="s">
        <v>693</v>
      </c>
      <c r="L192" s="33" t="s">
        <v>688</v>
      </c>
      <c r="M192" s="34" t="s">
        <v>952</v>
      </c>
      <c r="N192" s="34" t="s">
        <v>1708</v>
      </c>
      <c r="O192" s="35">
        <v>1</v>
      </c>
      <c r="P192" s="35"/>
      <c r="Q192" s="32"/>
      <c r="S192" s="1">
        <f t="shared" si="55"/>
        <v>0</v>
      </c>
      <c r="T192" s="1">
        <f t="shared" si="56"/>
        <v>0</v>
      </c>
      <c r="U192" s="1">
        <f t="shared" si="57"/>
        <v>0</v>
      </c>
      <c r="V192" s="1">
        <f t="shared" si="58"/>
        <v>0</v>
      </c>
      <c r="W192" s="1">
        <f t="shared" si="59"/>
        <v>0</v>
      </c>
      <c r="X192" s="1">
        <f t="shared" si="60"/>
        <v>0</v>
      </c>
      <c r="Y192" s="1">
        <f t="shared" si="61"/>
        <v>0</v>
      </c>
      <c r="Z192" s="1">
        <f t="shared" si="62"/>
        <v>0</v>
      </c>
      <c r="AA192" s="1">
        <f t="shared" si="63"/>
        <v>0</v>
      </c>
      <c r="AB192" s="1">
        <f t="shared" si="64"/>
        <v>0</v>
      </c>
      <c r="AD192" s="1">
        <f t="shared" si="65"/>
        <v>0</v>
      </c>
      <c r="AE192" s="1">
        <f t="shared" si="66"/>
        <v>1</v>
      </c>
      <c r="AF192" s="1">
        <f t="shared" si="67"/>
        <v>0</v>
      </c>
      <c r="AG192" s="1">
        <f t="shared" si="68"/>
        <v>1</v>
      </c>
      <c r="AH192" s="1">
        <f t="shared" si="69"/>
        <v>0</v>
      </c>
      <c r="AI192" s="1">
        <f t="shared" si="70"/>
        <v>1</v>
      </c>
    </row>
    <row r="193" spans="1:35" s="1" customFormat="1" ht="14.25" customHeight="1" x14ac:dyDescent="0.25">
      <c r="A193" s="31">
        <v>0</v>
      </c>
      <c r="B193" s="31">
        <v>1</v>
      </c>
      <c r="C193" s="31">
        <v>3</v>
      </c>
      <c r="D193" s="32" t="s">
        <v>1235</v>
      </c>
      <c r="E193" s="32" t="s">
        <v>169</v>
      </c>
      <c r="F193" s="32" t="s">
        <v>1642</v>
      </c>
      <c r="G193" s="32" t="s">
        <v>39</v>
      </c>
      <c r="H193" s="32" t="s">
        <v>756</v>
      </c>
      <c r="I193" s="31" t="s">
        <v>1236</v>
      </c>
      <c r="J193" s="31">
        <v>11</v>
      </c>
      <c r="K193" s="33" t="s">
        <v>713</v>
      </c>
      <c r="L193" s="33" t="s">
        <v>680</v>
      </c>
      <c r="M193" s="34" t="s">
        <v>1369</v>
      </c>
      <c r="N193" s="34" t="s">
        <v>1709</v>
      </c>
      <c r="O193" s="35">
        <v>1</v>
      </c>
      <c r="P193" s="35"/>
      <c r="Q193" s="32"/>
      <c r="S193" s="1">
        <f t="shared" si="55"/>
        <v>0</v>
      </c>
      <c r="T193" s="1">
        <f t="shared" si="56"/>
        <v>0</v>
      </c>
      <c r="U193" s="1">
        <f t="shared" si="57"/>
        <v>0</v>
      </c>
      <c r="V193" s="1">
        <f t="shared" si="58"/>
        <v>0</v>
      </c>
      <c r="W193" s="1">
        <f t="shared" si="59"/>
        <v>0</v>
      </c>
      <c r="X193" s="1">
        <f t="shared" si="60"/>
        <v>0</v>
      </c>
      <c r="Y193" s="1">
        <f t="shared" si="61"/>
        <v>0</v>
      </c>
      <c r="Z193" s="1">
        <f t="shared" si="62"/>
        <v>0</v>
      </c>
      <c r="AA193" s="1">
        <f t="shared" si="63"/>
        <v>0</v>
      </c>
      <c r="AB193" s="1">
        <f t="shared" si="64"/>
        <v>0</v>
      </c>
      <c r="AD193" s="1">
        <f t="shared" si="65"/>
        <v>0</v>
      </c>
      <c r="AE193" s="1">
        <f t="shared" si="66"/>
        <v>1</v>
      </c>
      <c r="AF193" s="1">
        <f t="shared" si="67"/>
        <v>0</v>
      </c>
      <c r="AG193" s="1">
        <f t="shared" si="68"/>
        <v>1</v>
      </c>
      <c r="AH193" s="1">
        <f t="shared" si="69"/>
        <v>0</v>
      </c>
      <c r="AI193" s="1">
        <f t="shared" si="70"/>
        <v>1</v>
      </c>
    </row>
    <row r="194" spans="1:35" s="1" customFormat="1" ht="14.25" customHeight="1" x14ac:dyDescent="0.25">
      <c r="A194" s="31">
        <v>0</v>
      </c>
      <c r="B194" s="31">
        <v>1</v>
      </c>
      <c r="C194" s="31">
        <v>4</v>
      </c>
      <c r="D194" s="32" t="s">
        <v>977</v>
      </c>
      <c r="E194" s="32" t="s">
        <v>757</v>
      </c>
      <c r="F194" s="32" t="s">
        <v>1075</v>
      </c>
      <c r="G194" s="32" t="s">
        <v>199</v>
      </c>
      <c r="H194" s="32" t="s">
        <v>352</v>
      </c>
      <c r="I194" s="31" t="s">
        <v>978</v>
      </c>
      <c r="J194" s="31">
        <v>2</v>
      </c>
      <c r="K194" s="33" t="s">
        <v>937</v>
      </c>
      <c r="L194" s="33" t="s">
        <v>684</v>
      </c>
      <c r="M194" s="34" t="s">
        <v>1370</v>
      </c>
      <c r="N194" s="34" t="s">
        <v>1693</v>
      </c>
      <c r="O194" s="35">
        <v>1</v>
      </c>
      <c r="P194" s="35">
        <v>1</v>
      </c>
      <c r="Q194" s="32"/>
      <c r="S194" s="1">
        <f t="shared" si="55"/>
        <v>0</v>
      </c>
      <c r="T194" s="1">
        <f t="shared" si="56"/>
        <v>1</v>
      </c>
      <c r="U194" s="1">
        <f t="shared" si="57"/>
        <v>0</v>
      </c>
      <c r="V194" s="1">
        <f t="shared" si="58"/>
        <v>0</v>
      </c>
      <c r="W194" s="1">
        <f t="shared" si="59"/>
        <v>0</v>
      </c>
      <c r="X194" s="1">
        <f t="shared" si="60"/>
        <v>0</v>
      </c>
      <c r="Y194" s="1">
        <f t="shared" si="61"/>
        <v>0</v>
      </c>
      <c r="Z194" s="1">
        <f t="shared" si="62"/>
        <v>0</v>
      </c>
      <c r="AA194" s="1">
        <f t="shared" si="63"/>
        <v>0</v>
      </c>
      <c r="AB194" s="1">
        <f t="shared" si="64"/>
        <v>0</v>
      </c>
      <c r="AD194" s="1">
        <f t="shared" si="65"/>
        <v>1</v>
      </c>
      <c r="AE194" s="1">
        <f t="shared" si="66"/>
        <v>0</v>
      </c>
      <c r="AF194" s="1">
        <f t="shared" si="67"/>
        <v>1</v>
      </c>
      <c r="AG194" s="1">
        <f t="shared" si="68"/>
        <v>0</v>
      </c>
      <c r="AH194" s="1">
        <f t="shared" si="69"/>
        <v>1</v>
      </c>
      <c r="AI194" s="1">
        <f t="shared" si="70"/>
        <v>0</v>
      </c>
    </row>
    <row r="195" spans="1:35" s="1" customFormat="1" ht="14.25" customHeight="1" x14ac:dyDescent="0.25">
      <c r="A195" s="31">
        <v>0</v>
      </c>
      <c r="B195" s="31">
        <v>1</v>
      </c>
      <c r="C195" s="31">
        <v>4</v>
      </c>
      <c r="D195" s="32" t="s">
        <v>50</v>
      </c>
      <c r="E195" s="32" t="s">
        <v>757</v>
      </c>
      <c r="F195" s="32" t="s">
        <v>192</v>
      </c>
      <c r="G195" s="32" t="s">
        <v>193</v>
      </c>
      <c r="H195" s="32" t="s">
        <v>352</v>
      </c>
      <c r="I195" s="31" t="s">
        <v>385</v>
      </c>
      <c r="J195" s="31">
        <v>9</v>
      </c>
      <c r="K195" s="33" t="s">
        <v>937</v>
      </c>
      <c r="L195" s="33" t="s">
        <v>685</v>
      </c>
      <c r="M195" s="34" t="s">
        <v>950</v>
      </c>
      <c r="N195" s="34" t="s">
        <v>1760</v>
      </c>
      <c r="O195" s="35">
        <v>1</v>
      </c>
      <c r="P195" s="35"/>
      <c r="Q195" s="32"/>
      <c r="S195" s="1">
        <f t="shared" si="55"/>
        <v>0</v>
      </c>
      <c r="T195" s="1">
        <f t="shared" si="56"/>
        <v>0</v>
      </c>
      <c r="U195" s="1">
        <f t="shared" si="57"/>
        <v>0</v>
      </c>
      <c r="V195" s="1">
        <f t="shared" si="58"/>
        <v>0</v>
      </c>
      <c r="W195" s="1">
        <f t="shared" si="59"/>
        <v>0</v>
      </c>
      <c r="X195" s="1">
        <f t="shared" si="60"/>
        <v>0</v>
      </c>
      <c r="Y195" s="1">
        <f t="shared" si="61"/>
        <v>0</v>
      </c>
      <c r="Z195" s="1">
        <f t="shared" si="62"/>
        <v>0</v>
      </c>
      <c r="AA195" s="1">
        <f t="shared" si="63"/>
        <v>1</v>
      </c>
      <c r="AB195" s="1">
        <f t="shared" si="64"/>
        <v>0</v>
      </c>
      <c r="AD195" s="1">
        <f t="shared" si="65"/>
        <v>0</v>
      </c>
      <c r="AE195" s="1">
        <f t="shared" si="66"/>
        <v>1</v>
      </c>
      <c r="AF195" s="1">
        <f t="shared" si="67"/>
        <v>0</v>
      </c>
      <c r="AG195" s="1">
        <f t="shared" si="68"/>
        <v>1</v>
      </c>
      <c r="AH195" s="1">
        <f t="shared" si="69"/>
        <v>0</v>
      </c>
      <c r="AI195" s="1">
        <f t="shared" si="70"/>
        <v>1</v>
      </c>
    </row>
    <row r="196" spans="1:35" s="1" customFormat="1" ht="14.25" customHeight="1" x14ac:dyDescent="0.25">
      <c r="A196" s="31">
        <v>0</v>
      </c>
      <c r="B196" s="31">
        <v>1</v>
      </c>
      <c r="C196" s="31">
        <v>4</v>
      </c>
      <c r="D196" s="32" t="s">
        <v>133</v>
      </c>
      <c r="E196" s="32" t="s">
        <v>176</v>
      </c>
      <c r="F196" s="32" t="s">
        <v>334</v>
      </c>
      <c r="G196" s="32" t="s">
        <v>212</v>
      </c>
      <c r="H196" s="32" t="s">
        <v>352</v>
      </c>
      <c r="I196" s="31" t="s">
        <v>480</v>
      </c>
      <c r="J196" s="31">
        <v>1</v>
      </c>
      <c r="K196" s="33" t="s">
        <v>937</v>
      </c>
      <c r="L196" s="33" t="s">
        <v>680</v>
      </c>
      <c r="M196" s="34" t="s">
        <v>682</v>
      </c>
      <c r="N196" s="34" t="s">
        <v>1704</v>
      </c>
      <c r="O196" s="35">
        <v>1</v>
      </c>
      <c r="P196" s="35"/>
      <c r="Q196" s="32"/>
      <c r="S196" s="1">
        <f t="shared" si="55"/>
        <v>1</v>
      </c>
      <c r="T196" s="1">
        <f t="shared" si="56"/>
        <v>0</v>
      </c>
      <c r="U196" s="1">
        <f t="shared" si="57"/>
        <v>0</v>
      </c>
      <c r="V196" s="1">
        <f t="shared" si="58"/>
        <v>0</v>
      </c>
      <c r="W196" s="1">
        <f t="shared" si="59"/>
        <v>0</v>
      </c>
      <c r="X196" s="1">
        <f t="shared" si="60"/>
        <v>0</v>
      </c>
      <c r="Y196" s="1">
        <f t="shared" si="61"/>
        <v>0</v>
      </c>
      <c r="Z196" s="1">
        <f t="shared" si="62"/>
        <v>0</v>
      </c>
      <c r="AA196" s="1">
        <f t="shared" si="63"/>
        <v>0</v>
      </c>
      <c r="AB196" s="1">
        <f t="shared" si="64"/>
        <v>0</v>
      </c>
      <c r="AD196" s="1">
        <f t="shared" si="65"/>
        <v>0</v>
      </c>
      <c r="AE196" s="1">
        <f t="shared" si="66"/>
        <v>1</v>
      </c>
      <c r="AF196" s="1">
        <f t="shared" si="67"/>
        <v>0</v>
      </c>
      <c r="AG196" s="1">
        <f t="shared" si="68"/>
        <v>1</v>
      </c>
      <c r="AH196" s="1">
        <f t="shared" si="69"/>
        <v>0</v>
      </c>
      <c r="AI196" s="1">
        <f t="shared" si="70"/>
        <v>1</v>
      </c>
    </row>
    <row r="197" spans="1:35" s="1" customFormat="1" ht="14.25" customHeight="1" x14ac:dyDescent="0.25">
      <c r="A197" s="31">
        <v>0</v>
      </c>
      <c r="B197" s="31">
        <v>1</v>
      </c>
      <c r="C197" s="31">
        <v>4</v>
      </c>
      <c r="D197" s="36" t="s">
        <v>2128</v>
      </c>
      <c r="E197" s="32" t="s">
        <v>757</v>
      </c>
      <c r="F197" s="36" t="s">
        <v>2035</v>
      </c>
      <c r="G197" s="36" t="s">
        <v>212</v>
      </c>
      <c r="H197" s="36" t="s">
        <v>352</v>
      </c>
      <c r="I197" s="37" t="s">
        <v>2036</v>
      </c>
      <c r="J197" s="31">
        <v>1</v>
      </c>
      <c r="K197" s="33" t="s">
        <v>694</v>
      </c>
      <c r="L197" s="33"/>
      <c r="M197" s="34"/>
      <c r="N197" s="34" t="s">
        <v>1699</v>
      </c>
      <c r="O197" s="35">
        <v>1</v>
      </c>
      <c r="P197" s="35">
        <v>1</v>
      </c>
      <c r="Q197" s="32" t="s">
        <v>2037</v>
      </c>
      <c r="S197" s="1">
        <f t="shared" si="55"/>
        <v>1</v>
      </c>
      <c r="T197" s="1">
        <f t="shared" si="56"/>
        <v>0</v>
      </c>
      <c r="U197" s="1">
        <f t="shared" si="57"/>
        <v>0</v>
      </c>
      <c r="V197" s="1">
        <f t="shared" si="58"/>
        <v>0</v>
      </c>
      <c r="W197" s="1">
        <f t="shared" si="59"/>
        <v>0</v>
      </c>
      <c r="X197" s="1">
        <f t="shared" si="60"/>
        <v>0</v>
      </c>
      <c r="Y197" s="1">
        <f t="shared" si="61"/>
        <v>0</v>
      </c>
      <c r="Z197" s="1">
        <f t="shared" si="62"/>
        <v>0</v>
      </c>
      <c r="AA197" s="1">
        <f t="shared" si="63"/>
        <v>0</v>
      </c>
      <c r="AB197" s="1">
        <f t="shared" si="64"/>
        <v>0</v>
      </c>
      <c r="AD197" s="1">
        <f t="shared" si="65"/>
        <v>1</v>
      </c>
      <c r="AE197" s="1">
        <f t="shared" si="66"/>
        <v>0</v>
      </c>
      <c r="AF197" s="1">
        <f t="shared" si="67"/>
        <v>1</v>
      </c>
      <c r="AG197" s="1">
        <f t="shared" si="68"/>
        <v>0</v>
      </c>
      <c r="AH197" s="1">
        <f t="shared" si="69"/>
        <v>1</v>
      </c>
      <c r="AI197" s="1">
        <f t="shared" si="70"/>
        <v>0</v>
      </c>
    </row>
    <row r="198" spans="1:35" s="1" customFormat="1" ht="14.25" customHeight="1" x14ac:dyDescent="0.25">
      <c r="A198" s="31">
        <v>0</v>
      </c>
      <c r="B198" s="31">
        <v>1</v>
      </c>
      <c r="C198" s="31">
        <v>5</v>
      </c>
      <c r="D198" s="32" t="s">
        <v>125</v>
      </c>
      <c r="E198" s="32" t="s">
        <v>522</v>
      </c>
      <c r="F198" s="32" t="s">
        <v>325</v>
      </c>
      <c r="G198" s="32" t="s">
        <v>298</v>
      </c>
      <c r="H198" s="32" t="s">
        <v>352</v>
      </c>
      <c r="I198" s="31" t="s">
        <v>472</v>
      </c>
      <c r="J198" s="31">
        <v>99</v>
      </c>
      <c r="K198" s="33" t="s">
        <v>693</v>
      </c>
      <c r="L198" s="33" t="s">
        <v>680</v>
      </c>
      <c r="M198" s="34" t="s">
        <v>951</v>
      </c>
      <c r="N198" s="34" t="s">
        <v>1704</v>
      </c>
      <c r="O198" s="35">
        <v>1</v>
      </c>
      <c r="P198" s="35"/>
      <c r="Q198" s="32"/>
      <c r="S198" s="1">
        <f t="shared" si="55"/>
        <v>0</v>
      </c>
      <c r="T198" s="1">
        <f t="shared" si="56"/>
        <v>0</v>
      </c>
      <c r="U198" s="1">
        <f t="shared" si="57"/>
        <v>0</v>
      </c>
      <c r="V198" s="1">
        <f t="shared" si="58"/>
        <v>0</v>
      </c>
      <c r="W198" s="1">
        <f t="shared" si="59"/>
        <v>0</v>
      </c>
      <c r="X198" s="1">
        <f t="shared" si="60"/>
        <v>0</v>
      </c>
      <c r="Y198" s="1">
        <f t="shared" si="61"/>
        <v>0</v>
      </c>
      <c r="Z198" s="1">
        <f t="shared" si="62"/>
        <v>0</v>
      </c>
      <c r="AA198" s="1">
        <f t="shared" si="63"/>
        <v>0</v>
      </c>
      <c r="AB198" s="1">
        <f t="shared" si="64"/>
        <v>0</v>
      </c>
      <c r="AD198" s="1">
        <f t="shared" si="65"/>
        <v>0</v>
      </c>
      <c r="AE198" s="1">
        <f t="shared" si="66"/>
        <v>1</v>
      </c>
      <c r="AF198" s="1">
        <f t="shared" si="67"/>
        <v>0</v>
      </c>
      <c r="AG198" s="1">
        <f t="shared" si="68"/>
        <v>1</v>
      </c>
      <c r="AH198" s="1">
        <f t="shared" si="69"/>
        <v>0</v>
      </c>
      <c r="AI198" s="1">
        <f t="shared" si="70"/>
        <v>1</v>
      </c>
    </row>
    <row r="199" spans="1:35" s="1" customFormat="1" ht="14.25" customHeight="1" x14ac:dyDescent="0.25">
      <c r="A199" s="31">
        <v>0</v>
      </c>
      <c r="B199" s="31">
        <v>1</v>
      </c>
      <c r="C199" s="31">
        <v>5</v>
      </c>
      <c r="D199" s="32" t="s">
        <v>1695</v>
      </c>
      <c r="E199" s="32" t="s">
        <v>165</v>
      </c>
      <c r="F199" s="32" t="s">
        <v>1696</v>
      </c>
      <c r="G199" s="32" t="s">
        <v>1697</v>
      </c>
      <c r="H199" s="32" t="s">
        <v>352</v>
      </c>
      <c r="I199" s="31" t="s">
        <v>1698</v>
      </c>
      <c r="J199" s="31">
        <v>2</v>
      </c>
      <c r="K199" s="33" t="s">
        <v>694</v>
      </c>
      <c r="L199" s="33"/>
      <c r="M199" s="34"/>
      <c r="N199" s="34" t="s">
        <v>1699</v>
      </c>
      <c r="O199" s="35">
        <v>1</v>
      </c>
      <c r="P199" s="35">
        <v>1</v>
      </c>
      <c r="Q199" s="32"/>
      <c r="S199" s="1">
        <f t="shared" si="55"/>
        <v>0</v>
      </c>
      <c r="T199" s="1">
        <f t="shared" si="56"/>
        <v>1</v>
      </c>
      <c r="U199" s="1">
        <f t="shared" si="57"/>
        <v>0</v>
      </c>
      <c r="V199" s="1">
        <f t="shared" si="58"/>
        <v>0</v>
      </c>
      <c r="W199" s="1">
        <f t="shared" si="59"/>
        <v>0</v>
      </c>
      <c r="X199" s="1">
        <f t="shared" si="60"/>
        <v>0</v>
      </c>
      <c r="Y199" s="1">
        <f t="shared" si="61"/>
        <v>0</v>
      </c>
      <c r="Z199" s="1">
        <f t="shared" si="62"/>
        <v>0</v>
      </c>
      <c r="AA199" s="1">
        <f t="shared" si="63"/>
        <v>0</v>
      </c>
      <c r="AB199" s="1">
        <f t="shared" si="64"/>
        <v>0</v>
      </c>
      <c r="AD199" s="1">
        <f t="shared" si="65"/>
        <v>1</v>
      </c>
      <c r="AE199" s="1">
        <f t="shared" si="66"/>
        <v>0</v>
      </c>
      <c r="AF199" s="1">
        <f t="shared" si="67"/>
        <v>1</v>
      </c>
      <c r="AG199" s="1">
        <f t="shared" si="68"/>
        <v>0</v>
      </c>
      <c r="AH199" s="1">
        <f t="shared" si="69"/>
        <v>1</v>
      </c>
      <c r="AI199" s="1">
        <f t="shared" si="70"/>
        <v>0</v>
      </c>
    </row>
    <row r="200" spans="1:35" s="1" customFormat="1" ht="14.25" customHeight="1" x14ac:dyDescent="0.25">
      <c r="A200" s="31">
        <v>0</v>
      </c>
      <c r="B200" s="31">
        <v>1</v>
      </c>
      <c r="C200" s="31">
        <v>5</v>
      </c>
      <c r="D200" s="32" t="s">
        <v>87</v>
      </c>
      <c r="E200" s="32" t="s">
        <v>165</v>
      </c>
      <c r="F200" s="32" t="s">
        <v>570</v>
      </c>
      <c r="G200" s="32" t="s">
        <v>193</v>
      </c>
      <c r="H200" s="32" t="s">
        <v>352</v>
      </c>
      <c r="I200" s="31" t="s">
        <v>434</v>
      </c>
      <c r="J200" s="31">
        <v>9</v>
      </c>
      <c r="K200" s="33" t="s">
        <v>937</v>
      </c>
      <c r="L200" s="33" t="s">
        <v>687</v>
      </c>
      <c r="M200" s="34" t="s">
        <v>682</v>
      </c>
      <c r="N200" s="34" t="s">
        <v>1704</v>
      </c>
      <c r="O200" s="35">
        <v>1</v>
      </c>
      <c r="P200" s="35"/>
      <c r="Q200" s="32"/>
      <c r="S200" s="1">
        <f t="shared" si="55"/>
        <v>0</v>
      </c>
      <c r="T200" s="1">
        <f t="shared" si="56"/>
        <v>0</v>
      </c>
      <c r="U200" s="1">
        <f t="shared" si="57"/>
        <v>0</v>
      </c>
      <c r="V200" s="1">
        <f t="shared" si="58"/>
        <v>0</v>
      </c>
      <c r="W200" s="1">
        <f t="shared" si="59"/>
        <v>0</v>
      </c>
      <c r="X200" s="1">
        <f t="shared" si="60"/>
        <v>0</v>
      </c>
      <c r="Y200" s="1">
        <f t="shared" si="61"/>
        <v>0</v>
      </c>
      <c r="Z200" s="1">
        <f t="shared" si="62"/>
        <v>0</v>
      </c>
      <c r="AA200" s="1">
        <f t="shared" si="63"/>
        <v>1</v>
      </c>
      <c r="AB200" s="1">
        <f t="shared" si="64"/>
        <v>0</v>
      </c>
      <c r="AD200" s="1">
        <f t="shared" si="65"/>
        <v>0</v>
      </c>
      <c r="AE200" s="1">
        <f t="shared" si="66"/>
        <v>1</v>
      </c>
      <c r="AF200" s="1">
        <f t="shared" si="67"/>
        <v>0</v>
      </c>
      <c r="AG200" s="1">
        <f t="shared" si="68"/>
        <v>1</v>
      </c>
      <c r="AH200" s="1">
        <f t="shared" si="69"/>
        <v>0</v>
      </c>
      <c r="AI200" s="1">
        <f t="shared" si="70"/>
        <v>1</v>
      </c>
    </row>
    <row r="201" spans="1:35" s="1" customFormat="1" ht="14.25" customHeight="1" x14ac:dyDescent="0.25">
      <c r="A201" s="31">
        <v>0</v>
      </c>
      <c r="B201" s="31">
        <v>1</v>
      </c>
      <c r="C201" s="31">
        <v>5</v>
      </c>
      <c r="D201" s="32" t="s">
        <v>1949</v>
      </c>
      <c r="E201" s="32" t="s">
        <v>165</v>
      </c>
      <c r="F201" s="32" t="s">
        <v>1950</v>
      </c>
      <c r="G201" s="32" t="s">
        <v>1953</v>
      </c>
      <c r="H201" s="32" t="s">
        <v>352</v>
      </c>
      <c r="I201" s="31" t="s">
        <v>1951</v>
      </c>
      <c r="J201" s="31">
        <v>99</v>
      </c>
      <c r="K201" s="33" t="s">
        <v>694</v>
      </c>
      <c r="L201" s="33">
        <v>25</v>
      </c>
      <c r="M201" s="34" t="s">
        <v>682</v>
      </c>
      <c r="N201" s="34" t="s">
        <v>1704</v>
      </c>
      <c r="O201" s="35">
        <v>1</v>
      </c>
      <c r="P201" s="35"/>
      <c r="Q201" s="32" t="s">
        <v>1952</v>
      </c>
      <c r="S201" s="1">
        <f t="shared" si="55"/>
        <v>0</v>
      </c>
      <c r="T201" s="1">
        <f t="shared" si="56"/>
        <v>0</v>
      </c>
      <c r="U201" s="1">
        <f t="shared" si="57"/>
        <v>0</v>
      </c>
      <c r="V201" s="1">
        <f t="shared" si="58"/>
        <v>0</v>
      </c>
      <c r="W201" s="1">
        <f t="shared" si="59"/>
        <v>0</v>
      </c>
      <c r="X201" s="1">
        <f t="shared" si="60"/>
        <v>0</v>
      </c>
      <c r="Y201" s="1">
        <f t="shared" si="61"/>
        <v>0</v>
      </c>
      <c r="Z201" s="1">
        <f t="shared" si="62"/>
        <v>0</v>
      </c>
      <c r="AA201" s="1">
        <f t="shared" si="63"/>
        <v>0</v>
      </c>
      <c r="AB201" s="1">
        <f t="shared" si="64"/>
        <v>0</v>
      </c>
      <c r="AD201" s="1">
        <f t="shared" si="65"/>
        <v>0</v>
      </c>
      <c r="AE201" s="1">
        <f t="shared" si="66"/>
        <v>1</v>
      </c>
      <c r="AF201" s="1">
        <f t="shared" si="67"/>
        <v>0</v>
      </c>
      <c r="AG201" s="1">
        <f t="shared" si="68"/>
        <v>1</v>
      </c>
      <c r="AH201" s="1">
        <f t="shared" si="69"/>
        <v>0</v>
      </c>
      <c r="AI201" s="1">
        <f t="shared" si="70"/>
        <v>1</v>
      </c>
    </row>
    <row r="202" spans="1:35" s="1" customFormat="1" ht="14.25" customHeight="1" x14ac:dyDescent="0.25">
      <c r="A202" s="31">
        <v>0</v>
      </c>
      <c r="B202" s="31">
        <v>1</v>
      </c>
      <c r="C202" s="31">
        <v>5</v>
      </c>
      <c r="D202" s="32" t="s">
        <v>126</v>
      </c>
      <c r="E202" s="32" t="s">
        <v>165</v>
      </c>
      <c r="F202" s="32" t="s">
        <v>326</v>
      </c>
      <c r="G202" s="32" t="s">
        <v>179</v>
      </c>
      <c r="H202" s="32" t="s">
        <v>352</v>
      </c>
      <c r="I202" s="31" t="s">
        <v>473</v>
      </c>
      <c r="J202" s="31">
        <v>10</v>
      </c>
      <c r="K202" s="33" t="s">
        <v>939</v>
      </c>
      <c r="L202" s="33" t="s">
        <v>685</v>
      </c>
      <c r="M202" s="34" t="s">
        <v>682</v>
      </c>
      <c r="N202" s="34" t="s">
        <v>1749</v>
      </c>
      <c r="O202" s="35">
        <v>1</v>
      </c>
      <c r="P202" s="35"/>
      <c r="Q202" s="32"/>
      <c r="S202" s="1">
        <f t="shared" si="55"/>
        <v>0</v>
      </c>
      <c r="T202" s="1">
        <f t="shared" si="56"/>
        <v>0</v>
      </c>
      <c r="U202" s="1">
        <f t="shared" si="57"/>
        <v>0</v>
      </c>
      <c r="V202" s="1">
        <f t="shared" si="58"/>
        <v>0</v>
      </c>
      <c r="W202" s="1">
        <f t="shared" si="59"/>
        <v>0</v>
      </c>
      <c r="X202" s="1">
        <f t="shared" si="60"/>
        <v>0</v>
      </c>
      <c r="Y202" s="1">
        <f t="shared" si="61"/>
        <v>0</v>
      </c>
      <c r="Z202" s="1">
        <f t="shared" si="62"/>
        <v>0</v>
      </c>
      <c r="AA202" s="1">
        <f t="shared" si="63"/>
        <v>0</v>
      </c>
      <c r="AB202" s="1">
        <f t="shared" si="64"/>
        <v>1</v>
      </c>
      <c r="AD202" s="1">
        <f t="shared" si="65"/>
        <v>0</v>
      </c>
      <c r="AE202" s="1">
        <f t="shared" si="66"/>
        <v>1</v>
      </c>
      <c r="AF202" s="1">
        <f t="shared" si="67"/>
        <v>0</v>
      </c>
      <c r="AG202" s="1">
        <f t="shared" si="68"/>
        <v>1</v>
      </c>
      <c r="AH202" s="1">
        <f t="shared" si="69"/>
        <v>0</v>
      </c>
      <c r="AI202" s="1">
        <f t="shared" si="70"/>
        <v>1</v>
      </c>
    </row>
    <row r="203" spans="1:35" s="1" customFormat="1" ht="14.25" customHeight="1" x14ac:dyDescent="0.25">
      <c r="A203" s="31">
        <v>0</v>
      </c>
      <c r="B203" s="31">
        <v>1</v>
      </c>
      <c r="C203" s="31">
        <v>5</v>
      </c>
      <c r="D203" s="32" t="s">
        <v>136</v>
      </c>
      <c r="E203" s="32" t="s">
        <v>165</v>
      </c>
      <c r="F203" s="32" t="s">
        <v>544</v>
      </c>
      <c r="G203" s="32" t="s">
        <v>219</v>
      </c>
      <c r="H203" s="32" t="s">
        <v>352</v>
      </c>
      <c r="I203" s="31" t="s">
        <v>536</v>
      </c>
      <c r="J203" s="31">
        <v>8</v>
      </c>
      <c r="K203" s="33" t="s">
        <v>937</v>
      </c>
      <c r="L203" s="33" t="s">
        <v>685</v>
      </c>
      <c r="M203" s="34" t="s">
        <v>682</v>
      </c>
      <c r="N203" s="34" t="s">
        <v>1704</v>
      </c>
      <c r="O203" s="35">
        <v>1</v>
      </c>
      <c r="P203" s="35"/>
      <c r="Q203" s="32"/>
      <c r="S203" s="1">
        <f t="shared" si="55"/>
        <v>0</v>
      </c>
      <c r="T203" s="1">
        <f t="shared" si="56"/>
        <v>0</v>
      </c>
      <c r="U203" s="1">
        <f t="shared" si="57"/>
        <v>0</v>
      </c>
      <c r="V203" s="1">
        <f t="shared" si="58"/>
        <v>0</v>
      </c>
      <c r="W203" s="1">
        <f t="shared" si="59"/>
        <v>0</v>
      </c>
      <c r="X203" s="1">
        <f t="shared" si="60"/>
        <v>0</v>
      </c>
      <c r="Y203" s="1">
        <f t="shared" si="61"/>
        <v>0</v>
      </c>
      <c r="Z203" s="1">
        <f t="shared" si="62"/>
        <v>1</v>
      </c>
      <c r="AA203" s="1">
        <f t="shared" si="63"/>
        <v>0</v>
      </c>
      <c r="AB203" s="1">
        <f t="shared" si="64"/>
        <v>0</v>
      </c>
      <c r="AD203" s="1">
        <f t="shared" si="65"/>
        <v>0</v>
      </c>
      <c r="AE203" s="1">
        <f t="shared" si="66"/>
        <v>1</v>
      </c>
      <c r="AF203" s="1">
        <f t="shared" si="67"/>
        <v>0</v>
      </c>
      <c r="AG203" s="1">
        <f t="shared" si="68"/>
        <v>1</v>
      </c>
      <c r="AH203" s="1">
        <f t="shared" si="69"/>
        <v>0</v>
      </c>
      <c r="AI203" s="1">
        <f t="shared" si="70"/>
        <v>1</v>
      </c>
    </row>
    <row r="204" spans="1:35" s="1" customFormat="1" ht="14.25" customHeight="1" x14ac:dyDescent="0.25">
      <c r="A204" s="31">
        <v>1</v>
      </c>
      <c r="B204" s="31">
        <v>1</v>
      </c>
      <c r="C204" s="31">
        <v>5</v>
      </c>
      <c r="D204" s="32" t="s">
        <v>136</v>
      </c>
      <c r="E204" s="32" t="s">
        <v>165</v>
      </c>
      <c r="F204" s="32" t="s">
        <v>335</v>
      </c>
      <c r="G204" s="32" t="s">
        <v>336</v>
      </c>
      <c r="H204" s="32" t="s">
        <v>352</v>
      </c>
      <c r="I204" s="31" t="s">
        <v>482</v>
      </c>
      <c r="J204" s="31">
        <v>10</v>
      </c>
      <c r="K204" s="33" t="s">
        <v>937</v>
      </c>
      <c r="L204" s="33" t="s">
        <v>685</v>
      </c>
      <c r="M204" s="34" t="s">
        <v>682</v>
      </c>
      <c r="N204" s="34" t="s">
        <v>1704</v>
      </c>
      <c r="O204" s="35">
        <v>1</v>
      </c>
      <c r="P204" s="35"/>
      <c r="Q204" s="32"/>
      <c r="S204" s="1">
        <f t="shared" si="55"/>
        <v>0</v>
      </c>
      <c r="T204" s="1">
        <f t="shared" si="56"/>
        <v>0</v>
      </c>
      <c r="U204" s="1">
        <f t="shared" si="57"/>
        <v>0</v>
      </c>
      <c r="V204" s="1">
        <f t="shared" si="58"/>
        <v>0</v>
      </c>
      <c r="W204" s="1">
        <f t="shared" si="59"/>
        <v>0</v>
      </c>
      <c r="X204" s="1">
        <f t="shared" si="60"/>
        <v>0</v>
      </c>
      <c r="Y204" s="1">
        <f t="shared" si="61"/>
        <v>0</v>
      </c>
      <c r="Z204" s="1">
        <f t="shared" si="62"/>
        <v>0</v>
      </c>
      <c r="AA204" s="1">
        <f t="shared" si="63"/>
        <v>0</v>
      </c>
      <c r="AB204" s="1">
        <f t="shared" si="64"/>
        <v>1</v>
      </c>
      <c r="AD204" s="1">
        <f t="shared" si="65"/>
        <v>0</v>
      </c>
      <c r="AE204" s="1">
        <f t="shared" si="66"/>
        <v>1</v>
      </c>
      <c r="AF204" s="1">
        <f t="shared" si="67"/>
        <v>0</v>
      </c>
      <c r="AG204" s="1">
        <f t="shared" si="68"/>
        <v>0</v>
      </c>
      <c r="AH204" s="1">
        <f t="shared" si="69"/>
        <v>0</v>
      </c>
      <c r="AI204" s="1">
        <f t="shared" si="70"/>
        <v>0</v>
      </c>
    </row>
    <row r="205" spans="1:35" s="1" customFormat="1" ht="14.25" customHeight="1" x14ac:dyDescent="0.25">
      <c r="A205" s="31">
        <v>0</v>
      </c>
      <c r="B205" s="31">
        <v>1</v>
      </c>
      <c r="C205" s="31">
        <v>5</v>
      </c>
      <c r="D205" s="32" t="s">
        <v>1604</v>
      </c>
      <c r="E205" s="32" t="s">
        <v>165</v>
      </c>
      <c r="F205" s="32" t="s">
        <v>850</v>
      </c>
      <c r="G205" s="32" t="s">
        <v>1631</v>
      </c>
      <c r="H205" s="32" t="s">
        <v>352</v>
      </c>
      <c r="I205" s="31" t="s">
        <v>851</v>
      </c>
      <c r="J205" s="31">
        <v>1</v>
      </c>
      <c r="K205" s="33" t="s">
        <v>713</v>
      </c>
      <c r="L205" s="33" t="s">
        <v>1673</v>
      </c>
      <c r="M205" s="34" t="s">
        <v>1371</v>
      </c>
      <c r="N205" s="34" t="s">
        <v>1704</v>
      </c>
      <c r="O205" s="35">
        <v>1</v>
      </c>
      <c r="P205" s="35"/>
      <c r="Q205" s="32"/>
      <c r="S205" s="1">
        <f t="shared" si="55"/>
        <v>1</v>
      </c>
      <c r="T205" s="1">
        <f t="shared" si="56"/>
        <v>0</v>
      </c>
      <c r="U205" s="1">
        <f t="shared" si="57"/>
        <v>0</v>
      </c>
      <c r="V205" s="1">
        <f t="shared" si="58"/>
        <v>0</v>
      </c>
      <c r="W205" s="1">
        <f t="shared" si="59"/>
        <v>0</v>
      </c>
      <c r="X205" s="1">
        <f t="shared" si="60"/>
        <v>0</v>
      </c>
      <c r="Y205" s="1">
        <f t="shared" si="61"/>
        <v>0</v>
      </c>
      <c r="Z205" s="1">
        <f t="shared" si="62"/>
        <v>0</v>
      </c>
      <c r="AA205" s="1">
        <f t="shared" si="63"/>
        <v>0</v>
      </c>
      <c r="AB205" s="1">
        <f t="shared" si="64"/>
        <v>0</v>
      </c>
      <c r="AD205" s="1">
        <f t="shared" si="65"/>
        <v>0</v>
      </c>
      <c r="AE205" s="1">
        <f t="shared" si="66"/>
        <v>1</v>
      </c>
      <c r="AF205" s="1">
        <f t="shared" si="67"/>
        <v>0</v>
      </c>
      <c r="AG205" s="1">
        <f t="shared" si="68"/>
        <v>1</v>
      </c>
      <c r="AH205" s="1">
        <f t="shared" si="69"/>
        <v>0</v>
      </c>
      <c r="AI205" s="1">
        <f t="shared" si="70"/>
        <v>1</v>
      </c>
    </row>
    <row r="206" spans="1:35" s="1" customFormat="1" ht="14.25" customHeight="1" x14ac:dyDescent="0.25">
      <c r="A206" s="31">
        <v>0</v>
      </c>
      <c r="B206" s="31">
        <v>1</v>
      </c>
      <c r="C206" s="31">
        <v>5</v>
      </c>
      <c r="D206" s="32" t="s">
        <v>2065</v>
      </c>
      <c r="E206" s="32" t="s">
        <v>165</v>
      </c>
      <c r="F206" s="32" t="s">
        <v>2066</v>
      </c>
      <c r="G206" s="32" t="s">
        <v>193</v>
      </c>
      <c r="H206" s="32" t="s">
        <v>352</v>
      </c>
      <c r="I206" s="31" t="s">
        <v>2067</v>
      </c>
      <c r="J206" s="31">
        <v>9</v>
      </c>
      <c r="K206" s="33" t="s">
        <v>694</v>
      </c>
      <c r="L206" s="33"/>
      <c r="M206" s="34"/>
      <c r="N206" s="34" t="s">
        <v>1699</v>
      </c>
      <c r="O206" s="35">
        <v>1</v>
      </c>
      <c r="P206" s="35">
        <v>1</v>
      </c>
      <c r="Q206" s="32" t="s">
        <v>2068</v>
      </c>
      <c r="S206" s="1">
        <f t="shared" si="55"/>
        <v>0</v>
      </c>
      <c r="T206" s="1">
        <f t="shared" si="56"/>
        <v>0</v>
      </c>
      <c r="U206" s="1">
        <f t="shared" si="57"/>
        <v>0</v>
      </c>
      <c r="V206" s="1">
        <f t="shared" si="58"/>
        <v>0</v>
      </c>
      <c r="W206" s="1">
        <f t="shared" si="59"/>
        <v>0</v>
      </c>
      <c r="X206" s="1">
        <f t="shared" si="60"/>
        <v>0</v>
      </c>
      <c r="Y206" s="1">
        <f t="shared" si="61"/>
        <v>0</v>
      </c>
      <c r="Z206" s="1">
        <f t="shared" si="62"/>
        <v>0</v>
      </c>
      <c r="AA206" s="1">
        <f t="shared" si="63"/>
        <v>1</v>
      </c>
      <c r="AB206" s="1">
        <f t="shared" si="64"/>
        <v>0</v>
      </c>
      <c r="AD206" s="1">
        <f t="shared" si="65"/>
        <v>1</v>
      </c>
      <c r="AE206" s="1">
        <f t="shared" si="66"/>
        <v>0</v>
      </c>
      <c r="AF206" s="1">
        <f t="shared" si="67"/>
        <v>1</v>
      </c>
      <c r="AG206" s="1">
        <f t="shared" si="68"/>
        <v>0</v>
      </c>
      <c r="AH206" s="1">
        <f t="shared" si="69"/>
        <v>1</v>
      </c>
      <c r="AI206" s="1">
        <f t="shared" si="70"/>
        <v>0</v>
      </c>
    </row>
    <row r="207" spans="1:35" s="1" customFormat="1" ht="14.25" customHeight="1" x14ac:dyDescent="0.25">
      <c r="A207" s="15">
        <v>0</v>
      </c>
      <c r="B207" s="15">
        <v>1</v>
      </c>
      <c r="C207" s="15">
        <v>5</v>
      </c>
      <c r="D207" s="20" t="s">
        <v>1906</v>
      </c>
      <c r="E207" s="20" t="s">
        <v>876</v>
      </c>
      <c r="F207" s="20" t="s">
        <v>1923</v>
      </c>
      <c r="G207" s="20"/>
      <c r="H207" s="20" t="s">
        <v>1924</v>
      </c>
      <c r="I207" s="21" t="s">
        <v>1922</v>
      </c>
      <c r="J207" s="15">
        <v>15</v>
      </c>
      <c r="K207" s="10" t="s">
        <v>694</v>
      </c>
      <c r="L207" s="10" t="s">
        <v>688</v>
      </c>
      <c r="M207" s="19" t="s">
        <v>952</v>
      </c>
      <c r="N207" s="17"/>
      <c r="Q207" s="20" t="s">
        <v>1925</v>
      </c>
      <c r="S207" s="1">
        <f t="shared" si="55"/>
        <v>0</v>
      </c>
      <c r="T207" s="1">
        <f t="shared" si="56"/>
        <v>0</v>
      </c>
      <c r="U207" s="1">
        <f t="shared" si="57"/>
        <v>0</v>
      </c>
      <c r="V207" s="1">
        <f t="shared" si="58"/>
        <v>0</v>
      </c>
      <c r="W207" s="1">
        <f t="shared" si="59"/>
        <v>0</v>
      </c>
      <c r="X207" s="1">
        <f t="shared" si="60"/>
        <v>0</v>
      </c>
      <c r="Y207" s="1">
        <f t="shared" si="61"/>
        <v>0</v>
      </c>
      <c r="Z207" s="1">
        <f t="shared" si="62"/>
        <v>0</v>
      </c>
      <c r="AA207" s="1">
        <f t="shared" si="63"/>
        <v>0</v>
      </c>
      <c r="AB207" s="1">
        <f t="shared" si="64"/>
        <v>0</v>
      </c>
      <c r="AD207" s="1">
        <f t="shared" si="65"/>
        <v>0</v>
      </c>
      <c r="AE207" s="1">
        <f t="shared" si="66"/>
        <v>0</v>
      </c>
      <c r="AF207" s="1">
        <f t="shared" si="67"/>
        <v>0</v>
      </c>
      <c r="AG207" s="1">
        <f t="shared" si="68"/>
        <v>0</v>
      </c>
      <c r="AH207" s="1">
        <f t="shared" si="69"/>
        <v>0</v>
      </c>
      <c r="AI207" s="1">
        <f t="shared" si="70"/>
        <v>1</v>
      </c>
    </row>
    <row r="208" spans="1:35" s="1" customFormat="1" ht="14.25" customHeight="1" x14ac:dyDescent="0.25">
      <c r="A208" s="31">
        <v>0</v>
      </c>
      <c r="B208" s="31">
        <v>1</v>
      </c>
      <c r="C208" s="31">
        <v>5</v>
      </c>
      <c r="D208" s="32" t="s">
        <v>870</v>
      </c>
      <c r="E208" s="32" t="s">
        <v>871</v>
      </c>
      <c r="F208" s="32" t="s">
        <v>1073</v>
      </c>
      <c r="G208" s="32" t="s">
        <v>39</v>
      </c>
      <c r="H208" s="32" t="s">
        <v>872</v>
      </c>
      <c r="I208" s="31" t="s">
        <v>873</v>
      </c>
      <c r="J208" s="31">
        <v>16</v>
      </c>
      <c r="K208" s="33" t="s">
        <v>694</v>
      </c>
      <c r="L208" s="33" t="s">
        <v>683</v>
      </c>
      <c r="M208" s="34" t="s">
        <v>951</v>
      </c>
      <c r="N208" s="34" t="s">
        <v>1699</v>
      </c>
      <c r="O208" s="35">
        <v>1</v>
      </c>
      <c r="P208" s="35">
        <v>1</v>
      </c>
      <c r="Q208" s="36" t="s">
        <v>1852</v>
      </c>
      <c r="S208" s="1">
        <f t="shared" si="55"/>
        <v>0</v>
      </c>
      <c r="T208" s="1">
        <f t="shared" si="56"/>
        <v>0</v>
      </c>
      <c r="U208" s="1">
        <f t="shared" si="57"/>
        <v>0</v>
      </c>
      <c r="V208" s="1">
        <f t="shared" si="58"/>
        <v>0</v>
      </c>
      <c r="W208" s="1">
        <f t="shared" si="59"/>
        <v>0</v>
      </c>
      <c r="X208" s="1">
        <f t="shared" si="60"/>
        <v>0</v>
      </c>
      <c r="Y208" s="1">
        <f t="shared" si="61"/>
        <v>0</v>
      </c>
      <c r="Z208" s="1">
        <f t="shared" si="62"/>
        <v>0</v>
      </c>
      <c r="AA208" s="1">
        <f t="shared" si="63"/>
        <v>0</v>
      </c>
      <c r="AB208" s="1">
        <f t="shared" si="64"/>
        <v>0</v>
      </c>
      <c r="AD208" s="1">
        <f t="shared" si="65"/>
        <v>1</v>
      </c>
      <c r="AE208" s="1">
        <f t="shared" si="66"/>
        <v>0</v>
      </c>
      <c r="AF208" s="1">
        <f t="shared" si="67"/>
        <v>1</v>
      </c>
      <c r="AG208" s="1">
        <f t="shared" si="68"/>
        <v>0</v>
      </c>
      <c r="AH208" s="1">
        <f t="shared" si="69"/>
        <v>1</v>
      </c>
      <c r="AI208" s="1">
        <f t="shared" si="70"/>
        <v>0</v>
      </c>
    </row>
    <row r="209" spans="1:35" s="1" customFormat="1" ht="14.25" customHeight="1" x14ac:dyDescent="0.25">
      <c r="A209" s="31">
        <v>0</v>
      </c>
      <c r="B209" s="31">
        <v>1</v>
      </c>
      <c r="C209" s="31">
        <v>5</v>
      </c>
      <c r="D209" s="32" t="s">
        <v>105</v>
      </c>
      <c r="E209" s="32" t="s">
        <v>172</v>
      </c>
      <c r="F209" s="32" t="s">
        <v>302</v>
      </c>
      <c r="G209" s="32" t="s">
        <v>39</v>
      </c>
      <c r="H209" s="32" t="s">
        <v>357</v>
      </c>
      <c r="I209" s="31" t="s">
        <v>450</v>
      </c>
      <c r="J209" s="31">
        <v>14</v>
      </c>
      <c r="K209" s="33" t="s">
        <v>937</v>
      </c>
      <c r="L209" s="33" t="s">
        <v>684</v>
      </c>
      <c r="M209" s="34" t="s">
        <v>951</v>
      </c>
      <c r="N209" s="34" t="s">
        <v>1704</v>
      </c>
      <c r="O209" s="35">
        <v>1</v>
      </c>
      <c r="P209" s="35"/>
      <c r="Q209" s="32"/>
      <c r="S209" s="1">
        <f t="shared" si="55"/>
        <v>0</v>
      </c>
      <c r="T209" s="1">
        <f t="shared" si="56"/>
        <v>0</v>
      </c>
      <c r="U209" s="1">
        <f t="shared" si="57"/>
        <v>0</v>
      </c>
      <c r="V209" s="1">
        <f t="shared" si="58"/>
        <v>0</v>
      </c>
      <c r="W209" s="1">
        <f t="shared" si="59"/>
        <v>0</v>
      </c>
      <c r="X209" s="1">
        <f t="shared" si="60"/>
        <v>0</v>
      </c>
      <c r="Y209" s="1">
        <f t="shared" si="61"/>
        <v>0</v>
      </c>
      <c r="Z209" s="1">
        <f t="shared" si="62"/>
        <v>0</v>
      </c>
      <c r="AA209" s="1">
        <f t="shared" si="63"/>
        <v>0</v>
      </c>
      <c r="AB209" s="1">
        <f t="shared" si="64"/>
        <v>0</v>
      </c>
      <c r="AD209" s="1">
        <f t="shared" si="65"/>
        <v>0</v>
      </c>
      <c r="AE209" s="1">
        <f t="shared" si="66"/>
        <v>1</v>
      </c>
      <c r="AF209" s="1">
        <f t="shared" si="67"/>
        <v>0</v>
      </c>
      <c r="AG209" s="1">
        <f t="shared" si="68"/>
        <v>1</v>
      </c>
      <c r="AH209" s="1">
        <f t="shared" si="69"/>
        <v>0</v>
      </c>
      <c r="AI209" s="1">
        <f t="shared" si="70"/>
        <v>1</v>
      </c>
    </row>
    <row r="210" spans="1:35" s="1" customFormat="1" ht="14.25" customHeight="1" x14ac:dyDescent="0.25">
      <c r="A210" s="31">
        <v>0</v>
      </c>
      <c r="B210" s="31">
        <v>1</v>
      </c>
      <c r="C210" s="31">
        <v>5</v>
      </c>
      <c r="D210" s="32" t="s">
        <v>509</v>
      </c>
      <c r="E210" s="32" t="s">
        <v>171</v>
      </c>
      <c r="F210" s="32" t="s">
        <v>545</v>
      </c>
      <c r="G210" s="32" t="s">
        <v>39</v>
      </c>
      <c r="H210" s="32" t="s">
        <v>360</v>
      </c>
      <c r="I210" s="31" t="s">
        <v>1095</v>
      </c>
      <c r="J210" s="31">
        <v>12</v>
      </c>
      <c r="K210" s="33" t="s">
        <v>694</v>
      </c>
      <c r="L210" s="33">
        <v>35</v>
      </c>
      <c r="M210" s="34" t="s">
        <v>951</v>
      </c>
      <c r="N210" s="34" t="s">
        <v>1784</v>
      </c>
      <c r="O210" s="35">
        <v>1</v>
      </c>
      <c r="P210" s="35"/>
      <c r="Q210" s="32"/>
      <c r="S210" s="1">
        <f t="shared" si="55"/>
        <v>0</v>
      </c>
      <c r="T210" s="1">
        <f t="shared" si="56"/>
        <v>0</v>
      </c>
      <c r="U210" s="1">
        <f t="shared" si="57"/>
        <v>0</v>
      </c>
      <c r="V210" s="1">
        <f t="shared" si="58"/>
        <v>0</v>
      </c>
      <c r="W210" s="1">
        <f t="shared" si="59"/>
        <v>0</v>
      </c>
      <c r="X210" s="1">
        <f t="shared" si="60"/>
        <v>0</v>
      </c>
      <c r="Y210" s="1">
        <f t="shared" si="61"/>
        <v>0</v>
      </c>
      <c r="Z210" s="1">
        <f t="shared" si="62"/>
        <v>0</v>
      </c>
      <c r="AA210" s="1">
        <f t="shared" si="63"/>
        <v>0</v>
      </c>
      <c r="AB210" s="1">
        <f t="shared" si="64"/>
        <v>0</v>
      </c>
      <c r="AD210" s="1">
        <f t="shared" si="65"/>
        <v>0</v>
      </c>
      <c r="AE210" s="1">
        <f t="shared" si="66"/>
        <v>1</v>
      </c>
      <c r="AF210" s="1">
        <f t="shared" si="67"/>
        <v>0</v>
      </c>
      <c r="AG210" s="1">
        <f t="shared" si="68"/>
        <v>1</v>
      </c>
      <c r="AH210" s="1">
        <f t="shared" si="69"/>
        <v>0</v>
      </c>
      <c r="AI210" s="1">
        <f t="shared" si="70"/>
        <v>1</v>
      </c>
    </row>
    <row r="211" spans="1:35" s="1" customFormat="1" ht="14.25" customHeight="1" x14ac:dyDescent="0.25">
      <c r="A211" s="31">
        <v>0</v>
      </c>
      <c r="B211" s="31">
        <v>1</v>
      </c>
      <c r="C211" s="31">
        <v>5</v>
      </c>
      <c r="D211" s="32" t="s">
        <v>150</v>
      </c>
      <c r="E211" s="32" t="s">
        <v>165</v>
      </c>
      <c r="F211" s="36" t="s">
        <v>1829</v>
      </c>
      <c r="G211" s="32" t="s">
        <v>196</v>
      </c>
      <c r="H211" s="32" t="s">
        <v>352</v>
      </c>
      <c r="I211" s="31" t="s">
        <v>495</v>
      </c>
      <c r="J211" s="31">
        <v>99</v>
      </c>
      <c r="K211" s="33" t="s">
        <v>937</v>
      </c>
      <c r="L211" s="33" t="s">
        <v>684</v>
      </c>
      <c r="M211" s="34" t="s">
        <v>951</v>
      </c>
      <c r="N211" s="34" t="s">
        <v>1708</v>
      </c>
      <c r="O211" s="35">
        <v>1</v>
      </c>
      <c r="P211" s="35"/>
      <c r="Q211" s="32"/>
      <c r="S211" s="1">
        <f t="shared" ref="S211:S275" si="73">IF(J211=$S$7,1,0)</f>
        <v>0</v>
      </c>
      <c r="T211" s="1">
        <f t="shared" ref="T211:T275" si="74">IF(J211=$T$7,1,0)</f>
        <v>0</v>
      </c>
      <c r="U211" s="1">
        <f t="shared" ref="U211:U275" si="75">IF(J211=$U$7,1,0)</f>
        <v>0</v>
      </c>
      <c r="V211" s="1">
        <f t="shared" ref="V211:V275" si="76">IF(J211=$V$7,1,0)</f>
        <v>0</v>
      </c>
      <c r="W211" s="1">
        <f t="shared" ref="W211:W275" si="77">IF(J211=$W$7,1,0)</f>
        <v>0</v>
      </c>
      <c r="X211" s="1">
        <f t="shared" ref="X211:X275" si="78">IF(J211=$X$7,1,0)</f>
        <v>0</v>
      </c>
      <c r="Y211" s="1">
        <f t="shared" ref="Y211:Y275" si="79">IF(J211=$Y$7,1,0)</f>
        <v>0</v>
      </c>
      <c r="Z211" s="1">
        <f t="shared" ref="Z211:Z275" si="80">IF(J211=$Z$7,1,0)</f>
        <v>0</v>
      </c>
      <c r="AA211" s="1">
        <f t="shared" ref="AA211:AA275" si="81">IF(J211=$AA$7,1,0)</f>
        <v>0</v>
      </c>
      <c r="AB211" s="1">
        <f t="shared" ref="AB211:AB275" si="82">IF(J211=$AB$7,1,0)</f>
        <v>0</v>
      </c>
      <c r="AD211" s="1">
        <f t="shared" ref="AD211:AD275" si="83">+O211*P211</f>
        <v>0</v>
      </c>
      <c r="AE211" s="1">
        <f t="shared" ref="AE211:AE275" si="84">O211*(1-P211)</f>
        <v>1</v>
      </c>
      <c r="AF211" s="1">
        <f t="shared" si="67"/>
        <v>0</v>
      </c>
      <c r="AG211" s="1">
        <f t="shared" si="68"/>
        <v>1</v>
      </c>
      <c r="AH211" s="1">
        <f t="shared" si="69"/>
        <v>0</v>
      </c>
      <c r="AI211" s="1">
        <f t="shared" si="70"/>
        <v>1</v>
      </c>
    </row>
    <row r="212" spans="1:35" s="1" customFormat="1" ht="14.25" customHeight="1" x14ac:dyDescent="0.25">
      <c r="A212" s="31">
        <v>0</v>
      </c>
      <c r="B212" s="31">
        <v>1</v>
      </c>
      <c r="C212" s="31">
        <v>5</v>
      </c>
      <c r="D212" s="32" t="s">
        <v>641</v>
      </c>
      <c r="E212" s="32" t="s">
        <v>675</v>
      </c>
      <c r="F212" s="32" t="s">
        <v>637</v>
      </c>
      <c r="G212" s="32" t="s">
        <v>184</v>
      </c>
      <c r="H212" s="32" t="s">
        <v>352</v>
      </c>
      <c r="I212" s="31" t="s">
        <v>638</v>
      </c>
      <c r="J212" s="31">
        <v>99</v>
      </c>
      <c r="K212" s="33" t="s">
        <v>713</v>
      </c>
      <c r="L212" s="33" t="s">
        <v>684</v>
      </c>
      <c r="M212" s="34" t="s">
        <v>951</v>
      </c>
      <c r="N212" s="34" t="s">
        <v>1709</v>
      </c>
      <c r="O212" s="35">
        <v>1</v>
      </c>
      <c r="P212" s="35"/>
      <c r="Q212" s="32"/>
      <c r="S212" s="1">
        <f t="shared" si="73"/>
        <v>0</v>
      </c>
      <c r="T212" s="1">
        <f t="shared" si="74"/>
        <v>0</v>
      </c>
      <c r="U212" s="1">
        <f t="shared" si="75"/>
        <v>0</v>
      </c>
      <c r="V212" s="1">
        <f t="shared" si="76"/>
        <v>0</v>
      </c>
      <c r="W212" s="1">
        <f t="shared" si="77"/>
        <v>0</v>
      </c>
      <c r="X212" s="1">
        <f t="shared" si="78"/>
        <v>0</v>
      </c>
      <c r="Y212" s="1">
        <f t="shared" si="79"/>
        <v>0</v>
      </c>
      <c r="Z212" s="1">
        <f t="shared" si="80"/>
        <v>0</v>
      </c>
      <c r="AA212" s="1">
        <f t="shared" si="81"/>
        <v>0</v>
      </c>
      <c r="AB212" s="1">
        <f t="shared" si="82"/>
        <v>0</v>
      </c>
      <c r="AD212" s="1">
        <f t="shared" si="83"/>
        <v>0</v>
      </c>
      <c r="AE212" s="1">
        <f t="shared" si="84"/>
        <v>1</v>
      </c>
      <c r="AF212" s="1">
        <f t="shared" ref="AF212:AF276" si="85">+O212*P212*(1-A212)</f>
        <v>0</v>
      </c>
      <c r="AG212" s="1">
        <f t="shared" ref="AG212:AG276" si="86">O212*(1-P212)*(1-A212)</f>
        <v>1</v>
      </c>
      <c r="AH212" s="1">
        <f t="shared" ref="AH212:AH276" si="87">+P212*(1-A212)</f>
        <v>0</v>
      </c>
      <c r="AI212" s="1">
        <f t="shared" ref="AI212:AI276" si="88">+(1-A212)*(1-P212)</f>
        <v>1</v>
      </c>
    </row>
    <row r="213" spans="1:35" s="1" customFormat="1" ht="14.25" customHeight="1" x14ac:dyDescent="0.25">
      <c r="A213" s="31">
        <v>0</v>
      </c>
      <c r="B213" s="31">
        <v>1</v>
      </c>
      <c r="C213" s="31">
        <v>5</v>
      </c>
      <c r="D213" s="32" t="s">
        <v>1284</v>
      </c>
      <c r="E213" s="32" t="s">
        <v>165</v>
      </c>
      <c r="F213" s="32" t="s">
        <v>1285</v>
      </c>
      <c r="G213" s="32" t="s">
        <v>281</v>
      </c>
      <c r="H213" s="32" t="s">
        <v>352</v>
      </c>
      <c r="I213" s="31" t="s">
        <v>1286</v>
      </c>
      <c r="J213" s="31">
        <v>99</v>
      </c>
      <c r="K213" s="33" t="s">
        <v>693</v>
      </c>
      <c r="L213" s="33" t="s">
        <v>39</v>
      </c>
      <c r="M213" s="34" t="s">
        <v>39</v>
      </c>
      <c r="N213" s="34" t="s">
        <v>1699</v>
      </c>
      <c r="O213" s="35">
        <v>1</v>
      </c>
      <c r="P213" s="35">
        <v>1</v>
      </c>
      <c r="Q213" s="32"/>
      <c r="S213" s="1">
        <f t="shared" si="73"/>
        <v>0</v>
      </c>
      <c r="T213" s="1">
        <f t="shared" si="74"/>
        <v>0</v>
      </c>
      <c r="U213" s="1">
        <f t="shared" si="75"/>
        <v>0</v>
      </c>
      <c r="V213" s="1">
        <f t="shared" si="76"/>
        <v>0</v>
      </c>
      <c r="W213" s="1">
        <f t="shared" si="77"/>
        <v>0</v>
      </c>
      <c r="X213" s="1">
        <f t="shared" si="78"/>
        <v>0</v>
      </c>
      <c r="Y213" s="1">
        <f t="shared" si="79"/>
        <v>0</v>
      </c>
      <c r="Z213" s="1">
        <f t="shared" si="80"/>
        <v>0</v>
      </c>
      <c r="AA213" s="1">
        <f t="shared" si="81"/>
        <v>0</v>
      </c>
      <c r="AB213" s="1">
        <f t="shared" si="82"/>
        <v>0</v>
      </c>
      <c r="AD213" s="1">
        <f t="shared" si="83"/>
        <v>1</v>
      </c>
      <c r="AE213" s="1">
        <f t="shared" si="84"/>
        <v>0</v>
      </c>
      <c r="AF213" s="1">
        <f t="shared" si="85"/>
        <v>1</v>
      </c>
      <c r="AG213" s="1">
        <f t="shared" si="86"/>
        <v>0</v>
      </c>
      <c r="AH213" s="1">
        <f t="shared" si="87"/>
        <v>1</v>
      </c>
      <c r="AI213" s="1">
        <f t="shared" si="88"/>
        <v>0</v>
      </c>
    </row>
    <row r="214" spans="1:35" s="1" customFormat="1" ht="14.25" customHeight="1" x14ac:dyDescent="0.25">
      <c r="A214" s="31">
        <v>0</v>
      </c>
      <c r="B214" s="31">
        <v>1</v>
      </c>
      <c r="C214" s="31">
        <v>5</v>
      </c>
      <c r="D214" s="32" t="s">
        <v>875</v>
      </c>
      <c r="E214" s="32" t="s">
        <v>876</v>
      </c>
      <c r="F214" s="32" t="s">
        <v>917</v>
      </c>
      <c r="G214" s="32" t="s">
        <v>39</v>
      </c>
      <c r="H214" s="32" t="s">
        <v>877</v>
      </c>
      <c r="I214" s="31" t="s">
        <v>878</v>
      </c>
      <c r="J214" s="31">
        <v>17</v>
      </c>
      <c r="K214" s="33" t="s">
        <v>694</v>
      </c>
      <c r="L214" s="33" t="s">
        <v>688</v>
      </c>
      <c r="M214" s="34" t="s">
        <v>951</v>
      </c>
      <c r="N214" s="34" t="s">
        <v>1715</v>
      </c>
      <c r="O214" s="35">
        <v>1</v>
      </c>
      <c r="P214" s="35"/>
      <c r="Q214" s="32"/>
      <c r="S214" s="1">
        <f t="shared" si="73"/>
        <v>0</v>
      </c>
      <c r="T214" s="1">
        <f t="shared" si="74"/>
        <v>0</v>
      </c>
      <c r="U214" s="1">
        <f t="shared" si="75"/>
        <v>0</v>
      </c>
      <c r="V214" s="1">
        <f t="shared" si="76"/>
        <v>0</v>
      </c>
      <c r="W214" s="1">
        <f t="shared" si="77"/>
        <v>0</v>
      </c>
      <c r="X214" s="1">
        <f t="shared" si="78"/>
        <v>0</v>
      </c>
      <c r="Y214" s="1">
        <f t="shared" si="79"/>
        <v>0</v>
      </c>
      <c r="Z214" s="1">
        <f t="shared" si="80"/>
        <v>0</v>
      </c>
      <c r="AA214" s="1">
        <f t="shared" si="81"/>
        <v>0</v>
      </c>
      <c r="AB214" s="1">
        <f t="shared" si="82"/>
        <v>0</v>
      </c>
      <c r="AD214" s="1">
        <f t="shared" si="83"/>
        <v>0</v>
      </c>
      <c r="AE214" s="1">
        <f t="shared" si="84"/>
        <v>1</v>
      </c>
      <c r="AF214" s="1">
        <f t="shared" si="85"/>
        <v>0</v>
      </c>
      <c r="AG214" s="1">
        <f t="shared" si="86"/>
        <v>1</v>
      </c>
      <c r="AH214" s="1">
        <f t="shared" si="87"/>
        <v>0</v>
      </c>
      <c r="AI214" s="1">
        <f t="shared" si="88"/>
        <v>1</v>
      </c>
    </row>
    <row r="215" spans="1:35" s="1" customFormat="1" ht="14.25" customHeight="1" x14ac:dyDescent="0.25">
      <c r="A215" s="15">
        <v>0</v>
      </c>
      <c r="B215" s="15">
        <v>1</v>
      </c>
      <c r="C215" s="15">
        <v>5</v>
      </c>
      <c r="D215" s="16" t="s">
        <v>1899</v>
      </c>
      <c r="E215" s="16" t="s">
        <v>876</v>
      </c>
      <c r="F215" s="16" t="s">
        <v>1901</v>
      </c>
      <c r="G215" s="16"/>
      <c r="H215" s="16" t="s">
        <v>1900</v>
      </c>
      <c r="I215" s="15" t="s">
        <v>1902</v>
      </c>
      <c r="J215" s="15">
        <v>16</v>
      </c>
      <c r="K215" s="10" t="s">
        <v>694</v>
      </c>
      <c r="L215" s="10" t="s">
        <v>688</v>
      </c>
      <c r="M215" s="19" t="s">
        <v>951</v>
      </c>
      <c r="N215" s="17"/>
      <c r="Q215" s="20" t="s">
        <v>1903</v>
      </c>
      <c r="S215" s="1">
        <f t="shared" si="73"/>
        <v>0</v>
      </c>
      <c r="T215" s="1">
        <f t="shared" si="74"/>
        <v>0</v>
      </c>
      <c r="U215" s="1">
        <f t="shared" si="75"/>
        <v>0</v>
      </c>
      <c r="V215" s="1">
        <f t="shared" si="76"/>
        <v>0</v>
      </c>
      <c r="W215" s="1">
        <f t="shared" si="77"/>
        <v>0</v>
      </c>
      <c r="X215" s="1">
        <f t="shared" si="78"/>
        <v>0</v>
      </c>
      <c r="Y215" s="1">
        <f t="shared" si="79"/>
        <v>0</v>
      </c>
      <c r="Z215" s="1">
        <f t="shared" si="80"/>
        <v>0</v>
      </c>
      <c r="AA215" s="1">
        <f t="shared" si="81"/>
        <v>0</v>
      </c>
      <c r="AB215" s="1">
        <f t="shared" si="82"/>
        <v>0</v>
      </c>
      <c r="AD215" s="1">
        <f t="shared" si="83"/>
        <v>0</v>
      </c>
      <c r="AE215" s="1">
        <f t="shared" si="84"/>
        <v>0</v>
      </c>
      <c r="AF215" s="1">
        <f t="shared" si="85"/>
        <v>0</v>
      </c>
      <c r="AG215" s="1">
        <f t="shared" si="86"/>
        <v>0</v>
      </c>
      <c r="AH215" s="1">
        <f t="shared" si="87"/>
        <v>0</v>
      </c>
      <c r="AI215" s="1">
        <f t="shared" si="88"/>
        <v>1</v>
      </c>
    </row>
    <row r="216" spans="1:35" s="1" customFormat="1" ht="14.25" customHeight="1" x14ac:dyDescent="0.25">
      <c r="A216" s="31">
        <v>0</v>
      </c>
      <c r="B216" s="31">
        <v>1</v>
      </c>
      <c r="C216" s="31">
        <v>5</v>
      </c>
      <c r="D216" s="32" t="s">
        <v>130</v>
      </c>
      <c r="E216" s="32" t="s">
        <v>165</v>
      </c>
      <c r="F216" s="32" t="s">
        <v>330</v>
      </c>
      <c r="G216" s="32" t="s">
        <v>331</v>
      </c>
      <c r="H216" s="32" t="s">
        <v>352</v>
      </c>
      <c r="I216" s="31" t="s">
        <v>477</v>
      </c>
      <c r="J216" s="31">
        <v>99</v>
      </c>
      <c r="K216" s="33" t="s">
        <v>713</v>
      </c>
      <c r="L216" s="33" t="s">
        <v>685</v>
      </c>
      <c r="M216" s="34" t="s">
        <v>951</v>
      </c>
      <c r="N216" s="34" t="s">
        <v>1709</v>
      </c>
      <c r="O216" s="35">
        <v>1</v>
      </c>
      <c r="P216" s="35"/>
      <c r="Q216" s="32"/>
      <c r="S216" s="1">
        <f t="shared" si="73"/>
        <v>0</v>
      </c>
      <c r="T216" s="1">
        <f t="shared" si="74"/>
        <v>0</v>
      </c>
      <c r="U216" s="1">
        <f t="shared" si="75"/>
        <v>0</v>
      </c>
      <c r="V216" s="1">
        <f t="shared" si="76"/>
        <v>0</v>
      </c>
      <c r="W216" s="1">
        <f t="shared" si="77"/>
        <v>0</v>
      </c>
      <c r="X216" s="1">
        <f t="shared" si="78"/>
        <v>0</v>
      </c>
      <c r="Y216" s="1">
        <f t="shared" si="79"/>
        <v>0</v>
      </c>
      <c r="Z216" s="1">
        <f t="shared" si="80"/>
        <v>0</v>
      </c>
      <c r="AA216" s="1">
        <f t="shared" si="81"/>
        <v>0</v>
      </c>
      <c r="AB216" s="1">
        <f t="shared" si="82"/>
        <v>0</v>
      </c>
      <c r="AD216" s="1">
        <f t="shared" si="83"/>
        <v>0</v>
      </c>
      <c r="AE216" s="1">
        <f t="shared" si="84"/>
        <v>1</v>
      </c>
      <c r="AF216" s="1">
        <f t="shared" si="85"/>
        <v>0</v>
      </c>
      <c r="AG216" s="1">
        <f t="shared" si="86"/>
        <v>1</v>
      </c>
      <c r="AH216" s="1">
        <f t="shared" si="87"/>
        <v>0</v>
      </c>
      <c r="AI216" s="1">
        <f t="shared" si="88"/>
        <v>1</v>
      </c>
    </row>
    <row r="217" spans="1:35" s="1" customFormat="1" ht="14.25" customHeight="1" x14ac:dyDescent="0.25">
      <c r="A217" s="31">
        <v>0</v>
      </c>
      <c r="B217" s="31">
        <v>1</v>
      </c>
      <c r="C217" s="31">
        <v>5</v>
      </c>
      <c r="D217" s="32" t="s">
        <v>108</v>
      </c>
      <c r="E217" s="32" t="s">
        <v>165</v>
      </c>
      <c r="F217" s="32" t="s">
        <v>305</v>
      </c>
      <c r="G217" s="32" t="s">
        <v>230</v>
      </c>
      <c r="H217" s="32" t="s">
        <v>352</v>
      </c>
      <c r="I217" s="31" t="s">
        <v>453</v>
      </c>
      <c r="J217" s="31">
        <v>99</v>
      </c>
      <c r="K217" s="33" t="s">
        <v>713</v>
      </c>
      <c r="L217" s="33" t="s">
        <v>687</v>
      </c>
      <c r="M217" s="34" t="s">
        <v>682</v>
      </c>
      <c r="N217" s="34" t="s">
        <v>1704</v>
      </c>
      <c r="O217" s="35">
        <v>1</v>
      </c>
      <c r="P217" s="35"/>
      <c r="Q217" s="32"/>
      <c r="S217" s="1">
        <f t="shared" si="73"/>
        <v>0</v>
      </c>
      <c r="T217" s="1">
        <f t="shared" si="74"/>
        <v>0</v>
      </c>
      <c r="U217" s="1">
        <f t="shared" si="75"/>
        <v>0</v>
      </c>
      <c r="V217" s="1">
        <f t="shared" si="76"/>
        <v>0</v>
      </c>
      <c r="W217" s="1">
        <f t="shared" si="77"/>
        <v>0</v>
      </c>
      <c r="X217" s="1">
        <f t="shared" si="78"/>
        <v>0</v>
      </c>
      <c r="Y217" s="1">
        <f t="shared" si="79"/>
        <v>0</v>
      </c>
      <c r="Z217" s="1">
        <f t="shared" si="80"/>
        <v>0</v>
      </c>
      <c r="AA217" s="1">
        <f t="shared" si="81"/>
        <v>0</v>
      </c>
      <c r="AB217" s="1">
        <f t="shared" si="82"/>
        <v>0</v>
      </c>
      <c r="AD217" s="1">
        <f t="shared" si="83"/>
        <v>0</v>
      </c>
      <c r="AE217" s="1">
        <f t="shared" si="84"/>
        <v>1</v>
      </c>
      <c r="AF217" s="1">
        <f t="shared" si="85"/>
        <v>0</v>
      </c>
      <c r="AG217" s="1">
        <f t="shared" si="86"/>
        <v>1</v>
      </c>
      <c r="AH217" s="1">
        <f t="shared" si="87"/>
        <v>0</v>
      </c>
      <c r="AI217" s="1">
        <f t="shared" si="88"/>
        <v>1</v>
      </c>
    </row>
    <row r="218" spans="1:35" s="1" customFormat="1" ht="14.25" customHeight="1" x14ac:dyDescent="0.25">
      <c r="A218" s="31">
        <v>0</v>
      </c>
      <c r="B218" s="31">
        <v>1</v>
      </c>
      <c r="C218" s="31">
        <v>5</v>
      </c>
      <c r="D218" s="32" t="s">
        <v>110</v>
      </c>
      <c r="E218" s="32" t="s">
        <v>171</v>
      </c>
      <c r="F218" s="32" t="s">
        <v>308</v>
      </c>
      <c r="G218" s="32" t="s">
        <v>39</v>
      </c>
      <c r="H218" s="32" t="s">
        <v>362</v>
      </c>
      <c r="I218" s="31" t="s">
        <v>456</v>
      </c>
      <c r="J218" s="31">
        <v>17</v>
      </c>
      <c r="K218" s="33" t="s">
        <v>694</v>
      </c>
      <c r="L218" s="33" t="s">
        <v>688</v>
      </c>
      <c r="M218" s="34" t="s">
        <v>682</v>
      </c>
      <c r="N218" s="34" t="s">
        <v>1699</v>
      </c>
      <c r="O218" s="35">
        <v>1</v>
      </c>
      <c r="P218" s="35">
        <v>1</v>
      </c>
      <c r="Q218" s="32" t="s">
        <v>1873</v>
      </c>
      <c r="S218" s="1">
        <f t="shared" si="73"/>
        <v>0</v>
      </c>
      <c r="T218" s="1">
        <f t="shared" si="74"/>
        <v>0</v>
      </c>
      <c r="U218" s="1">
        <f t="shared" si="75"/>
        <v>0</v>
      </c>
      <c r="V218" s="1">
        <f t="shared" si="76"/>
        <v>0</v>
      </c>
      <c r="W218" s="1">
        <f t="shared" si="77"/>
        <v>0</v>
      </c>
      <c r="X218" s="1">
        <f t="shared" si="78"/>
        <v>0</v>
      </c>
      <c r="Y218" s="1">
        <f t="shared" si="79"/>
        <v>0</v>
      </c>
      <c r="Z218" s="1">
        <f t="shared" si="80"/>
        <v>0</v>
      </c>
      <c r="AA218" s="1">
        <f t="shared" si="81"/>
        <v>0</v>
      </c>
      <c r="AB218" s="1">
        <f t="shared" si="82"/>
        <v>0</v>
      </c>
      <c r="AD218" s="1">
        <f t="shared" si="83"/>
        <v>1</v>
      </c>
      <c r="AE218" s="1">
        <f t="shared" si="84"/>
        <v>0</v>
      </c>
      <c r="AF218" s="1">
        <f t="shared" si="85"/>
        <v>1</v>
      </c>
      <c r="AG218" s="1">
        <f t="shared" si="86"/>
        <v>0</v>
      </c>
      <c r="AH218" s="1">
        <f t="shared" si="87"/>
        <v>1</v>
      </c>
      <c r="AI218" s="1">
        <f t="shared" si="88"/>
        <v>0</v>
      </c>
    </row>
    <row r="219" spans="1:35" s="1" customFormat="1" ht="14.25" customHeight="1" x14ac:dyDescent="0.25">
      <c r="A219" s="31">
        <v>0</v>
      </c>
      <c r="B219" s="31">
        <v>1</v>
      </c>
      <c r="C219" s="31">
        <v>5</v>
      </c>
      <c r="D219" s="32" t="s">
        <v>521</v>
      </c>
      <c r="E219" s="32" t="s">
        <v>522</v>
      </c>
      <c r="F219" s="32" t="s">
        <v>523</v>
      </c>
      <c r="G219" s="32" t="s">
        <v>201</v>
      </c>
      <c r="H219" s="32" t="s">
        <v>352</v>
      </c>
      <c r="I219" s="31" t="s">
        <v>524</v>
      </c>
      <c r="J219" s="31">
        <v>10</v>
      </c>
      <c r="K219" s="33" t="s">
        <v>693</v>
      </c>
      <c r="L219" s="33" t="s">
        <v>684</v>
      </c>
      <c r="M219" s="34" t="s">
        <v>951</v>
      </c>
      <c r="N219" s="34" t="s">
        <v>1699</v>
      </c>
      <c r="O219" s="35">
        <v>1</v>
      </c>
      <c r="P219" s="35">
        <v>1</v>
      </c>
      <c r="Q219" s="32"/>
      <c r="S219" s="1">
        <f t="shared" si="73"/>
        <v>0</v>
      </c>
      <c r="T219" s="1">
        <f t="shared" si="74"/>
        <v>0</v>
      </c>
      <c r="U219" s="1">
        <f t="shared" si="75"/>
        <v>0</v>
      </c>
      <c r="V219" s="1">
        <f t="shared" si="76"/>
        <v>0</v>
      </c>
      <c r="W219" s="1">
        <f t="shared" si="77"/>
        <v>0</v>
      </c>
      <c r="X219" s="1">
        <f t="shared" si="78"/>
        <v>0</v>
      </c>
      <c r="Y219" s="1">
        <f t="shared" si="79"/>
        <v>0</v>
      </c>
      <c r="Z219" s="1">
        <f t="shared" si="80"/>
        <v>0</v>
      </c>
      <c r="AA219" s="1">
        <f t="shared" si="81"/>
        <v>0</v>
      </c>
      <c r="AB219" s="1">
        <f t="shared" si="82"/>
        <v>1</v>
      </c>
      <c r="AD219" s="1">
        <f t="shared" si="83"/>
        <v>1</v>
      </c>
      <c r="AE219" s="1">
        <f t="shared" si="84"/>
        <v>0</v>
      </c>
      <c r="AF219" s="1">
        <f t="shared" si="85"/>
        <v>1</v>
      </c>
      <c r="AG219" s="1">
        <f t="shared" si="86"/>
        <v>0</v>
      </c>
      <c r="AH219" s="1">
        <f t="shared" si="87"/>
        <v>1</v>
      </c>
      <c r="AI219" s="1">
        <f t="shared" si="88"/>
        <v>0</v>
      </c>
    </row>
    <row r="220" spans="1:35" s="1" customFormat="1" ht="14.25" customHeight="1" x14ac:dyDescent="0.25">
      <c r="A220" s="31">
        <v>0</v>
      </c>
      <c r="B220" s="31">
        <v>1</v>
      </c>
      <c r="C220" s="31">
        <v>5</v>
      </c>
      <c r="D220" s="32" t="s">
        <v>1468</v>
      </c>
      <c r="E220" s="32" t="s">
        <v>165</v>
      </c>
      <c r="F220" s="32" t="s">
        <v>1469</v>
      </c>
      <c r="G220" s="32" t="s">
        <v>179</v>
      </c>
      <c r="H220" s="32" t="s">
        <v>352</v>
      </c>
      <c r="I220" s="31" t="s">
        <v>1470</v>
      </c>
      <c r="J220" s="31">
        <v>10</v>
      </c>
      <c r="K220" s="33" t="s">
        <v>937</v>
      </c>
      <c r="L220" s="33" t="s">
        <v>684</v>
      </c>
      <c r="M220" s="34" t="s">
        <v>951</v>
      </c>
      <c r="N220" s="34" t="s">
        <v>1693</v>
      </c>
      <c r="O220" s="35">
        <v>1</v>
      </c>
      <c r="P220" s="35">
        <v>1</v>
      </c>
      <c r="Q220" s="32"/>
      <c r="S220" s="1">
        <f t="shared" si="73"/>
        <v>0</v>
      </c>
      <c r="T220" s="1">
        <f t="shared" si="74"/>
        <v>0</v>
      </c>
      <c r="U220" s="1">
        <f t="shared" si="75"/>
        <v>0</v>
      </c>
      <c r="V220" s="1">
        <f t="shared" si="76"/>
        <v>0</v>
      </c>
      <c r="W220" s="1">
        <f t="shared" si="77"/>
        <v>0</v>
      </c>
      <c r="X220" s="1">
        <f t="shared" si="78"/>
        <v>0</v>
      </c>
      <c r="Y220" s="1">
        <f t="shared" si="79"/>
        <v>0</v>
      </c>
      <c r="Z220" s="1">
        <f t="shared" si="80"/>
        <v>0</v>
      </c>
      <c r="AA220" s="1">
        <f t="shared" si="81"/>
        <v>0</v>
      </c>
      <c r="AB220" s="1">
        <f t="shared" si="82"/>
        <v>1</v>
      </c>
      <c r="AD220" s="1">
        <f t="shared" si="83"/>
        <v>1</v>
      </c>
      <c r="AE220" s="1">
        <f t="shared" si="84"/>
        <v>0</v>
      </c>
      <c r="AF220" s="1">
        <f t="shared" si="85"/>
        <v>1</v>
      </c>
      <c r="AG220" s="1">
        <f t="shared" si="86"/>
        <v>0</v>
      </c>
      <c r="AH220" s="1">
        <f t="shared" si="87"/>
        <v>1</v>
      </c>
      <c r="AI220" s="1">
        <f t="shared" si="88"/>
        <v>0</v>
      </c>
    </row>
    <row r="221" spans="1:35" s="1" customFormat="1" ht="14.25" customHeight="1" x14ac:dyDescent="0.25">
      <c r="A221" s="31">
        <v>0</v>
      </c>
      <c r="B221" s="31">
        <v>1</v>
      </c>
      <c r="C221" s="31">
        <v>5</v>
      </c>
      <c r="D221" s="32" t="s">
        <v>1717</v>
      </c>
      <c r="E221" s="32" t="s">
        <v>165</v>
      </c>
      <c r="F221" s="32" t="s">
        <v>1718</v>
      </c>
      <c r="G221" s="32" t="s">
        <v>1719</v>
      </c>
      <c r="H221" s="32" t="s">
        <v>352</v>
      </c>
      <c r="I221" s="31" t="s">
        <v>1720</v>
      </c>
      <c r="J221" s="31">
        <v>1</v>
      </c>
      <c r="K221" s="33" t="s">
        <v>694</v>
      </c>
      <c r="L221" s="33"/>
      <c r="M221" s="34"/>
      <c r="N221" s="34" t="s">
        <v>1708</v>
      </c>
      <c r="O221" s="35">
        <v>1</v>
      </c>
      <c r="P221" s="35"/>
      <c r="Q221" s="32"/>
      <c r="S221" s="1">
        <f t="shared" si="73"/>
        <v>1</v>
      </c>
      <c r="T221" s="1">
        <f t="shared" si="74"/>
        <v>0</v>
      </c>
      <c r="U221" s="1">
        <f t="shared" si="75"/>
        <v>0</v>
      </c>
      <c r="V221" s="1">
        <f t="shared" si="76"/>
        <v>0</v>
      </c>
      <c r="W221" s="1">
        <f t="shared" si="77"/>
        <v>0</v>
      </c>
      <c r="X221" s="1">
        <f t="shared" si="78"/>
        <v>0</v>
      </c>
      <c r="Y221" s="1">
        <f t="shared" si="79"/>
        <v>0</v>
      </c>
      <c r="Z221" s="1">
        <f t="shared" si="80"/>
        <v>0</v>
      </c>
      <c r="AA221" s="1">
        <f t="shared" si="81"/>
        <v>0</v>
      </c>
      <c r="AB221" s="1">
        <f t="shared" si="82"/>
        <v>0</v>
      </c>
      <c r="AD221" s="1">
        <f t="shared" si="83"/>
        <v>0</v>
      </c>
      <c r="AE221" s="1">
        <f t="shared" si="84"/>
        <v>1</v>
      </c>
      <c r="AF221" s="1">
        <f t="shared" si="85"/>
        <v>0</v>
      </c>
      <c r="AG221" s="1">
        <f t="shared" si="86"/>
        <v>1</v>
      </c>
      <c r="AH221" s="1">
        <f t="shared" si="87"/>
        <v>0</v>
      </c>
      <c r="AI221" s="1">
        <f t="shared" si="88"/>
        <v>1</v>
      </c>
    </row>
    <row r="222" spans="1:35" s="1" customFormat="1" ht="14.25" customHeight="1" x14ac:dyDescent="0.25">
      <c r="A222" s="31">
        <v>0</v>
      </c>
      <c r="B222" s="31">
        <v>1</v>
      </c>
      <c r="C222" s="31">
        <v>5</v>
      </c>
      <c r="D222" s="32" t="s">
        <v>1007</v>
      </c>
      <c r="E222" s="32" t="s">
        <v>1068</v>
      </c>
      <c r="F222" s="32" t="s">
        <v>1008</v>
      </c>
      <c r="G222" s="32" t="s">
        <v>193</v>
      </c>
      <c r="H222" s="32" t="s">
        <v>352</v>
      </c>
      <c r="I222" s="31" t="s">
        <v>1009</v>
      </c>
      <c r="J222" s="31">
        <v>9</v>
      </c>
      <c r="K222" s="33" t="s">
        <v>713</v>
      </c>
      <c r="L222" s="33" t="s">
        <v>1670</v>
      </c>
      <c r="M222" s="34" t="s">
        <v>1571</v>
      </c>
      <c r="N222" s="34" t="s">
        <v>1704</v>
      </c>
      <c r="O222" s="35">
        <v>1</v>
      </c>
      <c r="P222" s="35"/>
      <c r="Q222" s="32"/>
      <c r="S222" s="1">
        <f t="shared" si="73"/>
        <v>0</v>
      </c>
      <c r="T222" s="1">
        <f t="shared" si="74"/>
        <v>0</v>
      </c>
      <c r="U222" s="1">
        <f t="shared" si="75"/>
        <v>0</v>
      </c>
      <c r="V222" s="1">
        <f t="shared" si="76"/>
        <v>0</v>
      </c>
      <c r="W222" s="1">
        <f t="shared" si="77"/>
        <v>0</v>
      </c>
      <c r="X222" s="1">
        <f t="shared" si="78"/>
        <v>0</v>
      </c>
      <c r="Y222" s="1">
        <f t="shared" si="79"/>
        <v>0</v>
      </c>
      <c r="Z222" s="1">
        <f t="shared" si="80"/>
        <v>0</v>
      </c>
      <c r="AA222" s="1">
        <f t="shared" si="81"/>
        <v>1</v>
      </c>
      <c r="AB222" s="1">
        <f t="shared" si="82"/>
        <v>0</v>
      </c>
      <c r="AD222" s="1">
        <f t="shared" si="83"/>
        <v>0</v>
      </c>
      <c r="AE222" s="1">
        <f t="shared" si="84"/>
        <v>1</v>
      </c>
      <c r="AF222" s="1">
        <f t="shared" si="85"/>
        <v>0</v>
      </c>
      <c r="AG222" s="1">
        <f t="shared" si="86"/>
        <v>1</v>
      </c>
      <c r="AH222" s="1">
        <f t="shared" si="87"/>
        <v>0</v>
      </c>
      <c r="AI222" s="1">
        <f t="shared" si="88"/>
        <v>1</v>
      </c>
    </row>
    <row r="223" spans="1:35" s="1" customFormat="1" ht="14.25" customHeight="1" x14ac:dyDescent="0.25">
      <c r="A223" s="31">
        <v>0</v>
      </c>
      <c r="B223" s="31">
        <v>1</v>
      </c>
      <c r="C223" s="31">
        <v>5</v>
      </c>
      <c r="D223" s="32" t="s">
        <v>1581</v>
      </c>
      <c r="E223" s="32" t="s">
        <v>165</v>
      </c>
      <c r="F223" s="32" t="s">
        <v>1582</v>
      </c>
      <c r="G223" s="32" t="s">
        <v>212</v>
      </c>
      <c r="H223" s="32" t="s">
        <v>352</v>
      </c>
      <c r="I223" s="31" t="s">
        <v>1583</v>
      </c>
      <c r="J223" s="31">
        <v>1</v>
      </c>
      <c r="K223" s="33" t="s">
        <v>713</v>
      </c>
      <c r="L223" s="33" t="s">
        <v>685</v>
      </c>
      <c r="M223" s="34" t="s">
        <v>951</v>
      </c>
      <c r="N223" s="34" t="s">
        <v>1760</v>
      </c>
      <c r="O223" s="35">
        <v>1</v>
      </c>
      <c r="P223" s="35"/>
      <c r="Q223" s="32"/>
      <c r="S223" s="1">
        <f t="shared" si="73"/>
        <v>1</v>
      </c>
      <c r="T223" s="1">
        <f t="shared" si="74"/>
        <v>0</v>
      </c>
      <c r="U223" s="1">
        <f t="shared" si="75"/>
        <v>0</v>
      </c>
      <c r="V223" s="1">
        <f t="shared" si="76"/>
        <v>0</v>
      </c>
      <c r="W223" s="1">
        <f t="shared" si="77"/>
        <v>0</v>
      </c>
      <c r="X223" s="1">
        <f t="shared" si="78"/>
        <v>0</v>
      </c>
      <c r="Y223" s="1">
        <f t="shared" si="79"/>
        <v>0</v>
      </c>
      <c r="Z223" s="1">
        <f t="shared" si="80"/>
        <v>0</v>
      </c>
      <c r="AA223" s="1">
        <f t="shared" si="81"/>
        <v>0</v>
      </c>
      <c r="AB223" s="1">
        <f t="shared" si="82"/>
        <v>0</v>
      </c>
      <c r="AD223" s="1">
        <f t="shared" si="83"/>
        <v>0</v>
      </c>
      <c r="AE223" s="1">
        <f t="shared" si="84"/>
        <v>1</v>
      </c>
      <c r="AF223" s="1">
        <f t="shared" si="85"/>
        <v>0</v>
      </c>
      <c r="AG223" s="1">
        <f t="shared" si="86"/>
        <v>1</v>
      </c>
      <c r="AH223" s="1">
        <f t="shared" si="87"/>
        <v>0</v>
      </c>
      <c r="AI223" s="1">
        <f t="shared" si="88"/>
        <v>1</v>
      </c>
    </row>
    <row r="224" spans="1:35" s="1" customFormat="1" ht="14.25" customHeight="1" x14ac:dyDescent="0.25">
      <c r="A224" s="31">
        <v>0</v>
      </c>
      <c r="B224" s="31">
        <v>1</v>
      </c>
      <c r="C224" s="31">
        <v>5</v>
      </c>
      <c r="D224" s="32" t="s">
        <v>146</v>
      </c>
      <c r="E224" s="32" t="s">
        <v>541</v>
      </c>
      <c r="F224" s="32" t="s">
        <v>1566</v>
      </c>
      <c r="G224" s="32" t="s">
        <v>1640</v>
      </c>
      <c r="H224" s="32" t="s">
        <v>352</v>
      </c>
      <c r="I224" s="31" t="s">
        <v>491</v>
      </c>
      <c r="J224" s="31">
        <v>99</v>
      </c>
      <c r="K224" s="33" t="s">
        <v>693</v>
      </c>
      <c r="L224" s="33" t="s">
        <v>680</v>
      </c>
      <c r="M224" s="34" t="s">
        <v>951</v>
      </c>
      <c r="N224" s="34" t="s">
        <v>1784</v>
      </c>
      <c r="O224" s="35">
        <v>1</v>
      </c>
      <c r="P224" s="35"/>
      <c r="Q224" s="32"/>
      <c r="S224" s="1">
        <f t="shared" si="73"/>
        <v>0</v>
      </c>
      <c r="T224" s="1">
        <f t="shared" si="74"/>
        <v>0</v>
      </c>
      <c r="U224" s="1">
        <f t="shared" si="75"/>
        <v>0</v>
      </c>
      <c r="V224" s="1">
        <f t="shared" si="76"/>
        <v>0</v>
      </c>
      <c r="W224" s="1">
        <f t="shared" si="77"/>
        <v>0</v>
      </c>
      <c r="X224" s="1">
        <f t="shared" si="78"/>
        <v>0</v>
      </c>
      <c r="Y224" s="1">
        <f t="shared" si="79"/>
        <v>0</v>
      </c>
      <c r="Z224" s="1">
        <f t="shared" si="80"/>
        <v>0</v>
      </c>
      <c r="AA224" s="1">
        <f t="shared" si="81"/>
        <v>0</v>
      </c>
      <c r="AB224" s="1">
        <f t="shared" si="82"/>
        <v>0</v>
      </c>
      <c r="AD224" s="1">
        <f t="shared" si="83"/>
        <v>0</v>
      </c>
      <c r="AE224" s="1">
        <f t="shared" si="84"/>
        <v>1</v>
      </c>
      <c r="AF224" s="1">
        <f t="shared" si="85"/>
        <v>0</v>
      </c>
      <c r="AG224" s="1">
        <f t="shared" si="86"/>
        <v>1</v>
      </c>
      <c r="AH224" s="1">
        <f t="shared" si="87"/>
        <v>0</v>
      </c>
      <c r="AI224" s="1">
        <f t="shared" si="88"/>
        <v>1</v>
      </c>
    </row>
    <row r="225" spans="1:35" s="1" customFormat="1" ht="14.25" customHeight="1" x14ac:dyDescent="0.25">
      <c r="A225" s="15">
        <v>0</v>
      </c>
      <c r="B225" s="15">
        <v>1</v>
      </c>
      <c r="C225" s="15">
        <v>5</v>
      </c>
      <c r="D225" s="16" t="s">
        <v>1187</v>
      </c>
      <c r="E225" s="16" t="s">
        <v>165</v>
      </c>
      <c r="F225" s="16" t="s">
        <v>1188</v>
      </c>
      <c r="G225" s="16" t="s">
        <v>1189</v>
      </c>
      <c r="H225" s="16" t="s">
        <v>352</v>
      </c>
      <c r="I225" s="15" t="s">
        <v>1190</v>
      </c>
      <c r="J225" s="15">
        <v>99</v>
      </c>
      <c r="K225" s="10" t="s">
        <v>694</v>
      </c>
      <c r="L225" s="10">
        <v>30</v>
      </c>
      <c r="M225" s="19" t="s">
        <v>951</v>
      </c>
      <c r="N225" s="19"/>
      <c r="Q225" s="16"/>
      <c r="S225" s="1">
        <f t="shared" si="73"/>
        <v>0</v>
      </c>
      <c r="T225" s="1">
        <f t="shared" si="74"/>
        <v>0</v>
      </c>
      <c r="U225" s="1">
        <f t="shared" si="75"/>
        <v>0</v>
      </c>
      <c r="V225" s="1">
        <f t="shared" si="76"/>
        <v>0</v>
      </c>
      <c r="W225" s="1">
        <f t="shared" si="77"/>
        <v>0</v>
      </c>
      <c r="X225" s="1">
        <f t="shared" si="78"/>
        <v>0</v>
      </c>
      <c r="Y225" s="1">
        <f t="shared" si="79"/>
        <v>0</v>
      </c>
      <c r="Z225" s="1">
        <f t="shared" si="80"/>
        <v>0</v>
      </c>
      <c r="AA225" s="1">
        <f t="shared" si="81"/>
        <v>0</v>
      </c>
      <c r="AB225" s="1">
        <f t="shared" si="82"/>
        <v>0</v>
      </c>
      <c r="AD225" s="1">
        <f t="shared" si="83"/>
        <v>0</v>
      </c>
      <c r="AE225" s="1">
        <f t="shared" si="84"/>
        <v>0</v>
      </c>
      <c r="AF225" s="1">
        <f t="shared" si="85"/>
        <v>0</v>
      </c>
      <c r="AG225" s="1">
        <f t="shared" si="86"/>
        <v>0</v>
      </c>
      <c r="AH225" s="1">
        <f t="shared" si="87"/>
        <v>0</v>
      </c>
      <c r="AI225" s="1">
        <f t="shared" si="88"/>
        <v>1</v>
      </c>
    </row>
    <row r="226" spans="1:35" s="1" customFormat="1" ht="14.25" customHeight="1" x14ac:dyDescent="0.25">
      <c r="A226" s="31">
        <v>0</v>
      </c>
      <c r="B226" s="31">
        <v>1</v>
      </c>
      <c r="C226" s="31">
        <v>5</v>
      </c>
      <c r="D226" s="32" t="s">
        <v>1567</v>
      </c>
      <c r="E226" s="32" t="s">
        <v>171</v>
      </c>
      <c r="F226" s="32" t="s">
        <v>793</v>
      </c>
      <c r="G226" s="32" t="s">
        <v>39</v>
      </c>
      <c r="H226" s="32" t="s">
        <v>794</v>
      </c>
      <c r="I226" s="31" t="s">
        <v>795</v>
      </c>
      <c r="J226" s="31">
        <v>16</v>
      </c>
      <c r="K226" s="33" t="s">
        <v>938</v>
      </c>
      <c r="L226" s="33" t="s">
        <v>1703</v>
      </c>
      <c r="M226" s="34" t="s">
        <v>951</v>
      </c>
      <c r="N226" s="34" t="s">
        <v>1708</v>
      </c>
      <c r="O226" s="35">
        <v>1</v>
      </c>
      <c r="P226" s="35"/>
      <c r="Q226" s="32"/>
      <c r="S226" s="1">
        <f t="shared" si="73"/>
        <v>0</v>
      </c>
      <c r="T226" s="1">
        <f t="shared" si="74"/>
        <v>0</v>
      </c>
      <c r="U226" s="1">
        <f t="shared" si="75"/>
        <v>0</v>
      </c>
      <c r="V226" s="1">
        <f t="shared" si="76"/>
        <v>0</v>
      </c>
      <c r="W226" s="1">
        <f t="shared" si="77"/>
        <v>0</v>
      </c>
      <c r="X226" s="1">
        <f t="shared" si="78"/>
        <v>0</v>
      </c>
      <c r="Y226" s="1">
        <f t="shared" si="79"/>
        <v>0</v>
      </c>
      <c r="Z226" s="1">
        <f t="shared" si="80"/>
        <v>0</v>
      </c>
      <c r="AA226" s="1">
        <f t="shared" si="81"/>
        <v>0</v>
      </c>
      <c r="AB226" s="1">
        <f t="shared" si="82"/>
        <v>0</v>
      </c>
      <c r="AD226" s="1">
        <f t="shared" si="83"/>
        <v>0</v>
      </c>
      <c r="AE226" s="1">
        <f t="shared" si="84"/>
        <v>1</v>
      </c>
      <c r="AF226" s="1">
        <f t="shared" si="85"/>
        <v>0</v>
      </c>
      <c r="AG226" s="1">
        <f t="shared" si="86"/>
        <v>1</v>
      </c>
      <c r="AH226" s="1">
        <f t="shared" si="87"/>
        <v>0</v>
      </c>
      <c r="AI226" s="1">
        <f t="shared" si="88"/>
        <v>1</v>
      </c>
    </row>
    <row r="227" spans="1:35" s="1" customFormat="1" ht="14.25" customHeight="1" x14ac:dyDescent="0.25">
      <c r="A227" s="31">
        <v>0</v>
      </c>
      <c r="B227" s="31">
        <v>1</v>
      </c>
      <c r="C227" s="31">
        <v>5</v>
      </c>
      <c r="D227" s="32" t="s">
        <v>498</v>
      </c>
      <c r="E227" s="32" t="s">
        <v>165</v>
      </c>
      <c r="F227" s="32" t="s">
        <v>499</v>
      </c>
      <c r="G227" s="32" t="s">
        <v>500</v>
      </c>
      <c r="H227" s="32" t="s">
        <v>352</v>
      </c>
      <c r="I227" s="31" t="s">
        <v>501</v>
      </c>
      <c r="J227" s="31">
        <v>99</v>
      </c>
      <c r="K227" s="33" t="s">
        <v>938</v>
      </c>
      <c r="L227" s="33" t="s">
        <v>685</v>
      </c>
      <c r="M227" s="34" t="s">
        <v>682</v>
      </c>
      <c r="N227" s="34" t="s">
        <v>1693</v>
      </c>
      <c r="O227" s="35">
        <v>1</v>
      </c>
      <c r="P227" s="35">
        <v>1</v>
      </c>
      <c r="Q227" s="32"/>
      <c r="S227" s="1">
        <f t="shared" si="73"/>
        <v>0</v>
      </c>
      <c r="T227" s="1">
        <f t="shared" si="74"/>
        <v>0</v>
      </c>
      <c r="U227" s="1">
        <f t="shared" si="75"/>
        <v>0</v>
      </c>
      <c r="V227" s="1">
        <f t="shared" si="76"/>
        <v>0</v>
      </c>
      <c r="W227" s="1">
        <f t="shared" si="77"/>
        <v>0</v>
      </c>
      <c r="X227" s="1">
        <f t="shared" si="78"/>
        <v>0</v>
      </c>
      <c r="Y227" s="1">
        <f t="shared" si="79"/>
        <v>0</v>
      </c>
      <c r="Z227" s="1">
        <f t="shared" si="80"/>
        <v>0</v>
      </c>
      <c r="AA227" s="1">
        <f t="shared" si="81"/>
        <v>0</v>
      </c>
      <c r="AB227" s="1">
        <f t="shared" si="82"/>
        <v>0</v>
      </c>
      <c r="AD227" s="1">
        <f t="shared" si="83"/>
        <v>1</v>
      </c>
      <c r="AE227" s="1">
        <f t="shared" si="84"/>
        <v>0</v>
      </c>
      <c r="AF227" s="1">
        <f t="shared" si="85"/>
        <v>1</v>
      </c>
      <c r="AG227" s="1">
        <f t="shared" si="86"/>
        <v>0</v>
      </c>
      <c r="AH227" s="1">
        <f t="shared" si="87"/>
        <v>1</v>
      </c>
      <c r="AI227" s="1">
        <f t="shared" si="88"/>
        <v>0</v>
      </c>
    </row>
    <row r="228" spans="1:35" s="1" customFormat="1" ht="14.25" customHeight="1" x14ac:dyDescent="0.25">
      <c r="A228" s="31">
        <v>0</v>
      </c>
      <c r="B228" s="31">
        <v>1</v>
      </c>
      <c r="C228" s="31">
        <v>6</v>
      </c>
      <c r="D228" s="32" t="s">
        <v>1419</v>
      </c>
      <c r="E228" s="32" t="s">
        <v>166</v>
      </c>
      <c r="F228" s="32" t="s">
        <v>1420</v>
      </c>
      <c r="G228" s="32" t="s">
        <v>178</v>
      </c>
      <c r="H228" s="32" t="s">
        <v>352</v>
      </c>
      <c r="I228" s="31" t="s">
        <v>1421</v>
      </c>
      <c r="J228" s="31">
        <v>99</v>
      </c>
      <c r="K228" s="33" t="s">
        <v>937</v>
      </c>
      <c r="L228" s="33" t="s">
        <v>687</v>
      </c>
      <c r="M228" s="34" t="s">
        <v>1422</v>
      </c>
      <c r="N228" s="34" t="s">
        <v>1709</v>
      </c>
      <c r="O228" s="35">
        <v>1</v>
      </c>
      <c r="P228" s="35"/>
      <c r="Q228" s="36"/>
      <c r="S228" s="1">
        <f t="shared" si="73"/>
        <v>0</v>
      </c>
      <c r="T228" s="1">
        <f t="shared" si="74"/>
        <v>0</v>
      </c>
      <c r="U228" s="1">
        <f t="shared" si="75"/>
        <v>0</v>
      </c>
      <c r="V228" s="1">
        <f t="shared" si="76"/>
        <v>0</v>
      </c>
      <c r="W228" s="1">
        <f t="shared" si="77"/>
        <v>0</v>
      </c>
      <c r="X228" s="1">
        <f t="shared" si="78"/>
        <v>0</v>
      </c>
      <c r="Y228" s="1">
        <f t="shared" si="79"/>
        <v>0</v>
      </c>
      <c r="Z228" s="1">
        <f t="shared" si="80"/>
        <v>0</v>
      </c>
      <c r="AA228" s="1">
        <f t="shared" si="81"/>
        <v>0</v>
      </c>
      <c r="AB228" s="1">
        <f t="shared" si="82"/>
        <v>0</v>
      </c>
      <c r="AD228" s="1">
        <f t="shared" si="83"/>
        <v>0</v>
      </c>
      <c r="AE228" s="1">
        <f t="shared" si="84"/>
        <v>1</v>
      </c>
      <c r="AF228" s="1">
        <f t="shared" si="85"/>
        <v>0</v>
      </c>
      <c r="AG228" s="1">
        <f t="shared" si="86"/>
        <v>1</v>
      </c>
      <c r="AH228" s="1">
        <f t="shared" si="87"/>
        <v>0</v>
      </c>
      <c r="AI228" s="1">
        <f t="shared" si="88"/>
        <v>1</v>
      </c>
    </row>
    <row r="229" spans="1:35" s="1" customFormat="1" ht="14.25" customHeight="1" x14ac:dyDescent="0.25">
      <c r="A229" s="31">
        <v>0</v>
      </c>
      <c r="B229" s="31">
        <v>1</v>
      </c>
      <c r="C229" s="31">
        <v>6</v>
      </c>
      <c r="D229" s="32" t="s">
        <v>1161</v>
      </c>
      <c r="E229" s="32" t="s">
        <v>1164</v>
      </c>
      <c r="F229" s="32" t="s">
        <v>1162</v>
      </c>
      <c r="G229" s="32" t="s">
        <v>39</v>
      </c>
      <c r="H229" s="32" t="s">
        <v>352</v>
      </c>
      <c r="I229" s="31" t="s">
        <v>1163</v>
      </c>
      <c r="J229" s="31">
        <v>99</v>
      </c>
      <c r="K229" s="33" t="s">
        <v>943</v>
      </c>
      <c r="L229" s="33" t="s">
        <v>39</v>
      </c>
      <c r="M229" s="34" t="s">
        <v>39</v>
      </c>
      <c r="N229" s="34" t="s">
        <v>1699</v>
      </c>
      <c r="O229" s="35">
        <v>1</v>
      </c>
      <c r="P229" s="35">
        <v>1</v>
      </c>
      <c r="Q229" s="36" t="s">
        <v>1866</v>
      </c>
      <c r="S229" s="1">
        <f t="shared" si="73"/>
        <v>0</v>
      </c>
      <c r="T229" s="1">
        <f t="shared" si="74"/>
        <v>0</v>
      </c>
      <c r="U229" s="1">
        <f t="shared" si="75"/>
        <v>0</v>
      </c>
      <c r="V229" s="1">
        <f t="shared" si="76"/>
        <v>0</v>
      </c>
      <c r="W229" s="1">
        <f t="shared" si="77"/>
        <v>0</v>
      </c>
      <c r="X229" s="1">
        <f t="shared" si="78"/>
        <v>0</v>
      </c>
      <c r="Y229" s="1">
        <f t="shared" si="79"/>
        <v>0</v>
      </c>
      <c r="Z229" s="1">
        <f t="shared" si="80"/>
        <v>0</v>
      </c>
      <c r="AA229" s="1">
        <f t="shared" si="81"/>
        <v>0</v>
      </c>
      <c r="AB229" s="1">
        <f t="shared" si="82"/>
        <v>0</v>
      </c>
      <c r="AD229" s="1">
        <f t="shared" si="83"/>
        <v>1</v>
      </c>
      <c r="AE229" s="1">
        <f t="shared" si="84"/>
        <v>0</v>
      </c>
      <c r="AF229" s="1">
        <f t="shared" si="85"/>
        <v>1</v>
      </c>
      <c r="AG229" s="1">
        <f t="shared" si="86"/>
        <v>0</v>
      </c>
      <c r="AH229" s="1">
        <f t="shared" si="87"/>
        <v>1</v>
      </c>
      <c r="AI229" s="1">
        <f t="shared" si="88"/>
        <v>0</v>
      </c>
    </row>
    <row r="230" spans="1:35" s="1" customFormat="1" ht="14.25" customHeight="1" x14ac:dyDescent="0.25">
      <c r="A230" s="31">
        <v>0</v>
      </c>
      <c r="B230" s="31">
        <v>1</v>
      </c>
      <c r="C230" s="31">
        <v>6</v>
      </c>
      <c r="D230" s="32" t="s">
        <v>1615</v>
      </c>
      <c r="E230" s="32" t="s">
        <v>1623</v>
      </c>
      <c r="F230" s="32" t="s">
        <v>1649</v>
      </c>
      <c r="G230" s="32" t="s">
        <v>1650</v>
      </c>
      <c r="H230" s="32" t="s">
        <v>352</v>
      </c>
      <c r="I230" s="31" t="s">
        <v>1662</v>
      </c>
      <c r="J230" s="31">
        <v>1</v>
      </c>
      <c r="K230" s="33" t="s">
        <v>939</v>
      </c>
      <c r="L230" s="33" t="s">
        <v>39</v>
      </c>
      <c r="M230" s="34" t="s">
        <v>39</v>
      </c>
      <c r="N230" s="34" t="s">
        <v>1693</v>
      </c>
      <c r="O230" s="35">
        <v>1</v>
      </c>
      <c r="P230" s="35">
        <v>1</v>
      </c>
      <c r="Q230" s="32"/>
      <c r="S230" s="1">
        <f t="shared" si="73"/>
        <v>1</v>
      </c>
      <c r="T230" s="1">
        <f t="shared" si="74"/>
        <v>0</v>
      </c>
      <c r="U230" s="1">
        <f t="shared" si="75"/>
        <v>0</v>
      </c>
      <c r="V230" s="1">
        <f t="shared" si="76"/>
        <v>0</v>
      </c>
      <c r="W230" s="1">
        <f t="shared" si="77"/>
        <v>0</v>
      </c>
      <c r="X230" s="1">
        <f t="shared" si="78"/>
        <v>0</v>
      </c>
      <c r="Y230" s="1">
        <f t="shared" si="79"/>
        <v>0</v>
      </c>
      <c r="Z230" s="1">
        <f t="shared" si="80"/>
        <v>0</v>
      </c>
      <c r="AA230" s="1">
        <f t="shared" si="81"/>
        <v>0</v>
      </c>
      <c r="AB230" s="1">
        <f t="shared" si="82"/>
        <v>0</v>
      </c>
      <c r="AD230" s="1">
        <f t="shared" si="83"/>
        <v>1</v>
      </c>
      <c r="AE230" s="1">
        <f t="shared" si="84"/>
        <v>0</v>
      </c>
      <c r="AF230" s="1">
        <f t="shared" si="85"/>
        <v>1</v>
      </c>
      <c r="AG230" s="1">
        <f t="shared" si="86"/>
        <v>0</v>
      </c>
      <c r="AH230" s="1">
        <f t="shared" si="87"/>
        <v>1</v>
      </c>
      <c r="AI230" s="1">
        <f t="shared" si="88"/>
        <v>0</v>
      </c>
    </row>
    <row r="231" spans="1:35" s="1" customFormat="1" ht="14.25" customHeight="1" x14ac:dyDescent="0.25">
      <c r="A231" s="31">
        <v>0</v>
      </c>
      <c r="B231" s="31">
        <v>1</v>
      </c>
      <c r="C231" s="31">
        <v>6</v>
      </c>
      <c r="D231" s="32" t="s">
        <v>89</v>
      </c>
      <c r="E231" s="32" t="s">
        <v>167</v>
      </c>
      <c r="F231" s="32" t="s">
        <v>282</v>
      </c>
      <c r="G231" s="32" t="s">
        <v>229</v>
      </c>
      <c r="H231" s="32" t="s">
        <v>352</v>
      </c>
      <c r="I231" s="31" t="s">
        <v>435</v>
      </c>
      <c r="J231" s="31">
        <v>7</v>
      </c>
      <c r="K231" s="33" t="s">
        <v>713</v>
      </c>
      <c r="L231" s="33">
        <v>40</v>
      </c>
      <c r="M231" s="34" t="s">
        <v>39</v>
      </c>
      <c r="N231" s="34" t="s">
        <v>1708</v>
      </c>
      <c r="O231" s="35">
        <v>1</v>
      </c>
      <c r="P231" s="35"/>
      <c r="Q231" s="32"/>
      <c r="S231" s="1">
        <f t="shared" ref="S231:S233" si="89">IF(J231=$S$7,1,0)</f>
        <v>0</v>
      </c>
      <c r="T231" s="1">
        <f t="shared" ref="T231:T233" si="90">IF(J231=$T$7,1,0)</f>
        <v>0</v>
      </c>
      <c r="U231" s="1">
        <f t="shared" ref="U231:U233" si="91">IF(J231=$U$7,1,0)</f>
        <v>0</v>
      </c>
      <c r="V231" s="1">
        <f t="shared" ref="V231:V233" si="92">IF(J231=$V$7,1,0)</f>
        <v>0</v>
      </c>
      <c r="W231" s="1">
        <f t="shared" ref="W231:W233" si="93">IF(J231=$W$7,1,0)</f>
        <v>0</v>
      </c>
      <c r="X231" s="1">
        <f t="shared" ref="X231:X233" si="94">IF(J231=$X$7,1,0)</f>
        <v>0</v>
      </c>
      <c r="Y231" s="1">
        <f t="shared" ref="Y231:Y233" si="95">IF(J231=$Y$7,1,0)</f>
        <v>1</v>
      </c>
      <c r="Z231" s="1">
        <f t="shared" ref="Z231:Z233" si="96">IF(J231=$Z$7,1,0)</f>
        <v>0</v>
      </c>
      <c r="AA231" s="1">
        <f t="shared" ref="AA231:AA233" si="97">IF(J231=$AA$7,1,0)</f>
        <v>0</v>
      </c>
      <c r="AB231" s="1">
        <f t="shared" ref="AB231:AB233" si="98">IF(J231=$AB$7,1,0)</f>
        <v>0</v>
      </c>
      <c r="AD231" s="1">
        <f t="shared" si="83"/>
        <v>0</v>
      </c>
      <c r="AE231" s="1">
        <f t="shared" si="84"/>
        <v>1</v>
      </c>
      <c r="AF231" s="1">
        <f t="shared" si="85"/>
        <v>0</v>
      </c>
      <c r="AG231" s="1">
        <f t="shared" si="86"/>
        <v>1</v>
      </c>
      <c r="AH231" s="1">
        <f t="shared" si="87"/>
        <v>0</v>
      </c>
      <c r="AI231" s="1">
        <f t="shared" si="88"/>
        <v>1</v>
      </c>
    </row>
    <row r="232" spans="1:35" s="1" customFormat="1" ht="14.25" customHeight="1" x14ac:dyDescent="0.25">
      <c r="A232" s="31">
        <v>0</v>
      </c>
      <c r="B232" s="31">
        <v>1</v>
      </c>
      <c r="C232" s="31">
        <v>6</v>
      </c>
      <c r="D232" s="36" t="s">
        <v>2135</v>
      </c>
      <c r="E232" s="36" t="s">
        <v>2136</v>
      </c>
      <c r="F232" s="36" t="s">
        <v>2137</v>
      </c>
      <c r="G232" s="36" t="s">
        <v>283</v>
      </c>
      <c r="H232" s="36" t="s">
        <v>352</v>
      </c>
      <c r="I232" s="37" t="s">
        <v>2138</v>
      </c>
      <c r="J232" s="31">
        <v>10</v>
      </c>
      <c r="K232" s="33" t="s">
        <v>694</v>
      </c>
      <c r="L232" s="33">
        <v>40</v>
      </c>
      <c r="M232" s="34" t="s">
        <v>2151</v>
      </c>
      <c r="N232" s="34" t="s">
        <v>1708</v>
      </c>
      <c r="O232" s="35">
        <v>1</v>
      </c>
      <c r="P232" s="35"/>
      <c r="Q232" s="32"/>
      <c r="S232" s="1">
        <f t="shared" si="89"/>
        <v>0</v>
      </c>
      <c r="T232" s="1">
        <f t="shared" si="90"/>
        <v>0</v>
      </c>
      <c r="U232" s="1">
        <f t="shared" si="91"/>
        <v>0</v>
      </c>
      <c r="V232" s="1">
        <f t="shared" si="92"/>
        <v>0</v>
      </c>
      <c r="W232" s="1">
        <f t="shared" si="93"/>
        <v>0</v>
      </c>
      <c r="X232" s="1">
        <f t="shared" si="94"/>
        <v>0</v>
      </c>
      <c r="Y232" s="1">
        <f t="shared" si="95"/>
        <v>0</v>
      </c>
      <c r="Z232" s="1">
        <f t="shared" si="96"/>
        <v>0</v>
      </c>
      <c r="AA232" s="1">
        <f t="shared" si="97"/>
        <v>0</v>
      </c>
      <c r="AB232" s="1">
        <f t="shared" si="98"/>
        <v>1</v>
      </c>
      <c r="AD232" s="1">
        <f t="shared" si="83"/>
        <v>0</v>
      </c>
      <c r="AE232" s="1">
        <f t="shared" si="84"/>
        <v>1</v>
      </c>
      <c r="AF232" s="1">
        <f t="shared" si="85"/>
        <v>0</v>
      </c>
      <c r="AG232" s="1">
        <f t="shared" si="86"/>
        <v>1</v>
      </c>
      <c r="AH232" s="1">
        <f t="shared" si="87"/>
        <v>0</v>
      </c>
      <c r="AI232" s="1">
        <f t="shared" si="88"/>
        <v>1</v>
      </c>
    </row>
    <row r="233" spans="1:35" s="1" customFormat="1" ht="14.25" customHeight="1" x14ac:dyDescent="0.25">
      <c r="A233" s="31">
        <v>0</v>
      </c>
      <c r="B233" s="31">
        <v>1</v>
      </c>
      <c r="C233" s="31">
        <v>6</v>
      </c>
      <c r="D233" s="32" t="s">
        <v>90</v>
      </c>
      <c r="E233" s="32" t="s">
        <v>164</v>
      </c>
      <c r="F233" s="36" t="s">
        <v>1830</v>
      </c>
      <c r="G233" s="32" t="s">
        <v>239</v>
      </c>
      <c r="H233" s="32" t="s">
        <v>352</v>
      </c>
      <c r="I233" s="31" t="s">
        <v>436</v>
      </c>
      <c r="J233" s="31">
        <v>1</v>
      </c>
      <c r="K233" s="33" t="s">
        <v>945</v>
      </c>
      <c r="L233" s="33" t="s">
        <v>39</v>
      </c>
      <c r="M233" s="34" t="s">
        <v>39</v>
      </c>
      <c r="N233" s="34" t="s">
        <v>1693</v>
      </c>
      <c r="O233" s="35">
        <v>1</v>
      </c>
      <c r="P233" s="35">
        <v>1</v>
      </c>
      <c r="Q233" s="32"/>
      <c r="S233" s="1">
        <f t="shared" si="89"/>
        <v>1</v>
      </c>
      <c r="T233" s="1">
        <f t="shared" si="90"/>
        <v>0</v>
      </c>
      <c r="U233" s="1">
        <f t="shared" si="91"/>
        <v>0</v>
      </c>
      <c r="V233" s="1">
        <f t="shared" si="92"/>
        <v>0</v>
      </c>
      <c r="W233" s="1">
        <f t="shared" si="93"/>
        <v>0</v>
      </c>
      <c r="X233" s="1">
        <f t="shared" si="94"/>
        <v>0</v>
      </c>
      <c r="Y233" s="1">
        <f t="shared" si="95"/>
        <v>0</v>
      </c>
      <c r="Z233" s="1">
        <f t="shared" si="96"/>
        <v>0</v>
      </c>
      <c r="AA233" s="1">
        <f t="shared" si="97"/>
        <v>0</v>
      </c>
      <c r="AB233" s="1">
        <f t="shared" si="98"/>
        <v>0</v>
      </c>
      <c r="AD233" s="1">
        <f t="shared" si="83"/>
        <v>1</v>
      </c>
      <c r="AE233" s="1">
        <f t="shared" si="84"/>
        <v>0</v>
      </c>
      <c r="AF233" s="1">
        <f t="shared" si="85"/>
        <v>1</v>
      </c>
      <c r="AG233" s="1">
        <f t="shared" si="86"/>
        <v>0</v>
      </c>
      <c r="AH233" s="1">
        <f t="shared" si="87"/>
        <v>1</v>
      </c>
      <c r="AI233" s="1">
        <f t="shared" si="88"/>
        <v>0</v>
      </c>
    </row>
    <row r="234" spans="1:35" s="1" customFormat="1" ht="14.25" customHeight="1" x14ac:dyDescent="0.25">
      <c r="A234" s="31">
        <v>0</v>
      </c>
      <c r="B234" s="31">
        <v>1</v>
      </c>
      <c r="C234" s="31">
        <v>6</v>
      </c>
      <c r="D234" s="32" t="s">
        <v>91</v>
      </c>
      <c r="E234" s="32" t="s">
        <v>166</v>
      </c>
      <c r="F234" s="32" t="s">
        <v>284</v>
      </c>
      <c r="G234" s="32" t="s">
        <v>199</v>
      </c>
      <c r="H234" s="32" t="s">
        <v>352</v>
      </c>
      <c r="I234" s="31" t="s">
        <v>437</v>
      </c>
      <c r="J234" s="31">
        <v>2</v>
      </c>
      <c r="K234" s="33" t="s">
        <v>943</v>
      </c>
      <c r="L234" s="33" t="s">
        <v>39</v>
      </c>
      <c r="M234" s="34" t="s">
        <v>39</v>
      </c>
      <c r="N234" s="34" t="s">
        <v>1693</v>
      </c>
      <c r="O234" s="35">
        <v>1</v>
      </c>
      <c r="P234" s="35">
        <v>1</v>
      </c>
      <c r="Q234" s="32"/>
      <c r="S234" s="1">
        <f t="shared" si="73"/>
        <v>0</v>
      </c>
      <c r="T234" s="1">
        <f t="shared" si="74"/>
        <v>1</v>
      </c>
      <c r="U234" s="1">
        <f t="shared" si="75"/>
        <v>0</v>
      </c>
      <c r="V234" s="1">
        <f t="shared" si="76"/>
        <v>0</v>
      </c>
      <c r="W234" s="1">
        <f t="shared" si="77"/>
        <v>0</v>
      </c>
      <c r="X234" s="1">
        <f t="shared" si="78"/>
        <v>0</v>
      </c>
      <c r="Y234" s="1">
        <f t="shared" si="79"/>
        <v>0</v>
      </c>
      <c r="Z234" s="1">
        <f t="shared" si="80"/>
        <v>0</v>
      </c>
      <c r="AA234" s="1">
        <f t="shared" si="81"/>
        <v>0</v>
      </c>
      <c r="AB234" s="1">
        <f t="shared" si="82"/>
        <v>0</v>
      </c>
      <c r="AD234" s="1">
        <f t="shared" si="83"/>
        <v>1</v>
      </c>
      <c r="AE234" s="1">
        <f t="shared" si="84"/>
        <v>0</v>
      </c>
      <c r="AF234" s="1">
        <f t="shared" si="85"/>
        <v>1</v>
      </c>
      <c r="AG234" s="1">
        <f t="shared" si="86"/>
        <v>0</v>
      </c>
      <c r="AH234" s="1">
        <f t="shared" si="87"/>
        <v>1</v>
      </c>
      <c r="AI234" s="1">
        <f t="shared" si="88"/>
        <v>0</v>
      </c>
    </row>
    <row r="235" spans="1:35" s="1" customFormat="1" ht="14.25" customHeight="1" x14ac:dyDescent="0.25">
      <c r="A235" s="31">
        <v>0</v>
      </c>
      <c r="B235" s="31">
        <v>1</v>
      </c>
      <c r="C235" s="31">
        <v>6</v>
      </c>
      <c r="D235" s="32" t="s">
        <v>1250</v>
      </c>
      <c r="E235" s="32" t="s">
        <v>166</v>
      </c>
      <c r="F235" s="32" t="s">
        <v>1126</v>
      </c>
      <c r="G235" s="32" t="s">
        <v>1316</v>
      </c>
      <c r="H235" s="32" t="s">
        <v>352</v>
      </c>
      <c r="I235" s="31" t="s">
        <v>1127</v>
      </c>
      <c r="J235" s="31">
        <v>99</v>
      </c>
      <c r="K235" s="33" t="s">
        <v>693</v>
      </c>
      <c r="L235" s="33">
        <v>45</v>
      </c>
      <c r="M235" s="34" t="s">
        <v>39</v>
      </c>
      <c r="N235" s="34" t="s">
        <v>1704</v>
      </c>
      <c r="O235" s="35">
        <v>1</v>
      </c>
      <c r="P235" s="35"/>
      <c r="Q235" s="32"/>
      <c r="S235" s="1">
        <f t="shared" si="73"/>
        <v>0</v>
      </c>
      <c r="T235" s="1">
        <f t="shared" si="74"/>
        <v>0</v>
      </c>
      <c r="U235" s="1">
        <f t="shared" si="75"/>
        <v>0</v>
      </c>
      <c r="V235" s="1">
        <f t="shared" si="76"/>
        <v>0</v>
      </c>
      <c r="W235" s="1">
        <f t="shared" si="77"/>
        <v>0</v>
      </c>
      <c r="X235" s="1">
        <f t="shared" si="78"/>
        <v>0</v>
      </c>
      <c r="Y235" s="1">
        <f t="shared" si="79"/>
        <v>0</v>
      </c>
      <c r="Z235" s="1">
        <f t="shared" si="80"/>
        <v>0</v>
      </c>
      <c r="AA235" s="1">
        <f t="shared" si="81"/>
        <v>0</v>
      </c>
      <c r="AB235" s="1">
        <f t="shared" si="82"/>
        <v>0</v>
      </c>
      <c r="AD235" s="1">
        <f t="shared" si="83"/>
        <v>0</v>
      </c>
      <c r="AE235" s="1">
        <f t="shared" si="84"/>
        <v>1</v>
      </c>
      <c r="AF235" s="1">
        <f t="shared" si="85"/>
        <v>0</v>
      </c>
      <c r="AG235" s="1">
        <f t="shared" si="86"/>
        <v>1</v>
      </c>
      <c r="AH235" s="1">
        <f t="shared" si="87"/>
        <v>0</v>
      </c>
      <c r="AI235" s="1">
        <f t="shared" si="88"/>
        <v>1</v>
      </c>
    </row>
    <row r="236" spans="1:35" s="1" customFormat="1" ht="14.25" customHeight="1" x14ac:dyDescent="0.25">
      <c r="A236" s="31">
        <v>0</v>
      </c>
      <c r="B236" s="31">
        <v>1</v>
      </c>
      <c r="C236" s="31">
        <v>6</v>
      </c>
      <c r="D236" s="36" t="s">
        <v>2129</v>
      </c>
      <c r="E236" s="32" t="s">
        <v>166</v>
      </c>
      <c r="F236" s="32" t="s">
        <v>1726</v>
      </c>
      <c r="G236" s="32"/>
      <c r="H236" s="32" t="s">
        <v>352</v>
      </c>
      <c r="I236" s="31" t="s">
        <v>1727</v>
      </c>
      <c r="J236" s="31"/>
      <c r="K236" s="33" t="s">
        <v>694</v>
      </c>
      <c r="L236" s="33"/>
      <c r="M236" s="34"/>
      <c r="N236" s="34" t="s">
        <v>1693</v>
      </c>
      <c r="O236" s="35">
        <v>1</v>
      </c>
      <c r="P236" s="35">
        <v>1</v>
      </c>
      <c r="Q236" s="32"/>
      <c r="S236" s="1">
        <f t="shared" si="73"/>
        <v>0</v>
      </c>
      <c r="T236" s="1">
        <f t="shared" si="74"/>
        <v>0</v>
      </c>
      <c r="U236" s="1">
        <f t="shared" si="75"/>
        <v>0</v>
      </c>
      <c r="V236" s="1">
        <f t="shared" si="76"/>
        <v>0</v>
      </c>
      <c r="W236" s="1">
        <f t="shared" si="77"/>
        <v>0</v>
      </c>
      <c r="X236" s="1">
        <f t="shared" si="78"/>
        <v>0</v>
      </c>
      <c r="Y236" s="1">
        <f t="shared" si="79"/>
        <v>0</v>
      </c>
      <c r="Z236" s="1">
        <f t="shared" si="80"/>
        <v>0</v>
      </c>
      <c r="AA236" s="1">
        <f t="shared" si="81"/>
        <v>0</v>
      </c>
      <c r="AB236" s="1">
        <f t="shared" si="82"/>
        <v>0</v>
      </c>
      <c r="AD236" s="1">
        <f t="shared" si="83"/>
        <v>1</v>
      </c>
      <c r="AE236" s="1">
        <f t="shared" si="84"/>
        <v>0</v>
      </c>
      <c r="AF236" s="1">
        <f t="shared" si="85"/>
        <v>1</v>
      </c>
      <c r="AG236" s="1">
        <f t="shared" si="86"/>
        <v>0</v>
      </c>
      <c r="AH236" s="1">
        <f t="shared" si="87"/>
        <v>1</v>
      </c>
      <c r="AI236" s="1">
        <f t="shared" si="88"/>
        <v>0</v>
      </c>
    </row>
    <row r="237" spans="1:35" s="1" customFormat="1" ht="14.25" customHeight="1" x14ac:dyDescent="0.25">
      <c r="A237" s="31">
        <v>0</v>
      </c>
      <c r="B237" s="31">
        <v>1</v>
      </c>
      <c r="C237" s="31">
        <v>6</v>
      </c>
      <c r="D237" s="32" t="s">
        <v>1750</v>
      </c>
      <c r="E237" s="32" t="s">
        <v>166</v>
      </c>
      <c r="F237" s="32" t="s">
        <v>1728</v>
      </c>
      <c r="G237" s="32"/>
      <c r="H237" s="32" t="s">
        <v>352</v>
      </c>
      <c r="I237" s="31" t="s">
        <v>1729</v>
      </c>
      <c r="J237" s="31"/>
      <c r="K237" s="33" t="s">
        <v>694</v>
      </c>
      <c r="L237" s="33">
        <v>30</v>
      </c>
      <c r="M237" s="34" t="s">
        <v>1730</v>
      </c>
      <c r="N237" s="34" t="s">
        <v>1708</v>
      </c>
      <c r="O237" s="35">
        <v>1</v>
      </c>
      <c r="P237" s="35"/>
      <c r="Q237" s="32"/>
      <c r="S237" s="1">
        <f t="shared" si="73"/>
        <v>0</v>
      </c>
      <c r="T237" s="1">
        <f t="shared" si="74"/>
        <v>0</v>
      </c>
      <c r="U237" s="1">
        <f t="shared" si="75"/>
        <v>0</v>
      </c>
      <c r="V237" s="1">
        <f t="shared" si="76"/>
        <v>0</v>
      </c>
      <c r="W237" s="1">
        <f t="shared" si="77"/>
        <v>0</v>
      </c>
      <c r="X237" s="1">
        <f t="shared" si="78"/>
        <v>0</v>
      </c>
      <c r="Y237" s="1">
        <f t="shared" si="79"/>
        <v>0</v>
      </c>
      <c r="Z237" s="1">
        <f t="shared" si="80"/>
        <v>0</v>
      </c>
      <c r="AA237" s="1">
        <f t="shared" si="81"/>
        <v>0</v>
      </c>
      <c r="AB237" s="1">
        <f t="shared" si="82"/>
        <v>0</v>
      </c>
      <c r="AD237" s="1">
        <f t="shared" si="83"/>
        <v>0</v>
      </c>
      <c r="AE237" s="1">
        <f t="shared" si="84"/>
        <v>1</v>
      </c>
      <c r="AF237" s="1">
        <f t="shared" si="85"/>
        <v>0</v>
      </c>
      <c r="AG237" s="1">
        <f t="shared" si="86"/>
        <v>1</v>
      </c>
      <c r="AH237" s="1">
        <f t="shared" si="87"/>
        <v>0</v>
      </c>
      <c r="AI237" s="1">
        <f t="shared" si="88"/>
        <v>1</v>
      </c>
    </row>
    <row r="238" spans="1:35" s="1" customFormat="1" ht="14.25" customHeight="1" x14ac:dyDescent="0.25">
      <c r="A238" s="31">
        <v>0</v>
      </c>
      <c r="B238" s="31">
        <v>1</v>
      </c>
      <c r="C238" s="31">
        <v>6</v>
      </c>
      <c r="D238" s="32" t="s">
        <v>995</v>
      </c>
      <c r="E238" s="32" t="s">
        <v>166</v>
      </c>
      <c r="F238" s="32" t="s">
        <v>996</v>
      </c>
      <c r="G238" s="32" t="s">
        <v>1084</v>
      </c>
      <c r="H238" s="32" t="s">
        <v>352</v>
      </c>
      <c r="I238" s="31" t="s">
        <v>997</v>
      </c>
      <c r="J238" s="31">
        <v>99</v>
      </c>
      <c r="K238" s="33" t="s">
        <v>945</v>
      </c>
      <c r="L238" s="33" t="s">
        <v>39</v>
      </c>
      <c r="M238" s="34" t="s">
        <v>39</v>
      </c>
      <c r="N238" s="34" t="s">
        <v>1693</v>
      </c>
      <c r="O238" s="35">
        <v>1</v>
      </c>
      <c r="P238" s="35">
        <v>1</v>
      </c>
      <c r="Q238" s="32"/>
      <c r="S238" s="1">
        <f t="shared" si="73"/>
        <v>0</v>
      </c>
      <c r="T238" s="1">
        <f t="shared" si="74"/>
        <v>0</v>
      </c>
      <c r="U238" s="1">
        <f t="shared" si="75"/>
        <v>0</v>
      </c>
      <c r="V238" s="1">
        <f t="shared" si="76"/>
        <v>0</v>
      </c>
      <c r="W238" s="1">
        <f t="shared" si="77"/>
        <v>0</v>
      </c>
      <c r="X238" s="1">
        <f t="shared" si="78"/>
        <v>0</v>
      </c>
      <c r="Y238" s="1">
        <f t="shared" si="79"/>
        <v>0</v>
      </c>
      <c r="Z238" s="1">
        <f t="shared" si="80"/>
        <v>0</v>
      </c>
      <c r="AA238" s="1">
        <f t="shared" si="81"/>
        <v>0</v>
      </c>
      <c r="AB238" s="1">
        <f t="shared" si="82"/>
        <v>0</v>
      </c>
      <c r="AD238" s="1">
        <f t="shared" si="83"/>
        <v>1</v>
      </c>
      <c r="AE238" s="1">
        <f t="shared" si="84"/>
        <v>0</v>
      </c>
      <c r="AF238" s="1">
        <f t="shared" si="85"/>
        <v>1</v>
      </c>
      <c r="AG238" s="1">
        <f t="shared" si="86"/>
        <v>0</v>
      </c>
      <c r="AH238" s="1">
        <f t="shared" si="87"/>
        <v>1</v>
      </c>
      <c r="AI238" s="1">
        <f t="shared" si="88"/>
        <v>0</v>
      </c>
    </row>
    <row r="239" spans="1:35" s="1" customFormat="1" ht="14.25" customHeight="1" x14ac:dyDescent="0.25">
      <c r="A239" s="31">
        <v>0</v>
      </c>
      <c r="B239" s="31">
        <v>1</v>
      </c>
      <c r="C239" s="31">
        <v>6</v>
      </c>
      <c r="D239" s="32" t="s">
        <v>93</v>
      </c>
      <c r="E239" s="32" t="s">
        <v>168</v>
      </c>
      <c r="F239" s="32" t="s">
        <v>287</v>
      </c>
      <c r="G239" s="32" t="s">
        <v>193</v>
      </c>
      <c r="H239" s="32" t="s">
        <v>352</v>
      </c>
      <c r="I239" s="31" t="s">
        <v>439</v>
      </c>
      <c r="J239" s="31">
        <v>9</v>
      </c>
      <c r="K239" s="33" t="s">
        <v>693</v>
      </c>
      <c r="L239" s="33" t="s">
        <v>685</v>
      </c>
      <c r="M239" s="34" t="s">
        <v>697</v>
      </c>
      <c r="N239" s="34" t="s">
        <v>1708</v>
      </c>
      <c r="O239" s="35">
        <v>1</v>
      </c>
      <c r="P239" s="35"/>
      <c r="Q239" s="32"/>
      <c r="S239" s="1">
        <f t="shared" si="73"/>
        <v>0</v>
      </c>
      <c r="T239" s="1">
        <f t="shared" si="74"/>
        <v>0</v>
      </c>
      <c r="U239" s="1">
        <f t="shared" si="75"/>
        <v>0</v>
      </c>
      <c r="V239" s="1">
        <f t="shared" si="76"/>
        <v>0</v>
      </c>
      <c r="W239" s="1">
        <f t="shared" si="77"/>
        <v>0</v>
      </c>
      <c r="X239" s="1">
        <f t="shared" si="78"/>
        <v>0</v>
      </c>
      <c r="Y239" s="1">
        <f t="shared" si="79"/>
        <v>0</v>
      </c>
      <c r="Z239" s="1">
        <f t="shared" si="80"/>
        <v>0</v>
      </c>
      <c r="AA239" s="1">
        <f t="shared" si="81"/>
        <v>1</v>
      </c>
      <c r="AB239" s="1">
        <f t="shared" si="82"/>
        <v>0</v>
      </c>
      <c r="AD239" s="1">
        <f t="shared" si="83"/>
        <v>0</v>
      </c>
      <c r="AE239" s="1">
        <f t="shared" si="84"/>
        <v>1</v>
      </c>
      <c r="AF239" s="1">
        <f t="shared" si="85"/>
        <v>0</v>
      </c>
      <c r="AG239" s="1">
        <f t="shared" si="86"/>
        <v>1</v>
      </c>
      <c r="AH239" s="1">
        <f t="shared" si="87"/>
        <v>0</v>
      </c>
      <c r="AI239" s="1">
        <f t="shared" si="88"/>
        <v>1</v>
      </c>
    </row>
    <row r="240" spans="1:35" s="1" customFormat="1" ht="14.25" customHeight="1" x14ac:dyDescent="0.25">
      <c r="A240" s="31">
        <v>0</v>
      </c>
      <c r="B240" s="31">
        <v>1</v>
      </c>
      <c r="C240" s="31">
        <v>6</v>
      </c>
      <c r="D240" s="32" t="s">
        <v>1576</v>
      </c>
      <c r="E240" s="32" t="s">
        <v>1577</v>
      </c>
      <c r="F240" s="32" t="s">
        <v>1578</v>
      </c>
      <c r="G240" s="32" t="s">
        <v>191</v>
      </c>
      <c r="H240" s="32" t="s">
        <v>352</v>
      </c>
      <c r="I240" s="31" t="s">
        <v>1579</v>
      </c>
      <c r="J240" s="31">
        <v>10</v>
      </c>
      <c r="K240" s="33" t="s">
        <v>937</v>
      </c>
      <c r="L240" s="33" t="s">
        <v>678</v>
      </c>
      <c r="M240" s="34" t="s">
        <v>1580</v>
      </c>
      <c r="N240" s="34" t="s">
        <v>1704</v>
      </c>
      <c r="O240" s="35">
        <v>1</v>
      </c>
      <c r="P240" s="35"/>
      <c r="Q240" s="32"/>
      <c r="S240" s="1">
        <f t="shared" si="73"/>
        <v>0</v>
      </c>
      <c r="T240" s="1">
        <f t="shared" si="74"/>
        <v>0</v>
      </c>
      <c r="U240" s="1">
        <f t="shared" si="75"/>
        <v>0</v>
      </c>
      <c r="V240" s="1">
        <f t="shared" si="76"/>
        <v>0</v>
      </c>
      <c r="W240" s="1">
        <f t="shared" si="77"/>
        <v>0</v>
      </c>
      <c r="X240" s="1">
        <f t="shared" si="78"/>
        <v>0</v>
      </c>
      <c r="Y240" s="1">
        <f t="shared" si="79"/>
        <v>0</v>
      </c>
      <c r="Z240" s="1">
        <f t="shared" si="80"/>
        <v>0</v>
      </c>
      <c r="AA240" s="1">
        <f t="shared" si="81"/>
        <v>0</v>
      </c>
      <c r="AB240" s="1">
        <f t="shared" si="82"/>
        <v>1</v>
      </c>
      <c r="AD240" s="1">
        <f t="shared" si="83"/>
        <v>0</v>
      </c>
      <c r="AE240" s="1">
        <f t="shared" si="84"/>
        <v>1</v>
      </c>
      <c r="AF240" s="1">
        <f t="shared" si="85"/>
        <v>0</v>
      </c>
      <c r="AG240" s="1">
        <f t="shared" si="86"/>
        <v>1</v>
      </c>
      <c r="AH240" s="1">
        <f t="shared" si="87"/>
        <v>0</v>
      </c>
      <c r="AI240" s="1">
        <f t="shared" si="88"/>
        <v>1</v>
      </c>
    </row>
    <row r="241" spans="1:4094 4097:8191 8194:12288 12291:16384" s="1" customFormat="1" ht="14.25" customHeight="1" x14ac:dyDescent="0.25">
      <c r="A241" s="31">
        <v>0</v>
      </c>
      <c r="B241" s="31">
        <v>1</v>
      </c>
      <c r="C241" s="31">
        <v>6</v>
      </c>
      <c r="D241" s="32" t="s">
        <v>94</v>
      </c>
      <c r="E241" s="32" t="s">
        <v>164</v>
      </c>
      <c r="F241" s="32" t="s">
        <v>288</v>
      </c>
      <c r="G241" s="32" t="s">
        <v>289</v>
      </c>
      <c r="H241" s="32" t="s">
        <v>352</v>
      </c>
      <c r="I241" s="31" t="s">
        <v>440</v>
      </c>
      <c r="J241" s="31">
        <v>7</v>
      </c>
      <c r="K241" s="33" t="s">
        <v>693</v>
      </c>
      <c r="L241" s="33" t="s">
        <v>685</v>
      </c>
      <c r="M241" s="34" t="s">
        <v>689</v>
      </c>
      <c r="N241" s="34" t="s">
        <v>1709</v>
      </c>
      <c r="O241" s="35">
        <v>1</v>
      </c>
      <c r="P241" s="35"/>
      <c r="Q241" s="32"/>
      <c r="S241" s="1">
        <f t="shared" si="73"/>
        <v>0</v>
      </c>
      <c r="T241" s="1">
        <f t="shared" si="74"/>
        <v>0</v>
      </c>
      <c r="U241" s="1">
        <f t="shared" si="75"/>
        <v>0</v>
      </c>
      <c r="V241" s="1">
        <f t="shared" si="76"/>
        <v>0</v>
      </c>
      <c r="W241" s="1">
        <f t="shared" si="77"/>
        <v>0</v>
      </c>
      <c r="X241" s="1">
        <f t="shared" si="78"/>
        <v>0</v>
      </c>
      <c r="Y241" s="1">
        <f t="shared" si="79"/>
        <v>1</v>
      </c>
      <c r="Z241" s="1">
        <f t="shared" si="80"/>
        <v>0</v>
      </c>
      <c r="AA241" s="1">
        <f t="shared" si="81"/>
        <v>0</v>
      </c>
      <c r="AB241" s="1">
        <f t="shared" si="82"/>
        <v>0</v>
      </c>
      <c r="AD241" s="1">
        <f t="shared" si="83"/>
        <v>0</v>
      </c>
      <c r="AE241" s="1">
        <f t="shared" si="84"/>
        <v>1</v>
      </c>
      <c r="AF241" s="1">
        <f t="shared" si="85"/>
        <v>0</v>
      </c>
      <c r="AG241" s="1">
        <f t="shared" si="86"/>
        <v>1</v>
      </c>
      <c r="AH241" s="1">
        <f t="shared" si="87"/>
        <v>0</v>
      </c>
      <c r="AI241" s="1">
        <f t="shared" si="88"/>
        <v>1</v>
      </c>
    </row>
    <row r="242" spans="1:4094 4097:8191 8194:12288 12291:16384" s="1" customFormat="1" ht="14.25" customHeight="1" x14ac:dyDescent="0.25">
      <c r="A242" s="31">
        <v>0</v>
      </c>
      <c r="B242" s="31">
        <v>1</v>
      </c>
      <c r="C242" s="31">
        <v>6</v>
      </c>
      <c r="D242" s="32" t="s">
        <v>1066</v>
      </c>
      <c r="E242" s="32" t="s">
        <v>166</v>
      </c>
      <c r="F242" s="32" t="s">
        <v>652</v>
      </c>
      <c r="G242" s="32" t="s">
        <v>178</v>
      </c>
      <c r="H242" s="32" t="s">
        <v>352</v>
      </c>
      <c r="I242" s="31" t="s">
        <v>379</v>
      </c>
      <c r="J242" s="31">
        <v>10</v>
      </c>
      <c r="K242" s="33" t="s">
        <v>713</v>
      </c>
      <c r="L242" s="33" t="s">
        <v>695</v>
      </c>
      <c r="M242" s="34" t="s">
        <v>698</v>
      </c>
      <c r="N242" s="34" t="s">
        <v>1710</v>
      </c>
      <c r="O242" s="35">
        <v>1</v>
      </c>
      <c r="P242" s="35"/>
      <c r="Q242" s="32"/>
      <c r="R242" s="15"/>
      <c r="S242" s="1">
        <f t="shared" si="73"/>
        <v>0</v>
      </c>
      <c r="T242" s="1">
        <f t="shared" si="74"/>
        <v>0</v>
      </c>
      <c r="U242" s="1">
        <f t="shared" si="75"/>
        <v>0</v>
      </c>
      <c r="V242" s="1">
        <f t="shared" si="76"/>
        <v>0</v>
      </c>
      <c r="W242" s="1">
        <f t="shared" si="77"/>
        <v>0</v>
      </c>
      <c r="X242" s="1">
        <f t="shared" si="78"/>
        <v>0</v>
      </c>
      <c r="Y242" s="1">
        <f t="shared" si="79"/>
        <v>0</v>
      </c>
      <c r="Z242" s="1">
        <f t="shared" si="80"/>
        <v>0</v>
      </c>
      <c r="AA242" s="1">
        <f t="shared" si="81"/>
        <v>0</v>
      </c>
      <c r="AB242" s="1">
        <f t="shared" si="82"/>
        <v>1</v>
      </c>
      <c r="AD242" s="1">
        <f t="shared" si="83"/>
        <v>0</v>
      </c>
      <c r="AE242" s="1">
        <f t="shared" si="84"/>
        <v>1</v>
      </c>
      <c r="AF242" s="1">
        <f t="shared" si="85"/>
        <v>0</v>
      </c>
      <c r="AG242" s="1">
        <f t="shared" si="86"/>
        <v>1</v>
      </c>
      <c r="AH242" s="1">
        <f t="shared" si="87"/>
        <v>0</v>
      </c>
      <c r="AI242" s="1">
        <f t="shared" si="88"/>
        <v>1</v>
      </c>
      <c r="AJ242" s="15"/>
      <c r="AK242" s="15"/>
      <c r="AL242" s="16"/>
      <c r="AM242" s="16"/>
      <c r="AN242" s="16"/>
      <c r="AO242" s="16"/>
      <c r="AP242" s="16"/>
      <c r="AQ242" s="15"/>
      <c r="AR242" s="15"/>
      <c r="AS242" s="10"/>
      <c r="AT242" s="10"/>
      <c r="AU242" s="19"/>
      <c r="AV242" s="19"/>
      <c r="AY242" s="16"/>
      <c r="AZ242" s="15"/>
      <c r="BA242" s="15"/>
      <c r="BB242" s="15"/>
      <c r="BC242" s="16"/>
      <c r="BD242" s="16"/>
      <c r="BE242" s="16"/>
      <c r="BF242" s="16"/>
      <c r="BG242" s="16"/>
      <c r="BH242" s="15"/>
      <c r="BI242" s="15"/>
      <c r="BJ242" s="10"/>
      <c r="BK242" s="10"/>
      <c r="BL242" s="19"/>
      <c r="BM242" s="19"/>
      <c r="BP242" s="16"/>
      <c r="BQ242" s="15"/>
      <c r="BR242" s="15"/>
      <c r="BS242" s="15"/>
      <c r="BT242" s="16"/>
      <c r="BU242" s="16"/>
      <c r="BV242" s="16"/>
      <c r="BW242" s="16"/>
      <c r="BX242" s="16"/>
      <c r="BY242" s="15"/>
      <c r="BZ242" s="15"/>
      <c r="CA242" s="10"/>
      <c r="CB242" s="10"/>
      <c r="CC242" s="19"/>
      <c r="CD242" s="19"/>
      <c r="CG242" s="16"/>
      <c r="CH242" s="15"/>
      <c r="CI242" s="15"/>
      <c r="CJ242" s="15"/>
      <c r="CK242" s="16"/>
      <c r="CL242" s="16"/>
      <c r="CM242" s="16"/>
      <c r="CN242" s="16"/>
      <c r="CO242" s="16"/>
      <c r="CP242" s="15"/>
      <c r="CQ242" s="15"/>
      <c r="CR242" s="10"/>
      <c r="CS242" s="10"/>
      <c r="CT242" s="19"/>
      <c r="CU242" s="19"/>
      <c r="CX242" s="16"/>
      <c r="CY242" s="15"/>
      <c r="CZ242" s="15"/>
      <c r="DA242" s="15"/>
      <c r="DB242" s="16"/>
      <c r="DC242" s="16"/>
      <c r="DD242" s="16"/>
      <c r="DE242" s="16"/>
      <c r="DF242" s="16"/>
      <c r="DG242" s="15"/>
      <c r="DH242" s="15"/>
      <c r="DI242" s="10"/>
      <c r="DJ242" s="10"/>
      <c r="DK242" s="19"/>
      <c r="DL242" s="19"/>
      <c r="DO242" s="16"/>
      <c r="DP242" s="15"/>
      <c r="DQ242" s="15"/>
      <c r="DR242" s="15"/>
      <c r="DS242" s="16"/>
      <c r="DT242" s="16"/>
      <c r="DU242" s="16"/>
      <c r="DV242" s="16"/>
      <c r="DW242" s="16"/>
      <c r="DX242" s="15"/>
      <c r="DY242" s="15"/>
      <c r="DZ242" s="10"/>
      <c r="EA242" s="10"/>
      <c r="EB242" s="19"/>
      <c r="EC242" s="19"/>
      <c r="EF242" s="16"/>
      <c r="EG242" s="15"/>
      <c r="EH242" s="15"/>
      <c r="EI242" s="15"/>
      <c r="EJ242" s="16"/>
      <c r="EK242" s="16"/>
      <c r="EL242" s="16"/>
      <c r="EM242" s="16"/>
      <c r="EN242" s="16"/>
      <c r="EO242" s="15"/>
      <c r="EP242" s="15"/>
      <c r="EQ242" s="10"/>
      <c r="ER242" s="10"/>
      <c r="ES242" s="19"/>
      <c r="ET242" s="19"/>
      <c r="EW242" s="16"/>
      <c r="EX242" s="15"/>
      <c r="EY242" s="15"/>
      <c r="EZ242" s="15"/>
      <c r="FA242" s="16"/>
      <c r="FB242" s="16"/>
      <c r="FC242" s="16"/>
      <c r="FD242" s="16"/>
      <c r="FE242" s="16"/>
      <c r="FF242" s="15"/>
      <c r="FG242" s="15"/>
      <c r="FH242" s="10"/>
      <c r="FI242" s="10"/>
      <c r="FJ242" s="19"/>
      <c r="FK242" s="19"/>
      <c r="FN242" s="16"/>
      <c r="FO242" s="15"/>
      <c r="FP242" s="15"/>
      <c r="FQ242" s="15"/>
      <c r="FR242" s="16"/>
      <c r="FS242" s="16"/>
      <c r="FT242" s="16"/>
      <c r="FU242" s="16"/>
      <c r="FV242" s="16"/>
      <c r="FW242" s="15"/>
      <c r="FX242" s="15"/>
      <c r="FY242" s="10"/>
      <c r="FZ242" s="10"/>
      <c r="GA242" s="19"/>
      <c r="GB242" s="19"/>
      <c r="GE242" s="16"/>
      <c r="GF242" s="15"/>
      <c r="GG242" s="15"/>
      <c r="GH242" s="15"/>
      <c r="GI242" s="16"/>
      <c r="GJ242" s="16"/>
      <c r="GK242" s="16"/>
      <c r="GL242" s="16"/>
      <c r="GM242" s="16"/>
      <c r="GN242" s="15"/>
      <c r="GO242" s="15"/>
      <c r="GP242" s="10"/>
      <c r="GQ242" s="10"/>
      <c r="GR242" s="19"/>
      <c r="GS242" s="19"/>
      <c r="GV242" s="16"/>
      <c r="GW242" s="15"/>
      <c r="GX242" s="15"/>
      <c r="GY242" s="15"/>
      <c r="GZ242" s="16"/>
      <c r="HA242" s="16"/>
      <c r="HB242" s="16"/>
      <c r="HC242" s="16"/>
      <c r="HD242" s="16"/>
      <c r="HE242" s="15"/>
      <c r="HF242" s="15"/>
      <c r="HG242" s="10"/>
      <c r="HH242" s="10"/>
      <c r="HI242" s="19"/>
      <c r="HJ242" s="19"/>
      <c r="HM242" s="16"/>
      <c r="HN242" s="15"/>
      <c r="HO242" s="15"/>
      <c r="HP242" s="15"/>
      <c r="HQ242" s="16"/>
      <c r="HR242" s="16"/>
      <c r="HS242" s="16"/>
      <c r="HT242" s="16"/>
      <c r="HU242" s="16"/>
      <c r="HV242" s="15"/>
      <c r="HW242" s="15"/>
      <c r="HX242" s="10"/>
      <c r="HY242" s="10"/>
      <c r="HZ242" s="19"/>
      <c r="IA242" s="19"/>
      <c r="ID242" s="16"/>
      <c r="IE242" s="15"/>
      <c r="IF242" s="15"/>
      <c r="IG242" s="15"/>
      <c r="IH242" s="16"/>
      <c r="II242" s="16"/>
      <c r="IJ242" s="16"/>
      <c r="IK242" s="16"/>
      <c r="IL242" s="16"/>
      <c r="IM242" s="15"/>
      <c r="IN242" s="15"/>
      <c r="IO242" s="10"/>
      <c r="IP242" s="10"/>
      <c r="IQ242" s="19"/>
      <c r="IR242" s="19"/>
      <c r="IU242" s="16"/>
      <c r="IV242" s="15"/>
      <c r="IW242" s="15"/>
      <c r="IX242" s="15"/>
      <c r="IY242" s="16"/>
      <c r="IZ242" s="16"/>
      <c r="JA242" s="16"/>
      <c r="JB242" s="16"/>
      <c r="JC242" s="16"/>
      <c r="JD242" s="15"/>
      <c r="JE242" s="15"/>
      <c r="JF242" s="10"/>
      <c r="JG242" s="10"/>
      <c r="JH242" s="19"/>
      <c r="JI242" s="19"/>
      <c r="JL242" s="16"/>
      <c r="JM242" s="15"/>
      <c r="JN242" s="15"/>
      <c r="JO242" s="15"/>
      <c r="JP242" s="16"/>
      <c r="JQ242" s="16"/>
      <c r="JR242" s="16"/>
      <c r="JS242" s="16"/>
      <c r="JT242" s="16"/>
      <c r="JU242" s="15"/>
      <c r="JV242" s="15"/>
      <c r="JW242" s="10"/>
      <c r="JX242" s="10"/>
      <c r="JY242" s="19"/>
      <c r="JZ242" s="19"/>
      <c r="KC242" s="16"/>
      <c r="KD242" s="15"/>
      <c r="KE242" s="15"/>
      <c r="KF242" s="15"/>
      <c r="KG242" s="16"/>
      <c r="KH242" s="16"/>
      <c r="KI242" s="16"/>
      <c r="KJ242" s="16"/>
      <c r="KK242" s="16"/>
      <c r="KL242" s="15"/>
      <c r="KM242" s="15"/>
      <c r="KN242" s="10"/>
      <c r="KO242" s="10"/>
      <c r="KP242" s="19"/>
      <c r="KQ242" s="19"/>
      <c r="KT242" s="16"/>
      <c r="KU242" s="15"/>
      <c r="KV242" s="15"/>
      <c r="KW242" s="15"/>
      <c r="KX242" s="16"/>
      <c r="KY242" s="16"/>
      <c r="KZ242" s="16"/>
      <c r="LA242" s="16"/>
      <c r="LB242" s="16"/>
      <c r="LC242" s="15"/>
      <c r="LD242" s="15"/>
      <c r="LE242" s="10"/>
      <c r="LF242" s="10"/>
      <c r="LG242" s="19"/>
      <c r="LH242" s="19"/>
      <c r="LK242" s="16"/>
      <c r="LL242" s="15"/>
      <c r="LM242" s="15"/>
      <c r="LN242" s="15"/>
      <c r="LO242" s="16"/>
      <c r="LP242" s="16"/>
      <c r="LQ242" s="16"/>
      <c r="LR242" s="16"/>
      <c r="LS242" s="16"/>
      <c r="LT242" s="15"/>
      <c r="LU242" s="15"/>
      <c r="LV242" s="10"/>
      <c r="LW242" s="10"/>
      <c r="LX242" s="19"/>
      <c r="LY242" s="19"/>
      <c r="MB242" s="16"/>
      <c r="MC242" s="15"/>
      <c r="MD242" s="15"/>
      <c r="ME242" s="15"/>
      <c r="MF242" s="16"/>
      <c r="MG242" s="16"/>
      <c r="MH242" s="16"/>
      <c r="MI242" s="16"/>
      <c r="MJ242" s="16"/>
      <c r="MK242" s="15"/>
      <c r="ML242" s="15"/>
      <c r="MM242" s="10"/>
      <c r="MN242" s="10"/>
      <c r="MO242" s="19"/>
      <c r="MP242" s="19"/>
      <c r="MS242" s="16"/>
      <c r="MT242" s="15"/>
      <c r="MU242" s="15"/>
      <c r="MV242" s="15"/>
      <c r="MW242" s="16"/>
      <c r="MX242" s="16"/>
      <c r="MY242" s="16"/>
      <c r="MZ242" s="16"/>
      <c r="NA242" s="16"/>
      <c r="NB242" s="15"/>
      <c r="NC242" s="15"/>
      <c r="ND242" s="10"/>
      <c r="NE242" s="10"/>
      <c r="NF242" s="19"/>
      <c r="NG242" s="19"/>
      <c r="NJ242" s="16"/>
      <c r="NK242" s="15"/>
      <c r="NL242" s="15"/>
      <c r="NM242" s="15"/>
      <c r="NN242" s="16"/>
      <c r="NO242" s="16"/>
      <c r="NP242" s="16"/>
      <c r="NQ242" s="16"/>
      <c r="NR242" s="16"/>
      <c r="NS242" s="15"/>
      <c r="NT242" s="15"/>
      <c r="NU242" s="10"/>
      <c r="NV242" s="10"/>
      <c r="NW242" s="19"/>
      <c r="NX242" s="19"/>
      <c r="OA242" s="16"/>
      <c r="OB242" s="15"/>
      <c r="OC242" s="15"/>
      <c r="OD242" s="15"/>
      <c r="OE242" s="16"/>
      <c r="OF242" s="16"/>
      <c r="OG242" s="16"/>
      <c r="OH242" s="16"/>
      <c r="OI242" s="16"/>
      <c r="OJ242" s="15"/>
      <c r="OK242" s="15"/>
      <c r="OL242" s="10"/>
      <c r="OM242" s="10"/>
      <c r="ON242" s="19"/>
      <c r="OO242" s="19"/>
      <c r="OR242" s="16"/>
      <c r="OS242" s="15"/>
      <c r="OT242" s="15"/>
      <c r="OU242" s="15"/>
      <c r="OV242" s="16"/>
      <c r="OW242" s="16"/>
      <c r="OX242" s="16"/>
      <c r="OY242" s="16"/>
      <c r="OZ242" s="16"/>
      <c r="PA242" s="15"/>
      <c r="PB242" s="15"/>
      <c r="PC242" s="10"/>
      <c r="PD242" s="10"/>
      <c r="PE242" s="19"/>
      <c r="PF242" s="19"/>
      <c r="PI242" s="16"/>
      <c r="PJ242" s="15"/>
      <c r="PK242" s="15"/>
      <c r="PL242" s="15"/>
      <c r="PM242" s="16"/>
      <c r="PN242" s="16"/>
      <c r="PO242" s="16"/>
      <c r="PP242" s="16"/>
      <c r="PQ242" s="16"/>
      <c r="PR242" s="15"/>
      <c r="PS242" s="15"/>
      <c r="PT242" s="10"/>
      <c r="PU242" s="10"/>
      <c r="PV242" s="19"/>
      <c r="PW242" s="19"/>
      <c r="PZ242" s="16"/>
      <c r="QA242" s="15"/>
      <c r="QB242" s="15"/>
      <c r="QC242" s="15"/>
      <c r="QD242" s="16"/>
      <c r="QE242" s="16"/>
      <c r="QF242" s="16"/>
      <c r="QG242" s="16"/>
      <c r="QH242" s="16"/>
      <c r="QI242" s="15"/>
      <c r="QJ242" s="15"/>
      <c r="QK242" s="10"/>
      <c r="QL242" s="10"/>
      <c r="QM242" s="19"/>
      <c r="QN242" s="19"/>
      <c r="QQ242" s="16"/>
      <c r="QR242" s="15"/>
      <c r="QS242" s="15"/>
      <c r="QT242" s="15"/>
      <c r="QU242" s="16"/>
      <c r="QV242" s="16"/>
      <c r="QW242" s="16"/>
      <c r="QX242" s="16"/>
      <c r="QY242" s="16"/>
      <c r="QZ242" s="15"/>
      <c r="RA242" s="15"/>
      <c r="RB242" s="10"/>
      <c r="RC242" s="10"/>
      <c r="RD242" s="19"/>
      <c r="RE242" s="19"/>
      <c r="RH242" s="16"/>
      <c r="RI242" s="15"/>
      <c r="RJ242" s="15"/>
      <c r="RK242" s="15"/>
      <c r="RL242" s="16"/>
      <c r="RM242" s="16"/>
      <c r="RN242" s="16"/>
      <c r="RO242" s="16"/>
      <c r="RP242" s="16"/>
      <c r="RQ242" s="15"/>
      <c r="RR242" s="15"/>
      <c r="RS242" s="10"/>
      <c r="RT242" s="10"/>
      <c r="RU242" s="19"/>
      <c r="RV242" s="19"/>
      <c r="RY242" s="16"/>
      <c r="RZ242" s="15"/>
      <c r="SA242" s="15"/>
      <c r="SB242" s="15"/>
      <c r="SC242" s="16"/>
      <c r="SD242" s="16"/>
      <c r="SE242" s="16"/>
      <c r="SF242" s="16"/>
      <c r="SG242" s="16"/>
      <c r="SH242" s="15"/>
      <c r="SI242" s="15"/>
      <c r="SJ242" s="10"/>
      <c r="SK242" s="10"/>
      <c r="SL242" s="19"/>
      <c r="SM242" s="19"/>
      <c r="SP242" s="16"/>
      <c r="SQ242" s="15"/>
      <c r="SR242" s="15"/>
      <c r="SS242" s="15"/>
      <c r="ST242" s="16"/>
      <c r="SU242" s="16"/>
      <c r="SV242" s="16"/>
      <c r="SW242" s="16"/>
      <c r="SX242" s="16"/>
      <c r="SY242" s="15"/>
      <c r="SZ242" s="15"/>
      <c r="TA242" s="10"/>
      <c r="TB242" s="10"/>
      <c r="TC242" s="19"/>
      <c r="TD242" s="19"/>
      <c r="TG242" s="16"/>
      <c r="TH242" s="15"/>
      <c r="TI242" s="15"/>
      <c r="TJ242" s="15"/>
      <c r="TK242" s="16"/>
      <c r="TL242" s="16"/>
      <c r="TM242" s="16"/>
      <c r="TN242" s="16"/>
      <c r="TO242" s="16"/>
      <c r="TP242" s="15"/>
      <c r="TQ242" s="15"/>
      <c r="TR242" s="10"/>
      <c r="TS242" s="10"/>
      <c r="TT242" s="19"/>
      <c r="TU242" s="19"/>
      <c r="TX242" s="16"/>
      <c r="TY242" s="15"/>
      <c r="TZ242" s="15"/>
      <c r="UA242" s="15"/>
      <c r="UB242" s="16"/>
      <c r="UC242" s="16"/>
      <c r="UD242" s="16"/>
      <c r="UE242" s="16"/>
      <c r="UF242" s="16"/>
      <c r="UG242" s="15"/>
      <c r="UH242" s="15"/>
      <c r="UI242" s="10"/>
      <c r="UJ242" s="10"/>
      <c r="UK242" s="19"/>
      <c r="UL242" s="19"/>
      <c r="UO242" s="16"/>
      <c r="UP242" s="15"/>
      <c r="UQ242" s="15"/>
      <c r="UR242" s="15"/>
      <c r="US242" s="16"/>
      <c r="UT242" s="16"/>
      <c r="UU242" s="16"/>
      <c r="UV242" s="16"/>
      <c r="UW242" s="16"/>
      <c r="UX242" s="15"/>
      <c r="UY242" s="15"/>
      <c r="UZ242" s="10"/>
      <c r="VA242" s="10"/>
      <c r="VB242" s="19"/>
      <c r="VC242" s="19"/>
      <c r="VF242" s="16"/>
      <c r="VG242" s="15"/>
      <c r="VH242" s="15"/>
      <c r="VI242" s="15"/>
      <c r="VJ242" s="16"/>
      <c r="VK242" s="16"/>
      <c r="VL242" s="16"/>
      <c r="VM242" s="16"/>
      <c r="VN242" s="16"/>
      <c r="VO242" s="15"/>
      <c r="VP242" s="15"/>
      <c r="VQ242" s="10"/>
      <c r="VR242" s="10"/>
      <c r="VS242" s="19"/>
      <c r="VT242" s="19"/>
      <c r="VW242" s="16"/>
      <c r="VX242" s="15"/>
      <c r="VY242" s="15"/>
      <c r="VZ242" s="15"/>
      <c r="WA242" s="16"/>
      <c r="WB242" s="16"/>
      <c r="WC242" s="16"/>
      <c r="WD242" s="16"/>
      <c r="WE242" s="16"/>
      <c r="WF242" s="15"/>
      <c r="WG242" s="15"/>
      <c r="WH242" s="10"/>
      <c r="WI242" s="10"/>
      <c r="WJ242" s="19"/>
      <c r="WK242" s="19"/>
      <c r="WN242" s="16"/>
      <c r="WO242" s="15"/>
      <c r="WP242" s="15"/>
      <c r="WQ242" s="15"/>
      <c r="WR242" s="16"/>
      <c r="WS242" s="16"/>
      <c r="WT242" s="16"/>
      <c r="WU242" s="16"/>
      <c r="WV242" s="16"/>
      <c r="WW242" s="15"/>
      <c r="WX242" s="15"/>
      <c r="WY242" s="10"/>
      <c r="WZ242" s="10"/>
      <c r="XA242" s="19"/>
      <c r="XB242" s="19"/>
      <c r="XE242" s="16"/>
      <c r="XF242" s="15"/>
      <c r="XG242" s="15"/>
      <c r="XH242" s="15"/>
      <c r="XI242" s="16"/>
      <c r="XJ242" s="16"/>
      <c r="XK242" s="16"/>
      <c r="XL242" s="16"/>
      <c r="XM242" s="16"/>
      <c r="XN242" s="15"/>
      <c r="XO242" s="15"/>
      <c r="XP242" s="10"/>
      <c r="XQ242" s="10"/>
      <c r="XR242" s="19"/>
      <c r="XS242" s="19"/>
      <c r="XV242" s="16"/>
      <c r="XW242" s="15"/>
      <c r="XX242" s="15"/>
      <c r="XY242" s="15"/>
      <c r="XZ242" s="16"/>
      <c r="YA242" s="16"/>
      <c r="YB242" s="16"/>
      <c r="YC242" s="16"/>
      <c r="YD242" s="16"/>
      <c r="YE242" s="15"/>
      <c r="YF242" s="15"/>
      <c r="YG242" s="10"/>
      <c r="YH242" s="10"/>
      <c r="YI242" s="19"/>
      <c r="YJ242" s="19"/>
      <c r="YM242" s="16"/>
      <c r="YN242" s="15"/>
      <c r="YO242" s="15"/>
      <c r="YP242" s="15"/>
      <c r="YQ242" s="16"/>
      <c r="YR242" s="16"/>
      <c r="YS242" s="16"/>
      <c r="YT242" s="16"/>
      <c r="YU242" s="16"/>
      <c r="YV242" s="15"/>
      <c r="YW242" s="15"/>
      <c r="YX242" s="10"/>
      <c r="YY242" s="10"/>
      <c r="YZ242" s="19"/>
      <c r="ZA242" s="19"/>
      <c r="ZD242" s="16"/>
      <c r="ZE242" s="15"/>
      <c r="ZF242" s="15"/>
      <c r="ZG242" s="15"/>
      <c r="ZH242" s="16"/>
      <c r="ZI242" s="16"/>
      <c r="ZJ242" s="16"/>
      <c r="ZK242" s="16"/>
      <c r="ZL242" s="16"/>
      <c r="ZM242" s="15"/>
      <c r="ZN242" s="15"/>
      <c r="ZO242" s="10"/>
      <c r="ZP242" s="10"/>
      <c r="ZQ242" s="19"/>
      <c r="ZR242" s="19"/>
      <c r="ZU242" s="16"/>
      <c r="ZV242" s="15"/>
      <c r="ZW242" s="15"/>
      <c r="ZX242" s="15"/>
      <c r="ZY242" s="16"/>
      <c r="ZZ242" s="16"/>
      <c r="AAA242" s="16"/>
      <c r="AAB242" s="16"/>
      <c r="AAC242" s="16"/>
      <c r="AAD242" s="15"/>
      <c r="AAE242" s="15"/>
      <c r="AAF242" s="10"/>
      <c r="AAG242" s="10"/>
      <c r="AAH242" s="19"/>
      <c r="AAI242" s="19"/>
      <c r="AAL242" s="16"/>
      <c r="AAM242" s="15"/>
      <c r="AAN242" s="15"/>
      <c r="AAO242" s="15"/>
      <c r="AAP242" s="16"/>
      <c r="AAQ242" s="16"/>
      <c r="AAR242" s="16"/>
      <c r="AAS242" s="16"/>
      <c r="AAT242" s="16"/>
      <c r="AAU242" s="15"/>
      <c r="AAV242" s="15"/>
      <c r="AAW242" s="10"/>
      <c r="AAX242" s="10"/>
      <c r="AAY242" s="19"/>
      <c r="AAZ242" s="19"/>
      <c r="ABC242" s="16"/>
      <c r="ABD242" s="15"/>
      <c r="ABE242" s="15"/>
      <c r="ABF242" s="15"/>
      <c r="ABG242" s="16"/>
      <c r="ABH242" s="16"/>
      <c r="ABI242" s="16"/>
      <c r="ABJ242" s="16"/>
      <c r="ABK242" s="16"/>
      <c r="ABL242" s="15"/>
      <c r="ABM242" s="15"/>
      <c r="ABN242" s="10"/>
      <c r="ABO242" s="10"/>
      <c r="ABP242" s="19"/>
      <c r="ABQ242" s="19"/>
      <c r="ABT242" s="16"/>
      <c r="ABU242" s="15"/>
      <c r="ABV242" s="15"/>
      <c r="ABW242" s="15"/>
      <c r="ABX242" s="16"/>
      <c r="ABY242" s="16"/>
      <c r="ABZ242" s="16"/>
      <c r="ACA242" s="16"/>
      <c r="ACB242" s="16"/>
      <c r="ACC242" s="15"/>
      <c r="ACD242" s="15"/>
      <c r="ACE242" s="10"/>
      <c r="ACF242" s="10"/>
      <c r="ACG242" s="19"/>
      <c r="ACH242" s="19"/>
      <c r="ACK242" s="16"/>
      <c r="ACL242" s="15"/>
      <c r="ACM242" s="15"/>
      <c r="ACN242" s="15"/>
      <c r="ACO242" s="16"/>
      <c r="ACP242" s="16"/>
      <c r="ACQ242" s="16"/>
      <c r="ACR242" s="16"/>
      <c r="ACS242" s="16"/>
      <c r="ACT242" s="15"/>
      <c r="ACU242" s="15"/>
      <c r="ACV242" s="10"/>
      <c r="ACW242" s="10"/>
      <c r="ACX242" s="19"/>
      <c r="ACY242" s="19"/>
      <c r="ADB242" s="16"/>
      <c r="ADC242" s="15"/>
      <c r="ADD242" s="15"/>
      <c r="ADE242" s="15"/>
      <c r="ADF242" s="16"/>
      <c r="ADG242" s="16"/>
      <c r="ADH242" s="16"/>
      <c r="ADI242" s="16"/>
      <c r="ADJ242" s="16"/>
      <c r="ADK242" s="15"/>
      <c r="ADL242" s="15"/>
      <c r="ADM242" s="10"/>
      <c r="ADN242" s="10"/>
      <c r="ADO242" s="19"/>
      <c r="ADP242" s="19"/>
      <c r="ADS242" s="16"/>
      <c r="ADT242" s="15"/>
      <c r="ADU242" s="15"/>
      <c r="ADV242" s="15"/>
      <c r="ADW242" s="16"/>
      <c r="ADX242" s="16"/>
      <c r="ADY242" s="16"/>
      <c r="ADZ242" s="16"/>
      <c r="AEA242" s="16"/>
      <c r="AEB242" s="15"/>
      <c r="AEC242" s="15"/>
      <c r="AED242" s="10"/>
      <c r="AEE242" s="10"/>
      <c r="AEF242" s="19"/>
      <c r="AEG242" s="19"/>
      <c r="AEJ242" s="16"/>
      <c r="AEK242" s="15"/>
      <c r="AEL242" s="15"/>
      <c r="AEM242" s="15"/>
      <c r="AEN242" s="16"/>
      <c r="AEO242" s="16"/>
      <c r="AEP242" s="16"/>
      <c r="AEQ242" s="16"/>
      <c r="AER242" s="16"/>
      <c r="AES242" s="15"/>
      <c r="AET242" s="15"/>
      <c r="AEU242" s="10"/>
      <c r="AEV242" s="10"/>
      <c r="AEW242" s="19"/>
      <c r="AEX242" s="19"/>
      <c r="AFA242" s="16"/>
      <c r="AFB242" s="15"/>
      <c r="AFC242" s="15"/>
      <c r="AFD242" s="15"/>
      <c r="AFE242" s="16"/>
      <c r="AFF242" s="16"/>
      <c r="AFG242" s="16"/>
      <c r="AFH242" s="16"/>
      <c r="AFI242" s="16"/>
      <c r="AFJ242" s="15"/>
      <c r="AFK242" s="15"/>
      <c r="AFL242" s="10"/>
      <c r="AFM242" s="10"/>
      <c r="AFN242" s="19"/>
      <c r="AFO242" s="19"/>
      <c r="AFR242" s="16"/>
      <c r="AFS242" s="15"/>
      <c r="AFT242" s="15"/>
      <c r="AFU242" s="15"/>
      <c r="AFV242" s="16"/>
      <c r="AFW242" s="16"/>
      <c r="AFX242" s="16"/>
      <c r="AFY242" s="16"/>
      <c r="AFZ242" s="16"/>
      <c r="AGA242" s="15"/>
      <c r="AGB242" s="15"/>
      <c r="AGC242" s="10"/>
      <c r="AGD242" s="10"/>
      <c r="AGE242" s="19"/>
      <c r="AGF242" s="19"/>
      <c r="AGI242" s="16"/>
      <c r="AGJ242" s="15"/>
      <c r="AGK242" s="15"/>
      <c r="AGL242" s="15"/>
      <c r="AGM242" s="16"/>
      <c r="AGN242" s="16"/>
      <c r="AGO242" s="16"/>
      <c r="AGP242" s="16"/>
      <c r="AGQ242" s="16"/>
      <c r="AGR242" s="15"/>
      <c r="AGS242" s="15"/>
      <c r="AGT242" s="10"/>
      <c r="AGU242" s="10"/>
      <c r="AGV242" s="19"/>
      <c r="AGW242" s="19"/>
      <c r="AGZ242" s="16"/>
      <c r="AHA242" s="15"/>
      <c r="AHB242" s="15"/>
      <c r="AHC242" s="15"/>
      <c r="AHD242" s="16"/>
      <c r="AHE242" s="16"/>
      <c r="AHF242" s="16"/>
      <c r="AHG242" s="16"/>
      <c r="AHH242" s="16"/>
      <c r="AHI242" s="15"/>
      <c r="AHJ242" s="15"/>
      <c r="AHK242" s="10"/>
      <c r="AHL242" s="10"/>
      <c r="AHM242" s="19"/>
      <c r="AHN242" s="19"/>
      <c r="AHQ242" s="16"/>
      <c r="AHR242" s="15"/>
      <c r="AHS242" s="15"/>
      <c r="AHT242" s="15"/>
      <c r="AHU242" s="16"/>
      <c r="AHV242" s="16"/>
      <c r="AHW242" s="16"/>
      <c r="AHX242" s="16"/>
      <c r="AHY242" s="16"/>
      <c r="AHZ242" s="15"/>
      <c r="AIA242" s="15"/>
      <c r="AIB242" s="10"/>
      <c r="AIC242" s="10"/>
      <c r="AID242" s="19"/>
      <c r="AIE242" s="19"/>
      <c r="AIH242" s="16"/>
      <c r="AII242" s="15"/>
      <c r="AIJ242" s="15"/>
      <c r="AIK242" s="15"/>
      <c r="AIL242" s="16"/>
      <c r="AIM242" s="16"/>
      <c r="AIN242" s="16"/>
      <c r="AIO242" s="16"/>
      <c r="AIP242" s="16"/>
      <c r="AIQ242" s="15"/>
      <c r="AIR242" s="15"/>
      <c r="AIS242" s="10"/>
      <c r="AIT242" s="10"/>
      <c r="AIU242" s="19"/>
      <c r="AIV242" s="19"/>
      <c r="AIY242" s="16"/>
      <c r="AIZ242" s="15"/>
      <c r="AJA242" s="15"/>
      <c r="AJB242" s="15"/>
      <c r="AJC242" s="16"/>
      <c r="AJD242" s="16"/>
      <c r="AJE242" s="16"/>
      <c r="AJF242" s="16"/>
      <c r="AJG242" s="16"/>
      <c r="AJH242" s="15"/>
      <c r="AJI242" s="15"/>
      <c r="AJJ242" s="10"/>
      <c r="AJK242" s="10"/>
      <c r="AJL242" s="19"/>
      <c r="AJM242" s="19"/>
      <c r="AJP242" s="16"/>
      <c r="AJQ242" s="15"/>
      <c r="AJR242" s="15"/>
      <c r="AJS242" s="15"/>
      <c r="AJT242" s="16"/>
      <c r="AJU242" s="16"/>
      <c r="AJV242" s="16"/>
      <c r="AJW242" s="16"/>
      <c r="AJX242" s="16"/>
      <c r="AJY242" s="15"/>
      <c r="AJZ242" s="15"/>
      <c r="AKA242" s="10"/>
      <c r="AKB242" s="10"/>
      <c r="AKC242" s="19"/>
      <c r="AKD242" s="19"/>
      <c r="AKG242" s="16"/>
      <c r="AKH242" s="15"/>
      <c r="AKI242" s="15"/>
      <c r="AKJ242" s="15"/>
      <c r="AKK242" s="16"/>
      <c r="AKL242" s="16"/>
      <c r="AKM242" s="16"/>
      <c r="AKN242" s="16"/>
      <c r="AKO242" s="16"/>
      <c r="AKP242" s="15"/>
      <c r="AKQ242" s="15"/>
      <c r="AKR242" s="10"/>
      <c r="AKS242" s="10"/>
      <c r="AKT242" s="19"/>
      <c r="AKU242" s="19"/>
      <c r="AKX242" s="16"/>
      <c r="AKY242" s="15"/>
      <c r="AKZ242" s="15"/>
      <c r="ALA242" s="15"/>
      <c r="ALB242" s="16"/>
      <c r="ALC242" s="16"/>
      <c r="ALD242" s="16"/>
      <c r="ALE242" s="16"/>
      <c r="ALF242" s="16"/>
      <c r="ALG242" s="15"/>
      <c r="ALH242" s="15"/>
      <c r="ALI242" s="10"/>
      <c r="ALJ242" s="10"/>
      <c r="ALK242" s="19"/>
      <c r="ALL242" s="19"/>
      <c r="ALO242" s="16"/>
      <c r="ALP242" s="15"/>
      <c r="ALQ242" s="15"/>
      <c r="ALR242" s="15"/>
      <c r="ALS242" s="16"/>
      <c r="ALT242" s="16"/>
      <c r="ALU242" s="16"/>
      <c r="ALV242" s="16"/>
      <c r="ALW242" s="16"/>
      <c r="ALX242" s="15"/>
      <c r="ALY242" s="15"/>
      <c r="ALZ242" s="10"/>
      <c r="AMA242" s="10"/>
      <c r="AMB242" s="19"/>
      <c r="AMC242" s="19"/>
      <c r="AMF242" s="16"/>
      <c r="AMG242" s="15"/>
      <c r="AMH242" s="15"/>
      <c r="AMI242" s="15"/>
      <c r="AMJ242" s="16"/>
      <c r="AMK242" s="16"/>
      <c r="AML242" s="16"/>
      <c r="AMM242" s="16"/>
      <c r="AMN242" s="16"/>
      <c r="AMO242" s="15"/>
      <c r="AMP242" s="15"/>
      <c r="AMQ242" s="10"/>
      <c r="AMR242" s="10"/>
      <c r="AMS242" s="19"/>
      <c r="AMT242" s="19"/>
      <c r="AMW242" s="16"/>
      <c r="AMX242" s="15"/>
      <c r="AMY242" s="15"/>
      <c r="AMZ242" s="15"/>
      <c r="ANA242" s="16"/>
      <c r="ANB242" s="16"/>
      <c r="ANC242" s="16"/>
      <c r="AND242" s="16"/>
      <c r="ANE242" s="16"/>
      <c r="ANF242" s="15"/>
      <c r="ANG242" s="15"/>
      <c r="ANH242" s="10"/>
      <c r="ANI242" s="10"/>
      <c r="ANJ242" s="19"/>
      <c r="ANK242" s="19"/>
      <c r="ANN242" s="16"/>
      <c r="ANO242" s="15"/>
      <c r="ANP242" s="15"/>
      <c r="ANQ242" s="15"/>
      <c r="ANR242" s="16"/>
      <c r="ANS242" s="16"/>
      <c r="ANT242" s="16"/>
      <c r="ANU242" s="16"/>
      <c r="ANV242" s="16"/>
      <c r="ANW242" s="15"/>
      <c r="ANX242" s="15"/>
      <c r="ANY242" s="10"/>
      <c r="ANZ242" s="10"/>
      <c r="AOA242" s="19"/>
      <c r="AOB242" s="19"/>
      <c r="AOE242" s="16"/>
      <c r="AOF242" s="15"/>
      <c r="AOG242" s="15"/>
      <c r="AOH242" s="15"/>
      <c r="AOI242" s="16"/>
      <c r="AOJ242" s="16"/>
      <c r="AOK242" s="16"/>
      <c r="AOL242" s="16"/>
      <c r="AOM242" s="16"/>
      <c r="AON242" s="15"/>
      <c r="AOO242" s="15"/>
      <c r="AOP242" s="10"/>
      <c r="AOQ242" s="10"/>
      <c r="AOR242" s="19"/>
      <c r="AOS242" s="19"/>
      <c r="AOV242" s="16"/>
      <c r="AOW242" s="15"/>
      <c r="AOX242" s="15"/>
      <c r="AOY242" s="15"/>
      <c r="AOZ242" s="16"/>
      <c r="APA242" s="16"/>
      <c r="APB242" s="16"/>
      <c r="APC242" s="16"/>
      <c r="APD242" s="16"/>
      <c r="APE242" s="15"/>
      <c r="APF242" s="15"/>
      <c r="APG242" s="10"/>
      <c r="APH242" s="10"/>
      <c r="API242" s="19"/>
      <c r="APJ242" s="19"/>
      <c r="APM242" s="16"/>
      <c r="APN242" s="15"/>
      <c r="APO242" s="15"/>
      <c r="APP242" s="15"/>
      <c r="APQ242" s="16"/>
      <c r="APR242" s="16"/>
      <c r="APS242" s="16"/>
      <c r="APT242" s="16"/>
      <c r="APU242" s="16"/>
      <c r="APV242" s="15"/>
      <c r="APW242" s="15"/>
      <c r="APX242" s="10"/>
      <c r="APY242" s="10"/>
      <c r="APZ242" s="19"/>
      <c r="AQA242" s="19"/>
      <c r="AQD242" s="16"/>
      <c r="AQE242" s="15"/>
      <c r="AQF242" s="15"/>
      <c r="AQG242" s="15"/>
      <c r="AQH242" s="16"/>
      <c r="AQI242" s="16"/>
      <c r="AQJ242" s="16"/>
      <c r="AQK242" s="16"/>
      <c r="AQL242" s="16"/>
      <c r="AQM242" s="15"/>
      <c r="AQN242" s="15"/>
      <c r="AQO242" s="10"/>
      <c r="AQP242" s="10"/>
      <c r="AQQ242" s="19"/>
      <c r="AQR242" s="19"/>
      <c r="AQU242" s="16"/>
      <c r="AQV242" s="15"/>
      <c r="AQW242" s="15"/>
      <c r="AQX242" s="15"/>
      <c r="AQY242" s="16"/>
      <c r="AQZ242" s="16"/>
      <c r="ARA242" s="16"/>
      <c r="ARB242" s="16"/>
      <c r="ARC242" s="16"/>
      <c r="ARD242" s="15"/>
      <c r="ARE242" s="15"/>
      <c r="ARF242" s="10"/>
      <c r="ARG242" s="10"/>
      <c r="ARH242" s="19"/>
      <c r="ARI242" s="19"/>
      <c r="ARL242" s="16"/>
      <c r="ARM242" s="15"/>
      <c r="ARN242" s="15"/>
      <c r="ARO242" s="15"/>
      <c r="ARP242" s="16"/>
      <c r="ARQ242" s="16"/>
      <c r="ARR242" s="16"/>
      <c r="ARS242" s="16"/>
      <c r="ART242" s="16"/>
      <c r="ARU242" s="15"/>
      <c r="ARV242" s="15"/>
      <c r="ARW242" s="10"/>
      <c r="ARX242" s="10"/>
      <c r="ARY242" s="19"/>
      <c r="ARZ242" s="19"/>
      <c r="ASC242" s="16"/>
      <c r="ASD242" s="15"/>
      <c r="ASE242" s="15"/>
      <c r="ASF242" s="15"/>
      <c r="ASG242" s="16"/>
      <c r="ASH242" s="16"/>
      <c r="ASI242" s="16"/>
      <c r="ASJ242" s="16"/>
      <c r="ASK242" s="16"/>
      <c r="ASL242" s="15"/>
      <c r="ASM242" s="15"/>
      <c r="ASN242" s="10"/>
      <c r="ASO242" s="10"/>
      <c r="ASP242" s="19"/>
      <c r="ASQ242" s="19"/>
      <c r="AST242" s="16"/>
      <c r="ASU242" s="15"/>
      <c r="ASV242" s="15"/>
      <c r="ASW242" s="15"/>
      <c r="ASX242" s="16"/>
      <c r="ASY242" s="16"/>
      <c r="ASZ242" s="16"/>
      <c r="ATA242" s="16"/>
      <c r="ATB242" s="16"/>
      <c r="ATC242" s="15"/>
      <c r="ATD242" s="15"/>
      <c r="ATE242" s="10"/>
      <c r="ATF242" s="10"/>
      <c r="ATG242" s="19"/>
      <c r="ATH242" s="19"/>
      <c r="ATK242" s="16"/>
      <c r="ATL242" s="15"/>
      <c r="ATM242" s="15"/>
      <c r="ATN242" s="15"/>
      <c r="ATO242" s="16"/>
      <c r="ATP242" s="16"/>
      <c r="ATQ242" s="16"/>
      <c r="ATR242" s="16"/>
      <c r="ATS242" s="16"/>
      <c r="ATT242" s="15"/>
      <c r="ATU242" s="15"/>
      <c r="ATV242" s="10"/>
      <c r="ATW242" s="10"/>
      <c r="ATX242" s="19"/>
      <c r="ATY242" s="19"/>
      <c r="AUB242" s="16"/>
      <c r="AUC242" s="15"/>
      <c r="AUD242" s="15"/>
      <c r="AUE242" s="15"/>
      <c r="AUF242" s="16"/>
      <c r="AUG242" s="16"/>
      <c r="AUH242" s="16"/>
      <c r="AUI242" s="16"/>
      <c r="AUJ242" s="16"/>
      <c r="AUK242" s="15"/>
      <c r="AUL242" s="15"/>
      <c r="AUM242" s="10"/>
      <c r="AUN242" s="10"/>
      <c r="AUO242" s="19"/>
      <c r="AUP242" s="19"/>
      <c r="AUS242" s="16"/>
      <c r="AUT242" s="15"/>
      <c r="AUU242" s="15"/>
      <c r="AUV242" s="15"/>
      <c r="AUW242" s="16"/>
      <c r="AUX242" s="16"/>
      <c r="AUY242" s="16"/>
      <c r="AUZ242" s="16"/>
      <c r="AVA242" s="16"/>
      <c r="AVB242" s="15"/>
      <c r="AVC242" s="15"/>
      <c r="AVD242" s="10"/>
      <c r="AVE242" s="10"/>
      <c r="AVF242" s="19"/>
      <c r="AVG242" s="19"/>
      <c r="AVJ242" s="16"/>
      <c r="AVK242" s="15"/>
      <c r="AVL242" s="15"/>
      <c r="AVM242" s="15"/>
      <c r="AVN242" s="16"/>
      <c r="AVO242" s="16"/>
      <c r="AVP242" s="16"/>
      <c r="AVQ242" s="16"/>
      <c r="AVR242" s="16"/>
      <c r="AVS242" s="15"/>
      <c r="AVT242" s="15"/>
      <c r="AVU242" s="10"/>
      <c r="AVV242" s="10"/>
      <c r="AVW242" s="19"/>
      <c r="AVX242" s="19"/>
      <c r="AWA242" s="16"/>
      <c r="AWB242" s="15"/>
      <c r="AWC242" s="15"/>
      <c r="AWD242" s="15"/>
      <c r="AWE242" s="16"/>
      <c r="AWF242" s="16"/>
      <c r="AWG242" s="16"/>
      <c r="AWH242" s="16"/>
      <c r="AWI242" s="16"/>
      <c r="AWJ242" s="15"/>
      <c r="AWK242" s="15"/>
      <c r="AWL242" s="10"/>
      <c r="AWM242" s="10"/>
      <c r="AWN242" s="19"/>
      <c r="AWO242" s="19"/>
      <c r="AWR242" s="16"/>
      <c r="AWS242" s="15"/>
      <c r="AWT242" s="15"/>
      <c r="AWU242" s="15"/>
      <c r="AWV242" s="16"/>
      <c r="AWW242" s="16"/>
      <c r="AWX242" s="16"/>
      <c r="AWY242" s="16"/>
      <c r="AWZ242" s="16"/>
      <c r="AXA242" s="15"/>
      <c r="AXB242" s="15"/>
      <c r="AXC242" s="10"/>
      <c r="AXD242" s="10"/>
      <c r="AXE242" s="19"/>
      <c r="AXF242" s="19"/>
      <c r="AXI242" s="16"/>
      <c r="AXJ242" s="15"/>
      <c r="AXK242" s="15"/>
      <c r="AXL242" s="15"/>
      <c r="AXM242" s="16"/>
      <c r="AXN242" s="16"/>
      <c r="AXO242" s="16"/>
      <c r="AXP242" s="16"/>
      <c r="AXQ242" s="16"/>
      <c r="AXR242" s="15"/>
      <c r="AXS242" s="15"/>
      <c r="AXT242" s="10"/>
      <c r="AXU242" s="10"/>
      <c r="AXV242" s="19"/>
      <c r="AXW242" s="19"/>
      <c r="AXZ242" s="16"/>
      <c r="AYA242" s="15"/>
      <c r="AYB242" s="15"/>
      <c r="AYC242" s="15"/>
      <c r="AYD242" s="16"/>
      <c r="AYE242" s="16"/>
      <c r="AYF242" s="16"/>
      <c r="AYG242" s="16"/>
      <c r="AYH242" s="16"/>
      <c r="AYI242" s="15"/>
      <c r="AYJ242" s="15"/>
      <c r="AYK242" s="10"/>
      <c r="AYL242" s="10"/>
      <c r="AYM242" s="19"/>
      <c r="AYN242" s="19"/>
      <c r="AYQ242" s="16"/>
      <c r="AYR242" s="15"/>
      <c r="AYS242" s="15"/>
      <c r="AYT242" s="15"/>
      <c r="AYU242" s="16"/>
      <c r="AYV242" s="16"/>
      <c r="AYW242" s="16"/>
      <c r="AYX242" s="16"/>
      <c r="AYY242" s="16"/>
      <c r="AYZ242" s="15"/>
      <c r="AZA242" s="15"/>
      <c r="AZB242" s="10"/>
      <c r="AZC242" s="10"/>
      <c r="AZD242" s="19"/>
      <c r="AZE242" s="19"/>
      <c r="AZH242" s="16"/>
      <c r="AZI242" s="15"/>
      <c r="AZJ242" s="15"/>
      <c r="AZK242" s="15"/>
      <c r="AZL242" s="16"/>
      <c r="AZM242" s="16"/>
      <c r="AZN242" s="16"/>
      <c r="AZO242" s="16"/>
      <c r="AZP242" s="16"/>
      <c r="AZQ242" s="15"/>
      <c r="AZR242" s="15"/>
      <c r="AZS242" s="10"/>
      <c r="AZT242" s="10"/>
      <c r="AZU242" s="19"/>
      <c r="AZV242" s="19"/>
      <c r="AZY242" s="16"/>
      <c r="AZZ242" s="15"/>
      <c r="BAA242" s="15"/>
      <c r="BAB242" s="15"/>
      <c r="BAC242" s="16"/>
      <c r="BAD242" s="16"/>
      <c r="BAE242" s="16"/>
      <c r="BAF242" s="16"/>
      <c r="BAG242" s="16"/>
      <c r="BAH242" s="15"/>
      <c r="BAI242" s="15"/>
      <c r="BAJ242" s="10"/>
      <c r="BAK242" s="10"/>
      <c r="BAL242" s="19"/>
      <c r="BAM242" s="19"/>
      <c r="BAP242" s="16"/>
      <c r="BAQ242" s="15"/>
      <c r="BAR242" s="15"/>
      <c r="BAS242" s="15"/>
      <c r="BAT242" s="16"/>
      <c r="BAU242" s="16"/>
      <c r="BAV242" s="16"/>
      <c r="BAW242" s="16"/>
      <c r="BAX242" s="16"/>
      <c r="BAY242" s="15"/>
      <c r="BAZ242" s="15"/>
      <c r="BBA242" s="10"/>
      <c r="BBB242" s="10"/>
      <c r="BBC242" s="19"/>
      <c r="BBD242" s="19"/>
      <c r="BBG242" s="16"/>
      <c r="BBH242" s="15"/>
      <c r="BBI242" s="15"/>
      <c r="BBJ242" s="15"/>
      <c r="BBK242" s="16"/>
      <c r="BBL242" s="16"/>
      <c r="BBM242" s="16"/>
      <c r="BBN242" s="16"/>
      <c r="BBO242" s="16"/>
      <c r="BBP242" s="15"/>
      <c r="BBQ242" s="15"/>
      <c r="BBR242" s="10"/>
      <c r="BBS242" s="10"/>
      <c r="BBT242" s="19"/>
      <c r="BBU242" s="19"/>
      <c r="BBX242" s="16"/>
      <c r="BBY242" s="15"/>
      <c r="BBZ242" s="15"/>
      <c r="BCA242" s="15"/>
      <c r="BCB242" s="16"/>
      <c r="BCC242" s="16"/>
      <c r="BCD242" s="16"/>
      <c r="BCE242" s="16"/>
      <c r="BCF242" s="16"/>
      <c r="BCG242" s="15"/>
      <c r="BCH242" s="15"/>
      <c r="BCI242" s="10"/>
      <c r="BCJ242" s="10"/>
      <c r="BCK242" s="19"/>
      <c r="BCL242" s="19"/>
      <c r="BCO242" s="16"/>
      <c r="BCP242" s="15"/>
      <c r="BCQ242" s="15"/>
      <c r="BCR242" s="15"/>
      <c r="BCS242" s="16"/>
      <c r="BCT242" s="16"/>
      <c r="BCU242" s="16"/>
      <c r="BCV242" s="16"/>
      <c r="BCW242" s="16"/>
      <c r="BCX242" s="15"/>
      <c r="BCY242" s="15"/>
      <c r="BCZ242" s="10"/>
      <c r="BDA242" s="10"/>
      <c r="BDB242" s="19"/>
      <c r="BDC242" s="19"/>
      <c r="BDF242" s="16"/>
      <c r="BDG242" s="15"/>
      <c r="BDH242" s="15"/>
      <c r="BDI242" s="15"/>
      <c r="BDJ242" s="16"/>
      <c r="BDK242" s="16"/>
      <c r="BDL242" s="16"/>
      <c r="BDM242" s="16"/>
      <c r="BDN242" s="16"/>
      <c r="BDO242" s="15"/>
      <c r="BDP242" s="15"/>
      <c r="BDQ242" s="10"/>
      <c r="BDR242" s="10"/>
      <c r="BDS242" s="19"/>
      <c r="BDT242" s="19"/>
      <c r="BDW242" s="16"/>
      <c r="BDX242" s="15"/>
      <c r="BDY242" s="15"/>
      <c r="BDZ242" s="15"/>
      <c r="BEA242" s="16"/>
      <c r="BEB242" s="16"/>
      <c r="BEC242" s="16"/>
      <c r="BED242" s="16"/>
      <c r="BEE242" s="16"/>
      <c r="BEF242" s="15"/>
      <c r="BEG242" s="15"/>
      <c r="BEH242" s="10"/>
      <c r="BEI242" s="10"/>
      <c r="BEJ242" s="19"/>
      <c r="BEK242" s="19"/>
      <c r="BEN242" s="16"/>
      <c r="BEO242" s="15"/>
      <c r="BEP242" s="15"/>
      <c r="BEQ242" s="15"/>
      <c r="BER242" s="16"/>
      <c r="BES242" s="16"/>
      <c r="BET242" s="16"/>
      <c r="BEU242" s="16"/>
      <c r="BEV242" s="16"/>
      <c r="BEW242" s="15"/>
      <c r="BEX242" s="15"/>
      <c r="BEY242" s="10"/>
      <c r="BEZ242" s="10"/>
      <c r="BFA242" s="19"/>
      <c r="BFB242" s="19"/>
      <c r="BFE242" s="16"/>
      <c r="BFF242" s="15"/>
      <c r="BFG242" s="15"/>
      <c r="BFH242" s="15"/>
      <c r="BFI242" s="16"/>
      <c r="BFJ242" s="16"/>
      <c r="BFK242" s="16"/>
      <c r="BFL242" s="16"/>
      <c r="BFM242" s="16"/>
      <c r="BFN242" s="15"/>
      <c r="BFO242" s="15"/>
      <c r="BFP242" s="10"/>
      <c r="BFQ242" s="10"/>
      <c r="BFR242" s="19"/>
      <c r="BFS242" s="19"/>
      <c r="BFV242" s="16"/>
      <c r="BFW242" s="15"/>
      <c r="BFX242" s="15"/>
      <c r="BFY242" s="15"/>
      <c r="BFZ242" s="16"/>
      <c r="BGA242" s="16"/>
      <c r="BGB242" s="16"/>
      <c r="BGC242" s="16"/>
      <c r="BGD242" s="16"/>
      <c r="BGE242" s="15"/>
      <c r="BGF242" s="15"/>
      <c r="BGG242" s="10"/>
      <c r="BGH242" s="10"/>
      <c r="BGI242" s="19"/>
      <c r="BGJ242" s="19"/>
      <c r="BGM242" s="16"/>
      <c r="BGN242" s="15"/>
      <c r="BGO242" s="15"/>
      <c r="BGP242" s="15"/>
      <c r="BGQ242" s="16"/>
      <c r="BGR242" s="16"/>
      <c r="BGS242" s="16"/>
      <c r="BGT242" s="16"/>
      <c r="BGU242" s="16"/>
      <c r="BGV242" s="15"/>
      <c r="BGW242" s="15"/>
      <c r="BGX242" s="10"/>
      <c r="BGY242" s="10"/>
      <c r="BGZ242" s="19"/>
      <c r="BHA242" s="19"/>
      <c r="BHD242" s="16"/>
      <c r="BHE242" s="15"/>
      <c r="BHF242" s="15"/>
      <c r="BHG242" s="15"/>
      <c r="BHH242" s="16"/>
      <c r="BHI242" s="16"/>
      <c r="BHJ242" s="16"/>
      <c r="BHK242" s="16"/>
      <c r="BHL242" s="16"/>
      <c r="BHM242" s="15"/>
      <c r="BHN242" s="15"/>
      <c r="BHO242" s="10"/>
      <c r="BHP242" s="10"/>
      <c r="BHQ242" s="19"/>
      <c r="BHR242" s="19"/>
      <c r="BHU242" s="16"/>
      <c r="BHV242" s="15"/>
      <c r="BHW242" s="15"/>
      <c r="BHX242" s="15"/>
      <c r="BHY242" s="16"/>
      <c r="BHZ242" s="16"/>
      <c r="BIA242" s="16"/>
      <c r="BIB242" s="16"/>
      <c r="BIC242" s="16"/>
      <c r="BID242" s="15"/>
      <c r="BIE242" s="15"/>
      <c r="BIF242" s="10"/>
      <c r="BIG242" s="10"/>
      <c r="BIH242" s="19"/>
      <c r="BII242" s="19"/>
      <c r="BIL242" s="16"/>
      <c r="BIM242" s="15"/>
      <c r="BIN242" s="15"/>
      <c r="BIO242" s="15"/>
      <c r="BIP242" s="16"/>
      <c r="BIQ242" s="16"/>
      <c r="BIR242" s="16"/>
      <c r="BIS242" s="16"/>
      <c r="BIT242" s="16"/>
      <c r="BIU242" s="15"/>
      <c r="BIV242" s="15"/>
      <c r="BIW242" s="10"/>
      <c r="BIX242" s="10"/>
      <c r="BIY242" s="19"/>
      <c r="BIZ242" s="19"/>
      <c r="BJC242" s="16"/>
      <c r="BJD242" s="15"/>
      <c r="BJE242" s="15"/>
      <c r="BJF242" s="15"/>
      <c r="BJG242" s="16"/>
      <c r="BJH242" s="16"/>
      <c r="BJI242" s="16"/>
      <c r="BJJ242" s="16"/>
      <c r="BJK242" s="16"/>
      <c r="BJL242" s="15"/>
      <c r="BJM242" s="15"/>
      <c r="BJN242" s="10"/>
      <c r="BJO242" s="10"/>
      <c r="BJP242" s="19"/>
      <c r="BJQ242" s="19"/>
      <c r="BJT242" s="16"/>
      <c r="BJU242" s="15"/>
      <c r="BJV242" s="15"/>
      <c r="BJW242" s="15"/>
      <c r="BJX242" s="16"/>
      <c r="BJY242" s="16"/>
      <c r="BJZ242" s="16"/>
      <c r="BKA242" s="16"/>
      <c r="BKB242" s="16"/>
      <c r="BKC242" s="15"/>
      <c r="BKD242" s="15"/>
      <c r="BKE242" s="10"/>
      <c r="BKF242" s="10"/>
      <c r="BKG242" s="19"/>
      <c r="BKH242" s="19"/>
      <c r="BKK242" s="16"/>
      <c r="BKL242" s="15"/>
      <c r="BKM242" s="15"/>
      <c r="BKN242" s="15"/>
      <c r="BKO242" s="16"/>
      <c r="BKP242" s="16"/>
      <c r="BKQ242" s="16"/>
      <c r="BKR242" s="16"/>
      <c r="BKS242" s="16"/>
      <c r="BKT242" s="15"/>
      <c r="BKU242" s="15"/>
      <c r="BKV242" s="10"/>
      <c r="BKW242" s="10"/>
      <c r="BKX242" s="19"/>
      <c r="BKY242" s="19"/>
      <c r="BLB242" s="16"/>
      <c r="BLC242" s="15"/>
      <c r="BLD242" s="15"/>
      <c r="BLE242" s="15"/>
      <c r="BLF242" s="16"/>
      <c r="BLG242" s="16"/>
      <c r="BLH242" s="16"/>
      <c r="BLI242" s="16"/>
      <c r="BLJ242" s="16"/>
      <c r="BLK242" s="15"/>
      <c r="BLL242" s="15"/>
      <c r="BLM242" s="10"/>
      <c r="BLN242" s="10"/>
      <c r="BLO242" s="19"/>
      <c r="BLP242" s="19"/>
      <c r="BLS242" s="16"/>
      <c r="BLT242" s="15"/>
      <c r="BLU242" s="15"/>
      <c r="BLV242" s="15"/>
      <c r="BLW242" s="16"/>
      <c r="BLX242" s="16"/>
      <c r="BLY242" s="16"/>
      <c r="BLZ242" s="16"/>
      <c r="BMA242" s="16"/>
      <c r="BMB242" s="15"/>
      <c r="BMC242" s="15"/>
      <c r="BMD242" s="10"/>
      <c r="BME242" s="10"/>
      <c r="BMF242" s="19"/>
      <c r="BMG242" s="19"/>
      <c r="BMJ242" s="16"/>
      <c r="BMK242" s="15"/>
      <c r="BML242" s="15"/>
      <c r="BMM242" s="15"/>
      <c r="BMN242" s="16"/>
      <c r="BMO242" s="16"/>
      <c r="BMP242" s="16"/>
      <c r="BMQ242" s="16"/>
      <c r="BMR242" s="16"/>
      <c r="BMS242" s="15"/>
      <c r="BMT242" s="15"/>
      <c r="BMU242" s="10"/>
      <c r="BMV242" s="10"/>
      <c r="BMW242" s="19"/>
      <c r="BMX242" s="19"/>
      <c r="BNA242" s="16"/>
      <c r="BNB242" s="15"/>
      <c r="BNC242" s="15"/>
      <c r="BND242" s="15"/>
      <c r="BNE242" s="16"/>
      <c r="BNF242" s="16"/>
      <c r="BNG242" s="16"/>
      <c r="BNH242" s="16"/>
      <c r="BNI242" s="16"/>
      <c r="BNJ242" s="15"/>
      <c r="BNK242" s="15"/>
      <c r="BNL242" s="10"/>
      <c r="BNM242" s="10"/>
      <c r="BNN242" s="19"/>
      <c r="BNO242" s="19"/>
      <c r="BNR242" s="16"/>
      <c r="BNS242" s="15"/>
      <c r="BNT242" s="15"/>
      <c r="BNU242" s="15"/>
      <c r="BNV242" s="16"/>
      <c r="BNW242" s="16"/>
      <c r="BNX242" s="16"/>
      <c r="BNY242" s="16"/>
      <c r="BNZ242" s="16"/>
      <c r="BOA242" s="15"/>
      <c r="BOB242" s="15"/>
      <c r="BOC242" s="10"/>
      <c r="BOD242" s="10"/>
      <c r="BOE242" s="19"/>
      <c r="BOF242" s="19"/>
      <c r="BOI242" s="16"/>
      <c r="BOJ242" s="15"/>
      <c r="BOK242" s="15"/>
      <c r="BOL242" s="15"/>
      <c r="BOM242" s="16"/>
      <c r="BON242" s="16"/>
      <c r="BOO242" s="16"/>
      <c r="BOP242" s="16"/>
      <c r="BOQ242" s="16"/>
      <c r="BOR242" s="15"/>
      <c r="BOS242" s="15"/>
      <c r="BOT242" s="10"/>
      <c r="BOU242" s="10"/>
      <c r="BOV242" s="19"/>
      <c r="BOW242" s="19"/>
      <c r="BOZ242" s="16"/>
      <c r="BPA242" s="15"/>
      <c r="BPB242" s="15"/>
      <c r="BPC242" s="15"/>
      <c r="BPD242" s="16"/>
      <c r="BPE242" s="16"/>
      <c r="BPF242" s="16"/>
      <c r="BPG242" s="16"/>
      <c r="BPH242" s="16"/>
      <c r="BPI242" s="15"/>
      <c r="BPJ242" s="15"/>
      <c r="BPK242" s="10"/>
      <c r="BPL242" s="10"/>
      <c r="BPM242" s="19"/>
      <c r="BPN242" s="19"/>
      <c r="BPQ242" s="16"/>
      <c r="BPR242" s="15"/>
      <c r="BPS242" s="15"/>
      <c r="BPT242" s="15"/>
      <c r="BPU242" s="16"/>
      <c r="BPV242" s="16"/>
      <c r="BPW242" s="16"/>
      <c r="BPX242" s="16"/>
      <c r="BPY242" s="16"/>
      <c r="BPZ242" s="15"/>
      <c r="BQA242" s="15"/>
      <c r="BQB242" s="10"/>
      <c r="BQC242" s="10"/>
      <c r="BQD242" s="19"/>
      <c r="BQE242" s="19"/>
      <c r="BQH242" s="16"/>
      <c r="BQI242" s="15"/>
      <c r="BQJ242" s="15"/>
      <c r="BQK242" s="15"/>
      <c r="BQL242" s="16"/>
      <c r="BQM242" s="16"/>
      <c r="BQN242" s="16"/>
      <c r="BQO242" s="16"/>
      <c r="BQP242" s="16"/>
      <c r="BQQ242" s="15"/>
      <c r="BQR242" s="15"/>
      <c r="BQS242" s="10"/>
      <c r="BQT242" s="10"/>
      <c r="BQU242" s="19"/>
      <c r="BQV242" s="19"/>
      <c r="BQY242" s="16"/>
      <c r="BQZ242" s="15"/>
      <c r="BRA242" s="15"/>
      <c r="BRB242" s="15"/>
      <c r="BRC242" s="16"/>
      <c r="BRD242" s="16"/>
      <c r="BRE242" s="16"/>
      <c r="BRF242" s="16"/>
      <c r="BRG242" s="16"/>
      <c r="BRH242" s="15"/>
      <c r="BRI242" s="15"/>
      <c r="BRJ242" s="10"/>
      <c r="BRK242" s="10"/>
      <c r="BRL242" s="19"/>
      <c r="BRM242" s="19"/>
      <c r="BRP242" s="16"/>
      <c r="BRQ242" s="15"/>
      <c r="BRR242" s="15"/>
      <c r="BRS242" s="15"/>
      <c r="BRT242" s="16"/>
      <c r="BRU242" s="16"/>
      <c r="BRV242" s="16"/>
      <c r="BRW242" s="16"/>
      <c r="BRX242" s="16"/>
      <c r="BRY242" s="15"/>
      <c r="BRZ242" s="15"/>
      <c r="BSA242" s="10"/>
      <c r="BSB242" s="10"/>
      <c r="BSC242" s="19"/>
      <c r="BSD242" s="19"/>
      <c r="BSG242" s="16"/>
      <c r="BSH242" s="15"/>
      <c r="BSI242" s="15"/>
      <c r="BSJ242" s="15"/>
      <c r="BSK242" s="16"/>
      <c r="BSL242" s="16"/>
      <c r="BSM242" s="16"/>
      <c r="BSN242" s="16"/>
      <c r="BSO242" s="16"/>
      <c r="BSP242" s="15"/>
      <c r="BSQ242" s="15"/>
      <c r="BSR242" s="10"/>
      <c r="BSS242" s="10"/>
      <c r="BST242" s="19"/>
      <c r="BSU242" s="19"/>
      <c r="BSX242" s="16"/>
      <c r="BSY242" s="15"/>
      <c r="BSZ242" s="15"/>
      <c r="BTA242" s="15"/>
      <c r="BTB242" s="16"/>
      <c r="BTC242" s="16"/>
      <c r="BTD242" s="16"/>
      <c r="BTE242" s="16"/>
      <c r="BTF242" s="16"/>
      <c r="BTG242" s="15"/>
      <c r="BTH242" s="15"/>
      <c r="BTI242" s="10"/>
      <c r="BTJ242" s="10"/>
      <c r="BTK242" s="19"/>
      <c r="BTL242" s="19"/>
      <c r="BTO242" s="16"/>
      <c r="BTP242" s="15"/>
      <c r="BTQ242" s="15"/>
      <c r="BTR242" s="15"/>
      <c r="BTS242" s="16"/>
      <c r="BTT242" s="16"/>
      <c r="BTU242" s="16"/>
      <c r="BTV242" s="16"/>
      <c r="BTW242" s="16"/>
      <c r="BTX242" s="15"/>
      <c r="BTY242" s="15"/>
      <c r="BTZ242" s="10"/>
      <c r="BUA242" s="10"/>
      <c r="BUB242" s="19"/>
      <c r="BUC242" s="19"/>
      <c r="BUF242" s="16"/>
      <c r="BUG242" s="15"/>
      <c r="BUH242" s="15"/>
      <c r="BUI242" s="15"/>
      <c r="BUJ242" s="16"/>
      <c r="BUK242" s="16"/>
      <c r="BUL242" s="16"/>
      <c r="BUM242" s="16"/>
      <c r="BUN242" s="16"/>
      <c r="BUO242" s="15"/>
      <c r="BUP242" s="15"/>
      <c r="BUQ242" s="10"/>
      <c r="BUR242" s="10"/>
      <c r="BUS242" s="19"/>
      <c r="BUT242" s="19"/>
      <c r="BUW242" s="16"/>
      <c r="BUX242" s="15"/>
      <c r="BUY242" s="15"/>
      <c r="BUZ242" s="15"/>
      <c r="BVA242" s="16"/>
      <c r="BVB242" s="16"/>
      <c r="BVC242" s="16"/>
      <c r="BVD242" s="16"/>
      <c r="BVE242" s="16"/>
      <c r="BVF242" s="15"/>
      <c r="BVG242" s="15"/>
      <c r="BVH242" s="10"/>
      <c r="BVI242" s="10"/>
      <c r="BVJ242" s="19"/>
      <c r="BVK242" s="19"/>
      <c r="BVN242" s="16"/>
      <c r="BVO242" s="15"/>
      <c r="BVP242" s="15"/>
      <c r="BVQ242" s="15"/>
      <c r="BVR242" s="16"/>
      <c r="BVS242" s="16"/>
      <c r="BVT242" s="16"/>
      <c r="BVU242" s="16"/>
      <c r="BVV242" s="16"/>
      <c r="BVW242" s="15"/>
      <c r="BVX242" s="15"/>
      <c r="BVY242" s="10"/>
      <c r="BVZ242" s="10"/>
      <c r="BWA242" s="19"/>
      <c r="BWB242" s="19"/>
      <c r="BWE242" s="16"/>
      <c r="BWF242" s="15"/>
      <c r="BWG242" s="15"/>
      <c r="BWH242" s="15"/>
      <c r="BWI242" s="16"/>
      <c r="BWJ242" s="16"/>
      <c r="BWK242" s="16"/>
      <c r="BWL242" s="16"/>
      <c r="BWM242" s="16"/>
      <c r="BWN242" s="15"/>
      <c r="BWO242" s="15"/>
      <c r="BWP242" s="10"/>
      <c r="BWQ242" s="10"/>
      <c r="BWR242" s="19"/>
      <c r="BWS242" s="19"/>
      <c r="BWV242" s="16"/>
      <c r="BWW242" s="15"/>
      <c r="BWX242" s="15"/>
      <c r="BWY242" s="15"/>
      <c r="BWZ242" s="16"/>
      <c r="BXA242" s="16"/>
      <c r="BXB242" s="16"/>
      <c r="BXC242" s="16"/>
      <c r="BXD242" s="16"/>
      <c r="BXE242" s="15"/>
      <c r="BXF242" s="15"/>
      <c r="BXG242" s="10"/>
      <c r="BXH242" s="10"/>
      <c r="BXI242" s="19"/>
      <c r="BXJ242" s="19"/>
      <c r="BXM242" s="16"/>
      <c r="BXN242" s="15"/>
      <c r="BXO242" s="15"/>
      <c r="BXP242" s="15"/>
      <c r="BXQ242" s="16"/>
      <c r="BXR242" s="16"/>
      <c r="BXS242" s="16"/>
      <c r="BXT242" s="16"/>
      <c r="BXU242" s="16"/>
      <c r="BXV242" s="15"/>
      <c r="BXW242" s="15"/>
      <c r="BXX242" s="10"/>
      <c r="BXY242" s="10"/>
      <c r="BXZ242" s="19"/>
      <c r="BYA242" s="19"/>
      <c r="BYD242" s="16"/>
      <c r="BYE242" s="15"/>
      <c r="BYF242" s="15"/>
      <c r="BYG242" s="15"/>
      <c r="BYH242" s="16"/>
      <c r="BYI242" s="16"/>
      <c r="BYJ242" s="16"/>
      <c r="BYK242" s="16"/>
      <c r="BYL242" s="16"/>
      <c r="BYM242" s="15"/>
      <c r="BYN242" s="15"/>
      <c r="BYO242" s="10"/>
      <c r="BYP242" s="10"/>
      <c r="BYQ242" s="19"/>
      <c r="BYR242" s="19"/>
      <c r="BYU242" s="16"/>
      <c r="BYV242" s="15"/>
      <c r="BYW242" s="15"/>
      <c r="BYX242" s="15"/>
      <c r="BYY242" s="16"/>
      <c r="BYZ242" s="16"/>
      <c r="BZA242" s="16"/>
      <c r="BZB242" s="16"/>
      <c r="BZC242" s="16"/>
      <c r="BZD242" s="15"/>
      <c r="BZE242" s="15"/>
      <c r="BZF242" s="10"/>
      <c r="BZG242" s="10"/>
      <c r="BZH242" s="19"/>
      <c r="BZI242" s="19"/>
      <c r="BZL242" s="16"/>
      <c r="BZM242" s="15"/>
      <c r="BZN242" s="15"/>
      <c r="BZO242" s="15"/>
      <c r="BZP242" s="16"/>
      <c r="BZQ242" s="16"/>
      <c r="BZR242" s="16"/>
      <c r="BZS242" s="16"/>
      <c r="BZT242" s="16"/>
      <c r="BZU242" s="15"/>
      <c r="BZV242" s="15"/>
      <c r="BZW242" s="10"/>
      <c r="BZX242" s="10"/>
      <c r="BZY242" s="19"/>
      <c r="BZZ242" s="19"/>
      <c r="CAC242" s="16"/>
      <c r="CAD242" s="15"/>
      <c r="CAE242" s="15"/>
      <c r="CAF242" s="15"/>
      <c r="CAG242" s="16"/>
      <c r="CAH242" s="16"/>
      <c r="CAI242" s="16"/>
      <c r="CAJ242" s="16"/>
      <c r="CAK242" s="16"/>
      <c r="CAL242" s="15"/>
      <c r="CAM242" s="15"/>
      <c r="CAN242" s="10"/>
      <c r="CAO242" s="10"/>
      <c r="CAP242" s="19"/>
      <c r="CAQ242" s="19"/>
      <c r="CAT242" s="16"/>
      <c r="CAU242" s="15"/>
      <c r="CAV242" s="15"/>
      <c r="CAW242" s="15"/>
      <c r="CAX242" s="16"/>
      <c r="CAY242" s="16"/>
      <c r="CAZ242" s="16"/>
      <c r="CBA242" s="16"/>
      <c r="CBB242" s="16"/>
      <c r="CBC242" s="15"/>
      <c r="CBD242" s="15"/>
      <c r="CBE242" s="10"/>
      <c r="CBF242" s="10"/>
      <c r="CBG242" s="19"/>
      <c r="CBH242" s="19"/>
      <c r="CBK242" s="16"/>
      <c r="CBL242" s="15"/>
      <c r="CBM242" s="15"/>
      <c r="CBN242" s="15"/>
      <c r="CBO242" s="16"/>
      <c r="CBP242" s="16"/>
      <c r="CBQ242" s="16"/>
      <c r="CBR242" s="16"/>
      <c r="CBS242" s="16"/>
      <c r="CBT242" s="15"/>
      <c r="CBU242" s="15"/>
      <c r="CBV242" s="10"/>
      <c r="CBW242" s="10"/>
      <c r="CBX242" s="19"/>
      <c r="CBY242" s="19"/>
      <c r="CCB242" s="16"/>
      <c r="CCC242" s="15"/>
      <c r="CCD242" s="15"/>
      <c r="CCE242" s="15"/>
      <c r="CCF242" s="16"/>
      <c r="CCG242" s="16"/>
      <c r="CCH242" s="16"/>
      <c r="CCI242" s="16"/>
      <c r="CCJ242" s="16"/>
      <c r="CCK242" s="15"/>
      <c r="CCL242" s="15"/>
      <c r="CCM242" s="10"/>
      <c r="CCN242" s="10"/>
      <c r="CCO242" s="19"/>
      <c r="CCP242" s="19"/>
      <c r="CCS242" s="16"/>
      <c r="CCT242" s="15"/>
      <c r="CCU242" s="15"/>
      <c r="CCV242" s="15"/>
      <c r="CCW242" s="16"/>
      <c r="CCX242" s="16"/>
      <c r="CCY242" s="16"/>
      <c r="CCZ242" s="16"/>
      <c r="CDA242" s="16"/>
      <c r="CDB242" s="15"/>
      <c r="CDC242" s="15"/>
      <c r="CDD242" s="10"/>
      <c r="CDE242" s="10"/>
      <c r="CDF242" s="19"/>
      <c r="CDG242" s="19"/>
      <c r="CDJ242" s="16"/>
      <c r="CDK242" s="15"/>
      <c r="CDL242" s="15"/>
      <c r="CDM242" s="15"/>
      <c r="CDN242" s="16"/>
      <c r="CDO242" s="16"/>
      <c r="CDP242" s="16"/>
      <c r="CDQ242" s="16"/>
      <c r="CDR242" s="16"/>
      <c r="CDS242" s="15"/>
      <c r="CDT242" s="15"/>
      <c r="CDU242" s="10"/>
      <c r="CDV242" s="10"/>
      <c r="CDW242" s="19"/>
      <c r="CDX242" s="19"/>
      <c r="CEA242" s="16"/>
      <c r="CEB242" s="15"/>
      <c r="CEC242" s="15"/>
      <c r="CED242" s="15"/>
      <c r="CEE242" s="16"/>
      <c r="CEF242" s="16"/>
      <c r="CEG242" s="16"/>
      <c r="CEH242" s="16"/>
      <c r="CEI242" s="16"/>
      <c r="CEJ242" s="15"/>
      <c r="CEK242" s="15"/>
      <c r="CEL242" s="10"/>
      <c r="CEM242" s="10"/>
      <c r="CEN242" s="19"/>
      <c r="CEO242" s="19"/>
      <c r="CER242" s="16"/>
      <c r="CES242" s="15"/>
      <c r="CET242" s="15"/>
      <c r="CEU242" s="15"/>
      <c r="CEV242" s="16"/>
      <c r="CEW242" s="16"/>
      <c r="CEX242" s="16"/>
      <c r="CEY242" s="16"/>
      <c r="CEZ242" s="16"/>
      <c r="CFA242" s="15"/>
      <c r="CFB242" s="15"/>
      <c r="CFC242" s="10"/>
      <c r="CFD242" s="10"/>
      <c r="CFE242" s="19"/>
      <c r="CFF242" s="19"/>
      <c r="CFI242" s="16"/>
      <c r="CFJ242" s="15"/>
      <c r="CFK242" s="15"/>
      <c r="CFL242" s="15"/>
      <c r="CFM242" s="16"/>
      <c r="CFN242" s="16"/>
      <c r="CFO242" s="16"/>
      <c r="CFP242" s="16"/>
      <c r="CFQ242" s="16"/>
      <c r="CFR242" s="15"/>
      <c r="CFS242" s="15"/>
      <c r="CFT242" s="10"/>
      <c r="CFU242" s="10"/>
      <c r="CFV242" s="19"/>
      <c r="CFW242" s="19"/>
      <c r="CFZ242" s="16"/>
      <c r="CGA242" s="15"/>
      <c r="CGB242" s="15"/>
      <c r="CGC242" s="15"/>
      <c r="CGD242" s="16"/>
      <c r="CGE242" s="16"/>
      <c r="CGF242" s="16"/>
      <c r="CGG242" s="16"/>
      <c r="CGH242" s="16"/>
      <c r="CGI242" s="15"/>
      <c r="CGJ242" s="15"/>
      <c r="CGK242" s="10"/>
      <c r="CGL242" s="10"/>
      <c r="CGM242" s="19"/>
      <c r="CGN242" s="19"/>
      <c r="CGQ242" s="16"/>
      <c r="CGR242" s="15"/>
      <c r="CGS242" s="15"/>
      <c r="CGT242" s="15"/>
      <c r="CGU242" s="16"/>
      <c r="CGV242" s="16"/>
      <c r="CGW242" s="16"/>
      <c r="CGX242" s="16"/>
      <c r="CGY242" s="16"/>
      <c r="CGZ242" s="15"/>
      <c r="CHA242" s="15"/>
      <c r="CHB242" s="10"/>
      <c r="CHC242" s="10"/>
      <c r="CHD242" s="19"/>
      <c r="CHE242" s="19"/>
      <c r="CHH242" s="16"/>
      <c r="CHI242" s="15"/>
      <c r="CHJ242" s="15"/>
      <c r="CHK242" s="15"/>
      <c r="CHL242" s="16"/>
      <c r="CHM242" s="16"/>
      <c r="CHN242" s="16"/>
      <c r="CHO242" s="16"/>
      <c r="CHP242" s="16"/>
      <c r="CHQ242" s="15"/>
      <c r="CHR242" s="15"/>
      <c r="CHS242" s="10"/>
      <c r="CHT242" s="10"/>
      <c r="CHU242" s="19"/>
      <c r="CHV242" s="19"/>
      <c r="CHY242" s="16"/>
      <c r="CHZ242" s="15"/>
      <c r="CIA242" s="15"/>
      <c r="CIB242" s="15"/>
      <c r="CIC242" s="16"/>
      <c r="CID242" s="16"/>
      <c r="CIE242" s="16"/>
      <c r="CIF242" s="16"/>
      <c r="CIG242" s="16"/>
      <c r="CIH242" s="15"/>
      <c r="CII242" s="15"/>
      <c r="CIJ242" s="10"/>
      <c r="CIK242" s="10"/>
      <c r="CIL242" s="19"/>
      <c r="CIM242" s="19"/>
      <c r="CIP242" s="16"/>
      <c r="CIQ242" s="15"/>
      <c r="CIR242" s="15"/>
      <c r="CIS242" s="15"/>
      <c r="CIT242" s="16"/>
      <c r="CIU242" s="16"/>
      <c r="CIV242" s="16"/>
      <c r="CIW242" s="16"/>
      <c r="CIX242" s="16"/>
      <c r="CIY242" s="15"/>
      <c r="CIZ242" s="15"/>
      <c r="CJA242" s="10"/>
      <c r="CJB242" s="10"/>
      <c r="CJC242" s="19"/>
      <c r="CJD242" s="19"/>
      <c r="CJG242" s="16"/>
      <c r="CJH242" s="15"/>
      <c r="CJI242" s="15"/>
      <c r="CJJ242" s="15"/>
      <c r="CJK242" s="16"/>
      <c r="CJL242" s="16"/>
      <c r="CJM242" s="16"/>
      <c r="CJN242" s="16"/>
      <c r="CJO242" s="16"/>
      <c r="CJP242" s="15"/>
      <c r="CJQ242" s="15"/>
      <c r="CJR242" s="10"/>
      <c r="CJS242" s="10"/>
      <c r="CJT242" s="19"/>
      <c r="CJU242" s="19"/>
      <c r="CJX242" s="16"/>
      <c r="CJY242" s="15"/>
      <c r="CJZ242" s="15"/>
      <c r="CKA242" s="15"/>
      <c r="CKB242" s="16"/>
      <c r="CKC242" s="16"/>
      <c r="CKD242" s="16"/>
      <c r="CKE242" s="16"/>
      <c r="CKF242" s="16"/>
      <c r="CKG242" s="15"/>
      <c r="CKH242" s="15"/>
      <c r="CKI242" s="10"/>
      <c r="CKJ242" s="10"/>
      <c r="CKK242" s="19"/>
      <c r="CKL242" s="19"/>
      <c r="CKO242" s="16"/>
      <c r="CKP242" s="15"/>
      <c r="CKQ242" s="15"/>
      <c r="CKR242" s="15"/>
      <c r="CKS242" s="16"/>
      <c r="CKT242" s="16"/>
      <c r="CKU242" s="16"/>
      <c r="CKV242" s="16"/>
      <c r="CKW242" s="16"/>
      <c r="CKX242" s="15"/>
      <c r="CKY242" s="15"/>
      <c r="CKZ242" s="10"/>
      <c r="CLA242" s="10"/>
      <c r="CLB242" s="19"/>
      <c r="CLC242" s="19"/>
      <c r="CLF242" s="16"/>
      <c r="CLG242" s="15"/>
      <c r="CLH242" s="15"/>
      <c r="CLI242" s="15"/>
      <c r="CLJ242" s="16"/>
      <c r="CLK242" s="16"/>
      <c r="CLL242" s="16"/>
      <c r="CLM242" s="16"/>
      <c r="CLN242" s="16"/>
      <c r="CLO242" s="15"/>
      <c r="CLP242" s="15"/>
      <c r="CLQ242" s="10"/>
      <c r="CLR242" s="10"/>
      <c r="CLS242" s="19"/>
      <c r="CLT242" s="19"/>
      <c r="CLW242" s="16"/>
      <c r="CLX242" s="15"/>
      <c r="CLY242" s="15"/>
      <c r="CLZ242" s="15"/>
      <c r="CMA242" s="16"/>
      <c r="CMB242" s="16"/>
      <c r="CMC242" s="16"/>
      <c r="CMD242" s="16"/>
      <c r="CME242" s="16"/>
      <c r="CMF242" s="15"/>
      <c r="CMG242" s="15"/>
      <c r="CMH242" s="10"/>
      <c r="CMI242" s="10"/>
      <c r="CMJ242" s="19"/>
      <c r="CMK242" s="19"/>
      <c r="CMN242" s="16"/>
      <c r="CMO242" s="15"/>
      <c r="CMP242" s="15"/>
      <c r="CMQ242" s="15"/>
      <c r="CMR242" s="16"/>
      <c r="CMS242" s="16"/>
      <c r="CMT242" s="16"/>
      <c r="CMU242" s="16"/>
      <c r="CMV242" s="16"/>
      <c r="CMW242" s="15"/>
      <c r="CMX242" s="15"/>
      <c r="CMY242" s="10"/>
      <c r="CMZ242" s="10"/>
      <c r="CNA242" s="19"/>
      <c r="CNB242" s="19"/>
      <c r="CNE242" s="16"/>
      <c r="CNF242" s="15"/>
      <c r="CNG242" s="15"/>
      <c r="CNH242" s="15"/>
      <c r="CNI242" s="16"/>
      <c r="CNJ242" s="16"/>
      <c r="CNK242" s="16"/>
      <c r="CNL242" s="16"/>
      <c r="CNM242" s="16"/>
      <c r="CNN242" s="15"/>
      <c r="CNO242" s="15"/>
      <c r="CNP242" s="10"/>
      <c r="CNQ242" s="10"/>
      <c r="CNR242" s="19"/>
      <c r="CNS242" s="19"/>
      <c r="CNV242" s="16"/>
      <c r="CNW242" s="15"/>
      <c r="CNX242" s="15"/>
      <c r="CNY242" s="15"/>
      <c r="CNZ242" s="16"/>
      <c r="COA242" s="16"/>
      <c r="COB242" s="16"/>
      <c r="COC242" s="16"/>
      <c r="COD242" s="16"/>
      <c r="COE242" s="15"/>
      <c r="COF242" s="15"/>
      <c r="COG242" s="10"/>
      <c r="COH242" s="10"/>
      <c r="COI242" s="19"/>
      <c r="COJ242" s="19"/>
      <c r="COM242" s="16"/>
      <c r="CON242" s="15"/>
      <c r="COO242" s="15"/>
      <c r="COP242" s="15"/>
      <c r="COQ242" s="16"/>
      <c r="COR242" s="16"/>
      <c r="COS242" s="16"/>
      <c r="COT242" s="16"/>
      <c r="COU242" s="16"/>
      <c r="COV242" s="15"/>
      <c r="COW242" s="15"/>
      <c r="COX242" s="10"/>
      <c r="COY242" s="10"/>
      <c r="COZ242" s="19"/>
      <c r="CPA242" s="19"/>
      <c r="CPD242" s="16"/>
      <c r="CPE242" s="15"/>
      <c r="CPF242" s="15"/>
      <c r="CPG242" s="15"/>
      <c r="CPH242" s="16"/>
      <c r="CPI242" s="16"/>
      <c r="CPJ242" s="16"/>
      <c r="CPK242" s="16"/>
      <c r="CPL242" s="16"/>
      <c r="CPM242" s="15"/>
      <c r="CPN242" s="15"/>
      <c r="CPO242" s="10"/>
      <c r="CPP242" s="10"/>
      <c r="CPQ242" s="19"/>
      <c r="CPR242" s="19"/>
      <c r="CPU242" s="16"/>
      <c r="CPV242" s="15"/>
      <c r="CPW242" s="15"/>
      <c r="CPX242" s="15"/>
      <c r="CPY242" s="16"/>
      <c r="CPZ242" s="16"/>
      <c r="CQA242" s="16"/>
      <c r="CQB242" s="16"/>
      <c r="CQC242" s="16"/>
      <c r="CQD242" s="15"/>
      <c r="CQE242" s="15"/>
      <c r="CQF242" s="10"/>
      <c r="CQG242" s="10"/>
      <c r="CQH242" s="19"/>
      <c r="CQI242" s="19"/>
      <c r="CQL242" s="16"/>
      <c r="CQM242" s="15"/>
      <c r="CQN242" s="15"/>
      <c r="CQO242" s="15"/>
      <c r="CQP242" s="16"/>
      <c r="CQQ242" s="16"/>
      <c r="CQR242" s="16"/>
      <c r="CQS242" s="16"/>
      <c r="CQT242" s="16"/>
      <c r="CQU242" s="15"/>
      <c r="CQV242" s="15"/>
      <c r="CQW242" s="10"/>
      <c r="CQX242" s="10"/>
      <c r="CQY242" s="19"/>
      <c r="CQZ242" s="19"/>
      <c r="CRC242" s="16"/>
      <c r="CRD242" s="15"/>
      <c r="CRE242" s="15"/>
      <c r="CRF242" s="15"/>
      <c r="CRG242" s="16"/>
      <c r="CRH242" s="16"/>
      <c r="CRI242" s="16"/>
      <c r="CRJ242" s="16"/>
      <c r="CRK242" s="16"/>
      <c r="CRL242" s="15"/>
      <c r="CRM242" s="15"/>
      <c r="CRN242" s="10"/>
      <c r="CRO242" s="10"/>
      <c r="CRP242" s="19"/>
      <c r="CRQ242" s="19"/>
      <c r="CRT242" s="16"/>
      <c r="CRU242" s="15"/>
      <c r="CRV242" s="15"/>
      <c r="CRW242" s="15"/>
      <c r="CRX242" s="16"/>
      <c r="CRY242" s="16"/>
      <c r="CRZ242" s="16"/>
      <c r="CSA242" s="16"/>
      <c r="CSB242" s="16"/>
      <c r="CSC242" s="15"/>
      <c r="CSD242" s="15"/>
      <c r="CSE242" s="10"/>
      <c r="CSF242" s="10"/>
      <c r="CSG242" s="19"/>
      <c r="CSH242" s="19"/>
      <c r="CSK242" s="16"/>
      <c r="CSL242" s="15"/>
      <c r="CSM242" s="15"/>
      <c r="CSN242" s="15"/>
      <c r="CSO242" s="16"/>
      <c r="CSP242" s="16"/>
      <c r="CSQ242" s="16"/>
      <c r="CSR242" s="16"/>
      <c r="CSS242" s="16"/>
      <c r="CST242" s="15"/>
      <c r="CSU242" s="15"/>
      <c r="CSV242" s="10"/>
      <c r="CSW242" s="10"/>
      <c r="CSX242" s="19"/>
      <c r="CSY242" s="19"/>
      <c r="CTB242" s="16"/>
      <c r="CTC242" s="15"/>
      <c r="CTD242" s="15"/>
      <c r="CTE242" s="15"/>
      <c r="CTF242" s="16"/>
      <c r="CTG242" s="16"/>
      <c r="CTH242" s="16"/>
      <c r="CTI242" s="16"/>
      <c r="CTJ242" s="16"/>
      <c r="CTK242" s="15"/>
      <c r="CTL242" s="15"/>
      <c r="CTM242" s="10"/>
      <c r="CTN242" s="10"/>
      <c r="CTO242" s="19"/>
      <c r="CTP242" s="19"/>
      <c r="CTS242" s="16"/>
      <c r="CTT242" s="15"/>
      <c r="CTU242" s="15"/>
      <c r="CTV242" s="15"/>
      <c r="CTW242" s="16"/>
      <c r="CTX242" s="16"/>
      <c r="CTY242" s="16"/>
      <c r="CTZ242" s="16"/>
      <c r="CUA242" s="16"/>
      <c r="CUB242" s="15"/>
      <c r="CUC242" s="15"/>
      <c r="CUD242" s="10"/>
      <c r="CUE242" s="10"/>
      <c r="CUF242" s="19"/>
      <c r="CUG242" s="19"/>
      <c r="CUJ242" s="16"/>
      <c r="CUK242" s="15"/>
      <c r="CUL242" s="15"/>
      <c r="CUM242" s="15"/>
      <c r="CUN242" s="16"/>
      <c r="CUO242" s="16"/>
      <c r="CUP242" s="16"/>
      <c r="CUQ242" s="16"/>
      <c r="CUR242" s="16"/>
      <c r="CUS242" s="15"/>
      <c r="CUT242" s="15"/>
      <c r="CUU242" s="10"/>
      <c r="CUV242" s="10"/>
      <c r="CUW242" s="19"/>
      <c r="CUX242" s="19"/>
      <c r="CVA242" s="16"/>
      <c r="CVB242" s="15"/>
      <c r="CVC242" s="15"/>
      <c r="CVD242" s="15"/>
      <c r="CVE242" s="16"/>
      <c r="CVF242" s="16"/>
      <c r="CVG242" s="16"/>
      <c r="CVH242" s="16"/>
      <c r="CVI242" s="16"/>
      <c r="CVJ242" s="15"/>
      <c r="CVK242" s="15"/>
      <c r="CVL242" s="10"/>
      <c r="CVM242" s="10"/>
      <c r="CVN242" s="19"/>
      <c r="CVO242" s="19"/>
      <c r="CVR242" s="16"/>
      <c r="CVS242" s="15"/>
      <c r="CVT242" s="15"/>
      <c r="CVU242" s="15"/>
      <c r="CVV242" s="16"/>
      <c r="CVW242" s="16"/>
      <c r="CVX242" s="16"/>
      <c r="CVY242" s="16"/>
      <c r="CVZ242" s="16"/>
      <c r="CWA242" s="15"/>
      <c r="CWB242" s="15"/>
      <c r="CWC242" s="10"/>
      <c r="CWD242" s="10"/>
      <c r="CWE242" s="19"/>
      <c r="CWF242" s="19"/>
      <c r="CWI242" s="16"/>
      <c r="CWJ242" s="15"/>
      <c r="CWK242" s="15"/>
      <c r="CWL242" s="15"/>
      <c r="CWM242" s="16"/>
      <c r="CWN242" s="16"/>
      <c r="CWO242" s="16"/>
      <c r="CWP242" s="16"/>
      <c r="CWQ242" s="16"/>
      <c r="CWR242" s="15"/>
      <c r="CWS242" s="15"/>
      <c r="CWT242" s="10"/>
      <c r="CWU242" s="10"/>
      <c r="CWV242" s="19"/>
      <c r="CWW242" s="19"/>
      <c r="CWZ242" s="16"/>
      <c r="CXA242" s="15"/>
      <c r="CXB242" s="15"/>
      <c r="CXC242" s="15"/>
      <c r="CXD242" s="16"/>
      <c r="CXE242" s="16"/>
      <c r="CXF242" s="16"/>
      <c r="CXG242" s="16"/>
      <c r="CXH242" s="16"/>
      <c r="CXI242" s="15"/>
      <c r="CXJ242" s="15"/>
      <c r="CXK242" s="10"/>
      <c r="CXL242" s="10"/>
      <c r="CXM242" s="19"/>
      <c r="CXN242" s="19"/>
      <c r="CXQ242" s="16"/>
      <c r="CXR242" s="15"/>
      <c r="CXS242" s="15"/>
      <c r="CXT242" s="15"/>
      <c r="CXU242" s="16"/>
      <c r="CXV242" s="16"/>
      <c r="CXW242" s="16"/>
      <c r="CXX242" s="16"/>
      <c r="CXY242" s="16"/>
      <c r="CXZ242" s="15"/>
      <c r="CYA242" s="15"/>
      <c r="CYB242" s="10"/>
      <c r="CYC242" s="10"/>
      <c r="CYD242" s="19"/>
      <c r="CYE242" s="19"/>
      <c r="CYH242" s="16"/>
      <c r="CYI242" s="15"/>
      <c r="CYJ242" s="15"/>
      <c r="CYK242" s="15"/>
      <c r="CYL242" s="16"/>
      <c r="CYM242" s="16"/>
      <c r="CYN242" s="16"/>
      <c r="CYO242" s="16"/>
      <c r="CYP242" s="16"/>
      <c r="CYQ242" s="15"/>
      <c r="CYR242" s="15"/>
      <c r="CYS242" s="10"/>
      <c r="CYT242" s="10"/>
      <c r="CYU242" s="19"/>
      <c r="CYV242" s="19"/>
      <c r="CYY242" s="16"/>
      <c r="CYZ242" s="15"/>
      <c r="CZA242" s="15"/>
      <c r="CZB242" s="15"/>
      <c r="CZC242" s="16"/>
      <c r="CZD242" s="16"/>
      <c r="CZE242" s="16"/>
      <c r="CZF242" s="16"/>
      <c r="CZG242" s="16"/>
      <c r="CZH242" s="15"/>
      <c r="CZI242" s="15"/>
      <c r="CZJ242" s="10"/>
      <c r="CZK242" s="10"/>
      <c r="CZL242" s="19"/>
      <c r="CZM242" s="19"/>
      <c r="CZP242" s="16"/>
      <c r="CZQ242" s="15"/>
      <c r="CZR242" s="15"/>
      <c r="CZS242" s="15"/>
      <c r="CZT242" s="16"/>
      <c r="CZU242" s="16"/>
      <c r="CZV242" s="16"/>
      <c r="CZW242" s="16"/>
      <c r="CZX242" s="16"/>
      <c r="CZY242" s="15"/>
      <c r="CZZ242" s="15"/>
      <c r="DAA242" s="10"/>
      <c r="DAB242" s="10"/>
      <c r="DAC242" s="19"/>
      <c r="DAD242" s="19"/>
      <c r="DAG242" s="16"/>
      <c r="DAH242" s="15"/>
      <c r="DAI242" s="15"/>
      <c r="DAJ242" s="15"/>
      <c r="DAK242" s="16"/>
      <c r="DAL242" s="16"/>
      <c r="DAM242" s="16"/>
      <c r="DAN242" s="16"/>
      <c r="DAO242" s="16"/>
      <c r="DAP242" s="15"/>
      <c r="DAQ242" s="15"/>
      <c r="DAR242" s="10"/>
      <c r="DAS242" s="10"/>
      <c r="DAT242" s="19"/>
      <c r="DAU242" s="19"/>
      <c r="DAX242" s="16"/>
      <c r="DAY242" s="15"/>
      <c r="DAZ242" s="15"/>
      <c r="DBA242" s="15"/>
      <c r="DBB242" s="16"/>
      <c r="DBC242" s="16"/>
      <c r="DBD242" s="16"/>
      <c r="DBE242" s="16"/>
      <c r="DBF242" s="16"/>
      <c r="DBG242" s="15"/>
      <c r="DBH242" s="15"/>
      <c r="DBI242" s="10"/>
      <c r="DBJ242" s="10"/>
      <c r="DBK242" s="19"/>
      <c r="DBL242" s="19"/>
      <c r="DBO242" s="16"/>
      <c r="DBP242" s="15"/>
      <c r="DBQ242" s="15"/>
      <c r="DBR242" s="15"/>
      <c r="DBS242" s="16"/>
      <c r="DBT242" s="16"/>
      <c r="DBU242" s="16"/>
      <c r="DBV242" s="16"/>
      <c r="DBW242" s="16"/>
      <c r="DBX242" s="15"/>
      <c r="DBY242" s="15"/>
      <c r="DBZ242" s="10"/>
      <c r="DCA242" s="10"/>
      <c r="DCB242" s="19"/>
      <c r="DCC242" s="19"/>
      <c r="DCF242" s="16"/>
      <c r="DCG242" s="15"/>
      <c r="DCH242" s="15"/>
      <c r="DCI242" s="15"/>
      <c r="DCJ242" s="16"/>
      <c r="DCK242" s="16"/>
      <c r="DCL242" s="16"/>
      <c r="DCM242" s="16"/>
      <c r="DCN242" s="16"/>
      <c r="DCO242" s="15"/>
      <c r="DCP242" s="15"/>
      <c r="DCQ242" s="10"/>
      <c r="DCR242" s="10"/>
      <c r="DCS242" s="19"/>
      <c r="DCT242" s="19"/>
      <c r="DCW242" s="16"/>
      <c r="DCX242" s="15"/>
      <c r="DCY242" s="15"/>
      <c r="DCZ242" s="15"/>
      <c r="DDA242" s="16"/>
      <c r="DDB242" s="16"/>
      <c r="DDC242" s="16"/>
      <c r="DDD242" s="16"/>
      <c r="DDE242" s="16"/>
      <c r="DDF242" s="15"/>
      <c r="DDG242" s="15"/>
      <c r="DDH242" s="10"/>
      <c r="DDI242" s="10"/>
      <c r="DDJ242" s="19"/>
      <c r="DDK242" s="19"/>
      <c r="DDN242" s="16"/>
      <c r="DDO242" s="15"/>
      <c r="DDP242" s="15"/>
      <c r="DDQ242" s="15"/>
      <c r="DDR242" s="16"/>
      <c r="DDS242" s="16"/>
      <c r="DDT242" s="16"/>
      <c r="DDU242" s="16"/>
      <c r="DDV242" s="16"/>
      <c r="DDW242" s="15"/>
      <c r="DDX242" s="15"/>
      <c r="DDY242" s="10"/>
      <c r="DDZ242" s="10"/>
      <c r="DEA242" s="19"/>
      <c r="DEB242" s="19"/>
      <c r="DEE242" s="16"/>
      <c r="DEF242" s="15"/>
      <c r="DEG242" s="15"/>
      <c r="DEH242" s="15"/>
      <c r="DEI242" s="16"/>
      <c r="DEJ242" s="16"/>
      <c r="DEK242" s="16"/>
      <c r="DEL242" s="16"/>
      <c r="DEM242" s="16"/>
      <c r="DEN242" s="15"/>
      <c r="DEO242" s="15"/>
      <c r="DEP242" s="10"/>
      <c r="DEQ242" s="10"/>
      <c r="DER242" s="19"/>
      <c r="DES242" s="19"/>
      <c r="DEV242" s="16"/>
      <c r="DEW242" s="15"/>
      <c r="DEX242" s="15"/>
      <c r="DEY242" s="15"/>
      <c r="DEZ242" s="16"/>
      <c r="DFA242" s="16"/>
      <c r="DFB242" s="16"/>
      <c r="DFC242" s="16"/>
      <c r="DFD242" s="16"/>
      <c r="DFE242" s="15"/>
      <c r="DFF242" s="15"/>
      <c r="DFG242" s="10"/>
      <c r="DFH242" s="10"/>
      <c r="DFI242" s="19"/>
      <c r="DFJ242" s="19"/>
      <c r="DFM242" s="16"/>
      <c r="DFN242" s="15"/>
      <c r="DFO242" s="15"/>
      <c r="DFP242" s="15"/>
      <c r="DFQ242" s="16"/>
      <c r="DFR242" s="16"/>
      <c r="DFS242" s="16"/>
      <c r="DFT242" s="16"/>
      <c r="DFU242" s="16"/>
      <c r="DFV242" s="15"/>
      <c r="DFW242" s="15"/>
      <c r="DFX242" s="10"/>
      <c r="DFY242" s="10"/>
      <c r="DFZ242" s="19"/>
      <c r="DGA242" s="19"/>
      <c r="DGD242" s="16"/>
      <c r="DGE242" s="15"/>
      <c r="DGF242" s="15"/>
      <c r="DGG242" s="15"/>
      <c r="DGH242" s="16"/>
      <c r="DGI242" s="16"/>
      <c r="DGJ242" s="16"/>
      <c r="DGK242" s="16"/>
      <c r="DGL242" s="16"/>
      <c r="DGM242" s="15"/>
      <c r="DGN242" s="15"/>
      <c r="DGO242" s="10"/>
      <c r="DGP242" s="10"/>
      <c r="DGQ242" s="19"/>
      <c r="DGR242" s="19"/>
      <c r="DGU242" s="16"/>
      <c r="DGV242" s="15"/>
      <c r="DGW242" s="15"/>
      <c r="DGX242" s="15"/>
      <c r="DGY242" s="16"/>
      <c r="DGZ242" s="16"/>
      <c r="DHA242" s="16"/>
      <c r="DHB242" s="16"/>
      <c r="DHC242" s="16"/>
      <c r="DHD242" s="15"/>
      <c r="DHE242" s="15"/>
      <c r="DHF242" s="10"/>
      <c r="DHG242" s="10"/>
      <c r="DHH242" s="19"/>
      <c r="DHI242" s="19"/>
      <c r="DHL242" s="16"/>
      <c r="DHM242" s="15"/>
      <c r="DHN242" s="15"/>
      <c r="DHO242" s="15"/>
      <c r="DHP242" s="16"/>
      <c r="DHQ242" s="16"/>
      <c r="DHR242" s="16"/>
      <c r="DHS242" s="16"/>
      <c r="DHT242" s="16"/>
      <c r="DHU242" s="15"/>
      <c r="DHV242" s="15"/>
      <c r="DHW242" s="10"/>
      <c r="DHX242" s="10"/>
      <c r="DHY242" s="19"/>
      <c r="DHZ242" s="19"/>
      <c r="DIC242" s="16"/>
      <c r="DID242" s="15"/>
      <c r="DIE242" s="15"/>
      <c r="DIF242" s="15"/>
      <c r="DIG242" s="16"/>
      <c r="DIH242" s="16"/>
      <c r="DII242" s="16"/>
      <c r="DIJ242" s="16"/>
      <c r="DIK242" s="16"/>
      <c r="DIL242" s="15"/>
      <c r="DIM242" s="15"/>
      <c r="DIN242" s="10"/>
      <c r="DIO242" s="10"/>
      <c r="DIP242" s="19"/>
      <c r="DIQ242" s="19"/>
      <c r="DIT242" s="16"/>
      <c r="DIU242" s="15"/>
      <c r="DIV242" s="15"/>
      <c r="DIW242" s="15"/>
      <c r="DIX242" s="16"/>
      <c r="DIY242" s="16"/>
      <c r="DIZ242" s="16"/>
      <c r="DJA242" s="16"/>
      <c r="DJB242" s="16"/>
      <c r="DJC242" s="15"/>
      <c r="DJD242" s="15"/>
      <c r="DJE242" s="10"/>
      <c r="DJF242" s="10"/>
      <c r="DJG242" s="19"/>
      <c r="DJH242" s="19"/>
      <c r="DJK242" s="16"/>
      <c r="DJL242" s="15"/>
      <c r="DJM242" s="15"/>
      <c r="DJN242" s="15"/>
      <c r="DJO242" s="16"/>
      <c r="DJP242" s="16"/>
      <c r="DJQ242" s="16"/>
      <c r="DJR242" s="16"/>
      <c r="DJS242" s="16"/>
      <c r="DJT242" s="15"/>
      <c r="DJU242" s="15"/>
      <c r="DJV242" s="10"/>
      <c r="DJW242" s="10"/>
      <c r="DJX242" s="19"/>
      <c r="DJY242" s="19"/>
      <c r="DKB242" s="16"/>
      <c r="DKC242" s="15"/>
      <c r="DKD242" s="15"/>
      <c r="DKE242" s="15"/>
      <c r="DKF242" s="16"/>
      <c r="DKG242" s="16"/>
      <c r="DKH242" s="16"/>
      <c r="DKI242" s="16"/>
      <c r="DKJ242" s="16"/>
      <c r="DKK242" s="15"/>
      <c r="DKL242" s="15"/>
      <c r="DKM242" s="10"/>
      <c r="DKN242" s="10"/>
      <c r="DKO242" s="19"/>
      <c r="DKP242" s="19"/>
      <c r="DKS242" s="16"/>
      <c r="DKT242" s="15"/>
      <c r="DKU242" s="15"/>
      <c r="DKV242" s="15"/>
      <c r="DKW242" s="16"/>
      <c r="DKX242" s="16"/>
      <c r="DKY242" s="16"/>
      <c r="DKZ242" s="16"/>
      <c r="DLA242" s="16"/>
      <c r="DLB242" s="15"/>
      <c r="DLC242" s="15"/>
      <c r="DLD242" s="10"/>
      <c r="DLE242" s="10"/>
      <c r="DLF242" s="19"/>
      <c r="DLG242" s="19"/>
      <c r="DLJ242" s="16"/>
      <c r="DLK242" s="15"/>
      <c r="DLL242" s="15"/>
      <c r="DLM242" s="15"/>
      <c r="DLN242" s="16"/>
      <c r="DLO242" s="16"/>
      <c r="DLP242" s="16"/>
      <c r="DLQ242" s="16"/>
      <c r="DLR242" s="16"/>
      <c r="DLS242" s="15"/>
      <c r="DLT242" s="15"/>
      <c r="DLU242" s="10"/>
      <c r="DLV242" s="10"/>
      <c r="DLW242" s="19"/>
      <c r="DLX242" s="19"/>
      <c r="DMA242" s="16"/>
      <c r="DMB242" s="15"/>
      <c r="DMC242" s="15"/>
      <c r="DMD242" s="15"/>
      <c r="DME242" s="16"/>
      <c r="DMF242" s="16"/>
      <c r="DMG242" s="16"/>
      <c r="DMH242" s="16"/>
      <c r="DMI242" s="16"/>
      <c r="DMJ242" s="15"/>
      <c r="DMK242" s="15"/>
      <c r="DML242" s="10"/>
      <c r="DMM242" s="10"/>
      <c r="DMN242" s="19"/>
      <c r="DMO242" s="19"/>
      <c r="DMR242" s="16"/>
      <c r="DMS242" s="15"/>
      <c r="DMT242" s="15"/>
      <c r="DMU242" s="15"/>
      <c r="DMV242" s="16"/>
      <c r="DMW242" s="16"/>
      <c r="DMX242" s="16"/>
      <c r="DMY242" s="16"/>
      <c r="DMZ242" s="16"/>
      <c r="DNA242" s="15"/>
      <c r="DNB242" s="15"/>
      <c r="DNC242" s="10"/>
      <c r="DND242" s="10"/>
      <c r="DNE242" s="19"/>
      <c r="DNF242" s="19"/>
      <c r="DNI242" s="16"/>
      <c r="DNJ242" s="15"/>
      <c r="DNK242" s="15"/>
      <c r="DNL242" s="15"/>
      <c r="DNM242" s="16"/>
      <c r="DNN242" s="16"/>
      <c r="DNO242" s="16"/>
      <c r="DNP242" s="16"/>
      <c r="DNQ242" s="16"/>
      <c r="DNR242" s="15"/>
      <c r="DNS242" s="15"/>
      <c r="DNT242" s="10"/>
      <c r="DNU242" s="10"/>
      <c r="DNV242" s="19"/>
      <c r="DNW242" s="19"/>
      <c r="DNZ242" s="16"/>
      <c r="DOA242" s="15"/>
      <c r="DOB242" s="15"/>
      <c r="DOC242" s="15"/>
      <c r="DOD242" s="16"/>
      <c r="DOE242" s="16"/>
      <c r="DOF242" s="16"/>
      <c r="DOG242" s="16"/>
      <c r="DOH242" s="16"/>
      <c r="DOI242" s="15"/>
      <c r="DOJ242" s="15"/>
      <c r="DOK242" s="10"/>
      <c r="DOL242" s="10"/>
      <c r="DOM242" s="19"/>
      <c r="DON242" s="19"/>
      <c r="DOQ242" s="16"/>
      <c r="DOR242" s="15"/>
      <c r="DOS242" s="15"/>
      <c r="DOT242" s="15"/>
      <c r="DOU242" s="16"/>
      <c r="DOV242" s="16"/>
      <c r="DOW242" s="16"/>
      <c r="DOX242" s="16"/>
      <c r="DOY242" s="16"/>
      <c r="DOZ242" s="15"/>
      <c r="DPA242" s="15"/>
      <c r="DPB242" s="10"/>
      <c r="DPC242" s="10"/>
      <c r="DPD242" s="19"/>
      <c r="DPE242" s="19"/>
      <c r="DPH242" s="16"/>
      <c r="DPI242" s="15"/>
      <c r="DPJ242" s="15"/>
      <c r="DPK242" s="15"/>
      <c r="DPL242" s="16"/>
      <c r="DPM242" s="16"/>
      <c r="DPN242" s="16"/>
      <c r="DPO242" s="16"/>
      <c r="DPP242" s="16"/>
      <c r="DPQ242" s="15"/>
      <c r="DPR242" s="15"/>
      <c r="DPS242" s="10"/>
      <c r="DPT242" s="10"/>
      <c r="DPU242" s="19"/>
      <c r="DPV242" s="19"/>
      <c r="DPY242" s="16"/>
      <c r="DPZ242" s="15"/>
      <c r="DQA242" s="15"/>
      <c r="DQB242" s="15"/>
      <c r="DQC242" s="16"/>
      <c r="DQD242" s="16"/>
      <c r="DQE242" s="16"/>
      <c r="DQF242" s="16"/>
      <c r="DQG242" s="16"/>
      <c r="DQH242" s="15"/>
      <c r="DQI242" s="15"/>
      <c r="DQJ242" s="10"/>
      <c r="DQK242" s="10"/>
      <c r="DQL242" s="19"/>
      <c r="DQM242" s="19"/>
      <c r="DQP242" s="16"/>
      <c r="DQQ242" s="15"/>
      <c r="DQR242" s="15"/>
      <c r="DQS242" s="15"/>
      <c r="DQT242" s="16"/>
      <c r="DQU242" s="16"/>
      <c r="DQV242" s="16"/>
      <c r="DQW242" s="16"/>
      <c r="DQX242" s="16"/>
      <c r="DQY242" s="15"/>
      <c r="DQZ242" s="15"/>
      <c r="DRA242" s="10"/>
      <c r="DRB242" s="10"/>
      <c r="DRC242" s="19"/>
      <c r="DRD242" s="19"/>
      <c r="DRG242" s="16"/>
      <c r="DRH242" s="15"/>
      <c r="DRI242" s="15"/>
      <c r="DRJ242" s="15"/>
      <c r="DRK242" s="16"/>
      <c r="DRL242" s="16"/>
      <c r="DRM242" s="16"/>
      <c r="DRN242" s="16"/>
      <c r="DRO242" s="16"/>
      <c r="DRP242" s="15"/>
      <c r="DRQ242" s="15"/>
      <c r="DRR242" s="10"/>
      <c r="DRS242" s="10"/>
      <c r="DRT242" s="19"/>
      <c r="DRU242" s="19"/>
      <c r="DRX242" s="16"/>
      <c r="DRY242" s="15"/>
      <c r="DRZ242" s="15"/>
      <c r="DSA242" s="15"/>
      <c r="DSB242" s="16"/>
      <c r="DSC242" s="16"/>
      <c r="DSD242" s="16"/>
      <c r="DSE242" s="16"/>
      <c r="DSF242" s="16"/>
      <c r="DSG242" s="15"/>
      <c r="DSH242" s="15"/>
      <c r="DSI242" s="10"/>
      <c r="DSJ242" s="10"/>
      <c r="DSK242" s="19"/>
      <c r="DSL242" s="19"/>
      <c r="DSO242" s="16"/>
      <c r="DSP242" s="15"/>
      <c r="DSQ242" s="15"/>
      <c r="DSR242" s="15"/>
      <c r="DSS242" s="16"/>
      <c r="DST242" s="16"/>
      <c r="DSU242" s="16"/>
      <c r="DSV242" s="16"/>
      <c r="DSW242" s="16"/>
      <c r="DSX242" s="15"/>
      <c r="DSY242" s="15"/>
      <c r="DSZ242" s="10"/>
      <c r="DTA242" s="10"/>
      <c r="DTB242" s="19"/>
      <c r="DTC242" s="19"/>
      <c r="DTF242" s="16"/>
      <c r="DTG242" s="15"/>
      <c r="DTH242" s="15"/>
      <c r="DTI242" s="15"/>
      <c r="DTJ242" s="16"/>
      <c r="DTK242" s="16"/>
      <c r="DTL242" s="16"/>
      <c r="DTM242" s="16"/>
      <c r="DTN242" s="16"/>
      <c r="DTO242" s="15"/>
      <c r="DTP242" s="15"/>
      <c r="DTQ242" s="10"/>
      <c r="DTR242" s="10"/>
      <c r="DTS242" s="19"/>
      <c r="DTT242" s="19"/>
      <c r="DTW242" s="16"/>
      <c r="DTX242" s="15"/>
      <c r="DTY242" s="15"/>
      <c r="DTZ242" s="15"/>
      <c r="DUA242" s="16"/>
      <c r="DUB242" s="16"/>
      <c r="DUC242" s="16"/>
      <c r="DUD242" s="16"/>
      <c r="DUE242" s="16"/>
      <c r="DUF242" s="15"/>
      <c r="DUG242" s="15"/>
      <c r="DUH242" s="10"/>
      <c r="DUI242" s="10"/>
      <c r="DUJ242" s="19"/>
      <c r="DUK242" s="19"/>
      <c r="DUN242" s="16"/>
      <c r="DUO242" s="15"/>
      <c r="DUP242" s="15"/>
      <c r="DUQ242" s="15"/>
      <c r="DUR242" s="16"/>
      <c r="DUS242" s="16"/>
      <c r="DUT242" s="16"/>
      <c r="DUU242" s="16"/>
      <c r="DUV242" s="16"/>
      <c r="DUW242" s="15"/>
      <c r="DUX242" s="15"/>
      <c r="DUY242" s="10"/>
      <c r="DUZ242" s="10"/>
      <c r="DVA242" s="19"/>
      <c r="DVB242" s="19"/>
      <c r="DVE242" s="16"/>
      <c r="DVF242" s="15"/>
      <c r="DVG242" s="15"/>
      <c r="DVH242" s="15"/>
      <c r="DVI242" s="16"/>
      <c r="DVJ242" s="16"/>
      <c r="DVK242" s="16"/>
      <c r="DVL242" s="16"/>
      <c r="DVM242" s="16"/>
      <c r="DVN242" s="15"/>
      <c r="DVO242" s="15"/>
      <c r="DVP242" s="10"/>
      <c r="DVQ242" s="10"/>
      <c r="DVR242" s="19"/>
      <c r="DVS242" s="19"/>
      <c r="DVV242" s="16"/>
      <c r="DVW242" s="15"/>
      <c r="DVX242" s="15"/>
      <c r="DVY242" s="15"/>
      <c r="DVZ242" s="16"/>
      <c r="DWA242" s="16"/>
      <c r="DWB242" s="16"/>
      <c r="DWC242" s="16"/>
      <c r="DWD242" s="16"/>
      <c r="DWE242" s="15"/>
      <c r="DWF242" s="15"/>
      <c r="DWG242" s="10"/>
      <c r="DWH242" s="10"/>
      <c r="DWI242" s="19"/>
      <c r="DWJ242" s="19"/>
      <c r="DWM242" s="16"/>
      <c r="DWN242" s="15"/>
      <c r="DWO242" s="15"/>
      <c r="DWP242" s="15"/>
      <c r="DWQ242" s="16"/>
      <c r="DWR242" s="16"/>
      <c r="DWS242" s="16"/>
      <c r="DWT242" s="16"/>
      <c r="DWU242" s="16"/>
      <c r="DWV242" s="15"/>
      <c r="DWW242" s="15"/>
      <c r="DWX242" s="10"/>
      <c r="DWY242" s="10"/>
      <c r="DWZ242" s="19"/>
      <c r="DXA242" s="19"/>
      <c r="DXD242" s="16"/>
      <c r="DXE242" s="15"/>
      <c r="DXF242" s="15"/>
      <c r="DXG242" s="15"/>
      <c r="DXH242" s="16"/>
      <c r="DXI242" s="16"/>
      <c r="DXJ242" s="16"/>
      <c r="DXK242" s="16"/>
      <c r="DXL242" s="16"/>
      <c r="DXM242" s="15"/>
      <c r="DXN242" s="15"/>
      <c r="DXO242" s="10"/>
      <c r="DXP242" s="10"/>
      <c r="DXQ242" s="19"/>
      <c r="DXR242" s="19"/>
      <c r="DXU242" s="16"/>
      <c r="DXV242" s="15"/>
      <c r="DXW242" s="15"/>
      <c r="DXX242" s="15"/>
      <c r="DXY242" s="16"/>
      <c r="DXZ242" s="16"/>
      <c r="DYA242" s="16"/>
      <c r="DYB242" s="16"/>
      <c r="DYC242" s="16"/>
      <c r="DYD242" s="15"/>
      <c r="DYE242" s="15"/>
      <c r="DYF242" s="10"/>
      <c r="DYG242" s="10"/>
      <c r="DYH242" s="19"/>
      <c r="DYI242" s="19"/>
      <c r="DYL242" s="16"/>
      <c r="DYM242" s="15"/>
      <c r="DYN242" s="15"/>
      <c r="DYO242" s="15"/>
      <c r="DYP242" s="16"/>
      <c r="DYQ242" s="16"/>
      <c r="DYR242" s="16"/>
      <c r="DYS242" s="16"/>
      <c r="DYT242" s="16"/>
      <c r="DYU242" s="15"/>
      <c r="DYV242" s="15"/>
      <c r="DYW242" s="10"/>
      <c r="DYX242" s="10"/>
      <c r="DYY242" s="19"/>
      <c r="DYZ242" s="19"/>
      <c r="DZC242" s="16"/>
      <c r="DZD242" s="15"/>
      <c r="DZE242" s="15"/>
      <c r="DZF242" s="15"/>
      <c r="DZG242" s="16"/>
      <c r="DZH242" s="16"/>
      <c r="DZI242" s="16"/>
      <c r="DZJ242" s="16"/>
      <c r="DZK242" s="16"/>
      <c r="DZL242" s="15"/>
      <c r="DZM242" s="15"/>
      <c r="DZN242" s="10"/>
      <c r="DZO242" s="10"/>
      <c r="DZP242" s="19"/>
      <c r="DZQ242" s="19"/>
      <c r="DZT242" s="16"/>
      <c r="DZU242" s="15"/>
      <c r="DZV242" s="15"/>
      <c r="DZW242" s="15"/>
      <c r="DZX242" s="16"/>
      <c r="DZY242" s="16"/>
      <c r="DZZ242" s="16"/>
      <c r="EAA242" s="16"/>
      <c r="EAB242" s="16"/>
      <c r="EAC242" s="15"/>
      <c r="EAD242" s="15"/>
      <c r="EAE242" s="10"/>
      <c r="EAF242" s="10"/>
      <c r="EAG242" s="19"/>
      <c r="EAH242" s="19"/>
      <c r="EAK242" s="16"/>
      <c r="EAL242" s="15"/>
      <c r="EAM242" s="15"/>
      <c r="EAN242" s="15"/>
      <c r="EAO242" s="16"/>
      <c r="EAP242" s="16"/>
      <c r="EAQ242" s="16"/>
      <c r="EAR242" s="16"/>
      <c r="EAS242" s="16"/>
      <c r="EAT242" s="15"/>
      <c r="EAU242" s="15"/>
      <c r="EAV242" s="10"/>
      <c r="EAW242" s="10"/>
      <c r="EAX242" s="19"/>
      <c r="EAY242" s="19"/>
      <c r="EBB242" s="16"/>
      <c r="EBC242" s="15"/>
      <c r="EBD242" s="15"/>
      <c r="EBE242" s="15"/>
      <c r="EBF242" s="16"/>
      <c r="EBG242" s="16"/>
      <c r="EBH242" s="16"/>
      <c r="EBI242" s="16"/>
      <c r="EBJ242" s="16"/>
      <c r="EBK242" s="15"/>
      <c r="EBL242" s="15"/>
      <c r="EBM242" s="10"/>
      <c r="EBN242" s="10"/>
      <c r="EBO242" s="19"/>
      <c r="EBP242" s="19"/>
      <c r="EBS242" s="16"/>
      <c r="EBT242" s="15"/>
      <c r="EBU242" s="15"/>
      <c r="EBV242" s="15"/>
      <c r="EBW242" s="16"/>
      <c r="EBX242" s="16"/>
      <c r="EBY242" s="16"/>
      <c r="EBZ242" s="16"/>
      <c r="ECA242" s="16"/>
      <c r="ECB242" s="15"/>
      <c r="ECC242" s="15"/>
      <c r="ECD242" s="10"/>
      <c r="ECE242" s="10"/>
      <c r="ECF242" s="19"/>
      <c r="ECG242" s="19"/>
      <c r="ECJ242" s="16"/>
      <c r="ECK242" s="15"/>
      <c r="ECL242" s="15"/>
      <c r="ECM242" s="15"/>
      <c r="ECN242" s="16"/>
      <c r="ECO242" s="16"/>
      <c r="ECP242" s="16"/>
      <c r="ECQ242" s="16"/>
      <c r="ECR242" s="16"/>
      <c r="ECS242" s="15"/>
      <c r="ECT242" s="15"/>
      <c r="ECU242" s="10"/>
      <c r="ECV242" s="10"/>
      <c r="ECW242" s="19"/>
      <c r="ECX242" s="19"/>
      <c r="EDA242" s="16"/>
      <c r="EDB242" s="15"/>
      <c r="EDC242" s="15"/>
      <c r="EDD242" s="15"/>
      <c r="EDE242" s="16"/>
      <c r="EDF242" s="16"/>
      <c r="EDG242" s="16"/>
      <c r="EDH242" s="16"/>
      <c r="EDI242" s="16"/>
      <c r="EDJ242" s="15"/>
      <c r="EDK242" s="15"/>
      <c r="EDL242" s="10"/>
      <c r="EDM242" s="10"/>
      <c r="EDN242" s="19"/>
      <c r="EDO242" s="19"/>
      <c r="EDR242" s="16"/>
      <c r="EDS242" s="15"/>
      <c r="EDT242" s="15"/>
      <c r="EDU242" s="15"/>
      <c r="EDV242" s="16"/>
      <c r="EDW242" s="16"/>
      <c r="EDX242" s="16"/>
      <c r="EDY242" s="16"/>
      <c r="EDZ242" s="16"/>
      <c r="EEA242" s="15"/>
      <c r="EEB242" s="15"/>
      <c r="EEC242" s="10"/>
      <c r="EED242" s="10"/>
      <c r="EEE242" s="19"/>
      <c r="EEF242" s="19"/>
      <c r="EEI242" s="16"/>
      <c r="EEJ242" s="15"/>
      <c r="EEK242" s="15"/>
      <c r="EEL242" s="15"/>
      <c r="EEM242" s="16"/>
      <c r="EEN242" s="16"/>
      <c r="EEO242" s="16"/>
      <c r="EEP242" s="16"/>
      <c r="EEQ242" s="16"/>
      <c r="EER242" s="15"/>
      <c r="EES242" s="15"/>
      <c r="EET242" s="10"/>
      <c r="EEU242" s="10"/>
      <c r="EEV242" s="19"/>
      <c r="EEW242" s="19"/>
      <c r="EEZ242" s="16"/>
      <c r="EFA242" s="15"/>
      <c r="EFB242" s="15"/>
      <c r="EFC242" s="15"/>
      <c r="EFD242" s="16"/>
      <c r="EFE242" s="16"/>
      <c r="EFF242" s="16"/>
      <c r="EFG242" s="16"/>
      <c r="EFH242" s="16"/>
      <c r="EFI242" s="15"/>
      <c r="EFJ242" s="15"/>
      <c r="EFK242" s="10"/>
      <c r="EFL242" s="10"/>
      <c r="EFM242" s="19"/>
      <c r="EFN242" s="19"/>
      <c r="EFQ242" s="16"/>
      <c r="EFR242" s="15"/>
      <c r="EFS242" s="15"/>
      <c r="EFT242" s="15"/>
      <c r="EFU242" s="16"/>
      <c r="EFV242" s="16"/>
      <c r="EFW242" s="16"/>
      <c r="EFX242" s="16"/>
      <c r="EFY242" s="16"/>
      <c r="EFZ242" s="15"/>
      <c r="EGA242" s="15"/>
      <c r="EGB242" s="10"/>
      <c r="EGC242" s="10"/>
      <c r="EGD242" s="19"/>
      <c r="EGE242" s="19"/>
      <c r="EGH242" s="16"/>
      <c r="EGI242" s="15"/>
      <c r="EGJ242" s="15"/>
      <c r="EGK242" s="15"/>
      <c r="EGL242" s="16"/>
      <c r="EGM242" s="16"/>
      <c r="EGN242" s="16"/>
      <c r="EGO242" s="16"/>
      <c r="EGP242" s="16"/>
      <c r="EGQ242" s="15"/>
      <c r="EGR242" s="15"/>
      <c r="EGS242" s="10"/>
      <c r="EGT242" s="10"/>
      <c r="EGU242" s="19"/>
      <c r="EGV242" s="19"/>
      <c r="EGY242" s="16"/>
      <c r="EGZ242" s="15"/>
      <c r="EHA242" s="15"/>
      <c r="EHB242" s="15"/>
      <c r="EHC242" s="16"/>
      <c r="EHD242" s="16"/>
      <c r="EHE242" s="16"/>
      <c r="EHF242" s="16"/>
      <c r="EHG242" s="16"/>
      <c r="EHH242" s="15"/>
      <c r="EHI242" s="15"/>
      <c r="EHJ242" s="10"/>
      <c r="EHK242" s="10"/>
      <c r="EHL242" s="19"/>
      <c r="EHM242" s="19"/>
      <c r="EHP242" s="16"/>
      <c r="EHQ242" s="15"/>
      <c r="EHR242" s="15"/>
      <c r="EHS242" s="15"/>
      <c r="EHT242" s="16"/>
      <c r="EHU242" s="16"/>
      <c r="EHV242" s="16"/>
      <c r="EHW242" s="16"/>
      <c r="EHX242" s="16"/>
      <c r="EHY242" s="15"/>
      <c r="EHZ242" s="15"/>
      <c r="EIA242" s="10"/>
      <c r="EIB242" s="10"/>
      <c r="EIC242" s="19"/>
      <c r="EID242" s="19"/>
      <c r="EIG242" s="16"/>
      <c r="EIH242" s="15"/>
      <c r="EII242" s="15"/>
      <c r="EIJ242" s="15"/>
      <c r="EIK242" s="16"/>
      <c r="EIL242" s="16"/>
      <c r="EIM242" s="16"/>
      <c r="EIN242" s="16"/>
      <c r="EIO242" s="16"/>
      <c r="EIP242" s="15"/>
      <c r="EIQ242" s="15"/>
      <c r="EIR242" s="10"/>
      <c r="EIS242" s="10"/>
      <c r="EIT242" s="19"/>
      <c r="EIU242" s="19"/>
      <c r="EIX242" s="16"/>
      <c r="EIY242" s="15"/>
      <c r="EIZ242" s="15"/>
      <c r="EJA242" s="15"/>
      <c r="EJB242" s="16"/>
      <c r="EJC242" s="16"/>
      <c r="EJD242" s="16"/>
      <c r="EJE242" s="16"/>
      <c r="EJF242" s="16"/>
      <c r="EJG242" s="15"/>
      <c r="EJH242" s="15"/>
      <c r="EJI242" s="10"/>
      <c r="EJJ242" s="10"/>
      <c r="EJK242" s="19"/>
      <c r="EJL242" s="19"/>
      <c r="EJO242" s="16"/>
      <c r="EJP242" s="15"/>
      <c r="EJQ242" s="15"/>
      <c r="EJR242" s="15"/>
      <c r="EJS242" s="16"/>
      <c r="EJT242" s="16"/>
      <c r="EJU242" s="16"/>
      <c r="EJV242" s="16"/>
      <c r="EJW242" s="16"/>
      <c r="EJX242" s="15"/>
      <c r="EJY242" s="15"/>
      <c r="EJZ242" s="10"/>
      <c r="EKA242" s="10"/>
      <c r="EKB242" s="19"/>
      <c r="EKC242" s="19"/>
      <c r="EKF242" s="16"/>
      <c r="EKG242" s="15"/>
      <c r="EKH242" s="15"/>
      <c r="EKI242" s="15"/>
      <c r="EKJ242" s="16"/>
      <c r="EKK242" s="16"/>
      <c r="EKL242" s="16"/>
      <c r="EKM242" s="16"/>
      <c r="EKN242" s="16"/>
      <c r="EKO242" s="15"/>
      <c r="EKP242" s="15"/>
      <c r="EKQ242" s="10"/>
      <c r="EKR242" s="10"/>
      <c r="EKS242" s="19"/>
      <c r="EKT242" s="19"/>
      <c r="EKW242" s="16"/>
      <c r="EKX242" s="15"/>
      <c r="EKY242" s="15"/>
      <c r="EKZ242" s="15"/>
      <c r="ELA242" s="16"/>
      <c r="ELB242" s="16"/>
      <c r="ELC242" s="16"/>
      <c r="ELD242" s="16"/>
      <c r="ELE242" s="16"/>
      <c r="ELF242" s="15"/>
      <c r="ELG242" s="15"/>
      <c r="ELH242" s="10"/>
      <c r="ELI242" s="10"/>
      <c r="ELJ242" s="19"/>
      <c r="ELK242" s="19"/>
      <c r="ELN242" s="16"/>
      <c r="ELO242" s="15"/>
      <c r="ELP242" s="15"/>
      <c r="ELQ242" s="15"/>
      <c r="ELR242" s="16"/>
      <c r="ELS242" s="16"/>
      <c r="ELT242" s="16"/>
      <c r="ELU242" s="16"/>
      <c r="ELV242" s="16"/>
      <c r="ELW242" s="15"/>
      <c r="ELX242" s="15"/>
      <c r="ELY242" s="10"/>
      <c r="ELZ242" s="10"/>
      <c r="EMA242" s="19"/>
      <c r="EMB242" s="19"/>
      <c r="EME242" s="16"/>
      <c r="EMF242" s="15"/>
      <c r="EMG242" s="15"/>
      <c r="EMH242" s="15"/>
      <c r="EMI242" s="16"/>
      <c r="EMJ242" s="16"/>
      <c r="EMK242" s="16"/>
      <c r="EML242" s="16"/>
      <c r="EMM242" s="16"/>
      <c r="EMN242" s="15"/>
      <c r="EMO242" s="15"/>
      <c r="EMP242" s="10"/>
      <c r="EMQ242" s="10"/>
      <c r="EMR242" s="19"/>
      <c r="EMS242" s="19"/>
      <c r="EMV242" s="16"/>
      <c r="EMW242" s="15"/>
      <c r="EMX242" s="15"/>
      <c r="EMY242" s="15"/>
      <c r="EMZ242" s="16"/>
      <c r="ENA242" s="16"/>
      <c r="ENB242" s="16"/>
      <c r="ENC242" s="16"/>
      <c r="END242" s="16"/>
      <c r="ENE242" s="15"/>
      <c r="ENF242" s="15"/>
      <c r="ENG242" s="10"/>
      <c r="ENH242" s="10"/>
      <c r="ENI242" s="19"/>
      <c r="ENJ242" s="19"/>
      <c r="ENM242" s="16"/>
      <c r="ENN242" s="15"/>
      <c r="ENO242" s="15"/>
      <c r="ENP242" s="15"/>
      <c r="ENQ242" s="16"/>
      <c r="ENR242" s="16"/>
      <c r="ENS242" s="16"/>
      <c r="ENT242" s="16"/>
      <c r="ENU242" s="16"/>
      <c r="ENV242" s="15"/>
      <c r="ENW242" s="15"/>
      <c r="ENX242" s="10"/>
      <c r="ENY242" s="10"/>
      <c r="ENZ242" s="19"/>
      <c r="EOA242" s="19"/>
      <c r="EOD242" s="16"/>
      <c r="EOE242" s="15"/>
      <c r="EOF242" s="15"/>
      <c r="EOG242" s="15"/>
      <c r="EOH242" s="16"/>
      <c r="EOI242" s="16"/>
      <c r="EOJ242" s="16"/>
      <c r="EOK242" s="16"/>
      <c r="EOL242" s="16"/>
      <c r="EOM242" s="15"/>
      <c r="EON242" s="15"/>
      <c r="EOO242" s="10"/>
      <c r="EOP242" s="10"/>
      <c r="EOQ242" s="19"/>
      <c r="EOR242" s="19"/>
      <c r="EOU242" s="16"/>
      <c r="EOV242" s="15"/>
      <c r="EOW242" s="15"/>
      <c r="EOX242" s="15"/>
      <c r="EOY242" s="16"/>
      <c r="EOZ242" s="16"/>
      <c r="EPA242" s="16"/>
      <c r="EPB242" s="16"/>
      <c r="EPC242" s="16"/>
      <c r="EPD242" s="15"/>
      <c r="EPE242" s="15"/>
      <c r="EPF242" s="10"/>
      <c r="EPG242" s="10"/>
      <c r="EPH242" s="19"/>
      <c r="EPI242" s="19"/>
      <c r="EPL242" s="16"/>
      <c r="EPM242" s="15"/>
      <c r="EPN242" s="15"/>
      <c r="EPO242" s="15"/>
      <c r="EPP242" s="16"/>
      <c r="EPQ242" s="16"/>
      <c r="EPR242" s="16"/>
      <c r="EPS242" s="16"/>
      <c r="EPT242" s="16"/>
      <c r="EPU242" s="15"/>
      <c r="EPV242" s="15"/>
      <c r="EPW242" s="10"/>
      <c r="EPX242" s="10"/>
      <c r="EPY242" s="19"/>
      <c r="EPZ242" s="19"/>
      <c r="EQC242" s="16"/>
      <c r="EQD242" s="15"/>
      <c r="EQE242" s="15"/>
      <c r="EQF242" s="15"/>
      <c r="EQG242" s="16"/>
      <c r="EQH242" s="16"/>
      <c r="EQI242" s="16"/>
      <c r="EQJ242" s="16"/>
      <c r="EQK242" s="16"/>
      <c r="EQL242" s="15"/>
      <c r="EQM242" s="15"/>
      <c r="EQN242" s="10"/>
      <c r="EQO242" s="10"/>
      <c r="EQP242" s="19"/>
      <c r="EQQ242" s="19"/>
      <c r="EQT242" s="16"/>
      <c r="EQU242" s="15"/>
      <c r="EQV242" s="15"/>
      <c r="EQW242" s="15"/>
      <c r="EQX242" s="16"/>
      <c r="EQY242" s="16"/>
      <c r="EQZ242" s="16"/>
      <c r="ERA242" s="16"/>
      <c r="ERB242" s="16"/>
      <c r="ERC242" s="15"/>
      <c r="ERD242" s="15"/>
      <c r="ERE242" s="10"/>
      <c r="ERF242" s="10"/>
      <c r="ERG242" s="19"/>
      <c r="ERH242" s="19"/>
      <c r="ERK242" s="16"/>
      <c r="ERL242" s="15"/>
      <c r="ERM242" s="15"/>
      <c r="ERN242" s="15"/>
      <c r="ERO242" s="16"/>
      <c r="ERP242" s="16"/>
      <c r="ERQ242" s="16"/>
      <c r="ERR242" s="16"/>
      <c r="ERS242" s="16"/>
      <c r="ERT242" s="15"/>
      <c r="ERU242" s="15"/>
      <c r="ERV242" s="10"/>
      <c r="ERW242" s="10"/>
      <c r="ERX242" s="19"/>
      <c r="ERY242" s="19"/>
      <c r="ESB242" s="16"/>
      <c r="ESC242" s="15"/>
      <c r="ESD242" s="15"/>
      <c r="ESE242" s="15"/>
      <c r="ESF242" s="16"/>
      <c r="ESG242" s="16"/>
      <c r="ESH242" s="16"/>
      <c r="ESI242" s="16"/>
      <c r="ESJ242" s="16"/>
      <c r="ESK242" s="15"/>
      <c r="ESL242" s="15"/>
      <c r="ESM242" s="10"/>
      <c r="ESN242" s="10"/>
      <c r="ESO242" s="19"/>
      <c r="ESP242" s="19"/>
      <c r="ESS242" s="16"/>
      <c r="EST242" s="15"/>
      <c r="ESU242" s="15"/>
      <c r="ESV242" s="15"/>
      <c r="ESW242" s="16"/>
      <c r="ESX242" s="16"/>
      <c r="ESY242" s="16"/>
      <c r="ESZ242" s="16"/>
      <c r="ETA242" s="16"/>
      <c r="ETB242" s="15"/>
      <c r="ETC242" s="15"/>
      <c r="ETD242" s="10"/>
      <c r="ETE242" s="10"/>
      <c r="ETF242" s="19"/>
      <c r="ETG242" s="19"/>
      <c r="ETJ242" s="16"/>
      <c r="ETK242" s="15"/>
      <c r="ETL242" s="15"/>
      <c r="ETM242" s="15"/>
      <c r="ETN242" s="16"/>
      <c r="ETO242" s="16"/>
      <c r="ETP242" s="16"/>
      <c r="ETQ242" s="16"/>
      <c r="ETR242" s="16"/>
      <c r="ETS242" s="15"/>
      <c r="ETT242" s="15"/>
      <c r="ETU242" s="10"/>
      <c r="ETV242" s="10"/>
      <c r="ETW242" s="19"/>
      <c r="ETX242" s="19"/>
      <c r="EUA242" s="16"/>
      <c r="EUB242" s="15"/>
      <c r="EUC242" s="15"/>
      <c r="EUD242" s="15"/>
      <c r="EUE242" s="16"/>
      <c r="EUF242" s="16"/>
      <c r="EUG242" s="16"/>
      <c r="EUH242" s="16"/>
      <c r="EUI242" s="16"/>
      <c r="EUJ242" s="15"/>
      <c r="EUK242" s="15"/>
      <c r="EUL242" s="10"/>
      <c r="EUM242" s="10"/>
      <c r="EUN242" s="19"/>
      <c r="EUO242" s="19"/>
      <c r="EUR242" s="16"/>
      <c r="EUS242" s="15"/>
      <c r="EUT242" s="15"/>
      <c r="EUU242" s="15"/>
      <c r="EUV242" s="16"/>
      <c r="EUW242" s="16"/>
      <c r="EUX242" s="16"/>
      <c r="EUY242" s="16"/>
      <c r="EUZ242" s="16"/>
      <c r="EVA242" s="15"/>
      <c r="EVB242" s="15"/>
      <c r="EVC242" s="10"/>
      <c r="EVD242" s="10"/>
      <c r="EVE242" s="19"/>
      <c r="EVF242" s="19"/>
      <c r="EVI242" s="16"/>
      <c r="EVJ242" s="15"/>
      <c r="EVK242" s="15"/>
      <c r="EVL242" s="15"/>
      <c r="EVM242" s="16"/>
      <c r="EVN242" s="16"/>
      <c r="EVO242" s="16"/>
      <c r="EVP242" s="16"/>
      <c r="EVQ242" s="16"/>
      <c r="EVR242" s="15"/>
      <c r="EVS242" s="15"/>
      <c r="EVT242" s="10"/>
      <c r="EVU242" s="10"/>
      <c r="EVV242" s="19"/>
      <c r="EVW242" s="19"/>
      <c r="EVZ242" s="16"/>
      <c r="EWA242" s="15"/>
      <c r="EWB242" s="15"/>
      <c r="EWC242" s="15"/>
      <c r="EWD242" s="16"/>
      <c r="EWE242" s="16"/>
      <c r="EWF242" s="16"/>
      <c r="EWG242" s="16"/>
      <c r="EWH242" s="16"/>
      <c r="EWI242" s="15"/>
      <c r="EWJ242" s="15"/>
      <c r="EWK242" s="10"/>
      <c r="EWL242" s="10"/>
      <c r="EWM242" s="19"/>
      <c r="EWN242" s="19"/>
      <c r="EWQ242" s="16"/>
      <c r="EWR242" s="15"/>
      <c r="EWS242" s="15"/>
      <c r="EWT242" s="15"/>
      <c r="EWU242" s="16"/>
      <c r="EWV242" s="16"/>
      <c r="EWW242" s="16"/>
      <c r="EWX242" s="16"/>
      <c r="EWY242" s="16"/>
      <c r="EWZ242" s="15"/>
      <c r="EXA242" s="15"/>
      <c r="EXB242" s="10"/>
      <c r="EXC242" s="10"/>
      <c r="EXD242" s="19"/>
      <c r="EXE242" s="19"/>
      <c r="EXH242" s="16"/>
      <c r="EXI242" s="15"/>
      <c r="EXJ242" s="15"/>
      <c r="EXK242" s="15"/>
      <c r="EXL242" s="16"/>
      <c r="EXM242" s="16"/>
      <c r="EXN242" s="16"/>
      <c r="EXO242" s="16"/>
      <c r="EXP242" s="16"/>
      <c r="EXQ242" s="15"/>
      <c r="EXR242" s="15"/>
      <c r="EXS242" s="10"/>
      <c r="EXT242" s="10"/>
      <c r="EXU242" s="19"/>
      <c r="EXV242" s="19"/>
      <c r="EXY242" s="16"/>
      <c r="EXZ242" s="15"/>
      <c r="EYA242" s="15"/>
      <c r="EYB242" s="15"/>
      <c r="EYC242" s="16"/>
      <c r="EYD242" s="16"/>
      <c r="EYE242" s="16"/>
      <c r="EYF242" s="16"/>
      <c r="EYG242" s="16"/>
      <c r="EYH242" s="15"/>
      <c r="EYI242" s="15"/>
      <c r="EYJ242" s="10"/>
      <c r="EYK242" s="10"/>
      <c r="EYL242" s="19"/>
      <c r="EYM242" s="19"/>
      <c r="EYP242" s="16"/>
      <c r="EYQ242" s="15"/>
      <c r="EYR242" s="15"/>
      <c r="EYS242" s="15"/>
      <c r="EYT242" s="16"/>
      <c r="EYU242" s="16"/>
      <c r="EYV242" s="16"/>
      <c r="EYW242" s="16"/>
      <c r="EYX242" s="16"/>
      <c r="EYY242" s="15"/>
      <c r="EYZ242" s="15"/>
      <c r="EZA242" s="10"/>
      <c r="EZB242" s="10"/>
      <c r="EZC242" s="19"/>
      <c r="EZD242" s="19"/>
      <c r="EZG242" s="16"/>
      <c r="EZH242" s="15"/>
      <c r="EZI242" s="15"/>
      <c r="EZJ242" s="15"/>
      <c r="EZK242" s="16"/>
      <c r="EZL242" s="16"/>
      <c r="EZM242" s="16"/>
      <c r="EZN242" s="16"/>
      <c r="EZO242" s="16"/>
      <c r="EZP242" s="15"/>
      <c r="EZQ242" s="15"/>
      <c r="EZR242" s="10"/>
      <c r="EZS242" s="10"/>
      <c r="EZT242" s="19"/>
      <c r="EZU242" s="19"/>
      <c r="EZX242" s="16"/>
      <c r="EZY242" s="15"/>
      <c r="EZZ242" s="15"/>
      <c r="FAA242" s="15"/>
      <c r="FAB242" s="16"/>
      <c r="FAC242" s="16"/>
      <c r="FAD242" s="16"/>
      <c r="FAE242" s="16"/>
      <c r="FAF242" s="16"/>
      <c r="FAG242" s="15"/>
      <c r="FAH242" s="15"/>
      <c r="FAI242" s="10"/>
      <c r="FAJ242" s="10"/>
      <c r="FAK242" s="19"/>
      <c r="FAL242" s="19"/>
      <c r="FAO242" s="16"/>
      <c r="FAP242" s="15"/>
      <c r="FAQ242" s="15"/>
      <c r="FAR242" s="15"/>
      <c r="FAS242" s="16"/>
      <c r="FAT242" s="16"/>
      <c r="FAU242" s="16"/>
      <c r="FAV242" s="16"/>
      <c r="FAW242" s="16"/>
      <c r="FAX242" s="15"/>
      <c r="FAY242" s="15"/>
      <c r="FAZ242" s="10"/>
      <c r="FBA242" s="10"/>
      <c r="FBB242" s="19"/>
      <c r="FBC242" s="19"/>
      <c r="FBF242" s="16"/>
      <c r="FBG242" s="15"/>
      <c r="FBH242" s="15"/>
      <c r="FBI242" s="15"/>
      <c r="FBJ242" s="16"/>
      <c r="FBK242" s="16"/>
      <c r="FBL242" s="16"/>
      <c r="FBM242" s="16"/>
      <c r="FBN242" s="16"/>
      <c r="FBO242" s="15"/>
      <c r="FBP242" s="15"/>
      <c r="FBQ242" s="10"/>
      <c r="FBR242" s="10"/>
      <c r="FBS242" s="19"/>
      <c r="FBT242" s="19"/>
      <c r="FBW242" s="16"/>
      <c r="FBX242" s="15"/>
      <c r="FBY242" s="15"/>
      <c r="FBZ242" s="15"/>
      <c r="FCA242" s="16"/>
      <c r="FCB242" s="16"/>
      <c r="FCC242" s="16"/>
      <c r="FCD242" s="16"/>
      <c r="FCE242" s="16"/>
      <c r="FCF242" s="15"/>
      <c r="FCG242" s="15"/>
      <c r="FCH242" s="10"/>
      <c r="FCI242" s="10"/>
      <c r="FCJ242" s="19"/>
      <c r="FCK242" s="19"/>
      <c r="FCN242" s="16"/>
      <c r="FCO242" s="15"/>
      <c r="FCP242" s="15"/>
      <c r="FCQ242" s="15"/>
      <c r="FCR242" s="16"/>
      <c r="FCS242" s="16"/>
      <c r="FCT242" s="16"/>
      <c r="FCU242" s="16"/>
      <c r="FCV242" s="16"/>
      <c r="FCW242" s="15"/>
      <c r="FCX242" s="15"/>
      <c r="FCY242" s="10"/>
      <c r="FCZ242" s="10"/>
      <c r="FDA242" s="19"/>
      <c r="FDB242" s="19"/>
      <c r="FDE242" s="16"/>
      <c r="FDF242" s="15"/>
      <c r="FDG242" s="15"/>
      <c r="FDH242" s="15"/>
      <c r="FDI242" s="16"/>
      <c r="FDJ242" s="16"/>
      <c r="FDK242" s="16"/>
      <c r="FDL242" s="16"/>
      <c r="FDM242" s="16"/>
      <c r="FDN242" s="15"/>
      <c r="FDO242" s="15"/>
      <c r="FDP242" s="10"/>
      <c r="FDQ242" s="10"/>
      <c r="FDR242" s="19"/>
      <c r="FDS242" s="19"/>
      <c r="FDV242" s="16"/>
      <c r="FDW242" s="15"/>
      <c r="FDX242" s="15"/>
      <c r="FDY242" s="15"/>
      <c r="FDZ242" s="16"/>
      <c r="FEA242" s="16"/>
      <c r="FEB242" s="16"/>
      <c r="FEC242" s="16"/>
      <c r="FED242" s="16"/>
      <c r="FEE242" s="15"/>
      <c r="FEF242" s="15"/>
      <c r="FEG242" s="10"/>
      <c r="FEH242" s="10"/>
      <c r="FEI242" s="19"/>
      <c r="FEJ242" s="19"/>
      <c r="FEM242" s="16"/>
      <c r="FEN242" s="15"/>
      <c r="FEO242" s="15"/>
      <c r="FEP242" s="15"/>
      <c r="FEQ242" s="16"/>
      <c r="FER242" s="16"/>
      <c r="FES242" s="16"/>
      <c r="FET242" s="16"/>
      <c r="FEU242" s="16"/>
      <c r="FEV242" s="15"/>
      <c r="FEW242" s="15"/>
      <c r="FEX242" s="10"/>
      <c r="FEY242" s="10"/>
      <c r="FEZ242" s="19"/>
      <c r="FFA242" s="19"/>
      <c r="FFD242" s="16"/>
      <c r="FFE242" s="15"/>
      <c r="FFF242" s="15"/>
      <c r="FFG242" s="15"/>
      <c r="FFH242" s="16"/>
      <c r="FFI242" s="16"/>
      <c r="FFJ242" s="16"/>
      <c r="FFK242" s="16"/>
      <c r="FFL242" s="16"/>
      <c r="FFM242" s="15"/>
      <c r="FFN242" s="15"/>
      <c r="FFO242" s="10"/>
      <c r="FFP242" s="10"/>
      <c r="FFQ242" s="19"/>
      <c r="FFR242" s="19"/>
      <c r="FFU242" s="16"/>
      <c r="FFV242" s="15"/>
      <c r="FFW242" s="15"/>
      <c r="FFX242" s="15"/>
      <c r="FFY242" s="16"/>
      <c r="FFZ242" s="16"/>
      <c r="FGA242" s="16"/>
      <c r="FGB242" s="16"/>
      <c r="FGC242" s="16"/>
      <c r="FGD242" s="15"/>
      <c r="FGE242" s="15"/>
      <c r="FGF242" s="10"/>
      <c r="FGG242" s="10"/>
      <c r="FGH242" s="19"/>
      <c r="FGI242" s="19"/>
      <c r="FGL242" s="16"/>
      <c r="FGM242" s="15"/>
      <c r="FGN242" s="15"/>
      <c r="FGO242" s="15"/>
      <c r="FGP242" s="16"/>
      <c r="FGQ242" s="16"/>
      <c r="FGR242" s="16"/>
      <c r="FGS242" s="16"/>
      <c r="FGT242" s="16"/>
      <c r="FGU242" s="15"/>
      <c r="FGV242" s="15"/>
      <c r="FGW242" s="10"/>
      <c r="FGX242" s="10"/>
      <c r="FGY242" s="19"/>
      <c r="FGZ242" s="19"/>
      <c r="FHC242" s="16"/>
      <c r="FHD242" s="15"/>
      <c r="FHE242" s="15"/>
      <c r="FHF242" s="15"/>
      <c r="FHG242" s="16"/>
      <c r="FHH242" s="16"/>
      <c r="FHI242" s="16"/>
      <c r="FHJ242" s="16"/>
      <c r="FHK242" s="16"/>
      <c r="FHL242" s="15"/>
      <c r="FHM242" s="15"/>
      <c r="FHN242" s="10"/>
      <c r="FHO242" s="10"/>
      <c r="FHP242" s="19"/>
      <c r="FHQ242" s="19"/>
      <c r="FHT242" s="16"/>
      <c r="FHU242" s="15"/>
      <c r="FHV242" s="15"/>
      <c r="FHW242" s="15"/>
      <c r="FHX242" s="16"/>
      <c r="FHY242" s="16"/>
      <c r="FHZ242" s="16"/>
      <c r="FIA242" s="16"/>
      <c r="FIB242" s="16"/>
      <c r="FIC242" s="15"/>
      <c r="FID242" s="15"/>
      <c r="FIE242" s="10"/>
      <c r="FIF242" s="10"/>
      <c r="FIG242" s="19"/>
      <c r="FIH242" s="19"/>
      <c r="FIK242" s="16"/>
      <c r="FIL242" s="15"/>
      <c r="FIM242" s="15"/>
      <c r="FIN242" s="15"/>
      <c r="FIO242" s="16"/>
      <c r="FIP242" s="16"/>
      <c r="FIQ242" s="16"/>
      <c r="FIR242" s="16"/>
      <c r="FIS242" s="16"/>
      <c r="FIT242" s="15"/>
      <c r="FIU242" s="15"/>
      <c r="FIV242" s="10"/>
      <c r="FIW242" s="10"/>
      <c r="FIX242" s="19"/>
      <c r="FIY242" s="19"/>
      <c r="FJB242" s="16"/>
      <c r="FJC242" s="15"/>
      <c r="FJD242" s="15"/>
      <c r="FJE242" s="15"/>
      <c r="FJF242" s="16"/>
      <c r="FJG242" s="16"/>
      <c r="FJH242" s="16"/>
      <c r="FJI242" s="16"/>
      <c r="FJJ242" s="16"/>
      <c r="FJK242" s="15"/>
      <c r="FJL242" s="15"/>
      <c r="FJM242" s="10"/>
      <c r="FJN242" s="10"/>
      <c r="FJO242" s="19"/>
      <c r="FJP242" s="19"/>
      <c r="FJS242" s="16"/>
      <c r="FJT242" s="15"/>
      <c r="FJU242" s="15"/>
      <c r="FJV242" s="15"/>
      <c r="FJW242" s="16"/>
      <c r="FJX242" s="16"/>
      <c r="FJY242" s="16"/>
      <c r="FJZ242" s="16"/>
      <c r="FKA242" s="16"/>
      <c r="FKB242" s="15"/>
      <c r="FKC242" s="15"/>
      <c r="FKD242" s="10"/>
      <c r="FKE242" s="10"/>
      <c r="FKF242" s="19"/>
      <c r="FKG242" s="19"/>
      <c r="FKJ242" s="16"/>
      <c r="FKK242" s="15"/>
      <c r="FKL242" s="15"/>
      <c r="FKM242" s="15"/>
      <c r="FKN242" s="16"/>
      <c r="FKO242" s="16"/>
      <c r="FKP242" s="16"/>
      <c r="FKQ242" s="16"/>
      <c r="FKR242" s="16"/>
      <c r="FKS242" s="15"/>
      <c r="FKT242" s="15"/>
      <c r="FKU242" s="10"/>
      <c r="FKV242" s="10"/>
      <c r="FKW242" s="19"/>
      <c r="FKX242" s="19"/>
      <c r="FLA242" s="16"/>
      <c r="FLB242" s="15"/>
      <c r="FLC242" s="15"/>
      <c r="FLD242" s="15"/>
      <c r="FLE242" s="16"/>
      <c r="FLF242" s="16"/>
      <c r="FLG242" s="16"/>
      <c r="FLH242" s="16"/>
      <c r="FLI242" s="16"/>
      <c r="FLJ242" s="15"/>
      <c r="FLK242" s="15"/>
      <c r="FLL242" s="10"/>
      <c r="FLM242" s="10"/>
      <c r="FLN242" s="19"/>
      <c r="FLO242" s="19"/>
      <c r="FLR242" s="16"/>
      <c r="FLS242" s="15"/>
      <c r="FLT242" s="15"/>
      <c r="FLU242" s="15"/>
      <c r="FLV242" s="16"/>
      <c r="FLW242" s="16"/>
      <c r="FLX242" s="16"/>
      <c r="FLY242" s="16"/>
      <c r="FLZ242" s="16"/>
      <c r="FMA242" s="15"/>
      <c r="FMB242" s="15"/>
      <c r="FMC242" s="10"/>
      <c r="FMD242" s="10"/>
      <c r="FME242" s="19"/>
      <c r="FMF242" s="19"/>
      <c r="FMI242" s="16"/>
      <c r="FMJ242" s="15"/>
      <c r="FMK242" s="15"/>
      <c r="FML242" s="15"/>
      <c r="FMM242" s="16"/>
      <c r="FMN242" s="16"/>
      <c r="FMO242" s="16"/>
      <c r="FMP242" s="16"/>
      <c r="FMQ242" s="16"/>
      <c r="FMR242" s="15"/>
      <c r="FMS242" s="15"/>
      <c r="FMT242" s="10"/>
      <c r="FMU242" s="10"/>
      <c r="FMV242" s="19"/>
      <c r="FMW242" s="19"/>
      <c r="FMZ242" s="16"/>
      <c r="FNA242" s="15"/>
      <c r="FNB242" s="15"/>
      <c r="FNC242" s="15"/>
      <c r="FND242" s="16"/>
      <c r="FNE242" s="16"/>
      <c r="FNF242" s="16"/>
      <c r="FNG242" s="16"/>
      <c r="FNH242" s="16"/>
      <c r="FNI242" s="15"/>
      <c r="FNJ242" s="15"/>
      <c r="FNK242" s="10"/>
      <c r="FNL242" s="10"/>
      <c r="FNM242" s="19"/>
      <c r="FNN242" s="19"/>
      <c r="FNQ242" s="16"/>
      <c r="FNR242" s="15"/>
      <c r="FNS242" s="15"/>
      <c r="FNT242" s="15"/>
      <c r="FNU242" s="16"/>
      <c r="FNV242" s="16"/>
      <c r="FNW242" s="16"/>
      <c r="FNX242" s="16"/>
      <c r="FNY242" s="16"/>
      <c r="FNZ242" s="15"/>
      <c r="FOA242" s="15"/>
      <c r="FOB242" s="10"/>
      <c r="FOC242" s="10"/>
      <c r="FOD242" s="19"/>
      <c r="FOE242" s="19"/>
      <c r="FOH242" s="16"/>
      <c r="FOI242" s="15"/>
      <c r="FOJ242" s="15"/>
      <c r="FOK242" s="15"/>
      <c r="FOL242" s="16"/>
      <c r="FOM242" s="16"/>
      <c r="FON242" s="16"/>
      <c r="FOO242" s="16"/>
      <c r="FOP242" s="16"/>
      <c r="FOQ242" s="15"/>
      <c r="FOR242" s="15"/>
      <c r="FOS242" s="10"/>
      <c r="FOT242" s="10"/>
      <c r="FOU242" s="19"/>
      <c r="FOV242" s="19"/>
      <c r="FOY242" s="16"/>
      <c r="FOZ242" s="15"/>
      <c r="FPA242" s="15"/>
      <c r="FPB242" s="15"/>
      <c r="FPC242" s="16"/>
      <c r="FPD242" s="16"/>
      <c r="FPE242" s="16"/>
      <c r="FPF242" s="16"/>
      <c r="FPG242" s="16"/>
      <c r="FPH242" s="15"/>
      <c r="FPI242" s="15"/>
      <c r="FPJ242" s="10"/>
      <c r="FPK242" s="10"/>
      <c r="FPL242" s="19"/>
      <c r="FPM242" s="19"/>
      <c r="FPP242" s="16"/>
      <c r="FPQ242" s="15"/>
      <c r="FPR242" s="15"/>
      <c r="FPS242" s="15"/>
      <c r="FPT242" s="16"/>
      <c r="FPU242" s="16"/>
      <c r="FPV242" s="16"/>
      <c r="FPW242" s="16"/>
      <c r="FPX242" s="16"/>
      <c r="FPY242" s="15"/>
      <c r="FPZ242" s="15"/>
      <c r="FQA242" s="10"/>
      <c r="FQB242" s="10"/>
      <c r="FQC242" s="19"/>
      <c r="FQD242" s="19"/>
      <c r="FQG242" s="16"/>
      <c r="FQH242" s="15"/>
      <c r="FQI242" s="15"/>
      <c r="FQJ242" s="15"/>
      <c r="FQK242" s="16"/>
      <c r="FQL242" s="16"/>
      <c r="FQM242" s="16"/>
      <c r="FQN242" s="16"/>
      <c r="FQO242" s="16"/>
      <c r="FQP242" s="15"/>
      <c r="FQQ242" s="15"/>
      <c r="FQR242" s="10"/>
      <c r="FQS242" s="10"/>
      <c r="FQT242" s="19"/>
      <c r="FQU242" s="19"/>
      <c r="FQX242" s="16"/>
      <c r="FQY242" s="15"/>
      <c r="FQZ242" s="15"/>
      <c r="FRA242" s="15"/>
      <c r="FRB242" s="16"/>
      <c r="FRC242" s="16"/>
      <c r="FRD242" s="16"/>
      <c r="FRE242" s="16"/>
      <c r="FRF242" s="16"/>
      <c r="FRG242" s="15"/>
      <c r="FRH242" s="15"/>
      <c r="FRI242" s="10"/>
      <c r="FRJ242" s="10"/>
      <c r="FRK242" s="19"/>
      <c r="FRL242" s="19"/>
      <c r="FRO242" s="16"/>
      <c r="FRP242" s="15"/>
      <c r="FRQ242" s="15"/>
      <c r="FRR242" s="15"/>
      <c r="FRS242" s="16"/>
      <c r="FRT242" s="16"/>
      <c r="FRU242" s="16"/>
      <c r="FRV242" s="16"/>
      <c r="FRW242" s="16"/>
      <c r="FRX242" s="15"/>
      <c r="FRY242" s="15"/>
      <c r="FRZ242" s="10"/>
      <c r="FSA242" s="10"/>
      <c r="FSB242" s="19"/>
      <c r="FSC242" s="19"/>
      <c r="FSF242" s="16"/>
      <c r="FSG242" s="15"/>
      <c r="FSH242" s="15"/>
      <c r="FSI242" s="15"/>
      <c r="FSJ242" s="16"/>
      <c r="FSK242" s="16"/>
      <c r="FSL242" s="16"/>
      <c r="FSM242" s="16"/>
      <c r="FSN242" s="16"/>
      <c r="FSO242" s="15"/>
      <c r="FSP242" s="15"/>
      <c r="FSQ242" s="10"/>
      <c r="FSR242" s="10"/>
      <c r="FSS242" s="19"/>
      <c r="FST242" s="19"/>
      <c r="FSW242" s="16"/>
      <c r="FSX242" s="15"/>
      <c r="FSY242" s="15"/>
      <c r="FSZ242" s="15"/>
      <c r="FTA242" s="16"/>
      <c r="FTB242" s="16"/>
      <c r="FTC242" s="16"/>
      <c r="FTD242" s="16"/>
      <c r="FTE242" s="16"/>
      <c r="FTF242" s="15"/>
      <c r="FTG242" s="15"/>
      <c r="FTH242" s="10"/>
      <c r="FTI242" s="10"/>
      <c r="FTJ242" s="19"/>
      <c r="FTK242" s="19"/>
      <c r="FTN242" s="16"/>
      <c r="FTO242" s="15"/>
      <c r="FTP242" s="15"/>
      <c r="FTQ242" s="15"/>
      <c r="FTR242" s="16"/>
      <c r="FTS242" s="16"/>
      <c r="FTT242" s="16"/>
      <c r="FTU242" s="16"/>
      <c r="FTV242" s="16"/>
      <c r="FTW242" s="15"/>
      <c r="FTX242" s="15"/>
      <c r="FTY242" s="10"/>
      <c r="FTZ242" s="10"/>
      <c r="FUA242" s="19"/>
      <c r="FUB242" s="19"/>
      <c r="FUE242" s="16"/>
      <c r="FUF242" s="15"/>
      <c r="FUG242" s="15"/>
      <c r="FUH242" s="15"/>
      <c r="FUI242" s="16"/>
      <c r="FUJ242" s="16"/>
      <c r="FUK242" s="16"/>
      <c r="FUL242" s="16"/>
      <c r="FUM242" s="16"/>
      <c r="FUN242" s="15"/>
      <c r="FUO242" s="15"/>
      <c r="FUP242" s="10"/>
      <c r="FUQ242" s="10"/>
      <c r="FUR242" s="19"/>
      <c r="FUS242" s="19"/>
      <c r="FUV242" s="16"/>
      <c r="FUW242" s="15"/>
      <c r="FUX242" s="15"/>
      <c r="FUY242" s="15"/>
      <c r="FUZ242" s="16"/>
      <c r="FVA242" s="16"/>
      <c r="FVB242" s="16"/>
      <c r="FVC242" s="16"/>
      <c r="FVD242" s="16"/>
      <c r="FVE242" s="15"/>
      <c r="FVF242" s="15"/>
      <c r="FVG242" s="10"/>
      <c r="FVH242" s="10"/>
      <c r="FVI242" s="19"/>
      <c r="FVJ242" s="19"/>
      <c r="FVM242" s="16"/>
      <c r="FVN242" s="15"/>
      <c r="FVO242" s="15"/>
      <c r="FVP242" s="15"/>
      <c r="FVQ242" s="16"/>
      <c r="FVR242" s="16"/>
      <c r="FVS242" s="16"/>
      <c r="FVT242" s="16"/>
      <c r="FVU242" s="16"/>
      <c r="FVV242" s="15"/>
      <c r="FVW242" s="15"/>
      <c r="FVX242" s="10"/>
      <c r="FVY242" s="10"/>
      <c r="FVZ242" s="19"/>
      <c r="FWA242" s="19"/>
      <c r="FWD242" s="16"/>
      <c r="FWE242" s="15"/>
      <c r="FWF242" s="15"/>
      <c r="FWG242" s="15"/>
      <c r="FWH242" s="16"/>
      <c r="FWI242" s="16"/>
      <c r="FWJ242" s="16"/>
      <c r="FWK242" s="16"/>
      <c r="FWL242" s="16"/>
      <c r="FWM242" s="15"/>
      <c r="FWN242" s="15"/>
      <c r="FWO242" s="10"/>
      <c r="FWP242" s="10"/>
      <c r="FWQ242" s="19"/>
      <c r="FWR242" s="19"/>
      <c r="FWU242" s="16"/>
      <c r="FWV242" s="15"/>
      <c r="FWW242" s="15"/>
      <c r="FWX242" s="15"/>
      <c r="FWY242" s="16"/>
      <c r="FWZ242" s="16"/>
      <c r="FXA242" s="16"/>
      <c r="FXB242" s="16"/>
      <c r="FXC242" s="16"/>
      <c r="FXD242" s="15"/>
      <c r="FXE242" s="15"/>
      <c r="FXF242" s="10"/>
      <c r="FXG242" s="10"/>
      <c r="FXH242" s="19"/>
      <c r="FXI242" s="19"/>
      <c r="FXL242" s="16"/>
      <c r="FXM242" s="15"/>
      <c r="FXN242" s="15"/>
      <c r="FXO242" s="15"/>
      <c r="FXP242" s="16"/>
      <c r="FXQ242" s="16"/>
      <c r="FXR242" s="16"/>
      <c r="FXS242" s="16"/>
      <c r="FXT242" s="16"/>
      <c r="FXU242" s="15"/>
      <c r="FXV242" s="15"/>
      <c r="FXW242" s="10"/>
      <c r="FXX242" s="10"/>
      <c r="FXY242" s="19"/>
      <c r="FXZ242" s="19"/>
      <c r="FYC242" s="16"/>
      <c r="FYD242" s="15"/>
      <c r="FYE242" s="15"/>
      <c r="FYF242" s="15"/>
      <c r="FYG242" s="16"/>
      <c r="FYH242" s="16"/>
      <c r="FYI242" s="16"/>
      <c r="FYJ242" s="16"/>
      <c r="FYK242" s="16"/>
      <c r="FYL242" s="15"/>
      <c r="FYM242" s="15"/>
      <c r="FYN242" s="10"/>
      <c r="FYO242" s="10"/>
      <c r="FYP242" s="19"/>
      <c r="FYQ242" s="19"/>
      <c r="FYT242" s="16"/>
      <c r="FYU242" s="15"/>
      <c r="FYV242" s="15"/>
      <c r="FYW242" s="15"/>
      <c r="FYX242" s="16"/>
      <c r="FYY242" s="16"/>
      <c r="FYZ242" s="16"/>
      <c r="FZA242" s="16"/>
      <c r="FZB242" s="16"/>
      <c r="FZC242" s="15"/>
      <c r="FZD242" s="15"/>
      <c r="FZE242" s="10"/>
      <c r="FZF242" s="10"/>
      <c r="FZG242" s="19"/>
      <c r="FZH242" s="19"/>
      <c r="FZK242" s="16"/>
      <c r="FZL242" s="15"/>
      <c r="FZM242" s="15"/>
      <c r="FZN242" s="15"/>
      <c r="FZO242" s="16"/>
      <c r="FZP242" s="16"/>
      <c r="FZQ242" s="16"/>
      <c r="FZR242" s="16"/>
      <c r="FZS242" s="16"/>
      <c r="FZT242" s="15"/>
      <c r="FZU242" s="15"/>
      <c r="FZV242" s="10"/>
      <c r="FZW242" s="10"/>
      <c r="FZX242" s="19"/>
      <c r="FZY242" s="19"/>
      <c r="GAB242" s="16"/>
      <c r="GAC242" s="15"/>
      <c r="GAD242" s="15"/>
      <c r="GAE242" s="15"/>
      <c r="GAF242" s="16"/>
      <c r="GAG242" s="16"/>
      <c r="GAH242" s="16"/>
      <c r="GAI242" s="16"/>
      <c r="GAJ242" s="16"/>
      <c r="GAK242" s="15"/>
      <c r="GAL242" s="15"/>
      <c r="GAM242" s="10"/>
      <c r="GAN242" s="10"/>
      <c r="GAO242" s="19"/>
      <c r="GAP242" s="19"/>
      <c r="GAS242" s="16"/>
      <c r="GAT242" s="15"/>
      <c r="GAU242" s="15"/>
      <c r="GAV242" s="15"/>
      <c r="GAW242" s="16"/>
      <c r="GAX242" s="16"/>
      <c r="GAY242" s="16"/>
      <c r="GAZ242" s="16"/>
      <c r="GBA242" s="16"/>
      <c r="GBB242" s="15"/>
      <c r="GBC242" s="15"/>
      <c r="GBD242" s="10"/>
      <c r="GBE242" s="10"/>
      <c r="GBF242" s="19"/>
      <c r="GBG242" s="19"/>
      <c r="GBJ242" s="16"/>
      <c r="GBK242" s="15"/>
      <c r="GBL242" s="15"/>
      <c r="GBM242" s="15"/>
      <c r="GBN242" s="16"/>
      <c r="GBO242" s="16"/>
      <c r="GBP242" s="16"/>
      <c r="GBQ242" s="16"/>
      <c r="GBR242" s="16"/>
      <c r="GBS242" s="15"/>
      <c r="GBT242" s="15"/>
      <c r="GBU242" s="10"/>
      <c r="GBV242" s="10"/>
      <c r="GBW242" s="19"/>
      <c r="GBX242" s="19"/>
      <c r="GCA242" s="16"/>
      <c r="GCB242" s="15"/>
      <c r="GCC242" s="15"/>
      <c r="GCD242" s="15"/>
      <c r="GCE242" s="16"/>
      <c r="GCF242" s="16"/>
      <c r="GCG242" s="16"/>
      <c r="GCH242" s="16"/>
      <c r="GCI242" s="16"/>
      <c r="GCJ242" s="15"/>
      <c r="GCK242" s="15"/>
      <c r="GCL242" s="10"/>
      <c r="GCM242" s="10"/>
      <c r="GCN242" s="19"/>
      <c r="GCO242" s="19"/>
      <c r="GCR242" s="16"/>
      <c r="GCS242" s="15"/>
      <c r="GCT242" s="15"/>
      <c r="GCU242" s="15"/>
      <c r="GCV242" s="16"/>
      <c r="GCW242" s="16"/>
      <c r="GCX242" s="16"/>
      <c r="GCY242" s="16"/>
      <c r="GCZ242" s="16"/>
      <c r="GDA242" s="15"/>
      <c r="GDB242" s="15"/>
      <c r="GDC242" s="10"/>
      <c r="GDD242" s="10"/>
      <c r="GDE242" s="19"/>
      <c r="GDF242" s="19"/>
      <c r="GDI242" s="16"/>
      <c r="GDJ242" s="15"/>
      <c r="GDK242" s="15"/>
      <c r="GDL242" s="15"/>
      <c r="GDM242" s="16"/>
      <c r="GDN242" s="16"/>
      <c r="GDO242" s="16"/>
      <c r="GDP242" s="16"/>
      <c r="GDQ242" s="16"/>
      <c r="GDR242" s="15"/>
      <c r="GDS242" s="15"/>
      <c r="GDT242" s="10"/>
      <c r="GDU242" s="10"/>
      <c r="GDV242" s="19"/>
      <c r="GDW242" s="19"/>
      <c r="GDZ242" s="16"/>
      <c r="GEA242" s="15"/>
      <c r="GEB242" s="15"/>
      <c r="GEC242" s="15"/>
      <c r="GED242" s="16"/>
      <c r="GEE242" s="16"/>
      <c r="GEF242" s="16"/>
      <c r="GEG242" s="16"/>
      <c r="GEH242" s="16"/>
      <c r="GEI242" s="15"/>
      <c r="GEJ242" s="15"/>
      <c r="GEK242" s="10"/>
      <c r="GEL242" s="10"/>
      <c r="GEM242" s="19"/>
      <c r="GEN242" s="19"/>
      <c r="GEQ242" s="16"/>
      <c r="GER242" s="15"/>
      <c r="GES242" s="15"/>
      <c r="GET242" s="15"/>
      <c r="GEU242" s="16"/>
      <c r="GEV242" s="16"/>
      <c r="GEW242" s="16"/>
      <c r="GEX242" s="16"/>
      <c r="GEY242" s="16"/>
      <c r="GEZ242" s="15"/>
      <c r="GFA242" s="15"/>
      <c r="GFB242" s="10"/>
      <c r="GFC242" s="10"/>
      <c r="GFD242" s="19"/>
      <c r="GFE242" s="19"/>
      <c r="GFH242" s="16"/>
      <c r="GFI242" s="15"/>
      <c r="GFJ242" s="15"/>
      <c r="GFK242" s="15"/>
      <c r="GFL242" s="16"/>
      <c r="GFM242" s="16"/>
      <c r="GFN242" s="16"/>
      <c r="GFO242" s="16"/>
      <c r="GFP242" s="16"/>
      <c r="GFQ242" s="15"/>
      <c r="GFR242" s="15"/>
      <c r="GFS242" s="10"/>
      <c r="GFT242" s="10"/>
      <c r="GFU242" s="19"/>
      <c r="GFV242" s="19"/>
      <c r="GFY242" s="16"/>
      <c r="GFZ242" s="15"/>
      <c r="GGA242" s="15"/>
      <c r="GGB242" s="15"/>
      <c r="GGC242" s="16"/>
      <c r="GGD242" s="16"/>
      <c r="GGE242" s="16"/>
      <c r="GGF242" s="16"/>
      <c r="GGG242" s="16"/>
      <c r="GGH242" s="15"/>
      <c r="GGI242" s="15"/>
      <c r="GGJ242" s="10"/>
      <c r="GGK242" s="10"/>
      <c r="GGL242" s="19"/>
      <c r="GGM242" s="19"/>
      <c r="GGP242" s="16"/>
      <c r="GGQ242" s="15"/>
      <c r="GGR242" s="15"/>
      <c r="GGS242" s="15"/>
      <c r="GGT242" s="16"/>
      <c r="GGU242" s="16"/>
      <c r="GGV242" s="16"/>
      <c r="GGW242" s="16"/>
      <c r="GGX242" s="16"/>
      <c r="GGY242" s="15"/>
      <c r="GGZ242" s="15"/>
      <c r="GHA242" s="10"/>
      <c r="GHB242" s="10"/>
      <c r="GHC242" s="19"/>
      <c r="GHD242" s="19"/>
      <c r="GHG242" s="16"/>
      <c r="GHH242" s="15"/>
      <c r="GHI242" s="15"/>
      <c r="GHJ242" s="15"/>
      <c r="GHK242" s="16"/>
      <c r="GHL242" s="16"/>
      <c r="GHM242" s="16"/>
      <c r="GHN242" s="16"/>
      <c r="GHO242" s="16"/>
      <c r="GHP242" s="15"/>
      <c r="GHQ242" s="15"/>
      <c r="GHR242" s="10"/>
      <c r="GHS242" s="10"/>
      <c r="GHT242" s="19"/>
      <c r="GHU242" s="19"/>
      <c r="GHX242" s="16"/>
      <c r="GHY242" s="15"/>
      <c r="GHZ242" s="15"/>
      <c r="GIA242" s="15"/>
      <c r="GIB242" s="16"/>
      <c r="GIC242" s="16"/>
      <c r="GID242" s="16"/>
      <c r="GIE242" s="16"/>
      <c r="GIF242" s="16"/>
      <c r="GIG242" s="15"/>
      <c r="GIH242" s="15"/>
      <c r="GII242" s="10"/>
      <c r="GIJ242" s="10"/>
      <c r="GIK242" s="19"/>
      <c r="GIL242" s="19"/>
      <c r="GIO242" s="16"/>
      <c r="GIP242" s="15"/>
      <c r="GIQ242" s="15"/>
      <c r="GIR242" s="15"/>
      <c r="GIS242" s="16"/>
      <c r="GIT242" s="16"/>
      <c r="GIU242" s="16"/>
      <c r="GIV242" s="16"/>
      <c r="GIW242" s="16"/>
      <c r="GIX242" s="15"/>
      <c r="GIY242" s="15"/>
      <c r="GIZ242" s="10"/>
      <c r="GJA242" s="10"/>
      <c r="GJB242" s="19"/>
      <c r="GJC242" s="19"/>
      <c r="GJF242" s="16"/>
      <c r="GJG242" s="15"/>
      <c r="GJH242" s="15"/>
      <c r="GJI242" s="15"/>
      <c r="GJJ242" s="16"/>
      <c r="GJK242" s="16"/>
      <c r="GJL242" s="16"/>
      <c r="GJM242" s="16"/>
      <c r="GJN242" s="16"/>
      <c r="GJO242" s="15"/>
      <c r="GJP242" s="15"/>
      <c r="GJQ242" s="10"/>
      <c r="GJR242" s="10"/>
      <c r="GJS242" s="19"/>
      <c r="GJT242" s="19"/>
      <c r="GJW242" s="16"/>
      <c r="GJX242" s="15"/>
      <c r="GJY242" s="15"/>
      <c r="GJZ242" s="15"/>
      <c r="GKA242" s="16"/>
      <c r="GKB242" s="16"/>
      <c r="GKC242" s="16"/>
      <c r="GKD242" s="16"/>
      <c r="GKE242" s="16"/>
      <c r="GKF242" s="15"/>
      <c r="GKG242" s="15"/>
      <c r="GKH242" s="10"/>
      <c r="GKI242" s="10"/>
      <c r="GKJ242" s="19"/>
      <c r="GKK242" s="19"/>
      <c r="GKN242" s="16"/>
      <c r="GKO242" s="15"/>
      <c r="GKP242" s="15"/>
      <c r="GKQ242" s="15"/>
      <c r="GKR242" s="16"/>
      <c r="GKS242" s="16"/>
      <c r="GKT242" s="16"/>
      <c r="GKU242" s="16"/>
      <c r="GKV242" s="16"/>
      <c r="GKW242" s="15"/>
      <c r="GKX242" s="15"/>
      <c r="GKY242" s="10"/>
      <c r="GKZ242" s="10"/>
      <c r="GLA242" s="19"/>
      <c r="GLB242" s="19"/>
      <c r="GLE242" s="16"/>
      <c r="GLF242" s="15"/>
      <c r="GLG242" s="15"/>
      <c r="GLH242" s="15"/>
      <c r="GLI242" s="16"/>
      <c r="GLJ242" s="16"/>
      <c r="GLK242" s="16"/>
      <c r="GLL242" s="16"/>
      <c r="GLM242" s="16"/>
      <c r="GLN242" s="15"/>
      <c r="GLO242" s="15"/>
      <c r="GLP242" s="10"/>
      <c r="GLQ242" s="10"/>
      <c r="GLR242" s="19"/>
      <c r="GLS242" s="19"/>
      <c r="GLV242" s="16"/>
      <c r="GLW242" s="15"/>
      <c r="GLX242" s="15"/>
      <c r="GLY242" s="15"/>
      <c r="GLZ242" s="16"/>
      <c r="GMA242" s="16"/>
      <c r="GMB242" s="16"/>
      <c r="GMC242" s="16"/>
      <c r="GMD242" s="16"/>
      <c r="GME242" s="15"/>
      <c r="GMF242" s="15"/>
      <c r="GMG242" s="10"/>
      <c r="GMH242" s="10"/>
      <c r="GMI242" s="19"/>
      <c r="GMJ242" s="19"/>
      <c r="GMM242" s="16"/>
      <c r="GMN242" s="15"/>
      <c r="GMO242" s="15"/>
      <c r="GMP242" s="15"/>
      <c r="GMQ242" s="16"/>
      <c r="GMR242" s="16"/>
      <c r="GMS242" s="16"/>
      <c r="GMT242" s="16"/>
      <c r="GMU242" s="16"/>
      <c r="GMV242" s="15"/>
      <c r="GMW242" s="15"/>
      <c r="GMX242" s="10"/>
      <c r="GMY242" s="10"/>
      <c r="GMZ242" s="19"/>
      <c r="GNA242" s="19"/>
      <c r="GND242" s="16"/>
      <c r="GNE242" s="15"/>
      <c r="GNF242" s="15"/>
      <c r="GNG242" s="15"/>
      <c r="GNH242" s="16"/>
      <c r="GNI242" s="16"/>
      <c r="GNJ242" s="16"/>
      <c r="GNK242" s="16"/>
      <c r="GNL242" s="16"/>
      <c r="GNM242" s="15"/>
      <c r="GNN242" s="15"/>
      <c r="GNO242" s="10"/>
      <c r="GNP242" s="10"/>
      <c r="GNQ242" s="19"/>
      <c r="GNR242" s="19"/>
      <c r="GNU242" s="16"/>
      <c r="GNV242" s="15"/>
      <c r="GNW242" s="15"/>
      <c r="GNX242" s="15"/>
      <c r="GNY242" s="16"/>
      <c r="GNZ242" s="16"/>
      <c r="GOA242" s="16"/>
      <c r="GOB242" s="16"/>
      <c r="GOC242" s="16"/>
      <c r="GOD242" s="15"/>
      <c r="GOE242" s="15"/>
      <c r="GOF242" s="10"/>
      <c r="GOG242" s="10"/>
      <c r="GOH242" s="19"/>
      <c r="GOI242" s="19"/>
      <c r="GOL242" s="16"/>
      <c r="GOM242" s="15"/>
      <c r="GON242" s="15"/>
      <c r="GOO242" s="15"/>
      <c r="GOP242" s="16"/>
      <c r="GOQ242" s="16"/>
      <c r="GOR242" s="16"/>
      <c r="GOS242" s="16"/>
      <c r="GOT242" s="16"/>
      <c r="GOU242" s="15"/>
      <c r="GOV242" s="15"/>
      <c r="GOW242" s="10"/>
      <c r="GOX242" s="10"/>
      <c r="GOY242" s="19"/>
      <c r="GOZ242" s="19"/>
      <c r="GPC242" s="16"/>
      <c r="GPD242" s="15"/>
      <c r="GPE242" s="15"/>
      <c r="GPF242" s="15"/>
      <c r="GPG242" s="16"/>
      <c r="GPH242" s="16"/>
      <c r="GPI242" s="16"/>
      <c r="GPJ242" s="16"/>
      <c r="GPK242" s="16"/>
      <c r="GPL242" s="15"/>
      <c r="GPM242" s="15"/>
      <c r="GPN242" s="10"/>
      <c r="GPO242" s="10"/>
      <c r="GPP242" s="19"/>
      <c r="GPQ242" s="19"/>
      <c r="GPT242" s="16"/>
      <c r="GPU242" s="15"/>
      <c r="GPV242" s="15"/>
      <c r="GPW242" s="15"/>
      <c r="GPX242" s="16"/>
      <c r="GPY242" s="16"/>
      <c r="GPZ242" s="16"/>
      <c r="GQA242" s="16"/>
      <c r="GQB242" s="16"/>
      <c r="GQC242" s="15"/>
      <c r="GQD242" s="15"/>
      <c r="GQE242" s="10"/>
      <c r="GQF242" s="10"/>
      <c r="GQG242" s="19"/>
      <c r="GQH242" s="19"/>
      <c r="GQK242" s="16"/>
      <c r="GQL242" s="15"/>
      <c r="GQM242" s="15"/>
      <c r="GQN242" s="15"/>
      <c r="GQO242" s="16"/>
      <c r="GQP242" s="16"/>
      <c r="GQQ242" s="16"/>
      <c r="GQR242" s="16"/>
      <c r="GQS242" s="16"/>
      <c r="GQT242" s="15"/>
      <c r="GQU242" s="15"/>
      <c r="GQV242" s="10"/>
      <c r="GQW242" s="10"/>
      <c r="GQX242" s="19"/>
      <c r="GQY242" s="19"/>
      <c r="GRB242" s="16"/>
      <c r="GRC242" s="15"/>
      <c r="GRD242" s="15"/>
      <c r="GRE242" s="15"/>
      <c r="GRF242" s="16"/>
      <c r="GRG242" s="16"/>
      <c r="GRH242" s="16"/>
      <c r="GRI242" s="16"/>
      <c r="GRJ242" s="16"/>
      <c r="GRK242" s="15"/>
      <c r="GRL242" s="15"/>
      <c r="GRM242" s="10"/>
      <c r="GRN242" s="10"/>
      <c r="GRO242" s="19"/>
      <c r="GRP242" s="19"/>
      <c r="GRS242" s="16"/>
      <c r="GRT242" s="15"/>
      <c r="GRU242" s="15"/>
      <c r="GRV242" s="15"/>
      <c r="GRW242" s="16"/>
      <c r="GRX242" s="16"/>
      <c r="GRY242" s="16"/>
      <c r="GRZ242" s="16"/>
      <c r="GSA242" s="16"/>
      <c r="GSB242" s="15"/>
      <c r="GSC242" s="15"/>
      <c r="GSD242" s="10"/>
      <c r="GSE242" s="10"/>
      <c r="GSF242" s="19"/>
      <c r="GSG242" s="19"/>
      <c r="GSJ242" s="16"/>
      <c r="GSK242" s="15"/>
      <c r="GSL242" s="15"/>
      <c r="GSM242" s="15"/>
      <c r="GSN242" s="16"/>
      <c r="GSO242" s="16"/>
      <c r="GSP242" s="16"/>
      <c r="GSQ242" s="16"/>
      <c r="GSR242" s="16"/>
      <c r="GSS242" s="15"/>
      <c r="GST242" s="15"/>
      <c r="GSU242" s="10"/>
      <c r="GSV242" s="10"/>
      <c r="GSW242" s="19"/>
      <c r="GSX242" s="19"/>
      <c r="GTA242" s="16"/>
      <c r="GTB242" s="15"/>
      <c r="GTC242" s="15"/>
      <c r="GTD242" s="15"/>
      <c r="GTE242" s="16"/>
      <c r="GTF242" s="16"/>
      <c r="GTG242" s="16"/>
      <c r="GTH242" s="16"/>
      <c r="GTI242" s="16"/>
      <c r="GTJ242" s="15"/>
      <c r="GTK242" s="15"/>
      <c r="GTL242" s="10"/>
      <c r="GTM242" s="10"/>
      <c r="GTN242" s="19"/>
      <c r="GTO242" s="19"/>
      <c r="GTR242" s="16"/>
      <c r="GTS242" s="15"/>
      <c r="GTT242" s="15"/>
      <c r="GTU242" s="15"/>
      <c r="GTV242" s="16"/>
      <c r="GTW242" s="16"/>
      <c r="GTX242" s="16"/>
      <c r="GTY242" s="16"/>
      <c r="GTZ242" s="16"/>
      <c r="GUA242" s="15"/>
      <c r="GUB242" s="15"/>
      <c r="GUC242" s="10"/>
      <c r="GUD242" s="10"/>
      <c r="GUE242" s="19"/>
      <c r="GUF242" s="19"/>
      <c r="GUI242" s="16"/>
      <c r="GUJ242" s="15"/>
      <c r="GUK242" s="15"/>
      <c r="GUL242" s="15"/>
      <c r="GUM242" s="16"/>
      <c r="GUN242" s="16"/>
      <c r="GUO242" s="16"/>
      <c r="GUP242" s="16"/>
      <c r="GUQ242" s="16"/>
      <c r="GUR242" s="15"/>
      <c r="GUS242" s="15"/>
      <c r="GUT242" s="10"/>
      <c r="GUU242" s="10"/>
      <c r="GUV242" s="19"/>
      <c r="GUW242" s="19"/>
      <c r="GUZ242" s="16"/>
      <c r="GVA242" s="15"/>
      <c r="GVB242" s="15"/>
      <c r="GVC242" s="15"/>
      <c r="GVD242" s="16"/>
      <c r="GVE242" s="16"/>
      <c r="GVF242" s="16"/>
      <c r="GVG242" s="16"/>
      <c r="GVH242" s="16"/>
      <c r="GVI242" s="15"/>
      <c r="GVJ242" s="15"/>
      <c r="GVK242" s="10"/>
      <c r="GVL242" s="10"/>
      <c r="GVM242" s="19"/>
      <c r="GVN242" s="19"/>
      <c r="GVQ242" s="16"/>
      <c r="GVR242" s="15"/>
      <c r="GVS242" s="15"/>
      <c r="GVT242" s="15"/>
      <c r="GVU242" s="16"/>
      <c r="GVV242" s="16"/>
      <c r="GVW242" s="16"/>
      <c r="GVX242" s="16"/>
      <c r="GVY242" s="16"/>
      <c r="GVZ242" s="15"/>
      <c r="GWA242" s="15"/>
      <c r="GWB242" s="10"/>
      <c r="GWC242" s="10"/>
      <c r="GWD242" s="19"/>
      <c r="GWE242" s="19"/>
      <c r="GWH242" s="16"/>
      <c r="GWI242" s="15"/>
      <c r="GWJ242" s="15"/>
      <c r="GWK242" s="15"/>
      <c r="GWL242" s="16"/>
      <c r="GWM242" s="16"/>
      <c r="GWN242" s="16"/>
      <c r="GWO242" s="16"/>
      <c r="GWP242" s="16"/>
      <c r="GWQ242" s="15"/>
      <c r="GWR242" s="15"/>
      <c r="GWS242" s="10"/>
      <c r="GWT242" s="10"/>
      <c r="GWU242" s="19"/>
      <c r="GWV242" s="19"/>
      <c r="GWY242" s="16"/>
      <c r="GWZ242" s="15"/>
      <c r="GXA242" s="15"/>
      <c r="GXB242" s="15"/>
      <c r="GXC242" s="16"/>
      <c r="GXD242" s="16"/>
      <c r="GXE242" s="16"/>
      <c r="GXF242" s="16"/>
      <c r="GXG242" s="16"/>
      <c r="GXH242" s="15"/>
      <c r="GXI242" s="15"/>
      <c r="GXJ242" s="10"/>
      <c r="GXK242" s="10"/>
      <c r="GXL242" s="19"/>
      <c r="GXM242" s="19"/>
      <c r="GXP242" s="16"/>
      <c r="GXQ242" s="15"/>
      <c r="GXR242" s="15"/>
      <c r="GXS242" s="15"/>
      <c r="GXT242" s="16"/>
      <c r="GXU242" s="16"/>
      <c r="GXV242" s="16"/>
      <c r="GXW242" s="16"/>
      <c r="GXX242" s="16"/>
      <c r="GXY242" s="15"/>
      <c r="GXZ242" s="15"/>
      <c r="GYA242" s="10"/>
      <c r="GYB242" s="10"/>
      <c r="GYC242" s="19"/>
      <c r="GYD242" s="19"/>
      <c r="GYG242" s="16"/>
      <c r="GYH242" s="15"/>
      <c r="GYI242" s="15"/>
      <c r="GYJ242" s="15"/>
      <c r="GYK242" s="16"/>
      <c r="GYL242" s="16"/>
      <c r="GYM242" s="16"/>
      <c r="GYN242" s="16"/>
      <c r="GYO242" s="16"/>
      <c r="GYP242" s="15"/>
      <c r="GYQ242" s="15"/>
      <c r="GYR242" s="10"/>
      <c r="GYS242" s="10"/>
      <c r="GYT242" s="19"/>
      <c r="GYU242" s="19"/>
      <c r="GYX242" s="16"/>
      <c r="GYY242" s="15"/>
      <c r="GYZ242" s="15"/>
      <c r="GZA242" s="15"/>
      <c r="GZB242" s="16"/>
      <c r="GZC242" s="16"/>
      <c r="GZD242" s="16"/>
      <c r="GZE242" s="16"/>
      <c r="GZF242" s="16"/>
      <c r="GZG242" s="15"/>
      <c r="GZH242" s="15"/>
      <c r="GZI242" s="10"/>
      <c r="GZJ242" s="10"/>
      <c r="GZK242" s="19"/>
      <c r="GZL242" s="19"/>
      <c r="GZO242" s="16"/>
      <c r="GZP242" s="15"/>
      <c r="GZQ242" s="15"/>
      <c r="GZR242" s="15"/>
      <c r="GZS242" s="16"/>
      <c r="GZT242" s="16"/>
      <c r="GZU242" s="16"/>
      <c r="GZV242" s="16"/>
      <c r="GZW242" s="16"/>
      <c r="GZX242" s="15"/>
      <c r="GZY242" s="15"/>
      <c r="GZZ242" s="10"/>
      <c r="HAA242" s="10"/>
      <c r="HAB242" s="19"/>
      <c r="HAC242" s="19"/>
      <c r="HAF242" s="16"/>
      <c r="HAG242" s="15"/>
      <c r="HAH242" s="15"/>
      <c r="HAI242" s="15"/>
      <c r="HAJ242" s="16"/>
      <c r="HAK242" s="16"/>
      <c r="HAL242" s="16"/>
      <c r="HAM242" s="16"/>
      <c r="HAN242" s="16"/>
      <c r="HAO242" s="15"/>
      <c r="HAP242" s="15"/>
      <c r="HAQ242" s="10"/>
      <c r="HAR242" s="10"/>
      <c r="HAS242" s="19"/>
      <c r="HAT242" s="19"/>
      <c r="HAW242" s="16"/>
      <c r="HAX242" s="15"/>
      <c r="HAY242" s="15"/>
      <c r="HAZ242" s="15"/>
      <c r="HBA242" s="16"/>
      <c r="HBB242" s="16"/>
      <c r="HBC242" s="16"/>
      <c r="HBD242" s="16"/>
      <c r="HBE242" s="16"/>
      <c r="HBF242" s="15"/>
      <c r="HBG242" s="15"/>
      <c r="HBH242" s="10"/>
      <c r="HBI242" s="10"/>
      <c r="HBJ242" s="19"/>
      <c r="HBK242" s="19"/>
      <c r="HBN242" s="16"/>
      <c r="HBO242" s="15"/>
      <c r="HBP242" s="15"/>
      <c r="HBQ242" s="15"/>
      <c r="HBR242" s="16"/>
      <c r="HBS242" s="16"/>
      <c r="HBT242" s="16"/>
      <c r="HBU242" s="16"/>
      <c r="HBV242" s="16"/>
      <c r="HBW242" s="15"/>
      <c r="HBX242" s="15"/>
      <c r="HBY242" s="10"/>
      <c r="HBZ242" s="10"/>
      <c r="HCA242" s="19"/>
      <c r="HCB242" s="19"/>
      <c r="HCE242" s="16"/>
      <c r="HCF242" s="15"/>
      <c r="HCG242" s="15"/>
      <c r="HCH242" s="15"/>
      <c r="HCI242" s="16"/>
      <c r="HCJ242" s="16"/>
      <c r="HCK242" s="16"/>
      <c r="HCL242" s="16"/>
      <c r="HCM242" s="16"/>
      <c r="HCN242" s="15"/>
      <c r="HCO242" s="15"/>
      <c r="HCP242" s="10"/>
      <c r="HCQ242" s="10"/>
      <c r="HCR242" s="19"/>
      <c r="HCS242" s="19"/>
      <c r="HCV242" s="16"/>
      <c r="HCW242" s="15"/>
      <c r="HCX242" s="15"/>
      <c r="HCY242" s="15"/>
      <c r="HCZ242" s="16"/>
      <c r="HDA242" s="16"/>
      <c r="HDB242" s="16"/>
      <c r="HDC242" s="16"/>
      <c r="HDD242" s="16"/>
      <c r="HDE242" s="15"/>
      <c r="HDF242" s="15"/>
      <c r="HDG242" s="10"/>
      <c r="HDH242" s="10"/>
      <c r="HDI242" s="19"/>
      <c r="HDJ242" s="19"/>
      <c r="HDM242" s="16"/>
      <c r="HDN242" s="15"/>
      <c r="HDO242" s="15"/>
      <c r="HDP242" s="15"/>
      <c r="HDQ242" s="16"/>
      <c r="HDR242" s="16"/>
      <c r="HDS242" s="16"/>
      <c r="HDT242" s="16"/>
      <c r="HDU242" s="16"/>
      <c r="HDV242" s="15"/>
      <c r="HDW242" s="15"/>
      <c r="HDX242" s="10"/>
      <c r="HDY242" s="10"/>
      <c r="HDZ242" s="19"/>
      <c r="HEA242" s="19"/>
      <c r="HED242" s="16"/>
      <c r="HEE242" s="15"/>
      <c r="HEF242" s="15"/>
      <c r="HEG242" s="15"/>
      <c r="HEH242" s="16"/>
      <c r="HEI242" s="16"/>
      <c r="HEJ242" s="16"/>
      <c r="HEK242" s="16"/>
      <c r="HEL242" s="16"/>
      <c r="HEM242" s="15"/>
      <c r="HEN242" s="15"/>
      <c r="HEO242" s="10"/>
      <c r="HEP242" s="10"/>
      <c r="HEQ242" s="19"/>
      <c r="HER242" s="19"/>
      <c r="HEU242" s="16"/>
      <c r="HEV242" s="15"/>
      <c r="HEW242" s="15"/>
      <c r="HEX242" s="15"/>
      <c r="HEY242" s="16"/>
      <c r="HEZ242" s="16"/>
      <c r="HFA242" s="16"/>
      <c r="HFB242" s="16"/>
      <c r="HFC242" s="16"/>
      <c r="HFD242" s="15"/>
      <c r="HFE242" s="15"/>
      <c r="HFF242" s="10"/>
      <c r="HFG242" s="10"/>
      <c r="HFH242" s="19"/>
      <c r="HFI242" s="19"/>
      <c r="HFL242" s="16"/>
      <c r="HFM242" s="15"/>
      <c r="HFN242" s="15"/>
      <c r="HFO242" s="15"/>
      <c r="HFP242" s="16"/>
      <c r="HFQ242" s="16"/>
      <c r="HFR242" s="16"/>
      <c r="HFS242" s="16"/>
      <c r="HFT242" s="16"/>
      <c r="HFU242" s="15"/>
      <c r="HFV242" s="15"/>
      <c r="HFW242" s="10"/>
      <c r="HFX242" s="10"/>
      <c r="HFY242" s="19"/>
      <c r="HFZ242" s="19"/>
      <c r="HGC242" s="16"/>
      <c r="HGD242" s="15"/>
      <c r="HGE242" s="15"/>
      <c r="HGF242" s="15"/>
      <c r="HGG242" s="16"/>
      <c r="HGH242" s="16"/>
      <c r="HGI242" s="16"/>
      <c r="HGJ242" s="16"/>
      <c r="HGK242" s="16"/>
      <c r="HGL242" s="15"/>
      <c r="HGM242" s="15"/>
      <c r="HGN242" s="10"/>
      <c r="HGO242" s="10"/>
      <c r="HGP242" s="19"/>
      <c r="HGQ242" s="19"/>
      <c r="HGT242" s="16"/>
      <c r="HGU242" s="15"/>
      <c r="HGV242" s="15"/>
      <c r="HGW242" s="15"/>
      <c r="HGX242" s="16"/>
      <c r="HGY242" s="16"/>
      <c r="HGZ242" s="16"/>
      <c r="HHA242" s="16"/>
      <c r="HHB242" s="16"/>
      <c r="HHC242" s="15"/>
      <c r="HHD242" s="15"/>
      <c r="HHE242" s="10"/>
      <c r="HHF242" s="10"/>
      <c r="HHG242" s="19"/>
      <c r="HHH242" s="19"/>
      <c r="HHK242" s="16"/>
      <c r="HHL242" s="15"/>
      <c r="HHM242" s="15"/>
      <c r="HHN242" s="15"/>
      <c r="HHO242" s="16"/>
      <c r="HHP242" s="16"/>
      <c r="HHQ242" s="16"/>
      <c r="HHR242" s="16"/>
      <c r="HHS242" s="16"/>
      <c r="HHT242" s="15"/>
      <c r="HHU242" s="15"/>
      <c r="HHV242" s="10"/>
      <c r="HHW242" s="10"/>
      <c r="HHX242" s="19"/>
      <c r="HHY242" s="19"/>
      <c r="HIB242" s="16"/>
      <c r="HIC242" s="15"/>
      <c r="HID242" s="15"/>
      <c r="HIE242" s="15"/>
      <c r="HIF242" s="16"/>
      <c r="HIG242" s="16"/>
      <c r="HIH242" s="16"/>
      <c r="HII242" s="16"/>
      <c r="HIJ242" s="16"/>
      <c r="HIK242" s="15"/>
      <c r="HIL242" s="15"/>
      <c r="HIM242" s="10"/>
      <c r="HIN242" s="10"/>
      <c r="HIO242" s="19"/>
      <c r="HIP242" s="19"/>
      <c r="HIS242" s="16"/>
      <c r="HIT242" s="15"/>
      <c r="HIU242" s="15"/>
      <c r="HIV242" s="15"/>
      <c r="HIW242" s="16"/>
      <c r="HIX242" s="16"/>
      <c r="HIY242" s="16"/>
      <c r="HIZ242" s="16"/>
      <c r="HJA242" s="16"/>
      <c r="HJB242" s="15"/>
      <c r="HJC242" s="15"/>
      <c r="HJD242" s="10"/>
      <c r="HJE242" s="10"/>
      <c r="HJF242" s="19"/>
      <c r="HJG242" s="19"/>
      <c r="HJJ242" s="16"/>
      <c r="HJK242" s="15"/>
      <c r="HJL242" s="15"/>
      <c r="HJM242" s="15"/>
      <c r="HJN242" s="16"/>
      <c r="HJO242" s="16"/>
      <c r="HJP242" s="16"/>
      <c r="HJQ242" s="16"/>
      <c r="HJR242" s="16"/>
      <c r="HJS242" s="15"/>
      <c r="HJT242" s="15"/>
      <c r="HJU242" s="10"/>
      <c r="HJV242" s="10"/>
      <c r="HJW242" s="19"/>
      <c r="HJX242" s="19"/>
      <c r="HKA242" s="16"/>
      <c r="HKB242" s="15"/>
      <c r="HKC242" s="15"/>
      <c r="HKD242" s="15"/>
      <c r="HKE242" s="16"/>
      <c r="HKF242" s="16"/>
      <c r="HKG242" s="16"/>
      <c r="HKH242" s="16"/>
      <c r="HKI242" s="16"/>
      <c r="HKJ242" s="15"/>
      <c r="HKK242" s="15"/>
      <c r="HKL242" s="10"/>
      <c r="HKM242" s="10"/>
      <c r="HKN242" s="19"/>
      <c r="HKO242" s="19"/>
      <c r="HKR242" s="16"/>
      <c r="HKS242" s="15"/>
      <c r="HKT242" s="15"/>
      <c r="HKU242" s="15"/>
      <c r="HKV242" s="16"/>
      <c r="HKW242" s="16"/>
      <c r="HKX242" s="16"/>
      <c r="HKY242" s="16"/>
      <c r="HKZ242" s="16"/>
      <c r="HLA242" s="15"/>
      <c r="HLB242" s="15"/>
      <c r="HLC242" s="10"/>
      <c r="HLD242" s="10"/>
      <c r="HLE242" s="19"/>
      <c r="HLF242" s="19"/>
      <c r="HLI242" s="16"/>
      <c r="HLJ242" s="15"/>
      <c r="HLK242" s="15"/>
      <c r="HLL242" s="15"/>
      <c r="HLM242" s="16"/>
      <c r="HLN242" s="16"/>
      <c r="HLO242" s="16"/>
      <c r="HLP242" s="16"/>
      <c r="HLQ242" s="16"/>
      <c r="HLR242" s="15"/>
      <c r="HLS242" s="15"/>
      <c r="HLT242" s="10"/>
      <c r="HLU242" s="10"/>
      <c r="HLV242" s="19"/>
      <c r="HLW242" s="19"/>
      <c r="HLZ242" s="16"/>
      <c r="HMA242" s="15"/>
      <c r="HMB242" s="15"/>
      <c r="HMC242" s="15"/>
      <c r="HMD242" s="16"/>
      <c r="HME242" s="16"/>
      <c r="HMF242" s="16"/>
      <c r="HMG242" s="16"/>
      <c r="HMH242" s="16"/>
      <c r="HMI242" s="15"/>
      <c r="HMJ242" s="15"/>
      <c r="HMK242" s="10"/>
      <c r="HML242" s="10"/>
      <c r="HMM242" s="19"/>
      <c r="HMN242" s="19"/>
      <c r="HMQ242" s="16"/>
      <c r="HMR242" s="15"/>
      <c r="HMS242" s="15"/>
      <c r="HMT242" s="15"/>
      <c r="HMU242" s="16"/>
      <c r="HMV242" s="16"/>
      <c r="HMW242" s="16"/>
      <c r="HMX242" s="16"/>
      <c r="HMY242" s="16"/>
      <c r="HMZ242" s="15"/>
      <c r="HNA242" s="15"/>
      <c r="HNB242" s="10"/>
      <c r="HNC242" s="10"/>
      <c r="HND242" s="19"/>
      <c r="HNE242" s="19"/>
      <c r="HNH242" s="16"/>
      <c r="HNI242" s="15"/>
      <c r="HNJ242" s="15"/>
      <c r="HNK242" s="15"/>
      <c r="HNL242" s="16"/>
      <c r="HNM242" s="16"/>
      <c r="HNN242" s="16"/>
      <c r="HNO242" s="16"/>
      <c r="HNP242" s="16"/>
      <c r="HNQ242" s="15"/>
      <c r="HNR242" s="15"/>
      <c r="HNS242" s="10"/>
      <c r="HNT242" s="10"/>
      <c r="HNU242" s="19"/>
      <c r="HNV242" s="19"/>
      <c r="HNY242" s="16"/>
      <c r="HNZ242" s="15"/>
      <c r="HOA242" s="15"/>
      <c r="HOB242" s="15"/>
      <c r="HOC242" s="16"/>
      <c r="HOD242" s="16"/>
      <c r="HOE242" s="16"/>
      <c r="HOF242" s="16"/>
      <c r="HOG242" s="16"/>
      <c r="HOH242" s="15"/>
      <c r="HOI242" s="15"/>
      <c r="HOJ242" s="10"/>
      <c r="HOK242" s="10"/>
      <c r="HOL242" s="19"/>
      <c r="HOM242" s="19"/>
      <c r="HOP242" s="16"/>
      <c r="HOQ242" s="15"/>
      <c r="HOR242" s="15"/>
      <c r="HOS242" s="15"/>
      <c r="HOT242" s="16"/>
      <c r="HOU242" s="16"/>
      <c r="HOV242" s="16"/>
      <c r="HOW242" s="16"/>
      <c r="HOX242" s="16"/>
      <c r="HOY242" s="15"/>
      <c r="HOZ242" s="15"/>
      <c r="HPA242" s="10"/>
      <c r="HPB242" s="10"/>
      <c r="HPC242" s="19"/>
      <c r="HPD242" s="19"/>
      <c r="HPG242" s="16"/>
      <c r="HPH242" s="15"/>
      <c r="HPI242" s="15"/>
      <c r="HPJ242" s="15"/>
      <c r="HPK242" s="16"/>
      <c r="HPL242" s="16"/>
      <c r="HPM242" s="16"/>
      <c r="HPN242" s="16"/>
      <c r="HPO242" s="16"/>
      <c r="HPP242" s="15"/>
      <c r="HPQ242" s="15"/>
      <c r="HPR242" s="10"/>
      <c r="HPS242" s="10"/>
      <c r="HPT242" s="19"/>
      <c r="HPU242" s="19"/>
      <c r="HPX242" s="16"/>
      <c r="HPY242" s="15"/>
      <c r="HPZ242" s="15"/>
      <c r="HQA242" s="15"/>
      <c r="HQB242" s="16"/>
      <c r="HQC242" s="16"/>
      <c r="HQD242" s="16"/>
      <c r="HQE242" s="16"/>
      <c r="HQF242" s="16"/>
      <c r="HQG242" s="15"/>
      <c r="HQH242" s="15"/>
      <c r="HQI242" s="10"/>
      <c r="HQJ242" s="10"/>
      <c r="HQK242" s="19"/>
      <c r="HQL242" s="19"/>
      <c r="HQO242" s="16"/>
      <c r="HQP242" s="15"/>
      <c r="HQQ242" s="15"/>
      <c r="HQR242" s="15"/>
      <c r="HQS242" s="16"/>
      <c r="HQT242" s="16"/>
      <c r="HQU242" s="16"/>
      <c r="HQV242" s="16"/>
      <c r="HQW242" s="16"/>
      <c r="HQX242" s="15"/>
      <c r="HQY242" s="15"/>
      <c r="HQZ242" s="10"/>
      <c r="HRA242" s="10"/>
      <c r="HRB242" s="19"/>
      <c r="HRC242" s="19"/>
      <c r="HRF242" s="16"/>
      <c r="HRG242" s="15"/>
      <c r="HRH242" s="15"/>
      <c r="HRI242" s="15"/>
      <c r="HRJ242" s="16"/>
      <c r="HRK242" s="16"/>
      <c r="HRL242" s="16"/>
      <c r="HRM242" s="16"/>
      <c r="HRN242" s="16"/>
      <c r="HRO242" s="15"/>
      <c r="HRP242" s="15"/>
      <c r="HRQ242" s="10"/>
      <c r="HRR242" s="10"/>
      <c r="HRS242" s="19"/>
      <c r="HRT242" s="19"/>
      <c r="HRW242" s="16"/>
      <c r="HRX242" s="15"/>
      <c r="HRY242" s="15"/>
      <c r="HRZ242" s="15"/>
      <c r="HSA242" s="16"/>
      <c r="HSB242" s="16"/>
      <c r="HSC242" s="16"/>
      <c r="HSD242" s="16"/>
      <c r="HSE242" s="16"/>
      <c r="HSF242" s="15"/>
      <c r="HSG242" s="15"/>
      <c r="HSH242" s="10"/>
      <c r="HSI242" s="10"/>
      <c r="HSJ242" s="19"/>
      <c r="HSK242" s="19"/>
      <c r="HSN242" s="16"/>
      <c r="HSO242" s="15"/>
      <c r="HSP242" s="15"/>
      <c r="HSQ242" s="15"/>
      <c r="HSR242" s="16"/>
      <c r="HSS242" s="16"/>
      <c r="HST242" s="16"/>
      <c r="HSU242" s="16"/>
      <c r="HSV242" s="16"/>
      <c r="HSW242" s="15"/>
      <c r="HSX242" s="15"/>
      <c r="HSY242" s="10"/>
      <c r="HSZ242" s="10"/>
      <c r="HTA242" s="19"/>
      <c r="HTB242" s="19"/>
      <c r="HTE242" s="16"/>
      <c r="HTF242" s="15"/>
      <c r="HTG242" s="15"/>
      <c r="HTH242" s="15"/>
      <c r="HTI242" s="16"/>
      <c r="HTJ242" s="16"/>
      <c r="HTK242" s="16"/>
      <c r="HTL242" s="16"/>
      <c r="HTM242" s="16"/>
      <c r="HTN242" s="15"/>
      <c r="HTO242" s="15"/>
      <c r="HTP242" s="10"/>
      <c r="HTQ242" s="10"/>
      <c r="HTR242" s="19"/>
      <c r="HTS242" s="19"/>
      <c r="HTV242" s="16"/>
      <c r="HTW242" s="15"/>
      <c r="HTX242" s="15"/>
      <c r="HTY242" s="15"/>
      <c r="HTZ242" s="16"/>
      <c r="HUA242" s="16"/>
      <c r="HUB242" s="16"/>
      <c r="HUC242" s="16"/>
      <c r="HUD242" s="16"/>
      <c r="HUE242" s="15"/>
      <c r="HUF242" s="15"/>
      <c r="HUG242" s="10"/>
      <c r="HUH242" s="10"/>
      <c r="HUI242" s="19"/>
      <c r="HUJ242" s="19"/>
      <c r="HUM242" s="16"/>
      <c r="HUN242" s="15"/>
      <c r="HUO242" s="15"/>
      <c r="HUP242" s="15"/>
      <c r="HUQ242" s="16"/>
      <c r="HUR242" s="16"/>
      <c r="HUS242" s="16"/>
      <c r="HUT242" s="16"/>
      <c r="HUU242" s="16"/>
      <c r="HUV242" s="15"/>
      <c r="HUW242" s="15"/>
      <c r="HUX242" s="10"/>
      <c r="HUY242" s="10"/>
      <c r="HUZ242" s="19"/>
      <c r="HVA242" s="19"/>
      <c r="HVD242" s="16"/>
      <c r="HVE242" s="15"/>
      <c r="HVF242" s="15"/>
      <c r="HVG242" s="15"/>
      <c r="HVH242" s="16"/>
      <c r="HVI242" s="16"/>
      <c r="HVJ242" s="16"/>
      <c r="HVK242" s="16"/>
      <c r="HVL242" s="16"/>
      <c r="HVM242" s="15"/>
      <c r="HVN242" s="15"/>
      <c r="HVO242" s="10"/>
      <c r="HVP242" s="10"/>
      <c r="HVQ242" s="19"/>
      <c r="HVR242" s="19"/>
      <c r="HVU242" s="16"/>
      <c r="HVV242" s="15"/>
      <c r="HVW242" s="15"/>
      <c r="HVX242" s="15"/>
      <c r="HVY242" s="16"/>
      <c r="HVZ242" s="16"/>
      <c r="HWA242" s="16"/>
      <c r="HWB242" s="16"/>
      <c r="HWC242" s="16"/>
      <c r="HWD242" s="15"/>
      <c r="HWE242" s="15"/>
      <c r="HWF242" s="10"/>
      <c r="HWG242" s="10"/>
      <c r="HWH242" s="19"/>
      <c r="HWI242" s="19"/>
      <c r="HWL242" s="16"/>
      <c r="HWM242" s="15"/>
      <c r="HWN242" s="15"/>
      <c r="HWO242" s="15"/>
      <c r="HWP242" s="16"/>
      <c r="HWQ242" s="16"/>
      <c r="HWR242" s="16"/>
      <c r="HWS242" s="16"/>
      <c r="HWT242" s="16"/>
      <c r="HWU242" s="15"/>
      <c r="HWV242" s="15"/>
      <c r="HWW242" s="10"/>
      <c r="HWX242" s="10"/>
      <c r="HWY242" s="19"/>
      <c r="HWZ242" s="19"/>
      <c r="HXC242" s="16"/>
      <c r="HXD242" s="15"/>
      <c r="HXE242" s="15"/>
      <c r="HXF242" s="15"/>
      <c r="HXG242" s="16"/>
      <c r="HXH242" s="16"/>
      <c r="HXI242" s="16"/>
      <c r="HXJ242" s="16"/>
      <c r="HXK242" s="16"/>
      <c r="HXL242" s="15"/>
      <c r="HXM242" s="15"/>
      <c r="HXN242" s="10"/>
      <c r="HXO242" s="10"/>
      <c r="HXP242" s="19"/>
      <c r="HXQ242" s="19"/>
      <c r="HXT242" s="16"/>
      <c r="HXU242" s="15"/>
      <c r="HXV242" s="15"/>
      <c r="HXW242" s="15"/>
      <c r="HXX242" s="16"/>
      <c r="HXY242" s="16"/>
      <c r="HXZ242" s="16"/>
      <c r="HYA242" s="16"/>
      <c r="HYB242" s="16"/>
      <c r="HYC242" s="15"/>
      <c r="HYD242" s="15"/>
      <c r="HYE242" s="10"/>
      <c r="HYF242" s="10"/>
      <c r="HYG242" s="19"/>
      <c r="HYH242" s="19"/>
      <c r="HYK242" s="16"/>
      <c r="HYL242" s="15"/>
      <c r="HYM242" s="15"/>
      <c r="HYN242" s="15"/>
      <c r="HYO242" s="16"/>
      <c r="HYP242" s="16"/>
      <c r="HYQ242" s="16"/>
      <c r="HYR242" s="16"/>
      <c r="HYS242" s="16"/>
      <c r="HYT242" s="15"/>
      <c r="HYU242" s="15"/>
      <c r="HYV242" s="10"/>
      <c r="HYW242" s="10"/>
      <c r="HYX242" s="19"/>
      <c r="HYY242" s="19"/>
      <c r="HZB242" s="16"/>
      <c r="HZC242" s="15"/>
      <c r="HZD242" s="15"/>
      <c r="HZE242" s="15"/>
      <c r="HZF242" s="16"/>
      <c r="HZG242" s="16"/>
      <c r="HZH242" s="16"/>
      <c r="HZI242" s="16"/>
      <c r="HZJ242" s="16"/>
      <c r="HZK242" s="15"/>
      <c r="HZL242" s="15"/>
      <c r="HZM242" s="10"/>
      <c r="HZN242" s="10"/>
      <c r="HZO242" s="19"/>
      <c r="HZP242" s="19"/>
      <c r="HZS242" s="16"/>
      <c r="HZT242" s="15"/>
      <c r="HZU242" s="15"/>
      <c r="HZV242" s="15"/>
      <c r="HZW242" s="16"/>
      <c r="HZX242" s="16"/>
      <c r="HZY242" s="16"/>
      <c r="HZZ242" s="16"/>
      <c r="IAA242" s="16"/>
      <c r="IAB242" s="15"/>
      <c r="IAC242" s="15"/>
      <c r="IAD242" s="10"/>
      <c r="IAE242" s="10"/>
      <c r="IAF242" s="19"/>
      <c r="IAG242" s="19"/>
      <c r="IAJ242" s="16"/>
      <c r="IAK242" s="15"/>
      <c r="IAL242" s="15"/>
      <c r="IAM242" s="15"/>
      <c r="IAN242" s="16"/>
      <c r="IAO242" s="16"/>
      <c r="IAP242" s="16"/>
      <c r="IAQ242" s="16"/>
      <c r="IAR242" s="16"/>
      <c r="IAS242" s="15"/>
      <c r="IAT242" s="15"/>
      <c r="IAU242" s="10"/>
      <c r="IAV242" s="10"/>
      <c r="IAW242" s="19"/>
      <c r="IAX242" s="19"/>
      <c r="IBA242" s="16"/>
      <c r="IBB242" s="15"/>
      <c r="IBC242" s="15"/>
      <c r="IBD242" s="15"/>
      <c r="IBE242" s="16"/>
      <c r="IBF242" s="16"/>
      <c r="IBG242" s="16"/>
      <c r="IBH242" s="16"/>
      <c r="IBI242" s="16"/>
      <c r="IBJ242" s="15"/>
      <c r="IBK242" s="15"/>
      <c r="IBL242" s="10"/>
      <c r="IBM242" s="10"/>
      <c r="IBN242" s="19"/>
      <c r="IBO242" s="19"/>
      <c r="IBR242" s="16"/>
      <c r="IBS242" s="15"/>
      <c r="IBT242" s="15"/>
      <c r="IBU242" s="15"/>
      <c r="IBV242" s="16"/>
      <c r="IBW242" s="16"/>
      <c r="IBX242" s="16"/>
      <c r="IBY242" s="16"/>
      <c r="IBZ242" s="16"/>
      <c r="ICA242" s="15"/>
      <c r="ICB242" s="15"/>
      <c r="ICC242" s="10"/>
      <c r="ICD242" s="10"/>
      <c r="ICE242" s="19"/>
      <c r="ICF242" s="19"/>
      <c r="ICI242" s="16"/>
      <c r="ICJ242" s="15"/>
      <c r="ICK242" s="15"/>
      <c r="ICL242" s="15"/>
      <c r="ICM242" s="16"/>
      <c r="ICN242" s="16"/>
      <c r="ICO242" s="16"/>
      <c r="ICP242" s="16"/>
      <c r="ICQ242" s="16"/>
      <c r="ICR242" s="15"/>
      <c r="ICS242" s="15"/>
      <c r="ICT242" s="10"/>
      <c r="ICU242" s="10"/>
      <c r="ICV242" s="19"/>
      <c r="ICW242" s="19"/>
      <c r="ICZ242" s="16"/>
      <c r="IDA242" s="15"/>
      <c r="IDB242" s="15"/>
      <c r="IDC242" s="15"/>
      <c r="IDD242" s="16"/>
      <c r="IDE242" s="16"/>
      <c r="IDF242" s="16"/>
      <c r="IDG242" s="16"/>
      <c r="IDH242" s="16"/>
      <c r="IDI242" s="15"/>
      <c r="IDJ242" s="15"/>
      <c r="IDK242" s="10"/>
      <c r="IDL242" s="10"/>
      <c r="IDM242" s="19"/>
      <c r="IDN242" s="19"/>
      <c r="IDQ242" s="16"/>
      <c r="IDR242" s="15"/>
      <c r="IDS242" s="15"/>
      <c r="IDT242" s="15"/>
      <c r="IDU242" s="16"/>
      <c r="IDV242" s="16"/>
      <c r="IDW242" s="16"/>
      <c r="IDX242" s="16"/>
      <c r="IDY242" s="16"/>
      <c r="IDZ242" s="15"/>
      <c r="IEA242" s="15"/>
      <c r="IEB242" s="10"/>
      <c r="IEC242" s="10"/>
      <c r="IED242" s="19"/>
      <c r="IEE242" s="19"/>
      <c r="IEH242" s="16"/>
      <c r="IEI242" s="15"/>
      <c r="IEJ242" s="15"/>
      <c r="IEK242" s="15"/>
      <c r="IEL242" s="16"/>
      <c r="IEM242" s="16"/>
      <c r="IEN242" s="16"/>
      <c r="IEO242" s="16"/>
      <c r="IEP242" s="16"/>
      <c r="IEQ242" s="15"/>
      <c r="IER242" s="15"/>
      <c r="IES242" s="10"/>
      <c r="IET242" s="10"/>
      <c r="IEU242" s="19"/>
      <c r="IEV242" s="19"/>
      <c r="IEY242" s="16"/>
      <c r="IEZ242" s="15"/>
      <c r="IFA242" s="15"/>
      <c r="IFB242" s="15"/>
      <c r="IFC242" s="16"/>
      <c r="IFD242" s="16"/>
      <c r="IFE242" s="16"/>
      <c r="IFF242" s="16"/>
      <c r="IFG242" s="16"/>
      <c r="IFH242" s="15"/>
      <c r="IFI242" s="15"/>
      <c r="IFJ242" s="10"/>
      <c r="IFK242" s="10"/>
      <c r="IFL242" s="19"/>
      <c r="IFM242" s="19"/>
      <c r="IFP242" s="16"/>
      <c r="IFQ242" s="15"/>
      <c r="IFR242" s="15"/>
      <c r="IFS242" s="15"/>
      <c r="IFT242" s="16"/>
      <c r="IFU242" s="16"/>
      <c r="IFV242" s="16"/>
      <c r="IFW242" s="16"/>
      <c r="IFX242" s="16"/>
      <c r="IFY242" s="15"/>
      <c r="IFZ242" s="15"/>
      <c r="IGA242" s="10"/>
      <c r="IGB242" s="10"/>
      <c r="IGC242" s="19"/>
      <c r="IGD242" s="19"/>
      <c r="IGG242" s="16"/>
      <c r="IGH242" s="15"/>
      <c r="IGI242" s="15"/>
      <c r="IGJ242" s="15"/>
      <c r="IGK242" s="16"/>
      <c r="IGL242" s="16"/>
      <c r="IGM242" s="16"/>
      <c r="IGN242" s="16"/>
      <c r="IGO242" s="16"/>
      <c r="IGP242" s="15"/>
      <c r="IGQ242" s="15"/>
      <c r="IGR242" s="10"/>
      <c r="IGS242" s="10"/>
      <c r="IGT242" s="19"/>
      <c r="IGU242" s="19"/>
      <c r="IGX242" s="16"/>
      <c r="IGY242" s="15"/>
      <c r="IGZ242" s="15"/>
      <c r="IHA242" s="15"/>
      <c r="IHB242" s="16"/>
      <c r="IHC242" s="16"/>
      <c r="IHD242" s="16"/>
      <c r="IHE242" s="16"/>
      <c r="IHF242" s="16"/>
      <c r="IHG242" s="15"/>
      <c r="IHH242" s="15"/>
      <c r="IHI242" s="10"/>
      <c r="IHJ242" s="10"/>
      <c r="IHK242" s="19"/>
      <c r="IHL242" s="19"/>
      <c r="IHO242" s="16"/>
      <c r="IHP242" s="15"/>
      <c r="IHQ242" s="15"/>
      <c r="IHR242" s="15"/>
      <c r="IHS242" s="16"/>
      <c r="IHT242" s="16"/>
      <c r="IHU242" s="16"/>
      <c r="IHV242" s="16"/>
      <c r="IHW242" s="16"/>
      <c r="IHX242" s="15"/>
      <c r="IHY242" s="15"/>
      <c r="IHZ242" s="10"/>
      <c r="IIA242" s="10"/>
      <c r="IIB242" s="19"/>
      <c r="IIC242" s="19"/>
      <c r="IIF242" s="16"/>
      <c r="IIG242" s="15"/>
      <c r="IIH242" s="15"/>
      <c r="III242" s="15"/>
      <c r="IIJ242" s="16"/>
      <c r="IIK242" s="16"/>
      <c r="IIL242" s="16"/>
      <c r="IIM242" s="16"/>
      <c r="IIN242" s="16"/>
      <c r="IIO242" s="15"/>
      <c r="IIP242" s="15"/>
      <c r="IIQ242" s="10"/>
      <c r="IIR242" s="10"/>
      <c r="IIS242" s="19"/>
      <c r="IIT242" s="19"/>
      <c r="IIW242" s="16"/>
      <c r="IIX242" s="15"/>
      <c r="IIY242" s="15"/>
      <c r="IIZ242" s="15"/>
      <c r="IJA242" s="16"/>
      <c r="IJB242" s="16"/>
      <c r="IJC242" s="16"/>
      <c r="IJD242" s="16"/>
      <c r="IJE242" s="16"/>
      <c r="IJF242" s="15"/>
      <c r="IJG242" s="15"/>
      <c r="IJH242" s="10"/>
      <c r="IJI242" s="10"/>
      <c r="IJJ242" s="19"/>
      <c r="IJK242" s="19"/>
      <c r="IJN242" s="16"/>
      <c r="IJO242" s="15"/>
      <c r="IJP242" s="15"/>
      <c r="IJQ242" s="15"/>
      <c r="IJR242" s="16"/>
      <c r="IJS242" s="16"/>
      <c r="IJT242" s="16"/>
      <c r="IJU242" s="16"/>
      <c r="IJV242" s="16"/>
      <c r="IJW242" s="15"/>
      <c r="IJX242" s="15"/>
      <c r="IJY242" s="10"/>
      <c r="IJZ242" s="10"/>
      <c r="IKA242" s="19"/>
      <c r="IKB242" s="19"/>
      <c r="IKE242" s="16"/>
      <c r="IKF242" s="15"/>
      <c r="IKG242" s="15"/>
      <c r="IKH242" s="15"/>
      <c r="IKI242" s="16"/>
      <c r="IKJ242" s="16"/>
      <c r="IKK242" s="16"/>
      <c r="IKL242" s="16"/>
      <c r="IKM242" s="16"/>
      <c r="IKN242" s="15"/>
      <c r="IKO242" s="15"/>
      <c r="IKP242" s="10"/>
      <c r="IKQ242" s="10"/>
      <c r="IKR242" s="19"/>
      <c r="IKS242" s="19"/>
      <c r="IKV242" s="16"/>
      <c r="IKW242" s="15"/>
      <c r="IKX242" s="15"/>
      <c r="IKY242" s="15"/>
      <c r="IKZ242" s="16"/>
      <c r="ILA242" s="16"/>
      <c r="ILB242" s="16"/>
      <c r="ILC242" s="16"/>
      <c r="ILD242" s="16"/>
      <c r="ILE242" s="15"/>
      <c r="ILF242" s="15"/>
      <c r="ILG242" s="10"/>
      <c r="ILH242" s="10"/>
      <c r="ILI242" s="19"/>
      <c r="ILJ242" s="19"/>
      <c r="ILM242" s="16"/>
      <c r="ILN242" s="15"/>
      <c r="ILO242" s="15"/>
      <c r="ILP242" s="15"/>
      <c r="ILQ242" s="16"/>
      <c r="ILR242" s="16"/>
      <c r="ILS242" s="16"/>
      <c r="ILT242" s="16"/>
      <c r="ILU242" s="16"/>
      <c r="ILV242" s="15"/>
      <c r="ILW242" s="15"/>
      <c r="ILX242" s="10"/>
      <c r="ILY242" s="10"/>
      <c r="ILZ242" s="19"/>
      <c r="IMA242" s="19"/>
      <c r="IMD242" s="16"/>
      <c r="IME242" s="15"/>
      <c r="IMF242" s="15"/>
      <c r="IMG242" s="15"/>
      <c r="IMH242" s="16"/>
      <c r="IMI242" s="16"/>
      <c r="IMJ242" s="16"/>
      <c r="IMK242" s="16"/>
      <c r="IML242" s="16"/>
      <c r="IMM242" s="15"/>
      <c r="IMN242" s="15"/>
      <c r="IMO242" s="10"/>
      <c r="IMP242" s="10"/>
      <c r="IMQ242" s="19"/>
      <c r="IMR242" s="19"/>
      <c r="IMU242" s="16"/>
      <c r="IMV242" s="15"/>
      <c r="IMW242" s="15"/>
      <c r="IMX242" s="15"/>
      <c r="IMY242" s="16"/>
      <c r="IMZ242" s="16"/>
      <c r="INA242" s="16"/>
      <c r="INB242" s="16"/>
      <c r="INC242" s="16"/>
      <c r="IND242" s="15"/>
      <c r="INE242" s="15"/>
      <c r="INF242" s="10"/>
      <c r="ING242" s="10"/>
      <c r="INH242" s="19"/>
      <c r="INI242" s="19"/>
      <c r="INL242" s="16"/>
      <c r="INM242" s="15"/>
      <c r="INN242" s="15"/>
      <c r="INO242" s="15"/>
      <c r="INP242" s="16"/>
      <c r="INQ242" s="16"/>
      <c r="INR242" s="16"/>
      <c r="INS242" s="16"/>
      <c r="INT242" s="16"/>
      <c r="INU242" s="15"/>
      <c r="INV242" s="15"/>
      <c r="INW242" s="10"/>
      <c r="INX242" s="10"/>
      <c r="INY242" s="19"/>
      <c r="INZ242" s="19"/>
      <c r="IOC242" s="16"/>
      <c r="IOD242" s="15"/>
      <c r="IOE242" s="15"/>
      <c r="IOF242" s="15"/>
      <c r="IOG242" s="16"/>
      <c r="IOH242" s="16"/>
      <c r="IOI242" s="16"/>
      <c r="IOJ242" s="16"/>
      <c r="IOK242" s="16"/>
      <c r="IOL242" s="15"/>
      <c r="IOM242" s="15"/>
      <c r="ION242" s="10"/>
      <c r="IOO242" s="10"/>
      <c r="IOP242" s="19"/>
      <c r="IOQ242" s="19"/>
      <c r="IOT242" s="16"/>
      <c r="IOU242" s="15"/>
      <c r="IOV242" s="15"/>
      <c r="IOW242" s="15"/>
      <c r="IOX242" s="16"/>
      <c r="IOY242" s="16"/>
      <c r="IOZ242" s="16"/>
      <c r="IPA242" s="16"/>
      <c r="IPB242" s="16"/>
      <c r="IPC242" s="15"/>
      <c r="IPD242" s="15"/>
      <c r="IPE242" s="10"/>
      <c r="IPF242" s="10"/>
      <c r="IPG242" s="19"/>
      <c r="IPH242" s="19"/>
      <c r="IPK242" s="16"/>
      <c r="IPL242" s="15"/>
      <c r="IPM242" s="15"/>
      <c r="IPN242" s="15"/>
      <c r="IPO242" s="16"/>
      <c r="IPP242" s="16"/>
      <c r="IPQ242" s="16"/>
      <c r="IPR242" s="16"/>
      <c r="IPS242" s="16"/>
      <c r="IPT242" s="15"/>
      <c r="IPU242" s="15"/>
      <c r="IPV242" s="10"/>
      <c r="IPW242" s="10"/>
      <c r="IPX242" s="19"/>
      <c r="IPY242" s="19"/>
      <c r="IQB242" s="16"/>
      <c r="IQC242" s="15"/>
      <c r="IQD242" s="15"/>
      <c r="IQE242" s="15"/>
      <c r="IQF242" s="16"/>
      <c r="IQG242" s="16"/>
      <c r="IQH242" s="16"/>
      <c r="IQI242" s="16"/>
      <c r="IQJ242" s="16"/>
      <c r="IQK242" s="15"/>
      <c r="IQL242" s="15"/>
      <c r="IQM242" s="10"/>
      <c r="IQN242" s="10"/>
      <c r="IQO242" s="19"/>
      <c r="IQP242" s="19"/>
      <c r="IQS242" s="16"/>
      <c r="IQT242" s="15"/>
      <c r="IQU242" s="15"/>
      <c r="IQV242" s="15"/>
      <c r="IQW242" s="16"/>
      <c r="IQX242" s="16"/>
      <c r="IQY242" s="16"/>
      <c r="IQZ242" s="16"/>
      <c r="IRA242" s="16"/>
      <c r="IRB242" s="15"/>
      <c r="IRC242" s="15"/>
      <c r="IRD242" s="10"/>
      <c r="IRE242" s="10"/>
      <c r="IRF242" s="19"/>
      <c r="IRG242" s="19"/>
      <c r="IRJ242" s="16"/>
      <c r="IRK242" s="15"/>
      <c r="IRL242" s="15"/>
      <c r="IRM242" s="15"/>
      <c r="IRN242" s="16"/>
      <c r="IRO242" s="16"/>
      <c r="IRP242" s="16"/>
      <c r="IRQ242" s="16"/>
      <c r="IRR242" s="16"/>
      <c r="IRS242" s="15"/>
      <c r="IRT242" s="15"/>
      <c r="IRU242" s="10"/>
      <c r="IRV242" s="10"/>
      <c r="IRW242" s="19"/>
      <c r="IRX242" s="19"/>
      <c r="ISA242" s="16"/>
      <c r="ISB242" s="15"/>
      <c r="ISC242" s="15"/>
      <c r="ISD242" s="15"/>
      <c r="ISE242" s="16"/>
      <c r="ISF242" s="16"/>
      <c r="ISG242" s="16"/>
      <c r="ISH242" s="16"/>
      <c r="ISI242" s="16"/>
      <c r="ISJ242" s="15"/>
      <c r="ISK242" s="15"/>
      <c r="ISL242" s="10"/>
      <c r="ISM242" s="10"/>
      <c r="ISN242" s="19"/>
      <c r="ISO242" s="19"/>
      <c r="ISR242" s="16"/>
      <c r="ISS242" s="15"/>
      <c r="IST242" s="15"/>
      <c r="ISU242" s="15"/>
      <c r="ISV242" s="16"/>
      <c r="ISW242" s="16"/>
      <c r="ISX242" s="16"/>
      <c r="ISY242" s="16"/>
      <c r="ISZ242" s="16"/>
      <c r="ITA242" s="15"/>
      <c r="ITB242" s="15"/>
      <c r="ITC242" s="10"/>
      <c r="ITD242" s="10"/>
      <c r="ITE242" s="19"/>
      <c r="ITF242" s="19"/>
      <c r="ITI242" s="16"/>
      <c r="ITJ242" s="15"/>
      <c r="ITK242" s="15"/>
      <c r="ITL242" s="15"/>
      <c r="ITM242" s="16"/>
      <c r="ITN242" s="16"/>
      <c r="ITO242" s="16"/>
      <c r="ITP242" s="16"/>
      <c r="ITQ242" s="16"/>
      <c r="ITR242" s="15"/>
      <c r="ITS242" s="15"/>
      <c r="ITT242" s="10"/>
      <c r="ITU242" s="10"/>
      <c r="ITV242" s="19"/>
      <c r="ITW242" s="19"/>
      <c r="ITZ242" s="16"/>
      <c r="IUA242" s="15"/>
      <c r="IUB242" s="15"/>
      <c r="IUC242" s="15"/>
      <c r="IUD242" s="16"/>
      <c r="IUE242" s="16"/>
      <c r="IUF242" s="16"/>
      <c r="IUG242" s="16"/>
      <c r="IUH242" s="16"/>
      <c r="IUI242" s="15"/>
      <c r="IUJ242" s="15"/>
      <c r="IUK242" s="10"/>
      <c r="IUL242" s="10"/>
      <c r="IUM242" s="19"/>
      <c r="IUN242" s="19"/>
      <c r="IUQ242" s="16"/>
      <c r="IUR242" s="15"/>
      <c r="IUS242" s="15"/>
      <c r="IUT242" s="15"/>
      <c r="IUU242" s="16"/>
      <c r="IUV242" s="16"/>
      <c r="IUW242" s="16"/>
      <c r="IUX242" s="16"/>
      <c r="IUY242" s="16"/>
      <c r="IUZ242" s="15"/>
      <c r="IVA242" s="15"/>
      <c r="IVB242" s="10"/>
      <c r="IVC242" s="10"/>
      <c r="IVD242" s="19"/>
      <c r="IVE242" s="19"/>
      <c r="IVH242" s="16"/>
      <c r="IVI242" s="15"/>
      <c r="IVJ242" s="15"/>
      <c r="IVK242" s="15"/>
      <c r="IVL242" s="16"/>
      <c r="IVM242" s="16"/>
      <c r="IVN242" s="16"/>
      <c r="IVO242" s="16"/>
      <c r="IVP242" s="16"/>
      <c r="IVQ242" s="15"/>
      <c r="IVR242" s="15"/>
      <c r="IVS242" s="10"/>
      <c r="IVT242" s="10"/>
      <c r="IVU242" s="19"/>
      <c r="IVV242" s="19"/>
      <c r="IVY242" s="16"/>
      <c r="IVZ242" s="15"/>
      <c r="IWA242" s="15"/>
      <c r="IWB242" s="15"/>
      <c r="IWC242" s="16"/>
      <c r="IWD242" s="16"/>
      <c r="IWE242" s="16"/>
      <c r="IWF242" s="16"/>
      <c r="IWG242" s="16"/>
      <c r="IWH242" s="15"/>
      <c r="IWI242" s="15"/>
      <c r="IWJ242" s="10"/>
      <c r="IWK242" s="10"/>
      <c r="IWL242" s="19"/>
      <c r="IWM242" s="19"/>
      <c r="IWP242" s="16"/>
      <c r="IWQ242" s="15"/>
      <c r="IWR242" s="15"/>
      <c r="IWS242" s="15"/>
      <c r="IWT242" s="16"/>
      <c r="IWU242" s="16"/>
      <c r="IWV242" s="16"/>
      <c r="IWW242" s="16"/>
      <c r="IWX242" s="16"/>
      <c r="IWY242" s="15"/>
      <c r="IWZ242" s="15"/>
      <c r="IXA242" s="10"/>
      <c r="IXB242" s="10"/>
      <c r="IXC242" s="19"/>
      <c r="IXD242" s="19"/>
      <c r="IXG242" s="16"/>
      <c r="IXH242" s="15"/>
      <c r="IXI242" s="15"/>
      <c r="IXJ242" s="15"/>
      <c r="IXK242" s="16"/>
      <c r="IXL242" s="16"/>
      <c r="IXM242" s="16"/>
      <c r="IXN242" s="16"/>
      <c r="IXO242" s="16"/>
      <c r="IXP242" s="15"/>
      <c r="IXQ242" s="15"/>
      <c r="IXR242" s="10"/>
      <c r="IXS242" s="10"/>
      <c r="IXT242" s="19"/>
      <c r="IXU242" s="19"/>
      <c r="IXX242" s="16"/>
      <c r="IXY242" s="15"/>
      <c r="IXZ242" s="15"/>
      <c r="IYA242" s="15"/>
      <c r="IYB242" s="16"/>
      <c r="IYC242" s="16"/>
      <c r="IYD242" s="16"/>
      <c r="IYE242" s="16"/>
      <c r="IYF242" s="16"/>
      <c r="IYG242" s="15"/>
      <c r="IYH242" s="15"/>
      <c r="IYI242" s="10"/>
      <c r="IYJ242" s="10"/>
      <c r="IYK242" s="19"/>
      <c r="IYL242" s="19"/>
      <c r="IYO242" s="16"/>
      <c r="IYP242" s="15"/>
      <c r="IYQ242" s="15"/>
      <c r="IYR242" s="15"/>
      <c r="IYS242" s="16"/>
      <c r="IYT242" s="16"/>
      <c r="IYU242" s="16"/>
      <c r="IYV242" s="16"/>
      <c r="IYW242" s="16"/>
      <c r="IYX242" s="15"/>
      <c r="IYY242" s="15"/>
      <c r="IYZ242" s="10"/>
      <c r="IZA242" s="10"/>
      <c r="IZB242" s="19"/>
      <c r="IZC242" s="19"/>
      <c r="IZF242" s="16"/>
      <c r="IZG242" s="15"/>
      <c r="IZH242" s="15"/>
      <c r="IZI242" s="15"/>
      <c r="IZJ242" s="16"/>
      <c r="IZK242" s="16"/>
      <c r="IZL242" s="16"/>
      <c r="IZM242" s="16"/>
      <c r="IZN242" s="16"/>
      <c r="IZO242" s="15"/>
      <c r="IZP242" s="15"/>
      <c r="IZQ242" s="10"/>
      <c r="IZR242" s="10"/>
      <c r="IZS242" s="19"/>
      <c r="IZT242" s="19"/>
      <c r="IZW242" s="16"/>
      <c r="IZX242" s="15"/>
      <c r="IZY242" s="15"/>
      <c r="IZZ242" s="15"/>
      <c r="JAA242" s="16"/>
      <c r="JAB242" s="16"/>
      <c r="JAC242" s="16"/>
      <c r="JAD242" s="16"/>
      <c r="JAE242" s="16"/>
      <c r="JAF242" s="15"/>
      <c r="JAG242" s="15"/>
      <c r="JAH242" s="10"/>
      <c r="JAI242" s="10"/>
      <c r="JAJ242" s="19"/>
      <c r="JAK242" s="19"/>
      <c r="JAN242" s="16"/>
      <c r="JAO242" s="15"/>
      <c r="JAP242" s="15"/>
      <c r="JAQ242" s="15"/>
      <c r="JAR242" s="16"/>
      <c r="JAS242" s="16"/>
      <c r="JAT242" s="16"/>
      <c r="JAU242" s="16"/>
      <c r="JAV242" s="16"/>
      <c r="JAW242" s="15"/>
      <c r="JAX242" s="15"/>
      <c r="JAY242" s="10"/>
      <c r="JAZ242" s="10"/>
      <c r="JBA242" s="19"/>
      <c r="JBB242" s="19"/>
      <c r="JBE242" s="16"/>
      <c r="JBF242" s="15"/>
      <c r="JBG242" s="15"/>
      <c r="JBH242" s="15"/>
      <c r="JBI242" s="16"/>
      <c r="JBJ242" s="16"/>
      <c r="JBK242" s="16"/>
      <c r="JBL242" s="16"/>
      <c r="JBM242" s="16"/>
      <c r="JBN242" s="15"/>
      <c r="JBO242" s="15"/>
      <c r="JBP242" s="10"/>
      <c r="JBQ242" s="10"/>
      <c r="JBR242" s="19"/>
      <c r="JBS242" s="19"/>
      <c r="JBV242" s="16"/>
      <c r="JBW242" s="15"/>
      <c r="JBX242" s="15"/>
      <c r="JBY242" s="15"/>
      <c r="JBZ242" s="16"/>
      <c r="JCA242" s="16"/>
      <c r="JCB242" s="16"/>
      <c r="JCC242" s="16"/>
      <c r="JCD242" s="16"/>
      <c r="JCE242" s="15"/>
      <c r="JCF242" s="15"/>
      <c r="JCG242" s="10"/>
      <c r="JCH242" s="10"/>
      <c r="JCI242" s="19"/>
      <c r="JCJ242" s="19"/>
      <c r="JCM242" s="16"/>
      <c r="JCN242" s="15"/>
      <c r="JCO242" s="15"/>
      <c r="JCP242" s="15"/>
      <c r="JCQ242" s="16"/>
      <c r="JCR242" s="16"/>
      <c r="JCS242" s="16"/>
      <c r="JCT242" s="16"/>
      <c r="JCU242" s="16"/>
      <c r="JCV242" s="15"/>
      <c r="JCW242" s="15"/>
      <c r="JCX242" s="10"/>
      <c r="JCY242" s="10"/>
      <c r="JCZ242" s="19"/>
      <c r="JDA242" s="19"/>
      <c r="JDD242" s="16"/>
      <c r="JDE242" s="15"/>
      <c r="JDF242" s="15"/>
      <c r="JDG242" s="15"/>
      <c r="JDH242" s="16"/>
      <c r="JDI242" s="16"/>
      <c r="JDJ242" s="16"/>
      <c r="JDK242" s="16"/>
      <c r="JDL242" s="16"/>
      <c r="JDM242" s="15"/>
      <c r="JDN242" s="15"/>
      <c r="JDO242" s="10"/>
      <c r="JDP242" s="10"/>
      <c r="JDQ242" s="19"/>
      <c r="JDR242" s="19"/>
      <c r="JDU242" s="16"/>
      <c r="JDV242" s="15"/>
      <c r="JDW242" s="15"/>
      <c r="JDX242" s="15"/>
      <c r="JDY242" s="16"/>
      <c r="JDZ242" s="16"/>
      <c r="JEA242" s="16"/>
      <c r="JEB242" s="16"/>
      <c r="JEC242" s="16"/>
      <c r="JED242" s="15"/>
      <c r="JEE242" s="15"/>
      <c r="JEF242" s="10"/>
      <c r="JEG242" s="10"/>
      <c r="JEH242" s="19"/>
      <c r="JEI242" s="19"/>
      <c r="JEL242" s="16"/>
      <c r="JEM242" s="15"/>
      <c r="JEN242" s="15"/>
      <c r="JEO242" s="15"/>
      <c r="JEP242" s="16"/>
      <c r="JEQ242" s="16"/>
      <c r="JER242" s="16"/>
      <c r="JES242" s="16"/>
      <c r="JET242" s="16"/>
      <c r="JEU242" s="15"/>
      <c r="JEV242" s="15"/>
      <c r="JEW242" s="10"/>
      <c r="JEX242" s="10"/>
      <c r="JEY242" s="19"/>
      <c r="JEZ242" s="19"/>
      <c r="JFC242" s="16"/>
      <c r="JFD242" s="15"/>
      <c r="JFE242" s="15"/>
      <c r="JFF242" s="15"/>
      <c r="JFG242" s="16"/>
      <c r="JFH242" s="16"/>
      <c r="JFI242" s="16"/>
      <c r="JFJ242" s="16"/>
      <c r="JFK242" s="16"/>
      <c r="JFL242" s="15"/>
      <c r="JFM242" s="15"/>
      <c r="JFN242" s="10"/>
      <c r="JFO242" s="10"/>
      <c r="JFP242" s="19"/>
      <c r="JFQ242" s="19"/>
      <c r="JFT242" s="16"/>
      <c r="JFU242" s="15"/>
      <c r="JFV242" s="15"/>
      <c r="JFW242" s="15"/>
      <c r="JFX242" s="16"/>
      <c r="JFY242" s="16"/>
      <c r="JFZ242" s="16"/>
      <c r="JGA242" s="16"/>
      <c r="JGB242" s="16"/>
      <c r="JGC242" s="15"/>
      <c r="JGD242" s="15"/>
      <c r="JGE242" s="10"/>
      <c r="JGF242" s="10"/>
      <c r="JGG242" s="19"/>
      <c r="JGH242" s="19"/>
      <c r="JGK242" s="16"/>
      <c r="JGL242" s="15"/>
      <c r="JGM242" s="15"/>
      <c r="JGN242" s="15"/>
      <c r="JGO242" s="16"/>
      <c r="JGP242" s="16"/>
      <c r="JGQ242" s="16"/>
      <c r="JGR242" s="16"/>
      <c r="JGS242" s="16"/>
      <c r="JGT242" s="15"/>
      <c r="JGU242" s="15"/>
      <c r="JGV242" s="10"/>
      <c r="JGW242" s="10"/>
      <c r="JGX242" s="19"/>
      <c r="JGY242" s="19"/>
      <c r="JHB242" s="16"/>
      <c r="JHC242" s="15"/>
      <c r="JHD242" s="15"/>
      <c r="JHE242" s="15"/>
      <c r="JHF242" s="16"/>
      <c r="JHG242" s="16"/>
      <c r="JHH242" s="16"/>
      <c r="JHI242" s="16"/>
      <c r="JHJ242" s="16"/>
      <c r="JHK242" s="15"/>
      <c r="JHL242" s="15"/>
      <c r="JHM242" s="10"/>
      <c r="JHN242" s="10"/>
      <c r="JHO242" s="19"/>
      <c r="JHP242" s="19"/>
      <c r="JHS242" s="16"/>
      <c r="JHT242" s="15"/>
      <c r="JHU242" s="15"/>
      <c r="JHV242" s="15"/>
      <c r="JHW242" s="16"/>
      <c r="JHX242" s="16"/>
      <c r="JHY242" s="16"/>
      <c r="JHZ242" s="16"/>
      <c r="JIA242" s="16"/>
      <c r="JIB242" s="15"/>
      <c r="JIC242" s="15"/>
      <c r="JID242" s="10"/>
      <c r="JIE242" s="10"/>
      <c r="JIF242" s="19"/>
      <c r="JIG242" s="19"/>
      <c r="JIJ242" s="16"/>
      <c r="JIK242" s="15"/>
      <c r="JIL242" s="15"/>
      <c r="JIM242" s="15"/>
      <c r="JIN242" s="16"/>
      <c r="JIO242" s="16"/>
      <c r="JIP242" s="16"/>
      <c r="JIQ242" s="16"/>
      <c r="JIR242" s="16"/>
      <c r="JIS242" s="15"/>
      <c r="JIT242" s="15"/>
      <c r="JIU242" s="10"/>
      <c r="JIV242" s="10"/>
      <c r="JIW242" s="19"/>
      <c r="JIX242" s="19"/>
      <c r="JJA242" s="16"/>
      <c r="JJB242" s="15"/>
      <c r="JJC242" s="15"/>
      <c r="JJD242" s="15"/>
      <c r="JJE242" s="16"/>
      <c r="JJF242" s="16"/>
      <c r="JJG242" s="16"/>
      <c r="JJH242" s="16"/>
      <c r="JJI242" s="16"/>
      <c r="JJJ242" s="15"/>
      <c r="JJK242" s="15"/>
      <c r="JJL242" s="10"/>
      <c r="JJM242" s="10"/>
      <c r="JJN242" s="19"/>
      <c r="JJO242" s="19"/>
      <c r="JJR242" s="16"/>
      <c r="JJS242" s="15"/>
      <c r="JJT242" s="15"/>
      <c r="JJU242" s="15"/>
      <c r="JJV242" s="16"/>
      <c r="JJW242" s="16"/>
      <c r="JJX242" s="16"/>
      <c r="JJY242" s="16"/>
      <c r="JJZ242" s="16"/>
      <c r="JKA242" s="15"/>
      <c r="JKB242" s="15"/>
      <c r="JKC242" s="10"/>
      <c r="JKD242" s="10"/>
      <c r="JKE242" s="19"/>
      <c r="JKF242" s="19"/>
      <c r="JKI242" s="16"/>
      <c r="JKJ242" s="15"/>
      <c r="JKK242" s="15"/>
      <c r="JKL242" s="15"/>
      <c r="JKM242" s="16"/>
      <c r="JKN242" s="16"/>
      <c r="JKO242" s="16"/>
      <c r="JKP242" s="16"/>
      <c r="JKQ242" s="16"/>
      <c r="JKR242" s="15"/>
      <c r="JKS242" s="15"/>
      <c r="JKT242" s="10"/>
      <c r="JKU242" s="10"/>
      <c r="JKV242" s="19"/>
      <c r="JKW242" s="19"/>
      <c r="JKZ242" s="16"/>
      <c r="JLA242" s="15"/>
      <c r="JLB242" s="15"/>
      <c r="JLC242" s="15"/>
      <c r="JLD242" s="16"/>
      <c r="JLE242" s="16"/>
      <c r="JLF242" s="16"/>
      <c r="JLG242" s="16"/>
      <c r="JLH242" s="16"/>
      <c r="JLI242" s="15"/>
      <c r="JLJ242" s="15"/>
      <c r="JLK242" s="10"/>
      <c r="JLL242" s="10"/>
      <c r="JLM242" s="19"/>
      <c r="JLN242" s="19"/>
      <c r="JLQ242" s="16"/>
      <c r="JLR242" s="15"/>
      <c r="JLS242" s="15"/>
      <c r="JLT242" s="15"/>
      <c r="JLU242" s="16"/>
      <c r="JLV242" s="16"/>
      <c r="JLW242" s="16"/>
      <c r="JLX242" s="16"/>
      <c r="JLY242" s="16"/>
      <c r="JLZ242" s="15"/>
      <c r="JMA242" s="15"/>
      <c r="JMB242" s="10"/>
      <c r="JMC242" s="10"/>
      <c r="JMD242" s="19"/>
      <c r="JME242" s="19"/>
      <c r="JMH242" s="16"/>
      <c r="JMI242" s="15"/>
      <c r="JMJ242" s="15"/>
      <c r="JMK242" s="15"/>
      <c r="JML242" s="16"/>
      <c r="JMM242" s="16"/>
      <c r="JMN242" s="16"/>
      <c r="JMO242" s="16"/>
      <c r="JMP242" s="16"/>
      <c r="JMQ242" s="15"/>
      <c r="JMR242" s="15"/>
      <c r="JMS242" s="10"/>
      <c r="JMT242" s="10"/>
      <c r="JMU242" s="19"/>
      <c r="JMV242" s="19"/>
      <c r="JMY242" s="16"/>
      <c r="JMZ242" s="15"/>
      <c r="JNA242" s="15"/>
      <c r="JNB242" s="15"/>
      <c r="JNC242" s="16"/>
      <c r="JND242" s="16"/>
      <c r="JNE242" s="16"/>
      <c r="JNF242" s="16"/>
      <c r="JNG242" s="16"/>
      <c r="JNH242" s="15"/>
      <c r="JNI242" s="15"/>
      <c r="JNJ242" s="10"/>
      <c r="JNK242" s="10"/>
      <c r="JNL242" s="19"/>
      <c r="JNM242" s="19"/>
      <c r="JNP242" s="16"/>
      <c r="JNQ242" s="15"/>
      <c r="JNR242" s="15"/>
      <c r="JNS242" s="15"/>
      <c r="JNT242" s="16"/>
      <c r="JNU242" s="16"/>
      <c r="JNV242" s="16"/>
      <c r="JNW242" s="16"/>
      <c r="JNX242" s="16"/>
      <c r="JNY242" s="15"/>
      <c r="JNZ242" s="15"/>
      <c r="JOA242" s="10"/>
      <c r="JOB242" s="10"/>
      <c r="JOC242" s="19"/>
      <c r="JOD242" s="19"/>
      <c r="JOG242" s="16"/>
      <c r="JOH242" s="15"/>
      <c r="JOI242" s="15"/>
      <c r="JOJ242" s="15"/>
      <c r="JOK242" s="16"/>
      <c r="JOL242" s="16"/>
      <c r="JOM242" s="16"/>
      <c r="JON242" s="16"/>
      <c r="JOO242" s="16"/>
      <c r="JOP242" s="15"/>
      <c r="JOQ242" s="15"/>
      <c r="JOR242" s="10"/>
      <c r="JOS242" s="10"/>
      <c r="JOT242" s="19"/>
      <c r="JOU242" s="19"/>
      <c r="JOX242" s="16"/>
      <c r="JOY242" s="15"/>
      <c r="JOZ242" s="15"/>
      <c r="JPA242" s="15"/>
      <c r="JPB242" s="16"/>
      <c r="JPC242" s="16"/>
      <c r="JPD242" s="16"/>
      <c r="JPE242" s="16"/>
      <c r="JPF242" s="16"/>
      <c r="JPG242" s="15"/>
      <c r="JPH242" s="15"/>
      <c r="JPI242" s="10"/>
      <c r="JPJ242" s="10"/>
      <c r="JPK242" s="19"/>
      <c r="JPL242" s="19"/>
      <c r="JPO242" s="16"/>
      <c r="JPP242" s="15"/>
      <c r="JPQ242" s="15"/>
      <c r="JPR242" s="15"/>
      <c r="JPS242" s="16"/>
      <c r="JPT242" s="16"/>
      <c r="JPU242" s="16"/>
      <c r="JPV242" s="16"/>
      <c r="JPW242" s="16"/>
      <c r="JPX242" s="15"/>
      <c r="JPY242" s="15"/>
      <c r="JPZ242" s="10"/>
      <c r="JQA242" s="10"/>
      <c r="JQB242" s="19"/>
      <c r="JQC242" s="19"/>
      <c r="JQF242" s="16"/>
      <c r="JQG242" s="15"/>
      <c r="JQH242" s="15"/>
      <c r="JQI242" s="15"/>
      <c r="JQJ242" s="16"/>
      <c r="JQK242" s="16"/>
      <c r="JQL242" s="16"/>
      <c r="JQM242" s="16"/>
      <c r="JQN242" s="16"/>
      <c r="JQO242" s="15"/>
      <c r="JQP242" s="15"/>
      <c r="JQQ242" s="10"/>
      <c r="JQR242" s="10"/>
      <c r="JQS242" s="19"/>
      <c r="JQT242" s="19"/>
      <c r="JQW242" s="16"/>
      <c r="JQX242" s="15"/>
      <c r="JQY242" s="15"/>
      <c r="JQZ242" s="15"/>
      <c r="JRA242" s="16"/>
      <c r="JRB242" s="16"/>
      <c r="JRC242" s="16"/>
      <c r="JRD242" s="16"/>
      <c r="JRE242" s="16"/>
      <c r="JRF242" s="15"/>
      <c r="JRG242" s="15"/>
      <c r="JRH242" s="10"/>
      <c r="JRI242" s="10"/>
      <c r="JRJ242" s="19"/>
      <c r="JRK242" s="19"/>
      <c r="JRN242" s="16"/>
      <c r="JRO242" s="15"/>
      <c r="JRP242" s="15"/>
      <c r="JRQ242" s="15"/>
      <c r="JRR242" s="16"/>
      <c r="JRS242" s="16"/>
      <c r="JRT242" s="16"/>
      <c r="JRU242" s="16"/>
      <c r="JRV242" s="16"/>
      <c r="JRW242" s="15"/>
      <c r="JRX242" s="15"/>
      <c r="JRY242" s="10"/>
      <c r="JRZ242" s="10"/>
      <c r="JSA242" s="19"/>
      <c r="JSB242" s="19"/>
      <c r="JSE242" s="16"/>
      <c r="JSF242" s="15"/>
      <c r="JSG242" s="15"/>
      <c r="JSH242" s="15"/>
      <c r="JSI242" s="16"/>
      <c r="JSJ242" s="16"/>
      <c r="JSK242" s="16"/>
      <c r="JSL242" s="16"/>
      <c r="JSM242" s="16"/>
      <c r="JSN242" s="15"/>
      <c r="JSO242" s="15"/>
      <c r="JSP242" s="10"/>
      <c r="JSQ242" s="10"/>
      <c r="JSR242" s="19"/>
      <c r="JSS242" s="19"/>
      <c r="JSV242" s="16"/>
      <c r="JSW242" s="15"/>
      <c r="JSX242" s="15"/>
      <c r="JSY242" s="15"/>
      <c r="JSZ242" s="16"/>
      <c r="JTA242" s="16"/>
      <c r="JTB242" s="16"/>
      <c r="JTC242" s="16"/>
      <c r="JTD242" s="16"/>
      <c r="JTE242" s="15"/>
      <c r="JTF242" s="15"/>
      <c r="JTG242" s="10"/>
      <c r="JTH242" s="10"/>
      <c r="JTI242" s="19"/>
      <c r="JTJ242" s="19"/>
      <c r="JTM242" s="16"/>
      <c r="JTN242" s="15"/>
      <c r="JTO242" s="15"/>
      <c r="JTP242" s="15"/>
      <c r="JTQ242" s="16"/>
      <c r="JTR242" s="16"/>
      <c r="JTS242" s="16"/>
      <c r="JTT242" s="16"/>
      <c r="JTU242" s="16"/>
      <c r="JTV242" s="15"/>
      <c r="JTW242" s="15"/>
      <c r="JTX242" s="10"/>
      <c r="JTY242" s="10"/>
      <c r="JTZ242" s="19"/>
      <c r="JUA242" s="19"/>
      <c r="JUD242" s="16"/>
      <c r="JUE242" s="15"/>
      <c r="JUF242" s="15"/>
      <c r="JUG242" s="15"/>
      <c r="JUH242" s="16"/>
      <c r="JUI242" s="16"/>
      <c r="JUJ242" s="16"/>
      <c r="JUK242" s="16"/>
      <c r="JUL242" s="16"/>
      <c r="JUM242" s="15"/>
      <c r="JUN242" s="15"/>
      <c r="JUO242" s="10"/>
      <c r="JUP242" s="10"/>
      <c r="JUQ242" s="19"/>
      <c r="JUR242" s="19"/>
      <c r="JUU242" s="16"/>
      <c r="JUV242" s="15"/>
      <c r="JUW242" s="15"/>
      <c r="JUX242" s="15"/>
      <c r="JUY242" s="16"/>
      <c r="JUZ242" s="16"/>
      <c r="JVA242" s="16"/>
      <c r="JVB242" s="16"/>
      <c r="JVC242" s="16"/>
      <c r="JVD242" s="15"/>
      <c r="JVE242" s="15"/>
      <c r="JVF242" s="10"/>
      <c r="JVG242" s="10"/>
      <c r="JVH242" s="19"/>
      <c r="JVI242" s="19"/>
      <c r="JVL242" s="16"/>
      <c r="JVM242" s="15"/>
      <c r="JVN242" s="15"/>
      <c r="JVO242" s="15"/>
      <c r="JVP242" s="16"/>
      <c r="JVQ242" s="16"/>
      <c r="JVR242" s="16"/>
      <c r="JVS242" s="16"/>
      <c r="JVT242" s="16"/>
      <c r="JVU242" s="15"/>
      <c r="JVV242" s="15"/>
      <c r="JVW242" s="10"/>
      <c r="JVX242" s="10"/>
      <c r="JVY242" s="19"/>
      <c r="JVZ242" s="19"/>
      <c r="JWC242" s="16"/>
      <c r="JWD242" s="15"/>
      <c r="JWE242" s="15"/>
      <c r="JWF242" s="15"/>
      <c r="JWG242" s="16"/>
      <c r="JWH242" s="16"/>
      <c r="JWI242" s="16"/>
      <c r="JWJ242" s="16"/>
      <c r="JWK242" s="16"/>
      <c r="JWL242" s="15"/>
      <c r="JWM242" s="15"/>
      <c r="JWN242" s="10"/>
      <c r="JWO242" s="10"/>
      <c r="JWP242" s="19"/>
      <c r="JWQ242" s="19"/>
      <c r="JWT242" s="16"/>
      <c r="JWU242" s="15"/>
      <c r="JWV242" s="15"/>
      <c r="JWW242" s="15"/>
      <c r="JWX242" s="16"/>
      <c r="JWY242" s="16"/>
      <c r="JWZ242" s="16"/>
      <c r="JXA242" s="16"/>
      <c r="JXB242" s="16"/>
      <c r="JXC242" s="15"/>
      <c r="JXD242" s="15"/>
      <c r="JXE242" s="10"/>
      <c r="JXF242" s="10"/>
      <c r="JXG242" s="19"/>
      <c r="JXH242" s="19"/>
      <c r="JXK242" s="16"/>
      <c r="JXL242" s="15"/>
      <c r="JXM242" s="15"/>
      <c r="JXN242" s="15"/>
      <c r="JXO242" s="16"/>
      <c r="JXP242" s="16"/>
      <c r="JXQ242" s="16"/>
      <c r="JXR242" s="16"/>
      <c r="JXS242" s="16"/>
      <c r="JXT242" s="15"/>
      <c r="JXU242" s="15"/>
      <c r="JXV242" s="10"/>
      <c r="JXW242" s="10"/>
      <c r="JXX242" s="19"/>
      <c r="JXY242" s="19"/>
      <c r="JYB242" s="16"/>
      <c r="JYC242" s="15"/>
      <c r="JYD242" s="15"/>
      <c r="JYE242" s="15"/>
      <c r="JYF242" s="16"/>
      <c r="JYG242" s="16"/>
      <c r="JYH242" s="16"/>
      <c r="JYI242" s="16"/>
      <c r="JYJ242" s="16"/>
      <c r="JYK242" s="15"/>
      <c r="JYL242" s="15"/>
      <c r="JYM242" s="10"/>
      <c r="JYN242" s="10"/>
      <c r="JYO242" s="19"/>
      <c r="JYP242" s="19"/>
      <c r="JYS242" s="16"/>
      <c r="JYT242" s="15"/>
      <c r="JYU242" s="15"/>
      <c r="JYV242" s="15"/>
      <c r="JYW242" s="16"/>
      <c r="JYX242" s="16"/>
      <c r="JYY242" s="16"/>
      <c r="JYZ242" s="16"/>
      <c r="JZA242" s="16"/>
      <c r="JZB242" s="15"/>
      <c r="JZC242" s="15"/>
      <c r="JZD242" s="10"/>
      <c r="JZE242" s="10"/>
      <c r="JZF242" s="19"/>
      <c r="JZG242" s="19"/>
      <c r="JZJ242" s="16"/>
      <c r="JZK242" s="15"/>
      <c r="JZL242" s="15"/>
      <c r="JZM242" s="15"/>
      <c r="JZN242" s="16"/>
      <c r="JZO242" s="16"/>
      <c r="JZP242" s="16"/>
      <c r="JZQ242" s="16"/>
      <c r="JZR242" s="16"/>
      <c r="JZS242" s="15"/>
      <c r="JZT242" s="15"/>
      <c r="JZU242" s="10"/>
      <c r="JZV242" s="10"/>
      <c r="JZW242" s="19"/>
      <c r="JZX242" s="19"/>
      <c r="KAA242" s="16"/>
      <c r="KAB242" s="15"/>
      <c r="KAC242" s="15"/>
      <c r="KAD242" s="15"/>
      <c r="KAE242" s="16"/>
      <c r="KAF242" s="16"/>
      <c r="KAG242" s="16"/>
      <c r="KAH242" s="16"/>
      <c r="KAI242" s="16"/>
      <c r="KAJ242" s="15"/>
      <c r="KAK242" s="15"/>
      <c r="KAL242" s="10"/>
      <c r="KAM242" s="10"/>
      <c r="KAN242" s="19"/>
      <c r="KAO242" s="19"/>
      <c r="KAR242" s="16"/>
      <c r="KAS242" s="15"/>
      <c r="KAT242" s="15"/>
      <c r="KAU242" s="15"/>
      <c r="KAV242" s="16"/>
      <c r="KAW242" s="16"/>
      <c r="KAX242" s="16"/>
      <c r="KAY242" s="16"/>
      <c r="KAZ242" s="16"/>
      <c r="KBA242" s="15"/>
      <c r="KBB242" s="15"/>
      <c r="KBC242" s="10"/>
      <c r="KBD242" s="10"/>
      <c r="KBE242" s="19"/>
      <c r="KBF242" s="19"/>
      <c r="KBI242" s="16"/>
      <c r="KBJ242" s="15"/>
      <c r="KBK242" s="15"/>
      <c r="KBL242" s="15"/>
      <c r="KBM242" s="16"/>
      <c r="KBN242" s="16"/>
      <c r="KBO242" s="16"/>
      <c r="KBP242" s="16"/>
      <c r="KBQ242" s="16"/>
      <c r="KBR242" s="15"/>
      <c r="KBS242" s="15"/>
      <c r="KBT242" s="10"/>
      <c r="KBU242" s="10"/>
      <c r="KBV242" s="19"/>
      <c r="KBW242" s="19"/>
      <c r="KBZ242" s="16"/>
      <c r="KCA242" s="15"/>
      <c r="KCB242" s="15"/>
      <c r="KCC242" s="15"/>
      <c r="KCD242" s="16"/>
      <c r="KCE242" s="16"/>
      <c r="KCF242" s="16"/>
      <c r="KCG242" s="16"/>
      <c r="KCH242" s="16"/>
      <c r="KCI242" s="15"/>
      <c r="KCJ242" s="15"/>
      <c r="KCK242" s="10"/>
      <c r="KCL242" s="10"/>
      <c r="KCM242" s="19"/>
      <c r="KCN242" s="19"/>
      <c r="KCQ242" s="16"/>
      <c r="KCR242" s="15"/>
      <c r="KCS242" s="15"/>
      <c r="KCT242" s="15"/>
      <c r="KCU242" s="16"/>
      <c r="KCV242" s="16"/>
      <c r="KCW242" s="16"/>
      <c r="KCX242" s="16"/>
      <c r="KCY242" s="16"/>
      <c r="KCZ242" s="15"/>
      <c r="KDA242" s="15"/>
      <c r="KDB242" s="10"/>
      <c r="KDC242" s="10"/>
      <c r="KDD242" s="19"/>
      <c r="KDE242" s="19"/>
      <c r="KDH242" s="16"/>
      <c r="KDI242" s="15"/>
      <c r="KDJ242" s="15"/>
      <c r="KDK242" s="15"/>
      <c r="KDL242" s="16"/>
      <c r="KDM242" s="16"/>
      <c r="KDN242" s="16"/>
      <c r="KDO242" s="16"/>
      <c r="KDP242" s="16"/>
      <c r="KDQ242" s="15"/>
      <c r="KDR242" s="15"/>
      <c r="KDS242" s="10"/>
      <c r="KDT242" s="10"/>
      <c r="KDU242" s="19"/>
      <c r="KDV242" s="19"/>
      <c r="KDY242" s="16"/>
      <c r="KDZ242" s="15"/>
      <c r="KEA242" s="15"/>
      <c r="KEB242" s="15"/>
      <c r="KEC242" s="16"/>
      <c r="KED242" s="16"/>
      <c r="KEE242" s="16"/>
      <c r="KEF242" s="16"/>
      <c r="KEG242" s="16"/>
      <c r="KEH242" s="15"/>
      <c r="KEI242" s="15"/>
      <c r="KEJ242" s="10"/>
      <c r="KEK242" s="10"/>
      <c r="KEL242" s="19"/>
      <c r="KEM242" s="19"/>
      <c r="KEP242" s="16"/>
      <c r="KEQ242" s="15"/>
      <c r="KER242" s="15"/>
      <c r="KES242" s="15"/>
      <c r="KET242" s="16"/>
      <c r="KEU242" s="16"/>
      <c r="KEV242" s="16"/>
      <c r="KEW242" s="16"/>
      <c r="KEX242" s="16"/>
      <c r="KEY242" s="15"/>
      <c r="KEZ242" s="15"/>
      <c r="KFA242" s="10"/>
      <c r="KFB242" s="10"/>
      <c r="KFC242" s="19"/>
      <c r="KFD242" s="19"/>
      <c r="KFG242" s="16"/>
      <c r="KFH242" s="15"/>
      <c r="KFI242" s="15"/>
      <c r="KFJ242" s="15"/>
      <c r="KFK242" s="16"/>
      <c r="KFL242" s="16"/>
      <c r="KFM242" s="16"/>
      <c r="KFN242" s="16"/>
      <c r="KFO242" s="16"/>
      <c r="KFP242" s="15"/>
      <c r="KFQ242" s="15"/>
      <c r="KFR242" s="10"/>
      <c r="KFS242" s="10"/>
      <c r="KFT242" s="19"/>
      <c r="KFU242" s="19"/>
      <c r="KFX242" s="16"/>
      <c r="KFY242" s="15"/>
      <c r="KFZ242" s="15"/>
      <c r="KGA242" s="15"/>
      <c r="KGB242" s="16"/>
      <c r="KGC242" s="16"/>
      <c r="KGD242" s="16"/>
      <c r="KGE242" s="16"/>
      <c r="KGF242" s="16"/>
      <c r="KGG242" s="15"/>
      <c r="KGH242" s="15"/>
      <c r="KGI242" s="10"/>
      <c r="KGJ242" s="10"/>
      <c r="KGK242" s="19"/>
      <c r="KGL242" s="19"/>
      <c r="KGO242" s="16"/>
      <c r="KGP242" s="15"/>
      <c r="KGQ242" s="15"/>
      <c r="KGR242" s="15"/>
      <c r="KGS242" s="16"/>
      <c r="KGT242" s="16"/>
      <c r="KGU242" s="16"/>
      <c r="KGV242" s="16"/>
      <c r="KGW242" s="16"/>
      <c r="KGX242" s="15"/>
      <c r="KGY242" s="15"/>
      <c r="KGZ242" s="10"/>
      <c r="KHA242" s="10"/>
      <c r="KHB242" s="19"/>
      <c r="KHC242" s="19"/>
      <c r="KHF242" s="16"/>
      <c r="KHG242" s="15"/>
      <c r="KHH242" s="15"/>
      <c r="KHI242" s="15"/>
      <c r="KHJ242" s="16"/>
      <c r="KHK242" s="16"/>
      <c r="KHL242" s="16"/>
      <c r="KHM242" s="16"/>
      <c r="KHN242" s="16"/>
      <c r="KHO242" s="15"/>
      <c r="KHP242" s="15"/>
      <c r="KHQ242" s="10"/>
      <c r="KHR242" s="10"/>
      <c r="KHS242" s="19"/>
      <c r="KHT242" s="19"/>
      <c r="KHW242" s="16"/>
      <c r="KHX242" s="15"/>
      <c r="KHY242" s="15"/>
      <c r="KHZ242" s="15"/>
      <c r="KIA242" s="16"/>
      <c r="KIB242" s="16"/>
      <c r="KIC242" s="16"/>
      <c r="KID242" s="16"/>
      <c r="KIE242" s="16"/>
      <c r="KIF242" s="15"/>
      <c r="KIG242" s="15"/>
      <c r="KIH242" s="10"/>
      <c r="KII242" s="10"/>
      <c r="KIJ242" s="19"/>
      <c r="KIK242" s="19"/>
      <c r="KIN242" s="16"/>
      <c r="KIO242" s="15"/>
      <c r="KIP242" s="15"/>
      <c r="KIQ242" s="15"/>
      <c r="KIR242" s="16"/>
      <c r="KIS242" s="16"/>
      <c r="KIT242" s="16"/>
      <c r="KIU242" s="16"/>
      <c r="KIV242" s="16"/>
      <c r="KIW242" s="15"/>
      <c r="KIX242" s="15"/>
      <c r="KIY242" s="10"/>
      <c r="KIZ242" s="10"/>
      <c r="KJA242" s="19"/>
      <c r="KJB242" s="19"/>
      <c r="KJE242" s="16"/>
      <c r="KJF242" s="15"/>
      <c r="KJG242" s="15"/>
      <c r="KJH242" s="15"/>
      <c r="KJI242" s="16"/>
      <c r="KJJ242" s="16"/>
      <c r="KJK242" s="16"/>
      <c r="KJL242" s="16"/>
      <c r="KJM242" s="16"/>
      <c r="KJN242" s="15"/>
      <c r="KJO242" s="15"/>
      <c r="KJP242" s="10"/>
      <c r="KJQ242" s="10"/>
      <c r="KJR242" s="19"/>
      <c r="KJS242" s="19"/>
      <c r="KJV242" s="16"/>
      <c r="KJW242" s="15"/>
      <c r="KJX242" s="15"/>
      <c r="KJY242" s="15"/>
      <c r="KJZ242" s="16"/>
      <c r="KKA242" s="16"/>
      <c r="KKB242" s="16"/>
      <c r="KKC242" s="16"/>
      <c r="KKD242" s="16"/>
      <c r="KKE242" s="15"/>
      <c r="KKF242" s="15"/>
      <c r="KKG242" s="10"/>
      <c r="KKH242" s="10"/>
      <c r="KKI242" s="19"/>
      <c r="KKJ242" s="19"/>
      <c r="KKM242" s="16"/>
      <c r="KKN242" s="15"/>
      <c r="KKO242" s="15"/>
      <c r="KKP242" s="15"/>
      <c r="KKQ242" s="16"/>
      <c r="KKR242" s="16"/>
      <c r="KKS242" s="16"/>
      <c r="KKT242" s="16"/>
      <c r="KKU242" s="16"/>
      <c r="KKV242" s="15"/>
      <c r="KKW242" s="15"/>
      <c r="KKX242" s="10"/>
      <c r="KKY242" s="10"/>
      <c r="KKZ242" s="19"/>
      <c r="KLA242" s="19"/>
      <c r="KLD242" s="16"/>
      <c r="KLE242" s="15"/>
      <c r="KLF242" s="15"/>
      <c r="KLG242" s="15"/>
      <c r="KLH242" s="16"/>
      <c r="KLI242" s="16"/>
      <c r="KLJ242" s="16"/>
      <c r="KLK242" s="16"/>
      <c r="KLL242" s="16"/>
      <c r="KLM242" s="15"/>
      <c r="KLN242" s="15"/>
      <c r="KLO242" s="10"/>
      <c r="KLP242" s="10"/>
      <c r="KLQ242" s="19"/>
      <c r="KLR242" s="19"/>
      <c r="KLU242" s="16"/>
      <c r="KLV242" s="15"/>
      <c r="KLW242" s="15"/>
      <c r="KLX242" s="15"/>
      <c r="KLY242" s="16"/>
      <c r="KLZ242" s="16"/>
      <c r="KMA242" s="16"/>
      <c r="KMB242" s="16"/>
      <c r="KMC242" s="16"/>
      <c r="KMD242" s="15"/>
      <c r="KME242" s="15"/>
      <c r="KMF242" s="10"/>
      <c r="KMG242" s="10"/>
      <c r="KMH242" s="19"/>
      <c r="KMI242" s="19"/>
      <c r="KML242" s="16"/>
      <c r="KMM242" s="15"/>
      <c r="KMN242" s="15"/>
      <c r="KMO242" s="15"/>
      <c r="KMP242" s="16"/>
      <c r="KMQ242" s="16"/>
      <c r="KMR242" s="16"/>
      <c r="KMS242" s="16"/>
      <c r="KMT242" s="16"/>
      <c r="KMU242" s="15"/>
      <c r="KMV242" s="15"/>
      <c r="KMW242" s="10"/>
      <c r="KMX242" s="10"/>
      <c r="KMY242" s="19"/>
      <c r="KMZ242" s="19"/>
      <c r="KNC242" s="16"/>
      <c r="KND242" s="15"/>
      <c r="KNE242" s="15"/>
      <c r="KNF242" s="15"/>
      <c r="KNG242" s="16"/>
      <c r="KNH242" s="16"/>
      <c r="KNI242" s="16"/>
      <c r="KNJ242" s="16"/>
      <c r="KNK242" s="16"/>
      <c r="KNL242" s="15"/>
      <c r="KNM242" s="15"/>
      <c r="KNN242" s="10"/>
      <c r="KNO242" s="10"/>
      <c r="KNP242" s="19"/>
      <c r="KNQ242" s="19"/>
      <c r="KNT242" s="16"/>
      <c r="KNU242" s="15"/>
      <c r="KNV242" s="15"/>
      <c r="KNW242" s="15"/>
      <c r="KNX242" s="16"/>
      <c r="KNY242" s="16"/>
      <c r="KNZ242" s="16"/>
      <c r="KOA242" s="16"/>
      <c r="KOB242" s="16"/>
      <c r="KOC242" s="15"/>
      <c r="KOD242" s="15"/>
      <c r="KOE242" s="10"/>
      <c r="KOF242" s="10"/>
      <c r="KOG242" s="19"/>
      <c r="KOH242" s="19"/>
      <c r="KOK242" s="16"/>
      <c r="KOL242" s="15"/>
      <c r="KOM242" s="15"/>
      <c r="KON242" s="15"/>
      <c r="KOO242" s="16"/>
      <c r="KOP242" s="16"/>
      <c r="KOQ242" s="16"/>
      <c r="KOR242" s="16"/>
      <c r="KOS242" s="16"/>
      <c r="KOT242" s="15"/>
      <c r="KOU242" s="15"/>
      <c r="KOV242" s="10"/>
      <c r="KOW242" s="10"/>
      <c r="KOX242" s="19"/>
      <c r="KOY242" s="19"/>
      <c r="KPB242" s="16"/>
      <c r="KPC242" s="15"/>
      <c r="KPD242" s="15"/>
      <c r="KPE242" s="15"/>
      <c r="KPF242" s="16"/>
      <c r="KPG242" s="16"/>
      <c r="KPH242" s="16"/>
      <c r="KPI242" s="16"/>
      <c r="KPJ242" s="16"/>
      <c r="KPK242" s="15"/>
      <c r="KPL242" s="15"/>
      <c r="KPM242" s="10"/>
      <c r="KPN242" s="10"/>
      <c r="KPO242" s="19"/>
      <c r="KPP242" s="19"/>
      <c r="KPS242" s="16"/>
      <c r="KPT242" s="15"/>
      <c r="KPU242" s="15"/>
      <c r="KPV242" s="15"/>
      <c r="KPW242" s="16"/>
      <c r="KPX242" s="16"/>
      <c r="KPY242" s="16"/>
      <c r="KPZ242" s="16"/>
      <c r="KQA242" s="16"/>
      <c r="KQB242" s="15"/>
      <c r="KQC242" s="15"/>
      <c r="KQD242" s="10"/>
      <c r="KQE242" s="10"/>
      <c r="KQF242" s="19"/>
      <c r="KQG242" s="19"/>
      <c r="KQJ242" s="16"/>
      <c r="KQK242" s="15"/>
      <c r="KQL242" s="15"/>
      <c r="KQM242" s="15"/>
      <c r="KQN242" s="16"/>
      <c r="KQO242" s="16"/>
      <c r="KQP242" s="16"/>
      <c r="KQQ242" s="16"/>
      <c r="KQR242" s="16"/>
      <c r="KQS242" s="15"/>
      <c r="KQT242" s="15"/>
      <c r="KQU242" s="10"/>
      <c r="KQV242" s="10"/>
      <c r="KQW242" s="19"/>
      <c r="KQX242" s="19"/>
      <c r="KRA242" s="16"/>
      <c r="KRB242" s="15"/>
      <c r="KRC242" s="15"/>
      <c r="KRD242" s="15"/>
      <c r="KRE242" s="16"/>
      <c r="KRF242" s="16"/>
      <c r="KRG242" s="16"/>
      <c r="KRH242" s="16"/>
      <c r="KRI242" s="16"/>
      <c r="KRJ242" s="15"/>
      <c r="KRK242" s="15"/>
      <c r="KRL242" s="10"/>
      <c r="KRM242" s="10"/>
      <c r="KRN242" s="19"/>
      <c r="KRO242" s="19"/>
      <c r="KRR242" s="16"/>
      <c r="KRS242" s="15"/>
      <c r="KRT242" s="15"/>
      <c r="KRU242" s="15"/>
      <c r="KRV242" s="16"/>
      <c r="KRW242" s="16"/>
      <c r="KRX242" s="16"/>
      <c r="KRY242" s="16"/>
      <c r="KRZ242" s="16"/>
      <c r="KSA242" s="15"/>
      <c r="KSB242" s="15"/>
      <c r="KSC242" s="10"/>
      <c r="KSD242" s="10"/>
      <c r="KSE242" s="19"/>
      <c r="KSF242" s="19"/>
      <c r="KSI242" s="16"/>
      <c r="KSJ242" s="15"/>
      <c r="KSK242" s="15"/>
      <c r="KSL242" s="15"/>
      <c r="KSM242" s="16"/>
      <c r="KSN242" s="16"/>
      <c r="KSO242" s="16"/>
      <c r="KSP242" s="16"/>
      <c r="KSQ242" s="16"/>
      <c r="KSR242" s="15"/>
      <c r="KSS242" s="15"/>
      <c r="KST242" s="10"/>
      <c r="KSU242" s="10"/>
      <c r="KSV242" s="19"/>
      <c r="KSW242" s="19"/>
      <c r="KSZ242" s="16"/>
      <c r="KTA242" s="15"/>
      <c r="KTB242" s="15"/>
      <c r="KTC242" s="15"/>
      <c r="KTD242" s="16"/>
      <c r="KTE242" s="16"/>
      <c r="KTF242" s="16"/>
      <c r="KTG242" s="16"/>
      <c r="KTH242" s="16"/>
      <c r="KTI242" s="15"/>
      <c r="KTJ242" s="15"/>
      <c r="KTK242" s="10"/>
      <c r="KTL242" s="10"/>
      <c r="KTM242" s="19"/>
      <c r="KTN242" s="19"/>
      <c r="KTQ242" s="16"/>
      <c r="KTR242" s="15"/>
      <c r="KTS242" s="15"/>
      <c r="KTT242" s="15"/>
      <c r="KTU242" s="16"/>
      <c r="KTV242" s="16"/>
      <c r="KTW242" s="16"/>
      <c r="KTX242" s="16"/>
      <c r="KTY242" s="16"/>
      <c r="KTZ242" s="15"/>
      <c r="KUA242" s="15"/>
      <c r="KUB242" s="10"/>
      <c r="KUC242" s="10"/>
      <c r="KUD242" s="19"/>
      <c r="KUE242" s="19"/>
      <c r="KUH242" s="16"/>
      <c r="KUI242" s="15"/>
      <c r="KUJ242" s="15"/>
      <c r="KUK242" s="15"/>
      <c r="KUL242" s="16"/>
      <c r="KUM242" s="16"/>
      <c r="KUN242" s="16"/>
      <c r="KUO242" s="16"/>
      <c r="KUP242" s="16"/>
      <c r="KUQ242" s="15"/>
      <c r="KUR242" s="15"/>
      <c r="KUS242" s="10"/>
      <c r="KUT242" s="10"/>
      <c r="KUU242" s="19"/>
      <c r="KUV242" s="19"/>
      <c r="KUY242" s="16"/>
      <c r="KUZ242" s="15"/>
      <c r="KVA242" s="15"/>
      <c r="KVB242" s="15"/>
      <c r="KVC242" s="16"/>
      <c r="KVD242" s="16"/>
      <c r="KVE242" s="16"/>
      <c r="KVF242" s="16"/>
      <c r="KVG242" s="16"/>
      <c r="KVH242" s="15"/>
      <c r="KVI242" s="15"/>
      <c r="KVJ242" s="10"/>
      <c r="KVK242" s="10"/>
      <c r="KVL242" s="19"/>
      <c r="KVM242" s="19"/>
      <c r="KVP242" s="16"/>
      <c r="KVQ242" s="15"/>
      <c r="KVR242" s="15"/>
      <c r="KVS242" s="15"/>
      <c r="KVT242" s="16"/>
      <c r="KVU242" s="16"/>
      <c r="KVV242" s="16"/>
      <c r="KVW242" s="16"/>
      <c r="KVX242" s="16"/>
      <c r="KVY242" s="15"/>
      <c r="KVZ242" s="15"/>
      <c r="KWA242" s="10"/>
      <c r="KWB242" s="10"/>
      <c r="KWC242" s="19"/>
      <c r="KWD242" s="19"/>
      <c r="KWG242" s="16"/>
      <c r="KWH242" s="15"/>
      <c r="KWI242" s="15"/>
      <c r="KWJ242" s="15"/>
      <c r="KWK242" s="16"/>
      <c r="KWL242" s="16"/>
      <c r="KWM242" s="16"/>
      <c r="KWN242" s="16"/>
      <c r="KWO242" s="16"/>
      <c r="KWP242" s="15"/>
      <c r="KWQ242" s="15"/>
      <c r="KWR242" s="10"/>
      <c r="KWS242" s="10"/>
      <c r="KWT242" s="19"/>
      <c r="KWU242" s="19"/>
      <c r="KWX242" s="16"/>
      <c r="KWY242" s="15"/>
      <c r="KWZ242" s="15"/>
      <c r="KXA242" s="15"/>
      <c r="KXB242" s="16"/>
      <c r="KXC242" s="16"/>
      <c r="KXD242" s="16"/>
      <c r="KXE242" s="16"/>
      <c r="KXF242" s="16"/>
      <c r="KXG242" s="15"/>
      <c r="KXH242" s="15"/>
      <c r="KXI242" s="10"/>
      <c r="KXJ242" s="10"/>
      <c r="KXK242" s="19"/>
      <c r="KXL242" s="19"/>
      <c r="KXO242" s="16"/>
      <c r="KXP242" s="15"/>
      <c r="KXQ242" s="15"/>
      <c r="KXR242" s="15"/>
      <c r="KXS242" s="16"/>
      <c r="KXT242" s="16"/>
      <c r="KXU242" s="16"/>
      <c r="KXV242" s="16"/>
      <c r="KXW242" s="16"/>
      <c r="KXX242" s="15"/>
      <c r="KXY242" s="15"/>
      <c r="KXZ242" s="10"/>
      <c r="KYA242" s="10"/>
      <c r="KYB242" s="19"/>
      <c r="KYC242" s="19"/>
      <c r="KYF242" s="16"/>
      <c r="KYG242" s="15"/>
      <c r="KYH242" s="15"/>
      <c r="KYI242" s="15"/>
      <c r="KYJ242" s="16"/>
      <c r="KYK242" s="16"/>
      <c r="KYL242" s="16"/>
      <c r="KYM242" s="16"/>
      <c r="KYN242" s="16"/>
      <c r="KYO242" s="15"/>
      <c r="KYP242" s="15"/>
      <c r="KYQ242" s="10"/>
      <c r="KYR242" s="10"/>
      <c r="KYS242" s="19"/>
      <c r="KYT242" s="19"/>
      <c r="KYW242" s="16"/>
      <c r="KYX242" s="15"/>
      <c r="KYY242" s="15"/>
      <c r="KYZ242" s="15"/>
      <c r="KZA242" s="16"/>
      <c r="KZB242" s="16"/>
      <c r="KZC242" s="16"/>
      <c r="KZD242" s="16"/>
      <c r="KZE242" s="16"/>
      <c r="KZF242" s="15"/>
      <c r="KZG242" s="15"/>
      <c r="KZH242" s="10"/>
      <c r="KZI242" s="10"/>
      <c r="KZJ242" s="19"/>
      <c r="KZK242" s="19"/>
      <c r="KZN242" s="16"/>
      <c r="KZO242" s="15"/>
      <c r="KZP242" s="15"/>
      <c r="KZQ242" s="15"/>
      <c r="KZR242" s="16"/>
      <c r="KZS242" s="16"/>
      <c r="KZT242" s="16"/>
      <c r="KZU242" s="16"/>
      <c r="KZV242" s="16"/>
      <c r="KZW242" s="15"/>
      <c r="KZX242" s="15"/>
      <c r="KZY242" s="10"/>
      <c r="KZZ242" s="10"/>
      <c r="LAA242" s="19"/>
      <c r="LAB242" s="19"/>
      <c r="LAE242" s="16"/>
      <c r="LAF242" s="15"/>
      <c r="LAG242" s="15"/>
      <c r="LAH242" s="15"/>
      <c r="LAI242" s="16"/>
      <c r="LAJ242" s="16"/>
      <c r="LAK242" s="16"/>
      <c r="LAL242" s="16"/>
      <c r="LAM242" s="16"/>
      <c r="LAN242" s="15"/>
      <c r="LAO242" s="15"/>
      <c r="LAP242" s="10"/>
      <c r="LAQ242" s="10"/>
      <c r="LAR242" s="19"/>
      <c r="LAS242" s="19"/>
      <c r="LAV242" s="16"/>
      <c r="LAW242" s="15"/>
      <c r="LAX242" s="15"/>
      <c r="LAY242" s="15"/>
      <c r="LAZ242" s="16"/>
      <c r="LBA242" s="16"/>
      <c r="LBB242" s="16"/>
      <c r="LBC242" s="16"/>
      <c r="LBD242" s="16"/>
      <c r="LBE242" s="15"/>
      <c r="LBF242" s="15"/>
      <c r="LBG242" s="10"/>
      <c r="LBH242" s="10"/>
      <c r="LBI242" s="19"/>
      <c r="LBJ242" s="19"/>
      <c r="LBM242" s="16"/>
      <c r="LBN242" s="15"/>
      <c r="LBO242" s="15"/>
      <c r="LBP242" s="15"/>
      <c r="LBQ242" s="16"/>
      <c r="LBR242" s="16"/>
      <c r="LBS242" s="16"/>
      <c r="LBT242" s="16"/>
      <c r="LBU242" s="16"/>
      <c r="LBV242" s="15"/>
      <c r="LBW242" s="15"/>
      <c r="LBX242" s="10"/>
      <c r="LBY242" s="10"/>
      <c r="LBZ242" s="19"/>
      <c r="LCA242" s="19"/>
      <c r="LCD242" s="16"/>
      <c r="LCE242" s="15"/>
      <c r="LCF242" s="15"/>
      <c r="LCG242" s="15"/>
      <c r="LCH242" s="16"/>
      <c r="LCI242" s="16"/>
      <c r="LCJ242" s="16"/>
      <c r="LCK242" s="16"/>
      <c r="LCL242" s="16"/>
      <c r="LCM242" s="15"/>
      <c r="LCN242" s="15"/>
      <c r="LCO242" s="10"/>
      <c r="LCP242" s="10"/>
      <c r="LCQ242" s="19"/>
      <c r="LCR242" s="19"/>
      <c r="LCU242" s="16"/>
      <c r="LCV242" s="15"/>
      <c r="LCW242" s="15"/>
      <c r="LCX242" s="15"/>
      <c r="LCY242" s="16"/>
      <c r="LCZ242" s="16"/>
      <c r="LDA242" s="16"/>
      <c r="LDB242" s="16"/>
      <c r="LDC242" s="16"/>
      <c r="LDD242" s="15"/>
      <c r="LDE242" s="15"/>
      <c r="LDF242" s="10"/>
      <c r="LDG242" s="10"/>
      <c r="LDH242" s="19"/>
      <c r="LDI242" s="19"/>
      <c r="LDL242" s="16"/>
      <c r="LDM242" s="15"/>
      <c r="LDN242" s="15"/>
      <c r="LDO242" s="15"/>
      <c r="LDP242" s="16"/>
      <c r="LDQ242" s="16"/>
      <c r="LDR242" s="16"/>
      <c r="LDS242" s="16"/>
      <c r="LDT242" s="16"/>
      <c r="LDU242" s="15"/>
      <c r="LDV242" s="15"/>
      <c r="LDW242" s="10"/>
      <c r="LDX242" s="10"/>
      <c r="LDY242" s="19"/>
      <c r="LDZ242" s="19"/>
      <c r="LEC242" s="16"/>
      <c r="LED242" s="15"/>
      <c r="LEE242" s="15"/>
      <c r="LEF242" s="15"/>
      <c r="LEG242" s="16"/>
      <c r="LEH242" s="16"/>
      <c r="LEI242" s="16"/>
      <c r="LEJ242" s="16"/>
      <c r="LEK242" s="16"/>
      <c r="LEL242" s="15"/>
      <c r="LEM242" s="15"/>
      <c r="LEN242" s="10"/>
      <c r="LEO242" s="10"/>
      <c r="LEP242" s="19"/>
      <c r="LEQ242" s="19"/>
      <c r="LET242" s="16"/>
      <c r="LEU242" s="15"/>
      <c r="LEV242" s="15"/>
      <c r="LEW242" s="15"/>
      <c r="LEX242" s="16"/>
      <c r="LEY242" s="16"/>
      <c r="LEZ242" s="16"/>
      <c r="LFA242" s="16"/>
      <c r="LFB242" s="16"/>
      <c r="LFC242" s="15"/>
      <c r="LFD242" s="15"/>
      <c r="LFE242" s="10"/>
      <c r="LFF242" s="10"/>
      <c r="LFG242" s="19"/>
      <c r="LFH242" s="19"/>
      <c r="LFK242" s="16"/>
      <c r="LFL242" s="15"/>
      <c r="LFM242" s="15"/>
      <c r="LFN242" s="15"/>
      <c r="LFO242" s="16"/>
      <c r="LFP242" s="16"/>
      <c r="LFQ242" s="16"/>
      <c r="LFR242" s="16"/>
      <c r="LFS242" s="16"/>
      <c r="LFT242" s="15"/>
      <c r="LFU242" s="15"/>
      <c r="LFV242" s="10"/>
      <c r="LFW242" s="10"/>
      <c r="LFX242" s="19"/>
      <c r="LFY242" s="19"/>
      <c r="LGB242" s="16"/>
      <c r="LGC242" s="15"/>
      <c r="LGD242" s="15"/>
      <c r="LGE242" s="15"/>
      <c r="LGF242" s="16"/>
      <c r="LGG242" s="16"/>
      <c r="LGH242" s="16"/>
      <c r="LGI242" s="16"/>
      <c r="LGJ242" s="16"/>
      <c r="LGK242" s="15"/>
      <c r="LGL242" s="15"/>
      <c r="LGM242" s="10"/>
      <c r="LGN242" s="10"/>
      <c r="LGO242" s="19"/>
      <c r="LGP242" s="19"/>
      <c r="LGS242" s="16"/>
      <c r="LGT242" s="15"/>
      <c r="LGU242" s="15"/>
      <c r="LGV242" s="15"/>
      <c r="LGW242" s="16"/>
      <c r="LGX242" s="16"/>
      <c r="LGY242" s="16"/>
      <c r="LGZ242" s="16"/>
      <c r="LHA242" s="16"/>
      <c r="LHB242" s="15"/>
      <c r="LHC242" s="15"/>
      <c r="LHD242" s="10"/>
      <c r="LHE242" s="10"/>
      <c r="LHF242" s="19"/>
      <c r="LHG242" s="19"/>
      <c r="LHJ242" s="16"/>
      <c r="LHK242" s="15"/>
      <c r="LHL242" s="15"/>
      <c r="LHM242" s="15"/>
      <c r="LHN242" s="16"/>
      <c r="LHO242" s="16"/>
      <c r="LHP242" s="16"/>
      <c r="LHQ242" s="16"/>
      <c r="LHR242" s="16"/>
      <c r="LHS242" s="15"/>
      <c r="LHT242" s="15"/>
      <c r="LHU242" s="10"/>
      <c r="LHV242" s="10"/>
      <c r="LHW242" s="19"/>
      <c r="LHX242" s="19"/>
      <c r="LIA242" s="16"/>
      <c r="LIB242" s="15"/>
      <c r="LIC242" s="15"/>
      <c r="LID242" s="15"/>
      <c r="LIE242" s="16"/>
      <c r="LIF242" s="16"/>
      <c r="LIG242" s="16"/>
      <c r="LIH242" s="16"/>
      <c r="LII242" s="16"/>
      <c r="LIJ242" s="15"/>
      <c r="LIK242" s="15"/>
      <c r="LIL242" s="10"/>
      <c r="LIM242" s="10"/>
      <c r="LIN242" s="19"/>
      <c r="LIO242" s="19"/>
      <c r="LIR242" s="16"/>
      <c r="LIS242" s="15"/>
      <c r="LIT242" s="15"/>
      <c r="LIU242" s="15"/>
      <c r="LIV242" s="16"/>
      <c r="LIW242" s="16"/>
      <c r="LIX242" s="16"/>
      <c r="LIY242" s="16"/>
      <c r="LIZ242" s="16"/>
      <c r="LJA242" s="15"/>
      <c r="LJB242" s="15"/>
      <c r="LJC242" s="10"/>
      <c r="LJD242" s="10"/>
      <c r="LJE242" s="19"/>
      <c r="LJF242" s="19"/>
      <c r="LJI242" s="16"/>
      <c r="LJJ242" s="15"/>
      <c r="LJK242" s="15"/>
      <c r="LJL242" s="15"/>
      <c r="LJM242" s="16"/>
      <c r="LJN242" s="16"/>
      <c r="LJO242" s="16"/>
      <c r="LJP242" s="16"/>
      <c r="LJQ242" s="16"/>
      <c r="LJR242" s="15"/>
      <c r="LJS242" s="15"/>
      <c r="LJT242" s="10"/>
      <c r="LJU242" s="10"/>
      <c r="LJV242" s="19"/>
      <c r="LJW242" s="19"/>
      <c r="LJZ242" s="16"/>
      <c r="LKA242" s="15"/>
      <c r="LKB242" s="15"/>
      <c r="LKC242" s="15"/>
      <c r="LKD242" s="16"/>
      <c r="LKE242" s="16"/>
      <c r="LKF242" s="16"/>
      <c r="LKG242" s="16"/>
      <c r="LKH242" s="16"/>
      <c r="LKI242" s="15"/>
      <c r="LKJ242" s="15"/>
      <c r="LKK242" s="10"/>
      <c r="LKL242" s="10"/>
      <c r="LKM242" s="19"/>
      <c r="LKN242" s="19"/>
      <c r="LKQ242" s="16"/>
      <c r="LKR242" s="15"/>
      <c r="LKS242" s="15"/>
      <c r="LKT242" s="15"/>
      <c r="LKU242" s="16"/>
      <c r="LKV242" s="16"/>
      <c r="LKW242" s="16"/>
      <c r="LKX242" s="16"/>
      <c r="LKY242" s="16"/>
      <c r="LKZ242" s="15"/>
      <c r="LLA242" s="15"/>
      <c r="LLB242" s="10"/>
      <c r="LLC242" s="10"/>
      <c r="LLD242" s="19"/>
      <c r="LLE242" s="19"/>
      <c r="LLH242" s="16"/>
      <c r="LLI242" s="15"/>
      <c r="LLJ242" s="15"/>
      <c r="LLK242" s="15"/>
      <c r="LLL242" s="16"/>
      <c r="LLM242" s="16"/>
      <c r="LLN242" s="16"/>
      <c r="LLO242" s="16"/>
      <c r="LLP242" s="16"/>
      <c r="LLQ242" s="15"/>
      <c r="LLR242" s="15"/>
      <c r="LLS242" s="10"/>
      <c r="LLT242" s="10"/>
      <c r="LLU242" s="19"/>
      <c r="LLV242" s="19"/>
      <c r="LLY242" s="16"/>
      <c r="LLZ242" s="15"/>
      <c r="LMA242" s="15"/>
      <c r="LMB242" s="15"/>
      <c r="LMC242" s="16"/>
      <c r="LMD242" s="16"/>
      <c r="LME242" s="16"/>
      <c r="LMF242" s="16"/>
      <c r="LMG242" s="16"/>
      <c r="LMH242" s="15"/>
      <c r="LMI242" s="15"/>
      <c r="LMJ242" s="10"/>
      <c r="LMK242" s="10"/>
      <c r="LML242" s="19"/>
      <c r="LMM242" s="19"/>
      <c r="LMP242" s="16"/>
      <c r="LMQ242" s="15"/>
      <c r="LMR242" s="15"/>
      <c r="LMS242" s="15"/>
      <c r="LMT242" s="16"/>
      <c r="LMU242" s="16"/>
      <c r="LMV242" s="16"/>
      <c r="LMW242" s="16"/>
      <c r="LMX242" s="16"/>
      <c r="LMY242" s="15"/>
      <c r="LMZ242" s="15"/>
      <c r="LNA242" s="10"/>
      <c r="LNB242" s="10"/>
      <c r="LNC242" s="19"/>
      <c r="LND242" s="19"/>
      <c r="LNG242" s="16"/>
      <c r="LNH242" s="15"/>
      <c r="LNI242" s="15"/>
      <c r="LNJ242" s="15"/>
      <c r="LNK242" s="16"/>
      <c r="LNL242" s="16"/>
      <c r="LNM242" s="16"/>
      <c r="LNN242" s="16"/>
      <c r="LNO242" s="16"/>
      <c r="LNP242" s="15"/>
      <c r="LNQ242" s="15"/>
      <c r="LNR242" s="10"/>
      <c r="LNS242" s="10"/>
      <c r="LNT242" s="19"/>
      <c r="LNU242" s="19"/>
      <c r="LNX242" s="16"/>
      <c r="LNY242" s="15"/>
      <c r="LNZ242" s="15"/>
      <c r="LOA242" s="15"/>
      <c r="LOB242" s="16"/>
      <c r="LOC242" s="16"/>
      <c r="LOD242" s="16"/>
      <c r="LOE242" s="16"/>
      <c r="LOF242" s="16"/>
      <c r="LOG242" s="15"/>
      <c r="LOH242" s="15"/>
      <c r="LOI242" s="10"/>
      <c r="LOJ242" s="10"/>
      <c r="LOK242" s="19"/>
      <c r="LOL242" s="19"/>
      <c r="LOO242" s="16"/>
      <c r="LOP242" s="15"/>
      <c r="LOQ242" s="15"/>
      <c r="LOR242" s="15"/>
      <c r="LOS242" s="16"/>
      <c r="LOT242" s="16"/>
      <c r="LOU242" s="16"/>
      <c r="LOV242" s="16"/>
      <c r="LOW242" s="16"/>
      <c r="LOX242" s="15"/>
      <c r="LOY242" s="15"/>
      <c r="LOZ242" s="10"/>
      <c r="LPA242" s="10"/>
      <c r="LPB242" s="19"/>
      <c r="LPC242" s="19"/>
      <c r="LPF242" s="16"/>
      <c r="LPG242" s="15"/>
      <c r="LPH242" s="15"/>
      <c r="LPI242" s="15"/>
      <c r="LPJ242" s="16"/>
      <c r="LPK242" s="16"/>
      <c r="LPL242" s="16"/>
      <c r="LPM242" s="16"/>
      <c r="LPN242" s="16"/>
      <c r="LPO242" s="15"/>
      <c r="LPP242" s="15"/>
      <c r="LPQ242" s="10"/>
      <c r="LPR242" s="10"/>
      <c r="LPS242" s="19"/>
      <c r="LPT242" s="19"/>
      <c r="LPW242" s="16"/>
      <c r="LPX242" s="15"/>
      <c r="LPY242" s="15"/>
      <c r="LPZ242" s="15"/>
      <c r="LQA242" s="16"/>
      <c r="LQB242" s="16"/>
      <c r="LQC242" s="16"/>
      <c r="LQD242" s="16"/>
      <c r="LQE242" s="16"/>
      <c r="LQF242" s="15"/>
      <c r="LQG242" s="15"/>
      <c r="LQH242" s="10"/>
      <c r="LQI242" s="10"/>
      <c r="LQJ242" s="19"/>
      <c r="LQK242" s="19"/>
      <c r="LQN242" s="16"/>
      <c r="LQO242" s="15"/>
      <c r="LQP242" s="15"/>
      <c r="LQQ242" s="15"/>
      <c r="LQR242" s="16"/>
      <c r="LQS242" s="16"/>
      <c r="LQT242" s="16"/>
      <c r="LQU242" s="16"/>
      <c r="LQV242" s="16"/>
      <c r="LQW242" s="15"/>
      <c r="LQX242" s="15"/>
      <c r="LQY242" s="10"/>
      <c r="LQZ242" s="10"/>
      <c r="LRA242" s="19"/>
      <c r="LRB242" s="19"/>
      <c r="LRE242" s="16"/>
      <c r="LRF242" s="15"/>
      <c r="LRG242" s="15"/>
      <c r="LRH242" s="15"/>
      <c r="LRI242" s="16"/>
      <c r="LRJ242" s="16"/>
      <c r="LRK242" s="16"/>
      <c r="LRL242" s="16"/>
      <c r="LRM242" s="16"/>
      <c r="LRN242" s="15"/>
      <c r="LRO242" s="15"/>
      <c r="LRP242" s="10"/>
      <c r="LRQ242" s="10"/>
      <c r="LRR242" s="19"/>
      <c r="LRS242" s="19"/>
      <c r="LRV242" s="16"/>
      <c r="LRW242" s="15"/>
      <c r="LRX242" s="15"/>
      <c r="LRY242" s="15"/>
      <c r="LRZ242" s="16"/>
      <c r="LSA242" s="16"/>
      <c r="LSB242" s="16"/>
      <c r="LSC242" s="16"/>
      <c r="LSD242" s="16"/>
      <c r="LSE242" s="15"/>
      <c r="LSF242" s="15"/>
      <c r="LSG242" s="10"/>
      <c r="LSH242" s="10"/>
      <c r="LSI242" s="19"/>
      <c r="LSJ242" s="19"/>
      <c r="LSM242" s="16"/>
      <c r="LSN242" s="15"/>
      <c r="LSO242" s="15"/>
      <c r="LSP242" s="15"/>
      <c r="LSQ242" s="16"/>
      <c r="LSR242" s="16"/>
      <c r="LSS242" s="16"/>
      <c r="LST242" s="16"/>
      <c r="LSU242" s="16"/>
      <c r="LSV242" s="15"/>
      <c r="LSW242" s="15"/>
      <c r="LSX242" s="10"/>
      <c r="LSY242" s="10"/>
      <c r="LSZ242" s="19"/>
      <c r="LTA242" s="19"/>
      <c r="LTD242" s="16"/>
      <c r="LTE242" s="15"/>
      <c r="LTF242" s="15"/>
      <c r="LTG242" s="15"/>
      <c r="LTH242" s="16"/>
      <c r="LTI242" s="16"/>
      <c r="LTJ242" s="16"/>
      <c r="LTK242" s="16"/>
      <c r="LTL242" s="16"/>
      <c r="LTM242" s="15"/>
      <c r="LTN242" s="15"/>
      <c r="LTO242" s="10"/>
      <c r="LTP242" s="10"/>
      <c r="LTQ242" s="19"/>
      <c r="LTR242" s="19"/>
      <c r="LTU242" s="16"/>
      <c r="LTV242" s="15"/>
      <c r="LTW242" s="15"/>
      <c r="LTX242" s="15"/>
      <c r="LTY242" s="16"/>
      <c r="LTZ242" s="16"/>
      <c r="LUA242" s="16"/>
      <c r="LUB242" s="16"/>
      <c r="LUC242" s="16"/>
      <c r="LUD242" s="15"/>
      <c r="LUE242" s="15"/>
      <c r="LUF242" s="10"/>
      <c r="LUG242" s="10"/>
      <c r="LUH242" s="19"/>
      <c r="LUI242" s="19"/>
      <c r="LUL242" s="16"/>
      <c r="LUM242" s="15"/>
      <c r="LUN242" s="15"/>
      <c r="LUO242" s="15"/>
      <c r="LUP242" s="16"/>
      <c r="LUQ242" s="16"/>
      <c r="LUR242" s="16"/>
      <c r="LUS242" s="16"/>
      <c r="LUT242" s="16"/>
      <c r="LUU242" s="15"/>
      <c r="LUV242" s="15"/>
      <c r="LUW242" s="10"/>
      <c r="LUX242" s="10"/>
      <c r="LUY242" s="19"/>
      <c r="LUZ242" s="19"/>
      <c r="LVC242" s="16"/>
      <c r="LVD242" s="15"/>
      <c r="LVE242" s="15"/>
      <c r="LVF242" s="15"/>
      <c r="LVG242" s="16"/>
      <c r="LVH242" s="16"/>
      <c r="LVI242" s="16"/>
      <c r="LVJ242" s="16"/>
      <c r="LVK242" s="16"/>
      <c r="LVL242" s="15"/>
      <c r="LVM242" s="15"/>
      <c r="LVN242" s="10"/>
      <c r="LVO242" s="10"/>
      <c r="LVP242" s="19"/>
      <c r="LVQ242" s="19"/>
      <c r="LVT242" s="16"/>
      <c r="LVU242" s="15"/>
      <c r="LVV242" s="15"/>
      <c r="LVW242" s="15"/>
      <c r="LVX242" s="16"/>
      <c r="LVY242" s="16"/>
      <c r="LVZ242" s="16"/>
      <c r="LWA242" s="16"/>
      <c r="LWB242" s="16"/>
      <c r="LWC242" s="15"/>
      <c r="LWD242" s="15"/>
      <c r="LWE242" s="10"/>
      <c r="LWF242" s="10"/>
      <c r="LWG242" s="19"/>
      <c r="LWH242" s="19"/>
      <c r="LWK242" s="16"/>
      <c r="LWL242" s="15"/>
      <c r="LWM242" s="15"/>
      <c r="LWN242" s="15"/>
      <c r="LWO242" s="16"/>
      <c r="LWP242" s="16"/>
      <c r="LWQ242" s="16"/>
      <c r="LWR242" s="16"/>
      <c r="LWS242" s="16"/>
      <c r="LWT242" s="15"/>
      <c r="LWU242" s="15"/>
      <c r="LWV242" s="10"/>
      <c r="LWW242" s="10"/>
      <c r="LWX242" s="19"/>
      <c r="LWY242" s="19"/>
      <c r="LXB242" s="16"/>
      <c r="LXC242" s="15"/>
      <c r="LXD242" s="15"/>
      <c r="LXE242" s="15"/>
      <c r="LXF242" s="16"/>
      <c r="LXG242" s="16"/>
      <c r="LXH242" s="16"/>
      <c r="LXI242" s="16"/>
      <c r="LXJ242" s="16"/>
      <c r="LXK242" s="15"/>
      <c r="LXL242" s="15"/>
      <c r="LXM242" s="10"/>
      <c r="LXN242" s="10"/>
      <c r="LXO242" s="19"/>
      <c r="LXP242" s="19"/>
      <c r="LXS242" s="16"/>
      <c r="LXT242" s="15"/>
      <c r="LXU242" s="15"/>
      <c r="LXV242" s="15"/>
      <c r="LXW242" s="16"/>
      <c r="LXX242" s="16"/>
      <c r="LXY242" s="16"/>
      <c r="LXZ242" s="16"/>
      <c r="LYA242" s="16"/>
      <c r="LYB242" s="15"/>
      <c r="LYC242" s="15"/>
      <c r="LYD242" s="10"/>
      <c r="LYE242" s="10"/>
      <c r="LYF242" s="19"/>
      <c r="LYG242" s="19"/>
      <c r="LYJ242" s="16"/>
      <c r="LYK242" s="15"/>
      <c r="LYL242" s="15"/>
      <c r="LYM242" s="15"/>
      <c r="LYN242" s="16"/>
      <c r="LYO242" s="16"/>
      <c r="LYP242" s="16"/>
      <c r="LYQ242" s="16"/>
      <c r="LYR242" s="16"/>
      <c r="LYS242" s="15"/>
      <c r="LYT242" s="15"/>
      <c r="LYU242" s="10"/>
      <c r="LYV242" s="10"/>
      <c r="LYW242" s="19"/>
      <c r="LYX242" s="19"/>
      <c r="LZA242" s="16"/>
      <c r="LZB242" s="15"/>
      <c r="LZC242" s="15"/>
      <c r="LZD242" s="15"/>
      <c r="LZE242" s="16"/>
      <c r="LZF242" s="16"/>
      <c r="LZG242" s="16"/>
      <c r="LZH242" s="16"/>
      <c r="LZI242" s="16"/>
      <c r="LZJ242" s="15"/>
      <c r="LZK242" s="15"/>
      <c r="LZL242" s="10"/>
      <c r="LZM242" s="10"/>
      <c r="LZN242" s="19"/>
      <c r="LZO242" s="19"/>
      <c r="LZR242" s="16"/>
      <c r="LZS242" s="15"/>
      <c r="LZT242" s="15"/>
      <c r="LZU242" s="15"/>
      <c r="LZV242" s="16"/>
      <c r="LZW242" s="16"/>
      <c r="LZX242" s="16"/>
      <c r="LZY242" s="16"/>
      <c r="LZZ242" s="16"/>
      <c r="MAA242" s="15"/>
      <c r="MAB242" s="15"/>
      <c r="MAC242" s="10"/>
      <c r="MAD242" s="10"/>
      <c r="MAE242" s="19"/>
      <c r="MAF242" s="19"/>
      <c r="MAI242" s="16"/>
      <c r="MAJ242" s="15"/>
      <c r="MAK242" s="15"/>
      <c r="MAL242" s="15"/>
      <c r="MAM242" s="16"/>
      <c r="MAN242" s="16"/>
      <c r="MAO242" s="16"/>
      <c r="MAP242" s="16"/>
      <c r="MAQ242" s="16"/>
      <c r="MAR242" s="15"/>
      <c r="MAS242" s="15"/>
      <c r="MAT242" s="10"/>
      <c r="MAU242" s="10"/>
      <c r="MAV242" s="19"/>
      <c r="MAW242" s="19"/>
      <c r="MAZ242" s="16"/>
      <c r="MBA242" s="15"/>
      <c r="MBB242" s="15"/>
      <c r="MBC242" s="15"/>
      <c r="MBD242" s="16"/>
      <c r="MBE242" s="16"/>
      <c r="MBF242" s="16"/>
      <c r="MBG242" s="16"/>
      <c r="MBH242" s="16"/>
      <c r="MBI242" s="15"/>
      <c r="MBJ242" s="15"/>
      <c r="MBK242" s="10"/>
      <c r="MBL242" s="10"/>
      <c r="MBM242" s="19"/>
      <c r="MBN242" s="19"/>
      <c r="MBQ242" s="16"/>
      <c r="MBR242" s="15"/>
      <c r="MBS242" s="15"/>
      <c r="MBT242" s="15"/>
      <c r="MBU242" s="16"/>
      <c r="MBV242" s="16"/>
      <c r="MBW242" s="16"/>
      <c r="MBX242" s="16"/>
      <c r="MBY242" s="16"/>
      <c r="MBZ242" s="15"/>
      <c r="MCA242" s="15"/>
      <c r="MCB242" s="10"/>
      <c r="MCC242" s="10"/>
      <c r="MCD242" s="19"/>
      <c r="MCE242" s="19"/>
      <c r="MCH242" s="16"/>
      <c r="MCI242" s="15"/>
      <c r="MCJ242" s="15"/>
      <c r="MCK242" s="15"/>
      <c r="MCL242" s="16"/>
      <c r="MCM242" s="16"/>
      <c r="MCN242" s="16"/>
      <c r="MCO242" s="16"/>
      <c r="MCP242" s="16"/>
      <c r="MCQ242" s="15"/>
      <c r="MCR242" s="15"/>
      <c r="MCS242" s="10"/>
      <c r="MCT242" s="10"/>
      <c r="MCU242" s="19"/>
      <c r="MCV242" s="19"/>
      <c r="MCY242" s="16"/>
      <c r="MCZ242" s="15"/>
      <c r="MDA242" s="15"/>
      <c r="MDB242" s="15"/>
      <c r="MDC242" s="16"/>
      <c r="MDD242" s="16"/>
      <c r="MDE242" s="16"/>
      <c r="MDF242" s="16"/>
      <c r="MDG242" s="16"/>
      <c r="MDH242" s="15"/>
      <c r="MDI242" s="15"/>
      <c r="MDJ242" s="10"/>
      <c r="MDK242" s="10"/>
      <c r="MDL242" s="19"/>
      <c r="MDM242" s="19"/>
      <c r="MDP242" s="16"/>
      <c r="MDQ242" s="15"/>
      <c r="MDR242" s="15"/>
      <c r="MDS242" s="15"/>
      <c r="MDT242" s="16"/>
      <c r="MDU242" s="16"/>
      <c r="MDV242" s="16"/>
      <c r="MDW242" s="16"/>
      <c r="MDX242" s="16"/>
      <c r="MDY242" s="15"/>
      <c r="MDZ242" s="15"/>
      <c r="MEA242" s="10"/>
      <c r="MEB242" s="10"/>
      <c r="MEC242" s="19"/>
      <c r="MED242" s="19"/>
      <c r="MEG242" s="16"/>
      <c r="MEH242" s="15"/>
      <c r="MEI242" s="15"/>
      <c r="MEJ242" s="15"/>
      <c r="MEK242" s="16"/>
      <c r="MEL242" s="16"/>
      <c r="MEM242" s="16"/>
      <c r="MEN242" s="16"/>
      <c r="MEO242" s="16"/>
      <c r="MEP242" s="15"/>
      <c r="MEQ242" s="15"/>
      <c r="MER242" s="10"/>
      <c r="MES242" s="10"/>
      <c r="MET242" s="19"/>
      <c r="MEU242" s="19"/>
      <c r="MEX242" s="16"/>
      <c r="MEY242" s="15"/>
      <c r="MEZ242" s="15"/>
      <c r="MFA242" s="15"/>
      <c r="MFB242" s="16"/>
      <c r="MFC242" s="16"/>
      <c r="MFD242" s="16"/>
      <c r="MFE242" s="16"/>
      <c r="MFF242" s="16"/>
      <c r="MFG242" s="15"/>
      <c r="MFH242" s="15"/>
      <c r="MFI242" s="10"/>
      <c r="MFJ242" s="10"/>
      <c r="MFK242" s="19"/>
      <c r="MFL242" s="19"/>
      <c r="MFO242" s="16"/>
      <c r="MFP242" s="15"/>
      <c r="MFQ242" s="15"/>
      <c r="MFR242" s="15"/>
      <c r="MFS242" s="16"/>
      <c r="MFT242" s="16"/>
      <c r="MFU242" s="16"/>
      <c r="MFV242" s="16"/>
      <c r="MFW242" s="16"/>
      <c r="MFX242" s="15"/>
      <c r="MFY242" s="15"/>
      <c r="MFZ242" s="10"/>
      <c r="MGA242" s="10"/>
      <c r="MGB242" s="19"/>
      <c r="MGC242" s="19"/>
      <c r="MGF242" s="16"/>
      <c r="MGG242" s="15"/>
      <c r="MGH242" s="15"/>
      <c r="MGI242" s="15"/>
      <c r="MGJ242" s="16"/>
      <c r="MGK242" s="16"/>
      <c r="MGL242" s="16"/>
      <c r="MGM242" s="16"/>
      <c r="MGN242" s="16"/>
      <c r="MGO242" s="15"/>
      <c r="MGP242" s="15"/>
      <c r="MGQ242" s="10"/>
      <c r="MGR242" s="10"/>
      <c r="MGS242" s="19"/>
      <c r="MGT242" s="19"/>
      <c r="MGW242" s="16"/>
      <c r="MGX242" s="15"/>
      <c r="MGY242" s="15"/>
      <c r="MGZ242" s="15"/>
      <c r="MHA242" s="16"/>
      <c r="MHB242" s="16"/>
      <c r="MHC242" s="16"/>
      <c r="MHD242" s="16"/>
      <c r="MHE242" s="16"/>
      <c r="MHF242" s="15"/>
      <c r="MHG242" s="15"/>
      <c r="MHH242" s="10"/>
      <c r="MHI242" s="10"/>
      <c r="MHJ242" s="19"/>
      <c r="MHK242" s="19"/>
      <c r="MHN242" s="16"/>
      <c r="MHO242" s="15"/>
      <c r="MHP242" s="15"/>
      <c r="MHQ242" s="15"/>
      <c r="MHR242" s="16"/>
      <c r="MHS242" s="16"/>
      <c r="MHT242" s="16"/>
      <c r="MHU242" s="16"/>
      <c r="MHV242" s="16"/>
      <c r="MHW242" s="15"/>
      <c r="MHX242" s="15"/>
      <c r="MHY242" s="10"/>
      <c r="MHZ242" s="10"/>
      <c r="MIA242" s="19"/>
      <c r="MIB242" s="19"/>
      <c r="MIE242" s="16"/>
      <c r="MIF242" s="15"/>
      <c r="MIG242" s="15"/>
      <c r="MIH242" s="15"/>
      <c r="MII242" s="16"/>
      <c r="MIJ242" s="16"/>
      <c r="MIK242" s="16"/>
      <c r="MIL242" s="16"/>
      <c r="MIM242" s="16"/>
      <c r="MIN242" s="15"/>
      <c r="MIO242" s="15"/>
      <c r="MIP242" s="10"/>
      <c r="MIQ242" s="10"/>
      <c r="MIR242" s="19"/>
      <c r="MIS242" s="19"/>
      <c r="MIV242" s="16"/>
      <c r="MIW242" s="15"/>
      <c r="MIX242" s="15"/>
      <c r="MIY242" s="15"/>
      <c r="MIZ242" s="16"/>
      <c r="MJA242" s="16"/>
      <c r="MJB242" s="16"/>
      <c r="MJC242" s="16"/>
      <c r="MJD242" s="16"/>
      <c r="MJE242" s="15"/>
      <c r="MJF242" s="15"/>
      <c r="MJG242" s="10"/>
      <c r="MJH242" s="10"/>
      <c r="MJI242" s="19"/>
      <c r="MJJ242" s="19"/>
      <c r="MJM242" s="16"/>
      <c r="MJN242" s="15"/>
      <c r="MJO242" s="15"/>
      <c r="MJP242" s="15"/>
      <c r="MJQ242" s="16"/>
      <c r="MJR242" s="16"/>
      <c r="MJS242" s="16"/>
      <c r="MJT242" s="16"/>
      <c r="MJU242" s="16"/>
      <c r="MJV242" s="15"/>
      <c r="MJW242" s="15"/>
      <c r="MJX242" s="10"/>
      <c r="MJY242" s="10"/>
      <c r="MJZ242" s="19"/>
      <c r="MKA242" s="19"/>
      <c r="MKD242" s="16"/>
      <c r="MKE242" s="15"/>
      <c r="MKF242" s="15"/>
      <c r="MKG242" s="15"/>
      <c r="MKH242" s="16"/>
      <c r="MKI242" s="16"/>
      <c r="MKJ242" s="16"/>
      <c r="MKK242" s="16"/>
      <c r="MKL242" s="16"/>
      <c r="MKM242" s="15"/>
      <c r="MKN242" s="15"/>
      <c r="MKO242" s="10"/>
      <c r="MKP242" s="10"/>
      <c r="MKQ242" s="19"/>
      <c r="MKR242" s="19"/>
      <c r="MKU242" s="16"/>
      <c r="MKV242" s="15"/>
      <c r="MKW242" s="15"/>
      <c r="MKX242" s="15"/>
      <c r="MKY242" s="16"/>
      <c r="MKZ242" s="16"/>
      <c r="MLA242" s="16"/>
      <c r="MLB242" s="16"/>
      <c r="MLC242" s="16"/>
      <c r="MLD242" s="15"/>
      <c r="MLE242" s="15"/>
      <c r="MLF242" s="10"/>
      <c r="MLG242" s="10"/>
      <c r="MLH242" s="19"/>
      <c r="MLI242" s="19"/>
      <c r="MLL242" s="16"/>
      <c r="MLM242" s="15"/>
      <c r="MLN242" s="15"/>
      <c r="MLO242" s="15"/>
      <c r="MLP242" s="16"/>
      <c r="MLQ242" s="16"/>
      <c r="MLR242" s="16"/>
      <c r="MLS242" s="16"/>
      <c r="MLT242" s="16"/>
      <c r="MLU242" s="15"/>
      <c r="MLV242" s="15"/>
      <c r="MLW242" s="10"/>
      <c r="MLX242" s="10"/>
      <c r="MLY242" s="19"/>
      <c r="MLZ242" s="19"/>
      <c r="MMC242" s="16"/>
      <c r="MMD242" s="15"/>
      <c r="MME242" s="15"/>
      <c r="MMF242" s="15"/>
      <c r="MMG242" s="16"/>
      <c r="MMH242" s="16"/>
      <c r="MMI242" s="16"/>
      <c r="MMJ242" s="16"/>
      <c r="MMK242" s="16"/>
      <c r="MML242" s="15"/>
      <c r="MMM242" s="15"/>
      <c r="MMN242" s="10"/>
      <c r="MMO242" s="10"/>
      <c r="MMP242" s="19"/>
      <c r="MMQ242" s="19"/>
      <c r="MMT242" s="16"/>
      <c r="MMU242" s="15"/>
      <c r="MMV242" s="15"/>
      <c r="MMW242" s="15"/>
      <c r="MMX242" s="16"/>
      <c r="MMY242" s="16"/>
      <c r="MMZ242" s="16"/>
      <c r="MNA242" s="16"/>
      <c r="MNB242" s="16"/>
      <c r="MNC242" s="15"/>
      <c r="MND242" s="15"/>
      <c r="MNE242" s="10"/>
      <c r="MNF242" s="10"/>
      <c r="MNG242" s="19"/>
      <c r="MNH242" s="19"/>
      <c r="MNK242" s="16"/>
      <c r="MNL242" s="15"/>
      <c r="MNM242" s="15"/>
      <c r="MNN242" s="15"/>
      <c r="MNO242" s="16"/>
      <c r="MNP242" s="16"/>
      <c r="MNQ242" s="16"/>
      <c r="MNR242" s="16"/>
      <c r="MNS242" s="16"/>
      <c r="MNT242" s="15"/>
      <c r="MNU242" s="15"/>
      <c r="MNV242" s="10"/>
      <c r="MNW242" s="10"/>
      <c r="MNX242" s="19"/>
      <c r="MNY242" s="19"/>
      <c r="MOB242" s="16"/>
      <c r="MOC242" s="15"/>
      <c r="MOD242" s="15"/>
      <c r="MOE242" s="15"/>
      <c r="MOF242" s="16"/>
      <c r="MOG242" s="16"/>
      <c r="MOH242" s="16"/>
      <c r="MOI242" s="16"/>
      <c r="MOJ242" s="16"/>
      <c r="MOK242" s="15"/>
      <c r="MOL242" s="15"/>
      <c r="MOM242" s="10"/>
      <c r="MON242" s="10"/>
      <c r="MOO242" s="19"/>
      <c r="MOP242" s="19"/>
      <c r="MOS242" s="16"/>
      <c r="MOT242" s="15"/>
      <c r="MOU242" s="15"/>
      <c r="MOV242" s="15"/>
      <c r="MOW242" s="16"/>
      <c r="MOX242" s="16"/>
      <c r="MOY242" s="16"/>
      <c r="MOZ242" s="16"/>
      <c r="MPA242" s="16"/>
      <c r="MPB242" s="15"/>
      <c r="MPC242" s="15"/>
      <c r="MPD242" s="10"/>
      <c r="MPE242" s="10"/>
      <c r="MPF242" s="19"/>
      <c r="MPG242" s="19"/>
      <c r="MPJ242" s="16"/>
      <c r="MPK242" s="15"/>
      <c r="MPL242" s="15"/>
      <c r="MPM242" s="15"/>
      <c r="MPN242" s="16"/>
      <c r="MPO242" s="16"/>
      <c r="MPP242" s="16"/>
      <c r="MPQ242" s="16"/>
      <c r="MPR242" s="16"/>
      <c r="MPS242" s="15"/>
      <c r="MPT242" s="15"/>
      <c r="MPU242" s="10"/>
      <c r="MPV242" s="10"/>
      <c r="MPW242" s="19"/>
      <c r="MPX242" s="19"/>
      <c r="MQA242" s="16"/>
      <c r="MQB242" s="15"/>
      <c r="MQC242" s="15"/>
      <c r="MQD242" s="15"/>
      <c r="MQE242" s="16"/>
      <c r="MQF242" s="16"/>
      <c r="MQG242" s="16"/>
      <c r="MQH242" s="16"/>
      <c r="MQI242" s="16"/>
      <c r="MQJ242" s="15"/>
      <c r="MQK242" s="15"/>
      <c r="MQL242" s="10"/>
      <c r="MQM242" s="10"/>
      <c r="MQN242" s="19"/>
      <c r="MQO242" s="19"/>
      <c r="MQR242" s="16"/>
      <c r="MQS242" s="15"/>
      <c r="MQT242" s="15"/>
      <c r="MQU242" s="15"/>
      <c r="MQV242" s="16"/>
      <c r="MQW242" s="16"/>
      <c r="MQX242" s="16"/>
      <c r="MQY242" s="16"/>
      <c r="MQZ242" s="16"/>
      <c r="MRA242" s="15"/>
      <c r="MRB242" s="15"/>
      <c r="MRC242" s="10"/>
      <c r="MRD242" s="10"/>
      <c r="MRE242" s="19"/>
      <c r="MRF242" s="19"/>
      <c r="MRI242" s="16"/>
      <c r="MRJ242" s="15"/>
      <c r="MRK242" s="15"/>
      <c r="MRL242" s="15"/>
      <c r="MRM242" s="16"/>
      <c r="MRN242" s="16"/>
      <c r="MRO242" s="16"/>
      <c r="MRP242" s="16"/>
      <c r="MRQ242" s="16"/>
      <c r="MRR242" s="15"/>
      <c r="MRS242" s="15"/>
      <c r="MRT242" s="10"/>
      <c r="MRU242" s="10"/>
      <c r="MRV242" s="19"/>
      <c r="MRW242" s="19"/>
      <c r="MRZ242" s="16"/>
      <c r="MSA242" s="15"/>
      <c r="MSB242" s="15"/>
      <c r="MSC242" s="15"/>
      <c r="MSD242" s="16"/>
      <c r="MSE242" s="16"/>
      <c r="MSF242" s="16"/>
      <c r="MSG242" s="16"/>
      <c r="MSH242" s="16"/>
      <c r="MSI242" s="15"/>
      <c r="MSJ242" s="15"/>
      <c r="MSK242" s="10"/>
      <c r="MSL242" s="10"/>
      <c r="MSM242" s="19"/>
      <c r="MSN242" s="19"/>
      <c r="MSQ242" s="16"/>
      <c r="MSR242" s="15"/>
      <c r="MSS242" s="15"/>
      <c r="MST242" s="15"/>
      <c r="MSU242" s="16"/>
      <c r="MSV242" s="16"/>
      <c r="MSW242" s="16"/>
      <c r="MSX242" s="16"/>
      <c r="MSY242" s="16"/>
      <c r="MSZ242" s="15"/>
      <c r="MTA242" s="15"/>
      <c r="MTB242" s="10"/>
      <c r="MTC242" s="10"/>
      <c r="MTD242" s="19"/>
      <c r="MTE242" s="19"/>
      <c r="MTH242" s="16"/>
      <c r="MTI242" s="15"/>
      <c r="MTJ242" s="15"/>
      <c r="MTK242" s="15"/>
      <c r="MTL242" s="16"/>
      <c r="MTM242" s="16"/>
      <c r="MTN242" s="16"/>
      <c r="MTO242" s="16"/>
      <c r="MTP242" s="16"/>
      <c r="MTQ242" s="15"/>
      <c r="MTR242" s="15"/>
      <c r="MTS242" s="10"/>
      <c r="MTT242" s="10"/>
      <c r="MTU242" s="19"/>
      <c r="MTV242" s="19"/>
      <c r="MTY242" s="16"/>
      <c r="MTZ242" s="15"/>
      <c r="MUA242" s="15"/>
      <c r="MUB242" s="15"/>
      <c r="MUC242" s="16"/>
      <c r="MUD242" s="16"/>
      <c r="MUE242" s="16"/>
      <c r="MUF242" s="16"/>
      <c r="MUG242" s="16"/>
      <c r="MUH242" s="15"/>
      <c r="MUI242" s="15"/>
      <c r="MUJ242" s="10"/>
      <c r="MUK242" s="10"/>
      <c r="MUL242" s="19"/>
      <c r="MUM242" s="19"/>
      <c r="MUP242" s="16"/>
      <c r="MUQ242" s="15"/>
      <c r="MUR242" s="15"/>
      <c r="MUS242" s="15"/>
      <c r="MUT242" s="16"/>
      <c r="MUU242" s="16"/>
      <c r="MUV242" s="16"/>
      <c r="MUW242" s="16"/>
      <c r="MUX242" s="16"/>
      <c r="MUY242" s="15"/>
      <c r="MUZ242" s="15"/>
      <c r="MVA242" s="10"/>
      <c r="MVB242" s="10"/>
      <c r="MVC242" s="19"/>
      <c r="MVD242" s="19"/>
      <c r="MVG242" s="16"/>
      <c r="MVH242" s="15"/>
      <c r="MVI242" s="15"/>
      <c r="MVJ242" s="15"/>
      <c r="MVK242" s="16"/>
      <c r="MVL242" s="16"/>
      <c r="MVM242" s="16"/>
      <c r="MVN242" s="16"/>
      <c r="MVO242" s="16"/>
      <c r="MVP242" s="15"/>
      <c r="MVQ242" s="15"/>
      <c r="MVR242" s="10"/>
      <c r="MVS242" s="10"/>
      <c r="MVT242" s="19"/>
      <c r="MVU242" s="19"/>
      <c r="MVX242" s="16"/>
      <c r="MVY242" s="15"/>
      <c r="MVZ242" s="15"/>
      <c r="MWA242" s="15"/>
      <c r="MWB242" s="16"/>
      <c r="MWC242" s="16"/>
      <c r="MWD242" s="16"/>
      <c r="MWE242" s="16"/>
      <c r="MWF242" s="16"/>
      <c r="MWG242" s="15"/>
      <c r="MWH242" s="15"/>
      <c r="MWI242" s="10"/>
      <c r="MWJ242" s="10"/>
      <c r="MWK242" s="19"/>
      <c r="MWL242" s="19"/>
      <c r="MWO242" s="16"/>
      <c r="MWP242" s="15"/>
      <c r="MWQ242" s="15"/>
      <c r="MWR242" s="15"/>
      <c r="MWS242" s="16"/>
      <c r="MWT242" s="16"/>
      <c r="MWU242" s="16"/>
      <c r="MWV242" s="16"/>
      <c r="MWW242" s="16"/>
      <c r="MWX242" s="15"/>
      <c r="MWY242" s="15"/>
      <c r="MWZ242" s="10"/>
      <c r="MXA242" s="10"/>
      <c r="MXB242" s="19"/>
      <c r="MXC242" s="19"/>
      <c r="MXF242" s="16"/>
      <c r="MXG242" s="15"/>
      <c r="MXH242" s="15"/>
      <c r="MXI242" s="15"/>
      <c r="MXJ242" s="16"/>
      <c r="MXK242" s="16"/>
      <c r="MXL242" s="16"/>
      <c r="MXM242" s="16"/>
      <c r="MXN242" s="16"/>
      <c r="MXO242" s="15"/>
      <c r="MXP242" s="15"/>
      <c r="MXQ242" s="10"/>
      <c r="MXR242" s="10"/>
      <c r="MXS242" s="19"/>
      <c r="MXT242" s="19"/>
      <c r="MXW242" s="16"/>
      <c r="MXX242" s="15"/>
      <c r="MXY242" s="15"/>
      <c r="MXZ242" s="15"/>
      <c r="MYA242" s="16"/>
      <c r="MYB242" s="16"/>
      <c r="MYC242" s="16"/>
      <c r="MYD242" s="16"/>
      <c r="MYE242" s="16"/>
      <c r="MYF242" s="15"/>
      <c r="MYG242" s="15"/>
      <c r="MYH242" s="10"/>
      <c r="MYI242" s="10"/>
      <c r="MYJ242" s="19"/>
      <c r="MYK242" s="19"/>
      <c r="MYN242" s="16"/>
      <c r="MYO242" s="15"/>
      <c r="MYP242" s="15"/>
      <c r="MYQ242" s="15"/>
      <c r="MYR242" s="16"/>
      <c r="MYS242" s="16"/>
      <c r="MYT242" s="16"/>
      <c r="MYU242" s="16"/>
      <c r="MYV242" s="16"/>
      <c r="MYW242" s="15"/>
      <c r="MYX242" s="15"/>
      <c r="MYY242" s="10"/>
      <c r="MYZ242" s="10"/>
      <c r="MZA242" s="19"/>
      <c r="MZB242" s="19"/>
      <c r="MZE242" s="16"/>
      <c r="MZF242" s="15"/>
      <c r="MZG242" s="15"/>
      <c r="MZH242" s="15"/>
      <c r="MZI242" s="16"/>
      <c r="MZJ242" s="16"/>
      <c r="MZK242" s="16"/>
      <c r="MZL242" s="16"/>
      <c r="MZM242" s="16"/>
      <c r="MZN242" s="15"/>
      <c r="MZO242" s="15"/>
      <c r="MZP242" s="10"/>
      <c r="MZQ242" s="10"/>
      <c r="MZR242" s="19"/>
      <c r="MZS242" s="19"/>
      <c r="MZV242" s="16"/>
      <c r="MZW242" s="15"/>
      <c r="MZX242" s="15"/>
      <c r="MZY242" s="15"/>
      <c r="MZZ242" s="16"/>
      <c r="NAA242" s="16"/>
      <c r="NAB242" s="16"/>
      <c r="NAC242" s="16"/>
      <c r="NAD242" s="16"/>
      <c r="NAE242" s="15"/>
      <c r="NAF242" s="15"/>
      <c r="NAG242" s="10"/>
      <c r="NAH242" s="10"/>
      <c r="NAI242" s="19"/>
      <c r="NAJ242" s="19"/>
      <c r="NAM242" s="16"/>
      <c r="NAN242" s="15"/>
      <c r="NAO242" s="15"/>
      <c r="NAP242" s="15"/>
      <c r="NAQ242" s="16"/>
      <c r="NAR242" s="16"/>
      <c r="NAS242" s="16"/>
      <c r="NAT242" s="16"/>
      <c r="NAU242" s="16"/>
      <c r="NAV242" s="15"/>
      <c r="NAW242" s="15"/>
      <c r="NAX242" s="10"/>
      <c r="NAY242" s="10"/>
      <c r="NAZ242" s="19"/>
      <c r="NBA242" s="19"/>
      <c r="NBD242" s="16"/>
      <c r="NBE242" s="15"/>
      <c r="NBF242" s="15"/>
      <c r="NBG242" s="15"/>
      <c r="NBH242" s="16"/>
      <c r="NBI242" s="16"/>
      <c r="NBJ242" s="16"/>
      <c r="NBK242" s="16"/>
      <c r="NBL242" s="16"/>
      <c r="NBM242" s="15"/>
      <c r="NBN242" s="15"/>
      <c r="NBO242" s="10"/>
      <c r="NBP242" s="10"/>
      <c r="NBQ242" s="19"/>
      <c r="NBR242" s="19"/>
      <c r="NBU242" s="16"/>
      <c r="NBV242" s="15"/>
      <c r="NBW242" s="15"/>
      <c r="NBX242" s="15"/>
      <c r="NBY242" s="16"/>
      <c r="NBZ242" s="16"/>
      <c r="NCA242" s="16"/>
      <c r="NCB242" s="16"/>
      <c r="NCC242" s="16"/>
      <c r="NCD242" s="15"/>
      <c r="NCE242" s="15"/>
      <c r="NCF242" s="10"/>
      <c r="NCG242" s="10"/>
      <c r="NCH242" s="19"/>
      <c r="NCI242" s="19"/>
      <c r="NCL242" s="16"/>
      <c r="NCM242" s="15"/>
      <c r="NCN242" s="15"/>
      <c r="NCO242" s="15"/>
      <c r="NCP242" s="16"/>
      <c r="NCQ242" s="16"/>
      <c r="NCR242" s="16"/>
      <c r="NCS242" s="16"/>
      <c r="NCT242" s="16"/>
      <c r="NCU242" s="15"/>
      <c r="NCV242" s="15"/>
      <c r="NCW242" s="10"/>
      <c r="NCX242" s="10"/>
      <c r="NCY242" s="19"/>
      <c r="NCZ242" s="19"/>
      <c r="NDC242" s="16"/>
      <c r="NDD242" s="15"/>
      <c r="NDE242" s="15"/>
      <c r="NDF242" s="15"/>
      <c r="NDG242" s="16"/>
      <c r="NDH242" s="16"/>
      <c r="NDI242" s="16"/>
      <c r="NDJ242" s="16"/>
      <c r="NDK242" s="16"/>
      <c r="NDL242" s="15"/>
      <c r="NDM242" s="15"/>
      <c r="NDN242" s="10"/>
      <c r="NDO242" s="10"/>
      <c r="NDP242" s="19"/>
      <c r="NDQ242" s="19"/>
      <c r="NDT242" s="16"/>
      <c r="NDU242" s="15"/>
      <c r="NDV242" s="15"/>
      <c r="NDW242" s="15"/>
      <c r="NDX242" s="16"/>
      <c r="NDY242" s="16"/>
      <c r="NDZ242" s="16"/>
      <c r="NEA242" s="16"/>
      <c r="NEB242" s="16"/>
      <c r="NEC242" s="15"/>
      <c r="NED242" s="15"/>
      <c r="NEE242" s="10"/>
      <c r="NEF242" s="10"/>
      <c r="NEG242" s="19"/>
      <c r="NEH242" s="19"/>
      <c r="NEK242" s="16"/>
      <c r="NEL242" s="15"/>
      <c r="NEM242" s="15"/>
      <c r="NEN242" s="15"/>
      <c r="NEO242" s="16"/>
      <c r="NEP242" s="16"/>
      <c r="NEQ242" s="16"/>
      <c r="NER242" s="16"/>
      <c r="NES242" s="16"/>
      <c r="NET242" s="15"/>
      <c r="NEU242" s="15"/>
      <c r="NEV242" s="10"/>
      <c r="NEW242" s="10"/>
      <c r="NEX242" s="19"/>
      <c r="NEY242" s="19"/>
      <c r="NFB242" s="16"/>
      <c r="NFC242" s="15"/>
      <c r="NFD242" s="15"/>
      <c r="NFE242" s="15"/>
      <c r="NFF242" s="16"/>
      <c r="NFG242" s="16"/>
      <c r="NFH242" s="16"/>
      <c r="NFI242" s="16"/>
      <c r="NFJ242" s="16"/>
      <c r="NFK242" s="15"/>
      <c r="NFL242" s="15"/>
      <c r="NFM242" s="10"/>
      <c r="NFN242" s="10"/>
      <c r="NFO242" s="19"/>
      <c r="NFP242" s="19"/>
      <c r="NFS242" s="16"/>
      <c r="NFT242" s="15"/>
      <c r="NFU242" s="15"/>
      <c r="NFV242" s="15"/>
      <c r="NFW242" s="16"/>
      <c r="NFX242" s="16"/>
      <c r="NFY242" s="16"/>
      <c r="NFZ242" s="16"/>
      <c r="NGA242" s="16"/>
      <c r="NGB242" s="15"/>
      <c r="NGC242" s="15"/>
      <c r="NGD242" s="10"/>
      <c r="NGE242" s="10"/>
      <c r="NGF242" s="19"/>
      <c r="NGG242" s="19"/>
      <c r="NGJ242" s="16"/>
      <c r="NGK242" s="15"/>
      <c r="NGL242" s="15"/>
      <c r="NGM242" s="15"/>
      <c r="NGN242" s="16"/>
      <c r="NGO242" s="16"/>
      <c r="NGP242" s="16"/>
      <c r="NGQ242" s="16"/>
      <c r="NGR242" s="16"/>
      <c r="NGS242" s="15"/>
      <c r="NGT242" s="15"/>
      <c r="NGU242" s="10"/>
      <c r="NGV242" s="10"/>
      <c r="NGW242" s="19"/>
      <c r="NGX242" s="19"/>
      <c r="NHA242" s="16"/>
      <c r="NHB242" s="15"/>
      <c r="NHC242" s="15"/>
      <c r="NHD242" s="15"/>
      <c r="NHE242" s="16"/>
      <c r="NHF242" s="16"/>
      <c r="NHG242" s="16"/>
      <c r="NHH242" s="16"/>
      <c r="NHI242" s="16"/>
      <c r="NHJ242" s="15"/>
      <c r="NHK242" s="15"/>
      <c r="NHL242" s="10"/>
      <c r="NHM242" s="10"/>
      <c r="NHN242" s="19"/>
      <c r="NHO242" s="19"/>
      <c r="NHR242" s="16"/>
      <c r="NHS242" s="15"/>
      <c r="NHT242" s="15"/>
      <c r="NHU242" s="15"/>
      <c r="NHV242" s="16"/>
      <c r="NHW242" s="16"/>
      <c r="NHX242" s="16"/>
      <c r="NHY242" s="16"/>
      <c r="NHZ242" s="16"/>
      <c r="NIA242" s="15"/>
      <c r="NIB242" s="15"/>
      <c r="NIC242" s="10"/>
      <c r="NID242" s="10"/>
      <c r="NIE242" s="19"/>
      <c r="NIF242" s="19"/>
      <c r="NII242" s="16"/>
      <c r="NIJ242" s="15"/>
      <c r="NIK242" s="15"/>
      <c r="NIL242" s="15"/>
      <c r="NIM242" s="16"/>
      <c r="NIN242" s="16"/>
      <c r="NIO242" s="16"/>
      <c r="NIP242" s="16"/>
      <c r="NIQ242" s="16"/>
      <c r="NIR242" s="15"/>
      <c r="NIS242" s="15"/>
      <c r="NIT242" s="10"/>
      <c r="NIU242" s="10"/>
      <c r="NIV242" s="19"/>
      <c r="NIW242" s="19"/>
      <c r="NIZ242" s="16"/>
      <c r="NJA242" s="15"/>
      <c r="NJB242" s="15"/>
      <c r="NJC242" s="15"/>
      <c r="NJD242" s="16"/>
      <c r="NJE242" s="16"/>
      <c r="NJF242" s="16"/>
      <c r="NJG242" s="16"/>
      <c r="NJH242" s="16"/>
      <c r="NJI242" s="15"/>
      <c r="NJJ242" s="15"/>
      <c r="NJK242" s="10"/>
      <c r="NJL242" s="10"/>
      <c r="NJM242" s="19"/>
      <c r="NJN242" s="19"/>
      <c r="NJQ242" s="16"/>
      <c r="NJR242" s="15"/>
      <c r="NJS242" s="15"/>
      <c r="NJT242" s="15"/>
      <c r="NJU242" s="16"/>
      <c r="NJV242" s="16"/>
      <c r="NJW242" s="16"/>
      <c r="NJX242" s="16"/>
      <c r="NJY242" s="16"/>
      <c r="NJZ242" s="15"/>
      <c r="NKA242" s="15"/>
      <c r="NKB242" s="10"/>
      <c r="NKC242" s="10"/>
      <c r="NKD242" s="19"/>
      <c r="NKE242" s="19"/>
      <c r="NKH242" s="16"/>
      <c r="NKI242" s="15"/>
      <c r="NKJ242" s="15"/>
      <c r="NKK242" s="15"/>
      <c r="NKL242" s="16"/>
      <c r="NKM242" s="16"/>
      <c r="NKN242" s="16"/>
      <c r="NKO242" s="16"/>
      <c r="NKP242" s="16"/>
      <c r="NKQ242" s="15"/>
      <c r="NKR242" s="15"/>
      <c r="NKS242" s="10"/>
      <c r="NKT242" s="10"/>
      <c r="NKU242" s="19"/>
      <c r="NKV242" s="19"/>
      <c r="NKY242" s="16"/>
      <c r="NKZ242" s="15"/>
      <c r="NLA242" s="15"/>
      <c r="NLB242" s="15"/>
      <c r="NLC242" s="16"/>
      <c r="NLD242" s="16"/>
      <c r="NLE242" s="16"/>
      <c r="NLF242" s="16"/>
      <c r="NLG242" s="16"/>
      <c r="NLH242" s="15"/>
      <c r="NLI242" s="15"/>
      <c r="NLJ242" s="10"/>
      <c r="NLK242" s="10"/>
      <c r="NLL242" s="19"/>
      <c r="NLM242" s="19"/>
      <c r="NLP242" s="16"/>
      <c r="NLQ242" s="15"/>
      <c r="NLR242" s="15"/>
      <c r="NLS242" s="15"/>
      <c r="NLT242" s="16"/>
      <c r="NLU242" s="16"/>
      <c r="NLV242" s="16"/>
      <c r="NLW242" s="16"/>
      <c r="NLX242" s="16"/>
      <c r="NLY242" s="15"/>
      <c r="NLZ242" s="15"/>
      <c r="NMA242" s="10"/>
      <c r="NMB242" s="10"/>
      <c r="NMC242" s="19"/>
      <c r="NMD242" s="19"/>
      <c r="NMG242" s="16"/>
      <c r="NMH242" s="15"/>
      <c r="NMI242" s="15"/>
      <c r="NMJ242" s="15"/>
      <c r="NMK242" s="16"/>
      <c r="NML242" s="16"/>
      <c r="NMM242" s="16"/>
      <c r="NMN242" s="16"/>
      <c r="NMO242" s="16"/>
      <c r="NMP242" s="15"/>
      <c r="NMQ242" s="15"/>
      <c r="NMR242" s="10"/>
      <c r="NMS242" s="10"/>
      <c r="NMT242" s="19"/>
      <c r="NMU242" s="19"/>
      <c r="NMX242" s="16"/>
      <c r="NMY242" s="15"/>
      <c r="NMZ242" s="15"/>
      <c r="NNA242" s="15"/>
      <c r="NNB242" s="16"/>
      <c r="NNC242" s="16"/>
      <c r="NND242" s="16"/>
      <c r="NNE242" s="16"/>
      <c r="NNF242" s="16"/>
      <c r="NNG242" s="15"/>
      <c r="NNH242" s="15"/>
      <c r="NNI242" s="10"/>
      <c r="NNJ242" s="10"/>
      <c r="NNK242" s="19"/>
      <c r="NNL242" s="19"/>
      <c r="NNO242" s="16"/>
      <c r="NNP242" s="15"/>
      <c r="NNQ242" s="15"/>
      <c r="NNR242" s="15"/>
      <c r="NNS242" s="16"/>
      <c r="NNT242" s="16"/>
      <c r="NNU242" s="16"/>
      <c r="NNV242" s="16"/>
      <c r="NNW242" s="16"/>
      <c r="NNX242" s="15"/>
      <c r="NNY242" s="15"/>
      <c r="NNZ242" s="10"/>
      <c r="NOA242" s="10"/>
      <c r="NOB242" s="19"/>
      <c r="NOC242" s="19"/>
      <c r="NOF242" s="16"/>
      <c r="NOG242" s="15"/>
      <c r="NOH242" s="15"/>
      <c r="NOI242" s="15"/>
      <c r="NOJ242" s="16"/>
      <c r="NOK242" s="16"/>
      <c r="NOL242" s="16"/>
      <c r="NOM242" s="16"/>
      <c r="NON242" s="16"/>
      <c r="NOO242" s="15"/>
      <c r="NOP242" s="15"/>
      <c r="NOQ242" s="10"/>
      <c r="NOR242" s="10"/>
      <c r="NOS242" s="19"/>
      <c r="NOT242" s="19"/>
      <c r="NOW242" s="16"/>
      <c r="NOX242" s="15"/>
      <c r="NOY242" s="15"/>
      <c r="NOZ242" s="15"/>
      <c r="NPA242" s="16"/>
      <c r="NPB242" s="16"/>
      <c r="NPC242" s="16"/>
      <c r="NPD242" s="16"/>
      <c r="NPE242" s="16"/>
      <c r="NPF242" s="15"/>
      <c r="NPG242" s="15"/>
      <c r="NPH242" s="10"/>
      <c r="NPI242" s="10"/>
      <c r="NPJ242" s="19"/>
      <c r="NPK242" s="19"/>
      <c r="NPN242" s="16"/>
      <c r="NPO242" s="15"/>
      <c r="NPP242" s="15"/>
      <c r="NPQ242" s="15"/>
      <c r="NPR242" s="16"/>
      <c r="NPS242" s="16"/>
      <c r="NPT242" s="16"/>
      <c r="NPU242" s="16"/>
      <c r="NPV242" s="16"/>
      <c r="NPW242" s="15"/>
      <c r="NPX242" s="15"/>
      <c r="NPY242" s="10"/>
      <c r="NPZ242" s="10"/>
      <c r="NQA242" s="19"/>
      <c r="NQB242" s="19"/>
      <c r="NQE242" s="16"/>
      <c r="NQF242" s="15"/>
      <c r="NQG242" s="15"/>
      <c r="NQH242" s="15"/>
      <c r="NQI242" s="16"/>
      <c r="NQJ242" s="16"/>
      <c r="NQK242" s="16"/>
      <c r="NQL242" s="16"/>
      <c r="NQM242" s="16"/>
      <c r="NQN242" s="15"/>
      <c r="NQO242" s="15"/>
      <c r="NQP242" s="10"/>
      <c r="NQQ242" s="10"/>
      <c r="NQR242" s="19"/>
      <c r="NQS242" s="19"/>
      <c r="NQV242" s="16"/>
      <c r="NQW242" s="15"/>
      <c r="NQX242" s="15"/>
      <c r="NQY242" s="15"/>
      <c r="NQZ242" s="16"/>
      <c r="NRA242" s="16"/>
      <c r="NRB242" s="16"/>
      <c r="NRC242" s="16"/>
      <c r="NRD242" s="16"/>
      <c r="NRE242" s="15"/>
      <c r="NRF242" s="15"/>
      <c r="NRG242" s="10"/>
      <c r="NRH242" s="10"/>
      <c r="NRI242" s="19"/>
      <c r="NRJ242" s="19"/>
      <c r="NRM242" s="16"/>
      <c r="NRN242" s="15"/>
      <c r="NRO242" s="15"/>
      <c r="NRP242" s="15"/>
      <c r="NRQ242" s="16"/>
      <c r="NRR242" s="16"/>
      <c r="NRS242" s="16"/>
      <c r="NRT242" s="16"/>
      <c r="NRU242" s="16"/>
      <c r="NRV242" s="15"/>
      <c r="NRW242" s="15"/>
      <c r="NRX242" s="10"/>
      <c r="NRY242" s="10"/>
      <c r="NRZ242" s="19"/>
      <c r="NSA242" s="19"/>
      <c r="NSD242" s="16"/>
      <c r="NSE242" s="15"/>
      <c r="NSF242" s="15"/>
      <c r="NSG242" s="15"/>
      <c r="NSH242" s="16"/>
      <c r="NSI242" s="16"/>
      <c r="NSJ242" s="16"/>
      <c r="NSK242" s="16"/>
      <c r="NSL242" s="16"/>
      <c r="NSM242" s="15"/>
      <c r="NSN242" s="15"/>
      <c r="NSO242" s="10"/>
      <c r="NSP242" s="10"/>
      <c r="NSQ242" s="19"/>
      <c r="NSR242" s="19"/>
      <c r="NSU242" s="16"/>
      <c r="NSV242" s="15"/>
      <c r="NSW242" s="15"/>
      <c r="NSX242" s="15"/>
      <c r="NSY242" s="16"/>
      <c r="NSZ242" s="16"/>
      <c r="NTA242" s="16"/>
      <c r="NTB242" s="16"/>
      <c r="NTC242" s="16"/>
      <c r="NTD242" s="15"/>
      <c r="NTE242" s="15"/>
      <c r="NTF242" s="10"/>
      <c r="NTG242" s="10"/>
      <c r="NTH242" s="19"/>
      <c r="NTI242" s="19"/>
      <c r="NTL242" s="16"/>
      <c r="NTM242" s="15"/>
      <c r="NTN242" s="15"/>
      <c r="NTO242" s="15"/>
      <c r="NTP242" s="16"/>
      <c r="NTQ242" s="16"/>
      <c r="NTR242" s="16"/>
      <c r="NTS242" s="16"/>
      <c r="NTT242" s="16"/>
      <c r="NTU242" s="15"/>
      <c r="NTV242" s="15"/>
      <c r="NTW242" s="10"/>
      <c r="NTX242" s="10"/>
      <c r="NTY242" s="19"/>
      <c r="NTZ242" s="19"/>
      <c r="NUC242" s="16"/>
      <c r="NUD242" s="15"/>
      <c r="NUE242" s="15"/>
      <c r="NUF242" s="15"/>
      <c r="NUG242" s="16"/>
      <c r="NUH242" s="16"/>
      <c r="NUI242" s="16"/>
      <c r="NUJ242" s="16"/>
      <c r="NUK242" s="16"/>
      <c r="NUL242" s="15"/>
      <c r="NUM242" s="15"/>
      <c r="NUN242" s="10"/>
      <c r="NUO242" s="10"/>
      <c r="NUP242" s="19"/>
      <c r="NUQ242" s="19"/>
      <c r="NUT242" s="16"/>
      <c r="NUU242" s="15"/>
      <c r="NUV242" s="15"/>
      <c r="NUW242" s="15"/>
      <c r="NUX242" s="16"/>
      <c r="NUY242" s="16"/>
      <c r="NUZ242" s="16"/>
      <c r="NVA242" s="16"/>
      <c r="NVB242" s="16"/>
      <c r="NVC242" s="15"/>
      <c r="NVD242" s="15"/>
      <c r="NVE242" s="10"/>
      <c r="NVF242" s="10"/>
      <c r="NVG242" s="19"/>
      <c r="NVH242" s="19"/>
      <c r="NVK242" s="16"/>
      <c r="NVL242" s="15"/>
      <c r="NVM242" s="15"/>
      <c r="NVN242" s="15"/>
      <c r="NVO242" s="16"/>
      <c r="NVP242" s="16"/>
      <c r="NVQ242" s="16"/>
      <c r="NVR242" s="16"/>
      <c r="NVS242" s="16"/>
      <c r="NVT242" s="15"/>
      <c r="NVU242" s="15"/>
      <c r="NVV242" s="10"/>
      <c r="NVW242" s="10"/>
      <c r="NVX242" s="19"/>
      <c r="NVY242" s="19"/>
      <c r="NWB242" s="16"/>
      <c r="NWC242" s="15"/>
      <c r="NWD242" s="15"/>
      <c r="NWE242" s="15"/>
      <c r="NWF242" s="16"/>
      <c r="NWG242" s="16"/>
      <c r="NWH242" s="16"/>
      <c r="NWI242" s="16"/>
      <c r="NWJ242" s="16"/>
      <c r="NWK242" s="15"/>
      <c r="NWL242" s="15"/>
      <c r="NWM242" s="10"/>
      <c r="NWN242" s="10"/>
      <c r="NWO242" s="19"/>
      <c r="NWP242" s="19"/>
      <c r="NWS242" s="16"/>
      <c r="NWT242" s="15"/>
      <c r="NWU242" s="15"/>
      <c r="NWV242" s="15"/>
      <c r="NWW242" s="16"/>
      <c r="NWX242" s="16"/>
      <c r="NWY242" s="16"/>
      <c r="NWZ242" s="16"/>
      <c r="NXA242" s="16"/>
      <c r="NXB242" s="15"/>
      <c r="NXC242" s="15"/>
      <c r="NXD242" s="10"/>
      <c r="NXE242" s="10"/>
      <c r="NXF242" s="19"/>
      <c r="NXG242" s="19"/>
      <c r="NXJ242" s="16"/>
      <c r="NXK242" s="15"/>
      <c r="NXL242" s="15"/>
      <c r="NXM242" s="15"/>
      <c r="NXN242" s="16"/>
      <c r="NXO242" s="16"/>
      <c r="NXP242" s="16"/>
      <c r="NXQ242" s="16"/>
      <c r="NXR242" s="16"/>
      <c r="NXS242" s="15"/>
      <c r="NXT242" s="15"/>
      <c r="NXU242" s="10"/>
      <c r="NXV242" s="10"/>
      <c r="NXW242" s="19"/>
      <c r="NXX242" s="19"/>
      <c r="NYA242" s="16"/>
      <c r="NYB242" s="15"/>
      <c r="NYC242" s="15"/>
      <c r="NYD242" s="15"/>
      <c r="NYE242" s="16"/>
      <c r="NYF242" s="16"/>
      <c r="NYG242" s="16"/>
      <c r="NYH242" s="16"/>
      <c r="NYI242" s="16"/>
      <c r="NYJ242" s="15"/>
      <c r="NYK242" s="15"/>
      <c r="NYL242" s="10"/>
      <c r="NYM242" s="10"/>
      <c r="NYN242" s="19"/>
      <c r="NYO242" s="19"/>
      <c r="NYR242" s="16"/>
      <c r="NYS242" s="15"/>
      <c r="NYT242" s="15"/>
      <c r="NYU242" s="15"/>
      <c r="NYV242" s="16"/>
      <c r="NYW242" s="16"/>
      <c r="NYX242" s="16"/>
      <c r="NYY242" s="16"/>
      <c r="NYZ242" s="16"/>
      <c r="NZA242" s="15"/>
      <c r="NZB242" s="15"/>
      <c r="NZC242" s="10"/>
      <c r="NZD242" s="10"/>
      <c r="NZE242" s="19"/>
      <c r="NZF242" s="19"/>
      <c r="NZI242" s="16"/>
      <c r="NZJ242" s="15"/>
      <c r="NZK242" s="15"/>
      <c r="NZL242" s="15"/>
      <c r="NZM242" s="16"/>
      <c r="NZN242" s="16"/>
      <c r="NZO242" s="16"/>
      <c r="NZP242" s="16"/>
      <c r="NZQ242" s="16"/>
      <c r="NZR242" s="15"/>
      <c r="NZS242" s="15"/>
      <c r="NZT242" s="10"/>
      <c r="NZU242" s="10"/>
      <c r="NZV242" s="19"/>
      <c r="NZW242" s="19"/>
      <c r="NZZ242" s="16"/>
      <c r="OAA242" s="15"/>
      <c r="OAB242" s="15"/>
      <c r="OAC242" s="15"/>
      <c r="OAD242" s="16"/>
      <c r="OAE242" s="16"/>
      <c r="OAF242" s="16"/>
      <c r="OAG242" s="16"/>
      <c r="OAH242" s="16"/>
      <c r="OAI242" s="15"/>
      <c r="OAJ242" s="15"/>
      <c r="OAK242" s="10"/>
      <c r="OAL242" s="10"/>
      <c r="OAM242" s="19"/>
      <c r="OAN242" s="19"/>
      <c r="OAQ242" s="16"/>
      <c r="OAR242" s="15"/>
      <c r="OAS242" s="15"/>
      <c r="OAT242" s="15"/>
      <c r="OAU242" s="16"/>
      <c r="OAV242" s="16"/>
      <c r="OAW242" s="16"/>
      <c r="OAX242" s="16"/>
      <c r="OAY242" s="16"/>
      <c r="OAZ242" s="15"/>
      <c r="OBA242" s="15"/>
      <c r="OBB242" s="10"/>
      <c r="OBC242" s="10"/>
      <c r="OBD242" s="19"/>
      <c r="OBE242" s="19"/>
      <c r="OBH242" s="16"/>
      <c r="OBI242" s="15"/>
      <c r="OBJ242" s="15"/>
      <c r="OBK242" s="15"/>
      <c r="OBL242" s="16"/>
      <c r="OBM242" s="16"/>
      <c r="OBN242" s="16"/>
      <c r="OBO242" s="16"/>
      <c r="OBP242" s="16"/>
      <c r="OBQ242" s="15"/>
      <c r="OBR242" s="15"/>
      <c r="OBS242" s="10"/>
      <c r="OBT242" s="10"/>
      <c r="OBU242" s="19"/>
      <c r="OBV242" s="19"/>
      <c r="OBY242" s="16"/>
      <c r="OBZ242" s="15"/>
      <c r="OCA242" s="15"/>
      <c r="OCB242" s="15"/>
      <c r="OCC242" s="16"/>
      <c r="OCD242" s="16"/>
      <c r="OCE242" s="16"/>
      <c r="OCF242" s="16"/>
      <c r="OCG242" s="16"/>
      <c r="OCH242" s="15"/>
      <c r="OCI242" s="15"/>
      <c r="OCJ242" s="10"/>
      <c r="OCK242" s="10"/>
      <c r="OCL242" s="19"/>
      <c r="OCM242" s="19"/>
      <c r="OCP242" s="16"/>
      <c r="OCQ242" s="15"/>
      <c r="OCR242" s="15"/>
      <c r="OCS242" s="15"/>
      <c r="OCT242" s="16"/>
      <c r="OCU242" s="16"/>
      <c r="OCV242" s="16"/>
      <c r="OCW242" s="16"/>
      <c r="OCX242" s="16"/>
      <c r="OCY242" s="15"/>
      <c r="OCZ242" s="15"/>
      <c r="ODA242" s="10"/>
      <c r="ODB242" s="10"/>
      <c r="ODC242" s="19"/>
      <c r="ODD242" s="19"/>
      <c r="ODG242" s="16"/>
      <c r="ODH242" s="15"/>
      <c r="ODI242" s="15"/>
      <c r="ODJ242" s="15"/>
      <c r="ODK242" s="16"/>
      <c r="ODL242" s="16"/>
      <c r="ODM242" s="16"/>
      <c r="ODN242" s="16"/>
      <c r="ODO242" s="16"/>
      <c r="ODP242" s="15"/>
      <c r="ODQ242" s="15"/>
      <c r="ODR242" s="10"/>
      <c r="ODS242" s="10"/>
      <c r="ODT242" s="19"/>
      <c r="ODU242" s="19"/>
      <c r="ODX242" s="16"/>
      <c r="ODY242" s="15"/>
      <c r="ODZ242" s="15"/>
      <c r="OEA242" s="15"/>
      <c r="OEB242" s="16"/>
      <c r="OEC242" s="16"/>
      <c r="OED242" s="16"/>
      <c r="OEE242" s="16"/>
      <c r="OEF242" s="16"/>
      <c r="OEG242" s="15"/>
      <c r="OEH242" s="15"/>
      <c r="OEI242" s="10"/>
      <c r="OEJ242" s="10"/>
      <c r="OEK242" s="19"/>
      <c r="OEL242" s="19"/>
      <c r="OEO242" s="16"/>
      <c r="OEP242" s="15"/>
      <c r="OEQ242" s="15"/>
      <c r="OER242" s="15"/>
      <c r="OES242" s="16"/>
      <c r="OET242" s="16"/>
      <c r="OEU242" s="16"/>
      <c r="OEV242" s="16"/>
      <c r="OEW242" s="16"/>
      <c r="OEX242" s="15"/>
      <c r="OEY242" s="15"/>
      <c r="OEZ242" s="10"/>
      <c r="OFA242" s="10"/>
      <c r="OFB242" s="19"/>
      <c r="OFC242" s="19"/>
      <c r="OFF242" s="16"/>
      <c r="OFG242" s="15"/>
      <c r="OFH242" s="15"/>
      <c r="OFI242" s="15"/>
      <c r="OFJ242" s="16"/>
      <c r="OFK242" s="16"/>
      <c r="OFL242" s="16"/>
      <c r="OFM242" s="16"/>
      <c r="OFN242" s="16"/>
      <c r="OFO242" s="15"/>
      <c r="OFP242" s="15"/>
      <c r="OFQ242" s="10"/>
      <c r="OFR242" s="10"/>
      <c r="OFS242" s="19"/>
      <c r="OFT242" s="19"/>
      <c r="OFW242" s="16"/>
      <c r="OFX242" s="15"/>
      <c r="OFY242" s="15"/>
      <c r="OFZ242" s="15"/>
      <c r="OGA242" s="16"/>
      <c r="OGB242" s="16"/>
      <c r="OGC242" s="16"/>
      <c r="OGD242" s="16"/>
      <c r="OGE242" s="16"/>
      <c r="OGF242" s="15"/>
      <c r="OGG242" s="15"/>
      <c r="OGH242" s="10"/>
      <c r="OGI242" s="10"/>
      <c r="OGJ242" s="19"/>
      <c r="OGK242" s="19"/>
      <c r="OGN242" s="16"/>
      <c r="OGO242" s="15"/>
      <c r="OGP242" s="15"/>
      <c r="OGQ242" s="15"/>
      <c r="OGR242" s="16"/>
      <c r="OGS242" s="16"/>
      <c r="OGT242" s="16"/>
      <c r="OGU242" s="16"/>
      <c r="OGV242" s="16"/>
      <c r="OGW242" s="15"/>
      <c r="OGX242" s="15"/>
      <c r="OGY242" s="10"/>
      <c r="OGZ242" s="10"/>
      <c r="OHA242" s="19"/>
      <c r="OHB242" s="19"/>
      <c r="OHE242" s="16"/>
      <c r="OHF242" s="15"/>
      <c r="OHG242" s="15"/>
      <c r="OHH242" s="15"/>
      <c r="OHI242" s="16"/>
      <c r="OHJ242" s="16"/>
      <c r="OHK242" s="16"/>
      <c r="OHL242" s="16"/>
      <c r="OHM242" s="16"/>
      <c r="OHN242" s="15"/>
      <c r="OHO242" s="15"/>
      <c r="OHP242" s="10"/>
      <c r="OHQ242" s="10"/>
      <c r="OHR242" s="19"/>
      <c r="OHS242" s="19"/>
      <c r="OHV242" s="16"/>
      <c r="OHW242" s="15"/>
      <c r="OHX242" s="15"/>
      <c r="OHY242" s="15"/>
      <c r="OHZ242" s="16"/>
      <c r="OIA242" s="16"/>
      <c r="OIB242" s="16"/>
      <c r="OIC242" s="16"/>
      <c r="OID242" s="16"/>
      <c r="OIE242" s="15"/>
      <c r="OIF242" s="15"/>
      <c r="OIG242" s="10"/>
      <c r="OIH242" s="10"/>
      <c r="OII242" s="19"/>
      <c r="OIJ242" s="19"/>
      <c r="OIM242" s="16"/>
      <c r="OIN242" s="15"/>
      <c r="OIO242" s="15"/>
      <c r="OIP242" s="15"/>
      <c r="OIQ242" s="16"/>
      <c r="OIR242" s="16"/>
      <c r="OIS242" s="16"/>
      <c r="OIT242" s="16"/>
      <c r="OIU242" s="16"/>
      <c r="OIV242" s="15"/>
      <c r="OIW242" s="15"/>
      <c r="OIX242" s="10"/>
      <c r="OIY242" s="10"/>
      <c r="OIZ242" s="19"/>
      <c r="OJA242" s="19"/>
      <c r="OJD242" s="16"/>
      <c r="OJE242" s="15"/>
      <c r="OJF242" s="15"/>
      <c r="OJG242" s="15"/>
      <c r="OJH242" s="16"/>
      <c r="OJI242" s="16"/>
      <c r="OJJ242" s="16"/>
      <c r="OJK242" s="16"/>
      <c r="OJL242" s="16"/>
      <c r="OJM242" s="15"/>
      <c r="OJN242" s="15"/>
      <c r="OJO242" s="10"/>
      <c r="OJP242" s="10"/>
      <c r="OJQ242" s="19"/>
      <c r="OJR242" s="19"/>
      <c r="OJU242" s="16"/>
      <c r="OJV242" s="15"/>
      <c r="OJW242" s="15"/>
      <c r="OJX242" s="15"/>
      <c r="OJY242" s="16"/>
      <c r="OJZ242" s="16"/>
      <c r="OKA242" s="16"/>
      <c r="OKB242" s="16"/>
      <c r="OKC242" s="16"/>
      <c r="OKD242" s="15"/>
      <c r="OKE242" s="15"/>
      <c r="OKF242" s="10"/>
      <c r="OKG242" s="10"/>
      <c r="OKH242" s="19"/>
      <c r="OKI242" s="19"/>
      <c r="OKL242" s="16"/>
      <c r="OKM242" s="15"/>
      <c r="OKN242" s="15"/>
      <c r="OKO242" s="15"/>
      <c r="OKP242" s="16"/>
      <c r="OKQ242" s="16"/>
      <c r="OKR242" s="16"/>
      <c r="OKS242" s="16"/>
      <c r="OKT242" s="16"/>
      <c r="OKU242" s="15"/>
      <c r="OKV242" s="15"/>
      <c r="OKW242" s="10"/>
      <c r="OKX242" s="10"/>
      <c r="OKY242" s="19"/>
      <c r="OKZ242" s="19"/>
      <c r="OLC242" s="16"/>
      <c r="OLD242" s="15"/>
      <c r="OLE242" s="15"/>
      <c r="OLF242" s="15"/>
      <c r="OLG242" s="16"/>
      <c r="OLH242" s="16"/>
      <c r="OLI242" s="16"/>
      <c r="OLJ242" s="16"/>
      <c r="OLK242" s="16"/>
      <c r="OLL242" s="15"/>
      <c r="OLM242" s="15"/>
      <c r="OLN242" s="10"/>
      <c r="OLO242" s="10"/>
      <c r="OLP242" s="19"/>
      <c r="OLQ242" s="19"/>
      <c r="OLT242" s="16"/>
      <c r="OLU242" s="15"/>
      <c r="OLV242" s="15"/>
      <c r="OLW242" s="15"/>
      <c r="OLX242" s="16"/>
      <c r="OLY242" s="16"/>
      <c r="OLZ242" s="16"/>
      <c r="OMA242" s="16"/>
      <c r="OMB242" s="16"/>
      <c r="OMC242" s="15"/>
      <c r="OMD242" s="15"/>
      <c r="OME242" s="10"/>
      <c r="OMF242" s="10"/>
      <c r="OMG242" s="19"/>
      <c r="OMH242" s="19"/>
      <c r="OMK242" s="16"/>
      <c r="OML242" s="15"/>
      <c r="OMM242" s="15"/>
      <c r="OMN242" s="15"/>
      <c r="OMO242" s="16"/>
      <c r="OMP242" s="16"/>
      <c r="OMQ242" s="16"/>
      <c r="OMR242" s="16"/>
      <c r="OMS242" s="16"/>
      <c r="OMT242" s="15"/>
      <c r="OMU242" s="15"/>
      <c r="OMV242" s="10"/>
      <c r="OMW242" s="10"/>
      <c r="OMX242" s="19"/>
      <c r="OMY242" s="19"/>
      <c r="ONB242" s="16"/>
      <c r="ONC242" s="15"/>
      <c r="OND242" s="15"/>
      <c r="ONE242" s="15"/>
      <c r="ONF242" s="16"/>
      <c r="ONG242" s="16"/>
      <c r="ONH242" s="16"/>
      <c r="ONI242" s="16"/>
      <c r="ONJ242" s="16"/>
      <c r="ONK242" s="15"/>
      <c r="ONL242" s="15"/>
      <c r="ONM242" s="10"/>
      <c r="ONN242" s="10"/>
      <c r="ONO242" s="19"/>
      <c r="ONP242" s="19"/>
      <c r="ONS242" s="16"/>
      <c r="ONT242" s="15"/>
      <c r="ONU242" s="15"/>
      <c r="ONV242" s="15"/>
      <c r="ONW242" s="16"/>
      <c r="ONX242" s="16"/>
      <c r="ONY242" s="16"/>
      <c r="ONZ242" s="16"/>
      <c r="OOA242" s="16"/>
      <c r="OOB242" s="15"/>
      <c r="OOC242" s="15"/>
      <c r="OOD242" s="10"/>
      <c r="OOE242" s="10"/>
      <c r="OOF242" s="19"/>
      <c r="OOG242" s="19"/>
      <c r="OOJ242" s="16"/>
      <c r="OOK242" s="15"/>
      <c r="OOL242" s="15"/>
      <c r="OOM242" s="15"/>
      <c r="OON242" s="16"/>
      <c r="OOO242" s="16"/>
      <c r="OOP242" s="16"/>
      <c r="OOQ242" s="16"/>
      <c r="OOR242" s="16"/>
      <c r="OOS242" s="15"/>
      <c r="OOT242" s="15"/>
      <c r="OOU242" s="10"/>
      <c r="OOV242" s="10"/>
      <c r="OOW242" s="19"/>
      <c r="OOX242" s="19"/>
      <c r="OPA242" s="16"/>
      <c r="OPB242" s="15"/>
      <c r="OPC242" s="15"/>
      <c r="OPD242" s="15"/>
      <c r="OPE242" s="16"/>
      <c r="OPF242" s="16"/>
      <c r="OPG242" s="16"/>
      <c r="OPH242" s="16"/>
      <c r="OPI242" s="16"/>
      <c r="OPJ242" s="15"/>
      <c r="OPK242" s="15"/>
      <c r="OPL242" s="10"/>
      <c r="OPM242" s="10"/>
      <c r="OPN242" s="19"/>
      <c r="OPO242" s="19"/>
      <c r="OPR242" s="16"/>
      <c r="OPS242" s="15"/>
      <c r="OPT242" s="15"/>
      <c r="OPU242" s="15"/>
      <c r="OPV242" s="16"/>
      <c r="OPW242" s="16"/>
      <c r="OPX242" s="16"/>
      <c r="OPY242" s="16"/>
      <c r="OPZ242" s="16"/>
      <c r="OQA242" s="15"/>
      <c r="OQB242" s="15"/>
      <c r="OQC242" s="10"/>
      <c r="OQD242" s="10"/>
      <c r="OQE242" s="19"/>
      <c r="OQF242" s="19"/>
      <c r="OQI242" s="16"/>
      <c r="OQJ242" s="15"/>
      <c r="OQK242" s="15"/>
      <c r="OQL242" s="15"/>
      <c r="OQM242" s="16"/>
      <c r="OQN242" s="16"/>
      <c r="OQO242" s="16"/>
      <c r="OQP242" s="16"/>
      <c r="OQQ242" s="16"/>
      <c r="OQR242" s="15"/>
      <c r="OQS242" s="15"/>
      <c r="OQT242" s="10"/>
      <c r="OQU242" s="10"/>
      <c r="OQV242" s="19"/>
      <c r="OQW242" s="19"/>
      <c r="OQZ242" s="16"/>
      <c r="ORA242" s="15"/>
      <c r="ORB242" s="15"/>
      <c r="ORC242" s="15"/>
      <c r="ORD242" s="16"/>
      <c r="ORE242" s="16"/>
      <c r="ORF242" s="16"/>
      <c r="ORG242" s="16"/>
      <c r="ORH242" s="16"/>
      <c r="ORI242" s="15"/>
      <c r="ORJ242" s="15"/>
      <c r="ORK242" s="10"/>
      <c r="ORL242" s="10"/>
      <c r="ORM242" s="19"/>
      <c r="ORN242" s="19"/>
      <c r="ORQ242" s="16"/>
      <c r="ORR242" s="15"/>
      <c r="ORS242" s="15"/>
      <c r="ORT242" s="15"/>
      <c r="ORU242" s="16"/>
      <c r="ORV242" s="16"/>
      <c r="ORW242" s="16"/>
      <c r="ORX242" s="16"/>
      <c r="ORY242" s="16"/>
      <c r="ORZ242" s="15"/>
      <c r="OSA242" s="15"/>
      <c r="OSB242" s="10"/>
      <c r="OSC242" s="10"/>
      <c r="OSD242" s="19"/>
      <c r="OSE242" s="19"/>
      <c r="OSH242" s="16"/>
      <c r="OSI242" s="15"/>
      <c r="OSJ242" s="15"/>
      <c r="OSK242" s="15"/>
      <c r="OSL242" s="16"/>
      <c r="OSM242" s="16"/>
      <c r="OSN242" s="16"/>
      <c r="OSO242" s="16"/>
      <c r="OSP242" s="16"/>
      <c r="OSQ242" s="15"/>
      <c r="OSR242" s="15"/>
      <c r="OSS242" s="10"/>
      <c r="OST242" s="10"/>
      <c r="OSU242" s="19"/>
      <c r="OSV242" s="19"/>
      <c r="OSY242" s="16"/>
      <c r="OSZ242" s="15"/>
      <c r="OTA242" s="15"/>
      <c r="OTB242" s="15"/>
      <c r="OTC242" s="16"/>
      <c r="OTD242" s="16"/>
      <c r="OTE242" s="16"/>
      <c r="OTF242" s="16"/>
      <c r="OTG242" s="16"/>
      <c r="OTH242" s="15"/>
      <c r="OTI242" s="15"/>
      <c r="OTJ242" s="10"/>
      <c r="OTK242" s="10"/>
      <c r="OTL242" s="19"/>
      <c r="OTM242" s="19"/>
      <c r="OTP242" s="16"/>
      <c r="OTQ242" s="15"/>
      <c r="OTR242" s="15"/>
      <c r="OTS242" s="15"/>
      <c r="OTT242" s="16"/>
      <c r="OTU242" s="16"/>
      <c r="OTV242" s="16"/>
      <c r="OTW242" s="16"/>
      <c r="OTX242" s="16"/>
      <c r="OTY242" s="15"/>
      <c r="OTZ242" s="15"/>
      <c r="OUA242" s="10"/>
      <c r="OUB242" s="10"/>
      <c r="OUC242" s="19"/>
      <c r="OUD242" s="19"/>
      <c r="OUG242" s="16"/>
      <c r="OUH242" s="15"/>
      <c r="OUI242" s="15"/>
      <c r="OUJ242" s="15"/>
      <c r="OUK242" s="16"/>
      <c r="OUL242" s="16"/>
      <c r="OUM242" s="16"/>
      <c r="OUN242" s="16"/>
      <c r="OUO242" s="16"/>
      <c r="OUP242" s="15"/>
      <c r="OUQ242" s="15"/>
      <c r="OUR242" s="10"/>
      <c r="OUS242" s="10"/>
      <c r="OUT242" s="19"/>
      <c r="OUU242" s="19"/>
      <c r="OUX242" s="16"/>
      <c r="OUY242" s="15"/>
      <c r="OUZ242" s="15"/>
      <c r="OVA242" s="15"/>
      <c r="OVB242" s="16"/>
      <c r="OVC242" s="16"/>
      <c r="OVD242" s="16"/>
      <c r="OVE242" s="16"/>
      <c r="OVF242" s="16"/>
      <c r="OVG242" s="15"/>
      <c r="OVH242" s="15"/>
      <c r="OVI242" s="10"/>
      <c r="OVJ242" s="10"/>
      <c r="OVK242" s="19"/>
      <c r="OVL242" s="19"/>
      <c r="OVO242" s="16"/>
      <c r="OVP242" s="15"/>
      <c r="OVQ242" s="15"/>
      <c r="OVR242" s="15"/>
      <c r="OVS242" s="16"/>
      <c r="OVT242" s="16"/>
      <c r="OVU242" s="16"/>
      <c r="OVV242" s="16"/>
      <c r="OVW242" s="16"/>
      <c r="OVX242" s="15"/>
      <c r="OVY242" s="15"/>
      <c r="OVZ242" s="10"/>
      <c r="OWA242" s="10"/>
      <c r="OWB242" s="19"/>
      <c r="OWC242" s="19"/>
      <c r="OWF242" s="16"/>
      <c r="OWG242" s="15"/>
      <c r="OWH242" s="15"/>
      <c r="OWI242" s="15"/>
      <c r="OWJ242" s="16"/>
      <c r="OWK242" s="16"/>
      <c r="OWL242" s="16"/>
      <c r="OWM242" s="16"/>
      <c r="OWN242" s="16"/>
      <c r="OWO242" s="15"/>
      <c r="OWP242" s="15"/>
      <c r="OWQ242" s="10"/>
      <c r="OWR242" s="10"/>
      <c r="OWS242" s="19"/>
      <c r="OWT242" s="19"/>
      <c r="OWW242" s="16"/>
      <c r="OWX242" s="15"/>
      <c r="OWY242" s="15"/>
      <c r="OWZ242" s="15"/>
      <c r="OXA242" s="16"/>
      <c r="OXB242" s="16"/>
      <c r="OXC242" s="16"/>
      <c r="OXD242" s="16"/>
      <c r="OXE242" s="16"/>
      <c r="OXF242" s="15"/>
      <c r="OXG242" s="15"/>
      <c r="OXH242" s="10"/>
      <c r="OXI242" s="10"/>
      <c r="OXJ242" s="19"/>
      <c r="OXK242" s="19"/>
      <c r="OXN242" s="16"/>
      <c r="OXO242" s="15"/>
      <c r="OXP242" s="15"/>
      <c r="OXQ242" s="15"/>
      <c r="OXR242" s="16"/>
      <c r="OXS242" s="16"/>
      <c r="OXT242" s="16"/>
      <c r="OXU242" s="16"/>
      <c r="OXV242" s="16"/>
      <c r="OXW242" s="15"/>
      <c r="OXX242" s="15"/>
      <c r="OXY242" s="10"/>
      <c r="OXZ242" s="10"/>
      <c r="OYA242" s="19"/>
      <c r="OYB242" s="19"/>
      <c r="OYE242" s="16"/>
      <c r="OYF242" s="15"/>
      <c r="OYG242" s="15"/>
      <c r="OYH242" s="15"/>
      <c r="OYI242" s="16"/>
      <c r="OYJ242" s="16"/>
      <c r="OYK242" s="16"/>
      <c r="OYL242" s="16"/>
      <c r="OYM242" s="16"/>
      <c r="OYN242" s="15"/>
      <c r="OYO242" s="15"/>
      <c r="OYP242" s="10"/>
      <c r="OYQ242" s="10"/>
      <c r="OYR242" s="19"/>
      <c r="OYS242" s="19"/>
      <c r="OYV242" s="16"/>
      <c r="OYW242" s="15"/>
      <c r="OYX242" s="15"/>
      <c r="OYY242" s="15"/>
      <c r="OYZ242" s="16"/>
      <c r="OZA242" s="16"/>
      <c r="OZB242" s="16"/>
      <c r="OZC242" s="16"/>
      <c r="OZD242" s="16"/>
      <c r="OZE242" s="15"/>
      <c r="OZF242" s="15"/>
      <c r="OZG242" s="10"/>
      <c r="OZH242" s="10"/>
      <c r="OZI242" s="19"/>
      <c r="OZJ242" s="19"/>
      <c r="OZM242" s="16"/>
      <c r="OZN242" s="15"/>
      <c r="OZO242" s="15"/>
      <c r="OZP242" s="15"/>
      <c r="OZQ242" s="16"/>
      <c r="OZR242" s="16"/>
      <c r="OZS242" s="16"/>
      <c r="OZT242" s="16"/>
      <c r="OZU242" s="16"/>
      <c r="OZV242" s="15"/>
      <c r="OZW242" s="15"/>
      <c r="OZX242" s="10"/>
      <c r="OZY242" s="10"/>
      <c r="OZZ242" s="19"/>
      <c r="PAA242" s="19"/>
      <c r="PAD242" s="16"/>
      <c r="PAE242" s="15"/>
      <c r="PAF242" s="15"/>
      <c r="PAG242" s="15"/>
      <c r="PAH242" s="16"/>
      <c r="PAI242" s="16"/>
      <c r="PAJ242" s="16"/>
      <c r="PAK242" s="16"/>
      <c r="PAL242" s="16"/>
      <c r="PAM242" s="15"/>
      <c r="PAN242" s="15"/>
      <c r="PAO242" s="10"/>
      <c r="PAP242" s="10"/>
      <c r="PAQ242" s="19"/>
      <c r="PAR242" s="19"/>
      <c r="PAU242" s="16"/>
      <c r="PAV242" s="15"/>
      <c r="PAW242" s="15"/>
      <c r="PAX242" s="15"/>
      <c r="PAY242" s="16"/>
      <c r="PAZ242" s="16"/>
      <c r="PBA242" s="16"/>
      <c r="PBB242" s="16"/>
      <c r="PBC242" s="16"/>
      <c r="PBD242" s="15"/>
      <c r="PBE242" s="15"/>
      <c r="PBF242" s="10"/>
      <c r="PBG242" s="10"/>
      <c r="PBH242" s="19"/>
      <c r="PBI242" s="19"/>
      <c r="PBL242" s="16"/>
      <c r="PBM242" s="15"/>
      <c r="PBN242" s="15"/>
      <c r="PBO242" s="15"/>
      <c r="PBP242" s="16"/>
      <c r="PBQ242" s="16"/>
      <c r="PBR242" s="16"/>
      <c r="PBS242" s="16"/>
      <c r="PBT242" s="16"/>
      <c r="PBU242" s="15"/>
      <c r="PBV242" s="15"/>
      <c r="PBW242" s="10"/>
      <c r="PBX242" s="10"/>
      <c r="PBY242" s="19"/>
      <c r="PBZ242" s="19"/>
      <c r="PCC242" s="16"/>
      <c r="PCD242" s="15"/>
      <c r="PCE242" s="15"/>
      <c r="PCF242" s="15"/>
      <c r="PCG242" s="16"/>
      <c r="PCH242" s="16"/>
      <c r="PCI242" s="16"/>
      <c r="PCJ242" s="16"/>
      <c r="PCK242" s="16"/>
      <c r="PCL242" s="15"/>
      <c r="PCM242" s="15"/>
      <c r="PCN242" s="10"/>
      <c r="PCO242" s="10"/>
      <c r="PCP242" s="19"/>
      <c r="PCQ242" s="19"/>
      <c r="PCT242" s="16"/>
      <c r="PCU242" s="15"/>
      <c r="PCV242" s="15"/>
      <c r="PCW242" s="15"/>
      <c r="PCX242" s="16"/>
      <c r="PCY242" s="16"/>
      <c r="PCZ242" s="16"/>
      <c r="PDA242" s="16"/>
      <c r="PDB242" s="16"/>
      <c r="PDC242" s="15"/>
      <c r="PDD242" s="15"/>
      <c r="PDE242" s="10"/>
      <c r="PDF242" s="10"/>
      <c r="PDG242" s="19"/>
      <c r="PDH242" s="19"/>
      <c r="PDK242" s="16"/>
      <c r="PDL242" s="15"/>
      <c r="PDM242" s="15"/>
      <c r="PDN242" s="15"/>
      <c r="PDO242" s="16"/>
      <c r="PDP242" s="16"/>
      <c r="PDQ242" s="16"/>
      <c r="PDR242" s="16"/>
      <c r="PDS242" s="16"/>
      <c r="PDT242" s="15"/>
      <c r="PDU242" s="15"/>
      <c r="PDV242" s="10"/>
      <c r="PDW242" s="10"/>
      <c r="PDX242" s="19"/>
      <c r="PDY242" s="19"/>
      <c r="PEB242" s="16"/>
      <c r="PEC242" s="15"/>
      <c r="PED242" s="15"/>
      <c r="PEE242" s="15"/>
      <c r="PEF242" s="16"/>
      <c r="PEG242" s="16"/>
      <c r="PEH242" s="16"/>
      <c r="PEI242" s="16"/>
      <c r="PEJ242" s="16"/>
      <c r="PEK242" s="15"/>
      <c r="PEL242" s="15"/>
      <c r="PEM242" s="10"/>
      <c r="PEN242" s="10"/>
      <c r="PEO242" s="19"/>
      <c r="PEP242" s="19"/>
      <c r="PES242" s="16"/>
      <c r="PET242" s="15"/>
      <c r="PEU242" s="15"/>
      <c r="PEV242" s="15"/>
      <c r="PEW242" s="16"/>
      <c r="PEX242" s="16"/>
      <c r="PEY242" s="16"/>
      <c r="PEZ242" s="16"/>
      <c r="PFA242" s="16"/>
      <c r="PFB242" s="15"/>
      <c r="PFC242" s="15"/>
      <c r="PFD242" s="10"/>
      <c r="PFE242" s="10"/>
      <c r="PFF242" s="19"/>
      <c r="PFG242" s="19"/>
      <c r="PFJ242" s="16"/>
      <c r="PFK242" s="15"/>
      <c r="PFL242" s="15"/>
      <c r="PFM242" s="15"/>
      <c r="PFN242" s="16"/>
      <c r="PFO242" s="16"/>
      <c r="PFP242" s="16"/>
      <c r="PFQ242" s="16"/>
      <c r="PFR242" s="16"/>
      <c r="PFS242" s="15"/>
      <c r="PFT242" s="15"/>
      <c r="PFU242" s="10"/>
      <c r="PFV242" s="10"/>
      <c r="PFW242" s="19"/>
      <c r="PFX242" s="19"/>
      <c r="PGA242" s="16"/>
      <c r="PGB242" s="15"/>
      <c r="PGC242" s="15"/>
      <c r="PGD242" s="15"/>
      <c r="PGE242" s="16"/>
      <c r="PGF242" s="16"/>
      <c r="PGG242" s="16"/>
      <c r="PGH242" s="16"/>
      <c r="PGI242" s="16"/>
      <c r="PGJ242" s="15"/>
      <c r="PGK242" s="15"/>
      <c r="PGL242" s="10"/>
      <c r="PGM242" s="10"/>
      <c r="PGN242" s="19"/>
      <c r="PGO242" s="19"/>
      <c r="PGR242" s="16"/>
      <c r="PGS242" s="15"/>
      <c r="PGT242" s="15"/>
      <c r="PGU242" s="15"/>
      <c r="PGV242" s="16"/>
      <c r="PGW242" s="16"/>
      <c r="PGX242" s="16"/>
      <c r="PGY242" s="16"/>
      <c r="PGZ242" s="16"/>
      <c r="PHA242" s="15"/>
      <c r="PHB242" s="15"/>
      <c r="PHC242" s="10"/>
      <c r="PHD242" s="10"/>
      <c r="PHE242" s="19"/>
      <c r="PHF242" s="19"/>
      <c r="PHI242" s="16"/>
      <c r="PHJ242" s="15"/>
      <c r="PHK242" s="15"/>
      <c r="PHL242" s="15"/>
      <c r="PHM242" s="16"/>
      <c r="PHN242" s="16"/>
      <c r="PHO242" s="16"/>
      <c r="PHP242" s="16"/>
      <c r="PHQ242" s="16"/>
      <c r="PHR242" s="15"/>
      <c r="PHS242" s="15"/>
      <c r="PHT242" s="10"/>
      <c r="PHU242" s="10"/>
      <c r="PHV242" s="19"/>
      <c r="PHW242" s="19"/>
      <c r="PHZ242" s="16"/>
      <c r="PIA242" s="15"/>
      <c r="PIB242" s="15"/>
      <c r="PIC242" s="15"/>
      <c r="PID242" s="16"/>
      <c r="PIE242" s="16"/>
      <c r="PIF242" s="16"/>
      <c r="PIG242" s="16"/>
      <c r="PIH242" s="16"/>
      <c r="PII242" s="15"/>
      <c r="PIJ242" s="15"/>
      <c r="PIK242" s="10"/>
      <c r="PIL242" s="10"/>
      <c r="PIM242" s="19"/>
      <c r="PIN242" s="19"/>
      <c r="PIQ242" s="16"/>
      <c r="PIR242" s="15"/>
      <c r="PIS242" s="15"/>
      <c r="PIT242" s="15"/>
      <c r="PIU242" s="16"/>
      <c r="PIV242" s="16"/>
      <c r="PIW242" s="16"/>
      <c r="PIX242" s="16"/>
      <c r="PIY242" s="16"/>
      <c r="PIZ242" s="15"/>
      <c r="PJA242" s="15"/>
      <c r="PJB242" s="10"/>
      <c r="PJC242" s="10"/>
      <c r="PJD242" s="19"/>
      <c r="PJE242" s="19"/>
      <c r="PJH242" s="16"/>
      <c r="PJI242" s="15"/>
      <c r="PJJ242" s="15"/>
      <c r="PJK242" s="15"/>
      <c r="PJL242" s="16"/>
      <c r="PJM242" s="16"/>
      <c r="PJN242" s="16"/>
      <c r="PJO242" s="16"/>
      <c r="PJP242" s="16"/>
      <c r="PJQ242" s="15"/>
      <c r="PJR242" s="15"/>
      <c r="PJS242" s="10"/>
      <c r="PJT242" s="10"/>
      <c r="PJU242" s="19"/>
      <c r="PJV242" s="19"/>
      <c r="PJY242" s="16"/>
      <c r="PJZ242" s="15"/>
      <c r="PKA242" s="15"/>
      <c r="PKB242" s="15"/>
      <c r="PKC242" s="16"/>
      <c r="PKD242" s="16"/>
      <c r="PKE242" s="16"/>
      <c r="PKF242" s="16"/>
      <c r="PKG242" s="16"/>
      <c r="PKH242" s="15"/>
      <c r="PKI242" s="15"/>
      <c r="PKJ242" s="10"/>
      <c r="PKK242" s="10"/>
      <c r="PKL242" s="19"/>
      <c r="PKM242" s="19"/>
      <c r="PKP242" s="16"/>
      <c r="PKQ242" s="15"/>
      <c r="PKR242" s="15"/>
      <c r="PKS242" s="15"/>
      <c r="PKT242" s="16"/>
      <c r="PKU242" s="16"/>
      <c r="PKV242" s="16"/>
      <c r="PKW242" s="16"/>
      <c r="PKX242" s="16"/>
      <c r="PKY242" s="15"/>
      <c r="PKZ242" s="15"/>
      <c r="PLA242" s="10"/>
      <c r="PLB242" s="10"/>
      <c r="PLC242" s="19"/>
      <c r="PLD242" s="19"/>
      <c r="PLG242" s="16"/>
      <c r="PLH242" s="15"/>
      <c r="PLI242" s="15"/>
      <c r="PLJ242" s="15"/>
      <c r="PLK242" s="16"/>
      <c r="PLL242" s="16"/>
      <c r="PLM242" s="16"/>
      <c r="PLN242" s="16"/>
      <c r="PLO242" s="16"/>
      <c r="PLP242" s="15"/>
      <c r="PLQ242" s="15"/>
      <c r="PLR242" s="10"/>
      <c r="PLS242" s="10"/>
      <c r="PLT242" s="19"/>
      <c r="PLU242" s="19"/>
      <c r="PLX242" s="16"/>
      <c r="PLY242" s="15"/>
      <c r="PLZ242" s="15"/>
      <c r="PMA242" s="15"/>
      <c r="PMB242" s="16"/>
      <c r="PMC242" s="16"/>
      <c r="PMD242" s="16"/>
      <c r="PME242" s="16"/>
      <c r="PMF242" s="16"/>
      <c r="PMG242" s="15"/>
      <c r="PMH242" s="15"/>
      <c r="PMI242" s="10"/>
      <c r="PMJ242" s="10"/>
      <c r="PMK242" s="19"/>
      <c r="PML242" s="19"/>
      <c r="PMO242" s="16"/>
      <c r="PMP242" s="15"/>
      <c r="PMQ242" s="15"/>
      <c r="PMR242" s="15"/>
      <c r="PMS242" s="16"/>
      <c r="PMT242" s="16"/>
      <c r="PMU242" s="16"/>
      <c r="PMV242" s="16"/>
      <c r="PMW242" s="16"/>
      <c r="PMX242" s="15"/>
      <c r="PMY242" s="15"/>
      <c r="PMZ242" s="10"/>
      <c r="PNA242" s="10"/>
      <c r="PNB242" s="19"/>
      <c r="PNC242" s="19"/>
      <c r="PNF242" s="16"/>
      <c r="PNG242" s="15"/>
      <c r="PNH242" s="15"/>
      <c r="PNI242" s="15"/>
      <c r="PNJ242" s="16"/>
      <c r="PNK242" s="16"/>
      <c r="PNL242" s="16"/>
      <c r="PNM242" s="16"/>
      <c r="PNN242" s="16"/>
      <c r="PNO242" s="15"/>
      <c r="PNP242" s="15"/>
      <c r="PNQ242" s="10"/>
      <c r="PNR242" s="10"/>
      <c r="PNS242" s="19"/>
      <c r="PNT242" s="19"/>
      <c r="PNW242" s="16"/>
      <c r="PNX242" s="15"/>
      <c r="PNY242" s="15"/>
      <c r="PNZ242" s="15"/>
      <c r="POA242" s="16"/>
      <c r="POB242" s="16"/>
      <c r="POC242" s="16"/>
      <c r="POD242" s="16"/>
      <c r="POE242" s="16"/>
      <c r="POF242" s="15"/>
      <c r="POG242" s="15"/>
      <c r="POH242" s="10"/>
      <c r="POI242" s="10"/>
      <c r="POJ242" s="19"/>
      <c r="POK242" s="19"/>
      <c r="PON242" s="16"/>
      <c r="POO242" s="15"/>
      <c r="POP242" s="15"/>
      <c r="POQ242" s="15"/>
      <c r="POR242" s="16"/>
      <c r="POS242" s="16"/>
      <c r="POT242" s="16"/>
      <c r="POU242" s="16"/>
      <c r="POV242" s="16"/>
      <c r="POW242" s="15"/>
      <c r="POX242" s="15"/>
      <c r="POY242" s="10"/>
      <c r="POZ242" s="10"/>
      <c r="PPA242" s="19"/>
      <c r="PPB242" s="19"/>
      <c r="PPE242" s="16"/>
      <c r="PPF242" s="15"/>
      <c r="PPG242" s="15"/>
      <c r="PPH242" s="15"/>
      <c r="PPI242" s="16"/>
      <c r="PPJ242" s="16"/>
      <c r="PPK242" s="16"/>
      <c r="PPL242" s="16"/>
      <c r="PPM242" s="16"/>
      <c r="PPN242" s="15"/>
      <c r="PPO242" s="15"/>
      <c r="PPP242" s="10"/>
      <c r="PPQ242" s="10"/>
      <c r="PPR242" s="19"/>
      <c r="PPS242" s="19"/>
      <c r="PPV242" s="16"/>
      <c r="PPW242" s="15"/>
      <c r="PPX242" s="15"/>
      <c r="PPY242" s="15"/>
      <c r="PPZ242" s="16"/>
      <c r="PQA242" s="16"/>
      <c r="PQB242" s="16"/>
      <c r="PQC242" s="16"/>
      <c r="PQD242" s="16"/>
      <c r="PQE242" s="15"/>
      <c r="PQF242" s="15"/>
      <c r="PQG242" s="10"/>
      <c r="PQH242" s="10"/>
      <c r="PQI242" s="19"/>
      <c r="PQJ242" s="19"/>
      <c r="PQM242" s="16"/>
      <c r="PQN242" s="15"/>
      <c r="PQO242" s="15"/>
      <c r="PQP242" s="15"/>
      <c r="PQQ242" s="16"/>
      <c r="PQR242" s="16"/>
      <c r="PQS242" s="16"/>
      <c r="PQT242" s="16"/>
      <c r="PQU242" s="16"/>
      <c r="PQV242" s="15"/>
      <c r="PQW242" s="15"/>
      <c r="PQX242" s="10"/>
      <c r="PQY242" s="10"/>
      <c r="PQZ242" s="19"/>
      <c r="PRA242" s="19"/>
      <c r="PRD242" s="16"/>
      <c r="PRE242" s="15"/>
      <c r="PRF242" s="15"/>
      <c r="PRG242" s="15"/>
      <c r="PRH242" s="16"/>
      <c r="PRI242" s="16"/>
      <c r="PRJ242" s="16"/>
      <c r="PRK242" s="16"/>
      <c r="PRL242" s="16"/>
      <c r="PRM242" s="15"/>
      <c r="PRN242" s="15"/>
      <c r="PRO242" s="10"/>
      <c r="PRP242" s="10"/>
      <c r="PRQ242" s="19"/>
      <c r="PRR242" s="19"/>
      <c r="PRU242" s="16"/>
      <c r="PRV242" s="15"/>
      <c r="PRW242" s="15"/>
      <c r="PRX242" s="15"/>
      <c r="PRY242" s="16"/>
      <c r="PRZ242" s="16"/>
      <c r="PSA242" s="16"/>
      <c r="PSB242" s="16"/>
      <c r="PSC242" s="16"/>
      <c r="PSD242" s="15"/>
      <c r="PSE242" s="15"/>
      <c r="PSF242" s="10"/>
      <c r="PSG242" s="10"/>
      <c r="PSH242" s="19"/>
      <c r="PSI242" s="19"/>
      <c r="PSL242" s="16"/>
      <c r="PSM242" s="15"/>
      <c r="PSN242" s="15"/>
      <c r="PSO242" s="15"/>
      <c r="PSP242" s="16"/>
      <c r="PSQ242" s="16"/>
      <c r="PSR242" s="16"/>
      <c r="PSS242" s="16"/>
      <c r="PST242" s="16"/>
      <c r="PSU242" s="15"/>
      <c r="PSV242" s="15"/>
      <c r="PSW242" s="10"/>
      <c r="PSX242" s="10"/>
      <c r="PSY242" s="19"/>
      <c r="PSZ242" s="19"/>
      <c r="PTC242" s="16"/>
      <c r="PTD242" s="15"/>
      <c r="PTE242" s="15"/>
      <c r="PTF242" s="15"/>
      <c r="PTG242" s="16"/>
      <c r="PTH242" s="16"/>
      <c r="PTI242" s="16"/>
      <c r="PTJ242" s="16"/>
      <c r="PTK242" s="16"/>
      <c r="PTL242" s="15"/>
      <c r="PTM242" s="15"/>
      <c r="PTN242" s="10"/>
      <c r="PTO242" s="10"/>
      <c r="PTP242" s="19"/>
      <c r="PTQ242" s="19"/>
      <c r="PTT242" s="16"/>
      <c r="PTU242" s="15"/>
      <c r="PTV242" s="15"/>
      <c r="PTW242" s="15"/>
      <c r="PTX242" s="16"/>
      <c r="PTY242" s="16"/>
      <c r="PTZ242" s="16"/>
      <c r="PUA242" s="16"/>
      <c r="PUB242" s="16"/>
      <c r="PUC242" s="15"/>
      <c r="PUD242" s="15"/>
      <c r="PUE242" s="10"/>
      <c r="PUF242" s="10"/>
      <c r="PUG242" s="19"/>
      <c r="PUH242" s="19"/>
      <c r="PUK242" s="16"/>
      <c r="PUL242" s="15"/>
      <c r="PUM242" s="15"/>
      <c r="PUN242" s="15"/>
      <c r="PUO242" s="16"/>
      <c r="PUP242" s="16"/>
      <c r="PUQ242" s="16"/>
      <c r="PUR242" s="16"/>
      <c r="PUS242" s="16"/>
      <c r="PUT242" s="15"/>
      <c r="PUU242" s="15"/>
      <c r="PUV242" s="10"/>
      <c r="PUW242" s="10"/>
      <c r="PUX242" s="19"/>
      <c r="PUY242" s="19"/>
      <c r="PVB242" s="16"/>
      <c r="PVC242" s="15"/>
      <c r="PVD242" s="15"/>
      <c r="PVE242" s="15"/>
      <c r="PVF242" s="16"/>
      <c r="PVG242" s="16"/>
      <c r="PVH242" s="16"/>
      <c r="PVI242" s="16"/>
      <c r="PVJ242" s="16"/>
      <c r="PVK242" s="15"/>
      <c r="PVL242" s="15"/>
      <c r="PVM242" s="10"/>
      <c r="PVN242" s="10"/>
      <c r="PVO242" s="19"/>
      <c r="PVP242" s="19"/>
      <c r="PVS242" s="16"/>
      <c r="PVT242" s="15"/>
      <c r="PVU242" s="15"/>
      <c r="PVV242" s="15"/>
      <c r="PVW242" s="16"/>
      <c r="PVX242" s="16"/>
      <c r="PVY242" s="16"/>
      <c r="PVZ242" s="16"/>
      <c r="PWA242" s="16"/>
      <c r="PWB242" s="15"/>
      <c r="PWC242" s="15"/>
      <c r="PWD242" s="10"/>
      <c r="PWE242" s="10"/>
      <c r="PWF242" s="19"/>
      <c r="PWG242" s="19"/>
      <c r="PWJ242" s="16"/>
      <c r="PWK242" s="15"/>
      <c r="PWL242" s="15"/>
      <c r="PWM242" s="15"/>
      <c r="PWN242" s="16"/>
      <c r="PWO242" s="16"/>
      <c r="PWP242" s="16"/>
      <c r="PWQ242" s="16"/>
      <c r="PWR242" s="16"/>
      <c r="PWS242" s="15"/>
      <c r="PWT242" s="15"/>
      <c r="PWU242" s="10"/>
      <c r="PWV242" s="10"/>
      <c r="PWW242" s="19"/>
      <c r="PWX242" s="19"/>
      <c r="PXA242" s="16"/>
      <c r="PXB242" s="15"/>
      <c r="PXC242" s="15"/>
      <c r="PXD242" s="15"/>
      <c r="PXE242" s="16"/>
      <c r="PXF242" s="16"/>
      <c r="PXG242" s="16"/>
      <c r="PXH242" s="16"/>
      <c r="PXI242" s="16"/>
      <c r="PXJ242" s="15"/>
      <c r="PXK242" s="15"/>
      <c r="PXL242" s="10"/>
      <c r="PXM242" s="10"/>
      <c r="PXN242" s="19"/>
      <c r="PXO242" s="19"/>
      <c r="PXR242" s="16"/>
      <c r="PXS242" s="15"/>
      <c r="PXT242" s="15"/>
      <c r="PXU242" s="15"/>
      <c r="PXV242" s="16"/>
      <c r="PXW242" s="16"/>
      <c r="PXX242" s="16"/>
      <c r="PXY242" s="16"/>
      <c r="PXZ242" s="16"/>
      <c r="PYA242" s="15"/>
      <c r="PYB242" s="15"/>
      <c r="PYC242" s="10"/>
      <c r="PYD242" s="10"/>
      <c r="PYE242" s="19"/>
      <c r="PYF242" s="19"/>
      <c r="PYI242" s="16"/>
      <c r="PYJ242" s="15"/>
      <c r="PYK242" s="15"/>
      <c r="PYL242" s="15"/>
      <c r="PYM242" s="16"/>
      <c r="PYN242" s="16"/>
      <c r="PYO242" s="16"/>
      <c r="PYP242" s="16"/>
      <c r="PYQ242" s="16"/>
      <c r="PYR242" s="15"/>
      <c r="PYS242" s="15"/>
      <c r="PYT242" s="10"/>
      <c r="PYU242" s="10"/>
      <c r="PYV242" s="19"/>
      <c r="PYW242" s="19"/>
      <c r="PYZ242" s="16"/>
      <c r="PZA242" s="15"/>
      <c r="PZB242" s="15"/>
      <c r="PZC242" s="15"/>
      <c r="PZD242" s="16"/>
      <c r="PZE242" s="16"/>
      <c r="PZF242" s="16"/>
      <c r="PZG242" s="16"/>
      <c r="PZH242" s="16"/>
      <c r="PZI242" s="15"/>
      <c r="PZJ242" s="15"/>
      <c r="PZK242" s="10"/>
      <c r="PZL242" s="10"/>
      <c r="PZM242" s="19"/>
      <c r="PZN242" s="19"/>
      <c r="PZQ242" s="16"/>
      <c r="PZR242" s="15"/>
      <c r="PZS242" s="15"/>
      <c r="PZT242" s="15"/>
      <c r="PZU242" s="16"/>
      <c r="PZV242" s="16"/>
      <c r="PZW242" s="16"/>
      <c r="PZX242" s="16"/>
      <c r="PZY242" s="16"/>
      <c r="PZZ242" s="15"/>
      <c r="QAA242" s="15"/>
      <c r="QAB242" s="10"/>
      <c r="QAC242" s="10"/>
      <c r="QAD242" s="19"/>
      <c r="QAE242" s="19"/>
      <c r="QAH242" s="16"/>
      <c r="QAI242" s="15"/>
      <c r="QAJ242" s="15"/>
      <c r="QAK242" s="15"/>
      <c r="QAL242" s="16"/>
      <c r="QAM242" s="16"/>
      <c r="QAN242" s="16"/>
      <c r="QAO242" s="16"/>
      <c r="QAP242" s="16"/>
      <c r="QAQ242" s="15"/>
      <c r="QAR242" s="15"/>
      <c r="QAS242" s="10"/>
      <c r="QAT242" s="10"/>
      <c r="QAU242" s="19"/>
      <c r="QAV242" s="19"/>
      <c r="QAY242" s="16"/>
      <c r="QAZ242" s="15"/>
      <c r="QBA242" s="15"/>
      <c r="QBB242" s="15"/>
      <c r="QBC242" s="16"/>
      <c r="QBD242" s="16"/>
      <c r="QBE242" s="16"/>
      <c r="QBF242" s="16"/>
      <c r="QBG242" s="16"/>
      <c r="QBH242" s="15"/>
      <c r="QBI242" s="15"/>
      <c r="QBJ242" s="10"/>
      <c r="QBK242" s="10"/>
      <c r="QBL242" s="19"/>
      <c r="QBM242" s="19"/>
      <c r="QBP242" s="16"/>
      <c r="QBQ242" s="15"/>
      <c r="QBR242" s="15"/>
      <c r="QBS242" s="15"/>
      <c r="QBT242" s="16"/>
      <c r="QBU242" s="16"/>
      <c r="QBV242" s="16"/>
      <c r="QBW242" s="16"/>
      <c r="QBX242" s="16"/>
      <c r="QBY242" s="15"/>
      <c r="QBZ242" s="15"/>
      <c r="QCA242" s="10"/>
      <c r="QCB242" s="10"/>
      <c r="QCC242" s="19"/>
      <c r="QCD242" s="19"/>
      <c r="QCG242" s="16"/>
      <c r="QCH242" s="15"/>
      <c r="QCI242" s="15"/>
      <c r="QCJ242" s="15"/>
      <c r="QCK242" s="16"/>
      <c r="QCL242" s="16"/>
      <c r="QCM242" s="16"/>
      <c r="QCN242" s="16"/>
      <c r="QCO242" s="16"/>
      <c r="QCP242" s="15"/>
      <c r="QCQ242" s="15"/>
      <c r="QCR242" s="10"/>
      <c r="QCS242" s="10"/>
      <c r="QCT242" s="19"/>
      <c r="QCU242" s="19"/>
      <c r="QCX242" s="16"/>
      <c r="QCY242" s="15"/>
      <c r="QCZ242" s="15"/>
      <c r="QDA242" s="15"/>
      <c r="QDB242" s="16"/>
      <c r="QDC242" s="16"/>
      <c r="QDD242" s="16"/>
      <c r="QDE242" s="16"/>
      <c r="QDF242" s="16"/>
      <c r="QDG242" s="15"/>
      <c r="QDH242" s="15"/>
      <c r="QDI242" s="10"/>
      <c r="QDJ242" s="10"/>
      <c r="QDK242" s="19"/>
      <c r="QDL242" s="19"/>
      <c r="QDO242" s="16"/>
      <c r="QDP242" s="15"/>
      <c r="QDQ242" s="15"/>
      <c r="QDR242" s="15"/>
      <c r="QDS242" s="16"/>
      <c r="QDT242" s="16"/>
      <c r="QDU242" s="16"/>
      <c r="QDV242" s="16"/>
      <c r="QDW242" s="16"/>
      <c r="QDX242" s="15"/>
      <c r="QDY242" s="15"/>
      <c r="QDZ242" s="10"/>
      <c r="QEA242" s="10"/>
      <c r="QEB242" s="19"/>
      <c r="QEC242" s="19"/>
      <c r="QEF242" s="16"/>
      <c r="QEG242" s="15"/>
      <c r="QEH242" s="15"/>
      <c r="QEI242" s="15"/>
      <c r="QEJ242" s="16"/>
      <c r="QEK242" s="16"/>
      <c r="QEL242" s="16"/>
      <c r="QEM242" s="16"/>
      <c r="QEN242" s="16"/>
      <c r="QEO242" s="15"/>
      <c r="QEP242" s="15"/>
      <c r="QEQ242" s="10"/>
      <c r="QER242" s="10"/>
      <c r="QES242" s="19"/>
      <c r="QET242" s="19"/>
      <c r="QEW242" s="16"/>
      <c r="QEX242" s="15"/>
      <c r="QEY242" s="15"/>
      <c r="QEZ242" s="15"/>
      <c r="QFA242" s="16"/>
      <c r="QFB242" s="16"/>
      <c r="QFC242" s="16"/>
      <c r="QFD242" s="16"/>
      <c r="QFE242" s="16"/>
      <c r="QFF242" s="15"/>
      <c r="QFG242" s="15"/>
      <c r="QFH242" s="10"/>
      <c r="QFI242" s="10"/>
      <c r="QFJ242" s="19"/>
      <c r="QFK242" s="19"/>
      <c r="QFN242" s="16"/>
      <c r="QFO242" s="15"/>
      <c r="QFP242" s="15"/>
      <c r="QFQ242" s="15"/>
      <c r="QFR242" s="16"/>
      <c r="QFS242" s="16"/>
      <c r="QFT242" s="16"/>
      <c r="QFU242" s="16"/>
      <c r="QFV242" s="16"/>
      <c r="QFW242" s="15"/>
      <c r="QFX242" s="15"/>
      <c r="QFY242" s="10"/>
      <c r="QFZ242" s="10"/>
      <c r="QGA242" s="19"/>
      <c r="QGB242" s="19"/>
      <c r="QGE242" s="16"/>
      <c r="QGF242" s="15"/>
      <c r="QGG242" s="15"/>
      <c r="QGH242" s="15"/>
      <c r="QGI242" s="16"/>
      <c r="QGJ242" s="16"/>
      <c r="QGK242" s="16"/>
      <c r="QGL242" s="16"/>
      <c r="QGM242" s="16"/>
      <c r="QGN242" s="15"/>
      <c r="QGO242" s="15"/>
      <c r="QGP242" s="10"/>
      <c r="QGQ242" s="10"/>
      <c r="QGR242" s="19"/>
      <c r="QGS242" s="19"/>
      <c r="QGV242" s="16"/>
      <c r="QGW242" s="15"/>
      <c r="QGX242" s="15"/>
      <c r="QGY242" s="15"/>
      <c r="QGZ242" s="16"/>
      <c r="QHA242" s="16"/>
      <c r="QHB242" s="16"/>
      <c r="QHC242" s="16"/>
      <c r="QHD242" s="16"/>
      <c r="QHE242" s="15"/>
      <c r="QHF242" s="15"/>
      <c r="QHG242" s="10"/>
      <c r="QHH242" s="10"/>
      <c r="QHI242" s="19"/>
      <c r="QHJ242" s="19"/>
      <c r="QHM242" s="16"/>
      <c r="QHN242" s="15"/>
      <c r="QHO242" s="15"/>
      <c r="QHP242" s="15"/>
      <c r="QHQ242" s="16"/>
      <c r="QHR242" s="16"/>
      <c r="QHS242" s="16"/>
      <c r="QHT242" s="16"/>
      <c r="QHU242" s="16"/>
      <c r="QHV242" s="15"/>
      <c r="QHW242" s="15"/>
      <c r="QHX242" s="10"/>
      <c r="QHY242" s="10"/>
      <c r="QHZ242" s="19"/>
      <c r="QIA242" s="19"/>
      <c r="QID242" s="16"/>
      <c r="QIE242" s="15"/>
      <c r="QIF242" s="15"/>
      <c r="QIG242" s="15"/>
      <c r="QIH242" s="16"/>
      <c r="QII242" s="16"/>
      <c r="QIJ242" s="16"/>
      <c r="QIK242" s="16"/>
      <c r="QIL242" s="16"/>
      <c r="QIM242" s="15"/>
      <c r="QIN242" s="15"/>
      <c r="QIO242" s="10"/>
      <c r="QIP242" s="10"/>
      <c r="QIQ242" s="19"/>
      <c r="QIR242" s="19"/>
      <c r="QIU242" s="16"/>
      <c r="QIV242" s="15"/>
      <c r="QIW242" s="15"/>
      <c r="QIX242" s="15"/>
      <c r="QIY242" s="16"/>
      <c r="QIZ242" s="16"/>
      <c r="QJA242" s="16"/>
      <c r="QJB242" s="16"/>
      <c r="QJC242" s="16"/>
      <c r="QJD242" s="15"/>
      <c r="QJE242" s="15"/>
      <c r="QJF242" s="10"/>
      <c r="QJG242" s="10"/>
      <c r="QJH242" s="19"/>
      <c r="QJI242" s="19"/>
      <c r="QJL242" s="16"/>
      <c r="QJM242" s="15"/>
      <c r="QJN242" s="15"/>
      <c r="QJO242" s="15"/>
      <c r="QJP242" s="16"/>
      <c r="QJQ242" s="16"/>
      <c r="QJR242" s="16"/>
      <c r="QJS242" s="16"/>
      <c r="QJT242" s="16"/>
      <c r="QJU242" s="15"/>
      <c r="QJV242" s="15"/>
      <c r="QJW242" s="10"/>
      <c r="QJX242" s="10"/>
      <c r="QJY242" s="19"/>
      <c r="QJZ242" s="19"/>
      <c r="QKC242" s="16"/>
      <c r="QKD242" s="15"/>
      <c r="QKE242" s="15"/>
      <c r="QKF242" s="15"/>
      <c r="QKG242" s="16"/>
      <c r="QKH242" s="16"/>
      <c r="QKI242" s="16"/>
      <c r="QKJ242" s="16"/>
      <c r="QKK242" s="16"/>
      <c r="QKL242" s="15"/>
      <c r="QKM242" s="15"/>
      <c r="QKN242" s="10"/>
      <c r="QKO242" s="10"/>
      <c r="QKP242" s="19"/>
      <c r="QKQ242" s="19"/>
      <c r="QKT242" s="16"/>
      <c r="QKU242" s="15"/>
      <c r="QKV242" s="15"/>
      <c r="QKW242" s="15"/>
      <c r="QKX242" s="16"/>
      <c r="QKY242" s="16"/>
      <c r="QKZ242" s="16"/>
      <c r="QLA242" s="16"/>
      <c r="QLB242" s="16"/>
      <c r="QLC242" s="15"/>
      <c r="QLD242" s="15"/>
      <c r="QLE242" s="10"/>
      <c r="QLF242" s="10"/>
      <c r="QLG242" s="19"/>
      <c r="QLH242" s="19"/>
      <c r="QLK242" s="16"/>
      <c r="QLL242" s="15"/>
      <c r="QLM242" s="15"/>
      <c r="QLN242" s="15"/>
      <c r="QLO242" s="16"/>
      <c r="QLP242" s="16"/>
      <c r="QLQ242" s="16"/>
      <c r="QLR242" s="16"/>
      <c r="QLS242" s="16"/>
      <c r="QLT242" s="15"/>
      <c r="QLU242" s="15"/>
      <c r="QLV242" s="10"/>
      <c r="QLW242" s="10"/>
      <c r="QLX242" s="19"/>
      <c r="QLY242" s="19"/>
      <c r="QMB242" s="16"/>
      <c r="QMC242" s="15"/>
      <c r="QMD242" s="15"/>
      <c r="QME242" s="15"/>
      <c r="QMF242" s="16"/>
      <c r="QMG242" s="16"/>
      <c r="QMH242" s="16"/>
      <c r="QMI242" s="16"/>
      <c r="QMJ242" s="16"/>
      <c r="QMK242" s="15"/>
      <c r="QML242" s="15"/>
      <c r="QMM242" s="10"/>
      <c r="QMN242" s="10"/>
      <c r="QMO242" s="19"/>
      <c r="QMP242" s="19"/>
      <c r="QMS242" s="16"/>
      <c r="QMT242" s="15"/>
      <c r="QMU242" s="15"/>
      <c r="QMV242" s="15"/>
      <c r="QMW242" s="16"/>
      <c r="QMX242" s="16"/>
      <c r="QMY242" s="16"/>
      <c r="QMZ242" s="16"/>
      <c r="QNA242" s="16"/>
      <c r="QNB242" s="15"/>
      <c r="QNC242" s="15"/>
      <c r="QND242" s="10"/>
      <c r="QNE242" s="10"/>
      <c r="QNF242" s="19"/>
      <c r="QNG242" s="19"/>
      <c r="QNJ242" s="16"/>
      <c r="QNK242" s="15"/>
      <c r="QNL242" s="15"/>
      <c r="QNM242" s="15"/>
      <c r="QNN242" s="16"/>
      <c r="QNO242" s="16"/>
      <c r="QNP242" s="16"/>
      <c r="QNQ242" s="16"/>
      <c r="QNR242" s="16"/>
      <c r="QNS242" s="15"/>
      <c r="QNT242" s="15"/>
      <c r="QNU242" s="10"/>
      <c r="QNV242" s="10"/>
      <c r="QNW242" s="19"/>
      <c r="QNX242" s="19"/>
      <c r="QOA242" s="16"/>
      <c r="QOB242" s="15"/>
      <c r="QOC242" s="15"/>
      <c r="QOD242" s="15"/>
      <c r="QOE242" s="16"/>
      <c r="QOF242" s="16"/>
      <c r="QOG242" s="16"/>
      <c r="QOH242" s="16"/>
      <c r="QOI242" s="16"/>
      <c r="QOJ242" s="15"/>
      <c r="QOK242" s="15"/>
      <c r="QOL242" s="10"/>
      <c r="QOM242" s="10"/>
      <c r="QON242" s="19"/>
      <c r="QOO242" s="19"/>
      <c r="QOR242" s="16"/>
      <c r="QOS242" s="15"/>
      <c r="QOT242" s="15"/>
      <c r="QOU242" s="15"/>
      <c r="QOV242" s="16"/>
      <c r="QOW242" s="16"/>
      <c r="QOX242" s="16"/>
      <c r="QOY242" s="16"/>
      <c r="QOZ242" s="16"/>
      <c r="QPA242" s="15"/>
      <c r="QPB242" s="15"/>
      <c r="QPC242" s="10"/>
      <c r="QPD242" s="10"/>
      <c r="QPE242" s="19"/>
      <c r="QPF242" s="19"/>
      <c r="QPI242" s="16"/>
      <c r="QPJ242" s="15"/>
      <c r="QPK242" s="15"/>
      <c r="QPL242" s="15"/>
      <c r="QPM242" s="16"/>
      <c r="QPN242" s="16"/>
      <c r="QPO242" s="16"/>
      <c r="QPP242" s="16"/>
      <c r="QPQ242" s="16"/>
      <c r="QPR242" s="15"/>
      <c r="QPS242" s="15"/>
      <c r="QPT242" s="10"/>
      <c r="QPU242" s="10"/>
      <c r="QPV242" s="19"/>
      <c r="QPW242" s="19"/>
      <c r="QPZ242" s="16"/>
      <c r="QQA242" s="15"/>
      <c r="QQB242" s="15"/>
      <c r="QQC242" s="15"/>
      <c r="QQD242" s="16"/>
      <c r="QQE242" s="16"/>
      <c r="QQF242" s="16"/>
      <c r="QQG242" s="16"/>
      <c r="QQH242" s="16"/>
      <c r="QQI242" s="15"/>
      <c r="QQJ242" s="15"/>
      <c r="QQK242" s="10"/>
      <c r="QQL242" s="10"/>
      <c r="QQM242" s="19"/>
      <c r="QQN242" s="19"/>
      <c r="QQQ242" s="16"/>
      <c r="QQR242" s="15"/>
      <c r="QQS242" s="15"/>
      <c r="QQT242" s="15"/>
      <c r="QQU242" s="16"/>
      <c r="QQV242" s="16"/>
      <c r="QQW242" s="16"/>
      <c r="QQX242" s="16"/>
      <c r="QQY242" s="16"/>
      <c r="QQZ242" s="15"/>
      <c r="QRA242" s="15"/>
      <c r="QRB242" s="10"/>
      <c r="QRC242" s="10"/>
      <c r="QRD242" s="19"/>
      <c r="QRE242" s="19"/>
      <c r="QRH242" s="16"/>
      <c r="QRI242" s="15"/>
      <c r="QRJ242" s="15"/>
      <c r="QRK242" s="15"/>
      <c r="QRL242" s="16"/>
      <c r="QRM242" s="16"/>
      <c r="QRN242" s="16"/>
      <c r="QRO242" s="16"/>
      <c r="QRP242" s="16"/>
      <c r="QRQ242" s="15"/>
      <c r="QRR242" s="15"/>
      <c r="QRS242" s="10"/>
      <c r="QRT242" s="10"/>
      <c r="QRU242" s="19"/>
      <c r="QRV242" s="19"/>
      <c r="QRY242" s="16"/>
      <c r="QRZ242" s="15"/>
      <c r="QSA242" s="15"/>
      <c r="QSB242" s="15"/>
      <c r="QSC242" s="16"/>
      <c r="QSD242" s="16"/>
      <c r="QSE242" s="16"/>
      <c r="QSF242" s="16"/>
      <c r="QSG242" s="16"/>
      <c r="QSH242" s="15"/>
      <c r="QSI242" s="15"/>
      <c r="QSJ242" s="10"/>
      <c r="QSK242" s="10"/>
      <c r="QSL242" s="19"/>
      <c r="QSM242" s="19"/>
      <c r="QSP242" s="16"/>
      <c r="QSQ242" s="15"/>
      <c r="QSR242" s="15"/>
      <c r="QSS242" s="15"/>
      <c r="QST242" s="16"/>
      <c r="QSU242" s="16"/>
      <c r="QSV242" s="16"/>
      <c r="QSW242" s="16"/>
      <c r="QSX242" s="16"/>
      <c r="QSY242" s="15"/>
      <c r="QSZ242" s="15"/>
      <c r="QTA242" s="10"/>
      <c r="QTB242" s="10"/>
      <c r="QTC242" s="19"/>
      <c r="QTD242" s="19"/>
      <c r="QTG242" s="16"/>
      <c r="QTH242" s="15"/>
      <c r="QTI242" s="15"/>
      <c r="QTJ242" s="15"/>
      <c r="QTK242" s="16"/>
      <c r="QTL242" s="16"/>
      <c r="QTM242" s="16"/>
      <c r="QTN242" s="16"/>
      <c r="QTO242" s="16"/>
      <c r="QTP242" s="15"/>
      <c r="QTQ242" s="15"/>
      <c r="QTR242" s="10"/>
      <c r="QTS242" s="10"/>
      <c r="QTT242" s="19"/>
      <c r="QTU242" s="19"/>
      <c r="QTX242" s="16"/>
      <c r="QTY242" s="15"/>
      <c r="QTZ242" s="15"/>
      <c r="QUA242" s="15"/>
      <c r="QUB242" s="16"/>
      <c r="QUC242" s="16"/>
      <c r="QUD242" s="16"/>
      <c r="QUE242" s="16"/>
      <c r="QUF242" s="16"/>
      <c r="QUG242" s="15"/>
      <c r="QUH242" s="15"/>
      <c r="QUI242" s="10"/>
      <c r="QUJ242" s="10"/>
      <c r="QUK242" s="19"/>
      <c r="QUL242" s="19"/>
      <c r="QUO242" s="16"/>
      <c r="QUP242" s="15"/>
      <c r="QUQ242" s="15"/>
      <c r="QUR242" s="15"/>
      <c r="QUS242" s="16"/>
      <c r="QUT242" s="16"/>
      <c r="QUU242" s="16"/>
      <c r="QUV242" s="16"/>
      <c r="QUW242" s="16"/>
      <c r="QUX242" s="15"/>
      <c r="QUY242" s="15"/>
      <c r="QUZ242" s="10"/>
      <c r="QVA242" s="10"/>
      <c r="QVB242" s="19"/>
      <c r="QVC242" s="19"/>
      <c r="QVF242" s="16"/>
      <c r="QVG242" s="15"/>
      <c r="QVH242" s="15"/>
      <c r="QVI242" s="15"/>
      <c r="QVJ242" s="16"/>
      <c r="QVK242" s="16"/>
      <c r="QVL242" s="16"/>
      <c r="QVM242" s="16"/>
      <c r="QVN242" s="16"/>
      <c r="QVO242" s="15"/>
      <c r="QVP242" s="15"/>
      <c r="QVQ242" s="10"/>
      <c r="QVR242" s="10"/>
      <c r="QVS242" s="19"/>
      <c r="QVT242" s="19"/>
      <c r="QVW242" s="16"/>
      <c r="QVX242" s="15"/>
      <c r="QVY242" s="15"/>
      <c r="QVZ242" s="15"/>
      <c r="QWA242" s="16"/>
      <c r="QWB242" s="16"/>
      <c r="QWC242" s="16"/>
      <c r="QWD242" s="16"/>
      <c r="QWE242" s="16"/>
      <c r="QWF242" s="15"/>
      <c r="QWG242" s="15"/>
      <c r="QWH242" s="10"/>
      <c r="QWI242" s="10"/>
      <c r="QWJ242" s="19"/>
      <c r="QWK242" s="19"/>
      <c r="QWN242" s="16"/>
      <c r="QWO242" s="15"/>
      <c r="QWP242" s="15"/>
      <c r="QWQ242" s="15"/>
      <c r="QWR242" s="16"/>
      <c r="QWS242" s="16"/>
      <c r="QWT242" s="16"/>
      <c r="QWU242" s="16"/>
      <c r="QWV242" s="16"/>
      <c r="QWW242" s="15"/>
      <c r="QWX242" s="15"/>
      <c r="QWY242" s="10"/>
      <c r="QWZ242" s="10"/>
      <c r="QXA242" s="19"/>
      <c r="QXB242" s="19"/>
      <c r="QXE242" s="16"/>
      <c r="QXF242" s="15"/>
      <c r="QXG242" s="15"/>
      <c r="QXH242" s="15"/>
      <c r="QXI242" s="16"/>
      <c r="QXJ242" s="16"/>
      <c r="QXK242" s="16"/>
      <c r="QXL242" s="16"/>
      <c r="QXM242" s="16"/>
      <c r="QXN242" s="15"/>
      <c r="QXO242" s="15"/>
      <c r="QXP242" s="10"/>
      <c r="QXQ242" s="10"/>
      <c r="QXR242" s="19"/>
      <c r="QXS242" s="19"/>
      <c r="QXV242" s="16"/>
      <c r="QXW242" s="15"/>
      <c r="QXX242" s="15"/>
      <c r="QXY242" s="15"/>
      <c r="QXZ242" s="16"/>
      <c r="QYA242" s="16"/>
      <c r="QYB242" s="16"/>
      <c r="QYC242" s="16"/>
      <c r="QYD242" s="16"/>
      <c r="QYE242" s="15"/>
      <c r="QYF242" s="15"/>
      <c r="QYG242" s="10"/>
      <c r="QYH242" s="10"/>
      <c r="QYI242" s="19"/>
      <c r="QYJ242" s="19"/>
      <c r="QYM242" s="16"/>
      <c r="QYN242" s="15"/>
      <c r="QYO242" s="15"/>
      <c r="QYP242" s="15"/>
      <c r="QYQ242" s="16"/>
      <c r="QYR242" s="16"/>
      <c r="QYS242" s="16"/>
      <c r="QYT242" s="16"/>
      <c r="QYU242" s="16"/>
      <c r="QYV242" s="15"/>
      <c r="QYW242" s="15"/>
      <c r="QYX242" s="10"/>
      <c r="QYY242" s="10"/>
      <c r="QYZ242" s="19"/>
      <c r="QZA242" s="19"/>
      <c r="QZD242" s="16"/>
      <c r="QZE242" s="15"/>
      <c r="QZF242" s="15"/>
      <c r="QZG242" s="15"/>
      <c r="QZH242" s="16"/>
      <c r="QZI242" s="16"/>
      <c r="QZJ242" s="16"/>
      <c r="QZK242" s="16"/>
      <c r="QZL242" s="16"/>
      <c r="QZM242" s="15"/>
      <c r="QZN242" s="15"/>
      <c r="QZO242" s="10"/>
      <c r="QZP242" s="10"/>
      <c r="QZQ242" s="19"/>
      <c r="QZR242" s="19"/>
      <c r="QZU242" s="16"/>
      <c r="QZV242" s="15"/>
      <c r="QZW242" s="15"/>
      <c r="QZX242" s="15"/>
      <c r="QZY242" s="16"/>
      <c r="QZZ242" s="16"/>
      <c r="RAA242" s="16"/>
      <c r="RAB242" s="16"/>
      <c r="RAC242" s="16"/>
      <c r="RAD242" s="15"/>
      <c r="RAE242" s="15"/>
      <c r="RAF242" s="10"/>
      <c r="RAG242" s="10"/>
      <c r="RAH242" s="19"/>
      <c r="RAI242" s="19"/>
      <c r="RAL242" s="16"/>
      <c r="RAM242" s="15"/>
      <c r="RAN242" s="15"/>
      <c r="RAO242" s="15"/>
      <c r="RAP242" s="16"/>
      <c r="RAQ242" s="16"/>
      <c r="RAR242" s="16"/>
      <c r="RAS242" s="16"/>
      <c r="RAT242" s="16"/>
      <c r="RAU242" s="15"/>
      <c r="RAV242" s="15"/>
      <c r="RAW242" s="10"/>
      <c r="RAX242" s="10"/>
      <c r="RAY242" s="19"/>
      <c r="RAZ242" s="19"/>
      <c r="RBC242" s="16"/>
      <c r="RBD242" s="15"/>
      <c r="RBE242" s="15"/>
      <c r="RBF242" s="15"/>
      <c r="RBG242" s="16"/>
      <c r="RBH242" s="16"/>
      <c r="RBI242" s="16"/>
      <c r="RBJ242" s="16"/>
      <c r="RBK242" s="16"/>
      <c r="RBL242" s="15"/>
      <c r="RBM242" s="15"/>
      <c r="RBN242" s="10"/>
      <c r="RBO242" s="10"/>
      <c r="RBP242" s="19"/>
      <c r="RBQ242" s="19"/>
      <c r="RBT242" s="16"/>
      <c r="RBU242" s="15"/>
      <c r="RBV242" s="15"/>
      <c r="RBW242" s="15"/>
      <c r="RBX242" s="16"/>
      <c r="RBY242" s="16"/>
      <c r="RBZ242" s="16"/>
      <c r="RCA242" s="16"/>
      <c r="RCB242" s="16"/>
      <c r="RCC242" s="15"/>
      <c r="RCD242" s="15"/>
      <c r="RCE242" s="10"/>
      <c r="RCF242" s="10"/>
      <c r="RCG242" s="19"/>
      <c r="RCH242" s="19"/>
      <c r="RCK242" s="16"/>
      <c r="RCL242" s="15"/>
      <c r="RCM242" s="15"/>
      <c r="RCN242" s="15"/>
      <c r="RCO242" s="16"/>
      <c r="RCP242" s="16"/>
      <c r="RCQ242" s="16"/>
      <c r="RCR242" s="16"/>
      <c r="RCS242" s="16"/>
      <c r="RCT242" s="15"/>
      <c r="RCU242" s="15"/>
      <c r="RCV242" s="10"/>
      <c r="RCW242" s="10"/>
      <c r="RCX242" s="19"/>
      <c r="RCY242" s="19"/>
      <c r="RDB242" s="16"/>
      <c r="RDC242" s="15"/>
      <c r="RDD242" s="15"/>
      <c r="RDE242" s="15"/>
      <c r="RDF242" s="16"/>
      <c r="RDG242" s="16"/>
      <c r="RDH242" s="16"/>
      <c r="RDI242" s="16"/>
      <c r="RDJ242" s="16"/>
      <c r="RDK242" s="15"/>
      <c r="RDL242" s="15"/>
      <c r="RDM242" s="10"/>
      <c r="RDN242" s="10"/>
      <c r="RDO242" s="19"/>
      <c r="RDP242" s="19"/>
      <c r="RDS242" s="16"/>
      <c r="RDT242" s="15"/>
      <c r="RDU242" s="15"/>
      <c r="RDV242" s="15"/>
      <c r="RDW242" s="16"/>
      <c r="RDX242" s="16"/>
      <c r="RDY242" s="16"/>
      <c r="RDZ242" s="16"/>
      <c r="REA242" s="16"/>
      <c r="REB242" s="15"/>
      <c r="REC242" s="15"/>
      <c r="RED242" s="10"/>
      <c r="REE242" s="10"/>
      <c r="REF242" s="19"/>
      <c r="REG242" s="19"/>
      <c r="REJ242" s="16"/>
      <c r="REK242" s="15"/>
      <c r="REL242" s="15"/>
      <c r="REM242" s="15"/>
      <c r="REN242" s="16"/>
      <c r="REO242" s="16"/>
      <c r="REP242" s="16"/>
      <c r="REQ242" s="16"/>
      <c r="RER242" s="16"/>
      <c r="RES242" s="15"/>
      <c r="RET242" s="15"/>
      <c r="REU242" s="10"/>
      <c r="REV242" s="10"/>
      <c r="REW242" s="19"/>
      <c r="REX242" s="19"/>
      <c r="RFA242" s="16"/>
      <c r="RFB242" s="15"/>
      <c r="RFC242" s="15"/>
      <c r="RFD242" s="15"/>
      <c r="RFE242" s="16"/>
      <c r="RFF242" s="16"/>
      <c r="RFG242" s="16"/>
      <c r="RFH242" s="16"/>
      <c r="RFI242" s="16"/>
      <c r="RFJ242" s="15"/>
      <c r="RFK242" s="15"/>
      <c r="RFL242" s="10"/>
      <c r="RFM242" s="10"/>
      <c r="RFN242" s="19"/>
      <c r="RFO242" s="19"/>
      <c r="RFR242" s="16"/>
      <c r="RFS242" s="15"/>
      <c r="RFT242" s="15"/>
      <c r="RFU242" s="15"/>
      <c r="RFV242" s="16"/>
      <c r="RFW242" s="16"/>
      <c r="RFX242" s="16"/>
      <c r="RFY242" s="16"/>
      <c r="RFZ242" s="16"/>
      <c r="RGA242" s="15"/>
      <c r="RGB242" s="15"/>
      <c r="RGC242" s="10"/>
      <c r="RGD242" s="10"/>
      <c r="RGE242" s="19"/>
      <c r="RGF242" s="19"/>
      <c r="RGI242" s="16"/>
      <c r="RGJ242" s="15"/>
      <c r="RGK242" s="15"/>
      <c r="RGL242" s="15"/>
      <c r="RGM242" s="16"/>
      <c r="RGN242" s="16"/>
      <c r="RGO242" s="16"/>
      <c r="RGP242" s="16"/>
      <c r="RGQ242" s="16"/>
      <c r="RGR242" s="15"/>
      <c r="RGS242" s="15"/>
      <c r="RGT242" s="10"/>
      <c r="RGU242" s="10"/>
      <c r="RGV242" s="19"/>
      <c r="RGW242" s="19"/>
      <c r="RGZ242" s="16"/>
      <c r="RHA242" s="15"/>
      <c r="RHB242" s="15"/>
      <c r="RHC242" s="15"/>
      <c r="RHD242" s="16"/>
      <c r="RHE242" s="16"/>
      <c r="RHF242" s="16"/>
      <c r="RHG242" s="16"/>
      <c r="RHH242" s="16"/>
      <c r="RHI242" s="15"/>
      <c r="RHJ242" s="15"/>
      <c r="RHK242" s="10"/>
      <c r="RHL242" s="10"/>
      <c r="RHM242" s="19"/>
      <c r="RHN242" s="19"/>
      <c r="RHQ242" s="16"/>
      <c r="RHR242" s="15"/>
      <c r="RHS242" s="15"/>
      <c r="RHT242" s="15"/>
      <c r="RHU242" s="16"/>
      <c r="RHV242" s="16"/>
      <c r="RHW242" s="16"/>
      <c r="RHX242" s="16"/>
      <c r="RHY242" s="16"/>
      <c r="RHZ242" s="15"/>
      <c r="RIA242" s="15"/>
      <c r="RIB242" s="10"/>
      <c r="RIC242" s="10"/>
      <c r="RID242" s="19"/>
      <c r="RIE242" s="19"/>
      <c r="RIH242" s="16"/>
      <c r="RII242" s="15"/>
      <c r="RIJ242" s="15"/>
      <c r="RIK242" s="15"/>
      <c r="RIL242" s="16"/>
      <c r="RIM242" s="16"/>
      <c r="RIN242" s="16"/>
      <c r="RIO242" s="16"/>
      <c r="RIP242" s="16"/>
      <c r="RIQ242" s="15"/>
      <c r="RIR242" s="15"/>
      <c r="RIS242" s="10"/>
      <c r="RIT242" s="10"/>
      <c r="RIU242" s="19"/>
      <c r="RIV242" s="19"/>
      <c r="RIY242" s="16"/>
      <c r="RIZ242" s="15"/>
      <c r="RJA242" s="15"/>
      <c r="RJB242" s="15"/>
      <c r="RJC242" s="16"/>
      <c r="RJD242" s="16"/>
      <c r="RJE242" s="16"/>
      <c r="RJF242" s="16"/>
      <c r="RJG242" s="16"/>
      <c r="RJH242" s="15"/>
      <c r="RJI242" s="15"/>
      <c r="RJJ242" s="10"/>
      <c r="RJK242" s="10"/>
      <c r="RJL242" s="19"/>
      <c r="RJM242" s="19"/>
      <c r="RJP242" s="16"/>
      <c r="RJQ242" s="15"/>
      <c r="RJR242" s="15"/>
      <c r="RJS242" s="15"/>
      <c r="RJT242" s="16"/>
      <c r="RJU242" s="16"/>
      <c r="RJV242" s="16"/>
      <c r="RJW242" s="16"/>
      <c r="RJX242" s="16"/>
      <c r="RJY242" s="15"/>
      <c r="RJZ242" s="15"/>
      <c r="RKA242" s="10"/>
      <c r="RKB242" s="10"/>
      <c r="RKC242" s="19"/>
      <c r="RKD242" s="19"/>
      <c r="RKG242" s="16"/>
      <c r="RKH242" s="15"/>
      <c r="RKI242" s="15"/>
      <c r="RKJ242" s="15"/>
      <c r="RKK242" s="16"/>
      <c r="RKL242" s="16"/>
      <c r="RKM242" s="16"/>
      <c r="RKN242" s="16"/>
      <c r="RKO242" s="16"/>
      <c r="RKP242" s="15"/>
      <c r="RKQ242" s="15"/>
      <c r="RKR242" s="10"/>
      <c r="RKS242" s="10"/>
      <c r="RKT242" s="19"/>
      <c r="RKU242" s="19"/>
      <c r="RKX242" s="16"/>
      <c r="RKY242" s="15"/>
      <c r="RKZ242" s="15"/>
      <c r="RLA242" s="15"/>
      <c r="RLB242" s="16"/>
      <c r="RLC242" s="16"/>
      <c r="RLD242" s="16"/>
      <c r="RLE242" s="16"/>
      <c r="RLF242" s="16"/>
      <c r="RLG242" s="15"/>
      <c r="RLH242" s="15"/>
      <c r="RLI242" s="10"/>
      <c r="RLJ242" s="10"/>
      <c r="RLK242" s="19"/>
      <c r="RLL242" s="19"/>
      <c r="RLO242" s="16"/>
      <c r="RLP242" s="15"/>
      <c r="RLQ242" s="15"/>
      <c r="RLR242" s="15"/>
      <c r="RLS242" s="16"/>
      <c r="RLT242" s="16"/>
      <c r="RLU242" s="16"/>
      <c r="RLV242" s="16"/>
      <c r="RLW242" s="16"/>
      <c r="RLX242" s="15"/>
      <c r="RLY242" s="15"/>
      <c r="RLZ242" s="10"/>
      <c r="RMA242" s="10"/>
      <c r="RMB242" s="19"/>
      <c r="RMC242" s="19"/>
      <c r="RMF242" s="16"/>
      <c r="RMG242" s="15"/>
      <c r="RMH242" s="15"/>
      <c r="RMI242" s="15"/>
      <c r="RMJ242" s="16"/>
      <c r="RMK242" s="16"/>
      <c r="RML242" s="16"/>
      <c r="RMM242" s="16"/>
      <c r="RMN242" s="16"/>
      <c r="RMO242" s="15"/>
      <c r="RMP242" s="15"/>
      <c r="RMQ242" s="10"/>
      <c r="RMR242" s="10"/>
      <c r="RMS242" s="19"/>
      <c r="RMT242" s="19"/>
      <c r="RMW242" s="16"/>
      <c r="RMX242" s="15"/>
      <c r="RMY242" s="15"/>
      <c r="RMZ242" s="15"/>
      <c r="RNA242" s="16"/>
      <c r="RNB242" s="16"/>
      <c r="RNC242" s="16"/>
      <c r="RND242" s="16"/>
      <c r="RNE242" s="16"/>
      <c r="RNF242" s="15"/>
      <c r="RNG242" s="15"/>
      <c r="RNH242" s="10"/>
      <c r="RNI242" s="10"/>
      <c r="RNJ242" s="19"/>
      <c r="RNK242" s="19"/>
      <c r="RNN242" s="16"/>
      <c r="RNO242" s="15"/>
      <c r="RNP242" s="15"/>
      <c r="RNQ242" s="15"/>
      <c r="RNR242" s="16"/>
      <c r="RNS242" s="16"/>
      <c r="RNT242" s="16"/>
      <c r="RNU242" s="16"/>
      <c r="RNV242" s="16"/>
      <c r="RNW242" s="15"/>
      <c r="RNX242" s="15"/>
      <c r="RNY242" s="10"/>
      <c r="RNZ242" s="10"/>
      <c r="ROA242" s="19"/>
      <c r="ROB242" s="19"/>
      <c r="ROE242" s="16"/>
      <c r="ROF242" s="15"/>
      <c r="ROG242" s="15"/>
      <c r="ROH242" s="15"/>
      <c r="ROI242" s="16"/>
      <c r="ROJ242" s="16"/>
      <c r="ROK242" s="16"/>
      <c r="ROL242" s="16"/>
      <c r="ROM242" s="16"/>
      <c r="RON242" s="15"/>
      <c r="ROO242" s="15"/>
      <c r="ROP242" s="10"/>
      <c r="ROQ242" s="10"/>
      <c r="ROR242" s="19"/>
      <c r="ROS242" s="19"/>
      <c r="ROV242" s="16"/>
      <c r="ROW242" s="15"/>
      <c r="ROX242" s="15"/>
      <c r="ROY242" s="15"/>
      <c r="ROZ242" s="16"/>
      <c r="RPA242" s="16"/>
      <c r="RPB242" s="16"/>
      <c r="RPC242" s="16"/>
      <c r="RPD242" s="16"/>
      <c r="RPE242" s="15"/>
      <c r="RPF242" s="15"/>
      <c r="RPG242" s="10"/>
      <c r="RPH242" s="10"/>
      <c r="RPI242" s="19"/>
      <c r="RPJ242" s="19"/>
      <c r="RPM242" s="16"/>
      <c r="RPN242" s="15"/>
      <c r="RPO242" s="15"/>
      <c r="RPP242" s="15"/>
      <c r="RPQ242" s="16"/>
      <c r="RPR242" s="16"/>
      <c r="RPS242" s="16"/>
      <c r="RPT242" s="16"/>
      <c r="RPU242" s="16"/>
      <c r="RPV242" s="15"/>
      <c r="RPW242" s="15"/>
      <c r="RPX242" s="10"/>
      <c r="RPY242" s="10"/>
      <c r="RPZ242" s="19"/>
      <c r="RQA242" s="19"/>
      <c r="RQD242" s="16"/>
      <c r="RQE242" s="15"/>
      <c r="RQF242" s="15"/>
      <c r="RQG242" s="15"/>
      <c r="RQH242" s="16"/>
      <c r="RQI242" s="16"/>
      <c r="RQJ242" s="16"/>
      <c r="RQK242" s="16"/>
      <c r="RQL242" s="16"/>
      <c r="RQM242" s="15"/>
      <c r="RQN242" s="15"/>
      <c r="RQO242" s="10"/>
      <c r="RQP242" s="10"/>
      <c r="RQQ242" s="19"/>
      <c r="RQR242" s="19"/>
      <c r="RQU242" s="16"/>
      <c r="RQV242" s="15"/>
      <c r="RQW242" s="15"/>
      <c r="RQX242" s="15"/>
      <c r="RQY242" s="16"/>
      <c r="RQZ242" s="16"/>
      <c r="RRA242" s="16"/>
      <c r="RRB242" s="16"/>
      <c r="RRC242" s="16"/>
      <c r="RRD242" s="15"/>
      <c r="RRE242" s="15"/>
      <c r="RRF242" s="10"/>
      <c r="RRG242" s="10"/>
      <c r="RRH242" s="19"/>
      <c r="RRI242" s="19"/>
      <c r="RRL242" s="16"/>
      <c r="RRM242" s="15"/>
      <c r="RRN242" s="15"/>
      <c r="RRO242" s="15"/>
      <c r="RRP242" s="16"/>
      <c r="RRQ242" s="16"/>
      <c r="RRR242" s="16"/>
      <c r="RRS242" s="16"/>
      <c r="RRT242" s="16"/>
      <c r="RRU242" s="15"/>
      <c r="RRV242" s="15"/>
      <c r="RRW242" s="10"/>
      <c r="RRX242" s="10"/>
      <c r="RRY242" s="19"/>
      <c r="RRZ242" s="19"/>
      <c r="RSC242" s="16"/>
      <c r="RSD242" s="15"/>
      <c r="RSE242" s="15"/>
      <c r="RSF242" s="15"/>
      <c r="RSG242" s="16"/>
      <c r="RSH242" s="16"/>
      <c r="RSI242" s="16"/>
      <c r="RSJ242" s="16"/>
      <c r="RSK242" s="16"/>
      <c r="RSL242" s="15"/>
      <c r="RSM242" s="15"/>
      <c r="RSN242" s="10"/>
      <c r="RSO242" s="10"/>
      <c r="RSP242" s="19"/>
      <c r="RSQ242" s="19"/>
      <c r="RST242" s="16"/>
      <c r="RSU242" s="15"/>
      <c r="RSV242" s="15"/>
      <c r="RSW242" s="15"/>
      <c r="RSX242" s="16"/>
      <c r="RSY242" s="16"/>
      <c r="RSZ242" s="16"/>
      <c r="RTA242" s="16"/>
      <c r="RTB242" s="16"/>
      <c r="RTC242" s="15"/>
      <c r="RTD242" s="15"/>
      <c r="RTE242" s="10"/>
      <c r="RTF242" s="10"/>
      <c r="RTG242" s="19"/>
      <c r="RTH242" s="19"/>
      <c r="RTK242" s="16"/>
      <c r="RTL242" s="15"/>
      <c r="RTM242" s="15"/>
      <c r="RTN242" s="15"/>
      <c r="RTO242" s="16"/>
      <c r="RTP242" s="16"/>
      <c r="RTQ242" s="16"/>
      <c r="RTR242" s="16"/>
      <c r="RTS242" s="16"/>
      <c r="RTT242" s="15"/>
      <c r="RTU242" s="15"/>
      <c r="RTV242" s="10"/>
      <c r="RTW242" s="10"/>
      <c r="RTX242" s="19"/>
      <c r="RTY242" s="19"/>
      <c r="RUB242" s="16"/>
      <c r="RUC242" s="15"/>
      <c r="RUD242" s="15"/>
      <c r="RUE242" s="15"/>
      <c r="RUF242" s="16"/>
      <c r="RUG242" s="16"/>
      <c r="RUH242" s="16"/>
      <c r="RUI242" s="16"/>
      <c r="RUJ242" s="16"/>
      <c r="RUK242" s="15"/>
      <c r="RUL242" s="15"/>
      <c r="RUM242" s="10"/>
      <c r="RUN242" s="10"/>
      <c r="RUO242" s="19"/>
      <c r="RUP242" s="19"/>
      <c r="RUS242" s="16"/>
      <c r="RUT242" s="15"/>
      <c r="RUU242" s="15"/>
      <c r="RUV242" s="15"/>
      <c r="RUW242" s="16"/>
      <c r="RUX242" s="16"/>
      <c r="RUY242" s="16"/>
      <c r="RUZ242" s="16"/>
      <c r="RVA242" s="16"/>
      <c r="RVB242" s="15"/>
      <c r="RVC242" s="15"/>
      <c r="RVD242" s="10"/>
      <c r="RVE242" s="10"/>
      <c r="RVF242" s="19"/>
      <c r="RVG242" s="19"/>
      <c r="RVJ242" s="16"/>
      <c r="RVK242" s="15"/>
      <c r="RVL242" s="15"/>
      <c r="RVM242" s="15"/>
      <c r="RVN242" s="16"/>
      <c r="RVO242" s="16"/>
      <c r="RVP242" s="16"/>
      <c r="RVQ242" s="16"/>
      <c r="RVR242" s="16"/>
      <c r="RVS242" s="15"/>
      <c r="RVT242" s="15"/>
      <c r="RVU242" s="10"/>
      <c r="RVV242" s="10"/>
      <c r="RVW242" s="19"/>
      <c r="RVX242" s="19"/>
      <c r="RWA242" s="16"/>
      <c r="RWB242" s="15"/>
      <c r="RWC242" s="15"/>
      <c r="RWD242" s="15"/>
      <c r="RWE242" s="16"/>
      <c r="RWF242" s="16"/>
      <c r="RWG242" s="16"/>
      <c r="RWH242" s="16"/>
      <c r="RWI242" s="16"/>
      <c r="RWJ242" s="15"/>
      <c r="RWK242" s="15"/>
      <c r="RWL242" s="10"/>
      <c r="RWM242" s="10"/>
      <c r="RWN242" s="19"/>
      <c r="RWO242" s="19"/>
      <c r="RWR242" s="16"/>
      <c r="RWS242" s="15"/>
      <c r="RWT242" s="15"/>
      <c r="RWU242" s="15"/>
      <c r="RWV242" s="16"/>
      <c r="RWW242" s="16"/>
      <c r="RWX242" s="16"/>
      <c r="RWY242" s="16"/>
      <c r="RWZ242" s="16"/>
      <c r="RXA242" s="15"/>
      <c r="RXB242" s="15"/>
      <c r="RXC242" s="10"/>
      <c r="RXD242" s="10"/>
      <c r="RXE242" s="19"/>
      <c r="RXF242" s="19"/>
      <c r="RXI242" s="16"/>
      <c r="RXJ242" s="15"/>
      <c r="RXK242" s="15"/>
      <c r="RXL242" s="15"/>
      <c r="RXM242" s="16"/>
      <c r="RXN242" s="16"/>
      <c r="RXO242" s="16"/>
      <c r="RXP242" s="16"/>
      <c r="RXQ242" s="16"/>
      <c r="RXR242" s="15"/>
      <c r="RXS242" s="15"/>
      <c r="RXT242" s="10"/>
      <c r="RXU242" s="10"/>
      <c r="RXV242" s="19"/>
      <c r="RXW242" s="19"/>
      <c r="RXZ242" s="16"/>
      <c r="RYA242" s="15"/>
      <c r="RYB242" s="15"/>
      <c r="RYC242" s="15"/>
      <c r="RYD242" s="16"/>
      <c r="RYE242" s="16"/>
      <c r="RYF242" s="16"/>
      <c r="RYG242" s="16"/>
      <c r="RYH242" s="16"/>
      <c r="RYI242" s="15"/>
      <c r="RYJ242" s="15"/>
      <c r="RYK242" s="10"/>
      <c r="RYL242" s="10"/>
      <c r="RYM242" s="19"/>
      <c r="RYN242" s="19"/>
      <c r="RYQ242" s="16"/>
      <c r="RYR242" s="15"/>
      <c r="RYS242" s="15"/>
      <c r="RYT242" s="15"/>
      <c r="RYU242" s="16"/>
      <c r="RYV242" s="16"/>
      <c r="RYW242" s="16"/>
      <c r="RYX242" s="16"/>
      <c r="RYY242" s="16"/>
      <c r="RYZ242" s="15"/>
      <c r="RZA242" s="15"/>
      <c r="RZB242" s="10"/>
      <c r="RZC242" s="10"/>
      <c r="RZD242" s="19"/>
      <c r="RZE242" s="19"/>
      <c r="RZH242" s="16"/>
      <c r="RZI242" s="15"/>
      <c r="RZJ242" s="15"/>
      <c r="RZK242" s="15"/>
      <c r="RZL242" s="16"/>
      <c r="RZM242" s="16"/>
      <c r="RZN242" s="16"/>
      <c r="RZO242" s="16"/>
      <c r="RZP242" s="16"/>
      <c r="RZQ242" s="15"/>
      <c r="RZR242" s="15"/>
      <c r="RZS242" s="10"/>
      <c r="RZT242" s="10"/>
      <c r="RZU242" s="19"/>
      <c r="RZV242" s="19"/>
      <c r="RZY242" s="16"/>
      <c r="RZZ242" s="15"/>
      <c r="SAA242" s="15"/>
      <c r="SAB242" s="15"/>
      <c r="SAC242" s="16"/>
      <c r="SAD242" s="16"/>
      <c r="SAE242" s="16"/>
      <c r="SAF242" s="16"/>
      <c r="SAG242" s="16"/>
      <c r="SAH242" s="15"/>
      <c r="SAI242" s="15"/>
      <c r="SAJ242" s="10"/>
      <c r="SAK242" s="10"/>
      <c r="SAL242" s="19"/>
      <c r="SAM242" s="19"/>
      <c r="SAP242" s="16"/>
      <c r="SAQ242" s="15"/>
      <c r="SAR242" s="15"/>
      <c r="SAS242" s="15"/>
      <c r="SAT242" s="16"/>
      <c r="SAU242" s="16"/>
      <c r="SAV242" s="16"/>
      <c r="SAW242" s="16"/>
      <c r="SAX242" s="16"/>
      <c r="SAY242" s="15"/>
      <c r="SAZ242" s="15"/>
      <c r="SBA242" s="10"/>
      <c r="SBB242" s="10"/>
      <c r="SBC242" s="19"/>
      <c r="SBD242" s="19"/>
      <c r="SBG242" s="16"/>
      <c r="SBH242" s="15"/>
      <c r="SBI242" s="15"/>
      <c r="SBJ242" s="15"/>
      <c r="SBK242" s="16"/>
      <c r="SBL242" s="16"/>
      <c r="SBM242" s="16"/>
      <c r="SBN242" s="16"/>
      <c r="SBO242" s="16"/>
      <c r="SBP242" s="15"/>
      <c r="SBQ242" s="15"/>
      <c r="SBR242" s="10"/>
      <c r="SBS242" s="10"/>
      <c r="SBT242" s="19"/>
      <c r="SBU242" s="19"/>
      <c r="SBX242" s="16"/>
      <c r="SBY242" s="15"/>
      <c r="SBZ242" s="15"/>
      <c r="SCA242" s="15"/>
      <c r="SCB242" s="16"/>
      <c r="SCC242" s="16"/>
      <c r="SCD242" s="16"/>
      <c r="SCE242" s="16"/>
      <c r="SCF242" s="16"/>
      <c r="SCG242" s="15"/>
      <c r="SCH242" s="15"/>
      <c r="SCI242" s="10"/>
      <c r="SCJ242" s="10"/>
      <c r="SCK242" s="19"/>
      <c r="SCL242" s="19"/>
      <c r="SCO242" s="16"/>
      <c r="SCP242" s="15"/>
      <c r="SCQ242" s="15"/>
      <c r="SCR242" s="15"/>
      <c r="SCS242" s="16"/>
      <c r="SCT242" s="16"/>
      <c r="SCU242" s="16"/>
      <c r="SCV242" s="16"/>
      <c r="SCW242" s="16"/>
      <c r="SCX242" s="15"/>
      <c r="SCY242" s="15"/>
      <c r="SCZ242" s="10"/>
      <c r="SDA242" s="10"/>
      <c r="SDB242" s="19"/>
      <c r="SDC242" s="19"/>
      <c r="SDF242" s="16"/>
      <c r="SDG242" s="15"/>
      <c r="SDH242" s="15"/>
      <c r="SDI242" s="15"/>
      <c r="SDJ242" s="16"/>
      <c r="SDK242" s="16"/>
      <c r="SDL242" s="16"/>
      <c r="SDM242" s="16"/>
      <c r="SDN242" s="16"/>
      <c r="SDO242" s="15"/>
      <c r="SDP242" s="15"/>
      <c r="SDQ242" s="10"/>
      <c r="SDR242" s="10"/>
      <c r="SDS242" s="19"/>
      <c r="SDT242" s="19"/>
      <c r="SDW242" s="16"/>
      <c r="SDX242" s="15"/>
      <c r="SDY242" s="15"/>
      <c r="SDZ242" s="15"/>
      <c r="SEA242" s="16"/>
      <c r="SEB242" s="16"/>
      <c r="SEC242" s="16"/>
      <c r="SED242" s="16"/>
      <c r="SEE242" s="16"/>
      <c r="SEF242" s="15"/>
      <c r="SEG242" s="15"/>
      <c r="SEH242" s="10"/>
      <c r="SEI242" s="10"/>
      <c r="SEJ242" s="19"/>
      <c r="SEK242" s="19"/>
      <c r="SEN242" s="16"/>
      <c r="SEO242" s="15"/>
      <c r="SEP242" s="15"/>
      <c r="SEQ242" s="15"/>
      <c r="SER242" s="16"/>
      <c r="SES242" s="16"/>
      <c r="SET242" s="16"/>
      <c r="SEU242" s="16"/>
      <c r="SEV242" s="16"/>
      <c r="SEW242" s="15"/>
      <c r="SEX242" s="15"/>
      <c r="SEY242" s="10"/>
      <c r="SEZ242" s="10"/>
      <c r="SFA242" s="19"/>
      <c r="SFB242" s="19"/>
      <c r="SFE242" s="16"/>
      <c r="SFF242" s="15"/>
      <c r="SFG242" s="15"/>
      <c r="SFH242" s="15"/>
      <c r="SFI242" s="16"/>
      <c r="SFJ242" s="16"/>
      <c r="SFK242" s="16"/>
      <c r="SFL242" s="16"/>
      <c r="SFM242" s="16"/>
      <c r="SFN242" s="15"/>
      <c r="SFO242" s="15"/>
      <c r="SFP242" s="10"/>
      <c r="SFQ242" s="10"/>
      <c r="SFR242" s="19"/>
      <c r="SFS242" s="19"/>
      <c r="SFV242" s="16"/>
      <c r="SFW242" s="15"/>
      <c r="SFX242" s="15"/>
      <c r="SFY242" s="15"/>
      <c r="SFZ242" s="16"/>
      <c r="SGA242" s="16"/>
      <c r="SGB242" s="16"/>
      <c r="SGC242" s="16"/>
      <c r="SGD242" s="16"/>
      <c r="SGE242" s="15"/>
      <c r="SGF242" s="15"/>
      <c r="SGG242" s="10"/>
      <c r="SGH242" s="10"/>
      <c r="SGI242" s="19"/>
      <c r="SGJ242" s="19"/>
      <c r="SGM242" s="16"/>
      <c r="SGN242" s="15"/>
      <c r="SGO242" s="15"/>
      <c r="SGP242" s="15"/>
      <c r="SGQ242" s="16"/>
      <c r="SGR242" s="16"/>
      <c r="SGS242" s="16"/>
      <c r="SGT242" s="16"/>
      <c r="SGU242" s="16"/>
      <c r="SGV242" s="15"/>
      <c r="SGW242" s="15"/>
      <c r="SGX242" s="10"/>
      <c r="SGY242" s="10"/>
      <c r="SGZ242" s="19"/>
      <c r="SHA242" s="19"/>
      <c r="SHD242" s="16"/>
      <c r="SHE242" s="15"/>
      <c r="SHF242" s="15"/>
      <c r="SHG242" s="15"/>
      <c r="SHH242" s="16"/>
      <c r="SHI242" s="16"/>
      <c r="SHJ242" s="16"/>
      <c r="SHK242" s="16"/>
      <c r="SHL242" s="16"/>
      <c r="SHM242" s="15"/>
      <c r="SHN242" s="15"/>
      <c r="SHO242" s="10"/>
      <c r="SHP242" s="10"/>
      <c r="SHQ242" s="19"/>
      <c r="SHR242" s="19"/>
      <c r="SHU242" s="16"/>
      <c r="SHV242" s="15"/>
      <c r="SHW242" s="15"/>
      <c r="SHX242" s="15"/>
      <c r="SHY242" s="16"/>
      <c r="SHZ242" s="16"/>
      <c r="SIA242" s="16"/>
      <c r="SIB242" s="16"/>
      <c r="SIC242" s="16"/>
      <c r="SID242" s="15"/>
      <c r="SIE242" s="15"/>
      <c r="SIF242" s="10"/>
      <c r="SIG242" s="10"/>
      <c r="SIH242" s="19"/>
      <c r="SII242" s="19"/>
      <c r="SIL242" s="16"/>
      <c r="SIM242" s="15"/>
      <c r="SIN242" s="15"/>
      <c r="SIO242" s="15"/>
      <c r="SIP242" s="16"/>
      <c r="SIQ242" s="16"/>
      <c r="SIR242" s="16"/>
      <c r="SIS242" s="16"/>
      <c r="SIT242" s="16"/>
      <c r="SIU242" s="15"/>
      <c r="SIV242" s="15"/>
      <c r="SIW242" s="10"/>
      <c r="SIX242" s="10"/>
      <c r="SIY242" s="19"/>
      <c r="SIZ242" s="19"/>
      <c r="SJC242" s="16"/>
      <c r="SJD242" s="15"/>
      <c r="SJE242" s="15"/>
      <c r="SJF242" s="15"/>
      <c r="SJG242" s="16"/>
      <c r="SJH242" s="16"/>
      <c r="SJI242" s="16"/>
      <c r="SJJ242" s="16"/>
      <c r="SJK242" s="16"/>
      <c r="SJL242" s="15"/>
      <c r="SJM242" s="15"/>
      <c r="SJN242" s="10"/>
      <c r="SJO242" s="10"/>
      <c r="SJP242" s="19"/>
      <c r="SJQ242" s="19"/>
      <c r="SJT242" s="16"/>
      <c r="SJU242" s="15"/>
      <c r="SJV242" s="15"/>
      <c r="SJW242" s="15"/>
      <c r="SJX242" s="16"/>
      <c r="SJY242" s="16"/>
      <c r="SJZ242" s="16"/>
      <c r="SKA242" s="16"/>
      <c r="SKB242" s="16"/>
      <c r="SKC242" s="15"/>
      <c r="SKD242" s="15"/>
      <c r="SKE242" s="10"/>
      <c r="SKF242" s="10"/>
      <c r="SKG242" s="19"/>
      <c r="SKH242" s="19"/>
      <c r="SKK242" s="16"/>
      <c r="SKL242" s="15"/>
      <c r="SKM242" s="15"/>
      <c r="SKN242" s="15"/>
      <c r="SKO242" s="16"/>
      <c r="SKP242" s="16"/>
      <c r="SKQ242" s="16"/>
      <c r="SKR242" s="16"/>
      <c r="SKS242" s="16"/>
      <c r="SKT242" s="15"/>
      <c r="SKU242" s="15"/>
      <c r="SKV242" s="10"/>
      <c r="SKW242" s="10"/>
      <c r="SKX242" s="19"/>
      <c r="SKY242" s="19"/>
      <c r="SLB242" s="16"/>
      <c r="SLC242" s="15"/>
      <c r="SLD242" s="15"/>
      <c r="SLE242" s="15"/>
      <c r="SLF242" s="16"/>
      <c r="SLG242" s="16"/>
      <c r="SLH242" s="16"/>
      <c r="SLI242" s="16"/>
      <c r="SLJ242" s="16"/>
      <c r="SLK242" s="15"/>
      <c r="SLL242" s="15"/>
      <c r="SLM242" s="10"/>
      <c r="SLN242" s="10"/>
      <c r="SLO242" s="19"/>
      <c r="SLP242" s="19"/>
      <c r="SLS242" s="16"/>
      <c r="SLT242" s="15"/>
      <c r="SLU242" s="15"/>
      <c r="SLV242" s="15"/>
      <c r="SLW242" s="16"/>
      <c r="SLX242" s="16"/>
      <c r="SLY242" s="16"/>
      <c r="SLZ242" s="16"/>
      <c r="SMA242" s="16"/>
      <c r="SMB242" s="15"/>
      <c r="SMC242" s="15"/>
      <c r="SMD242" s="10"/>
      <c r="SME242" s="10"/>
      <c r="SMF242" s="19"/>
      <c r="SMG242" s="19"/>
      <c r="SMJ242" s="16"/>
      <c r="SMK242" s="15"/>
      <c r="SML242" s="15"/>
      <c r="SMM242" s="15"/>
      <c r="SMN242" s="16"/>
      <c r="SMO242" s="16"/>
      <c r="SMP242" s="16"/>
      <c r="SMQ242" s="16"/>
      <c r="SMR242" s="16"/>
      <c r="SMS242" s="15"/>
      <c r="SMT242" s="15"/>
      <c r="SMU242" s="10"/>
      <c r="SMV242" s="10"/>
      <c r="SMW242" s="19"/>
      <c r="SMX242" s="19"/>
      <c r="SNA242" s="16"/>
      <c r="SNB242" s="15"/>
      <c r="SNC242" s="15"/>
      <c r="SND242" s="15"/>
      <c r="SNE242" s="16"/>
      <c r="SNF242" s="16"/>
      <c r="SNG242" s="16"/>
      <c r="SNH242" s="16"/>
      <c r="SNI242" s="16"/>
      <c r="SNJ242" s="15"/>
      <c r="SNK242" s="15"/>
      <c r="SNL242" s="10"/>
      <c r="SNM242" s="10"/>
      <c r="SNN242" s="19"/>
      <c r="SNO242" s="19"/>
      <c r="SNR242" s="16"/>
      <c r="SNS242" s="15"/>
      <c r="SNT242" s="15"/>
      <c r="SNU242" s="15"/>
      <c r="SNV242" s="16"/>
      <c r="SNW242" s="16"/>
      <c r="SNX242" s="16"/>
      <c r="SNY242" s="16"/>
      <c r="SNZ242" s="16"/>
      <c r="SOA242" s="15"/>
      <c r="SOB242" s="15"/>
      <c r="SOC242" s="10"/>
      <c r="SOD242" s="10"/>
      <c r="SOE242" s="19"/>
      <c r="SOF242" s="19"/>
      <c r="SOI242" s="16"/>
      <c r="SOJ242" s="15"/>
      <c r="SOK242" s="15"/>
      <c r="SOL242" s="15"/>
      <c r="SOM242" s="16"/>
      <c r="SON242" s="16"/>
      <c r="SOO242" s="16"/>
      <c r="SOP242" s="16"/>
      <c r="SOQ242" s="16"/>
      <c r="SOR242" s="15"/>
      <c r="SOS242" s="15"/>
      <c r="SOT242" s="10"/>
      <c r="SOU242" s="10"/>
      <c r="SOV242" s="19"/>
      <c r="SOW242" s="19"/>
      <c r="SOZ242" s="16"/>
      <c r="SPA242" s="15"/>
      <c r="SPB242" s="15"/>
      <c r="SPC242" s="15"/>
      <c r="SPD242" s="16"/>
      <c r="SPE242" s="16"/>
      <c r="SPF242" s="16"/>
      <c r="SPG242" s="16"/>
      <c r="SPH242" s="16"/>
      <c r="SPI242" s="15"/>
      <c r="SPJ242" s="15"/>
      <c r="SPK242" s="10"/>
      <c r="SPL242" s="10"/>
      <c r="SPM242" s="19"/>
      <c r="SPN242" s="19"/>
      <c r="SPQ242" s="16"/>
      <c r="SPR242" s="15"/>
      <c r="SPS242" s="15"/>
      <c r="SPT242" s="15"/>
      <c r="SPU242" s="16"/>
      <c r="SPV242" s="16"/>
      <c r="SPW242" s="16"/>
      <c r="SPX242" s="16"/>
      <c r="SPY242" s="16"/>
      <c r="SPZ242" s="15"/>
      <c r="SQA242" s="15"/>
      <c r="SQB242" s="10"/>
      <c r="SQC242" s="10"/>
      <c r="SQD242" s="19"/>
      <c r="SQE242" s="19"/>
      <c r="SQH242" s="16"/>
      <c r="SQI242" s="15"/>
      <c r="SQJ242" s="15"/>
      <c r="SQK242" s="15"/>
      <c r="SQL242" s="16"/>
      <c r="SQM242" s="16"/>
      <c r="SQN242" s="16"/>
      <c r="SQO242" s="16"/>
      <c r="SQP242" s="16"/>
      <c r="SQQ242" s="15"/>
      <c r="SQR242" s="15"/>
      <c r="SQS242" s="10"/>
      <c r="SQT242" s="10"/>
      <c r="SQU242" s="19"/>
      <c r="SQV242" s="19"/>
      <c r="SQY242" s="16"/>
      <c r="SQZ242" s="15"/>
      <c r="SRA242" s="15"/>
      <c r="SRB242" s="15"/>
      <c r="SRC242" s="16"/>
      <c r="SRD242" s="16"/>
      <c r="SRE242" s="16"/>
      <c r="SRF242" s="16"/>
      <c r="SRG242" s="16"/>
      <c r="SRH242" s="15"/>
      <c r="SRI242" s="15"/>
      <c r="SRJ242" s="10"/>
      <c r="SRK242" s="10"/>
      <c r="SRL242" s="19"/>
      <c r="SRM242" s="19"/>
      <c r="SRP242" s="16"/>
      <c r="SRQ242" s="15"/>
      <c r="SRR242" s="15"/>
      <c r="SRS242" s="15"/>
      <c r="SRT242" s="16"/>
      <c r="SRU242" s="16"/>
      <c r="SRV242" s="16"/>
      <c r="SRW242" s="16"/>
      <c r="SRX242" s="16"/>
      <c r="SRY242" s="15"/>
      <c r="SRZ242" s="15"/>
      <c r="SSA242" s="10"/>
      <c r="SSB242" s="10"/>
      <c r="SSC242" s="19"/>
      <c r="SSD242" s="19"/>
      <c r="SSG242" s="16"/>
      <c r="SSH242" s="15"/>
      <c r="SSI242" s="15"/>
      <c r="SSJ242" s="15"/>
      <c r="SSK242" s="16"/>
      <c r="SSL242" s="16"/>
      <c r="SSM242" s="16"/>
      <c r="SSN242" s="16"/>
      <c r="SSO242" s="16"/>
      <c r="SSP242" s="15"/>
      <c r="SSQ242" s="15"/>
      <c r="SSR242" s="10"/>
      <c r="SSS242" s="10"/>
      <c r="SST242" s="19"/>
      <c r="SSU242" s="19"/>
      <c r="SSX242" s="16"/>
      <c r="SSY242" s="15"/>
      <c r="SSZ242" s="15"/>
      <c r="STA242" s="15"/>
      <c r="STB242" s="16"/>
      <c r="STC242" s="16"/>
      <c r="STD242" s="16"/>
      <c r="STE242" s="16"/>
      <c r="STF242" s="16"/>
      <c r="STG242" s="15"/>
      <c r="STH242" s="15"/>
      <c r="STI242" s="10"/>
      <c r="STJ242" s="10"/>
      <c r="STK242" s="19"/>
      <c r="STL242" s="19"/>
      <c r="STO242" s="16"/>
      <c r="STP242" s="15"/>
      <c r="STQ242" s="15"/>
      <c r="STR242" s="15"/>
      <c r="STS242" s="16"/>
      <c r="STT242" s="16"/>
      <c r="STU242" s="16"/>
      <c r="STV242" s="16"/>
      <c r="STW242" s="16"/>
      <c r="STX242" s="15"/>
      <c r="STY242" s="15"/>
      <c r="STZ242" s="10"/>
      <c r="SUA242" s="10"/>
      <c r="SUB242" s="19"/>
      <c r="SUC242" s="19"/>
      <c r="SUF242" s="16"/>
      <c r="SUG242" s="15"/>
      <c r="SUH242" s="15"/>
      <c r="SUI242" s="15"/>
      <c r="SUJ242" s="16"/>
      <c r="SUK242" s="16"/>
      <c r="SUL242" s="16"/>
      <c r="SUM242" s="16"/>
      <c r="SUN242" s="16"/>
      <c r="SUO242" s="15"/>
      <c r="SUP242" s="15"/>
      <c r="SUQ242" s="10"/>
      <c r="SUR242" s="10"/>
      <c r="SUS242" s="19"/>
      <c r="SUT242" s="19"/>
      <c r="SUW242" s="16"/>
      <c r="SUX242" s="15"/>
      <c r="SUY242" s="15"/>
      <c r="SUZ242" s="15"/>
      <c r="SVA242" s="16"/>
      <c r="SVB242" s="16"/>
      <c r="SVC242" s="16"/>
      <c r="SVD242" s="16"/>
      <c r="SVE242" s="16"/>
      <c r="SVF242" s="15"/>
      <c r="SVG242" s="15"/>
      <c r="SVH242" s="10"/>
      <c r="SVI242" s="10"/>
      <c r="SVJ242" s="19"/>
      <c r="SVK242" s="19"/>
      <c r="SVN242" s="16"/>
      <c r="SVO242" s="15"/>
      <c r="SVP242" s="15"/>
      <c r="SVQ242" s="15"/>
      <c r="SVR242" s="16"/>
      <c r="SVS242" s="16"/>
      <c r="SVT242" s="16"/>
      <c r="SVU242" s="16"/>
      <c r="SVV242" s="16"/>
      <c r="SVW242" s="15"/>
      <c r="SVX242" s="15"/>
      <c r="SVY242" s="10"/>
      <c r="SVZ242" s="10"/>
      <c r="SWA242" s="19"/>
      <c r="SWB242" s="19"/>
      <c r="SWE242" s="16"/>
      <c r="SWF242" s="15"/>
      <c r="SWG242" s="15"/>
      <c r="SWH242" s="15"/>
      <c r="SWI242" s="16"/>
      <c r="SWJ242" s="16"/>
      <c r="SWK242" s="16"/>
      <c r="SWL242" s="16"/>
      <c r="SWM242" s="16"/>
      <c r="SWN242" s="15"/>
      <c r="SWO242" s="15"/>
      <c r="SWP242" s="10"/>
      <c r="SWQ242" s="10"/>
      <c r="SWR242" s="19"/>
      <c r="SWS242" s="19"/>
      <c r="SWV242" s="16"/>
      <c r="SWW242" s="15"/>
      <c r="SWX242" s="15"/>
      <c r="SWY242" s="15"/>
      <c r="SWZ242" s="16"/>
      <c r="SXA242" s="16"/>
      <c r="SXB242" s="16"/>
      <c r="SXC242" s="16"/>
      <c r="SXD242" s="16"/>
      <c r="SXE242" s="15"/>
      <c r="SXF242" s="15"/>
      <c r="SXG242" s="10"/>
      <c r="SXH242" s="10"/>
      <c r="SXI242" s="19"/>
      <c r="SXJ242" s="19"/>
      <c r="SXM242" s="16"/>
      <c r="SXN242" s="15"/>
      <c r="SXO242" s="15"/>
      <c r="SXP242" s="15"/>
      <c r="SXQ242" s="16"/>
      <c r="SXR242" s="16"/>
      <c r="SXS242" s="16"/>
      <c r="SXT242" s="16"/>
      <c r="SXU242" s="16"/>
      <c r="SXV242" s="15"/>
      <c r="SXW242" s="15"/>
      <c r="SXX242" s="10"/>
      <c r="SXY242" s="10"/>
      <c r="SXZ242" s="19"/>
      <c r="SYA242" s="19"/>
      <c r="SYD242" s="16"/>
      <c r="SYE242" s="15"/>
      <c r="SYF242" s="15"/>
      <c r="SYG242" s="15"/>
      <c r="SYH242" s="16"/>
      <c r="SYI242" s="16"/>
      <c r="SYJ242" s="16"/>
      <c r="SYK242" s="16"/>
      <c r="SYL242" s="16"/>
      <c r="SYM242" s="15"/>
      <c r="SYN242" s="15"/>
      <c r="SYO242" s="10"/>
      <c r="SYP242" s="10"/>
      <c r="SYQ242" s="19"/>
      <c r="SYR242" s="19"/>
      <c r="SYU242" s="16"/>
      <c r="SYV242" s="15"/>
      <c r="SYW242" s="15"/>
      <c r="SYX242" s="15"/>
      <c r="SYY242" s="16"/>
      <c r="SYZ242" s="16"/>
      <c r="SZA242" s="16"/>
      <c r="SZB242" s="16"/>
      <c r="SZC242" s="16"/>
      <c r="SZD242" s="15"/>
      <c r="SZE242" s="15"/>
      <c r="SZF242" s="10"/>
      <c r="SZG242" s="10"/>
      <c r="SZH242" s="19"/>
      <c r="SZI242" s="19"/>
      <c r="SZL242" s="16"/>
      <c r="SZM242" s="15"/>
      <c r="SZN242" s="15"/>
      <c r="SZO242" s="15"/>
      <c r="SZP242" s="16"/>
      <c r="SZQ242" s="16"/>
      <c r="SZR242" s="16"/>
      <c r="SZS242" s="16"/>
      <c r="SZT242" s="16"/>
      <c r="SZU242" s="15"/>
      <c r="SZV242" s="15"/>
      <c r="SZW242" s="10"/>
      <c r="SZX242" s="10"/>
      <c r="SZY242" s="19"/>
      <c r="SZZ242" s="19"/>
      <c r="TAC242" s="16"/>
      <c r="TAD242" s="15"/>
      <c r="TAE242" s="15"/>
      <c r="TAF242" s="15"/>
      <c r="TAG242" s="16"/>
      <c r="TAH242" s="16"/>
      <c r="TAI242" s="16"/>
      <c r="TAJ242" s="16"/>
      <c r="TAK242" s="16"/>
      <c r="TAL242" s="15"/>
      <c r="TAM242" s="15"/>
      <c r="TAN242" s="10"/>
      <c r="TAO242" s="10"/>
      <c r="TAP242" s="19"/>
      <c r="TAQ242" s="19"/>
      <c r="TAT242" s="16"/>
      <c r="TAU242" s="15"/>
      <c r="TAV242" s="15"/>
      <c r="TAW242" s="15"/>
      <c r="TAX242" s="16"/>
      <c r="TAY242" s="16"/>
      <c r="TAZ242" s="16"/>
      <c r="TBA242" s="16"/>
      <c r="TBB242" s="16"/>
      <c r="TBC242" s="15"/>
      <c r="TBD242" s="15"/>
      <c r="TBE242" s="10"/>
      <c r="TBF242" s="10"/>
      <c r="TBG242" s="19"/>
      <c r="TBH242" s="19"/>
      <c r="TBK242" s="16"/>
      <c r="TBL242" s="15"/>
      <c r="TBM242" s="15"/>
      <c r="TBN242" s="15"/>
      <c r="TBO242" s="16"/>
      <c r="TBP242" s="16"/>
      <c r="TBQ242" s="16"/>
      <c r="TBR242" s="16"/>
      <c r="TBS242" s="16"/>
      <c r="TBT242" s="15"/>
      <c r="TBU242" s="15"/>
      <c r="TBV242" s="10"/>
      <c r="TBW242" s="10"/>
      <c r="TBX242" s="19"/>
      <c r="TBY242" s="19"/>
      <c r="TCB242" s="16"/>
      <c r="TCC242" s="15"/>
      <c r="TCD242" s="15"/>
      <c r="TCE242" s="15"/>
      <c r="TCF242" s="16"/>
      <c r="TCG242" s="16"/>
      <c r="TCH242" s="16"/>
      <c r="TCI242" s="16"/>
      <c r="TCJ242" s="16"/>
      <c r="TCK242" s="15"/>
      <c r="TCL242" s="15"/>
      <c r="TCM242" s="10"/>
      <c r="TCN242" s="10"/>
      <c r="TCO242" s="19"/>
      <c r="TCP242" s="19"/>
      <c r="TCS242" s="16"/>
      <c r="TCT242" s="15"/>
      <c r="TCU242" s="15"/>
      <c r="TCV242" s="15"/>
      <c r="TCW242" s="16"/>
      <c r="TCX242" s="16"/>
      <c r="TCY242" s="16"/>
      <c r="TCZ242" s="16"/>
      <c r="TDA242" s="16"/>
      <c r="TDB242" s="15"/>
      <c r="TDC242" s="15"/>
      <c r="TDD242" s="10"/>
      <c r="TDE242" s="10"/>
      <c r="TDF242" s="19"/>
      <c r="TDG242" s="19"/>
      <c r="TDJ242" s="16"/>
      <c r="TDK242" s="15"/>
      <c r="TDL242" s="15"/>
      <c r="TDM242" s="15"/>
      <c r="TDN242" s="16"/>
      <c r="TDO242" s="16"/>
      <c r="TDP242" s="16"/>
      <c r="TDQ242" s="16"/>
      <c r="TDR242" s="16"/>
      <c r="TDS242" s="15"/>
      <c r="TDT242" s="15"/>
      <c r="TDU242" s="10"/>
      <c r="TDV242" s="10"/>
      <c r="TDW242" s="19"/>
      <c r="TDX242" s="19"/>
      <c r="TEA242" s="16"/>
      <c r="TEB242" s="15"/>
      <c r="TEC242" s="15"/>
      <c r="TED242" s="15"/>
      <c r="TEE242" s="16"/>
      <c r="TEF242" s="16"/>
      <c r="TEG242" s="16"/>
      <c r="TEH242" s="16"/>
      <c r="TEI242" s="16"/>
      <c r="TEJ242" s="15"/>
      <c r="TEK242" s="15"/>
      <c r="TEL242" s="10"/>
      <c r="TEM242" s="10"/>
      <c r="TEN242" s="19"/>
      <c r="TEO242" s="19"/>
      <c r="TER242" s="16"/>
      <c r="TES242" s="15"/>
      <c r="TET242" s="15"/>
      <c r="TEU242" s="15"/>
      <c r="TEV242" s="16"/>
      <c r="TEW242" s="16"/>
      <c r="TEX242" s="16"/>
      <c r="TEY242" s="16"/>
      <c r="TEZ242" s="16"/>
      <c r="TFA242" s="15"/>
      <c r="TFB242" s="15"/>
      <c r="TFC242" s="10"/>
      <c r="TFD242" s="10"/>
      <c r="TFE242" s="19"/>
      <c r="TFF242" s="19"/>
      <c r="TFI242" s="16"/>
      <c r="TFJ242" s="15"/>
      <c r="TFK242" s="15"/>
      <c r="TFL242" s="15"/>
      <c r="TFM242" s="16"/>
      <c r="TFN242" s="16"/>
      <c r="TFO242" s="16"/>
      <c r="TFP242" s="16"/>
      <c r="TFQ242" s="16"/>
      <c r="TFR242" s="15"/>
      <c r="TFS242" s="15"/>
      <c r="TFT242" s="10"/>
      <c r="TFU242" s="10"/>
      <c r="TFV242" s="19"/>
      <c r="TFW242" s="19"/>
      <c r="TFZ242" s="16"/>
      <c r="TGA242" s="15"/>
      <c r="TGB242" s="15"/>
      <c r="TGC242" s="15"/>
      <c r="TGD242" s="16"/>
      <c r="TGE242" s="16"/>
      <c r="TGF242" s="16"/>
      <c r="TGG242" s="16"/>
      <c r="TGH242" s="16"/>
      <c r="TGI242" s="15"/>
      <c r="TGJ242" s="15"/>
      <c r="TGK242" s="10"/>
      <c r="TGL242" s="10"/>
      <c r="TGM242" s="19"/>
      <c r="TGN242" s="19"/>
      <c r="TGQ242" s="16"/>
      <c r="TGR242" s="15"/>
      <c r="TGS242" s="15"/>
      <c r="TGT242" s="15"/>
      <c r="TGU242" s="16"/>
      <c r="TGV242" s="16"/>
      <c r="TGW242" s="16"/>
      <c r="TGX242" s="16"/>
      <c r="TGY242" s="16"/>
      <c r="TGZ242" s="15"/>
      <c r="THA242" s="15"/>
      <c r="THB242" s="10"/>
      <c r="THC242" s="10"/>
      <c r="THD242" s="19"/>
      <c r="THE242" s="19"/>
      <c r="THH242" s="16"/>
      <c r="THI242" s="15"/>
      <c r="THJ242" s="15"/>
      <c r="THK242" s="15"/>
      <c r="THL242" s="16"/>
      <c r="THM242" s="16"/>
      <c r="THN242" s="16"/>
      <c r="THO242" s="16"/>
      <c r="THP242" s="16"/>
      <c r="THQ242" s="15"/>
      <c r="THR242" s="15"/>
      <c r="THS242" s="10"/>
      <c r="THT242" s="10"/>
      <c r="THU242" s="19"/>
      <c r="THV242" s="19"/>
      <c r="THY242" s="16"/>
      <c r="THZ242" s="15"/>
      <c r="TIA242" s="15"/>
      <c r="TIB242" s="15"/>
      <c r="TIC242" s="16"/>
      <c r="TID242" s="16"/>
      <c r="TIE242" s="16"/>
      <c r="TIF242" s="16"/>
      <c r="TIG242" s="16"/>
      <c r="TIH242" s="15"/>
      <c r="TII242" s="15"/>
      <c r="TIJ242" s="10"/>
      <c r="TIK242" s="10"/>
      <c r="TIL242" s="19"/>
      <c r="TIM242" s="19"/>
      <c r="TIP242" s="16"/>
      <c r="TIQ242" s="15"/>
      <c r="TIR242" s="15"/>
      <c r="TIS242" s="15"/>
      <c r="TIT242" s="16"/>
      <c r="TIU242" s="16"/>
      <c r="TIV242" s="16"/>
      <c r="TIW242" s="16"/>
      <c r="TIX242" s="16"/>
      <c r="TIY242" s="15"/>
      <c r="TIZ242" s="15"/>
      <c r="TJA242" s="10"/>
      <c r="TJB242" s="10"/>
      <c r="TJC242" s="19"/>
      <c r="TJD242" s="19"/>
      <c r="TJG242" s="16"/>
      <c r="TJH242" s="15"/>
      <c r="TJI242" s="15"/>
      <c r="TJJ242" s="15"/>
      <c r="TJK242" s="16"/>
      <c r="TJL242" s="16"/>
      <c r="TJM242" s="16"/>
      <c r="TJN242" s="16"/>
      <c r="TJO242" s="16"/>
      <c r="TJP242" s="15"/>
      <c r="TJQ242" s="15"/>
      <c r="TJR242" s="10"/>
      <c r="TJS242" s="10"/>
      <c r="TJT242" s="19"/>
      <c r="TJU242" s="19"/>
      <c r="TJX242" s="16"/>
      <c r="TJY242" s="15"/>
      <c r="TJZ242" s="15"/>
      <c r="TKA242" s="15"/>
      <c r="TKB242" s="16"/>
      <c r="TKC242" s="16"/>
      <c r="TKD242" s="16"/>
      <c r="TKE242" s="16"/>
      <c r="TKF242" s="16"/>
      <c r="TKG242" s="15"/>
      <c r="TKH242" s="15"/>
      <c r="TKI242" s="10"/>
      <c r="TKJ242" s="10"/>
      <c r="TKK242" s="19"/>
      <c r="TKL242" s="19"/>
      <c r="TKO242" s="16"/>
      <c r="TKP242" s="15"/>
      <c r="TKQ242" s="15"/>
      <c r="TKR242" s="15"/>
      <c r="TKS242" s="16"/>
      <c r="TKT242" s="16"/>
      <c r="TKU242" s="16"/>
      <c r="TKV242" s="16"/>
      <c r="TKW242" s="16"/>
      <c r="TKX242" s="15"/>
      <c r="TKY242" s="15"/>
      <c r="TKZ242" s="10"/>
      <c r="TLA242" s="10"/>
      <c r="TLB242" s="19"/>
      <c r="TLC242" s="19"/>
      <c r="TLF242" s="16"/>
      <c r="TLG242" s="15"/>
      <c r="TLH242" s="15"/>
      <c r="TLI242" s="15"/>
      <c r="TLJ242" s="16"/>
      <c r="TLK242" s="16"/>
      <c r="TLL242" s="16"/>
      <c r="TLM242" s="16"/>
      <c r="TLN242" s="16"/>
      <c r="TLO242" s="15"/>
      <c r="TLP242" s="15"/>
      <c r="TLQ242" s="10"/>
      <c r="TLR242" s="10"/>
      <c r="TLS242" s="19"/>
      <c r="TLT242" s="19"/>
      <c r="TLW242" s="16"/>
      <c r="TLX242" s="15"/>
      <c r="TLY242" s="15"/>
      <c r="TLZ242" s="15"/>
      <c r="TMA242" s="16"/>
      <c r="TMB242" s="16"/>
      <c r="TMC242" s="16"/>
      <c r="TMD242" s="16"/>
      <c r="TME242" s="16"/>
      <c r="TMF242" s="15"/>
      <c r="TMG242" s="15"/>
      <c r="TMH242" s="10"/>
      <c r="TMI242" s="10"/>
      <c r="TMJ242" s="19"/>
      <c r="TMK242" s="19"/>
      <c r="TMN242" s="16"/>
      <c r="TMO242" s="15"/>
      <c r="TMP242" s="15"/>
      <c r="TMQ242" s="15"/>
      <c r="TMR242" s="16"/>
      <c r="TMS242" s="16"/>
      <c r="TMT242" s="16"/>
      <c r="TMU242" s="16"/>
      <c r="TMV242" s="16"/>
      <c r="TMW242" s="15"/>
      <c r="TMX242" s="15"/>
      <c r="TMY242" s="10"/>
      <c r="TMZ242" s="10"/>
      <c r="TNA242" s="19"/>
      <c r="TNB242" s="19"/>
      <c r="TNE242" s="16"/>
      <c r="TNF242" s="15"/>
      <c r="TNG242" s="15"/>
      <c r="TNH242" s="15"/>
      <c r="TNI242" s="16"/>
      <c r="TNJ242" s="16"/>
      <c r="TNK242" s="16"/>
      <c r="TNL242" s="16"/>
      <c r="TNM242" s="16"/>
      <c r="TNN242" s="15"/>
      <c r="TNO242" s="15"/>
      <c r="TNP242" s="10"/>
      <c r="TNQ242" s="10"/>
      <c r="TNR242" s="19"/>
      <c r="TNS242" s="19"/>
      <c r="TNV242" s="16"/>
      <c r="TNW242" s="15"/>
      <c r="TNX242" s="15"/>
      <c r="TNY242" s="15"/>
      <c r="TNZ242" s="16"/>
      <c r="TOA242" s="16"/>
      <c r="TOB242" s="16"/>
      <c r="TOC242" s="16"/>
      <c r="TOD242" s="16"/>
      <c r="TOE242" s="15"/>
      <c r="TOF242" s="15"/>
      <c r="TOG242" s="10"/>
      <c r="TOH242" s="10"/>
      <c r="TOI242" s="19"/>
      <c r="TOJ242" s="19"/>
      <c r="TOM242" s="16"/>
      <c r="TON242" s="15"/>
      <c r="TOO242" s="15"/>
      <c r="TOP242" s="15"/>
      <c r="TOQ242" s="16"/>
      <c r="TOR242" s="16"/>
      <c r="TOS242" s="16"/>
      <c r="TOT242" s="16"/>
      <c r="TOU242" s="16"/>
      <c r="TOV242" s="15"/>
      <c r="TOW242" s="15"/>
      <c r="TOX242" s="10"/>
      <c r="TOY242" s="10"/>
      <c r="TOZ242" s="19"/>
      <c r="TPA242" s="19"/>
      <c r="TPD242" s="16"/>
      <c r="TPE242" s="15"/>
      <c r="TPF242" s="15"/>
      <c r="TPG242" s="15"/>
      <c r="TPH242" s="16"/>
      <c r="TPI242" s="16"/>
      <c r="TPJ242" s="16"/>
      <c r="TPK242" s="16"/>
      <c r="TPL242" s="16"/>
      <c r="TPM242" s="15"/>
      <c r="TPN242" s="15"/>
      <c r="TPO242" s="10"/>
      <c r="TPP242" s="10"/>
      <c r="TPQ242" s="19"/>
      <c r="TPR242" s="19"/>
      <c r="TPU242" s="16"/>
      <c r="TPV242" s="15"/>
      <c r="TPW242" s="15"/>
      <c r="TPX242" s="15"/>
      <c r="TPY242" s="16"/>
      <c r="TPZ242" s="16"/>
      <c r="TQA242" s="16"/>
      <c r="TQB242" s="16"/>
      <c r="TQC242" s="16"/>
      <c r="TQD242" s="15"/>
      <c r="TQE242" s="15"/>
      <c r="TQF242" s="10"/>
      <c r="TQG242" s="10"/>
      <c r="TQH242" s="19"/>
      <c r="TQI242" s="19"/>
      <c r="TQL242" s="16"/>
      <c r="TQM242" s="15"/>
      <c r="TQN242" s="15"/>
      <c r="TQO242" s="15"/>
      <c r="TQP242" s="16"/>
      <c r="TQQ242" s="16"/>
      <c r="TQR242" s="16"/>
      <c r="TQS242" s="16"/>
      <c r="TQT242" s="16"/>
      <c r="TQU242" s="15"/>
      <c r="TQV242" s="15"/>
      <c r="TQW242" s="10"/>
      <c r="TQX242" s="10"/>
      <c r="TQY242" s="19"/>
      <c r="TQZ242" s="19"/>
      <c r="TRC242" s="16"/>
      <c r="TRD242" s="15"/>
      <c r="TRE242" s="15"/>
      <c r="TRF242" s="15"/>
      <c r="TRG242" s="16"/>
      <c r="TRH242" s="16"/>
      <c r="TRI242" s="16"/>
      <c r="TRJ242" s="16"/>
      <c r="TRK242" s="16"/>
      <c r="TRL242" s="15"/>
      <c r="TRM242" s="15"/>
      <c r="TRN242" s="10"/>
      <c r="TRO242" s="10"/>
      <c r="TRP242" s="19"/>
      <c r="TRQ242" s="19"/>
      <c r="TRT242" s="16"/>
      <c r="TRU242" s="15"/>
      <c r="TRV242" s="15"/>
      <c r="TRW242" s="15"/>
      <c r="TRX242" s="16"/>
      <c r="TRY242" s="16"/>
      <c r="TRZ242" s="16"/>
      <c r="TSA242" s="16"/>
      <c r="TSB242" s="16"/>
      <c r="TSC242" s="15"/>
      <c r="TSD242" s="15"/>
      <c r="TSE242" s="10"/>
      <c r="TSF242" s="10"/>
      <c r="TSG242" s="19"/>
      <c r="TSH242" s="19"/>
      <c r="TSK242" s="16"/>
      <c r="TSL242" s="15"/>
      <c r="TSM242" s="15"/>
      <c r="TSN242" s="15"/>
      <c r="TSO242" s="16"/>
      <c r="TSP242" s="16"/>
      <c r="TSQ242" s="16"/>
      <c r="TSR242" s="16"/>
      <c r="TSS242" s="16"/>
      <c r="TST242" s="15"/>
      <c r="TSU242" s="15"/>
      <c r="TSV242" s="10"/>
      <c r="TSW242" s="10"/>
      <c r="TSX242" s="19"/>
      <c r="TSY242" s="19"/>
      <c r="TTB242" s="16"/>
      <c r="TTC242" s="15"/>
      <c r="TTD242" s="15"/>
      <c r="TTE242" s="15"/>
      <c r="TTF242" s="16"/>
      <c r="TTG242" s="16"/>
      <c r="TTH242" s="16"/>
      <c r="TTI242" s="16"/>
      <c r="TTJ242" s="16"/>
      <c r="TTK242" s="15"/>
      <c r="TTL242" s="15"/>
      <c r="TTM242" s="10"/>
      <c r="TTN242" s="10"/>
      <c r="TTO242" s="19"/>
      <c r="TTP242" s="19"/>
      <c r="TTS242" s="16"/>
      <c r="TTT242" s="15"/>
      <c r="TTU242" s="15"/>
      <c r="TTV242" s="15"/>
      <c r="TTW242" s="16"/>
      <c r="TTX242" s="16"/>
      <c r="TTY242" s="16"/>
      <c r="TTZ242" s="16"/>
      <c r="TUA242" s="16"/>
      <c r="TUB242" s="15"/>
      <c r="TUC242" s="15"/>
      <c r="TUD242" s="10"/>
      <c r="TUE242" s="10"/>
      <c r="TUF242" s="19"/>
      <c r="TUG242" s="19"/>
      <c r="TUJ242" s="16"/>
      <c r="TUK242" s="15"/>
      <c r="TUL242" s="15"/>
      <c r="TUM242" s="15"/>
      <c r="TUN242" s="16"/>
      <c r="TUO242" s="16"/>
      <c r="TUP242" s="16"/>
      <c r="TUQ242" s="16"/>
      <c r="TUR242" s="16"/>
      <c r="TUS242" s="15"/>
      <c r="TUT242" s="15"/>
      <c r="TUU242" s="10"/>
      <c r="TUV242" s="10"/>
      <c r="TUW242" s="19"/>
      <c r="TUX242" s="19"/>
      <c r="TVA242" s="16"/>
      <c r="TVB242" s="15"/>
      <c r="TVC242" s="15"/>
      <c r="TVD242" s="15"/>
      <c r="TVE242" s="16"/>
      <c r="TVF242" s="16"/>
      <c r="TVG242" s="16"/>
      <c r="TVH242" s="16"/>
      <c r="TVI242" s="16"/>
      <c r="TVJ242" s="15"/>
      <c r="TVK242" s="15"/>
      <c r="TVL242" s="10"/>
      <c r="TVM242" s="10"/>
      <c r="TVN242" s="19"/>
      <c r="TVO242" s="19"/>
      <c r="TVR242" s="16"/>
      <c r="TVS242" s="15"/>
      <c r="TVT242" s="15"/>
      <c r="TVU242" s="15"/>
      <c r="TVV242" s="16"/>
      <c r="TVW242" s="16"/>
      <c r="TVX242" s="16"/>
      <c r="TVY242" s="16"/>
      <c r="TVZ242" s="16"/>
      <c r="TWA242" s="15"/>
      <c r="TWB242" s="15"/>
      <c r="TWC242" s="10"/>
      <c r="TWD242" s="10"/>
      <c r="TWE242" s="19"/>
      <c r="TWF242" s="19"/>
      <c r="TWI242" s="16"/>
      <c r="TWJ242" s="15"/>
      <c r="TWK242" s="15"/>
      <c r="TWL242" s="15"/>
      <c r="TWM242" s="16"/>
      <c r="TWN242" s="16"/>
      <c r="TWO242" s="16"/>
      <c r="TWP242" s="16"/>
      <c r="TWQ242" s="16"/>
      <c r="TWR242" s="15"/>
      <c r="TWS242" s="15"/>
      <c r="TWT242" s="10"/>
      <c r="TWU242" s="10"/>
      <c r="TWV242" s="19"/>
      <c r="TWW242" s="19"/>
      <c r="TWZ242" s="16"/>
      <c r="TXA242" s="15"/>
      <c r="TXB242" s="15"/>
      <c r="TXC242" s="15"/>
      <c r="TXD242" s="16"/>
      <c r="TXE242" s="16"/>
      <c r="TXF242" s="16"/>
      <c r="TXG242" s="16"/>
      <c r="TXH242" s="16"/>
      <c r="TXI242" s="15"/>
      <c r="TXJ242" s="15"/>
      <c r="TXK242" s="10"/>
      <c r="TXL242" s="10"/>
      <c r="TXM242" s="19"/>
      <c r="TXN242" s="19"/>
      <c r="TXQ242" s="16"/>
      <c r="TXR242" s="15"/>
      <c r="TXS242" s="15"/>
      <c r="TXT242" s="15"/>
      <c r="TXU242" s="16"/>
      <c r="TXV242" s="16"/>
      <c r="TXW242" s="16"/>
      <c r="TXX242" s="16"/>
      <c r="TXY242" s="16"/>
      <c r="TXZ242" s="15"/>
      <c r="TYA242" s="15"/>
      <c r="TYB242" s="10"/>
      <c r="TYC242" s="10"/>
      <c r="TYD242" s="19"/>
      <c r="TYE242" s="19"/>
      <c r="TYH242" s="16"/>
      <c r="TYI242" s="15"/>
      <c r="TYJ242" s="15"/>
      <c r="TYK242" s="15"/>
      <c r="TYL242" s="16"/>
      <c r="TYM242" s="16"/>
      <c r="TYN242" s="16"/>
      <c r="TYO242" s="16"/>
      <c r="TYP242" s="16"/>
      <c r="TYQ242" s="15"/>
      <c r="TYR242" s="15"/>
      <c r="TYS242" s="10"/>
      <c r="TYT242" s="10"/>
      <c r="TYU242" s="19"/>
      <c r="TYV242" s="19"/>
      <c r="TYY242" s="16"/>
      <c r="TYZ242" s="15"/>
      <c r="TZA242" s="15"/>
      <c r="TZB242" s="15"/>
      <c r="TZC242" s="16"/>
      <c r="TZD242" s="16"/>
      <c r="TZE242" s="16"/>
      <c r="TZF242" s="16"/>
      <c r="TZG242" s="16"/>
      <c r="TZH242" s="15"/>
      <c r="TZI242" s="15"/>
      <c r="TZJ242" s="10"/>
      <c r="TZK242" s="10"/>
      <c r="TZL242" s="19"/>
      <c r="TZM242" s="19"/>
      <c r="TZP242" s="16"/>
      <c r="TZQ242" s="15"/>
      <c r="TZR242" s="15"/>
      <c r="TZS242" s="15"/>
      <c r="TZT242" s="16"/>
      <c r="TZU242" s="16"/>
      <c r="TZV242" s="16"/>
      <c r="TZW242" s="16"/>
      <c r="TZX242" s="16"/>
      <c r="TZY242" s="15"/>
      <c r="TZZ242" s="15"/>
      <c r="UAA242" s="10"/>
      <c r="UAB242" s="10"/>
      <c r="UAC242" s="19"/>
      <c r="UAD242" s="19"/>
      <c r="UAG242" s="16"/>
      <c r="UAH242" s="15"/>
      <c r="UAI242" s="15"/>
      <c r="UAJ242" s="15"/>
      <c r="UAK242" s="16"/>
      <c r="UAL242" s="16"/>
      <c r="UAM242" s="16"/>
      <c r="UAN242" s="16"/>
      <c r="UAO242" s="16"/>
      <c r="UAP242" s="15"/>
      <c r="UAQ242" s="15"/>
      <c r="UAR242" s="10"/>
      <c r="UAS242" s="10"/>
      <c r="UAT242" s="19"/>
      <c r="UAU242" s="19"/>
      <c r="UAX242" s="16"/>
      <c r="UAY242" s="15"/>
      <c r="UAZ242" s="15"/>
      <c r="UBA242" s="15"/>
      <c r="UBB242" s="16"/>
      <c r="UBC242" s="16"/>
      <c r="UBD242" s="16"/>
      <c r="UBE242" s="16"/>
      <c r="UBF242" s="16"/>
      <c r="UBG242" s="15"/>
      <c r="UBH242" s="15"/>
      <c r="UBI242" s="10"/>
      <c r="UBJ242" s="10"/>
      <c r="UBK242" s="19"/>
      <c r="UBL242" s="19"/>
      <c r="UBO242" s="16"/>
      <c r="UBP242" s="15"/>
      <c r="UBQ242" s="15"/>
      <c r="UBR242" s="15"/>
      <c r="UBS242" s="16"/>
      <c r="UBT242" s="16"/>
      <c r="UBU242" s="16"/>
      <c r="UBV242" s="16"/>
      <c r="UBW242" s="16"/>
      <c r="UBX242" s="15"/>
      <c r="UBY242" s="15"/>
      <c r="UBZ242" s="10"/>
      <c r="UCA242" s="10"/>
      <c r="UCB242" s="19"/>
      <c r="UCC242" s="19"/>
      <c r="UCF242" s="16"/>
      <c r="UCG242" s="15"/>
      <c r="UCH242" s="15"/>
      <c r="UCI242" s="15"/>
      <c r="UCJ242" s="16"/>
      <c r="UCK242" s="16"/>
      <c r="UCL242" s="16"/>
      <c r="UCM242" s="16"/>
      <c r="UCN242" s="16"/>
      <c r="UCO242" s="15"/>
      <c r="UCP242" s="15"/>
      <c r="UCQ242" s="10"/>
      <c r="UCR242" s="10"/>
      <c r="UCS242" s="19"/>
      <c r="UCT242" s="19"/>
      <c r="UCW242" s="16"/>
      <c r="UCX242" s="15"/>
      <c r="UCY242" s="15"/>
      <c r="UCZ242" s="15"/>
      <c r="UDA242" s="16"/>
      <c r="UDB242" s="16"/>
      <c r="UDC242" s="16"/>
      <c r="UDD242" s="16"/>
      <c r="UDE242" s="16"/>
      <c r="UDF242" s="15"/>
      <c r="UDG242" s="15"/>
      <c r="UDH242" s="10"/>
      <c r="UDI242" s="10"/>
      <c r="UDJ242" s="19"/>
      <c r="UDK242" s="19"/>
      <c r="UDN242" s="16"/>
      <c r="UDO242" s="15"/>
      <c r="UDP242" s="15"/>
      <c r="UDQ242" s="15"/>
      <c r="UDR242" s="16"/>
      <c r="UDS242" s="16"/>
      <c r="UDT242" s="16"/>
      <c r="UDU242" s="16"/>
      <c r="UDV242" s="16"/>
      <c r="UDW242" s="15"/>
      <c r="UDX242" s="15"/>
      <c r="UDY242" s="10"/>
      <c r="UDZ242" s="10"/>
      <c r="UEA242" s="19"/>
      <c r="UEB242" s="19"/>
      <c r="UEE242" s="16"/>
      <c r="UEF242" s="15"/>
      <c r="UEG242" s="15"/>
      <c r="UEH242" s="15"/>
      <c r="UEI242" s="16"/>
      <c r="UEJ242" s="16"/>
      <c r="UEK242" s="16"/>
      <c r="UEL242" s="16"/>
      <c r="UEM242" s="16"/>
      <c r="UEN242" s="15"/>
      <c r="UEO242" s="15"/>
      <c r="UEP242" s="10"/>
      <c r="UEQ242" s="10"/>
      <c r="UER242" s="19"/>
      <c r="UES242" s="19"/>
      <c r="UEV242" s="16"/>
      <c r="UEW242" s="15"/>
      <c r="UEX242" s="15"/>
      <c r="UEY242" s="15"/>
      <c r="UEZ242" s="16"/>
      <c r="UFA242" s="16"/>
      <c r="UFB242" s="16"/>
      <c r="UFC242" s="16"/>
      <c r="UFD242" s="16"/>
      <c r="UFE242" s="15"/>
      <c r="UFF242" s="15"/>
      <c r="UFG242" s="10"/>
      <c r="UFH242" s="10"/>
      <c r="UFI242" s="19"/>
      <c r="UFJ242" s="19"/>
      <c r="UFM242" s="16"/>
      <c r="UFN242" s="15"/>
      <c r="UFO242" s="15"/>
      <c r="UFP242" s="15"/>
      <c r="UFQ242" s="16"/>
      <c r="UFR242" s="16"/>
      <c r="UFS242" s="16"/>
      <c r="UFT242" s="16"/>
      <c r="UFU242" s="16"/>
      <c r="UFV242" s="15"/>
      <c r="UFW242" s="15"/>
      <c r="UFX242" s="10"/>
      <c r="UFY242" s="10"/>
      <c r="UFZ242" s="19"/>
      <c r="UGA242" s="19"/>
      <c r="UGD242" s="16"/>
      <c r="UGE242" s="15"/>
      <c r="UGF242" s="15"/>
      <c r="UGG242" s="15"/>
      <c r="UGH242" s="16"/>
      <c r="UGI242" s="16"/>
      <c r="UGJ242" s="16"/>
      <c r="UGK242" s="16"/>
      <c r="UGL242" s="16"/>
      <c r="UGM242" s="15"/>
      <c r="UGN242" s="15"/>
      <c r="UGO242" s="10"/>
      <c r="UGP242" s="10"/>
      <c r="UGQ242" s="19"/>
      <c r="UGR242" s="19"/>
      <c r="UGU242" s="16"/>
      <c r="UGV242" s="15"/>
      <c r="UGW242" s="15"/>
      <c r="UGX242" s="15"/>
      <c r="UGY242" s="16"/>
      <c r="UGZ242" s="16"/>
      <c r="UHA242" s="16"/>
      <c r="UHB242" s="16"/>
      <c r="UHC242" s="16"/>
      <c r="UHD242" s="15"/>
      <c r="UHE242" s="15"/>
      <c r="UHF242" s="10"/>
      <c r="UHG242" s="10"/>
      <c r="UHH242" s="19"/>
      <c r="UHI242" s="19"/>
      <c r="UHL242" s="16"/>
      <c r="UHM242" s="15"/>
      <c r="UHN242" s="15"/>
      <c r="UHO242" s="15"/>
      <c r="UHP242" s="16"/>
      <c r="UHQ242" s="16"/>
      <c r="UHR242" s="16"/>
      <c r="UHS242" s="16"/>
      <c r="UHT242" s="16"/>
      <c r="UHU242" s="15"/>
      <c r="UHV242" s="15"/>
      <c r="UHW242" s="10"/>
      <c r="UHX242" s="10"/>
      <c r="UHY242" s="19"/>
      <c r="UHZ242" s="19"/>
      <c r="UIC242" s="16"/>
      <c r="UID242" s="15"/>
      <c r="UIE242" s="15"/>
      <c r="UIF242" s="15"/>
      <c r="UIG242" s="16"/>
      <c r="UIH242" s="16"/>
      <c r="UII242" s="16"/>
      <c r="UIJ242" s="16"/>
      <c r="UIK242" s="16"/>
      <c r="UIL242" s="15"/>
      <c r="UIM242" s="15"/>
      <c r="UIN242" s="10"/>
      <c r="UIO242" s="10"/>
      <c r="UIP242" s="19"/>
      <c r="UIQ242" s="19"/>
      <c r="UIT242" s="16"/>
      <c r="UIU242" s="15"/>
      <c r="UIV242" s="15"/>
      <c r="UIW242" s="15"/>
      <c r="UIX242" s="16"/>
      <c r="UIY242" s="16"/>
      <c r="UIZ242" s="16"/>
      <c r="UJA242" s="16"/>
      <c r="UJB242" s="16"/>
      <c r="UJC242" s="15"/>
      <c r="UJD242" s="15"/>
      <c r="UJE242" s="10"/>
      <c r="UJF242" s="10"/>
      <c r="UJG242" s="19"/>
      <c r="UJH242" s="19"/>
      <c r="UJK242" s="16"/>
      <c r="UJL242" s="15"/>
      <c r="UJM242" s="15"/>
      <c r="UJN242" s="15"/>
      <c r="UJO242" s="16"/>
      <c r="UJP242" s="16"/>
      <c r="UJQ242" s="16"/>
      <c r="UJR242" s="16"/>
      <c r="UJS242" s="16"/>
      <c r="UJT242" s="15"/>
      <c r="UJU242" s="15"/>
      <c r="UJV242" s="10"/>
      <c r="UJW242" s="10"/>
      <c r="UJX242" s="19"/>
      <c r="UJY242" s="19"/>
      <c r="UKB242" s="16"/>
      <c r="UKC242" s="15"/>
      <c r="UKD242" s="15"/>
      <c r="UKE242" s="15"/>
      <c r="UKF242" s="16"/>
      <c r="UKG242" s="16"/>
      <c r="UKH242" s="16"/>
      <c r="UKI242" s="16"/>
      <c r="UKJ242" s="16"/>
      <c r="UKK242" s="15"/>
      <c r="UKL242" s="15"/>
      <c r="UKM242" s="10"/>
      <c r="UKN242" s="10"/>
      <c r="UKO242" s="19"/>
      <c r="UKP242" s="19"/>
      <c r="UKS242" s="16"/>
      <c r="UKT242" s="15"/>
      <c r="UKU242" s="15"/>
      <c r="UKV242" s="15"/>
      <c r="UKW242" s="16"/>
      <c r="UKX242" s="16"/>
      <c r="UKY242" s="16"/>
      <c r="UKZ242" s="16"/>
      <c r="ULA242" s="16"/>
      <c r="ULB242" s="15"/>
      <c r="ULC242" s="15"/>
      <c r="ULD242" s="10"/>
      <c r="ULE242" s="10"/>
      <c r="ULF242" s="19"/>
      <c r="ULG242" s="19"/>
      <c r="ULJ242" s="16"/>
      <c r="ULK242" s="15"/>
      <c r="ULL242" s="15"/>
      <c r="ULM242" s="15"/>
      <c r="ULN242" s="16"/>
      <c r="ULO242" s="16"/>
      <c r="ULP242" s="16"/>
      <c r="ULQ242" s="16"/>
      <c r="ULR242" s="16"/>
      <c r="ULS242" s="15"/>
      <c r="ULT242" s="15"/>
      <c r="ULU242" s="10"/>
      <c r="ULV242" s="10"/>
      <c r="ULW242" s="19"/>
      <c r="ULX242" s="19"/>
      <c r="UMA242" s="16"/>
      <c r="UMB242" s="15"/>
      <c r="UMC242" s="15"/>
      <c r="UMD242" s="15"/>
      <c r="UME242" s="16"/>
      <c r="UMF242" s="16"/>
      <c r="UMG242" s="16"/>
      <c r="UMH242" s="16"/>
      <c r="UMI242" s="16"/>
      <c r="UMJ242" s="15"/>
      <c r="UMK242" s="15"/>
      <c r="UML242" s="10"/>
      <c r="UMM242" s="10"/>
      <c r="UMN242" s="19"/>
      <c r="UMO242" s="19"/>
      <c r="UMR242" s="16"/>
      <c r="UMS242" s="15"/>
      <c r="UMT242" s="15"/>
      <c r="UMU242" s="15"/>
      <c r="UMV242" s="16"/>
      <c r="UMW242" s="16"/>
      <c r="UMX242" s="16"/>
      <c r="UMY242" s="16"/>
      <c r="UMZ242" s="16"/>
      <c r="UNA242" s="15"/>
      <c r="UNB242" s="15"/>
      <c r="UNC242" s="10"/>
      <c r="UND242" s="10"/>
      <c r="UNE242" s="19"/>
      <c r="UNF242" s="19"/>
      <c r="UNI242" s="16"/>
      <c r="UNJ242" s="15"/>
      <c r="UNK242" s="15"/>
      <c r="UNL242" s="15"/>
      <c r="UNM242" s="16"/>
      <c r="UNN242" s="16"/>
      <c r="UNO242" s="16"/>
      <c r="UNP242" s="16"/>
      <c r="UNQ242" s="16"/>
      <c r="UNR242" s="15"/>
      <c r="UNS242" s="15"/>
      <c r="UNT242" s="10"/>
      <c r="UNU242" s="10"/>
      <c r="UNV242" s="19"/>
      <c r="UNW242" s="19"/>
      <c r="UNZ242" s="16"/>
      <c r="UOA242" s="15"/>
      <c r="UOB242" s="15"/>
      <c r="UOC242" s="15"/>
      <c r="UOD242" s="16"/>
      <c r="UOE242" s="16"/>
      <c r="UOF242" s="16"/>
      <c r="UOG242" s="16"/>
      <c r="UOH242" s="16"/>
      <c r="UOI242" s="15"/>
      <c r="UOJ242" s="15"/>
      <c r="UOK242" s="10"/>
      <c r="UOL242" s="10"/>
      <c r="UOM242" s="19"/>
      <c r="UON242" s="19"/>
      <c r="UOQ242" s="16"/>
      <c r="UOR242" s="15"/>
      <c r="UOS242" s="15"/>
      <c r="UOT242" s="15"/>
      <c r="UOU242" s="16"/>
      <c r="UOV242" s="16"/>
      <c r="UOW242" s="16"/>
      <c r="UOX242" s="16"/>
      <c r="UOY242" s="16"/>
      <c r="UOZ242" s="15"/>
      <c r="UPA242" s="15"/>
      <c r="UPB242" s="10"/>
      <c r="UPC242" s="10"/>
      <c r="UPD242" s="19"/>
      <c r="UPE242" s="19"/>
      <c r="UPH242" s="16"/>
      <c r="UPI242" s="15"/>
      <c r="UPJ242" s="15"/>
      <c r="UPK242" s="15"/>
      <c r="UPL242" s="16"/>
      <c r="UPM242" s="16"/>
      <c r="UPN242" s="16"/>
      <c r="UPO242" s="16"/>
      <c r="UPP242" s="16"/>
      <c r="UPQ242" s="15"/>
      <c r="UPR242" s="15"/>
      <c r="UPS242" s="10"/>
      <c r="UPT242" s="10"/>
      <c r="UPU242" s="19"/>
      <c r="UPV242" s="19"/>
      <c r="UPY242" s="16"/>
      <c r="UPZ242" s="15"/>
      <c r="UQA242" s="15"/>
      <c r="UQB242" s="15"/>
      <c r="UQC242" s="16"/>
      <c r="UQD242" s="16"/>
      <c r="UQE242" s="16"/>
      <c r="UQF242" s="16"/>
      <c r="UQG242" s="16"/>
      <c r="UQH242" s="15"/>
      <c r="UQI242" s="15"/>
      <c r="UQJ242" s="10"/>
      <c r="UQK242" s="10"/>
      <c r="UQL242" s="19"/>
      <c r="UQM242" s="19"/>
      <c r="UQP242" s="16"/>
      <c r="UQQ242" s="15"/>
      <c r="UQR242" s="15"/>
      <c r="UQS242" s="15"/>
      <c r="UQT242" s="16"/>
      <c r="UQU242" s="16"/>
      <c r="UQV242" s="16"/>
      <c r="UQW242" s="16"/>
      <c r="UQX242" s="16"/>
      <c r="UQY242" s="15"/>
      <c r="UQZ242" s="15"/>
      <c r="URA242" s="10"/>
      <c r="URB242" s="10"/>
      <c r="URC242" s="19"/>
      <c r="URD242" s="19"/>
      <c r="URG242" s="16"/>
      <c r="URH242" s="15"/>
      <c r="URI242" s="15"/>
      <c r="URJ242" s="15"/>
      <c r="URK242" s="16"/>
      <c r="URL242" s="16"/>
      <c r="URM242" s="16"/>
      <c r="URN242" s="16"/>
      <c r="URO242" s="16"/>
      <c r="URP242" s="15"/>
      <c r="URQ242" s="15"/>
      <c r="URR242" s="10"/>
      <c r="URS242" s="10"/>
      <c r="URT242" s="19"/>
      <c r="URU242" s="19"/>
      <c r="URX242" s="16"/>
      <c r="URY242" s="15"/>
      <c r="URZ242" s="15"/>
      <c r="USA242" s="15"/>
      <c r="USB242" s="16"/>
      <c r="USC242" s="16"/>
      <c r="USD242" s="16"/>
      <c r="USE242" s="16"/>
      <c r="USF242" s="16"/>
      <c r="USG242" s="15"/>
      <c r="USH242" s="15"/>
      <c r="USI242" s="10"/>
      <c r="USJ242" s="10"/>
      <c r="USK242" s="19"/>
      <c r="USL242" s="19"/>
      <c r="USO242" s="16"/>
      <c r="USP242" s="15"/>
      <c r="USQ242" s="15"/>
      <c r="USR242" s="15"/>
      <c r="USS242" s="16"/>
      <c r="UST242" s="16"/>
      <c r="USU242" s="16"/>
      <c r="USV242" s="16"/>
      <c r="USW242" s="16"/>
      <c r="USX242" s="15"/>
      <c r="USY242" s="15"/>
      <c r="USZ242" s="10"/>
      <c r="UTA242" s="10"/>
      <c r="UTB242" s="19"/>
      <c r="UTC242" s="19"/>
      <c r="UTF242" s="16"/>
      <c r="UTG242" s="15"/>
      <c r="UTH242" s="15"/>
      <c r="UTI242" s="15"/>
      <c r="UTJ242" s="16"/>
      <c r="UTK242" s="16"/>
      <c r="UTL242" s="16"/>
      <c r="UTM242" s="16"/>
      <c r="UTN242" s="16"/>
      <c r="UTO242" s="15"/>
      <c r="UTP242" s="15"/>
      <c r="UTQ242" s="10"/>
      <c r="UTR242" s="10"/>
      <c r="UTS242" s="19"/>
      <c r="UTT242" s="19"/>
      <c r="UTW242" s="16"/>
      <c r="UTX242" s="15"/>
      <c r="UTY242" s="15"/>
      <c r="UTZ242" s="15"/>
      <c r="UUA242" s="16"/>
      <c r="UUB242" s="16"/>
      <c r="UUC242" s="16"/>
      <c r="UUD242" s="16"/>
      <c r="UUE242" s="16"/>
      <c r="UUF242" s="15"/>
      <c r="UUG242" s="15"/>
      <c r="UUH242" s="10"/>
      <c r="UUI242" s="10"/>
      <c r="UUJ242" s="19"/>
      <c r="UUK242" s="19"/>
      <c r="UUN242" s="16"/>
      <c r="UUO242" s="15"/>
      <c r="UUP242" s="15"/>
      <c r="UUQ242" s="15"/>
      <c r="UUR242" s="16"/>
      <c r="UUS242" s="16"/>
      <c r="UUT242" s="16"/>
      <c r="UUU242" s="16"/>
      <c r="UUV242" s="16"/>
      <c r="UUW242" s="15"/>
      <c r="UUX242" s="15"/>
      <c r="UUY242" s="10"/>
      <c r="UUZ242" s="10"/>
      <c r="UVA242" s="19"/>
      <c r="UVB242" s="19"/>
      <c r="UVE242" s="16"/>
      <c r="UVF242" s="15"/>
      <c r="UVG242" s="15"/>
      <c r="UVH242" s="15"/>
      <c r="UVI242" s="16"/>
      <c r="UVJ242" s="16"/>
      <c r="UVK242" s="16"/>
      <c r="UVL242" s="16"/>
      <c r="UVM242" s="16"/>
      <c r="UVN242" s="15"/>
      <c r="UVO242" s="15"/>
      <c r="UVP242" s="10"/>
      <c r="UVQ242" s="10"/>
      <c r="UVR242" s="19"/>
      <c r="UVS242" s="19"/>
      <c r="UVV242" s="16"/>
      <c r="UVW242" s="15"/>
      <c r="UVX242" s="15"/>
      <c r="UVY242" s="15"/>
      <c r="UVZ242" s="16"/>
      <c r="UWA242" s="16"/>
      <c r="UWB242" s="16"/>
      <c r="UWC242" s="16"/>
      <c r="UWD242" s="16"/>
      <c r="UWE242" s="15"/>
      <c r="UWF242" s="15"/>
      <c r="UWG242" s="10"/>
      <c r="UWH242" s="10"/>
      <c r="UWI242" s="19"/>
      <c r="UWJ242" s="19"/>
      <c r="UWM242" s="16"/>
      <c r="UWN242" s="15"/>
      <c r="UWO242" s="15"/>
      <c r="UWP242" s="15"/>
      <c r="UWQ242" s="16"/>
      <c r="UWR242" s="16"/>
      <c r="UWS242" s="16"/>
      <c r="UWT242" s="16"/>
      <c r="UWU242" s="16"/>
      <c r="UWV242" s="15"/>
      <c r="UWW242" s="15"/>
      <c r="UWX242" s="10"/>
      <c r="UWY242" s="10"/>
      <c r="UWZ242" s="19"/>
      <c r="UXA242" s="19"/>
      <c r="UXD242" s="16"/>
      <c r="UXE242" s="15"/>
      <c r="UXF242" s="15"/>
      <c r="UXG242" s="15"/>
      <c r="UXH242" s="16"/>
      <c r="UXI242" s="16"/>
      <c r="UXJ242" s="16"/>
      <c r="UXK242" s="16"/>
      <c r="UXL242" s="16"/>
      <c r="UXM242" s="15"/>
      <c r="UXN242" s="15"/>
      <c r="UXO242" s="10"/>
      <c r="UXP242" s="10"/>
      <c r="UXQ242" s="19"/>
      <c r="UXR242" s="19"/>
      <c r="UXU242" s="16"/>
      <c r="UXV242" s="15"/>
      <c r="UXW242" s="15"/>
      <c r="UXX242" s="15"/>
      <c r="UXY242" s="16"/>
      <c r="UXZ242" s="16"/>
      <c r="UYA242" s="16"/>
      <c r="UYB242" s="16"/>
      <c r="UYC242" s="16"/>
      <c r="UYD242" s="15"/>
      <c r="UYE242" s="15"/>
      <c r="UYF242" s="10"/>
      <c r="UYG242" s="10"/>
      <c r="UYH242" s="19"/>
      <c r="UYI242" s="19"/>
      <c r="UYL242" s="16"/>
      <c r="UYM242" s="15"/>
      <c r="UYN242" s="15"/>
      <c r="UYO242" s="15"/>
      <c r="UYP242" s="16"/>
      <c r="UYQ242" s="16"/>
      <c r="UYR242" s="16"/>
      <c r="UYS242" s="16"/>
      <c r="UYT242" s="16"/>
      <c r="UYU242" s="15"/>
      <c r="UYV242" s="15"/>
      <c r="UYW242" s="10"/>
      <c r="UYX242" s="10"/>
      <c r="UYY242" s="19"/>
      <c r="UYZ242" s="19"/>
      <c r="UZC242" s="16"/>
      <c r="UZD242" s="15"/>
      <c r="UZE242" s="15"/>
      <c r="UZF242" s="15"/>
      <c r="UZG242" s="16"/>
      <c r="UZH242" s="16"/>
      <c r="UZI242" s="16"/>
      <c r="UZJ242" s="16"/>
      <c r="UZK242" s="16"/>
      <c r="UZL242" s="15"/>
      <c r="UZM242" s="15"/>
      <c r="UZN242" s="10"/>
      <c r="UZO242" s="10"/>
      <c r="UZP242" s="19"/>
      <c r="UZQ242" s="19"/>
      <c r="UZT242" s="16"/>
      <c r="UZU242" s="15"/>
      <c r="UZV242" s="15"/>
      <c r="UZW242" s="15"/>
      <c r="UZX242" s="16"/>
      <c r="UZY242" s="16"/>
      <c r="UZZ242" s="16"/>
      <c r="VAA242" s="16"/>
      <c r="VAB242" s="16"/>
      <c r="VAC242" s="15"/>
      <c r="VAD242" s="15"/>
      <c r="VAE242" s="10"/>
      <c r="VAF242" s="10"/>
      <c r="VAG242" s="19"/>
      <c r="VAH242" s="19"/>
      <c r="VAK242" s="16"/>
      <c r="VAL242" s="15"/>
      <c r="VAM242" s="15"/>
      <c r="VAN242" s="15"/>
      <c r="VAO242" s="16"/>
      <c r="VAP242" s="16"/>
      <c r="VAQ242" s="16"/>
      <c r="VAR242" s="16"/>
      <c r="VAS242" s="16"/>
      <c r="VAT242" s="15"/>
      <c r="VAU242" s="15"/>
      <c r="VAV242" s="10"/>
      <c r="VAW242" s="10"/>
      <c r="VAX242" s="19"/>
      <c r="VAY242" s="19"/>
      <c r="VBB242" s="16"/>
      <c r="VBC242" s="15"/>
      <c r="VBD242" s="15"/>
      <c r="VBE242" s="15"/>
      <c r="VBF242" s="16"/>
      <c r="VBG242" s="16"/>
      <c r="VBH242" s="16"/>
      <c r="VBI242" s="16"/>
      <c r="VBJ242" s="16"/>
      <c r="VBK242" s="15"/>
      <c r="VBL242" s="15"/>
      <c r="VBM242" s="10"/>
      <c r="VBN242" s="10"/>
      <c r="VBO242" s="19"/>
      <c r="VBP242" s="19"/>
      <c r="VBS242" s="16"/>
      <c r="VBT242" s="15"/>
      <c r="VBU242" s="15"/>
      <c r="VBV242" s="15"/>
      <c r="VBW242" s="16"/>
      <c r="VBX242" s="16"/>
      <c r="VBY242" s="16"/>
      <c r="VBZ242" s="16"/>
      <c r="VCA242" s="16"/>
      <c r="VCB242" s="15"/>
      <c r="VCC242" s="15"/>
      <c r="VCD242" s="10"/>
      <c r="VCE242" s="10"/>
      <c r="VCF242" s="19"/>
      <c r="VCG242" s="19"/>
      <c r="VCJ242" s="16"/>
      <c r="VCK242" s="15"/>
      <c r="VCL242" s="15"/>
      <c r="VCM242" s="15"/>
      <c r="VCN242" s="16"/>
      <c r="VCO242" s="16"/>
      <c r="VCP242" s="16"/>
      <c r="VCQ242" s="16"/>
      <c r="VCR242" s="16"/>
      <c r="VCS242" s="15"/>
      <c r="VCT242" s="15"/>
      <c r="VCU242" s="10"/>
      <c r="VCV242" s="10"/>
      <c r="VCW242" s="19"/>
      <c r="VCX242" s="19"/>
      <c r="VDA242" s="16"/>
      <c r="VDB242" s="15"/>
      <c r="VDC242" s="15"/>
      <c r="VDD242" s="15"/>
      <c r="VDE242" s="16"/>
      <c r="VDF242" s="16"/>
      <c r="VDG242" s="16"/>
      <c r="VDH242" s="16"/>
      <c r="VDI242" s="16"/>
      <c r="VDJ242" s="15"/>
      <c r="VDK242" s="15"/>
      <c r="VDL242" s="10"/>
      <c r="VDM242" s="10"/>
      <c r="VDN242" s="19"/>
      <c r="VDO242" s="19"/>
      <c r="VDR242" s="16"/>
      <c r="VDS242" s="15"/>
      <c r="VDT242" s="15"/>
      <c r="VDU242" s="15"/>
      <c r="VDV242" s="16"/>
      <c r="VDW242" s="16"/>
      <c r="VDX242" s="16"/>
      <c r="VDY242" s="16"/>
      <c r="VDZ242" s="16"/>
      <c r="VEA242" s="15"/>
      <c r="VEB242" s="15"/>
      <c r="VEC242" s="10"/>
      <c r="VED242" s="10"/>
      <c r="VEE242" s="19"/>
      <c r="VEF242" s="19"/>
      <c r="VEI242" s="16"/>
      <c r="VEJ242" s="15"/>
      <c r="VEK242" s="15"/>
      <c r="VEL242" s="15"/>
      <c r="VEM242" s="16"/>
      <c r="VEN242" s="16"/>
      <c r="VEO242" s="16"/>
      <c r="VEP242" s="16"/>
      <c r="VEQ242" s="16"/>
      <c r="VER242" s="15"/>
      <c r="VES242" s="15"/>
      <c r="VET242" s="10"/>
      <c r="VEU242" s="10"/>
      <c r="VEV242" s="19"/>
      <c r="VEW242" s="19"/>
      <c r="VEZ242" s="16"/>
      <c r="VFA242" s="15"/>
      <c r="VFB242" s="15"/>
      <c r="VFC242" s="15"/>
      <c r="VFD242" s="16"/>
      <c r="VFE242" s="16"/>
      <c r="VFF242" s="16"/>
      <c r="VFG242" s="16"/>
      <c r="VFH242" s="16"/>
      <c r="VFI242" s="15"/>
      <c r="VFJ242" s="15"/>
      <c r="VFK242" s="10"/>
      <c r="VFL242" s="10"/>
      <c r="VFM242" s="19"/>
      <c r="VFN242" s="19"/>
      <c r="VFQ242" s="16"/>
      <c r="VFR242" s="15"/>
      <c r="VFS242" s="15"/>
      <c r="VFT242" s="15"/>
      <c r="VFU242" s="16"/>
      <c r="VFV242" s="16"/>
      <c r="VFW242" s="16"/>
      <c r="VFX242" s="16"/>
      <c r="VFY242" s="16"/>
      <c r="VFZ242" s="15"/>
      <c r="VGA242" s="15"/>
      <c r="VGB242" s="10"/>
      <c r="VGC242" s="10"/>
      <c r="VGD242" s="19"/>
      <c r="VGE242" s="19"/>
      <c r="VGH242" s="16"/>
      <c r="VGI242" s="15"/>
      <c r="VGJ242" s="15"/>
      <c r="VGK242" s="15"/>
      <c r="VGL242" s="16"/>
      <c r="VGM242" s="16"/>
      <c r="VGN242" s="16"/>
      <c r="VGO242" s="16"/>
      <c r="VGP242" s="16"/>
      <c r="VGQ242" s="15"/>
      <c r="VGR242" s="15"/>
      <c r="VGS242" s="10"/>
      <c r="VGT242" s="10"/>
      <c r="VGU242" s="19"/>
      <c r="VGV242" s="19"/>
      <c r="VGY242" s="16"/>
      <c r="VGZ242" s="15"/>
      <c r="VHA242" s="15"/>
      <c r="VHB242" s="15"/>
      <c r="VHC242" s="16"/>
      <c r="VHD242" s="16"/>
      <c r="VHE242" s="16"/>
      <c r="VHF242" s="16"/>
      <c r="VHG242" s="16"/>
      <c r="VHH242" s="15"/>
      <c r="VHI242" s="15"/>
      <c r="VHJ242" s="10"/>
      <c r="VHK242" s="10"/>
      <c r="VHL242" s="19"/>
      <c r="VHM242" s="19"/>
      <c r="VHP242" s="16"/>
      <c r="VHQ242" s="15"/>
      <c r="VHR242" s="15"/>
      <c r="VHS242" s="15"/>
      <c r="VHT242" s="16"/>
      <c r="VHU242" s="16"/>
      <c r="VHV242" s="16"/>
      <c r="VHW242" s="16"/>
      <c r="VHX242" s="16"/>
      <c r="VHY242" s="15"/>
      <c r="VHZ242" s="15"/>
      <c r="VIA242" s="10"/>
      <c r="VIB242" s="10"/>
      <c r="VIC242" s="19"/>
      <c r="VID242" s="19"/>
      <c r="VIG242" s="16"/>
      <c r="VIH242" s="15"/>
      <c r="VII242" s="15"/>
      <c r="VIJ242" s="15"/>
      <c r="VIK242" s="16"/>
      <c r="VIL242" s="16"/>
      <c r="VIM242" s="16"/>
      <c r="VIN242" s="16"/>
      <c r="VIO242" s="16"/>
      <c r="VIP242" s="15"/>
      <c r="VIQ242" s="15"/>
      <c r="VIR242" s="10"/>
      <c r="VIS242" s="10"/>
      <c r="VIT242" s="19"/>
      <c r="VIU242" s="19"/>
      <c r="VIX242" s="16"/>
      <c r="VIY242" s="15"/>
      <c r="VIZ242" s="15"/>
      <c r="VJA242" s="15"/>
      <c r="VJB242" s="16"/>
      <c r="VJC242" s="16"/>
      <c r="VJD242" s="16"/>
      <c r="VJE242" s="16"/>
      <c r="VJF242" s="16"/>
      <c r="VJG242" s="15"/>
      <c r="VJH242" s="15"/>
      <c r="VJI242" s="10"/>
      <c r="VJJ242" s="10"/>
      <c r="VJK242" s="19"/>
      <c r="VJL242" s="19"/>
      <c r="VJO242" s="16"/>
      <c r="VJP242" s="15"/>
      <c r="VJQ242" s="15"/>
      <c r="VJR242" s="15"/>
      <c r="VJS242" s="16"/>
      <c r="VJT242" s="16"/>
      <c r="VJU242" s="16"/>
      <c r="VJV242" s="16"/>
      <c r="VJW242" s="16"/>
      <c r="VJX242" s="15"/>
      <c r="VJY242" s="15"/>
      <c r="VJZ242" s="10"/>
      <c r="VKA242" s="10"/>
      <c r="VKB242" s="19"/>
      <c r="VKC242" s="19"/>
      <c r="VKF242" s="16"/>
      <c r="VKG242" s="15"/>
      <c r="VKH242" s="15"/>
      <c r="VKI242" s="15"/>
      <c r="VKJ242" s="16"/>
      <c r="VKK242" s="16"/>
      <c r="VKL242" s="16"/>
      <c r="VKM242" s="16"/>
      <c r="VKN242" s="16"/>
      <c r="VKO242" s="15"/>
      <c r="VKP242" s="15"/>
      <c r="VKQ242" s="10"/>
      <c r="VKR242" s="10"/>
      <c r="VKS242" s="19"/>
      <c r="VKT242" s="19"/>
      <c r="VKW242" s="16"/>
      <c r="VKX242" s="15"/>
      <c r="VKY242" s="15"/>
      <c r="VKZ242" s="15"/>
      <c r="VLA242" s="16"/>
      <c r="VLB242" s="16"/>
      <c r="VLC242" s="16"/>
      <c r="VLD242" s="16"/>
      <c r="VLE242" s="16"/>
      <c r="VLF242" s="15"/>
      <c r="VLG242" s="15"/>
      <c r="VLH242" s="10"/>
      <c r="VLI242" s="10"/>
      <c r="VLJ242" s="19"/>
      <c r="VLK242" s="19"/>
      <c r="VLN242" s="16"/>
      <c r="VLO242" s="15"/>
      <c r="VLP242" s="15"/>
      <c r="VLQ242" s="15"/>
      <c r="VLR242" s="16"/>
      <c r="VLS242" s="16"/>
      <c r="VLT242" s="16"/>
      <c r="VLU242" s="16"/>
      <c r="VLV242" s="16"/>
      <c r="VLW242" s="15"/>
      <c r="VLX242" s="15"/>
      <c r="VLY242" s="10"/>
      <c r="VLZ242" s="10"/>
      <c r="VMA242" s="19"/>
      <c r="VMB242" s="19"/>
      <c r="VME242" s="16"/>
      <c r="VMF242" s="15"/>
      <c r="VMG242" s="15"/>
      <c r="VMH242" s="15"/>
      <c r="VMI242" s="16"/>
      <c r="VMJ242" s="16"/>
      <c r="VMK242" s="16"/>
      <c r="VML242" s="16"/>
      <c r="VMM242" s="16"/>
      <c r="VMN242" s="15"/>
      <c r="VMO242" s="15"/>
      <c r="VMP242" s="10"/>
      <c r="VMQ242" s="10"/>
      <c r="VMR242" s="19"/>
      <c r="VMS242" s="19"/>
      <c r="VMV242" s="16"/>
      <c r="VMW242" s="15"/>
      <c r="VMX242" s="15"/>
      <c r="VMY242" s="15"/>
      <c r="VMZ242" s="16"/>
      <c r="VNA242" s="16"/>
      <c r="VNB242" s="16"/>
      <c r="VNC242" s="16"/>
      <c r="VND242" s="16"/>
      <c r="VNE242" s="15"/>
      <c r="VNF242" s="15"/>
      <c r="VNG242" s="10"/>
      <c r="VNH242" s="10"/>
      <c r="VNI242" s="19"/>
      <c r="VNJ242" s="19"/>
      <c r="VNM242" s="16"/>
      <c r="VNN242" s="15"/>
      <c r="VNO242" s="15"/>
      <c r="VNP242" s="15"/>
      <c r="VNQ242" s="16"/>
      <c r="VNR242" s="16"/>
      <c r="VNS242" s="16"/>
      <c r="VNT242" s="16"/>
      <c r="VNU242" s="16"/>
      <c r="VNV242" s="15"/>
      <c r="VNW242" s="15"/>
      <c r="VNX242" s="10"/>
      <c r="VNY242" s="10"/>
      <c r="VNZ242" s="19"/>
      <c r="VOA242" s="19"/>
      <c r="VOD242" s="16"/>
      <c r="VOE242" s="15"/>
      <c r="VOF242" s="15"/>
      <c r="VOG242" s="15"/>
      <c r="VOH242" s="16"/>
      <c r="VOI242" s="16"/>
      <c r="VOJ242" s="16"/>
      <c r="VOK242" s="16"/>
      <c r="VOL242" s="16"/>
      <c r="VOM242" s="15"/>
      <c r="VON242" s="15"/>
      <c r="VOO242" s="10"/>
      <c r="VOP242" s="10"/>
      <c r="VOQ242" s="19"/>
      <c r="VOR242" s="19"/>
      <c r="VOU242" s="16"/>
      <c r="VOV242" s="15"/>
      <c r="VOW242" s="15"/>
      <c r="VOX242" s="15"/>
      <c r="VOY242" s="16"/>
      <c r="VOZ242" s="16"/>
      <c r="VPA242" s="16"/>
      <c r="VPB242" s="16"/>
      <c r="VPC242" s="16"/>
      <c r="VPD242" s="15"/>
      <c r="VPE242" s="15"/>
      <c r="VPF242" s="10"/>
      <c r="VPG242" s="10"/>
      <c r="VPH242" s="19"/>
      <c r="VPI242" s="19"/>
      <c r="VPL242" s="16"/>
      <c r="VPM242" s="15"/>
      <c r="VPN242" s="15"/>
      <c r="VPO242" s="15"/>
      <c r="VPP242" s="16"/>
      <c r="VPQ242" s="16"/>
      <c r="VPR242" s="16"/>
      <c r="VPS242" s="16"/>
      <c r="VPT242" s="16"/>
      <c r="VPU242" s="15"/>
      <c r="VPV242" s="15"/>
      <c r="VPW242" s="10"/>
      <c r="VPX242" s="10"/>
      <c r="VPY242" s="19"/>
      <c r="VPZ242" s="19"/>
      <c r="VQC242" s="16"/>
      <c r="VQD242" s="15"/>
      <c r="VQE242" s="15"/>
      <c r="VQF242" s="15"/>
      <c r="VQG242" s="16"/>
      <c r="VQH242" s="16"/>
      <c r="VQI242" s="16"/>
      <c r="VQJ242" s="16"/>
      <c r="VQK242" s="16"/>
      <c r="VQL242" s="15"/>
      <c r="VQM242" s="15"/>
      <c r="VQN242" s="10"/>
      <c r="VQO242" s="10"/>
      <c r="VQP242" s="19"/>
      <c r="VQQ242" s="19"/>
      <c r="VQT242" s="16"/>
      <c r="VQU242" s="15"/>
      <c r="VQV242" s="15"/>
      <c r="VQW242" s="15"/>
      <c r="VQX242" s="16"/>
      <c r="VQY242" s="16"/>
      <c r="VQZ242" s="16"/>
      <c r="VRA242" s="16"/>
      <c r="VRB242" s="16"/>
      <c r="VRC242" s="15"/>
      <c r="VRD242" s="15"/>
      <c r="VRE242" s="10"/>
      <c r="VRF242" s="10"/>
      <c r="VRG242" s="19"/>
      <c r="VRH242" s="19"/>
      <c r="VRK242" s="16"/>
      <c r="VRL242" s="15"/>
      <c r="VRM242" s="15"/>
      <c r="VRN242" s="15"/>
      <c r="VRO242" s="16"/>
      <c r="VRP242" s="16"/>
      <c r="VRQ242" s="16"/>
      <c r="VRR242" s="16"/>
      <c r="VRS242" s="16"/>
      <c r="VRT242" s="15"/>
      <c r="VRU242" s="15"/>
      <c r="VRV242" s="10"/>
      <c r="VRW242" s="10"/>
      <c r="VRX242" s="19"/>
      <c r="VRY242" s="19"/>
      <c r="VSB242" s="16"/>
      <c r="VSC242" s="15"/>
      <c r="VSD242" s="15"/>
      <c r="VSE242" s="15"/>
      <c r="VSF242" s="16"/>
      <c r="VSG242" s="16"/>
      <c r="VSH242" s="16"/>
      <c r="VSI242" s="16"/>
      <c r="VSJ242" s="16"/>
      <c r="VSK242" s="15"/>
      <c r="VSL242" s="15"/>
      <c r="VSM242" s="10"/>
      <c r="VSN242" s="10"/>
      <c r="VSO242" s="19"/>
      <c r="VSP242" s="19"/>
      <c r="VSS242" s="16"/>
      <c r="VST242" s="15"/>
      <c r="VSU242" s="15"/>
      <c r="VSV242" s="15"/>
      <c r="VSW242" s="16"/>
      <c r="VSX242" s="16"/>
      <c r="VSY242" s="16"/>
      <c r="VSZ242" s="16"/>
      <c r="VTA242" s="16"/>
      <c r="VTB242" s="15"/>
      <c r="VTC242" s="15"/>
      <c r="VTD242" s="10"/>
      <c r="VTE242" s="10"/>
      <c r="VTF242" s="19"/>
      <c r="VTG242" s="19"/>
      <c r="VTJ242" s="16"/>
      <c r="VTK242" s="15"/>
      <c r="VTL242" s="15"/>
      <c r="VTM242" s="15"/>
      <c r="VTN242" s="16"/>
      <c r="VTO242" s="16"/>
      <c r="VTP242" s="16"/>
      <c r="VTQ242" s="16"/>
      <c r="VTR242" s="16"/>
      <c r="VTS242" s="15"/>
      <c r="VTT242" s="15"/>
      <c r="VTU242" s="10"/>
      <c r="VTV242" s="10"/>
      <c r="VTW242" s="19"/>
      <c r="VTX242" s="19"/>
      <c r="VUA242" s="16"/>
      <c r="VUB242" s="15"/>
      <c r="VUC242" s="15"/>
      <c r="VUD242" s="15"/>
      <c r="VUE242" s="16"/>
      <c r="VUF242" s="16"/>
      <c r="VUG242" s="16"/>
      <c r="VUH242" s="16"/>
      <c r="VUI242" s="16"/>
      <c r="VUJ242" s="15"/>
      <c r="VUK242" s="15"/>
      <c r="VUL242" s="10"/>
      <c r="VUM242" s="10"/>
      <c r="VUN242" s="19"/>
      <c r="VUO242" s="19"/>
      <c r="VUR242" s="16"/>
      <c r="VUS242" s="15"/>
      <c r="VUT242" s="15"/>
      <c r="VUU242" s="15"/>
      <c r="VUV242" s="16"/>
      <c r="VUW242" s="16"/>
      <c r="VUX242" s="16"/>
      <c r="VUY242" s="16"/>
      <c r="VUZ242" s="16"/>
      <c r="VVA242" s="15"/>
      <c r="VVB242" s="15"/>
      <c r="VVC242" s="10"/>
      <c r="VVD242" s="10"/>
      <c r="VVE242" s="19"/>
      <c r="VVF242" s="19"/>
      <c r="VVI242" s="16"/>
      <c r="VVJ242" s="15"/>
      <c r="VVK242" s="15"/>
      <c r="VVL242" s="15"/>
      <c r="VVM242" s="16"/>
      <c r="VVN242" s="16"/>
      <c r="VVO242" s="16"/>
      <c r="VVP242" s="16"/>
      <c r="VVQ242" s="16"/>
      <c r="VVR242" s="15"/>
      <c r="VVS242" s="15"/>
      <c r="VVT242" s="10"/>
      <c r="VVU242" s="10"/>
      <c r="VVV242" s="19"/>
      <c r="VVW242" s="19"/>
      <c r="VVZ242" s="16"/>
      <c r="VWA242" s="15"/>
      <c r="VWB242" s="15"/>
      <c r="VWC242" s="15"/>
      <c r="VWD242" s="16"/>
      <c r="VWE242" s="16"/>
      <c r="VWF242" s="16"/>
      <c r="VWG242" s="16"/>
      <c r="VWH242" s="16"/>
      <c r="VWI242" s="15"/>
      <c r="VWJ242" s="15"/>
      <c r="VWK242" s="10"/>
      <c r="VWL242" s="10"/>
      <c r="VWM242" s="19"/>
      <c r="VWN242" s="19"/>
      <c r="VWQ242" s="16"/>
      <c r="VWR242" s="15"/>
      <c r="VWS242" s="15"/>
      <c r="VWT242" s="15"/>
      <c r="VWU242" s="16"/>
      <c r="VWV242" s="16"/>
      <c r="VWW242" s="16"/>
      <c r="VWX242" s="16"/>
      <c r="VWY242" s="16"/>
      <c r="VWZ242" s="15"/>
      <c r="VXA242" s="15"/>
      <c r="VXB242" s="10"/>
      <c r="VXC242" s="10"/>
      <c r="VXD242" s="19"/>
      <c r="VXE242" s="19"/>
      <c r="VXH242" s="16"/>
      <c r="VXI242" s="15"/>
      <c r="VXJ242" s="15"/>
      <c r="VXK242" s="15"/>
      <c r="VXL242" s="16"/>
      <c r="VXM242" s="16"/>
      <c r="VXN242" s="16"/>
      <c r="VXO242" s="16"/>
      <c r="VXP242" s="16"/>
      <c r="VXQ242" s="15"/>
      <c r="VXR242" s="15"/>
      <c r="VXS242" s="10"/>
      <c r="VXT242" s="10"/>
      <c r="VXU242" s="19"/>
      <c r="VXV242" s="19"/>
      <c r="VXY242" s="16"/>
      <c r="VXZ242" s="15"/>
      <c r="VYA242" s="15"/>
      <c r="VYB242" s="15"/>
      <c r="VYC242" s="16"/>
      <c r="VYD242" s="16"/>
      <c r="VYE242" s="16"/>
      <c r="VYF242" s="16"/>
      <c r="VYG242" s="16"/>
      <c r="VYH242" s="15"/>
      <c r="VYI242" s="15"/>
      <c r="VYJ242" s="10"/>
      <c r="VYK242" s="10"/>
      <c r="VYL242" s="19"/>
      <c r="VYM242" s="19"/>
      <c r="VYP242" s="16"/>
      <c r="VYQ242" s="15"/>
      <c r="VYR242" s="15"/>
      <c r="VYS242" s="15"/>
      <c r="VYT242" s="16"/>
      <c r="VYU242" s="16"/>
      <c r="VYV242" s="16"/>
      <c r="VYW242" s="16"/>
      <c r="VYX242" s="16"/>
      <c r="VYY242" s="15"/>
      <c r="VYZ242" s="15"/>
      <c r="VZA242" s="10"/>
      <c r="VZB242" s="10"/>
      <c r="VZC242" s="19"/>
      <c r="VZD242" s="19"/>
      <c r="VZG242" s="16"/>
      <c r="VZH242" s="15"/>
      <c r="VZI242" s="15"/>
      <c r="VZJ242" s="15"/>
      <c r="VZK242" s="16"/>
      <c r="VZL242" s="16"/>
      <c r="VZM242" s="16"/>
      <c r="VZN242" s="16"/>
      <c r="VZO242" s="16"/>
      <c r="VZP242" s="15"/>
      <c r="VZQ242" s="15"/>
      <c r="VZR242" s="10"/>
      <c r="VZS242" s="10"/>
      <c r="VZT242" s="19"/>
      <c r="VZU242" s="19"/>
      <c r="VZX242" s="16"/>
      <c r="VZY242" s="15"/>
      <c r="VZZ242" s="15"/>
      <c r="WAA242" s="15"/>
      <c r="WAB242" s="16"/>
      <c r="WAC242" s="16"/>
      <c r="WAD242" s="16"/>
      <c r="WAE242" s="16"/>
      <c r="WAF242" s="16"/>
      <c r="WAG242" s="15"/>
      <c r="WAH242" s="15"/>
      <c r="WAI242" s="10"/>
      <c r="WAJ242" s="10"/>
      <c r="WAK242" s="19"/>
      <c r="WAL242" s="19"/>
      <c r="WAO242" s="16"/>
      <c r="WAP242" s="15"/>
      <c r="WAQ242" s="15"/>
      <c r="WAR242" s="15"/>
      <c r="WAS242" s="16"/>
      <c r="WAT242" s="16"/>
      <c r="WAU242" s="16"/>
      <c r="WAV242" s="16"/>
      <c r="WAW242" s="16"/>
      <c r="WAX242" s="15"/>
      <c r="WAY242" s="15"/>
      <c r="WAZ242" s="10"/>
      <c r="WBA242" s="10"/>
      <c r="WBB242" s="19"/>
      <c r="WBC242" s="19"/>
      <c r="WBF242" s="16"/>
      <c r="WBG242" s="15"/>
      <c r="WBH242" s="15"/>
      <c r="WBI242" s="15"/>
      <c r="WBJ242" s="16"/>
      <c r="WBK242" s="16"/>
      <c r="WBL242" s="16"/>
      <c r="WBM242" s="16"/>
      <c r="WBN242" s="16"/>
      <c r="WBO242" s="15"/>
      <c r="WBP242" s="15"/>
      <c r="WBQ242" s="10"/>
      <c r="WBR242" s="10"/>
      <c r="WBS242" s="19"/>
      <c r="WBT242" s="19"/>
      <c r="WBW242" s="16"/>
      <c r="WBX242" s="15"/>
      <c r="WBY242" s="15"/>
      <c r="WBZ242" s="15"/>
      <c r="WCA242" s="16"/>
      <c r="WCB242" s="16"/>
      <c r="WCC242" s="16"/>
      <c r="WCD242" s="16"/>
      <c r="WCE242" s="16"/>
      <c r="WCF242" s="15"/>
      <c r="WCG242" s="15"/>
      <c r="WCH242" s="10"/>
      <c r="WCI242" s="10"/>
      <c r="WCJ242" s="19"/>
      <c r="WCK242" s="19"/>
      <c r="WCN242" s="16"/>
      <c r="WCO242" s="15"/>
      <c r="WCP242" s="15"/>
      <c r="WCQ242" s="15"/>
      <c r="WCR242" s="16"/>
      <c r="WCS242" s="16"/>
      <c r="WCT242" s="16"/>
      <c r="WCU242" s="16"/>
      <c r="WCV242" s="16"/>
      <c r="WCW242" s="15"/>
      <c r="WCX242" s="15"/>
      <c r="WCY242" s="10"/>
      <c r="WCZ242" s="10"/>
      <c r="WDA242" s="19"/>
      <c r="WDB242" s="19"/>
      <c r="WDE242" s="16"/>
      <c r="WDF242" s="15"/>
      <c r="WDG242" s="15"/>
      <c r="WDH242" s="15"/>
      <c r="WDI242" s="16"/>
      <c r="WDJ242" s="16"/>
      <c r="WDK242" s="16"/>
      <c r="WDL242" s="16"/>
      <c r="WDM242" s="16"/>
      <c r="WDN242" s="15"/>
      <c r="WDO242" s="15"/>
      <c r="WDP242" s="10"/>
      <c r="WDQ242" s="10"/>
      <c r="WDR242" s="19"/>
      <c r="WDS242" s="19"/>
      <c r="WDV242" s="16"/>
      <c r="WDW242" s="15"/>
      <c r="WDX242" s="15"/>
      <c r="WDY242" s="15"/>
      <c r="WDZ242" s="16"/>
      <c r="WEA242" s="16"/>
      <c r="WEB242" s="16"/>
      <c r="WEC242" s="16"/>
      <c r="WED242" s="16"/>
      <c r="WEE242" s="15"/>
      <c r="WEF242" s="15"/>
      <c r="WEG242" s="10"/>
      <c r="WEH242" s="10"/>
      <c r="WEI242" s="19"/>
      <c r="WEJ242" s="19"/>
      <c r="WEM242" s="16"/>
      <c r="WEN242" s="15"/>
      <c r="WEO242" s="15"/>
      <c r="WEP242" s="15"/>
      <c r="WEQ242" s="16"/>
      <c r="WER242" s="16"/>
      <c r="WES242" s="16"/>
      <c r="WET242" s="16"/>
      <c r="WEU242" s="16"/>
      <c r="WEV242" s="15"/>
      <c r="WEW242" s="15"/>
      <c r="WEX242" s="10"/>
      <c r="WEY242" s="10"/>
      <c r="WEZ242" s="19"/>
      <c r="WFA242" s="19"/>
      <c r="WFD242" s="16"/>
      <c r="WFE242" s="15"/>
      <c r="WFF242" s="15"/>
      <c r="WFG242" s="15"/>
      <c r="WFH242" s="16"/>
      <c r="WFI242" s="16"/>
      <c r="WFJ242" s="16"/>
      <c r="WFK242" s="16"/>
      <c r="WFL242" s="16"/>
      <c r="WFM242" s="15"/>
      <c r="WFN242" s="15"/>
      <c r="WFO242" s="10"/>
      <c r="WFP242" s="10"/>
      <c r="WFQ242" s="19"/>
      <c r="WFR242" s="19"/>
      <c r="WFU242" s="16"/>
      <c r="WFV242" s="15"/>
      <c r="WFW242" s="15"/>
      <c r="WFX242" s="15"/>
      <c r="WFY242" s="16"/>
      <c r="WFZ242" s="16"/>
      <c r="WGA242" s="16"/>
      <c r="WGB242" s="16"/>
      <c r="WGC242" s="16"/>
      <c r="WGD242" s="15"/>
      <c r="WGE242" s="15"/>
      <c r="WGF242" s="10"/>
      <c r="WGG242" s="10"/>
      <c r="WGH242" s="19"/>
      <c r="WGI242" s="19"/>
      <c r="WGL242" s="16"/>
      <c r="WGM242" s="15"/>
      <c r="WGN242" s="15"/>
      <c r="WGO242" s="15"/>
      <c r="WGP242" s="16"/>
      <c r="WGQ242" s="16"/>
      <c r="WGR242" s="16"/>
      <c r="WGS242" s="16"/>
      <c r="WGT242" s="16"/>
      <c r="WGU242" s="15"/>
      <c r="WGV242" s="15"/>
      <c r="WGW242" s="10"/>
      <c r="WGX242" s="10"/>
      <c r="WGY242" s="19"/>
      <c r="WGZ242" s="19"/>
      <c r="WHC242" s="16"/>
      <c r="WHD242" s="15"/>
      <c r="WHE242" s="15"/>
      <c r="WHF242" s="15"/>
      <c r="WHG242" s="16"/>
      <c r="WHH242" s="16"/>
      <c r="WHI242" s="16"/>
      <c r="WHJ242" s="16"/>
      <c r="WHK242" s="16"/>
      <c r="WHL242" s="15"/>
      <c r="WHM242" s="15"/>
      <c r="WHN242" s="10"/>
      <c r="WHO242" s="10"/>
      <c r="WHP242" s="19"/>
      <c r="WHQ242" s="19"/>
      <c r="WHT242" s="16"/>
      <c r="WHU242" s="15"/>
      <c r="WHV242" s="15"/>
      <c r="WHW242" s="15"/>
      <c r="WHX242" s="16"/>
      <c r="WHY242" s="16"/>
      <c r="WHZ242" s="16"/>
      <c r="WIA242" s="16"/>
      <c r="WIB242" s="16"/>
      <c r="WIC242" s="15"/>
      <c r="WID242" s="15"/>
      <c r="WIE242" s="10"/>
      <c r="WIF242" s="10"/>
      <c r="WIG242" s="19"/>
      <c r="WIH242" s="19"/>
      <c r="WIK242" s="16"/>
      <c r="WIL242" s="15"/>
      <c r="WIM242" s="15"/>
      <c r="WIN242" s="15"/>
      <c r="WIO242" s="16"/>
      <c r="WIP242" s="16"/>
      <c r="WIQ242" s="16"/>
      <c r="WIR242" s="16"/>
      <c r="WIS242" s="16"/>
      <c r="WIT242" s="15"/>
      <c r="WIU242" s="15"/>
      <c r="WIV242" s="10"/>
      <c r="WIW242" s="10"/>
      <c r="WIX242" s="19"/>
      <c r="WIY242" s="19"/>
      <c r="WJB242" s="16"/>
      <c r="WJC242" s="15"/>
      <c r="WJD242" s="15"/>
      <c r="WJE242" s="15"/>
      <c r="WJF242" s="16"/>
      <c r="WJG242" s="16"/>
      <c r="WJH242" s="16"/>
      <c r="WJI242" s="16"/>
      <c r="WJJ242" s="16"/>
      <c r="WJK242" s="15"/>
      <c r="WJL242" s="15"/>
      <c r="WJM242" s="10"/>
      <c r="WJN242" s="10"/>
      <c r="WJO242" s="19"/>
      <c r="WJP242" s="19"/>
      <c r="WJS242" s="16"/>
      <c r="WJT242" s="15"/>
      <c r="WJU242" s="15"/>
      <c r="WJV242" s="15"/>
      <c r="WJW242" s="16"/>
      <c r="WJX242" s="16"/>
      <c r="WJY242" s="16"/>
      <c r="WJZ242" s="16"/>
      <c r="WKA242" s="16"/>
      <c r="WKB242" s="15"/>
      <c r="WKC242" s="15"/>
      <c r="WKD242" s="10"/>
      <c r="WKE242" s="10"/>
      <c r="WKF242" s="19"/>
      <c r="WKG242" s="19"/>
      <c r="WKJ242" s="16"/>
      <c r="WKK242" s="15"/>
      <c r="WKL242" s="15"/>
      <c r="WKM242" s="15"/>
      <c r="WKN242" s="16"/>
      <c r="WKO242" s="16"/>
      <c r="WKP242" s="16"/>
      <c r="WKQ242" s="16"/>
      <c r="WKR242" s="16"/>
      <c r="WKS242" s="15"/>
      <c r="WKT242" s="15"/>
      <c r="WKU242" s="10"/>
      <c r="WKV242" s="10"/>
      <c r="WKW242" s="19"/>
      <c r="WKX242" s="19"/>
      <c r="WLA242" s="16"/>
      <c r="WLB242" s="15"/>
      <c r="WLC242" s="15"/>
      <c r="WLD242" s="15"/>
      <c r="WLE242" s="16"/>
      <c r="WLF242" s="16"/>
      <c r="WLG242" s="16"/>
      <c r="WLH242" s="16"/>
      <c r="WLI242" s="16"/>
      <c r="WLJ242" s="15"/>
      <c r="WLK242" s="15"/>
      <c r="WLL242" s="10"/>
      <c r="WLM242" s="10"/>
      <c r="WLN242" s="19"/>
      <c r="WLO242" s="19"/>
      <c r="WLR242" s="16"/>
      <c r="WLS242" s="15"/>
      <c r="WLT242" s="15"/>
      <c r="WLU242" s="15"/>
      <c r="WLV242" s="16"/>
      <c r="WLW242" s="16"/>
      <c r="WLX242" s="16"/>
      <c r="WLY242" s="16"/>
      <c r="WLZ242" s="16"/>
      <c r="WMA242" s="15"/>
      <c r="WMB242" s="15"/>
      <c r="WMC242" s="10"/>
      <c r="WMD242" s="10"/>
      <c r="WME242" s="19"/>
      <c r="WMF242" s="19"/>
      <c r="WMI242" s="16"/>
      <c r="WMJ242" s="15"/>
      <c r="WMK242" s="15"/>
      <c r="WML242" s="15"/>
      <c r="WMM242" s="16"/>
      <c r="WMN242" s="16"/>
      <c r="WMO242" s="16"/>
      <c r="WMP242" s="16"/>
      <c r="WMQ242" s="16"/>
      <c r="WMR242" s="15"/>
      <c r="WMS242" s="15"/>
      <c r="WMT242" s="10"/>
      <c r="WMU242" s="10"/>
      <c r="WMV242" s="19"/>
      <c r="WMW242" s="19"/>
      <c r="WMZ242" s="16"/>
      <c r="WNA242" s="15"/>
      <c r="WNB242" s="15"/>
      <c r="WNC242" s="15"/>
      <c r="WND242" s="16"/>
      <c r="WNE242" s="16"/>
      <c r="WNF242" s="16"/>
      <c r="WNG242" s="16"/>
      <c r="WNH242" s="16"/>
      <c r="WNI242" s="15"/>
      <c r="WNJ242" s="15"/>
      <c r="WNK242" s="10"/>
      <c r="WNL242" s="10"/>
      <c r="WNM242" s="19"/>
      <c r="WNN242" s="19"/>
      <c r="WNQ242" s="16"/>
      <c r="WNR242" s="15"/>
      <c r="WNS242" s="15"/>
      <c r="WNT242" s="15"/>
      <c r="WNU242" s="16"/>
      <c r="WNV242" s="16"/>
      <c r="WNW242" s="16"/>
      <c r="WNX242" s="16"/>
      <c r="WNY242" s="16"/>
      <c r="WNZ242" s="15"/>
      <c r="WOA242" s="15"/>
      <c r="WOB242" s="10"/>
      <c r="WOC242" s="10"/>
      <c r="WOD242" s="19"/>
      <c r="WOE242" s="19"/>
      <c r="WOH242" s="16"/>
      <c r="WOI242" s="15"/>
      <c r="WOJ242" s="15"/>
      <c r="WOK242" s="15"/>
      <c r="WOL242" s="16"/>
      <c r="WOM242" s="16"/>
      <c r="WON242" s="16"/>
      <c r="WOO242" s="16"/>
      <c r="WOP242" s="16"/>
      <c r="WOQ242" s="15"/>
      <c r="WOR242" s="15"/>
      <c r="WOS242" s="10"/>
      <c r="WOT242" s="10"/>
      <c r="WOU242" s="19"/>
      <c r="WOV242" s="19"/>
      <c r="WOY242" s="16"/>
      <c r="WOZ242" s="15"/>
      <c r="WPA242" s="15"/>
      <c r="WPB242" s="15"/>
      <c r="WPC242" s="16"/>
      <c r="WPD242" s="16"/>
      <c r="WPE242" s="16"/>
      <c r="WPF242" s="16"/>
      <c r="WPG242" s="16"/>
      <c r="WPH242" s="15"/>
      <c r="WPI242" s="15"/>
      <c r="WPJ242" s="10"/>
      <c r="WPK242" s="10"/>
      <c r="WPL242" s="19"/>
      <c r="WPM242" s="19"/>
      <c r="WPP242" s="16"/>
      <c r="WPQ242" s="15"/>
      <c r="WPR242" s="15"/>
      <c r="WPS242" s="15"/>
      <c r="WPT242" s="16"/>
      <c r="WPU242" s="16"/>
      <c r="WPV242" s="16"/>
      <c r="WPW242" s="16"/>
      <c r="WPX242" s="16"/>
      <c r="WPY242" s="15"/>
      <c r="WPZ242" s="15"/>
      <c r="WQA242" s="10"/>
      <c r="WQB242" s="10"/>
      <c r="WQC242" s="19"/>
      <c r="WQD242" s="19"/>
      <c r="WQG242" s="16"/>
      <c r="WQH242" s="15"/>
      <c r="WQI242" s="15"/>
      <c r="WQJ242" s="15"/>
      <c r="WQK242" s="16"/>
      <c r="WQL242" s="16"/>
      <c r="WQM242" s="16"/>
      <c r="WQN242" s="16"/>
      <c r="WQO242" s="16"/>
      <c r="WQP242" s="15"/>
      <c r="WQQ242" s="15"/>
      <c r="WQR242" s="10"/>
      <c r="WQS242" s="10"/>
      <c r="WQT242" s="19"/>
      <c r="WQU242" s="19"/>
      <c r="WQX242" s="16"/>
      <c r="WQY242" s="15"/>
      <c r="WQZ242" s="15"/>
      <c r="WRA242" s="15"/>
      <c r="WRB242" s="16"/>
      <c r="WRC242" s="16"/>
      <c r="WRD242" s="16"/>
      <c r="WRE242" s="16"/>
      <c r="WRF242" s="16"/>
      <c r="WRG242" s="15"/>
      <c r="WRH242" s="15"/>
      <c r="WRI242" s="10"/>
      <c r="WRJ242" s="10"/>
      <c r="WRK242" s="19"/>
      <c r="WRL242" s="19"/>
      <c r="WRO242" s="16"/>
      <c r="WRP242" s="15"/>
      <c r="WRQ242" s="15"/>
      <c r="WRR242" s="15"/>
      <c r="WRS242" s="16"/>
      <c r="WRT242" s="16"/>
      <c r="WRU242" s="16"/>
      <c r="WRV242" s="16"/>
      <c r="WRW242" s="16"/>
      <c r="WRX242" s="15"/>
      <c r="WRY242" s="15"/>
      <c r="WRZ242" s="10"/>
      <c r="WSA242" s="10"/>
      <c r="WSB242" s="19"/>
      <c r="WSC242" s="19"/>
      <c r="WSF242" s="16"/>
      <c r="WSG242" s="15"/>
      <c r="WSH242" s="15"/>
      <c r="WSI242" s="15"/>
      <c r="WSJ242" s="16"/>
      <c r="WSK242" s="16"/>
      <c r="WSL242" s="16"/>
      <c r="WSM242" s="16"/>
      <c r="WSN242" s="16"/>
      <c r="WSO242" s="15"/>
      <c r="WSP242" s="15"/>
      <c r="WSQ242" s="10"/>
      <c r="WSR242" s="10"/>
      <c r="WSS242" s="19"/>
      <c r="WST242" s="19"/>
      <c r="WSW242" s="16"/>
      <c r="WSX242" s="15"/>
      <c r="WSY242" s="15"/>
      <c r="WSZ242" s="15"/>
      <c r="WTA242" s="16"/>
      <c r="WTB242" s="16"/>
      <c r="WTC242" s="16"/>
      <c r="WTD242" s="16"/>
      <c r="WTE242" s="16"/>
      <c r="WTF242" s="15"/>
      <c r="WTG242" s="15"/>
      <c r="WTH242" s="10"/>
      <c r="WTI242" s="10"/>
      <c r="WTJ242" s="19"/>
      <c r="WTK242" s="19"/>
      <c r="WTN242" s="16"/>
      <c r="WTO242" s="15"/>
      <c r="WTP242" s="15"/>
      <c r="WTQ242" s="15"/>
      <c r="WTR242" s="16"/>
      <c r="WTS242" s="16"/>
      <c r="WTT242" s="16"/>
      <c r="WTU242" s="16"/>
      <c r="WTV242" s="16"/>
      <c r="WTW242" s="15"/>
      <c r="WTX242" s="15"/>
      <c r="WTY242" s="10"/>
      <c r="WTZ242" s="10"/>
      <c r="WUA242" s="19"/>
      <c r="WUB242" s="19"/>
      <c r="WUE242" s="16"/>
      <c r="WUF242" s="15"/>
      <c r="WUG242" s="15"/>
      <c r="WUH242" s="15"/>
      <c r="WUI242" s="16"/>
      <c r="WUJ242" s="16"/>
      <c r="WUK242" s="16"/>
      <c r="WUL242" s="16"/>
      <c r="WUM242" s="16"/>
      <c r="WUN242" s="15"/>
      <c r="WUO242" s="15"/>
      <c r="WUP242" s="10"/>
      <c r="WUQ242" s="10"/>
      <c r="WUR242" s="19"/>
      <c r="WUS242" s="19"/>
      <c r="WUV242" s="16"/>
      <c r="WUW242" s="15"/>
      <c r="WUX242" s="15"/>
      <c r="WUY242" s="15"/>
      <c r="WUZ242" s="16"/>
      <c r="WVA242" s="16"/>
      <c r="WVB242" s="16"/>
      <c r="WVC242" s="16"/>
      <c r="WVD242" s="16"/>
      <c r="WVE242" s="15"/>
      <c r="WVF242" s="15"/>
      <c r="WVG242" s="10"/>
      <c r="WVH242" s="10"/>
      <c r="WVI242" s="19"/>
      <c r="WVJ242" s="19"/>
      <c r="WVM242" s="16"/>
      <c r="WVN242" s="15"/>
      <c r="WVO242" s="15"/>
      <c r="WVP242" s="15"/>
      <c r="WVQ242" s="16"/>
      <c r="WVR242" s="16"/>
      <c r="WVS242" s="16"/>
      <c r="WVT242" s="16"/>
      <c r="WVU242" s="16"/>
      <c r="WVV242" s="15"/>
      <c r="WVW242" s="15"/>
      <c r="WVX242" s="10"/>
      <c r="WVY242" s="10"/>
      <c r="WVZ242" s="19"/>
      <c r="WWA242" s="19"/>
      <c r="WWD242" s="16"/>
      <c r="WWE242" s="15"/>
      <c r="WWF242" s="15"/>
      <c r="WWG242" s="15"/>
      <c r="WWH242" s="16"/>
      <c r="WWI242" s="16"/>
      <c r="WWJ242" s="16"/>
      <c r="WWK242" s="16"/>
      <c r="WWL242" s="16"/>
      <c r="WWM242" s="15"/>
      <c r="WWN242" s="15"/>
      <c r="WWO242" s="10"/>
      <c r="WWP242" s="10"/>
      <c r="WWQ242" s="19"/>
      <c r="WWR242" s="19"/>
      <c r="WWU242" s="16"/>
      <c r="WWV242" s="15"/>
      <c r="WWW242" s="15"/>
      <c r="WWX242" s="15"/>
      <c r="WWY242" s="16"/>
      <c r="WWZ242" s="16"/>
      <c r="WXA242" s="16"/>
      <c r="WXB242" s="16"/>
      <c r="WXC242" s="16"/>
      <c r="WXD242" s="15"/>
      <c r="WXE242" s="15"/>
      <c r="WXF242" s="10"/>
      <c r="WXG242" s="10"/>
      <c r="WXH242" s="19"/>
      <c r="WXI242" s="19"/>
      <c r="WXL242" s="16"/>
      <c r="WXM242" s="15"/>
      <c r="WXN242" s="15"/>
      <c r="WXO242" s="15"/>
      <c r="WXP242" s="16"/>
      <c r="WXQ242" s="16"/>
      <c r="WXR242" s="16"/>
      <c r="WXS242" s="16"/>
      <c r="WXT242" s="16"/>
      <c r="WXU242" s="15"/>
      <c r="WXV242" s="15"/>
      <c r="WXW242" s="10"/>
      <c r="WXX242" s="10"/>
      <c r="WXY242" s="19"/>
      <c r="WXZ242" s="19"/>
      <c r="WYC242" s="16"/>
      <c r="WYD242" s="15"/>
      <c r="WYE242" s="15"/>
      <c r="WYF242" s="15"/>
      <c r="WYG242" s="16"/>
      <c r="WYH242" s="16"/>
      <c r="WYI242" s="16"/>
      <c r="WYJ242" s="16"/>
      <c r="WYK242" s="16"/>
      <c r="WYL242" s="15"/>
      <c r="WYM242" s="15"/>
      <c r="WYN242" s="10"/>
      <c r="WYO242" s="10"/>
      <c r="WYP242" s="19"/>
      <c r="WYQ242" s="19"/>
      <c r="WYT242" s="16"/>
      <c r="WYU242" s="15"/>
      <c r="WYV242" s="15"/>
      <c r="WYW242" s="15"/>
      <c r="WYX242" s="16"/>
      <c r="WYY242" s="16"/>
      <c r="WYZ242" s="16"/>
      <c r="WZA242" s="16"/>
      <c r="WZB242" s="16"/>
      <c r="WZC242" s="15"/>
      <c r="WZD242" s="15"/>
      <c r="WZE242" s="10"/>
      <c r="WZF242" s="10"/>
      <c r="WZG242" s="19"/>
      <c r="WZH242" s="19"/>
      <c r="WZK242" s="16"/>
      <c r="WZL242" s="15"/>
      <c r="WZM242" s="15"/>
      <c r="WZN242" s="15"/>
      <c r="WZO242" s="16"/>
      <c r="WZP242" s="16"/>
      <c r="WZQ242" s="16"/>
      <c r="WZR242" s="16"/>
      <c r="WZS242" s="16"/>
      <c r="WZT242" s="15"/>
      <c r="WZU242" s="15"/>
      <c r="WZV242" s="10"/>
      <c r="WZW242" s="10"/>
      <c r="WZX242" s="19"/>
      <c r="WZY242" s="19"/>
      <c r="XAB242" s="16"/>
      <c r="XAC242" s="15"/>
      <c r="XAD242" s="15"/>
      <c r="XAE242" s="15"/>
      <c r="XAF242" s="16"/>
      <c r="XAG242" s="16"/>
      <c r="XAH242" s="16"/>
      <c r="XAI242" s="16"/>
      <c r="XAJ242" s="16"/>
      <c r="XAK242" s="15"/>
      <c r="XAL242" s="15"/>
      <c r="XAM242" s="10"/>
      <c r="XAN242" s="10"/>
      <c r="XAO242" s="19"/>
      <c r="XAP242" s="19"/>
      <c r="XAS242" s="16"/>
      <c r="XAT242" s="15"/>
      <c r="XAU242" s="15"/>
      <c r="XAV242" s="15"/>
      <c r="XAW242" s="16"/>
      <c r="XAX242" s="16"/>
      <c r="XAY242" s="16"/>
      <c r="XAZ242" s="16"/>
      <c r="XBA242" s="16"/>
      <c r="XBB242" s="15"/>
      <c r="XBC242" s="15"/>
      <c r="XBD242" s="10"/>
      <c r="XBE242" s="10"/>
      <c r="XBF242" s="19"/>
      <c r="XBG242" s="19"/>
      <c r="XBJ242" s="16"/>
      <c r="XBK242" s="15"/>
      <c r="XBL242" s="15"/>
      <c r="XBM242" s="15"/>
      <c r="XBN242" s="16"/>
      <c r="XBO242" s="16"/>
      <c r="XBP242" s="16"/>
      <c r="XBQ242" s="16"/>
      <c r="XBR242" s="16"/>
      <c r="XBS242" s="15"/>
      <c r="XBT242" s="15"/>
      <c r="XBU242" s="10"/>
      <c r="XBV242" s="10"/>
      <c r="XBW242" s="19"/>
      <c r="XBX242" s="19"/>
      <c r="XCA242" s="16"/>
      <c r="XCB242" s="15"/>
      <c r="XCC242" s="15"/>
      <c r="XCD242" s="15"/>
      <c r="XCE242" s="16"/>
      <c r="XCF242" s="16"/>
      <c r="XCG242" s="16"/>
      <c r="XCH242" s="16"/>
      <c r="XCI242" s="16"/>
      <c r="XCJ242" s="15"/>
      <c r="XCK242" s="15"/>
      <c r="XCL242" s="10"/>
      <c r="XCM242" s="10"/>
      <c r="XCN242" s="19"/>
      <c r="XCO242" s="19"/>
      <c r="XCR242" s="16"/>
      <c r="XCS242" s="15"/>
      <c r="XCT242" s="15"/>
      <c r="XCU242" s="15"/>
      <c r="XCV242" s="16"/>
      <c r="XCW242" s="16"/>
      <c r="XCX242" s="16"/>
      <c r="XCY242" s="16"/>
      <c r="XCZ242" s="16"/>
      <c r="XDA242" s="15"/>
      <c r="XDB242" s="15"/>
      <c r="XDC242" s="10"/>
      <c r="XDD242" s="10"/>
      <c r="XDE242" s="19"/>
      <c r="XDF242" s="19"/>
      <c r="XDI242" s="16"/>
      <c r="XDJ242" s="15"/>
      <c r="XDK242" s="15"/>
      <c r="XDL242" s="15"/>
      <c r="XDM242" s="16"/>
      <c r="XDN242" s="16"/>
      <c r="XDO242" s="16"/>
      <c r="XDP242" s="16"/>
      <c r="XDQ242" s="16"/>
      <c r="XDR242" s="15"/>
      <c r="XDS242" s="15"/>
      <c r="XDT242" s="10"/>
      <c r="XDU242" s="10"/>
      <c r="XDV242" s="19"/>
      <c r="XDW242" s="19"/>
      <c r="XDZ242" s="16"/>
      <c r="XEA242" s="15"/>
      <c r="XEB242" s="15"/>
      <c r="XEC242" s="15"/>
      <c r="XED242" s="16"/>
      <c r="XEE242" s="16"/>
      <c r="XEF242" s="16"/>
      <c r="XEG242" s="16"/>
      <c r="XEH242" s="16"/>
      <c r="XEI242" s="15"/>
      <c r="XEJ242" s="15"/>
      <c r="XEK242" s="10"/>
      <c r="XEL242" s="10"/>
      <c r="XEM242" s="19"/>
      <c r="XEN242" s="19"/>
      <c r="XEQ242" s="16"/>
      <c r="XER242" s="15"/>
      <c r="XES242" s="15"/>
      <c r="XET242" s="15"/>
      <c r="XEU242" s="16"/>
      <c r="XEV242" s="16"/>
      <c r="XEW242" s="16"/>
      <c r="XEX242" s="16"/>
      <c r="XEY242" s="16"/>
      <c r="XEZ242" s="15"/>
      <c r="XFA242" s="15"/>
      <c r="XFB242" s="10"/>
      <c r="XFC242" s="10"/>
      <c r="XFD242" s="19"/>
    </row>
    <row r="243" spans="1:4094 4097:8191 8194:12288 12291:16384" s="1" customFormat="1" ht="14.25" customHeight="1" x14ac:dyDescent="0.25">
      <c r="A243" s="31">
        <v>0</v>
      </c>
      <c r="B243" s="31">
        <v>1</v>
      </c>
      <c r="C243" s="31">
        <v>6</v>
      </c>
      <c r="D243" s="32" t="s">
        <v>1204</v>
      </c>
      <c r="E243" s="32" t="s">
        <v>164</v>
      </c>
      <c r="F243" s="32" t="s">
        <v>1205</v>
      </c>
      <c r="G243" s="32" t="s">
        <v>1207</v>
      </c>
      <c r="H243" s="32" t="s">
        <v>352</v>
      </c>
      <c r="I243" s="31" t="s">
        <v>1206</v>
      </c>
      <c r="J243" s="31">
        <v>99</v>
      </c>
      <c r="K243" s="33" t="s">
        <v>713</v>
      </c>
      <c r="L243" s="33" t="s">
        <v>684</v>
      </c>
      <c r="M243" s="34" t="s">
        <v>1372</v>
      </c>
      <c r="N243" s="34" t="s">
        <v>1704</v>
      </c>
      <c r="O243" s="35">
        <v>1</v>
      </c>
      <c r="P243" s="35"/>
      <c r="Q243" s="32"/>
      <c r="S243" s="1">
        <f t="shared" si="73"/>
        <v>0</v>
      </c>
      <c r="T243" s="1">
        <f t="shared" si="74"/>
        <v>0</v>
      </c>
      <c r="U243" s="1">
        <f t="shared" si="75"/>
        <v>0</v>
      </c>
      <c r="V243" s="1">
        <f t="shared" si="76"/>
        <v>0</v>
      </c>
      <c r="W243" s="1">
        <f t="shared" si="77"/>
        <v>0</v>
      </c>
      <c r="X243" s="1">
        <f t="shared" si="78"/>
        <v>0</v>
      </c>
      <c r="Y243" s="1">
        <f t="shared" si="79"/>
        <v>0</v>
      </c>
      <c r="Z243" s="1">
        <f t="shared" si="80"/>
        <v>0</v>
      </c>
      <c r="AA243" s="1">
        <f t="shared" si="81"/>
        <v>0</v>
      </c>
      <c r="AB243" s="1">
        <f t="shared" si="82"/>
        <v>0</v>
      </c>
      <c r="AD243" s="1">
        <f t="shared" si="83"/>
        <v>0</v>
      </c>
      <c r="AE243" s="1">
        <f t="shared" si="84"/>
        <v>1</v>
      </c>
      <c r="AF243" s="1">
        <f t="shared" si="85"/>
        <v>0</v>
      </c>
      <c r="AG243" s="1">
        <f t="shared" si="86"/>
        <v>1</v>
      </c>
      <c r="AH243" s="1">
        <f t="shared" si="87"/>
        <v>0</v>
      </c>
      <c r="AI243" s="1">
        <f t="shared" si="88"/>
        <v>1</v>
      </c>
    </row>
    <row r="244" spans="1:4094 4097:8191 8194:12288 12291:16384" s="1" customFormat="1" ht="14.25" customHeight="1" x14ac:dyDescent="0.25">
      <c r="A244" s="31">
        <v>0</v>
      </c>
      <c r="B244" s="31">
        <v>1</v>
      </c>
      <c r="C244" s="31">
        <v>6</v>
      </c>
      <c r="D244" s="32" t="s">
        <v>959</v>
      </c>
      <c r="E244" s="32" t="s">
        <v>164</v>
      </c>
      <c r="F244" s="32" t="s">
        <v>957</v>
      </c>
      <c r="G244" s="32" t="s">
        <v>1086</v>
      </c>
      <c r="H244" s="32" t="s">
        <v>352</v>
      </c>
      <c r="I244" s="31" t="s">
        <v>958</v>
      </c>
      <c r="J244" s="31">
        <v>1</v>
      </c>
      <c r="K244" s="33" t="s">
        <v>937</v>
      </c>
      <c r="L244" s="33" t="s">
        <v>680</v>
      </c>
      <c r="M244" s="34" t="s">
        <v>1373</v>
      </c>
      <c r="N244" s="34" t="s">
        <v>1708</v>
      </c>
      <c r="O244" s="35">
        <v>1</v>
      </c>
      <c r="P244" s="35"/>
      <c r="Q244" s="32"/>
      <c r="R244" s="15"/>
      <c r="S244" s="1">
        <f t="shared" si="73"/>
        <v>1</v>
      </c>
      <c r="T244" s="1">
        <f t="shared" si="74"/>
        <v>0</v>
      </c>
      <c r="U244" s="1">
        <f t="shared" si="75"/>
        <v>0</v>
      </c>
      <c r="V244" s="1">
        <f t="shared" si="76"/>
        <v>0</v>
      </c>
      <c r="W244" s="1">
        <f t="shared" si="77"/>
        <v>0</v>
      </c>
      <c r="X244" s="1">
        <f t="shared" si="78"/>
        <v>0</v>
      </c>
      <c r="Y244" s="1">
        <f t="shared" si="79"/>
        <v>0</v>
      </c>
      <c r="Z244" s="1">
        <f t="shared" si="80"/>
        <v>0</v>
      </c>
      <c r="AA244" s="1">
        <f t="shared" si="81"/>
        <v>0</v>
      </c>
      <c r="AB244" s="1">
        <f t="shared" si="82"/>
        <v>0</v>
      </c>
      <c r="AD244" s="1">
        <f t="shared" si="83"/>
        <v>0</v>
      </c>
      <c r="AE244" s="1">
        <f t="shared" si="84"/>
        <v>1</v>
      </c>
      <c r="AF244" s="1">
        <f t="shared" si="85"/>
        <v>0</v>
      </c>
      <c r="AG244" s="1">
        <f t="shared" si="86"/>
        <v>1</v>
      </c>
      <c r="AH244" s="1">
        <f t="shared" si="87"/>
        <v>0</v>
      </c>
      <c r="AI244" s="1">
        <f t="shared" si="88"/>
        <v>1</v>
      </c>
      <c r="AJ244" s="15"/>
      <c r="AK244" s="15"/>
      <c r="AL244" s="15"/>
      <c r="AM244" s="15"/>
      <c r="AN244" s="15"/>
      <c r="AO244" s="15"/>
      <c r="AP244" s="15"/>
      <c r="AQ244" s="15"/>
      <c r="AR244" s="15"/>
      <c r="AS244" s="10"/>
      <c r="AT244" s="10"/>
      <c r="AU244" s="21"/>
      <c r="AV244" s="21"/>
      <c r="AY244" s="21"/>
      <c r="AZ244" s="15"/>
      <c r="BA244" s="15"/>
      <c r="BB244" s="15"/>
      <c r="BC244" s="15"/>
      <c r="BD244" s="15"/>
      <c r="BE244" s="15"/>
      <c r="BF244" s="15"/>
      <c r="BG244" s="15"/>
      <c r="BH244" s="15"/>
      <c r="BI244" s="15"/>
      <c r="BJ244" s="10"/>
      <c r="BK244" s="10"/>
      <c r="BL244" s="21"/>
      <c r="BM244" s="21"/>
      <c r="BP244" s="21"/>
      <c r="BQ244" s="15"/>
      <c r="BR244" s="15"/>
      <c r="BS244" s="15"/>
      <c r="BT244" s="15"/>
      <c r="BU244" s="15"/>
      <c r="BV244" s="15"/>
      <c r="BW244" s="15"/>
      <c r="BX244" s="15"/>
      <c r="BY244" s="15"/>
      <c r="BZ244" s="15"/>
      <c r="CA244" s="10"/>
      <c r="CB244" s="10"/>
      <c r="CC244" s="21"/>
      <c r="CD244" s="21"/>
      <c r="CG244" s="21"/>
      <c r="CH244" s="15"/>
      <c r="CI244" s="15"/>
      <c r="CJ244" s="15"/>
      <c r="CK244" s="15"/>
      <c r="CL244" s="15"/>
      <c r="CM244" s="15"/>
      <c r="CN244" s="15"/>
      <c r="CO244" s="15"/>
      <c r="CP244" s="15"/>
      <c r="CQ244" s="15"/>
      <c r="CR244" s="10"/>
      <c r="CS244" s="10"/>
      <c r="CT244" s="21"/>
      <c r="CU244" s="21"/>
      <c r="CX244" s="21"/>
      <c r="CY244" s="15"/>
      <c r="CZ244" s="15"/>
      <c r="DA244" s="15"/>
      <c r="DB244" s="15"/>
      <c r="DC244" s="15"/>
      <c r="DD244" s="15"/>
      <c r="DE244" s="15"/>
      <c r="DF244" s="15"/>
      <c r="DG244" s="15"/>
      <c r="DH244" s="15"/>
      <c r="DI244" s="10"/>
      <c r="DJ244" s="10"/>
      <c r="DK244" s="21"/>
      <c r="DL244" s="21"/>
      <c r="DO244" s="21"/>
      <c r="DP244" s="15"/>
      <c r="DQ244" s="15"/>
      <c r="DR244" s="15"/>
      <c r="DS244" s="15"/>
      <c r="DT244" s="15"/>
      <c r="DU244" s="15"/>
      <c r="DV244" s="15"/>
      <c r="DW244" s="15"/>
      <c r="DX244" s="15"/>
      <c r="DY244" s="15"/>
      <c r="DZ244" s="10"/>
      <c r="EA244" s="10"/>
      <c r="EB244" s="21"/>
      <c r="EC244" s="21"/>
      <c r="EF244" s="21"/>
      <c r="EG244" s="15"/>
      <c r="EH244" s="15"/>
      <c r="EI244" s="15"/>
      <c r="EJ244" s="15"/>
      <c r="EK244" s="15"/>
      <c r="EL244" s="15"/>
      <c r="EM244" s="15"/>
      <c r="EN244" s="15"/>
      <c r="EO244" s="15"/>
      <c r="EP244" s="15"/>
      <c r="EQ244" s="10"/>
      <c r="ER244" s="10"/>
      <c r="ES244" s="21"/>
      <c r="ET244" s="21"/>
      <c r="EW244" s="21"/>
      <c r="EX244" s="15"/>
      <c r="EY244" s="15"/>
      <c r="EZ244" s="15"/>
      <c r="FA244" s="15"/>
      <c r="FB244" s="15"/>
      <c r="FC244" s="15"/>
      <c r="FD244" s="15"/>
      <c r="FE244" s="15"/>
      <c r="FF244" s="15"/>
      <c r="FG244" s="15"/>
      <c r="FH244" s="10"/>
      <c r="FI244" s="10"/>
      <c r="FJ244" s="21"/>
      <c r="FK244" s="21"/>
      <c r="FN244" s="21"/>
      <c r="FO244" s="15"/>
      <c r="FP244" s="15"/>
      <c r="FQ244" s="15"/>
      <c r="FR244" s="15"/>
      <c r="FS244" s="15"/>
      <c r="FT244" s="15"/>
      <c r="FU244" s="15"/>
      <c r="FV244" s="15"/>
      <c r="FW244" s="15"/>
      <c r="FX244" s="15"/>
      <c r="FY244" s="10"/>
      <c r="FZ244" s="10"/>
      <c r="GA244" s="21"/>
      <c r="GB244" s="21"/>
      <c r="GE244" s="21"/>
      <c r="GF244" s="15"/>
      <c r="GG244" s="15"/>
      <c r="GH244" s="15"/>
      <c r="GI244" s="15"/>
      <c r="GJ244" s="15"/>
      <c r="GK244" s="15"/>
      <c r="GL244" s="15"/>
      <c r="GM244" s="15"/>
      <c r="GN244" s="15"/>
      <c r="GO244" s="15"/>
      <c r="GP244" s="10"/>
      <c r="GQ244" s="10"/>
      <c r="GR244" s="21"/>
      <c r="GS244" s="21"/>
      <c r="GV244" s="21"/>
      <c r="GW244" s="15"/>
      <c r="GX244" s="15"/>
      <c r="GY244" s="15"/>
      <c r="GZ244" s="15"/>
      <c r="HA244" s="15"/>
      <c r="HB244" s="15"/>
      <c r="HC244" s="15"/>
      <c r="HD244" s="15"/>
      <c r="HE244" s="15"/>
      <c r="HF244" s="15"/>
      <c r="HG244" s="10"/>
      <c r="HH244" s="10"/>
      <c r="HI244" s="21"/>
      <c r="HJ244" s="21"/>
      <c r="HM244" s="21"/>
      <c r="HN244" s="15"/>
      <c r="HO244" s="15"/>
      <c r="HP244" s="15"/>
      <c r="HQ244" s="15"/>
      <c r="HR244" s="15"/>
      <c r="HS244" s="15"/>
      <c r="HT244" s="15"/>
      <c r="HU244" s="15"/>
      <c r="HV244" s="15"/>
      <c r="HW244" s="15"/>
      <c r="HX244" s="10"/>
      <c r="HY244" s="10"/>
      <c r="HZ244" s="21"/>
      <c r="IA244" s="21"/>
      <c r="ID244" s="21"/>
      <c r="IE244" s="15"/>
      <c r="IF244" s="15"/>
      <c r="IG244" s="15"/>
      <c r="IH244" s="15"/>
      <c r="II244" s="15"/>
      <c r="IJ244" s="15"/>
      <c r="IK244" s="15"/>
      <c r="IL244" s="15"/>
      <c r="IM244" s="15"/>
      <c r="IN244" s="15"/>
      <c r="IO244" s="10"/>
      <c r="IP244" s="10"/>
      <c r="IQ244" s="21"/>
      <c r="IR244" s="21"/>
      <c r="IU244" s="21"/>
      <c r="IV244" s="15"/>
      <c r="IW244" s="15"/>
      <c r="IX244" s="15"/>
      <c r="IY244" s="15"/>
      <c r="IZ244" s="15"/>
      <c r="JA244" s="15"/>
      <c r="JB244" s="15"/>
      <c r="JC244" s="15"/>
      <c r="JD244" s="15"/>
      <c r="JE244" s="15"/>
      <c r="JF244" s="10"/>
      <c r="JG244" s="10"/>
      <c r="JH244" s="21"/>
      <c r="JI244" s="21"/>
      <c r="JL244" s="21"/>
      <c r="JM244" s="15"/>
      <c r="JN244" s="15"/>
      <c r="JO244" s="15"/>
      <c r="JP244" s="15"/>
      <c r="JQ244" s="15"/>
      <c r="JR244" s="15"/>
      <c r="JS244" s="15"/>
      <c r="JT244" s="15"/>
      <c r="JU244" s="15"/>
      <c r="JV244" s="15"/>
      <c r="JW244" s="10"/>
      <c r="JX244" s="10"/>
      <c r="JY244" s="21"/>
      <c r="JZ244" s="21"/>
      <c r="KC244" s="21"/>
      <c r="KD244" s="15"/>
      <c r="KE244" s="15"/>
      <c r="KF244" s="15"/>
      <c r="KG244" s="15"/>
      <c r="KH244" s="15"/>
      <c r="KI244" s="15"/>
      <c r="KJ244" s="15"/>
      <c r="KK244" s="15"/>
      <c r="KL244" s="15"/>
      <c r="KM244" s="15"/>
      <c r="KN244" s="10"/>
      <c r="KO244" s="10"/>
      <c r="KP244" s="21"/>
      <c r="KQ244" s="21"/>
      <c r="KT244" s="21"/>
      <c r="KU244" s="15"/>
      <c r="KV244" s="15"/>
      <c r="KW244" s="15"/>
      <c r="KX244" s="15"/>
      <c r="KY244" s="15"/>
      <c r="KZ244" s="15"/>
      <c r="LA244" s="15"/>
      <c r="LB244" s="15"/>
      <c r="LC244" s="15"/>
      <c r="LD244" s="15"/>
      <c r="LE244" s="10"/>
      <c r="LF244" s="10"/>
      <c r="LG244" s="21"/>
      <c r="LH244" s="21"/>
      <c r="LK244" s="21"/>
      <c r="LL244" s="15"/>
      <c r="LM244" s="15"/>
      <c r="LN244" s="15"/>
      <c r="LO244" s="15"/>
      <c r="LP244" s="15"/>
      <c r="LQ244" s="15"/>
      <c r="LR244" s="15"/>
      <c r="LS244" s="15"/>
      <c r="LT244" s="15"/>
      <c r="LU244" s="15"/>
      <c r="LV244" s="10"/>
      <c r="LW244" s="10"/>
      <c r="LX244" s="21"/>
      <c r="LY244" s="21"/>
      <c r="MB244" s="21"/>
      <c r="MC244" s="15"/>
      <c r="MD244" s="15"/>
      <c r="ME244" s="15"/>
      <c r="MF244" s="15"/>
      <c r="MG244" s="15"/>
      <c r="MH244" s="15"/>
      <c r="MI244" s="15"/>
      <c r="MJ244" s="15"/>
      <c r="MK244" s="15"/>
      <c r="ML244" s="15"/>
      <c r="MM244" s="10"/>
      <c r="MN244" s="10"/>
      <c r="MO244" s="21"/>
      <c r="MP244" s="21"/>
      <c r="MS244" s="21"/>
      <c r="MT244" s="15"/>
      <c r="MU244" s="15"/>
      <c r="MV244" s="15"/>
      <c r="MW244" s="15"/>
      <c r="MX244" s="15"/>
      <c r="MY244" s="15"/>
      <c r="MZ244" s="15"/>
      <c r="NA244" s="15"/>
      <c r="NB244" s="15"/>
      <c r="NC244" s="15"/>
      <c r="ND244" s="10"/>
      <c r="NE244" s="10"/>
      <c r="NF244" s="21"/>
      <c r="NG244" s="21"/>
      <c r="NJ244" s="21"/>
      <c r="NK244" s="15"/>
      <c r="NL244" s="15"/>
      <c r="NM244" s="15"/>
      <c r="NN244" s="15"/>
      <c r="NO244" s="15"/>
      <c r="NP244" s="15"/>
      <c r="NQ244" s="15"/>
      <c r="NR244" s="15"/>
      <c r="NS244" s="15"/>
      <c r="NT244" s="15"/>
      <c r="NU244" s="10"/>
      <c r="NV244" s="10"/>
      <c r="NW244" s="21"/>
      <c r="NX244" s="21"/>
      <c r="OA244" s="21"/>
      <c r="OB244" s="15"/>
      <c r="OC244" s="15"/>
      <c r="OD244" s="15"/>
      <c r="OE244" s="15"/>
      <c r="OF244" s="15"/>
      <c r="OG244" s="15"/>
      <c r="OH244" s="15"/>
      <c r="OI244" s="15"/>
      <c r="OJ244" s="15"/>
      <c r="OK244" s="15"/>
      <c r="OL244" s="10"/>
      <c r="OM244" s="10"/>
      <c r="ON244" s="21"/>
      <c r="OO244" s="21"/>
      <c r="OR244" s="21"/>
      <c r="OS244" s="15"/>
      <c r="OT244" s="15"/>
      <c r="OU244" s="15"/>
      <c r="OV244" s="15"/>
      <c r="OW244" s="15"/>
      <c r="OX244" s="15"/>
      <c r="OY244" s="15"/>
      <c r="OZ244" s="15"/>
      <c r="PA244" s="15"/>
      <c r="PB244" s="15"/>
      <c r="PC244" s="10"/>
      <c r="PD244" s="10"/>
      <c r="PE244" s="21"/>
      <c r="PF244" s="21"/>
      <c r="PI244" s="21"/>
      <c r="PJ244" s="15"/>
      <c r="PK244" s="15"/>
      <c r="PL244" s="15"/>
      <c r="PM244" s="15"/>
      <c r="PN244" s="15"/>
      <c r="PO244" s="15"/>
      <c r="PP244" s="15"/>
      <c r="PQ244" s="15"/>
      <c r="PR244" s="15"/>
      <c r="PS244" s="15"/>
      <c r="PT244" s="10"/>
      <c r="PU244" s="10"/>
      <c r="PV244" s="21"/>
      <c r="PW244" s="21"/>
      <c r="PZ244" s="21"/>
      <c r="QA244" s="15"/>
      <c r="QB244" s="15"/>
      <c r="QC244" s="15"/>
      <c r="QD244" s="15"/>
      <c r="QE244" s="15"/>
      <c r="QF244" s="15"/>
      <c r="QG244" s="15"/>
      <c r="QH244" s="15"/>
      <c r="QI244" s="15"/>
      <c r="QJ244" s="15"/>
      <c r="QK244" s="10"/>
      <c r="QL244" s="10"/>
      <c r="QM244" s="21"/>
      <c r="QN244" s="21"/>
      <c r="QQ244" s="21"/>
      <c r="QR244" s="15"/>
      <c r="QS244" s="15"/>
      <c r="QT244" s="15"/>
      <c r="QU244" s="15"/>
      <c r="QV244" s="15"/>
      <c r="QW244" s="15"/>
      <c r="QX244" s="15"/>
      <c r="QY244" s="15"/>
      <c r="QZ244" s="15"/>
      <c r="RA244" s="15"/>
      <c r="RB244" s="10"/>
      <c r="RC244" s="10"/>
      <c r="RD244" s="21"/>
      <c r="RE244" s="21"/>
      <c r="RH244" s="21"/>
      <c r="RI244" s="15"/>
      <c r="RJ244" s="15"/>
      <c r="RK244" s="15"/>
      <c r="RL244" s="15"/>
      <c r="RM244" s="15"/>
      <c r="RN244" s="15"/>
      <c r="RO244" s="15"/>
      <c r="RP244" s="15"/>
      <c r="RQ244" s="15"/>
      <c r="RR244" s="15"/>
      <c r="RS244" s="10"/>
      <c r="RT244" s="10"/>
      <c r="RU244" s="21"/>
      <c r="RV244" s="21"/>
      <c r="RY244" s="21"/>
      <c r="RZ244" s="15"/>
      <c r="SA244" s="15"/>
      <c r="SB244" s="15"/>
      <c r="SC244" s="15"/>
      <c r="SD244" s="15"/>
      <c r="SE244" s="15"/>
      <c r="SF244" s="15"/>
      <c r="SG244" s="15"/>
      <c r="SH244" s="15"/>
      <c r="SI244" s="15"/>
      <c r="SJ244" s="10"/>
      <c r="SK244" s="10"/>
      <c r="SL244" s="21"/>
      <c r="SM244" s="21"/>
      <c r="SP244" s="21"/>
      <c r="SQ244" s="15"/>
      <c r="SR244" s="15"/>
      <c r="SS244" s="15"/>
      <c r="ST244" s="15"/>
      <c r="SU244" s="15"/>
      <c r="SV244" s="15"/>
      <c r="SW244" s="15"/>
      <c r="SX244" s="15"/>
      <c r="SY244" s="15"/>
      <c r="SZ244" s="15"/>
      <c r="TA244" s="10"/>
      <c r="TB244" s="10"/>
      <c r="TC244" s="21"/>
      <c r="TD244" s="21"/>
      <c r="TG244" s="21"/>
      <c r="TH244" s="15"/>
      <c r="TI244" s="15"/>
      <c r="TJ244" s="15"/>
      <c r="TK244" s="15"/>
      <c r="TL244" s="15"/>
      <c r="TM244" s="15"/>
      <c r="TN244" s="15"/>
      <c r="TO244" s="15"/>
      <c r="TP244" s="15"/>
      <c r="TQ244" s="15"/>
      <c r="TR244" s="10"/>
      <c r="TS244" s="10"/>
      <c r="TT244" s="21"/>
      <c r="TU244" s="21"/>
      <c r="TX244" s="21"/>
      <c r="TY244" s="15"/>
      <c r="TZ244" s="15"/>
      <c r="UA244" s="15"/>
      <c r="UB244" s="15"/>
      <c r="UC244" s="15"/>
      <c r="UD244" s="15"/>
      <c r="UE244" s="15"/>
      <c r="UF244" s="15"/>
      <c r="UG244" s="15"/>
      <c r="UH244" s="15"/>
      <c r="UI244" s="10"/>
      <c r="UJ244" s="10"/>
      <c r="UK244" s="21"/>
      <c r="UL244" s="21"/>
      <c r="UO244" s="21"/>
      <c r="UP244" s="15"/>
      <c r="UQ244" s="15"/>
      <c r="UR244" s="15"/>
      <c r="US244" s="15"/>
      <c r="UT244" s="15"/>
      <c r="UU244" s="15"/>
      <c r="UV244" s="15"/>
      <c r="UW244" s="15"/>
      <c r="UX244" s="15"/>
      <c r="UY244" s="15"/>
      <c r="UZ244" s="10"/>
      <c r="VA244" s="10"/>
      <c r="VB244" s="21"/>
      <c r="VC244" s="21"/>
      <c r="VF244" s="21"/>
      <c r="VG244" s="15"/>
      <c r="VH244" s="15"/>
      <c r="VI244" s="15"/>
      <c r="VJ244" s="15"/>
      <c r="VK244" s="15"/>
      <c r="VL244" s="15"/>
      <c r="VM244" s="15"/>
      <c r="VN244" s="15"/>
      <c r="VO244" s="15"/>
      <c r="VP244" s="15"/>
      <c r="VQ244" s="10"/>
      <c r="VR244" s="10"/>
      <c r="VS244" s="21"/>
      <c r="VT244" s="21"/>
      <c r="VW244" s="21"/>
      <c r="VX244" s="15"/>
      <c r="VY244" s="15"/>
      <c r="VZ244" s="15"/>
      <c r="WA244" s="15"/>
      <c r="WB244" s="15"/>
      <c r="WC244" s="15"/>
      <c r="WD244" s="15"/>
      <c r="WE244" s="15"/>
      <c r="WF244" s="15"/>
      <c r="WG244" s="15"/>
      <c r="WH244" s="10"/>
      <c r="WI244" s="10"/>
      <c r="WJ244" s="21"/>
      <c r="WK244" s="21"/>
      <c r="WN244" s="21"/>
      <c r="WO244" s="15"/>
      <c r="WP244" s="15"/>
      <c r="WQ244" s="15"/>
      <c r="WR244" s="15"/>
      <c r="WS244" s="15"/>
      <c r="WT244" s="15"/>
      <c r="WU244" s="15"/>
      <c r="WV244" s="15"/>
      <c r="WW244" s="15"/>
      <c r="WX244" s="15"/>
      <c r="WY244" s="10"/>
      <c r="WZ244" s="10"/>
      <c r="XA244" s="21"/>
      <c r="XB244" s="21"/>
      <c r="XE244" s="21"/>
      <c r="XF244" s="15"/>
      <c r="XG244" s="15"/>
      <c r="XH244" s="15"/>
      <c r="XI244" s="15"/>
      <c r="XJ244" s="15"/>
      <c r="XK244" s="15"/>
      <c r="XL244" s="15"/>
      <c r="XM244" s="15"/>
      <c r="XN244" s="15"/>
      <c r="XO244" s="15"/>
      <c r="XP244" s="10"/>
      <c r="XQ244" s="10"/>
      <c r="XR244" s="21"/>
      <c r="XS244" s="21"/>
      <c r="XV244" s="21"/>
      <c r="XW244" s="15"/>
      <c r="XX244" s="15"/>
      <c r="XY244" s="15"/>
      <c r="XZ244" s="15"/>
      <c r="YA244" s="15"/>
      <c r="YB244" s="15"/>
      <c r="YC244" s="15"/>
      <c r="YD244" s="15"/>
      <c r="YE244" s="15"/>
      <c r="YF244" s="15"/>
      <c r="YG244" s="10"/>
      <c r="YH244" s="10"/>
      <c r="YI244" s="21"/>
      <c r="YJ244" s="21"/>
      <c r="YM244" s="21"/>
      <c r="YN244" s="15"/>
      <c r="YO244" s="15"/>
      <c r="YP244" s="15"/>
      <c r="YQ244" s="15"/>
      <c r="YR244" s="15"/>
      <c r="YS244" s="15"/>
      <c r="YT244" s="15"/>
      <c r="YU244" s="15"/>
      <c r="YV244" s="15"/>
      <c r="YW244" s="15"/>
      <c r="YX244" s="10"/>
      <c r="YY244" s="10"/>
      <c r="YZ244" s="21"/>
      <c r="ZA244" s="21"/>
      <c r="ZD244" s="21"/>
      <c r="ZE244" s="15"/>
      <c r="ZF244" s="15"/>
      <c r="ZG244" s="15"/>
      <c r="ZH244" s="15"/>
      <c r="ZI244" s="15"/>
      <c r="ZJ244" s="15"/>
      <c r="ZK244" s="15"/>
      <c r="ZL244" s="15"/>
      <c r="ZM244" s="15"/>
      <c r="ZN244" s="15"/>
      <c r="ZO244" s="10"/>
      <c r="ZP244" s="10"/>
      <c r="ZQ244" s="21"/>
      <c r="ZR244" s="21"/>
      <c r="ZU244" s="21"/>
      <c r="ZV244" s="15"/>
      <c r="ZW244" s="15"/>
      <c r="ZX244" s="15"/>
      <c r="ZY244" s="15"/>
      <c r="ZZ244" s="15"/>
      <c r="AAA244" s="15"/>
      <c r="AAB244" s="15"/>
      <c r="AAC244" s="15"/>
      <c r="AAD244" s="15"/>
      <c r="AAE244" s="15"/>
      <c r="AAF244" s="10"/>
      <c r="AAG244" s="10"/>
      <c r="AAH244" s="21"/>
      <c r="AAI244" s="21"/>
      <c r="AAL244" s="21"/>
      <c r="AAM244" s="15"/>
      <c r="AAN244" s="15"/>
      <c r="AAO244" s="15"/>
      <c r="AAP244" s="15"/>
      <c r="AAQ244" s="15"/>
      <c r="AAR244" s="15"/>
      <c r="AAS244" s="15"/>
      <c r="AAT244" s="15"/>
      <c r="AAU244" s="15"/>
      <c r="AAV244" s="15"/>
      <c r="AAW244" s="10"/>
      <c r="AAX244" s="10"/>
      <c r="AAY244" s="21"/>
      <c r="AAZ244" s="21"/>
      <c r="ABC244" s="21"/>
      <c r="ABD244" s="15"/>
      <c r="ABE244" s="15"/>
      <c r="ABF244" s="15"/>
      <c r="ABG244" s="15"/>
      <c r="ABH244" s="15"/>
      <c r="ABI244" s="15"/>
      <c r="ABJ244" s="15"/>
      <c r="ABK244" s="15"/>
      <c r="ABL244" s="15"/>
      <c r="ABM244" s="15"/>
      <c r="ABN244" s="10"/>
      <c r="ABO244" s="10"/>
      <c r="ABP244" s="21"/>
      <c r="ABQ244" s="21"/>
      <c r="ABT244" s="21"/>
      <c r="ABU244" s="15"/>
      <c r="ABV244" s="15"/>
      <c r="ABW244" s="15"/>
      <c r="ABX244" s="15"/>
      <c r="ABY244" s="15"/>
      <c r="ABZ244" s="15"/>
      <c r="ACA244" s="15"/>
      <c r="ACB244" s="15"/>
      <c r="ACC244" s="15"/>
      <c r="ACD244" s="15"/>
      <c r="ACE244" s="10"/>
      <c r="ACF244" s="10"/>
      <c r="ACG244" s="21"/>
      <c r="ACH244" s="21"/>
      <c r="ACK244" s="21"/>
      <c r="ACL244" s="15"/>
      <c r="ACM244" s="15"/>
      <c r="ACN244" s="15"/>
      <c r="ACO244" s="15"/>
      <c r="ACP244" s="15"/>
      <c r="ACQ244" s="15"/>
      <c r="ACR244" s="15"/>
      <c r="ACS244" s="15"/>
      <c r="ACT244" s="15"/>
      <c r="ACU244" s="15"/>
      <c r="ACV244" s="10"/>
      <c r="ACW244" s="10"/>
      <c r="ACX244" s="21"/>
      <c r="ACY244" s="21"/>
      <c r="ADB244" s="21"/>
      <c r="ADC244" s="15"/>
      <c r="ADD244" s="15"/>
      <c r="ADE244" s="15"/>
      <c r="ADF244" s="15"/>
      <c r="ADG244" s="15"/>
      <c r="ADH244" s="15"/>
      <c r="ADI244" s="15"/>
      <c r="ADJ244" s="15"/>
      <c r="ADK244" s="15"/>
      <c r="ADL244" s="15"/>
      <c r="ADM244" s="10"/>
      <c r="ADN244" s="10"/>
      <c r="ADO244" s="21"/>
      <c r="ADP244" s="21"/>
      <c r="ADS244" s="21"/>
      <c r="ADT244" s="15"/>
      <c r="ADU244" s="15"/>
      <c r="ADV244" s="15"/>
      <c r="ADW244" s="15"/>
      <c r="ADX244" s="15"/>
      <c r="ADY244" s="15"/>
      <c r="ADZ244" s="15"/>
      <c r="AEA244" s="15"/>
      <c r="AEB244" s="15"/>
      <c r="AEC244" s="15"/>
      <c r="AED244" s="10"/>
      <c r="AEE244" s="10"/>
      <c r="AEF244" s="21"/>
      <c r="AEG244" s="21"/>
      <c r="AEJ244" s="21"/>
      <c r="AEK244" s="15"/>
      <c r="AEL244" s="15"/>
      <c r="AEM244" s="15"/>
      <c r="AEN244" s="15"/>
      <c r="AEO244" s="15"/>
      <c r="AEP244" s="15"/>
      <c r="AEQ244" s="15"/>
      <c r="AER244" s="15"/>
      <c r="AES244" s="15"/>
      <c r="AET244" s="15"/>
      <c r="AEU244" s="10"/>
      <c r="AEV244" s="10"/>
      <c r="AEW244" s="21"/>
      <c r="AEX244" s="21"/>
      <c r="AFA244" s="21"/>
      <c r="AFB244" s="15"/>
      <c r="AFC244" s="15"/>
      <c r="AFD244" s="15"/>
      <c r="AFE244" s="15"/>
      <c r="AFF244" s="15"/>
      <c r="AFG244" s="15"/>
      <c r="AFH244" s="15"/>
      <c r="AFI244" s="15"/>
      <c r="AFJ244" s="15"/>
      <c r="AFK244" s="15"/>
      <c r="AFL244" s="10"/>
      <c r="AFM244" s="10"/>
      <c r="AFN244" s="21"/>
      <c r="AFO244" s="21"/>
      <c r="AFR244" s="21"/>
      <c r="AFS244" s="15"/>
      <c r="AFT244" s="15"/>
      <c r="AFU244" s="15"/>
      <c r="AFV244" s="15"/>
      <c r="AFW244" s="15"/>
      <c r="AFX244" s="15"/>
      <c r="AFY244" s="15"/>
      <c r="AFZ244" s="15"/>
      <c r="AGA244" s="15"/>
      <c r="AGB244" s="15"/>
      <c r="AGC244" s="10"/>
      <c r="AGD244" s="10"/>
      <c r="AGE244" s="21"/>
      <c r="AGF244" s="21"/>
      <c r="AGI244" s="21"/>
      <c r="AGJ244" s="15"/>
      <c r="AGK244" s="15"/>
      <c r="AGL244" s="15"/>
      <c r="AGM244" s="15"/>
      <c r="AGN244" s="15"/>
      <c r="AGO244" s="15"/>
      <c r="AGP244" s="15"/>
      <c r="AGQ244" s="15"/>
      <c r="AGR244" s="15"/>
      <c r="AGS244" s="15"/>
      <c r="AGT244" s="10"/>
      <c r="AGU244" s="10"/>
      <c r="AGV244" s="21"/>
      <c r="AGW244" s="21"/>
      <c r="AGZ244" s="21"/>
      <c r="AHA244" s="15"/>
      <c r="AHB244" s="15"/>
      <c r="AHC244" s="15"/>
      <c r="AHD244" s="15"/>
      <c r="AHE244" s="15"/>
      <c r="AHF244" s="15"/>
      <c r="AHG244" s="15"/>
      <c r="AHH244" s="15"/>
      <c r="AHI244" s="15"/>
      <c r="AHJ244" s="15"/>
      <c r="AHK244" s="10"/>
      <c r="AHL244" s="10"/>
      <c r="AHM244" s="21"/>
      <c r="AHN244" s="21"/>
      <c r="AHQ244" s="21"/>
      <c r="AHR244" s="15"/>
      <c r="AHS244" s="15"/>
      <c r="AHT244" s="15"/>
      <c r="AHU244" s="15"/>
      <c r="AHV244" s="15"/>
      <c r="AHW244" s="15"/>
      <c r="AHX244" s="15"/>
      <c r="AHY244" s="15"/>
      <c r="AHZ244" s="15"/>
      <c r="AIA244" s="15"/>
      <c r="AIB244" s="10"/>
      <c r="AIC244" s="10"/>
      <c r="AID244" s="21"/>
      <c r="AIE244" s="21"/>
      <c r="AIH244" s="21"/>
      <c r="AII244" s="15"/>
      <c r="AIJ244" s="15"/>
      <c r="AIK244" s="15"/>
      <c r="AIL244" s="15"/>
      <c r="AIM244" s="15"/>
      <c r="AIN244" s="15"/>
      <c r="AIO244" s="15"/>
      <c r="AIP244" s="15"/>
      <c r="AIQ244" s="15"/>
      <c r="AIR244" s="15"/>
      <c r="AIS244" s="10"/>
      <c r="AIT244" s="10"/>
      <c r="AIU244" s="21"/>
      <c r="AIV244" s="21"/>
      <c r="AIY244" s="21"/>
      <c r="AIZ244" s="15"/>
      <c r="AJA244" s="15"/>
      <c r="AJB244" s="15"/>
      <c r="AJC244" s="15"/>
      <c r="AJD244" s="15"/>
      <c r="AJE244" s="15"/>
      <c r="AJF244" s="15"/>
      <c r="AJG244" s="15"/>
      <c r="AJH244" s="15"/>
      <c r="AJI244" s="15"/>
      <c r="AJJ244" s="10"/>
      <c r="AJK244" s="10"/>
      <c r="AJL244" s="21"/>
      <c r="AJM244" s="21"/>
      <c r="AJP244" s="21"/>
      <c r="AJQ244" s="15"/>
      <c r="AJR244" s="15"/>
      <c r="AJS244" s="15"/>
      <c r="AJT244" s="15"/>
      <c r="AJU244" s="15"/>
      <c r="AJV244" s="15"/>
      <c r="AJW244" s="15"/>
      <c r="AJX244" s="15"/>
      <c r="AJY244" s="15"/>
      <c r="AJZ244" s="15"/>
      <c r="AKA244" s="10"/>
      <c r="AKB244" s="10"/>
      <c r="AKC244" s="21"/>
      <c r="AKD244" s="21"/>
      <c r="AKG244" s="21"/>
      <c r="AKH244" s="15"/>
      <c r="AKI244" s="15"/>
      <c r="AKJ244" s="15"/>
      <c r="AKK244" s="15"/>
      <c r="AKL244" s="15"/>
      <c r="AKM244" s="15"/>
      <c r="AKN244" s="15"/>
      <c r="AKO244" s="15"/>
      <c r="AKP244" s="15"/>
      <c r="AKQ244" s="15"/>
      <c r="AKR244" s="10"/>
      <c r="AKS244" s="10"/>
      <c r="AKT244" s="21"/>
      <c r="AKU244" s="21"/>
      <c r="AKX244" s="21"/>
      <c r="AKY244" s="15"/>
      <c r="AKZ244" s="15"/>
      <c r="ALA244" s="15"/>
      <c r="ALB244" s="15"/>
      <c r="ALC244" s="15"/>
      <c r="ALD244" s="15"/>
      <c r="ALE244" s="15"/>
      <c r="ALF244" s="15"/>
      <c r="ALG244" s="15"/>
      <c r="ALH244" s="15"/>
      <c r="ALI244" s="10"/>
      <c r="ALJ244" s="10"/>
      <c r="ALK244" s="21"/>
      <c r="ALL244" s="21"/>
      <c r="ALO244" s="21"/>
      <c r="ALP244" s="15"/>
      <c r="ALQ244" s="15"/>
      <c r="ALR244" s="15"/>
      <c r="ALS244" s="15"/>
      <c r="ALT244" s="15"/>
      <c r="ALU244" s="15"/>
      <c r="ALV244" s="15"/>
      <c r="ALW244" s="15"/>
      <c r="ALX244" s="15"/>
      <c r="ALY244" s="15"/>
      <c r="ALZ244" s="10"/>
      <c r="AMA244" s="10"/>
      <c r="AMB244" s="21"/>
      <c r="AMC244" s="21"/>
      <c r="AMF244" s="21"/>
      <c r="AMG244" s="15"/>
      <c r="AMH244" s="15"/>
      <c r="AMI244" s="15"/>
      <c r="AMJ244" s="15"/>
      <c r="AMK244" s="15"/>
      <c r="AML244" s="15"/>
      <c r="AMM244" s="15"/>
      <c r="AMN244" s="15"/>
      <c r="AMO244" s="15"/>
      <c r="AMP244" s="15"/>
      <c r="AMQ244" s="10"/>
      <c r="AMR244" s="10"/>
      <c r="AMS244" s="21"/>
      <c r="AMT244" s="21"/>
      <c r="AMW244" s="21"/>
      <c r="AMX244" s="15"/>
      <c r="AMY244" s="15"/>
      <c r="AMZ244" s="15"/>
      <c r="ANA244" s="15"/>
      <c r="ANB244" s="15"/>
      <c r="ANC244" s="15"/>
      <c r="AND244" s="15"/>
      <c r="ANE244" s="15"/>
      <c r="ANF244" s="15"/>
      <c r="ANG244" s="15"/>
      <c r="ANH244" s="10"/>
      <c r="ANI244" s="10"/>
      <c r="ANJ244" s="21"/>
      <c r="ANK244" s="21"/>
      <c r="ANN244" s="21"/>
      <c r="ANO244" s="15"/>
      <c r="ANP244" s="15"/>
      <c r="ANQ244" s="15"/>
      <c r="ANR244" s="15"/>
      <c r="ANS244" s="15"/>
      <c r="ANT244" s="15"/>
      <c r="ANU244" s="15"/>
      <c r="ANV244" s="15"/>
      <c r="ANW244" s="15"/>
      <c r="ANX244" s="15"/>
      <c r="ANY244" s="10"/>
      <c r="ANZ244" s="10"/>
      <c r="AOA244" s="21"/>
      <c r="AOB244" s="21"/>
      <c r="AOE244" s="21"/>
      <c r="AOF244" s="15"/>
      <c r="AOG244" s="15"/>
      <c r="AOH244" s="15"/>
      <c r="AOI244" s="15"/>
      <c r="AOJ244" s="15"/>
      <c r="AOK244" s="15"/>
      <c r="AOL244" s="15"/>
      <c r="AOM244" s="15"/>
      <c r="AON244" s="15"/>
      <c r="AOO244" s="15"/>
      <c r="AOP244" s="10"/>
      <c r="AOQ244" s="10"/>
      <c r="AOR244" s="21"/>
      <c r="AOS244" s="21"/>
      <c r="AOV244" s="21"/>
      <c r="AOW244" s="15"/>
      <c r="AOX244" s="15"/>
      <c r="AOY244" s="15"/>
      <c r="AOZ244" s="15"/>
      <c r="APA244" s="15"/>
      <c r="APB244" s="15"/>
      <c r="APC244" s="15"/>
      <c r="APD244" s="15"/>
      <c r="APE244" s="15"/>
      <c r="APF244" s="15"/>
      <c r="APG244" s="10"/>
      <c r="APH244" s="10"/>
      <c r="API244" s="21"/>
      <c r="APJ244" s="21"/>
      <c r="APM244" s="21"/>
      <c r="APN244" s="15"/>
      <c r="APO244" s="15"/>
      <c r="APP244" s="15"/>
      <c r="APQ244" s="15"/>
      <c r="APR244" s="15"/>
      <c r="APS244" s="15"/>
      <c r="APT244" s="15"/>
      <c r="APU244" s="15"/>
      <c r="APV244" s="15"/>
      <c r="APW244" s="15"/>
      <c r="APX244" s="10"/>
      <c r="APY244" s="10"/>
      <c r="APZ244" s="21"/>
      <c r="AQA244" s="21"/>
      <c r="AQD244" s="21"/>
      <c r="AQE244" s="15"/>
      <c r="AQF244" s="15"/>
      <c r="AQG244" s="15"/>
      <c r="AQH244" s="15"/>
      <c r="AQI244" s="15"/>
      <c r="AQJ244" s="15"/>
      <c r="AQK244" s="15"/>
      <c r="AQL244" s="15"/>
      <c r="AQM244" s="15"/>
      <c r="AQN244" s="15"/>
      <c r="AQO244" s="10"/>
      <c r="AQP244" s="10"/>
      <c r="AQQ244" s="21"/>
      <c r="AQR244" s="21"/>
      <c r="AQU244" s="21"/>
      <c r="AQV244" s="15"/>
      <c r="AQW244" s="15"/>
      <c r="AQX244" s="15"/>
      <c r="AQY244" s="15"/>
      <c r="AQZ244" s="15"/>
      <c r="ARA244" s="15"/>
      <c r="ARB244" s="15"/>
      <c r="ARC244" s="15"/>
      <c r="ARD244" s="15"/>
      <c r="ARE244" s="15"/>
      <c r="ARF244" s="10"/>
      <c r="ARG244" s="10"/>
      <c r="ARH244" s="21"/>
      <c r="ARI244" s="21"/>
      <c r="ARL244" s="21"/>
      <c r="ARM244" s="15"/>
      <c r="ARN244" s="15"/>
      <c r="ARO244" s="15"/>
      <c r="ARP244" s="15"/>
      <c r="ARQ244" s="15"/>
      <c r="ARR244" s="15"/>
      <c r="ARS244" s="15"/>
      <c r="ART244" s="15"/>
      <c r="ARU244" s="15"/>
      <c r="ARV244" s="15"/>
      <c r="ARW244" s="10"/>
      <c r="ARX244" s="10"/>
      <c r="ARY244" s="21"/>
      <c r="ARZ244" s="21"/>
      <c r="ASC244" s="21"/>
      <c r="ASD244" s="15"/>
      <c r="ASE244" s="15"/>
      <c r="ASF244" s="15"/>
      <c r="ASG244" s="15"/>
      <c r="ASH244" s="15"/>
      <c r="ASI244" s="15"/>
      <c r="ASJ244" s="15"/>
      <c r="ASK244" s="15"/>
      <c r="ASL244" s="15"/>
      <c r="ASM244" s="15"/>
      <c r="ASN244" s="10"/>
      <c r="ASO244" s="10"/>
      <c r="ASP244" s="21"/>
      <c r="ASQ244" s="21"/>
      <c r="AST244" s="21"/>
      <c r="ASU244" s="15"/>
      <c r="ASV244" s="15"/>
      <c r="ASW244" s="15"/>
      <c r="ASX244" s="15"/>
      <c r="ASY244" s="15"/>
      <c r="ASZ244" s="15"/>
      <c r="ATA244" s="15"/>
      <c r="ATB244" s="15"/>
      <c r="ATC244" s="15"/>
      <c r="ATD244" s="15"/>
      <c r="ATE244" s="10"/>
      <c r="ATF244" s="10"/>
      <c r="ATG244" s="21"/>
      <c r="ATH244" s="21"/>
      <c r="ATK244" s="21"/>
      <c r="ATL244" s="15"/>
      <c r="ATM244" s="15"/>
      <c r="ATN244" s="15"/>
      <c r="ATO244" s="15"/>
      <c r="ATP244" s="15"/>
      <c r="ATQ244" s="15"/>
      <c r="ATR244" s="15"/>
      <c r="ATS244" s="15"/>
      <c r="ATT244" s="15"/>
      <c r="ATU244" s="15"/>
      <c r="ATV244" s="10"/>
      <c r="ATW244" s="10"/>
      <c r="ATX244" s="21"/>
      <c r="ATY244" s="21"/>
      <c r="AUB244" s="21"/>
      <c r="AUC244" s="15"/>
      <c r="AUD244" s="15"/>
      <c r="AUE244" s="15"/>
      <c r="AUF244" s="15"/>
      <c r="AUG244" s="15"/>
      <c r="AUH244" s="15"/>
      <c r="AUI244" s="15"/>
      <c r="AUJ244" s="15"/>
      <c r="AUK244" s="15"/>
      <c r="AUL244" s="15"/>
      <c r="AUM244" s="10"/>
      <c r="AUN244" s="10"/>
      <c r="AUO244" s="21"/>
      <c r="AUP244" s="21"/>
      <c r="AUS244" s="21"/>
      <c r="AUT244" s="15"/>
      <c r="AUU244" s="15"/>
      <c r="AUV244" s="15"/>
      <c r="AUW244" s="15"/>
      <c r="AUX244" s="15"/>
      <c r="AUY244" s="15"/>
      <c r="AUZ244" s="15"/>
      <c r="AVA244" s="15"/>
      <c r="AVB244" s="15"/>
      <c r="AVC244" s="15"/>
      <c r="AVD244" s="10"/>
      <c r="AVE244" s="10"/>
      <c r="AVF244" s="21"/>
      <c r="AVG244" s="21"/>
      <c r="AVJ244" s="21"/>
      <c r="AVK244" s="15"/>
      <c r="AVL244" s="15"/>
      <c r="AVM244" s="15"/>
      <c r="AVN244" s="15"/>
      <c r="AVO244" s="15"/>
      <c r="AVP244" s="15"/>
      <c r="AVQ244" s="15"/>
      <c r="AVR244" s="15"/>
      <c r="AVS244" s="15"/>
      <c r="AVT244" s="15"/>
      <c r="AVU244" s="10"/>
      <c r="AVV244" s="10"/>
      <c r="AVW244" s="21"/>
      <c r="AVX244" s="21"/>
      <c r="AWA244" s="21"/>
      <c r="AWB244" s="15"/>
      <c r="AWC244" s="15"/>
      <c r="AWD244" s="15"/>
      <c r="AWE244" s="15"/>
      <c r="AWF244" s="15"/>
      <c r="AWG244" s="15"/>
      <c r="AWH244" s="15"/>
      <c r="AWI244" s="15"/>
      <c r="AWJ244" s="15"/>
      <c r="AWK244" s="15"/>
      <c r="AWL244" s="10"/>
      <c r="AWM244" s="10"/>
      <c r="AWN244" s="21"/>
      <c r="AWO244" s="21"/>
      <c r="AWR244" s="21"/>
      <c r="AWS244" s="15"/>
      <c r="AWT244" s="15"/>
      <c r="AWU244" s="15"/>
      <c r="AWV244" s="15"/>
      <c r="AWW244" s="15"/>
      <c r="AWX244" s="15"/>
      <c r="AWY244" s="15"/>
      <c r="AWZ244" s="15"/>
      <c r="AXA244" s="15"/>
      <c r="AXB244" s="15"/>
      <c r="AXC244" s="10"/>
      <c r="AXD244" s="10"/>
      <c r="AXE244" s="21"/>
      <c r="AXF244" s="21"/>
      <c r="AXI244" s="21"/>
      <c r="AXJ244" s="15"/>
      <c r="AXK244" s="15"/>
      <c r="AXL244" s="15"/>
      <c r="AXM244" s="15"/>
      <c r="AXN244" s="15"/>
      <c r="AXO244" s="15"/>
      <c r="AXP244" s="15"/>
      <c r="AXQ244" s="15"/>
      <c r="AXR244" s="15"/>
      <c r="AXS244" s="15"/>
      <c r="AXT244" s="10"/>
      <c r="AXU244" s="10"/>
      <c r="AXV244" s="21"/>
      <c r="AXW244" s="21"/>
      <c r="AXZ244" s="21"/>
      <c r="AYA244" s="15"/>
      <c r="AYB244" s="15"/>
      <c r="AYC244" s="15"/>
      <c r="AYD244" s="15"/>
      <c r="AYE244" s="15"/>
      <c r="AYF244" s="15"/>
      <c r="AYG244" s="15"/>
      <c r="AYH244" s="15"/>
      <c r="AYI244" s="15"/>
      <c r="AYJ244" s="15"/>
      <c r="AYK244" s="10"/>
      <c r="AYL244" s="10"/>
      <c r="AYM244" s="21"/>
      <c r="AYN244" s="21"/>
      <c r="AYQ244" s="21"/>
      <c r="AYR244" s="15"/>
      <c r="AYS244" s="15"/>
      <c r="AYT244" s="15"/>
      <c r="AYU244" s="15"/>
      <c r="AYV244" s="15"/>
      <c r="AYW244" s="15"/>
      <c r="AYX244" s="15"/>
      <c r="AYY244" s="15"/>
      <c r="AYZ244" s="15"/>
      <c r="AZA244" s="15"/>
      <c r="AZB244" s="10"/>
      <c r="AZC244" s="10"/>
      <c r="AZD244" s="21"/>
      <c r="AZE244" s="21"/>
      <c r="AZH244" s="21"/>
      <c r="AZI244" s="15"/>
      <c r="AZJ244" s="15"/>
      <c r="AZK244" s="15"/>
      <c r="AZL244" s="15"/>
      <c r="AZM244" s="15"/>
      <c r="AZN244" s="15"/>
      <c r="AZO244" s="15"/>
      <c r="AZP244" s="15"/>
      <c r="AZQ244" s="15"/>
      <c r="AZR244" s="15"/>
      <c r="AZS244" s="10"/>
      <c r="AZT244" s="10"/>
      <c r="AZU244" s="21"/>
      <c r="AZV244" s="21"/>
      <c r="AZY244" s="21"/>
      <c r="AZZ244" s="15"/>
      <c r="BAA244" s="15"/>
      <c r="BAB244" s="15"/>
      <c r="BAC244" s="15"/>
      <c r="BAD244" s="15"/>
      <c r="BAE244" s="15"/>
      <c r="BAF244" s="15"/>
      <c r="BAG244" s="15"/>
      <c r="BAH244" s="15"/>
      <c r="BAI244" s="15"/>
      <c r="BAJ244" s="10"/>
      <c r="BAK244" s="10"/>
      <c r="BAL244" s="21"/>
      <c r="BAM244" s="21"/>
      <c r="BAP244" s="21"/>
      <c r="BAQ244" s="15"/>
      <c r="BAR244" s="15"/>
      <c r="BAS244" s="15"/>
      <c r="BAT244" s="15"/>
      <c r="BAU244" s="15"/>
      <c r="BAV244" s="15"/>
      <c r="BAW244" s="15"/>
      <c r="BAX244" s="15"/>
      <c r="BAY244" s="15"/>
      <c r="BAZ244" s="15"/>
      <c r="BBA244" s="10"/>
      <c r="BBB244" s="10"/>
      <c r="BBC244" s="21"/>
      <c r="BBD244" s="21"/>
      <c r="BBG244" s="21"/>
      <c r="BBH244" s="15"/>
      <c r="BBI244" s="15"/>
      <c r="BBJ244" s="15"/>
      <c r="BBK244" s="15"/>
      <c r="BBL244" s="15"/>
      <c r="BBM244" s="15"/>
      <c r="BBN244" s="15"/>
      <c r="BBO244" s="15"/>
      <c r="BBP244" s="15"/>
      <c r="BBQ244" s="15"/>
      <c r="BBR244" s="10"/>
      <c r="BBS244" s="10"/>
      <c r="BBT244" s="21"/>
      <c r="BBU244" s="21"/>
      <c r="BBX244" s="21"/>
      <c r="BBY244" s="15"/>
      <c r="BBZ244" s="15"/>
      <c r="BCA244" s="15"/>
      <c r="BCB244" s="15"/>
      <c r="BCC244" s="15"/>
      <c r="BCD244" s="15"/>
      <c r="BCE244" s="15"/>
      <c r="BCF244" s="15"/>
      <c r="BCG244" s="15"/>
      <c r="BCH244" s="15"/>
      <c r="BCI244" s="10"/>
      <c r="BCJ244" s="10"/>
      <c r="BCK244" s="21"/>
      <c r="BCL244" s="21"/>
      <c r="BCO244" s="21"/>
      <c r="BCP244" s="15"/>
      <c r="BCQ244" s="15"/>
      <c r="BCR244" s="15"/>
      <c r="BCS244" s="15"/>
      <c r="BCT244" s="15"/>
      <c r="BCU244" s="15"/>
      <c r="BCV244" s="15"/>
      <c r="BCW244" s="15"/>
      <c r="BCX244" s="15"/>
      <c r="BCY244" s="15"/>
      <c r="BCZ244" s="10"/>
      <c r="BDA244" s="10"/>
      <c r="BDB244" s="21"/>
      <c r="BDC244" s="21"/>
      <c r="BDF244" s="21"/>
      <c r="BDG244" s="15"/>
      <c r="BDH244" s="15"/>
      <c r="BDI244" s="15"/>
      <c r="BDJ244" s="15"/>
      <c r="BDK244" s="15"/>
      <c r="BDL244" s="15"/>
      <c r="BDM244" s="15"/>
      <c r="BDN244" s="15"/>
      <c r="BDO244" s="15"/>
      <c r="BDP244" s="15"/>
      <c r="BDQ244" s="10"/>
      <c r="BDR244" s="10"/>
      <c r="BDS244" s="21"/>
      <c r="BDT244" s="21"/>
      <c r="BDW244" s="21"/>
      <c r="BDX244" s="15"/>
      <c r="BDY244" s="15"/>
      <c r="BDZ244" s="15"/>
      <c r="BEA244" s="15"/>
      <c r="BEB244" s="15"/>
      <c r="BEC244" s="15"/>
      <c r="BED244" s="15"/>
      <c r="BEE244" s="15"/>
      <c r="BEF244" s="15"/>
      <c r="BEG244" s="15"/>
      <c r="BEH244" s="10"/>
      <c r="BEI244" s="10"/>
      <c r="BEJ244" s="21"/>
      <c r="BEK244" s="21"/>
      <c r="BEN244" s="21"/>
      <c r="BEO244" s="15"/>
      <c r="BEP244" s="15"/>
      <c r="BEQ244" s="15"/>
      <c r="BER244" s="15"/>
      <c r="BES244" s="15"/>
      <c r="BET244" s="15"/>
      <c r="BEU244" s="15"/>
      <c r="BEV244" s="15"/>
      <c r="BEW244" s="15"/>
      <c r="BEX244" s="15"/>
      <c r="BEY244" s="10"/>
      <c r="BEZ244" s="10"/>
      <c r="BFA244" s="21"/>
      <c r="BFB244" s="21"/>
      <c r="BFE244" s="21"/>
      <c r="BFF244" s="15"/>
      <c r="BFG244" s="15"/>
      <c r="BFH244" s="15"/>
      <c r="BFI244" s="15"/>
      <c r="BFJ244" s="15"/>
      <c r="BFK244" s="15"/>
      <c r="BFL244" s="15"/>
      <c r="BFM244" s="15"/>
      <c r="BFN244" s="15"/>
      <c r="BFO244" s="15"/>
      <c r="BFP244" s="10"/>
      <c r="BFQ244" s="10"/>
      <c r="BFR244" s="21"/>
      <c r="BFS244" s="21"/>
      <c r="BFV244" s="21"/>
      <c r="BFW244" s="15"/>
      <c r="BFX244" s="15"/>
      <c r="BFY244" s="15"/>
      <c r="BFZ244" s="15"/>
      <c r="BGA244" s="15"/>
      <c r="BGB244" s="15"/>
      <c r="BGC244" s="15"/>
      <c r="BGD244" s="15"/>
      <c r="BGE244" s="15"/>
      <c r="BGF244" s="15"/>
      <c r="BGG244" s="10"/>
      <c r="BGH244" s="10"/>
      <c r="BGI244" s="21"/>
      <c r="BGJ244" s="21"/>
      <c r="BGM244" s="21"/>
      <c r="BGN244" s="15"/>
      <c r="BGO244" s="15"/>
      <c r="BGP244" s="15"/>
      <c r="BGQ244" s="15"/>
      <c r="BGR244" s="15"/>
      <c r="BGS244" s="15"/>
      <c r="BGT244" s="15"/>
      <c r="BGU244" s="15"/>
      <c r="BGV244" s="15"/>
      <c r="BGW244" s="15"/>
      <c r="BGX244" s="10"/>
      <c r="BGY244" s="10"/>
      <c r="BGZ244" s="21"/>
      <c r="BHA244" s="21"/>
      <c r="BHD244" s="21"/>
      <c r="BHE244" s="15"/>
      <c r="BHF244" s="15"/>
      <c r="BHG244" s="15"/>
      <c r="BHH244" s="15"/>
      <c r="BHI244" s="15"/>
      <c r="BHJ244" s="15"/>
      <c r="BHK244" s="15"/>
      <c r="BHL244" s="15"/>
      <c r="BHM244" s="15"/>
      <c r="BHN244" s="15"/>
      <c r="BHO244" s="10"/>
      <c r="BHP244" s="10"/>
      <c r="BHQ244" s="21"/>
      <c r="BHR244" s="21"/>
      <c r="BHU244" s="21"/>
      <c r="BHV244" s="15"/>
      <c r="BHW244" s="15"/>
      <c r="BHX244" s="15"/>
      <c r="BHY244" s="15"/>
      <c r="BHZ244" s="15"/>
      <c r="BIA244" s="15"/>
      <c r="BIB244" s="15"/>
      <c r="BIC244" s="15"/>
      <c r="BID244" s="15"/>
      <c r="BIE244" s="15"/>
      <c r="BIF244" s="10"/>
      <c r="BIG244" s="10"/>
      <c r="BIH244" s="21"/>
      <c r="BII244" s="21"/>
      <c r="BIL244" s="21"/>
      <c r="BIM244" s="15"/>
      <c r="BIN244" s="15"/>
      <c r="BIO244" s="15"/>
      <c r="BIP244" s="15"/>
      <c r="BIQ244" s="15"/>
      <c r="BIR244" s="15"/>
      <c r="BIS244" s="15"/>
      <c r="BIT244" s="15"/>
      <c r="BIU244" s="15"/>
      <c r="BIV244" s="15"/>
      <c r="BIW244" s="10"/>
      <c r="BIX244" s="10"/>
      <c r="BIY244" s="21"/>
      <c r="BIZ244" s="21"/>
      <c r="BJC244" s="21"/>
      <c r="BJD244" s="15"/>
      <c r="BJE244" s="15"/>
      <c r="BJF244" s="15"/>
      <c r="BJG244" s="15"/>
      <c r="BJH244" s="15"/>
      <c r="BJI244" s="15"/>
      <c r="BJJ244" s="15"/>
      <c r="BJK244" s="15"/>
      <c r="BJL244" s="15"/>
      <c r="BJM244" s="15"/>
      <c r="BJN244" s="10"/>
      <c r="BJO244" s="10"/>
      <c r="BJP244" s="21"/>
      <c r="BJQ244" s="21"/>
      <c r="BJT244" s="21"/>
      <c r="BJU244" s="15"/>
      <c r="BJV244" s="15"/>
      <c r="BJW244" s="15"/>
      <c r="BJX244" s="15"/>
      <c r="BJY244" s="15"/>
      <c r="BJZ244" s="15"/>
      <c r="BKA244" s="15"/>
      <c r="BKB244" s="15"/>
      <c r="BKC244" s="15"/>
      <c r="BKD244" s="15"/>
      <c r="BKE244" s="10"/>
      <c r="BKF244" s="10"/>
      <c r="BKG244" s="21"/>
      <c r="BKH244" s="21"/>
      <c r="BKK244" s="21"/>
      <c r="BKL244" s="15"/>
      <c r="BKM244" s="15"/>
      <c r="BKN244" s="15"/>
      <c r="BKO244" s="15"/>
      <c r="BKP244" s="15"/>
      <c r="BKQ244" s="15"/>
      <c r="BKR244" s="15"/>
      <c r="BKS244" s="15"/>
      <c r="BKT244" s="15"/>
      <c r="BKU244" s="15"/>
      <c r="BKV244" s="10"/>
      <c r="BKW244" s="10"/>
      <c r="BKX244" s="21"/>
      <c r="BKY244" s="21"/>
      <c r="BLB244" s="21"/>
      <c r="BLC244" s="15"/>
      <c r="BLD244" s="15"/>
      <c r="BLE244" s="15"/>
      <c r="BLF244" s="15"/>
      <c r="BLG244" s="15"/>
      <c r="BLH244" s="15"/>
      <c r="BLI244" s="15"/>
      <c r="BLJ244" s="15"/>
      <c r="BLK244" s="15"/>
      <c r="BLL244" s="15"/>
      <c r="BLM244" s="10"/>
      <c r="BLN244" s="10"/>
      <c r="BLO244" s="21"/>
      <c r="BLP244" s="21"/>
      <c r="BLS244" s="21"/>
      <c r="BLT244" s="15"/>
      <c r="BLU244" s="15"/>
      <c r="BLV244" s="15"/>
      <c r="BLW244" s="15"/>
      <c r="BLX244" s="15"/>
      <c r="BLY244" s="15"/>
      <c r="BLZ244" s="15"/>
      <c r="BMA244" s="15"/>
      <c r="BMB244" s="15"/>
      <c r="BMC244" s="15"/>
      <c r="BMD244" s="10"/>
      <c r="BME244" s="10"/>
      <c r="BMF244" s="21"/>
      <c r="BMG244" s="21"/>
      <c r="BMJ244" s="21"/>
      <c r="BMK244" s="15"/>
      <c r="BML244" s="15"/>
      <c r="BMM244" s="15"/>
      <c r="BMN244" s="15"/>
      <c r="BMO244" s="15"/>
      <c r="BMP244" s="15"/>
      <c r="BMQ244" s="15"/>
      <c r="BMR244" s="15"/>
      <c r="BMS244" s="15"/>
      <c r="BMT244" s="15"/>
      <c r="BMU244" s="10"/>
      <c r="BMV244" s="10"/>
      <c r="BMW244" s="21"/>
      <c r="BMX244" s="21"/>
      <c r="BNA244" s="21"/>
      <c r="BNB244" s="15"/>
      <c r="BNC244" s="15"/>
      <c r="BND244" s="15"/>
      <c r="BNE244" s="15"/>
      <c r="BNF244" s="15"/>
      <c r="BNG244" s="15"/>
      <c r="BNH244" s="15"/>
      <c r="BNI244" s="15"/>
      <c r="BNJ244" s="15"/>
      <c r="BNK244" s="15"/>
      <c r="BNL244" s="10"/>
      <c r="BNM244" s="10"/>
      <c r="BNN244" s="21"/>
      <c r="BNO244" s="21"/>
      <c r="BNR244" s="21"/>
      <c r="BNS244" s="15"/>
      <c r="BNT244" s="15"/>
      <c r="BNU244" s="15"/>
      <c r="BNV244" s="15"/>
      <c r="BNW244" s="15"/>
      <c r="BNX244" s="15"/>
      <c r="BNY244" s="15"/>
      <c r="BNZ244" s="15"/>
      <c r="BOA244" s="15"/>
      <c r="BOB244" s="15"/>
      <c r="BOC244" s="10"/>
      <c r="BOD244" s="10"/>
      <c r="BOE244" s="21"/>
      <c r="BOF244" s="21"/>
      <c r="BOI244" s="21"/>
      <c r="BOJ244" s="15"/>
      <c r="BOK244" s="15"/>
      <c r="BOL244" s="15"/>
      <c r="BOM244" s="15"/>
      <c r="BON244" s="15"/>
      <c r="BOO244" s="15"/>
      <c r="BOP244" s="15"/>
      <c r="BOQ244" s="15"/>
      <c r="BOR244" s="15"/>
      <c r="BOS244" s="15"/>
      <c r="BOT244" s="10"/>
      <c r="BOU244" s="10"/>
      <c r="BOV244" s="21"/>
      <c r="BOW244" s="21"/>
      <c r="BOZ244" s="21"/>
      <c r="BPA244" s="15"/>
      <c r="BPB244" s="15"/>
      <c r="BPC244" s="15"/>
      <c r="BPD244" s="15"/>
      <c r="BPE244" s="15"/>
      <c r="BPF244" s="15"/>
      <c r="BPG244" s="15"/>
      <c r="BPH244" s="15"/>
      <c r="BPI244" s="15"/>
      <c r="BPJ244" s="15"/>
      <c r="BPK244" s="10"/>
      <c r="BPL244" s="10"/>
      <c r="BPM244" s="21"/>
      <c r="BPN244" s="21"/>
      <c r="BPQ244" s="21"/>
      <c r="BPR244" s="15"/>
      <c r="BPS244" s="15"/>
      <c r="BPT244" s="15"/>
      <c r="BPU244" s="15"/>
      <c r="BPV244" s="15"/>
      <c r="BPW244" s="15"/>
      <c r="BPX244" s="15"/>
      <c r="BPY244" s="15"/>
      <c r="BPZ244" s="15"/>
      <c r="BQA244" s="15"/>
      <c r="BQB244" s="10"/>
      <c r="BQC244" s="10"/>
      <c r="BQD244" s="21"/>
      <c r="BQE244" s="21"/>
      <c r="BQH244" s="21"/>
      <c r="BQI244" s="15"/>
      <c r="BQJ244" s="15"/>
      <c r="BQK244" s="15"/>
      <c r="BQL244" s="15"/>
      <c r="BQM244" s="15"/>
      <c r="BQN244" s="15"/>
      <c r="BQO244" s="15"/>
      <c r="BQP244" s="15"/>
      <c r="BQQ244" s="15"/>
      <c r="BQR244" s="15"/>
      <c r="BQS244" s="10"/>
      <c r="BQT244" s="10"/>
      <c r="BQU244" s="21"/>
      <c r="BQV244" s="21"/>
      <c r="BQY244" s="21"/>
      <c r="BQZ244" s="15"/>
      <c r="BRA244" s="15"/>
      <c r="BRB244" s="15"/>
      <c r="BRC244" s="15"/>
      <c r="BRD244" s="15"/>
      <c r="BRE244" s="15"/>
      <c r="BRF244" s="15"/>
      <c r="BRG244" s="15"/>
      <c r="BRH244" s="15"/>
      <c r="BRI244" s="15"/>
      <c r="BRJ244" s="10"/>
      <c r="BRK244" s="10"/>
      <c r="BRL244" s="21"/>
      <c r="BRM244" s="21"/>
      <c r="BRP244" s="21"/>
      <c r="BRQ244" s="15"/>
      <c r="BRR244" s="15"/>
      <c r="BRS244" s="15"/>
      <c r="BRT244" s="15"/>
      <c r="BRU244" s="15"/>
      <c r="BRV244" s="15"/>
      <c r="BRW244" s="15"/>
      <c r="BRX244" s="15"/>
      <c r="BRY244" s="15"/>
      <c r="BRZ244" s="15"/>
      <c r="BSA244" s="10"/>
      <c r="BSB244" s="10"/>
      <c r="BSC244" s="21"/>
      <c r="BSD244" s="21"/>
      <c r="BSG244" s="21"/>
      <c r="BSH244" s="15"/>
      <c r="BSI244" s="15"/>
      <c r="BSJ244" s="15"/>
      <c r="BSK244" s="15"/>
      <c r="BSL244" s="15"/>
      <c r="BSM244" s="15"/>
      <c r="BSN244" s="15"/>
      <c r="BSO244" s="15"/>
      <c r="BSP244" s="15"/>
      <c r="BSQ244" s="15"/>
      <c r="BSR244" s="10"/>
      <c r="BSS244" s="10"/>
      <c r="BST244" s="21"/>
      <c r="BSU244" s="21"/>
      <c r="BSX244" s="21"/>
      <c r="BSY244" s="15"/>
      <c r="BSZ244" s="15"/>
      <c r="BTA244" s="15"/>
      <c r="BTB244" s="15"/>
      <c r="BTC244" s="15"/>
      <c r="BTD244" s="15"/>
      <c r="BTE244" s="15"/>
      <c r="BTF244" s="15"/>
      <c r="BTG244" s="15"/>
      <c r="BTH244" s="15"/>
      <c r="BTI244" s="10"/>
      <c r="BTJ244" s="10"/>
      <c r="BTK244" s="21"/>
      <c r="BTL244" s="21"/>
      <c r="BTO244" s="21"/>
      <c r="BTP244" s="15"/>
      <c r="BTQ244" s="15"/>
      <c r="BTR244" s="15"/>
      <c r="BTS244" s="15"/>
      <c r="BTT244" s="15"/>
      <c r="BTU244" s="15"/>
      <c r="BTV244" s="15"/>
      <c r="BTW244" s="15"/>
      <c r="BTX244" s="15"/>
      <c r="BTY244" s="15"/>
      <c r="BTZ244" s="10"/>
      <c r="BUA244" s="10"/>
      <c r="BUB244" s="21"/>
      <c r="BUC244" s="21"/>
      <c r="BUF244" s="21"/>
      <c r="BUG244" s="15"/>
      <c r="BUH244" s="15"/>
      <c r="BUI244" s="15"/>
      <c r="BUJ244" s="15"/>
      <c r="BUK244" s="15"/>
      <c r="BUL244" s="15"/>
      <c r="BUM244" s="15"/>
      <c r="BUN244" s="15"/>
      <c r="BUO244" s="15"/>
      <c r="BUP244" s="15"/>
      <c r="BUQ244" s="10"/>
      <c r="BUR244" s="10"/>
      <c r="BUS244" s="21"/>
      <c r="BUT244" s="21"/>
      <c r="BUW244" s="21"/>
      <c r="BUX244" s="15"/>
      <c r="BUY244" s="15"/>
      <c r="BUZ244" s="15"/>
      <c r="BVA244" s="15"/>
      <c r="BVB244" s="15"/>
      <c r="BVC244" s="15"/>
      <c r="BVD244" s="15"/>
      <c r="BVE244" s="15"/>
      <c r="BVF244" s="15"/>
      <c r="BVG244" s="15"/>
      <c r="BVH244" s="10"/>
      <c r="BVI244" s="10"/>
      <c r="BVJ244" s="21"/>
      <c r="BVK244" s="21"/>
      <c r="BVN244" s="21"/>
      <c r="BVO244" s="15"/>
      <c r="BVP244" s="15"/>
      <c r="BVQ244" s="15"/>
      <c r="BVR244" s="15"/>
      <c r="BVS244" s="15"/>
      <c r="BVT244" s="15"/>
      <c r="BVU244" s="15"/>
      <c r="BVV244" s="15"/>
      <c r="BVW244" s="15"/>
      <c r="BVX244" s="15"/>
      <c r="BVY244" s="10"/>
      <c r="BVZ244" s="10"/>
      <c r="BWA244" s="21"/>
      <c r="BWB244" s="21"/>
      <c r="BWE244" s="21"/>
      <c r="BWF244" s="15"/>
      <c r="BWG244" s="15"/>
      <c r="BWH244" s="15"/>
      <c r="BWI244" s="15"/>
      <c r="BWJ244" s="15"/>
      <c r="BWK244" s="15"/>
      <c r="BWL244" s="15"/>
      <c r="BWM244" s="15"/>
      <c r="BWN244" s="15"/>
      <c r="BWO244" s="15"/>
      <c r="BWP244" s="10"/>
      <c r="BWQ244" s="10"/>
      <c r="BWR244" s="21"/>
      <c r="BWS244" s="21"/>
      <c r="BWV244" s="21"/>
      <c r="BWW244" s="15"/>
      <c r="BWX244" s="15"/>
      <c r="BWY244" s="15"/>
      <c r="BWZ244" s="15"/>
      <c r="BXA244" s="15"/>
      <c r="BXB244" s="15"/>
      <c r="BXC244" s="15"/>
      <c r="BXD244" s="15"/>
      <c r="BXE244" s="15"/>
      <c r="BXF244" s="15"/>
      <c r="BXG244" s="10"/>
      <c r="BXH244" s="10"/>
      <c r="BXI244" s="21"/>
      <c r="BXJ244" s="21"/>
      <c r="BXM244" s="21"/>
      <c r="BXN244" s="15"/>
      <c r="BXO244" s="15"/>
      <c r="BXP244" s="15"/>
      <c r="BXQ244" s="15"/>
      <c r="BXR244" s="15"/>
      <c r="BXS244" s="15"/>
      <c r="BXT244" s="15"/>
      <c r="BXU244" s="15"/>
      <c r="BXV244" s="15"/>
      <c r="BXW244" s="15"/>
      <c r="BXX244" s="10"/>
      <c r="BXY244" s="10"/>
      <c r="BXZ244" s="21"/>
      <c r="BYA244" s="21"/>
      <c r="BYD244" s="21"/>
      <c r="BYE244" s="15"/>
      <c r="BYF244" s="15"/>
      <c r="BYG244" s="15"/>
      <c r="BYH244" s="15"/>
      <c r="BYI244" s="15"/>
      <c r="BYJ244" s="15"/>
      <c r="BYK244" s="15"/>
      <c r="BYL244" s="15"/>
      <c r="BYM244" s="15"/>
      <c r="BYN244" s="15"/>
      <c r="BYO244" s="10"/>
      <c r="BYP244" s="10"/>
      <c r="BYQ244" s="21"/>
      <c r="BYR244" s="21"/>
      <c r="BYU244" s="21"/>
      <c r="BYV244" s="15"/>
      <c r="BYW244" s="15"/>
      <c r="BYX244" s="15"/>
      <c r="BYY244" s="15"/>
      <c r="BYZ244" s="15"/>
      <c r="BZA244" s="15"/>
      <c r="BZB244" s="15"/>
      <c r="BZC244" s="15"/>
      <c r="BZD244" s="15"/>
      <c r="BZE244" s="15"/>
      <c r="BZF244" s="10"/>
      <c r="BZG244" s="10"/>
      <c r="BZH244" s="21"/>
      <c r="BZI244" s="21"/>
      <c r="BZL244" s="21"/>
      <c r="BZM244" s="15"/>
      <c r="BZN244" s="15"/>
      <c r="BZO244" s="15"/>
      <c r="BZP244" s="15"/>
      <c r="BZQ244" s="15"/>
      <c r="BZR244" s="15"/>
      <c r="BZS244" s="15"/>
      <c r="BZT244" s="15"/>
      <c r="BZU244" s="15"/>
      <c r="BZV244" s="15"/>
      <c r="BZW244" s="10"/>
      <c r="BZX244" s="10"/>
      <c r="BZY244" s="21"/>
      <c r="BZZ244" s="21"/>
      <c r="CAC244" s="21"/>
      <c r="CAD244" s="15"/>
      <c r="CAE244" s="15"/>
      <c r="CAF244" s="15"/>
      <c r="CAG244" s="15"/>
      <c r="CAH244" s="15"/>
      <c r="CAI244" s="15"/>
      <c r="CAJ244" s="15"/>
      <c r="CAK244" s="15"/>
      <c r="CAL244" s="15"/>
      <c r="CAM244" s="15"/>
      <c r="CAN244" s="10"/>
      <c r="CAO244" s="10"/>
      <c r="CAP244" s="21"/>
      <c r="CAQ244" s="21"/>
      <c r="CAT244" s="21"/>
      <c r="CAU244" s="15"/>
      <c r="CAV244" s="15"/>
      <c r="CAW244" s="15"/>
      <c r="CAX244" s="15"/>
      <c r="CAY244" s="15"/>
      <c r="CAZ244" s="15"/>
      <c r="CBA244" s="15"/>
      <c r="CBB244" s="15"/>
      <c r="CBC244" s="15"/>
      <c r="CBD244" s="15"/>
      <c r="CBE244" s="10"/>
      <c r="CBF244" s="10"/>
      <c r="CBG244" s="21"/>
      <c r="CBH244" s="21"/>
      <c r="CBK244" s="21"/>
      <c r="CBL244" s="15"/>
      <c r="CBM244" s="15"/>
      <c r="CBN244" s="15"/>
      <c r="CBO244" s="15"/>
      <c r="CBP244" s="15"/>
      <c r="CBQ244" s="15"/>
      <c r="CBR244" s="15"/>
      <c r="CBS244" s="15"/>
      <c r="CBT244" s="15"/>
      <c r="CBU244" s="15"/>
      <c r="CBV244" s="10"/>
      <c r="CBW244" s="10"/>
      <c r="CBX244" s="21"/>
      <c r="CBY244" s="21"/>
      <c r="CCB244" s="21"/>
      <c r="CCC244" s="15"/>
      <c r="CCD244" s="15"/>
      <c r="CCE244" s="15"/>
      <c r="CCF244" s="15"/>
      <c r="CCG244" s="15"/>
      <c r="CCH244" s="15"/>
      <c r="CCI244" s="15"/>
      <c r="CCJ244" s="15"/>
      <c r="CCK244" s="15"/>
      <c r="CCL244" s="15"/>
      <c r="CCM244" s="10"/>
      <c r="CCN244" s="10"/>
      <c r="CCO244" s="21"/>
      <c r="CCP244" s="21"/>
      <c r="CCS244" s="21"/>
      <c r="CCT244" s="15"/>
      <c r="CCU244" s="15"/>
      <c r="CCV244" s="15"/>
      <c r="CCW244" s="15"/>
      <c r="CCX244" s="15"/>
      <c r="CCY244" s="15"/>
      <c r="CCZ244" s="15"/>
      <c r="CDA244" s="15"/>
      <c r="CDB244" s="15"/>
      <c r="CDC244" s="15"/>
      <c r="CDD244" s="10"/>
      <c r="CDE244" s="10"/>
      <c r="CDF244" s="21"/>
      <c r="CDG244" s="21"/>
      <c r="CDJ244" s="21"/>
      <c r="CDK244" s="15"/>
      <c r="CDL244" s="15"/>
      <c r="CDM244" s="15"/>
      <c r="CDN244" s="15"/>
      <c r="CDO244" s="15"/>
      <c r="CDP244" s="15"/>
      <c r="CDQ244" s="15"/>
      <c r="CDR244" s="15"/>
      <c r="CDS244" s="15"/>
      <c r="CDT244" s="15"/>
      <c r="CDU244" s="10"/>
      <c r="CDV244" s="10"/>
      <c r="CDW244" s="21"/>
      <c r="CDX244" s="21"/>
      <c r="CEA244" s="21"/>
      <c r="CEB244" s="15"/>
      <c r="CEC244" s="15"/>
      <c r="CED244" s="15"/>
      <c r="CEE244" s="15"/>
      <c r="CEF244" s="15"/>
      <c r="CEG244" s="15"/>
      <c r="CEH244" s="15"/>
      <c r="CEI244" s="15"/>
      <c r="CEJ244" s="15"/>
      <c r="CEK244" s="15"/>
      <c r="CEL244" s="10"/>
      <c r="CEM244" s="10"/>
      <c r="CEN244" s="21"/>
      <c r="CEO244" s="21"/>
      <c r="CER244" s="21"/>
      <c r="CES244" s="15"/>
      <c r="CET244" s="15"/>
      <c r="CEU244" s="15"/>
      <c r="CEV244" s="15"/>
      <c r="CEW244" s="15"/>
      <c r="CEX244" s="15"/>
      <c r="CEY244" s="15"/>
      <c r="CEZ244" s="15"/>
      <c r="CFA244" s="15"/>
      <c r="CFB244" s="15"/>
      <c r="CFC244" s="10"/>
      <c r="CFD244" s="10"/>
      <c r="CFE244" s="21"/>
      <c r="CFF244" s="21"/>
      <c r="CFI244" s="21"/>
      <c r="CFJ244" s="15"/>
      <c r="CFK244" s="15"/>
      <c r="CFL244" s="15"/>
      <c r="CFM244" s="15"/>
      <c r="CFN244" s="15"/>
      <c r="CFO244" s="15"/>
      <c r="CFP244" s="15"/>
      <c r="CFQ244" s="15"/>
      <c r="CFR244" s="15"/>
      <c r="CFS244" s="15"/>
      <c r="CFT244" s="10"/>
      <c r="CFU244" s="10"/>
      <c r="CFV244" s="21"/>
      <c r="CFW244" s="21"/>
      <c r="CFZ244" s="21"/>
      <c r="CGA244" s="15"/>
      <c r="CGB244" s="15"/>
      <c r="CGC244" s="15"/>
      <c r="CGD244" s="15"/>
      <c r="CGE244" s="15"/>
      <c r="CGF244" s="15"/>
      <c r="CGG244" s="15"/>
      <c r="CGH244" s="15"/>
      <c r="CGI244" s="15"/>
      <c r="CGJ244" s="15"/>
      <c r="CGK244" s="10"/>
      <c r="CGL244" s="10"/>
      <c r="CGM244" s="21"/>
      <c r="CGN244" s="21"/>
      <c r="CGQ244" s="21"/>
      <c r="CGR244" s="15"/>
      <c r="CGS244" s="15"/>
      <c r="CGT244" s="15"/>
      <c r="CGU244" s="15"/>
      <c r="CGV244" s="15"/>
      <c r="CGW244" s="15"/>
      <c r="CGX244" s="15"/>
      <c r="CGY244" s="15"/>
      <c r="CGZ244" s="15"/>
      <c r="CHA244" s="15"/>
      <c r="CHB244" s="10"/>
      <c r="CHC244" s="10"/>
      <c r="CHD244" s="21"/>
      <c r="CHE244" s="21"/>
      <c r="CHH244" s="21"/>
      <c r="CHI244" s="15"/>
      <c r="CHJ244" s="15"/>
      <c r="CHK244" s="15"/>
      <c r="CHL244" s="15"/>
      <c r="CHM244" s="15"/>
      <c r="CHN244" s="15"/>
      <c r="CHO244" s="15"/>
      <c r="CHP244" s="15"/>
      <c r="CHQ244" s="15"/>
      <c r="CHR244" s="15"/>
      <c r="CHS244" s="10"/>
      <c r="CHT244" s="10"/>
      <c r="CHU244" s="21"/>
      <c r="CHV244" s="21"/>
      <c r="CHY244" s="21"/>
      <c r="CHZ244" s="15"/>
      <c r="CIA244" s="15"/>
      <c r="CIB244" s="15"/>
      <c r="CIC244" s="15"/>
      <c r="CID244" s="15"/>
      <c r="CIE244" s="15"/>
      <c r="CIF244" s="15"/>
      <c r="CIG244" s="15"/>
      <c r="CIH244" s="15"/>
      <c r="CII244" s="15"/>
      <c r="CIJ244" s="10"/>
      <c r="CIK244" s="10"/>
      <c r="CIL244" s="21"/>
      <c r="CIM244" s="21"/>
      <c r="CIP244" s="21"/>
      <c r="CIQ244" s="15"/>
      <c r="CIR244" s="15"/>
      <c r="CIS244" s="15"/>
      <c r="CIT244" s="15"/>
      <c r="CIU244" s="15"/>
      <c r="CIV244" s="15"/>
      <c r="CIW244" s="15"/>
      <c r="CIX244" s="15"/>
      <c r="CIY244" s="15"/>
      <c r="CIZ244" s="15"/>
      <c r="CJA244" s="10"/>
      <c r="CJB244" s="10"/>
      <c r="CJC244" s="21"/>
      <c r="CJD244" s="21"/>
      <c r="CJG244" s="21"/>
      <c r="CJH244" s="15"/>
      <c r="CJI244" s="15"/>
      <c r="CJJ244" s="15"/>
      <c r="CJK244" s="15"/>
      <c r="CJL244" s="15"/>
      <c r="CJM244" s="15"/>
      <c r="CJN244" s="15"/>
      <c r="CJO244" s="15"/>
      <c r="CJP244" s="15"/>
      <c r="CJQ244" s="15"/>
      <c r="CJR244" s="10"/>
      <c r="CJS244" s="10"/>
      <c r="CJT244" s="21"/>
      <c r="CJU244" s="21"/>
      <c r="CJX244" s="21"/>
      <c r="CJY244" s="15"/>
      <c r="CJZ244" s="15"/>
      <c r="CKA244" s="15"/>
      <c r="CKB244" s="15"/>
      <c r="CKC244" s="15"/>
      <c r="CKD244" s="15"/>
      <c r="CKE244" s="15"/>
      <c r="CKF244" s="15"/>
      <c r="CKG244" s="15"/>
      <c r="CKH244" s="15"/>
      <c r="CKI244" s="10"/>
      <c r="CKJ244" s="10"/>
      <c r="CKK244" s="21"/>
      <c r="CKL244" s="21"/>
      <c r="CKO244" s="21"/>
      <c r="CKP244" s="15"/>
      <c r="CKQ244" s="15"/>
      <c r="CKR244" s="15"/>
      <c r="CKS244" s="15"/>
      <c r="CKT244" s="15"/>
      <c r="CKU244" s="15"/>
      <c r="CKV244" s="15"/>
      <c r="CKW244" s="15"/>
      <c r="CKX244" s="15"/>
      <c r="CKY244" s="15"/>
      <c r="CKZ244" s="10"/>
      <c r="CLA244" s="10"/>
      <c r="CLB244" s="21"/>
      <c r="CLC244" s="21"/>
      <c r="CLF244" s="21"/>
      <c r="CLG244" s="15"/>
      <c r="CLH244" s="15"/>
      <c r="CLI244" s="15"/>
      <c r="CLJ244" s="15"/>
      <c r="CLK244" s="15"/>
      <c r="CLL244" s="15"/>
      <c r="CLM244" s="15"/>
      <c r="CLN244" s="15"/>
      <c r="CLO244" s="15"/>
      <c r="CLP244" s="15"/>
      <c r="CLQ244" s="10"/>
      <c r="CLR244" s="10"/>
      <c r="CLS244" s="21"/>
      <c r="CLT244" s="21"/>
      <c r="CLW244" s="21"/>
      <c r="CLX244" s="15"/>
      <c r="CLY244" s="15"/>
      <c r="CLZ244" s="15"/>
      <c r="CMA244" s="15"/>
      <c r="CMB244" s="15"/>
      <c r="CMC244" s="15"/>
      <c r="CMD244" s="15"/>
      <c r="CME244" s="15"/>
      <c r="CMF244" s="15"/>
      <c r="CMG244" s="15"/>
      <c r="CMH244" s="10"/>
      <c r="CMI244" s="10"/>
      <c r="CMJ244" s="21"/>
      <c r="CMK244" s="21"/>
      <c r="CMN244" s="21"/>
      <c r="CMO244" s="15"/>
      <c r="CMP244" s="15"/>
      <c r="CMQ244" s="15"/>
      <c r="CMR244" s="15"/>
      <c r="CMS244" s="15"/>
      <c r="CMT244" s="15"/>
      <c r="CMU244" s="15"/>
      <c r="CMV244" s="15"/>
      <c r="CMW244" s="15"/>
      <c r="CMX244" s="15"/>
      <c r="CMY244" s="10"/>
      <c r="CMZ244" s="10"/>
      <c r="CNA244" s="21"/>
      <c r="CNB244" s="21"/>
      <c r="CNE244" s="21"/>
      <c r="CNF244" s="15"/>
      <c r="CNG244" s="15"/>
      <c r="CNH244" s="15"/>
      <c r="CNI244" s="15"/>
      <c r="CNJ244" s="15"/>
      <c r="CNK244" s="15"/>
      <c r="CNL244" s="15"/>
      <c r="CNM244" s="15"/>
      <c r="CNN244" s="15"/>
      <c r="CNO244" s="15"/>
      <c r="CNP244" s="10"/>
      <c r="CNQ244" s="10"/>
      <c r="CNR244" s="21"/>
      <c r="CNS244" s="21"/>
      <c r="CNV244" s="21"/>
      <c r="CNW244" s="15"/>
      <c r="CNX244" s="15"/>
      <c r="CNY244" s="15"/>
      <c r="CNZ244" s="15"/>
      <c r="COA244" s="15"/>
      <c r="COB244" s="15"/>
      <c r="COC244" s="15"/>
      <c r="COD244" s="15"/>
      <c r="COE244" s="15"/>
      <c r="COF244" s="15"/>
      <c r="COG244" s="10"/>
      <c r="COH244" s="10"/>
      <c r="COI244" s="21"/>
      <c r="COJ244" s="21"/>
      <c r="COM244" s="21"/>
      <c r="CON244" s="15"/>
      <c r="COO244" s="15"/>
      <c r="COP244" s="15"/>
      <c r="COQ244" s="15"/>
      <c r="COR244" s="15"/>
      <c r="COS244" s="15"/>
      <c r="COT244" s="15"/>
      <c r="COU244" s="15"/>
      <c r="COV244" s="15"/>
      <c r="COW244" s="15"/>
      <c r="COX244" s="10"/>
      <c r="COY244" s="10"/>
      <c r="COZ244" s="21"/>
      <c r="CPA244" s="21"/>
      <c r="CPD244" s="21"/>
      <c r="CPE244" s="15"/>
      <c r="CPF244" s="15"/>
      <c r="CPG244" s="15"/>
      <c r="CPH244" s="15"/>
      <c r="CPI244" s="15"/>
      <c r="CPJ244" s="15"/>
      <c r="CPK244" s="15"/>
      <c r="CPL244" s="15"/>
      <c r="CPM244" s="15"/>
      <c r="CPN244" s="15"/>
      <c r="CPO244" s="10"/>
      <c r="CPP244" s="10"/>
      <c r="CPQ244" s="21"/>
      <c r="CPR244" s="21"/>
      <c r="CPU244" s="21"/>
      <c r="CPV244" s="15"/>
      <c r="CPW244" s="15"/>
      <c r="CPX244" s="15"/>
      <c r="CPY244" s="15"/>
      <c r="CPZ244" s="15"/>
      <c r="CQA244" s="15"/>
      <c r="CQB244" s="15"/>
      <c r="CQC244" s="15"/>
      <c r="CQD244" s="15"/>
      <c r="CQE244" s="15"/>
      <c r="CQF244" s="10"/>
      <c r="CQG244" s="10"/>
      <c r="CQH244" s="21"/>
      <c r="CQI244" s="21"/>
      <c r="CQL244" s="21"/>
      <c r="CQM244" s="15"/>
      <c r="CQN244" s="15"/>
      <c r="CQO244" s="15"/>
      <c r="CQP244" s="15"/>
      <c r="CQQ244" s="15"/>
      <c r="CQR244" s="15"/>
      <c r="CQS244" s="15"/>
      <c r="CQT244" s="15"/>
      <c r="CQU244" s="15"/>
      <c r="CQV244" s="15"/>
      <c r="CQW244" s="10"/>
      <c r="CQX244" s="10"/>
      <c r="CQY244" s="21"/>
      <c r="CQZ244" s="21"/>
      <c r="CRC244" s="21"/>
      <c r="CRD244" s="15"/>
      <c r="CRE244" s="15"/>
      <c r="CRF244" s="15"/>
      <c r="CRG244" s="15"/>
      <c r="CRH244" s="15"/>
      <c r="CRI244" s="15"/>
      <c r="CRJ244" s="15"/>
      <c r="CRK244" s="15"/>
      <c r="CRL244" s="15"/>
      <c r="CRM244" s="15"/>
      <c r="CRN244" s="10"/>
      <c r="CRO244" s="10"/>
      <c r="CRP244" s="21"/>
      <c r="CRQ244" s="21"/>
      <c r="CRT244" s="21"/>
      <c r="CRU244" s="15"/>
      <c r="CRV244" s="15"/>
      <c r="CRW244" s="15"/>
      <c r="CRX244" s="15"/>
      <c r="CRY244" s="15"/>
      <c r="CRZ244" s="15"/>
      <c r="CSA244" s="15"/>
      <c r="CSB244" s="15"/>
      <c r="CSC244" s="15"/>
      <c r="CSD244" s="15"/>
      <c r="CSE244" s="10"/>
      <c r="CSF244" s="10"/>
      <c r="CSG244" s="21"/>
      <c r="CSH244" s="21"/>
      <c r="CSK244" s="21"/>
      <c r="CSL244" s="15"/>
      <c r="CSM244" s="15"/>
      <c r="CSN244" s="15"/>
      <c r="CSO244" s="15"/>
      <c r="CSP244" s="15"/>
      <c r="CSQ244" s="15"/>
      <c r="CSR244" s="15"/>
      <c r="CSS244" s="15"/>
      <c r="CST244" s="15"/>
      <c r="CSU244" s="15"/>
      <c r="CSV244" s="10"/>
      <c r="CSW244" s="10"/>
      <c r="CSX244" s="21"/>
      <c r="CSY244" s="21"/>
      <c r="CTB244" s="21"/>
      <c r="CTC244" s="15"/>
      <c r="CTD244" s="15"/>
      <c r="CTE244" s="15"/>
      <c r="CTF244" s="15"/>
      <c r="CTG244" s="15"/>
      <c r="CTH244" s="15"/>
      <c r="CTI244" s="15"/>
      <c r="CTJ244" s="15"/>
      <c r="CTK244" s="15"/>
      <c r="CTL244" s="15"/>
      <c r="CTM244" s="10"/>
      <c r="CTN244" s="10"/>
      <c r="CTO244" s="21"/>
      <c r="CTP244" s="21"/>
      <c r="CTS244" s="21"/>
      <c r="CTT244" s="15"/>
      <c r="CTU244" s="15"/>
      <c r="CTV244" s="15"/>
      <c r="CTW244" s="15"/>
      <c r="CTX244" s="15"/>
      <c r="CTY244" s="15"/>
      <c r="CTZ244" s="15"/>
      <c r="CUA244" s="15"/>
      <c r="CUB244" s="15"/>
      <c r="CUC244" s="15"/>
      <c r="CUD244" s="10"/>
      <c r="CUE244" s="10"/>
      <c r="CUF244" s="21"/>
      <c r="CUG244" s="21"/>
      <c r="CUJ244" s="21"/>
      <c r="CUK244" s="15"/>
      <c r="CUL244" s="15"/>
      <c r="CUM244" s="15"/>
      <c r="CUN244" s="15"/>
      <c r="CUO244" s="15"/>
      <c r="CUP244" s="15"/>
      <c r="CUQ244" s="15"/>
      <c r="CUR244" s="15"/>
      <c r="CUS244" s="15"/>
      <c r="CUT244" s="15"/>
      <c r="CUU244" s="10"/>
      <c r="CUV244" s="10"/>
      <c r="CUW244" s="21"/>
      <c r="CUX244" s="21"/>
      <c r="CVA244" s="21"/>
      <c r="CVB244" s="15"/>
      <c r="CVC244" s="15"/>
      <c r="CVD244" s="15"/>
      <c r="CVE244" s="15"/>
      <c r="CVF244" s="15"/>
      <c r="CVG244" s="15"/>
      <c r="CVH244" s="15"/>
      <c r="CVI244" s="15"/>
      <c r="CVJ244" s="15"/>
      <c r="CVK244" s="15"/>
      <c r="CVL244" s="10"/>
      <c r="CVM244" s="10"/>
      <c r="CVN244" s="21"/>
      <c r="CVO244" s="21"/>
      <c r="CVR244" s="21"/>
      <c r="CVS244" s="15"/>
      <c r="CVT244" s="15"/>
      <c r="CVU244" s="15"/>
      <c r="CVV244" s="15"/>
      <c r="CVW244" s="15"/>
      <c r="CVX244" s="15"/>
      <c r="CVY244" s="15"/>
      <c r="CVZ244" s="15"/>
      <c r="CWA244" s="15"/>
      <c r="CWB244" s="15"/>
      <c r="CWC244" s="10"/>
      <c r="CWD244" s="10"/>
      <c r="CWE244" s="21"/>
      <c r="CWF244" s="21"/>
      <c r="CWI244" s="21"/>
      <c r="CWJ244" s="15"/>
      <c r="CWK244" s="15"/>
      <c r="CWL244" s="15"/>
      <c r="CWM244" s="15"/>
      <c r="CWN244" s="15"/>
      <c r="CWO244" s="15"/>
      <c r="CWP244" s="15"/>
      <c r="CWQ244" s="15"/>
      <c r="CWR244" s="15"/>
      <c r="CWS244" s="15"/>
      <c r="CWT244" s="10"/>
      <c r="CWU244" s="10"/>
      <c r="CWV244" s="21"/>
      <c r="CWW244" s="21"/>
      <c r="CWZ244" s="21"/>
      <c r="CXA244" s="15"/>
      <c r="CXB244" s="15"/>
      <c r="CXC244" s="15"/>
      <c r="CXD244" s="15"/>
      <c r="CXE244" s="15"/>
      <c r="CXF244" s="15"/>
      <c r="CXG244" s="15"/>
      <c r="CXH244" s="15"/>
      <c r="CXI244" s="15"/>
      <c r="CXJ244" s="15"/>
      <c r="CXK244" s="10"/>
      <c r="CXL244" s="10"/>
      <c r="CXM244" s="21"/>
      <c r="CXN244" s="21"/>
      <c r="CXQ244" s="21"/>
      <c r="CXR244" s="15"/>
      <c r="CXS244" s="15"/>
      <c r="CXT244" s="15"/>
      <c r="CXU244" s="15"/>
      <c r="CXV244" s="15"/>
      <c r="CXW244" s="15"/>
      <c r="CXX244" s="15"/>
      <c r="CXY244" s="15"/>
      <c r="CXZ244" s="15"/>
      <c r="CYA244" s="15"/>
      <c r="CYB244" s="10"/>
      <c r="CYC244" s="10"/>
      <c r="CYD244" s="21"/>
      <c r="CYE244" s="21"/>
      <c r="CYH244" s="21"/>
      <c r="CYI244" s="15"/>
      <c r="CYJ244" s="15"/>
      <c r="CYK244" s="15"/>
      <c r="CYL244" s="15"/>
      <c r="CYM244" s="15"/>
      <c r="CYN244" s="15"/>
      <c r="CYO244" s="15"/>
      <c r="CYP244" s="15"/>
      <c r="CYQ244" s="15"/>
      <c r="CYR244" s="15"/>
      <c r="CYS244" s="10"/>
      <c r="CYT244" s="10"/>
      <c r="CYU244" s="21"/>
      <c r="CYV244" s="21"/>
      <c r="CYY244" s="21"/>
      <c r="CYZ244" s="15"/>
      <c r="CZA244" s="15"/>
      <c r="CZB244" s="15"/>
      <c r="CZC244" s="15"/>
      <c r="CZD244" s="15"/>
      <c r="CZE244" s="15"/>
      <c r="CZF244" s="15"/>
      <c r="CZG244" s="15"/>
      <c r="CZH244" s="15"/>
      <c r="CZI244" s="15"/>
      <c r="CZJ244" s="10"/>
      <c r="CZK244" s="10"/>
      <c r="CZL244" s="21"/>
      <c r="CZM244" s="21"/>
      <c r="CZP244" s="21"/>
      <c r="CZQ244" s="15"/>
      <c r="CZR244" s="15"/>
      <c r="CZS244" s="15"/>
      <c r="CZT244" s="15"/>
      <c r="CZU244" s="15"/>
      <c r="CZV244" s="15"/>
      <c r="CZW244" s="15"/>
      <c r="CZX244" s="15"/>
      <c r="CZY244" s="15"/>
      <c r="CZZ244" s="15"/>
      <c r="DAA244" s="10"/>
      <c r="DAB244" s="10"/>
      <c r="DAC244" s="21"/>
      <c r="DAD244" s="21"/>
      <c r="DAG244" s="21"/>
      <c r="DAH244" s="15"/>
      <c r="DAI244" s="15"/>
      <c r="DAJ244" s="15"/>
      <c r="DAK244" s="15"/>
      <c r="DAL244" s="15"/>
      <c r="DAM244" s="15"/>
      <c r="DAN244" s="15"/>
      <c r="DAO244" s="15"/>
      <c r="DAP244" s="15"/>
      <c r="DAQ244" s="15"/>
      <c r="DAR244" s="10"/>
      <c r="DAS244" s="10"/>
      <c r="DAT244" s="21"/>
      <c r="DAU244" s="21"/>
      <c r="DAX244" s="21"/>
      <c r="DAY244" s="15"/>
      <c r="DAZ244" s="15"/>
      <c r="DBA244" s="15"/>
      <c r="DBB244" s="15"/>
      <c r="DBC244" s="15"/>
      <c r="DBD244" s="15"/>
      <c r="DBE244" s="15"/>
      <c r="DBF244" s="15"/>
      <c r="DBG244" s="15"/>
      <c r="DBH244" s="15"/>
      <c r="DBI244" s="10"/>
      <c r="DBJ244" s="10"/>
      <c r="DBK244" s="21"/>
      <c r="DBL244" s="21"/>
      <c r="DBO244" s="21"/>
      <c r="DBP244" s="15"/>
      <c r="DBQ244" s="15"/>
      <c r="DBR244" s="15"/>
      <c r="DBS244" s="15"/>
      <c r="DBT244" s="15"/>
      <c r="DBU244" s="15"/>
      <c r="DBV244" s="15"/>
      <c r="DBW244" s="15"/>
      <c r="DBX244" s="15"/>
      <c r="DBY244" s="15"/>
      <c r="DBZ244" s="10"/>
      <c r="DCA244" s="10"/>
      <c r="DCB244" s="21"/>
      <c r="DCC244" s="21"/>
      <c r="DCF244" s="21"/>
      <c r="DCG244" s="15"/>
      <c r="DCH244" s="15"/>
      <c r="DCI244" s="15"/>
      <c r="DCJ244" s="15"/>
      <c r="DCK244" s="15"/>
      <c r="DCL244" s="15"/>
      <c r="DCM244" s="15"/>
      <c r="DCN244" s="15"/>
      <c r="DCO244" s="15"/>
      <c r="DCP244" s="15"/>
      <c r="DCQ244" s="10"/>
      <c r="DCR244" s="10"/>
      <c r="DCS244" s="21"/>
      <c r="DCT244" s="21"/>
      <c r="DCW244" s="21"/>
      <c r="DCX244" s="15"/>
      <c r="DCY244" s="15"/>
      <c r="DCZ244" s="15"/>
      <c r="DDA244" s="15"/>
      <c r="DDB244" s="15"/>
      <c r="DDC244" s="15"/>
      <c r="DDD244" s="15"/>
      <c r="DDE244" s="15"/>
      <c r="DDF244" s="15"/>
      <c r="DDG244" s="15"/>
      <c r="DDH244" s="10"/>
      <c r="DDI244" s="10"/>
      <c r="DDJ244" s="21"/>
      <c r="DDK244" s="21"/>
      <c r="DDN244" s="21"/>
      <c r="DDO244" s="15"/>
      <c r="DDP244" s="15"/>
      <c r="DDQ244" s="15"/>
      <c r="DDR244" s="15"/>
      <c r="DDS244" s="15"/>
      <c r="DDT244" s="15"/>
      <c r="DDU244" s="15"/>
      <c r="DDV244" s="15"/>
      <c r="DDW244" s="15"/>
      <c r="DDX244" s="15"/>
      <c r="DDY244" s="10"/>
      <c r="DDZ244" s="10"/>
      <c r="DEA244" s="21"/>
      <c r="DEB244" s="21"/>
      <c r="DEE244" s="21"/>
      <c r="DEF244" s="15"/>
      <c r="DEG244" s="15"/>
      <c r="DEH244" s="15"/>
      <c r="DEI244" s="15"/>
      <c r="DEJ244" s="15"/>
      <c r="DEK244" s="15"/>
      <c r="DEL244" s="15"/>
      <c r="DEM244" s="15"/>
      <c r="DEN244" s="15"/>
      <c r="DEO244" s="15"/>
      <c r="DEP244" s="10"/>
      <c r="DEQ244" s="10"/>
      <c r="DER244" s="21"/>
      <c r="DES244" s="21"/>
      <c r="DEV244" s="21"/>
      <c r="DEW244" s="15"/>
      <c r="DEX244" s="15"/>
      <c r="DEY244" s="15"/>
      <c r="DEZ244" s="15"/>
      <c r="DFA244" s="15"/>
      <c r="DFB244" s="15"/>
      <c r="DFC244" s="15"/>
      <c r="DFD244" s="15"/>
      <c r="DFE244" s="15"/>
      <c r="DFF244" s="15"/>
      <c r="DFG244" s="10"/>
      <c r="DFH244" s="10"/>
      <c r="DFI244" s="21"/>
      <c r="DFJ244" s="21"/>
      <c r="DFM244" s="21"/>
      <c r="DFN244" s="15"/>
      <c r="DFO244" s="15"/>
      <c r="DFP244" s="15"/>
      <c r="DFQ244" s="15"/>
      <c r="DFR244" s="15"/>
      <c r="DFS244" s="15"/>
      <c r="DFT244" s="15"/>
      <c r="DFU244" s="15"/>
      <c r="DFV244" s="15"/>
      <c r="DFW244" s="15"/>
      <c r="DFX244" s="10"/>
      <c r="DFY244" s="10"/>
      <c r="DFZ244" s="21"/>
      <c r="DGA244" s="21"/>
      <c r="DGD244" s="21"/>
      <c r="DGE244" s="15"/>
      <c r="DGF244" s="15"/>
      <c r="DGG244" s="15"/>
      <c r="DGH244" s="15"/>
      <c r="DGI244" s="15"/>
      <c r="DGJ244" s="15"/>
      <c r="DGK244" s="15"/>
      <c r="DGL244" s="15"/>
      <c r="DGM244" s="15"/>
      <c r="DGN244" s="15"/>
      <c r="DGO244" s="10"/>
      <c r="DGP244" s="10"/>
      <c r="DGQ244" s="21"/>
      <c r="DGR244" s="21"/>
      <c r="DGU244" s="21"/>
      <c r="DGV244" s="15"/>
      <c r="DGW244" s="15"/>
      <c r="DGX244" s="15"/>
      <c r="DGY244" s="15"/>
      <c r="DGZ244" s="15"/>
      <c r="DHA244" s="15"/>
      <c r="DHB244" s="15"/>
      <c r="DHC244" s="15"/>
      <c r="DHD244" s="15"/>
      <c r="DHE244" s="15"/>
      <c r="DHF244" s="10"/>
      <c r="DHG244" s="10"/>
      <c r="DHH244" s="21"/>
      <c r="DHI244" s="21"/>
      <c r="DHL244" s="21"/>
      <c r="DHM244" s="15"/>
      <c r="DHN244" s="15"/>
      <c r="DHO244" s="15"/>
      <c r="DHP244" s="15"/>
      <c r="DHQ244" s="15"/>
      <c r="DHR244" s="15"/>
      <c r="DHS244" s="15"/>
      <c r="DHT244" s="15"/>
      <c r="DHU244" s="15"/>
      <c r="DHV244" s="15"/>
      <c r="DHW244" s="10"/>
      <c r="DHX244" s="10"/>
      <c r="DHY244" s="21"/>
      <c r="DHZ244" s="21"/>
      <c r="DIC244" s="21"/>
      <c r="DID244" s="15"/>
      <c r="DIE244" s="15"/>
      <c r="DIF244" s="15"/>
      <c r="DIG244" s="15"/>
      <c r="DIH244" s="15"/>
      <c r="DII244" s="15"/>
      <c r="DIJ244" s="15"/>
      <c r="DIK244" s="15"/>
      <c r="DIL244" s="15"/>
      <c r="DIM244" s="15"/>
      <c r="DIN244" s="10"/>
      <c r="DIO244" s="10"/>
      <c r="DIP244" s="21"/>
      <c r="DIQ244" s="21"/>
      <c r="DIT244" s="21"/>
      <c r="DIU244" s="15"/>
      <c r="DIV244" s="15"/>
      <c r="DIW244" s="15"/>
      <c r="DIX244" s="15"/>
      <c r="DIY244" s="15"/>
      <c r="DIZ244" s="15"/>
      <c r="DJA244" s="15"/>
      <c r="DJB244" s="15"/>
      <c r="DJC244" s="15"/>
      <c r="DJD244" s="15"/>
      <c r="DJE244" s="10"/>
      <c r="DJF244" s="10"/>
      <c r="DJG244" s="21"/>
      <c r="DJH244" s="21"/>
      <c r="DJK244" s="21"/>
      <c r="DJL244" s="15"/>
      <c r="DJM244" s="15"/>
      <c r="DJN244" s="15"/>
      <c r="DJO244" s="15"/>
      <c r="DJP244" s="15"/>
      <c r="DJQ244" s="15"/>
      <c r="DJR244" s="15"/>
      <c r="DJS244" s="15"/>
      <c r="DJT244" s="15"/>
      <c r="DJU244" s="15"/>
      <c r="DJV244" s="10"/>
      <c r="DJW244" s="10"/>
      <c r="DJX244" s="21"/>
      <c r="DJY244" s="21"/>
      <c r="DKB244" s="21"/>
      <c r="DKC244" s="15"/>
      <c r="DKD244" s="15"/>
      <c r="DKE244" s="15"/>
      <c r="DKF244" s="15"/>
      <c r="DKG244" s="15"/>
      <c r="DKH244" s="15"/>
      <c r="DKI244" s="15"/>
      <c r="DKJ244" s="15"/>
      <c r="DKK244" s="15"/>
      <c r="DKL244" s="15"/>
      <c r="DKM244" s="10"/>
      <c r="DKN244" s="10"/>
      <c r="DKO244" s="21"/>
      <c r="DKP244" s="21"/>
      <c r="DKS244" s="21"/>
      <c r="DKT244" s="15"/>
      <c r="DKU244" s="15"/>
      <c r="DKV244" s="15"/>
      <c r="DKW244" s="15"/>
      <c r="DKX244" s="15"/>
      <c r="DKY244" s="15"/>
      <c r="DKZ244" s="15"/>
      <c r="DLA244" s="15"/>
      <c r="DLB244" s="15"/>
      <c r="DLC244" s="15"/>
      <c r="DLD244" s="10"/>
      <c r="DLE244" s="10"/>
      <c r="DLF244" s="21"/>
      <c r="DLG244" s="21"/>
      <c r="DLJ244" s="21"/>
      <c r="DLK244" s="15"/>
      <c r="DLL244" s="15"/>
      <c r="DLM244" s="15"/>
      <c r="DLN244" s="15"/>
      <c r="DLO244" s="15"/>
      <c r="DLP244" s="15"/>
      <c r="DLQ244" s="15"/>
      <c r="DLR244" s="15"/>
      <c r="DLS244" s="15"/>
      <c r="DLT244" s="15"/>
      <c r="DLU244" s="10"/>
      <c r="DLV244" s="10"/>
      <c r="DLW244" s="21"/>
      <c r="DLX244" s="21"/>
      <c r="DMA244" s="21"/>
      <c r="DMB244" s="15"/>
      <c r="DMC244" s="15"/>
      <c r="DMD244" s="15"/>
      <c r="DME244" s="15"/>
      <c r="DMF244" s="15"/>
      <c r="DMG244" s="15"/>
      <c r="DMH244" s="15"/>
      <c r="DMI244" s="15"/>
      <c r="DMJ244" s="15"/>
      <c r="DMK244" s="15"/>
      <c r="DML244" s="10"/>
      <c r="DMM244" s="10"/>
      <c r="DMN244" s="21"/>
      <c r="DMO244" s="21"/>
      <c r="DMR244" s="21"/>
      <c r="DMS244" s="15"/>
      <c r="DMT244" s="15"/>
      <c r="DMU244" s="15"/>
      <c r="DMV244" s="15"/>
      <c r="DMW244" s="15"/>
      <c r="DMX244" s="15"/>
      <c r="DMY244" s="15"/>
      <c r="DMZ244" s="15"/>
      <c r="DNA244" s="15"/>
      <c r="DNB244" s="15"/>
      <c r="DNC244" s="10"/>
      <c r="DND244" s="10"/>
      <c r="DNE244" s="21"/>
      <c r="DNF244" s="21"/>
      <c r="DNI244" s="21"/>
      <c r="DNJ244" s="15"/>
      <c r="DNK244" s="15"/>
      <c r="DNL244" s="15"/>
      <c r="DNM244" s="15"/>
      <c r="DNN244" s="15"/>
      <c r="DNO244" s="15"/>
      <c r="DNP244" s="15"/>
      <c r="DNQ244" s="15"/>
      <c r="DNR244" s="15"/>
      <c r="DNS244" s="15"/>
      <c r="DNT244" s="10"/>
      <c r="DNU244" s="10"/>
      <c r="DNV244" s="21"/>
      <c r="DNW244" s="21"/>
      <c r="DNZ244" s="21"/>
      <c r="DOA244" s="15"/>
      <c r="DOB244" s="15"/>
      <c r="DOC244" s="15"/>
      <c r="DOD244" s="15"/>
      <c r="DOE244" s="15"/>
      <c r="DOF244" s="15"/>
      <c r="DOG244" s="15"/>
      <c r="DOH244" s="15"/>
      <c r="DOI244" s="15"/>
      <c r="DOJ244" s="15"/>
      <c r="DOK244" s="10"/>
      <c r="DOL244" s="10"/>
      <c r="DOM244" s="21"/>
      <c r="DON244" s="21"/>
      <c r="DOQ244" s="21"/>
      <c r="DOR244" s="15"/>
      <c r="DOS244" s="15"/>
      <c r="DOT244" s="15"/>
      <c r="DOU244" s="15"/>
      <c r="DOV244" s="15"/>
      <c r="DOW244" s="15"/>
      <c r="DOX244" s="15"/>
      <c r="DOY244" s="15"/>
      <c r="DOZ244" s="15"/>
      <c r="DPA244" s="15"/>
      <c r="DPB244" s="10"/>
      <c r="DPC244" s="10"/>
      <c r="DPD244" s="21"/>
      <c r="DPE244" s="21"/>
      <c r="DPH244" s="21"/>
      <c r="DPI244" s="15"/>
      <c r="DPJ244" s="15"/>
      <c r="DPK244" s="15"/>
      <c r="DPL244" s="15"/>
      <c r="DPM244" s="15"/>
      <c r="DPN244" s="15"/>
      <c r="DPO244" s="15"/>
      <c r="DPP244" s="15"/>
      <c r="DPQ244" s="15"/>
      <c r="DPR244" s="15"/>
      <c r="DPS244" s="10"/>
      <c r="DPT244" s="10"/>
      <c r="DPU244" s="21"/>
      <c r="DPV244" s="21"/>
      <c r="DPY244" s="21"/>
      <c r="DPZ244" s="15"/>
      <c r="DQA244" s="15"/>
      <c r="DQB244" s="15"/>
      <c r="DQC244" s="15"/>
      <c r="DQD244" s="15"/>
      <c r="DQE244" s="15"/>
      <c r="DQF244" s="15"/>
      <c r="DQG244" s="15"/>
      <c r="DQH244" s="15"/>
      <c r="DQI244" s="15"/>
      <c r="DQJ244" s="10"/>
      <c r="DQK244" s="10"/>
      <c r="DQL244" s="21"/>
      <c r="DQM244" s="21"/>
      <c r="DQP244" s="21"/>
      <c r="DQQ244" s="15"/>
      <c r="DQR244" s="15"/>
      <c r="DQS244" s="15"/>
      <c r="DQT244" s="15"/>
      <c r="DQU244" s="15"/>
      <c r="DQV244" s="15"/>
      <c r="DQW244" s="15"/>
      <c r="DQX244" s="15"/>
      <c r="DQY244" s="15"/>
      <c r="DQZ244" s="15"/>
      <c r="DRA244" s="10"/>
      <c r="DRB244" s="10"/>
      <c r="DRC244" s="21"/>
      <c r="DRD244" s="21"/>
      <c r="DRG244" s="21"/>
      <c r="DRH244" s="15"/>
      <c r="DRI244" s="15"/>
      <c r="DRJ244" s="15"/>
      <c r="DRK244" s="15"/>
      <c r="DRL244" s="15"/>
      <c r="DRM244" s="15"/>
      <c r="DRN244" s="15"/>
      <c r="DRO244" s="15"/>
      <c r="DRP244" s="15"/>
      <c r="DRQ244" s="15"/>
      <c r="DRR244" s="10"/>
      <c r="DRS244" s="10"/>
      <c r="DRT244" s="21"/>
      <c r="DRU244" s="21"/>
      <c r="DRX244" s="21"/>
      <c r="DRY244" s="15"/>
      <c r="DRZ244" s="15"/>
      <c r="DSA244" s="15"/>
      <c r="DSB244" s="15"/>
      <c r="DSC244" s="15"/>
      <c r="DSD244" s="15"/>
      <c r="DSE244" s="15"/>
      <c r="DSF244" s="15"/>
      <c r="DSG244" s="15"/>
      <c r="DSH244" s="15"/>
      <c r="DSI244" s="10"/>
      <c r="DSJ244" s="10"/>
      <c r="DSK244" s="21"/>
      <c r="DSL244" s="21"/>
      <c r="DSO244" s="21"/>
      <c r="DSP244" s="15"/>
      <c r="DSQ244" s="15"/>
      <c r="DSR244" s="15"/>
      <c r="DSS244" s="15"/>
      <c r="DST244" s="15"/>
      <c r="DSU244" s="15"/>
      <c r="DSV244" s="15"/>
      <c r="DSW244" s="15"/>
      <c r="DSX244" s="15"/>
      <c r="DSY244" s="15"/>
      <c r="DSZ244" s="10"/>
      <c r="DTA244" s="10"/>
      <c r="DTB244" s="21"/>
      <c r="DTC244" s="21"/>
      <c r="DTF244" s="21"/>
      <c r="DTG244" s="15"/>
      <c r="DTH244" s="15"/>
      <c r="DTI244" s="15"/>
      <c r="DTJ244" s="15"/>
      <c r="DTK244" s="15"/>
      <c r="DTL244" s="15"/>
      <c r="DTM244" s="15"/>
      <c r="DTN244" s="15"/>
      <c r="DTO244" s="15"/>
      <c r="DTP244" s="15"/>
      <c r="DTQ244" s="10"/>
      <c r="DTR244" s="10"/>
      <c r="DTS244" s="21"/>
      <c r="DTT244" s="21"/>
      <c r="DTW244" s="21"/>
      <c r="DTX244" s="15"/>
      <c r="DTY244" s="15"/>
      <c r="DTZ244" s="15"/>
      <c r="DUA244" s="15"/>
      <c r="DUB244" s="15"/>
      <c r="DUC244" s="15"/>
      <c r="DUD244" s="15"/>
      <c r="DUE244" s="15"/>
      <c r="DUF244" s="15"/>
      <c r="DUG244" s="15"/>
      <c r="DUH244" s="10"/>
      <c r="DUI244" s="10"/>
      <c r="DUJ244" s="21"/>
      <c r="DUK244" s="21"/>
      <c r="DUN244" s="21"/>
      <c r="DUO244" s="15"/>
      <c r="DUP244" s="15"/>
      <c r="DUQ244" s="15"/>
      <c r="DUR244" s="15"/>
      <c r="DUS244" s="15"/>
      <c r="DUT244" s="15"/>
      <c r="DUU244" s="15"/>
      <c r="DUV244" s="15"/>
      <c r="DUW244" s="15"/>
      <c r="DUX244" s="15"/>
      <c r="DUY244" s="10"/>
      <c r="DUZ244" s="10"/>
      <c r="DVA244" s="21"/>
      <c r="DVB244" s="21"/>
      <c r="DVE244" s="21"/>
      <c r="DVF244" s="15"/>
      <c r="DVG244" s="15"/>
      <c r="DVH244" s="15"/>
      <c r="DVI244" s="15"/>
      <c r="DVJ244" s="15"/>
      <c r="DVK244" s="15"/>
      <c r="DVL244" s="15"/>
      <c r="DVM244" s="15"/>
      <c r="DVN244" s="15"/>
      <c r="DVO244" s="15"/>
      <c r="DVP244" s="10"/>
      <c r="DVQ244" s="10"/>
      <c r="DVR244" s="21"/>
      <c r="DVS244" s="21"/>
      <c r="DVV244" s="21"/>
      <c r="DVW244" s="15"/>
      <c r="DVX244" s="15"/>
      <c r="DVY244" s="15"/>
      <c r="DVZ244" s="15"/>
      <c r="DWA244" s="15"/>
      <c r="DWB244" s="15"/>
      <c r="DWC244" s="15"/>
      <c r="DWD244" s="15"/>
      <c r="DWE244" s="15"/>
      <c r="DWF244" s="15"/>
      <c r="DWG244" s="10"/>
      <c r="DWH244" s="10"/>
      <c r="DWI244" s="21"/>
      <c r="DWJ244" s="21"/>
      <c r="DWM244" s="21"/>
      <c r="DWN244" s="15"/>
      <c r="DWO244" s="15"/>
      <c r="DWP244" s="15"/>
      <c r="DWQ244" s="15"/>
      <c r="DWR244" s="15"/>
      <c r="DWS244" s="15"/>
      <c r="DWT244" s="15"/>
      <c r="DWU244" s="15"/>
      <c r="DWV244" s="15"/>
      <c r="DWW244" s="15"/>
      <c r="DWX244" s="10"/>
      <c r="DWY244" s="10"/>
      <c r="DWZ244" s="21"/>
      <c r="DXA244" s="21"/>
      <c r="DXD244" s="21"/>
      <c r="DXE244" s="15"/>
      <c r="DXF244" s="15"/>
      <c r="DXG244" s="15"/>
      <c r="DXH244" s="15"/>
      <c r="DXI244" s="15"/>
      <c r="DXJ244" s="15"/>
      <c r="DXK244" s="15"/>
      <c r="DXL244" s="15"/>
      <c r="DXM244" s="15"/>
      <c r="DXN244" s="15"/>
      <c r="DXO244" s="10"/>
      <c r="DXP244" s="10"/>
      <c r="DXQ244" s="21"/>
      <c r="DXR244" s="21"/>
      <c r="DXU244" s="21"/>
      <c r="DXV244" s="15"/>
      <c r="DXW244" s="15"/>
      <c r="DXX244" s="15"/>
      <c r="DXY244" s="15"/>
      <c r="DXZ244" s="15"/>
      <c r="DYA244" s="15"/>
      <c r="DYB244" s="15"/>
      <c r="DYC244" s="15"/>
      <c r="DYD244" s="15"/>
      <c r="DYE244" s="15"/>
      <c r="DYF244" s="10"/>
      <c r="DYG244" s="10"/>
      <c r="DYH244" s="21"/>
      <c r="DYI244" s="21"/>
      <c r="DYL244" s="21"/>
      <c r="DYM244" s="15"/>
      <c r="DYN244" s="15"/>
      <c r="DYO244" s="15"/>
      <c r="DYP244" s="15"/>
      <c r="DYQ244" s="15"/>
      <c r="DYR244" s="15"/>
      <c r="DYS244" s="15"/>
      <c r="DYT244" s="15"/>
      <c r="DYU244" s="15"/>
      <c r="DYV244" s="15"/>
      <c r="DYW244" s="10"/>
      <c r="DYX244" s="10"/>
      <c r="DYY244" s="21"/>
      <c r="DYZ244" s="21"/>
      <c r="DZC244" s="21"/>
      <c r="DZD244" s="15"/>
      <c r="DZE244" s="15"/>
      <c r="DZF244" s="15"/>
      <c r="DZG244" s="15"/>
      <c r="DZH244" s="15"/>
      <c r="DZI244" s="15"/>
      <c r="DZJ244" s="15"/>
      <c r="DZK244" s="15"/>
      <c r="DZL244" s="15"/>
      <c r="DZM244" s="15"/>
      <c r="DZN244" s="10"/>
      <c r="DZO244" s="10"/>
      <c r="DZP244" s="21"/>
      <c r="DZQ244" s="21"/>
      <c r="DZT244" s="21"/>
      <c r="DZU244" s="15"/>
      <c r="DZV244" s="15"/>
      <c r="DZW244" s="15"/>
      <c r="DZX244" s="15"/>
      <c r="DZY244" s="15"/>
      <c r="DZZ244" s="15"/>
      <c r="EAA244" s="15"/>
      <c r="EAB244" s="15"/>
      <c r="EAC244" s="15"/>
      <c r="EAD244" s="15"/>
      <c r="EAE244" s="10"/>
      <c r="EAF244" s="10"/>
      <c r="EAG244" s="21"/>
      <c r="EAH244" s="21"/>
      <c r="EAK244" s="21"/>
      <c r="EAL244" s="15"/>
      <c r="EAM244" s="15"/>
      <c r="EAN244" s="15"/>
      <c r="EAO244" s="15"/>
      <c r="EAP244" s="15"/>
      <c r="EAQ244" s="15"/>
      <c r="EAR244" s="15"/>
      <c r="EAS244" s="15"/>
      <c r="EAT244" s="15"/>
      <c r="EAU244" s="15"/>
      <c r="EAV244" s="10"/>
      <c r="EAW244" s="10"/>
      <c r="EAX244" s="21"/>
      <c r="EAY244" s="21"/>
      <c r="EBB244" s="21"/>
      <c r="EBC244" s="15"/>
      <c r="EBD244" s="15"/>
      <c r="EBE244" s="15"/>
      <c r="EBF244" s="15"/>
      <c r="EBG244" s="15"/>
      <c r="EBH244" s="15"/>
      <c r="EBI244" s="15"/>
      <c r="EBJ244" s="15"/>
      <c r="EBK244" s="15"/>
      <c r="EBL244" s="15"/>
      <c r="EBM244" s="10"/>
      <c r="EBN244" s="10"/>
      <c r="EBO244" s="21"/>
      <c r="EBP244" s="21"/>
      <c r="EBS244" s="21"/>
      <c r="EBT244" s="15"/>
      <c r="EBU244" s="15"/>
      <c r="EBV244" s="15"/>
      <c r="EBW244" s="15"/>
      <c r="EBX244" s="15"/>
      <c r="EBY244" s="15"/>
      <c r="EBZ244" s="15"/>
      <c r="ECA244" s="15"/>
      <c r="ECB244" s="15"/>
      <c r="ECC244" s="15"/>
      <c r="ECD244" s="10"/>
      <c r="ECE244" s="10"/>
      <c r="ECF244" s="21"/>
      <c r="ECG244" s="21"/>
      <c r="ECJ244" s="21"/>
      <c r="ECK244" s="15"/>
      <c r="ECL244" s="15"/>
      <c r="ECM244" s="15"/>
      <c r="ECN244" s="15"/>
      <c r="ECO244" s="15"/>
      <c r="ECP244" s="15"/>
      <c r="ECQ244" s="15"/>
      <c r="ECR244" s="15"/>
      <c r="ECS244" s="15"/>
      <c r="ECT244" s="15"/>
      <c r="ECU244" s="10"/>
      <c r="ECV244" s="10"/>
      <c r="ECW244" s="21"/>
      <c r="ECX244" s="21"/>
      <c r="EDA244" s="21"/>
      <c r="EDB244" s="15"/>
      <c r="EDC244" s="15"/>
      <c r="EDD244" s="15"/>
      <c r="EDE244" s="15"/>
      <c r="EDF244" s="15"/>
      <c r="EDG244" s="15"/>
      <c r="EDH244" s="15"/>
      <c r="EDI244" s="15"/>
      <c r="EDJ244" s="15"/>
      <c r="EDK244" s="15"/>
      <c r="EDL244" s="10"/>
      <c r="EDM244" s="10"/>
      <c r="EDN244" s="21"/>
      <c r="EDO244" s="21"/>
      <c r="EDR244" s="21"/>
      <c r="EDS244" s="15"/>
      <c r="EDT244" s="15"/>
      <c r="EDU244" s="15"/>
      <c r="EDV244" s="15"/>
      <c r="EDW244" s="15"/>
      <c r="EDX244" s="15"/>
      <c r="EDY244" s="15"/>
      <c r="EDZ244" s="15"/>
      <c r="EEA244" s="15"/>
      <c r="EEB244" s="15"/>
      <c r="EEC244" s="10"/>
      <c r="EED244" s="10"/>
      <c r="EEE244" s="21"/>
      <c r="EEF244" s="21"/>
      <c r="EEI244" s="21"/>
      <c r="EEJ244" s="15"/>
      <c r="EEK244" s="15"/>
      <c r="EEL244" s="15"/>
      <c r="EEM244" s="15"/>
      <c r="EEN244" s="15"/>
      <c r="EEO244" s="15"/>
      <c r="EEP244" s="15"/>
      <c r="EEQ244" s="15"/>
      <c r="EER244" s="15"/>
      <c r="EES244" s="15"/>
      <c r="EET244" s="10"/>
      <c r="EEU244" s="10"/>
      <c r="EEV244" s="21"/>
      <c r="EEW244" s="21"/>
      <c r="EEZ244" s="21"/>
      <c r="EFA244" s="15"/>
      <c r="EFB244" s="15"/>
      <c r="EFC244" s="15"/>
      <c r="EFD244" s="15"/>
      <c r="EFE244" s="15"/>
      <c r="EFF244" s="15"/>
      <c r="EFG244" s="15"/>
      <c r="EFH244" s="15"/>
      <c r="EFI244" s="15"/>
      <c r="EFJ244" s="15"/>
      <c r="EFK244" s="10"/>
      <c r="EFL244" s="10"/>
      <c r="EFM244" s="21"/>
      <c r="EFN244" s="21"/>
      <c r="EFQ244" s="21"/>
      <c r="EFR244" s="15"/>
      <c r="EFS244" s="15"/>
      <c r="EFT244" s="15"/>
      <c r="EFU244" s="15"/>
      <c r="EFV244" s="15"/>
      <c r="EFW244" s="15"/>
      <c r="EFX244" s="15"/>
      <c r="EFY244" s="15"/>
      <c r="EFZ244" s="15"/>
      <c r="EGA244" s="15"/>
      <c r="EGB244" s="10"/>
      <c r="EGC244" s="10"/>
      <c r="EGD244" s="21"/>
      <c r="EGE244" s="21"/>
      <c r="EGH244" s="21"/>
      <c r="EGI244" s="15"/>
      <c r="EGJ244" s="15"/>
      <c r="EGK244" s="15"/>
      <c r="EGL244" s="15"/>
      <c r="EGM244" s="15"/>
      <c r="EGN244" s="15"/>
      <c r="EGO244" s="15"/>
      <c r="EGP244" s="15"/>
      <c r="EGQ244" s="15"/>
      <c r="EGR244" s="15"/>
      <c r="EGS244" s="10"/>
      <c r="EGT244" s="10"/>
      <c r="EGU244" s="21"/>
      <c r="EGV244" s="21"/>
      <c r="EGY244" s="21"/>
      <c r="EGZ244" s="15"/>
      <c r="EHA244" s="15"/>
      <c r="EHB244" s="15"/>
      <c r="EHC244" s="15"/>
      <c r="EHD244" s="15"/>
      <c r="EHE244" s="15"/>
      <c r="EHF244" s="15"/>
      <c r="EHG244" s="15"/>
      <c r="EHH244" s="15"/>
      <c r="EHI244" s="15"/>
      <c r="EHJ244" s="10"/>
      <c r="EHK244" s="10"/>
      <c r="EHL244" s="21"/>
      <c r="EHM244" s="21"/>
      <c r="EHP244" s="21"/>
      <c r="EHQ244" s="15"/>
      <c r="EHR244" s="15"/>
      <c r="EHS244" s="15"/>
      <c r="EHT244" s="15"/>
      <c r="EHU244" s="15"/>
      <c r="EHV244" s="15"/>
      <c r="EHW244" s="15"/>
      <c r="EHX244" s="15"/>
      <c r="EHY244" s="15"/>
      <c r="EHZ244" s="15"/>
      <c r="EIA244" s="10"/>
      <c r="EIB244" s="10"/>
      <c r="EIC244" s="21"/>
      <c r="EID244" s="21"/>
      <c r="EIG244" s="21"/>
      <c r="EIH244" s="15"/>
      <c r="EII244" s="15"/>
      <c r="EIJ244" s="15"/>
      <c r="EIK244" s="15"/>
      <c r="EIL244" s="15"/>
      <c r="EIM244" s="15"/>
      <c r="EIN244" s="15"/>
      <c r="EIO244" s="15"/>
      <c r="EIP244" s="15"/>
      <c r="EIQ244" s="15"/>
      <c r="EIR244" s="10"/>
      <c r="EIS244" s="10"/>
      <c r="EIT244" s="21"/>
      <c r="EIU244" s="21"/>
      <c r="EIX244" s="21"/>
      <c r="EIY244" s="15"/>
      <c r="EIZ244" s="15"/>
      <c r="EJA244" s="15"/>
      <c r="EJB244" s="15"/>
      <c r="EJC244" s="15"/>
      <c r="EJD244" s="15"/>
      <c r="EJE244" s="15"/>
      <c r="EJF244" s="15"/>
      <c r="EJG244" s="15"/>
      <c r="EJH244" s="15"/>
      <c r="EJI244" s="10"/>
      <c r="EJJ244" s="10"/>
      <c r="EJK244" s="21"/>
      <c r="EJL244" s="21"/>
      <c r="EJO244" s="21"/>
      <c r="EJP244" s="15"/>
      <c r="EJQ244" s="15"/>
      <c r="EJR244" s="15"/>
      <c r="EJS244" s="15"/>
      <c r="EJT244" s="15"/>
      <c r="EJU244" s="15"/>
      <c r="EJV244" s="15"/>
      <c r="EJW244" s="15"/>
      <c r="EJX244" s="15"/>
      <c r="EJY244" s="15"/>
      <c r="EJZ244" s="10"/>
      <c r="EKA244" s="10"/>
      <c r="EKB244" s="21"/>
      <c r="EKC244" s="21"/>
      <c r="EKF244" s="21"/>
      <c r="EKG244" s="15"/>
      <c r="EKH244" s="15"/>
      <c r="EKI244" s="15"/>
      <c r="EKJ244" s="15"/>
      <c r="EKK244" s="15"/>
      <c r="EKL244" s="15"/>
      <c r="EKM244" s="15"/>
      <c r="EKN244" s="15"/>
      <c r="EKO244" s="15"/>
      <c r="EKP244" s="15"/>
      <c r="EKQ244" s="10"/>
      <c r="EKR244" s="10"/>
      <c r="EKS244" s="21"/>
      <c r="EKT244" s="21"/>
      <c r="EKW244" s="21"/>
      <c r="EKX244" s="15"/>
      <c r="EKY244" s="15"/>
      <c r="EKZ244" s="15"/>
      <c r="ELA244" s="15"/>
      <c r="ELB244" s="15"/>
      <c r="ELC244" s="15"/>
      <c r="ELD244" s="15"/>
      <c r="ELE244" s="15"/>
      <c r="ELF244" s="15"/>
      <c r="ELG244" s="15"/>
      <c r="ELH244" s="10"/>
      <c r="ELI244" s="10"/>
      <c r="ELJ244" s="21"/>
      <c r="ELK244" s="21"/>
      <c r="ELN244" s="21"/>
      <c r="ELO244" s="15"/>
      <c r="ELP244" s="15"/>
      <c r="ELQ244" s="15"/>
      <c r="ELR244" s="15"/>
      <c r="ELS244" s="15"/>
      <c r="ELT244" s="15"/>
      <c r="ELU244" s="15"/>
      <c r="ELV244" s="15"/>
      <c r="ELW244" s="15"/>
      <c r="ELX244" s="15"/>
      <c r="ELY244" s="10"/>
      <c r="ELZ244" s="10"/>
      <c r="EMA244" s="21"/>
      <c r="EMB244" s="21"/>
      <c r="EME244" s="21"/>
      <c r="EMF244" s="15"/>
      <c r="EMG244" s="15"/>
      <c r="EMH244" s="15"/>
      <c r="EMI244" s="15"/>
      <c r="EMJ244" s="15"/>
      <c r="EMK244" s="15"/>
      <c r="EML244" s="15"/>
      <c r="EMM244" s="15"/>
      <c r="EMN244" s="15"/>
      <c r="EMO244" s="15"/>
      <c r="EMP244" s="10"/>
      <c r="EMQ244" s="10"/>
      <c r="EMR244" s="21"/>
      <c r="EMS244" s="21"/>
      <c r="EMV244" s="21"/>
      <c r="EMW244" s="15"/>
      <c r="EMX244" s="15"/>
      <c r="EMY244" s="15"/>
      <c r="EMZ244" s="15"/>
      <c r="ENA244" s="15"/>
      <c r="ENB244" s="15"/>
      <c r="ENC244" s="15"/>
      <c r="END244" s="15"/>
      <c r="ENE244" s="15"/>
      <c r="ENF244" s="15"/>
      <c r="ENG244" s="10"/>
      <c r="ENH244" s="10"/>
      <c r="ENI244" s="21"/>
      <c r="ENJ244" s="21"/>
      <c r="ENM244" s="21"/>
      <c r="ENN244" s="15"/>
      <c r="ENO244" s="15"/>
      <c r="ENP244" s="15"/>
      <c r="ENQ244" s="15"/>
      <c r="ENR244" s="15"/>
      <c r="ENS244" s="15"/>
      <c r="ENT244" s="15"/>
      <c r="ENU244" s="15"/>
      <c r="ENV244" s="15"/>
      <c r="ENW244" s="15"/>
      <c r="ENX244" s="10"/>
      <c r="ENY244" s="10"/>
      <c r="ENZ244" s="21"/>
      <c r="EOA244" s="21"/>
      <c r="EOD244" s="21"/>
      <c r="EOE244" s="15"/>
      <c r="EOF244" s="15"/>
      <c r="EOG244" s="15"/>
      <c r="EOH244" s="15"/>
      <c r="EOI244" s="15"/>
      <c r="EOJ244" s="15"/>
      <c r="EOK244" s="15"/>
      <c r="EOL244" s="15"/>
      <c r="EOM244" s="15"/>
      <c r="EON244" s="15"/>
      <c r="EOO244" s="10"/>
      <c r="EOP244" s="10"/>
      <c r="EOQ244" s="21"/>
      <c r="EOR244" s="21"/>
      <c r="EOU244" s="21"/>
      <c r="EOV244" s="15"/>
      <c r="EOW244" s="15"/>
      <c r="EOX244" s="15"/>
      <c r="EOY244" s="15"/>
      <c r="EOZ244" s="15"/>
      <c r="EPA244" s="15"/>
      <c r="EPB244" s="15"/>
      <c r="EPC244" s="15"/>
      <c r="EPD244" s="15"/>
      <c r="EPE244" s="15"/>
      <c r="EPF244" s="10"/>
      <c r="EPG244" s="10"/>
      <c r="EPH244" s="21"/>
      <c r="EPI244" s="21"/>
      <c r="EPL244" s="21"/>
      <c r="EPM244" s="15"/>
      <c r="EPN244" s="15"/>
      <c r="EPO244" s="15"/>
      <c r="EPP244" s="15"/>
      <c r="EPQ244" s="15"/>
      <c r="EPR244" s="15"/>
      <c r="EPS244" s="15"/>
      <c r="EPT244" s="15"/>
      <c r="EPU244" s="15"/>
      <c r="EPV244" s="15"/>
      <c r="EPW244" s="10"/>
      <c r="EPX244" s="10"/>
      <c r="EPY244" s="21"/>
      <c r="EPZ244" s="21"/>
      <c r="EQC244" s="21"/>
      <c r="EQD244" s="15"/>
      <c r="EQE244" s="15"/>
      <c r="EQF244" s="15"/>
      <c r="EQG244" s="15"/>
      <c r="EQH244" s="15"/>
      <c r="EQI244" s="15"/>
      <c r="EQJ244" s="15"/>
      <c r="EQK244" s="15"/>
      <c r="EQL244" s="15"/>
      <c r="EQM244" s="15"/>
      <c r="EQN244" s="10"/>
      <c r="EQO244" s="10"/>
      <c r="EQP244" s="21"/>
      <c r="EQQ244" s="21"/>
      <c r="EQT244" s="21"/>
      <c r="EQU244" s="15"/>
      <c r="EQV244" s="15"/>
      <c r="EQW244" s="15"/>
      <c r="EQX244" s="15"/>
      <c r="EQY244" s="15"/>
      <c r="EQZ244" s="15"/>
      <c r="ERA244" s="15"/>
      <c r="ERB244" s="15"/>
      <c r="ERC244" s="15"/>
      <c r="ERD244" s="15"/>
      <c r="ERE244" s="10"/>
      <c r="ERF244" s="10"/>
      <c r="ERG244" s="21"/>
      <c r="ERH244" s="21"/>
      <c r="ERK244" s="21"/>
      <c r="ERL244" s="15"/>
      <c r="ERM244" s="15"/>
      <c r="ERN244" s="15"/>
      <c r="ERO244" s="15"/>
      <c r="ERP244" s="15"/>
      <c r="ERQ244" s="15"/>
      <c r="ERR244" s="15"/>
      <c r="ERS244" s="15"/>
      <c r="ERT244" s="15"/>
      <c r="ERU244" s="15"/>
      <c r="ERV244" s="10"/>
      <c r="ERW244" s="10"/>
      <c r="ERX244" s="21"/>
      <c r="ERY244" s="21"/>
      <c r="ESB244" s="21"/>
      <c r="ESC244" s="15"/>
      <c r="ESD244" s="15"/>
      <c r="ESE244" s="15"/>
      <c r="ESF244" s="15"/>
      <c r="ESG244" s="15"/>
      <c r="ESH244" s="15"/>
      <c r="ESI244" s="15"/>
      <c r="ESJ244" s="15"/>
      <c r="ESK244" s="15"/>
      <c r="ESL244" s="15"/>
      <c r="ESM244" s="10"/>
      <c r="ESN244" s="10"/>
      <c r="ESO244" s="21"/>
      <c r="ESP244" s="21"/>
      <c r="ESS244" s="21"/>
      <c r="EST244" s="15"/>
      <c r="ESU244" s="15"/>
      <c r="ESV244" s="15"/>
      <c r="ESW244" s="15"/>
      <c r="ESX244" s="15"/>
      <c r="ESY244" s="15"/>
      <c r="ESZ244" s="15"/>
      <c r="ETA244" s="15"/>
      <c r="ETB244" s="15"/>
      <c r="ETC244" s="15"/>
      <c r="ETD244" s="10"/>
      <c r="ETE244" s="10"/>
      <c r="ETF244" s="21"/>
      <c r="ETG244" s="21"/>
      <c r="ETJ244" s="21"/>
      <c r="ETK244" s="15"/>
      <c r="ETL244" s="15"/>
      <c r="ETM244" s="15"/>
      <c r="ETN244" s="15"/>
      <c r="ETO244" s="15"/>
      <c r="ETP244" s="15"/>
      <c r="ETQ244" s="15"/>
      <c r="ETR244" s="15"/>
      <c r="ETS244" s="15"/>
      <c r="ETT244" s="15"/>
      <c r="ETU244" s="10"/>
      <c r="ETV244" s="10"/>
      <c r="ETW244" s="21"/>
      <c r="ETX244" s="21"/>
      <c r="EUA244" s="21"/>
      <c r="EUB244" s="15"/>
      <c r="EUC244" s="15"/>
      <c r="EUD244" s="15"/>
      <c r="EUE244" s="15"/>
      <c r="EUF244" s="15"/>
      <c r="EUG244" s="15"/>
      <c r="EUH244" s="15"/>
      <c r="EUI244" s="15"/>
      <c r="EUJ244" s="15"/>
      <c r="EUK244" s="15"/>
      <c r="EUL244" s="10"/>
      <c r="EUM244" s="10"/>
      <c r="EUN244" s="21"/>
      <c r="EUO244" s="21"/>
      <c r="EUR244" s="21"/>
      <c r="EUS244" s="15"/>
      <c r="EUT244" s="15"/>
      <c r="EUU244" s="15"/>
      <c r="EUV244" s="15"/>
      <c r="EUW244" s="15"/>
      <c r="EUX244" s="15"/>
      <c r="EUY244" s="15"/>
      <c r="EUZ244" s="15"/>
      <c r="EVA244" s="15"/>
      <c r="EVB244" s="15"/>
      <c r="EVC244" s="10"/>
      <c r="EVD244" s="10"/>
      <c r="EVE244" s="21"/>
      <c r="EVF244" s="21"/>
      <c r="EVI244" s="21"/>
      <c r="EVJ244" s="15"/>
      <c r="EVK244" s="15"/>
      <c r="EVL244" s="15"/>
      <c r="EVM244" s="15"/>
      <c r="EVN244" s="15"/>
      <c r="EVO244" s="15"/>
      <c r="EVP244" s="15"/>
      <c r="EVQ244" s="15"/>
      <c r="EVR244" s="15"/>
      <c r="EVS244" s="15"/>
      <c r="EVT244" s="10"/>
      <c r="EVU244" s="10"/>
      <c r="EVV244" s="21"/>
      <c r="EVW244" s="21"/>
      <c r="EVZ244" s="21"/>
      <c r="EWA244" s="15"/>
      <c r="EWB244" s="15"/>
      <c r="EWC244" s="15"/>
      <c r="EWD244" s="15"/>
      <c r="EWE244" s="15"/>
      <c r="EWF244" s="15"/>
      <c r="EWG244" s="15"/>
      <c r="EWH244" s="15"/>
      <c r="EWI244" s="15"/>
      <c r="EWJ244" s="15"/>
      <c r="EWK244" s="10"/>
      <c r="EWL244" s="10"/>
      <c r="EWM244" s="21"/>
      <c r="EWN244" s="21"/>
      <c r="EWQ244" s="21"/>
      <c r="EWR244" s="15"/>
      <c r="EWS244" s="15"/>
      <c r="EWT244" s="15"/>
      <c r="EWU244" s="15"/>
      <c r="EWV244" s="15"/>
      <c r="EWW244" s="15"/>
      <c r="EWX244" s="15"/>
      <c r="EWY244" s="15"/>
      <c r="EWZ244" s="15"/>
      <c r="EXA244" s="15"/>
      <c r="EXB244" s="10"/>
      <c r="EXC244" s="10"/>
      <c r="EXD244" s="21"/>
      <c r="EXE244" s="21"/>
      <c r="EXH244" s="21"/>
      <c r="EXI244" s="15"/>
      <c r="EXJ244" s="15"/>
      <c r="EXK244" s="15"/>
      <c r="EXL244" s="15"/>
      <c r="EXM244" s="15"/>
      <c r="EXN244" s="15"/>
      <c r="EXO244" s="15"/>
      <c r="EXP244" s="15"/>
      <c r="EXQ244" s="15"/>
      <c r="EXR244" s="15"/>
      <c r="EXS244" s="10"/>
      <c r="EXT244" s="10"/>
      <c r="EXU244" s="21"/>
      <c r="EXV244" s="21"/>
      <c r="EXY244" s="21"/>
      <c r="EXZ244" s="15"/>
      <c r="EYA244" s="15"/>
      <c r="EYB244" s="15"/>
      <c r="EYC244" s="15"/>
      <c r="EYD244" s="15"/>
      <c r="EYE244" s="15"/>
      <c r="EYF244" s="15"/>
      <c r="EYG244" s="15"/>
      <c r="EYH244" s="15"/>
      <c r="EYI244" s="15"/>
      <c r="EYJ244" s="10"/>
      <c r="EYK244" s="10"/>
      <c r="EYL244" s="21"/>
      <c r="EYM244" s="21"/>
      <c r="EYP244" s="21"/>
      <c r="EYQ244" s="15"/>
      <c r="EYR244" s="15"/>
      <c r="EYS244" s="15"/>
      <c r="EYT244" s="15"/>
      <c r="EYU244" s="15"/>
      <c r="EYV244" s="15"/>
      <c r="EYW244" s="15"/>
      <c r="EYX244" s="15"/>
      <c r="EYY244" s="15"/>
      <c r="EYZ244" s="15"/>
      <c r="EZA244" s="10"/>
      <c r="EZB244" s="10"/>
      <c r="EZC244" s="21"/>
      <c r="EZD244" s="21"/>
      <c r="EZG244" s="21"/>
      <c r="EZH244" s="15"/>
      <c r="EZI244" s="15"/>
      <c r="EZJ244" s="15"/>
      <c r="EZK244" s="15"/>
      <c r="EZL244" s="15"/>
      <c r="EZM244" s="15"/>
      <c r="EZN244" s="15"/>
      <c r="EZO244" s="15"/>
      <c r="EZP244" s="15"/>
      <c r="EZQ244" s="15"/>
      <c r="EZR244" s="10"/>
      <c r="EZS244" s="10"/>
      <c r="EZT244" s="21"/>
      <c r="EZU244" s="21"/>
      <c r="EZX244" s="21"/>
      <c r="EZY244" s="15"/>
      <c r="EZZ244" s="15"/>
      <c r="FAA244" s="15"/>
      <c r="FAB244" s="15"/>
      <c r="FAC244" s="15"/>
      <c r="FAD244" s="15"/>
      <c r="FAE244" s="15"/>
      <c r="FAF244" s="15"/>
      <c r="FAG244" s="15"/>
      <c r="FAH244" s="15"/>
      <c r="FAI244" s="10"/>
      <c r="FAJ244" s="10"/>
      <c r="FAK244" s="21"/>
      <c r="FAL244" s="21"/>
      <c r="FAO244" s="21"/>
      <c r="FAP244" s="15"/>
      <c r="FAQ244" s="15"/>
      <c r="FAR244" s="15"/>
      <c r="FAS244" s="15"/>
      <c r="FAT244" s="15"/>
      <c r="FAU244" s="15"/>
      <c r="FAV244" s="15"/>
      <c r="FAW244" s="15"/>
      <c r="FAX244" s="15"/>
      <c r="FAY244" s="15"/>
      <c r="FAZ244" s="10"/>
      <c r="FBA244" s="10"/>
      <c r="FBB244" s="21"/>
      <c r="FBC244" s="21"/>
      <c r="FBF244" s="21"/>
      <c r="FBG244" s="15"/>
      <c r="FBH244" s="15"/>
      <c r="FBI244" s="15"/>
      <c r="FBJ244" s="15"/>
      <c r="FBK244" s="15"/>
      <c r="FBL244" s="15"/>
      <c r="FBM244" s="15"/>
      <c r="FBN244" s="15"/>
      <c r="FBO244" s="15"/>
      <c r="FBP244" s="15"/>
      <c r="FBQ244" s="10"/>
      <c r="FBR244" s="10"/>
      <c r="FBS244" s="21"/>
      <c r="FBT244" s="21"/>
      <c r="FBW244" s="21"/>
      <c r="FBX244" s="15"/>
      <c r="FBY244" s="15"/>
      <c r="FBZ244" s="15"/>
      <c r="FCA244" s="15"/>
      <c r="FCB244" s="15"/>
      <c r="FCC244" s="15"/>
      <c r="FCD244" s="15"/>
      <c r="FCE244" s="15"/>
      <c r="FCF244" s="15"/>
      <c r="FCG244" s="15"/>
      <c r="FCH244" s="10"/>
      <c r="FCI244" s="10"/>
      <c r="FCJ244" s="21"/>
      <c r="FCK244" s="21"/>
      <c r="FCN244" s="21"/>
      <c r="FCO244" s="15"/>
      <c r="FCP244" s="15"/>
      <c r="FCQ244" s="15"/>
      <c r="FCR244" s="15"/>
      <c r="FCS244" s="15"/>
      <c r="FCT244" s="15"/>
      <c r="FCU244" s="15"/>
      <c r="FCV244" s="15"/>
      <c r="FCW244" s="15"/>
      <c r="FCX244" s="15"/>
      <c r="FCY244" s="10"/>
      <c r="FCZ244" s="10"/>
      <c r="FDA244" s="21"/>
      <c r="FDB244" s="21"/>
      <c r="FDE244" s="21"/>
      <c r="FDF244" s="15"/>
      <c r="FDG244" s="15"/>
      <c r="FDH244" s="15"/>
      <c r="FDI244" s="15"/>
      <c r="FDJ244" s="15"/>
      <c r="FDK244" s="15"/>
      <c r="FDL244" s="15"/>
      <c r="FDM244" s="15"/>
      <c r="FDN244" s="15"/>
      <c r="FDO244" s="15"/>
      <c r="FDP244" s="10"/>
      <c r="FDQ244" s="10"/>
      <c r="FDR244" s="21"/>
      <c r="FDS244" s="21"/>
      <c r="FDV244" s="21"/>
      <c r="FDW244" s="15"/>
      <c r="FDX244" s="15"/>
      <c r="FDY244" s="15"/>
      <c r="FDZ244" s="15"/>
      <c r="FEA244" s="15"/>
      <c r="FEB244" s="15"/>
      <c r="FEC244" s="15"/>
      <c r="FED244" s="15"/>
      <c r="FEE244" s="15"/>
      <c r="FEF244" s="15"/>
      <c r="FEG244" s="10"/>
      <c r="FEH244" s="10"/>
      <c r="FEI244" s="21"/>
      <c r="FEJ244" s="21"/>
      <c r="FEM244" s="21"/>
      <c r="FEN244" s="15"/>
      <c r="FEO244" s="15"/>
      <c r="FEP244" s="15"/>
      <c r="FEQ244" s="15"/>
      <c r="FER244" s="15"/>
      <c r="FES244" s="15"/>
      <c r="FET244" s="15"/>
      <c r="FEU244" s="15"/>
      <c r="FEV244" s="15"/>
      <c r="FEW244" s="15"/>
      <c r="FEX244" s="10"/>
      <c r="FEY244" s="10"/>
      <c r="FEZ244" s="21"/>
      <c r="FFA244" s="21"/>
      <c r="FFD244" s="21"/>
      <c r="FFE244" s="15"/>
      <c r="FFF244" s="15"/>
      <c r="FFG244" s="15"/>
      <c r="FFH244" s="15"/>
      <c r="FFI244" s="15"/>
      <c r="FFJ244" s="15"/>
      <c r="FFK244" s="15"/>
      <c r="FFL244" s="15"/>
      <c r="FFM244" s="15"/>
      <c r="FFN244" s="15"/>
      <c r="FFO244" s="10"/>
      <c r="FFP244" s="10"/>
      <c r="FFQ244" s="21"/>
      <c r="FFR244" s="21"/>
      <c r="FFU244" s="21"/>
      <c r="FFV244" s="15"/>
      <c r="FFW244" s="15"/>
      <c r="FFX244" s="15"/>
      <c r="FFY244" s="15"/>
      <c r="FFZ244" s="15"/>
      <c r="FGA244" s="15"/>
      <c r="FGB244" s="15"/>
      <c r="FGC244" s="15"/>
      <c r="FGD244" s="15"/>
      <c r="FGE244" s="15"/>
      <c r="FGF244" s="10"/>
      <c r="FGG244" s="10"/>
      <c r="FGH244" s="21"/>
      <c r="FGI244" s="21"/>
      <c r="FGL244" s="21"/>
      <c r="FGM244" s="15"/>
      <c r="FGN244" s="15"/>
      <c r="FGO244" s="15"/>
      <c r="FGP244" s="15"/>
      <c r="FGQ244" s="15"/>
      <c r="FGR244" s="15"/>
      <c r="FGS244" s="15"/>
      <c r="FGT244" s="15"/>
      <c r="FGU244" s="15"/>
      <c r="FGV244" s="15"/>
      <c r="FGW244" s="10"/>
      <c r="FGX244" s="10"/>
      <c r="FGY244" s="21"/>
      <c r="FGZ244" s="21"/>
      <c r="FHC244" s="21"/>
      <c r="FHD244" s="15"/>
      <c r="FHE244" s="15"/>
      <c r="FHF244" s="15"/>
      <c r="FHG244" s="15"/>
      <c r="FHH244" s="15"/>
      <c r="FHI244" s="15"/>
      <c r="FHJ244" s="15"/>
      <c r="FHK244" s="15"/>
      <c r="FHL244" s="15"/>
      <c r="FHM244" s="15"/>
      <c r="FHN244" s="10"/>
      <c r="FHO244" s="10"/>
      <c r="FHP244" s="21"/>
      <c r="FHQ244" s="21"/>
      <c r="FHT244" s="21"/>
      <c r="FHU244" s="15"/>
      <c r="FHV244" s="15"/>
      <c r="FHW244" s="15"/>
      <c r="FHX244" s="15"/>
      <c r="FHY244" s="15"/>
      <c r="FHZ244" s="15"/>
      <c r="FIA244" s="15"/>
      <c r="FIB244" s="15"/>
      <c r="FIC244" s="15"/>
      <c r="FID244" s="15"/>
      <c r="FIE244" s="10"/>
      <c r="FIF244" s="10"/>
      <c r="FIG244" s="21"/>
      <c r="FIH244" s="21"/>
      <c r="FIK244" s="21"/>
      <c r="FIL244" s="15"/>
      <c r="FIM244" s="15"/>
      <c r="FIN244" s="15"/>
      <c r="FIO244" s="15"/>
      <c r="FIP244" s="15"/>
      <c r="FIQ244" s="15"/>
      <c r="FIR244" s="15"/>
      <c r="FIS244" s="15"/>
      <c r="FIT244" s="15"/>
      <c r="FIU244" s="15"/>
      <c r="FIV244" s="10"/>
      <c r="FIW244" s="10"/>
      <c r="FIX244" s="21"/>
      <c r="FIY244" s="21"/>
      <c r="FJB244" s="21"/>
      <c r="FJC244" s="15"/>
      <c r="FJD244" s="15"/>
      <c r="FJE244" s="15"/>
      <c r="FJF244" s="15"/>
      <c r="FJG244" s="15"/>
      <c r="FJH244" s="15"/>
      <c r="FJI244" s="15"/>
      <c r="FJJ244" s="15"/>
      <c r="FJK244" s="15"/>
      <c r="FJL244" s="15"/>
      <c r="FJM244" s="10"/>
      <c r="FJN244" s="10"/>
      <c r="FJO244" s="21"/>
      <c r="FJP244" s="21"/>
      <c r="FJS244" s="21"/>
      <c r="FJT244" s="15"/>
      <c r="FJU244" s="15"/>
      <c r="FJV244" s="15"/>
      <c r="FJW244" s="15"/>
      <c r="FJX244" s="15"/>
      <c r="FJY244" s="15"/>
      <c r="FJZ244" s="15"/>
      <c r="FKA244" s="15"/>
      <c r="FKB244" s="15"/>
      <c r="FKC244" s="15"/>
      <c r="FKD244" s="10"/>
      <c r="FKE244" s="10"/>
      <c r="FKF244" s="21"/>
      <c r="FKG244" s="21"/>
      <c r="FKJ244" s="21"/>
      <c r="FKK244" s="15"/>
      <c r="FKL244" s="15"/>
      <c r="FKM244" s="15"/>
      <c r="FKN244" s="15"/>
      <c r="FKO244" s="15"/>
      <c r="FKP244" s="15"/>
      <c r="FKQ244" s="15"/>
      <c r="FKR244" s="15"/>
      <c r="FKS244" s="15"/>
      <c r="FKT244" s="15"/>
      <c r="FKU244" s="10"/>
      <c r="FKV244" s="10"/>
      <c r="FKW244" s="21"/>
      <c r="FKX244" s="21"/>
      <c r="FLA244" s="21"/>
      <c r="FLB244" s="15"/>
      <c r="FLC244" s="15"/>
      <c r="FLD244" s="15"/>
      <c r="FLE244" s="15"/>
      <c r="FLF244" s="15"/>
      <c r="FLG244" s="15"/>
      <c r="FLH244" s="15"/>
      <c r="FLI244" s="15"/>
      <c r="FLJ244" s="15"/>
      <c r="FLK244" s="15"/>
      <c r="FLL244" s="10"/>
      <c r="FLM244" s="10"/>
      <c r="FLN244" s="21"/>
      <c r="FLO244" s="21"/>
      <c r="FLR244" s="21"/>
      <c r="FLS244" s="15"/>
      <c r="FLT244" s="15"/>
      <c r="FLU244" s="15"/>
      <c r="FLV244" s="15"/>
      <c r="FLW244" s="15"/>
      <c r="FLX244" s="15"/>
      <c r="FLY244" s="15"/>
      <c r="FLZ244" s="15"/>
      <c r="FMA244" s="15"/>
      <c r="FMB244" s="15"/>
      <c r="FMC244" s="10"/>
      <c r="FMD244" s="10"/>
      <c r="FME244" s="21"/>
      <c r="FMF244" s="21"/>
      <c r="FMI244" s="21"/>
      <c r="FMJ244" s="15"/>
      <c r="FMK244" s="15"/>
      <c r="FML244" s="15"/>
      <c r="FMM244" s="15"/>
      <c r="FMN244" s="15"/>
      <c r="FMO244" s="15"/>
      <c r="FMP244" s="15"/>
      <c r="FMQ244" s="15"/>
      <c r="FMR244" s="15"/>
      <c r="FMS244" s="15"/>
      <c r="FMT244" s="10"/>
      <c r="FMU244" s="10"/>
      <c r="FMV244" s="21"/>
      <c r="FMW244" s="21"/>
      <c r="FMZ244" s="21"/>
      <c r="FNA244" s="15"/>
      <c r="FNB244" s="15"/>
      <c r="FNC244" s="15"/>
      <c r="FND244" s="15"/>
      <c r="FNE244" s="15"/>
      <c r="FNF244" s="15"/>
      <c r="FNG244" s="15"/>
      <c r="FNH244" s="15"/>
      <c r="FNI244" s="15"/>
      <c r="FNJ244" s="15"/>
      <c r="FNK244" s="10"/>
      <c r="FNL244" s="10"/>
      <c r="FNM244" s="21"/>
      <c r="FNN244" s="21"/>
      <c r="FNQ244" s="21"/>
      <c r="FNR244" s="15"/>
      <c r="FNS244" s="15"/>
      <c r="FNT244" s="15"/>
      <c r="FNU244" s="15"/>
      <c r="FNV244" s="15"/>
      <c r="FNW244" s="15"/>
      <c r="FNX244" s="15"/>
      <c r="FNY244" s="15"/>
      <c r="FNZ244" s="15"/>
      <c r="FOA244" s="15"/>
      <c r="FOB244" s="10"/>
      <c r="FOC244" s="10"/>
      <c r="FOD244" s="21"/>
      <c r="FOE244" s="21"/>
      <c r="FOH244" s="21"/>
      <c r="FOI244" s="15"/>
      <c r="FOJ244" s="15"/>
      <c r="FOK244" s="15"/>
      <c r="FOL244" s="15"/>
      <c r="FOM244" s="15"/>
      <c r="FON244" s="15"/>
      <c r="FOO244" s="15"/>
      <c r="FOP244" s="15"/>
      <c r="FOQ244" s="15"/>
      <c r="FOR244" s="15"/>
      <c r="FOS244" s="10"/>
      <c r="FOT244" s="10"/>
      <c r="FOU244" s="21"/>
      <c r="FOV244" s="21"/>
      <c r="FOY244" s="21"/>
      <c r="FOZ244" s="15"/>
      <c r="FPA244" s="15"/>
      <c r="FPB244" s="15"/>
      <c r="FPC244" s="15"/>
      <c r="FPD244" s="15"/>
      <c r="FPE244" s="15"/>
      <c r="FPF244" s="15"/>
      <c r="FPG244" s="15"/>
      <c r="FPH244" s="15"/>
      <c r="FPI244" s="15"/>
      <c r="FPJ244" s="10"/>
      <c r="FPK244" s="10"/>
      <c r="FPL244" s="21"/>
      <c r="FPM244" s="21"/>
      <c r="FPP244" s="21"/>
      <c r="FPQ244" s="15"/>
      <c r="FPR244" s="15"/>
      <c r="FPS244" s="15"/>
      <c r="FPT244" s="15"/>
      <c r="FPU244" s="15"/>
      <c r="FPV244" s="15"/>
      <c r="FPW244" s="15"/>
      <c r="FPX244" s="15"/>
      <c r="FPY244" s="15"/>
      <c r="FPZ244" s="15"/>
      <c r="FQA244" s="10"/>
      <c r="FQB244" s="10"/>
      <c r="FQC244" s="21"/>
      <c r="FQD244" s="21"/>
      <c r="FQG244" s="21"/>
      <c r="FQH244" s="15"/>
      <c r="FQI244" s="15"/>
      <c r="FQJ244" s="15"/>
      <c r="FQK244" s="15"/>
      <c r="FQL244" s="15"/>
      <c r="FQM244" s="15"/>
      <c r="FQN244" s="15"/>
      <c r="FQO244" s="15"/>
      <c r="FQP244" s="15"/>
      <c r="FQQ244" s="15"/>
      <c r="FQR244" s="10"/>
      <c r="FQS244" s="10"/>
      <c r="FQT244" s="21"/>
      <c r="FQU244" s="21"/>
      <c r="FQX244" s="21"/>
      <c r="FQY244" s="15"/>
      <c r="FQZ244" s="15"/>
      <c r="FRA244" s="15"/>
      <c r="FRB244" s="15"/>
      <c r="FRC244" s="15"/>
      <c r="FRD244" s="15"/>
      <c r="FRE244" s="15"/>
      <c r="FRF244" s="15"/>
      <c r="FRG244" s="15"/>
      <c r="FRH244" s="15"/>
      <c r="FRI244" s="10"/>
      <c r="FRJ244" s="10"/>
      <c r="FRK244" s="21"/>
      <c r="FRL244" s="21"/>
      <c r="FRO244" s="21"/>
      <c r="FRP244" s="15"/>
      <c r="FRQ244" s="15"/>
      <c r="FRR244" s="15"/>
      <c r="FRS244" s="15"/>
      <c r="FRT244" s="15"/>
      <c r="FRU244" s="15"/>
      <c r="FRV244" s="15"/>
      <c r="FRW244" s="15"/>
      <c r="FRX244" s="15"/>
      <c r="FRY244" s="15"/>
      <c r="FRZ244" s="10"/>
      <c r="FSA244" s="10"/>
      <c r="FSB244" s="21"/>
      <c r="FSC244" s="21"/>
      <c r="FSF244" s="21"/>
      <c r="FSG244" s="15"/>
      <c r="FSH244" s="15"/>
      <c r="FSI244" s="15"/>
      <c r="FSJ244" s="15"/>
      <c r="FSK244" s="15"/>
      <c r="FSL244" s="15"/>
      <c r="FSM244" s="15"/>
      <c r="FSN244" s="15"/>
      <c r="FSO244" s="15"/>
      <c r="FSP244" s="15"/>
      <c r="FSQ244" s="10"/>
      <c r="FSR244" s="10"/>
      <c r="FSS244" s="21"/>
      <c r="FST244" s="21"/>
      <c r="FSW244" s="21"/>
      <c r="FSX244" s="15"/>
      <c r="FSY244" s="15"/>
      <c r="FSZ244" s="15"/>
      <c r="FTA244" s="15"/>
      <c r="FTB244" s="15"/>
      <c r="FTC244" s="15"/>
      <c r="FTD244" s="15"/>
      <c r="FTE244" s="15"/>
      <c r="FTF244" s="15"/>
      <c r="FTG244" s="15"/>
      <c r="FTH244" s="10"/>
      <c r="FTI244" s="10"/>
      <c r="FTJ244" s="21"/>
      <c r="FTK244" s="21"/>
      <c r="FTN244" s="21"/>
      <c r="FTO244" s="15"/>
      <c r="FTP244" s="15"/>
      <c r="FTQ244" s="15"/>
      <c r="FTR244" s="15"/>
      <c r="FTS244" s="15"/>
      <c r="FTT244" s="15"/>
      <c r="FTU244" s="15"/>
      <c r="FTV244" s="15"/>
      <c r="FTW244" s="15"/>
      <c r="FTX244" s="15"/>
      <c r="FTY244" s="10"/>
      <c r="FTZ244" s="10"/>
      <c r="FUA244" s="21"/>
      <c r="FUB244" s="21"/>
      <c r="FUE244" s="21"/>
      <c r="FUF244" s="15"/>
      <c r="FUG244" s="15"/>
      <c r="FUH244" s="15"/>
      <c r="FUI244" s="15"/>
      <c r="FUJ244" s="15"/>
      <c r="FUK244" s="15"/>
      <c r="FUL244" s="15"/>
      <c r="FUM244" s="15"/>
      <c r="FUN244" s="15"/>
      <c r="FUO244" s="15"/>
      <c r="FUP244" s="10"/>
      <c r="FUQ244" s="10"/>
      <c r="FUR244" s="21"/>
      <c r="FUS244" s="21"/>
      <c r="FUV244" s="21"/>
      <c r="FUW244" s="15"/>
      <c r="FUX244" s="15"/>
      <c r="FUY244" s="15"/>
      <c r="FUZ244" s="15"/>
      <c r="FVA244" s="15"/>
      <c r="FVB244" s="15"/>
      <c r="FVC244" s="15"/>
      <c r="FVD244" s="15"/>
      <c r="FVE244" s="15"/>
      <c r="FVF244" s="15"/>
      <c r="FVG244" s="10"/>
      <c r="FVH244" s="10"/>
      <c r="FVI244" s="21"/>
      <c r="FVJ244" s="21"/>
      <c r="FVM244" s="21"/>
      <c r="FVN244" s="15"/>
      <c r="FVO244" s="15"/>
      <c r="FVP244" s="15"/>
      <c r="FVQ244" s="15"/>
      <c r="FVR244" s="15"/>
      <c r="FVS244" s="15"/>
      <c r="FVT244" s="15"/>
      <c r="FVU244" s="15"/>
      <c r="FVV244" s="15"/>
      <c r="FVW244" s="15"/>
      <c r="FVX244" s="10"/>
      <c r="FVY244" s="10"/>
      <c r="FVZ244" s="21"/>
      <c r="FWA244" s="21"/>
      <c r="FWD244" s="21"/>
      <c r="FWE244" s="15"/>
      <c r="FWF244" s="15"/>
      <c r="FWG244" s="15"/>
      <c r="FWH244" s="15"/>
      <c r="FWI244" s="15"/>
      <c r="FWJ244" s="15"/>
      <c r="FWK244" s="15"/>
      <c r="FWL244" s="15"/>
      <c r="FWM244" s="15"/>
      <c r="FWN244" s="15"/>
      <c r="FWO244" s="10"/>
      <c r="FWP244" s="10"/>
      <c r="FWQ244" s="21"/>
      <c r="FWR244" s="21"/>
      <c r="FWU244" s="21"/>
      <c r="FWV244" s="15"/>
      <c r="FWW244" s="15"/>
      <c r="FWX244" s="15"/>
      <c r="FWY244" s="15"/>
      <c r="FWZ244" s="15"/>
      <c r="FXA244" s="15"/>
      <c r="FXB244" s="15"/>
      <c r="FXC244" s="15"/>
      <c r="FXD244" s="15"/>
      <c r="FXE244" s="15"/>
      <c r="FXF244" s="10"/>
      <c r="FXG244" s="10"/>
      <c r="FXH244" s="21"/>
      <c r="FXI244" s="21"/>
      <c r="FXL244" s="21"/>
      <c r="FXM244" s="15"/>
      <c r="FXN244" s="15"/>
      <c r="FXO244" s="15"/>
      <c r="FXP244" s="15"/>
      <c r="FXQ244" s="15"/>
      <c r="FXR244" s="15"/>
      <c r="FXS244" s="15"/>
      <c r="FXT244" s="15"/>
      <c r="FXU244" s="15"/>
      <c r="FXV244" s="15"/>
      <c r="FXW244" s="10"/>
      <c r="FXX244" s="10"/>
      <c r="FXY244" s="21"/>
      <c r="FXZ244" s="21"/>
      <c r="FYC244" s="21"/>
      <c r="FYD244" s="15"/>
      <c r="FYE244" s="15"/>
      <c r="FYF244" s="15"/>
      <c r="FYG244" s="15"/>
      <c r="FYH244" s="15"/>
      <c r="FYI244" s="15"/>
      <c r="FYJ244" s="15"/>
      <c r="FYK244" s="15"/>
      <c r="FYL244" s="15"/>
      <c r="FYM244" s="15"/>
      <c r="FYN244" s="10"/>
      <c r="FYO244" s="10"/>
      <c r="FYP244" s="21"/>
      <c r="FYQ244" s="21"/>
      <c r="FYT244" s="21"/>
      <c r="FYU244" s="15"/>
      <c r="FYV244" s="15"/>
      <c r="FYW244" s="15"/>
      <c r="FYX244" s="15"/>
      <c r="FYY244" s="15"/>
      <c r="FYZ244" s="15"/>
      <c r="FZA244" s="15"/>
      <c r="FZB244" s="15"/>
      <c r="FZC244" s="15"/>
      <c r="FZD244" s="15"/>
      <c r="FZE244" s="10"/>
      <c r="FZF244" s="10"/>
      <c r="FZG244" s="21"/>
      <c r="FZH244" s="21"/>
      <c r="FZK244" s="21"/>
      <c r="FZL244" s="15"/>
      <c r="FZM244" s="15"/>
      <c r="FZN244" s="15"/>
      <c r="FZO244" s="15"/>
      <c r="FZP244" s="15"/>
      <c r="FZQ244" s="15"/>
      <c r="FZR244" s="15"/>
      <c r="FZS244" s="15"/>
      <c r="FZT244" s="15"/>
      <c r="FZU244" s="15"/>
      <c r="FZV244" s="10"/>
      <c r="FZW244" s="10"/>
      <c r="FZX244" s="21"/>
      <c r="FZY244" s="21"/>
      <c r="GAB244" s="21"/>
      <c r="GAC244" s="15"/>
      <c r="GAD244" s="15"/>
      <c r="GAE244" s="15"/>
      <c r="GAF244" s="15"/>
      <c r="GAG244" s="15"/>
      <c r="GAH244" s="15"/>
      <c r="GAI244" s="15"/>
      <c r="GAJ244" s="15"/>
      <c r="GAK244" s="15"/>
      <c r="GAL244" s="15"/>
      <c r="GAM244" s="10"/>
      <c r="GAN244" s="10"/>
      <c r="GAO244" s="21"/>
      <c r="GAP244" s="21"/>
      <c r="GAS244" s="21"/>
      <c r="GAT244" s="15"/>
      <c r="GAU244" s="15"/>
      <c r="GAV244" s="15"/>
      <c r="GAW244" s="15"/>
      <c r="GAX244" s="15"/>
      <c r="GAY244" s="15"/>
      <c r="GAZ244" s="15"/>
      <c r="GBA244" s="15"/>
      <c r="GBB244" s="15"/>
      <c r="GBC244" s="15"/>
      <c r="GBD244" s="10"/>
      <c r="GBE244" s="10"/>
      <c r="GBF244" s="21"/>
      <c r="GBG244" s="21"/>
      <c r="GBJ244" s="21"/>
      <c r="GBK244" s="15"/>
      <c r="GBL244" s="15"/>
      <c r="GBM244" s="15"/>
      <c r="GBN244" s="15"/>
      <c r="GBO244" s="15"/>
      <c r="GBP244" s="15"/>
      <c r="GBQ244" s="15"/>
      <c r="GBR244" s="15"/>
      <c r="GBS244" s="15"/>
      <c r="GBT244" s="15"/>
      <c r="GBU244" s="10"/>
      <c r="GBV244" s="10"/>
      <c r="GBW244" s="21"/>
      <c r="GBX244" s="21"/>
      <c r="GCA244" s="21"/>
      <c r="GCB244" s="15"/>
      <c r="GCC244" s="15"/>
      <c r="GCD244" s="15"/>
      <c r="GCE244" s="15"/>
      <c r="GCF244" s="15"/>
      <c r="GCG244" s="15"/>
      <c r="GCH244" s="15"/>
      <c r="GCI244" s="15"/>
      <c r="GCJ244" s="15"/>
      <c r="GCK244" s="15"/>
      <c r="GCL244" s="10"/>
      <c r="GCM244" s="10"/>
      <c r="GCN244" s="21"/>
      <c r="GCO244" s="21"/>
      <c r="GCR244" s="21"/>
      <c r="GCS244" s="15"/>
      <c r="GCT244" s="15"/>
      <c r="GCU244" s="15"/>
      <c r="GCV244" s="15"/>
      <c r="GCW244" s="15"/>
      <c r="GCX244" s="15"/>
      <c r="GCY244" s="15"/>
      <c r="GCZ244" s="15"/>
      <c r="GDA244" s="15"/>
      <c r="GDB244" s="15"/>
      <c r="GDC244" s="10"/>
      <c r="GDD244" s="10"/>
      <c r="GDE244" s="21"/>
      <c r="GDF244" s="21"/>
      <c r="GDI244" s="21"/>
      <c r="GDJ244" s="15"/>
      <c r="GDK244" s="15"/>
      <c r="GDL244" s="15"/>
      <c r="GDM244" s="15"/>
      <c r="GDN244" s="15"/>
      <c r="GDO244" s="15"/>
      <c r="GDP244" s="15"/>
      <c r="GDQ244" s="15"/>
      <c r="GDR244" s="15"/>
      <c r="GDS244" s="15"/>
      <c r="GDT244" s="10"/>
      <c r="GDU244" s="10"/>
      <c r="GDV244" s="21"/>
      <c r="GDW244" s="21"/>
      <c r="GDZ244" s="21"/>
      <c r="GEA244" s="15"/>
      <c r="GEB244" s="15"/>
      <c r="GEC244" s="15"/>
      <c r="GED244" s="15"/>
      <c r="GEE244" s="15"/>
      <c r="GEF244" s="15"/>
      <c r="GEG244" s="15"/>
      <c r="GEH244" s="15"/>
      <c r="GEI244" s="15"/>
      <c r="GEJ244" s="15"/>
      <c r="GEK244" s="10"/>
      <c r="GEL244" s="10"/>
      <c r="GEM244" s="21"/>
      <c r="GEN244" s="21"/>
      <c r="GEQ244" s="21"/>
      <c r="GER244" s="15"/>
      <c r="GES244" s="15"/>
      <c r="GET244" s="15"/>
      <c r="GEU244" s="15"/>
      <c r="GEV244" s="15"/>
      <c r="GEW244" s="15"/>
      <c r="GEX244" s="15"/>
      <c r="GEY244" s="15"/>
      <c r="GEZ244" s="15"/>
      <c r="GFA244" s="15"/>
      <c r="GFB244" s="10"/>
      <c r="GFC244" s="10"/>
      <c r="GFD244" s="21"/>
      <c r="GFE244" s="21"/>
      <c r="GFH244" s="21"/>
      <c r="GFI244" s="15"/>
      <c r="GFJ244" s="15"/>
      <c r="GFK244" s="15"/>
      <c r="GFL244" s="15"/>
      <c r="GFM244" s="15"/>
      <c r="GFN244" s="15"/>
      <c r="GFO244" s="15"/>
      <c r="GFP244" s="15"/>
      <c r="GFQ244" s="15"/>
      <c r="GFR244" s="15"/>
      <c r="GFS244" s="10"/>
      <c r="GFT244" s="10"/>
      <c r="GFU244" s="21"/>
      <c r="GFV244" s="21"/>
      <c r="GFY244" s="21"/>
      <c r="GFZ244" s="15"/>
      <c r="GGA244" s="15"/>
      <c r="GGB244" s="15"/>
      <c r="GGC244" s="15"/>
      <c r="GGD244" s="15"/>
      <c r="GGE244" s="15"/>
      <c r="GGF244" s="15"/>
      <c r="GGG244" s="15"/>
      <c r="GGH244" s="15"/>
      <c r="GGI244" s="15"/>
      <c r="GGJ244" s="10"/>
      <c r="GGK244" s="10"/>
      <c r="GGL244" s="21"/>
      <c r="GGM244" s="21"/>
      <c r="GGP244" s="21"/>
      <c r="GGQ244" s="15"/>
      <c r="GGR244" s="15"/>
      <c r="GGS244" s="15"/>
      <c r="GGT244" s="15"/>
      <c r="GGU244" s="15"/>
      <c r="GGV244" s="15"/>
      <c r="GGW244" s="15"/>
      <c r="GGX244" s="15"/>
      <c r="GGY244" s="15"/>
      <c r="GGZ244" s="15"/>
      <c r="GHA244" s="10"/>
      <c r="GHB244" s="10"/>
      <c r="GHC244" s="21"/>
      <c r="GHD244" s="21"/>
      <c r="GHG244" s="21"/>
      <c r="GHH244" s="15"/>
      <c r="GHI244" s="15"/>
      <c r="GHJ244" s="15"/>
      <c r="GHK244" s="15"/>
      <c r="GHL244" s="15"/>
      <c r="GHM244" s="15"/>
      <c r="GHN244" s="15"/>
      <c r="GHO244" s="15"/>
      <c r="GHP244" s="15"/>
      <c r="GHQ244" s="15"/>
      <c r="GHR244" s="10"/>
      <c r="GHS244" s="10"/>
      <c r="GHT244" s="21"/>
      <c r="GHU244" s="21"/>
      <c r="GHX244" s="21"/>
      <c r="GHY244" s="15"/>
      <c r="GHZ244" s="15"/>
      <c r="GIA244" s="15"/>
      <c r="GIB244" s="15"/>
      <c r="GIC244" s="15"/>
      <c r="GID244" s="15"/>
      <c r="GIE244" s="15"/>
      <c r="GIF244" s="15"/>
      <c r="GIG244" s="15"/>
      <c r="GIH244" s="15"/>
      <c r="GII244" s="10"/>
      <c r="GIJ244" s="10"/>
      <c r="GIK244" s="21"/>
      <c r="GIL244" s="21"/>
      <c r="GIO244" s="21"/>
      <c r="GIP244" s="15"/>
      <c r="GIQ244" s="15"/>
      <c r="GIR244" s="15"/>
      <c r="GIS244" s="15"/>
      <c r="GIT244" s="15"/>
      <c r="GIU244" s="15"/>
      <c r="GIV244" s="15"/>
      <c r="GIW244" s="15"/>
      <c r="GIX244" s="15"/>
      <c r="GIY244" s="15"/>
      <c r="GIZ244" s="10"/>
      <c r="GJA244" s="10"/>
      <c r="GJB244" s="21"/>
      <c r="GJC244" s="21"/>
      <c r="GJF244" s="21"/>
      <c r="GJG244" s="15"/>
      <c r="GJH244" s="15"/>
      <c r="GJI244" s="15"/>
      <c r="GJJ244" s="15"/>
      <c r="GJK244" s="15"/>
      <c r="GJL244" s="15"/>
      <c r="GJM244" s="15"/>
      <c r="GJN244" s="15"/>
      <c r="GJO244" s="15"/>
      <c r="GJP244" s="15"/>
      <c r="GJQ244" s="10"/>
      <c r="GJR244" s="10"/>
      <c r="GJS244" s="21"/>
      <c r="GJT244" s="21"/>
      <c r="GJW244" s="21"/>
      <c r="GJX244" s="15"/>
      <c r="GJY244" s="15"/>
      <c r="GJZ244" s="15"/>
      <c r="GKA244" s="15"/>
      <c r="GKB244" s="15"/>
      <c r="GKC244" s="15"/>
      <c r="GKD244" s="15"/>
      <c r="GKE244" s="15"/>
      <c r="GKF244" s="15"/>
      <c r="GKG244" s="15"/>
      <c r="GKH244" s="10"/>
      <c r="GKI244" s="10"/>
      <c r="GKJ244" s="21"/>
      <c r="GKK244" s="21"/>
      <c r="GKN244" s="21"/>
      <c r="GKO244" s="15"/>
      <c r="GKP244" s="15"/>
      <c r="GKQ244" s="15"/>
      <c r="GKR244" s="15"/>
      <c r="GKS244" s="15"/>
      <c r="GKT244" s="15"/>
      <c r="GKU244" s="15"/>
      <c r="GKV244" s="15"/>
      <c r="GKW244" s="15"/>
      <c r="GKX244" s="15"/>
      <c r="GKY244" s="10"/>
      <c r="GKZ244" s="10"/>
      <c r="GLA244" s="21"/>
      <c r="GLB244" s="21"/>
      <c r="GLE244" s="21"/>
      <c r="GLF244" s="15"/>
      <c r="GLG244" s="15"/>
      <c r="GLH244" s="15"/>
      <c r="GLI244" s="15"/>
      <c r="GLJ244" s="15"/>
      <c r="GLK244" s="15"/>
      <c r="GLL244" s="15"/>
      <c r="GLM244" s="15"/>
      <c r="GLN244" s="15"/>
      <c r="GLO244" s="15"/>
      <c r="GLP244" s="10"/>
      <c r="GLQ244" s="10"/>
      <c r="GLR244" s="21"/>
      <c r="GLS244" s="21"/>
      <c r="GLV244" s="21"/>
      <c r="GLW244" s="15"/>
      <c r="GLX244" s="15"/>
      <c r="GLY244" s="15"/>
      <c r="GLZ244" s="15"/>
      <c r="GMA244" s="15"/>
      <c r="GMB244" s="15"/>
      <c r="GMC244" s="15"/>
      <c r="GMD244" s="15"/>
      <c r="GME244" s="15"/>
      <c r="GMF244" s="15"/>
      <c r="GMG244" s="10"/>
      <c r="GMH244" s="10"/>
      <c r="GMI244" s="21"/>
      <c r="GMJ244" s="21"/>
      <c r="GMM244" s="21"/>
      <c r="GMN244" s="15"/>
      <c r="GMO244" s="15"/>
      <c r="GMP244" s="15"/>
      <c r="GMQ244" s="15"/>
      <c r="GMR244" s="15"/>
      <c r="GMS244" s="15"/>
      <c r="GMT244" s="15"/>
      <c r="GMU244" s="15"/>
      <c r="GMV244" s="15"/>
      <c r="GMW244" s="15"/>
      <c r="GMX244" s="10"/>
      <c r="GMY244" s="10"/>
      <c r="GMZ244" s="21"/>
      <c r="GNA244" s="21"/>
      <c r="GND244" s="21"/>
      <c r="GNE244" s="15"/>
      <c r="GNF244" s="15"/>
      <c r="GNG244" s="15"/>
      <c r="GNH244" s="15"/>
      <c r="GNI244" s="15"/>
      <c r="GNJ244" s="15"/>
      <c r="GNK244" s="15"/>
      <c r="GNL244" s="15"/>
      <c r="GNM244" s="15"/>
      <c r="GNN244" s="15"/>
      <c r="GNO244" s="10"/>
      <c r="GNP244" s="10"/>
      <c r="GNQ244" s="21"/>
      <c r="GNR244" s="21"/>
      <c r="GNU244" s="21"/>
      <c r="GNV244" s="15"/>
      <c r="GNW244" s="15"/>
      <c r="GNX244" s="15"/>
      <c r="GNY244" s="15"/>
      <c r="GNZ244" s="15"/>
      <c r="GOA244" s="15"/>
      <c r="GOB244" s="15"/>
      <c r="GOC244" s="15"/>
      <c r="GOD244" s="15"/>
      <c r="GOE244" s="15"/>
      <c r="GOF244" s="10"/>
      <c r="GOG244" s="10"/>
      <c r="GOH244" s="21"/>
      <c r="GOI244" s="21"/>
      <c r="GOL244" s="21"/>
      <c r="GOM244" s="15"/>
      <c r="GON244" s="15"/>
      <c r="GOO244" s="15"/>
      <c r="GOP244" s="15"/>
      <c r="GOQ244" s="15"/>
      <c r="GOR244" s="15"/>
      <c r="GOS244" s="15"/>
      <c r="GOT244" s="15"/>
      <c r="GOU244" s="15"/>
      <c r="GOV244" s="15"/>
      <c r="GOW244" s="10"/>
      <c r="GOX244" s="10"/>
      <c r="GOY244" s="21"/>
      <c r="GOZ244" s="21"/>
      <c r="GPC244" s="21"/>
      <c r="GPD244" s="15"/>
      <c r="GPE244" s="15"/>
      <c r="GPF244" s="15"/>
      <c r="GPG244" s="15"/>
      <c r="GPH244" s="15"/>
      <c r="GPI244" s="15"/>
      <c r="GPJ244" s="15"/>
      <c r="GPK244" s="15"/>
      <c r="GPL244" s="15"/>
      <c r="GPM244" s="15"/>
      <c r="GPN244" s="10"/>
      <c r="GPO244" s="10"/>
      <c r="GPP244" s="21"/>
      <c r="GPQ244" s="21"/>
      <c r="GPT244" s="21"/>
      <c r="GPU244" s="15"/>
      <c r="GPV244" s="15"/>
      <c r="GPW244" s="15"/>
      <c r="GPX244" s="15"/>
      <c r="GPY244" s="15"/>
      <c r="GPZ244" s="15"/>
      <c r="GQA244" s="15"/>
      <c r="GQB244" s="15"/>
      <c r="GQC244" s="15"/>
      <c r="GQD244" s="15"/>
      <c r="GQE244" s="10"/>
      <c r="GQF244" s="10"/>
      <c r="GQG244" s="21"/>
      <c r="GQH244" s="21"/>
      <c r="GQK244" s="21"/>
      <c r="GQL244" s="15"/>
      <c r="GQM244" s="15"/>
      <c r="GQN244" s="15"/>
      <c r="GQO244" s="15"/>
      <c r="GQP244" s="15"/>
      <c r="GQQ244" s="15"/>
      <c r="GQR244" s="15"/>
      <c r="GQS244" s="15"/>
      <c r="GQT244" s="15"/>
      <c r="GQU244" s="15"/>
      <c r="GQV244" s="10"/>
      <c r="GQW244" s="10"/>
      <c r="GQX244" s="21"/>
      <c r="GQY244" s="21"/>
      <c r="GRB244" s="21"/>
      <c r="GRC244" s="15"/>
      <c r="GRD244" s="15"/>
      <c r="GRE244" s="15"/>
      <c r="GRF244" s="15"/>
      <c r="GRG244" s="15"/>
      <c r="GRH244" s="15"/>
      <c r="GRI244" s="15"/>
      <c r="GRJ244" s="15"/>
      <c r="GRK244" s="15"/>
      <c r="GRL244" s="15"/>
      <c r="GRM244" s="10"/>
      <c r="GRN244" s="10"/>
      <c r="GRO244" s="21"/>
      <c r="GRP244" s="21"/>
      <c r="GRS244" s="21"/>
      <c r="GRT244" s="15"/>
      <c r="GRU244" s="15"/>
      <c r="GRV244" s="15"/>
      <c r="GRW244" s="15"/>
      <c r="GRX244" s="15"/>
      <c r="GRY244" s="15"/>
      <c r="GRZ244" s="15"/>
      <c r="GSA244" s="15"/>
      <c r="GSB244" s="15"/>
      <c r="GSC244" s="15"/>
      <c r="GSD244" s="10"/>
      <c r="GSE244" s="10"/>
      <c r="GSF244" s="21"/>
      <c r="GSG244" s="21"/>
      <c r="GSJ244" s="21"/>
      <c r="GSK244" s="15"/>
      <c r="GSL244" s="15"/>
      <c r="GSM244" s="15"/>
      <c r="GSN244" s="15"/>
      <c r="GSO244" s="15"/>
      <c r="GSP244" s="15"/>
      <c r="GSQ244" s="15"/>
      <c r="GSR244" s="15"/>
      <c r="GSS244" s="15"/>
      <c r="GST244" s="15"/>
      <c r="GSU244" s="10"/>
      <c r="GSV244" s="10"/>
      <c r="GSW244" s="21"/>
      <c r="GSX244" s="21"/>
      <c r="GTA244" s="21"/>
      <c r="GTB244" s="15"/>
      <c r="GTC244" s="15"/>
      <c r="GTD244" s="15"/>
      <c r="GTE244" s="15"/>
      <c r="GTF244" s="15"/>
      <c r="GTG244" s="15"/>
      <c r="GTH244" s="15"/>
      <c r="GTI244" s="15"/>
      <c r="GTJ244" s="15"/>
      <c r="GTK244" s="15"/>
      <c r="GTL244" s="10"/>
      <c r="GTM244" s="10"/>
      <c r="GTN244" s="21"/>
      <c r="GTO244" s="21"/>
      <c r="GTR244" s="21"/>
      <c r="GTS244" s="15"/>
      <c r="GTT244" s="15"/>
      <c r="GTU244" s="15"/>
      <c r="GTV244" s="15"/>
      <c r="GTW244" s="15"/>
      <c r="GTX244" s="15"/>
      <c r="GTY244" s="15"/>
      <c r="GTZ244" s="15"/>
      <c r="GUA244" s="15"/>
      <c r="GUB244" s="15"/>
      <c r="GUC244" s="10"/>
      <c r="GUD244" s="10"/>
      <c r="GUE244" s="21"/>
      <c r="GUF244" s="21"/>
      <c r="GUI244" s="21"/>
      <c r="GUJ244" s="15"/>
      <c r="GUK244" s="15"/>
      <c r="GUL244" s="15"/>
      <c r="GUM244" s="15"/>
      <c r="GUN244" s="15"/>
      <c r="GUO244" s="15"/>
      <c r="GUP244" s="15"/>
      <c r="GUQ244" s="15"/>
      <c r="GUR244" s="15"/>
      <c r="GUS244" s="15"/>
      <c r="GUT244" s="10"/>
      <c r="GUU244" s="10"/>
      <c r="GUV244" s="21"/>
      <c r="GUW244" s="21"/>
      <c r="GUZ244" s="21"/>
      <c r="GVA244" s="15"/>
      <c r="GVB244" s="15"/>
      <c r="GVC244" s="15"/>
      <c r="GVD244" s="15"/>
      <c r="GVE244" s="15"/>
      <c r="GVF244" s="15"/>
      <c r="GVG244" s="15"/>
      <c r="GVH244" s="15"/>
      <c r="GVI244" s="15"/>
      <c r="GVJ244" s="15"/>
      <c r="GVK244" s="10"/>
      <c r="GVL244" s="10"/>
      <c r="GVM244" s="21"/>
      <c r="GVN244" s="21"/>
      <c r="GVQ244" s="21"/>
      <c r="GVR244" s="15"/>
      <c r="GVS244" s="15"/>
      <c r="GVT244" s="15"/>
      <c r="GVU244" s="15"/>
      <c r="GVV244" s="15"/>
      <c r="GVW244" s="15"/>
      <c r="GVX244" s="15"/>
      <c r="GVY244" s="15"/>
      <c r="GVZ244" s="15"/>
      <c r="GWA244" s="15"/>
      <c r="GWB244" s="10"/>
      <c r="GWC244" s="10"/>
      <c r="GWD244" s="21"/>
      <c r="GWE244" s="21"/>
      <c r="GWH244" s="21"/>
      <c r="GWI244" s="15"/>
      <c r="GWJ244" s="15"/>
      <c r="GWK244" s="15"/>
      <c r="GWL244" s="15"/>
      <c r="GWM244" s="15"/>
      <c r="GWN244" s="15"/>
      <c r="GWO244" s="15"/>
      <c r="GWP244" s="15"/>
      <c r="GWQ244" s="15"/>
      <c r="GWR244" s="15"/>
      <c r="GWS244" s="10"/>
      <c r="GWT244" s="10"/>
      <c r="GWU244" s="21"/>
      <c r="GWV244" s="21"/>
      <c r="GWY244" s="21"/>
      <c r="GWZ244" s="15"/>
      <c r="GXA244" s="15"/>
      <c r="GXB244" s="15"/>
      <c r="GXC244" s="15"/>
      <c r="GXD244" s="15"/>
      <c r="GXE244" s="15"/>
      <c r="GXF244" s="15"/>
      <c r="GXG244" s="15"/>
      <c r="GXH244" s="15"/>
      <c r="GXI244" s="15"/>
      <c r="GXJ244" s="10"/>
      <c r="GXK244" s="10"/>
      <c r="GXL244" s="21"/>
      <c r="GXM244" s="21"/>
      <c r="GXP244" s="21"/>
      <c r="GXQ244" s="15"/>
      <c r="GXR244" s="15"/>
      <c r="GXS244" s="15"/>
      <c r="GXT244" s="15"/>
      <c r="GXU244" s="15"/>
      <c r="GXV244" s="15"/>
      <c r="GXW244" s="15"/>
      <c r="GXX244" s="15"/>
      <c r="GXY244" s="15"/>
      <c r="GXZ244" s="15"/>
      <c r="GYA244" s="10"/>
      <c r="GYB244" s="10"/>
      <c r="GYC244" s="21"/>
      <c r="GYD244" s="21"/>
      <c r="GYG244" s="21"/>
      <c r="GYH244" s="15"/>
      <c r="GYI244" s="15"/>
      <c r="GYJ244" s="15"/>
      <c r="GYK244" s="15"/>
      <c r="GYL244" s="15"/>
      <c r="GYM244" s="15"/>
      <c r="GYN244" s="15"/>
      <c r="GYO244" s="15"/>
      <c r="GYP244" s="15"/>
      <c r="GYQ244" s="15"/>
      <c r="GYR244" s="10"/>
      <c r="GYS244" s="10"/>
      <c r="GYT244" s="21"/>
      <c r="GYU244" s="21"/>
      <c r="GYX244" s="21"/>
      <c r="GYY244" s="15"/>
      <c r="GYZ244" s="15"/>
      <c r="GZA244" s="15"/>
      <c r="GZB244" s="15"/>
      <c r="GZC244" s="15"/>
      <c r="GZD244" s="15"/>
      <c r="GZE244" s="15"/>
      <c r="GZF244" s="15"/>
      <c r="GZG244" s="15"/>
      <c r="GZH244" s="15"/>
      <c r="GZI244" s="10"/>
      <c r="GZJ244" s="10"/>
      <c r="GZK244" s="21"/>
      <c r="GZL244" s="21"/>
      <c r="GZO244" s="21"/>
      <c r="GZP244" s="15"/>
      <c r="GZQ244" s="15"/>
      <c r="GZR244" s="15"/>
      <c r="GZS244" s="15"/>
      <c r="GZT244" s="15"/>
      <c r="GZU244" s="15"/>
      <c r="GZV244" s="15"/>
      <c r="GZW244" s="15"/>
      <c r="GZX244" s="15"/>
      <c r="GZY244" s="15"/>
      <c r="GZZ244" s="10"/>
      <c r="HAA244" s="10"/>
      <c r="HAB244" s="21"/>
      <c r="HAC244" s="21"/>
      <c r="HAF244" s="21"/>
      <c r="HAG244" s="15"/>
      <c r="HAH244" s="15"/>
      <c r="HAI244" s="15"/>
      <c r="HAJ244" s="15"/>
      <c r="HAK244" s="15"/>
      <c r="HAL244" s="15"/>
      <c r="HAM244" s="15"/>
      <c r="HAN244" s="15"/>
      <c r="HAO244" s="15"/>
      <c r="HAP244" s="15"/>
      <c r="HAQ244" s="10"/>
      <c r="HAR244" s="10"/>
      <c r="HAS244" s="21"/>
      <c r="HAT244" s="21"/>
      <c r="HAW244" s="21"/>
      <c r="HAX244" s="15"/>
      <c r="HAY244" s="15"/>
      <c r="HAZ244" s="15"/>
      <c r="HBA244" s="15"/>
      <c r="HBB244" s="15"/>
      <c r="HBC244" s="15"/>
      <c r="HBD244" s="15"/>
      <c r="HBE244" s="15"/>
      <c r="HBF244" s="15"/>
      <c r="HBG244" s="15"/>
      <c r="HBH244" s="10"/>
      <c r="HBI244" s="10"/>
      <c r="HBJ244" s="21"/>
      <c r="HBK244" s="21"/>
      <c r="HBN244" s="21"/>
      <c r="HBO244" s="15"/>
      <c r="HBP244" s="15"/>
      <c r="HBQ244" s="15"/>
      <c r="HBR244" s="15"/>
      <c r="HBS244" s="15"/>
      <c r="HBT244" s="15"/>
      <c r="HBU244" s="15"/>
      <c r="HBV244" s="15"/>
      <c r="HBW244" s="15"/>
      <c r="HBX244" s="15"/>
      <c r="HBY244" s="10"/>
      <c r="HBZ244" s="10"/>
      <c r="HCA244" s="21"/>
      <c r="HCB244" s="21"/>
      <c r="HCE244" s="21"/>
      <c r="HCF244" s="15"/>
      <c r="HCG244" s="15"/>
      <c r="HCH244" s="15"/>
      <c r="HCI244" s="15"/>
      <c r="HCJ244" s="15"/>
      <c r="HCK244" s="15"/>
      <c r="HCL244" s="15"/>
      <c r="HCM244" s="15"/>
      <c r="HCN244" s="15"/>
      <c r="HCO244" s="15"/>
      <c r="HCP244" s="10"/>
      <c r="HCQ244" s="10"/>
      <c r="HCR244" s="21"/>
      <c r="HCS244" s="21"/>
      <c r="HCV244" s="21"/>
      <c r="HCW244" s="15"/>
      <c r="HCX244" s="15"/>
      <c r="HCY244" s="15"/>
      <c r="HCZ244" s="15"/>
      <c r="HDA244" s="15"/>
      <c r="HDB244" s="15"/>
      <c r="HDC244" s="15"/>
      <c r="HDD244" s="15"/>
      <c r="HDE244" s="15"/>
      <c r="HDF244" s="15"/>
      <c r="HDG244" s="10"/>
      <c r="HDH244" s="10"/>
      <c r="HDI244" s="21"/>
      <c r="HDJ244" s="21"/>
      <c r="HDM244" s="21"/>
      <c r="HDN244" s="15"/>
      <c r="HDO244" s="15"/>
      <c r="HDP244" s="15"/>
      <c r="HDQ244" s="15"/>
      <c r="HDR244" s="15"/>
      <c r="HDS244" s="15"/>
      <c r="HDT244" s="15"/>
      <c r="HDU244" s="15"/>
      <c r="HDV244" s="15"/>
      <c r="HDW244" s="15"/>
      <c r="HDX244" s="10"/>
      <c r="HDY244" s="10"/>
      <c r="HDZ244" s="21"/>
      <c r="HEA244" s="21"/>
      <c r="HED244" s="21"/>
      <c r="HEE244" s="15"/>
      <c r="HEF244" s="15"/>
      <c r="HEG244" s="15"/>
      <c r="HEH244" s="15"/>
      <c r="HEI244" s="15"/>
      <c r="HEJ244" s="15"/>
      <c r="HEK244" s="15"/>
      <c r="HEL244" s="15"/>
      <c r="HEM244" s="15"/>
      <c r="HEN244" s="15"/>
      <c r="HEO244" s="10"/>
      <c r="HEP244" s="10"/>
      <c r="HEQ244" s="21"/>
      <c r="HER244" s="21"/>
      <c r="HEU244" s="21"/>
      <c r="HEV244" s="15"/>
      <c r="HEW244" s="15"/>
      <c r="HEX244" s="15"/>
      <c r="HEY244" s="15"/>
      <c r="HEZ244" s="15"/>
      <c r="HFA244" s="15"/>
      <c r="HFB244" s="15"/>
      <c r="HFC244" s="15"/>
      <c r="HFD244" s="15"/>
      <c r="HFE244" s="15"/>
      <c r="HFF244" s="10"/>
      <c r="HFG244" s="10"/>
      <c r="HFH244" s="21"/>
      <c r="HFI244" s="21"/>
      <c r="HFL244" s="21"/>
      <c r="HFM244" s="15"/>
      <c r="HFN244" s="15"/>
      <c r="HFO244" s="15"/>
      <c r="HFP244" s="15"/>
      <c r="HFQ244" s="15"/>
      <c r="HFR244" s="15"/>
      <c r="HFS244" s="15"/>
      <c r="HFT244" s="15"/>
      <c r="HFU244" s="15"/>
      <c r="HFV244" s="15"/>
      <c r="HFW244" s="10"/>
      <c r="HFX244" s="10"/>
      <c r="HFY244" s="21"/>
      <c r="HFZ244" s="21"/>
      <c r="HGC244" s="21"/>
      <c r="HGD244" s="15"/>
      <c r="HGE244" s="15"/>
      <c r="HGF244" s="15"/>
      <c r="HGG244" s="15"/>
      <c r="HGH244" s="15"/>
      <c r="HGI244" s="15"/>
      <c r="HGJ244" s="15"/>
      <c r="HGK244" s="15"/>
      <c r="HGL244" s="15"/>
      <c r="HGM244" s="15"/>
      <c r="HGN244" s="10"/>
      <c r="HGO244" s="10"/>
      <c r="HGP244" s="21"/>
      <c r="HGQ244" s="21"/>
      <c r="HGT244" s="21"/>
      <c r="HGU244" s="15"/>
      <c r="HGV244" s="15"/>
      <c r="HGW244" s="15"/>
      <c r="HGX244" s="15"/>
      <c r="HGY244" s="15"/>
      <c r="HGZ244" s="15"/>
      <c r="HHA244" s="15"/>
      <c r="HHB244" s="15"/>
      <c r="HHC244" s="15"/>
      <c r="HHD244" s="15"/>
      <c r="HHE244" s="10"/>
      <c r="HHF244" s="10"/>
      <c r="HHG244" s="21"/>
      <c r="HHH244" s="21"/>
      <c r="HHK244" s="21"/>
      <c r="HHL244" s="15"/>
      <c r="HHM244" s="15"/>
      <c r="HHN244" s="15"/>
      <c r="HHO244" s="15"/>
      <c r="HHP244" s="15"/>
      <c r="HHQ244" s="15"/>
      <c r="HHR244" s="15"/>
      <c r="HHS244" s="15"/>
      <c r="HHT244" s="15"/>
      <c r="HHU244" s="15"/>
      <c r="HHV244" s="10"/>
      <c r="HHW244" s="10"/>
      <c r="HHX244" s="21"/>
      <c r="HHY244" s="21"/>
      <c r="HIB244" s="21"/>
      <c r="HIC244" s="15"/>
      <c r="HID244" s="15"/>
      <c r="HIE244" s="15"/>
      <c r="HIF244" s="15"/>
      <c r="HIG244" s="15"/>
      <c r="HIH244" s="15"/>
      <c r="HII244" s="15"/>
      <c r="HIJ244" s="15"/>
      <c r="HIK244" s="15"/>
      <c r="HIL244" s="15"/>
      <c r="HIM244" s="10"/>
      <c r="HIN244" s="10"/>
      <c r="HIO244" s="21"/>
      <c r="HIP244" s="21"/>
      <c r="HIS244" s="21"/>
      <c r="HIT244" s="15"/>
      <c r="HIU244" s="15"/>
      <c r="HIV244" s="15"/>
      <c r="HIW244" s="15"/>
      <c r="HIX244" s="15"/>
      <c r="HIY244" s="15"/>
      <c r="HIZ244" s="15"/>
      <c r="HJA244" s="15"/>
      <c r="HJB244" s="15"/>
      <c r="HJC244" s="15"/>
      <c r="HJD244" s="10"/>
      <c r="HJE244" s="10"/>
      <c r="HJF244" s="21"/>
      <c r="HJG244" s="21"/>
      <c r="HJJ244" s="21"/>
      <c r="HJK244" s="15"/>
      <c r="HJL244" s="15"/>
      <c r="HJM244" s="15"/>
      <c r="HJN244" s="15"/>
      <c r="HJO244" s="15"/>
      <c r="HJP244" s="15"/>
      <c r="HJQ244" s="15"/>
      <c r="HJR244" s="15"/>
      <c r="HJS244" s="15"/>
      <c r="HJT244" s="15"/>
      <c r="HJU244" s="10"/>
      <c r="HJV244" s="10"/>
      <c r="HJW244" s="21"/>
      <c r="HJX244" s="21"/>
      <c r="HKA244" s="21"/>
      <c r="HKB244" s="15"/>
      <c r="HKC244" s="15"/>
      <c r="HKD244" s="15"/>
      <c r="HKE244" s="15"/>
      <c r="HKF244" s="15"/>
      <c r="HKG244" s="15"/>
      <c r="HKH244" s="15"/>
      <c r="HKI244" s="15"/>
      <c r="HKJ244" s="15"/>
      <c r="HKK244" s="15"/>
      <c r="HKL244" s="10"/>
      <c r="HKM244" s="10"/>
      <c r="HKN244" s="21"/>
      <c r="HKO244" s="21"/>
      <c r="HKR244" s="21"/>
      <c r="HKS244" s="15"/>
      <c r="HKT244" s="15"/>
      <c r="HKU244" s="15"/>
      <c r="HKV244" s="15"/>
      <c r="HKW244" s="15"/>
      <c r="HKX244" s="15"/>
      <c r="HKY244" s="15"/>
      <c r="HKZ244" s="15"/>
      <c r="HLA244" s="15"/>
      <c r="HLB244" s="15"/>
      <c r="HLC244" s="10"/>
      <c r="HLD244" s="10"/>
      <c r="HLE244" s="21"/>
      <c r="HLF244" s="21"/>
      <c r="HLI244" s="21"/>
      <c r="HLJ244" s="15"/>
      <c r="HLK244" s="15"/>
      <c r="HLL244" s="15"/>
      <c r="HLM244" s="15"/>
      <c r="HLN244" s="15"/>
      <c r="HLO244" s="15"/>
      <c r="HLP244" s="15"/>
      <c r="HLQ244" s="15"/>
      <c r="HLR244" s="15"/>
      <c r="HLS244" s="15"/>
      <c r="HLT244" s="10"/>
      <c r="HLU244" s="10"/>
      <c r="HLV244" s="21"/>
      <c r="HLW244" s="21"/>
      <c r="HLZ244" s="21"/>
      <c r="HMA244" s="15"/>
      <c r="HMB244" s="15"/>
      <c r="HMC244" s="15"/>
      <c r="HMD244" s="15"/>
      <c r="HME244" s="15"/>
      <c r="HMF244" s="15"/>
      <c r="HMG244" s="15"/>
      <c r="HMH244" s="15"/>
      <c r="HMI244" s="15"/>
      <c r="HMJ244" s="15"/>
      <c r="HMK244" s="10"/>
      <c r="HML244" s="10"/>
      <c r="HMM244" s="21"/>
      <c r="HMN244" s="21"/>
      <c r="HMQ244" s="21"/>
      <c r="HMR244" s="15"/>
      <c r="HMS244" s="15"/>
      <c r="HMT244" s="15"/>
      <c r="HMU244" s="15"/>
      <c r="HMV244" s="15"/>
      <c r="HMW244" s="15"/>
      <c r="HMX244" s="15"/>
      <c r="HMY244" s="15"/>
      <c r="HMZ244" s="15"/>
      <c r="HNA244" s="15"/>
      <c r="HNB244" s="10"/>
      <c r="HNC244" s="10"/>
      <c r="HND244" s="21"/>
      <c r="HNE244" s="21"/>
      <c r="HNH244" s="21"/>
      <c r="HNI244" s="15"/>
      <c r="HNJ244" s="15"/>
      <c r="HNK244" s="15"/>
      <c r="HNL244" s="15"/>
      <c r="HNM244" s="15"/>
      <c r="HNN244" s="15"/>
      <c r="HNO244" s="15"/>
      <c r="HNP244" s="15"/>
      <c r="HNQ244" s="15"/>
      <c r="HNR244" s="15"/>
      <c r="HNS244" s="10"/>
      <c r="HNT244" s="10"/>
      <c r="HNU244" s="21"/>
      <c r="HNV244" s="21"/>
      <c r="HNY244" s="21"/>
      <c r="HNZ244" s="15"/>
      <c r="HOA244" s="15"/>
      <c r="HOB244" s="15"/>
      <c r="HOC244" s="15"/>
      <c r="HOD244" s="15"/>
      <c r="HOE244" s="15"/>
      <c r="HOF244" s="15"/>
      <c r="HOG244" s="15"/>
      <c r="HOH244" s="15"/>
      <c r="HOI244" s="15"/>
      <c r="HOJ244" s="10"/>
      <c r="HOK244" s="10"/>
      <c r="HOL244" s="21"/>
      <c r="HOM244" s="21"/>
      <c r="HOP244" s="21"/>
      <c r="HOQ244" s="15"/>
      <c r="HOR244" s="15"/>
      <c r="HOS244" s="15"/>
      <c r="HOT244" s="15"/>
      <c r="HOU244" s="15"/>
      <c r="HOV244" s="15"/>
      <c r="HOW244" s="15"/>
      <c r="HOX244" s="15"/>
      <c r="HOY244" s="15"/>
      <c r="HOZ244" s="15"/>
      <c r="HPA244" s="10"/>
      <c r="HPB244" s="10"/>
      <c r="HPC244" s="21"/>
      <c r="HPD244" s="21"/>
      <c r="HPG244" s="21"/>
      <c r="HPH244" s="15"/>
      <c r="HPI244" s="15"/>
      <c r="HPJ244" s="15"/>
      <c r="HPK244" s="15"/>
      <c r="HPL244" s="15"/>
      <c r="HPM244" s="15"/>
      <c r="HPN244" s="15"/>
      <c r="HPO244" s="15"/>
      <c r="HPP244" s="15"/>
      <c r="HPQ244" s="15"/>
      <c r="HPR244" s="10"/>
      <c r="HPS244" s="10"/>
      <c r="HPT244" s="21"/>
      <c r="HPU244" s="21"/>
      <c r="HPX244" s="21"/>
      <c r="HPY244" s="15"/>
      <c r="HPZ244" s="15"/>
      <c r="HQA244" s="15"/>
      <c r="HQB244" s="15"/>
      <c r="HQC244" s="15"/>
      <c r="HQD244" s="15"/>
      <c r="HQE244" s="15"/>
      <c r="HQF244" s="15"/>
      <c r="HQG244" s="15"/>
      <c r="HQH244" s="15"/>
      <c r="HQI244" s="10"/>
      <c r="HQJ244" s="10"/>
      <c r="HQK244" s="21"/>
      <c r="HQL244" s="21"/>
      <c r="HQO244" s="21"/>
      <c r="HQP244" s="15"/>
      <c r="HQQ244" s="15"/>
      <c r="HQR244" s="15"/>
      <c r="HQS244" s="15"/>
      <c r="HQT244" s="15"/>
      <c r="HQU244" s="15"/>
      <c r="HQV244" s="15"/>
      <c r="HQW244" s="15"/>
      <c r="HQX244" s="15"/>
      <c r="HQY244" s="15"/>
      <c r="HQZ244" s="10"/>
      <c r="HRA244" s="10"/>
      <c r="HRB244" s="21"/>
      <c r="HRC244" s="21"/>
      <c r="HRF244" s="21"/>
      <c r="HRG244" s="15"/>
      <c r="HRH244" s="15"/>
      <c r="HRI244" s="15"/>
      <c r="HRJ244" s="15"/>
      <c r="HRK244" s="15"/>
      <c r="HRL244" s="15"/>
      <c r="HRM244" s="15"/>
      <c r="HRN244" s="15"/>
      <c r="HRO244" s="15"/>
      <c r="HRP244" s="15"/>
      <c r="HRQ244" s="10"/>
      <c r="HRR244" s="10"/>
      <c r="HRS244" s="21"/>
      <c r="HRT244" s="21"/>
      <c r="HRW244" s="21"/>
      <c r="HRX244" s="15"/>
      <c r="HRY244" s="15"/>
      <c r="HRZ244" s="15"/>
      <c r="HSA244" s="15"/>
      <c r="HSB244" s="15"/>
      <c r="HSC244" s="15"/>
      <c r="HSD244" s="15"/>
      <c r="HSE244" s="15"/>
      <c r="HSF244" s="15"/>
      <c r="HSG244" s="15"/>
      <c r="HSH244" s="10"/>
      <c r="HSI244" s="10"/>
      <c r="HSJ244" s="21"/>
      <c r="HSK244" s="21"/>
      <c r="HSN244" s="21"/>
      <c r="HSO244" s="15"/>
      <c r="HSP244" s="15"/>
      <c r="HSQ244" s="15"/>
      <c r="HSR244" s="15"/>
      <c r="HSS244" s="15"/>
      <c r="HST244" s="15"/>
      <c r="HSU244" s="15"/>
      <c r="HSV244" s="15"/>
      <c r="HSW244" s="15"/>
      <c r="HSX244" s="15"/>
      <c r="HSY244" s="10"/>
      <c r="HSZ244" s="10"/>
      <c r="HTA244" s="21"/>
      <c r="HTB244" s="21"/>
      <c r="HTE244" s="21"/>
      <c r="HTF244" s="15"/>
      <c r="HTG244" s="15"/>
      <c r="HTH244" s="15"/>
      <c r="HTI244" s="15"/>
      <c r="HTJ244" s="15"/>
      <c r="HTK244" s="15"/>
      <c r="HTL244" s="15"/>
      <c r="HTM244" s="15"/>
      <c r="HTN244" s="15"/>
      <c r="HTO244" s="15"/>
      <c r="HTP244" s="10"/>
      <c r="HTQ244" s="10"/>
      <c r="HTR244" s="21"/>
      <c r="HTS244" s="21"/>
      <c r="HTV244" s="21"/>
      <c r="HTW244" s="15"/>
      <c r="HTX244" s="15"/>
      <c r="HTY244" s="15"/>
      <c r="HTZ244" s="15"/>
      <c r="HUA244" s="15"/>
      <c r="HUB244" s="15"/>
      <c r="HUC244" s="15"/>
      <c r="HUD244" s="15"/>
      <c r="HUE244" s="15"/>
      <c r="HUF244" s="15"/>
      <c r="HUG244" s="10"/>
      <c r="HUH244" s="10"/>
      <c r="HUI244" s="21"/>
      <c r="HUJ244" s="21"/>
      <c r="HUM244" s="21"/>
      <c r="HUN244" s="15"/>
      <c r="HUO244" s="15"/>
      <c r="HUP244" s="15"/>
      <c r="HUQ244" s="15"/>
      <c r="HUR244" s="15"/>
      <c r="HUS244" s="15"/>
      <c r="HUT244" s="15"/>
      <c r="HUU244" s="15"/>
      <c r="HUV244" s="15"/>
      <c r="HUW244" s="15"/>
      <c r="HUX244" s="10"/>
      <c r="HUY244" s="10"/>
      <c r="HUZ244" s="21"/>
      <c r="HVA244" s="21"/>
      <c r="HVD244" s="21"/>
      <c r="HVE244" s="15"/>
      <c r="HVF244" s="15"/>
      <c r="HVG244" s="15"/>
      <c r="HVH244" s="15"/>
      <c r="HVI244" s="15"/>
      <c r="HVJ244" s="15"/>
      <c r="HVK244" s="15"/>
      <c r="HVL244" s="15"/>
      <c r="HVM244" s="15"/>
      <c r="HVN244" s="15"/>
      <c r="HVO244" s="10"/>
      <c r="HVP244" s="10"/>
      <c r="HVQ244" s="21"/>
      <c r="HVR244" s="21"/>
      <c r="HVU244" s="21"/>
      <c r="HVV244" s="15"/>
      <c r="HVW244" s="15"/>
      <c r="HVX244" s="15"/>
      <c r="HVY244" s="15"/>
      <c r="HVZ244" s="15"/>
      <c r="HWA244" s="15"/>
      <c r="HWB244" s="15"/>
      <c r="HWC244" s="15"/>
      <c r="HWD244" s="15"/>
      <c r="HWE244" s="15"/>
      <c r="HWF244" s="10"/>
      <c r="HWG244" s="10"/>
      <c r="HWH244" s="21"/>
      <c r="HWI244" s="21"/>
      <c r="HWL244" s="21"/>
      <c r="HWM244" s="15"/>
      <c r="HWN244" s="15"/>
      <c r="HWO244" s="15"/>
      <c r="HWP244" s="15"/>
      <c r="HWQ244" s="15"/>
      <c r="HWR244" s="15"/>
      <c r="HWS244" s="15"/>
      <c r="HWT244" s="15"/>
      <c r="HWU244" s="15"/>
      <c r="HWV244" s="15"/>
      <c r="HWW244" s="10"/>
      <c r="HWX244" s="10"/>
      <c r="HWY244" s="21"/>
      <c r="HWZ244" s="21"/>
      <c r="HXC244" s="21"/>
      <c r="HXD244" s="15"/>
      <c r="HXE244" s="15"/>
      <c r="HXF244" s="15"/>
      <c r="HXG244" s="15"/>
      <c r="HXH244" s="15"/>
      <c r="HXI244" s="15"/>
      <c r="HXJ244" s="15"/>
      <c r="HXK244" s="15"/>
      <c r="HXL244" s="15"/>
      <c r="HXM244" s="15"/>
      <c r="HXN244" s="10"/>
      <c r="HXO244" s="10"/>
      <c r="HXP244" s="21"/>
      <c r="HXQ244" s="21"/>
      <c r="HXT244" s="21"/>
      <c r="HXU244" s="15"/>
      <c r="HXV244" s="15"/>
      <c r="HXW244" s="15"/>
      <c r="HXX244" s="15"/>
      <c r="HXY244" s="15"/>
      <c r="HXZ244" s="15"/>
      <c r="HYA244" s="15"/>
      <c r="HYB244" s="15"/>
      <c r="HYC244" s="15"/>
      <c r="HYD244" s="15"/>
      <c r="HYE244" s="10"/>
      <c r="HYF244" s="10"/>
      <c r="HYG244" s="21"/>
      <c r="HYH244" s="21"/>
      <c r="HYK244" s="21"/>
      <c r="HYL244" s="15"/>
      <c r="HYM244" s="15"/>
      <c r="HYN244" s="15"/>
      <c r="HYO244" s="15"/>
      <c r="HYP244" s="15"/>
      <c r="HYQ244" s="15"/>
      <c r="HYR244" s="15"/>
      <c r="HYS244" s="15"/>
      <c r="HYT244" s="15"/>
      <c r="HYU244" s="15"/>
      <c r="HYV244" s="10"/>
      <c r="HYW244" s="10"/>
      <c r="HYX244" s="21"/>
      <c r="HYY244" s="21"/>
      <c r="HZB244" s="21"/>
      <c r="HZC244" s="15"/>
      <c r="HZD244" s="15"/>
      <c r="HZE244" s="15"/>
      <c r="HZF244" s="15"/>
      <c r="HZG244" s="15"/>
      <c r="HZH244" s="15"/>
      <c r="HZI244" s="15"/>
      <c r="HZJ244" s="15"/>
      <c r="HZK244" s="15"/>
      <c r="HZL244" s="15"/>
      <c r="HZM244" s="10"/>
      <c r="HZN244" s="10"/>
      <c r="HZO244" s="21"/>
      <c r="HZP244" s="21"/>
      <c r="HZS244" s="21"/>
      <c r="HZT244" s="15"/>
      <c r="HZU244" s="15"/>
      <c r="HZV244" s="15"/>
      <c r="HZW244" s="15"/>
      <c r="HZX244" s="15"/>
      <c r="HZY244" s="15"/>
      <c r="HZZ244" s="15"/>
      <c r="IAA244" s="15"/>
      <c r="IAB244" s="15"/>
      <c r="IAC244" s="15"/>
      <c r="IAD244" s="10"/>
      <c r="IAE244" s="10"/>
      <c r="IAF244" s="21"/>
      <c r="IAG244" s="21"/>
      <c r="IAJ244" s="21"/>
      <c r="IAK244" s="15"/>
      <c r="IAL244" s="15"/>
      <c r="IAM244" s="15"/>
      <c r="IAN244" s="15"/>
      <c r="IAO244" s="15"/>
      <c r="IAP244" s="15"/>
      <c r="IAQ244" s="15"/>
      <c r="IAR244" s="15"/>
      <c r="IAS244" s="15"/>
      <c r="IAT244" s="15"/>
      <c r="IAU244" s="10"/>
      <c r="IAV244" s="10"/>
      <c r="IAW244" s="21"/>
      <c r="IAX244" s="21"/>
      <c r="IBA244" s="21"/>
      <c r="IBB244" s="15"/>
      <c r="IBC244" s="15"/>
      <c r="IBD244" s="15"/>
      <c r="IBE244" s="15"/>
      <c r="IBF244" s="15"/>
      <c r="IBG244" s="15"/>
      <c r="IBH244" s="15"/>
      <c r="IBI244" s="15"/>
      <c r="IBJ244" s="15"/>
      <c r="IBK244" s="15"/>
      <c r="IBL244" s="10"/>
      <c r="IBM244" s="10"/>
      <c r="IBN244" s="21"/>
      <c r="IBO244" s="21"/>
      <c r="IBR244" s="21"/>
      <c r="IBS244" s="15"/>
      <c r="IBT244" s="15"/>
      <c r="IBU244" s="15"/>
      <c r="IBV244" s="15"/>
      <c r="IBW244" s="15"/>
      <c r="IBX244" s="15"/>
      <c r="IBY244" s="15"/>
      <c r="IBZ244" s="15"/>
      <c r="ICA244" s="15"/>
      <c r="ICB244" s="15"/>
      <c r="ICC244" s="10"/>
      <c r="ICD244" s="10"/>
      <c r="ICE244" s="21"/>
      <c r="ICF244" s="21"/>
      <c r="ICI244" s="21"/>
      <c r="ICJ244" s="15"/>
      <c r="ICK244" s="15"/>
      <c r="ICL244" s="15"/>
      <c r="ICM244" s="15"/>
      <c r="ICN244" s="15"/>
      <c r="ICO244" s="15"/>
      <c r="ICP244" s="15"/>
      <c r="ICQ244" s="15"/>
      <c r="ICR244" s="15"/>
      <c r="ICS244" s="15"/>
      <c r="ICT244" s="10"/>
      <c r="ICU244" s="10"/>
      <c r="ICV244" s="21"/>
      <c r="ICW244" s="21"/>
      <c r="ICZ244" s="21"/>
      <c r="IDA244" s="15"/>
      <c r="IDB244" s="15"/>
      <c r="IDC244" s="15"/>
      <c r="IDD244" s="15"/>
      <c r="IDE244" s="15"/>
      <c r="IDF244" s="15"/>
      <c r="IDG244" s="15"/>
      <c r="IDH244" s="15"/>
      <c r="IDI244" s="15"/>
      <c r="IDJ244" s="15"/>
      <c r="IDK244" s="10"/>
      <c r="IDL244" s="10"/>
      <c r="IDM244" s="21"/>
      <c r="IDN244" s="21"/>
      <c r="IDQ244" s="21"/>
      <c r="IDR244" s="15"/>
      <c r="IDS244" s="15"/>
      <c r="IDT244" s="15"/>
      <c r="IDU244" s="15"/>
      <c r="IDV244" s="15"/>
      <c r="IDW244" s="15"/>
      <c r="IDX244" s="15"/>
      <c r="IDY244" s="15"/>
      <c r="IDZ244" s="15"/>
      <c r="IEA244" s="15"/>
      <c r="IEB244" s="10"/>
      <c r="IEC244" s="10"/>
      <c r="IED244" s="21"/>
      <c r="IEE244" s="21"/>
      <c r="IEH244" s="21"/>
      <c r="IEI244" s="15"/>
      <c r="IEJ244" s="15"/>
      <c r="IEK244" s="15"/>
      <c r="IEL244" s="15"/>
      <c r="IEM244" s="15"/>
      <c r="IEN244" s="15"/>
      <c r="IEO244" s="15"/>
      <c r="IEP244" s="15"/>
      <c r="IEQ244" s="15"/>
      <c r="IER244" s="15"/>
      <c r="IES244" s="10"/>
      <c r="IET244" s="10"/>
      <c r="IEU244" s="21"/>
      <c r="IEV244" s="21"/>
      <c r="IEY244" s="21"/>
      <c r="IEZ244" s="15"/>
      <c r="IFA244" s="15"/>
      <c r="IFB244" s="15"/>
      <c r="IFC244" s="15"/>
      <c r="IFD244" s="15"/>
      <c r="IFE244" s="15"/>
      <c r="IFF244" s="15"/>
      <c r="IFG244" s="15"/>
      <c r="IFH244" s="15"/>
      <c r="IFI244" s="15"/>
      <c r="IFJ244" s="10"/>
      <c r="IFK244" s="10"/>
      <c r="IFL244" s="21"/>
      <c r="IFM244" s="21"/>
      <c r="IFP244" s="21"/>
      <c r="IFQ244" s="15"/>
      <c r="IFR244" s="15"/>
      <c r="IFS244" s="15"/>
      <c r="IFT244" s="15"/>
      <c r="IFU244" s="15"/>
      <c r="IFV244" s="15"/>
      <c r="IFW244" s="15"/>
      <c r="IFX244" s="15"/>
      <c r="IFY244" s="15"/>
      <c r="IFZ244" s="15"/>
      <c r="IGA244" s="10"/>
      <c r="IGB244" s="10"/>
      <c r="IGC244" s="21"/>
      <c r="IGD244" s="21"/>
      <c r="IGG244" s="21"/>
      <c r="IGH244" s="15"/>
      <c r="IGI244" s="15"/>
      <c r="IGJ244" s="15"/>
      <c r="IGK244" s="15"/>
      <c r="IGL244" s="15"/>
      <c r="IGM244" s="15"/>
      <c r="IGN244" s="15"/>
      <c r="IGO244" s="15"/>
      <c r="IGP244" s="15"/>
      <c r="IGQ244" s="15"/>
      <c r="IGR244" s="10"/>
      <c r="IGS244" s="10"/>
      <c r="IGT244" s="21"/>
      <c r="IGU244" s="21"/>
      <c r="IGX244" s="21"/>
      <c r="IGY244" s="15"/>
      <c r="IGZ244" s="15"/>
      <c r="IHA244" s="15"/>
      <c r="IHB244" s="15"/>
      <c r="IHC244" s="15"/>
      <c r="IHD244" s="15"/>
      <c r="IHE244" s="15"/>
      <c r="IHF244" s="15"/>
      <c r="IHG244" s="15"/>
      <c r="IHH244" s="15"/>
      <c r="IHI244" s="10"/>
      <c r="IHJ244" s="10"/>
      <c r="IHK244" s="21"/>
      <c r="IHL244" s="21"/>
      <c r="IHO244" s="21"/>
      <c r="IHP244" s="15"/>
      <c r="IHQ244" s="15"/>
      <c r="IHR244" s="15"/>
      <c r="IHS244" s="15"/>
      <c r="IHT244" s="15"/>
      <c r="IHU244" s="15"/>
      <c r="IHV244" s="15"/>
      <c r="IHW244" s="15"/>
      <c r="IHX244" s="15"/>
      <c r="IHY244" s="15"/>
      <c r="IHZ244" s="10"/>
      <c r="IIA244" s="10"/>
      <c r="IIB244" s="21"/>
      <c r="IIC244" s="21"/>
      <c r="IIF244" s="21"/>
      <c r="IIG244" s="15"/>
      <c r="IIH244" s="15"/>
      <c r="III244" s="15"/>
      <c r="IIJ244" s="15"/>
      <c r="IIK244" s="15"/>
      <c r="IIL244" s="15"/>
      <c r="IIM244" s="15"/>
      <c r="IIN244" s="15"/>
      <c r="IIO244" s="15"/>
      <c r="IIP244" s="15"/>
      <c r="IIQ244" s="10"/>
      <c r="IIR244" s="10"/>
      <c r="IIS244" s="21"/>
      <c r="IIT244" s="21"/>
      <c r="IIW244" s="21"/>
      <c r="IIX244" s="15"/>
      <c r="IIY244" s="15"/>
      <c r="IIZ244" s="15"/>
      <c r="IJA244" s="15"/>
      <c r="IJB244" s="15"/>
      <c r="IJC244" s="15"/>
      <c r="IJD244" s="15"/>
      <c r="IJE244" s="15"/>
      <c r="IJF244" s="15"/>
      <c r="IJG244" s="15"/>
      <c r="IJH244" s="10"/>
      <c r="IJI244" s="10"/>
      <c r="IJJ244" s="21"/>
      <c r="IJK244" s="21"/>
      <c r="IJN244" s="21"/>
      <c r="IJO244" s="15"/>
      <c r="IJP244" s="15"/>
      <c r="IJQ244" s="15"/>
      <c r="IJR244" s="15"/>
      <c r="IJS244" s="15"/>
      <c r="IJT244" s="15"/>
      <c r="IJU244" s="15"/>
      <c r="IJV244" s="15"/>
      <c r="IJW244" s="15"/>
      <c r="IJX244" s="15"/>
      <c r="IJY244" s="10"/>
      <c r="IJZ244" s="10"/>
      <c r="IKA244" s="21"/>
      <c r="IKB244" s="21"/>
      <c r="IKE244" s="21"/>
      <c r="IKF244" s="15"/>
      <c r="IKG244" s="15"/>
      <c r="IKH244" s="15"/>
      <c r="IKI244" s="15"/>
      <c r="IKJ244" s="15"/>
      <c r="IKK244" s="15"/>
      <c r="IKL244" s="15"/>
      <c r="IKM244" s="15"/>
      <c r="IKN244" s="15"/>
      <c r="IKO244" s="15"/>
      <c r="IKP244" s="10"/>
      <c r="IKQ244" s="10"/>
      <c r="IKR244" s="21"/>
      <c r="IKS244" s="21"/>
      <c r="IKV244" s="21"/>
      <c r="IKW244" s="15"/>
      <c r="IKX244" s="15"/>
      <c r="IKY244" s="15"/>
      <c r="IKZ244" s="15"/>
      <c r="ILA244" s="15"/>
      <c r="ILB244" s="15"/>
      <c r="ILC244" s="15"/>
      <c r="ILD244" s="15"/>
      <c r="ILE244" s="15"/>
      <c r="ILF244" s="15"/>
      <c r="ILG244" s="10"/>
      <c r="ILH244" s="10"/>
      <c r="ILI244" s="21"/>
      <c r="ILJ244" s="21"/>
      <c r="ILM244" s="21"/>
      <c r="ILN244" s="15"/>
      <c r="ILO244" s="15"/>
      <c r="ILP244" s="15"/>
      <c r="ILQ244" s="15"/>
      <c r="ILR244" s="15"/>
      <c r="ILS244" s="15"/>
      <c r="ILT244" s="15"/>
      <c r="ILU244" s="15"/>
      <c r="ILV244" s="15"/>
      <c r="ILW244" s="15"/>
      <c r="ILX244" s="10"/>
      <c r="ILY244" s="10"/>
      <c r="ILZ244" s="21"/>
      <c r="IMA244" s="21"/>
      <c r="IMD244" s="21"/>
      <c r="IME244" s="15"/>
      <c r="IMF244" s="15"/>
      <c r="IMG244" s="15"/>
      <c r="IMH244" s="15"/>
      <c r="IMI244" s="15"/>
      <c r="IMJ244" s="15"/>
      <c r="IMK244" s="15"/>
      <c r="IML244" s="15"/>
      <c r="IMM244" s="15"/>
      <c r="IMN244" s="15"/>
      <c r="IMO244" s="10"/>
      <c r="IMP244" s="10"/>
      <c r="IMQ244" s="21"/>
      <c r="IMR244" s="21"/>
      <c r="IMU244" s="21"/>
      <c r="IMV244" s="15"/>
      <c r="IMW244" s="15"/>
      <c r="IMX244" s="15"/>
      <c r="IMY244" s="15"/>
      <c r="IMZ244" s="15"/>
      <c r="INA244" s="15"/>
      <c r="INB244" s="15"/>
      <c r="INC244" s="15"/>
      <c r="IND244" s="15"/>
      <c r="INE244" s="15"/>
      <c r="INF244" s="10"/>
      <c r="ING244" s="10"/>
      <c r="INH244" s="21"/>
      <c r="INI244" s="21"/>
      <c r="INL244" s="21"/>
      <c r="INM244" s="15"/>
      <c r="INN244" s="15"/>
      <c r="INO244" s="15"/>
      <c r="INP244" s="15"/>
      <c r="INQ244" s="15"/>
      <c r="INR244" s="15"/>
      <c r="INS244" s="15"/>
      <c r="INT244" s="15"/>
      <c r="INU244" s="15"/>
      <c r="INV244" s="15"/>
      <c r="INW244" s="10"/>
      <c r="INX244" s="10"/>
      <c r="INY244" s="21"/>
      <c r="INZ244" s="21"/>
      <c r="IOC244" s="21"/>
      <c r="IOD244" s="15"/>
      <c r="IOE244" s="15"/>
      <c r="IOF244" s="15"/>
      <c r="IOG244" s="15"/>
      <c r="IOH244" s="15"/>
      <c r="IOI244" s="15"/>
      <c r="IOJ244" s="15"/>
      <c r="IOK244" s="15"/>
      <c r="IOL244" s="15"/>
      <c r="IOM244" s="15"/>
      <c r="ION244" s="10"/>
      <c r="IOO244" s="10"/>
      <c r="IOP244" s="21"/>
      <c r="IOQ244" s="21"/>
      <c r="IOT244" s="21"/>
      <c r="IOU244" s="15"/>
      <c r="IOV244" s="15"/>
      <c r="IOW244" s="15"/>
      <c r="IOX244" s="15"/>
      <c r="IOY244" s="15"/>
      <c r="IOZ244" s="15"/>
      <c r="IPA244" s="15"/>
      <c r="IPB244" s="15"/>
      <c r="IPC244" s="15"/>
      <c r="IPD244" s="15"/>
      <c r="IPE244" s="10"/>
      <c r="IPF244" s="10"/>
      <c r="IPG244" s="21"/>
      <c r="IPH244" s="21"/>
      <c r="IPK244" s="21"/>
      <c r="IPL244" s="15"/>
      <c r="IPM244" s="15"/>
      <c r="IPN244" s="15"/>
      <c r="IPO244" s="15"/>
      <c r="IPP244" s="15"/>
      <c r="IPQ244" s="15"/>
      <c r="IPR244" s="15"/>
      <c r="IPS244" s="15"/>
      <c r="IPT244" s="15"/>
      <c r="IPU244" s="15"/>
      <c r="IPV244" s="10"/>
      <c r="IPW244" s="10"/>
      <c r="IPX244" s="21"/>
      <c r="IPY244" s="21"/>
      <c r="IQB244" s="21"/>
      <c r="IQC244" s="15"/>
      <c r="IQD244" s="15"/>
      <c r="IQE244" s="15"/>
      <c r="IQF244" s="15"/>
      <c r="IQG244" s="15"/>
      <c r="IQH244" s="15"/>
      <c r="IQI244" s="15"/>
      <c r="IQJ244" s="15"/>
      <c r="IQK244" s="15"/>
      <c r="IQL244" s="15"/>
      <c r="IQM244" s="10"/>
      <c r="IQN244" s="10"/>
      <c r="IQO244" s="21"/>
      <c r="IQP244" s="21"/>
      <c r="IQS244" s="21"/>
      <c r="IQT244" s="15"/>
      <c r="IQU244" s="15"/>
      <c r="IQV244" s="15"/>
      <c r="IQW244" s="15"/>
      <c r="IQX244" s="15"/>
      <c r="IQY244" s="15"/>
      <c r="IQZ244" s="15"/>
      <c r="IRA244" s="15"/>
      <c r="IRB244" s="15"/>
      <c r="IRC244" s="15"/>
      <c r="IRD244" s="10"/>
      <c r="IRE244" s="10"/>
      <c r="IRF244" s="21"/>
      <c r="IRG244" s="21"/>
      <c r="IRJ244" s="21"/>
      <c r="IRK244" s="15"/>
      <c r="IRL244" s="15"/>
      <c r="IRM244" s="15"/>
      <c r="IRN244" s="15"/>
      <c r="IRO244" s="15"/>
      <c r="IRP244" s="15"/>
      <c r="IRQ244" s="15"/>
      <c r="IRR244" s="15"/>
      <c r="IRS244" s="15"/>
      <c r="IRT244" s="15"/>
      <c r="IRU244" s="10"/>
      <c r="IRV244" s="10"/>
      <c r="IRW244" s="21"/>
      <c r="IRX244" s="21"/>
      <c r="ISA244" s="21"/>
      <c r="ISB244" s="15"/>
      <c r="ISC244" s="15"/>
      <c r="ISD244" s="15"/>
      <c r="ISE244" s="15"/>
      <c r="ISF244" s="15"/>
      <c r="ISG244" s="15"/>
      <c r="ISH244" s="15"/>
      <c r="ISI244" s="15"/>
      <c r="ISJ244" s="15"/>
      <c r="ISK244" s="15"/>
      <c r="ISL244" s="10"/>
      <c r="ISM244" s="10"/>
      <c r="ISN244" s="21"/>
      <c r="ISO244" s="21"/>
      <c r="ISR244" s="21"/>
      <c r="ISS244" s="15"/>
      <c r="IST244" s="15"/>
      <c r="ISU244" s="15"/>
      <c r="ISV244" s="15"/>
      <c r="ISW244" s="15"/>
      <c r="ISX244" s="15"/>
      <c r="ISY244" s="15"/>
      <c r="ISZ244" s="15"/>
      <c r="ITA244" s="15"/>
      <c r="ITB244" s="15"/>
      <c r="ITC244" s="10"/>
      <c r="ITD244" s="10"/>
      <c r="ITE244" s="21"/>
      <c r="ITF244" s="21"/>
      <c r="ITI244" s="21"/>
      <c r="ITJ244" s="15"/>
      <c r="ITK244" s="15"/>
      <c r="ITL244" s="15"/>
      <c r="ITM244" s="15"/>
      <c r="ITN244" s="15"/>
      <c r="ITO244" s="15"/>
      <c r="ITP244" s="15"/>
      <c r="ITQ244" s="15"/>
      <c r="ITR244" s="15"/>
      <c r="ITS244" s="15"/>
      <c r="ITT244" s="10"/>
      <c r="ITU244" s="10"/>
      <c r="ITV244" s="21"/>
      <c r="ITW244" s="21"/>
      <c r="ITZ244" s="21"/>
      <c r="IUA244" s="15"/>
      <c r="IUB244" s="15"/>
      <c r="IUC244" s="15"/>
      <c r="IUD244" s="15"/>
      <c r="IUE244" s="15"/>
      <c r="IUF244" s="15"/>
      <c r="IUG244" s="15"/>
      <c r="IUH244" s="15"/>
      <c r="IUI244" s="15"/>
      <c r="IUJ244" s="15"/>
      <c r="IUK244" s="10"/>
      <c r="IUL244" s="10"/>
      <c r="IUM244" s="21"/>
      <c r="IUN244" s="21"/>
      <c r="IUQ244" s="21"/>
      <c r="IUR244" s="15"/>
      <c r="IUS244" s="15"/>
      <c r="IUT244" s="15"/>
      <c r="IUU244" s="15"/>
      <c r="IUV244" s="15"/>
      <c r="IUW244" s="15"/>
      <c r="IUX244" s="15"/>
      <c r="IUY244" s="15"/>
      <c r="IUZ244" s="15"/>
      <c r="IVA244" s="15"/>
      <c r="IVB244" s="10"/>
      <c r="IVC244" s="10"/>
      <c r="IVD244" s="21"/>
      <c r="IVE244" s="21"/>
      <c r="IVH244" s="21"/>
      <c r="IVI244" s="15"/>
      <c r="IVJ244" s="15"/>
      <c r="IVK244" s="15"/>
      <c r="IVL244" s="15"/>
      <c r="IVM244" s="15"/>
      <c r="IVN244" s="15"/>
      <c r="IVO244" s="15"/>
      <c r="IVP244" s="15"/>
      <c r="IVQ244" s="15"/>
      <c r="IVR244" s="15"/>
      <c r="IVS244" s="10"/>
      <c r="IVT244" s="10"/>
      <c r="IVU244" s="21"/>
      <c r="IVV244" s="21"/>
      <c r="IVY244" s="21"/>
      <c r="IVZ244" s="15"/>
      <c r="IWA244" s="15"/>
      <c r="IWB244" s="15"/>
      <c r="IWC244" s="15"/>
      <c r="IWD244" s="15"/>
      <c r="IWE244" s="15"/>
      <c r="IWF244" s="15"/>
      <c r="IWG244" s="15"/>
      <c r="IWH244" s="15"/>
      <c r="IWI244" s="15"/>
      <c r="IWJ244" s="10"/>
      <c r="IWK244" s="10"/>
      <c r="IWL244" s="21"/>
      <c r="IWM244" s="21"/>
      <c r="IWP244" s="21"/>
      <c r="IWQ244" s="15"/>
      <c r="IWR244" s="15"/>
      <c r="IWS244" s="15"/>
      <c r="IWT244" s="15"/>
      <c r="IWU244" s="15"/>
      <c r="IWV244" s="15"/>
      <c r="IWW244" s="15"/>
      <c r="IWX244" s="15"/>
      <c r="IWY244" s="15"/>
      <c r="IWZ244" s="15"/>
      <c r="IXA244" s="10"/>
      <c r="IXB244" s="10"/>
      <c r="IXC244" s="21"/>
      <c r="IXD244" s="21"/>
      <c r="IXG244" s="21"/>
      <c r="IXH244" s="15"/>
      <c r="IXI244" s="15"/>
      <c r="IXJ244" s="15"/>
      <c r="IXK244" s="15"/>
      <c r="IXL244" s="15"/>
      <c r="IXM244" s="15"/>
      <c r="IXN244" s="15"/>
      <c r="IXO244" s="15"/>
      <c r="IXP244" s="15"/>
      <c r="IXQ244" s="15"/>
      <c r="IXR244" s="10"/>
      <c r="IXS244" s="10"/>
      <c r="IXT244" s="21"/>
      <c r="IXU244" s="21"/>
      <c r="IXX244" s="21"/>
      <c r="IXY244" s="15"/>
      <c r="IXZ244" s="15"/>
      <c r="IYA244" s="15"/>
      <c r="IYB244" s="15"/>
      <c r="IYC244" s="15"/>
      <c r="IYD244" s="15"/>
      <c r="IYE244" s="15"/>
      <c r="IYF244" s="15"/>
      <c r="IYG244" s="15"/>
      <c r="IYH244" s="15"/>
      <c r="IYI244" s="10"/>
      <c r="IYJ244" s="10"/>
      <c r="IYK244" s="21"/>
      <c r="IYL244" s="21"/>
      <c r="IYO244" s="21"/>
      <c r="IYP244" s="15"/>
      <c r="IYQ244" s="15"/>
      <c r="IYR244" s="15"/>
      <c r="IYS244" s="15"/>
      <c r="IYT244" s="15"/>
      <c r="IYU244" s="15"/>
      <c r="IYV244" s="15"/>
      <c r="IYW244" s="15"/>
      <c r="IYX244" s="15"/>
      <c r="IYY244" s="15"/>
      <c r="IYZ244" s="10"/>
      <c r="IZA244" s="10"/>
      <c r="IZB244" s="21"/>
      <c r="IZC244" s="21"/>
      <c r="IZF244" s="21"/>
      <c r="IZG244" s="15"/>
      <c r="IZH244" s="15"/>
      <c r="IZI244" s="15"/>
      <c r="IZJ244" s="15"/>
      <c r="IZK244" s="15"/>
      <c r="IZL244" s="15"/>
      <c r="IZM244" s="15"/>
      <c r="IZN244" s="15"/>
      <c r="IZO244" s="15"/>
      <c r="IZP244" s="15"/>
      <c r="IZQ244" s="10"/>
      <c r="IZR244" s="10"/>
      <c r="IZS244" s="21"/>
      <c r="IZT244" s="21"/>
      <c r="IZW244" s="21"/>
      <c r="IZX244" s="15"/>
      <c r="IZY244" s="15"/>
      <c r="IZZ244" s="15"/>
      <c r="JAA244" s="15"/>
      <c r="JAB244" s="15"/>
      <c r="JAC244" s="15"/>
      <c r="JAD244" s="15"/>
      <c r="JAE244" s="15"/>
      <c r="JAF244" s="15"/>
      <c r="JAG244" s="15"/>
      <c r="JAH244" s="10"/>
      <c r="JAI244" s="10"/>
      <c r="JAJ244" s="21"/>
      <c r="JAK244" s="21"/>
      <c r="JAN244" s="21"/>
      <c r="JAO244" s="15"/>
      <c r="JAP244" s="15"/>
      <c r="JAQ244" s="15"/>
      <c r="JAR244" s="15"/>
      <c r="JAS244" s="15"/>
      <c r="JAT244" s="15"/>
      <c r="JAU244" s="15"/>
      <c r="JAV244" s="15"/>
      <c r="JAW244" s="15"/>
      <c r="JAX244" s="15"/>
      <c r="JAY244" s="10"/>
      <c r="JAZ244" s="10"/>
      <c r="JBA244" s="21"/>
      <c r="JBB244" s="21"/>
      <c r="JBE244" s="21"/>
      <c r="JBF244" s="15"/>
      <c r="JBG244" s="15"/>
      <c r="JBH244" s="15"/>
      <c r="JBI244" s="15"/>
      <c r="JBJ244" s="15"/>
      <c r="JBK244" s="15"/>
      <c r="JBL244" s="15"/>
      <c r="JBM244" s="15"/>
      <c r="JBN244" s="15"/>
      <c r="JBO244" s="15"/>
      <c r="JBP244" s="10"/>
      <c r="JBQ244" s="10"/>
      <c r="JBR244" s="21"/>
      <c r="JBS244" s="21"/>
      <c r="JBV244" s="21"/>
      <c r="JBW244" s="15"/>
      <c r="JBX244" s="15"/>
      <c r="JBY244" s="15"/>
      <c r="JBZ244" s="15"/>
      <c r="JCA244" s="15"/>
      <c r="JCB244" s="15"/>
      <c r="JCC244" s="15"/>
      <c r="JCD244" s="15"/>
      <c r="JCE244" s="15"/>
      <c r="JCF244" s="15"/>
      <c r="JCG244" s="10"/>
      <c r="JCH244" s="10"/>
      <c r="JCI244" s="21"/>
      <c r="JCJ244" s="21"/>
      <c r="JCM244" s="21"/>
      <c r="JCN244" s="15"/>
      <c r="JCO244" s="15"/>
      <c r="JCP244" s="15"/>
      <c r="JCQ244" s="15"/>
      <c r="JCR244" s="15"/>
      <c r="JCS244" s="15"/>
      <c r="JCT244" s="15"/>
      <c r="JCU244" s="15"/>
      <c r="JCV244" s="15"/>
      <c r="JCW244" s="15"/>
      <c r="JCX244" s="10"/>
      <c r="JCY244" s="10"/>
      <c r="JCZ244" s="21"/>
      <c r="JDA244" s="21"/>
      <c r="JDD244" s="21"/>
      <c r="JDE244" s="15"/>
      <c r="JDF244" s="15"/>
      <c r="JDG244" s="15"/>
      <c r="JDH244" s="15"/>
      <c r="JDI244" s="15"/>
      <c r="JDJ244" s="15"/>
      <c r="JDK244" s="15"/>
      <c r="JDL244" s="15"/>
      <c r="JDM244" s="15"/>
      <c r="JDN244" s="15"/>
      <c r="JDO244" s="10"/>
      <c r="JDP244" s="10"/>
      <c r="JDQ244" s="21"/>
      <c r="JDR244" s="21"/>
      <c r="JDU244" s="21"/>
      <c r="JDV244" s="15"/>
      <c r="JDW244" s="15"/>
      <c r="JDX244" s="15"/>
      <c r="JDY244" s="15"/>
      <c r="JDZ244" s="15"/>
      <c r="JEA244" s="15"/>
      <c r="JEB244" s="15"/>
      <c r="JEC244" s="15"/>
      <c r="JED244" s="15"/>
      <c r="JEE244" s="15"/>
      <c r="JEF244" s="10"/>
      <c r="JEG244" s="10"/>
      <c r="JEH244" s="21"/>
      <c r="JEI244" s="21"/>
      <c r="JEL244" s="21"/>
      <c r="JEM244" s="15"/>
      <c r="JEN244" s="15"/>
      <c r="JEO244" s="15"/>
      <c r="JEP244" s="15"/>
      <c r="JEQ244" s="15"/>
      <c r="JER244" s="15"/>
      <c r="JES244" s="15"/>
      <c r="JET244" s="15"/>
      <c r="JEU244" s="15"/>
      <c r="JEV244" s="15"/>
      <c r="JEW244" s="10"/>
      <c r="JEX244" s="10"/>
      <c r="JEY244" s="21"/>
      <c r="JEZ244" s="21"/>
      <c r="JFC244" s="21"/>
      <c r="JFD244" s="15"/>
      <c r="JFE244" s="15"/>
      <c r="JFF244" s="15"/>
      <c r="JFG244" s="15"/>
      <c r="JFH244" s="15"/>
      <c r="JFI244" s="15"/>
      <c r="JFJ244" s="15"/>
      <c r="JFK244" s="15"/>
      <c r="JFL244" s="15"/>
      <c r="JFM244" s="15"/>
      <c r="JFN244" s="10"/>
      <c r="JFO244" s="10"/>
      <c r="JFP244" s="21"/>
      <c r="JFQ244" s="21"/>
      <c r="JFT244" s="21"/>
      <c r="JFU244" s="15"/>
      <c r="JFV244" s="15"/>
      <c r="JFW244" s="15"/>
      <c r="JFX244" s="15"/>
      <c r="JFY244" s="15"/>
      <c r="JFZ244" s="15"/>
      <c r="JGA244" s="15"/>
      <c r="JGB244" s="15"/>
      <c r="JGC244" s="15"/>
      <c r="JGD244" s="15"/>
      <c r="JGE244" s="10"/>
      <c r="JGF244" s="10"/>
      <c r="JGG244" s="21"/>
      <c r="JGH244" s="21"/>
      <c r="JGK244" s="21"/>
      <c r="JGL244" s="15"/>
      <c r="JGM244" s="15"/>
      <c r="JGN244" s="15"/>
      <c r="JGO244" s="15"/>
      <c r="JGP244" s="15"/>
      <c r="JGQ244" s="15"/>
      <c r="JGR244" s="15"/>
      <c r="JGS244" s="15"/>
      <c r="JGT244" s="15"/>
      <c r="JGU244" s="15"/>
      <c r="JGV244" s="10"/>
      <c r="JGW244" s="10"/>
      <c r="JGX244" s="21"/>
      <c r="JGY244" s="21"/>
      <c r="JHB244" s="21"/>
      <c r="JHC244" s="15"/>
      <c r="JHD244" s="15"/>
      <c r="JHE244" s="15"/>
      <c r="JHF244" s="15"/>
      <c r="JHG244" s="15"/>
      <c r="JHH244" s="15"/>
      <c r="JHI244" s="15"/>
      <c r="JHJ244" s="15"/>
      <c r="JHK244" s="15"/>
      <c r="JHL244" s="15"/>
      <c r="JHM244" s="10"/>
      <c r="JHN244" s="10"/>
      <c r="JHO244" s="21"/>
      <c r="JHP244" s="21"/>
      <c r="JHS244" s="21"/>
      <c r="JHT244" s="15"/>
      <c r="JHU244" s="15"/>
      <c r="JHV244" s="15"/>
      <c r="JHW244" s="15"/>
      <c r="JHX244" s="15"/>
      <c r="JHY244" s="15"/>
      <c r="JHZ244" s="15"/>
      <c r="JIA244" s="15"/>
      <c r="JIB244" s="15"/>
      <c r="JIC244" s="15"/>
      <c r="JID244" s="10"/>
      <c r="JIE244" s="10"/>
      <c r="JIF244" s="21"/>
      <c r="JIG244" s="21"/>
      <c r="JIJ244" s="21"/>
      <c r="JIK244" s="15"/>
      <c r="JIL244" s="15"/>
      <c r="JIM244" s="15"/>
      <c r="JIN244" s="15"/>
      <c r="JIO244" s="15"/>
      <c r="JIP244" s="15"/>
      <c r="JIQ244" s="15"/>
      <c r="JIR244" s="15"/>
      <c r="JIS244" s="15"/>
      <c r="JIT244" s="15"/>
      <c r="JIU244" s="10"/>
      <c r="JIV244" s="10"/>
      <c r="JIW244" s="21"/>
      <c r="JIX244" s="21"/>
      <c r="JJA244" s="21"/>
      <c r="JJB244" s="15"/>
      <c r="JJC244" s="15"/>
      <c r="JJD244" s="15"/>
      <c r="JJE244" s="15"/>
      <c r="JJF244" s="15"/>
      <c r="JJG244" s="15"/>
      <c r="JJH244" s="15"/>
      <c r="JJI244" s="15"/>
      <c r="JJJ244" s="15"/>
      <c r="JJK244" s="15"/>
      <c r="JJL244" s="10"/>
      <c r="JJM244" s="10"/>
      <c r="JJN244" s="21"/>
      <c r="JJO244" s="21"/>
      <c r="JJR244" s="21"/>
      <c r="JJS244" s="15"/>
      <c r="JJT244" s="15"/>
      <c r="JJU244" s="15"/>
      <c r="JJV244" s="15"/>
      <c r="JJW244" s="15"/>
      <c r="JJX244" s="15"/>
      <c r="JJY244" s="15"/>
      <c r="JJZ244" s="15"/>
      <c r="JKA244" s="15"/>
      <c r="JKB244" s="15"/>
      <c r="JKC244" s="10"/>
      <c r="JKD244" s="10"/>
      <c r="JKE244" s="21"/>
      <c r="JKF244" s="21"/>
      <c r="JKI244" s="21"/>
      <c r="JKJ244" s="15"/>
      <c r="JKK244" s="15"/>
      <c r="JKL244" s="15"/>
      <c r="JKM244" s="15"/>
      <c r="JKN244" s="15"/>
      <c r="JKO244" s="15"/>
      <c r="JKP244" s="15"/>
      <c r="JKQ244" s="15"/>
      <c r="JKR244" s="15"/>
      <c r="JKS244" s="15"/>
      <c r="JKT244" s="10"/>
      <c r="JKU244" s="10"/>
      <c r="JKV244" s="21"/>
      <c r="JKW244" s="21"/>
      <c r="JKZ244" s="21"/>
      <c r="JLA244" s="15"/>
      <c r="JLB244" s="15"/>
      <c r="JLC244" s="15"/>
      <c r="JLD244" s="15"/>
      <c r="JLE244" s="15"/>
      <c r="JLF244" s="15"/>
      <c r="JLG244" s="15"/>
      <c r="JLH244" s="15"/>
      <c r="JLI244" s="15"/>
      <c r="JLJ244" s="15"/>
      <c r="JLK244" s="10"/>
      <c r="JLL244" s="10"/>
      <c r="JLM244" s="21"/>
      <c r="JLN244" s="21"/>
      <c r="JLQ244" s="21"/>
      <c r="JLR244" s="15"/>
      <c r="JLS244" s="15"/>
      <c r="JLT244" s="15"/>
      <c r="JLU244" s="15"/>
      <c r="JLV244" s="15"/>
      <c r="JLW244" s="15"/>
      <c r="JLX244" s="15"/>
      <c r="JLY244" s="15"/>
      <c r="JLZ244" s="15"/>
      <c r="JMA244" s="15"/>
      <c r="JMB244" s="10"/>
      <c r="JMC244" s="10"/>
      <c r="JMD244" s="21"/>
      <c r="JME244" s="21"/>
      <c r="JMH244" s="21"/>
      <c r="JMI244" s="15"/>
      <c r="JMJ244" s="15"/>
      <c r="JMK244" s="15"/>
      <c r="JML244" s="15"/>
      <c r="JMM244" s="15"/>
      <c r="JMN244" s="15"/>
      <c r="JMO244" s="15"/>
      <c r="JMP244" s="15"/>
      <c r="JMQ244" s="15"/>
      <c r="JMR244" s="15"/>
      <c r="JMS244" s="10"/>
      <c r="JMT244" s="10"/>
      <c r="JMU244" s="21"/>
      <c r="JMV244" s="21"/>
      <c r="JMY244" s="21"/>
      <c r="JMZ244" s="15"/>
      <c r="JNA244" s="15"/>
      <c r="JNB244" s="15"/>
      <c r="JNC244" s="15"/>
      <c r="JND244" s="15"/>
      <c r="JNE244" s="15"/>
      <c r="JNF244" s="15"/>
      <c r="JNG244" s="15"/>
      <c r="JNH244" s="15"/>
      <c r="JNI244" s="15"/>
      <c r="JNJ244" s="10"/>
      <c r="JNK244" s="10"/>
      <c r="JNL244" s="21"/>
      <c r="JNM244" s="21"/>
      <c r="JNP244" s="21"/>
      <c r="JNQ244" s="15"/>
      <c r="JNR244" s="15"/>
      <c r="JNS244" s="15"/>
      <c r="JNT244" s="15"/>
      <c r="JNU244" s="15"/>
      <c r="JNV244" s="15"/>
      <c r="JNW244" s="15"/>
      <c r="JNX244" s="15"/>
      <c r="JNY244" s="15"/>
      <c r="JNZ244" s="15"/>
      <c r="JOA244" s="10"/>
      <c r="JOB244" s="10"/>
      <c r="JOC244" s="21"/>
      <c r="JOD244" s="21"/>
      <c r="JOG244" s="21"/>
      <c r="JOH244" s="15"/>
      <c r="JOI244" s="15"/>
      <c r="JOJ244" s="15"/>
      <c r="JOK244" s="15"/>
      <c r="JOL244" s="15"/>
      <c r="JOM244" s="15"/>
      <c r="JON244" s="15"/>
      <c r="JOO244" s="15"/>
      <c r="JOP244" s="15"/>
      <c r="JOQ244" s="15"/>
      <c r="JOR244" s="10"/>
      <c r="JOS244" s="10"/>
      <c r="JOT244" s="21"/>
      <c r="JOU244" s="21"/>
      <c r="JOX244" s="21"/>
      <c r="JOY244" s="15"/>
      <c r="JOZ244" s="15"/>
      <c r="JPA244" s="15"/>
      <c r="JPB244" s="15"/>
      <c r="JPC244" s="15"/>
      <c r="JPD244" s="15"/>
      <c r="JPE244" s="15"/>
      <c r="JPF244" s="15"/>
      <c r="JPG244" s="15"/>
      <c r="JPH244" s="15"/>
      <c r="JPI244" s="10"/>
      <c r="JPJ244" s="10"/>
      <c r="JPK244" s="21"/>
      <c r="JPL244" s="21"/>
      <c r="JPO244" s="21"/>
      <c r="JPP244" s="15"/>
      <c r="JPQ244" s="15"/>
      <c r="JPR244" s="15"/>
      <c r="JPS244" s="15"/>
      <c r="JPT244" s="15"/>
      <c r="JPU244" s="15"/>
      <c r="JPV244" s="15"/>
      <c r="JPW244" s="15"/>
      <c r="JPX244" s="15"/>
      <c r="JPY244" s="15"/>
      <c r="JPZ244" s="10"/>
      <c r="JQA244" s="10"/>
      <c r="JQB244" s="21"/>
      <c r="JQC244" s="21"/>
      <c r="JQF244" s="21"/>
      <c r="JQG244" s="15"/>
      <c r="JQH244" s="15"/>
      <c r="JQI244" s="15"/>
      <c r="JQJ244" s="15"/>
      <c r="JQK244" s="15"/>
      <c r="JQL244" s="15"/>
      <c r="JQM244" s="15"/>
      <c r="JQN244" s="15"/>
      <c r="JQO244" s="15"/>
      <c r="JQP244" s="15"/>
      <c r="JQQ244" s="10"/>
      <c r="JQR244" s="10"/>
      <c r="JQS244" s="21"/>
      <c r="JQT244" s="21"/>
      <c r="JQW244" s="21"/>
      <c r="JQX244" s="15"/>
      <c r="JQY244" s="15"/>
      <c r="JQZ244" s="15"/>
      <c r="JRA244" s="15"/>
      <c r="JRB244" s="15"/>
      <c r="JRC244" s="15"/>
      <c r="JRD244" s="15"/>
      <c r="JRE244" s="15"/>
      <c r="JRF244" s="15"/>
      <c r="JRG244" s="15"/>
      <c r="JRH244" s="10"/>
      <c r="JRI244" s="10"/>
      <c r="JRJ244" s="21"/>
      <c r="JRK244" s="21"/>
      <c r="JRN244" s="21"/>
      <c r="JRO244" s="15"/>
      <c r="JRP244" s="15"/>
      <c r="JRQ244" s="15"/>
      <c r="JRR244" s="15"/>
      <c r="JRS244" s="15"/>
      <c r="JRT244" s="15"/>
      <c r="JRU244" s="15"/>
      <c r="JRV244" s="15"/>
      <c r="JRW244" s="15"/>
      <c r="JRX244" s="15"/>
      <c r="JRY244" s="10"/>
      <c r="JRZ244" s="10"/>
      <c r="JSA244" s="21"/>
      <c r="JSB244" s="21"/>
      <c r="JSE244" s="21"/>
      <c r="JSF244" s="15"/>
      <c r="JSG244" s="15"/>
      <c r="JSH244" s="15"/>
      <c r="JSI244" s="15"/>
      <c r="JSJ244" s="15"/>
      <c r="JSK244" s="15"/>
      <c r="JSL244" s="15"/>
      <c r="JSM244" s="15"/>
      <c r="JSN244" s="15"/>
      <c r="JSO244" s="15"/>
      <c r="JSP244" s="10"/>
      <c r="JSQ244" s="10"/>
      <c r="JSR244" s="21"/>
      <c r="JSS244" s="21"/>
      <c r="JSV244" s="21"/>
      <c r="JSW244" s="15"/>
      <c r="JSX244" s="15"/>
      <c r="JSY244" s="15"/>
      <c r="JSZ244" s="15"/>
      <c r="JTA244" s="15"/>
      <c r="JTB244" s="15"/>
      <c r="JTC244" s="15"/>
      <c r="JTD244" s="15"/>
      <c r="JTE244" s="15"/>
      <c r="JTF244" s="15"/>
      <c r="JTG244" s="10"/>
      <c r="JTH244" s="10"/>
      <c r="JTI244" s="21"/>
      <c r="JTJ244" s="21"/>
      <c r="JTM244" s="21"/>
      <c r="JTN244" s="15"/>
      <c r="JTO244" s="15"/>
      <c r="JTP244" s="15"/>
      <c r="JTQ244" s="15"/>
      <c r="JTR244" s="15"/>
      <c r="JTS244" s="15"/>
      <c r="JTT244" s="15"/>
      <c r="JTU244" s="15"/>
      <c r="JTV244" s="15"/>
      <c r="JTW244" s="15"/>
      <c r="JTX244" s="10"/>
      <c r="JTY244" s="10"/>
      <c r="JTZ244" s="21"/>
      <c r="JUA244" s="21"/>
      <c r="JUD244" s="21"/>
      <c r="JUE244" s="15"/>
      <c r="JUF244" s="15"/>
      <c r="JUG244" s="15"/>
      <c r="JUH244" s="15"/>
      <c r="JUI244" s="15"/>
      <c r="JUJ244" s="15"/>
      <c r="JUK244" s="15"/>
      <c r="JUL244" s="15"/>
      <c r="JUM244" s="15"/>
      <c r="JUN244" s="15"/>
      <c r="JUO244" s="10"/>
      <c r="JUP244" s="10"/>
      <c r="JUQ244" s="21"/>
      <c r="JUR244" s="21"/>
      <c r="JUU244" s="21"/>
      <c r="JUV244" s="15"/>
      <c r="JUW244" s="15"/>
      <c r="JUX244" s="15"/>
      <c r="JUY244" s="15"/>
      <c r="JUZ244" s="15"/>
      <c r="JVA244" s="15"/>
      <c r="JVB244" s="15"/>
      <c r="JVC244" s="15"/>
      <c r="JVD244" s="15"/>
      <c r="JVE244" s="15"/>
      <c r="JVF244" s="10"/>
      <c r="JVG244" s="10"/>
      <c r="JVH244" s="21"/>
      <c r="JVI244" s="21"/>
      <c r="JVL244" s="21"/>
      <c r="JVM244" s="15"/>
      <c r="JVN244" s="15"/>
      <c r="JVO244" s="15"/>
      <c r="JVP244" s="15"/>
      <c r="JVQ244" s="15"/>
      <c r="JVR244" s="15"/>
      <c r="JVS244" s="15"/>
      <c r="JVT244" s="15"/>
      <c r="JVU244" s="15"/>
      <c r="JVV244" s="15"/>
      <c r="JVW244" s="10"/>
      <c r="JVX244" s="10"/>
      <c r="JVY244" s="21"/>
      <c r="JVZ244" s="21"/>
      <c r="JWC244" s="21"/>
      <c r="JWD244" s="15"/>
      <c r="JWE244" s="15"/>
      <c r="JWF244" s="15"/>
      <c r="JWG244" s="15"/>
      <c r="JWH244" s="15"/>
      <c r="JWI244" s="15"/>
      <c r="JWJ244" s="15"/>
      <c r="JWK244" s="15"/>
      <c r="JWL244" s="15"/>
      <c r="JWM244" s="15"/>
      <c r="JWN244" s="10"/>
      <c r="JWO244" s="10"/>
      <c r="JWP244" s="21"/>
      <c r="JWQ244" s="21"/>
      <c r="JWT244" s="21"/>
      <c r="JWU244" s="15"/>
      <c r="JWV244" s="15"/>
      <c r="JWW244" s="15"/>
      <c r="JWX244" s="15"/>
      <c r="JWY244" s="15"/>
      <c r="JWZ244" s="15"/>
      <c r="JXA244" s="15"/>
      <c r="JXB244" s="15"/>
      <c r="JXC244" s="15"/>
      <c r="JXD244" s="15"/>
      <c r="JXE244" s="10"/>
      <c r="JXF244" s="10"/>
      <c r="JXG244" s="21"/>
      <c r="JXH244" s="21"/>
      <c r="JXK244" s="21"/>
      <c r="JXL244" s="15"/>
      <c r="JXM244" s="15"/>
      <c r="JXN244" s="15"/>
      <c r="JXO244" s="15"/>
      <c r="JXP244" s="15"/>
      <c r="JXQ244" s="15"/>
      <c r="JXR244" s="15"/>
      <c r="JXS244" s="15"/>
      <c r="JXT244" s="15"/>
      <c r="JXU244" s="15"/>
      <c r="JXV244" s="10"/>
      <c r="JXW244" s="10"/>
      <c r="JXX244" s="21"/>
      <c r="JXY244" s="21"/>
      <c r="JYB244" s="21"/>
      <c r="JYC244" s="15"/>
      <c r="JYD244" s="15"/>
      <c r="JYE244" s="15"/>
      <c r="JYF244" s="15"/>
      <c r="JYG244" s="15"/>
      <c r="JYH244" s="15"/>
      <c r="JYI244" s="15"/>
      <c r="JYJ244" s="15"/>
      <c r="JYK244" s="15"/>
      <c r="JYL244" s="15"/>
      <c r="JYM244" s="10"/>
      <c r="JYN244" s="10"/>
      <c r="JYO244" s="21"/>
      <c r="JYP244" s="21"/>
      <c r="JYS244" s="21"/>
      <c r="JYT244" s="15"/>
      <c r="JYU244" s="15"/>
      <c r="JYV244" s="15"/>
      <c r="JYW244" s="15"/>
      <c r="JYX244" s="15"/>
      <c r="JYY244" s="15"/>
      <c r="JYZ244" s="15"/>
      <c r="JZA244" s="15"/>
      <c r="JZB244" s="15"/>
      <c r="JZC244" s="15"/>
      <c r="JZD244" s="10"/>
      <c r="JZE244" s="10"/>
      <c r="JZF244" s="21"/>
      <c r="JZG244" s="21"/>
      <c r="JZJ244" s="21"/>
      <c r="JZK244" s="15"/>
      <c r="JZL244" s="15"/>
      <c r="JZM244" s="15"/>
      <c r="JZN244" s="15"/>
      <c r="JZO244" s="15"/>
      <c r="JZP244" s="15"/>
      <c r="JZQ244" s="15"/>
      <c r="JZR244" s="15"/>
      <c r="JZS244" s="15"/>
      <c r="JZT244" s="15"/>
      <c r="JZU244" s="10"/>
      <c r="JZV244" s="10"/>
      <c r="JZW244" s="21"/>
      <c r="JZX244" s="21"/>
      <c r="KAA244" s="21"/>
      <c r="KAB244" s="15"/>
      <c r="KAC244" s="15"/>
      <c r="KAD244" s="15"/>
      <c r="KAE244" s="15"/>
      <c r="KAF244" s="15"/>
      <c r="KAG244" s="15"/>
      <c r="KAH244" s="15"/>
      <c r="KAI244" s="15"/>
      <c r="KAJ244" s="15"/>
      <c r="KAK244" s="15"/>
      <c r="KAL244" s="10"/>
      <c r="KAM244" s="10"/>
      <c r="KAN244" s="21"/>
      <c r="KAO244" s="21"/>
      <c r="KAR244" s="21"/>
      <c r="KAS244" s="15"/>
      <c r="KAT244" s="15"/>
      <c r="KAU244" s="15"/>
      <c r="KAV244" s="15"/>
      <c r="KAW244" s="15"/>
      <c r="KAX244" s="15"/>
      <c r="KAY244" s="15"/>
      <c r="KAZ244" s="15"/>
      <c r="KBA244" s="15"/>
      <c r="KBB244" s="15"/>
      <c r="KBC244" s="10"/>
      <c r="KBD244" s="10"/>
      <c r="KBE244" s="21"/>
      <c r="KBF244" s="21"/>
      <c r="KBI244" s="21"/>
      <c r="KBJ244" s="15"/>
      <c r="KBK244" s="15"/>
      <c r="KBL244" s="15"/>
      <c r="KBM244" s="15"/>
      <c r="KBN244" s="15"/>
      <c r="KBO244" s="15"/>
      <c r="KBP244" s="15"/>
      <c r="KBQ244" s="15"/>
      <c r="KBR244" s="15"/>
      <c r="KBS244" s="15"/>
      <c r="KBT244" s="10"/>
      <c r="KBU244" s="10"/>
      <c r="KBV244" s="21"/>
      <c r="KBW244" s="21"/>
      <c r="KBZ244" s="21"/>
      <c r="KCA244" s="15"/>
      <c r="KCB244" s="15"/>
      <c r="KCC244" s="15"/>
      <c r="KCD244" s="15"/>
      <c r="KCE244" s="15"/>
      <c r="KCF244" s="15"/>
      <c r="KCG244" s="15"/>
      <c r="KCH244" s="15"/>
      <c r="KCI244" s="15"/>
      <c r="KCJ244" s="15"/>
      <c r="KCK244" s="10"/>
      <c r="KCL244" s="10"/>
      <c r="KCM244" s="21"/>
      <c r="KCN244" s="21"/>
      <c r="KCQ244" s="21"/>
      <c r="KCR244" s="15"/>
      <c r="KCS244" s="15"/>
      <c r="KCT244" s="15"/>
      <c r="KCU244" s="15"/>
      <c r="KCV244" s="15"/>
      <c r="KCW244" s="15"/>
      <c r="KCX244" s="15"/>
      <c r="KCY244" s="15"/>
      <c r="KCZ244" s="15"/>
      <c r="KDA244" s="15"/>
      <c r="KDB244" s="10"/>
      <c r="KDC244" s="10"/>
      <c r="KDD244" s="21"/>
      <c r="KDE244" s="21"/>
      <c r="KDH244" s="21"/>
      <c r="KDI244" s="15"/>
      <c r="KDJ244" s="15"/>
      <c r="KDK244" s="15"/>
      <c r="KDL244" s="15"/>
      <c r="KDM244" s="15"/>
      <c r="KDN244" s="15"/>
      <c r="KDO244" s="15"/>
      <c r="KDP244" s="15"/>
      <c r="KDQ244" s="15"/>
      <c r="KDR244" s="15"/>
      <c r="KDS244" s="10"/>
      <c r="KDT244" s="10"/>
      <c r="KDU244" s="21"/>
      <c r="KDV244" s="21"/>
      <c r="KDY244" s="21"/>
      <c r="KDZ244" s="15"/>
      <c r="KEA244" s="15"/>
      <c r="KEB244" s="15"/>
      <c r="KEC244" s="15"/>
      <c r="KED244" s="15"/>
      <c r="KEE244" s="15"/>
      <c r="KEF244" s="15"/>
      <c r="KEG244" s="15"/>
      <c r="KEH244" s="15"/>
      <c r="KEI244" s="15"/>
      <c r="KEJ244" s="10"/>
      <c r="KEK244" s="10"/>
      <c r="KEL244" s="21"/>
      <c r="KEM244" s="21"/>
      <c r="KEP244" s="21"/>
      <c r="KEQ244" s="15"/>
      <c r="KER244" s="15"/>
      <c r="KES244" s="15"/>
      <c r="KET244" s="15"/>
      <c r="KEU244" s="15"/>
      <c r="KEV244" s="15"/>
      <c r="KEW244" s="15"/>
      <c r="KEX244" s="15"/>
      <c r="KEY244" s="15"/>
      <c r="KEZ244" s="15"/>
      <c r="KFA244" s="10"/>
      <c r="KFB244" s="10"/>
      <c r="KFC244" s="21"/>
      <c r="KFD244" s="21"/>
      <c r="KFG244" s="21"/>
      <c r="KFH244" s="15"/>
      <c r="KFI244" s="15"/>
      <c r="KFJ244" s="15"/>
      <c r="KFK244" s="15"/>
      <c r="KFL244" s="15"/>
      <c r="KFM244" s="15"/>
      <c r="KFN244" s="15"/>
      <c r="KFO244" s="15"/>
      <c r="KFP244" s="15"/>
      <c r="KFQ244" s="15"/>
      <c r="KFR244" s="10"/>
      <c r="KFS244" s="10"/>
      <c r="KFT244" s="21"/>
      <c r="KFU244" s="21"/>
      <c r="KFX244" s="21"/>
      <c r="KFY244" s="15"/>
      <c r="KFZ244" s="15"/>
      <c r="KGA244" s="15"/>
      <c r="KGB244" s="15"/>
      <c r="KGC244" s="15"/>
      <c r="KGD244" s="15"/>
      <c r="KGE244" s="15"/>
      <c r="KGF244" s="15"/>
      <c r="KGG244" s="15"/>
      <c r="KGH244" s="15"/>
      <c r="KGI244" s="10"/>
      <c r="KGJ244" s="10"/>
      <c r="KGK244" s="21"/>
      <c r="KGL244" s="21"/>
      <c r="KGO244" s="21"/>
      <c r="KGP244" s="15"/>
      <c r="KGQ244" s="15"/>
      <c r="KGR244" s="15"/>
      <c r="KGS244" s="15"/>
      <c r="KGT244" s="15"/>
      <c r="KGU244" s="15"/>
      <c r="KGV244" s="15"/>
      <c r="KGW244" s="15"/>
      <c r="KGX244" s="15"/>
      <c r="KGY244" s="15"/>
      <c r="KGZ244" s="10"/>
      <c r="KHA244" s="10"/>
      <c r="KHB244" s="21"/>
      <c r="KHC244" s="21"/>
      <c r="KHF244" s="21"/>
      <c r="KHG244" s="15"/>
      <c r="KHH244" s="15"/>
      <c r="KHI244" s="15"/>
      <c r="KHJ244" s="15"/>
      <c r="KHK244" s="15"/>
      <c r="KHL244" s="15"/>
      <c r="KHM244" s="15"/>
      <c r="KHN244" s="15"/>
      <c r="KHO244" s="15"/>
      <c r="KHP244" s="15"/>
      <c r="KHQ244" s="10"/>
      <c r="KHR244" s="10"/>
      <c r="KHS244" s="21"/>
      <c r="KHT244" s="21"/>
      <c r="KHW244" s="21"/>
      <c r="KHX244" s="15"/>
      <c r="KHY244" s="15"/>
      <c r="KHZ244" s="15"/>
      <c r="KIA244" s="15"/>
      <c r="KIB244" s="15"/>
      <c r="KIC244" s="15"/>
      <c r="KID244" s="15"/>
      <c r="KIE244" s="15"/>
      <c r="KIF244" s="15"/>
      <c r="KIG244" s="15"/>
      <c r="KIH244" s="10"/>
      <c r="KII244" s="10"/>
      <c r="KIJ244" s="21"/>
      <c r="KIK244" s="21"/>
      <c r="KIN244" s="21"/>
      <c r="KIO244" s="15"/>
      <c r="KIP244" s="15"/>
      <c r="KIQ244" s="15"/>
      <c r="KIR244" s="15"/>
      <c r="KIS244" s="15"/>
      <c r="KIT244" s="15"/>
      <c r="KIU244" s="15"/>
      <c r="KIV244" s="15"/>
      <c r="KIW244" s="15"/>
      <c r="KIX244" s="15"/>
      <c r="KIY244" s="10"/>
      <c r="KIZ244" s="10"/>
      <c r="KJA244" s="21"/>
      <c r="KJB244" s="21"/>
      <c r="KJE244" s="21"/>
      <c r="KJF244" s="15"/>
      <c r="KJG244" s="15"/>
      <c r="KJH244" s="15"/>
      <c r="KJI244" s="15"/>
      <c r="KJJ244" s="15"/>
      <c r="KJK244" s="15"/>
      <c r="KJL244" s="15"/>
      <c r="KJM244" s="15"/>
      <c r="KJN244" s="15"/>
      <c r="KJO244" s="15"/>
      <c r="KJP244" s="10"/>
      <c r="KJQ244" s="10"/>
      <c r="KJR244" s="21"/>
      <c r="KJS244" s="21"/>
      <c r="KJV244" s="21"/>
      <c r="KJW244" s="15"/>
      <c r="KJX244" s="15"/>
      <c r="KJY244" s="15"/>
      <c r="KJZ244" s="15"/>
      <c r="KKA244" s="15"/>
      <c r="KKB244" s="15"/>
      <c r="KKC244" s="15"/>
      <c r="KKD244" s="15"/>
      <c r="KKE244" s="15"/>
      <c r="KKF244" s="15"/>
      <c r="KKG244" s="10"/>
      <c r="KKH244" s="10"/>
      <c r="KKI244" s="21"/>
      <c r="KKJ244" s="21"/>
      <c r="KKM244" s="21"/>
      <c r="KKN244" s="15"/>
      <c r="KKO244" s="15"/>
      <c r="KKP244" s="15"/>
      <c r="KKQ244" s="15"/>
      <c r="KKR244" s="15"/>
      <c r="KKS244" s="15"/>
      <c r="KKT244" s="15"/>
      <c r="KKU244" s="15"/>
      <c r="KKV244" s="15"/>
      <c r="KKW244" s="15"/>
      <c r="KKX244" s="10"/>
      <c r="KKY244" s="10"/>
      <c r="KKZ244" s="21"/>
      <c r="KLA244" s="21"/>
      <c r="KLD244" s="21"/>
      <c r="KLE244" s="15"/>
      <c r="KLF244" s="15"/>
      <c r="KLG244" s="15"/>
      <c r="KLH244" s="15"/>
      <c r="KLI244" s="15"/>
      <c r="KLJ244" s="15"/>
      <c r="KLK244" s="15"/>
      <c r="KLL244" s="15"/>
      <c r="KLM244" s="15"/>
      <c r="KLN244" s="15"/>
      <c r="KLO244" s="10"/>
      <c r="KLP244" s="10"/>
      <c r="KLQ244" s="21"/>
      <c r="KLR244" s="21"/>
      <c r="KLU244" s="21"/>
      <c r="KLV244" s="15"/>
      <c r="KLW244" s="15"/>
      <c r="KLX244" s="15"/>
      <c r="KLY244" s="15"/>
      <c r="KLZ244" s="15"/>
      <c r="KMA244" s="15"/>
      <c r="KMB244" s="15"/>
      <c r="KMC244" s="15"/>
      <c r="KMD244" s="15"/>
      <c r="KME244" s="15"/>
      <c r="KMF244" s="10"/>
      <c r="KMG244" s="10"/>
      <c r="KMH244" s="21"/>
      <c r="KMI244" s="21"/>
      <c r="KML244" s="21"/>
      <c r="KMM244" s="15"/>
      <c r="KMN244" s="15"/>
      <c r="KMO244" s="15"/>
      <c r="KMP244" s="15"/>
      <c r="KMQ244" s="15"/>
      <c r="KMR244" s="15"/>
      <c r="KMS244" s="15"/>
      <c r="KMT244" s="15"/>
      <c r="KMU244" s="15"/>
      <c r="KMV244" s="15"/>
      <c r="KMW244" s="10"/>
      <c r="KMX244" s="10"/>
      <c r="KMY244" s="21"/>
      <c r="KMZ244" s="21"/>
      <c r="KNC244" s="21"/>
      <c r="KND244" s="15"/>
      <c r="KNE244" s="15"/>
      <c r="KNF244" s="15"/>
      <c r="KNG244" s="15"/>
      <c r="KNH244" s="15"/>
      <c r="KNI244" s="15"/>
      <c r="KNJ244" s="15"/>
      <c r="KNK244" s="15"/>
      <c r="KNL244" s="15"/>
      <c r="KNM244" s="15"/>
      <c r="KNN244" s="10"/>
      <c r="KNO244" s="10"/>
      <c r="KNP244" s="21"/>
      <c r="KNQ244" s="21"/>
      <c r="KNT244" s="21"/>
      <c r="KNU244" s="15"/>
      <c r="KNV244" s="15"/>
      <c r="KNW244" s="15"/>
      <c r="KNX244" s="15"/>
      <c r="KNY244" s="15"/>
      <c r="KNZ244" s="15"/>
      <c r="KOA244" s="15"/>
      <c r="KOB244" s="15"/>
      <c r="KOC244" s="15"/>
      <c r="KOD244" s="15"/>
      <c r="KOE244" s="10"/>
      <c r="KOF244" s="10"/>
      <c r="KOG244" s="21"/>
      <c r="KOH244" s="21"/>
      <c r="KOK244" s="21"/>
      <c r="KOL244" s="15"/>
      <c r="KOM244" s="15"/>
      <c r="KON244" s="15"/>
      <c r="KOO244" s="15"/>
      <c r="KOP244" s="15"/>
      <c r="KOQ244" s="15"/>
      <c r="KOR244" s="15"/>
      <c r="KOS244" s="15"/>
      <c r="KOT244" s="15"/>
      <c r="KOU244" s="15"/>
      <c r="KOV244" s="10"/>
      <c r="KOW244" s="10"/>
      <c r="KOX244" s="21"/>
      <c r="KOY244" s="21"/>
      <c r="KPB244" s="21"/>
      <c r="KPC244" s="15"/>
      <c r="KPD244" s="15"/>
      <c r="KPE244" s="15"/>
      <c r="KPF244" s="15"/>
      <c r="KPG244" s="15"/>
      <c r="KPH244" s="15"/>
      <c r="KPI244" s="15"/>
      <c r="KPJ244" s="15"/>
      <c r="KPK244" s="15"/>
      <c r="KPL244" s="15"/>
      <c r="KPM244" s="10"/>
      <c r="KPN244" s="10"/>
      <c r="KPO244" s="21"/>
      <c r="KPP244" s="21"/>
      <c r="KPS244" s="21"/>
      <c r="KPT244" s="15"/>
      <c r="KPU244" s="15"/>
      <c r="KPV244" s="15"/>
      <c r="KPW244" s="15"/>
      <c r="KPX244" s="15"/>
      <c r="KPY244" s="15"/>
      <c r="KPZ244" s="15"/>
      <c r="KQA244" s="15"/>
      <c r="KQB244" s="15"/>
      <c r="KQC244" s="15"/>
      <c r="KQD244" s="10"/>
      <c r="KQE244" s="10"/>
      <c r="KQF244" s="21"/>
      <c r="KQG244" s="21"/>
      <c r="KQJ244" s="21"/>
      <c r="KQK244" s="15"/>
      <c r="KQL244" s="15"/>
      <c r="KQM244" s="15"/>
      <c r="KQN244" s="15"/>
      <c r="KQO244" s="15"/>
      <c r="KQP244" s="15"/>
      <c r="KQQ244" s="15"/>
      <c r="KQR244" s="15"/>
      <c r="KQS244" s="15"/>
      <c r="KQT244" s="15"/>
      <c r="KQU244" s="10"/>
      <c r="KQV244" s="10"/>
      <c r="KQW244" s="21"/>
      <c r="KQX244" s="21"/>
      <c r="KRA244" s="21"/>
      <c r="KRB244" s="15"/>
      <c r="KRC244" s="15"/>
      <c r="KRD244" s="15"/>
      <c r="KRE244" s="15"/>
      <c r="KRF244" s="15"/>
      <c r="KRG244" s="15"/>
      <c r="KRH244" s="15"/>
      <c r="KRI244" s="15"/>
      <c r="KRJ244" s="15"/>
      <c r="KRK244" s="15"/>
      <c r="KRL244" s="10"/>
      <c r="KRM244" s="10"/>
      <c r="KRN244" s="21"/>
      <c r="KRO244" s="21"/>
      <c r="KRR244" s="21"/>
      <c r="KRS244" s="15"/>
      <c r="KRT244" s="15"/>
      <c r="KRU244" s="15"/>
      <c r="KRV244" s="15"/>
      <c r="KRW244" s="15"/>
      <c r="KRX244" s="15"/>
      <c r="KRY244" s="15"/>
      <c r="KRZ244" s="15"/>
      <c r="KSA244" s="15"/>
      <c r="KSB244" s="15"/>
      <c r="KSC244" s="10"/>
      <c r="KSD244" s="10"/>
      <c r="KSE244" s="21"/>
      <c r="KSF244" s="21"/>
      <c r="KSI244" s="21"/>
      <c r="KSJ244" s="15"/>
      <c r="KSK244" s="15"/>
      <c r="KSL244" s="15"/>
      <c r="KSM244" s="15"/>
      <c r="KSN244" s="15"/>
      <c r="KSO244" s="15"/>
      <c r="KSP244" s="15"/>
      <c r="KSQ244" s="15"/>
      <c r="KSR244" s="15"/>
      <c r="KSS244" s="15"/>
      <c r="KST244" s="10"/>
      <c r="KSU244" s="10"/>
      <c r="KSV244" s="21"/>
      <c r="KSW244" s="21"/>
      <c r="KSZ244" s="21"/>
      <c r="KTA244" s="15"/>
      <c r="KTB244" s="15"/>
      <c r="KTC244" s="15"/>
      <c r="KTD244" s="15"/>
      <c r="KTE244" s="15"/>
      <c r="KTF244" s="15"/>
      <c r="KTG244" s="15"/>
      <c r="KTH244" s="15"/>
      <c r="KTI244" s="15"/>
      <c r="KTJ244" s="15"/>
      <c r="KTK244" s="10"/>
      <c r="KTL244" s="10"/>
      <c r="KTM244" s="21"/>
      <c r="KTN244" s="21"/>
      <c r="KTQ244" s="21"/>
      <c r="KTR244" s="15"/>
      <c r="KTS244" s="15"/>
      <c r="KTT244" s="15"/>
      <c r="KTU244" s="15"/>
      <c r="KTV244" s="15"/>
      <c r="KTW244" s="15"/>
      <c r="KTX244" s="15"/>
      <c r="KTY244" s="15"/>
      <c r="KTZ244" s="15"/>
      <c r="KUA244" s="15"/>
      <c r="KUB244" s="10"/>
      <c r="KUC244" s="10"/>
      <c r="KUD244" s="21"/>
      <c r="KUE244" s="21"/>
      <c r="KUH244" s="21"/>
      <c r="KUI244" s="15"/>
      <c r="KUJ244" s="15"/>
      <c r="KUK244" s="15"/>
      <c r="KUL244" s="15"/>
      <c r="KUM244" s="15"/>
      <c r="KUN244" s="15"/>
      <c r="KUO244" s="15"/>
      <c r="KUP244" s="15"/>
      <c r="KUQ244" s="15"/>
      <c r="KUR244" s="15"/>
      <c r="KUS244" s="10"/>
      <c r="KUT244" s="10"/>
      <c r="KUU244" s="21"/>
      <c r="KUV244" s="21"/>
      <c r="KUY244" s="21"/>
      <c r="KUZ244" s="15"/>
      <c r="KVA244" s="15"/>
      <c r="KVB244" s="15"/>
      <c r="KVC244" s="15"/>
      <c r="KVD244" s="15"/>
      <c r="KVE244" s="15"/>
      <c r="KVF244" s="15"/>
      <c r="KVG244" s="15"/>
      <c r="KVH244" s="15"/>
      <c r="KVI244" s="15"/>
      <c r="KVJ244" s="10"/>
      <c r="KVK244" s="10"/>
      <c r="KVL244" s="21"/>
      <c r="KVM244" s="21"/>
      <c r="KVP244" s="21"/>
      <c r="KVQ244" s="15"/>
      <c r="KVR244" s="15"/>
      <c r="KVS244" s="15"/>
      <c r="KVT244" s="15"/>
      <c r="KVU244" s="15"/>
      <c r="KVV244" s="15"/>
      <c r="KVW244" s="15"/>
      <c r="KVX244" s="15"/>
      <c r="KVY244" s="15"/>
      <c r="KVZ244" s="15"/>
      <c r="KWA244" s="10"/>
      <c r="KWB244" s="10"/>
      <c r="KWC244" s="21"/>
      <c r="KWD244" s="21"/>
      <c r="KWG244" s="21"/>
      <c r="KWH244" s="15"/>
      <c r="KWI244" s="15"/>
      <c r="KWJ244" s="15"/>
      <c r="KWK244" s="15"/>
      <c r="KWL244" s="15"/>
      <c r="KWM244" s="15"/>
      <c r="KWN244" s="15"/>
      <c r="KWO244" s="15"/>
      <c r="KWP244" s="15"/>
      <c r="KWQ244" s="15"/>
      <c r="KWR244" s="10"/>
      <c r="KWS244" s="10"/>
      <c r="KWT244" s="21"/>
      <c r="KWU244" s="21"/>
      <c r="KWX244" s="21"/>
      <c r="KWY244" s="15"/>
      <c r="KWZ244" s="15"/>
      <c r="KXA244" s="15"/>
      <c r="KXB244" s="15"/>
      <c r="KXC244" s="15"/>
      <c r="KXD244" s="15"/>
      <c r="KXE244" s="15"/>
      <c r="KXF244" s="15"/>
      <c r="KXG244" s="15"/>
      <c r="KXH244" s="15"/>
      <c r="KXI244" s="10"/>
      <c r="KXJ244" s="10"/>
      <c r="KXK244" s="21"/>
      <c r="KXL244" s="21"/>
      <c r="KXO244" s="21"/>
      <c r="KXP244" s="15"/>
      <c r="KXQ244" s="15"/>
      <c r="KXR244" s="15"/>
      <c r="KXS244" s="15"/>
      <c r="KXT244" s="15"/>
      <c r="KXU244" s="15"/>
      <c r="KXV244" s="15"/>
      <c r="KXW244" s="15"/>
      <c r="KXX244" s="15"/>
      <c r="KXY244" s="15"/>
      <c r="KXZ244" s="10"/>
      <c r="KYA244" s="10"/>
      <c r="KYB244" s="21"/>
      <c r="KYC244" s="21"/>
      <c r="KYF244" s="21"/>
      <c r="KYG244" s="15"/>
      <c r="KYH244" s="15"/>
      <c r="KYI244" s="15"/>
      <c r="KYJ244" s="15"/>
      <c r="KYK244" s="15"/>
      <c r="KYL244" s="15"/>
      <c r="KYM244" s="15"/>
      <c r="KYN244" s="15"/>
      <c r="KYO244" s="15"/>
      <c r="KYP244" s="15"/>
      <c r="KYQ244" s="10"/>
      <c r="KYR244" s="10"/>
      <c r="KYS244" s="21"/>
      <c r="KYT244" s="21"/>
      <c r="KYW244" s="21"/>
      <c r="KYX244" s="15"/>
      <c r="KYY244" s="15"/>
      <c r="KYZ244" s="15"/>
      <c r="KZA244" s="15"/>
      <c r="KZB244" s="15"/>
      <c r="KZC244" s="15"/>
      <c r="KZD244" s="15"/>
      <c r="KZE244" s="15"/>
      <c r="KZF244" s="15"/>
      <c r="KZG244" s="15"/>
      <c r="KZH244" s="10"/>
      <c r="KZI244" s="10"/>
      <c r="KZJ244" s="21"/>
      <c r="KZK244" s="21"/>
      <c r="KZN244" s="21"/>
      <c r="KZO244" s="15"/>
      <c r="KZP244" s="15"/>
      <c r="KZQ244" s="15"/>
      <c r="KZR244" s="15"/>
      <c r="KZS244" s="15"/>
      <c r="KZT244" s="15"/>
      <c r="KZU244" s="15"/>
      <c r="KZV244" s="15"/>
      <c r="KZW244" s="15"/>
      <c r="KZX244" s="15"/>
      <c r="KZY244" s="10"/>
      <c r="KZZ244" s="10"/>
      <c r="LAA244" s="21"/>
      <c r="LAB244" s="21"/>
      <c r="LAE244" s="21"/>
      <c r="LAF244" s="15"/>
      <c r="LAG244" s="15"/>
      <c r="LAH244" s="15"/>
      <c r="LAI244" s="15"/>
      <c r="LAJ244" s="15"/>
      <c r="LAK244" s="15"/>
      <c r="LAL244" s="15"/>
      <c r="LAM244" s="15"/>
      <c r="LAN244" s="15"/>
      <c r="LAO244" s="15"/>
      <c r="LAP244" s="10"/>
      <c r="LAQ244" s="10"/>
      <c r="LAR244" s="21"/>
      <c r="LAS244" s="21"/>
      <c r="LAV244" s="21"/>
      <c r="LAW244" s="15"/>
      <c r="LAX244" s="15"/>
      <c r="LAY244" s="15"/>
      <c r="LAZ244" s="15"/>
      <c r="LBA244" s="15"/>
      <c r="LBB244" s="15"/>
      <c r="LBC244" s="15"/>
      <c r="LBD244" s="15"/>
      <c r="LBE244" s="15"/>
      <c r="LBF244" s="15"/>
      <c r="LBG244" s="10"/>
      <c r="LBH244" s="10"/>
      <c r="LBI244" s="21"/>
      <c r="LBJ244" s="21"/>
      <c r="LBM244" s="21"/>
      <c r="LBN244" s="15"/>
      <c r="LBO244" s="15"/>
      <c r="LBP244" s="15"/>
      <c r="LBQ244" s="15"/>
      <c r="LBR244" s="15"/>
      <c r="LBS244" s="15"/>
      <c r="LBT244" s="15"/>
      <c r="LBU244" s="15"/>
      <c r="LBV244" s="15"/>
      <c r="LBW244" s="15"/>
      <c r="LBX244" s="10"/>
      <c r="LBY244" s="10"/>
      <c r="LBZ244" s="21"/>
      <c r="LCA244" s="21"/>
      <c r="LCD244" s="21"/>
      <c r="LCE244" s="15"/>
      <c r="LCF244" s="15"/>
      <c r="LCG244" s="15"/>
      <c r="LCH244" s="15"/>
      <c r="LCI244" s="15"/>
      <c r="LCJ244" s="15"/>
      <c r="LCK244" s="15"/>
      <c r="LCL244" s="15"/>
      <c r="LCM244" s="15"/>
      <c r="LCN244" s="15"/>
      <c r="LCO244" s="10"/>
      <c r="LCP244" s="10"/>
      <c r="LCQ244" s="21"/>
      <c r="LCR244" s="21"/>
      <c r="LCU244" s="21"/>
      <c r="LCV244" s="15"/>
      <c r="LCW244" s="15"/>
      <c r="LCX244" s="15"/>
      <c r="LCY244" s="15"/>
      <c r="LCZ244" s="15"/>
      <c r="LDA244" s="15"/>
      <c r="LDB244" s="15"/>
      <c r="LDC244" s="15"/>
      <c r="LDD244" s="15"/>
      <c r="LDE244" s="15"/>
      <c r="LDF244" s="10"/>
      <c r="LDG244" s="10"/>
      <c r="LDH244" s="21"/>
      <c r="LDI244" s="21"/>
      <c r="LDL244" s="21"/>
      <c r="LDM244" s="15"/>
      <c r="LDN244" s="15"/>
      <c r="LDO244" s="15"/>
      <c r="LDP244" s="15"/>
      <c r="LDQ244" s="15"/>
      <c r="LDR244" s="15"/>
      <c r="LDS244" s="15"/>
      <c r="LDT244" s="15"/>
      <c r="LDU244" s="15"/>
      <c r="LDV244" s="15"/>
      <c r="LDW244" s="10"/>
      <c r="LDX244" s="10"/>
      <c r="LDY244" s="21"/>
      <c r="LDZ244" s="21"/>
      <c r="LEC244" s="21"/>
      <c r="LED244" s="15"/>
      <c r="LEE244" s="15"/>
      <c r="LEF244" s="15"/>
      <c r="LEG244" s="15"/>
      <c r="LEH244" s="15"/>
      <c r="LEI244" s="15"/>
      <c r="LEJ244" s="15"/>
      <c r="LEK244" s="15"/>
      <c r="LEL244" s="15"/>
      <c r="LEM244" s="15"/>
      <c r="LEN244" s="10"/>
      <c r="LEO244" s="10"/>
      <c r="LEP244" s="21"/>
      <c r="LEQ244" s="21"/>
      <c r="LET244" s="21"/>
      <c r="LEU244" s="15"/>
      <c r="LEV244" s="15"/>
      <c r="LEW244" s="15"/>
      <c r="LEX244" s="15"/>
      <c r="LEY244" s="15"/>
      <c r="LEZ244" s="15"/>
      <c r="LFA244" s="15"/>
      <c r="LFB244" s="15"/>
      <c r="LFC244" s="15"/>
      <c r="LFD244" s="15"/>
      <c r="LFE244" s="10"/>
      <c r="LFF244" s="10"/>
      <c r="LFG244" s="21"/>
      <c r="LFH244" s="21"/>
      <c r="LFK244" s="21"/>
      <c r="LFL244" s="15"/>
      <c r="LFM244" s="15"/>
      <c r="LFN244" s="15"/>
      <c r="LFO244" s="15"/>
      <c r="LFP244" s="15"/>
      <c r="LFQ244" s="15"/>
      <c r="LFR244" s="15"/>
      <c r="LFS244" s="15"/>
      <c r="LFT244" s="15"/>
      <c r="LFU244" s="15"/>
      <c r="LFV244" s="10"/>
      <c r="LFW244" s="10"/>
      <c r="LFX244" s="21"/>
      <c r="LFY244" s="21"/>
      <c r="LGB244" s="21"/>
      <c r="LGC244" s="15"/>
      <c r="LGD244" s="15"/>
      <c r="LGE244" s="15"/>
      <c r="LGF244" s="15"/>
      <c r="LGG244" s="15"/>
      <c r="LGH244" s="15"/>
      <c r="LGI244" s="15"/>
      <c r="LGJ244" s="15"/>
      <c r="LGK244" s="15"/>
      <c r="LGL244" s="15"/>
      <c r="LGM244" s="10"/>
      <c r="LGN244" s="10"/>
      <c r="LGO244" s="21"/>
      <c r="LGP244" s="21"/>
      <c r="LGS244" s="21"/>
      <c r="LGT244" s="15"/>
      <c r="LGU244" s="15"/>
      <c r="LGV244" s="15"/>
      <c r="LGW244" s="15"/>
      <c r="LGX244" s="15"/>
      <c r="LGY244" s="15"/>
      <c r="LGZ244" s="15"/>
      <c r="LHA244" s="15"/>
      <c r="LHB244" s="15"/>
      <c r="LHC244" s="15"/>
      <c r="LHD244" s="10"/>
      <c r="LHE244" s="10"/>
      <c r="LHF244" s="21"/>
      <c r="LHG244" s="21"/>
      <c r="LHJ244" s="21"/>
      <c r="LHK244" s="15"/>
      <c r="LHL244" s="15"/>
      <c r="LHM244" s="15"/>
      <c r="LHN244" s="15"/>
      <c r="LHO244" s="15"/>
      <c r="LHP244" s="15"/>
      <c r="LHQ244" s="15"/>
      <c r="LHR244" s="15"/>
      <c r="LHS244" s="15"/>
      <c r="LHT244" s="15"/>
      <c r="LHU244" s="10"/>
      <c r="LHV244" s="10"/>
      <c r="LHW244" s="21"/>
      <c r="LHX244" s="21"/>
      <c r="LIA244" s="21"/>
      <c r="LIB244" s="15"/>
      <c r="LIC244" s="15"/>
      <c r="LID244" s="15"/>
      <c r="LIE244" s="15"/>
      <c r="LIF244" s="15"/>
      <c r="LIG244" s="15"/>
      <c r="LIH244" s="15"/>
      <c r="LII244" s="15"/>
      <c r="LIJ244" s="15"/>
      <c r="LIK244" s="15"/>
      <c r="LIL244" s="10"/>
      <c r="LIM244" s="10"/>
      <c r="LIN244" s="21"/>
      <c r="LIO244" s="21"/>
      <c r="LIR244" s="21"/>
      <c r="LIS244" s="15"/>
      <c r="LIT244" s="15"/>
      <c r="LIU244" s="15"/>
      <c r="LIV244" s="15"/>
      <c r="LIW244" s="15"/>
      <c r="LIX244" s="15"/>
      <c r="LIY244" s="15"/>
      <c r="LIZ244" s="15"/>
      <c r="LJA244" s="15"/>
      <c r="LJB244" s="15"/>
      <c r="LJC244" s="10"/>
      <c r="LJD244" s="10"/>
      <c r="LJE244" s="21"/>
      <c r="LJF244" s="21"/>
      <c r="LJI244" s="21"/>
      <c r="LJJ244" s="15"/>
      <c r="LJK244" s="15"/>
      <c r="LJL244" s="15"/>
      <c r="LJM244" s="15"/>
      <c r="LJN244" s="15"/>
      <c r="LJO244" s="15"/>
      <c r="LJP244" s="15"/>
      <c r="LJQ244" s="15"/>
      <c r="LJR244" s="15"/>
      <c r="LJS244" s="15"/>
      <c r="LJT244" s="10"/>
      <c r="LJU244" s="10"/>
      <c r="LJV244" s="21"/>
      <c r="LJW244" s="21"/>
      <c r="LJZ244" s="21"/>
      <c r="LKA244" s="15"/>
      <c r="LKB244" s="15"/>
      <c r="LKC244" s="15"/>
      <c r="LKD244" s="15"/>
      <c r="LKE244" s="15"/>
      <c r="LKF244" s="15"/>
      <c r="LKG244" s="15"/>
      <c r="LKH244" s="15"/>
      <c r="LKI244" s="15"/>
      <c r="LKJ244" s="15"/>
      <c r="LKK244" s="10"/>
      <c r="LKL244" s="10"/>
      <c r="LKM244" s="21"/>
      <c r="LKN244" s="21"/>
      <c r="LKQ244" s="21"/>
      <c r="LKR244" s="15"/>
      <c r="LKS244" s="15"/>
      <c r="LKT244" s="15"/>
      <c r="LKU244" s="15"/>
      <c r="LKV244" s="15"/>
      <c r="LKW244" s="15"/>
      <c r="LKX244" s="15"/>
      <c r="LKY244" s="15"/>
      <c r="LKZ244" s="15"/>
      <c r="LLA244" s="15"/>
      <c r="LLB244" s="10"/>
      <c r="LLC244" s="10"/>
      <c r="LLD244" s="21"/>
      <c r="LLE244" s="21"/>
      <c r="LLH244" s="21"/>
      <c r="LLI244" s="15"/>
      <c r="LLJ244" s="15"/>
      <c r="LLK244" s="15"/>
      <c r="LLL244" s="15"/>
      <c r="LLM244" s="15"/>
      <c r="LLN244" s="15"/>
      <c r="LLO244" s="15"/>
      <c r="LLP244" s="15"/>
      <c r="LLQ244" s="15"/>
      <c r="LLR244" s="15"/>
      <c r="LLS244" s="10"/>
      <c r="LLT244" s="10"/>
      <c r="LLU244" s="21"/>
      <c r="LLV244" s="21"/>
      <c r="LLY244" s="21"/>
      <c r="LLZ244" s="15"/>
      <c r="LMA244" s="15"/>
      <c r="LMB244" s="15"/>
      <c r="LMC244" s="15"/>
      <c r="LMD244" s="15"/>
      <c r="LME244" s="15"/>
      <c r="LMF244" s="15"/>
      <c r="LMG244" s="15"/>
      <c r="LMH244" s="15"/>
      <c r="LMI244" s="15"/>
      <c r="LMJ244" s="10"/>
      <c r="LMK244" s="10"/>
      <c r="LML244" s="21"/>
      <c r="LMM244" s="21"/>
      <c r="LMP244" s="21"/>
      <c r="LMQ244" s="15"/>
      <c r="LMR244" s="15"/>
      <c r="LMS244" s="15"/>
      <c r="LMT244" s="15"/>
      <c r="LMU244" s="15"/>
      <c r="LMV244" s="15"/>
      <c r="LMW244" s="15"/>
      <c r="LMX244" s="15"/>
      <c r="LMY244" s="15"/>
      <c r="LMZ244" s="15"/>
      <c r="LNA244" s="10"/>
      <c r="LNB244" s="10"/>
      <c r="LNC244" s="21"/>
      <c r="LND244" s="21"/>
      <c r="LNG244" s="21"/>
      <c r="LNH244" s="15"/>
      <c r="LNI244" s="15"/>
      <c r="LNJ244" s="15"/>
      <c r="LNK244" s="15"/>
      <c r="LNL244" s="15"/>
      <c r="LNM244" s="15"/>
      <c r="LNN244" s="15"/>
      <c r="LNO244" s="15"/>
      <c r="LNP244" s="15"/>
      <c r="LNQ244" s="15"/>
      <c r="LNR244" s="10"/>
      <c r="LNS244" s="10"/>
      <c r="LNT244" s="21"/>
      <c r="LNU244" s="21"/>
      <c r="LNX244" s="21"/>
      <c r="LNY244" s="15"/>
      <c r="LNZ244" s="15"/>
      <c r="LOA244" s="15"/>
      <c r="LOB244" s="15"/>
      <c r="LOC244" s="15"/>
      <c r="LOD244" s="15"/>
      <c r="LOE244" s="15"/>
      <c r="LOF244" s="15"/>
      <c r="LOG244" s="15"/>
      <c r="LOH244" s="15"/>
      <c r="LOI244" s="10"/>
      <c r="LOJ244" s="10"/>
      <c r="LOK244" s="21"/>
      <c r="LOL244" s="21"/>
      <c r="LOO244" s="21"/>
      <c r="LOP244" s="15"/>
      <c r="LOQ244" s="15"/>
      <c r="LOR244" s="15"/>
      <c r="LOS244" s="15"/>
      <c r="LOT244" s="15"/>
      <c r="LOU244" s="15"/>
      <c r="LOV244" s="15"/>
      <c r="LOW244" s="15"/>
      <c r="LOX244" s="15"/>
      <c r="LOY244" s="15"/>
      <c r="LOZ244" s="10"/>
      <c r="LPA244" s="10"/>
      <c r="LPB244" s="21"/>
      <c r="LPC244" s="21"/>
      <c r="LPF244" s="21"/>
      <c r="LPG244" s="15"/>
      <c r="LPH244" s="15"/>
      <c r="LPI244" s="15"/>
      <c r="LPJ244" s="15"/>
      <c r="LPK244" s="15"/>
      <c r="LPL244" s="15"/>
      <c r="LPM244" s="15"/>
      <c r="LPN244" s="15"/>
      <c r="LPO244" s="15"/>
      <c r="LPP244" s="15"/>
      <c r="LPQ244" s="10"/>
      <c r="LPR244" s="10"/>
      <c r="LPS244" s="21"/>
      <c r="LPT244" s="21"/>
      <c r="LPW244" s="21"/>
      <c r="LPX244" s="15"/>
      <c r="LPY244" s="15"/>
      <c r="LPZ244" s="15"/>
      <c r="LQA244" s="15"/>
      <c r="LQB244" s="15"/>
      <c r="LQC244" s="15"/>
      <c r="LQD244" s="15"/>
      <c r="LQE244" s="15"/>
      <c r="LQF244" s="15"/>
      <c r="LQG244" s="15"/>
      <c r="LQH244" s="10"/>
      <c r="LQI244" s="10"/>
      <c r="LQJ244" s="21"/>
      <c r="LQK244" s="21"/>
      <c r="LQN244" s="21"/>
      <c r="LQO244" s="15"/>
      <c r="LQP244" s="15"/>
      <c r="LQQ244" s="15"/>
      <c r="LQR244" s="15"/>
      <c r="LQS244" s="15"/>
      <c r="LQT244" s="15"/>
      <c r="LQU244" s="15"/>
      <c r="LQV244" s="15"/>
      <c r="LQW244" s="15"/>
      <c r="LQX244" s="15"/>
      <c r="LQY244" s="10"/>
      <c r="LQZ244" s="10"/>
      <c r="LRA244" s="21"/>
      <c r="LRB244" s="21"/>
      <c r="LRE244" s="21"/>
      <c r="LRF244" s="15"/>
      <c r="LRG244" s="15"/>
      <c r="LRH244" s="15"/>
      <c r="LRI244" s="15"/>
      <c r="LRJ244" s="15"/>
      <c r="LRK244" s="15"/>
      <c r="LRL244" s="15"/>
      <c r="LRM244" s="15"/>
      <c r="LRN244" s="15"/>
      <c r="LRO244" s="15"/>
      <c r="LRP244" s="10"/>
      <c r="LRQ244" s="10"/>
      <c r="LRR244" s="21"/>
      <c r="LRS244" s="21"/>
      <c r="LRV244" s="21"/>
      <c r="LRW244" s="15"/>
      <c r="LRX244" s="15"/>
      <c r="LRY244" s="15"/>
      <c r="LRZ244" s="15"/>
      <c r="LSA244" s="15"/>
      <c r="LSB244" s="15"/>
      <c r="LSC244" s="15"/>
      <c r="LSD244" s="15"/>
      <c r="LSE244" s="15"/>
      <c r="LSF244" s="15"/>
      <c r="LSG244" s="10"/>
      <c r="LSH244" s="10"/>
      <c r="LSI244" s="21"/>
      <c r="LSJ244" s="21"/>
      <c r="LSM244" s="21"/>
      <c r="LSN244" s="15"/>
      <c r="LSO244" s="15"/>
      <c r="LSP244" s="15"/>
      <c r="LSQ244" s="15"/>
      <c r="LSR244" s="15"/>
      <c r="LSS244" s="15"/>
      <c r="LST244" s="15"/>
      <c r="LSU244" s="15"/>
      <c r="LSV244" s="15"/>
      <c r="LSW244" s="15"/>
      <c r="LSX244" s="10"/>
      <c r="LSY244" s="10"/>
      <c r="LSZ244" s="21"/>
      <c r="LTA244" s="21"/>
      <c r="LTD244" s="21"/>
      <c r="LTE244" s="15"/>
      <c r="LTF244" s="15"/>
      <c r="LTG244" s="15"/>
      <c r="LTH244" s="15"/>
      <c r="LTI244" s="15"/>
      <c r="LTJ244" s="15"/>
      <c r="LTK244" s="15"/>
      <c r="LTL244" s="15"/>
      <c r="LTM244" s="15"/>
      <c r="LTN244" s="15"/>
      <c r="LTO244" s="10"/>
      <c r="LTP244" s="10"/>
      <c r="LTQ244" s="21"/>
      <c r="LTR244" s="21"/>
      <c r="LTU244" s="21"/>
      <c r="LTV244" s="15"/>
      <c r="LTW244" s="15"/>
      <c r="LTX244" s="15"/>
      <c r="LTY244" s="15"/>
      <c r="LTZ244" s="15"/>
      <c r="LUA244" s="15"/>
      <c r="LUB244" s="15"/>
      <c r="LUC244" s="15"/>
      <c r="LUD244" s="15"/>
      <c r="LUE244" s="15"/>
      <c r="LUF244" s="10"/>
      <c r="LUG244" s="10"/>
      <c r="LUH244" s="21"/>
      <c r="LUI244" s="21"/>
      <c r="LUL244" s="21"/>
      <c r="LUM244" s="15"/>
      <c r="LUN244" s="15"/>
      <c r="LUO244" s="15"/>
      <c r="LUP244" s="15"/>
      <c r="LUQ244" s="15"/>
      <c r="LUR244" s="15"/>
      <c r="LUS244" s="15"/>
      <c r="LUT244" s="15"/>
      <c r="LUU244" s="15"/>
      <c r="LUV244" s="15"/>
      <c r="LUW244" s="10"/>
      <c r="LUX244" s="10"/>
      <c r="LUY244" s="21"/>
      <c r="LUZ244" s="21"/>
      <c r="LVC244" s="21"/>
      <c r="LVD244" s="15"/>
      <c r="LVE244" s="15"/>
      <c r="LVF244" s="15"/>
      <c r="LVG244" s="15"/>
      <c r="LVH244" s="15"/>
      <c r="LVI244" s="15"/>
      <c r="LVJ244" s="15"/>
      <c r="LVK244" s="15"/>
      <c r="LVL244" s="15"/>
      <c r="LVM244" s="15"/>
      <c r="LVN244" s="10"/>
      <c r="LVO244" s="10"/>
      <c r="LVP244" s="21"/>
      <c r="LVQ244" s="21"/>
      <c r="LVT244" s="21"/>
      <c r="LVU244" s="15"/>
      <c r="LVV244" s="15"/>
      <c r="LVW244" s="15"/>
      <c r="LVX244" s="15"/>
      <c r="LVY244" s="15"/>
      <c r="LVZ244" s="15"/>
      <c r="LWA244" s="15"/>
      <c r="LWB244" s="15"/>
      <c r="LWC244" s="15"/>
      <c r="LWD244" s="15"/>
      <c r="LWE244" s="10"/>
      <c r="LWF244" s="10"/>
      <c r="LWG244" s="21"/>
      <c r="LWH244" s="21"/>
      <c r="LWK244" s="21"/>
      <c r="LWL244" s="15"/>
      <c r="LWM244" s="15"/>
      <c r="LWN244" s="15"/>
      <c r="LWO244" s="15"/>
      <c r="LWP244" s="15"/>
      <c r="LWQ244" s="15"/>
      <c r="LWR244" s="15"/>
      <c r="LWS244" s="15"/>
      <c r="LWT244" s="15"/>
      <c r="LWU244" s="15"/>
      <c r="LWV244" s="10"/>
      <c r="LWW244" s="10"/>
      <c r="LWX244" s="21"/>
      <c r="LWY244" s="21"/>
      <c r="LXB244" s="21"/>
      <c r="LXC244" s="15"/>
      <c r="LXD244" s="15"/>
      <c r="LXE244" s="15"/>
      <c r="LXF244" s="15"/>
      <c r="LXG244" s="15"/>
      <c r="LXH244" s="15"/>
      <c r="LXI244" s="15"/>
      <c r="LXJ244" s="15"/>
      <c r="LXK244" s="15"/>
      <c r="LXL244" s="15"/>
      <c r="LXM244" s="10"/>
      <c r="LXN244" s="10"/>
      <c r="LXO244" s="21"/>
      <c r="LXP244" s="21"/>
      <c r="LXS244" s="21"/>
      <c r="LXT244" s="15"/>
      <c r="LXU244" s="15"/>
      <c r="LXV244" s="15"/>
      <c r="LXW244" s="15"/>
      <c r="LXX244" s="15"/>
      <c r="LXY244" s="15"/>
      <c r="LXZ244" s="15"/>
      <c r="LYA244" s="15"/>
      <c r="LYB244" s="15"/>
      <c r="LYC244" s="15"/>
      <c r="LYD244" s="10"/>
      <c r="LYE244" s="10"/>
      <c r="LYF244" s="21"/>
      <c r="LYG244" s="21"/>
      <c r="LYJ244" s="21"/>
      <c r="LYK244" s="15"/>
      <c r="LYL244" s="15"/>
      <c r="LYM244" s="15"/>
      <c r="LYN244" s="15"/>
      <c r="LYO244" s="15"/>
      <c r="LYP244" s="15"/>
      <c r="LYQ244" s="15"/>
      <c r="LYR244" s="15"/>
      <c r="LYS244" s="15"/>
      <c r="LYT244" s="15"/>
      <c r="LYU244" s="10"/>
      <c r="LYV244" s="10"/>
      <c r="LYW244" s="21"/>
      <c r="LYX244" s="21"/>
      <c r="LZA244" s="21"/>
      <c r="LZB244" s="15"/>
      <c r="LZC244" s="15"/>
      <c r="LZD244" s="15"/>
      <c r="LZE244" s="15"/>
      <c r="LZF244" s="15"/>
      <c r="LZG244" s="15"/>
      <c r="LZH244" s="15"/>
      <c r="LZI244" s="15"/>
      <c r="LZJ244" s="15"/>
      <c r="LZK244" s="15"/>
      <c r="LZL244" s="10"/>
      <c r="LZM244" s="10"/>
      <c r="LZN244" s="21"/>
      <c r="LZO244" s="21"/>
      <c r="LZR244" s="21"/>
      <c r="LZS244" s="15"/>
      <c r="LZT244" s="15"/>
      <c r="LZU244" s="15"/>
      <c r="LZV244" s="15"/>
      <c r="LZW244" s="15"/>
      <c r="LZX244" s="15"/>
      <c r="LZY244" s="15"/>
      <c r="LZZ244" s="15"/>
      <c r="MAA244" s="15"/>
      <c r="MAB244" s="15"/>
      <c r="MAC244" s="10"/>
      <c r="MAD244" s="10"/>
      <c r="MAE244" s="21"/>
      <c r="MAF244" s="21"/>
      <c r="MAI244" s="21"/>
      <c r="MAJ244" s="15"/>
      <c r="MAK244" s="15"/>
      <c r="MAL244" s="15"/>
      <c r="MAM244" s="15"/>
      <c r="MAN244" s="15"/>
      <c r="MAO244" s="15"/>
      <c r="MAP244" s="15"/>
      <c r="MAQ244" s="15"/>
      <c r="MAR244" s="15"/>
      <c r="MAS244" s="15"/>
      <c r="MAT244" s="10"/>
      <c r="MAU244" s="10"/>
      <c r="MAV244" s="21"/>
      <c r="MAW244" s="21"/>
      <c r="MAZ244" s="21"/>
      <c r="MBA244" s="15"/>
      <c r="MBB244" s="15"/>
      <c r="MBC244" s="15"/>
      <c r="MBD244" s="15"/>
      <c r="MBE244" s="15"/>
      <c r="MBF244" s="15"/>
      <c r="MBG244" s="15"/>
      <c r="MBH244" s="15"/>
      <c r="MBI244" s="15"/>
      <c r="MBJ244" s="15"/>
      <c r="MBK244" s="10"/>
      <c r="MBL244" s="10"/>
      <c r="MBM244" s="21"/>
      <c r="MBN244" s="21"/>
      <c r="MBQ244" s="21"/>
      <c r="MBR244" s="15"/>
      <c r="MBS244" s="15"/>
      <c r="MBT244" s="15"/>
      <c r="MBU244" s="15"/>
      <c r="MBV244" s="15"/>
      <c r="MBW244" s="15"/>
      <c r="MBX244" s="15"/>
      <c r="MBY244" s="15"/>
      <c r="MBZ244" s="15"/>
      <c r="MCA244" s="15"/>
      <c r="MCB244" s="10"/>
      <c r="MCC244" s="10"/>
      <c r="MCD244" s="21"/>
      <c r="MCE244" s="21"/>
      <c r="MCH244" s="21"/>
      <c r="MCI244" s="15"/>
      <c r="MCJ244" s="15"/>
      <c r="MCK244" s="15"/>
      <c r="MCL244" s="15"/>
      <c r="MCM244" s="15"/>
      <c r="MCN244" s="15"/>
      <c r="MCO244" s="15"/>
      <c r="MCP244" s="15"/>
      <c r="MCQ244" s="15"/>
      <c r="MCR244" s="15"/>
      <c r="MCS244" s="10"/>
      <c r="MCT244" s="10"/>
      <c r="MCU244" s="21"/>
      <c r="MCV244" s="21"/>
      <c r="MCY244" s="21"/>
      <c r="MCZ244" s="15"/>
      <c r="MDA244" s="15"/>
      <c r="MDB244" s="15"/>
      <c r="MDC244" s="15"/>
      <c r="MDD244" s="15"/>
      <c r="MDE244" s="15"/>
      <c r="MDF244" s="15"/>
      <c r="MDG244" s="15"/>
      <c r="MDH244" s="15"/>
      <c r="MDI244" s="15"/>
      <c r="MDJ244" s="10"/>
      <c r="MDK244" s="10"/>
      <c r="MDL244" s="21"/>
      <c r="MDM244" s="21"/>
      <c r="MDP244" s="21"/>
      <c r="MDQ244" s="15"/>
      <c r="MDR244" s="15"/>
      <c r="MDS244" s="15"/>
      <c r="MDT244" s="15"/>
      <c r="MDU244" s="15"/>
      <c r="MDV244" s="15"/>
      <c r="MDW244" s="15"/>
      <c r="MDX244" s="15"/>
      <c r="MDY244" s="15"/>
      <c r="MDZ244" s="15"/>
      <c r="MEA244" s="10"/>
      <c r="MEB244" s="10"/>
      <c r="MEC244" s="21"/>
      <c r="MED244" s="21"/>
      <c r="MEG244" s="21"/>
      <c r="MEH244" s="15"/>
      <c r="MEI244" s="15"/>
      <c r="MEJ244" s="15"/>
      <c r="MEK244" s="15"/>
      <c r="MEL244" s="15"/>
      <c r="MEM244" s="15"/>
      <c r="MEN244" s="15"/>
      <c r="MEO244" s="15"/>
      <c r="MEP244" s="15"/>
      <c r="MEQ244" s="15"/>
      <c r="MER244" s="10"/>
      <c r="MES244" s="10"/>
      <c r="MET244" s="21"/>
      <c r="MEU244" s="21"/>
      <c r="MEX244" s="21"/>
      <c r="MEY244" s="15"/>
      <c r="MEZ244" s="15"/>
      <c r="MFA244" s="15"/>
      <c r="MFB244" s="15"/>
      <c r="MFC244" s="15"/>
      <c r="MFD244" s="15"/>
      <c r="MFE244" s="15"/>
      <c r="MFF244" s="15"/>
      <c r="MFG244" s="15"/>
      <c r="MFH244" s="15"/>
      <c r="MFI244" s="10"/>
      <c r="MFJ244" s="10"/>
      <c r="MFK244" s="21"/>
      <c r="MFL244" s="21"/>
      <c r="MFO244" s="21"/>
      <c r="MFP244" s="15"/>
      <c r="MFQ244" s="15"/>
      <c r="MFR244" s="15"/>
      <c r="MFS244" s="15"/>
      <c r="MFT244" s="15"/>
      <c r="MFU244" s="15"/>
      <c r="MFV244" s="15"/>
      <c r="MFW244" s="15"/>
      <c r="MFX244" s="15"/>
      <c r="MFY244" s="15"/>
      <c r="MFZ244" s="10"/>
      <c r="MGA244" s="10"/>
      <c r="MGB244" s="21"/>
      <c r="MGC244" s="21"/>
      <c r="MGF244" s="21"/>
      <c r="MGG244" s="15"/>
      <c r="MGH244" s="15"/>
      <c r="MGI244" s="15"/>
      <c r="MGJ244" s="15"/>
      <c r="MGK244" s="15"/>
      <c r="MGL244" s="15"/>
      <c r="MGM244" s="15"/>
      <c r="MGN244" s="15"/>
      <c r="MGO244" s="15"/>
      <c r="MGP244" s="15"/>
      <c r="MGQ244" s="10"/>
      <c r="MGR244" s="10"/>
      <c r="MGS244" s="21"/>
      <c r="MGT244" s="21"/>
      <c r="MGW244" s="21"/>
      <c r="MGX244" s="15"/>
      <c r="MGY244" s="15"/>
      <c r="MGZ244" s="15"/>
      <c r="MHA244" s="15"/>
      <c r="MHB244" s="15"/>
      <c r="MHC244" s="15"/>
      <c r="MHD244" s="15"/>
      <c r="MHE244" s="15"/>
      <c r="MHF244" s="15"/>
      <c r="MHG244" s="15"/>
      <c r="MHH244" s="10"/>
      <c r="MHI244" s="10"/>
      <c r="MHJ244" s="21"/>
      <c r="MHK244" s="21"/>
      <c r="MHN244" s="21"/>
      <c r="MHO244" s="15"/>
      <c r="MHP244" s="15"/>
      <c r="MHQ244" s="15"/>
      <c r="MHR244" s="15"/>
      <c r="MHS244" s="15"/>
      <c r="MHT244" s="15"/>
      <c r="MHU244" s="15"/>
      <c r="MHV244" s="15"/>
      <c r="MHW244" s="15"/>
      <c r="MHX244" s="15"/>
      <c r="MHY244" s="10"/>
      <c r="MHZ244" s="10"/>
      <c r="MIA244" s="21"/>
      <c r="MIB244" s="21"/>
      <c r="MIE244" s="21"/>
      <c r="MIF244" s="15"/>
      <c r="MIG244" s="15"/>
      <c r="MIH244" s="15"/>
      <c r="MII244" s="15"/>
      <c r="MIJ244" s="15"/>
      <c r="MIK244" s="15"/>
      <c r="MIL244" s="15"/>
      <c r="MIM244" s="15"/>
      <c r="MIN244" s="15"/>
      <c r="MIO244" s="15"/>
      <c r="MIP244" s="10"/>
      <c r="MIQ244" s="10"/>
      <c r="MIR244" s="21"/>
      <c r="MIS244" s="21"/>
      <c r="MIV244" s="21"/>
      <c r="MIW244" s="15"/>
      <c r="MIX244" s="15"/>
      <c r="MIY244" s="15"/>
      <c r="MIZ244" s="15"/>
      <c r="MJA244" s="15"/>
      <c r="MJB244" s="15"/>
      <c r="MJC244" s="15"/>
      <c r="MJD244" s="15"/>
      <c r="MJE244" s="15"/>
      <c r="MJF244" s="15"/>
      <c r="MJG244" s="10"/>
      <c r="MJH244" s="10"/>
      <c r="MJI244" s="21"/>
      <c r="MJJ244" s="21"/>
      <c r="MJM244" s="21"/>
      <c r="MJN244" s="15"/>
      <c r="MJO244" s="15"/>
      <c r="MJP244" s="15"/>
      <c r="MJQ244" s="15"/>
      <c r="MJR244" s="15"/>
      <c r="MJS244" s="15"/>
      <c r="MJT244" s="15"/>
      <c r="MJU244" s="15"/>
      <c r="MJV244" s="15"/>
      <c r="MJW244" s="15"/>
      <c r="MJX244" s="10"/>
      <c r="MJY244" s="10"/>
      <c r="MJZ244" s="21"/>
      <c r="MKA244" s="21"/>
      <c r="MKD244" s="21"/>
      <c r="MKE244" s="15"/>
      <c r="MKF244" s="15"/>
      <c r="MKG244" s="15"/>
      <c r="MKH244" s="15"/>
      <c r="MKI244" s="15"/>
      <c r="MKJ244" s="15"/>
      <c r="MKK244" s="15"/>
      <c r="MKL244" s="15"/>
      <c r="MKM244" s="15"/>
      <c r="MKN244" s="15"/>
      <c r="MKO244" s="10"/>
      <c r="MKP244" s="10"/>
      <c r="MKQ244" s="21"/>
      <c r="MKR244" s="21"/>
      <c r="MKU244" s="21"/>
      <c r="MKV244" s="15"/>
      <c r="MKW244" s="15"/>
      <c r="MKX244" s="15"/>
      <c r="MKY244" s="15"/>
      <c r="MKZ244" s="15"/>
      <c r="MLA244" s="15"/>
      <c r="MLB244" s="15"/>
      <c r="MLC244" s="15"/>
      <c r="MLD244" s="15"/>
      <c r="MLE244" s="15"/>
      <c r="MLF244" s="10"/>
      <c r="MLG244" s="10"/>
      <c r="MLH244" s="21"/>
      <c r="MLI244" s="21"/>
      <c r="MLL244" s="21"/>
      <c r="MLM244" s="15"/>
      <c r="MLN244" s="15"/>
      <c r="MLO244" s="15"/>
      <c r="MLP244" s="15"/>
      <c r="MLQ244" s="15"/>
      <c r="MLR244" s="15"/>
      <c r="MLS244" s="15"/>
      <c r="MLT244" s="15"/>
      <c r="MLU244" s="15"/>
      <c r="MLV244" s="15"/>
      <c r="MLW244" s="10"/>
      <c r="MLX244" s="10"/>
      <c r="MLY244" s="21"/>
      <c r="MLZ244" s="21"/>
      <c r="MMC244" s="21"/>
      <c r="MMD244" s="15"/>
      <c r="MME244" s="15"/>
      <c r="MMF244" s="15"/>
      <c r="MMG244" s="15"/>
      <c r="MMH244" s="15"/>
      <c r="MMI244" s="15"/>
      <c r="MMJ244" s="15"/>
      <c r="MMK244" s="15"/>
      <c r="MML244" s="15"/>
      <c r="MMM244" s="15"/>
      <c r="MMN244" s="10"/>
      <c r="MMO244" s="10"/>
      <c r="MMP244" s="21"/>
      <c r="MMQ244" s="21"/>
      <c r="MMT244" s="21"/>
      <c r="MMU244" s="15"/>
      <c r="MMV244" s="15"/>
      <c r="MMW244" s="15"/>
      <c r="MMX244" s="15"/>
      <c r="MMY244" s="15"/>
      <c r="MMZ244" s="15"/>
      <c r="MNA244" s="15"/>
      <c r="MNB244" s="15"/>
      <c r="MNC244" s="15"/>
      <c r="MND244" s="15"/>
      <c r="MNE244" s="10"/>
      <c r="MNF244" s="10"/>
      <c r="MNG244" s="21"/>
      <c r="MNH244" s="21"/>
      <c r="MNK244" s="21"/>
      <c r="MNL244" s="15"/>
      <c r="MNM244" s="15"/>
      <c r="MNN244" s="15"/>
      <c r="MNO244" s="15"/>
      <c r="MNP244" s="15"/>
      <c r="MNQ244" s="15"/>
      <c r="MNR244" s="15"/>
      <c r="MNS244" s="15"/>
      <c r="MNT244" s="15"/>
      <c r="MNU244" s="15"/>
      <c r="MNV244" s="10"/>
      <c r="MNW244" s="10"/>
      <c r="MNX244" s="21"/>
      <c r="MNY244" s="21"/>
      <c r="MOB244" s="21"/>
      <c r="MOC244" s="15"/>
      <c r="MOD244" s="15"/>
      <c r="MOE244" s="15"/>
      <c r="MOF244" s="15"/>
      <c r="MOG244" s="15"/>
      <c r="MOH244" s="15"/>
      <c r="MOI244" s="15"/>
      <c r="MOJ244" s="15"/>
      <c r="MOK244" s="15"/>
      <c r="MOL244" s="15"/>
      <c r="MOM244" s="10"/>
      <c r="MON244" s="10"/>
      <c r="MOO244" s="21"/>
      <c r="MOP244" s="21"/>
      <c r="MOS244" s="21"/>
      <c r="MOT244" s="15"/>
      <c r="MOU244" s="15"/>
      <c r="MOV244" s="15"/>
      <c r="MOW244" s="15"/>
      <c r="MOX244" s="15"/>
      <c r="MOY244" s="15"/>
      <c r="MOZ244" s="15"/>
      <c r="MPA244" s="15"/>
      <c r="MPB244" s="15"/>
      <c r="MPC244" s="15"/>
      <c r="MPD244" s="10"/>
      <c r="MPE244" s="10"/>
      <c r="MPF244" s="21"/>
      <c r="MPG244" s="21"/>
      <c r="MPJ244" s="21"/>
      <c r="MPK244" s="15"/>
      <c r="MPL244" s="15"/>
      <c r="MPM244" s="15"/>
      <c r="MPN244" s="15"/>
      <c r="MPO244" s="15"/>
      <c r="MPP244" s="15"/>
      <c r="MPQ244" s="15"/>
      <c r="MPR244" s="15"/>
      <c r="MPS244" s="15"/>
      <c r="MPT244" s="15"/>
      <c r="MPU244" s="10"/>
      <c r="MPV244" s="10"/>
      <c r="MPW244" s="21"/>
      <c r="MPX244" s="21"/>
      <c r="MQA244" s="21"/>
      <c r="MQB244" s="15"/>
      <c r="MQC244" s="15"/>
      <c r="MQD244" s="15"/>
      <c r="MQE244" s="15"/>
      <c r="MQF244" s="15"/>
      <c r="MQG244" s="15"/>
      <c r="MQH244" s="15"/>
      <c r="MQI244" s="15"/>
      <c r="MQJ244" s="15"/>
      <c r="MQK244" s="15"/>
      <c r="MQL244" s="10"/>
      <c r="MQM244" s="10"/>
      <c r="MQN244" s="21"/>
      <c r="MQO244" s="21"/>
      <c r="MQR244" s="21"/>
      <c r="MQS244" s="15"/>
      <c r="MQT244" s="15"/>
      <c r="MQU244" s="15"/>
      <c r="MQV244" s="15"/>
      <c r="MQW244" s="15"/>
      <c r="MQX244" s="15"/>
      <c r="MQY244" s="15"/>
      <c r="MQZ244" s="15"/>
      <c r="MRA244" s="15"/>
      <c r="MRB244" s="15"/>
      <c r="MRC244" s="10"/>
      <c r="MRD244" s="10"/>
      <c r="MRE244" s="21"/>
      <c r="MRF244" s="21"/>
      <c r="MRI244" s="21"/>
      <c r="MRJ244" s="15"/>
      <c r="MRK244" s="15"/>
      <c r="MRL244" s="15"/>
      <c r="MRM244" s="15"/>
      <c r="MRN244" s="15"/>
      <c r="MRO244" s="15"/>
      <c r="MRP244" s="15"/>
      <c r="MRQ244" s="15"/>
      <c r="MRR244" s="15"/>
      <c r="MRS244" s="15"/>
      <c r="MRT244" s="10"/>
      <c r="MRU244" s="10"/>
      <c r="MRV244" s="21"/>
      <c r="MRW244" s="21"/>
      <c r="MRZ244" s="21"/>
      <c r="MSA244" s="15"/>
      <c r="MSB244" s="15"/>
      <c r="MSC244" s="15"/>
      <c r="MSD244" s="15"/>
      <c r="MSE244" s="15"/>
      <c r="MSF244" s="15"/>
      <c r="MSG244" s="15"/>
      <c r="MSH244" s="15"/>
      <c r="MSI244" s="15"/>
      <c r="MSJ244" s="15"/>
      <c r="MSK244" s="10"/>
      <c r="MSL244" s="10"/>
      <c r="MSM244" s="21"/>
      <c r="MSN244" s="21"/>
      <c r="MSQ244" s="21"/>
      <c r="MSR244" s="15"/>
      <c r="MSS244" s="15"/>
      <c r="MST244" s="15"/>
      <c r="MSU244" s="15"/>
      <c r="MSV244" s="15"/>
      <c r="MSW244" s="15"/>
      <c r="MSX244" s="15"/>
      <c r="MSY244" s="15"/>
      <c r="MSZ244" s="15"/>
      <c r="MTA244" s="15"/>
      <c r="MTB244" s="10"/>
      <c r="MTC244" s="10"/>
      <c r="MTD244" s="21"/>
      <c r="MTE244" s="21"/>
      <c r="MTH244" s="21"/>
      <c r="MTI244" s="15"/>
      <c r="MTJ244" s="15"/>
      <c r="MTK244" s="15"/>
      <c r="MTL244" s="15"/>
      <c r="MTM244" s="15"/>
      <c r="MTN244" s="15"/>
      <c r="MTO244" s="15"/>
      <c r="MTP244" s="15"/>
      <c r="MTQ244" s="15"/>
      <c r="MTR244" s="15"/>
      <c r="MTS244" s="10"/>
      <c r="MTT244" s="10"/>
      <c r="MTU244" s="21"/>
      <c r="MTV244" s="21"/>
      <c r="MTY244" s="21"/>
      <c r="MTZ244" s="15"/>
      <c r="MUA244" s="15"/>
      <c r="MUB244" s="15"/>
      <c r="MUC244" s="15"/>
      <c r="MUD244" s="15"/>
      <c r="MUE244" s="15"/>
      <c r="MUF244" s="15"/>
      <c r="MUG244" s="15"/>
      <c r="MUH244" s="15"/>
      <c r="MUI244" s="15"/>
      <c r="MUJ244" s="10"/>
      <c r="MUK244" s="10"/>
      <c r="MUL244" s="21"/>
      <c r="MUM244" s="21"/>
      <c r="MUP244" s="21"/>
      <c r="MUQ244" s="15"/>
      <c r="MUR244" s="15"/>
      <c r="MUS244" s="15"/>
      <c r="MUT244" s="15"/>
      <c r="MUU244" s="15"/>
      <c r="MUV244" s="15"/>
      <c r="MUW244" s="15"/>
      <c r="MUX244" s="15"/>
      <c r="MUY244" s="15"/>
      <c r="MUZ244" s="15"/>
      <c r="MVA244" s="10"/>
      <c r="MVB244" s="10"/>
      <c r="MVC244" s="21"/>
      <c r="MVD244" s="21"/>
      <c r="MVG244" s="21"/>
      <c r="MVH244" s="15"/>
      <c r="MVI244" s="15"/>
      <c r="MVJ244" s="15"/>
      <c r="MVK244" s="15"/>
      <c r="MVL244" s="15"/>
      <c r="MVM244" s="15"/>
      <c r="MVN244" s="15"/>
      <c r="MVO244" s="15"/>
      <c r="MVP244" s="15"/>
      <c r="MVQ244" s="15"/>
      <c r="MVR244" s="10"/>
      <c r="MVS244" s="10"/>
      <c r="MVT244" s="21"/>
      <c r="MVU244" s="21"/>
      <c r="MVX244" s="21"/>
      <c r="MVY244" s="15"/>
      <c r="MVZ244" s="15"/>
      <c r="MWA244" s="15"/>
      <c r="MWB244" s="15"/>
      <c r="MWC244" s="15"/>
      <c r="MWD244" s="15"/>
      <c r="MWE244" s="15"/>
      <c r="MWF244" s="15"/>
      <c r="MWG244" s="15"/>
      <c r="MWH244" s="15"/>
      <c r="MWI244" s="10"/>
      <c r="MWJ244" s="10"/>
      <c r="MWK244" s="21"/>
      <c r="MWL244" s="21"/>
      <c r="MWO244" s="21"/>
      <c r="MWP244" s="15"/>
      <c r="MWQ244" s="15"/>
      <c r="MWR244" s="15"/>
      <c r="MWS244" s="15"/>
      <c r="MWT244" s="15"/>
      <c r="MWU244" s="15"/>
      <c r="MWV244" s="15"/>
      <c r="MWW244" s="15"/>
      <c r="MWX244" s="15"/>
      <c r="MWY244" s="15"/>
      <c r="MWZ244" s="10"/>
      <c r="MXA244" s="10"/>
      <c r="MXB244" s="21"/>
      <c r="MXC244" s="21"/>
      <c r="MXF244" s="21"/>
      <c r="MXG244" s="15"/>
      <c r="MXH244" s="15"/>
      <c r="MXI244" s="15"/>
      <c r="MXJ244" s="15"/>
      <c r="MXK244" s="15"/>
      <c r="MXL244" s="15"/>
      <c r="MXM244" s="15"/>
      <c r="MXN244" s="15"/>
      <c r="MXO244" s="15"/>
      <c r="MXP244" s="15"/>
      <c r="MXQ244" s="10"/>
      <c r="MXR244" s="10"/>
      <c r="MXS244" s="21"/>
      <c r="MXT244" s="21"/>
      <c r="MXW244" s="21"/>
      <c r="MXX244" s="15"/>
      <c r="MXY244" s="15"/>
      <c r="MXZ244" s="15"/>
      <c r="MYA244" s="15"/>
      <c r="MYB244" s="15"/>
      <c r="MYC244" s="15"/>
      <c r="MYD244" s="15"/>
      <c r="MYE244" s="15"/>
      <c r="MYF244" s="15"/>
      <c r="MYG244" s="15"/>
      <c r="MYH244" s="10"/>
      <c r="MYI244" s="10"/>
      <c r="MYJ244" s="21"/>
      <c r="MYK244" s="21"/>
      <c r="MYN244" s="21"/>
      <c r="MYO244" s="15"/>
      <c r="MYP244" s="15"/>
      <c r="MYQ244" s="15"/>
      <c r="MYR244" s="15"/>
      <c r="MYS244" s="15"/>
      <c r="MYT244" s="15"/>
      <c r="MYU244" s="15"/>
      <c r="MYV244" s="15"/>
      <c r="MYW244" s="15"/>
      <c r="MYX244" s="15"/>
      <c r="MYY244" s="10"/>
      <c r="MYZ244" s="10"/>
      <c r="MZA244" s="21"/>
      <c r="MZB244" s="21"/>
      <c r="MZE244" s="21"/>
      <c r="MZF244" s="15"/>
      <c r="MZG244" s="15"/>
      <c r="MZH244" s="15"/>
      <c r="MZI244" s="15"/>
      <c r="MZJ244" s="15"/>
      <c r="MZK244" s="15"/>
      <c r="MZL244" s="15"/>
      <c r="MZM244" s="15"/>
      <c r="MZN244" s="15"/>
      <c r="MZO244" s="15"/>
      <c r="MZP244" s="10"/>
      <c r="MZQ244" s="10"/>
      <c r="MZR244" s="21"/>
      <c r="MZS244" s="21"/>
      <c r="MZV244" s="21"/>
      <c r="MZW244" s="15"/>
      <c r="MZX244" s="15"/>
      <c r="MZY244" s="15"/>
      <c r="MZZ244" s="15"/>
      <c r="NAA244" s="15"/>
      <c r="NAB244" s="15"/>
      <c r="NAC244" s="15"/>
      <c r="NAD244" s="15"/>
      <c r="NAE244" s="15"/>
      <c r="NAF244" s="15"/>
      <c r="NAG244" s="10"/>
      <c r="NAH244" s="10"/>
      <c r="NAI244" s="21"/>
      <c r="NAJ244" s="21"/>
      <c r="NAM244" s="21"/>
      <c r="NAN244" s="15"/>
      <c r="NAO244" s="15"/>
      <c r="NAP244" s="15"/>
      <c r="NAQ244" s="15"/>
      <c r="NAR244" s="15"/>
      <c r="NAS244" s="15"/>
      <c r="NAT244" s="15"/>
      <c r="NAU244" s="15"/>
      <c r="NAV244" s="15"/>
      <c r="NAW244" s="15"/>
      <c r="NAX244" s="10"/>
      <c r="NAY244" s="10"/>
      <c r="NAZ244" s="21"/>
      <c r="NBA244" s="21"/>
      <c r="NBD244" s="21"/>
      <c r="NBE244" s="15"/>
      <c r="NBF244" s="15"/>
      <c r="NBG244" s="15"/>
      <c r="NBH244" s="15"/>
      <c r="NBI244" s="15"/>
      <c r="NBJ244" s="15"/>
      <c r="NBK244" s="15"/>
      <c r="NBL244" s="15"/>
      <c r="NBM244" s="15"/>
      <c r="NBN244" s="15"/>
      <c r="NBO244" s="10"/>
      <c r="NBP244" s="10"/>
      <c r="NBQ244" s="21"/>
      <c r="NBR244" s="21"/>
      <c r="NBU244" s="21"/>
      <c r="NBV244" s="15"/>
      <c r="NBW244" s="15"/>
      <c r="NBX244" s="15"/>
      <c r="NBY244" s="15"/>
      <c r="NBZ244" s="15"/>
      <c r="NCA244" s="15"/>
      <c r="NCB244" s="15"/>
      <c r="NCC244" s="15"/>
      <c r="NCD244" s="15"/>
      <c r="NCE244" s="15"/>
      <c r="NCF244" s="10"/>
      <c r="NCG244" s="10"/>
      <c r="NCH244" s="21"/>
      <c r="NCI244" s="21"/>
      <c r="NCL244" s="21"/>
      <c r="NCM244" s="15"/>
      <c r="NCN244" s="15"/>
      <c r="NCO244" s="15"/>
      <c r="NCP244" s="15"/>
      <c r="NCQ244" s="15"/>
      <c r="NCR244" s="15"/>
      <c r="NCS244" s="15"/>
      <c r="NCT244" s="15"/>
      <c r="NCU244" s="15"/>
      <c r="NCV244" s="15"/>
      <c r="NCW244" s="10"/>
      <c r="NCX244" s="10"/>
      <c r="NCY244" s="21"/>
      <c r="NCZ244" s="21"/>
      <c r="NDC244" s="21"/>
      <c r="NDD244" s="15"/>
      <c r="NDE244" s="15"/>
      <c r="NDF244" s="15"/>
      <c r="NDG244" s="15"/>
      <c r="NDH244" s="15"/>
      <c r="NDI244" s="15"/>
      <c r="NDJ244" s="15"/>
      <c r="NDK244" s="15"/>
      <c r="NDL244" s="15"/>
      <c r="NDM244" s="15"/>
      <c r="NDN244" s="10"/>
      <c r="NDO244" s="10"/>
      <c r="NDP244" s="21"/>
      <c r="NDQ244" s="21"/>
      <c r="NDT244" s="21"/>
      <c r="NDU244" s="15"/>
      <c r="NDV244" s="15"/>
      <c r="NDW244" s="15"/>
      <c r="NDX244" s="15"/>
      <c r="NDY244" s="15"/>
      <c r="NDZ244" s="15"/>
      <c r="NEA244" s="15"/>
      <c r="NEB244" s="15"/>
      <c r="NEC244" s="15"/>
      <c r="NED244" s="15"/>
      <c r="NEE244" s="10"/>
      <c r="NEF244" s="10"/>
      <c r="NEG244" s="21"/>
      <c r="NEH244" s="21"/>
      <c r="NEK244" s="21"/>
      <c r="NEL244" s="15"/>
      <c r="NEM244" s="15"/>
      <c r="NEN244" s="15"/>
      <c r="NEO244" s="15"/>
      <c r="NEP244" s="15"/>
      <c r="NEQ244" s="15"/>
      <c r="NER244" s="15"/>
      <c r="NES244" s="15"/>
      <c r="NET244" s="15"/>
      <c r="NEU244" s="15"/>
      <c r="NEV244" s="10"/>
      <c r="NEW244" s="10"/>
      <c r="NEX244" s="21"/>
      <c r="NEY244" s="21"/>
      <c r="NFB244" s="21"/>
      <c r="NFC244" s="15"/>
      <c r="NFD244" s="15"/>
      <c r="NFE244" s="15"/>
      <c r="NFF244" s="15"/>
      <c r="NFG244" s="15"/>
      <c r="NFH244" s="15"/>
      <c r="NFI244" s="15"/>
      <c r="NFJ244" s="15"/>
      <c r="NFK244" s="15"/>
      <c r="NFL244" s="15"/>
      <c r="NFM244" s="10"/>
      <c r="NFN244" s="10"/>
      <c r="NFO244" s="21"/>
      <c r="NFP244" s="21"/>
      <c r="NFS244" s="21"/>
      <c r="NFT244" s="15"/>
      <c r="NFU244" s="15"/>
      <c r="NFV244" s="15"/>
      <c r="NFW244" s="15"/>
      <c r="NFX244" s="15"/>
      <c r="NFY244" s="15"/>
      <c r="NFZ244" s="15"/>
      <c r="NGA244" s="15"/>
      <c r="NGB244" s="15"/>
      <c r="NGC244" s="15"/>
      <c r="NGD244" s="10"/>
      <c r="NGE244" s="10"/>
      <c r="NGF244" s="21"/>
      <c r="NGG244" s="21"/>
      <c r="NGJ244" s="21"/>
      <c r="NGK244" s="15"/>
      <c r="NGL244" s="15"/>
      <c r="NGM244" s="15"/>
      <c r="NGN244" s="15"/>
      <c r="NGO244" s="15"/>
      <c r="NGP244" s="15"/>
      <c r="NGQ244" s="15"/>
      <c r="NGR244" s="15"/>
      <c r="NGS244" s="15"/>
      <c r="NGT244" s="15"/>
      <c r="NGU244" s="10"/>
      <c r="NGV244" s="10"/>
      <c r="NGW244" s="21"/>
      <c r="NGX244" s="21"/>
      <c r="NHA244" s="21"/>
      <c r="NHB244" s="15"/>
      <c r="NHC244" s="15"/>
      <c r="NHD244" s="15"/>
      <c r="NHE244" s="15"/>
      <c r="NHF244" s="15"/>
      <c r="NHG244" s="15"/>
      <c r="NHH244" s="15"/>
      <c r="NHI244" s="15"/>
      <c r="NHJ244" s="15"/>
      <c r="NHK244" s="15"/>
      <c r="NHL244" s="10"/>
      <c r="NHM244" s="10"/>
      <c r="NHN244" s="21"/>
      <c r="NHO244" s="21"/>
      <c r="NHR244" s="21"/>
      <c r="NHS244" s="15"/>
      <c r="NHT244" s="15"/>
      <c r="NHU244" s="15"/>
      <c r="NHV244" s="15"/>
      <c r="NHW244" s="15"/>
      <c r="NHX244" s="15"/>
      <c r="NHY244" s="15"/>
      <c r="NHZ244" s="15"/>
      <c r="NIA244" s="15"/>
      <c r="NIB244" s="15"/>
      <c r="NIC244" s="10"/>
      <c r="NID244" s="10"/>
      <c r="NIE244" s="21"/>
      <c r="NIF244" s="21"/>
      <c r="NII244" s="21"/>
      <c r="NIJ244" s="15"/>
      <c r="NIK244" s="15"/>
      <c r="NIL244" s="15"/>
      <c r="NIM244" s="15"/>
      <c r="NIN244" s="15"/>
      <c r="NIO244" s="15"/>
      <c r="NIP244" s="15"/>
      <c r="NIQ244" s="15"/>
      <c r="NIR244" s="15"/>
      <c r="NIS244" s="15"/>
      <c r="NIT244" s="10"/>
      <c r="NIU244" s="10"/>
      <c r="NIV244" s="21"/>
      <c r="NIW244" s="21"/>
      <c r="NIZ244" s="21"/>
      <c r="NJA244" s="15"/>
      <c r="NJB244" s="15"/>
      <c r="NJC244" s="15"/>
      <c r="NJD244" s="15"/>
      <c r="NJE244" s="15"/>
      <c r="NJF244" s="15"/>
      <c r="NJG244" s="15"/>
      <c r="NJH244" s="15"/>
      <c r="NJI244" s="15"/>
      <c r="NJJ244" s="15"/>
      <c r="NJK244" s="10"/>
      <c r="NJL244" s="10"/>
      <c r="NJM244" s="21"/>
      <c r="NJN244" s="21"/>
      <c r="NJQ244" s="21"/>
      <c r="NJR244" s="15"/>
      <c r="NJS244" s="15"/>
      <c r="NJT244" s="15"/>
      <c r="NJU244" s="15"/>
      <c r="NJV244" s="15"/>
      <c r="NJW244" s="15"/>
      <c r="NJX244" s="15"/>
      <c r="NJY244" s="15"/>
      <c r="NJZ244" s="15"/>
      <c r="NKA244" s="15"/>
      <c r="NKB244" s="10"/>
      <c r="NKC244" s="10"/>
      <c r="NKD244" s="21"/>
      <c r="NKE244" s="21"/>
      <c r="NKH244" s="21"/>
      <c r="NKI244" s="15"/>
      <c r="NKJ244" s="15"/>
      <c r="NKK244" s="15"/>
      <c r="NKL244" s="15"/>
      <c r="NKM244" s="15"/>
      <c r="NKN244" s="15"/>
      <c r="NKO244" s="15"/>
      <c r="NKP244" s="15"/>
      <c r="NKQ244" s="15"/>
      <c r="NKR244" s="15"/>
      <c r="NKS244" s="10"/>
      <c r="NKT244" s="10"/>
      <c r="NKU244" s="21"/>
      <c r="NKV244" s="21"/>
      <c r="NKY244" s="21"/>
      <c r="NKZ244" s="15"/>
      <c r="NLA244" s="15"/>
      <c r="NLB244" s="15"/>
      <c r="NLC244" s="15"/>
      <c r="NLD244" s="15"/>
      <c r="NLE244" s="15"/>
      <c r="NLF244" s="15"/>
      <c r="NLG244" s="15"/>
      <c r="NLH244" s="15"/>
      <c r="NLI244" s="15"/>
      <c r="NLJ244" s="10"/>
      <c r="NLK244" s="10"/>
      <c r="NLL244" s="21"/>
      <c r="NLM244" s="21"/>
      <c r="NLP244" s="21"/>
      <c r="NLQ244" s="15"/>
      <c r="NLR244" s="15"/>
      <c r="NLS244" s="15"/>
      <c r="NLT244" s="15"/>
      <c r="NLU244" s="15"/>
      <c r="NLV244" s="15"/>
      <c r="NLW244" s="15"/>
      <c r="NLX244" s="15"/>
      <c r="NLY244" s="15"/>
      <c r="NLZ244" s="15"/>
      <c r="NMA244" s="10"/>
      <c r="NMB244" s="10"/>
      <c r="NMC244" s="21"/>
      <c r="NMD244" s="21"/>
      <c r="NMG244" s="21"/>
      <c r="NMH244" s="15"/>
      <c r="NMI244" s="15"/>
      <c r="NMJ244" s="15"/>
      <c r="NMK244" s="15"/>
      <c r="NML244" s="15"/>
      <c r="NMM244" s="15"/>
      <c r="NMN244" s="15"/>
      <c r="NMO244" s="15"/>
      <c r="NMP244" s="15"/>
      <c r="NMQ244" s="15"/>
      <c r="NMR244" s="10"/>
      <c r="NMS244" s="10"/>
      <c r="NMT244" s="21"/>
      <c r="NMU244" s="21"/>
      <c r="NMX244" s="21"/>
      <c r="NMY244" s="15"/>
      <c r="NMZ244" s="15"/>
      <c r="NNA244" s="15"/>
      <c r="NNB244" s="15"/>
      <c r="NNC244" s="15"/>
      <c r="NND244" s="15"/>
      <c r="NNE244" s="15"/>
      <c r="NNF244" s="15"/>
      <c r="NNG244" s="15"/>
      <c r="NNH244" s="15"/>
      <c r="NNI244" s="10"/>
      <c r="NNJ244" s="10"/>
      <c r="NNK244" s="21"/>
      <c r="NNL244" s="21"/>
      <c r="NNO244" s="21"/>
      <c r="NNP244" s="15"/>
      <c r="NNQ244" s="15"/>
      <c r="NNR244" s="15"/>
      <c r="NNS244" s="15"/>
      <c r="NNT244" s="15"/>
      <c r="NNU244" s="15"/>
      <c r="NNV244" s="15"/>
      <c r="NNW244" s="15"/>
      <c r="NNX244" s="15"/>
      <c r="NNY244" s="15"/>
      <c r="NNZ244" s="10"/>
      <c r="NOA244" s="10"/>
      <c r="NOB244" s="21"/>
      <c r="NOC244" s="21"/>
      <c r="NOF244" s="21"/>
      <c r="NOG244" s="15"/>
      <c r="NOH244" s="15"/>
      <c r="NOI244" s="15"/>
      <c r="NOJ244" s="15"/>
      <c r="NOK244" s="15"/>
      <c r="NOL244" s="15"/>
      <c r="NOM244" s="15"/>
      <c r="NON244" s="15"/>
      <c r="NOO244" s="15"/>
      <c r="NOP244" s="15"/>
      <c r="NOQ244" s="10"/>
      <c r="NOR244" s="10"/>
      <c r="NOS244" s="21"/>
      <c r="NOT244" s="21"/>
      <c r="NOW244" s="21"/>
      <c r="NOX244" s="15"/>
      <c r="NOY244" s="15"/>
      <c r="NOZ244" s="15"/>
      <c r="NPA244" s="15"/>
      <c r="NPB244" s="15"/>
      <c r="NPC244" s="15"/>
      <c r="NPD244" s="15"/>
      <c r="NPE244" s="15"/>
      <c r="NPF244" s="15"/>
      <c r="NPG244" s="15"/>
      <c r="NPH244" s="10"/>
      <c r="NPI244" s="10"/>
      <c r="NPJ244" s="21"/>
      <c r="NPK244" s="21"/>
      <c r="NPN244" s="21"/>
      <c r="NPO244" s="15"/>
      <c r="NPP244" s="15"/>
      <c r="NPQ244" s="15"/>
      <c r="NPR244" s="15"/>
      <c r="NPS244" s="15"/>
      <c r="NPT244" s="15"/>
      <c r="NPU244" s="15"/>
      <c r="NPV244" s="15"/>
      <c r="NPW244" s="15"/>
      <c r="NPX244" s="15"/>
      <c r="NPY244" s="10"/>
      <c r="NPZ244" s="10"/>
      <c r="NQA244" s="21"/>
      <c r="NQB244" s="21"/>
      <c r="NQE244" s="21"/>
      <c r="NQF244" s="15"/>
      <c r="NQG244" s="15"/>
      <c r="NQH244" s="15"/>
      <c r="NQI244" s="15"/>
      <c r="NQJ244" s="15"/>
      <c r="NQK244" s="15"/>
      <c r="NQL244" s="15"/>
      <c r="NQM244" s="15"/>
      <c r="NQN244" s="15"/>
      <c r="NQO244" s="15"/>
      <c r="NQP244" s="10"/>
      <c r="NQQ244" s="10"/>
      <c r="NQR244" s="21"/>
      <c r="NQS244" s="21"/>
      <c r="NQV244" s="21"/>
      <c r="NQW244" s="15"/>
      <c r="NQX244" s="15"/>
      <c r="NQY244" s="15"/>
      <c r="NQZ244" s="15"/>
      <c r="NRA244" s="15"/>
      <c r="NRB244" s="15"/>
      <c r="NRC244" s="15"/>
      <c r="NRD244" s="15"/>
      <c r="NRE244" s="15"/>
      <c r="NRF244" s="15"/>
      <c r="NRG244" s="10"/>
      <c r="NRH244" s="10"/>
      <c r="NRI244" s="21"/>
      <c r="NRJ244" s="21"/>
      <c r="NRM244" s="21"/>
      <c r="NRN244" s="15"/>
      <c r="NRO244" s="15"/>
      <c r="NRP244" s="15"/>
      <c r="NRQ244" s="15"/>
      <c r="NRR244" s="15"/>
      <c r="NRS244" s="15"/>
      <c r="NRT244" s="15"/>
      <c r="NRU244" s="15"/>
      <c r="NRV244" s="15"/>
      <c r="NRW244" s="15"/>
      <c r="NRX244" s="10"/>
      <c r="NRY244" s="10"/>
      <c r="NRZ244" s="21"/>
      <c r="NSA244" s="21"/>
      <c r="NSD244" s="21"/>
      <c r="NSE244" s="15"/>
      <c r="NSF244" s="15"/>
      <c r="NSG244" s="15"/>
      <c r="NSH244" s="15"/>
      <c r="NSI244" s="15"/>
      <c r="NSJ244" s="15"/>
      <c r="NSK244" s="15"/>
      <c r="NSL244" s="15"/>
      <c r="NSM244" s="15"/>
      <c r="NSN244" s="15"/>
      <c r="NSO244" s="10"/>
      <c r="NSP244" s="10"/>
      <c r="NSQ244" s="21"/>
      <c r="NSR244" s="21"/>
      <c r="NSU244" s="21"/>
      <c r="NSV244" s="15"/>
      <c r="NSW244" s="15"/>
      <c r="NSX244" s="15"/>
      <c r="NSY244" s="15"/>
      <c r="NSZ244" s="15"/>
      <c r="NTA244" s="15"/>
      <c r="NTB244" s="15"/>
      <c r="NTC244" s="15"/>
      <c r="NTD244" s="15"/>
      <c r="NTE244" s="15"/>
      <c r="NTF244" s="10"/>
      <c r="NTG244" s="10"/>
      <c r="NTH244" s="21"/>
      <c r="NTI244" s="21"/>
      <c r="NTL244" s="21"/>
      <c r="NTM244" s="15"/>
      <c r="NTN244" s="15"/>
      <c r="NTO244" s="15"/>
      <c r="NTP244" s="15"/>
      <c r="NTQ244" s="15"/>
      <c r="NTR244" s="15"/>
      <c r="NTS244" s="15"/>
      <c r="NTT244" s="15"/>
      <c r="NTU244" s="15"/>
      <c r="NTV244" s="15"/>
      <c r="NTW244" s="10"/>
      <c r="NTX244" s="10"/>
      <c r="NTY244" s="21"/>
      <c r="NTZ244" s="21"/>
      <c r="NUC244" s="21"/>
      <c r="NUD244" s="15"/>
      <c r="NUE244" s="15"/>
      <c r="NUF244" s="15"/>
      <c r="NUG244" s="15"/>
      <c r="NUH244" s="15"/>
      <c r="NUI244" s="15"/>
      <c r="NUJ244" s="15"/>
      <c r="NUK244" s="15"/>
      <c r="NUL244" s="15"/>
      <c r="NUM244" s="15"/>
      <c r="NUN244" s="10"/>
      <c r="NUO244" s="10"/>
      <c r="NUP244" s="21"/>
      <c r="NUQ244" s="21"/>
      <c r="NUT244" s="21"/>
      <c r="NUU244" s="15"/>
      <c r="NUV244" s="15"/>
      <c r="NUW244" s="15"/>
      <c r="NUX244" s="15"/>
      <c r="NUY244" s="15"/>
      <c r="NUZ244" s="15"/>
      <c r="NVA244" s="15"/>
      <c r="NVB244" s="15"/>
      <c r="NVC244" s="15"/>
      <c r="NVD244" s="15"/>
      <c r="NVE244" s="10"/>
      <c r="NVF244" s="10"/>
      <c r="NVG244" s="21"/>
      <c r="NVH244" s="21"/>
      <c r="NVK244" s="21"/>
      <c r="NVL244" s="15"/>
      <c r="NVM244" s="15"/>
      <c r="NVN244" s="15"/>
      <c r="NVO244" s="15"/>
      <c r="NVP244" s="15"/>
      <c r="NVQ244" s="15"/>
      <c r="NVR244" s="15"/>
      <c r="NVS244" s="15"/>
      <c r="NVT244" s="15"/>
      <c r="NVU244" s="15"/>
      <c r="NVV244" s="10"/>
      <c r="NVW244" s="10"/>
      <c r="NVX244" s="21"/>
      <c r="NVY244" s="21"/>
      <c r="NWB244" s="21"/>
      <c r="NWC244" s="15"/>
      <c r="NWD244" s="15"/>
      <c r="NWE244" s="15"/>
      <c r="NWF244" s="15"/>
      <c r="NWG244" s="15"/>
      <c r="NWH244" s="15"/>
      <c r="NWI244" s="15"/>
      <c r="NWJ244" s="15"/>
      <c r="NWK244" s="15"/>
      <c r="NWL244" s="15"/>
      <c r="NWM244" s="10"/>
      <c r="NWN244" s="10"/>
      <c r="NWO244" s="21"/>
      <c r="NWP244" s="21"/>
      <c r="NWS244" s="21"/>
      <c r="NWT244" s="15"/>
      <c r="NWU244" s="15"/>
      <c r="NWV244" s="15"/>
      <c r="NWW244" s="15"/>
      <c r="NWX244" s="15"/>
      <c r="NWY244" s="15"/>
      <c r="NWZ244" s="15"/>
      <c r="NXA244" s="15"/>
      <c r="NXB244" s="15"/>
      <c r="NXC244" s="15"/>
      <c r="NXD244" s="10"/>
      <c r="NXE244" s="10"/>
      <c r="NXF244" s="21"/>
      <c r="NXG244" s="21"/>
      <c r="NXJ244" s="21"/>
      <c r="NXK244" s="15"/>
      <c r="NXL244" s="15"/>
      <c r="NXM244" s="15"/>
      <c r="NXN244" s="15"/>
      <c r="NXO244" s="15"/>
      <c r="NXP244" s="15"/>
      <c r="NXQ244" s="15"/>
      <c r="NXR244" s="15"/>
      <c r="NXS244" s="15"/>
      <c r="NXT244" s="15"/>
      <c r="NXU244" s="10"/>
      <c r="NXV244" s="10"/>
      <c r="NXW244" s="21"/>
      <c r="NXX244" s="21"/>
      <c r="NYA244" s="21"/>
      <c r="NYB244" s="15"/>
      <c r="NYC244" s="15"/>
      <c r="NYD244" s="15"/>
      <c r="NYE244" s="15"/>
      <c r="NYF244" s="15"/>
      <c r="NYG244" s="15"/>
      <c r="NYH244" s="15"/>
      <c r="NYI244" s="15"/>
      <c r="NYJ244" s="15"/>
      <c r="NYK244" s="15"/>
      <c r="NYL244" s="10"/>
      <c r="NYM244" s="10"/>
      <c r="NYN244" s="21"/>
      <c r="NYO244" s="21"/>
      <c r="NYR244" s="21"/>
      <c r="NYS244" s="15"/>
      <c r="NYT244" s="15"/>
      <c r="NYU244" s="15"/>
      <c r="NYV244" s="15"/>
      <c r="NYW244" s="15"/>
      <c r="NYX244" s="15"/>
      <c r="NYY244" s="15"/>
      <c r="NYZ244" s="15"/>
      <c r="NZA244" s="15"/>
      <c r="NZB244" s="15"/>
      <c r="NZC244" s="10"/>
      <c r="NZD244" s="10"/>
      <c r="NZE244" s="21"/>
      <c r="NZF244" s="21"/>
      <c r="NZI244" s="21"/>
      <c r="NZJ244" s="15"/>
      <c r="NZK244" s="15"/>
      <c r="NZL244" s="15"/>
      <c r="NZM244" s="15"/>
      <c r="NZN244" s="15"/>
      <c r="NZO244" s="15"/>
      <c r="NZP244" s="15"/>
      <c r="NZQ244" s="15"/>
      <c r="NZR244" s="15"/>
      <c r="NZS244" s="15"/>
      <c r="NZT244" s="10"/>
      <c r="NZU244" s="10"/>
      <c r="NZV244" s="21"/>
      <c r="NZW244" s="21"/>
      <c r="NZZ244" s="21"/>
      <c r="OAA244" s="15"/>
      <c r="OAB244" s="15"/>
      <c r="OAC244" s="15"/>
      <c r="OAD244" s="15"/>
      <c r="OAE244" s="15"/>
      <c r="OAF244" s="15"/>
      <c r="OAG244" s="15"/>
      <c r="OAH244" s="15"/>
      <c r="OAI244" s="15"/>
      <c r="OAJ244" s="15"/>
      <c r="OAK244" s="10"/>
      <c r="OAL244" s="10"/>
      <c r="OAM244" s="21"/>
      <c r="OAN244" s="21"/>
      <c r="OAQ244" s="21"/>
      <c r="OAR244" s="15"/>
      <c r="OAS244" s="15"/>
      <c r="OAT244" s="15"/>
      <c r="OAU244" s="15"/>
      <c r="OAV244" s="15"/>
      <c r="OAW244" s="15"/>
      <c r="OAX244" s="15"/>
      <c r="OAY244" s="15"/>
      <c r="OAZ244" s="15"/>
      <c r="OBA244" s="15"/>
      <c r="OBB244" s="10"/>
      <c r="OBC244" s="10"/>
      <c r="OBD244" s="21"/>
      <c r="OBE244" s="21"/>
      <c r="OBH244" s="21"/>
      <c r="OBI244" s="15"/>
      <c r="OBJ244" s="15"/>
      <c r="OBK244" s="15"/>
      <c r="OBL244" s="15"/>
      <c r="OBM244" s="15"/>
      <c r="OBN244" s="15"/>
      <c r="OBO244" s="15"/>
      <c r="OBP244" s="15"/>
      <c r="OBQ244" s="15"/>
      <c r="OBR244" s="15"/>
      <c r="OBS244" s="10"/>
      <c r="OBT244" s="10"/>
      <c r="OBU244" s="21"/>
      <c r="OBV244" s="21"/>
      <c r="OBY244" s="21"/>
      <c r="OBZ244" s="15"/>
      <c r="OCA244" s="15"/>
      <c r="OCB244" s="15"/>
      <c r="OCC244" s="15"/>
      <c r="OCD244" s="15"/>
      <c r="OCE244" s="15"/>
      <c r="OCF244" s="15"/>
      <c r="OCG244" s="15"/>
      <c r="OCH244" s="15"/>
      <c r="OCI244" s="15"/>
      <c r="OCJ244" s="10"/>
      <c r="OCK244" s="10"/>
      <c r="OCL244" s="21"/>
      <c r="OCM244" s="21"/>
      <c r="OCP244" s="21"/>
      <c r="OCQ244" s="15"/>
      <c r="OCR244" s="15"/>
      <c r="OCS244" s="15"/>
      <c r="OCT244" s="15"/>
      <c r="OCU244" s="15"/>
      <c r="OCV244" s="15"/>
      <c r="OCW244" s="15"/>
      <c r="OCX244" s="15"/>
      <c r="OCY244" s="15"/>
      <c r="OCZ244" s="15"/>
      <c r="ODA244" s="10"/>
      <c r="ODB244" s="10"/>
      <c r="ODC244" s="21"/>
      <c r="ODD244" s="21"/>
      <c r="ODG244" s="21"/>
      <c r="ODH244" s="15"/>
      <c r="ODI244" s="15"/>
      <c r="ODJ244" s="15"/>
      <c r="ODK244" s="15"/>
      <c r="ODL244" s="15"/>
      <c r="ODM244" s="15"/>
      <c r="ODN244" s="15"/>
      <c r="ODO244" s="15"/>
      <c r="ODP244" s="15"/>
      <c r="ODQ244" s="15"/>
      <c r="ODR244" s="10"/>
      <c r="ODS244" s="10"/>
      <c r="ODT244" s="21"/>
      <c r="ODU244" s="21"/>
      <c r="ODX244" s="21"/>
      <c r="ODY244" s="15"/>
      <c r="ODZ244" s="15"/>
      <c r="OEA244" s="15"/>
      <c r="OEB244" s="15"/>
      <c r="OEC244" s="15"/>
      <c r="OED244" s="15"/>
      <c r="OEE244" s="15"/>
      <c r="OEF244" s="15"/>
      <c r="OEG244" s="15"/>
      <c r="OEH244" s="15"/>
      <c r="OEI244" s="10"/>
      <c r="OEJ244" s="10"/>
      <c r="OEK244" s="21"/>
      <c r="OEL244" s="21"/>
      <c r="OEO244" s="21"/>
      <c r="OEP244" s="15"/>
      <c r="OEQ244" s="15"/>
      <c r="OER244" s="15"/>
      <c r="OES244" s="15"/>
      <c r="OET244" s="15"/>
      <c r="OEU244" s="15"/>
      <c r="OEV244" s="15"/>
      <c r="OEW244" s="15"/>
      <c r="OEX244" s="15"/>
      <c r="OEY244" s="15"/>
      <c r="OEZ244" s="10"/>
      <c r="OFA244" s="10"/>
      <c r="OFB244" s="21"/>
      <c r="OFC244" s="21"/>
      <c r="OFF244" s="21"/>
      <c r="OFG244" s="15"/>
      <c r="OFH244" s="15"/>
      <c r="OFI244" s="15"/>
      <c r="OFJ244" s="15"/>
      <c r="OFK244" s="15"/>
      <c r="OFL244" s="15"/>
      <c r="OFM244" s="15"/>
      <c r="OFN244" s="15"/>
      <c r="OFO244" s="15"/>
      <c r="OFP244" s="15"/>
      <c r="OFQ244" s="10"/>
      <c r="OFR244" s="10"/>
      <c r="OFS244" s="21"/>
      <c r="OFT244" s="21"/>
      <c r="OFW244" s="21"/>
      <c r="OFX244" s="15"/>
      <c r="OFY244" s="15"/>
      <c r="OFZ244" s="15"/>
      <c r="OGA244" s="15"/>
      <c r="OGB244" s="15"/>
      <c r="OGC244" s="15"/>
      <c r="OGD244" s="15"/>
      <c r="OGE244" s="15"/>
      <c r="OGF244" s="15"/>
      <c r="OGG244" s="15"/>
      <c r="OGH244" s="10"/>
      <c r="OGI244" s="10"/>
      <c r="OGJ244" s="21"/>
      <c r="OGK244" s="21"/>
      <c r="OGN244" s="21"/>
      <c r="OGO244" s="15"/>
      <c r="OGP244" s="15"/>
      <c r="OGQ244" s="15"/>
      <c r="OGR244" s="15"/>
      <c r="OGS244" s="15"/>
      <c r="OGT244" s="15"/>
      <c r="OGU244" s="15"/>
      <c r="OGV244" s="15"/>
      <c r="OGW244" s="15"/>
      <c r="OGX244" s="15"/>
      <c r="OGY244" s="10"/>
      <c r="OGZ244" s="10"/>
      <c r="OHA244" s="21"/>
      <c r="OHB244" s="21"/>
      <c r="OHE244" s="21"/>
      <c r="OHF244" s="15"/>
      <c r="OHG244" s="15"/>
      <c r="OHH244" s="15"/>
      <c r="OHI244" s="15"/>
      <c r="OHJ244" s="15"/>
      <c r="OHK244" s="15"/>
      <c r="OHL244" s="15"/>
      <c r="OHM244" s="15"/>
      <c r="OHN244" s="15"/>
      <c r="OHO244" s="15"/>
      <c r="OHP244" s="10"/>
      <c r="OHQ244" s="10"/>
      <c r="OHR244" s="21"/>
      <c r="OHS244" s="21"/>
      <c r="OHV244" s="21"/>
      <c r="OHW244" s="15"/>
      <c r="OHX244" s="15"/>
      <c r="OHY244" s="15"/>
      <c r="OHZ244" s="15"/>
      <c r="OIA244" s="15"/>
      <c r="OIB244" s="15"/>
      <c r="OIC244" s="15"/>
      <c r="OID244" s="15"/>
      <c r="OIE244" s="15"/>
      <c r="OIF244" s="15"/>
      <c r="OIG244" s="10"/>
      <c r="OIH244" s="10"/>
      <c r="OII244" s="21"/>
      <c r="OIJ244" s="21"/>
      <c r="OIM244" s="21"/>
      <c r="OIN244" s="15"/>
      <c r="OIO244" s="15"/>
      <c r="OIP244" s="15"/>
      <c r="OIQ244" s="15"/>
      <c r="OIR244" s="15"/>
      <c r="OIS244" s="15"/>
      <c r="OIT244" s="15"/>
      <c r="OIU244" s="15"/>
      <c r="OIV244" s="15"/>
      <c r="OIW244" s="15"/>
      <c r="OIX244" s="10"/>
      <c r="OIY244" s="10"/>
      <c r="OIZ244" s="21"/>
      <c r="OJA244" s="21"/>
      <c r="OJD244" s="21"/>
      <c r="OJE244" s="15"/>
      <c r="OJF244" s="15"/>
      <c r="OJG244" s="15"/>
      <c r="OJH244" s="15"/>
      <c r="OJI244" s="15"/>
      <c r="OJJ244" s="15"/>
      <c r="OJK244" s="15"/>
      <c r="OJL244" s="15"/>
      <c r="OJM244" s="15"/>
      <c r="OJN244" s="15"/>
      <c r="OJO244" s="10"/>
      <c r="OJP244" s="10"/>
      <c r="OJQ244" s="21"/>
      <c r="OJR244" s="21"/>
      <c r="OJU244" s="21"/>
      <c r="OJV244" s="15"/>
      <c r="OJW244" s="15"/>
      <c r="OJX244" s="15"/>
      <c r="OJY244" s="15"/>
      <c r="OJZ244" s="15"/>
      <c r="OKA244" s="15"/>
      <c r="OKB244" s="15"/>
      <c r="OKC244" s="15"/>
      <c r="OKD244" s="15"/>
      <c r="OKE244" s="15"/>
      <c r="OKF244" s="10"/>
      <c r="OKG244" s="10"/>
      <c r="OKH244" s="21"/>
      <c r="OKI244" s="21"/>
      <c r="OKL244" s="21"/>
      <c r="OKM244" s="15"/>
      <c r="OKN244" s="15"/>
      <c r="OKO244" s="15"/>
      <c r="OKP244" s="15"/>
      <c r="OKQ244" s="15"/>
      <c r="OKR244" s="15"/>
      <c r="OKS244" s="15"/>
      <c r="OKT244" s="15"/>
      <c r="OKU244" s="15"/>
      <c r="OKV244" s="15"/>
      <c r="OKW244" s="10"/>
      <c r="OKX244" s="10"/>
      <c r="OKY244" s="21"/>
      <c r="OKZ244" s="21"/>
      <c r="OLC244" s="21"/>
      <c r="OLD244" s="15"/>
      <c r="OLE244" s="15"/>
      <c r="OLF244" s="15"/>
      <c r="OLG244" s="15"/>
      <c r="OLH244" s="15"/>
      <c r="OLI244" s="15"/>
      <c r="OLJ244" s="15"/>
      <c r="OLK244" s="15"/>
      <c r="OLL244" s="15"/>
      <c r="OLM244" s="15"/>
      <c r="OLN244" s="10"/>
      <c r="OLO244" s="10"/>
      <c r="OLP244" s="21"/>
      <c r="OLQ244" s="21"/>
      <c r="OLT244" s="21"/>
      <c r="OLU244" s="15"/>
      <c r="OLV244" s="15"/>
      <c r="OLW244" s="15"/>
      <c r="OLX244" s="15"/>
      <c r="OLY244" s="15"/>
      <c r="OLZ244" s="15"/>
      <c r="OMA244" s="15"/>
      <c r="OMB244" s="15"/>
      <c r="OMC244" s="15"/>
      <c r="OMD244" s="15"/>
      <c r="OME244" s="10"/>
      <c r="OMF244" s="10"/>
      <c r="OMG244" s="21"/>
      <c r="OMH244" s="21"/>
      <c r="OMK244" s="21"/>
      <c r="OML244" s="15"/>
      <c r="OMM244" s="15"/>
      <c r="OMN244" s="15"/>
      <c r="OMO244" s="15"/>
      <c r="OMP244" s="15"/>
      <c r="OMQ244" s="15"/>
      <c r="OMR244" s="15"/>
      <c r="OMS244" s="15"/>
      <c r="OMT244" s="15"/>
      <c r="OMU244" s="15"/>
      <c r="OMV244" s="10"/>
      <c r="OMW244" s="10"/>
      <c r="OMX244" s="21"/>
      <c r="OMY244" s="21"/>
      <c r="ONB244" s="21"/>
      <c r="ONC244" s="15"/>
      <c r="OND244" s="15"/>
      <c r="ONE244" s="15"/>
      <c r="ONF244" s="15"/>
      <c r="ONG244" s="15"/>
      <c r="ONH244" s="15"/>
      <c r="ONI244" s="15"/>
      <c r="ONJ244" s="15"/>
      <c r="ONK244" s="15"/>
      <c r="ONL244" s="15"/>
      <c r="ONM244" s="10"/>
      <c r="ONN244" s="10"/>
      <c r="ONO244" s="21"/>
      <c r="ONP244" s="21"/>
      <c r="ONS244" s="21"/>
      <c r="ONT244" s="15"/>
      <c r="ONU244" s="15"/>
      <c r="ONV244" s="15"/>
      <c r="ONW244" s="15"/>
      <c r="ONX244" s="15"/>
      <c r="ONY244" s="15"/>
      <c r="ONZ244" s="15"/>
      <c r="OOA244" s="15"/>
      <c r="OOB244" s="15"/>
      <c r="OOC244" s="15"/>
      <c r="OOD244" s="10"/>
      <c r="OOE244" s="10"/>
      <c r="OOF244" s="21"/>
      <c r="OOG244" s="21"/>
      <c r="OOJ244" s="21"/>
      <c r="OOK244" s="15"/>
      <c r="OOL244" s="15"/>
      <c r="OOM244" s="15"/>
      <c r="OON244" s="15"/>
      <c r="OOO244" s="15"/>
      <c r="OOP244" s="15"/>
      <c r="OOQ244" s="15"/>
      <c r="OOR244" s="15"/>
      <c r="OOS244" s="15"/>
      <c r="OOT244" s="15"/>
      <c r="OOU244" s="10"/>
      <c r="OOV244" s="10"/>
      <c r="OOW244" s="21"/>
      <c r="OOX244" s="21"/>
      <c r="OPA244" s="21"/>
      <c r="OPB244" s="15"/>
      <c r="OPC244" s="15"/>
      <c r="OPD244" s="15"/>
      <c r="OPE244" s="15"/>
      <c r="OPF244" s="15"/>
      <c r="OPG244" s="15"/>
      <c r="OPH244" s="15"/>
      <c r="OPI244" s="15"/>
      <c r="OPJ244" s="15"/>
      <c r="OPK244" s="15"/>
      <c r="OPL244" s="10"/>
      <c r="OPM244" s="10"/>
      <c r="OPN244" s="21"/>
      <c r="OPO244" s="21"/>
      <c r="OPR244" s="21"/>
      <c r="OPS244" s="15"/>
      <c r="OPT244" s="15"/>
      <c r="OPU244" s="15"/>
      <c r="OPV244" s="15"/>
      <c r="OPW244" s="15"/>
      <c r="OPX244" s="15"/>
      <c r="OPY244" s="15"/>
      <c r="OPZ244" s="15"/>
      <c r="OQA244" s="15"/>
      <c r="OQB244" s="15"/>
      <c r="OQC244" s="10"/>
      <c r="OQD244" s="10"/>
      <c r="OQE244" s="21"/>
      <c r="OQF244" s="21"/>
      <c r="OQI244" s="21"/>
      <c r="OQJ244" s="15"/>
      <c r="OQK244" s="15"/>
      <c r="OQL244" s="15"/>
      <c r="OQM244" s="15"/>
      <c r="OQN244" s="15"/>
      <c r="OQO244" s="15"/>
      <c r="OQP244" s="15"/>
      <c r="OQQ244" s="15"/>
      <c r="OQR244" s="15"/>
      <c r="OQS244" s="15"/>
      <c r="OQT244" s="10"/>
      <c r="OQU244" s="10"/>
      <c r="OQV244" s="21"/>
      <c r="OQW244" s="21"/>
      <c r="OQZ244" s="21"/>
      <c r="ORA244" s="15"/>
      <c r="ORB244" s="15"/>
      <c r="ORC244" s="15"/>
      <c r="ORD244" s="15"/>
      <c r="ORE244" s="15"/>
      <c r="ORF244" s="15"/>
      <c r="ORG244" s="15"/>
      <c r="ORH244" s="15"/>
      <c r="ORI244" s="15"/>
      <c r="ORJ244" s="15"/>
      <c r="ORK244" s="10"/>
      <c r="ORL244" s="10"/>
      <c r="ORM244" s="21"/>
      <c r="ORN244" s="21"/>
      <c r="ORQ244" s="21"/>
      <c r="ORR244" s="15"/>
      <c r="ORS244" s="15"/>
      <c r="ORT244" s="15"/>
      <c r="ORU244" s="15"/>
      <c r="ORV244" s="15"/>
      <c r="ORW244" s="15"/>
      <c r="ORX244" s="15"/>
      <c r="ORY244" s="15"/>
      <c r="ORZ244" s="15"/>
      <c r="OSA244" s="15"/>
      <c r="OSB244" s="10"/>
      <c r="OSC244" s="10"/>
      <c r="OSD244" s="21"/>
      <c r="OSE244" s="21"/>
      <c r="OSH244" s="21"/>
      <c r="OSI244" s="15"/>
      <c r="OSJ244" s="15"/>
      <c r="OSK244" s="15"/>
      <c r="OSL244" s="15"/>
      <c r="OSM244" s="15"/>
      <c r="OSN244" s="15"/>
      <c r="OSO244" s="15"/>
      <c r="OSP244" s="15"/>
      <c r="OSQ244" s="15"/>
      <c r="OSR244" s="15"/>
      <c r="OSS244" s="10"/>
      <c r="OST244" s="10"/>
      <c r="OSU244" s="21"/>
      <c r="OSV244" s="21"/>
      <c r="OSY244" s="21"/>
      <c r="OSZ244" s="15"/>
      <c r="OTA244" s="15"/>
      <c r="OTB244" s="15"/>
      <c r="OTC244" s="15"/>
      <c r="OTD244" s="15"/>
      <c r="OTE244" s="15"/>
      <c r="OTF244" s="15"/>
      <c r="OTG244" s="15"/>
      <c r="OTH244" s="15"/>
      <c r="OTI244" s="15"/>
      <c r="OTJ244" s="10"/>
      <c r="OTK244" s="10"/>
      <c r="OTL244" s="21"/>
      <c r="OTM244" s="21"/>
      <c r="OTP244" s="21"/>
      <c r="OTQ244" s="15"/>
      <c r="OTR244" s="15"/>
      <c r="OTS244" s="15"/>
      <c r="OTT244" s="15"/>
      <c r="OTU244" s="15"/>
      <c r="OTV244" s="15"/>
      <c r="OTW244" s="15"/>
      <c r="OTX244" s="15"/>
      <c r="OTY244" s="15"/>
      <c r="OTZ244" s="15"/>
      <c r="OUA244" s="10"/>
      <c r="OUB244" s="10"/>
      <c r="OUC244" s="21"/>
      <c r="OUD244" s="21"/>
      <c r="OUG244" s="21"/>
      <c r="OUH244" s="15"/>
      <c r="OUI244" s="15"/>
      <c r="OUJ244" s="15"/>
      <c r="OUK244" s="15"/>
      <c r="OUL244" s="15"/>
      <c r="OUM244" s="15"/>
      <c r="OUN244" s="15"/>
      <c r="OUO244" s="15"/>
      <c r="OUP244" s="15"/>
      <c r="OUQ244" s="15"/>
      <c r="OUR244" s="10"/>
      <c r="OUS244" s="10"/>
      <c r="OUT244" s="21"/>
      <c r="OUU244" s="21"/>
      <c r="OUX244" s="21"/>
      <c r="OUY244" s="15"/>
      <c r="OUZ244" s="15"/>
      <c r="OVA244" s="15"/>
      <c r="OVB244" s="15"/>
      <c r="OVC244" s="15"/>
      <c r="OVD244" s="15"/>
      <c r="OVE244" s="15"/>
      <c r="OVF244" s="15"/>
      <c r="OVG244" s="15"/>
      <c r="OVH244" s="15"/>
      <c r="OVI244" s="10"/>
      <c r="OVJ244" s="10"/>
      <c r="OVK244" s="21"/>
      <c r="OVL244" s="21"/>
      <c r="OVO244" s="21"/>
      <c r="OVP244" s="15"/>
      <c r="OVQ244" s="15"/>
      <c r="OVR244" s="15"/>
      <c r="OVS244" s="15"/>
      <c r="OVT244" s="15"/>
      <c r="OVU244" s="15"/>
      <c r="OVV244" s="15"/>
      <c r="OVW244" s="15"/>
      <c r="OVX244" s="15"/>
      <c r="OVY244" s="15"/>
      <c r="OVZ244" s="10"/>
      <c r="OWA244" s="10"/>
      <c r="OWB244" s="21"/>
      <c r="OWC244" s="21"/>
      <c r="OWF244" s="21"/>
      <c r="OWG244" s="15"/>
      <c r="OWH244" s="15"/>
      <c r="OWI244" s="15"/>
      <c r="OWJ244" s="15"/>
      <c r="OWK244" s="15"/>
      <c r="OWL244" s="15"/>
      <c r="OWM244" s="15"/>
      <c r="OWN244" s="15"/>
      <c r="OWO244" s="15"/>
      <c r="OWP244" s="15"/>
      <c r="OWQ244" s="10"/>
      <c r="OWR244" s="10"/>
      <c r="OWS244" s="21"/>
      <c r="OWT244" s="21"/>
      <c r="OWW244" s="21"/>
      <c r="OWX244" s="15"/>
      <c r="OWY244" s="15"/>
      <c r="OWZ244" s="15"/>
      <c r="OXA244" s="15"/>
      <c r="OXB244" s="15"/>
      <c r="OXC244" s="15"/>
      <c r="OXD244" s="15"/>
      <c r="OXE244" s="15"/>
      <c r="OXF244" s="15"/>
      <c r="OXG244" s="15"/>
      <c r="OXH244" s="10"/>
      <c r="OXI244" s="10"/>
      <c r="OXJ244" s="21"/>
      <c r="OXK244" s="21"/>
      <c r="OXN244" s="21"/>
      <c r="OXO244" s="15"/>
      <c r="OXP244" s="15"/>
      <c r="OXQ244" s="15"/>
      <c r="OXR244" s="15"/>
      <c r="OXS244" s="15"/>
      <c r="OXT244" s="15"/>
      <c r="OXU244" s="15"/>
      <c r="OXV244" s="15"/>
      <c r="OXW244" s="15"/>
      <c r="OXX244" s="15"/>
      <c r="OXY244" s="10"/>
      <c r="OXZ244" s="10"/>
      <c r="OYA244" s="21"/>
      <c r="OYB244" s="21"/>
      <c r="OYE244" s="21"/>
      <c r="OYF244" s="15"/>
      <c r="OYG244" s="15"/>
      <c r="OYH244" s="15"/>
      <c r="OYI244" s="15"/>
      <c r="OYJ244" s="15"/>
      <c r="OYK244" s="15"/>
      <c r="OYL244" s="15"/>
      <c r="OYM244" s="15"/>
      <c r="OYN244" s="15"/>
      <c r="OYO244" s="15"/>
      <c r="OYP244" s="10"/>
      <c r="OYQ244" s="10"/>
      <c r="OYR244" s="21"/>
      <c r="OYS244" s="21"/>
      <c r="OYV244" s="21"/>
      <c r="OYW244" s="15"/>
      <c r="OYX244" s="15"/>
      <c r="OYY244" s="15"/>
      <c r="OYZ244" s="15"/>
      <c r="OZA244" s="15"/>
      <c r="OZB244" s="15"/>
      <c r="OZC244" s="15"/>
      <c r="OZD244" s="15"/>
      <c r="OZE244" s="15"/>
      <c r="OZF244" s="15"/>
      <c r="OZG244" s="10"/>
      <c r="OZH244" s="10"/>
      <c r="OZI244" s="21"/>
      <c r="OZJ244" s="21"/>
      <c r="OZM244" s="21"/>
      <c r="OZN244" s="15"/>
      <c r="OZO244" s="15"/>
      <c r="OZP244" s="15"/>
      <c r="OZQ244" s="15"/>
      <c r="OZR244" s="15"/>
      <c r="OZS244" s="15"/>
      <c r="OZT244" s="15"/>
      <c r="OZU244" s="15"/>
      <c r="OZV244" s="15"/>
      <c r="OZW244" s="15"/>
      <c r="OZX244" s="10"/>
      <c r="OZY244" s="10"/>
      <c r="OZZ244" s="21"/>
      <c r="PAA244" s="21"/>
      <c r="PAD244" s="21"/>
      <c r="PAE244" s="15"/>
      <c r="PAF244" s="15"/>
      <c r="PAG244" s="15"/>
      <c r="PAH244" s="15"/>
      <c r="PAI244" s="15"/>
      <c r="PAJ244" s="15"/>
      <c r="PAK244" s="15"/>
      <c r="PAL244" s="15"/>
      <c r="PAM244" s="15"/>
      <c r="PAN244" s="15"/>
      <c r="PAO244" s="10"/>
      <c r="PAP244" s="10"/>
      <c r="PAQ244" s="21"/>
      <c r="PAR244" s="21"/>
      <c r="PAU244" s="21"/>
      <c r="PAV244" s="15"/>
      <c r="PAW244" s="15"/>
      <c r="PAX244" s="15"/>
      <c r="PAY244" s="15"/>
      <c r="PAZ244" s="15"/>
      <c r="PBA244" s="15"/>
      <c r="PBB244" s="15"/>
      <c r="PBC244" s="15"/>
      <c r="PBD244" s="15"/>
      <c r="PBE244" s="15"/>
      <c r="PBF244" s="10"/>
      <c r="PBG244" s="10"/>
      <c r="PBH244" s="21"/>
      <c r="PBI244" s="21"/>
      <c r="PBL244" s="21"/>
      <c r="PBM244" s="15"/>
      <c r="PBN244" s="15"/>
      <c r="PBO244" s="15"/>
      <c r="PBP244" s="15"/>
      <c r="PBQ244" s="15"/>
      <c r="PBR244" s="15"/>
      <c r="PBS244" s="15"/>
      <c r="PBT244" s="15"/>
      <c r="PBU244" s="15"/>
      <c r="PBV244" s="15"/>
      <c r="PBW244" s="10"/>
      <c r="PBX244" s="10"/>
      <c r="PBY244" s="21"/>
      <c r="PBZ244" s="21"/>
      <c r="PCC244" s="21"/>
      <c r="PCD244" s="15"/>
      <c r="PCE244" s="15"/>
      <c r="PCF244" s="15"/>
      <c r="PCG244" s="15"/>
      <c r="PCH244" s="15"/>
      <c r="PCI244" s="15"/>
      <c r="PCJ244" s="15"/>
      <c r="PCK244" s="15"/>
      <c r="PCL244" s="15"/>
      <c r="PCM244" s="15"/>
      <c r="PCN244" s="10"/>
      <c r="PCO244" s="10"/>
      <c r="PCP244" s="21"/>
      <c r="PCQ244" s="21"/>
      <c r="PCT244" s="21"/>
      <c r="PCU244" s="15"/>
      <c r="PCV244" s="15"/>
      <c r="PCW244" s="15"/>
      <c r="PCX244" s="15"/>
      <c r="PCY244" s="15"/>
      <c r="PCZ244" s="15"/>
      <c r="PDA244" s="15"/>
      <c r="PDB244" s="15"/>
      <c r="PDC244" s="15"/>
      <c r="PDD244" s="15"/>
      <c r="PDE244" s="10"/>
      <c r="PDF244" s="10"/>
      <c r="PDG244" s="21"/>
      <c r="PDH244" s="21"/>
      <c r="PDK244" s="21"/>
      <c r="PDL244" s="15"/>
      <c r="PDM244" s="15"/>
      <c r="PDN244" s="15"/>
      <c r="PDO244" s="15"/>
      <c r="PDP244" s="15"/>
      <c r="PDQ244" s="15"/>
      <c r="PDR244" s="15"/>
      <c r="PDS244" s="15"/>
      <c r="PDT244" s="15"/>
      <c r="PDU244" s="15"/>
      <c r="PDV244" s="10"/>
      <c r="PDW244" s="10"/>
      <c r="PDX244" s="21"/>
      <c r="PDY244" s="21"/>
      <c r="PEB244" s="21"/>
      <c r="PEC244" s="15"/>
      <c r="PED244" s="15"/>
      <c r="PEE244" s="15"/>
      <c r="PEF244" s="15"/>
      <c r="PEG244" s="15"/>
      <c r="PEH244" s="15"/>
      <c r="PEI244" s="15"/>
      <c r="PEJ244" s="15"/>
      <c r="PEK244" s="15"/>
      <c r="PEL244" s="15"/>
      <c r="PEM244" s="10"/>
      <c r="PEN244" s="10"/>
      <c r="PEO244" s="21"/>
      <c r="PEP244" s="21"/>
      <c r="PES244" s="21"/>
      <c r="PET244" s="15"/>
      <c r="PEU244" s="15"/>
      <c r="PEV244" s="15"/>
      <c r="PEW244" s="15"/>
      <c r="PEX244" s="15"/>
      <c r="PEY244" s="15"/>
      <c r="PEZ244" s="15"/>
      <c r="PFA244" s="15"/>
      <c r="PFB244" s="15"/>
      <c r="PFC244" s="15"/>
      <c r="PFD244" s="10"/>
      <c r="PFE244" s="10"/>
      <c r="PFF244" s="21"/>
      <c r="PFG244" s="21"/>
      <c r="PFJ244" s="21"/>
      <c r="PFK244" s="15"/>
      <c r="PFL244" s="15"/>
      <c r="PFM244" s="15"/>
      <c r="PFN244" s="15"/>
      <c r="PFO244" s="15"/>
      <c r="PFP244" s="15"/>
      <c r="PFQ244" s="15"/>
      <c r="PFR244" s="15"/>
      <c r="PFS244" s="15"/>
      <c r="PFT244" s="15"/>
      <c r="PFU244" s="10"/>
      <c r="PFV244" s="10"/>
      <c r="PFW244" s="21"/>
      <c r="PFX244" s="21"/>
      <c r="PGA244" s="21"/>
      <c r="PGB244" s="15"/>
      <c r="PGC244" s="15"/>
      <c r="PGD244" s="15"/>
      <c r="PGE244" s="15"/>
      <c r="PGF244" s="15"/>
      <c r="PGG244" s="15"/>
      <c r="PGH244" s="15"/>
      <c r="PGI244" s="15"/>
      <c r="PGJ244" s="15"/>
      <c r="PGK244" s="15"/>
      <c r="PGL244" s="10"/>
      <c r="PGM244" s="10"/>
      <c r="PGN244" s="21"/>
      <c r="PGO244" s="21"/>
      <c r="PGR244" s="21"/>
      <c r="PGS244" s="15"/>
      <c r="PGT244" s="15"/>
      <c r="PGU244" s="15"/>
      <c r="PGV244" s="15"/>
      <c r="PGW244" s="15"/>
      <c r="PGX244" s="15"/>
      <c r="PGY244" s="15"/>
      <c r="PGZ244" s="15"/>
      <c r="PHA244" s="15"/>
      <c r="PHB244" s="15"/>
      <c r="PHC244" s="10"/>
      <c r="PHD244" s="10"/>
      <c r="PHE244" s="21"/>
      <c r="PHF244" s="21"/>
      <c r="PHI244" s="21"/>
      <c r="PHJ244" s="15"/>
      <c r="PHK244" s="15"/>
      <c r="PHL244" s="15"/>
      <c r="PHM244" s="15"/>
      <c r="PHN244" s="15"/>
      <c r="PHO244" s="15"/>
      <c r="PHP244" s="15"/>
      <c r="PHQ244" s="15"/>
      <c r="PHR244" s="15"/>
      <c r="PHS244" s="15"/>
      <c r="PHT244" s="10"/>
      <c r="PHU244" s="10"/>
      <c r="PHV244" s="21"/>
      <c r="PHW244" s="21"/>
      <c r="PHZ244" s="21"/>
      <c r="PIA244" s="15"/>
      <c r="PIB244" s="15"/>
      <c r="PIC244" s="15"/>
      <c r="PID244" s="15"/>
      <c r="PIE244" s="15"/>
      <c r="PIF244" s="15"/>
      <c r="PIG244" s="15"/>
      <c r="PIH244" s="15"/>
      <c r="PII244" s="15"/>
      <c r="PIJ244" s="15"/>
      <c r="PIK244" s="10"/>
      <c r="PIL244" s="10"/>
      <c r="PIM244" s="21"/>
      <c r="PIN244" s="21"/>
      <c r="PIQ244" s="21"/>
      <c r="PIR244" s="15"/>
      <c r="PIS244" s="15"/>
      <c r="PIT244" s="15"/>
      <c r="PIU244" s="15"/>
      <c r="PIV244" s="15"/>
      <c r="PIW244" s="15"/>
      <c r="PIX244" s="15"/>
      <c r="PIY244" s="15"/>
      <c r="PIZ244" s="15"/>
      <c r="PJA244" s="15"/>
      <c r="PJB244" s="10"/>
      <c r="PJC244" s="10"/>
      <c r="PJD244" s="21"/>
      <c r="PJE244" s="21"/>
      <c r="PJH244" s="21"/>
      <c r="PJI244" s="15"/>
      <c r="PJJ244" s="15"/>
      <c r="PJK244" s="15"/>
      <c r="PJL244" s="15"/>
      <c r="PJM244" s="15"/>
      <c r="PJN244" s="15"/>
      <c r="PJO244" s="15"/>
      <c r="PJP244" s="15"/>
      <c r="PJQ244" s="15"/>
      <c r="PJR244" s="15"/>
      <c r="PJS244" s="10"/>
      <c r="PJT244" s="10"/>
      <c r="PJU244" s="21"/>
      <c r="PJV244" s="21"/>
      <c r="PJY244" s="21"/>
      <c r="PJZ244" s="15"/>
      <c r="PKA244" s="15"/>
      <c r="PKB244" s="15"/>
      <c r="PKC244" s="15"/>
      <c r="PKD244" s="15"/>
      <c r="PKE244" s="15"/>
      <c r="PKF244" s="15"/>
      <c r="PKG244" s="15"/>
      <c r="PKH244" s="15"/>
      <c r="PKI244" s="15"/>
      <c r="PKJ244" s="10"/>
      <c r="PKK244" s="10"/>
      <c r="PKL244" s="21"/>
      <c r="PKM244" s="21"/>
      <c r="PKP244" s="21"/>
      <c r="PKQ244" s="15"/>
      <c r="PKR244" s="15"/>
      <c r="PKS244" s="15"/>
      <c r="PKT244" s="15"/>
      <c r="PKU244" s="15"/>
      <c r="PKV244" s="15"/>
      <c r="PKW244" s="15"/>
      <c r="PKX244" s="15"/>
      <c r="PKY244" s="15"/>
      <c r="PKZ244" s="15"/>
      <c r="PLA244" s="10"/>
      <c r="PLB244" s="10"/>
      <c r="PLC244" s="21"/>
      <c r="PLD244" s="21"/>
      <c r="PLG244" s="21"/>
      <c r="PLH244" s="15"/>
      <c r="PLI244" s="15"/>
      <c r="PLJ244" s="15"/>
      <c r="PLK244" s="15"/>
      <c r="PLL244" s="15"/>
      <c r="PLM244" s="15"/>
      <c r="PLN244" s="15"/>
      <c r="PLO244" s="15"/>
      <c r="PLP244" s="15"/>
      <c r="PLQ244" s="15"/>
      <c r="PLR244" s="10"/>
      <c r="PLS244" s="10"/>
      <c r="PLT244" s="21"/>
      <c r="PLU244" s="21"/>
      <c r="PLX244" s="21"/>
      <c r="PLY244" s="15"/>
      <c r="PLZ244" s="15"/>
      <c r="PMA244" s="15"/>
      <c r="PMB244" s="15"/>
      <c r="PMC244" s="15"/>
      <c r="PMD244" s="15"/>
      <c r="PME244" s="15"/>
      <c r="PMF244" s="15"/>
      <c r="PMG244" s="15"/>
      <c r="PMH244" s="15"/>
      <c r="PMI244" s="10"/>
      <c r="PMJ244" s="10"/>
      <c r="PMK244" s="21"/>
      <c r="PML244" s="21"/>
      <c r="PMO244" s="21"/>
      <c r="PMP244" s="15"/>
      <c r="PMQ244" s="15"/>
      <c r="PMR244" s="15"/>
      <c r="PMS244" s="15"/>
      <c r="PMT244" s="15"/>
      <c r="PMU244" s="15"/>
      <c r="PMV244" s="15"/>
      <c r="PMW244" s="15"/>
      <c r="PMX244" s="15"/>
      <c r="PMY244" s="15"/>
      <c r="PMZ244" s="10"/>
      <c r="PNA244" s="10"/>
      <c r="PNB244" s="21"/>
      <c r="PNC244" s="21"/>
      <c r="PNF244" s="21"/>
      <c r="PNG244" s="15"/>
      <c r="PNH244" s="15"/>
      <c r="PNI244" s="15"/>
      <c r="PNJ244" s="15"/>
      <c r="PNK244" s="15"/>
      <c r="PNL244" s="15"/>
      <c r="PNM244" s="15"/>
      <c r="PNN244" s="15"/>
      <c r="PNO244" s="15"/>
      <c r="PNP244" s="15"/>
      <c r="PNQ244" s="10"/>
      <c r="PNR244" s="10"/>
      <c r="PNS244" s="21"/>
      <c r="PNT244" s="21"/>
      <c r="PNW244" s="21"/>
      <c r="PNX244" s="15"/>
      <c r="PNY244" s="15"/>
      <c r="PNZ244" s="15"/>
      <c r="POA244" s="15"/>
      <c r="POB244" s="15"/>
      <c r="POC244" s="15"/>
      <c r="POD244" s="15"/>
      <c r="POE244" s="15"/>
      <c r="POF244" s="15"/>
      <c r="POG244" s="15"/>
      <c r="POH244" s="10"/>
      <c r="POI244" s="10"/>
      <c r="POJ244" s="21"/>
      <c r="POK244" s="21"/>
      <c r="PON244" s="21"/>
      <c r="POO244" s="15"/>
      <c r="POP244" s="15"/>
      <c r="POQ244" s="15"/>
      <c r="POR244" s="15"/>
      <c r="POS244" s="15"/>
      <c r="POT244" s="15"/>
      <c r="POU244" s="15"/>
      <c r="POV244" s="15"/>
      <c r="POW244" s="15"/>
      <c r="POX244" s="15"/>
      <c r="POY244" s="10"/>
      <c r="POZ244" s="10"/>
      <c r="PPA244" s="21"/>
      <c r="PPB244" s="21"/>
      <c r="PPE244" s="21"/>
      <c r="PPF244" s="15"/>
      <c r="PPG244" s="15"/>
      <c r="PPH244" s="15"/>
      <c r="PPI244" s="15"/>
      <c r="PPJ244" s="15"/>
      <c r="PPK244" s="15"/>
      <c r="PPL244" s="15"/>
      <c r="PPM244" s="15"/>
      <c r="PPN244" s="15"/>
      <c r="PPO244" s="15"/>
      <c r="PPP244" s="10"/>
      <c r="PPQ244" s="10"/>
      <c r="PPR244" s="21"/>
      <c r="PPS244" s="21"/>
      <c r="PPV244" s="21"/>
      <c r="PPW244" s="15"/>
      <c r="PPX244" s="15"/>
      <c r="PPY244" s="15"/>
      <c r="PPZ244" s="15"/>
      <c r="PQA244" s="15"/>
      <c r="PQB244" s="15"/>
      <c r="PQC244" s="15"/>
      <c r="PQD244" s="15"/>
      <c r="PQE244" s="15"/>
      <c r="PQF244" s="15"/>
      <c r="PQG244" s="10"/>
      <c r="PQH244" s="10"/>
      <c r="PQI244" s="21"/>
      <c r="PQJ244" s="21"/>
      <c r="PQM244" s="21"/>
      <c r="PQN244" s="15"/>
      <c r="PQO244" s="15"/>
      <c r="PQP244" s="15"/>
      <c r="PQQ244" s="15"/>
      <c r="PQR244" s="15"/>
      <c r="PQS244" s="15"/>
      <c r="PQT244" s="15"/>
      <c r="PQU244" s="15"/>
      <c r="PQV244" s="15"/>
      <c r="PQW244" s="15"/>
      <c r="PQX244" s="10"/>
      <c r="PQY244" s="10"/>
      <c r="PQZ244" s="21"/>
      <c r="PRA244" s="21"/>
      <c r="PRD244" s="21"/>
      <c r="PRE244" s="15"/>
      <c r="PRF244" s="15"/>
      <c r="PRG244" s="15"/>
      <c r="PRH244" s="15"/>
      <c r="PRI244" s="15"/>
      <c r="PRJ244" s="15"/>
      <c r="PRK244" s="15"/>
      <c r="PRL244" s="15"/>
      <c r="PRM244" s="15"/>
      <c r="PRN244" s="15"/>
      <c r="PRO244" s="10"/>
      <c r="PRP244" s="10"/>
      <c r="PRQ244" s="21"/>
      <c r="PRR244" s="21"/>
      <c r="PRU244" s="21"/>
      <c r="PRV244" s="15"/>
      <c r="PRW244" s="15"/>
      <c r="PRX244" s="15"/>
      <c r="PRY244" s="15"/>
      <c r="PRZ244" s="15"/>
      <c r="PSA244" s="15"/>
      <c r="PSB244" s="15"/>
      <c r="PSC244" s="15"/>
      <c r="PSD244" s="15"/>
      <c r="PSE244" s="15"/>
      <c r="PSF244" s="10"/>
      <c r="PSG244" s="10"/>
      <c r="PSH244" s="21"/>
      <c r="PSI244" s="21"/>
      <c r="PSL244" s="21"/>
      <c r="PSM244" s="15"/>
      <c r="PSN244" s="15"/>
      <c r="PSO244" s="15"/>
      <c r="PSP244" s="15"/>
      <c r="PSQ244" s="15"/>
      <c r="PSR244" s="15"/>
      <c r="PSS244" s="15"/>
      <c r="PST244" s="15"/>
      <c r="PSU244" s="15"/>
      <c r="PSV244" s="15"/>
      <c r="PSW244" s="10"/>
      <c r="PSX244" s="10"/>
      <c r="PSY244" s="21"/>
      <c r="PSZ244" s="21"/>
      <c r="PTC244" s="21"/>
      <c r="PTD244" s="15"/>
      <c r="PTE244" s="15"/>
      <c r="PTF244" s="15"/>
      <c r="PTG244" s="15"/>
      <c r="PTH244" s="15"/>
      <c r="PTI244" s="15"/>
      <c r="PTJ244" s="15"/>
      <c r="PTK244" s="15"/>
      <c r="PTL244" s="15"/>
      <c r="PTM244" s="15"/>
      <c r="PTN244" s="10"/>
      <c r="PTO244" s="10"/>
      <c r="PTP244" s="21"/>
      <c r="PTQ244" s="21"/>
      <c r="PTT244" s="21"/>
      <c r="PTU244" s="15"/>
      <c r="PTV244" s="15"/>
      <c r="PTW244" s="15"/>
      <c r="PTX244" s="15"/>
      <c r="PTY244" s="15"/>
      <c r="PTZ244" s="15"/>
      <c r="PUA244" s="15"/>
      <c r="PUB244" s="15"/>
      <c r="PUC244" s="15"/>
      <c r="PUD244" s="15"/>
      <c r="PUE244" s="10"/>
      <c r="PUF244" s="10"/>
      <c r="PUG244" s="21"/>
      <c r="PUH244" s="21"/>
      <c r="PUK244" s="21"/>
      <c r="PUL244" s="15"/>
      <c r="PUM244" s="15"/>
      <c r="PUN244" s="15"/>
      <c r="PUO244" s="15"/>
      <c r="PUP244" s="15"/>
      <c r="PUQ244" s="15"/>
      <c r="PUR244" s="15"/>
      <c r="PUS244" s="15"/>
      <c r="PUT244" s="15"/>
      <c r="PUU244" s="15"/>
      <c r="PUV244" s="10"/>
      <c r="PUW244" s="10"/>
      <c r="PUX244" s="21"/>
      <c r="PUY244" s="21"/>
      <c r="PVB244" s="21"/>
      <c r="PVC244" s="15"/>
      <c r="PVD244" s="15"/>
      <c r="PVE244" s="15"/>
      <c r="PVF244" s="15"/>
      <c r="PVG244" s="15"/>
      <c r="PVH244" s="15"/>
      <c r="PVI244" s="15"/>
      <c r="PVJ244" s="15"/>
      <c r="PVK244" s="15"/>
      <c r="PVL244" s="15"/>
      <c r="PVM244" s="10"/>
      <c r="PVN244" s="10"/>
      <c r="PVO244" s="21"/>
      <c r="PVP244" s="21"/>
      <c r="PVS244" s="21"/>
      <c r="PVT244" s="15"/>
      <c r="PVU244" s="15"/>
      <c r="PVV244" s="15"/>
      <c r="PVW244" s="15"/>
      <c r="PVX244" s="15"/>
      <c r="PVY244" s="15"/>
      <c r="PVZ244" s="15"/>
      <c r="PWA244" s="15"/>
      <c r="PWB244" s="15"/>
      <c r="PWC244" s="15"/>
      <c r="PWD244" s="10"/>
      <c r="PWE244" s="10"/>
      <c r="PWF244" s="21"/>
      <c r="PWG244" s="21"/>
      <c r="PWJ244" s="21"/>
      <c r="PWK244" s="15"/>
      <c r="PWL244" s="15"/>
      <c r="PWM244" s="15"/>
      <c r="PWN244" s="15"/>
      <c r="PWO244" s="15"/>
      <c r="PWP244" s="15"/>
      <c r="PWQ244" s="15"/>
      <c r="PWR244" s="15"/>
      <c r="PWS244" s="15"/>
      <c r="PWT244" s="15"/>
      <c r="PWU244" s="10"/>
      <c r="PWV244" s="10"/>
      <c r="PWW244" s="21"/>
      <c r="PWX244" s="21"/>
      <c r="PXA244" s="21"/>
      <c r="PXB244" s="15"/>
      <c r="PXC244" s="15"/>
      <c r="PXD244" s="15"/>
      <c r="PXE244" s="15"/>
      <c r="PXF244" s="15"/>
      <c r="PXG244" s="15"/>
      <c r="PXH244" s="15"/>
      <c r="PXI244" s="15"/>
      <c r="PXJ244" s="15"/>
      <c r="PXK244" s="15"/>
      <c r="PXL244" s="10"/>
      <c r="PXM244" s="10"/>
      <c r="PXN244" s="21"/>
      <c r="PXO244" s="21"/>
      <c r="PXR244" s="21"/>
      <c r="PXS244" s="15"/>
      <c r="PXT244" s="15"/>
      <c r="PXU244" s="15"/>
      <c r="PXV244" s="15"/>
      <c r="PXW244" s="15"/>
      <c r="PXX244" s="15"/>
      <c r="PXY244" s="15"/>
      <c r="PXZ244" s="15"/>
      <c r="PYA244" s="15"/>
      <c r="PYB244" s="15"/>
      <c r="PYC244" s="10"/>
      <c r="PYD244" s="10"/>
      <c r="PYE244" s="21"/>
      <c r="PYF244" s="21"/>
      <c r="PYI244" s="21"/>
      <c r="PYJ244" s="15"/>
      <c r="PYK244" s="15"/>
      <c r="PYL244" s="15"/>
      <c r="PYM244" s="15"/>
      <c r="PYN244" s="15"/>
      <c r="PYO244" s="15"/>
      <c r="PYP244" s="15"/>
      <c r="PYQ244" s="15"/>
      <c r="PYR244" s="15"/>
      <c r="PYS244" s="15"/>
      <c r="PYT244" s="10"/>
      <c r="PYU244" s="10"/>
      <c r="PYV244" s="21"/>
      <c r="PYW244" s="21"/>
      <c r="PYZ244" s="21"/>
      <c r="PZA244" s="15"/>
      <c r="PZB244" s="15"/>
      <c r="PZC244" s="15"/>
      <c r="PZD244" s="15"/>
      <c r="PZE244" s="15"/>
      <c r="PZF244" s="15"/>
      <c r="PZG244" s="15"/>
      <c r="PZH244" s="15"/>
      <c r="PZI244" s="15"/>
      <c r="PZJ244" s="15"/>
      <c r="PZK244" s="10"/>
      <c r="PZL244" s="10"/>
      <c r="PZM244" s="21"/>
      <c r="PZN244" s="21"/>
      <c r="PZQ244" s="21"/>
      <c r="PZR244" s="15"/>
      <c r="PZS244" s="15"/>
      <c r="PZT244" s="15"/>
      <c r="PZU244" s="15"/>
      <c r="PZV244" s="15"/>
      <c r="PZW244" s="15"/>
      <c r="PZX244" s="15"/>
      <c r="PZY244" s="15"/>
      <c r="PZZ244" s="15"/>
      <c r="QAA244" s="15"/>
      <c r="QAB244" s="10"/>
      <c r="QAC244" s="10"/>
      <c r="QAD244" s="21"/>
      <c r="QAE244" s="21"/>
      <c r="QAH244" s="21"/>
      <c r="QAI244" s="15"/>
      <c r="QAJ244" s="15"/>
      <c r="QAK244" s="15"/>
      <c r="QAL244" s="15"/>
      <c r="QAM244" s="15"/>
      <c r="QAN244" s="15"/>
      <c r="QAO244" s="15"/>
      <c r="QAP244" s="15"/>
      <c r="QAQ244" s="15"/>
      <c r="QAR244" s="15"/>
      <c r="QAS244" s="10"/>
      <c r="QAT244" s="10"/>
      <c r="QAU244" s="21"/>
      <c r="QAV244" s="21"/>
      <c r="QAY244" s="21"/>
      <c r="QAZ244" s="15"/>
      <c r="QBA244" s="15"/>
      <c r="QBB244" s="15"/>
      <c r="QBC244" s="15"/>
      <c r="QBD244" s="15"/>
      <c r="QBE244" s="15"/>
      <c r="QBF244" s="15"/>
      <c r="QBG244" s="15"/>
      <c r="QBH244" s="15"/>
      <c r="QBI244" s="15"/>
      <c r="QBJ244" s="10"/>
      <c r="QBK244" s="10"/>
      <c r="QBL244" s="21"/>
      <c r="QBM244" s="21"/>
      <c r="QBP244" s="21"/>
      <c r="QBQ244" s="15"/>
      <c r="QBR244" s="15"/>
      <c r="QBS244" s="15"/>
      <c r="QBT244" s="15"/>
      <c r="QBU244" s="15"/>
      <c r="QBV244" s="15"/>
      <c r="QBW244" s="15"/>
      <c r="QBX244" s="15"/>
      <c r="QBY244" s="15"/>
      <c r="QBZ244" s="15"/>
      <c r="QCA244" s="10"/>
      <c r="QCB244" s="10"/>
      <c r="QCC244" s="21"/>
      <c r="QCD244" s="21"/>
      <c r="QCG244" s="21"/>
      <c r="QCH244" s="15"/>
      <c r="QCI244" s="15"/>
      <c r="QCJ244" s="15"/>
      <c r="QCK244" s="15"/>
      <c r="QCL244" s="15"/>
      <c r="QCM244" s="15"/>
      <c r="QCN244" s="15"/>
      <c r="QCO244" s="15"/>
      <c r="QCP244" s="15"/>
      <c r="QCQ244" s="15"/>
      <c r="QCR244" s="10"/>
      <c r="QCS244" s="10"/>
      <c r="QCT244" s="21"/>
      <c r="QCU244" s="21"/>
      <c r="QCX244" s="21"/>
      <c r="QCY244" s="15"/>
      <c r="QCZ244" s="15"/>
      <c r="QDA244" s="15"/>
      <c r="QDB244" s="15"/>
      <c r="QDC244" s="15"/>
      <c r="QDD244" s="15"/>
      <c r="QDE244" s="15"/>
      <c r="QDF244" s="15"/>
      <c r="QDG244" s="15"/>
      <c r="QDH244" s="15"/>
      <c r="QDI244" s="10"/>
      <c r="QDJ244" s="10"/>
      <c r="QDK244" s="21"/>
      <c r="QDL244" s="21"/>
      <c r="QDO244" s="21"/>
      <c r="QDP244" s="15"/>
      <c r="QDQ244" s="15"/>
      <c r="QDR244" s="15"/>
      <c r="QDS244" s="15"/>
      <c r="QDT244" s="15"/>
      <c r="QDU244" s="15"/>
      <c r="QDV244" s="15"/>
      <c r="QDW244" s="15"/>
      <c r="QDX244" s="15"/>
      <c r="QDY244" s="15"/>
      <c r="QDZ244" s="10"/>
      <c r="QEA244" s="10"/>
      <c r="QEB244" s="21"/>
      <c r="QEC244" s="21"/>
      <c r="QEF244" s="21"/>
      <c r="QEG244" s="15"/>
      <c r="QEH244" s="15"/>
      <c r="QEI244" s="15"/>
      <c r="QEJ244" s="15"/>
      <c r="QEK244" s="15"/>
      <c r="QEL244" s="15"/>
      <c r="QEM244" s="15"/>
      <c r="QEN244" s="15"/>
      <c r="QEO244" s="15"/>
      <c r="QEP244" s="15"/>
      <c r="QEQ244" s="10"/>
      <c r="QER244" s="10"/>
      <c r="QES244" s="21"/>
      <c r="QET244" s="21"/>
      <c r="QEW244" s="21"/>
      <c r="QEX244" s="15"/>
      <c r="QEY244" s="15"/>
      <c r="QEZ244" s="15"/>
      <c r="QFA244" s="15"/>
      <c r="QFB244" s="15"/>
      <c r="QFC244" s="15"/>
      <c r="QFD244" s="15"/>
      <c r="QFE244" s="15"/>
      <c r="QFF244" s="15"/>
      <c r="QFG244" s="15"/>
      <c r="QFH244" s="10"/>
      <c r="QFI244" s="10"/>
      <c r="QFJ244" s="21"/>
      <c r="QFK244" s="21"/>
      <c r="QFN244" s="21"/>
      <c r="QFO244" s="15"/>
      <c r="QFP244" s="15"/>
      <c r="QFQ244" s="15"/>
      <c r="QFR244" s="15"/>
      <c r="QFS244" s="15"/>
      <c r="QFT244" s="15"/>
      <c r="QFU244" s="15"/>
      <c r="QFV244" s="15"/>
      <c r="QFW244" s="15"/>
      <c r="QFX244" s="15"/>
      <c r="QFY244" s="10"/>
      <c r="QFZ244" s="10"/>
      <c r="QGA244" s="21"/>
      <c r="QGB244" s="21"/>
      <c r="QGE244" s="21"/>
      <c r="QGF244" s="15"/>
      <c r="QGG244" s="15"/>
      <c r="QGH244" s="15"/>
      <c r="QGI244" s="15"/>
      <c r="QGJ244" s="15"/>
      <c r="QGK244" s="15"/>
      <c r="QGL244" s="15"/>
      <c r="QGM244" s="15"/>
      <c r="QGN244" s="15"/>
      <c r="QGO244" s="15"/>
      <c r="QGP244" s="10"/>
      <c r="QGQ244" s="10"/>
      <c r="QGR244" s="21"/>
      <c r="QGS244" s="21"/>
      <c r="QGV244" s="21"/>
      <c r="QGW244" s="15"/>
      <c r="QGX244" s="15"/>
      <c r="QGY244" s="15"/>
      <c r="QGZ244" s="15"/>
      <c r="QHA244" s="15"/>
      <c r="QHB244" s="15"/>
      <c r="QHC244" s="15"/>
      <c r="QHD244" s="15"/>
      <c r="QHE244" s="15"/>
      <c r="QHF244" s="15"/>
      <c r="QHG244" s="10"/>
      <c r="QHH244" s="10"/>
      <c r="QHI244" s="21"/>
      <c r="QHJ244" s="21"/>
      <c r="QHM244" s="21"/>
      <c r="QHN244" s="15"/>
      <c r="QHO244" s="15"/>
      <c r="QHP244" s="15"/>
      <c r="QHQ244" s="15"/>
      <c r="QHR244" s="15"/>
      <c r="QHS244" s="15"/>
      <c r="QHT244" s="15"/>
      <c r="QHU244" s="15"/>
      <c r="QHV244" s="15"/>
      <c r="QHW244" s="15"/>
      <c r="QHX244" s="10"/>
      <c r="QHY244" s="10"/>
      <c r="QHZ244" s="21"/>
      <c r="QIA244" s="21"/>
      <c r="QID244" s="21"/>
      <c r="QIE244" s="15"/>
      <c r="QIF244" s="15"/>
      <c r="QIG244" s="15"/>
      <c r="QIH244" s="15"/>
      <c r="QII244" s="15"/>
      <c r="QIJ244" s="15"/>
      <c r="QIK244" s="15"/>
      <c r="QIL244" s="15"/>
      <c r="QIM244" s="15"/>
      <c r="QIN244" s="15"/>
      <c r="QIO244" s="10"/>
      <c r="QIP244" s="10"/>
      <c r="QIQ244" s="21"/>
      <c r="QIR244" s="21"/>
      <c r="QIU244" s="21"/>
      <c r="QIV244" s="15"/>
      <c r="QIW244" s="15"/>
      <c r="QIX244" s="15"/>
      <c r="QIY244" s="15"/>
      <c r="QIZ244" s="15"/>
      <c r="QJA244" s="15"/>
      <c r="QJB244" s="15"/>
      <c r="QJC244" s="15"/>
      <c r="QJD244" s="15"/>
      <c r="QJE244" s="15"/>
      <c r="QJF244" s="10"/>
      <c r="QJG244" s="10"/>
      <c r="QJH244" s="21"/>
      <c r="QJI244" s="21"/>
      <c r="QJL244" s="21"/>
      <c r="QJM244" s="15"/>
      <c r="QJN244" s="15"/>
      <c r="QJO244" s="15"/>
      <c r="QJP244" s="15"/>
      <c r="QJQ244" s="15"/>
      <c r="QJR244" s="15"/>
      <c r="QJS244" s="15"/>
      <c r="QJT244" s="15"/>
      <c r="QJU244" s="15"/>
      <c r="QJV244" s="15"/>
      <c r="QJW244" s="10"/>
      <c r="QJX244" s="10"/>
      <c r="QJY244" s="21"/>
      <c r="QJZ244" s="21"/>
      <c r="QKC244" s="21"/>
      <c r="QKD244" s="15"/>
      <c r="QKE244" s="15"/>
      <c r="QKF244" s="15"/>
      <c r="QKG244" s="15"/>
      <c r="QKH244" s="15"/>
      <c r="QKI244" s="15"/>
      <c r="QKJ244" s="15"/>
      <c r="QKK244" s="15"/>
      <c r="QKL244" s="15"/>
      <c r="QKM244" s="15"/>
      <c r="QKN244" s="10"/>
      <c r="QKO244" s="10"/>
      <c r="QKP244" s="21"/>
      <c r="QKQ244" s="21"/>
      <c r="QKT244" s="21"/>
      <c r="QKU244" s="15"/>
      <c r="QKV244" s="15"/>
      <c r="QKW244" s="15"/>
      <c r="QKX244" s="15"/>
      <c r="QKY244" s="15"/>
      <c r="QKZ244" s="15"/>
      <c r="QLA244" s="15"/>
      <c r="QLB244" s="15"/>
      <c r="QLC244" s="15"/>
      <c r="QLD244" s="15"/>
      <c r="QLE244" s="10"/>
      <c r="QLF244" s="10"/>
      <c r="QLG244" s="21"/>
      <c r="QLH244" s="21"/>
      <c r="QLK244" s="21"/>
      <c r="QLL244" s="15"/>
      <c r="QLM244" s="15"/>
      <c r="QLN244" s="15"/>
      <c r="QLO244" s="15"/>
      <c r="QLP244" s="15"/>
      <c r="QLQ244" s="15"/>
      <c r="QLR244" s="15"/>
      <c r="QLS244" s="15"/>
      <c r="QLT244" s="15"/>
      <c r="QLU244" s="15"/>
      <c r="QLV244" s="10"/>
      <c r="QLW244" s="10"/>
      <c r="QLX244" s="21"/>
      <c r="QLY244" s="21"/>
      <c r="QMB244" s="21"/>
      <c r="QMC244" s="15"/>
      <c r="QMD244" s="15"/>
      <c r="QME244" s="15"/>
      <c r="QMF244" s="15"/>
      <c r="QMG244" s="15"/>
      <c r="QMH244" s="15"/>
      <c r="QMI244" s="15"/>
      <c r="QMJ244" s="15"/>
      <c r="QMK244" s="15"/>
      <c r="QML244" s="15"/>
      <c r="QMM244" s="10"/>
      <c r="QMN244" s="10"/>
      <c r="QMO244" s="21"/>
      <c r="QMP244" s="21"/>
      <c r="QMS244" s="21"/>
      <c r="QMT244" s="15"/>
      <c r="QMU244" s="15"/>
      <c r="QMV244" s="15"/>
      <c r="QMW244" s="15"/>
      <c r="QMX244" s="15"/>
      <c r="QMY244" s="15"/>
      <c r="QMZ244" s="15"/>
      <c r="QNA244" s="15"/>
      <c r="QNB244" s="15"/>
      <c r="QNC244" s="15"/>
      <c r="QND244" s="10"/>
      <c r="QNE244" s="10"/>
      <c r="QNF244" s="21"/>
      <c r="QNG244" s="21"/>
      <c r="QNJ244" s="21"/>
      <c r="QNK244" s="15"/>
      <c r="QNL244" s="15"/>
      <c r="QNM244" s="15"/>
      <c r="QNN244" s="15"/>
      <c r="QNO244" s="15"/>
      <c r="QNP244" s="15"/>
      <c r="QNQ244" s="15"/>
      <c r="QNR244" s="15"/>
      <c r="QNS244" s="15"/>
      <c r="QNT244" s="15"/>
      <c r="QNU244" s="10"/>
      <c r="QNV244" s="10"/>
      <c r="QNW244" s="21"/>
      <c r="QNX244" s="21"/>
      <c r="QOA244" s="21"/>
      <c r="QOB244" s="15"/>
      <c r="QOC244" s="15"/>
      <c r="QOD244" s="15"/>
      <c r="QOE244" s="15"/>
      <c r="QOF244" s="15"/>
      <c r="QOG244" s="15"/>
      <c r="QOH244" s="15"/>
      <c r="QOI244" s="15"/>
      <c r="QOJ244" s="15"/>
      <c r="QOK244" s="15"/>
      <c r="QOL244" s="10"/>
      <c r="QOM244" s="10"/>
      <c r="QON244" s="21"/>
      <c r="QOO244" s="21"/>
      <c r="QOR244" s="21"/>
      <c r="QOS244" s="15"/>
      <c r="QOT244" s="15"/>
      <c r="QOU244" s="15"/>
      <c r="QOV244" s="15"/>
      <c r="QOW244" s="15"/>
      <c r="QOX244" s="15"/>
      <c r="QOY244" s="15"/>
      <c r="QOZ244" s="15"/>
      <c r="QPA244" s="15"/>
      <c r="QPB244" s="15"/>
      <c r="QPC244" s="10"/>
      <c r="QPD244" s="10"/>
      <c r="QPE244" s="21"/>
      <c r="QPF244" s="21"/>
      <c r="QPI244" s="21"/>
      <c r="QPJ244" s="15"/>
      <c r="QPK244" s="15"/>
      <c r="QPL244" s="15"/>
      <c r="QPM244" s="15"/>
      <c r="QPN244" s="15"/>
      <c r="QPO244" s="15"/>
      <c r="QPP244" s="15"/>
      <c r="QPQ244" s="15"/>
      <c r="QPR244" s="15"/>
      <c r="QPS244" s="15"/>
      <c r="QPT244" s="10"/>
      <c r="QPU244" s="10"/>
      <c r="QPV244" s="21"/>
      <c r="QPW244" s="21"/>
      <c r="QPZ244" s="21"/>
      <c r="QQA244" s="15"/>
      <c r="QQB244" s="15"/>
      <c r="QQC244" s="15"/>
      <c r="QQD244" s="15"/>
      <c r="QQE244" s="15"/>
      <c r="QQF244" s="15"/>
      <c r="QQG244" s="15"/>
      <c r="QQH244" s="15"/>
      <c r="QQI244" s="15"/>
      <c r="QQJ244" s="15"/>
      <c r="QQK244" s="10"/>
      <c r="QQL244" s="10"/>
      <c r="QQM244" s="21"/>
      <c r="QQN244" s="21"/>
      <c r="QQQ244" s="21"/>
      <c r="QQR244" s="15"/>
      <c r="QQS244" s="15"/>
      <c r="QQT244" s="15"/>
      <c r="QQU244" s="15"/>
      <c r="QQV244" s="15"/>
      <c r="QQW244" s="15"/>
      <c r="QQX244" s="15"/>
      <c r="QQY244" s="15"/>
      <c r="QQZ244" s="15"/>
      <c r="QRA244" s="15"/>
      <c r="QRB244" s="10"/>
      <c r="QRC244" s="10"/>
      <c r="QRD244" s="21"/>
      <c r="QRE244" s="21"/>
      <c r="QRH244" s="21"/>
      <c r="QRI244" s="15"/>
      <c r="QRJ244" s="15"/>
      <c r="QRK244" s="15"/>
      <c r="QRL244" s="15"/>
      <c r="QRM244" s="15"/>
      <c r="QRN244" s="15"/>
      <c r="QRO244" s="15"/>
      <c r="QRP244" s="15"/>
      <c r="QRQ244" s="15"/>
      <c r="QRR244" s="15"/>
      <c r="QRS244" s="10"/>
      <c r="QRT244" s="10"/>
      <c r="QRU244" s="21"/>
      <c r="QRV244" s="21"/>
      <c r="QRY244" s="21"/>
      <c r="QRZ244" s="15"/>
      <c r="QSA244" s="15"/>
      <c r="QSB244" s="15"/>
      <c r="QSC244" s="15"/>
      <c r="QSD244" s="15"/>
      <c r="QSE244" s="15"/>
      <c r="QSF244" s="15"/>
      <c r="QSG244" s="15"/>
      <c r="QSH244" s="15"/>
      <c r="QSI244" s="15"/>
      <c r="QSJ244" s="10"/>
      <c r="QSK244" s="10"/>
      <c r="QSL244" s="21"/>
      <c r="QSM244" s="21"/>
      <c r="QSP244" s="21"/>
      <c r="QSQ244" s="15"/>
      <c r="QSR244" s="15"/>
      <c r="QSS244" s="15"/>
      <c r="QST244" s="15"/>
      <c r="QSU244" s="15"/>
      <c r="QSV244" s="15"/>
      <c r="QSW244" s="15"/>
      <c r="QSX244" s="15"/>
      <c r="QSY244" s="15"/>
      <c r="QSZ244" s="15"/>
      <c r="QTA244" s="10"/>
      <c r="QTB244" s="10"/>
      <c r="QTC244" s="21"/>
      <c r="QTD244" s="21"/>
      <c r="QTG244" s="21"/>
      <c r="QTH244" s="15"/>
      <c r="QTI244" s="15"/>
      <c r="QTJ244" s="15"/>
      <c r="QTK244" s="15"/>
      <c r="QTL244" s="15"/>
      <c r="QTM244" s="15"/>
      <c r="QTN244" s="15"/>
      <c r="QTO244" s="15"/>
      <c r="QTP244" s="15"/>
      <c r="QTQ244" s="15"/>
      <c r="QTR244" s="10"/>
      <c r="QTS244" s="10"/>
      <c r="QTT244" s="21"/>
      <c r="QTU244" s="21"/>
      <c r="QTX244" s="21"/>
      <c r="QTY244" s="15"/>
      <c r="QTZ244" s="15"/>
      <c r="QUA244" s="15"/>
      <c r="QUB244" s="15"/>
      <c r="QUC244" s="15"/>
      <c r="QUD244" s="15"/>
      <c r="QUE244" s="15"/>
      <c r="QUF244" s="15"/>
      <c r="QUG244" s="15"/>
      <c r="QUH244" s="15"/>
      <c r="QUI244" s="10"/>
      <c r="QUJ244" s="10"/>
      <c r="QUK244" s="21"/>
      <c r="QUL244" s="21"/>
      <c r="QUO244" s="21"/>
      <c r="QUP244" s="15"/>
      <c r="QUQ244" s="15"/>
      <c r="QUR244" s="15"/>
      <c r="QUS244" s="15"/>
      <c r="QUT244" s="15"/>
      <c r="QUU244" s="15"/>
      <c r="QUV244" s="15"/>
      <c r="QUW244" s="15"/>
      <c r="QUX244" s="15"/>
      <c r="QUY244" s="15"/>
      <c r="QUZ244" s="10"/>
      <c r="QVA244" s="10"/>
      <c r="QVB244" s="21"/>
      <c r="QVC244" s="21"/>
      <c r="QVF244" s="21"/>
      <c r="QVG244" s="15"/>
      <c r="QVH244" s="15"/>
      <c r="QVI244" s="15"/>
      <c r="QVJ244" s="15"/>
      <c r="QVK244" s="15"/>
      <c r="QVL244" s="15"/>
      <c r="QVM244" s="15"/>
      <c r="QVN244" s="15"/>
      <c r="QVO244" s="15"/>
      <c r="QVP244" s="15"/>
      <c r="QVQ244" s="10"/>
      <c r="QVR244" s="10"/>
      <c r="QVS244" s="21"/>
      <c r="QVT244" s="21"/>
      <c r="QVW244" s="21"/>
      <c r="QVX244" s="15"/>
      <c r="QVY244" s="15"/>
      <c r="QVZ244" s="15"/>
      <c r="QWA244" s="15"/>
      <c r="QWB244" s="15"/>
      <c r="QWC244" s="15"/>
      <c r="QWD244" s="15"/>
      <c r="QWE244" s="15"/>
      <c r="QWF244" s="15"/>
      <c r="QWG244" s="15"/>
      <c r="QWH244" s="10"/>
      <c r="QWI244" s="10"/>
      <c r="QWJ244" s="21"/>
      <c r="QWK244" s="21"/>
      <c r="QWN244" s="21"/>
      <c r="QWO244" s="15"/>
      <c r="QWP244" s="15"/>
      <c r="QWQ244" s="15"/>
      <c r="QWR244" s="15"/>
      <c r="QWS244" s="15"/>
      <c r="QWT244" s="15"/>
      <c r="QWU244" s="15"/>
      <c r="QWV244" s="15"/>
      <c r="QWW244" s="15"/>
      <c r="QWX244" s="15"/>
      <c r="QWY244" s="10"/>
      <c r="QWZ244" s="10"/>
      <c r="QXA244" s="21"/>
      <c r="QXB244" s="21"/>
      <c r="QXE244" s="21"/>
      <c r="QXF244" s="15"/>
      <c r="QXG244" s="15"/>
      <c r="QXH244" s="15"/>
      <c r="QXI244" s="15"/>
      <c r="QXJ244" s="15"/>
      <c r="QXK244" s="15"/>
      <c r="QXL244" s="15"/>
      <c r="QXM244" s="15"/>
      <c r="QXN244" s="15"/>
      <c r="QXO244" s="15"/>
      <c r="QXP244" s="10"/>
      <c r="QXQ244" s="10"/>
      <c r="QXR244" s="21"/>
      <c r="QXS244" s="21"/>
      <c r="QXV244" s="21"/>
      <c r="QXW244" s="15"/>
      <c r="QXX244" s="15"/>
      <c r="QXY244" s="15"/>
      <c r="QXZ244" s="15"/>
      <c r="QYA244" s="15"/>
      <c r="QYB244" s="15"/>
      <c r="QYC244" s="15"/>
      <c r="QYD244" s="15"/>
      <c r="QYE244" s="15"/>
      <c r="QYF244" s="15"/>
      <c r="QYG244" s="10"/>
      <c r="QYH244" s="10"/>
      <c r="QYI244" s="21"/>
      <c r="QYJ244" s="21"/>
      <c r="QYM244" s="21"/>
      <c r="QYN244" s="15"/>
      <c r="QYO244" s="15"/>
      <c r="QYP244" s="15"/>
      <c r="QYQ244" s="15"/>
      <c r="QYR244" s="15"/>
      <c r="QYS244" s="15"/>
      <c r="QYT244" s="15"/>
      <c r="QYU244" s="15"/>
      <c r="QYV244" s="15"/>
      <c r="QYW244" s="15"/>
      <c r="QYX244" s="10"/>
      <c r="QYY244" s="10"/>
      <c r="QYZ244" s="21"/>
      <c r="QZA244" s="21"/>
      <c r="QZD244" s="21"/>
      <c r="QZE244" s="15"/>
      <c r="QZF244" s="15"/>
      <c r="QZG244" s="15"/>
      <c r="QZH244" s="15"/>
      <c r="QZI244" s="15"/>
      <c r="QZJ244" s="15"/>
      <c r="QZK244" s="15"/>
      <c r="QZL244" s="15"/>
      <c r="QZM244" s="15"/>
      <c r="QZN244" s="15"/>
      <c r="QZO244" s="10"/>
      <c r="QZP244" s="10"/>
      <c r="QZQ244" s="21"/>
      <c r="QZR244" s="21"/>
      <c r="QZU244" s="21"/>
      <c r="QZV244" s="15"/>
      <c r="QZW244" s="15"/>
      <c r="QZX244" s="15"/>
      <c r="QZY244" s="15"/>
      <c r="QZZ244" s="15"/>
      <c r="RAA244" s="15"/>
      <c r="RAB244" s="15"/>
      <c r="RAC244" s="15"/>
      <c r="RAD244" s="15"/>
      <c r="RAE244" s="15"/>
      <c r="RAF244" s="10"/>
      <c r="RAG244" s="10"/>
      <c r="RAH244" s="21"/>
      <c r="RAI244" s="21"/>
      <c r="RAL244" s="21"/>
      <c r="RAM244" s="15"/>
      <c r="RAN244" s="15"/>
      <c r="RAO244" s="15"/>
      <c r="RAP244" s="15"/>
      <c r="RAQ244" s="15"/>
      <c r="RAR244" s="15"/>
      <c r="RAS244" s="15"/>
      <c r="RAT244" s="15"/>
      <c r="RAU244" s="15"/>
      <c r="RAV244" s="15"/>
      <c r="RAW244" s="10"/>
      <c r="RAX244" s="10"/>
      <c r="RAY244" s="21"/>
      <c r="RAZ244" s="21"/>
      <c r="RBC244" s="21"/>
      <c r="RBD244" s="15"/>
      <c r="RBE244" s="15"/>
      <c r="RBF244" s="15"/>
      <c r="RBG244" s="15"/>
      <c r="RBH244" s="15"/>
      <c r="RBI244" s="15"/>
      <c r="RBJ244" s="15"/>
      <c r="RBK244" s="15"/>
      <c r="RBL244" s="15"/>
      <c r="RBM244" s="15"/>
      <c r="RBN244" s="10"/>
      <c r="RBO244" s="10"/>
      <c r="RBP244" s="21"/>
      <c r="RBQ244" s="21"/>
      <c r="RBT244" s="21"/>
      <c r="RBU244" s="15"/>
      <c r="RBV244" s="15"/>
      <c r="RBW244" s="15"/>
      <c r="RBX244" s="15"/>
      <c r="RBY244" s="15"/>
      <c r="RBZ244" s="15"/>
      <c r="RCA244" s="15"/>
      <c r="RCB244" s="15"/>
      <c r="RCC244" s="15"/>
      <c r="RCD244" s="15"/>
      <c r="RCE244" s="10"/>
      <c r="RCF244" s="10"/>
      <c r="RCG244" s="21"/>
      <c r="RCH244" s="21"/>
      <c r="RCK244" s="21"/>
      <c r="RCL244" s="15"/>
      <c r="RCM244" s="15"/>
      <c r="RCN244" s="15"/>
      <c r="RCO244" s="15"/>
      <c r="RCP244" s="15"/>
      <c r="RCQ244" s="15"/>
      <c r="RCR244" s="15"/>
      <c r="RCS244" s="15"/>
      <c r="RCT244" s="15"/>
      <c r="RCU244" s="15"/>
      <c r="RCV244" s="10"/>
      <c r="RCW244" s="10"/>
      <c r="RCX244" s="21"/>
      <c r="RCY244" s="21"/>
      <c r="RDB244" s="21"/>
      <c r="RDC244" s="15"/>
      <c r="RDD244" s="15"/>
      <c r="RDE244" s="15"/>
      <c r="RDF244" s="15"/>
      <c r="RDG244" s="15"/>
      <c r="RDH244" s="15"/>
      <c r="RDI244" s="15"/>
      <c r="RDJ244" s="15"/>
      <c r="RDK244" s="15"/>
      <c r="RDL244" s="15"/>
      <c r="RDM244" s="10"/>
      <c r="RDN244" s="10"/>
      <c r="RDO244" s="21"/>
      <c r="RDP244" s="21"/>
      <c r="RDS244" s="21"/>
      <c r="RDT244" s="15"/>
      <c r="RDU244" s="15"/>
      <c r="RDV244" s="15"/>
      <c r="RDW244" s="15"/>
      <c r="RDX244" s="15"/>
      <c r="RDY244" s="15"/>
      <c r="RDZ244" s="15"/>
      <c r="REA244" s="15"/>
      <c r="REB244" s="15"/>
      <c r="REC244" s="15"/>
      <c r="RED244" s="10"/>
      <c r="REE244" s="10"/>
      <c r="REF244" s="21"/>
      <c r="REG244" s="21"/>
      <c r="REJ244" s="21"/>
      <c r="REK244" s="15"/>
      <c r="REL244" s="15"/>
      <c r="REM244" s="15"/>
      <c r="REN244" s="15"/>
      <c r="REO244" s="15"/>
      <c r="REP244" s="15"/>
      <c r="REQ244" s="15"/>
      <c r="RER244" s="15"/>
      <c r="RES244" s="15"/>
      <c r="RET244" s="15"/>
      <c r="REU244" s="10"/>
      <c r="REV244" s="10"/>
      <c r="REW244" s="21"/>
      <c r="REX244" s="21"/>
      <c r="RFA244" s="21"/>
      <c r="RFB244" s="15"/>
      <c r="RFC244" s="15"/>
      <c r="RFD244" s="15"/>
      <c r="RFE244" s="15"/>
      <c r="RFF244" s="15"/>
      <c r="RFG244" s="15"/>
      <c r="RFH244" s="15"/>
      <c r="RFI244" s="15"/>
      <c r="RFJ244" s="15"/>
      <c r="RFK244" s="15"/>
      <c r="RFL244" s="10"/>
      <c r="RFM244" s="10"/>
      <c r="RFN244" s="21"/>
      <c r="RFO244" s="21"/>
      <c r="RFR244" s="21"/>
      <c r="RFS244" s="15"/>
      <c r="RFT244" s="15"/>
      <c r="RFU244" s="15"/>
      <c r="RFV244" s="15"/>
      <c r="RFW244" s="15"/>
      <c r="RFX244" s="15"/>
      <c r="RFY244" s="15"/>
      <c r="RFZ244" s="15"/>
      <c r="RGA244" s="15"/>
      <c r="RGB244" s="15"/>
      <c r="RGC244" s="10"/>
      <c r="RGD244" s="10"/>
      <c r="RGE244" s="21"/>
      <c r="RGF244" s="21"/>
      <c r="RGI244" s="21"/>
      <c r="RGJ244" s="15"/>
      <c r="RGK244" s="15"/>
      <c r="RGL244" s="15"/>
      <c r="RGM244" s="15"/>
      <c r="RGN244" s="15"/>
      <c r="RGO244" s="15"/>
      <c r="RGP244" s="15"/>
      <c r="RGQ244" s="15"/>
      <c r="RGR244" s="15"/>
      <c r="RGS244" s="15"/>
      <c r="RGT244" s="10"/>
      <c r="RGU244" s="10"/>
      <c r="RGV244" s="21"/>
      <c r="RGW244" s="21"/>
      <c r="RGZ244" s="21"/>
      <c r="RHA244" s="15"/>
      <c r="RHB244" s="15"/>
      <c r="RHC244" s="15"/>
      <c r="RHD244" s="15"/>
      <c r="RHE244" s="15"/>
      <c r="RHF244" s="15"/>
      <c r="RHG244" s="15"/>
      <c r="RHH244" s="15"/>
      <c r="RHI244" s="15"/>
      <c r="RHJ244" s="15"/>
      <c r="RHK244" s="10"/>
      <c r="RHL244" s="10"/>
      <c r="RHM244" s="21"/>
      <c r="RHN244" s="21"/>
      <c r="RHQ244" s="21"/>
      <c r="RHR244" s="15"/>
      <c r="RHS244" s="15"/>
      <c r="RHT244" s="15"/>
      <c r="RHU244" s="15"/>
      <c r="RHV244" s="15"/>
      <c r="RHW244" s="15"/>
      <c r="RHX244" s="15"/>
      <c r="RHY244" s="15"/>
      <c r="RHZ244" s="15"/>
      <c r="RIA244" s="15"/>
      <c r="RIB244" s="10"/>
      <c r="RIC244" s="10"/>
      <c r="RID244" s="21"/>
      <c r="RIE244" s="21"/>
      <c r="RIH244" s="21"/>
      <c r="RII244" s="15"/>
      <c r="RIJ244" s="15"/>
      <c r="RIK244" s="15"/>
      <c r="RIL244" s="15"/>
      <c r="RIM244" s="15"/>
      <c r="RIN244" s="15"/>
      <c r="RIO244" s="15"/>
      <c r="RIP244" s="15"/>
      <c r="RIQ244" s="15"/>
      <c r="RIR244" s="15"/>
      <c r="RIS244" s="10"/>
      <c r="RIT244" s="10"/>
      <c r="RIU244" s="21"/>
      <c r="RIV244" s="21"/>
      <c r="RIY244" s="21"/>
      <c r="RIZ244" s="15"/>
      <c r="RJA244" s="15"/>
      <c r="RJB244" s="15"/>
      <c r="RJC244" s="15"/>
      <c r="RJD244" s="15"/>
      <c r="RJE244" s="15"/>
      <c r="RJF244" s="15"/>
      <c r="RJG244" s="15"/>
      <c r="RJH244" s="15"/>
      <c r="RJI244" s="15"/>
      <c r="RJJ244" s="10"/>
      <c r="RJK244" s="10"/>
      <c r="RJL244" s="21"/>
      <c r="RJM244" s="21"/>
      <c r="RJP244" s="21"/>
      <c r="RJQ244" s="15"/>
      <c r="RJR244" s="15"/>
      <c r="RJS244" s="15"/>
      <c r="RJT244" s="15"/>
      <c r="RJU244" s="15"/>
      <c r="RJV244" s="15"/>
      <c r="RJW244" s="15"/>
      <c r="RJX244" s="15"/>
      <c r="RJY244" s="15"/>
      <c r="RJZ244" s="15"/>
      <c r="RKA244" s="10"/>
      <c r="RKB244" s="10"/>
      <c r="RKC244" s="21"/>
      <c r="RKD244" s="21"/>
      <c r="RKG244" s="21"/>
      <c r="RKH244" s="15"/>
      <c r="RKI244" s="15"/>
      <c r="RKJ244" s="15"/>
      <c r="RKK244" s="15"/>
      <c r="RKL244" s="15"/>
      <c r="RKM244" s="15"/>
      <c r="RKN244" s="15"/>
      <c r="RKO244" s="15"/>
      <c r="RKP244" s="15"/>
      <c r="RKQ244" s="15"/>
      <c r="RKR244" s="10"/>
      <c r="RKS244" s="10"/>
      <c r="RKT244" s="21"/>
      <c r="RKU244" s="21"/>
      <c r="RKX244" s="21"/>
      <c r="RKY244" s="15"/>
      <c r="RKZ244" s="15"/>
      <c r="RLA244" s="15"/>
      <c r="RLB244" s="15"/>
      <c r="RLC244" s="15"/>
      <c r="RLD244" s="15"/>
      <c r="RLE244" s="15"/>
      <c r="RLF244" s="15"/>
      <c r="RLG244" s="15"/>
      <c r="RLH244" s="15"/>
      <c r="RLI244" s="10"/>
      <c r="RLJ244" s="10"/>
      <c r="RLK244" s="21"/>
      <c r="RLL244" s="21"/>
      <c r="RLO244" s="21"/>
      <c r="RLP244" s="15"/>
      <c r="RLQ244" s="15"/>
      <c r="RLR244" s="15"/>
      <c r="RLS244" s="15"/>
      <c r="RLT244" s="15"/>
      <c r="RLU244" s="15"/>
      <c r="RLV244" s="15"/>
      <c r="RLW244" s="15"/>
      <c r="RLX244" s="15"/>
      <c r="RLY244" s="15"/>
      <c r="RLZ244" s="10"/>
      <c r="RMA244" s="10"/>
      <c r="RMB244" s="21"/>
      <c r="RMC244" s="21"/>
      <c r="RMF244" s="21"/>
      <c r="RMG244" s="15"/>
      <c r="RMH244" s="15"/>
      <c r="RMI244" s="15"/>
      <c r="RMJ244" s="15"/>
      <c r="RMK244" s="15"/>
      <c r="RML244" s="15"/>
      <c r="RMM244" s="15"/>
      <c r="RMN244" s="15"/>
      <c r="RMO244" s="15"/>
      <c r="RMP244" s="15"/>
      <c r="RMQ244" s="10"/>
      <c r="RMR244" s="10"/>
      <c r="RMS244" s="21"/>
      <c r="RMT244" s="21"/>
      <c r="RMW244" s="21"/>
      <c r="RMX244" s="15"/>
      <c r="RMY244" s="15"/>
      <c r="RMZ244" s="15"/>
      <c r="RNA244" s="15"/>
      <c r="RNB244" s="15"/>
      <c r="RNC244" s="15"/>
      <c r="RND244" s="15"/>
      <c r="RNE244" s="15"/>
      <c r="RNF244" s="15"/>
      <c r="RNG244" s="15"/>
      <c r="RNH244" s="10"/>
      <c r="RNI244" s="10"/>
      <c r="RNJ244" s="21"/>
      <c r="RNK244" s="21"/>
      <c r="RNN244" s="21"/>
      <c r="RNO244" s="15"/>
      <c r="RNP244" s="15"/>
      <c r="RNQ244" s="15"/>
      <c r="RNR244" s="15"/>
      <c r="RNS244" s="15"/>
      <c r="RNT244" s="15"/>
      <c r="RNU244" s="15"/>
      <c r="RNV244" s="15"/>
      <c r="RNW244" s="15"/>
      <c r="RNX244" s="15"/>
      <c r="RNY244" s="10"/>
      <c r="RNZ244" s="10"/>
      <c r="ROA244" s="21"/>
      <c r="ROB244" s="21"/>
      <c r="ROE244" s="21"/>
      <c r="ROF244" s="15"/>
      <c r="ROG244" s="15"/>
      <c r="ROH244" s="15"/>
      <c r="ROI244" s="15"/>
      <c r="ROJ244" s="15"/>
      <c r="ROK244" s="15"/>
      <c r="ROL244" s="15"/>
      <c r="ROM244" s="15"/>
      <c r="RON244" s="15"/>
      <c r="ROO244" s="15"/>
      <c r="ROP244" s="10"/>
      <c r="ROQ244" s="10"/>
      <c r="ROR244" s="21"/>
      <c r="ROS244" s="21"/>
      <c r="ROV244" s="21"/>
      <c r="ROW244" s="15"/>
      <c r="ROX244" s="15"/>
      <c r="ROY244" s="15"/>
      <c r="ROZ244" s="15"/>
      <c r="RPA244" s="15"/>
      <c r="RPB244" s="15"/>
      <c r="RPC244" s="15"/>
      <c r="RPD244" s="15"/>
      <c r="RPE244" s="15"/>
      <c r="RPF244" s="15"/>
      <c r="RPG244" s="10"/>
      <c r="RPH244" s="10"/>
      <c r="RPI244" s="21"/>
      <c r="RPJ244" s="21"/>
      <c r="RPM244" s="21"/>
      <c r="RPN244" s="15"/>
      <c r="RPO244" s="15"/>
      <c r="RPP244" s="15"/>
      <c r="RPQ244" s="15"/>
      <c r="RPR244" s="15"/>
      <c r="RPS244" s="15"/>
      <c r="RPT244" s="15"/>
      <c r="RPU244" s="15"/>
      <c r="RPV244" s="15"/>
      <c r="RPW244" s="15"/>
      <c r="RPX244" s="10"/>
      <c r="RPY244" s="10"/>
      <c r="RPZ244" s="21"/>
      <c r="RQA244" s="21"/>
      <c r="RQD244" s="21"/>
      <c r="RQE244" s="15"/>
      <c r="RQF244" s="15"/>
      <c r="RQG244" s="15"/>
      <c r="RQH244" s="15"/>
      <c r="RQI244" s="15"/>
      <c r="RQJ244" s="15"/>
      <c r="RQK244" s="15"/>
      <c r="RQL244" s="15"/>
      <c r="RQM244" s="15"/>
      <c r="RQN244" s="15"/>
      <c r="RQO244" s="10"/>
      <c r="RQP244" s="10"/>
      <c r="RQQ244" s="21"/>
      <c r="RQR244" s="21"/>
      <c r="RQU244" s="21"/>
      <c r="RQV244" s="15"/>
      <c r="RQW244" s="15"/>
      <c r="RQX244" s="15"/>
      <c r="RQY244" s="15"/>
      <c r="RQZ244" s="15"/>
      <c r="RRA244" s="15"/>
      <c r="RRB244" s="15"/>
      <c r="RRC244" s="15"/>
      <c r="RRD244" s="15"/>
      <c r="RRE244" s="15"/>
      <c r="RRF244" s="10"/>
      <c r="RRG244" s="10"/>
      <c r="RRH244" s="21"/>
      <c r="RRI244" s="21"/>
      <c r="RRL244" s="21"/>
      <c r="RRM244" s="15"/>
      <c r="RRN244" s="15"/>
      <c r="RRO244" s="15"/>
      <c r="RRP244" s="15"/>
      <c r="RRQ244" s="15"/>
      <c r="RRR244" s="15"/>
      <c r="RRS244" s="15"/>
      <c r="RRT244" s="15"/>
      <c r="RRU244" s="15"/>
      <c r="RRV244" s="15"/>
      <c r="RRW244" s="10"/>
      <c r="RRX244" s="10"/>
      <c r="RRY244" s="21"/>
      <c r="RRZ244" s="21"/>
      <c r="RSC244" s="21"/>
      <c r="RSD244" s="15"/>
      <c r="RSE244" s="15"/>
      <c r="RSF244" s="15"/>
      <c r="RSG244" s="15"/>
      <c r="RSH244" s="15"/>
      <c r="RSI244" s="15"/>
      <c r="RSJ244" s="15"/>
      <c r="RSK244" s="15"/>
      <c r="RSL244" s="15"/>
      <c r="RSM244" s="15"/>
      <c r="RSN244" s="10"/>
      <c r="RSO244" s="10"/>
      <c r="RSP244" s="21"/>
      <c r="RSQ244" s="21"/>
      <c r="RST244" s="21"/>
      <c r="RSU244" s="15"/>
      <c r="RSV244" s="15"/>
      <c r="RSW244" s="15"/>
      <c r="RSX244" s="15"/>
      <c r="RSY244" s="15"/>
      <c r="RSZ244" s="15"/>
      <c r="RTA244" s="15"/>
      <c r="RTB244" s="15"/>
      <c r="RTC244" s="15"/>
      <c r="RTD244" s="15"/>
      <c r="RTE244" s="10"/>
      <c r="RTF244" s="10"/>
      <c r="RTG244" s="21"/>
      <c r="RTH244" s="21"/>
      <c r="RTK244" s="21"/>
      <c r="RTL244" s="15"/>
      <c r="RTM244" s="15"/>
      <c r="RTN244" s="15"/>
      <c r="RTO244" s="15"/>
      <c r="RTP244" s="15"/>
      <c r="RTQ244" s="15"/>
      <c r="RTR244" s="15"/>
      <c r="RTS244" s="15"/>
      <c r="RTT244" s="15"/>
      <c r="RTU244" s="15"/>
      <c r="RTV244" s="10"/>
      <c r="RTW244" s="10"/>
      <c r="RTX244" s="21"/>
      <c r="RTY244" s="21"/>
      <c r="RUB244" s="21"/>
      <c r="RUC244" s="15"/>
      <c r="RUD244" s="15"/>
      <c r="RUE244" s="15"/>
      <c r="RUF244" s="15"/>
      <c r="RUG244" s="15"/>
      <c r="RUH244" s="15"/>
      <c r="RUI244" s="15"/>
      <c r="RUJ244" s="15"/>
      <c r="RUK244" s="15"/>
      <c r="RUL244" s="15"/>
      <c r="RUM244" s="10"/>
      <c r="RUN244" s="10"/>
      <c r="RUO244" s="21"/>
      <c r="RUP244" s="21"/>
      <c r="RUS244" s="21"/>
      <c r="RUT244" s="15"/>
      <c r="RUU244" s="15"/>
      <c r="RUV244" s="15"/>
      <c r="RUW244" s="15"/>
      <c r="RUX244" s="15"/>
      <c r="RUY244" s="15"/>
      <c r="RUZ244" s="15"/>
      <c r="RVA244" s="15"/>
      <c r="RVB244" s="15"/>
      <c r="RVC244" s="15"/>
      <c r="RVD244" s="10"/>
      <c r="RVE244" s="10"/>
      <c r="RVF244" s="21"/>
      <c r="RVG244" s="21"/>
      <c r="RVJ244" s="21"/>
      <c r="RVK244" s="15"/>
      <c r="RVL244" s="15"/>
      <c r="RVM244" s="15"/>
      <c r="RVN244" s="15"/>
      <c r="RVO244" s="15"/>
      <c r="RVP244" s="15"/>
      <c r="RVQ244" s="15"/>
      <c r="RVR244" s="15"/>
      <c r="RVS244" s="15"/>
      <c r="RVT244" s="15"/>
      <c r="RVU244" s="10"/>
      <c r="RVV244" s="10"/>
      <c r="RVW244" s="21"/>
      <c r="RVX244" s="21"/>
      <c r="RWA244" s="21"/>
      <c r="RWB244" s="15"/>
      <c r="RWC244" s="15"/>
      <c r="RWD244" s="15"/>
      <c r="RWE244" s="15"/>
      <c r="RWF244" s="15"/>
      <c r="RWG244" s="15"/>
      <c r="RWH244" s="15"/>
      <c r="RWI244" s="15"/>
      <c r="RWJ244" s="15"/>
      <c r="RWK244" s="15"/>
      <c r="RWL244" s="10"/>
      <c r="RWM244" s="10"/>
      <c r="RWN244" s="21"/>
      <c r="RWO244" s="21"/>
      <c r="RWR244" s="21"/>
      <c r="RWS244" s="15"/>
      <c r="RWT244" s="15"/>
      <c r="RWU244" s="15"/>
      <c r="RWV244" s="15"/>
      <c r="RWW244" s="15"/>
      <c r="RWX244" s="15"/>
      <c r="RWY244" s="15"/>
      <c r="RWZ244" s="15"/>
      <c r="RXA244" s="15"/>
      <c r="RXB244" s="15"/>
      <c r="RXC244" s="10"/>
      <c r="RXD244" s="10"/>
      <c r="RXE244" s="21"/>
      <c r="RXF244" s="21"/>
      <c r="RXI244" s="21"/>
      <c r="RXJ244" s="15"/>
      <c r="RXK244" s="15"/>
      <c r="RXL244" s="15"/>
      <c r="RXM244" s="15"/>
      <c r="RXN244" s="15"/>
      <c r="RXO244" s="15"/>
      <c r="RXP244" s="15"/>
      <c r="RXQ244" s="15"/>
      <c r="RXR244" s="15"/>
      <c r="RXS244" s="15"/>
      <c r="RXT244" s="10"/>
      <c r="RXU244" s="10"/>
      <c r="RXV244" s="21"/>
      <c r="RXW244" s="21"/>
      <c r="RXZ244" s="21"/>
      <c r="RYA244" s="15"/>
      <c r="RYB244" s="15"/>
      <c r="RYC244" s="15"/>
      <c r="RYD244" s="15"/>
      <c r="RYE244" s="15"/>
      <c r="RYF244" s="15"/>
      <c r="RYG244" s="15"/>
      <c r="RYH244" s="15"/>
      <c r="RYI244" s="15"/>
      <c r="RYJ244" s="15"/>
      <c r="RYK244" s="10"/>
      <c r="RYL244" s="10"/>
      <c r="RYM244" s="21"/>
      <c r="RYN244" s="21"/>
      <c r="RYQ244" s="21"/>
      <c r="RYR244" s="15"/>
      <c r="RYS244" s="15"/>
      <c r="RYT244" s="15"/>
      <c r="RYU244" s="15"/>
      <c r="RYV244" s="15"/>
      <c r="RYW244" s="15"/>
      <c r="RYX244" s="15"/>
      <c r="RYY244" s="15"/>
      <c r="RYZ244" s="15"/>
      <c r="RZA244" s="15"/>
      <c r="RZB244" s="10"/>
      <c r="RZC244" s="10"/>
      <c r="RZD244" s="21"/>
      <c r="RZE244" s="21"/>
      <c r="RZH244" s="21"/>
      <c r="RZI244" s="15"/>
      <c r="RZJ244" s="15"/>
      <c r="RZK244" s="15"/>
      <c r="RZL244" s="15"/>
      <c r="RZM244" s="15"/>
      <c r="RZN244" s="15"/>
      <c r="RZO244" s="15"/>
      <c r="RZP244" s="15"/>
      <c r="RZQ244" s="15"/>
      <c r="RZR244" s="15"/>
      <c r="RZS244" s="10"/>
      <c r="RZT244" s="10"/>
      <c r="RZU244" s="21"/>
      <c r="RZV244" s="21"/>
      <c r="RZY244" s="21"/>
      <c r="RZZ244" s="15"/>
      <c r="SAA244" s="15"/>
      <c r="SAB244" s="15"/>
      <c r="SAC244" s="15"/>
      <c r="SAD244" s="15"/>
      <c r="SAE244" s="15"/>
      <c r="SAF244" s="15"/>
      <c r="SAG244" s="15"/>
      <c r="SAH244" s="15"/>
      <c r="SAI244" s="15"/>
      <c r="SAJ244" s="10"/>
      <c r="SAK244" s="10"/>
      <c r="SAL244" s="21"/>
      <c r="SAM244" s="21"/>
      <c r="SAP244" s="21"/>
      <c r="SAQ244" s="15"/>
      <c r="SAR244" s="15"/>
      <c r="SAS244" s="15"/>
      <c r="SAT244" s="15"/>
      <c r="SAU244" s="15"/>
      <c r="SAV244" s="15"/>
      <c r="SAW244" s="15"/>
      <c r="SAX244" s="15"/>
      <c r="SAY244" s="15"/>
      <c r="SAZ244" s="15"/>
      <c r="SBA244" s="10"/>
      <c r="SBB244" s="10"/>
      <c r="SBC244" s="21"/>
      <c r="SBD244" s="21"/>
      <c r="SBG244" s="21"/>
      <c r="SBH244" s="15"/>
      <c r="SBI244" s="15"/>
      <c r="SBJ244" s="15"/>
      <c r="SBK244" s="15"/>
      <c r="SBL244" s="15"/>
      <c r="SBM244" s="15"/>
      <c r="SBN244" s="15"/>
      <c r="SBO244" s="15"/>
      <c r="SBP244" s="15"/>
      <c r="SBQ244" s="15"/>
      <c r="SBR244" s="10"/>
      <c r="SBS244" s="10"/>
      <c r="SBT244" s="21"/>
      <c r="SBU244" s="21"/>
      <c r="SBX244" s="21"/>
      <c r="SBY244" s="15"/>
      <c r="SBZ244" s="15"/>
      <c r="SCA244" s="15"/>
      <c r="SCB244" s="15"/>
      <c r="SCC244" s="15"/>
      <c r="SCD244" s="15"/>
      <c r="SCE244" s="15"/>
      <c r="SCF244" s="15"/>
      <c r="SCG244" s="15"/>
      <c r="SCH244" s="15"/>
      <c r="SCI244" s="10"/>
      <c r="SCJ244" s="10"/>
      <c r="SCK244" s="21"/>
      <c r="SCL244" s="21"/>
      <c r="SCO244" s="21"/>
      <c r="SCP244" s="15"/>
      <c r="SCQ244" s="15"/>
      <c r="SCR244" s="15"/>
      <c r="SCS244" s="15"/>
      <c r="SCT244" s="15"/>
      <c r="SCU244" s="15"/>
      <c r="SCV244" s="15"/>
      <c r="SCW244" s="15"/>
      <c r="SCX244" s="15"/>
      <c r="SCY244" s="15"/>
      <c r="SCZ244" s="10"/>
      <c r="SDA244" s="10"/>
      <c r="SDB244" s="21"/>
      <c r="SDC244" s="21"/>
      <c r="SDF244" s="21"/>
      <c r="SDG244" s="15"/>
      <c r="SDH244" s="15"/>
      <c r="SDI244" s="15"/>
      <c r="SDJ244" s="15"/>
      <c r="SDK244" s="15"/>
      <c r="SDL244" s="15"/>
      <c r="SDM244" s="15"/>
      <c r="SDN244" s="15"/>
      <c r="SDO244" s="15"/>
      <c r="SDP244" s="15"/>
      <c r="SDQ244" s="10"/>
      <c r="SDR244" s="10"/>
      <c r="SDS244" s="21"/>
      <c r="SDT244" s="21"/>
      <c r="SDW244" s="21"/>
      <c r="SDX244" s="15"/>
      <c r="SDY244" s="15"/>
      <c r="SDZ244" s="15"/>
      <c r="SEA244" s="15"/>
      <c r="SEB244" s="15"/>
      <c r="SEC244" s="15"/>
      <c r="SED244" s="15"/>
      <c r="SEE244" s="15"/>
      <c r="SEF244" s="15"/>
      <c r="SEG244" s="15"/>
      <c r="SEH244" s="10"/>
      <c r="SEI244" s="10"/>
      <c r="SEJ244" s="21"/>
      <c r="SEK244" s="21"/>
      <c r="SEN244" s="21"/>
      <c r="SEO244" s="15"/>
      <c r="SEP244" s="15"/>
      <c r="SEQ244" s="15"/>
      <c r="SER244" s="15"/>
      <c r="SES244" s="15"/>
      <c r="SET244" s="15"/>
      <c r="SEU244" s="15"/>
      <c r="SEV244" s="15"/>
      <c r="SEW244" s="15"/>
      <c r="SEX244" s="15"/>
      <c r="SEY244" s="10"/>
      <c r="SEZ244" s="10"/>
      <c r="SFA244" s="21"/>
      <c r="SFB244" s="21"/>
      <c r="SFE244" s="21"/>
      <c r="SFF244" s="15"/>
      <c r="SFG244" s="15"/>
      <c r="SFH244" s="15"/>
      <c r="SFI244" s="15"/>
      <c r="SFJ244" s="15"/>
      <c r="SFK244" s="15"/>
      <c r="SFL244" s="15"/>
      <c r="SFM244" s="15"/>
      <c r="SFN244" s="15"/>
      <c r="SFO244" s="15"/>
      <c r="SFP244" s="10"/>
      <c r="SFQ244" s="10"/>
      <c r="SFR244" s="21"/>
      <c r="SFS244" s="21"/>
      <c r="SFV244" s="21"/>
      <c r="SFW244" s="15"/>
      <c r="SFX244" s="15"/>
      <c r="SFY244" s="15"/>
      <c r="SFZ244" s="15"/>
      <c r="SGA244" s="15"/>
      <c r="SGB244" s="15"/>
      <c r="SGC244" s="15"/>
      <c r="SGD244" s="15"/>
      <c r="SGE244" s="15"/>
      <c r="SGF244" s="15"/>
      <c r="SGG244" s="10"/>
      <c r="SGH244" s="10"/>
      <c r="SGI244" s="21"/>
      <c r="SGJ244" s="21"/>
      <c r="SGM244" s="21"/>
      <c r="SGN244" s="15"/>
      <c r="SGO244" s="15"/>
      <c r="SGP244" s="15"/>
      <c r="SGQ244" s="15"/>
      <c r="SGR244" s="15"/>
      <c r="SGS244" s="15"/>
      <c r="SGT244" s="15"/>
      <c r="SGU244" s="15"/>
      <c r="SGV244" s="15"/>
      <c r="SGW244" s="15"/>
      <c r="SGX244" s="10"/>
      <c r="SGY244" s="10"/>
      <c r="SGZ244" s="21"/>
      <c r="SHA244" s="21"/>
      <c r="SHD244" s="21"/>
      <c r="SHE244" s="15"/>
      <c r="SHF244" s="15"/>
      <c r="SHG244" s="15"/>
      <c r="SHH244" s="15"/>
      <c r="SHI244" s="15"/>
      <c r="SHJ244" s="15"/>
      <c r="SHK244" s="15"/>
      <c r="SHL244" s="15"/>
      <c r="SHM244" s="15"/>
      <c r="SHN244" s="15"/>
      <c r="SHO244" s="10"/>
      <c r="SHP244" s="10"/>
      <c r="SHQ244" s="21"/>
      <c r="SHR244" s="21"/>
      <c r="SHU244" s="21"/>
      <c r="SHV244" s="15"/>
      <c r="SHW244" s="15"/>
      <c r="SHX244" s="15"/>
      <c r="SHY244" s="15"/>
      <c r="SHZ244" s="15"/>
      <c r="SIA244" s="15"/>
      <c r="SIB244" s="15"/>
      <c r="SIC244" s="15"/>
      <c r="SID244" s="15"/>
      <c r="SIE244" s="15"/>
      <c r="SIF244" s="10"/>
      <c r="SIG244" s="10"/>
      <c r="SIH244" s="21"/>
      <c r="SII244" s="21"/>
      <c r="SIL244" s="21"/>
      <c r="SIM244" s="15"/>
      <c r="SIN244" s="15"/>
      <c r="SIO244" s="15"/>
      <c r="SIP244" s="15"/>
      <c r="SIQ244" s="15"/>
      <c r="SIR244" s="15"/>
      <c r="SIS244" s="15"/>
      <c r="SIT244" s="15"/>
      <c r="SIU244" s="15"/>
      <c r="SIV244" s="15"/>
      <c r="SIW244" s="10"/>
      <c r="SIX244" s="10"/>
      <c r="SIY244" s="21"/>
      <c r="SIZ244" s="21"/>
      <c r="SJC244" s="21"/>
      <c r="SJD244" s="15"/>
      <c r="SJE244" s="15"/>
      <c r="SJF244" s="15"/>
      <c r="SJG244" s="15"/>
      <c r="SJH244" s="15"/>
      <c r="SJI244" s="15"/>
      <c r="SJJ244" s="15"/>
      <c r="SJK244" s="15"/>
      <c r="SJL244" s="15"/>
      <c r="SJM244" s="15"/>
      <c r="SJN244" s="10"/>
      <c r="SJO244" s="10"/>
      <c r="SJP244" s="21"/>
      <c r="SJQ244" s="21"/>
      <c r="SJT244" s="21"/>
      <c r="SJU244" s="15"/>
      <c r="SJV244" s="15"/>
      <c r="SJW244" s="15"/>
      <c r="SJX244" s="15"/>
      <c r="SJY244" s="15"/>
      <c r="SJZ244" s="15"/>
      <c r="SKA244" s="15"/>
      <c r="SKB244" s="15"/>
      <c r="SKC244" s="15"/>
      <c r="SKD244" s="15"/>
      <c r="SKE244" s="10"/>
      <c r="SKF244" s="10"/>
      <c r="SKG244" s="21"/>
      <c r="SKH244" s="21"/>
      <c r="SKK244" s="21"/>
      <c r="SKL244" s="15"/>
      <c r="SKM244" s="15"/>
      <c r="SKN244" s="15"/>
      <c r="SKO244" s="15"/>
      <c r="SKP244" s="15"/>
      <c r="SKQ244" s="15"/>
      <c r="SKR244" s="15"/>
      <c r="SKS244" s="15"/>
      <c r="SKT244" s="15"/>
      <c r="SKU244" s="15"/>
      <c r="SKV244" s="10"/>
      <c r="SKW244" s="10"/>
      <c r="SKX244" s="21"/>
      <c r="SKY244" s="21"/>
      <c r="SLB244" s="21"/>
      <c r="SLC244" s="15"/>
      <c r="SLD244" s="15"/>
      <c r="SLE244" s="15"/>
      <c r="SLF244" s="15"/>
      <c r="SLG244" s="15"/>
      <c r="SLH244" s="15"/>
      <c r="SLI244" s="15"/>
      <c r="SLJ244" s="15"/>
      <c r="SLK244" s="15"/>
      <c r="SLL244" s="15"/>
      <c r="SLM244" s="10"/>
      <c r="SLN244" s="10"/>
      <c r="SLO244" s="21"/>
      <c r="SLP244" s="21"/>
      <c r="SLS244" s="21"/>
      <c r="SLT244" s="15"/>
      <c r="SLU244" s="15"/>
      <c r="SLV244" s="15"/>
      <c r="SLW244" s="15"/>
      <c r="SLX244" s="15"/>
      <c r="SLY244" s="15"/>
      <c r="SLZ244" s="15"/>
      <c r="SMA244" s="15"/>
      <c r="SMB244" s="15"/>
      <c r="SMC244" s="15"/>
      <c r="SMD244" s="10"/>
      <c r="SME244" s="10"/>
      <c r="SMF244" s="21"/>
      <c r="SMG244" s="21"/>
      <c r="SMJ244" s="21"/>
      <c r="SMK244" s="15"/>
      <c r="SML244" s="15"/>
      <c r="SMM244" s="15"/>
      <c r="SMN244" s="15"/>
      <c r="SMO244" s="15"/>
      <c r="SMP244" s="15"/>
      <c r="SMQ244" s="15"/>
      <c r="SMR244" s="15"/>
      <c r="SMS244" s="15"/>
      <c r="SMT244" s="15"/>
      <c r="SMU244" s="10"/>
      <c r="SMV244" s="10"/>
      <c r="SMW244" s="21"/>
      <c r="SMX244" s="21"/>
      <c r="SNA244" s="21"/>
      <c r="SNB244" s="15"/>
      <c r="SNC244" s="15"/>
      <c r="SND244" s="15"/>
      <c r="SNE244" s="15"/>
      <c r="SNF244" s="15"/>
      <c r="SNG244" s="15"/>
      <c r="SNH244" s="15"/>
      <c r="SNI244" s="15"/>
      <c r="SNJ244" s="15"/>
      <c r="SNK244" s="15"/>
      <c r="SNL244" s="10"/>
      <c r="SNM244" s="10"/>
      <c r="SNN244" s="21"/>
      <c r="SNO244" s="21"/>
      <c r="SNR244" s="21"/>
      <c r="SNS244" s="15"/>
      <c r="SNT244" s="15"/>
      <c r="SNU244" s="15"/>
      <c r="SNV244" s="15"/>
      <c r="SNW244" s="15"/>
      <c r="SNX244" s="15"/>
      <c r="SNY244" s="15"/>
      <c r="SNZ244" s="15"/>
      <c r="SOA244" s="15"/>
      <c r="SOB244" s="15"/>
      <c r="SOC244" s="10"/>
      <c r="SOD244" s="10"/>
      <c r="SOE244" s="21"/>
      <c r="SOF244" s="21"/>
      <c r="SOI244" s="21"/>
      <c r="SOJ244" s="15"/>
      <c r="SOK244" s="15"/>
      <c r="SOL244" s="15"/>
      <c r="SOM244" s="15"/>
      <c r="SON244" s="15"/>
      <c r="SOO244" s="15"/>
      <c r="SOP244" s="15"/>
      <c r="SOQ244" s="15"/>
      <c r="SOR244" s="15"/>
      <c r="SOS244" s="15"/>
      <c r="SOT244" s="10"/>
      <c r="SOU244" s="10"/>
      <c r="SOV244" s="21"/>
      <c r="SOW244" s="21"/>
      <c r="SOZ244" s="21"/>
      <c r="SPA244" s="15"/>
      <c r="SPB244" s="15"/>
      <c r="SPC244" s="15"/>
      <c r="SPD244" s="15"/>
      <c r="SPE244" s="15"/>
      <c r="SPF244" s="15"/>
      <c r="SPG244" s="15"/>
      <c r="SPH244" s="15"/>
      <c r="SPI244" s="15"/>
      <c r="SPJ244" s="15"/>
      <c r="SPK244" s="10"/>
      <c r="SPL244" s="10"/>
      <c r="SPM244" s="21"/>
      <c r="SPN244" s="21"/>
      <c r="SPQ244" s="21"/>
      <c r="SPR244" s="15"/>
      <c r="SPS244" s="15"/>
      <c r="SPT244" s="15"/>
      <c r="SPU244" s="15"/>
      <c r="SPV244" s="15"/>
      <c r="SPW244" s="15"/>
      <c r="SPX244" s="15"/>
      <c r="SPY244" s="15"/>
      <c r="SPZ244" s="15"/>
      <c r="SQA244" s="15"/>
      <c r="SQB244" s="10"/>
      <c r="SQC244" s="10"/>
      <c r="SQD244" s="21"/>
      <c r="SQE244" s="21"/>
      <c r="SQH244" s="21"/>
      <c r="SQI244" s="15"/>
      <c r="SQJ244" s="15"/>
      <c r="SQK244" s="15"/>
      <c r="SQL244" s="15"/>
      <c r="SQM244" s="15"/>
      <c r="SQN244" s="15"/>
      <c r="SQO244" s="15"/>
      <c r="SQP244" s="15"/>
      <c r="SQQ244" s="15"/>
      <c r="SQR244" s="15"/>
      <c r="SQS244" s="10"/>
      <c r="SQT244" s="10"/>
      <c r="SQU244" s="21"/>
      <c r="SQV244" s="21"/>
      <c r="SQY244" s="21"/>
      <c r="SQZ244" s="15"/>
      <c r="SRA244" s="15"/>
      <c r="SRB244" s="15"/>
      <c r="SRC244" s="15"/>
      <c r="SRD244" s="15"/>
      <c r="SRE244" s="15"/>
      <c r="SRF244" s="15"/>
      <c r="SRG244" s="15"/>
      <c r="SRH244" s="15"/>
      <c r="SRI244" s="15"/>
      <c r="SRJ244" s="10"/>
      <c r="SRK244" s="10"/>
      <c r="SRL244" s="21"/>
      <c r="SRM244" s="21"/>
      <c r="SRP244" s="21"/>
      <c r="SRQ244" s="15"/>
      <c r="SRR244" s="15"/>
      <c r="SRS244" s="15"/>
      <c r="SRT244" s="15"/>
      <c r="SRU244" s="15"/>
      <c r="SRV244" s="15"/>
      <c r="SRW244" s="15"/>
      <c r="SRX244" s="15"/>
      <c r="SRY244" s="15"/>
      <c r="SRZ244" s="15"/>
      <c r="SSA244" s="10"/>
      <c r="SSB244" s="10"/>
      <c r="SSC244" s="21"/>
      <c r="SSD244" s="21"/>
      <c r="SSG244" s="21"/>
      <c r="SSH244" s="15"/>
      <c r="SSI244" s="15"/>
      <c r="SSJ244" s="15"/>
      <c r="SSK244" s="15"/>
      <c r="SSL244" s="15"/>
      <c r="SSM244" s="15"/>
      <c r="SSN244" s="15"/>
      <c r="SSO244" s="15"/>
      <c r="SSP244" s="15"/>
      <c r="SSQ244" s="15"/>
      <c r="SSR244" s="10"/>
      <c r="SSS244" s="10"/>
      <c r="SST244" s="21"/>
      <c r="SSU244" s="21"/>
      <c r="SSX244" s="21"/>
      <c r="SSY244" s="15"/>
      <c r="SSZ244" s="15"/>
      <c r="STA244" s="15"/>
      <c r="STB244" s="15"/>
      <c r="STC244" s="15"/>
      <c r="STD244" s="15"/>
      <c r="STE244" s="15"/>
      <c r="STF244" s="15"/>
      <c r="STG244" s="15"/>
      <c r="STH244" s="15"/>
      <c r="STI244" s="10"/>
      <c r="STJ244" s="10"/>
      <c r="STK244" s="21"/>
      <c r="STL244" s="21"/>
      <c r="STO244" s="21"/>
      <c r="STP244" s="15"/>
      <c r="STQ244" s="15"/>
      <c r="STR244" s="15"/>
      <c r="STS244" s="15"/>
      <c r="STT244" s="15"/>
      <c r="STU244" s="15"/>
      <c r="STV244" s="15"/>
      <c r="STW244" s="15"/>
      <c r="STX244" s="15"/>
      <c r="STY244" s="15"/>
      <c r="STZ244" s="10"/>
      <c r="SUA244" s="10"/>
      <c r="SUB244" s="21"/>
      <c r="SUC244" s="21"/>
      <c r="SUF244" s="21"/>
      <c r="SUG244" s="15"/>
      <c r="SUH244" s="15"/>
      <c r="SUI244" s="15"/>
      <c r="SUJ244" s="15"/>
      <c r="SUK244" s="15"/>
      <c r="SUL244" s="15"/>
      <c r="SUM244" s="15"/>
      <c r="SUN244" s="15"/>
      <c r="SUO244" s="15"/>
      <c r="SUP244" s="15"/>
      <c r="SUQ244" s="10"/>
      <c r="SUR244" s="10"/>
      <c r="SUS244" s="21"/>
      <c r="SUT244" s="21"/>
      <c r="SUW244" s="21"/>
      <c r="SUX244" s="15"/>
      <c r="SUY244" s="15"/>
      <c r="SUZ244" s="15"/>
      <c r="SVA244" s="15"/>
      <c r="SVB244" s="15"/>
      <c r="SVC244" s="15"/>
      <c r="SVD244" s="15"/>
      <c r="SVE244" s="15"/>
      <c r="SVF244" s="15"/>
      <c r="SVG244" s="15"/>
      <c r="SVH244" s="10"/>
      <c r="SVI244" s="10"/>
      <c r="SVJ244" s="21"/>
      <c r="SVK244" s="21"/>
      <c r="SVN244" s="21"/>
      <c r="SVO244" s="15"/>
      <c r="SVP244" s="15"/>
      <c r="SVQ244" s="15"/>
      <c r="SVR244" s="15"/>
      <c r="SVS244" s="15"/>
      <c r="SVT244" s="15"/>
      <c r="SVU244" s="15"/>
      <c r="SVV244" s="15"/>
      <c r="SVW244" s="15"/>
      <c r="SVX244" s="15"/>
      <c r="SVY244" s="10"/>
      <c r="SVZ244" s="10"/>
      <c r="SWA244" s="21"/>
      <c r="SWB244" s="21"/>
      <c r="SWE244" s="21"/>
      <c r="SWF244" s="15"/>
      <c r="SWG244" s="15"/>
      <c r="SWH244" s="15"/>
      <c r="SWI244" s="15"/>
      <c r="SWJ244" s="15"/>
      <c r="SWK244" s="15"/>
      <c r="SWL244" s="15"/>
      <c r="SWM244" s="15"/>
      <c r="SWN244" s="15"/>
      <c r="SWO244" s="15"/>
      <c r="SWP244" s="10"/>
      <c r="SWQ244" s="10"/>
      <c r="SWR244" s="21"/>
      <c r="SWS244" s="21"/>
      <c r="SWV244" s="21"/>
      <c r="SWW244" s="15"/>
      <c r="SWX244" s="15"/>
      <c r="SWY244" s="15"/>
      <c r="SWZ244" s="15"/>
      <c r="SXA244" s="15"/>
      <c r="SXB244" s="15"/>
      <c r="SXC244" s="15"/>
      <c r="SXD244" s="15"/>
      <c r="SXE244" s="15"/>
      <c r="SXF244" s="15"/>
      <c r="SXG244" s="10"/>
      <c r="SXH244" s="10"/>
      <c r="SXI244" s="21"/>
      <c r="SXJ244" s="21"/>
      <c r="SXM244" s="21"/>
      <c r="SXN244" s="15"/>
      <c r="SXO244" s="15"/>
      <c r="SXP244" s="15"/>
      <c r="SXQ244" s="15"/>
      <c r="SXR244" s="15"/>
      <c r="SXS244" s="15"/>
      <c r="SXT244" s="15"/>
      <c r="SXU244" s="15"/>
      <c r="SXV244" s="15"/>
      <c r="SXW244" s="15"/>
      <c r="SXX244" s="10"/>
      <c r="SXY244" s="10"/>
      <c r="SXZ244" s="21"/>
      <c r="SYA244" s="21"/>
      <c r="SYD244" s="21"/>
      <c r="SYE244" s="15"/>
      <c r="SYF244" s="15"/>
      <c r="SYG244" s="15"/>
      <c r="SYH244" s="15"/>
      <c r="SYI244" s="15"/>
      <c r="SYJ244" s="15"/>
      <c r="SYK244" s="15"/>
      <c r="SYL244" s="15"/>
      <c r="SYM244" s="15"/>
      <c r="SYN244" s="15"/>
      <c r="SYO244" s="10"/>
      <c r="SYP244" s="10"/>
      <c r="SYQ244" s="21"/>
      <c r="SYR244" s="21"/>
      <c r="SYU244" s="21"/>
      <c r="SYV244" s="15"/>
      <c r="SYW244" s="15"/>
      <c r="SYX244" s="15"/>
      <c r="SYY244" s="15"/>
      <c r="SYZ244" s="15"/>
      <c r="SZA244" s="15"/>
      <c r="SZB244" s="15"/>
      <c r="SZC244" s="15"/>
      <c r="SZD244" s="15"/>
      <c r="SZE244" s="15"/>
      <c r="SZF244" s="10"/>
      <c r="SZG244" s="10"/>
      <c r="SZH244" s="21"/>
      <c r="SZI244" s="21"/>
      <c r="SZL244" s="21"/>
      <c r="SZM244" s="15"/>
      <c r="SZN244" s="15"/>
      <c r="SZO244" s="15"/>
      <c r="SZP244" s="15"/>
      <c r="SZQ244" s="15"/>
      <c r="SZR244" s="15"/>
      <c r="SZS244" s="15"/>
      <c r="SZT244" s="15"/>
      <c r="SZU244" s="15"/>
      <c r="SZV244" s="15"/>
      <c r="SZW244" s="10"/>
      <c r="SZX244" s="10"/>
      <c r="SZY244" s="21"/>
      <c r="SZZ244" s="21"/>
      <c r="TAC244" s="21"/>
      <c r="TAD244" s="15"/>
      <c r="TAE244" s="15"/>
      <c r="TAF244" s="15"/>
      <c r="TAG244" s="15"/>
      <c r="TAH244" s="15"/>
      <c r="TAI244" s="15"/>
      <c r="TAJ244" s="15"/>
      <c r="TAK244" s="15"/>
      <c r="TAL244" s="15"/>
      <c r="TAM244" s="15"/>
      <c r="TAN244" s="10"/>
      <c r="TAO244" s="10"/>
      <c r="TAP244" s="21"/>
      <c r="TAQ244" s="21"/>
      <c r="TAT244" s="21"/>
      <c r="TAU244" s="15"/>
      <c r="TAV244" s="15"/>
      <c r="TAW244" s="15"/>
      <c r="TAX244" s="15"/>
      <c r="TAY244" s="15"/>
      <c r="TAZ244" s="15"/>
      <c r="TBA244" s="15"/>
      <c r="TBB244" s="15"/>
      <c r="TBC244" s="15"/>
      <c r="TBD244" s="15"/>
      <c r="TBE244" s="10"/>
      <c r="TBF244" s="10"/>
      <c r="TBG244" s="21"/>
      <c r="TBH244" s="21"/>
      <c r="TBK244" s="21"/>
      <c r="TBL244" s="15"/>
      <c r="TBM244" s="15"/>
      <c r="TBN244" s="15"/>
      <c r="TBO244" s="15"/>
      <c r="TBP244" s="15"/>
      <c r="TBQ244" s="15"/>
      <c r="TBR244" s="15"/>
      <c r="TBS244" s="15"/>
      <c r="TBT244" s="15"/>
      <c r="TBU244" s="15"/>
      <c r="TBV244" s="10"/>
      <c r="TBW244" s="10"/>
      <c r="TBX244" s="21"/>
      <c r="TBY244" s="21"/>
      <c r="TCB244" s="21"/>
      <c r="TCC244" s="15"/>
      <c r="TCD244" s="15"/>
      <c r="TCE244" s="15"/>
      <c r="TCF244" s="15"/>
      <c r="TCG244" s="15"/>
      <c r="TCH244" s="15"/>
      <c r="TCI244" s="15"/>
      <c r="TCJ244" s="15"/>
      <c r="TCK244" s="15"/>
      <c r="TCL244" s="15"/>
      <c r="TCM244" s="10"/>
      <c r="TCN244" s="10"/>
      <c r="TCO244" s="21"/>
      <c r="TCP244" s="21"/>
      <c r="TCS244" s="21"/>
      <c r="TCT244" s="15"/>
      <c r="TCU244" s="15"/>
      <c r="TCV244" s="15"/>
      <c r="TCW244" s="15"/>
      <c r="TCX244" s="15"/>
      <c r="TCY244" s="15"/>
      <c r="TCZ244" s="15"/>
      <c r="TDA244" s="15"/>
      <c r="TDB244" s="15"/>
      <c r="TDC244" s="15"/>
      <c r="TDD244" s="10"/>
      <c r="TDE244" s="10"/>
      <c r="TDF244" s="21"/>
      <c r="TDG244" s="21"/>
      <c r="TDJ244" s="21"/>
      <c r="TDK244" s="15"/>
      <c r="TDL244" s="15"/>
      <c r="TDM244" s="15"/>
      <c r="TDN244" s="15"/>
      <c r="TDO244" s="15"/>
      <c r="TDP244" s="15"/>
      <c r="TDQ244" s="15"/>
      <c r="TDR244" s="15"/>
      <c r="TDS244" s="15"/>
      <c r="TDT244" s="15"/>
      <c r="TDU244" s="10"/>
      <c r="TDV244" s="10"/>
      <c r="TDW244" s="21"/>
      <c r="TDX244" s="21"/>
      <c r="TEA244" s="21"/>
      <c r="TEB244" s="15"/>
      <c r="TEC244" s="15"/>
      <c r="TED244" s="15"/>
      <c r="TEE244" s="15"/>
      <c r="TEF244" s="15"/>
      <c r="TEG244" s="15"/>
      <c r="TEH244" s="15"/>
      <c r="TEI244" s="15"/>
      <c r="TEJ244" s="15"/>
      <c r="TEK244" s="15"/>
      <c r="TEL244" s="10"/>
      <c r="TEM244" s="10"/>
      <c r="TEN244" s="21"/>
      <c r="TEO244" s="21"/>
      <c r="TER244" s="21"/>
      <c r="TES244" s="15"/>
      <c r="TET244" s="15"/>
      <c r="TEU244" s="15"/>
      <c r="TEV244" s="15"/>
      <c r="TEW244" s="15"/>
      <c r="TEX244" s="15"/>
      <c r="TEY244" s="15"/>
      <c r="TEZ244" s="15"/>
      <c r="TFA244" s="15"/>
      <c r="TFB244" s="15"/>
      <c r="TFC244" s="10"/>
      <c r="TFD244" s="10"/>
      <c r="TFE244" s="21"/>
      <c r="TFF244" s="21"/>
      <c r="TFI244" s="21"/>
      <c r="TFJ244" s="15"/>
      <c r="TFK244" s="15"/>
      <c r="TFL244" s="15"/>
      <c r="TFM244" s="15"/>
      <c r="TFN244" s="15"/>
      <c r="TFO244" s="15"/>
      <c r="TFP244" s="15"/>
      <c r="TFQ244" s="15"/>
      <c r="TFR244" s="15"/>
      <c r="TFS244" s="15"/>
      <c r="TFT244" s="10"/>
      <c r="TFU244" s="10"/>
      <c r="TFV244" s="21"/>
      <c r="TFW244" s="21"/>
      <c r="TFZ244" s="21"/>
      <c r="TGA244" s="15"/>
      <c r="TGB244" s="15"/>
      <c r="TGC244" s="15"/>
      <c r="TGD244" s="15"/>
      <c r="TGE244" s="15"/>
      <c r="TGF244" s="15"/>
      <c r="TGG244" s="15"/>
      <c r="TGH244" s="15"/>
      <c r="TGI244" s="15"/>
      <c r="TGJ244" s="15"/>
      <c r="TGK244" s="10"/>
      <c r="TGL244" s="10"/>
      <c r="TGM244" s="21"/>
      <c r="TGN244" s="21"/>
      <c r="TGQ244" s="21"/>
      <c r="TGR244" s="15"/>
      <c r="TGS244" s="15"/>
      <c r="TGT244" s="15"/>
      <c r="TGU244" s="15"/>
      <c r="TGV244" s="15"/>
      <c r="TGW244" s="15"/>
      <c r="TGX244" s="15"/>
      <c r="TGY244" s="15"/>
      <c r="TGZ244" s="15"/>
      <c r="THA244" s="15"/>
      <c r="THB244" s="10"/>
      <c r="THC244" s="10"/>
      <c r="THD244" s="21"/>
      <c r="THE244" s="21"/>
      <c r="THH244" s="21"/>
      <c r="THI244" s="15"/>
      <c r="THJ244" s="15"/>
      <c r="THK244" s="15"/>
      <c r="THL244" s="15"/>
      <c r="THM244" s="15"/>
      <c r="THN244" s="15"/>
      <c r="THO244" s="15"/>
      <c r="THP244" s="15"/>
      <c r="THQ244" s="15"/>
      <c r="THR244" s="15"/>
      <c r="THS244" s="10"/>
      <c r="THT244" s="10"/>
      <c r="THU244" s="21"/>
      <c r="THV244" s="21"/>
      <c r="THY244" s="21"/>
      <c r="THZ244" s="15"/>
      <c r="TIA244" s="15"/>
      <c r="TIB244" s="15"/>
      <c r="TIC244" s="15"/>
      <c r="TID244" s="15"/>
      <c r="TIE244" s="15"/>
      <c r="TIF244" s="15"/>
      <c r="TIG244" s="15"/>
      <c r="TIH244" s="15"/>
      <c r="TII244" s="15"/>
      <c r="TIJ244" s="10"/>
      <c r="TIK244" s="10"/>
      <c r="TIL244" s="21"/>
      <c r="TIM244" s="21"/>
      <c r="TIP244" s="21"/>
      <c r="TIQ244" s="15"/>
      <c r="TIR244" s="15"/>
      <c r="TIS244" s="15"/>
      <c r="TIT244" s="15"/>
      <c r="TIU244" s="15"/>
      <c r="TIV244" s="15"/>
      <c r="TIW244" s="15"/>
      <c r="TIX244" s="15"/>
      <c r="TIY244" s="15"/>
      <c r="TIZ244" s="15"/>
      <c r="TJA244" s="10"/>
      <c r="TJB244" s="10"/>
      <c r="TJC244" s="21"/>
      <c r="TJD244" s="21"/>
      <c r="TJG244" s="21"/>
      <c r="TJH244" s="15"/>
      <c r="TJI244" s="15"/>
      <c r="TJJ244" s="15"/>
      <c r="TJK244" s="15"/>
      <c r="TJL244" s="15"/>
      <c r="TJM244" s="15"/>
      <c r="TJN244" s="15"/>
      <c r="TJO244" s="15"/>
      <c r="TJP244" s="15"/>
      <c r="TJQ244" s="15"/>
      <c r="TJR244" s="10"/>
      <c r="TJS244" s="10"/>
      <c r="TJT244" s="21"/>
      <c r="TJU244" s="21"/>
      <c r="TJX244" s="21"/>
      <c r="TJY244" s="15"/>
      <c r="TJZ244" s="15"/>
      <c r="TKA244" s="15"/>
      <c r="TKB244" s="15"/>
      <c r="TKC244" s="15"/>
      <c r="TKD244" s="15"/>
      <c r="TKE244" s="15"/>
      <c r="TKF244" s="15"/>
      <c r="TKG244" s="15"/>
      <c r="TKH244" s="15"/>
      <c r="TKI244" s="10"/>
      <c r="TKJ244" s="10"/>
      <c r="TKK244" s="21"/>
      <c r="TKL244" s="21"/>
      <c r="TKO244" s="21"/>
      <c r="TKP244" s="15"/>
      <c r="TKQ244" s="15"/>
      <c r="TKR244" s="15"/>
      <c r="TKS244" s="15"/>
      <c r="TKT244" s="15"/>
      <c r="TKU244" s="15"/>
      <c r="TKV244" s="15"/>
      <c r="TKW244" s="15"/>
      <c r="TKX244" s="15"/>
      <c r="TKY244" s="15"/>
      <c r="TKZ244" s="10"/>
      <c r="TLA244" s="10"/>
      <c r="TLB244" s="21"/>
      <c r="TLC244" s="21"/>
      <c r="TLF244" s="21"/>
      <c r="TLG244" s="15"/>
      <c r="TLH244" s="15"/>
      <c r="TLI244" s="15"/>
      <c r="TLJ244" s="15"/>
      <c r="TLK244" s="15"/>
      <c r="TLL244" s="15"/>
      <c r="TLM244" s="15"/>
      <c r="TLN244" s="15"/>
      <c r="TLO244" s="15"/>
      <c r="TLP244" s="15"/>
      <c r="TLQ244" s="10"/>
      <c r="TLR244" s="10"/>
      <c r="TLS244" s="21"/>
      <c r="TLT244" s="21"/>
      <c r="TLW244" s="21"/>
      <c r="TLX244" s="15"/>
      <c r="TLY244" s="15"/>
      <c r="TLZ244" s="15"/>
      <c r="TMA244" s="15"/>
      <c r="TMB244" s="15"/>
      <c r="TMC244" s="15"/>
      <c r="TMD244" s="15"/>
      <c r="TME244" s="15"/>
      <c r="TMF244" s="15"/>
      <c r="TMG244" s="15"/>
      <c r="TMH244" s="10"/>
      <c r="TMI244" s="10"/>
      <c r="TMJ244" s="21"/>
      <c r="TMK244" s="21"/>
      <c r="TMN244" s="21"/>
      <c r="TMO244" s="15"/>
      <c r="TMP244" s="15"/>
      <c r="TMQ244" s="15"/>
      <c r="TMR244" s="15"/>
      <c r="TMS244" s="15"/>
      <c r="TMT244" s="15"/>
      <c r="TMU244" s="15"/>
      <c r="TMV244" s="15"/>
      <c r="TMW244" s="15"/>
      <c r="TMX244" s="15"/>
      <c r="TMY244" s="10"/>
      <c r="TMZ244" s="10"/>
      <c r="TNA244" s="21"/>
      <c r="TNB244" s="21"/>
      <c r="TNE244" s="21"/>
      <c r="TNF244" s="15"/>
      <c r="TNG244" s="15"/>
      <c r="TNH244" s="15"/>
      <c r="TNI244" s="15"/>
      <c r="TNJ244" s="15"/>
      <c r="TNK244" s="15"/>
      <c r="TNL244" s="15"/>
      <c r="TNM244" s="15"/>
      <c r="TNN244" s="15"/>
      <c r="TNO244" s="15"/>
      <c r="TNP244" s="10"/>
      <c r="TNQ244" s="10"/>
      <c r="TNR244" s="21"/>
      <c r="TNS244" s="21"/>
      <c r="TNV244" s="21"/>
      <c r="TNW244" s="15"/>
      <c r="TNX244" s="15"/>
      <c r="TNY244" s="15"/>
      <c r="TNZ244" s="15"/>
      <c r="TOA244" s="15"/>
      <c r="TOB244" s="15"/>
      <c r="TOC244" s="15"/>
      <c r="TOD244" s="15"/>
      <c r="TOE244" s="15"/>
      <c r="TOF244" s="15"/>
      <c r="TOG244" s="10"/>
      <c r="TOH244" s="10"/>
      <c r="TOI244" s="21"/>
      <c r="TOJ244" s="21"/>
      <c r="TOM244" s="21"/>
      <c r="TON244" s="15"/>
      <c r="TOO244" s="15"/>
      <c r="TOP244" s="15"/>
      <c r="TOQ244" s="15"/>
      <c r="TOR244" s="15"/>
      <c r="TOS244" s="15"/>
      <c r="TOT244" s="15"/>
      <c r="TOU244" s="15"/>
      <c r="TOV244" s="15"/>
      <c r="TOW244" s="15"/>
      <c r="TOX244" s="10"/>
      <c r="TOY244" s="10"/>
      <c r="TOZ244" s="21"/>
      <c r="TPA244" s="21"/>
      <c r="TPD244" s="21"/>
      <c r="TPE244" s="15"/>
      <c r="TPF244" s="15"/>
      <c r="TPG244" s="15"/>
      <c r="TPH244" s="15"/>
      <c r="TPI244" s="15"/>
      <c r="TPJ244" s="15"/>
      <c r="TPK244" s="15"/>
      <c r="TPL244" s="15"/>
      <c r="TPM244" s="15"/>
      <c r="TPN244" s="15"/>
      <c r="TPO244" s="10"/>
      <c r="TPP244" s="10"/>
      <c r="TPQ244" s="21"/>
      <c r="TPR244" s="21"/>
      <c r="TPU244" s="21"/>
      <c r="TPV244" s="15"/>
      <c r="TPW244" s="15"/>
      <c r="TPX244" s="15"/>
      <c r="TPY244" s="15"/>
      <c r="TPZ244" s="15"/>
      <c r="TQA244" s="15"/>
      <c r="TQB244" s="15"/>
      <c r="TQC244" s="15"/>
      <c r="TQD244" s="15"/>
      <c r="TQE244" s="15"/>
      <c r="TQF244" s="10"/>
      <c r="TQG244" s="10"/>
      <c r="TQH244" s="21"/>
      <c r="TQI244" s="21"/>
      <c r="TQL244" s="21"/>
      <c r="TQM244" s="15"/>
      <c r="TQN244" s="15"/>
      <c r="TQO244" s="15"/>
      <c r="TQP244" s="15"/>
      <c r="TQQ244" s="15"/>
      <c r="TQR244" s="15"/>
      <c r="TQS244" s="15"/>
      <c r="TQT244" s="15"/>
      <c r="TQU244" s="15"/>
      <c r="TQV244" s="15"/>
      <c r="TQW244" s="10"/>
      <c r="TQX244" s="10"/>
      <c r="TQY244" s="21"/>
      <c r="TQZ244" s="21"/>
      <c r="TRC244" s="21"/>
      <c r="TRD244" s="15"/>
      <c r="TRE244" s="15"/>
      <c r="TRF244" s="15"/>
      <c r="TRG244" s="15"/>
      <c r="TRH244" s="15"/>
      <c r="TRI244" s="15"/>
      <c r="TRJ244" s="15"/>
      <c r="TRK244" s="15"/>
      <c r="TRL244" s="15"/>
      <c r="TRM244" s="15"/>
      <c r="TRN244" s="10"/>
      <c r="TRO244" s="10"/>
      <c r="TRP244" s="21"/>
      <c r="TRQ244" s="21"/>
      <c r="TRT244" s="21"/>
      <c r="TRU244" s="15"/>
      <c r="TRV244" s="15"/>
      <c r="TRW244" s="15"/>
      <c r="TRX244" s="15"/>
      <c r="TRY244" s="15"/>
      <c r="TRZ244" s="15"/>
      <c r="TSA244" s="15"/>
      <c r="TSB244" s="15"/>
      <c r="TSC244" s="15"/>
      <c r="TSD244" s="15"/>
      <c r="TSE244" s="10"/>
      <c r="TSF244" s="10"/>
      <c r="TSG244" s="21"/>
      <c r="TSH244" s="21"/>
      <c r="TSK244" s="21"/>
      <c r="TSL244" s="15"/>
      <c r="TSM244" s="15"/>
      <c r="TSN244" s="15"/>
      <c r="TSO244" s="15"/>
      <c r="TSP244" s="15"/>
      <c r="TSQ244" s="15"/>
      <c r="TSR244" s="15"/>
      <c r="TSS244" s="15"/>
      <c r="TST244" s="15"/>
      <c r="TSU244" s="15"/>
      <c r="TSV244" s="10"/>
      <c r="TSW244" s="10"/>
      <c r="TSX244" s="21"/>
      <c r="TSY244" s="21"/>
      <c r="TTB244" s="21"/>
      <c r="TTC244" s="15"/>
      <c r="TTD244" s="15"/>
      <c r="TTE244" s="15"/>
      <c r="TTF244" s="15"/>
      <c r="TTG244" s="15"/>
      <c r="TTH244" s="15"/>
      <c r="TTI244" s="15"/>
      <c r="TTJ244" s="15"/>
      <c r="TTK244" s="15"/>
      <c r="TTL244" s="15"/>
      <c r="TTM244" s="10"/>
      <c r="TTN244" s="10"/>
      <c r="TTO244" s="21"/>
      <c r="TTP244" s="21"/>
      <c r="TTS244" s="21"/>
      <c r="TTT244" s="15"/>
      <c r="TTU244" s="15"/>
      <c r="TTV244" s="15"/>
      <c r="TTW244" s="15"/>
      <c r="TTX244" s="15"/>
      <c r="TTY244" s="15"/>
      <c r="TTZ244" s="15"/>
      <c r="TUA244" s="15"/>
      <c r="TUB244" s="15"/>
      <c r="TUC244" s="15"/>
      <c r="TUD244" s="10"/>
      <c r="TUE244" s="10"/>
      <c r="TUF244" s="21"/>
      <c r="TUG244" s="21"/>
      <c r="TUJ244" s="21"/>
      <c r="TUK244" s="15"/>
      <c r="TUL244" s="15"/>
      <c r="TUM244" s="15"/>
      <c r="TUN244" s="15"/>
      <c r="TUO244" s="15"/>
      <c r="TUP244" s="15"/>
      <c r="TUQ244" s="15"/>
      <c r="TUR244" s="15"/>
      <c r="TUS244" s="15"/>
      <c r="TUT244" s="15"/>
      <c r="TUU244" s="10"/>
      <c r="TUV244" s="10"/>
      <c r="TUW244" s="21"/>
      <c r="TUX244" s="21"/>
      <c r="TVA244" s="21"/>
      <c r="TVB244" s="15"/>
      <c r="TVC244" s="15"/>
      <c r="TVD244" s="15"/>
      <c r="TVE244" s="15"/>
      <c r="TVF244" s="15"/>
      <c r="TVG244" s="15"/>
      <c r="TVH244" s="15"/>
      <c r="TVI244" s="15"/>
      <c r="TVJ244" s="15"/>
      <c r="TVK244" s="15"/>
      <c r="TVL244" s="10"/>
      <c r="TVM244" s="10"/>
      <c r="TVN244" s="21"/>
      <c r="TVO244" s="21"/>
      <c r="TVR244" s="21"/>
      <c r="TVS244" s="15"/>
      <c r="TVT244" s="15"/>
      <c r="TVU244" s="15"/>
      <c r="TVV244" s="15"/>
      <c r="TVW244" s="15"/>
      <c r="TVX244" s="15"/>
      <c r="TVY244" s="15"/>
      <c r="TVZ244" s="15"/>
      <c r="TWA244" s="15"/>
      <c r="TWB244" s="15"/>
      <c r="TWC244" s="10"/>
      <c r="TWD244" s="10"/>
      <c r="TWE244" s="21"/>
      <c r="TWF244" s="21"/>
      <c r="TWI244" s="21"/>
      <c r="TWJ244" s="15"/>
      <c r="TWK244" s="15"/>
      <c r="TWL244" s="15"/>
      <c r="TWM244" s="15"/>
      <c r="TWN244" s="15"/>
      <c r="TWO244" s="15"/>
      <c r="TWP244" s="15"/>
      <c r="TWQ244" s="15"/>
      <c r="TWR244" s="15"/>
      <c r="TWS244" s="15"/>
      <c r="TWT244" s="10"/>
      <c r="TWU244" s="10"/>
      <c r="TWV244" s="21"/>
      <c r="TWW244" s="21"/>
      <c r="TWZ244" s="21"/>
      <c r="TXA244" s="15"/>
      <c r="TXB244" s="15"/>
      <c r="TXC244" s="15"/>
      <c r="TXD244" s="15"/>
      <c r="TXE244" s="15"/>
      <c r="TXF244" s="15"/>
      <c r="TXG244" s="15"/>
      <c r="TXH244" s="15"/>
      <c r="TXI244" s="15"/>
      <c r="TXJ244" s="15"/>
      <c r="TXK244" s="10"/>
      <c r="TXL244" s="10"/>
      <c r="TXM244" s="21"/>
      <c r="TXN244" s="21"/>
      <c r="TXQ244" s="21"/>
      <c r="TXR244" s="15"/>
      <c r="TXS244" s="15"/>
      <c r="TXT244" s="15"/>
      <c r="TXU244" s="15"/>
      <c r="TXV244" s="15"/>
      <c r="TXW244" s="15"/>
      <c r="TXX244" s="15"/>
      <c r="TXY244" s="15"/>
      <c r="TXZ244" s="15"/>
      <c r="TYA244" s="15"/>
      <c r="TYB244" s="10"/>
      <c r="TYC244" s="10"/>
      <c r="TYD244" s="21"/>
      <c r="TYE244" s="21"/>
      <c r="TYH244" s="21"/>
      <c r="TYI244" s="15"/>
      <c r="TYJ244" s="15"/>
      <c r="TYK244" s="15"/>
      <c r="TYL244" s="15"/>
      <c r="TYM244" s="15"/>
      <c r="TYN244" s="15"/>
      <c r="TYO244" s="15"/>
      <c r="TYP244" s="15"/>
      <c r="TYQ244" s="15"/>
      <c r="TYR244" s="15"/>
      <c r="TYS244" s="10"/>
      <c r="TYT244" s="10"/>
      <c r="TYU244" s="21"/>
      <c r="TYV244" s="21"/>
      <c r="TYY244" s="21"/>
      <c r="TYZ244" s="15"/>
      <c r="TZA244" s="15"/>
      <c r="TZB244" s="15"/>
      <c r="TZC244" s="15"/>
      <c r="TZD244" s="15"/>
      <c r="TZE244" s="15"/>
      <c r="TZF244" s="15"/>
      <c r="TZG244" s="15"/>
      <c r="TZH244" s="15"/>
      <c r="TZI244" s="15"/>
      <c r="TZJ244" s="10"/>
      <c r="TZK244" s="10"/>
      <c r="TZL244" s="21"/>
      <c r="TZM244" s="21"/>
      <c r="TZP244" s="21"/>
      <c r="TZQ244" s="15"/>
      <c r="TZR244" s="15"/>
      <c r="TZS244" s="15"/>
      <c r="TZT244" s="15"/>
      <c r="TZU244" s="15"/>
      <c r="TZV244" s="15"/>
      <c r="TZW244" s="15"/>
      <c r="TZX244" s="15"/>
      <c r="TZY244" s="15"/>
      <c r="TZZ244" s="15"/>
      <c r="UAA244" s="10"/>
      <c r="UAB244" s="10"/>
      <c r="UAC244" s="21"/>
      <c r="UAD244" s="21"/>
      <c r="UAG244" s="21"/>
      <c r="UAH244" s="15"/>
      <c r="UAI244" s="15"/>
      <c r="UAJ244" s="15"/>
      <c r="UAK244" s="15"/>
      <c r="UAL244" s="15"/>
      <c r="UAM244" s="15"/>
      <c r="UAN244" s="15"/>
      <c r="UAO244" s="15"/>
      <c r="UAP244" s="15"/>
      <c r="UAQ244" s="15"/>
      <c r="UAR244" s="10"/>
      <c r="UAS244" s="10"/>
      <c r="UAT244" s="21"/>
      <c r="UAU244" s="21"/>
      <c r="UAX244" s="21"/>
      <c r="UAY244" s="15"/>
      <c r="UAZ244" s="15"/>
      <c r="UBA244" s="15"/>
      <c r="UBB244" s="15"/>
      <c r="UBC244" s="15"/>
      <c r="UBD244" s="15"/>
      <c r="UBE244" s="15"/>
      <c r="UBF244" s="15"/>
      <c r="UBG244" s="15"/>
      <c r="UBH244" s="15"/>
      <c r="UBI244" s="10"/>
      <c r="UBJ244" s="10"/>
      <c r="UBK244" s="21"/>
      <c r="UBL244" s="21"/>
      <c r="UBO244" s="21"/>
      <c r="UBP244" s="15"/>
      <c r="UBQ244" s="15"/>
      <c r="UBR244" s="15"/>
      <c r="UBS244" s="15"/>
      <c r="UBT244" s="15"/>
      <c r="UBU244" s="15"/>
      <c r="UBV244" s="15"/>
      <c r="UBW244" s="15"/>
      <c r="UBX244" s="15"/>
      <c r="UBY244" s="15"/>
      <c r="UBZ244" s="10"/>
      <c r="UCA244" s="10"/>
      <c r="UCB244" s="21"/>
      <c r="UCC244" s="21"/>
      <c r="UCF244" s="21"/>
      <c r="UCG244" s="15"/>
      <c r="UCH244" s="15"/>
      <c r="UCI244" s="15"/>
      <c r="UCJ244" s="15"/>
      <c r="UCK244" s="15"/>
      <c r="UCL244" s="15"/>
      <c r="UCM244" s="15"/>
      <c r="UCN244" s="15"/>
      <c r="UCO244" s="15"/>
      <c r="UCP244" s="15"/>
      <c r="UCQ244" s="10"/>
      <c r="UCR244" s="10"/>
      <c r="UCS244" s="21"/>
      <c r="UCT244" s="21"/>
      <c r="UCW244" s="21"/>
      <c r="UCX244" s="15"/>
      <c r="UCY244" s="15"/>
      <c r="UCZ244" s="15"/>
      <c r="UDA244" s="15"/>
      <c r="UDB244" s="15"/>
      <c r="UDC244" s="15"/>
      <c r="UDD244" s="15"/>
      <c r="UDE244" s="15"/>
      <c r="UDF244" s="15"/>
      <c r="UDG244" s="15"/>
      <c r="UDH244" s="10"/>
      <c r="UDI244" s="10"/>
      <c r="UDJ244" s="21"/>
      <c r="UDK244" s="21"/>
      <c r="UDN244" s="21"/>
      <c r="UDO244" s="15"/>
      <c r="UDP244" s="15"/>
      <c r="UDQ244" s="15"/>
      <c r="UDR244" s="15"/>
      <c r="UDS244" s="15"/>
      <c r="UDT244" s="15"/>
      <c r="UDU244" s="15"/>
      <c r="UDV244" s="15"/>
      <c r="UDW244" s="15"/>
      <c r="UDX244" s="15"/>
      <c r="UDY244" s="10"/>
      <c r="UDZ244" s="10"/>
      <c r="UEA244" s="21"/>
      <c r="UEB244" s="21"/>
      <c r="UEE244" s="21"/>
      <c r="UEF244" s="15"/>
      <c r="UEG244" s="15"/>
      <c r="UEH244" s="15"/>
      <c r="UEI244" s="15"/>
      <c r="UEJ244" s="15"/>
      <c r="UEK244" s="15"/>
      <c r="UEL244" s="15"/>
      <c r="UEM244" s="15"/>
      <c r="UEN244" s="15"/>
      <c r="UEO244" s="15"/>
      <c r="UEP244" s="10"/>
      <c r="UEQ244" s="10"/>
      <c r="UER244" s="21"/>
      <c r="UES244" s="21"/>
      <c r="UEV244" s="21"/>
      <c r="UEW244" s="15"/>
      <c r="UEX244" s="15"/>
      <c r="UEY244" s="15"/>
      <c r="UEZ244" s="15"/>
      <c r="UFA244" s="15"/>
      <c r="UFB244" s="15"/>
      <c r="UFC244" s="15"/>
      <c r="UFD244" s="15"/>
      <c r="UFE244" s="15"/>
      <c r="UFF244" s="15"/>
      <c r="UFG244" s="10"/>
      <c r="UFH244" s="10"/>
      <c r="UFI244" s="21"/>
      <c r="UFJ244" s="21"/>
      <c r="UFM244" s="21"/>
      <c r="UFN244" s="15"/>
      <c r="UFO244" s="15"/>
      <c r="UFP244" s="15"/>
      <c r="UFQ244" s="15"/>
      <c r="UFR244" s="15"/>
      <c r="UFS244" s="15"/>
      <c r="UFT244" s="15"/>
      <c r="UFU244" s="15"/>
      <c r="UFV244" s="15"/>
      <c r="UFW244" s="15"/>
      <c r="UFX244" s="10"/>
      <c r="UFY244" s="10"/>
      <c r="UFZ244" s="21"/>
      <c r="UGA244" s="21"/>
      <c r="UGD244" s="21"/>
      <c r="UGE244" s="15"/>
      <c r="UGF244" s="15"/>
      <c r="UGG244" s="15"/>
      <c r="UGH244" s="15"/>
      <c r="UGI244" s="15"/>
      <c r="UGJ244" s="15"/>
      <c r="UGK244" s="15"/>
      <c r="UGL244" s="15"/>
      <c r="UGM244" s="15"/>
      <c r="UGN244" s="15"/>
      <c r="UGO244" s="10"/>
      <c r="UGP244" s="10"/>
      <c r="UGQ244" s="21"/>
      <c r="UGR244" s="21"/>
      <c r="UGU244" s="21"/>
      <c r="UGV244" s="15"/>
      <c r="UGW244" s="15"/>
      <c r="UGX244" s="15"/>
      <c r="UGY244" s="15"/>
      <c r="UGZ244" s="15"/>
      <c r="UHA244" s="15"/>
      <c r="UHB244" s="15"/>
      <c r="UHC244" s="15"/>
      <c r="UHD244" s="15"/>
      <c r="UHE244" s="15"/>
      <c r="UHF244" s="10"/>
      <c r="UHG244" s="10"/>
      <c r="UHH244" s="21"/>
      <c r="UHI244" s="21"/>
      <c r="UHL244" s="21"/>
      <c r="UHM244" s="15"/>
      <c r="UHN244" s="15"/>
      <c r="UHO244" s="15"/>
      <c r="UHP244" s="15"/>
      <c r="UHQ244" s="15"/>
      <c r="UHR244" s="15"/>
      <c r="UHS244" s="15"/>
      <c r="UHT244" s="15"/>
      <c r="UHU244" s="15"/>
      <c r="UHV244" s="15"/>
      <c r="UHW244" s="10"/>
      <c r="UHX244" s="10"/>
      <c r="UHY244" s="21"/>
      <c r="UHZ244" s="21"/>
      <c r="UIC244" s="21"/>
      <c r="UID244" s="15"/>
      <c r="UIE244" s="15"/>
      <c r="UIF244" s="15"/>
      <c r="UIG244" s="15"/>
      <c r="UIH244" s="15"/>
      <c r="UII244" s="15"/>
      <c r="UIJ244" s="15"/>
      <c r="UIK244" s="15"/>
      <c r="UIL244" s="15"/>
      <c r="UIM244" s="15"/>
      <c r="UIN244" s="10"/>
      <c r="UIO244" s="10"/>
      <c r="UIP244" s="21"/>
      <c r="UIQ244" s="21"/>
      <c r="UIT244" s="21"/>
      <c r="UIU244" s="15"/>
      <c r="UIV244" s="15"/>
      <c r="UIW244" s="15"/>
      <c r="UIX244" s="15"/>
      <c r="UIY244" s="15"/>
      <c r="UIZ244" s="15"/>
      <c r="UJA244" s="15"/>
      <c r="UJB244" s="15"/>
      <c r="UJC244" s="15"/>
      <c r="UJD244" s="15"/>
      <c r="UJE244" s="10"/>
      <c r="UJF244" s="10"/>
      <c r="UJG244" s="21"/>
      <c r="UJH244" s="21"/>
      <c r="UJK244" s="21"/>
      <c r="UJL244" s="15"/>
      <c r="UJM244" s="15"/>
      <c r="UJN244" s="15"/>
      <c r="UJO244" s="15"/>
      <c r="UJP244" s="15"/>
      <c r="UJQ244" s="15"/>
      <c r="UJR244" s="15"/>
      <c r="UJS244" s="15"/>
      <c r="UJT244" s="15"/>
      <c r="UJU244" s="15"/>
      <c r="UJV244" s="10"/>
      <c r="UJW244" s="10"/>
      <c r="UJX244" s="21"/>
      <c r="UJY244" s="21"/>
      <c r="UKB244" s="21"/>
      <c r="UKC244" s="15"/>
      <c r="UKD244" s="15"/>
      <c r="UKE244" s="15"/>
      <c r="UKF244" s="15"/>
      <c r="UKG244" s="15"/>
      <c r="UKH244" s="15"/>
      <c r="UKI244" s="15"/>
      <c r="UKJ244" s="15"/>
      <c r="UKK244" s="15"/>
      <c r="UKL244" s="15"/>
      <c r="UKM244" s="10"/>
      <c r="UKN244" s="10"/>
      <c r="UKO244" s="21"/>
      <c r="UKP244" s="21"/>
      <c r="UKS244" s="21"/>
      <c r="UKT244" s="15"/>
      <c r="UKU244" s="15"/>
      <c r="UKV244" s="15"/>
      <c r="UKW244" s="15"/>
      <c r="UKX244" s="15"/>
      <c r="UKY244" s="15"/>
      <c r="UKZ244" s="15"/>
      <c r="ULA244" s="15"/>
      <c r="ULB244" s="15"/>
      <c r="ULC244" s="15"/>
      <c r="ULD244" s="10"/>
      <c r="ULE244" s="10"/>
      <c r="ULF244" s="21"/>
      <c r="ULG244" s="21"/>
      <c r="ULJ244" s="21"/>
      <c r="ULK244" s="15"/>
      <c r="ULL244" s="15"/>
      <c r="ULM244" s="15"/>
      <c r="ULN244" s="15"/>
      <c r="ULO244" s="15"/>
      <c r="ULP244" s="15"/>
      <c r="ULQ244" s="15"/>
      <c r="ULR244" s="15"/>
      <c r="ULS244" s="15"/>
      <c r="ULT244" s="15"/>
      <c r="ULU244" s="10"/>
      <c r="ULV244" s="10"/>
      <c r="ULW244" s="21"/>
      <c r="ULX244" s="21"/>
      <c r="UMA244" s="21"/>
      <c r="UMB244" s="15"/>
      <c r="UMC244" s="15"/>
      <c r="UMD244" s="15"/>
      <c r="UME244" s="15"/>
      <c r="UMF244" s="15"/>
      <c r="UMG244" s="15"/>
      <c r="UMH244" s="15"/>
      <c r="UMI244" s="15"/>
      <c r="UMJ244" s="15"/>
      <c r="UMK244" s="15"/>
      <c r="UML244" s="10"/>
      <c r="UMM244" s="10"/>
      <c r="UMN244" s="21"/>
      <c r="UMO244" s="21"/>
      <c r="UMR244" s="21"/>
      <c r="UMS244" s="15"/>
      <c r="UMT244" s="15"/>
      <c r="UMU244" s="15"/>
      <c r="UMV244" s="15"/>
      <c r="UMW244" s="15"/>
      <c r="UMX244" s="15"/>
      <c r="UMY244" s="15"/>
      <c r="UMZ244" s="15"/>
      <c r="UNA244" s="15"/>
      <c r="UNB244" s="15"/>
      <c r="UNC244" s="10"/>
      <c r="UND244" s="10"/>
      <c r="UNE244" s="21"/>
      <c r="UNF244" s="21"/>
      <c r="UNI244" s="21"/>
      <c r="UNJ244" s="15"/>
      <c r="UNK244" s="15"/>
      <c r="UNL244" s="15"/>
      <c r="UNM244" s="15"/>
      <c r="UNN244" s="15"/>
      <c r="UNO244" s="15"/>
      <c r="UNP244" s="15"/>
      <c r="UNQ244" s="15"/>
      <c r="UNR244" s="15"/>
      <c r="UNS244" s="15"/>
      <c r="UNT244" s="10"/>
      <c r="UNU244" s="10"/>
      <c r="UNV244" s="21"/>
      <c r="UNW244" s="21"/>
      <c r="UNZ244" s="21"/>
      <c r="UOA244" s="15"/>
      <c r="UOB244" s="15"/>
      <c r="UOC244" s="15"/>
      <c r="UOD244" s="15"/>
      <c r="UOE244" s="15"/>
      <c r="UOF244" s="15"/>
      <c r="UOG244" s="15"/>
      <c r="UOH244" s="15"/>
      <c r="UOI244" s="15"/>
      <c r="UOJ244" s="15"/>
      <c r="UOK244" s="10"/>
      <c r="UOL244" s="10"/>
      <c r="UOM244" s="21"/>
      <c r="UON244" s="21"/>
      <c r="UOQ244" s="21"/>
      <c r="UOR244" s="15"/>
      <c r="UOS244" s="15"/>
      <c r="UOT244" s="15"/>
      <c r="UOU244" s="15"/>
      <c r="UOV244" s="15"/>
      <c r="UOW244" s="15"/>
      <c r="UOX244" s="15"/>
      <c r="UOY244" s="15"/>
      <c r="UOZ244" s="15"/>
      <c r="UPA244" s="15"/>
      <c r="UPB244" s="10"/>
      <c r="UPC244" s="10"/>
      <c r="UPD244" s="21"/>
      <c r="UPE244" s="21"/>
      <c r="UPH244" s="21"/>
      <c r="UPI244" s="15"/>
      <c r="UPJ244" s="15"/>
      <c r="UPK244" s="15"/>
      <c r="UPL244" s="15"/>
      <c r="UPM244" s="15"/>
      <c r="UPN244" s="15"/>
      <c r="UPO244" s="15"/>
      <c r="UPP244" s="15"/>
      <c r="UPQ244" s="15"/>
      <c r="UPR244" s="15"/>
      <c r="UPS244" s="10"/>
      <c r="UPT244" s="10"/>
      <c r="UPU244" s="21"/>
      <c r="UPV244" s="21"/>
      <c r="UPY244" s="21"/>
      <c r="UPZ244" s="15"/>
      <c r="UQA244" s="15"/>
      <c r="UQB244" s="15"/>
      <c r="UQC244" s="15"/>
      <c r="UQD244" s="15"/>
      <c r="UQE244" s="15"/>
      <c r="UQF244" s="15"/>
      <c r="UQG244" s="15"/>
      <c r="UQH244" s="15"/>
      <c r="UQI244" s="15"/>
      <c r="UQJ244" s="10"/>
      <c r="UQK244" s="10"/>
      <c r="UQL244" s="21"/>
      <c r="UQM244" s="21"/>
      <c r="UQP244" s="21"/>
      <c r="UQQ244" s="15"/>
      <c r="UQR244" s="15"/>
      <c r="UQS244" s="15"/>
      <c r="UQT244" s="15"/>
      <c r="UQU244" s="15"/>
      <c r="UQV244" s="15"/>
      <c r="UQW244" s="15"/>
      <c r="UQX244" s="15"/>
      <c r="UQY244" s="15"/>
      <c r="UQZ244" s="15"/>
      <c r="URA244" s="10"/>
      <c r="URB244" s="10"/>
      <c r="URC244" s="21"/>
      <c r="URD244" s="21"/>
      <c r="URG244" s="21"/>
      <c r="URH244" s="15"/>
      <c r="URI244" s="15"/>
      <c r="URJ244" s="15"/>
      <c r="URK244" s="15"/>
      <c r="URL244" s="15"/>
      <c r="URM244" s="15"/>
      <c r="URN244" s="15"/>
      <c r="URO244" s="15"/>
      <c r="URP244" s="15"/>
      <c r="URQ244" s="15"/>
      <c r="URR244" s="10"/>
      <c r="URS244" s="10"/>
      <c r="URT244" s="21"/>
      <c r="URU244" s="21"/>
      <c r="URX244" s="21"/>
      <c r="URY244" s="15"/>
      <c r="URZ244" s="15"/>
      <c r="USA244" s="15"/>
      <c r="USB244" s="15"/>
      <c r="USC244" s="15"/>
      <c r="USD244" s="15"/>
      <c r="USE244" s="15"/>
      <c r="USF244" s="15"/>
      <c r="USG244" s="15"/>
      <c r="USH244" s="15"/>
      <c r="USI244" s="10"/>
      <c r="USJ244" s="10"/>
      <c r="USK244" s="21"/>
      <c r="USL244" s="21"/>
      <c r="USO244" s="21"/>
      <c r="USP244" s="15"/>
      <c r="USQ244" s="15"/>
      <c r="USR244" s="15"/>
      <c r="USS244" s="15"/>
      <c r="UST244" s="15"/>
      <c r="USU244" s="15"/>
      <c r="USV244" s="15"/>
      <c r="USW244" s="15"/>
      <c r="USX244" s="15"/>
      <c r="USY244" s="15"/>
      <c r="USZ244" s="10"/>
      <c r="UTA244" s="10"/>
      <c r="UTB244" s="21"/>
      <c r="UTC244" s="21"/>
      <c r="UTF244" s="21"/>
      <c r="UTG244" s="15"/>
      <c r="UTH244" s="15"/>
      <c r="UTI244" s="15"/>
      <c r="UTJ244" s="15"/>
      <c r="UTK244" s="15"/>
      <c r="UTL244" s="15"/>
      <c r="UTM244" s="15"/>
      <c r="UTN244" s="15"/>
      <c r="UTO244" s="15"/>
      <c r="UTP244" s="15"/>
      <c r="UTQ244" s="10"/>
      <c r="UTR244" s="10"/>
      <c r="UTS244" s="21"/>
      <c r="UTT244" s="21"/>
      <c r="UTW244" s="21"/>
      <c r="UTX244" s="15"/>
      <c r="UTY244" s="15"/>
      <c r="UTZ244" s="15"/>
      <c r="UUA244" s="15"/>
      <c r="UUB244" s="15"/>
      <c r="UUC244" s="15"/>
      <c r="UUD244" s="15"/>
      <c r="UUE244" s="15"/>
      <c r="UUF244" s="15"/>
      <c r="UUG244" s="15"/>
      <c r="UUH244" s="10"/>
      <c r="UUI244" s="10"/>
      <c r="UUJ244" s="21"/>
      <c r="UUK244" s="21"/>
      <c r="UUN244" s="21"/>
      <c r="UUO244" s="15"/>
      <c r="UUP244" s="15"/>
      <c r="UUQ244" s="15"/>
      <c r="UUR244" s="15"/>
      <c r="UUS244" s="15"/>
      <c r="UUT244" s="15"/>
      <c r="UUU244" s="15"/>
      <c r="UUV244" s="15"/>
      <c r="UUW244" s="15"/>
      <c r="UUX244" s="15"/>
      <c r="UUY244" s="10"/>
      <c r="UUZ244" s="10"/>
      <c r="UVA244" s="21"/>
      <c r="UVB244" s="21"/>
      <c r="UVE244" s="21"/>
      <c r="UVF244" s="15"/>
      <c r="UVG244" s="15"/>
      <c r="UVH244" s="15"/>
      <c r="UVI244" s="15"/>
      <c r="UVJ244" s="15"/>
      <c r="UVK244" s="15"/>
      <c r="UVL244" s="15"/>
      <c r="UVM244" s="15"/>
      <c r="UVN244" s="15"/>
      <c r="UVO244" s="15"/>
      <c r="UVP244" s="10"/>
      <c r="UVQ244" s="10"/>
      <c r="UVR244" s="21"/>
      <c r="UVS244" s="21"/>
      <c r="UVV244" s="21"/>
      <c r="UVW244" s="15"/>
      <c r="UVX244" s="15"/>
      <c r="UVY244" s="15"/>
      <c r="UVZ244" s="15"/>
      <c r="UWA244" s="15"/>
      <c r="UWB244" s="15"/>
      <c r="UWC244" s="15"/>
      <c r="UWD244" s="15"/>
      <c r="UWE244" s="15"/>
      <c r="UWF244" s="15"/>
      <c r="UWG244" s="10"/>
      <c r="UWH244" s="10"/>
      <c r="UWI244" s="21"/>
      <c r="UWJ244" s="21"/>
      <c r="UWM244" s="21"/>
      <c r="UWN244" s="15"/>
      <c r="UWO244" s="15"/>
      <c r="UWP244" s="15"/>
      <c r="UWQ244" s="15"/>
      <c r="UWR244" s="15"/>
      <c r="UWS244" s="15"/>
      <c r="UWT244" s="15"/>
      <c r="UWU244" s="15"/>
      <c r="UWV244" s="15"/>
      <c r="UWW244" s="15"/>
      <c r="UWX244" s="10"/>
      <c r="UWY244" s="10"/>
      <c r="UWZ244" s="21"/>
      <c r="UXA244" s="21"/>
      <c r="UXD244" s="21"/>
      <c r="UXE244" s="15"/>
      <c r="UXF244" s="15"/>
      <c r="UXG244" s="15"/>
      <c r="UXH244" s="15"/>
      <c r="UXI244" s="15"/>
      <c r="UXJ244" s="15"/>
      <c r="UXK244" s="15"/>
      <c r="UXL244" s="15"/>
      <c r="UXM244" s="15"/>
      <c r="UXN244" s="15"/>
      <c r="UXO244" s="10"/>
      <c r="UXP244" s="10"/>
      <c r="UXQ244" s="21"/>
      <c r="UXR244" s="21"/>
      <c r="UXU244" s="21"/>
      <c r="UXV244" s="15"/>
      <c r="UXW244" s="15"/>
      <c r="UXX244" s="15"/>
      <c r="UXY244" s="15"/>
      <c r="UXZ244" s="15"/>
      <c r="UYA244" s="15"/>
      <c r="UYB244" s="15"/>
      <c r="UYC244" s="15"/>
      <c r="UYD244" s="15"/>
      <c r="UYE244" s="15"/>
      <c r="UYF244" s="10"/>
      <c r="UYG244" s="10"/>
      <c r="UYH244" s="21"/>
      <c r="UYI244" s="21"/>
      <c r="UYL244" s="21"/>
      <c r="UYM244" s="15"/>
      <c r="UYN244" s="15"/>
      <c r="UYO244" s="15"/>
      <c r="UYP244" s="15"/>
      <c r="UYQ244" s="15"/>
      <c r="UYR244" s="15"/>
      <c r="UYS244" s="15"/>
      <c r="UYT244" s="15"/>
      <c r="UYU244" s="15"/>
      <c r="UYV244" s="15"/>
      <c r="UYW244" s="10"/>
      <c r="UYX244" s="10"/>
      <c r="UYY244" s="21"/>
      <c r="UYZ244" s="21"/>
      <c r="UZC244" s="21"/>
      <c r="UZD244" s="15"/>
      <c r="UZE244" s="15"/>
      <c r="UZF244" s="15"/>
      <c r="UZG244" s="15"/>
      <c r="UZH244" s="15"/>
      <c r="UZI244" s="15"/>
      <c r="UZJ244" s="15"/>
      <c r="UZK244" s="15"/>
      <c r="UZL244" s="15"/>
      <c r="UZM244" s="15"/>
      <c r="UZN244" s="10"/>
      <c r="UZO244" s="10"/>
      <c r="UZP244" s="21"/>
      <c r="UZQ244" s="21"/>
      <c r="UZT244" s="21"/>
      <c r="UZU244" s="15"/>
      <c r="UZV244" s="15"/>
      <c r="UZW244" s="15"/>
      <c r="UZX244" s="15"/>
      <c r="UZY244" s="15"/>
      <c r="UZZ244" s="15"/>
      <c r="VAA244" s="15"/>
      <c r="VAB244" s="15"/>
      <c r="VAC244" s="15"/>
      <c r="VAD244" s="15"/>
      <c r="VAE244" s="10"/>
      <c r="VAF244" s="10"/>
      <c r="VAG244" s="21"/>
      <c r="VAH244" s="21"/>
      <c r="VAK244" s="21"/>
      <c r="VAL244" s="15"/>
      <c r="VAM244" s="15"/>
      <c r="VAN244" s="15"/>
      <c r="VAO244" s="15"/>
      <c r="VAP244" s="15"/>
      <c r="VAQ244" s="15"/>
      <c r="VAR244" s="15"/>
      <c r="VAS244" s="15"/>
      <c r="VAT244" s="15"/>
      <c r="VAU244" s="15"/>
      <c r="VAV244" s="10"/>
      <c r="VAW244" s="10"/>
      <c r="VAX244" s="21"/>
      <c r="VAY244" s="21"/>
      <c r="VBB244" s="21"/>
      <c r="VBC244" s="15"/>
      <c r="VBD244" s="15"/>
      <c r="VBE244" s="15"/>
      <c r="VBF244" s="15"/>
      <c r="VBG244" s="15"/>
      <c r="VBH244" s="15"/>
      <c r="VBI244" s="15"/>
      <c r="VBJ244" s="15"/>
      <c r="VBK244" s="15"/>
      <c r="VBL244" s="15"/>
      <c r="VBM244" s="10"/>
      <c r="VBN244" s="10"/>
      <c r="VBO244" s="21"/>
      <c r="VBP244" s="21"/>
      <c r="VBS244" s="21"/>
      <c r="VBT244" s="15"/>
      <c r="VBU244" s="15"/>
      <c r="VBV244" s="15"/>
      <c r="VBW244" s="15"/>
      <c r="VBX244" s="15"/>
      <c r="VBY244" s="15"/>
      <c r="VBZ244" s="15"/>
      <c r="VCA244" s="15"/>
      <c r="VCB244" s="15"/>
      <c r="VCC244" s="15"/>
      <c r="VCD244" s="10"/>
      <c r="VCE244" s="10"/>
      <c r="VCF244" s="21"/>
      <c r="VCG244" s="21"/>
      <c r="VCJ244" s="21"/>
      <c r="VCK244" s="15"/>
      <c r="VCL244" s="15"/>
      <c r="VCM244" s="15"/>
      <c r="VCN244" s="15"/>
      <c r="VCO244" s="15"/>
      <c r="VCP244" s="15"/>
      <c r="VCQ244" s="15"/>
      <c r="VCR244" s="15"/>
      <c r="VCS244" s="15"/>
      <c r="VCT244" s="15"/>
      <c r="VCU244" s="10"/>
      <c r="VCV244" s="10"/>
      <c r="VCW244" s="21"/>
      <c r="VCX244" s="21"/>
      <c r="VDA244" s="21"/>
      <c r="VDB244" s="15"/>
      <c r="VDC244" s="15"/>
      <c r="VDD244" s="15"/>
      <c r="VDE244" s="15"/>
      <c r="VDF244" s="15"/>
      <c r="VDG244" s="15"/>
      <c r="VDH244" s="15"/>
      <c r="VDI244" s="15"/>
      <c r="VDJ244" s="15"/>
      <c r="VDK244" s="15"/>
      <c r="VDL244" s="10"/>
      <c r="VDM244" s="10"/>
      <c r="VDN244" s="21"/>
      <c r="VDO244" s="21"/>
      <c r="VDR244" s="21"/>
      <c r="VDS244" s="15"/>
      <c r="VDT244" s="15"/>
      <c r="VDU244" s="15"/>
      <c r="VDV244" s="15"/>
      <c r="VDW244" s="15"/>
      <c r="VDX244" s="15"/>
      <c r="VDY244" s="15"/>
      <c r="VDZ244" s="15"/>
      <c r="VEA244" s="15"/>
      <c r="VEB244" s="15"/>
      <c r="VEC244" s="10"/>
      <c r="VED244" s="10"/>
      <c r="VEE244" s="21"/>
      <c r="VEF244" s="21"/>
      <c r="VEI244" s="21"/>
      <c r="VEJ244" s="15"/>
      <c r="VEK244" s="15"/>
      <c r="VEL244" s="15"/>
      <c r="VEM244" s="15"/>
      <c r="VEN244" s="15"/>
      <c r="VEO244" s="15"/>
      <c r="VEP244" s="15"/>
      <c r="VEQ244" s="15"/>
      <c r="VER244" s="15"/>
      <c r="VES244" s="15"/>
      <c r="VET244" s="10"/>
      <c r="VEU244" s="10"/>
      <c r="VEV244" s="21"/>
      <c r="VEW244" s="21"/>
      <c r="VEZ244" s="21"/>
      <c r="VFA244" s="15"/>
      <c r="VFB244" s="15"/>
      <c r="VFC244" s="15"/>
      <c r="VFD244" s="15"/>
      <c r="VFE244" s="15"/>
      <c r="VFF244" s="15"/>
      <c r="VFG244" s="15"/>
      <c r="VFH244" s="15"/>
      <c r="VFI244" s="15"/>
      <c r="VFJ244" s="15"/>
      <c r="VFK244" s="10"/>
      <c r="VFL244" s="10"/>
      <c r="VFM244" s="21"/>
      <c r="VFN244" s="21"/>
      <c r="VFQ244" s="21"/>
      <c r="VFR244" s="15"/>
      <c r="VFS244" s="15"/>
      <c r="VFT244" s="15"/>
      <c r="VFU244" s="15"/>
      <c r="VFV244" s="15"/>
      <c r="VFW244" s="15"/>
      <c r="VFX244" s="15"/>
      <c r="VFY244" s="15"/>
      <c r="VFZ244" s="15"/>
      <c r="VGA244" s="15"/>
      <c r="VGB244" s="10"/>
      <c r="VGC244" s="10"/>
      <c r="VGD244" s="21"/>
      <c r="VGE244" s="21"/>
      <c r="VGH244" s="21"/>
      <c r="VGI244" s="15"/>
      <c r="VGJ244" s="15"/>
      <c r="VGK244" s="15"/>
      <c r="VGL244" s="15"/>
      <c r="VGM244" s="15"/>
      <c r="VGN244" s="15"/>
      <c r="VGO244" s="15"/>
      <c r="VGP244" s="15"/>
      <c r="VGQ244" s="15"/>
      <c r="VGR244" s="15"/>
      <c r="VGS244" s="10"/>
      <c r="VGT244" s="10"/>
      <c r="VGU244" s="21"/>
      <c r="VGV244" s="21"/>
      <c r="VGY244" s="21"/>
      <c r="VGZ244" s="15"/>
      <c r="VHA244" s="15"/>
      <c r="VHB244" s="15"/>
      <c r="VHC244" s="15"/>
      <c r="VHD244" s="15"/>
      <c r="VHE244" s="15"/>
      <c r="VHF244" s="15"/>
      <c r="VHG244" s="15"/>
      <c r="VHH244" s="15"/>
      <c r="VHI244" s="15"/>
      <c r="VHJ244" s="10"/>
      <c r="VHK244" s="10"/>
      <c r="VHL244" s="21"/>
      <c r="VHM244" s="21"/>
      <c r="VHP244" s="21"/>
      <c r="VHQ244" s="15"/>
      <c r="VHR244" s="15"/>
      <c r="VHS244" s="15"/>
      <c r="VHT244" s="15"/>
      <c r="VHU244" s="15"/>
      <c r="VHV244" s="15"/>
      <c r="VHW244" s="15"/>
      <c r="VHX244" s="15"/>
      <c r="VHY244" s="15"/>
      <c r="VHZ244" s="15"/>
      <c r="VIA244" s="10"/>
      <c r="VIB244" s="10"/>
      <c r="VIC244" s="21"/>
      <c r="VID244" s="21"/>
      <c r="VIG244" s="21"/>
      <c r="VIH244" s="15"/>
      <c r="VII244" s="15"/>
      <c r="VIJ244" s="15"/>
      <c r="VIK244" s="15"/>
      <c r="VIL244" s="15"/>
      <c r="VIM244" s="15"/>
      <c r="VIN244" s="15"/>
      <c r="VIO244" s="15"/>
      <c r="VIP244" s="15"/>
      <c r="VIQ244" s="15"/>
      <c r="VIR244" s="10"/>
      <c r="VIS244" s="10"/>
      <c r="VIT244" s="21"/>
      <c r="VIU244" s="21"/>
      <c r="VIX244" s="21"/>
      <c r="VIY244" s="15"/>
      <c r="VIZ244" s="15"/>
      <c r="VJA244" s="15"/>
      <c r="VJB244" s="15"/>
      <c r="VJC244" s="15"/>
      <c r="VJD244" s="15"/>
      <c r="VJE244" s="15"/>
      <c r="VJF244" s="15"/>
      <c r="VJG244" s="15"/>
      <c r="VJH244" s="15"/>
      <c r="VJI244" s="10"/>
      <c r="VJJ244" s="10"/>
      <c r="VJK244" s="21"/>
      <c r="VJL244" s="21"/>
      <c r="VJO244" s="21"/>
      <c r="VJP244" s="15"/>
      <c r="VJQ244" s="15"/>
      <c r="VJR244" s="15"/>
      <c r="VJS244" s="15"/>
      <c r="VJT244" s="15"/>
      <c r="VJU244" s="15"/>
      <c r="VJV244" s="15"/>
      <c r="VJW244" s="15"/>
      <c r="VJX244" s="15"/>
      <c r="VJY244" s="15"/>
      <c r="VJZ244" s="10"/>
      <c r="VKA244" s="10"/>
      <c r="VKB244" s="21"/>
      <c r="VKC244" s="21"/>
      <c r="VKF244" s="21"/>
      <c r="VKG244" s="15"/>
      <c r="VKH244" s="15"/>
      <c r="VKI244" s="15"/>
      <c r="VKJ244" s="15"/>
      <c r="VKK244" s="15"/>
      <c r="VKL244" s="15"/>
      <c r="VKM244" s="15"/>
      <c r="VKN244" s="15"/>
      <c r="VKO244" s="15"/>
      <c r="VKP244" s="15"/>
      <c r="VKQ244" s="10"/>
      <c r="VKR244" s="10"/>
      <c r="VKS244" s="21"/>
      <c r="VKT244" s="21"/>
      <c r="VKW244" s="21"/>
      <c r="VKX244" s="15"/>
      <c r="VKY244" s="15"/>
      <c r="VKZ244" s="15"/>
      <c r="VLA244" s="15"/>
      <c r="VLB244" s="15"/>
      <c r="VLC244" s="15"/>
      <c r="VLD244" s="15"/>
      <c r="VLE244" s="15"/>
      <c r="VLF244" s="15"/>
      <c r="VLG244" s="15"/>
      <c r="VLH244" s="10"/>
      <c r="VLI244" s="10"/>
      <c r="VLJ244" s="21"/>
      <c r="VLK244" s="21"/>
      <c r="VLN244" s="21"/>
      <c r="VLO244" s="15"/>
      <c r="VLP244" s="15"/>
      <c r="VLQ244" s="15"/>
      <c r="VLR244" s="15"/>
      <c r="VLS244" s="15"/>
      <c r="VLT244" s="15"/>
      <c r="VLU244" s="15"/>
      <c r="VLV244" s="15"/>
      <c r="VLW244" s="15"/>
      <c r="VLX244" s="15"/>
      <c r="VLY244" s="10"/>
      <c r="VLZ244" s="10"/>
      <c r="VMA244" s="21"/>
      <c r="VMB244" s="21"/>
      <c r="VME244" s="21"/>
      <c r="VMF244" s="15"/>
      <c r="VMG244" s="15"/>
      <c r="VMH244" s="15"/>
      <c r="VMI244" s="15"/>
      <c r="VMJ244" s="15"/>
      <c r="VMK244" s="15"/>
      <c r="VML244" s="15"/>
      <c r="VMM244" s="15"/>
      <c r="VMN244" s="15"/>
      <c r="VMO244" s="15"/>
      <c r="VMP244" s="10"/>
      <c r="VMQ244" s="10"/>
      <c r="VMR244" s="21"/>
      <c r="VMS244" s="21"/>
      <c r="VMV244" s="21"/>
      <c r="VMW244" s="15"/>
      <c r="VMX244" s="15"/>
      <c r="VMY244" s="15"/>
      <c r="VMZ244" s="15"/>
      <c r="VNA244" s="15"/>
      <c r="VNB244" s="15"/>
      <c r="VNC244" s="15"/>
      <c r="VND244" s="15"/>
      <c r="VNE244" s="15"/>
      <c r="VNF244" s="15"/>
      <c r="VNG244" s="10"/>
      <c r="VNH244" s="10"/>
      <c r="VNI244" s="21"/>
      <c r="VNJ244" s="21"/>
      <c r="VNM244" s="21"/>
      <c r="VNN244" s="15"/>
      <c r="VNO244" s="15"/>
      <c r="VNP244" s="15"/>
      <c r="VNQ244" s="15"/>
      <c r="VNR244" s="15"/>
      <c r="VNS244" s="15"/>
      <c r="VNT244" s="15"/>
      <c r="VNU244" s="15"/>
      <c r="VNV244" s="15"/>
      <c r="VNW244" s="15"/>
      <c r="VNX244" s="10"/>
      <c r="VNY244" s="10"/>
      <c r="VNZ244" s="21"/>
      <c r="VOA244" s="21"/>
      <c r="VOD244" s="21"/>
      <c r="VOE244" s="15"/>
      <c r="VOF244" s="15"/>
      <c r="VOG244" s="15"/>
      <c r="VOH244" s="15"/>
      <c r="VOI244" s="15"/>
      <c r="VOJ244" s="15"/>
      <c r="VOK244" s="15"/>
      <c r="VOL244" s="15"/>
      <c r="VOM244" s="15"/>
      <c r="VON244" s="15"/>
      <c r="VOO244" s="10"/>
      <c r="VOP244" s="10"/>
      <c r="VOQ244" s="21"/>
      <c r="VOR244" s="21"/>
      <c r="VOU244" s="21"/>
      <c r="VOV244" s="15"/>
      <c r="VOW244" s="15"/>
      <c r="VOX244" s="15"/>
      <c r="VOY244" s="15"/>
      <c r="VOZ244" s="15"/>
      <c r="VPA244" s="15"/>
      <c r="VPB244" s="15"/>
      <c r="VPC244" s="15"/>
      <c r="VPD244" s="15"/>
      <c r="VPE244" s="15"/>
      <c r="VPF244" s="10"/>
      <c r="VPG244" s="10"/>
      <c r="VPH244" s="21"/>
      <c r="VPI244" s="21"/>
      <c r="VPL244" s="21"/>
      <c r="VPM244" s="15"/>
      <c r="VPN244" s="15"/>
      <c r="VPO244" s="15"/>
      <c r="VPP244" s="15"/>
      <c r="VPQ244" s="15"/>
      <c r="VPR244" s="15"/>
      <c r="VPS244" s="15"/>
      <c r="VPT244" s="15"/>
      <c r="VPU244" s="15"/>
      <c r="VPV244" s="15"/>
      <c r="VPW244" s="10"/>
      <c r="VPX244" s="10"/>
      <c r="VPY244" s="21"/>
      <c r="VPZ244" s="21"/>
      <c r="VQC244" s="21"/>
      <c r="VQD244" s="15"/>
      <c r="VQE244" s="15"/>
      <c r="VQF244" s="15"/>
      <c r="VQG244" s="15"/>
      <c r="VQH244" s="15"/>
      <c r="VQI244" s="15"/>
      <c r="VQJ244" s="15"/>
      <c r="VQK244" s="15"/>
      <c r="VQL244" s="15"/>
      <c r="VQM244" s="15"/>
      <c r="VQN244" s="10"/>
      <c r="VQO244" s="10"/>
      <c r="VQP244" s="21"/>
      <c r="VQQ244" s="21"/>
      <c r="VQT244" s="21"/>
      <c r="VQU244" s="15"/>
      <c r="VQV244" s="15"/>
      <c r="VQW244" s="15"/>
      <c r="VQX244" s="15"/>
      <c r="VQY244" s="15"/>
      <c r="VQZ244" s="15"/>
      <c r="VRA244" s="15"/>
      <c r="VRB244" s="15"/>
      <c r="VRC244" s="15"/>
      <c r="VRD244" s="15"/>
      <c r="VRE244" s="10"/>
      <c r="VRF244" s="10"/>
      <c r="VRG244" s="21"/>
      <c r="VRH244" s="21"/>
      <c r="VRK244" s="21"/>
      <c r="VRL244" s="15"/>
      <c r="VRM244" s="15"/>
      <c r="VRN244" s="15"/>
      <c r="VRO244" s="15"/>
      <c r="VRP244" s="15"/>
      <c r="VRQ244" s="15"/>
      <c r="VRR244" s="15"/>
      <c r="VRS244" s="15"/>
      <c r="VRT244" s="15"/>
      <c r="VRU244" s="15"/>
      <c r="VRV244" s="10"/>
      <c r="VRW244" s="10"/>
      <c r="VRX244" s="21"/>
      <c r="VRY244" s="21"/>
      <c r="VSB244" s="21"/>
      <c r="VSC244" s="15"/>
      <c r="VSD244" s="15"/>
      <c r="VSE244" s="15"/>
      <c r="VSF244" s="15"/>
      <c r="VSG244" s="15"/>
      <c r="VSH244" s="15"/>
      <c r="VSI244" s="15"/>
      <c r="VSJ244" s="15"/>
      <c r="VSK244" s="15"/>
      <c r="VSL244" s="15"/>
      <c r="VSM244" s="10"/>
      <c r="VSN244" s="10"/>
      <c r="VSO244" s="21"/>
      <c r="VSP244" s="21"/>
      <c r="VSS244" s="21"/>
      <c r="VST244" s="15"/>
      <c r="VSU244" s="15"/>
      <c r="VSV244" s="15"/>
      <c r="VSW244" s="15"/>
      <c r="VSX244" s="15"/>
      <c r="VSY244" s="15"/>
      <c r="VSZ244" s="15"/>
      <c r="VTA244" s="15"/>
      <c r="VTB244" s="15"/>
      <c r="VTC244" s="15"/>
      <c r="VTD244" s="10"/>
      <c r="VTE244" s="10"/>
      <c r="VTF244" s="21"/>
      <c r="VTG244" s="21"/>
      <c r="VTJ244" s="21"/>
      <c r="VTK244" s="15"/>
      <c r="VTL244" s="15"/>
      <c r="VTM244" s="15"/>
      <c r="VTN244" s="15"/>
      <c r="VTO244" s="15"/>
      <c r="VTP244" s="15"/>
      <c r="VTQ244" s="15"/>
      <c r="VTR244" s="15"/>
      <c r="VTS244" s="15"/>
      <c r="VTT244" s="15"/>
      <c r="VTU244" s="10"/>
      <c r="VTV244" s="10"/>
      <c r="VTW244" s="21"/>
      <c r="VTX244" s="21"/>
      <c r="VUA244" s="21"/>
      <c r="VUB244" s="15"/>
      <c r="VUC244" s="15"/>
      <c r="VUD244" s="15"/>
      <c r="VUE244" s="15"/>
      <c r="VUF244" s="15"/>
      <c r="VUG244" s="15"/>
      <c r="VUH244" s="15"/>
      <c r="VUI244" s="15"/>
      <c r="VUJ244" s="15"/>
      <c r="VUK244" s="15"/>
      <c r="VUL244" s="10"/>
      <c r="VUM244" s="10"/>
      <c r="VUN244" s="21"/>
      <c r="VUO244" s="21"/>
      <c r="VUR244" s="21"/>
      <c r="VUS244" s="15"/>
      <c r="VUT244" s="15"/>
      <c r="VUU244" s="15"/>
      <c r="VUV244" s="15"/>
      <c r="VUW244" s="15"/>
      <c r="VUX244" s="15"/>
      <c r="VUY244" s="15"/>
      <c r="VUZ244" s="15"/>
      <c r="VVA244" s="15"/>
      <c r="VVB244" s="15"/>
      <c r="VVC244" s="10"/>
      <c r="VVD244" s="10"/>
      <c r="VVE244" s="21"/>
      <c r="VVF244" s="21"/>
      <c r="VVI244" s="21"/>
      <c r="VVJ244" s="15"/>
      <c r="VVK244" s="15"/>
      <c r="VVL244" s="15"/>
      <c r="VVM244" s="15"/>
      <c r="VVN244" s="15"/>
      <c r="VVO244" s="15"/>
      <c r="VVP244" s="15"/>
      <c r="VVQ244" s="15"/>
      <c r="VVR244" s="15"/>
      <c r="VVS244" s="15"/>
      <c r="VVT244" s="10"/>
      <c r="VVU244" s="10"/>
      <c r="VVV244" s="21"/>
      <c r="VVW244" s="21"/>
      <c r="VVZ244" s="21"/>
      <c r="VWA244" s="15"/>
      <c r="VWB244" s="15"/>
      <c r="VWC244" s="15"/>
      <c r="VWD244" s="15"/>
      <c r="VWE244" s="15"/>
      <c r="VWF244" s="15"/>
      <c r="VWG244" s="15"/>
      <c r="VWH244" s="15"/>
      <c r="VWI244" s="15"/>
      <c r="VWJ244" s="15"/>
      <c r="VWK244" s="10"/>
      <c r="VWL244" s="10"/>
      <c r="VWM244" s="21"/>
      <c r="VWN244" s="21"/>
      <c r="VWQ244" s="21"/>
      <c r="VWR244" s="15"/>
      <c r="VWS244" s="15"/>
      <c r="VWT244" s="15"/>
      <c r="VWU244" s="15"/>
      <c r="VWV244" s="15"/>
      <c r="VWW244" s="15"/>
      <c r="VWX244" s="15"/>
      <c r="VWY244" s="15"/>
      <c r="VWZ244" s="15"/>
      <c r="VXA244" s="15"/>
      <c r="VXB244" s="10"/>
      <c r="VXC244" s="10"/>
      <c r="VXD244" s="21"/>
      <c r="VXE244" s="21"/>
      <c r="VXH244" s="21"/>
      <c r="VXI244" s="15"/>
      <c r="VXJ244" s="15"/>
      <c r="VXK244" s="15"/>
      <c r="VXL244" s="15"/>
      <c r="VXM244" s="15"/>
      <c r="VXN244" s="15"/>
      <c r="VXO244" s="15"/>
      <c r="VXP244" s="15"/>
      <c r="VXQ244" s="15"/>
      <c r="VXR244" s="15"/>
      <c r="VXS244" s="10"/>
      <c r="VXT244" s="10"/>
      <c r="VXU244" s="21"/>
      <c r="VXV244" s="21"/>
      <c r="VXY244" s="21"/>
      <c r="VXZ244" s="15"/>
      <c r="VYA244" s="15"/>
      <c r="VYB244" s="15"/>
      <c r="VYC244" s="15"/>
      <c r="VYD244" s="15"/>
      <c r="VYE244" s="15"/>
      <c r="VYF244" s="15"/>
      <c r="VYG244" s="15"/>
      <c r="VYH244" s="15"/>
      <c r="VYI244" s="15"/>
      <c r="VYJ244" s="10"/>
      <c r="VYK244" s="10"/>
      <c r="VYL244" s="21"/>
      <c r="VYM244" s="21"/>
      <c r="VYP244" s="21"/>
      <c r="VYQ244" s="15"/>
      <c r="VYR244" s="15"/>
      <c r="VYS244" s="15"/>
      <c r="VYT244" s="15"/>
      <c r="VYU244" s="15"/>
      <c r="VYV244" s="15"/>
      <c r="VYW244" s="15"/>
      <c r="VYX244" s="15"/>
      <c r="VYY244" s="15"/>
      <c r="VYZ244" s="15"/>
      <c r="VZA244" s="10"/>
      <c r="VZB244" s="10"/>
      <c r="VZC244" s="21"/>
      <c r="VZD244" s="21"/>
      <c r="VZG244" s="21"/>
      <c r="VZH244" s="15"/>
      <c r="VZI244" s="15"/>
      <c r="VZJ244" s="15"/>
      <c r="VZK244" s="15"/>
      <c r="VZL244" s="15"/>
      <c r="VZM244" s="15"/>
      <c r="VZN244" s="15"/>
      <c r="VZO244" s="15"/>
      <c r="VZP244" s="15"/>
      <c r="VZQ244" s="15"/>
      <c r="VZR244" s="10"/>
      <c r="VZS244" s="10"/>
      <c r="VZT244" s="21"/>
      <c r="VZU244" s="21"/>
      <c r="VZX244" s="21"/>
      <c r="VZY244" s="15"/>
      <c r="VZZ244" s="15"/>
      <c r="WAA244" s="15"/>
      <c r="WAB244" s="15"/>
      <c r="WAC244" s="15"/>
      <c r="WAD244" s="15"/>
      <c r="WAE244" s="15"/>
      <c r="WAF244" s="15"/>
      <c r="WAG244" s="15"/>
      <c r="WAH244" s="15"/>
      <c r="WAI244" s="10"/>
      <c r="WAJ244" s="10"/>
      <c r="WAK244" s="21"/>
      <c r="WAL244" s="21"/>
      <c r="WAO244" s="21"/>
      <c r="WAP244" s="15"/>
      <c r="WAQ244" s="15"/>
      <c r="WAR244" s="15"/>
      <c r="WAS244" s="15"/>
      <c r="WAT244" s="15"/>
      <c r="WAU244" s="15"/>
      <c r="WAV244" s="15"/>
      <c r="WAW244" s="15"/>
      <c r="WAX244" s="15"/>
      <c r="WAY244" s="15"/>
      <c r="WAZ244" s="10"/>
      <c r="WBA244" s="10"/>
      <c r="WBB244" s="21"/>
      <c r="WBC244" s="21"/>
      <c r="WBF244" s="21"/>
      <c r="WBG244" s="15"/>
      <c r="WBH244" s="15"/>
      <c r="WBI244" s="15"/>
      <c r="WBJ244" s="15"/>
      <c r="WBK244" s="15"/>
      <c r="WBL244" s="15"/>
      <c r="WBM244" s="15"/>
      <c r="WBN244" s="15"/>
      <c r="WBO244" s="15"/>
      <c r="WBP244" s="15"/>
      <c r="WBQ244" s="10"/>
      <c r="WBR244" s="10"/>
      <c r="WBS244" s="21"/>
      <c r="WBT244" s="21"/>
      <c r="WBW244" s="21"/>
      <c r="WBX244" s="15"/>
      <c r="WBY244" s="15"/>
      <c r="WBZ244" s="15"/>
      <c r="WCA244" s="15"/>
      <c r="WCB244" s="15"/>
      <c r="WCC244" s="15"/>
      <c r="WCD244" s="15"/>
      <c r="WCE244" s="15"/>
      <c r="WCF244" s="15"/>
      <c r="WCG244" s="15"/>
      <c r="WCH244" s="10"/>
      <c r="WCI244" s="10"/>
      <c r="WCJ244" s="21"/>
      <c r="WCK244" s="21"/>
      <c r="WCN244" s="21"/>
      <c r="WCO244" s="15"/>
      <c r="WCP244" s="15"/>
      <c r="WCQ244" s="15"/>
      <c r="WCR244" s="15"/>
      <c r="WCS244" s="15"/>
      <c r="WCT244" s="15"/>
      <c r="WCU244" s="15"/>
      <c r="WCV244" s="15"/>
      <c r="WCW244" s="15"/>
      <c r="WCX244" s="15"/>
      <c r="WCY244" s="10"/>
      <c r="WCZ244" s="10"/>
      <c r="WDA244" s="21"/>
      <c r="WDB244" s="21"/>
      <c r="WDE244" s="21"/>
      <c r="WDF244" s="15"/>
      <c r="WDG244" s="15"/>
      <c r="WDH244" s="15"/>
      <c r="WDI244" s="15"/>
      <c r="WDJ244" s="15"/>
      <c r="WDK244" s="15"/>
      <c r="WDL244" s="15"/>
      <c r="WDM244" s="15"/>
      <c r="WDN244" s="15"/>
      <c r="WDO244" s="15"/>
      <c r="WDP244" s="10"/>
      <c r="WDQ244" s="10"/>
      <c r="WDR244" s="21"/>
      <c r="WDS244" s="21"/>
      <c r="WDV244" s="21"/>
      <c r="WDW244" s="15"/>
      <c r="WDX244" s="15"/>
      <c r="WDY244" s="15"/>
      <c r="WDZ244" s="15"/>
      <c r="WEA244" s="15"/>
      <c r="WEB244" s="15"/>
      <c r="WEC244" s="15"/>
      <c r="WED244" s="15"/>
      <c r="WEE244" s="15"/>
      <c r="WEF244" s="15"/>
      <c r="WEG244" s="10"/>
      <c r="WEH244" s="10"/>
      <c r="WEI244" s="21"/>
      <c r="WEJ244" s="21"/>
      <c r="WEM244" s="21"/>
      <c r="WEN244" s="15"/>
      <c r="WEO244" s="15"/>
      <c r="WEP244" s="15"/>
      <c r="WEQ244" s="15"/>
      <c r="WER244" s="15"/>
      <c r="WES244" s="15"/>
      <c r="WET244" s="15"/>
      <c r="WEU244" s="15"/>
      <c r="WEV244" s="15"/>
      <c r="WEW244" s="15"/>
      <c r="WEX244" s="10"/>
      <c r="WEY244" s="10"/>
      <c r="WEZ244" s="21"/>
      <c r="WFA244" s="21"/>
      <c r="WFD244" s="21"/>
      <c r="WFE244" s="15"/>
      <c r="WFF244" s="15"/>
      <c r="WFG244" s="15"/>
      <c r="WFH244" s="15"/>
      <c r="WFI244" s="15"/>
      <c r="WFJ244" s="15"/>
      <c r="WFK244" s="15"/>
      <c r="WFL244" s="15"/>
      <c r="WFM244" s="15"/>
      <c r="WFN244" s="15"/>
      <c r="WFO244" s="10"/>
      <c r="WFP244" s="10"/>
      <c r="WFQ244" s="21"/>
      <c r="WFR244" s="21"/>
      <c r="WFU244" s="21"/>
      <c r="WFV244" s="15"/>
      <c r="WFW244" s="15"/>
      <c r="WFX244" s="15"/>
      <c r="WFY244" s="15"/>
      <c r="WFZ244" s="15"/>
      <c r="WGA244" s="15"/>
      <c r="WGB244" s="15"/>
      <c r="WGC244" s="15"/>
      <c r="WGD244" s="15"/>
      <c r="WGE244" s="15"/>
      <c r="WGF244" s="10"/>
      <c r="WGG244" s="10"/>
      <c r="WGH244" s="21"/>
      <c r="WGI244" s="21"/>
      <c r="WGL244" s="21"/>
      <c r="WGM244" s="15"/>
      <c r="WGN244" s="15"/>
      <c r="WGO244" s="15"/>
      <c r="WGP244" s="15"/>
      <c r="WGQ244" s="15"/>
      <c r="WGR244" s="15"/>
      <c r="WGS244" s="15"/>
      <c r="WGT244" s="15"/>
      <c r="WGU244" s="15"/>
      <c r="WGV244" s="15"/>
      <c r="WGW244" s="10"/>
      <c r="WGX244" s="10"/>
      <c r="WGY244" s="21"/>
      <c r="WGZ244" s="21"/>
      <c r="WHC244" s="21"/>
      <c r="WHD244" s="15"/>
      <c r="WHE244" s="15"/>
      <c r="WHF244" s="15"/>
      <c r="WHG244" s="15"/>
      <c r="WHH244" s="15"/>
      <c r="WHI244" s="15"/>
      <c r="WHJ244" s="15"/>
      <c r="WHK244" s="15"/>
      <c r="WHL244" s="15"/>
      <c r="WHM244" s="15"/>
      <c r="WHN244" s="10"/>
      <c r="WHO244" s="10"/>
      <c r="WHP244" s="21"/>
      <c r="WHQ244" s="21"/>
      <c r="WHT244" s="21"/>
      <c r="WHU244" s="15"/>
      <c r="WHV244" s="15"/>
      <c r="WHW244" s="15"/>
      <c r="WHX244" s="15"/>
      <c r="WHY244" s="15"/>
      <c r="WHZ244" s="15"/>
      <c r="WIA244" s="15"/>
      <c r="WIB244" s="15"/>
      <c r="WIC244" s="15"/>
      <c r="WID244" s="15"/>
      <c r="WIE244" s="10"/>
      <c r="WIF244" s="10"/>
      <c r="WIG244" s="21"/>
      <c r="WIH244" s="21"/>
      <c r="WIK244" s="21"/>
      <c r="WIL244" s="15"/>
      <c r="WIM244" s="15"/>
      <c r="WIN244" s="15"/>
      <c r="WIO244" s="15"/>
      <c r="WIP244" s="15"/>
      <c r="WIQ244" s="15"/>
      <c r="WIR244" s="15"/>
      <c r="WIS244" s="15"/>
      <c r="WIT244" s="15"/>
      <c r="WIU244" s="15"/>
      <c r="WIV244" s="10"/>
      <c r="WIW244" s="10"/>
      <c r="WIX244" s="21"/>
      <c r="WIY244" s="21"/>
      <c r="WJB244" s="21"/>
      <c r="WJC244" s="15"/>
      <c r="WJD244" s="15"/>
      <c r="WJE244" s="15"/>
      <c r="WJF244" s="15"/>
      <c r="WJG244" s="15"/>
      <c r="WJH244" s="15"/>
      <c r="WJI244" s="15"/>
      <c r="WJJ244" s="15"/>
      <c r="WJK244" s="15"/>
      <c r="WJL244" s="15"/>
      <c r="WJM244" s="10"/>
      <c r="WJN244" s="10"/>
      <c r="WJO244" s="21"/>
      <c r="WJP244" s="21"/>
      <c r="WJS244" s="21"/>
      <c r="WJT244" s="15"/>
      <c r="WJU244" s="15"/>
      <c r="WJV244" s="15"/>
      <c r="WJW244" s="15"/>
      <c r="WJX244" s="15"/>
      <c r="WJY244" s="15"/>
      <c r="WJZ244" s="15"/>
      <c r="WKA244" s="15"/>
      <c r="WKB244" s="15"/>
      <c r="WKC244" s="15"/>
      <c r="WKD244" s="10"/>
      <c r="WKE244" s="10"/>
      <c r="WKF244" s="21"/>
      <c r="WKG244" s="21"/>
      <c r="WKJ244" s="21"/>
      <c r="WKK244" s="15"/>
      <c r="WKL244" s="15"/>
      <c r="WKM244" s="15"/>
      <c r="WKN244" s="15"/>
      <c r="WKO244" s="15"/>
      <c r="WKP244" s="15"/>
      <c r="WKQ244" s="15"/>
      <c r="WKR244" s="15"/>
      <c r="WKS244" s="15"/>
      <c r="WKT244" s="15"/>
      <c r="WKU244" s="10"/>
      <c r="WKV244" s="10"/>
      <c r="WKW244" s="21"/>
      <c r="WKX244" s="21"/>
      <c r="WLA244" s="21"/>
      <c r="WLB244" s="15"/>
      <c r="WLC244" s="15"/>
      <c r="WLD244" s="15"/>
      <c r="WLE244" s="15"/>
      <c r="WLF244" s="15"/>
      <c r="WLG244" s="15"/>
      <c r="WLH244" s="15"/>
      <c r="WLI244" s="15"/>
      <c r="WLJ244" s="15"/>
      <c r="WLK244" s="15"/>
      <c r="WLL244" s="10"/>
      <c r="WLM244" s="10"/>
      <c r="WLN244" s="21"/>
      <c r="WLO244" s="21"/>
      <c r="WLR244" s="21"/>
      <c r="WLS244" s="15"/>
      <c r="WLT244" s="15"/>
      <c r="WLU244" s="15"/>
      <c r="WLV244" s="15"/>
      <c r="WLW244" s="15"/>
      <c r="WLX244" s="15"/>
      <c r="WLY244" s="15"/>
      <c r="WLZ244" s="15"/>
      <c r="WMA244" s="15"/>
      <c r="WMB244" s="15"/>
      <c r="WMC244" s="10"/>
      <c r="WMD244" s="10"/>
      <c r="WME244" s="21"/>
      <c r="WMF244" s="21"/>
      <c r="WMI244" s="21"/>
      <c r="WMJ244" s="15"/>
      <c r="WMK244" s="15"/>
      <c r="WML244" s="15"/>
      <c r="WMM244" s="15"/>
      <c r="WMN244" s="15"/>
      <c r="WMO244" s="15"/>
      <c r="WMP244" s="15"/>
      <c r="WMQ244" s="15"/>
      <c r="WMR244" s="15"/>
      <c r="WMS244" s="15"/>
      <c r="WMT244" s="10"/>
      <c r="WMU244" s="10"/>
      <c r="WMV244" s="21"/>
      <c r="WMW244" s="21"/>
      <c r="WMZ244" s="21"/>
      <c r="WNA244" s="15"/>
      <c r="WNB244" s="15"/>
      <c r="WNC244" s="15"/>
      <c r="WND244" s="15"/>
      <c r="WNE244" s="15"/>
      <c r="WNF244" s="15"/>
      <c r="WNG244" s="15"/>
      <c r="WNH244" s="15"/>
      <c r="WNI244" s="15"/>
      <c r="WNJ244" s="15"/>
      <c r="WNK244" s="10"/>
      <c r="WNL244" s="10"/>
      <c r="WNM244" s="21"/>
      <c r="WNN244" s="21"/>
      <c r="WNQ244" s="21"/>
      <c r="WNR244" s="15"/>
      <c r="WNS244" s="15"/>
      <c r="WNT244" s="15"/>
      <c r="WNU244" s="15"/>
      <c r="WNV244" s="15"/>
      <c r="WNW244" s="15"/>
      <c r="WNX244" s="15"/>
      <c r="WNY244" s="15"/>
      <c r="WNZ244" s="15"/>
      <c r="WOA244" s="15"/>
      <c r="WOB244" s="10"/>
      <c r="WOC244" s="10"/>
      <c r="WOD244" s="21"/>
      <c r="WOE244" s="21"/>
      <c r="WOH244" s="21"/>
      <c r="WOI244" s="15"/>
      <c r="WOJ244" s="15"/>
      <c r="WOK244" s="15"/>
      <c r="WOL244" s="15"/>
      <c r="WOM244" s="15"/>
      <c r="WON244" s="15"/>
      <c r="WOO244" s="15"/>
      <c r="WOP244" s="15"/>
      <c r="WOQ244" s="15"/>
      <c r="WOR244" s="15"/>
      <c r="WOS244" s="10"/>
      <c r="WOT244" s="10"/>
      <c r="WOU244" s="21"/>
      <c r="WOV244" s="21"/>
      <c r="WOY244" s="21"/>
      <c r="WOZ244" s="15"/>
      <c r="WPA244" s="15"/>
      <c r="WPB244" s="15"/>
      <c r="WPC244" s="15"/>
      <c r="WPD244" s="15"/>
      <c r="WPE244" s="15"/>
      <c r="WPF244" s="15"/>
      <c r="WPG244" s="15"/>
      <c r="WPH244" s="15"/>
      <c r="WPI244" s="15"/>
      <c r="WPJ244" s="10"/>
      <c r="WPK244" s="10"/>
      <c r="WPL244" s="21"/>
      <c r="WPM244" s="21"/>
      <c r="WPP244" s="21"/>
      <c r="WPQ244" s="15"/>
      <c r="WPR244" s="15"/>
      <c r="WPS244" s="15"/>
      <c r="WPT244" s="15"/>
      <c r="WPU244" s="15"/>
      <c r="WPV244" s="15"/>
      <c r="WPW244" s="15"/>
      <c r="WPX244" s="15"/>
      <c r="WPY244" s="15"/>
      <c r="WPZ244" s="15"/>
      <c r="WQA244" s="10"/>
      <c r="WQB244" s="10"/>
      <c r="WQC244" s="21"/>
      <c r="WQD244" s="21"/>
      <c r="WQG244" s="21"/>
      <c r="WQH244" s="15"/>
      <c r="WQI244" s="15"/>
      <c r="WQJ244" s="15"/>
      <c r="WQK244" s="15"/>
      <c r="WQL244" s="15"/>
      <c r="WQM244" s="15"/>
      <c r="WQN244" s="15"/>
      <c r="WQO244" s="15"/>
      <c r="WQP244" s="15"/>
      <c r="WQQ244" s="15"/>
      <c r="WQR244" s="10"/>
      <c r="WQS244" s="10"/>
      <c r="WQT244" s="21"/>
      <c r="WQU244" s="21"/>
      <c r="WQX244" s="21"/>
      <c r="WQY244" s="15"/>
      <c r="WQZ244" s="15"/>
      <c r="WRA244" s="15"/>
      <c r="WRB244" s="15"/>
      <c r="WRC244" s="15"/>
      <c r="WRD244" s="15"/>
      <c r="WRE244" s="15"/>
      <c r="WRF244" s="15"/>
      <c r="WRG244" s="15"/>
      <c r="WRH244" s="15"/>
      <c r="WRI244" s="10"/>
      <c r="WRJ244" s="10"/>
      <c r="WRK244" s="21"/>
      <c r="WRL244" s="21"/>
      <c r="WRO244" s="21"/>
      <c r="WRP244" s="15"/>
      <c r="WRQ244" s="15"/>
      <c r="WRR244" s="15"/>
      <c r="WRS244" s="15"/>
      <c r="WRT244" s="15"/>
      <c r="WRU244" s="15"/>
      <c r="WRV244" s="15"/>
      <c r="WRW244" s="15"/>
      <c r="WRX244" s="15"/>
      <c r="WRY244" s="15"/>
      <c r="WRZ244" s="10"/>
      <c r="WSA244" s="10"/>
      <c r="WSB244" s="21"/>
      <c r="WSC244" s="21"/>
      <c r="WSF244" s="21"/>
      <c r="WSG244" s="15"/>
      <c r="WSH244" s="15"/>
      <c r="WSI244" s="15"/>
      <c r="WSJ244" s="15"/>
      <c r="WSK244" s="15"/>
      <c r="WSL244" s="15"/>
      <c r="WSM244" s="15"/>
      <c r="WSN244" s="15"/>
      <c r="WSO244" s="15"/>
      <c r="WSP244" s="15"/>
      <c r="WSQ244" s="10"/>
      <c r="WSR244" s="10"/>
      <c r="WSS244" s="21"/>
      <c r="WST244" s="21"/>
      <c r="WSW244" s="21"/>
      <c r="WSX244" s="15"/>
      <c r="WSY244" s="15"/>
      <c r="WSZ244" s="15"/>
      <c r="WTA244" s="15"/>
      <c r="WTB244" s="15"/>
      <c r="WTC244" s="15"/>
      <c r="WTD244" s="15"/>
      <c r="WTE244" s="15"/>
      <c r="WTF244" s="15"/>
      <c r="WTG244" s="15"/>
      <c r="WTH244" s="10"/>
      <c r="WTI244" s="10"/>
      <c r="WTJ244" s="21"/>
      <c r="WTK244" s="21"/>
      <c r="WTN244" s="21"/>
      <c r="WTO244" s="15"/>
      <c r="WTP244" s="15"/>
      <c r="WTQ244" s="15"/>
      <c r="WTR244" s="15"/>
      <c r="WTS244" s="15"/>
      <c r="WTT244" s="15"/>
      <c r="WTU244" s="15"/>
      <c r="WTV244" s="15"/>
      <c r="WTW244" s="15"/>
      <c r="WTX244" s="15"/>
      <c r="WTY244" s="10"/>
      <c r="WTZ244" s="10"/>
      <c r="WUA244" s="21"/>
      <c r="WUB244" s="21"/>
      <c r="WUE244" s="21"/>
      <c r="WUF244" s="15"/>
      <c r="WUG244" s="15"/>
      <c r="WUH244" s="15"/>
      <c r="WUI244" s="15"/>
      <c r="WUJ244" s="15"/>
      <c r="WUK244" s="15"/>
      <c r="WUL244" s="15"/>
      <c r="WUM244" s="15"/>
      <c r="WUN244" s="15"/>
      <c r="WUO244" s="15"/>
      <c r="WUP244" s="10"/>
      <c r="WUQ244" s="10"/>
      <c r="WUR244" s="21"/>
      <c r="WUS244" s="21"/>
      <c r="WUV244" s="21"/>
      <c r="WUW244" s="15"/>
      <c r="WUX244" s="15"/>
      <c r="WUY244" s="15"/>
      <c r="WUZ244" s="15"/>
      <c r="WVA244" s="15"/>
      <c r="WVB244" s="15"/>
      <c r="WVC244" s="15"/>
      <c r="WVD244" s="15"/>
      <c r="WVE244" s="15"/>
      <c r="WVF244" s="15"/>
      <c r="WVG244" s="10"/>
      <c r="WVH244" s="10"/>
      <c r="WVI244" s="21"/>
      <c r="WVJ244" s="21"/>
      <c r="WVM244" s="21"/>
      <c r="WVN244" s="15"/>
      <c r="WVO244" s="15"/>
      <c r="WVP244" s="15"/>
      <c r="WVQ244" s="15"/>
      <c r="WVR244" s="15"/>
      <c r="WVS244" s="15"/>
      <c r="WVT244" s="15"/>
      <c r="WVU244" s="15"/>
      <c r="WVV244" s="15"/>
      <c r="WVW244" s="15"/>
      <c r="WVX244" s="10"/>
      <c r="WVY244" s="10"/>
      <c r="WVZ244" s="21"/>
      <c r="WWA244" s="21"/>
      <c r="WWD244" s="21"/>
      <c r="WWE244" s="15"/>
      <c r="WWF244" s="15"/>
      <c r="WWG244" s="15"/>
      <c r="WWH244" s="15"/>
      <c r="WWI244" s="15"/>
      <c r="WWJ244" s="15"/>
      <c r="WWK244" s="15"/>
      <c r="WWL244" s="15"/>
      <c r="WWM244" s="15"/>
      <c r="WWN244" s="15"/>
      <c r="WWO244" s="10"/>
      <c r="WWP244" s="10"/>
      <c r="WWQ244" s="21"/>
      <c r="WWR244" s="21"/>
      <c r="WWU244" s="21"/>
      <c r="WWV244" s="15"/>
      <c r="WWW244" s="15"/>
      <c r="WWX244" s="15"/>
      <c r="WWY244" s="15"/>
      <c r="WWZ244" s="15"/>
      <c r="WXA244" s="15"/>
      <c r="WXB244" s="15"/>
      <c r="WXC244" s="15"/>
      <c r="WXD244" s="15"/>
      <c r="WXE244" s="15"/>
      <c r="WXF244" s="10"/>
      <c r="WXG244" s="10"/>
      <c r="WXH244" s="21"/>
      <c r="WXI244" s="21"/>
      <c r="WXL244" s="21"/>
      <c r="WXM244" s="15"/>
      <c r="WXN244" s="15"/>
      <c r="WXO244" s="15"/>
      <c r="WXP244" s="15"/>
      <c r="WXQ244" s="15"/>
      <c r="WXR244" s="15"/>
      <c r="WXS244" s="15"/>
      <c r="WXT244" s="15"/>
      <c r="WXU244" s="15"/>
      <c r="WXV244" s="15"/>
      <c r="WXW244" s="10"/>
      <c r="WXX244" s="10"/>
      <c r="WXY244" s="21"/>
      <c r="WXZ244" s="21"/>
      <c r="WYC244" s="21"/>
      <c r="WYD244" s="15"/>
      <c r="WYE244" s="15"/>
      <c r="WYF244" s="15"/>
      <c r="WYG244" s="15"/>
      <c r="WYH244" s="15"/>
      <c r="WYI244" s="15"/>
      <c r="WYJ244" s="15"/>
      <c r="WYK244" s="15"/>
      <c r="WYL244" s="15"/>
      <c r="WYM244" s="15"/>
      <c r="WYN244" s="10"/>
      <c r="WYO244" s="10"/>
      <c r="WYP244" s="21"/>
      <c r="WYQ244" s="21"/>
      <c r="WYT244" s="21"/>
      <c r="WYU244" s="15"/>
      <c r="WYV244" s="15"/>
      <c r="WYW244" s="15"/>
      <c r="WYX244" s="15"/>
      <c r="WYY244" s="15"/>
      <c r="WYZ244" s="15"/>
      <c r="WZA244" s="15"/>
      <c r="WZB244" s="15"/>
      <c r="WZC244" s="15"/>
      <c r="WZD244" s="15"/>
      <c r="WZE244" s="10"/>
      <c r="WZF244" s="10"/>
      <c r="WZG244" s="21"/>
      <c r="WZH244" s="21"/>
      <c r="WZK244" s="21"/>
      <c r="WZL244" s="15"/>
      <c r="WZM244" s="15"/>
      <c r="WZN244" s="15"/>
      <c r="WZO244" s="15"/>
      <c r="WZP244" s="15"/>
      <c r="WZQ244" s="15"/>
      <c r="WZR244" s="15"/>
      <c r="WZS244" s="15"/>
      <c r="WZT244" s="15"/>
      <c r="WZU244" s="15"/>
      <c r="WZV244" s="10"/>
      <c r="WZW244" s="10"/>
      <c r="WZX244" s="21"/>
      <c r="WZY244" s="21"/>
      <c r="XAB244" s="21"/>
      <c r="XAC244" s="15"/>
      <c r="XAD244" s="15"/>
      <c r="XAE244" s="15"/>
      <c r="XAF244" s="15"/>
      <c r="XAG244" s="15"/>
      <c r="XAH244" s="15"/>
      <c r="XAI244" s="15"/>
      <c r="XAJ244" s="15"/>
      <c r="XAK244" s="15"/>
      <c r="XAL244" s="15"/>
      <c r="XAM244" s="10"/>
      <c r="XAN244" s="10"/>
      <c r="XAO244" s="21"/>
      <c r="XAP244" s="21"/>
      <c r="XAS244" s="21"/>
      <c r="XAT244" s="15"/>
      <c r="XAU244" s="15"/>
      <c r="XAV244" s="15"/>
      <c r="XAW244" s="15"/>
      <c r="XAX244" s="15"/>
      <c r="XAY244" s="15"/>
      <c r="XAZ244" s="15"/>
      <c r="XBA244" s="15"/>
      <c r="XBB244" s="15"/>
      <c r="XBC244" s="15"/>
      <c r="XBD244" s="10"/>
      <c r="XBE244" s="10"/>
      <c r="XBF244" s="21"/>
      <c r="XBG244" s="21"/>
      <c r="XBJ244" s="21"/>
      <c r="XBK244" s="15"/>
      <c r="XBL244" s="15"/>
      <c r="XBM244" s="15"/>
      <c r="XBN244" s="15"/>
      <c r="XBO244" s="15"/>
      <c r="XBP244" s="15"/>
      <c r="XBQ244" s="15"/>
      <c r="XBR244" s="15"/>
      <c r="XBS244" s="15"/>
      <c r="XBT244" s="15"/>
      <c r="XBU244" s="10"/>
      <c r="XBV244" s="10"/>
      <c r="XBW244" s="21"/>
      <c r="XBX244" s="21"/>
      <c r="XCA244" s="21"/>
      <c r="XCB244" s="15"/>
      <c r="XCC244" s="15"/>
      <c r="XCD244" s="15"/>
      <c r="XCE244" s="15"/>
      <c r="XCF244" s="15"/>
      <c r="XCG244" s="15"/>
      <c r="XCH244" s="15"/>
      <c r="XCI244" s="15"/>
      <c r="XCJ244" s="15"/>
      <c r="XCK244" s="15"/>
      <c r="XCL244" s="10"/>
      <c r="XCM244" s="10"/>
      <c r="XCN244" s="21"/>
      <c r="XCO244" s="21"/>
      <c r="XCR244" s="21"/>
      <c r="XCS244" s="15"/>
      <c r="XCT244" s="15"/>
      <c r="XCU244" s="15"/>
      <c r="XCV244" s="15"/>
      <c r="XCW244" s="15"/>
      <c r="XCX244" s="15"/>
      <c r="XCY244" s="15"/>
      <c r="XCZ244" s="15"/>
      <c r="XDA244" s="15"/>
      <c r="XDB244" s="15"/>
      <c r="XDC244" s="10"/>
      <c r="XDD244" s="10"/>
      <c r="XDE244" s="21"/>
      <c r="XDF244" s="21"/>
      <c r="XDI244" s="21"/>
      <c r="XDJ244" s="15"/>
      <c r="XDK244" s="15"/>
      <c r="XDL244" s="15"/>
      <c r="XDM244" s="15"/>
      <c r="XDN244" s="15"/>
      <c r="XDO244" s="15"/>
      <c r="XDP244" s="15"/>
      <c r="XDQ244" s="15"/>
      <c r="XDR244" s="15"/>
      <c r="XDS244" s="15"/>
      <c r="XDT244" s="10"/>
      <c r="XDU244" s="10"/>
      <c r="XDV244" s="21"/>
      <c r="XDW244" s="21"/>
      <c r="XDZ244" s="21"/>
      <c r="XEA244" s="15"/>
      <c r="XEB244" s="15"/>
      <c r="XEC244" s="15"/>
      <c r="XED244" s="15"/>
      <c r="XEE244" s="15"/>
      <c r="XEF244" s="15"/>
      <c r="XEG244" s="15"/>
      <c r="XEH244" s="15"/>
      <c r="XEI244" s="15"/>
      <c r="XEJ244" s="15"/>
      <c r="XEK244" s="10"/>
      <c r="XEL244" s="10"/>
      <c r="XEM244" s="21"/>
      <c r="XEN244" s="21"/>
      <c r="XEQ244" s="21"/>
      <c r="XER244" s="15"/>
      <c r="XES244" s="15"/>
      <c r="XET244" s="15"/>
      <c r="XEU244" s="15"/>
      <c r="XEV244" s="15"/>
      <c r="XEW244" s="15"/>
      <c r="XEX244" s="15"/>
      <c r="XEY244" s="15"/>
      <c r="XEZ244" s="15"/>
      <c r="XFA244" s="15"/>
      <c r="XFB244" s="10"/>
      <c r="XFC244" s="10"/>
      <c r="XFD244" s="21"/>
    </row>
    <row r="245" spans="1:4094 4097:8191 8194:12288 12291:16384" s="1" customFormat="1" ht="14.25" customHeight="1" x14ac:dyDescent="0.25">
      <c r="A245" s="31">
        <v>0</v>
      </c>
      <c r="B245" s="31">
        <v>1</v>
      </c>
      <c r="C245" s="31">
        <v>6</v>
      </c>
      <c r="D245" s="32" t="s">
        <v>517</v>
      </c>
      <c r="E245" s="32" t="s">
        <v>166</v>
      </c>
      <c r="F245" s="32" t="s">
        <v>518</v>
      </c>
      <c r="G245" s="32" t="s">
        <v>519</v>
      </c>
      <c r="H245" s="32" t="s">
        <v>352</v>
      </c>
      <c r="I245" s="31" t="s">
        <v>520</v>
      </c>
      <c r="J245" s="31">
        <v>99</v>
      </c>
      <c r="K245" s="33" t="s">
        <v>693</v>
      </c>
      <c r="L245" s="33">
        <v>40</v>
      </c>
      <c r="M245" s="34" t="s">
        <v>953</v>
      </c>
      <c r="N245" s="34" t="s">
        <v>1808</v>
      </c>
      <c r="O245" s="35">
        <v>1</v>
      </c>
      <c r="P245" s="35"/>
      <c r="Q245" s="32"/>
      <c r="S245" s="1">
        <f t="shared" si="73"/>
        <v>0</v>
      </c>
      <c r="T245" s="1">
        <f t="shared" si="74"/>
        <v>0</v>
      </c>
      <c r="U245" s="1">
        <f t="shared" si="75"/>
        <v>0</v>
      </c>
      <c r="V245" s="1">
        <f t="shared" si="76"/>
        <v>0</v>
      </c>
      <c r="W245" s="1">
        <f t="shared" si="77"/>
        <v>0</v>
      </c>
      <c r="X245" s="1">
        <f t="shared" si="78"/>
        <v>0</v>
      </c>
      <c r="Y245" s="1">
        <f t="shared" si="79"/>
        <v>0</v>
      </c>
      <c r="Z245" s="1">
        <f t="shared" si="80"/>
        <v>0</v>
      </c>
      <c r="AA245" s="1">
        <f t="shared" si="81"/>
        <v>0</v>
      </c>
      <c r="AB245" s="1">
        <f t="shared" si="82"/>
        <v>0</v>
      </c>
      <c r="AD245" s="1">
        <f t="shared" si="83"/>
        <v>0</v>
      </c>
      <c r="AE245" s="1">
        <f t="shared" si="84"/>
        <v>1</v>
      </c>
      <c r="AF245" s="1">
        <f t="shared" si="85"/>
        <v>0</v>
      </c>
      <c r="AG245" s="1">
        <f t="shared" si="86"/>
        <v>1</v>
      </c>
      <c r="AH245" s="1">
        <f t="shared" si="87"/>
        <v>0</v>
      </c>
      <c r="AI245" s="1">
        <f t="shared" si="88"/>
        <v>1</v>
      </c>
    </row>
    <row r="246" spans="1:4094 4097:8191 8194:12288 12291:16384" s="1" customFormat="1" ht="13.9" customHeight="1" x14ac:dyDescent="0.25">
      <c r="A246" s="38">
        <v>0</v>
      </c>
      <c r="B246" s="38">
        <v>1</v>
      </c>
      <c r="C246" s="38">
        <v>6</v>
      </c>
      <c r="D246" s="39" t="s">
        <v>1796</v>
      </c>
      <c r="E246" s="39" t="s">
        <v>1797</v>
      </c>
      <c r="F246" s="39" t="s">
        <v>1798</v>
      </c>
      <c r="G246" s="39"/>
      <c r="H246" s="39" t="s">
        <v>352</v>
      </c>
      <c r="I246" s="38" t="s">
        <v>1799</v>
      </c>
      <c r="J246" s="38"/>
      <c r="K246" s="40" t="s">
        <v>694</v>
      </c>
      <c r="L246" s="40"/>
      <c r="M246" s="41"/>
      <c r="N246" s="42"/>
      <c r="O246" s="43"/>
      <c r="P246" s="43">
        <v>1</v>
      </c>
      <c r="Q246" s="39"/>
      <c r="S246" s="1">
        <f t="shared" si="73"/>
        <v>0</v>
      </c>
      <c r="T246" s="1">
        <f t="shared" si="74"/>
        <v>0</v>
      </c>
      <c r="U246" s="1">
        <f t="shared" si="75"/>
        <v>0</v>
      </c>
      <c r="V246" s="1">
        <f t="shared" si="76"/>
        <v>0</v>
      </c>
      <c r="W246" s="1">
        <f t="shared" si="77"/>
        <v>0</v>
      </c>
      <c r="X246" s="1">
        <f t="shared" si="78"/>
        <v>0</v>
      </c>
      <c r="Y246" s="1">
        <f t="shared" si="79"/>
        <v>0</v>
      </c>
      <c r="Z246" s="1">
        <f t="shared" si="80"/>
        <v>0</v>
      </c>
      <c r="AA246" s="1">
        <f t="shared" si="81"/>
        <v>0</v>
      </c>
      <c r="AB246" s="1">
        <f t="shared" si="82"/>
        <v>0</v>
      </c>
      <c r="AD246" s="1">
        <f t="shared" si="83"/>
        <v>0</v>
      </c>
      <c r="AE246" s="1">
        <f t="shared" si="84"/>
        <v>0</v>
      </c>
      <c r="AF246" s="1">
        <f t="shared" si="85"/>
        <v>0</v>
      </c>
      <c r="AG246" s="1">
        <f t="shared" si="86"/>
        <v>0</v>
      </c>
      <c r="AH246" s="1">
        <f t="shared" si="87"/>
        <v>1</v>
      </c>
      <c r="AI246" s="1">
        <f t="shared" si="88"/>
        <v>0</v>
      </c>
    </row>
    <row r="247" spans="1:4094 4097:8191 8194:12288 12291:16384" s="1" customFormat="1" ht="14.25" customHeight="1" x14ac:dyDescent="0.25">
      <c r="A247" s="31">
        <v>0</v>
      </c>
      <c r="B247" s="31">
        <v>1</v>
      </c>
      <c r="C247" s="31">
        <v>6</v>
      </c>
      <c r="D247" s="32" t="s">
        <v>2045</v>
      </c>
      <c r="E247" s="32" t="s">
        <v>166</v>
      </c>
      <c r="F247" s="32" t="s">
        <v>2046</v>
      </c>
      <c r="G247" s="32"/>
      <c r="H247" s="32" t="s">
        <v>352</v>
      </c>
      <c r="I247" s="31" t="s">
        <v>2047</v>
      </c>
      <c r="J247" s="31"/>
      <c r="K247" s="33" t="s">
        <v>694</v>
      </c>
      <c r="L247" s="33"/>
      <c r="M247" s="34"/>
      <c r="N247" s="34" t="s">
        <v>1708</v>
      </c>
      <c r="O247" s="35">
        <v>1</v>
      </c>
      <c r="P247" s="35"/>
      <c r="Q247" s="32" t="s">
        <v>2048</v>
      </c>
      <c r="S247" s="1">
        <f t="shared" si="73"/>
        <v>0</v>
      </c>
      <c r="T247" s="1">
        <f t="shared" si="74"/>
        <v>0</v>
      </c>
      <c r="U247" s="1">
        <f t="shared" si="75"/>
        <v>0</v>
      </c>
      <c r="V247" s="1">
        <f t="shared" si="76"/>
        <v>0</v>
      </c>
      <c r="W247" s="1">
        <f t="shared" si="77"/>
        <v>0</v>
      </c>
      <c r="X247" s="1">
        <f t="shared" si="78"/>
        <v>0</v>
      </c>
      <c r="Y247" s="1">
        <f t="shared" si="79"/>
        <v>0</v>
      </c>
      <c r="Z247" s="1">
        <f t="shared" si="80"/>
        <v>0</v>
      </c>
      <c r="AA247" s="1">
        <f t="shared" si="81"/>
        <v>0</v>
      </c>
      <c r="AB247" s="1">
        <f t="shared" si="82"/>
        <v>0</v>
      </c>
      <c r="AD247" s="1">
        <f t="shared" si="83"/>
        <v>0</v>
      </c>
      <c r="AE247" s="1">
        <f t="shared" si="84"/>
        <v>1</v>
      </c>
      <c r="AF247" s="1">
        <f t="shared" si="85"/>
        <v>0</v>
      </c>
      <c r="AG247" s="1">
        <f t="shared" si="86"/>
        <v>1</v>
      </c>
      <c r="AH247" s="1">
        <f t="shared" si="87"/>
        <v>0</v>
      </c>
      <c r="AI247" s="1">
        <f t="shared" si="88"/>
        <v>1</v>
      </c>
    </row>
    <row r="248" spans="1:4094 4097:8191 8194:12288 12291:16384" s="1" customFormat="1" ht="13.9" customHeight="1" x14ac:dyDescent="0.25">
      <c r="A248" s="31">
        <v>0</v>
      </c>
      <c r="B248" s="31">
        <v>1</v>
      </c>
      <c r="C248" s="31">
        <v>6</v>
      </c>
      <c r="D248" s="32" t="s">
        <v>1449</v>
      </c>
      <c r="E248" s="32" t="s">
        <v>166</v>
      </c>
      <c r="F248" s="32" t="s">
        <v>1451</v>
      </c>
      <c r="G248" s="32" t="s">
        <v>1452</v>
      </c>
      <c r="H248" s="32" t="s">
        <v>352</v>
      </c>
      <c r="I248" s="31" t="s">
        <v>1450</v>
      </c>
      <c r="J248" s="31">
        <v>99</v>
      </c>
      <c r="K248" s="33" t="s">
        <v>694</v>
      </c>
      <c r="L248" s="33">
        <v>62</v>
      </c>
      <c r="M248" s="34"/>
      <c r="N248" s="34" t="s">
        <v>1709</v>
      </c>
      <c r="O248" s="35">
        <v>1</v>
      </c>
      <c r="P248" s="35"/>
      <c r="Q248" s="32"/>
      <c r="S248" s="1">
        <f t="shared" si="73"/>
        <v>0</v>
      </c>
      <c r="T248" s="1">
        <f t="shared" si="74"/>
        <v>0</v>
      </c>
      <c r="U248" s="1">
        <f t="shared" si="75"/>
        <v>0</v>
      </c>
      <c r="V248" s="1">
        <f t="shared" si="76"/>
        <v>0</v>
      </c>
      <c r="W248" s="1">
        <f t="shared" si="77"/>
        <v>0</v>
      </c>
      <c r="X248" s="1">
        <f t="shared" si="78"/>
        <v>0</v>
      </c>
      <c r="Y248" s="1">
        <f t="shared" si="79"/>
        <v>0</v>
      </c>
      <c r="Z248" s="1">
        <f t="shared" si="80"/>
        <v>0</v>
      </c>
      <c r="AA248" s="1">
        <f t="shared" si="81"/>
        <v>0</v>
      </c>
      <c r="AB248" s="1">
        <f t="shared" si="82"/>
        <v>0</v>
      </c>
      <c r="AD248" s="1">
        <f t="shared" si="83"/>
        <v>0</v>
      </c>
      <c r="AE248" s="1">
        <f t="shared" si="84"/>
        <v>1</v>
      </c>
      <c r="AF248" s="1">
        <f t="shared" si="85"/>
        <v>0</v>
      </c>
      <c r="AG248" s="1">
        <f t="shared" si="86"/>
        <v>1</v>
      </c>
      <c r="AH248" s="1">
        <f t="shared" si="87"/>
        <v>0</v>
      </c>
      <c r="AI248" s="1">
        <f t="shared" si="88"/>
        <v>1</v>
      </c>
    </row>
    <row r="249" spans="1:4094 4097:8191 8194:12288 12291:16384" s="1" customFormat="1" ht="14.25" customHeight="1" x14ac:dyDescent="0.25">
      <c r="A249" s="31">
        <v>0</v>
      </c>
      <c r="B249" s="31">
        <v>1</v>
      </c>
      <c r="C249" s="31">
        <v>6</v>
      </c>
      <c r="D249" s="32" t="s">
        <v>1171</v>
      </c>
      <c r="E249" s="32" t="s">
        <v>164</v>
      </c>
      <c r="F249" s="32" t="s">
        <v>1637</v>
      </c>
      <c r="G249" s="32" t="s">
        <v>212</v>
      </c>
      <c r="H249" s="32" t="s">
        <v>352</v>
      </c>
      <c r="I249" s="31" t="s">
        <v>1172</v>
      </c>
      <c r="J249" s="31">
        <v>1</v>
      </c>
      <c r="K249" s="33" t="s">
        <v>943</v>
      </c>
      <c r="L249" s="33" t="s">
        <v>678</v>
      </c>
      <c r="M249" s="34" t="s">
        <v>1539</v>
      </c>
      <c r="N249" s="34" t="s">
        <v>1715</v>
      </c>
      <c r="O249" s="35">
        <v>1</v>
      </c>
      <c r="P249" s="35"/>
      <c r="Q249" s="32"/>
      <c r="S249" s="1">
        <f t="shared" si="73"/>
        <v>1</v>
      </c>
      <c r="T249" s="1">
        <f t="shared" si="74"/>
        <v>0</v>
      </c>
      <c r="U249" s="1">
        <f t="shared" si="75"/>
        <v>0</v>
      </c>
      <c r="V249" s="1">
        <f t="shared" si="76"/>
        <v>0</v>
      </c>
      <c r="W249" s="1">
        <f t="shared" si="77"/>
        <v>0</v>
      </c>
      <c r="X249" s="1">
        <f t="shared" si="78"/>
        <v>0</v>
      </c>
      <c r="Y249" s="1">
        <f t="shared" si="79"/>
        <v>0</v>
      </c>
      <c r="Z249" s="1">
        <f t="shared" si="80"/>
        <v>0</v>
      </c>
      <c r="AA249" s="1">
        <f t="shared" si="81"/>
        <v>0</v>
      </c>
      <c r="AB249" s="1">
        <f t="shared" si="82"/>
        <v>0</v>
      </c>
      <c r="AD249" s="1">
        <f t="shared" si="83"/>
        <v>0</v>
      </c>
      <c r="AE249" s="1">
        <f t="shared" si="84"/>
        <v>1</v>
      </c>
      <c r="AF249" s="1">
        <f t="shared" si="85"/>
        <v>0</v>
      </c>
      <c r="AG249" s="1">
        <f t="shared" si="86"/>
        <v>1</v>
      </c>
      <c r="AH249" s="1">
        <f t="shared" si="87"/>
        <v>0</v>
      </c>
      <c r="AI249" s="1">
        <f t="shared" si="88"/>
        <v>1</v>
      </c>
    </row>
    <row r="250" spans="1:4094 4097:8191 8194:12288 12291:16384" s="1" customFormat="1" ht="14.25" customHeight="1" x14ac:dyDescent="0.25">
      <c r="A250" s="31">
        <v>0</v>
      </c>
      <c r="B250" s="31">
        <v>1</v>
      </c>
      <c r="C250" s="31">
        <v>6</v>
      </c>
      <c r="D250" s="32" t="s">
        <v>2025</v>
      </c>
      <c r="E250" s="32" t="s">
        <v>2026</v>
      </c>
      <c r="F250" s="32" t="s">
        <v>2027</v>
      </c>
      <c r="G250" s="32" t="s">
        <v>207</v>
      </c>
      <c r="H250" s="32" t="s">
        <v>352</v>
      </c>
      <c r="I250" s="31" t="s">
        <v>2028</v>
      </c>
      <c r="J250" s="31">
        <v>3</v>
      </c>
      <c r="K250" s="33" t="s">
        <v>694</v>
      </c>
      <c r="L250" s="33">
        <v>30</v>
      </c>
      <c r="M250" s="34" t="s">
        <v>2029</v>
      </c>
      <c r="N250" s="34" t="s">
        <v>1808</v>
      </c>
      <c r="O250" s="35">
        <v>1</v>
      </c>
      <c r="P250" s="35"/>
      <c r="Q250" s="32"/>
      <c r="S250" s="1">
        <f t="shared" si="73"/>
        <v>0</v>
      </c>
      <c r="T250" s="1">
        <f t="shared" si="74"/>
        <v>0</v>
      </c>
      <c r="U250" s="1">
        <f t="shared" si="75"/>
        <v>1</v>
      </c>
      <c r="V250" s="1">
        <f t="shared" si="76"/>
        <v>0</v>
      </c>
      <c r="W250" s="1">
        <f t="shared" si="77"/>
        <v>0</v>
      </c>
      <c r="X250" s="1">
        <f t="shared" si="78"/>
        <v>0</v>
      </c>
      <c r="Y250" s="1">
        <f t="shared" si="79"/>
        <v>0</v>
      </c>
      <c r="Z250" s="1">
        <f t="shared" si="80"/>
        <v>0</v>
      </c>
      <c r="AA250" s="1">
        <f t="shared" si="81"/>
        <v>0</v>
      </c>
      <c r="AB250" s="1">
        <f t="shared" si="82"/>
        <v>0</v>
      </c>
      <c r="AD250" s="1">
        <f t="shared" si="83"/>
        <v>0</v>
      </c>
      <c r="AE250" s="1">
        <f t="shared" si="84"/>
        <v>1</v>
      </c>
      <c r="AF250" s="1">
        <f t="shared" si="85"/>
        <v>0</v>
      </c>
      <c r="AG250" s="1">
        <f t="shared" si="86"/>
        <v>1</v>
      </c>
      <c r="AH250" s="1">
        <f t="shared" si="87"/>
        <v>0</v>
      </c>
      <c r="AI250" s="1">
        <f t="shared" si="88"/>
        <v>1</v>
      </c>
    </row>
    <row r="251" spans="1:4094 4097:8191 8194:12288 12291:16384" s="1" customFormat="1" ht="14.25" customHeight="1" x14ac:dyDescent="0.25">
      <c r="A251" s="31">
        <v>0</v>
      </c>
      <c r="B251" s="31">
        <v>1</v>
      </c>
      <c r="C251" s="31">
        <v>6</v>
      </c>
      <c r="D251" s="32" t="s">
        <v>97</v>
      </c>
      <c r="E251" s="32" t="s">
        <v>166</v>
      </c>
      <c r="F251" s="32" t="s">
        <v>294</v>
      </c>
      <c r="G251" s="32" t="s">
        <v>283</v>
      </c>
      <c r="H251" s="32" t="s">
        <v>352</v>
      </c>
      <c r="I251" s="31" t="s">
        <v>1099</v>
      </c>
      <c r="J251" s="31">
        <v>10</v>
      </c>
      <c r="K251" s="33" t="s">
        <v>937</v>
      </c>
      <c r="L251" s="33" t="s">
        <v>685</v>
      </c>
      <c r="M251" s="34" t="s">
        <v>696</v>
      </c>
      <c r="N251" s="34" t="s">
        <v>1709</v>
      </c>
      <c r="O251" s="35">
        <v>1</v>
      </c>
      <c r="P251" s="35"/>
      <c r="Q251" s="32"/>
      <c r="S251" s="1">
        <f t="shared" si="73"/>
        <v>0</v>
      </c>
      <c r="T251" s="1">
        <f t="shared" si="74"/>
        <v>0</v>
      </c>
      <c r="U251" s="1">
        <f t="shared" si="75"/>
        <v>0</v>
      </c>
      <c r="V251" s="1">
        <f t="shared" si="76"/>
        <v>0</v>
      </c>
      <c r="W251" s="1">
        <f t="shared" si="77"/>
        <v>0</v>
      </c>
      <c r="X251" s="1">
        <f t="shared" si="78"/>
        <v>0</v>
      </c>
      <c r="Y251" s="1">
        <f t="shared" si="79"/>
        <v>0</v>
      </c>
      <c r="Z251" s="1">
        <f t="shared" si="80"/>
        <v>0</v>
      </c>
      <c r="AA251" s="1">
        <f t="shared" si="81"/>
        <v>0</v>
      </c>
      <c r="AB251" s="1">
        <f t="shared" si="82"/>
        <v>1</v>
      </c>
      <c r="AD251" s="1">
        <f t="shared" si="83"/>
        <v>0</v>
      </c>
      <c r="AE251" s="1">
        <f t="shared" si="84"/>
        <v>1</v>
      </c>
      <c r="AF251" s="1">
        <f t="shared" si="85"/>
        <v>0</v>
      </c>
      <c r="AG251" s="1">
        <f t="shared" si="86"/>
        <v>1</v>
      </c>
      <c r="AH251" s="1">
        <f t="shared" si="87"/>
        <v>0</v>
      </c>
      <c r="AI251" s="1">
        <f t="shared" si="88"/>
        <v>1</v>
      </c>
    </row>
    <row r="252" spans="1:4094 4097:8191 8194:12288 12291:16384" s="1" customFormat="1" ht="14.25" customHeight="1" x14ac:dyDescent="0.25">
      <c r="A252" s="31">
        <v>0</v>
      </c>
      <c r="B252" s="31">
        <v>1</v>
      </c>
      <c r="C252" s="31">
        <v>6</v>
      </c>
      <c r="D252" s="32" t="s">
        <v>595</v>
      </c>
      <c r="E252" s="32" t="s">
        <v>164</v>
      </c>
      <c r="F252" s="32" t="s">
        <v>597</v>
      </c>
      <c r="G252" s="32" t="s">
        <v>39</v>
      </c>
      <c r="H252" s="32" t="s">
        <v>352</v>
      </c>
      <c r="I252" s="31" t="s">
        <v>596</v>
      </c>
      <c r="J252" s="31">
        <v>99</v>
      </c>
      <c r="K252" s="33" t="s">
        <v>937</v>
      </c>
      <c r="L252" s="33" t="s">
        <v>684</v>
      </c>
      <c r="M252" s="34" t="s">
        <v>951</v>
      </c>
      <c r="N252" s="34" t="s">
        <v>1709</v>
      </c>
      <c r="O252" s="35">
        <v>1</v>
      </c>
      <c r="P252" s="35"/>
      <c r="Q252" s="32"/>
      <c r="S252" s="1">
        <f t="shared" si="73"/>
        <v>0</v>
      </c>
      <c r="T252" s="1">
        <f t="shared" si="74"/>
        <v>0</v>
      </c>
      <c r="U252" s="1">
        <f t="shared" si="75"/>
        <v>0</v>
      </c>
      <c r="V252" s="1">
        <f t="shared" si="76"/>
        <v>0</v>
      </c>
      <c r="W252" s="1">
        <f t="shared" si="77"/>
        <v>0</v>
      </c>
      <c r="X252" s="1">
        <f t="shared" si="78"/>
        <v>0</v>
      </c>
      <c r="Y252" s="1">
        <f t="shared" si="79"/>
        <v>0</v>
      </c>
      <c r="Z252" s="1">
        <f t="shared" si="80"/>
        <v>0</v>
      </c>
      <c r="AA252" s="1">
        <f t="shared" si="81"/>
        <v>0</v>
      </c>
      <c r="AB252" s="1">
        <f t="shared" si="82"/>
        <v>0</v>
      </c>
      <c r="AD252" s="1">
        <f t="shared" si="83"/>
        <v>0</v>
      </c>
      <c r="AE252" s="1">
        <f t="shared" si="84"/>
        <v>1</v>
      </c>
      <c r="AF252" s="1">
        <f t="shared" si="85"/>
        <v>0</v>
      </c>
      <c r="AG252" s="1">
        <f t="shared" si="86"/>
        <v>1</v>
      </c>
      <c r="AH252" s="1">
        <f t="shared" si="87"/>
        <v>0</v>
      </c>
      <c r="AI252" s="1">
        <f t="shared" si="88"/>
        <v>1</v>
      </c>
    </row>
    <row r="253" spans="1:4094 4097:8191 8194:12288 12291:16384" s="1" customFormat="1" ht="14.25" customHeight="1" x14ac:dyDescent="0.25">
      <c r="A253" s="31">
        <v>0</v>
      </c>
      <c r="B253" s="31">
        <v>1</v>
      </c>
      <c r="C253" s="31">
        <v>6</v>
      </c>
      <c r="D253" s="32" t="s">
        <v>1140</v>
      </c>
      <c r="E253" s="32" t="s">
        <v>164</v>
      </c>
      <c r="F253" s="32" t="s">
        <v>1142</v>
      </c>
      <c r="G253" s="32" t="s">
        <v>219</v>
      </c>
      <c r="H253" s="32" t="s">
        <v>352</v>
      </c>
      <c r="I253" s="31" t="s">
        <v>1141</v>
      </c>
      <c r="J253" s="31">
        <v>8</v>
      </c>
      <c r="K253" s="33" t="s">
        <v>693</v>
      </c>
      <c r="L253" s="33" t="s">
        <v>1679</v>
      </c>
      <c r="M253" s="34" t="s">
        <v>1374</v>
      </c>
      <c r="N253" s="34" t="s">
        <v>1708</v>
      </c>
      <c r="O253" s="35">
        <v>1</v>
      </c>
      <c r="P253" s="35"/>
      <c r="Q253" s="32"/>
      <c r="S253" s="1">
        <f t="shared" si="73"/>
        <v>0</v>
      </c>
      <c r="T253" s="1">
        <f t="shared" si="74"/>
        <v>0</v>
      </c>
      <c r="U253" s="1">
        <f t="shared" si="75"/>
        <v>0</v>
      </c>
      <c r="V253" s="1">
        <f t="shared" si="76"/>
        <v>0</v>
      </c>
      <c r="W253" s="1">
        <f t="shared" si="77"/>
        <v>0</v>
      </c>
      <c r="X253" s="1">
        <f t="shared" si="78"/>
        <v>0</v>
      </c>
      <c r="Y253" s="1">
        <f t="shared" si="79"/>
        <v>0</v>
      </c>
      <c r="Z253" s="1">
        <f t="shared" si="80"/>
        <v>1</v>
      </c>
      <c r="AA253" s="1">
        <f t="shared" si="81"/>
        <v>0</v>
      </c>
      <c r="AB253" s="1">
        <f t="shared" si="82"/>
        <v>0</v>
      </c>
      <c r="AD253" s="1">
        <f t="shared" si="83"/>
        <v>0</v>
      </c>
      <c r="AE253" s="1">
        <f t="shared" si="84"/>
        <v>1</v>
      </c>
      <c r="AF253" s="1">
        <f t="shared" si="85"/>
        <v>0</v>
      </c>
      <c r="AG253" s="1">
        <f t="shared" si="86"/>
        <v>1</v>
      </c>
      <c r="AH253" s="1">
        <f t="shared" si="87"/>
        <v>0</v>
      </c>
      <c r="AI253" s="1">
        <f t="shared" si="88"/>
        <v>1</v>
      </c>
    </row>
    <row r="254" spans="1:4094 4097:8191 8194:12288 12291:16384" s="1" customFormat="1" ht="14.25" customHeight="1" x14ac:dyDescent="0.25">
      <c r="A254" s="31">
        <v>0</v>
      </c>
      <c r="B254" s="31">
        <v>1</v>
      </c>
      <c r="C254" s="31">
        <v>6</v>
      </c>
      <c r="D254" s="32" t="s">
        <v>558</v>
      </c>
      <c r="E254" s="32" t="s">
        <v>166</v>
      </c>
      <c r="F254" s="32" t="s">
        <v>653</v>
      </c>
      <c r="G254" s="32" t="s">
        <v>201</v>
      </c>
      <c r="H254" s="32" t="s">
        <v>352</v>
      </c>
      <c r="I254" s="31" t="s">
        <v>575</v>
      </c>
      <c r="J254" s="31">
        <v>10</v>
      </c>
      <c r="K254" s="33" t="s">
        <v>943</v>
      </c>
      <c r="L254" s="33" t="s">
        <v>684</v>
      </c>
      <c r="M254" s="34" t="s">
        <v>696</v>
      </c>
      <c r="N254" s="34" t="s">
        <v>1708</v>
      </c>
      <c r="O254" s="35">
        <v>1</v>
      </c>
      <c r="P254" s="35"/>
      <c r="Q254" s="36"/>
      <c r="S254" s="1">
        <f t="shared" si="73"/>
        <v>0</v>
      </c>
      <c r="T254" s="1">
        <f t="shared" si="74"/>
        <v>0</v>
      </c>
      <c r="U254" s="1">
        <f t="shared" si="75"/>
        <v>0</v>
      </c>
      <c r="V254" s="1">
        <f t="shared" si="76"/>
        <v>0</v>
      </c>
      <c r="W254" s="1">
        <f t="shared" si="77"/>
        <v>0</v>
      </c>
      <c r="X254" s="1">
        <f t="shared" si="78"/>
        <v>0</v>
      </c>
      <c r="Y254" s="1">
        <f t="shared" si="79"/>
        <v>0</v>
      </c>
      <c r="Z254" s="1">
        <f t="shared" si="80"/>
        <v>0</v>
      </c>
      <c r="AA254" s="1">
        <f t="shared" si="81"/>
        <v>0</v>
      </c>
      <c r="AB254" s="1">
        <f t="shared" si="82"/>
        <v>1</v>
      </c>
      <c r="AD254" s="1">
        <f t="shared" si="83"/>
        <v>0</v>
      </c>
      <c r="AE254" s="1">
        <f t="shared" si="84"/>
        <v>1</v>
      </c>
      <c r="AF254" s="1">
        <f t="shared" si="85"/>
        <v>0</v>
      </c>
      <c r="AG254" s="1">
        <f t="shared" si="86"/>
        <v>1</v>
      </c>
      <c r="AH254" s="1">
        <f t="shared" si="87"/>
        <v>0</v>
      </c>
      <c r="AI254" s="1">
        <f t="shared" si="88"/>
        <v>1</v>
      </c>
    </row>
    <row r="255" spans="1:4094 4097:8191 8194:12288 12291:16384" s="1" customFormat="1" ht="14.25" customHeight="1" x14ac:dyDescent="0.25">
      <c r="A255" s="31">
        <v>0</v>
      </c>
      <c r="B255" s="31">
        <v>1</v>
      </c>
      <c r="C255" s="31">
        <v>6</v>
      </c>
      <c r="D255" s="32" t="s">
        <v>880</v>
      </c>
      <c r="E255" s="32" t="s">
        <v>166</v>
      </c>
      <c r="F255" s="32" t="s">
        <v>920</v>
      </c>
      <c r="G255" s="32" t="s">
        <v>921</v>
      </c>
      <c r="H255" s="32" t="s">
        <v>352</v>
      </c>
      <c r="I255" s="31" t="s">
        <v>934</v>
      </c>
      <c r="J255" s="31">
        <v>99</v>
      </c>
      <c r="K255" s="33" t="s">
        <v>693</v>
      </c>
      <c r="L255" s="33" t="s">
        <v>680</v>
      </c>
      <c r="M255" s="34" t="s">
        <v>1375</v>
      </c>
      <c r="N255" s="34" t="s">
        <v>1721</v>
      </c>
      <c r="O255" s="35">
        <v>1</v>
      </c>
      <c r="P255" s="35"/>
      <c r="Q255" s="32"/>
      <c r="S255" s="1">
        <f t="shared" si="73"/>
        <v>0</v>
      </c>
      <c r="T255" s="1">
        <f t="shared" si="74"/>
        <v>0</v>
      </c>
      <c r="U255" s="1">
        <f t="shared" si="75"/>
        <v>0</v>
      </c>
      <c r="V255" s="1">
        <f t="shared" si="76"/>
        <v>0</v>
      </c>
      <c r="W255" s="1">
        <f t="shared" si="77"/>
        <v>0</v>
      </c>
      <c r="X255" s="1">
        <f t="shared" si="78"/>
        <v>0</v>
      </c>
      <c r="Y255" s="1">
        <f t="shared" si="79"/>
        <v>0</v>
      </c>
      <c r="Z255" s="1">
        <f t="shared" si="80"/>
        <v>0</v>
      </c>
      <c r="AA255" s="1">
        <f t="shared" si="81"/>
        <v>0</v>
      </c>
      <c r="AB255" s="1">
        <f t="shared" si="82"/>
        <v>0</v>
      </c>
      <c r="AD255" s="1">
        <f t="shared" si="83"/>
        <v>0</v>
      </c>
      <c r="AE255" s="1">
        <f t="shared" si="84"/>
        <v>1</v>
      </c>
      <c r="AF255" s="1">
        <f t="shared" si="85"/>
        <v>0</v>
      </c>
      <c r="AG255" s="1">
        <f t="shared" si="86"/>
        <v>1</v>
      </c>
      <c r="AH255" s="1">
        <f t="shared" si="87"/>
        <v>0</v>
      </c>
      <c r="AI255" s="1">
        <f t="shared" si="88"/>
        <v>1</v>
      </c>
    </row>
    <row r="256" spans="1:4094 4097:8191 8194:12288 12291:16384" s="1" customFormat="1" ht="14.25" customHeight="1" x14ac:dyDescent="0.25">
      <c r="A256" s="31">
        <v>0</v>
      </c>
      <c r="B256" s="31">
        <v>1</v>
      </c>
      <c r="C256" s="31">
        <v>6</v>
      </c>
      <c r="D256" s="32" t="s">
        <v>99</v>
      </c>
      <c r="E256" s="32" t="s">
        <v>166</v>
      </c>
      <c r="F256" s="32" t="s">
        <v>654</v>
      </c>
      <c r="G256" s="32" t="s">
        <v>656</v>
      </c>
      <c r="H256" s="32" t="s">
        <v>352</v>
      </c>
      <c r="I256" s="31" t="s">
        <v>444</v>
      </c>
      <c r="J256" s="31">
        <v>99</v>
      </c>
      <c r="K256" s="33" t="s">
        <v>713</v>
      </c>
      <c r="L256" s="33" t="s">
        <v>687</v>
      </c>
      <c r="M256" s="34" t="s">
        <v>698</v>
      </c>
      <c r="N256" s="34" t="s">
        <v>1709</v>
      </c>
      <c r="O256" s="35">
        <v>1</v>
      </c>
      <c r="P256" s="35"/>
      <c r="Q256" s="32"/>
      <c r="S256" s="1">
        <f t="shared" si="73"/>
        <v>0</v>
      </c>
      <c r="T256" s="1">
        <f t="shared" si="74"/>
        <v>0</v>
      </c>
      <c r="U256" s="1">
        <f t="shared" si="75"/>
        <v>0</v>
      </c>
      <c r="V256" s="1">
        <f t="shared" si="76"/>
        <v>0</v>
      </c>
      <c r="W256" s="1">
        <f t="shared" si="77"/>
        <v>0</v>
      </c>
      <c r="X256" s="1">
        <f t="shared" si="78"/>
        <v>0</v>
      </c>
      <c r="Y256" s="1">
        <f t="shared" si="79"/>
        <v>0</v>
      </c>
      <c r="Z256" s="1">
        <f t="shared" si="80"/>
        <v>0</v>
      </c>
      <c r="AA256" s="1">
        <f t="shared" si="81"/>
        <v>0</v>
      </c>
      <c r="AB256" s="1">
        <f t="shared" si="82"/>
        <v>0</v>
      </c>
      <c r="AD256" s="1">
        <f t="shared" si="83"/>
        <v>0</v>
      </c>
      <c r="AE256" s="1">
        <f t="shared" si="84"/>
        <v>1</v>
      </c>
      <c r="AF256" s="1">
        <f t="shared" si="85"/>
        <v>0</v>
      </c>
      <c r="AG256" s="1">
        <f t="shared" si="86"/>
        <v>1</v>
      </c>
      <c r="AH256" s="1">
        <f t="shared" si="87"/>
        <v>0</v>
      </c>
      <c r="AI256" s="1">
        <f t="shared" si="88"/>
        <v>1</v>
      </c>
    </row>
    <row r="257" spans="1:35" s="1" customFormat="1" ht="14.25" customHeight="1" x14ac:dyDescent="0.25">
      <c r="A257" s="31">
        <v>0</v>
      </c>
      <c r="B257" s="31">
        <v>1</v>
      </c>
      <c r="C257" s="31">
        <v>7</v>
      </c>
      <c r="D257" s="32" t="s">
        <v>86</v>
      </c>
      <c r="E257" s="32" t="s">
        <v>29</v>
      </c>
      <c r="F257" s="32" t="s">
        <v>655</v>
      </c>
      <c r="G257" s="32" t="s">
        <v>656</v>
      </c>
      <c r="H257" s="32" t="s">
        <v>352</v>
      </c>
      <c r="I257" s="31" t="s">
        <v>623</v>
      </c>
      <c r="J257" s="31">
        <v>99</v>
      </c>
      <c r="K257" s="33" t="s">
        <v>935</v>
      </c>
      <c r="L257" s="33" t="s">
        <v>684</v>
      </c>
      <c r="M257" s="34" t="s">
        <v>1376</v>
      </c>
      <c r="N257" s="34" t="s">
        <v>1693</v>
      </c>
      <c r="O257" s="35">
        <v>1</v>
      </c>
      <c r="P257" s="35">
        <v>1</v>
      </c>
      <c r="Q257" s="32"/>
      <c r="S257" s="1">
        <f t="shared" si="73"/>
        <v>0</v>
      </c>
      <c r="T257" s="1">
        <f t="shared" si="74"/>
        <v>0</v>
      </c>
      <c r="U257" s="1">
        <f t="shared" si="75"/>
        <v>0</v>
      </c>
      <c r="V257" s="1">
        <f t="shared" si="76"/>
        <v>0</v>
      </c>
      <c r="W257" s="1">
        <f t="shared" si="77"/>
        <v>0</v>
      </c>
      <c r="X257" s="1">
        <f t="shared" si="78"/>
        <v>0</v>
      </c>
      <c r="Y257" s="1">
        <f t="shared" si="79"/>
        <v>0</v>
      </c>
      <c r="Z257" s="1">
        <f t="shared" si="80"/>
        <v>0</v>
      </c>
      <c r="AA257" s="1">
        <f t="shared" si="81"/>
        <v>0</v>
      </c>
      <c r="AB257" s="1">
        <f t="shared" si="82"/>
        <v>0</v>
      </c>
      <c r="AD257" s="1">
        <f t="shared" si="83"/>
        <v>1</v>
      </c>
      <c r="AE257" s="1">
        <f t="shared" si="84"/>
        <v>0</v>
      </c>
      <c r="AF257" s="1">
        <f t="shared" si="85"/>
        <v>1</v>
      </c>
      <c r="AG257" s="1">
        <f t="shared" si="86"/>
        <v>0</v>
      </c>
      <c r="AH257" s="1">
        <f t="shared" si="87"/>
        <v>1</v>
      </c>
      <c r="AI257" s="1">
        <f t="shared" si="88"/>
        <v>0</v>
      </c>
    </row>
    <row r="258" spans="1:35" s="1" customFormat="1" ht="14.25" customHeight="1" x14ac:dyDescent="0.25">
      <c r="A258" s="31">
        <v>0</v>
      </c>
      <c r="B258" s="31">
        <v>1</v>
      </c>
      <c r="C258" s="31">
        <v>7</v>
      </c>
      <c r="D258" s="32" t="s">
        <v>642</v>
      </c>
      <c r="E258" s="32" t="s">
        <v>29</v>
      </c>
      <c r="F258" s="32" t="s">
        <v>618</v>
      </c>
      <c r="G258" s="32" t="s">
        <v>231</v>
      </c>
      <c r="H258" s="32" t="s">
        <v>352</v>
      </c>
      <c r="I258" s="31" t="s">
        <v>619</v>
      </c>
      <c r="J258" s="31">
        <v>99</v>
      </c>
      <c r="K258" s="33" t="s">
        <v>704</v>
      </c>
      <c r="L258" s="33" t="s">
        <v>687</v>
      </c>
      <c r="M258" s="34" t="s">
        <v>954</v>
      </c>
      <c r="N258" s="34" t="s">
        <v>1808</v>
      </c>
      <c r="O258" s="35">
        <v>1</v>
      </c>
      <c r="P258" s="35"/>
      <c r="Q258" s="32"/>
      <c r="S258" s="1">
        <f t="shared" si="73"/>
        <v>0</v>
      </c>
      <c r="T258" s="1">
        <f t="shared" si="74"/>
        <v>0</v>
      </c>
      <c r="U258" s="1">
        <f t="shared" si="75"/>
        <v>0</v>
      </c>
      <c r="V258" s="1">
        <f t="shared" si="76"/>
        <v>0</v>
      </c>
      <c r="W258" s="1">
        <f t="shared" si="77"/>
        <v>0</v>
      </c>
      <c r="X258" s="1">
        <f t="shared" si="78"/>
        <v>0</v>
      </c>
      <c r="Y258" s="1">
        <f t="shared" si="79"/>
        <v>0</v>
      </c>
      <c r="Z258" s="1">
        <f t="shared" si="80"/>
        <v>0</v>
      </c>
      <c r="AA258" s="1">
        <f t="shared" si="81"/>
        <v>0</v>
      </c>
      <c r="AB258" s="1">
        <f t="shared" si="82"/>
        <v>0</v>
      </c>
      <c r="AD258" s="1">
        <f t="shared" si="83"/>
        <v>0</v>
      </c>
      <c r="AE258" s="1">
        <f t="shared" si="84"/>
        <v>1</v>
      </c>
      <c r="AF258" s="1">
        <f t="shared" si="85"/>
        <v>0</v>
      </c>
      <c r="AG258" s="1">
        <f t="shared" si="86"/>
        <v>1</v>
      </c>
      <c r="AH258" s="1">
        <f t="shared" si="87"/>
        <v>0</v>
      </c>
      <c r="AI258" s="1">
        <f t="shared" si="88"/>
        <v>1</v>
      </c>
    </row>
    <row r="259" spans="1:35" s="1" customFormat="1" ht="14.25" customHeight="1" x14ac:dyDescent="0.25">
      <c r="A259" s="15">
        <v>0</v>
      </c>
      <c r="B259" s="15">
        <v>1</v>
      </c>
      <c r="C259" s="15">
        <v>7</v>
      </c>
      <c r="D259" s="16" t="s">
        <v>964</v>
      </c>
      <c r="E259" s="16" t="s">
        <v>29</v>
      </c>
      <c r="F259" s="16" t="s">
        <v>965</v>
      </c>
      <c r="G259" s="16" t="s">
        <v>966</v>
      </c>
      <c r="H259" s="16" t="s">
        <v>352</v>
      </c>
      <c r="I259" s="15" t="s">
        <v>963</v>
      </c>
      <c r="J259" s="15">
        <v>99</v>
      </c>
      <c r="K259" s="10" t="s">
        <v>694</v>
      </c>
      <c r="L259" s="10">
        <v>20</v>
      </c>
      <c r="M259" s="19" t="s">
        <v>954</v>
      </c>
      <c r="N259" s="19"/>
      <c r="Q259" s="16"/>
      <c r="S259" s="1">
        <f t="shared" si="73"/>
        <v>0</v>
      </c>
      <c r="T259" s="1">
        <f t="shared" si="74"/>
        <v>0</v>
      </c>
      <c r="U259" s="1">
        <f t="shared" si="75"/>
        <v>0</v>
      </c>
      <c r="V259" s="1">
        <f t="shared" si="76"/>
        <v>0</v>
      </c>
      <c r="W259" s="1">
        <f t="shared" si="77"/>
        <v>0</v>
      </c>
      <c r="X259" s="1">
        <f t="shared" si="78"/>
        <v>0</v>
      </c>
      <c r="Y259" s="1">
        <f t="shared" si="79"/>
        <v>0</v>
      </c>
      <c r="Z259" s="1">
        <f t="shared" si="80"/>
        <v>0</v>
      </c>
      <c r="AA259" s="1">
        <f t="shared" si="81"/>
        <v>0</v>
      </c>
      <c r="AB259" s="1">
        <f t="shared" si="82"/>
        <v>0</v>
      </c>
      <c r="AD259" s="1">
        <f t="shared" si="83"/>
        <v>0</v>
      </c>
      <c r="AE259" s="1">
        <f t="shared" si="84"/>
        <v>0</v>
      </c>
      <c r="AF259" s="1">
        <f t="shared" si="85"/>
        <v>0</v>
      </c>
      <c r="AG259" s="1">
        <f t="shared" si="86"/>
        <v>0</v>
      </c>
      <c r="AH259" s="1">
        <f t="shared" si="87"/>
        <v>0</v>
      </c>
      <c r="AI259" s="1">
        <f t="shared" si="88"/>
        <v>1</v>
      </c>
    </row>
    <row r="260" spans="1:35" s="1" customFormat="1" ht="14.25" customHeight="1" x14ac:dyDescent="0.25">
      <c r="A260" s="31">
        <v>0</v>
      </c>
      <c r="B260" s="31">
        <v>1</v>
      </c>
      <c r="C260" s="31">
        <v>7</v>
      </c>
      <c r="D260" s="32" t="s">
        <v>583</v>
      </c>
      <c r="E260" s="32" t="s">
        <v>29</v>
      </c>
      <c r="F260" s="32" t="s">
        <v>584</v>
      </c>
      <c r="G260" s="32" t="s">
        <v>1054</v>
      </c>
      <c r="H260" s="32" t="s">
        <v>352</v>
      </c>
      <c r="I260" s="31" t="s">
        <v>585</v>
      </c>
      <c r="J260" s="31">
        <v>99</v>
      </c>
      <c r="K260" s="33" t="s">
        <v>694</v>
      </c>
      <c r="L260" s="33">
        <v>35</v>
      </c>
      <c r="M260" s="34" t="s">
        <v>1376</v>
      </c>
      <c r="N260" s="34" t="s">
        <v>1693</v>
      </c>
      <c r="O260" s="35">
        <v>1</v>
      </c>
      <c r="P260" s="35">
        <v>1</v>
      </c>
      <c r="Q260" s="32"/>
      <c r="S260" s="1">
        <f t="shared" si="73"/>
        <v>0</v>
      </c>
      <c r="T260" s="1">
        <f t="shared" si="74"/>
        <v>0</v>
      </c>
      <c r="U260" s="1">
        <f t="shared" si="75"/>
        <v>0</v>
      </c>
      <c r="V260" s="1">
        <f t="shared" si="76"/>
        <v>0</v>
      </c>
      <c r="W260" s="1">
        <f t="shared" si="77"/>
        <v>0</v>
      </c>
      <c r="X260" s="1">
        <f t="shared" si="78"/>
        <v>0</v>
      </c>
      <c r="Y260" s="1">
        <f t="shared" si="79"/>
        <v>0</v>
      </c>
      <c r="Z260" s="1">
        <f t="shared" si="80"/>
        <v>0</v>
      </c>
      <c r="AA260" s="1">
        <f t="shared" si="81"/>
        <v>0</v>
      </c>
      <c r="AB260" s="1">
        <f t="shared" si="82"/>
        <v>0</v>
      </c>
      <c r="AD260" s="1">
        <f t="shared" si="83"/>
        <v>1</v>
      </c>
      <c r="AE260" s="1">
        <f t="shared" si="84"/>
        <v>0</v>
      </c>
      <c r="AF260" s="1">
        <f t="shared" si="85"/>
        <v>1</v>
      </c>
      <c r="AG260" s="1">
        <f t="shared" si="86"/>
        <v>0</v>
      </c>
      <c r="AH260" s="1">
        <f t="shared" si="87"/>
        <v>1</v>
      </c>
      <c r="AI260" s="1">
        <f t="shared" si="88"/>
        <v>0</v>
      </c>
    </row>
    <row r="261" spans="1:35" s="1" customFormat="1" ht="14.25" customHeight="1" x14ac:dyDescent="0.25">
      <c r="A261" s="31">
        <v>0</v>
      </c>
      <c r="B261" s="31">
        <v>1</v>
      </c>
      <c r="C261" s="31">
        <v>7</v>
      </c>
      <c r="D261" s="32" t="s">
        <v>1594</v>
      </c>
      <c r="E261" s="32" t="s">
        <v>29</v>
      </c>
      <c r="F261" s="32" t="s">
        <v>1648</v>
      </c>
      <c r="G261" s="32" t="s">
        <v>310</v>
      </c>
      <c r="H261" s="32" t="s">
        <v>352</v>
      </c>
      <c r="I261" s="31" t="s">
        <v>1595</v>
      </c>
      <c r="J261" s="31"/>
      <c r="K261" s="33" t="s">
        <v>704</v>
      </c>
      <c r="L261" s="33">
        <v>45</v>
      </c>
      <c r="M261" s="34" t="s">
        <v>1759</v>
      </c>
      <c r="N261" s="34" t="s">
        <v>1699</v>
      </c>
      <c r="O261" s="35">
        <v>1</v>
      </c>
      <c r="P261" s="35">
        <v>1</v>
      </c>
      <c r="Q261" s="32"/>
      <c r="S261" s="1">
        <f t="shared" si="73"/>
        <v>0</v>
      </c>
      <c r="T261" s="1">
        <f t="shared" si="74"/>
        <v>0</v>
      </c>
      <c r="U261" s="1">
        <f t="shared" si="75"/>
        <v>0</v>
      </c>
      <c r="V261" s="1">
        <f t="shared" si="76"/>
        <v>0</v>
      </c>
      <c r="W261" s="1">
        <f t="shared" si="77"/>
        <v>0</v>
      </c>
      <c r="X261" s="1">
        <f t="shared" si="78"/>
        <v>0</v>
      </c>
      <c r="Y261" s="1">
        <f t="shared" si="79"/>
        <v>0</v>
      </c>
      <c r="Z261" s="1">
        <f t="shared" si="80"/>
        <v>0</v>
      </c>
      <c r="AA261" s="1">
        <f t="shared" si="81"/>
        <v>0</v>
      </c>
      <c r="AB261" s="1">
        <f t="shared" si="82"/>
        <v>0</v>
      </c>
      <c r="AD261" s="1">
        <f t="shared" si="83"/>
        <v>1</v>
      </c>
      <c r="AE261" s="1">
        <f t="shared" si="84"/>
        <v>0</v>
      </c>
      <c r="AF261" s="1">
        <f t="shared" si="85"/>
        <v>1</v>
      </c>
      <c r="AG261" s="1">
        <f t="shared" si="86"/>
        <v>0</v>
      </c>
      <c r="AH261" s="1">
        <f t="shared" si="87"/>
        <v>1</v>
      </c>
      <c r="AI261" s="1">
        <f t="shared" si="88"/>
        <v>0</v>
      </c>
    </row>
    <row r="262" spans="1:35" s="1" customFormat="1" ht="14.25" customHeight="1" x14ac:dyDescent="0.25">
      <c r="A262" s="31">
        <v>0</v>
      </c>
      <c r="B262" s="31">
        <v>1</v>
      </c>
      <c r="C262" s="31">
        <v>7</v>
      </c>
      <c r="D262" s="32" t="s">
        <v>844</v>
      </c>
      <c r="E262" s="32" t="s">
        <v>29</v>
      </c>
      <c r="F262" s="32" t="s">
        <v>845</v>
      </c>
      <c r="G262" s="32" t="s">
        <v>201</v>
      </c>
      <c r="H262" s="32" t="s">
        <v>352</v>
      </c>
      <c r="I262" s="31" t="s">
        <v>846</v>
      </c>
      <c r="J262" s="31">
        <v>10</v>
      </c>
      <c r="K262" s="33" t="s">
        <v>704</v>
      </c>
      <c r="L262" s="33" t="s">
        <v>684</v>
      </c>
      <c r="M262" s="34" t="s">
        <v>1376</v>
      </c>
      <c r="N262" s="34" t="s">
        <v>1715</v>
      </c>
      <c r="O262" s="35">
        <v>1</v>
      </c>
      <c r="P262" s="35"/>
      <c r="Q262" s="32"/>
      <c r="S262" s="1">
        <f t="shared" si="73"/>
        <v>0</v>
      </c>
      <c r="T262" s="1">
        <f t="shared" si="74"/>
        <v>0</v>
      </c>
      <c r="U262" s="1">
        <f t="shared" si="75"/>
        <v>0</v>
      </c>
      <c r="V262" s="1">
        <f t="shared" si="76"/>
        <v>0</v>
      </c>
      <c r="W262" s="1">
        <f t="shared" si="77"/>
        <v>0</v>
      </c>
      <c r="X262" s="1">
        <f t="shared" si="78"/>
        <v>0</v>
      </c>
      <c r="Y262" s="1">
        <f t="shared" si="79"/>
        <v>0</v>
      </c>
      <c r="Z262" s="1">
        <f t="shared" si="80"/>
        <v>0</v>
      </c>
      <c r="AA262" s="1">
        <f t="shared" si="81"/>
        <v>0</v>
      </c>
      <c r="AB262" s="1">
        <f t="shared" si="82"/>
        <v>1</v>
      </c>
      <c r="AD262" s="1">
        <f t="shared" si="83"/>
        <v>0</v>
      </c>
      <c r="AE262" s="1">
        <f t="shared" si="84"/>
        <v>1</v>
      </c>
      <c r="AF262" s="1">
        <f t="shared" si="85"/>
        <v>0</v>
      </c>
      <c r="AG262" s="1">
        <f t="shared" si="86"/>
        <v>1</v>
      </c>
      <c r="AH262" s="1">
        <f t="shared" si="87"/>
        <v>0</v>
      </c>
      <c r="AI262" s="1">
        <f t="shared" si="88"/>
        <v>1</v>
      </c>
    </row>
    <row r="263" spans="1:35" s="1" customFormat="1" ht="14.25" customHeight="1" x14ac:dyDescent="0.25">
      <c r="A263" s="31">
        <v>0</v>
      </c>
      <c r="B263" s="31">
        <v>1</v>
      </c>
      <c r="C263" s="31">
        <v>7</v>
      </c>
      <c r="D263" s="32" t="s">
        <v>40</v>
      </c>
      <c r="E263" s="32" t="s">
        <v>29</v>
      </c>
      <c r="F263" s="32" t="s">
        <v>279</v>
      </c>
      <c r="G263" s="32" t="s">
        <v>229</v>
      </c>
      <c r="H263" s="32" t="s">
        <v>352</v>
      </c>
      <c r="I263" s="31" t="s">
        <v>433</v>
      </c>
      <c r="J263" s="31">
        <v>7</v>
      </c>
      <c r="K263" s="33" t="s">
        <v>704</v>
      </c>
      <c r="L263" s="33" t="s">
        <v>687</v>
      </c>
      <c r="M263" s="34" t="s">
        <v>954</v>
      </c>
      <c r="N263" s="34" t="s">
        <v>1693</v>
      </c>
      <c r="O263" s="35">
        <v>1</v>
      </c>
      <c r="P263" s="35">
        <v>1</v>
      </c>
      <c r="Q263" s="32"/>
      <c r="S263" s="1">
        <f t="shared" si="73"/>
        <v>0</v>
      </c>
      <c r="T263" s="1">
        <f t="shared" si="74"/>
        <v>0</v>
      </c>
      <c r="U263" s="1">
        <f t="shared" si="75"/>
        <v>0</v>
      </c>
      <c r="V263" s="1">
        <f t="shared" si="76"/>
        <v>0</v>
      </c>
      <c r="W263" s="1">
        <f t="shared" si="77"/>
        <v>0</v>
      </c>
      <c r="X263" s="1">
        <f t="shared" si="78"/>
        <v>0</v>
      </c>
      <c r="Y263" s="1">
        <f t="shared" si="79"/>
        <v>1</v>
      </c>
      <c r="Z263" s="1">
        <f t="shared" si="80"/>
        <v>0</v>
      </c>
      <c r="AA263" s="1">
        <f t="shared" si="81"/>
        <v>0</v>
      </c>
      <c r="AB263" s="1">
        <f t="shared" si="82"/>
        <v>0</v>
      </c>
      <c r="AD263" s="1">
        <f t="shared" si="83"/>
        <v>1</v>
      </c>
      <c r="AE263" s="1">
        <f t="shared" si="84"/>
        <v>0</v>
      </c>
      <c r="AF263" s="1">
        <f t="shared" si="85"/>
        <v>1</v>
      </c>
      <c r="AG263" s="1">
        <f t="shared" si="86"/>
        <v>0</v>
      </c>
      <c r="AH263" s="1">
        <f t="shared" si="87"/>
        <v>1</v>
      </c>
      <c r="AI263" s="1">
        <f t="shared" si="88"/>
        <v>0</v>
      </c>
    </row>
    <row r="264" spans="1:35" s="1" customFormat="1" ht="14.25" customHeight="1" x14ac:dyDescent="0.25">
      <c r="A264" s="31">
        <v>1</v>
      </c>
      <c r="B264" s="31">
        <v>1</v>
      </c>
      <c r="C264" s="31">
        <v>7</v>
      </c>
      <c r="D264" s="32" t="s">
        <v>40</v>
      </c>
      <c r="E264" s="32" t="s">
        <v>29</v>
      </c>
      <c r="F264" s="32" t="s">
        <v>1568</v>
      </c>
      <c r="G264" s="32" t="s">
        <v>39</v>
      </c>
      <c r="H264" s="32" t="s">
        <v>352</v>
      </c>
      <c r="I264" s="31" t="s">
        <v>1569</v>
      </c>
      <c r="J264" s="31">
        <v>99</v>
      </c>
      <c r="K264" s="33" t="s">
        <v>704</v>
      </c>
      <c r="L264" s="33" t="s">
        <v>687</v>
      </c>
      <c r="M264" s="34" t="s">
        <v>954</v>
      </c>
      <c r="N264" s="34" t="s">
        <v>1693</v>
      </c>
      <c r="O264" s="35">
        <v>1</v>
      </c>
      <c r="P264" s="35">
        <v>1</v>
      </c>
      <c r="Q264" s="32"/>
      <c r="S264" s="1">
        <f t="shared" si="73"/>
        <v>0</v>
      </c>
      <c r="T264" s="1">
        <f t="shared" si="74"/>
        <v>0</v>
      </c>
      <c r="U264" s="1">
        <f t="shared" si="75"/>
        <v>0</v>
      </c>
      <c r="V264" s="1">
        <f t="shared" si="76"/>
        <v>0</v>
      </c>
      <c r="W264" s="1">
        <f t="shared" si="77"/>
        <v>0</v>
      </c>
      <c r="X264" s="1">
        <f t="shared" si="78"/>
        <v>0</v>
      </c>
      <c r="Y264" s="1">
        <f t="shared" si="79"/>
        <v>0</v>
      </c>
      <c r="Z264" s="1">
        <f t="shared" si="80"/>
        <v>0</v>
      </c>
      <c r="AA264" s="1">
        <f t="shared" si="81"/>
        <v>0</v>
      </c>
      <c r="AB264" s="1">
        <f t="shared" si="82"/>
        <v>0</v>
      </c>
      <c r="AD264" s="1">
        <f t="shared" si="83"/>
        <v>1</v>
      </c>
      <c r="AE264" s="1">
        <f t="shared" si="84"/>
        <v>0</v>
      </c>
      <c r="AF264" s="1">
        <f t="shared" si="85"/>
        <v>0</v>
      </c>
      <c r="AG264" s="1">
        <f t="shared" si="86"/>
        <v>0</v>
      </c>
      <c r="AH264" s="1">
        <f t="shared" si="87"/>
        <v>0</v>
      </c>
      <c r="AI264" s="1">
        <f t="shared" si="88"/>
        <v>0</v>
      </c>
    </row>
    <row r="265" spans="1:35" s="1" customFormat="1" ht="14.25" customHeight="1" x14ac:dyDescent="0.25">
      <c r="A265" s="31">
        <v>0</v>
      </c>
      <c r="B265" s="31">
        <v>1</v>
      </c>
      <c r="C265" s="31">
        <v>7</v>
      </c>
      <c r="D265" s="32" t="s">
        <v>1453</v>
      </c>
      <c r="E265" s="32" t="s">
        <v>29</v>
      </c>
      <c r="F265" s="32" t="s">
        <v>985</v>
      </c>
      <c r="G265" s="32" t="s">
        <v>1083</v>
      </c>
      <c r="H265" s="32" t="s">
        <v>352</v>
      </c>
      <c r="I265" s="31" t="s">
        <v>1091</v>
      </c>
      <c r="J265" s="31">
        <v>10</v>
      </c>
      <c r="K265" s="33" t="s">
        <v>704</v>
      </c>
      <c r="L265" s="33" t="s">
        <v>685</v>
      </c>
      <c r="M265" s="34" t="s">
        <v>954</v>
      </c>
      <c r="N265" s="34" t="s">
        <v>1704</v>
      </c>
      <c r="O265" s="35">
        <v>1</v>
      </c>
      <c r="P265" s="35"/>
      <c r="Q265" s="32"/>
      <c r="S265" s="1">
        <f t="shared" si="73"/>
        <v>0</v>
      </c>
      <c r="T265" s="1">
        <f t="shared" si="74"/>
        <v>0</v>
      </c>
      <c r="U265" s="1">
        <f t="shared" si="75"/>
        <v>0</v>
      </c>
      <c r="V265" s="1">
        <f t="shared" si="76"/>
        <v>0</v>
      </c>
      <c r="W265" s="1">
        <f t="shared" si="77"/>
        <v>0</v>
      </c>
      <c r="X265" s="1">
        <f t="shared" si="78"/>
        <v>0</v>
      </c>
      <c r="Y265" s="1">
        <f t="shared" si="79"/>
        <v>0</v>
      </c>
      <c r="Z265" s="1">
        <f t="shared" si="80"/>
        <v>0</v>
      </c>
      <c r="AA265" s="1">
        <f t="shared" si="81"/>
        <v>0</v>
      </c>
      <c r="AB265" s="1">
        <f t="shared" si="82"/>
        <v>1</v>
      </c>
      <c r="AD265" s="1">
        <f t="shared" si="83"/>
        <v>0</v>
      </c>
      <c r="AE265" s="1">
        <f t="shared" si="84"/>
        <v>1</v>
      </c>
      <c r="AF265" s="1">
        <f t="shared" si="85"/>
        <v>0</v>
      </c>
      <c r="AG265" s="1">
        <f t="shared" si="86"/>
        <v>1</v>
      </c>
      <c r="AH265" s="1">
        <f t="shared" si="87"/>
        <v>0</v>
      </c>
      <c r="AI265" s="1">
        <f t="shared" si="88"/>
        <v>1</v>
      </c>
    </row>
    <row r="266" spans="1:35" s="1" customFormat="1" ht="14.25" customHeight="1" x14ac:dyDescent="0.25">
      <c r="A266" s="31">
        <v>0</v>
      </c>
      <c r="B266" s="31">
        <v>1</v>
      </c>
      <c r="C266" s="31">
        <v>7</v>
      </c>
      <c r="D266" s="36" t="s">
        <v>1454</v>
      </c>
      <c r="E266" s="32" t="s">
        <v>29</v>
      </c>
      <c r="F266" s="36" t="s">
        <v>983</v>
      </c>
      <c r="G266" s="36" t="s">
        <v>239</v>
      </c>
      <c r="H266" s="36" t="s">
        <v>352</v>
      </c>
      <c r="I266" s="37" t="s">
        <v>984</v>
      </c>
      <c r="J266" s="31">
        <v>1</v>
      </c>
      <c r="K266" s="33" t="s">
        <v>942</v>
      </c>
      <c r="L266" s="33" t="s">
        <v>685</v>
      </c>
      <c r="M266" s="34" t="s">
        <v>954</v>
      </c>
      <c r="N266" s="34" t="s">
        <v>1760</v>
      </c>
      <c r="O266" s="35">
        <v>1</v>
      </c>
      <c r="P266" s="35"/>
      <c r="Q266" s="36"/>
      <c r="S266" s="1">
        <f t="shared" si="73"/>
        <v>1</v>
      </c>
      <c r="T266" s="1">
        <f t="shared" si="74"/>
        <v>0</v>
      </c>
      <c r="U266" s="1">
        <f t="shared" si="75"/>
        <v>0</v>
      </c>
      <c r="V266" s="1">
        <f t="shared" si="76"/>
        <v>0</v>
      </c>
      <c r="W266" s="1">
        <f t="shared" si="77"/>
        <v>0</v>
      </c>
      <c r="X266" s="1">
        <f t="shared" si="78"/>
        <v>0</v>
      </c>
      <c r="Y266" s="1">
        <f t="shared" si="79"/>
        <v>0</v>
      </c>
      <c r="Z266" s="1">
        <f t="shared" si="80"/>
        <v>0</v>
      </c>
      <c r="AA266" s="1">
        <f t="shared" si="81"/>
        <v>0</v>
      </c>
      <c r="AB266" s="1">
        <f t="shared" si="82"/>
        <v>0</v>
      </c>
      <c r="AD266" s="1">
        <f t="shared" si="83"/>
        <v>0</v>
      </c>
      <c r="AE266" s="1">
        <f t="shared" si="84"/>
        <v>1</v>
      </c>
      <c r="AF266" s="1">
        <f t="shared" si="85"/>
        <v>0</v>
      </c>
      <c r="AG266" s="1">
        <f t="shared" si="86"/>
        <v>1</v>
      </c>
      <c r="AH266" s="1">
        <f t="shared" si="87"/>
        <v>0</v>
      </c>
      <c r="AI266" s="1">
        <f t="shared" si="88"/>
        <v>1</v>
      </c>
    </row>
    <row r="267" spans="1:35" s="1" customFormat="1" ht="14.25" customHeight="1" x14ac:dyDescent="0.25">
      <c r="A267" s="31">
        <v>1</v>
      </c>
      <c r="B267" s="31">
        <v>1</v>
      </c>
      <c r="C267" s="31">
        <v>7</v>
      </c>
      <c r="D267" s="36" t="s">
        <v>1454</v>
      </c>
      <c r="E267" s="32" t="s">
        <v>29</v>
      </c>
      <c r="F267" s="36" t="s">
        <v>2130</v>
      </c>
      <c r="G267" s="36" t="s">
        <v>219</v>
      </c>
      <c r="H267" s="36" t="s">
        <v>352</v>
      </c>
      <c r="I267" s="37" t="s">
        <v>2131</v>
      </c>
      <c r="J267" s="31">
        <v>8</v>
      </c>
      <c r="K267" s="33" t="s">
        <v>942</v>
      </c>
      <c r="L267" s="33" t="s">
        <v>685</v>
      </c>
      <c r="M267" s="34" t="s">
        <v>954</v>
      </c>
      <c r="N267" s="34" t="s">
        <v>1760</v>
      </c>
      <c r="O267" s="35">
        <v>1</v>
      </c>
      <c r="P267" s="35"/>
      <c r="Q267" s="36"/>
      <c r="S267" s="1">
        <f t="shared" si="73"/>
        <v>0</v>
      </c>
      <c r="T267" s="1">
        <f t="shared" si="74"/>
        <v>0</v>
      </c>
      <c r="U267" s="1">
        <f t="shared" si="75"/>
        <v>0</v>
      </c>
      <c r="V267" s="1">
        <f t="shared" si="76"/>
        <v>0</v>
      </c>
      <c r="W267" s="1">
        <f t="shared" si="77"/>
        <v>0</v>
      </c>
      <c r="X267" s="1">
        <f t="shared" si="78"/>
        <v>0</v>
      </c>
      <c r="Y267" s="1">
        <f t="shared" si="79"/>
        <v>0</v>
      </c>
      <c r="Z267" s="1">
        <f t="shared" si="80"/>
        <v>1</v>
      </c>
      <c r="AA267" s="1">
        <f t="shared" si="81"/>
        <v>0</v>
      </c>
      <c r="AB267" s="1">
        <f t="shared" si="82"/>
        <v>0</v>
      </c>
      <c r="AD267" s="1">
        <f t="shared" si="83"/>
        <v>0</v>
      </c>
      <c r="AE267" s="1">
        <f t="shared" si="84"/>
        <v>1</v>
      </c>
      <c r="AF267" s="1">
        <f t="shared" si="85"/>
        <v>0</v>
      </c>
      <c r="AG267" s="1">
        <f t="shared" si="86"/>
        <v>0</v>
      </c>
      <c r="AH267" s="1">
        <f t="shared" si="87"/>
        <v>0</v>
      </c>
      <c r="AI267" s="1">
        <f t="shared" si="88"/>
        <v>0</v>
      </c>
    </row>
    <row r="268" spans="1:35" s="1" customFormat="1" ht="14.25" customHeight="1" x14ac:dyDescent="0.25">
      <c r="A268" s="15">
        <v>0</v>
      </c>
      <c r="B268" s="15">
        <v>1</v>
      </c>
      <c r="C268" s="15">
        <v>7</v>
      </c>
      <c r="D268" s="20" t="s">
        <v>881</v>
      </c>
      <c r="E268" s="20" t="s">
        <v>29</v>
      </c>
      <c r="F268" s="20" t="s">
        <v>882</v>
      </c>
      <c r="G268" s="16" t="s">
        <v>39</v>
      </c>
      <c r="H268" s="20" t="s">
        <v>353</v>
      </c>
      <c r="I268" s="21" t="s">
        <v>883</v>
      </c>
      <c r="J268" s="15">
        <v>11</v>
      </c>
      <c r="K268" s="10" t="s">
        <v>694</v>
      </c>
      <c r="L268" s="10">
        <v>35</v>
      </c>
      <c r="M268" s="19" t="s">
        <v>1376</v>
      </c>
      <c r="N268" s="17"/>
      <c r="Q268" s="16" t="s">
        <v>1861</v>
      </c>
      <c r="S268" s="1">
        <f t="shared" si="73"/>
        <v>0</v>
      </c>
      <c r="T268" s="1">
        <f t="shared" si="74"/>
        <v>0</v>
      </c>
      <c r="U268" s="1">
        <f t="shared" si="75"/>
        <v>0</v>
      </c>
      <c r="V268" s="1">
        <f t="shared" si="76"/>
        <v>0</v>
      </c>
      <c r="W268" s="1">
        <f t="shared" si="77"/>
        <v>0</v>
      </c>
      <c r="X268" s="1">
        <f t="shared" si="78"/>
        <v>0</v>
      </c>
      <c r="Y268" s="1">
        <f t="shared" si="79"/>
        <v>0</v>
      </c>
      <c r="Z268" s="1">
        <f t="shared" si="80"/>
        <v>0</v>
      </c>
      <c r="AA268" s="1">
        <f t="shared" si="81"/>
        <v>0</v>
      </c>
      <c r="AB268" s="1">
        <f t="shared" si="82"/>
        <v>0</v>
      </c>
      <c r="AD268" s="1">
        <f t="shared" si="83"/>
        <v>0</v>
      </c>
      <c r="AE268" s="1">
        <f t="shared" si="84"/>
        <v>0</v>
      </c>
      <c r="AF268" s="1">
        <f t="shared" si="85"/>
        <v>0</v>
      </c>
      <c r="AG268" s="1">
        <f t="shared" si="86"/>
        <v>0</v>
      </c>
      <c r="AH268" s="1">
        <f t="shared" si="87"/>
        <v>0</v>
      </c>
      <c r="AI268" s="1">
        <f t="shared" si="88"/>
        <v>1</v>
      </c>
    </row>
    <row r="269" spans="1:35" s="1" customFormat="1" ht="14.25" customHeight="1" x14ac:dyDescent="0.25">
      <c r="A269" s="31">
        <v>0</v>
      </c>
      <c r="B269" s="31">
        <v>1</v>
      </c>
      <c r="C269" s="31">
        <v>7</v>
      </c>
      <c r="D269" s="36" t="s">
        <v>1065</v>
      </c>
      <c r="E269" s="32" t="s">
        <v>29</v>
      </c>
      <c r="F269" s="36" t="s">
        <v>967</v>
      </c>
      <c r="G269" s="36" t="s">
        <v>202</v>
      </c>
      <c r="H269" s="36" t="s">
        <v>352</v>
      </c>
      <c r="I269" s="37" t="s">
        <v>968</v>
      </c>
      <c r="J269" s="31">
        <v>99</v>
      </c>
      <c r="K269" s="33" t="s">
        <v>704</v>
      </c>
      <c r="L269" s="33" t="s">
        <v>685</v>
      </c>
      <c r="M269" s="34" t="s">
        <v>1411</v>
      </c>
      <c r="N269" s="34" t="s">
        <v>1693</v>
      </c>
      <c r="O269" s="35">
        <v>1</v>
      </c>
      <c r="P269" s="35">
        <v>1</v>
      </c>
      <c r="Q269" s="36"/>
      <c r="S269" s="1">
        <f t="shared" si="73"/>
        <v>0</v>
      </c>
      <c r="T269" s="1">
        <f t="shared" si="74"/>
        <v>0</v>
      </c>
      <c r="U269" s="1">
        <f t="shared" si="75"/>
        <v>0</v>
      </c>
      <c r="V269" s="1">
        <f t="shared" si="76"/>
        <v>0</v>
      </c>
      <c r="W269" s="1">
        <f t="shared" si="77"/>
        <v>0</v>
      </c>
      <c r="X269" s="1">
        <f t="shared" si="78"/>
        <v>0</v>
      </c>
      <c r="Y269" s="1">
        <f t="shared" si="79"/>
        <v>0</v>
      </c>
      <c r="Z269" s="1">
        <f t="shared" si="80"/>
        <v>0</v>
      </c>
      <c r="AA269" s="1">
        <f t="shared" si="81"/>
        <v>0</v>
      </c>
      <c r="AB269" s="1">
        <f t="shared" si="82"/>
        <v>0</v>
      </c>
      <c r="AD269" s="1">
        <f t="shared" si="83"/>
        <v>1</v>
      </c>
      <c r="AE269" s="1">
        <f t="shared" si="84"/>
        <v>0</v>
      </c>
      <c r="AF269" s="1">
        <f t="shared" si="85"/>
        <v>1</v>
      </c>
      <c r="AG269" s="1">
        <f t="shared" si="86"/>
        <v>0</v>
      </c>
      <c r="AH269" s="1">
        <f t="shared" si="87"/>
        <v>1</v>
      </c>
      <c r="AI269" s="1">
        <f t="shared" si="88"/>
        <v>0</v>
      </c>
    </row>
    <row r="270" spans="1:35" s="1" customFormat="1" ht="14.25" customHeight="1" x14ac:dyDescent="0.25">
      <c r="A270" s="44">
        <v>0</v>
      </c>
      <c r="B270" s="44">
        <v>1</v>
      </c>
      <c r="C270" s="44">
        <v>7</v>
      </c>
      <c r="D270" s="45" t="s">
        <v>741</v>
      </c>
      <c r="E270" s="45" t="s">
        <v>29</v>
      </c>
      <c r="F270" s="45" t="s">
        <v>742</v>
      </c>
      <c r="G270" s="45" t="s">
        <v>743</v>
      </c>
      <c r="H270" s="45" t="s">
        <v>352</v>
      </c>
      <c r="I270" s="44" t="s">
        <v>744</v>
      </c>
      <c r="J270" s="44">
        <v>99</v>
      </c>
      <c r="K270" s="46" t="s">
        <v>694</v>
      </c>
      <c r="L270" s="46">
        <v>20</v>
      </c>
      <c r="M270" s="47" t="s">
        <v>1101</v>
      </c>
      <c r="N270" s="47" t="s">
        <v>1768</v>
      </c>
      <c r="O270" s="48"/>
      <c r="P270" s="48"/>
      <c r="Q270" s="45"/>
      <c r="S270" s="1">
        <f t="shared" si="73"/>
        <v>0</v>
      </c>
      <c r="T270" s="1">
        <f t="shared" si="74"/>
        <v>0</v>
      </c>
      <c r="U270" s="1">
        <f t="shared" si="75"/>
        <v>0</v>
      </c>
      <c r="V270" s="1">
        <f t="shared" si="76"/>
        <v>0</v>
      </c>
      <c r="W270" s="1">
        <f t="shared" si="77"/>
        <v>0</v>
      </c>
      <c r="X270" s="1">
        <f t="shared" si="78"/>
        <v>0</v>
      </c>
      <c r="Y270" s="1">
        <f t="shared" si="79"/>
        <v>0</v>
      </c>
      <c r="Z270" s="1">
        <f t="shared" si="80"/>
        <v>0</v>
      </c>
      <c r="AA270" s="1">
        <f t="shared" si="81"/>
        <v>0</v>
      </c>
      <c r="AB270" s="1">
        <f t="shared" si="82"/>
        <v>0</v>
      </c>
      <c r="AD270" s="1">
        <f t="shared" si="83"/>
        <v>0</v>
      </c>
      <c r="AE270" s="1">
        <f t="shared" si="84"/>
        <v>0</v>
      </c>
      <c r="AF270" s="1">
        <f t="shared" si="85"/>
        <v>0</v>
      </c>
      <c r="AG270" s="1">
        <f t="shared" si="86"/>
        <v>0</v>
      </c>
      <c r="AH270" s="1">
        <f t="shared" si="87"/>
        <v>0</v>
      </c>
      <c r="AI270" s="1">
        <f t="shared" si="88"/>
        <v>1</v>
      </c>
    </row>
    <row r="271" spans="1:35" s="1" customFormat="1" ht="14.25" customHeight="1" x14ac:dyDescent="0.25">
      <c r="A271" s="31">
        <v>0</v>
      </c>
      <c r="B271" s="31">
        <v>1</v>
      </c>
      <c r="C271" s="31">
        <v>7</v>
      </c>
      <c r="D271" s="36" t="s">
        <v>813</v>
      </c>
      <c r="E271" s="32" t="s">
        <v>29</v>
      </c>
      <c r="F271" s="36" t="s">
        <v>814</v>
      </c>
      <c r="G271" s="36" t="s">
        <v>911</v>
      </c>
      <c r="H271" s="36" t="s">
        <v>352</v>
      </c>
      <c r="I271" s="37" t="s">
        <v>815</v>
      </c>
      <c r="J271" s="31">
        <v>99</v>
      </c>
      <c r="K271" s="33" t="s">
        <v>936</v>
      </c>
      <c r="L271" s="33" t="s">
        <v>685</v>
      </c>
      <c r="M271" s="34" t="s">
        <v>954</v>
      </c>
      <c r="N271" s="34" t="s">
        <v>1784</v>
      </c>
      <c r="O271" s="35">
        <v>1</v>
      </c>
      <c r="P271" s="35"/>
      <c r="Q271" s="36"/>
      <c r="S271" s="1">
        <f t="shared" si="73"/>
        <v>0</v>
      </c>
      <c r="T271" s="1">
        <f t="shared" si="74"/>
        <v>0</v>
      </c>
      <c r="U271" s="1">
        <f t="shared" si="75"/>
        <v>0</v>
      </c>
      <c r="V271" s="1">
        <f t="shared" si="76"/>
        <v>0</v>
      </c>
      <c r="W271" s="1">
        <f t="shared" si="77"/>
        <v>0</v>
      </c>
      <c r="X271" s="1">
        <f t="shared" si="78"/>
        <v>0</v>
      </c>
      <c r="Y271" s="1">
        <f t="shared" si="79"/>
        <v>0</v>
      </c>
      <c r="Z271" s="1">
        <f t="shared" si="80"/>
        <v>0</v>
      </c>
      <c r="AA271" s="1">
        <f t="shared" si="81"/>
        <v>0</v>
      </c>
      <c r="AB271" s="1">
        <f t="shared" si="82"/>
        <v>0</v>
      </c>
      <c r="AD271" s="1">
        <f t="shared" si="83"/>
        <v>0</v>
      </c>
      <c r="AE271" s="1">
        <f t="shared" si="84"/>
        <v>1</v>
      </c>
      <c r="AF271" s="1">
        <f t="shared" si="85"/>
        <v>0</v>
      </c>
      <c r="AG271" s="1">
        <f t="shared" si="86"/>
        <v>1</v>
      </c>
      <c r="AH271" s="1">
        <f t="shared" si="87"/>
        <v>0</v>
      </c>
      <c r="AI271" s="1">
        <f t="shared" si="88"/>
        <v>1</v>
      </c>
    </row>
    <row r="272" spans="1:35" s="1" customFormat="1" ht="14.25" customHeight="1" x14ac:dyDescent="0.25">
      <c r="A272" s="31">
        <v>0</v>
      </c>
      <c r="B272" s="31">
        <v>1</v>
      </c>
      <c r="C272" s="31">
        <v>7</v>
      </c>
      <c r="D272" s="36" t="s">
        <v>1686</v>
      </c>
      <c r="E272" s="32" t="s">
        <v>29</v>
      </c>
      <c r="F272" s="36" t="s">
        <v>1687</v>
      </c>
      <c r="G272" s="36" t="s">
        <v>248</v>
      </c>
      <c r="H272" s="36" t="s">
        <v>352</v>
      </c>
      <c r="I272" s="37" t="s">
        <v>1688</v>
      </c>
      <c r="J272" s="31"/>
      <c r="K272" s="33" t="s">
        <v>694</v>
      </c>
      <c r="L272" s="33"/>
      <c r="M272" s="34"/>
      <c r="N272" s="34" t="s">
        <v>1693</v>
      </c>
      <c r="O272" s="35">
        <v>1</v>
      </c>
      <c r="P272" s="35">
        <v>1</v>
      </c>
      <c r="Q272" s="36"/>
      <c r="S272" s="1">
        <f t="shared" si="73"/>
        <v>0</v>
      </c>
      <c r="T272" s="1">
        <f t="shared" si="74"/>
        <v>0</v>
      </c>
      <c r="U272" s="1">
        <f t="shared" si="75"/>
        <v>0</v>
      </c>
      <c r="V272" s="1">
        <f t="shared" si="76"/>
        <v>0</v>
      </c>
      <c r="W272" s="1">
        <f t="shared" si="77"/>
        <v>0</v>
      </c>
      <c r="X272" s="1">
        <f t="shared" si="78"/>
        <v>0</v>
      </c>
      <c r="Y272" s="1">
        <f t="shared" si="79"/>
        <v>0</v>
      </c>
      <c r="Z272" s="1">
        <f t="shared" si="80"/>
        <v>0</v>
      </c>
      <c r="AA272" s="1">
        <f t="shared" si="81"/>
        <v>0</v>
      </c>
      <c r="AB272" s="1">
        <f t="shared" si="82"/>
        <v>0</v>
      </c>
      <c r="AD272" s="1">
        <f t="shared" si="83"/>
        <v>1</v>
      </c>
      <c r="AE272" s="1">
        <f t="shared" si="84"/>
        <v>0</v>
      </c>
      <c r="AF272" s="1">
        <f t="shared" si="85"/>
        <v>1</v>
      </c>
      <c r="AG272" s="1">
        <f t="shared" si="86"/>
        <v>0</v>
      </c>
      <c r="AH272" s="1">
        <f t="shared" si="87"/>
        <v>1</v>
      </c>
      <c r="AI272" s="1">
        <f t="shared" si="88"/>
        <v>0</v>
      </c>
    </row>
    <row r="273" spans="1:35" s="1" customFormat="1" ht="14.25" customHeight="1" x14ac:dyDescent="0.25">
      <c r="A273" s="31">
        <v>0</v>
      </c>
      <c r="B273" s="31">
        <v>1</v>
      </c>
      <c r="C273" s="31">
        <v>7</v>
      </c>
      <c r="D273" s="32" t="s">
        <v>884</v>
      </c>
      <c r="E273" s="32" t="s">
        <v>29</v>
      </c>
      <c r="F273" s="32" t="s">
        <v>885</v>
      </c>
      <c r="G273" s="32" t="s">
        <v>227</v>
      </c>
      <c r="H273" s="32" t="s">
        <v>352</v>
      </c>
      <c r="I273" s="31" t="s">
        <v>886</v>
      </c>
      <c r="J273" s="31">
        <v>99</v>
      </c>
      <c r="K273" s="33" t="s">
        <v>704</v>
      </c>
      <c r="L273" s="33" t="s">
        <v>685</v>
      </c>
      <c r="M273" s="34" t="s">
        <v>1377</v>
      </c>
      <c r="N273" s="34" t="s">
        <v>1708</v>
      </c>
      <c r="O273" s="35">
        <v>1</v>
      </c>
      <c r="P273" s="35"/>
      <c r="Q273" s="32"/>
      <c r="S273" s="1">
        <f t="shared" si="73"/>
        <v>0</v>
      </c>
      <c r="T273" s="1">
        <f t="shared" si="74"/>
        <v>0</v>
      </c>
      <c r="U273" s="1">
        <f t="shared" si="75"/>
        <v>0</v>
      </c>
      <c r="V273" s="1">
        <f t="shared" si="76"/>
        <v>0</v>
      </c>
      <c r="W273" s="1">
        <f t="shared" si="77"/>
        <v>0</v>
      </c>
      <c r="X273" s="1">
        <f t="shared" si="78"/>
        <v>0</v>
      </c>
      <c r="Y273" s="1">
        <f t="shared" si="79"/>
        <v>0</v>
      </c>
      <c r="Z273" s="1">
        <f t="shared" si="80"/>
        <v>0</v>
      </c>
      <c r="AA273" s="1">
        <f t="shared" si="81"/>
        <v>0</v>
      </c>
      <c r="AB273" s="1">
        <f t="shared" si="82"/>
        <v>0</v>
      </c>
      <c r="AD273" s="1">
        <f t="shared" si="83"/>
        <v>0</v>
      </c>
      <c r="AE273" s="1">
        <f t="shared" si="84"/>
        <v>1</v>
      </c>
      <c r="AF273" s="1">
        <f t="shared" si="85"/>
        <v>0</v>
      </c>
      <c r="AG273" s="1">
        <f t="shared" si="86"/>
        <v>1</v>
      </c>
      <c r="AH273" s="1">
        <f t="shared" si="87"/>
        <v>0</v>
      </c>
      <c r="AI273" s="1">
        <f t="shared" si="88"/>
        <v>1</v>
      </c>
    </row>
    <row r="274" spans="1:35" s="1" customFormat="1" ht="14.25" customHeight="1" x14ac:dyDescent="0.25">
      <c r="A274" s="31">
        <v>0</v>
      </c>
      <c r="B274" s="31">
        <v>1</v>
      </c>
      <c r="C274" s="31">
        <v>7</v>
      </c>
      <c r="D274" s="32" t="s">
        <v>88</v>
      </c>
      <c r="E274" s="32" t="s">
        <v>29</v>
      </c>
      <c r="F274" s="32" t="s">
        <v>280</v>
      </c>
      <c r="G274" s="32" t="s">
        <v>281</v>
      </c>
      <c r="H274" s="32" t="s">
        <v>352</v>
      </c>
      <c r="I274" s="31" t="s">
        <v>925</v>
      </c>
      <c r="J274" s="31">
        <v>99</v>
      </c>
      <c r="K274" s="33" t="s">
        <v>936</v>
      </c>
      <c r="L274" s="33" t="s">
        <v>685</v>
      </c>
      <c r="M274" s="34" t="s">
        <v>954</v>
      </c>
      <c r="N274" s="34" t="s">
        <v>1808</v>
      </c>
      <c r="O274" s="35">
        <v>1</v>
      </c>
      <c r="P274" s="35"/>
      <c r="Q274" s="32"/>
      <c r="S274" s="1">
        <f t="shared" si="73"/>
        <v>0</v>
      </c>
      <c r="T274" s="1">
        <f t="shared" si="74"/>
        <v>0</v>
      </c>
      <c r="U274" s="1">
        <f t="shared" si="75"/>
        <v>0</v>
      </c>
      <c r="V274" s="1">
        <f t="shared" si="76"/>
        <v>0</v>
      </c>
      <c r="W274" s="1">
        <f t="shared" si="77"/>
        <v>0</v>
      </c>
      <c r="X274" s="1">
        <f t="shared" si="78"/>
        <v>0</v>
      </c>
      <c r="Y274" s="1">
        <f t="shared" si="79"/>
        <v>0</v>
      </c>
      <c r="Z274" s="1">
        <f t="shared" si="80"/>
        <v>0</v>
      </c>
      <c r="AA274" s="1">
        <f t="shared" si="81"/>
        <v>0</v>
      </c>
      <c r="AB274" s="1">
        <f t="shared" si="82"/>
        <v>0</v>
      </c>
      <c r="AD274" s="1">
        <f t="shared" si="83"/>
        <v>0</v>
      </c>
      <c r="AE274" s="1">
        <f t="shared" si="84"/>
        <v>1</v>
      </c>
      <c r="AF274" s="1">
        <f t="shared" si="85"/>
        <v>0</v>
      </c>
      <c r="AG274" s="1">
        <f t="shared" si="86"/>
        <v>1</v>
      </c>
      <c r="AH274" s="1">
        <f t="shared" si="87"/>
        <v>0</v>
      </c>
      <c r="AI274" s="1">
        <f t="shared" si="88"/>
        <v>1</v>
      </c>
    </row>
    <row r="275" spans="1:35" s="1" customFormat="1" ht="14.25" customHeight="1" x14ac:dyDescent="0.25">
      <c r="A275" s="31">
        <v>0</v>
      </c>
      <c r="B275" s="31">
        <v>1</v>
      </c>
      <c r="C275" s="31">
        <v>7</v>
      </c>
      <c r="D275" s="36" t="s">
        <v>1603</v>
      </c>
      <c r="E275" s="32" t="s">
        <v>29</v>
      </c>
      <c r="F275" s="36" t="s">
        <v>1502</v>
      </c>
      <c r="G275" s="36" t="s">
        <v>39</v>
      </c>
      <c r="H275" s="36" t="s">
        <v>869</v>
      </c>
      <c r="I275" s="37" t="s">
        <v>1503</v>
      </c>
      <c r="J275" s="31">
        <v>17</v>
      </c>
      <c r="K275" s="33" t="s">
        <v>704</v>
      </c>
      <c r="L275" s="33" t="s">
        <v>688</v>
      </c>
      <c r="M275" s="34" t="s">
        <v>1426</v>
      </c>
      <c r="N275" s="34" t="s">
        <v>1693</v>
      </c>
      <c r="O275" s="35">
        <v>1</v>
      </c>
      <c r="P275" s="35">
        <v>1</v>
      </c>
      <c r="Q275" s="36"/>
      <c r="S275" s="1">
        <f t="shared" si="73"/>
        <v>0</v>
      </c>
      <c r="T275" s="1">
        <f t="shared" si="74"/>
        <v>0</v>
      </c>
      <c r="U275" s="1">
        <f t="shared" si="75"/>
        <v>0</v>
      </c>
      <c r="V275" s="1">
        <f t="shared" si="76"/>
        <v>0</v>
      </c>
      <c r="W275" s="1">
        <f t="shared" si="77"/>
        <v>0</v>
      </c>
      <c r="X275" s="1">
        <f t="shared" si="78"/>
        <v>0</v>
      </c>
      <c r="Y275" s="1">
        <f t="shared" si="79"/>
        <v>0</v>
      </c>
      <c r="Z275" s="1">
        <f t="shared" si="80"/>
        <v>0</v>
      </c>
      <c r="AA275" s="1">
        <f t="shared" si="81"/>
        <v>0</v>
      </c>
      <c r="AB275" s="1">
        <f t="shared" si="82"/>
        <v>0</v>
      </c>
      <c r="AD275" s="1">
        <f t="shared" si="83"/>
        <v>1</v>
      </c>
      <c r="AE275" s="1">
        <f t="shared" si="84"/>
        <v>0</v>
      </c>
      <c r="AF275" s="1">
        <f t="shared" si="85"/>
        <v>1</v>
      </c>
      <c r="AG275" s="1">
        <f t="shared" si="86"/>
        <v>0</v>
      </c>
      <c r="AH275" s="1">
        <f t="shared" si="87"/>
        <v>1</v>
      </c>
      <c r="AI275" s="1">
        <f t="shared" si="88"/>
        <v>0</v>
      </c>
    </row>
    <row r="276" spans="1:35" s="1" customFormat="1" ht="14.25" customHeight="1" x14ac:dyDescent="0.25">
      <c r="A276" s="31">
        <v>0</v>
      </c>
      <c r="B276" s="31">
        <v>1</v>
      </c>
      <c r="C276" s="31">
        <v>7</v>
      </c>
      <c r="D276" s="32" t="s">
        <v>1423</v>
      </c>
      <c r="E276" s="32" t="s">
        <v>29</v>
      </c>
      <c r="F276" s="32" t="s">
        <v>1424</v>
      </c>
      <c r="G276" s="32" t="s">
        <v>319</v>
      </c>
      <c r="H276" s="32" t="s">
        <v>352</v>
      </c>
      <c r="I276" s="31" t="s">
        <v>1425</v>
      </c>
      <c r="J276" s="31">
        <v>99</v>
      </c>
      <c r="K276" s="33" t="s">
        <v>694</v>
      </c>
      <c r="L276" s="33">
        <v>30</v>
      </c>
      <c r="M276" s="34" t="s">
        <v>1426</v>
      </c>
      <c r="N276" s="34" t="s">
        <v>1784</v>
      </c>
      <c r="O276" s="35">
        <v>1</v>
      </c>
      <c r="P276" s="35"/>
      <c r="Q276" s="32"/>
      <c r="S276" s="1">
        <f t="shared" ref="S276:S339" si="99">IF(J276=$S$7,1,0)</f>
        <v>0</v>
      </c>
      <c r="T276" s="1">
        <f t="shared" ref="T276:T339" si="100">IF(J276=$T$7,1,0)</f>
        <v>0</v>
      </c>
      <c r="U276" s="1">
        <f t="shared" ref="U276:U339" si="101">IF(J276=$U$7,1,0)</f>
        <v>0</v>
      </c>
      <c r="V276" s="1">
        <f t="shared" ref="V276:V339" si="102">IF(J276=$V$7,1,0)</f>
        <v>0</v>
      </c>
      <c r="W276" s="1">
        <f t="shared" ref="W276:W339" si="103">IF(J276=$W$7,1,0)</f>
        <v>0</v>
      </c>
      <c r="X276" s="1">
        <f t="shared" ref="X276:X339" si="104">IF(J276=$X$7,1,0)</f>
        <v>0</v>
      </c>
      <c r="Y276" s="1">
        <f t="shared" ref="Y276:Y339" si="105">IF(J276=$Y$7,1,0)</f>
        <v>0</v>
      </c>
      <c r="Z276" s="1">
        <f t="shared" ref="Z276:Z339" si="106">IF(J276=$Z$7,1,0)</f>
        <v>0</v>
      </c>
      <c r="AA276" s="1">
        <f t="shared" ref="AA276:AA339" si="107">IF(J276=$AA$7,1,0)</f>
        <v>0</v>
      </c>
      <c r="AB276" s="1">
        <f t="shared" ref="AB276:AB339" si="108">IF(J276=$AB$7,1,0)</f>
        <v>0</v>
      </c>
      <c r="AD276" s="1">
        <f t="shared" ref="AD276:AD339" si="109">+O276*P276</f>
        <v>0</v>
      </c>
      <c r="AE276" s="1">
        <f t="shared" ref="AE276:AE339" si="110">O276*(1-P276)</f>
        <v>1</v>
      </c>
      <c r="AF276" s="1">
        <f t="shared" si="85"/>
        <v>0</v>
      </c>
      <c r="AG276" s="1">
        <f t="shared" si="86"/>
        <v>1</v>
      </c>
      <c r="AH276" s="1">
        <f t="shared" si="87"/>
        <v>0</v>
      </c>
      <c r="AI276" s="1">
        <f t="shared" si="88"/>
        <v>1</v>
      </c>
    </row>
    <row r="277" spans="1:35" s="1" customFormat="1" ht="14.25" customHeight="1" x14ac:dyDescent="0.25">
      <c r="A277" s="31">
        <v>0</v>
      </c>
      <c r="B277" s="31">
        <v>1</v>
      </c>
      <c r="C277" s="31">
        <v>7</v>
      </c>
      <c r="D277" s="36" t="s">
        <v>831</v>
      </c>
      <c r="E277" s="32" t="s">
        <v>29</v>
      </c>
      <c r="F277" s="36" t="s">
        <v>832</v>
      </c>
      <c r="G277" s="36" t="s">
        <v>221</v>
      </c>
      <c r="H277" s="36" t="s">
        <v>352</v>
      </c>
      <c r="I277" s="37" t="s">
        <v>833</v>
      </c>
      <c r="J277" s="31">
        <v>99</v>
      </c>
      <c r="K277" s="33" t="s">
        <v>936</v>
      </c>
      <c r="L277" s="33" t="s">
        <v>685</v>
      </c>
      <c r="M277" s="34" t="s">
        <v>954</v>
      </c>
      <c r="N277" s="34" t="s">
        <v>1808</v>
      </c>
      <c r="O277" s="35">
        <v>1</v>
      </c>
      <c r="P277" s="35"/>
      <c r="Q277" s="36"/>
      <c r="S277" s="1">
        <f t="shared" si="99"/>
        <v>0</v>
      </c>
      <c r="T277" s="1">
        <f t="shared" si="100"/>
        <v>0</v>
      </c>
      <c r="U277" s="1">
        <f t="shared" si="101"/>
        <v>0</v>
      </c>
      <c r="V277" s="1">
        <f t="shared" si="102"/>
        <v>0</v>
      </c>
      <c r="W277" s="1">
        <f t="shared" si="103"/>
        <v>0</v>
      </c>
      <c r="X277" s="1">
        <f t="shared" si="104"/>
        <v>0</v>
      </c>
      <c r="Y277" s="1">
        <f t="shared" si="105"/>
        <v>0</v>
      </c>
      <c r="Z277" s="1">
        <f t="shared" si="106"/>
        <v>0</v>
      </c>
      <c r="AA277" s="1">
        <f t="shared" si="107"/>
        <v>0</v>
      </c>
      <c r="AB277" s="1">
        <f t="shared" si="108"/>
        <v>0</v>
      </c>
      <c r="AD277" s="1">
        <f t="shared" si="109"/>
        <v>0</v>
      </c>
      <c r="AE277" s="1">
        <f t="shared" si="110"/>
        <v>1</v>
      </c>
      <c r="AF277" s="1">
        <f t="shared" ref="AF277:AF340" si="111">+O277*P277*(1-A277)</f>
        <v>0</v>
      </c>
      <c r="AG277" s="1">
        <f t="shared" ref="AG277:AG340" si="112">O277*(1-P277)*(1-A277)</f>
        <v>1</v>
      </c>
      <c r="AH277" s="1">
        <f t="shared" ref="AH277:AH340" si="113">+P277*(1-A277)</f>
        <v>0</v>
      </c>
      <c r="AI277" s="1">
        <f t="shared" ref="AI277:AI340" si="114">+(1-A277)*(1-P277)</f>
        <v>1</v>
      </c>
    </row>
    <row r="278" spans="1:35" s="1" customFormat="1" ht="14.25" customHeight="1" x14ac:dyDescent="0.25">
      <c r="A278" s="31">
        <v>1</v>
      </c>
      <c r="B278" s="31">
        <v>1</v>
      </c>
      <c r="C278" s="31">
        <v>7</v>
      </c>
      <c r="D278" s="36" t="s">
        <v>831</v>
      </c>
      <c r="E278" s="32" t="s">
        <v>29</v>
      </c>
      <c r="F278" s="36" t="s">
        <v>913</v>
      </c>
      <c r="G278" s="36" t="s">
        <v>278</v>
      </c>
      <c r="H278" s="36" t="s">
        <v>352</v>
      </c>
      <c r="I278" s="37" t="s">
        <v>834</v>
      </c>
      <c r="J278" s="31">
        <v>99</v>
      </c>
      <c r="K278" s="33" t="s">
        <v>936</v>
      </c>
      <c r="L278" s="33" t="s">
        <v>685</v>
      </c>
      <c r="M278" s="34" t="s">
        <v>954</v>
      </c>
      <c r="N278" s="34" t="s">
        <v>1808</v>
      </c>
      <c r="O278" s="35">
        <v>1</v>
      </c>
      <c r="P278" s="35"/>
      <c r="Q278" s="36"/>
      <c r="S278" s="1">
        <f t="shared" si="99"/>
        <v>0</v>
      </c>
      <c r="T278" s="1">
        <f t="shared" si="100"/>
        <v>0</v>
      </c>
      <c r="U278" s="1">
        <f t="shared" si="101"/>
        <v>0</v>
      </c>
      <c r="V278" s="1">
        <f t="shared" si="102"/>
        <v>0</v>
      </c>
      <c r="W278" s="1">
        <f t="shared" si="103"/>
        <v>0</v>
      </c>
      <c r="X278" s="1">
        <f t="shared" si="104"/>
        <v>0</v>
      </c>
      <c r="Y278" s="1">
        <f t="shared" si="105"/>
        <v>0</v>
      </c>
      <c r="Z278" s="1">
        <f t="shared" si="106"/>
        <v>0</v>
      </c>
      <c r="AA278" s="1">
        <f t="shared" si="107"/>
        <v>0</v>
      </c>
      <c r="AB278" s="1">
        <f t="shared" si="108"/>
        <v>0</v>
      </c>
      <c r="AD278" s="1">
        <f t="shared" si="109"/>
        <v>0</v>
      </c>
      <c r="AE278" s="1">
        <f t="shared" si="110"/>
        <v>1</v>
      </c>
      <c r="AF278" s="1">
        <f t="shared" si="111"/>
        <v>0</v>
      </c>
      <c r="AG278" s="1">
        <f t="shared" si="112"/>
        <v>0</v>
      </c>
      <c r="AH278" s="1">
        <f t="shared" si="113"/>
        <v>0</v>
      </c>
      <c r="AI278" s="1">
        <f t="shared" si="114"/>
        <v>0</v>
      </c>
    </row>
    <row r="279" spans="1:35" s="1" customFormat="1" ht="14.25" customHeight="1" x14ac:dyDescent="0.25">
      <c r="A279" s="31">
        <v>0</v>
      </c>
      <c r="B279" s="31">
        <v>1</v>
      </c>
      <c r="C279" s="31">
        <v>7</v>
      </c>
      <c r="D279" s="32" t="s">
        <v>1191</v>
      </c>
      <c r="E279" s="32" t="s">
        <v>29</v>
      </c>
      <c r="F279" s="32" t="s">
        <v>1192</v>
      </c>
      <c r="G279" s="32" t="s">
        <v>237</v>
      </c>
      <c r="H279" s="32" t="s">
        <v>352</v>
      </c>
      <c r="I279" s="31" t="s">
        <v>1333</v>
      </c>
      <c r="J279" s="31">
        <v>99</v>
      </c>
      <c r="K279" s="33" t="s">
        <v>704</v>
      </c>
      <c r="L279" s="33" t="s">
        <v>685</v>
      </c>
      <c r="M279" s="34" t="s">
        <v>1378</v>
      </c>
      <c r="N279" s="34" t="s">
        <v>1715</v>
      </c>
      <c r="O279" s="35">
        <v>1</v>
      </c>
      <c r="P279" s="35"/>
      <c r="Q279" s="32"/>
      <c r="S279" s="1">
        <f t="shared" si="99"/>
        <v>0</v>
      </c>
      <c r="T279" s="1">
        <f t="shared" si="100"/>
        <v>0</v>
      </c>
      <c r="U279" s="1">
        <f t="shared" si="101"/>
        <v>0</v>
      </c>
      <c r="V279" s="1">
        <f t="shared" si="102"/>
        <v>0</v>
      </c>
      <c r="W279" s="1">
        <f t="shared" si="103"/>
        <v>0</v>
      </c>
      <c r="X279" s="1">
        <f t="shared" si="104"/>
        <v>0</v>
      </c>
      <c r="Y279" s="1">
        <f t="shared" si="105"/>
        <v>0</v>
      </c>
      <c r="Z279" s="1">
        <f t="shared" si="106"/>
        <v>0</v>
      </c>
      <c r="AA279" s="1">
        <f t="shared" si="107"/>
        <v>0</v>
      </c>
      <c r="AB279" s="1">
        <f t="shared" si="108"/>
        <v>0</v>
      </c>
      <c r="AD279" s="1">
        <f t="shared" si="109"/>
        <v>0</v>
      </c>
      <c r="AE279" s="1">
        <f t="shared" si="110"/>
        <v>1</v>
      </c>
      <c r="AF279" s="1">
        <f t="shared" si="111"/>
        <v>0</v>
      </c>
      <c r="AG279" s="1">
        <f t="shared" si="112"/>
        <v>1</v>
      </c>
      <c r="AH279" s="1">
        <f t="shared" si="113"/>
        <v>0</v>
      </c>
      <c r="AI279" s="1">
        <f t="shared" si="114"/>
        <v>1</v>
      </c>
    </row>
    <row r="280" spans="1:35" s="1" customFormat="1" ht="14.25" customHeight="1" x14ac:dyDescent="0.25">
      <c r="A280" s="31">
        <v>0</v>
      </c>
      <c r="B280" s="31">
        <v>1</v>
      </c>
      <c r="C280" s="31">
        <v>7</v>
      </c>
      <c r="D280" s="36" t="s">
        <v>1208</v>
      </c>
      <c r="E280" s="32" t="s">
        <v>29</v>
      </c>
      <c r="F280" s="36" t="s">
        <v>1209</v>
      </c>
      <c r="G280" s="36" t="s">
        <v>237</v>
      </c>
      <c r="H280" s="36" t="s">
        <v>352</v>
      </c>
      <c r="I280" s="37" t="s">
        <v>1210</v>
      </c>
      <c r="J280" s="31">
        <v>99</v>
      </c>
      <c r="K280" s="33" t="s">
        <v>704</v>
      </c>
      <c r="L280" s="33" t="s">
        <v>684</v>
      </c>
      <c r="M280" s="34" t="s">
        <v>1378</v>
      </c>
      <c r="N280" s="34" t="s">
        <v>1784</v>
      </c>
      <c r="O280" s="35">
        <v>1</v>
      </c>
      <c r="P280" s="35"/>
      <c r="Q280" s="36"/>
      <c r="S280" s="1">
        <f t="shared" si="99"/>
        <v>0</v>
      </c>
      <c r="T280" s="1">
        <f t="shared" si="100"/>
        <v>0</v>
      </c>
      <c r="U280" s="1">
        <f t="shared" si="101"/>
        <v>0</v>
      </c>
      <c r="V280" s="1">
        <f t="shared" si="102"/>
        <v>0</v>
      </c>
      <c r="W280" s="1">
        <f t="shared" si="103"/>
        <v>0</v>
      </c>
      <c r="X280" s="1">
        <f t="shared" si="104"/>
        <v>0</v>
      </c>
      <c r="Y280" s="1">
        <f t="shared" si="105"/>
        <v>0</v>
      </c>
      <c r="Z280" s="1">
        <f t="shared" si="106"/>
        <v>0</v>
      </c>
      <c r="AA280" s="1">
        <f t="shared" si="107"/>
        <v>0</v>
      </c>
      <c r="AB280" s="1">
        <f t="shared" si="108"/>
        <v>0</v>
      </c>
      <c r="AD280" s="1">
        <f t="shared" si="109"/>
        <v>0</v>
      </c>
      <c r="AE280" s="1">
        <f t="shared" si="110"/>
        <v>1</v>
      </c>
      <c r="AF280" s="1">
        <f t="shared" si="111"/>
        <v>0</v>
      </c>
      <c r="AG280" s="1">
        <f t="shared" si="112"/>
        <v>1</v>
      </c>
      <c r="AH280" s="1">
        <f t="shared" si="113"/>
        <v>0</v>
      </c>
      <c r="AI280" s="1">
        <f t="shared" si="114"/>
        <v>1</v>
      </c>
    </row>
    <row r="281" spans="1:35" s="1" customFormat="1" ht="14.25" customHeight="1" x14ac:dyDescent="0.25">
      <c r="A281" s="31">
        <v>0</v>
      </c>
      <c r="B281" s="31">
        <v>1</v>
      </c>
      <c r="C281" s="31">
        <v>7</v>
      </c>
      <c r="D281" s="36" t="s">
        <v>92</v>
      </c>
      <c r="E281" s="32" t="s">
        <v>29</v>
      </c>
      <c r="F281" s="36" t="s">
        <v>286</v>
      </c>
      <c r="G281" s="36" t="s">
        <v>189</v>
      </c>
      <c r="H281" s="36" t="s">
        <v>352</v>
      </c>
      <c r="I281" s="37" t="s">
        <v>438</v>
      </c>
      <c r="J281" s="31">
        <v>99</v>
      </c>
      <c r="K281" s="33" t="s">
        <v>704</v>
      </c>
      <c r="L281" s="33" t="s">
        <v>685</v>
      </c>
      <c r="M281" s="34" t="s">
        <v>1379</v>
      </c>
      <c r="N281" s="34" t="s">
        <v>1710</v>
      </c>
      <c r="O281" s="35">
        <v>1</v>
      </c>
      <c r="P281" s="35"/>
      <c r="Q281" s="36"/>
      <c r="S281" s="1">
        <f t="shared" si="99"/>
        <v>0</v>
      </c>
      <c r="T281" s="1">
        <f t="shared" si="100"/>
        <v>0</v>
      </c>
      <c r="U281" s="1">
        <f t="shared" si="101"/>
        <v>0</v>
      </c>
      <c r="V281" s="1">
        <f t="shared" si="102"/>
        <v>0</v>
      </c>
      <c r="W281" s="1">
        <f t="shared" si="103"/>
        <v>0</v>
      </c>
      <c r="X281" s="1">
        <f t="shared" si="104"/>
        <v>0</v>
      </c>
      <c r="Y281" s="1">
        <f t="shared" si="105"/>
        <v>0</v>
      </c>
      <c r="Z281" s="1">
        <f t="shared" si="106"/>
        <v>0</v>
      </c>
      <c r="AA281" s="1">
        <f t="shared" si="107"/>
        <v>0</v>
      </c>
      <c r="AB281" s="1">
        <f t="shared" si="108"/>
        <v>0</v>
      </c>
      <c r="AD281" s="1">
        <f t="shared" si="109"/>
        <v>0</v>
      </c>
      <c r="AE281" s="1">
        <f t="shared" si="110"/>
        <v>1</v>
      </c>
      <c r="AF281" s="1">
        <f t="shared" si="111"/>
        <v>0</v>
      </c>
      <c r="AG281" s="1">
        <f t="shared" si="112"/>
        <v>1</v>
      </c>
      <c r="AH281" s="1">
        <f t="shared" si="113"/>
        <v>0</v>
      </c>
      <c r="AI281" s="1">
        <f t="shared" si="114"/>
        <v>1</v>
      </c>
    </row>
    <row r="282" spans="1:35" s="1" customFormat="1" ht="14.25" customHeight="1" x14ac:dyDescent="0.25">
      <c r="A282" s="31">
        <v>0</v>
      </c>
      <c r="B282" s="31">
        <v>1</v>
      </c>
      <c r="C282" s="31">
        <v>7</v>
      </c>
      <c r="D282" s="32" t="s">
        <v>855</v>
      </c>
      <c r="E282" s="32" t="s">
        <v>29</v>
      </c>
      <c r="F282" s="32" t="s">
        <v>856</v>
      </c>
      <c r="G282" s="32" t="s">
        <v>193</v>
      </c>
      <c r="H282" s="32" t="s">
        <v>352</v>
      </c>
      <c r="I282" s="31" t="s">
        <v>857</v>
      </c>
      <c r="J282" s="31">
        <v>9</v>
      </c>
      <c r="K282" s="33" t="s">
        <v>704</v>
      </c>
      <c r="L282" s="33" t="s">
        <v>687</v>
      </c>
      <c r="M282" s="34" t="s">
        <v>699</v>
      </c>
      <c r="N282" s="34" t="s">
        <v>1704</v>
      </c>
      <c r="O282" s="35">
        <v>1</v>
      </c>
      <c r="P282" s="35"/>
      <c r="Q282" s="32"/>
      <c r="S282" s="1">
        <f t="shared" si="99"/>
        <v>0</v>
      </c>
      <c r="T282" s="1">
        <f t="shared" si="100"/>
        <v>0</v>
      </c>
      <c r="U282" s="1">
        <f t="shared" si="101"/>
        <v>0</v>
      </c>
      <c r="V282" s="1">
        <f t="shared" si="102"/>
        <v>0</v>
      </c>
      <c r="W282" s="1">
        <f t="shared" si="103"/>
        <v>0</v>
      </c>
      <c r="X282" s="1">
        <f t="shared" si="104"/>
        <v>0</v>
      </c>
      <c r="Y282" s="1">
        <f t="shared" si="105"/>
        <v>0</v>
      </c>
      <c r="Z282" s="1">
        <f t="shared" si="106"/>
        <v>0</v>
      </c>
      <c r="AA282" s="1">
        <f t="shared" si="107"/>
        <v>1</v>
      </c>
      <c r="AB282" s="1">
        <f t="shared" si="108"/>
        <v>0</v>
      </c>
      <c r="AD282" s="1">
        <f t="shared" si="109"/>
        <v>0</v>
      </c>
      <c r="AE282" s="1">
        <f t="shared" si="110"/>
        <v>1</v>
      </c>
      <c r="AF282" s="1">
        <f t="shared" si="111"/>
        <v>0</v>
      </c>
      <c r="AG282" s="1">
        <f t="shared" si="112"/>
        <v>1</v>
      </c>
      <c r="AH282" s="1">
        <f t="shared" si="113"/>
        <v>0</v>
      </c>
      <c r="AI282" s="1">
        <f t="shared" si="114"/>
        <v>1</v>
      </c>
    </row>
    <row r="283" spans="1:35" s="1" customFormat="1" ht="14.25" customHeight="1" x14ac:dyDescent="0.25">
      <c r="A283" s="31">
        <v>1</v>
      </c>
      <c r="B283" s="31">
        <v>1</v>
      </c>
      <c r="C283" s="31">
        <v>7</v>
      </c>
      <c r="D283" s="32" t="s">
        <v>855</v>
      </c>
      <c r="E283" s="32" t="s">
        <v>29</v>
      </c>
      <c r="F283" s="32" t="s">
        <v>1049</v>
      </c>
      <c r="G283" s="32" t="s">
        <v>319</v>
      </c>
      <c r="H283" s="32" t="s">
        <v>352</v>
      </c>
      <c r="I283" s="31" t="s">
        <v>1050</v>
      </c>
      <c r="J283" s="31">
        <v>99</v>
      </c>
      <c r="K283" s="33" t="s">
        <v>704</v>
      </c>
      <c r="L283" s="33" t="s">
        <v>687</v>
      </c>
      <c r="M283" s="34" t="s">
        <v>699</v>
      </c>
      <c r="N283" s="34" t="s">
        <v>1704</v>
      </c>
      <c r="O283" s="35">
        <v>1</v>
      </c>
      <c r="P283" s="35"/>
      <c r="Q283" s="32"/>
      <c r="S283" s="1">
        <f t="shared" si="99"/>
        <v>0</v>
      </c>
      <c r="T283" s="1">
        <f t="shared" si="100"/>
        <v>0</v>
      </c>
      <c r="U283" s="1">
        <f t="shared" si="101"/>
        <v>0</v>
      </c>
      <c r="V283" s="1">
        <f t="shared" si="102"/>
        <v>0</v>
      </c>
      <c r="W283" s="1">
        <f t="shared" si="103"/>
        <v>0</v>
      </c>
      <c r="X283" s="1">
        <f t="shared" si="104"/>
        <v>0</v>
      </c>
      <c r="Y283" s="1">
        <f t="shared" si="105"/>
        <v>0</v>
      </c>
      <c r="Z283" s="1">
        <f t="shared" si="106"/>
        <v>0</v>
      </c>
      <c r="AA283" s="1">
        <f t="shared" si="107"/>
        <v>0</v>
      </c>
      <c r="AB283" s="1">
        <f t="shared" si="108"/>
        <v>0</v>
      </c>
      <c r="AD283" s="1">
        <f t="shared" si="109"/>
        <v>0</v>
      </c>
      <c r="AE283" s="1">
        <f t="shared" si="110"/>
        <v>1</v>
      </c>
      <c r="AF283" s="1">
        <f t="shared" si="111"/>
        <v>0</v>
      </c>
      <c r="AG283" s="1">
        <f t="shared" si="112"/>
        <v>0</v>
      </c>
      <c r="AH283" s="1">
        <f t="shared" si="113"/>
        <v>0</v>
      </c>
      <c r="AI283" s="1">
        <f t="shared" si="114"/>
        <v>0</v>
      </c>
    </row>
    <row r="284" spans="1:35" s="1" customFormat="1" ht="14.25" customHeight="1" x14ac:dyDescent="0.25">
      <c r="A284" s="31">
        <v>1</v>
      </c>
      <c r="B284" s="31">
        <v>1</v>
      </c>
      <c r="C284" s="31">
        <v>7</v>
      </c>
      <c r="D284" s="32" t="s">
        <v>855</v>
      </c>
      <c r="E284" s="32" t="s">
        <v>29</v>
      </c>
      <c r="F284" s="32" t="s">
        <v>1977</v>
      </c>
      <c r="G284" s="32" t="s">
        <v>193</v>
      </c>
      <c r="H284" s="32" t="s">
        <v>352</v>
      </c>
      <c r="I284" s="31" t="s">
        <v>857</v>
      </c>
      <c r="J284" s="31">
        <v>9</v>
      </c>
      <c r="K284" s="33" t="s">
        <v>704</v>
      </c>
      <c r="L284" s="33" t="s">
        <v>687</v>
      </c>
      <c r="M284" s="34" t="s">
        <v>699</v>
      </c>
      <c r="N284" s="34" t="s">
        <v>1704</v>
      </c>
      <c r="O284" s="35">
        <v>1</v>
      </c>
      <c r="P284" s="35"/>
      <c r="Q284" s="32"/>
      <c r="S284" s="1">
        <f t="shared" si="99"/>
        <v>0</v>
      </c>
      <c r="T284" s="1">
        <f t="shared" si="100"/>
        <v>0</v>
      </c>
      <c r="U284" s="1">
        <f t="shared" si="101"/>
        <v>0</v>
      </c>
      <c r="V284" s="1">
        <f t="shared" si="102"/>
        <v>0</v>
      </c>
      <c r="W284" s="1">
        <f t="shared" si="103"/>
        <v>0</v>
      </c>
      <c r="X284" s="1">
        <f t="shared" si="104"/>
        <v>0</v>
      </c>
      <c r="Y284" s="1">
        <f t="shared" si="105"/>
        <v>0</v>
      </c>
      <c r="Z284" s="1">
        <f t="shared" si="106"/>
        <v>0</v>
      </c>
      <c r="AA284" s="1">
        <f t="shared" si="107"/>
        <v>1</v>
      </c>
      <c r="AB284" s="1">
        <f t="shared" si="108"/>
        <v>0</v>
      </c>
      <c r="AD284" s="1">
        <f t="shared" si="109"/>
        <v>0</v>
      </c>
      <c r="AE284" s="1">
        <f t="shared" si="110"/>
        <v>1</v>
      </c>
      <c r="AF284" s="1">
        <f t="shared" si="111"/>
        <v>0</v>
      </c>
      <c r="AG284" s="1">
        <f t="shared" si="112"/>
        <v>0</v>
      </c>
      <c r="AH284" s="1">
        <f t="shared" si="113"/>
        <v>0</v>
      </c>
      <c r="AI284" s="1">
        <f t="shared" si="114"/>
        <v>0</v>
      </c>
    </row>
    <row r="285" spans="1:35" s="1" customFormat="1" ht="14.25" customHeight="1" x14ac:dyDescent="0.25">
      <c r="A285" s="31">
        <v>1</v>
      </c>
      <c r="B285" s="31">
        <v>1</v>
      </c>
      <c r="C285" s="31">
        <v>7</v>
      </c>
      <c r="D285" s="32" t="s">
        <v>855</v>
      </c>
      <c r="E285" s="32" t="s">
        <v>29</v>
      </c>
      <c r="F285" s="32" t="s">
        <v>1979</v>
      </c>
      <c r="G285" s="32" t="s">
        <v>208</v>
      </c>
      <c r="H285" s="32" t="s">
        <v>352</v>
      </c>
      <c r="I285" s="31" t="s">
        <v>1978</v>
      </c>
      <c r="J285" s="31">
        <v>99</v>
      </c>
      <c r="K285" s="33" t="s">
        <v>704</v>
      </c>
      <c r="L285" s="33" t="s">
        <v>687</v>
      </c>
      <c r="M285" s="34" t="s">
        <v>699</v>
      </c>
      <c r="N285" s="34" t="s">
        <v>1704</v>
      </c>
      <c r="O285" s="35">
        <v>1</v>
      </c>
      <c r="P285" s="35"/>
      <c r="Q285" s="32"/>
      <c r="S285" s="1">
        <f t="shared" si="99"/>
        <v>0</v>
      </c>
      <c r="T285" s="1">
        <f t="shared" si="100"/>
        <v>0</v>
      </c>
      <c r="U285" s="1">
        <f t="shared" si="101"/>
        <v>0</v>
      </c>
      <c r="V285" s="1">
        <f t="shared" si="102"/>
        <v>0</v>
      </c>
      <c r="W285" s="1">
        <f t="shared" si="103"/>
        <v>0</v>
      </c>
      <c r="X285" s="1">
        <f t="shared" si="104"/>
        <v>0</v>
      </c>
      <c r="Y285" s="1">
        <f t="shared" si="105"/>
        <v>0</v>
      </c>
      <c r="Z285" s="1">
        <f t="shared" si="106"/>
        <v>0</v>
      </c>
      <c r="AA285" s="1">
        <f t="shared" si="107"/>
        <v>0</v>
      </c>
      <c r="AB285" s="1">
        <f t="shared" si="108"/>
        <v>0</v>
      </c>
      <c r="AD285" s="1">
        <f t="shared" si="109"/>
        <v>0</v>
      </c>
      <c r="AE285" s="1">
        <f t="shared" si="110"/>
        <v>1</v>
      </c>
      <c r="AF285" s="1">
        <f t="shared" si="111"/>
        <v>0</v>
      </c>
      <c r="AG285" s="1">
        <f t="shared" si="112"/>
        <v>0</v>
      </c>
      <c r="AH285" s="1">
        <f t="shared" si="113"/>
        <v>0</v>
      </c>
      <c r="AI285" s="1">
        <f t="shared" si="114"/>
        <v>0</v>
      </c>
    </row>
    <row r="286" spans="1:35" s="1" customFormat="1" ht="14.25" customHeight="1" x14ac:dyDescent="0.25">
      <c r="A286" s="31">
        <v>1</v>
      </c>
      <c r="B286" s="31">
        <v>1</v>
      </c>
      <c r="C286" s="31">
        <v>7</v>
      </c>
      <c r="D286" s="32" t="s">
        <v>855</v>
      </c>
      <c r="E286" s="32" t="s">
        <v>29</v>
      </c>
      <c r="F286" s="36" t="s">
        <v>1645</v>
      </c>
      <c r="G286" s="36" t="s">
        <v>2132</v>
      </c>
      <c r="H286" s="32" t="s">
        <v>352</v>
      </c>
      <c r="I286" s="37" t="s">
        <v>2133</v>
      </c>
      <c r="J286" s="31">
        <v>99</v>
      </c>
      <c r="K286" s="33" t="s">
        <v>704</v>
      </c>
      <c r="L286" s="33" t="s">
        <v>687</v>
      </c>
      <c r="M286" s="34" t="s">
        <v>699</v>
      </c>
      <c r="N286" s="34" t="s">
        <v>1704</v>
      </c>
      <c r="O286" s="35">
        <v>1</v>
      </c>
      <c r="P286" s="35"/>
      <c r="Q286" s="32"/>
      <c r="S286" s="1">
        <f t="shared" si="99"/>
        <v>0</v>
      </c>
      <c r="T286" s="1">
        <f t="shared" si="100"/>
        <v>0</v>
      </c>
      <c r="U286" s="1">
        <f t="shared" si="101"/>
        <v>0</v>
      </c>
      <c r="V286" s="1">
        <f t="shared" si="102"/>
        <v>0</v>
      </c>
      <c r="W286" s="1">
        <f t="shared" si="103"/>
        <v>0</v>
      </c>
      <c r="X286" s="1">
        <f t="shared" si="104"/>
        <v>0</v>
      </c>
      <c r="Y286" s="1">
        <f t="shared" si="105"/>
        <v>0</v>
      </c>
      <c r="Z286" s="1">
        <f t="shared" si="106"/>
        <v>0</v>
      </c>
      <c r="AA286" s="1">
        <f t="shared" si="107"/>
        <v>0</v>
      </c>
      <c r="AB286" s="1">
        <f t="shared" si="108"/>
        <v>0</v>
      </c>
      <c r="AD286" s="1">
        <f t="shared" si="109"/>
        <v>0</v>
      </c>
      <c r="AE286" s="1">
        <f t="shared" si="110"/>
        <v>1</v>
      </c>
      <c r="AF286" s="1">
        <f t="shared" si="111"/>
        <v>0</v>
      </c>
      <c r="AG286" s="1">
        <f t="shared" si="112"/>
        <v>0</v>
      </c>
      <c r="AH286" s="1">
        <f t="shared" si="113"/>
        <v>0</v>
      </c>
      <c r="AI286" s="1">
        <f t="shared" si="114"/>
        <v>0</v>
      </c>
    </row>
    <row r="287" spans="1:35" s="1" customFormat="1" ht="14.25" customHeight="1" x14ac:dyDescent="0.25">
      <c r="A287" s="31">
        <v>0</v>
      </c>
      <c r="B287" s="31">
        <v>1</v>
      </c>
      <c r="C287" s="31">
        <v>7</v>
      </c>
      <c r="D287" s="36" t="s">
        <v>95</v>
      </c>
      <c r="E287" s="32" t="s">
        <v>29</v>
      </c>
      <c r="F287" s="36" t="s">
        <v>290</v>
      </c>
      <c r="G287" s="36" t="s">
        <v>291</v>
      </c>
      <c r="H287" s="36" t="s">
        <v>352</v>
      </c>
      <c r="I287" s="37" t="s">
        <v>1098</v>
      </c>
      <c r="J287" s="31">
        <v>99</v>
      </c>
      <c r="K287" s="33" t="s">
        <v>704</v>
      </c>
      <c r="L287" s="33" t="s">
        <v>687</v>
      </c>
      <c r="M287" s="34" t="s">
        <v>699</v>
      </c>
      <c r="N287" s="34" t="s">
        <v>1708</v>
      </c>
      <c r="O287" s="35">
        <v>1</v>
      </c>
      <c r="P287" s="35"/>
      <c r="Q287" s="36"/>
      <c r="S287" s="1">
        <f t="shared" si="99"/>
        <v>0</v>
      </c>
      <c r="T287" s="1">
        <f t="shared" si="100"/>
        <v>0</v>
      </c>
      <c r="U287" s="1">
        <f t="shared" si="101"/>
        <v>0</v>
      </c>
      <c r="V287" s="1">
        <f t="shared" si="102"/>
        <v>0</v>
      </c>
      <c r="W287" s="1">
        <f t="shared" si="103"/>
        <v>0</v>
      </c>
      <c r="X287" s="1">
        <f t="shared" si="104"/>
        <v>0</v>
      </c>
      <c r="Y287" s="1">
        <f t="shared" si="105"/>
        <v>0</v>
      </c>
      <c r="Z287" s="1">
        <f t="shared" si="106"/>
        <v>0</v>
      </c>
      <c r="AA287" s="1">
        <f t="shared" si="107"/>
        <v>0</v>
      </c>
      <c r="AB287" s="1">
        <f t="shared" si="108"/>
        <v>0</v>
      </c>
      <c r="AD287" s="1">
        <f t="shared" si="109"/>
        <v>0</v>
      </c>
      <c r="AE287" s="1">
        <f t="shared" si="110"/>
        <v>1</v>
      </c>
      <c r="AF287" s="1">
        <f t="shared" si="111"/>
        <v>0</v>
      </c>
      <c r="AG287" s="1">
        <f t="shared" si="112"/>
        <v>1</v>
      </c>
      <c r="AH287" s="1">
        <f t="shared" si="113"/>
        <v>0</v>
      </c>
      <c r="AI287" s="1">
        <f t="shared" si="114"/>
        <v>1</v>
      </c>
    </row>
    <row r="288" spans="1:35" s="1" customFormat="1" ht="14.25" customHeight="1" x14ac:dyDescent="0.25">
      <c r="A288" s="31">
        <v>0</v>
      </c>
      <c r="B288" s="31">
        <v>1</v>
      </c>
      <c r="C288" s="31">
        <v>7</v>
      </c>
      <c r="D288" s="36" t="s">
        <v>528</v>
      </c>
      <c r="E288" s="32" t="s">
        <v>29</v>
      </c>
      <c r="F288" s="36" t="s">
        <v>657</v>
      </c>
      <c r="G288" s="36" t="s">
        <v>39</v>
      </c>
      <c r="H288" s="36" t="s">
        <v>529</v>
      </c>
      <c r="I288" s="37" t="s">
        <v>1656</v>
      </c>
      <c r="J288" s="31">
        <v>14</v>
      </c>
      <c r="K288" s="33" t="s">
        <v>935</v>
      </c>
      <c r="L288" s="33">
        <v>40</v>
      </c>
      <c r="M288" s="34" t="s">
        <v>699</v>
      </c>
      <c r="N288" s="34" t="s">
        <v>1704</v>
      </c>
      <c r="O288" s="35">
        <v>1</v>
      </c>
      <c r="P288" s="35"/>
      <c r="Q288" s="36"/>
      <c r="S288" s="1">
        <f t="shared" si="99"/>
        <v>0</v>
      </c>
      <c r="T288" s="1">
        <f t="shared" si="100"/>
        <v>0</v>
      </c>
      <c r="U288" s="1">
        <f t="shared" si="101"/>
        <v>0</v>
      </c>
      <c r="V288" s="1">
        <f t="shared" si="102"/>
        <v>0</v>
      </c>
      <c r="W288" s="1">
        <f t="shared" si="103"/>
        <v>0</v>
      </c>
      <c r="X288" s="1">
        <f t="shared" si="104"/>
        <v>0</v>
      </c>
      <c r="Y288" s="1">
        <f t="shared" si="105"/>
        <v>0</v>
      </c>
      <c r="Z288" s="1">
        <f t="shared" si="106"/>
        <v>0</v>
      </c>
      <c r="AA288" s="1">
        <f t="shared" si="107"/>
        <v>0</v>
      </c>
      <c r="AB288" s="1">
        <f t="shared" si="108"/>
        <v>0</v>
      </c>
      <c r="AD288" s="1">
        <f t="shared" si="109"/>
        <v>0</v>
      </c>
      <c r="AE288" s="1">
        <f t="shared" si="110"/>
        <v>1</v>
      </c>
      <c r="AF288" s="1">
        <f t="shared" si="111"/>
        <v>0</v>
      </c>
      <c r="AG288" s="1">
        <f t="shared" si="112"/>
        <v>1</v>
      </c>
      <c r="AH288" s="1">
        <f t="shared" si="113"/>
        <v>0</v>
      </c>
      <c r="AI288" s="1">
        <f t="shared" si="114"/>
        <v>1</v>
      </c>
    </row>
    <row r="289" spans="1:35" s="1" customFormat="1" ht="14.25" customHeight="1" x14ac:dyDescent="0.25">
      <c r="A289" s="31">
        <v>0</v>
      </c>
      <c r="B289" s="31">
        <v>1</v>
      </c>
      <c r="C289" s="31">
        <v>7</v>
      </c>
      <c r="D289" s="36" t="s">
        <v>1295</v>
      </c>
      <c r="E289" s="32" t="s">
        <v>29</v>
      </c>
      <c r="F289" s="36" t="s">
        <v>1319</v>
      </c>
      <c r="G289" s="36" t="s">
        <v>39</v>
      </c>
      <c r="H289" s="36" t="s">
        <v>352</v>
      </c>
      <c r="I289" s="37" t="s">
        <v>1128</v>
      </c>
      <c r="J289" s="31">
        <v>99</v>
      </c>
      <c r="K289" s="33" t="s">
        <v>704</v>
      </c>
      <c r="L289" s="33" t="s">
        <v>684</v>
      </c>
      <c r="M289" s="34" t="s">
        <v>1380</v>
      </c>
      <c r="N289" s="34" t="s">
        <v>1699</v>
      </c>
      <c r="O289" s="35">
        <v>1</v>
      </c>
      <c r="P289" s="35">
        <v>1</v>
      </c>
      <c r="Q289" s="36"/>
      <c r="S289" s="1">
        <f t="shared" si="99"/>
        <v>0</v>
      </c>
      <c r="T289" s="1">
        <f t="shared" si="100"/>
        <v>0</v>
      </c>
      <c r="U289" s="1">
        <f t="shared" si="101"/>
        <v>0</v>
      </c>
      <c r="V289" s="1">
        <f t="shared" si="102"/>
        <v>0</v>
      </c>
      <c r="W289" s="1">
        <f t="shared" si="103"/>
        <v>0</v>
      </c>
      <c r="X289" s="1">
        <f t="shared" si="104"/>
        <v>0</v>
      </c>
      <c r="Y289" s="1">
        <f t="shared" si="105"/>
        <v>0</v>
      </c>
      <c r="Z289" s="1">
        <f t="shared" si="106"/>
        <v>0</v>
      </c>
      <c r="AA289" s="1">
        <f t="shared" si="107"/>
        <v>0</v>
      </c>
      <c r="AB289" s="1">
        <f t="shared" si="108"/>
        <v>0</v>
      </c>
      <c r="AD289" s="1">
        <f t="shared" si="109"/>
        <v>1</v>
      </c>
      <c r="AE289" s="1">
        <f t="shared" si="110"/>
        <v>0</v>
      </c>
      <c r="AF289" s="1">
        <f t="shared" si="111"/>
        <v>1</v>
      </c>
      <c r="AG289" s="1">
        <f t="shared" si="112"/>
        <v>0</v>
      </c>
      <c r="AH289" s="1">
        <f t="shared" si="113"/>
        <v>1</v>
      </c>
      <c r="AI289" s="1">
        <f t="shared" si="114"/>
        <v>0</v>
      </c>
    </row>
    <row r="290" spans="1:35" s="1" customFormat="1" ht="14.25" customHeight="1" x14ac:dyDescent="0.25">
      <c r="A290" s="31">
        <v>0</v>
      </c>
      <c r="B290" s="31">
        <v>1</v>
      </c>
      <c r="C290" s="31">
        <v>7</v>
      </c>
      <c r="D290" s="32" t="s">
        <v>96</v>
      </c>
      <c r="E290" s="32" t="s">
        <v>29</v>
      </c>
      <c r="F290" s="32" t="s">
        <v>293</v>
      </c>
      <c r="G290" s="32" t="s">
        <v>262</v>
      </c>
      <c r="H290" s="32" t="s">
        <v>352</v>
      </c>
      <c r="I290" s="31" t="s">
        <v>442</v>
      </c>
      <c r="J290" s="31">
        <v>1</v>
      </c>
      <c r="K290" s="33" t="s">
        <v>704</v>
      </c>
      <c r="L290" s="33" t="s">
        <v>685</v>
      </c>
      <c r="M290" s="34" t="s">
        <v>699</v>
      </c>
      <c r="N290" s="34" t="s">
        <v>1704</v>
      </c>
      <c r="O290" s="35">
        <v>1</v>
      </c>
      <c r="P290" s="35"/>
      <c r="Q290" s="32"/>
      <c r="S290" s="1">
        <f t="shared" si="99"/>
        <v>1</v>
      </c>
      <c r="T290" s="1">
        <f t="shared" si="100"/>
        <v>0</v>
      </c>
      <c r="U290" s="1">
        <f t="shared" si="101"/>
        <v>0</v>
      </c>
      <c r="V290" s="1">
        <f t="shared" si="102"/>
        <v>0</v>
      </c>
      <c r="W290" s="1">
        <f t="shared" si="103"/>
        <v>0</v>
      </c>
      <c r="X290" s="1">
        <f t="shared" si="104"/>
        <v>0</v>
      </c>
      <c r="Y290" s="1">
        <f t="shared" si="105"/>
        <v>0</v>
      </c>
      <c r="Z290" s="1">
        <f t="shared" si="106"/>
        <v>0</v>
      </c>
      <c r="AA290" s="1">
        <f t="shared" si="107"/>
        <v>0</v>
      </c>
      <c r="AB290" s="1">
        <f t="shared" si="108"/>
        <v>0</v>
      </c>
      <c r="AD290" s="1">
        <f t="shared" si="109"/>
        <v>0</v>
      </c>
      <c r="AE290" s="1">
        <f t="shared" si="110"/>
        <v>1</v>
      </c>
      <c r="AF290" s="1">
        <f t="shared" si="111"/>
        <v>0</v>
      </c>
      <c r="AG290" s="1">
        <f t="shared" si="112"/>
        <v>1</v>
      </c>
      <c r="AH290" s="1">
        <f t="shared" si="113"/>
        <v>0</v>
      </c>
      <c r="AI290" s="1">
        <f t="shared" si="114"/>
        <v>1</v>
      </c>
    </row>
    <row r="291" spans="1:35" s="1" customFormat="1" ht="14.25" customHeight="1" x14ac:dyDescent="0.25">
      <c r="A291" s="15">
        <v>0</v>
      </c>
      <c r="B291" s="15">
        <v>1</v>
      </c>
      <c r="C291" s="15">
        <v>7</v>
      </c>
      <c r="D291" s="16" t="s">
        <v>745</v>
      </c>
      <c r="E291" s="16" t="s">
        <v>29</v>
      </c>
      <c r="F291" s="20" t="s">
        <v>2054</v>
      </c>
      <c r="G291" s="16" t="s">
        <v>39</v>
      </c>
      <c r="H291" s="20" t="s">
        <v>365</v>
      </c>
      <c r="I291" s="21" t="s">
        <v>2055</v>
      </c>
      <c r="J291" s="15">
        <v>18</v>
      </c>
      <c r="K291" s="10" t="s">
        <v>694</v>
      </c>
      <c r="L291" s="10" t="s">
        <v>688</v>
      </c>
      <c r="M291" s="19" t="s">
        <v>699</v>
      </c>
      <c r="N291" s="17"/>
      <c r="Q291" s="16"/>
      <c r="S291" s="1">
        <f t="shared" si="99"/>
        <v>0</v>
      </c>
      <c r="T291" s="1">
        <f t="shared" si="100"/>
        <v>0</v>
      </c>
      <c r="U291" s="1">
        <f t="shared" si="101"/>
        <v>0</v>
      </c>
      <c r="V291" s="1">
        <f t="shared" si="102"/>
        <v>0</v>
      </c>
      <c r="W291" s="1">
        <f t="shared" si="103"/>
        <v>0</v>
      </c>
      <c r="X291" s="1">
        <f t="shared" si="104"/>
        <v>0</v>
      </c>
      <c r="Y291" s="1">
        <f t="shared" si="105"/>
        <v>0</v>
      </c>
      <c r="Z291" s="1">
        <f t="shared" si="106"/>
        <v>0</v>
      </c>
      <c r="AA291" s="1">
        <f t="shared" si="107"/>
        <v>0</v>
      </c>
      <c r="AB291" s="1">
        <f t="shared" si="108"/>
        <v>0</v>
      </c>
      <c r="AD291" s="1">
        <f t="shared" si="109"/>
        <v>0</v>
      </c>
      <c r="AE291" s="1">
        <f t="shared" si="110"/>
        <v>0</v>
      </c>
      <c r="AF291" s="1">
        <f t="shared" si="111"/>
        <v>0</v>
      </c>
      <c r="AG291" s="1">
        <f t="shared" si="112"/>
        <v>0</v>
      </c>
      <c r="AH291" s="1">
        <f t="shared" si="113"/>
        <v>0</v>
      </c>
      <c r="AI291" s="1">
        <f t="shared" si="114"/>
        <v>1</v>
      </c>
    </row>
    <row r="292" spans="1:35" s="1" customFormat="1" ht="14.25" customHeight="1" x14ac:dyDescent="0.25">
      <c r="A292" s="31">
        <v>0</v>
      </c>
      <c r="B292" s="31">
        <v>1</v>
      </c>
      <c r="C292" s="31">
        <v>7</v>
      </c>
      <c r="D292" s="36" t="s">
        <v>1486</v>
      </c>
      <c r="E292" s="32" t="s">
        <v>29</v>
      </c>
      <c r="F292" s="36" t="s">
        <v>1638</v>
      </c>
      <c r="G292" s="36" t="s">
        <v>1639</v>
      </c>
      <c r="H292" s="36" t="s">
        <v>352</v>
      </c>
      <c r="I292" s="37" t="s">
        <v>1487</v>
      </c>
      <c r="J292" s="31">
        <v>99</v>
      </c>
      <c r="K292" s="33" t="s">
        <v>704</v>
      </c>
      <c r="L292" s="33" t="s">
        <v>39</v>
      </c>
      <c r="M292" s="34" t="s">
        <v>39</v>
      </c>
      <c r="N292" s="34" t="s">
        <v>1693</v>
      </c>
      <c r="O292" s="35">
        <v>1</v>
      </c>
      <c r="P292" s="35">
        <v>1</v>
      </c>
      <c r="Q292" s="36"/>
      <c r="S292" s="1">
        <f t="shared" si="99"/>
        <v>0</v>
      </c>
      <c r="T292" s="1">
        <f t="shared" si="100"/>
        <v>0</v>
      </c>
      <c r="U292" s="1">
        <f t="shared" si="101"/>
        <v>0</v>
      </c>
      <c r="V292" s="1">
        <f t="shared" si="102"/>
        <v>0</v>
      </c>
      <c r="W292" s="1">
        <f t="shared" si="103"/>
        <v>0</v>
      </c>
      <c r="X292" s="1">
        <f t="shared" si="104"/>
        <v>0</v>
      </c>
      <c r="Y292" s="1">
        <f t="shared" si="105"/>
        <v>0</v>
      </c>
      <c r="Z292" s="1">
        <f t="shared" si="106"/>
        <v>0</v>
      </c>
      <c r="AA292" s="1">
        <f t="shared" si="107"/>
        <v>0</v>
      </c>
      <c r="AB292" s="1">
        <f t="shared" si="108"/>
        <v>0</v>
      </c>
      <c r="AD292" s="1">
        <f t="shared" si="109"/>
        <v>1</v>
      </c>
      <c r="AE292" s="1">
        <f t="shared" si="110"/>
        <v>0</v>
      </c>
      <c r="AF292" s="1">
        <f t="shared" si="111"/>
        <v>1</v>
      </c>
      <c r="AG292" s="1">
        <f t="shared" si="112"/>
        <v>0</v>
      </c>
      <c r="AH292" s="1">
        <f t="shared" si="113"/>
        <v>1</v>
      </c>
      <c r="AI292" s="1">
        <f t="shared" si="114"/>
        <v>0</v>
      </c>
    </row>
    <row r="293" spans="1:35" s="1" customFormat="1" ht="14.25" customHeight="1" x14ac:dyDescent="0.25">
      <c r="A293" s="31">
        <v>0</v>
      </c>
      <c r="B293" s="31">
        <v>1</v>
      </c>
      <c r="C293" s="31">
        <v>7</v>
      </c>
      <c r="D293" s="32" t="s">
        <v>1122</v>
      </c>
      <c r="E293" s="32" t="s">
        <v>29</v>
      </c>
      <c r="F293" s="32" t="s">
        <v>1123</v>
      </c>
      <c r="G293" s="32" t="s">
        <v>1125</v>
      </c>
      <c r="H293" s="32" t="s">
        <v>352</v>
      </c>
      <c r="I293" s="31" t="s">
        <v>1124</v>
      </c>
      <c r="J293" s="31">
        <v>99</v>
      </c>
      <c r="K293" s="33" t="s">
        <v>694</v>
      </c>
      <c r="L293" s="33">
        <v>30</v>
      </c>
      <c r="M293" s="34" t="s">
        <v>1381</v>
      </c>
      <c r="N293" s="34" t="s">
        <v>1808</v>
      </c>
      <c r="O293" s="35">
        <v>1</v>
      </c>
      <c r="P293" s="35"/>
      <c r="Q293" s="32"/>
      <c r="S293" s="1">
        <f t="shared" si="99"/>
        <v>0</v>
      </c>
      <c r="T293" s="1">
        <f t="shared" si="100"/>
        <v>0</v>
      </c>
      <c r="U293" s="1">
        <f t="shared" si="101"/>
        <v>0</v>
      </c>
      <c r="V293" s="1">
        <f t="shared" si="102"/>
        <v>0</v>
      </c>
      <c r="W293" s="1">
        <f t="shared" si="103"/>
        <v>0</v>
      </c>
      <c r="X293" s="1">
        <f t="shared" si="104"/>
        <v>0</v>
      </c>
      <c r="Y293" s="1">
        <f t="shared" si="105"/>
        <v>0</v>
      </c>
      <c r="Z293" s="1">
        <f t="shared" si="106"/>
        <v>0</v>
      </c>
      <c r="AA293" s="1">
        <f t="shared" si="107"/>
        <v>0</v>
      </c>
      <c r="AB293" s="1">
        <f t="shared" si="108"/>
        <v>0</v>
      </c>
      <c r="AD293" s="1">
        <f t="shared" si="109"/>
        <v>0</v>
      </c>
      <c r="AE293" s="1">
        <f t="shared" si="110"/>
        <v>1</v>
      </c>
      <c r="AF293" s="1">
        <f t="shared" si="111"/>
        <v>0</v>
      </c>
      <c r="AG293" s="1">
        <f t="shared" si="112"/>
        <v>1</v>
      </c>
      <c r="AH293" s="1">
        <f t="shared" si="113"/>
        <v>0</v>
      </c>
      <c r="AI293" s="1">
        <f t="shared" si="114"/>
        <v>1</v>
      </c>
    </row>
    <row r="294" spans="1:35" s="1" customFormat="1" ht="14.25" customHeight="1" x14ac:dyDescent="0.25">
      <c r="A294" s="31">
        <v>0</v>
      </c>
      <c r="B294" s="31">
        <v>1</v>
      </c>
      <c r="C294" s="31">
        <v>7</v>
      </c>
      <c r="D294" s="32" t="s">
        <v>98</v>
      </c>
      <c r="E294" s="32" t="s">
        <v>29</v>
      </c>
      <c r="F294" s="32" t="s">
        <v>295</v>
      </c>
      <c r="G294" s="32" t="s">
        <v>196</v>
      </c>
      <c r="H294" s="32" t="s">
        <v>352</v>
      </c>
      <c r="I294" s="31" t="s">
        <v>443</v>
      </c>
      <c r="J294" s="31">
        <v>9</v>
      </c>
      <c r="K294" s="33" t="s">
        <v>694</v>
      </c>
      <c r="L294" s="33">
        <v>30</v>
      </c>
      <c r="M294" s="34" t="s">
        <v>699</v>
      </c>
      <c r="N294" s="34" t="s">
        <v>1704</v>
      </c>
      <c r="O294" s="35">
        <v>1</v>
      </c>
      <c r="P294" s="35"/>
      <c r="Q294" s="32"/>
      <c r="S294" s="1">
        <f t="shared" si="99"/>
        <v>0</v>
      </c>
      <c r="T294" s="1">
        <f t="shared" si="100"/>
        <v>0</v>
      </c>
      <c r="U294" s="1">
        <f t="shared" si="101"/>
        <v>0</v>
      </c>
      <c r="V294" s="1">
        <f t="shared" si="102"/>
        <v>0</v>
      </c>
      <c r="W294" s="1">
        <f t="shared" si="103"/>
        <v>0</v>
      </c>
      <c r="X294" s="1">
        <f t="shared" si="104"/>
        <v>0</v>
      </c>
      <c r="Y294" s="1">
        <f t="shared" si="105"/>
        <v>0</v>
      </c>
      <c r="Z294" s="1">
        <f t="shared" si="106"/>
        <v>0</v>
      </c>
      <c r="AA294" s="1">
        <f t="shared" si="107"/>
        <v>1</v>
      </c>
      <c r="AB294" s="1">
        <f t="shared" si="108"/>
        <v>0</v>
      </c>
      <c r="AD294" s="1">
        <f t="shared" si="109"/>
        <v>0</v>
      </c>
      <c r="AE294" s="1">
        <f t="shared" si="110"/>
        <v>1</v>
      </c>
      <c r="AF294" s="1">
        <f t="shared" si="111"/>
        <v>0</v>
      </c>
      <c r="AG294" s="1">
        <f t="shared" si="112"/>
        <v>1</v>
      </c>
      <c r="AH294" s="1">
        <f t="shared" si="113"/>
        <v>0</v>
      </c>
      <c r="AI294" s="1">
        <f t="shared" si="114"/>
        <v>1</v>
      </c>
    </row>
    <row r="295" spans="1:35" s="1" customFormat="1" ht="14.25" customHeight="1" x14ac:dyDescent="0.25">
      <c r="A295" s="31">
        <v>0</v>
      </c>
      <c r="B295" s="31">
        <v>1</v>
      </c>
      <c r="C295" s="31">
        <v>7</v>
      </c>
      <c r="D295" s="32" t="s">
        <v>788</v>
      </c>
      <c r="E295" s="32" t="s">
        <v>29</v>
      </c>
      <c r="F295" s="32" t="s">
        <v>767</v>
      </c>
      <c r="G295" s="32" t="s">
        <v>789</v>
      </c>
      <c r="H295" s="32" t="s">
        <v>352</v>
      </c>
      <c r="I295" s="31" t="s">
        <v>933</v>
      </c>
      <c r="J295" s="31">
        <v>99</v>
      </c>
      <c r="K295" s="33" t="s">
        <v>704</v>
      </c>
      <c r="L295" s="33" t="s">
        <v>685</v>
      </c>
      <c r="M295" s="34" t="s">
        <v>699</v>
      </c>
      <c r="N295" s="34" t="s">
        <v>1784</v>
      </c>
      <c r="O295" s="35">
        <v>1</v>
      </c>
      <c r="P295" s="35"/>
      <c r="Q295" s="32"/>
      <c r="S295" s="1">
        <f t="shared" si="99"/>
        <v>0</v>
      </c>
      <c r="T295" s="1">
        <f t="shared" si="100"/>
        <v>0</v>
      </c>
      <c r="U295" s="1">
        <f t="shared" si="101"/>
        <v>0</v>
      </c>
      <c r="V295" s="1">
        <f t="shared" si="102"/>
        <v>0</v>
      </c>
      <c r="W295" s="1">
        <f t="shared" si="103"/>
        <v>0</v>
      </c>
      <c r="X295" s="1">
        <f t="shared" si="104"/>
        <v>0</v>
      </c>
      <c r="Y295" s="1">
        <f t="shared" si="105"/>
        <v>0</v>
      </c>
      <c r="Z295" s="1">
        <f t="shared" si="106"/>
        <v>0</v>
      </c>
      <c r="AA295" s="1">
        <f t="shared" si="107"/>
        <v>0</v>
      </c>
      <c r="AB295" s="1">
        <f t="shared" si="108"/>
        <v>0</v>
      </c>
      <c r="AD295" s="1">
        <f t="shared" si="109"/>
        <v>0</v>
      </c>
      <c r="AE295" s="1">
        <f t="shared" si="110"/>
        <v>1</v>
      </c>
      <c r="AF295" s="1">
        <f t="shared" si="111"/>
        <v>0</v>
      </c>
      <c r="AG295" s="1">
        <f t="shared" si="112"/>
        <v>1</v>
      </c>
      <c r="AH295" s="1">
        <f t="shared" si="113"/>
        <v>0</v>
      </c>
      <c r="AI295" s="1">
        <f t="shared" si="114"/>
        <v>1</v>
      </c>
    </row>
    <row r="296" spans="1:35" s="1" customFormat="1" ht="14.25" customHeight="1" x14ac:dyDescent="0.25">
      <c r="A296" s="31">
        <v>0</v>
      </c>
      <c r="B296" s="31">
        <v>1</v>
      </c>
      <c r="C296" s="31">
        <v>7</v>
      </c>
      <c r="D296" s="32" t="s">
        <v>1298</v>
      </c>
      <c r="E296" s="32" t="s">
        <v>29</v>
      </c>
      <c r="F296" s="32" t="s">
        <v>1321</v>
      </c>
      <c r="G296" s="32" t="s">
        <v>1159</v>
      </c>
      <c r="H296" s="32" t="s">
        <v>352</v>
      </c>
      <c r="I296" s="31" t="s">
        <v>1658</v>
      </c>
      <c r="J296" s="31">
        <v>99</v>
      </c>
      <c r="K296" s="33" t="s">
        <v>704</v>
      </c>
      <c r="L296" s="33" t="s">
        <v>685</v>
      </c>
      <c r="M296" s="34" t="s">
        <v>1382</v>
      </c>
      <c r="N296" s="34" t="s">
        <v>1721</v>
      </c>
      <c r="O296" s="35">
        <v>1</v>
      </c>
      <c r="P296" s="35"/>
      <c r="Q296" s="32"/>
      <c r="S296" s="1">
        <f t="shared" si="99"/>
        <v>0</v>
      </c>
      <c r="T296" s="1">
        <f t="shared" si="100"/>
        <v>0</v>
      </c>
      <c r="U296" s="1">
        <f t="shared" si="101"/>
        <v>0</v>
      </c>
      <c r="V296" s="1">
        <f t="shared" si="102"/>
        <v>0</v>
      </c>
      <c r="W296" s="1">
        <f t="shared" si="103"/>
        <v>0</v>
      </c>
      <c r="X296" s="1">
        <f t="shared" si="104"/>
        <v>0</v>
      </c>
      <c r="Y296" s="1">
        <f t="shared" si="105"/>
        <v>0</v>
      </c>
      <c r="Z296" s="1">
        <f t="shared" si="106"/>
        <v>0</v>
      </c>
      <c r="AA296" s="1">
        <f t="shared" si="107"/>
        <v>0</v>
      </c>
      <c r="AB296" s="1">
        <f t="shared" si="108"/>
        <v>0</v>
      </c>
      <c r="AD296" s="1">
        <f t="shared" si="109"/>
        <v>0</v>
      </c>
      <c r="AE296" s="1">
        <f t="shared" si="110"/>
        <v>1</v>
      </c>
      <c r="AF296" s="1">
        <f t="shared" si="111"/>
        <v>0</v>
      </c>
      <c r="AG296" s="1">
        <f t="shared" si="112"/>
        <v>1</v>
      </c>
      <c r="AH296" s="1">
        <f t="shared" si="113"/>
        <v>0</v>
      </c>
      <c r="AI296" s="1">
        <f t="shared" si="114"/>
        <v>1</v>
      </c>
    </row>
    <row r="297" spans="1:35" s="1" customFormat="1" ht="14.25" customHeight="1" x14ac:dyDescent="0.25">
      <c r="A297" s="15">
        <v>0</v>
      </c>
      <c r="B297" s="15">
        <v>1</v>
      </c>
      <c r="C297" s="15">
        <v>7</v>
      </c>
      <c r="D297" s="20" t="s">
        <v>1253</v>
      </c>
      <c r="E297" s="20" t="s">
        <v>29</v>
      </c>
      <c r="F297" s="20" t="s">
        <v>1254</v>
      </c>
      <c r="G297" s="16" t="s">
        <v>1255</v>
      </c>
      <c r="H297" s="20" t="s">
        <v>352</v>
      </c>
      <c r="I297" s="21" t="s">
        <v>1256</v>
      </c>
      <c r="J297" s="15">
        <v>99</v>
      </c>
      <c r="K297" s="10" t="s">
        <v>704</v>
      </c>
      <c r="L297" s="10" t="s">
        <v>685</v>
      </c>
      <c r="M297" s="19" t="s">
        <v>699</v>
      </c>
      <c r="N297" s="17"/>
      <c r="Q297" s="16"/>
      <c r="S297" s="1">
        <f t="shared" si="99"/>
        <v>0</v>
      </c>
      <c r="T297" s="1">
        <f t="shared" si="100"/>
        <v>0</v>
      </c>
      <c r="U297" s="1">
        <f t="shared" si="101"/>
        <v>0</v>
      </c>
      <c r="V297" s="1">
        <f t="shared" si="102"/>
        <v>0</v>
      </c>
      <c r="W297" s="1">
        <f t="shared" si="103"/>
        <v>0</v>
      </c>
      <c r="X297" s="1">
        <f t="shared" si="104"/>
        <v>0</v>
      </c>
      <c r="Y297" s="1">
        <f t="shared" si="105"/>
        <v>0</v>
      </c>
      <c r="Z297" s="1">
        <f t="shared" si="106"/>
        <v>0</v>
      </c>
      <c r="AA297" s="1">
        <f t="shared" si="107"/>
        <v>0</v>
      </c>
      <c r="AB297" s="1">
        <f t="shared" si="108"/>
        <v>0</v>
      </c>
      <c r="AD297" s="1">
        <f t="shared" si="109"/>
        <v>0</v>
      </c>
      <c r="AE297" s="1">
        <f t="shared" si="110"/>
        <v>0</v>
      </c>
      <c r="AF297" s="1">
        <f t="shared" si="111"/>
        <v>0</v>
      </c>
      <c r="AG297" s="1">
        <f t="shared" si="112"/>
        <v>0</v>
      </c>
      <c r="AH297" s="1">
        <f t="shared" si="113"/>
        <v>0</v>
      </c>
      <c r="AI297" s="1">
        <f t="shared" si="114"/>
        <v>1</v>
      </c>
    </row>
    <row r="298" spans="1:35" s="1" customFormat="1" ht="14.25" customHeight="1" x14ac:dyDescent="0.25">
      <c r="A298" s="31">
        <v>0</v>
      </c>
      <c r="B298" s="31">
        <v>1</v>
      </c>
      <c r="C298" s="31">
        <v>7</v>
      </c>
      <c r="D298" s="32" t="s">
        <v>700</v>
      </c>
      <c r="E298" s="32" t="s">
        <v>29</v>
      </c>
      <c r="F298" s="32" t="s">
        <v>701</v>
      </c>
      <c r="G298" s="32" t="s">
        <v>183</v>
      </c>
      <c r="H298" s="32" t="s">
        <v>352</v>
      </c>
      <c r="I298" s="31" t="s">
        <v>702</v>
      </c>
      <c r="J298" s="31">
        <v>99</v>
      </c>
      <c r="K298" s="33" t="s">
        <v>936</v>
      </c>
      <c r="L298" s="33" t="s">
        <v>39</v>
      </c>
      <c r="M298" s="34" t="s">
        <v>39</v>
      </c>
      <c r="N298" s="34" t="s">
        <v>1699</v>
      </c>
      <c r="O298" s="35">
        <v>1</v>
      </c>
      <c r="P298" s="35">
        <v>1</v>
      </c>
      <c r="Q298" s="32"/>
      <c r="S298" s="1">
        <f t="shared" si="99"/>
        <v>0</v>
      </c>
      <c r="T298" s="1">
        <f t="shared" si="100"/>
        <v>0</v>
      </c>
      <c r="U298" s="1">
        <f t="shared" si="101"/>
        <v>0</v>
      </c>
      <c r="V298" s="1">
        <f t="shared" si="102"/>
        <v>0</v>
      </c>
      <c r="W298" s="1">
        <f t="shared" si="103"/>
        <v>0</v>
      </c>
      <c r="X298" s="1">
        <f t="shared" si="104"/>
        <v>0</v>
      </c>
      <c r="Y298" s="1">
        <f t="shared" si="105"/>
        <v>0</v>
      </c>
      <c r="Z298" s="1">
        <f t="shared" si="106"/>
        <v>0</v>
      </c>
      <c r="AA298" s="1">
        <f t="shared" si="107"/>
        <v>0</v>
      </c>
      <c r="AB298" s="1">
        <f t="shared" si="108"/>
        <v>0</v>
      </c>
      <c r="AD298" s="1">
        <f t="shared" si="109"/>
        <v>1</v>
      </c>
      <c r="AE298" s="1">
        <f t="shared" si="110"/>
        <v>0</v>
      </c>
      <c r="AF298" s="1">
        <f t="shared" si="111"/>
        <v>1</v>
      </c>
      <c r="AG298" s="1">
        <f t="shared" si="112"/>
        <v>0</v>
      </c>
      <c r="AH298" s="1">
        <f t="shared" si="113"/>
        <v>1</v>
      </c>
      <c r="AI298" s="1">
        <f t="shared" si="114"/>
        <v>0</v>
      </c>
    </row>
    <row r="299" spans="1:35" s="1" customFormat="1" ht="14.25" customHeight="1" x14ac:dyDescent="0.25">
      <c r="A299" s="31">
        <v>0</v>
      </c>
      <c r="B299" s="31">
        <v>1</v>
      </c>
      <c r="C299" s="31">
        <v>7</v>
      </c>
      <c r="D299" s="36" t="s">
        <v>2085</v>
      </c>
      <c r="E299" s="36" t="s">
        <v>29</v>
      </c>
      <c r="F299" s="36" t="s">
        <v>2086</v>
      </c>
      <c r="G299" s="36" t="s">
        <v>239</v>
      </c>
      <c r="H299" s="36" t="s">
        <v>352</v>
      </c>
      <c r="I299" s="37" t="s">
        <v>2087</v>
      </c>
      <c r="J299" s="31">
        <v>1</v>
      </c>
      <c r="K299" s="33" t="s">
        <v>694</v>
      </c>
      <c r="L299" s="33"/>
      <c r="M299" s="34"/>
      <c r="N299" s="34" t="s">
        <v>1708</v>
      </c>
      <c r="O299" s="35">
        <v>1</v>
      </c>
      <c r="P299" s="35"/>
      <c r="Q299" s="32" t="s">
        <v>2088</v>
      </c>
      <c r="S299" s="1">
        <f t="shared" si="99"/>
        <v>1</v>
      </c>
      <c r="T299" s="1">
        <f t="shared" si="100"/>
        <v>0</v>
      </c>
      <c r="U299" s="1">
        <f t="shared" si="101"/>
        <v>0</v>
      </c>
      <c r="V299" s="1">
        <f t="shared" si="102"/>
        <v>0</v>
      </c>
      <c r="W299" s="1">
        <f t="shared" si="103"/>
        <v>0</v>
      </c>
      <c r="X299" s="1">
        <f t="shared" si="104"/>
        <v>0</v>
      </c>
      <c r="Y299" s="1">
        <f t="shared" si="105"/>
        <v>0</v>
      </c>
      <c r="Z299" s="1">
        <f t="shared" si="106"/>
        <v>0</v>
      </c>
      <c r="AA299" s="1">
        <f t="shared" si="107"/>
        <v>0</v>
      </c>
      <c r="AB299" s="1">
        <f t="shared" si="108"/>
        <v>0</v>
      </c>
      <c r="AD299" s="1">
        <f t="shared" si="109"/>
        <v>0</v>
      </c>
      <c r="AE299" s="1">
        <f t="shared" si="110"/>
        <v>1</v>
      </c>
      <c r="AF299" s="1">
        <f t="shared" si="111"/>
        <v>0</v>
      </c>
      <c r="AG299" s="1">
        <f t="shared" si="112"/>
        <v>1</v>
      </c>
      <c r="AH299" s="1">
        <f t="shared" si="113"/>
        <v>0</v>
      </c>
      <c r="AI299" s="1">
        <f t="shared" si="114"/>
        <v>1</v>
      </c>
    </row>
    <row r="300" spans="1:35" s="1" customFormat="1" ht="14.25" customHeight="1" x14ac:dyDescent="0.25">
      <c r="A300" s="31">
        <v>0</v>
      </c>
      <c r="B300" s="31">
        <v>2</v>
      </c>
      <c r="C300" s="31">
        <v>1</v>
      </c>
      <c r="D300" s="32" t="s">
        <v>532</v>
      </c>
      <c r="E300" s="32" t="s">
        <v>34</v>
      </c>
      <c r="F300" s="32" t="s">
        <v>533</v>
      </c>
      <c r="G300" s="32" t="s">
        <v>219</v>
      </c>
      <c r="H300" s="32" t="s">
        <v>352</v>
      </c>
      <c r="I300" s="31" t="s">
        <v>534</v>
      </c>
      <c r="J300" s="31">
        <v>8</v>
      </c>
      <c r="K300" s="33" t="s">
        <v>704</v>
      </c>
      <c r="L300" s="33" t="s">
        <v>704</v>
      </c>
      <c r="M300" s="34" t="s">
        <v>705</v>
      </c>
      <c r="N300" s="34" t="s">
        <v>1708</v>
      </c>
      <c r="O300" s="35">
        <v>1</v>
      </c>
      <c r="P300" s="35"/>
      <c r="Q300" s="32"/>
      <c r="S300" s="1">
        <f t="shared" si="99"/>
        <v>0</v>
      </c>
      <c r="T300" s="1">
        <f t="shared" si="100"/>
        <v>0</v>
      </c>
      <c r="U300" s="1">
        <f t="shared" si="101"/>
        <v>0</v>
      </c>
      <c r="V300" s="1">
        <f t="shared" si="102"/>
        <v>0</v>
      </c>
      <c r="W300" s="1">
        <f t="shared" si="103"/>
        <v>0</v>
      </c>
      <c r="X300" s="1">
        <f t="shared" si="104"/>
        <v>0</v>
      </c>
      <c r="Y300" s="1">
        <f t="shared" si="105"/>
        <v>0</v>
      </c>
      <c r="Z300" s="1">
        <f t="shared" si="106"/>
        <v>1</v>
      </c>
      <c r="AA300" s="1">
        <f t="shared" si="107"/>
        <v>0</v>
      </c>
      <c r="AB300" s="1">
        <f t="shared" si="108"/>
        <v>0</v>
      </c>
      <c r="AD300" s="1">
        <f t="shared" si="109"/>
        <v>0</v>
      </c>
      <c r="AE300" s="1">
        <f t="shared" si="110"/>
        <v>1</v>
      </c>
      <c r="AF300" s="1">
        <f t="shared" si="111"/>
        <v>0</v>
      </c>
      <c r="AG300" s="1">
        <f t="shared" si="112"/>
        <v>1</v>
      </c>
      <c r="AH300" s="1">
        <f t="shared" si="113"/>
        <v>0</v>
      </c>
      <c r="AI300" s="1">
        <f t="shared" si="114"/>
        <v>1</v>
      </c>
    </row>
    <row r="301" spans="1:35" s="1" customFormat="1" ht="14.25" customHeight="1" x14ac:dyDescent="0.25">
      <c r="A301" s="31">
        <v>0</v>
      </c>
      <c r="B301" s="31">
        <v>2</v>
      </c>
      <c r="C301" s="31">
        <v>1</v>
      </c>
      <c r="D301" s="32" t="s">
        <v>1264</v>
      </c>
      <c r="E301" s="32" t="s">
        <v>555</v>
      </c>
      <c r="F301" s="32" t="s">
        <v>1265</v>
      </c>
      <c r="G301" s="32" t="s">
        <v>229</v>
      </c>
      <c r="H301" s="32" t="s">
        <v>352</v>
      </c>
      <c r="I301" s="31" t="s">
        <v>1266</v>
      </c>
      <c r="J301" s="31">
        <v>7</v>
      </c>
      <c r="K301" s="33" t="s">
        <v>704</v>
      </c>
      <c r="L301" s="33" t="s">
        <v>704</v>
      </c>
      <c r="M301" s="34" t="s">
        <v>705</v>
      </c>
      <c r="N301" s="34" t="s">
        <v>1716</v>
      </c>
      <c r="O301" s="35">
        <v>1</v>
      </c>
      <c r="P301" s="35"/>
      <c r="Q301" s="32"/>
      <c r="S301" s="1">
        <f t="shared" si="99"/>
        <v>0</v>
      </c>
      <c r="T301" s="1">
        <f t="shared" si="100"/>
        <v>0</v>
      </c>
      <c r="U301" s="1">
        <f t="shared" si="101"/>
        <v>0</v>
      </c>
      <c r="V301" s="1">
        <f t="shared" si="102"/>
        <v>0</v>
      </c>
      <c r="W301" s="1">
        <f t="shared" si="103"/>
        <v>0</v>
      </c>
      <c r="X301" s="1">
        <f t="shared" si="104"/>
        <v>0</v>
      </c>
      <c r="Y301" s="1">
        <f t="shared" si="105"/>
        <v>1</v>
      </c>
      <c r="Z301" s="1">
        <f t="shared" si="106"/>
        <v>0</v>
      </c>
      <c r="AA301" s="1">
        <f t="shared" si="107"/>
        <v>0</v>
      </c>
      <c r="AB301" s="1">
        <f t="shared" si="108"/>
        <v>0</v>
      </c>
      <c r="AD301" s="1">
        <f t="shared" si="109"/>
        <v>0</v>
      </c>
      <c r="AE301" s="1">
        <f t="shared" si="110"/>
        <v>1</v>
      </c>
      <c r="AF301" s="1">
        <f t="shared" si="111"/>
        <v>0</v>
      </c>
      <c r="AG301" s="1">
        <f t="shared" si="112"/>
        <v>1</v>
      </c>
      <c r="AH301" s="1">
        <f t="shared" si="113"/>
        <v>0</v>
      </c>
      <c r="AI301" s="1">
        <f t="shared" si="114"/>
        <v>1</v>
      </c>
    </row>
    <row r="302" spans="1:35" s="1" customFormat="1" ht="14.25" customHeight="1" x14ac:dyDescent="0.25">
      <c r="A302" s="31">
        <v>0</v>
      </c>
      <c r="B302" s="31">
        <v>2</v>
      </c>
      <c r="C302" s="31">
        <v>1</v>
      </c>
      <c r="D302" s="32" t="s">
        <v>1300</v>
      </c>
      <c r="E302" s="32" t="s">
        <v>555</v>
      </c>
      <c r="F302" s="32" t="s">
        <v>1941</v>
      </c>
      <c r="G302" s="32" t="s">
        <v>212</v>
      </c>
      <c r="H302" s="32" t="s">
        <v>352</v>
      </c>
      <c r="I302" s="31" t="s">
        <v>1134</v>
      </c>
      <c r="J302" s="31">
        <v>1</v>
      </c>
      <c r="K302" s="33" t="s">
        <v>935</v>
      </c>
      <c r="L302" s="33" t="s">
        <v>704</v>
      </c>
      <c r="M302" s="34" t="s">
        <v>705</v>
      </c>
      <c r="N302" s="34" t="s">
        <v>1721</v>
      </c>
      <c r="O302" s="35">
        <v>1</v>
      </c>
      <c r="P302" s="35"/>
      <c r="Q302" s="32"/>
      <c r="S302" s="1">
        <f t="shared" si="99"/>
        <v>1</v>
      </c>
      <c r="T302" s="1">
        <f t="shared" si="100"/>
        <v>0</v>
      </c>
      <c r="U302" s="1">
        <f t="shared" si="101"/>
        <v>0</v>
      </c>
      <c r="V302" s="1">
        <f t="shared" si="102"/>
        <v>0</v>
      </c>
      <c r="W302" s="1">
        <f t="shared" si="103"/>
        <v>0</v>
      </c>
      <c r="X302" s="1">
        <f t="shared" si="104"/>
        <v>0</v>
      </c>
      <c r="Y302" s="1">
        <f t="shared" si="105"/>
        <v>0</v>
      </c>
      <c r="Z302" s="1">
        <f t="shared" si="106"/>
        <v>0</v>
      </c>
      <c r="AA302" s="1">
        <f t="shared" si="107"/>
        <v>0</v>
      </c>
      <c r="AB302" s="1">
        <f t="shared" si="108"/>
        <v>0</v>
      </c>
      <c r="AD302" s="1">
        <f t="shared" si="109"/>
        <v>0</v>
      </c>
      <c r="AE302" s="1">
        <f t="shared" si="110"/>
        <v>1</v>
      </c>
      <c r="AF302" s="1">
        <f t="shared" si="111"/>
        <v>0</v>
      </c>
      <c r="AG302" s="1">
        <f t="shared" si="112"/>
        <v>1</v>
      </c>
      <c r="AH302" s="1">
        <f t="shared" si="113"/>
        <v>0</v>
      </c>
      <c r="AI302" s="1">
        <f t="shared" si="114"/>
        <v>1</v>
      </c>
    </row>
    <row r="303" spans="1:35" s="1" customFormat="1" ht="14.25" customHeight="1" x14ac:dyDescent="0.25">
      <c r="A303" s="31">
        <v>0</v>
      </c>
      <c r="B303" s="31">
        <v>2</v>
      </c>
      <c r="C303" s="31">
        <v>1</v>
      </c>
      <c r="D303" s="32" t="s">
        <v>1301</v>
      </c>
      <c r="E303" s="32" t="s">
        <v>555</v>
      </c>
      <c r="F303" s="32" t="s">
        <v>1129</v>
      </c>
      <c r="G303" s="32" t="s">
        <v>283</v>
      </c>
      <c r="H303" s="32" t="s">
        <v>352</v>
      </c>
      <c r="I303" s="31" t="s">
        <v>1130</v>
      </c>
      <c r="J303" s="31">
        <v>10</v>
      </c>
      <c r="K303" s="33" t="s">
        <v>935</v>
      </c>
      <c r="L303" s="33" t="s">
        <v>704</v>
      </c>
      <c r="M303" s="34" t="s">
        <v>705</v>
      </c>
      <c r="N303" s="34" t="s">
        <v>1721</v>
      </c>
      <c r="O303" s="35">
        <v>1</v>
      </c>
      <c r="P303" s="35"/>
      <c r="Q303" s="32"/>
      <c r="S303" s="1">
        <f t="shared" si="99"/>
        <v>0</v>
      </c>
      <c r="T303" s="1">
        <f t="shared" si="100"/>
        <v>0</v>
      </c>
      <c r="U303" s="1">
        <f t="shared" si="101"/>
        <v>0</v>
      </c>
      <c r="V303" s="1">
        <f t="shared" si="102"/>
        <v>0</v>
      </c>
      <c r="W303" s="1">
        <f t="shared" si="103"/>
        <v>0</v>
      </c>
      <c r="X303" s="1">
        <f t="shared" si="104"/>
        <v>0</v>
      </c>
      <c r="Y303" s="1">
        <f t="shared" si="105"/>
        <v>0</v>
      </c>
      <c r="Z303" s="1">
        <f t="shared" si="106"/>
        <v>0</v>
      </c>
      <c r="AA303" s="1">
        <f t="shared" si="107"/>
        <v>0</v>
      </c>
      <c r="AB303" s="1">
        <f t="shared" si="108"/>
        <v>1</v>
      </c>
      <c r="AD303" s="1">
        <f t="shared" si="109"/>
        <v>0</v>
      </c>
      <c r="AE303" s="1">
        <f t="shared" si="110"/>
        <v>1</v>
      </c>
      <c r="AF303" s="1">
        <f t="shared" si="111"/>
        <v>0</v>
      </c>
      <c r="AG303" s="1">
        <f t="shared" si="112"/>
        <v>1</v>
      </c>
      <c r="AH303" s="1">
        <f t="shared" si="113"/>
        <v>0</v>
      </c>
      <c r="AI303" s="1">
        <f t="shared" si="114"/>
        <v>1</v>
      </c>
    </row>
    <row r="304" spans="1:35" s="1" customFormat="1" ht="14.25" customHeight="1" x14ac:dyDescent="0.25">
      <c r="A304" s="31">
        <v>0</v>
      </c>
      <c r="B304" s="31">
        <v>2</v>
      </c>
      <c r="C304" s="31">
        <v>1</v>
      </c>
      <c r="D304" s="32" t="s">
        <v>2020</v>
      </c>
      <c r="E304" s="32" t="s">
        <v>36</v>
      </c>
      <c r="F304" s="32" t="s">
        <v>2021</v>
      </c>
      <c r="G304" s="32" t="s">
        <v>1452</v>
      </c>
      <c r="H304" s="32" t="s">
        <v>352</v>
      </c>
      <c r="I304" s="31" t="s">
        <v>2023</v>
      </c>
      <c r="J304" s="31">
        <v>99</v>
      </c>
      <c r="K304" s="33" t="s">
        <v>694</v>
      </c>
      <c r="L304" s="33">
        <v>7</v>
      </c>
      <c r="M304" s="34" t="s">
        <v>2022</v>
      </c>
      <c r="N304" s="34" t="s">
        <v>1699</v>
      </c>
      <c r="O304" s="35">
        <v>1</v>
      </c>
      <c r="P304" s="35">
        <v>1</v>
      </c>
      <c r="Q304" s="32" t="s">
        <v>2024</v>
      </c>
      <c r="S304" s="1">
        <f t="shared" si="99"/>
        <v>0</v>
      </c>
      <c r="T304" s="1">
        <f t="shared" si="100"/>
        <v>0</v>
      </c>
      <c r="U304" s="1">
        <f t="shared" si="101"/>
        <v>0</v>
      </c>
      <c r="V304" s="1">
        <f t="shared" si="102"/>
        <v>0</v>
      </c>
      <c r="W304" s="1">
        <f t="shared" si="103"/>
        <v>0</v>
      </c>
      <c r="X304" s="1">
        <f t="shared" si="104"/>
        <v>0</v>
      </c>
      <c r="Y304" s="1">
        <f t="shared" si="105"/>
        <v>0</v>
      </c>
      <c r="Z304" s="1">
        <f t="shared" si="106"/>
        <v>0</v>
      </c>
      <c r="AA304" s="1">
        <f t="shared" si="107"/>
        <v>0</v>
      </c>
      <c r="AB304" s="1">
        <f t="shared" si="108"/>
        <v>0</v>
      </c>
      <c r="AD304" s="1">
        <f t="shared" si="109"/>
        <v>1</v>
      </c>
      <c r="AE304" s="1">
        <f t="shared" si="110"/>
        <v>0</v>
      </c>
      <c r="AF304" s="1">
        <f t="shared" si="111"/>
        <v>1</v>
      </c>
      <c r="AG304" s="1">
        <f t="shared" si="112"/>
        <v>0</v>
      </c>
      <c r="AH304" s="1">
        <f t="shared" si="113"/>
        <v>1</v>
      </c>
      <c r="AI304" s="1">
        <f t="shared" si="114"/>
        <v>0</v>
      </c>
    </row>
    <row r="305" spans="1:35" s="1" customFormat="1" ht="14.25" customHeight="1" x14ac:dyDescent="0.25">
      <c r="A305" s="15">
        <v>0</v>
      </c>
      <c r="B305" s="15">
        <v>2</v>
      </c>
      <c r="C305" s="15">
        <v>1</v>
      </c>
      <c r="D305" s="16" t="s">
        <v>508</v>
      </c>
      <c r="E305" s="16" t="s">
        <v>34</v>
      </c>
      <c r="F305" s="16" t="s">
        <v>507</v>
      </c>
      <c r="G305" s="16" t="s">
        <v>542</v>
      </c>
      <c r="H305" s="16" t="s">
        <v>352</v>
      </c>
      <c r="I305" s="15" t="s">
        <v>1336</v>
      </c>
      <c r="J305" s="15">
        <v>99</v>
      </c>
      <c r="K305" s="10" t="s">
        <v>936</v>
      </c>
      <c r="L305" s="10" t="s">
        <v>704</v>
      </c>
      <c r="M305" s="19" t="s">
        <v>705</v>
      </c>
      <c r="N305" s="19"/>
      <c r="Q305" s="20" t="s">
        <v>1964</v>
      </c>
      <c r="S305" s="1">
        <f t="shared" si="99"/>
        <v>0</v>
      </c>
      <c r="T305" s="1">
        <f t="shared" si="100"/>
        <v>0</v>
      </c>
      <c r="U305" s="1">
        <f t="shared" si="101"/>
        <v>0</v>
      </c>
      <c r="V305" s="1">
        <f t="shared" si="102"/>
        <v>0</v>
      </c>
      <c r="W305" s="1">
        <f t="shared" si="103"/>
        <v>0</v>
      </c>
      <c r="X305" s="1">
        <f t="shared" si="104"/>
        <v>0</v>
      </c>
      <c r="Y305" s="1">
        <f t="shared" si="105"/>
        <v>0</v>
      </c>
      <c r="Z305" s="1">
        <f t="shared" si="106"/>
        <v>0</v>
      </c>
      <c r="AA305" s="1">
        <f t="shared" si="107"/>
        <v>0</v>
      </c>
      <c r="AB305" s="1">
        <f t="shared" si="108"/>
        <v>0</v>
      </c>
      <c r="AD305" s="1">
        <f t="shared" si="109"/>
        <v>0</v>
      </c>
      <c r="AE305" s="1">
        <f t="shared" si="110"/>
        <v>0</v>
      </c>
      <c r="AF305" s="1">
        <f t="shared" si="111"/>
        <v>0</v>
      </c>
      <c r="AG305" s="1">
        <f t="shared" si="112"/>
        <v>0</v>
      </c>
      <c r="AH305" s="1">
        <f t="shared" si="113"/>
        <v>0</v>
      </c>
      <c r="AI305" s="1">
        <f t="shared" si="114"/>
        <v>1</v>
      </c>
    </row>
    <row r="306" spans="1:35" s="1" customFormat="1" ht="14.25" customHeight="1" x14ac:dyDescent="0.25">
      <c r="A306" s="31">
        <v>0</v>
      </c>
      <c r="B306" s="31">
        <v>2</v>
      </c>
      <c r="C306" s="31">
        <v>1</v>
      </c>
      <c r="D306" s="32" t="s">
        <v>1023</v>
      </c>
      <c r="E306" s="32" t="s">
        <v>36</v>
      </c>
      <c r="F306" s="32" t="s">
        <v>1626</v>
      </c>
      <c r="G306" s="32" t="s">
        <v>620</v>
      </c>
      <c r="H306" s="32" t="s">
        <v>352</v>
      </c>
      <c r="I306" s="31" t="s">
        <v>1024</v>
      </c>
      <c r="J306" s="31">
        <v>99</v>
      </c>
      <c r="K306" s="33" t="s">
        <v>940</v>
      </c>
      <c r="L306" s="33" t="s">
        <v>704</v>
      </c>
      <c r="M306" s="34" t="s">
        <v>705</v>
      </c>
      <c r="N306" s="34" t="s">
        <v>1699</v>
      </c>
      <c r="O306" s="35">
        <v>1</v>
      </c>
      <c r="P306" s="35">
        <v>1</v>
      </c>
      <c r="Q306" s="32" t="s">
        <v>1857</v>
      </c>
      <c r="S306" s="1">
        <f t="shared" si="99"/>
        <v>0</v>
      </c>
      <c r="T306" s="1">
        <f t="shared" si="100"/>
        <v>0</v>
      </c>
      <c r="U306" s="1">
        <f t="shared" si="101"/>
        <v>0</v>
      </c>
      <c r="V306" s="1">
        <f t="shared" si="102"/>
        <v>0</v>
      </c>
      <c r="W306" s="1">
        <f t="shared" si="103"/>
        <v>0</v>
      </c>
      <c r="X306" s="1">
        <f t="shared" si="104"/>
        <v>0</v>
      </c>
      <c r="Y306" s="1">
        <f t="shared" si="105"/>
        <v>0</v>
      </c>
      <c r="Z306" s="1">
        <f t="shared" si="106"/>
        <v>0</v>
      </c>
      <c r="AA306" s="1">
        <f t="shared" si="107"/>
        <v>0</v>
      </c>
      <c r="AB306" s="1">
        <f t="shared" si="108"/>
        <v>0</v>
      </c>
      <c r="AD306" s="1">
        <f t="shared" si="109"/>
        <v>1</v>
      </c>
      <c r="AE306" s="1">
        <f t="shared" si="110"/>
        <v>0</v>
      </c>
      <c r="AF306" s="1">
        <f t="shared" si="111"/>
        <v>1</v>
      </c>
      <c r="AG306" s="1">
        <f t="shared" si="112"/>
        <v>0</v>
      </c>
      <c r="AH306" s="1">
        <f t="shared" si="113"/>
        <v>1</v>
      </c>
      <c r="AI306" s="1">
        <f t="shared" si="114"/>
        <v>0</v>
      </c>
    </row>
    <row r="307" spans="1:35" s="1" customFormat="1" ht="14.25" customHeight="1" x14ac:dyDescent="0.25">
      <c r="A307" s="31">
        <v>1</v>
      </c>
      <c r="B307" s="31">
        <v>2</v>
      </c>
      <c r="C307" s="31">
        <v>1</v>
      </c>
      <c r="D307" s="32" t="s">
        <v>49</v>
      </c>
      <c r="E307" s="32" t="s">
        <v>1288</v>
      </c>
      <c r="F307" s="32" t="s">
        <v>190</v>
      </c>
      <c r="G307" s="32" t="s">
        <v>191</v>
      </c>
      <c r="H307" s="32" t="s">
        <v>352</v>
      </c>
      <c r="I307" s="31" t="s">
        <v>384</v>
      </c>
      <c r="J307" s="31">
        <v>99</v>
      </c>
      <c r="K307" s="33" t="s">
        <v>703</v>
      </c>
      <c r="L307" s="33" t="s">
        <v>704</v>
      </c>
      <c r="M307" s="34" t="s">
        <v>705</v>
      </c>
      <c r="N307" s="34" t="s">
        <v>1716</v>
      </c>
      <c r="O307" s="35">
        <v>1</v>
      </c>
      <c r="P307" s="35"/>
      <c r="Q307" s="32"/>
      <c r="S307" s="1">
        <f t="shared" si="99"/>
        <v>0</v>
      </c>
      <c r="T307" s="1">
        <f t="shared" si="100"/>
        <v>0</v>
      </c>
      <c r="U307" s="1">
        <f t="shared" si="101"/>
        <v>0</v>
      </c>
      <c r="V307" s="1">
        <f t="shared" si="102"/>
        <v>0</v>
      </c>
      <c r="W307" s="1">
        <f t="shared" si="103"/>
        <v>0</v>
      </c>
      <c r="X307" s="1">
        <f t="shared" si="104"/>
        <v>0</v>
      </c>
      <c r="Y307" s="1">
        <f t="shared" si="105"/>
        <v>0</v>
      </c>
      <c r="Z307" s="1">
        <f t="shared" si="106"/>
        <v>0</v>
      </c>
      <c r="AA307" s="1">
        <f t="shared" si="107"/>
        <v>0</v>
      </c>
      <c r="AB307" s="1">
        <f t="shared" si="108"/>
        <v>0</v>
      </c>
      <c r="AD307" s="1">
        <f t="shared" si="109"/>
        <v>0</v>
      </c>
      <c r="AE307" s="1">
        <f t="shared" si="110"/>
        <v>1</v>
      </c>
      <c r="AF307" s="1">
        <f t="shared" si="111"/>
        <v>0</v>
      </c>
      <c r="AG307" s="1">
        <f t="shared" si="112"/>
        <v>0</v>
      </c>
      <c r="AH307" s="1">
        <f t="shared" si="113"/>
        <v>0</v>
      </c>
      <c r="AI307" s="1">
        <f t="shared" si="114"/>
        <v>0</v>
      </c>
    </row>
    <row r="308" spans="1:35" s="1" customFormat="1" ht="14.25" customHeight="1" x14ac:dyDescent="0.25">
      <c r="A308" s="31">
        <v>0</v>
      </c>
      <c r="B308" s="31">
        <v>2</v>
      </c>
      <c r="C308" s="31">
        <v>1</v>
      </c>
      <c r="D308" s="32" t="s">
        <v>1055</v>
      </c>
      <c r="E308" s="32" t="s">
        <v>1288</v>
      </c>
      <c r="F308" s="32" t="s">
        <v>1070</v>
      </c>
      <c r="G308" s="32" t="s">
        <v>201</v>
      </c>
      <c r="H308" s="32" t="s">
        <v>352</v>
      </c>
      <c r="I308" s="31" t="s">
        <v>384</v>
      </c>
      <c r="J308" s="31">
        <v>10</v>
      </c>
      <c r="K308" s="33" t="s">
        <v>703</v>
      </c>
      <c r="L308" s="33" t="s">
        <v>704</v>
      </c>
      <c r="M308" s="34" t="s">
        <v>705</v>
      </c>
      <c r="N308" s="34" t="s">
        <v>1716</v>
      </c>
      <c r="O308" s="35">
        <v>1</v>
      </c>
      <c r="P308" s="35"/>
      <c r="Q308" s="32"/>
      <c r="S308" s="1">
        <f t="shared" si="99"/>
        <v>0</v>
      </c>
      <c r="T308" s="1">
        <f t="shared" si="100"/>
        <v>0</v>
      </c>
      <c r="U308" s="1">
        <f t="shared" si="101"/>
        <v>0</v>
      </c>
      <c r="V308" s="1">
        <f t="shared" si="102"/>
        <v>0</v>
      </c>
      <c r="W308" s="1">
        <f t="shared" si="103"/>
        <v>0</v>
      </c>
      <c r="X308" s="1">
        <f t="shared" si="104"/>
        <v>0</v>
      </c>
      <c r="Y308" s="1">
        <f t="shared" si="105"/>
        <v>0</v>
      </c>
      <c r="Z308" s="1">
        <f t="shared" si="106"/>
        <v>0</v>
      </c>
      <c r="AA308" s="1">
        <f t="shared" si="107"/>
        <v>0</v>
      </c>
      <c r="AB308" s="1">
        <f t="shared" si="108"/>
        <v>1</v>
      </c>
      <c r="AD308" s="1">
        <f t="shared" si="109"/>
        <v>0</v>
      </c>
      <c r="AE308" s="1">
        <f t="shared" si="110"/>
        <v>1</v>
      </c>
      <c r="AF308" s="1">
        <f t="shared" si="111"/>
        <v>0</v>
      </c>
      <c r="AG308" s="1">
        <f t="shared" si="112"/>
        <v>1</v>
      </c>
      <c r="AH308" s="1">
        <f t="shared" si="113"/>
        <v>0</v>
      </c>
      <c r="AI308" s="1">
        <f t="shared" si="114"/>
        <v>1</v>
      </c>
    </row>
    <row r="309" spans="1:35" s="1" customFormat="1" ht="14.25" customHeight="1" x14ac:dyDescent="0.25">
      <c r="A309" s="31">
        <v>0</v>
      </c>
      <c r="B309" s="31">
        <v>2</v>
      </c>
      <c r="C309" s="31">
        <v>1</v>
      </c>
      <c r="D309" s="32" t="s">
        <v>1247</v>
      </c>
      <c r="E309" s="32" t="s">
        <v>555</v>
      </c>
      <c r="F309" s="32" t="s">
        <v>1248</v>
      </c>
      <c r="G309" s="32" t="s">
        <v>257</v>
      </c>
      <c r="H309" s="32" t="s">
        <v>352</v>
      </c>
      <c r="I309" s="31" t="s">
        <v>1249</v>
      </c>
      <c r="J309" s="31">
        <v>8</v>
      </c>
      <c r="K309" s="33" t="s">
        <v>935</v>
      </c>
      <c r="L309" s="33" t="s">
        <v>704</v>
      </c>
      <c r="M309" s="34" t="s">
        <v>705</v>
      </c>
      <c r="N309" s="34" t="s">
        <v>1708</v>
      </c>
      <c r="O309" s="35">
        <v>1</v>
      </c>
      <c r="P309" s="35"/>
      <c r="Q309" s="32"/>
      <c r="S309" s="1">
        <f t="shared" si="99"/>
        <v>0</v>
      </c>
      <c r="T309" s="1">
        <f t="shared" si="100"/>
        <v>0</v>
      </c>
      <c r="U309" s="1">
        <f t="shared" si="101"/>
        <v>0</v>
      </c>
      <c r="V309" s="1">
        <f t="shared" si="102"/>
        <v>0</v>
      </c>
      <c r="W309" s="1">
        <f t="shared" si="103"/>
        <v>0</v>
      </c>
      <c r="X309" s="1">
        <f t="shared" si="104"/>
        <v>0</v>
      </c>
      <c r="Y309" s="1">
        <f t="shared" si="105"/>
        <v>0</v>
      </c>
      <c r="Z309" s="1">
        <f t="shared" si="106"/>
        <v>1</v>
      </c>
      <c r="AA309" s="1">
        <f t="shared" si="107"/>
        <v>0</v>
      </c>
      <c r="AB309" s="1">
        <f t="shared" si="108"/>
        <v>0</v>
      </c>
      <c r="AD309" s="1">
        <f t="shared" si="109"/>
        <v>0</v>
      </c>
      <c r="AE309" s="1">
        <f t="shared" si="110"/>
        <v>1</v>
      </c>
      <c r="AF309" s="1">
        <f t="shared" si="111"/>
        <v>0</v>
      </c>
      <c r="AG309" s="1">
        <f t="shared" si="112"/>
        <v>1</v>
      </c>
      <c r="AH309" s="1">
        <f t="shared" si="113"/>
        <v>0</v>
      </c>
      <c r="AI309" s="1">
        <f t="shared" si="114"/>
        <v>1</v>
      </c>
    </row>
    <row r="310" spans="1:35" s="1" customFormat="1" ht="14.25" customHeight="1" x14ac:dyDescent="0.25">
      <c r="A310" s="15">
        <v>0</v>
      </c>
      <c r="B310" s="15">
        <v>2</v>
      </c>
      <c r="C310" s="15">
        <v>1</v>
      </c>
      <c r="D310" s="16" t="s">
        <v>48</v>
      </c>
      <c r="E310" s="16" t="s">
        <v>571</v>
      </c>
      <c r="F310" s="16" t="s">
        <v>188</v>
      </c>
      <c r="G310" s="16" t="s">
        <v>298</v>
      </c>
      <c r="H310" s="16" t="s">
        <v>352</v>
      </c>
      <c r="I310" s="15" t="s">
        <v>383</v>
      </c>
      <c r="J310" s="15">
        <v>99</v>
      </c>
      <c r="K310" s="10" t="s">
        <v>704</v>
      </c>
      <c r="L310" s="10" t="s">
        <v>704</v>
      </c>
      <c r="M310" s="19" t="s">
        <v>705</v>
      </c>
      <c r="N310" s="19"/>
      <c r="Q310" s="16"/>
      <c r="S310" s="1">
        <f t="shared" si="99"/>
        <v>0</v>
      </c>
      <c r="T310" s="1">
        <f t="shared" si="100"/>
        <v>0</v>
      </c>
      <c r="U310" s="1">
        <f t="shared" si="101"/>
        <v>0</v>
      </c>
      <c r="V310" s="1">
        <f t="shared" si="102"/>
        <v>0</v>
      </c>
      <c r="W310" s="1">
        <f t="shared" si="103"/>
        <v>0</v>
      </c>
      <c r="X310" s="1">
        <f t="shared" si="104"/>
        <v>0</v>
      </c>
      <c r="Y310" s="1">
        <f t="shared" si="105"/>
        <v>0</v>
      </c>
      <c r="Z310" s="1">
        <f t="shared" si="106"/>
        <v>0</v>
      </c>
      <c r="AA310" s="1">
        <f t="shared" si="107"/>
        <v>0</v>
      </c>
      <c r="AB310" s="1">
        <f t="shared" si="108"/>
        <v>0</v>
      </c>
      <c r="AD310" s="1">
        <f t="shared" si="109"/>
        <v>0</v>
      </c>
      <c r="AE310" s="1">
        <f t="shared" si="110"/>
        <v>0</v>
      </c>
      <c r="AF310" s="1">
        <f t="shared" si="111"/>
        <v>0</v>
      </c>
      <c r="AG310" s="1">
        <f t="shared" si="112"/>
        <v>0</v>
      </c>
      <c r="AH310" s="1">
        <f t="shared" si="113"/>
        <v>0</v>
      </c>
      <c r="AI310" s="1">
        <f t="shared" si="114"/>
        <v>1</v>
      </c>
    </row>
    <row r="311" spans="1:35" s="1" customFormat="1" ht="14.25" customHeight="1" x14ac:dyDescent="0.25">
      <c r="A311" s="31">
        <v>0</v>
      </c>
      <c r="B311" s="31">
        <v>2</v>
      </c>
      <c r="C311" s="31">
        <v>1</v>
      </c>
      <c r="D311" s="32" t="s">
        <v>57</v>
      </c>
      <c r="E311" s="32" t="s">
        <v>161</v>
      </c>
      <c r="F311" s="32" t="s">
        <v>658</v>
      </c>
      <c r="G311" s="32" t="s">
        <v>220</v>
      </c>
      <c r="H311" s="32" t="s">
        <v>352</v>
      </c>
      <c r="I311" s="31" t="s">
        <v>394</v>
      </c>
      <c r="J311" s="31">
        <v>99</v>
      </c>
      <c r="K311" s="33" t="s">
        <v>942</v>
      </c>
      <c r="L311" s="33" t="s">
        <v>704</v>
      </c>
      <c r="M311" s="34" t="s">
        <v>705</v>
      </c>
      <c r="N311" s="34" t="s">
        <v>1704</v>
      </c>
      <c r="O311" s="35">
        <v>1</v>
      </c>
      <c r="P311" s="35"/>
      <c r="Q311" s="32"/>
      <c r="S311" s="1">
        <f t="shared" si="99"/>
        <v>0</v>
      </c>
      <c r="T311" s="1">
        <f t="shared" si="100"/>
        <v>0</v>
      </c>
      <c r="U311" s="1">
        <f t="shared" si="101"/>
        <v>0</v>
      </c>
      <c r="V311" s="1">
        <f t="shared" si="102"/>
        <v>0</v>
      </c>
      <c r="W311" s="1">
        <f t="shared" si="103"/>
        <v>0</v>
      </c>
      <c r="X311" s="1">
        <f t="shared" si="104"/>
        <v>0</v>
      </c>
      <c r="Y311" s="1">
        <f t="shared" si="105"/>
        <v>0</v>
      </c>
      <c r="Z311" s="1">
        <f t="shared" si="106"/>
        <v>0</v>
      </c>
      <c r="AA311" s="1">
        <f t="shared" si="107"/>
        <v>0</v>
      </c>
      <c r="AB311" s="1">
        <f t="shared" si="108"/>
        <v>0</v>
      </c>
      <c r="AD311" s="1">
        <f t="shared" si="109"/>
        <v>0</v>
      </c>
      <c r="AE311" s="1">
        <f t="shared" si="110"/>
        <v>1</v>
      </c>
      <c r="AF311" s="1">
        <f t="shared" si="111"/>
        <v>0</v>
      </c>
      <c r="AG311" s="1">
        <f t="shared" si="112"/>
        <v>1</v>
      </c>
      <c r="AH311" s="1">
        <f t="shared" si="113"/>
        <v>0</v>
      </c>
      <c r="AI311" s="1">
        <f t="shared" si="114"/>
        <v>1</v>
      </c>
    </row>
    <row r="312" spans="1:35" s="1" customFormat="1" ht="14.25" customHeight="1" x14ac:dyDescent="0.25">
      <c r="A312" s="31">
        <v>0</v>
      </c>
      <c r="B312" s="31">
        <v>2</v>
      </c>
      <c r="C312" s="31">
        <v>1</v>
      </c>
      <c r="D312" s="32" t="s">
        <v>511</v>
      </c>
      <c r="E312" s="32" t="s">
        <v>555</v>
      </c>
      <c r="F312" s="32" t="s">
        <v>228</v>
      </c>
      <c r="G312" s="32" t="s">
        <v>229</v>
      </c>
      <c r="H312" s="32" t="s">
        <v>352</v>
      </c>
      <c r="I312" s="31" t="s">
        <v>398</v>
      </c>
      <c r="J312" s="31">
        <v>7</v>
      </c>
      <c r="K312" s="33" t="s">
        <v>935</v>
      </c>
      <c r="L312" s="33" t="s">
        <v>704</v>
      </c>
      <c r="M312" s="34" t="s">
        <v>705</v>
      </c>
      <c r="N312" s="34" t="s">
        <v>1709</v>
      </c>
      <c r="O312" s="35">
        <v>1</v>
      </c>
      <c r="P312" s="35"/>
      <c r="Q312" s="32"/>
      <c r="S312" s="1">
        <f t="shared" si="99"/>
        <v>0</v>
      </c>
      <c r="T312" s="1">
        <f t="shared" si="100"/>
        <v>0</v>
      </c>
      <c r="U312" s="1">
        <f t="shared" si="101"/>
        <v>0</v>
      </c>
      <c r="V312" s="1">
        <f t="shared" si="102"/>
        <v>0</v>
      </c>
      <c r="W312" s="1">
        <f t="shared" si="103"/>
        <v>0</v>
      </c>
      <c r="X312" s="1">
        <f t="shared" si="104"/>
        <v>0</v>
      </c>
      <c r="Y312" s="1">
        <f t="shared" si="105"/>
        <v>1</v>
      </c>
      <c r="Z312" s="1">
        <f t="shared" si="106"/>
        <v>0</v>
      </c>
      <c r="AA312" s="1">
        <f t="shared" si="107"/>
        <v>0</v>
      </c>
      <c r="AB312" s="1">
        <f t="shared" si="108"/>
        <v>0</v>
      </c>
      <c r="AD312" s="1">
        <f t="shared" si="109"/>
        <v>0</v>
      </c>
      <c r="AE312" s="1">
        <f t="shared" si="110"/>
        <v>1</v>
      </c>
      <c r="AF312" s="1">
        <f t="shared" si="111"/>
        <v>0</v>
      </c>
      <c r="AG312" s="1">
        <f t="shared" si="112"/>
        <v>1</v>
      </c>
      <c r="AH312" s="1">
        <f t="shared" si="113"/>
        <v>0</v>
      </c>
      <c r="AI312" s="1">
        <f t="shared" si="114"/>
        <v>1</v>
      </c>
    </row>
    <row r="313" spans="1:35" s="1" customFormat="1" ht="14.25" customHeight="1" x14ac:dyDescent="0.25">
      <c r="A313" s="31">
        <v>0</v>
      </c>
      <c r="B313" s="31">
        <v>2</v>
      </c>
      <c r="C313" s="31">
        <v>1</v>
      </c>
      <c r="D313" s="32" t="s">
        <v>554</v>
      </c>
      <c r="E313" s="32" t="s">
        <v>555</v>
      </c>
      <c r="F313" s="32" t="s">
        <v>556</v>
      </c>
      <c r="G313" s="32" t="s">
        <v>207</v>
      </c>
      <c r="H313" s="32" t="s">
        <v>352</v>
      </c>
      <c r="I313" s="31" t="s">
        <v>557</v>
      </c>
      <c r="J313" s="31">
        <v>3</v>
      </c>
      <c r="K313" s="33" t="s">
        <v>703</v>
      </c>
      <c r="L313" s="33" t="s">
        <v>704</v>
      </c>
      <c r="M313" s="34" t="s">
        <v>705</v>
      </c>
      <c r="N313" s="34" t="s">
        <v>1699</v>
      </c>
      <c r="O313" s="35">
        <v>1</v>
      </c>
      <c r="P313" s="35">
        <v>1</v>
      </c>
      <c r="Q313" s="32"/>
      <c r="S313" s="1">
        <f t="shared" si="99"/>
        <v>0</v>
      </c>
      <c r="T313" s="1">
        <f t="shared" si="100"/>
        <v>0</v>
      </c>
      <c r="U313" s="1">
        <f t="shared" si="101"/>
        <v>1</v>
      </c>
      <c r="V313" s="1">
        <f t="shared" si="102"/>
        <v>0</v>
      </c>
      <c r="W313" s="1">
        <f t="shared" si="103"/>
        <v>0</v>
      </c>
      <c r="X313" s="1">
        <f t="shared" si="104"/>
        <v>0</v>
      </c>
      <c r="Y313" s="1">
        <f t="shared" si="105"/>
        <v>0</v>
      </c>
      <c r="Z313" s="1">
        <f t="shared" si="106"/>
        <v>0</v>
      </c>
      <c r="AA313" s="1">
        <f t="shared" si="107"/>
        <v>0</v>
      </c>
      <c r="AB313" s="1">
        <f t="shared" si="108"/>
        <v>0</v>
      </c>
      <c r="AD313" s="1">
        <f t="shared" si="109"/>
        <v>1</v>
      </c>
      <c r="AE313" s="1">
        <f t="shared" si="110"/>
        <v>0</v>
      </c>
      <c r="AF313" s="1">
        <f t="shared" si="111"/>
        <v>1</v>
      </c>
      <c r="AG313" s="1">
        <f t="shared" si="112"/>
        <v>0</v>
      </c>
      <c r="AH313" s="1">
        <f t="shared" si="113"/>
        <v>1</v>
      </c>
      <c r="AI313" s="1">
        <f t="shared" si="114"/>
        <v>0</v>
      </c>
    </row>
    <row r="314" spans="1:35" s="1" customFormat="1" ht="14.25" customHeight="1" x14ac:dyDescent="0.25">
      <c r="A314" s="37">
        <v>0</v>
      </c>
      <c r="B314" s="37">
        <v>2</v>
      </c>
      <c r="C314" s="37">
        <v>1</v>
      </c>
      <c r="D314" s="36" t="s">
        <v>1034</v>
      </c>
      <c r="E314" s="36" t="s">
        <v>32</v>
      </c>
      <c r="F314" s="36" t="s">
        <v>1251</v>
      </c>
      <c r="G314" s="36" t="s">
        <v>531</v>
      </c>
      <c r="H314" s="36" t="s">
        <v>352</v>
      </c>
      <c r="I314" s="37" t="s">
        <v>1252</v>
      </c>
      <c r="J314" s="37">
        <v>6</v>
      </c>
      <c r="K314" s="50" t="s">
        <v>704</v>
      </c>
      <c r="L314" s="33" t="s">
        <v>704</v>
      </c>
      <c r="M314" s="34" t="s">
        <v>705</v>
      </c>
      <c r="N314" s="34" t="s">
        <v>1708</v>
      </c>
      <c r="O314" s="35">
        <v>1</v>
      </c>
      <c r="P314" s="35"/>
      <c r="Q314" s="36"/>
      <c r="S314" s="1">
        <f t="shared" si="99"/>
        <v>0</v>
      </c>
      <c r="T314" s="1">
        <f t="shared" si="100"/>
        <v>0</v>
      </c>
      <c r="U314" s="1">
        <f t="shared" si="101"/>
        <v>0</v>
      </c>
      <c r="V314" s="1">
        <f t="shared" si="102"/>
        <v>0</v>
      </c>
      <c r="W314" s="1">
        <f t="shared" si="103"/>
        <v>0</v>
      </c>
      <c r="X314" s="1">
        <f t="shared" si="104"/>
        <v>1</v>
      </c>
      <c r="Y314" s="1">
        <f t="shared" si="105"/>
        <v>0</v>
      </c>
      <c r="Z314" s="1">
        <f t="shared" si="106"/>
        <v>0</v>
      </c>
      <c r="AA314" s="1">
        <f t="shared" si="107"/>
        <v>0</v>
      </c>
      <c r="AB314" s="1">
        <f t="shared" si="108"/>
        <v>0</v>
      </c>
      <c r="AD314" s="1">
        <f t="shared" si="109"/>
        <v>0</v>
      </c>
      <c r="AE314" s="1">
        <f t="shared" si="110"/>
        <v>1</v>
      </c>
      <c r="AF314" s="1">
        <f t="shared" si="111"/>
        <v>0</v>
      </c>
      <c r="AG314" s="1">
        <f t="shared" si="112"/>
        <v>1</v>
      </c>
      <c r="AH314" s="1">
        <f t="shared" si="113"/>
        <v>0</v>
      </c>
      <c r="AI314" s="1">
        <f t="shared" si="114"/>
        <v>1</v>
      </c>
    </row>
    <row r="315" spans="1:35" s="1" customFormat="1" ht="14.25" customHeight="1" x14ac:dyDescent="0.25">
      <c r="A315" s="44">
        <v>0</v>
      </c>
      <c r="B315" s="44">
        <v>2</v>
      </c>
      <c r="C315" s="44">
        <v>1</v>
      </c>
      <c r="D315" s="57" t="s">
        <v>900</v>
      </c>
      <c r="E315" s="45" t="s">
        <v>1307</v>
      </c>
      <c r="F315" s="45" t="s">
        <v>774</v>
      </c>
      <c r="G315" s="45" t="s">
        <v>256</v>
      </c>
      <c r="H315" s="45" t="s">
        <v>352</v>
      </c>
      <c r="I315" s="44" t="s">
        <v>926</v>
      </c>
      <c r="J315" s="44">
        <v>99</v>
      </c>
      <c r="K315" s="46" t="s">
        <v>703</v>
      </c>
      <c r="L315" s="46" t="s">
        <v>704</v>
      </c>
      <c r="M315" s="47" t="s">
        <v>705</v>
      </c>
      <c r="N315" s="47" t="s">
        <v>1700</v>
      </c>
      <c r="O315" s="48"/>
      <c r="P315" s="48"/>
      <c r="Q315" s="45"/>
      <c r="S315" s="1">
        <f t="shared" si="99"/>
        <v>0</v>
      </c>
      <c r="T315" s="1">
        <f t="shared" si="100"/>
        <v>0</v>
      </c>
      <c r="U315" s="1">
        <f t="shared" si="101"/>
        <v>0</v>
      </c>
      <c r="V315" s="1">
        <f t="shared" si="102"/>
        <v>0</v>
      </c>
      <c r="W315" s="1">
        <f t="shared" si="103"/>
        <v>0</v>
      </c>
      <c r="X315" s="1">
        <f t="shared" si="104"/>
        <v>0</v>
      </c>
      <c r="Y315" s="1">
        <f t="shared" si="105"/>
        <v>0</v>
      </c>
      <c r="Z315" s="1">
        <f t="shared" si="106"/>
        <v>0</v>
      </c>
      <c r="AA315" s="1">
        <f t="shared" si="107"/>
        <v>0</v>
      </c>
      <c r="AB315" s="1">
        <f t="shared" si="108"/>
        <v>0</v>
      </c>
      <c r="AD315" s="1">
        <f t="shared" si="109"/>
        <v>0</v>
      </c>
      <c r="AE315" s="1">
        <f t="shared" si="110"/>
        <v>0</v>
      </c>
      <c r="AF315" s="1">
        <f t="shared" si="111"/>
        <v>0</v>
      </c>
      <c r="AG315" s="1">
        <f t="shared" si="112"/>
        <v>0</v>
      </c>
      <c r="AH315" s="1">
        <f t="shared" si="113"/>
        <v>0</v>
      </c>
      <c r="AI315" s="1">
        <f t="shared" si="114"/>
        <v>1</v>
      </c>
    </row>
    <row r="316" spans="1:35" s="1" customFormat="1" ht="14.25" customHeight="1" x14ac:dyDescent="0.25">
      <c r="A316" s="37">
        <v>0</v>
      </c>
      <c r="B316" s="37">
        <v>2</v>
      </c>
      <c r="C316" s="37">
        <v>1</v>
      </c>
      <c r="D316" s="36" t="s">
        <v>1731</v>
      </c>
      <c r="E316" s="36" t="s">
        <v>1732</v>
      </c>
      <c r="F316" s="36" t="s">
        <v>1733</v>
      </c>
      <c r="G316" s="36" t="s">
        <v>179</v>
      </c>
      <c r="H316" s="36" t="s">
        <v>352</v>
      </c>
      <c r="I316" s="37" t="s">
        <v>1734</v>
      </c>
      <c r="J316" s="37"/>
      <c r="K316" s="50" t="s">
        <v>694</v>
      </c>
      <c r="L316" s="33">
        <v>4</v>
      </c>
      <c r="M316" s="34" t="s">
        <v>705</v>
      </c>
      <c r="N316" s="34" t="s">
        <v>1704</v>
      </c>
      <c r="O316" s="35">
        <v>1</v>
      </c>
      <c r="P316" s="35"/>
      <c r="Q316" s="36"/>
      <c r="S316" s="1">
        <f t="shared" si="99"/>
        <v>0</v>
      </c>
      <c r="T316" s="1">
        <f t="shared" si="100"/>
        <v>0</v>
      </c>
      <c r="U316" s="1">
        <f t="shared" si="101"/>
        <v>0</v>
      </c>
      <c r="V316" s="1">
        <f t="shared" si="102"/>
        <v>0</v>
      </c>
      <c r="W316" s="1">
        <f t="shared" si="103"/>
        <v>0</v>
      </c>
      <c r="X316" s="1">
        <f t="shared" si="104"/>
        <v>0</v>
      </c>
      <c r="Y316" s="1">
        <f t="shared" si="105"/>
        <v>0</v>
      </c>
      <c r="Z316" s="1">
        <f t="shared" si="106"/>
        <v>0</v>
      </c>
      <c r="AA316" s="1">
        <f t="shared" si="107"/>
        <v>0</v>
      </c>
      <c r="AB316" s="1">
        <f t="shared" si="108"/>
        <v>0</v>
      </c>
      <c r="AD316" s="1">
        <f t="shared" si="109"/>
        <v>0</v>
      </c>
      <c r="AE316" s="1">
        <f t="shared" si="110"/>
        <v>1</v>
      </c>
      <c r="AF316" s="1">
        <f t="shared" si="111"/>
        <v>0</v>
      </c>
      <c r="AG316" s="1">
        <f t="shared" si="112"/>
        <v>1</v>
      </c>
      <c r="AH316" s="1">
        <f t="shared" si="113"/>
        <v>0</v>
      </c>
      <c r="AI316" s="1">
        <f t="shared" si="114"/>
        <v>1</v>
      </c>
    </row>
    <row r="317" spans="1:35" s="1" customFormat="1" ht="14.25" customHeight="1" x14ac:dyDescent="0.25">
      <c r="A317" s="31">
        <v>0</v>
      </c>
      <c r="B317" s="31">
        <v>2</v>
      </c>
      <c r="C317" s="31">
        <v>1</v>
      </c>
      <c r="D317" s="32" t="s">
        <v>611</v>
      </c>
      <c r="E317" s="32" t="s">
        <v>612</v>
      </c>
      <c r="F317" s="32" t="s">
        <v>613</v>
      </c>
      <c r="G317" s="32" t="s">
        <v>614</v>
      </c>
      <c r="H317" s="32" t="s">
        <v>352</v>
      </c>
      <c r="I317" s="31" t="s">
        <v>615</v>
      </c>
      <c r="J317" s="31">
        <v>99</v>
      </c>
      <c r="K317" s="33" t="s">
        <v>703</v>
      </c>
      <c r="L317" s="33" t="s">
        <v>704</v>
      </c>
      <c r="M317" s="34" t="s">
        <v>705</v>
      </c>
      <c r="N317" s="34" t="s">
        <v>1716</v>
      </c>
      <c r="O317" s="35">
        <v>1</v>
      </c>
      <c r="P317" s="35"/>
      <c r="Q317" s="32"/>
      <c r="S317" s="1">
        <f t="shared" si="99"/>
        <v>0</v>
      </c>
      <c r="T317" s="1">
        <f t="shared" si="100"/>
        <v>0</v>
      </c>
      <c r="U317" s="1">
        <f t="shared" si="101"/>
        <v>0</v>
      </c>
      <c r="V317" s="1">
        <f t="shared" si="102"/>
        <v>0</v>
      </c>
      <c r="W317" s="1">
        <f t="shared" si="103"/>
        <v>0</v>
      </c>
      <c r="X317" s="1">
        <f t="shared" si="104"/>
        <v>0</v>
      </c>
      <c r="Y317" s="1">
        <f t="shared" si="105"/>
        <v>0</v>
      </c>
      <c r="Z317" s="1">
        <f t="shared" si="106"/>
        <v>0</v>
      </c>
      <c r="AA317" s="1">
        <f t="shared" si="107"/>
        <v>0</v>
      </c>
      <c r="AB317" s="1">
        <f t="shared" si="108"/>
        <v>0</v>
      </c>
      <c r="AD317" s="1">
        <f t="shared" si="109"/>
        <v>0</v>
      </c>
      <c r="AE317" s="1">
        <f t="shared" si="110"/>
        <v>1</v>
      </c>
      <c r="AF317" s="1">
        <f t="shared" si="111"/>
        <v>0</v>
      </c>
      <c r="AG317" s="1">
        <f t="shared" si="112"/>
        <v>1</v>
      </c>
      <c r="AH317" s="1">
        <f t="shared" si="113"/>
        <v>0</v>
      </c>
      <c r="AI317" s="1">
        <f t="shared" si="114"/>
        <v>1</v>
      </c>
    </row>
    <row r="318" spans="1:35" s="1" customFormat="1" ht="14.25" customHeight="1" x14ac:dyDescent="0.25">
      <c r="A318" s="31">
        <v>0</v>
      </c>
      <c r="B318" s="31">
        <v>2</v>
      </c>
      <c r="C318" s="31">
        <v>1</v>
      </c>
      <c r="D318" s="32" t="s">
        <v>1061</v>
      </c>
      <c r="E318" s="32" t="s">
        <v>1308</v>
      </c>
      <c r="F318" s="32" t="s">
        <v>1630</v>
      </c>
      <c r="G318" s="32" t="s">
        <v>189</v>
      </c>
      <c r="H318" s="32" t="s">
        <v>352</v>
      </c>
      <c r="I318" s="31" t="s">
        <v>1820</v>
      </c>
      <c r="J318" s="31">
        <v>99</v>
      </c>
      <c r="K318" s="33" t="s">
        <v>703</v>
      </c>
      <c r="L318" s="33" t="s">
        <v>704</v>
      </c>
      <c r="M318" s="34" t="s">
        <v>705</v>
      </c>
      <c r="N318" s="34" t="s">
        <v>1704</v>
      </c>
      <c r="O318" s="35">
        <v>1</v>
      </c>
      <c r="P318" s="35"/>
      <c r="Q318" s="32"/>
      <c r="S318" s="1">
        <f t="shared" si="99"/>
        <v>0</v>
      </c>
      <c r="T318" s="1">
        <f t="shared" si="100"/>
        <v>0</v>
      </c>
      <c r="U318" s="1">
        <f t="shared" si="101"/>
        <v>0</v>
      </c>
      <c r="V318" s="1">
        <f t="shared" si="102"/>
        <v>0</v>
      </c>
      <c r="W318" s="1">
        <f t="shared" si="103"/>
        <v>0</v>
      </c>
      <c r="X318" s="1">
        <f t="shared" si="104"/>
        <v>0</v>
      </c>
      <c r="Y318" s="1">
        <f t="shared" si="105"/>
        <v>0</v>
      </c>
      <c r="Z318" s="1">
        <f t="shared" si="106"/>
        <v>0</v>
      </c>
      <c r="AA318" s="1">
        <f t="shared" si="107"/>
        <v>0</v>
      </c>
      <c r="AB318" s="1">
        <f t="shared" si="108"/>
        <v>0</v>
      </c>
      <c r="AD318" s="1">
        <f t="shared" si="109"/>
        <v>0</v>
      </c>
      <c r="AE318" s="1">
        <f t="shared" si="110"/>
        <v>1</v>
      </c>
      <c r="AF318" s="1">
        <f t="shared" si="111"/>
        <v>0</v>
      </c>
      <c r="AG318" s="1">
        <f t="shared" si="112"/>
        <v>1</v>
      </c>
      <c r="AH318" s="1">
        <f t="shared" si="113"/>
        <v>0</v>
      </c>
      <c r="AI318" s="1">
        <f t="shared" si="114"/>
        <v>1</v>
      </c>
    </row>
    <row r="319" spans="1:35" s="1" customFormat="1" ht="14.25" customHeight="1" x14ac:dyDescent="0.25">
      <c r="A319" s="15">
        <v>0</v>
      </c>
      <c r="B319" s="15">
        <v>2</v>
      </c>
      <c r="C319" s="15">
        <v>1</v>
      </c>
      <c r="D319" s="16" t="s">
        <v>643</v>
      </c>
      <c r="E319" s="16" t="s">
        <v>36</v>
      </c>
      <c r="F319" s="16" t="s">
        <v>659</v>
      </c>
      <c r="G319" s="16" t="s">
        <v>200</v>
      </c>
      <c r="H319" s="16" t="s">
        <v>352</v>
      </c>
      <c r="I319" s="15" t="s">
        <v>986</v>
      </c>
      <c r="J319" s="15">
        <v>99</v>
      </c>
      <c r="K319" s="10" t="s">
        <v>694</v>
      </c>
      <c r="L319" s="10">
        <v>4</v>
      </c>
      <c r="M319" s="19" t="s">
        <v>705</v>
      </c>
      <c r="N319" s="17"/>
      <c r="Q319" s="16"/>
      <c r="S319" s="1">
        <f t="shared" si="99"/>
        <v>0</v>
      </c>
      <c r="T319" s="1">
        <f t="shared" si="100"/>
        <v>0</v>
      </c>
      <c r="U319" s="1">
        <f t="shared" si="101"/>
        <v>0</v>
      </c>
      <c r="V319" s="1">
        <f t="shared" si="102"/>
        <v>0</v>
      </c>
      <c r="W319" s="1">
        <f t="shared" si="103"/>
        <v>0</v>
      </c>
      <c r="X319" s="1">
        <f t="shared" si="104"/>
        <v>0</v>
      </c>
      <c r="Y319" s="1">
        <f t="shared" si="105"/>
        <v>0</v>
      </c>
      <c r="Z319" s="1">
        <f t="shared" si="106"/>
        <v>0</v>
      </c>
      <c r="AA319" s="1">
        <f t="shared" si="107"/>
        <v>0</v>
      </c>
      <c r="AB319" s="1">
        <f t="shared" si="108"/>
        <v>0</v>
      </c>
      <c r="AD319" s="1">
        <f t="shared" si="109"/>
        <v>0</v>
      </c>
      <c r="AE319" s="1">
        <f t="shared" si="110"/>
        <v>0</v>
      </c>
      <c r="AF319" s="1">
        <f t="shared" si="111"/>
        <v>0</v>
      </c>
      <c r="AG319" s="1">
        <f t="shared" si="112"/>
        <v>0</v>
      </c>
      <c r="AH319" s="1">
        <f t="shared" si="113"/>
        <v>0</v>
      </c>
      <c r="AI319" s="1">
        <f t="shared" si="114"/>
        <v>1</v>
      </c>
    </row>
    <row r="320" spans="1:35" s="1" customFormat="1" ht="14.25" customHeight="1" x14ac:dyDescent="0.25">
      <c r="A320" s="31">
        <v>0</v>
      </c>
      <c r="B320" s="31">
        <v>2</v>
      </c>
      <c r="C320" s="31">
        <v>1</v>
      </c>
      <c r="D320" s="32" t="s">
        <v>1238</v>
      </c>
      <c r="E320" s="32" t="s">
        <v>1239</v>
      </c>
      <c r="F320" s="32" t="s">
        <v>1240</v>
      </c>
      <c r="G320" s="32" t="s">
        <v>1143</v>
      </c>
      <c r="H320" s="32" t="s">
        <v>352</v>
      </c>
      <c r="I320" s="31" t="s">
        <v>1241</v>
      </c>
      <c r="J320" s="31">
        <v>11</v>
      </c>
      <c r="K320" s="33" t="s">
        <v>694</v>
      </c>
      <c r="L320" s="33">
        <v>6</v>
      </c>
      <c r="M320" s="34" t="s">
        <v>1694</v>
      </c>
      <c r="N320" s="34" t="s">
        <v>1808</v>
      </c>
      <c r="O320" s="35">
        <v>1</v>
      </c>
      <c r="P320" s="35"/>
      <c r="Q320" s="32"/>
      <c r="S320" s="1">
        <f t="shared" si="99"/>
        <v>0</v>
      </c>
      <c r="T320" s="1">
        <f t="shared" si="100"/>
        <v>0</v>
      </c>
      <c r="U320" s="1">
        <f t="shared" si="101"/>
        <v>0</v>
      </c>
      <c r="V320" s="1">
        <f t="shared" si="102"/>
        <v>0</v>
      </c>
      <c r="W320" s="1">
        <f t="shared" si="103"/>
        <v>0</v>
      </c>
      <c r="X320" s="1">
        <f t="shared" si="104"/>
        <v>0</v>
      </c>
      <c r="Y320" s="1">
        <f t="shared" si="105"/>
        <v>0</v>
      </c>
      <c r="Z320" s="1">
        <f t="shared" si="106"/>
        <v>0</v>
      </c>
      <c r="AA320" s="1">
        <f t="shared" si="107"/>
        <v>0</v>
      </c>
      <c r="AB320" s="1">
        <f t="shared" si="108"/>
        <v>0</v>
      </c>
      <c r="AD320" s="1">
        <f t="shared" si="109"/>
        <v>0</v>
      </c>
      <c r="AE320" s="1">
        <f t="shared" si="110"/>
        <v>1</v>
      </c>
      <c r="AF320" s="1">
        <f t="shared" si="111"/>
        <v>0</v>
      </c>
      <c r="AG320" s="1">
        <f t="shared" si="112"/>
        <v>1</v>
      </c>
      <c r="AH320" s="1">
        <f t="shared" si="113"/>
        <v>0</v>
      </c>
      <c r="AI320" s="1">
        <f t="shared" si="114"/>
        <v>1</v>
      </c>
    </row>
    <row r="321" spans="1:35" s="1" customFormat="1" ht="14.25" customHeight="1" x14ac:dyDescent="0.25">
      <c r="A321" s="31">
        <v>0</v>
      </c>
      <c r="B321" s="31">
        <v>2</v>
      </c>
      <c r="C321" s="31">
        <v>1</v>
      </c>
      <c r="D321" s="32" t="s">
        <v>1104</v>
      </c>
      <c r="E321" s="32" t="s">
        <v>1288</v>
      </c>
      <c r="F321" s="32" t="s">
        <v>1102</v>
      </c>
      <c r="G321" s="32" t="s">
        <v>229</v>
      </c>
      <c r="H321" s="32" t="s">
        <v>352</v>
      </c>
      <c r="I321" s="31" t="s">
        <v>1103</v>
      </c>
      <c r="J321" s="31">
        <v>7</v>
      </c>
      <c r="K321" s="33" t="s">
        <v>704</v>
      </c>
      <c r="L321" s="33" t="s">
        <v>1675</v>
      </c>
      <c r="M321" s="34" t="s">
        <v>705</v>
      </c>
      <c r="N321" s="34" t="s">
        <v>1716</v>
      </c>
      <c r="O321" s="35">
        <v>1</v>
      </c>
      <c r="P321" s="35"/>
      <c r="Q321" s="32"/>
      <c r="S321" s="1">
        <f t="shared" si="99"/>
        <v>0</v>
      </c>
      <c r="T321" s="1">
        <f t="shared" si="100"/>
        <v>0</v>
      </c>
      <c r="U321" s="1">
        <f t="shared" si="101"/>
        <v>0</v>
      </c>
      <c r="V321" s="1">
        <f t="shared" si="102"/>
        <v>0</v>
      </c>
      <c r="W321" s="1">
        <f t="shared" si="103"/>
        <v>0</v>
      </c>
      <c r="X321" s="1">
        <f t="shared" si="104"/>
        <v>0</v>
      </c>
      <c r="Y321" s="1">
        <f t="shared" si="105"/>
        <v>1</v>
      </c>
      <c r="Z321" s="1">
        <f t="shared" si="106"/>
        <v>0</v>
      </c>
      <c r="AA321" s="1">
        <f t="shared" si="107"/>
        <v>0</v>
      </c>
      <c r="AB321" s="1">
        <f t="shared" si="108"/>
        <v>0</v>
      </c>
      <c r="AD321" s="1">
        <f t="shared" si="109"/>
        <v>0</v>
      </c>
      <c r="AE321" s="1">
        <f t="shared" si="110"/>
        <v>1</v>
      </c>
      <c r="AF321" s="1">
        <f t="shared" si="111"/>
        <v>0</v>
      </c>
      <c r="AG321" s="1">
        <f t="shared" si="112"/>
        <v>1</v>
      </c>
      <c r="AH321" s="1">
        <f t="shared" si="113"/>
        <v>0</v>
      </c>
      <c r="AI321" s="1">
        <f t="shared" si="114"/>
        <v>1</v>
      </c>
    </row>
    <row r="322" spans="1:35" s="1" customFormat="1" ht="14.25" customHeight="1" x14ac:dyDescent="0.25">
      <c r="A322" s="31">
        <v>0</v>
      </c>
      <c r="B322" s="31">
        <v>2</v>
      </c>
      <c r="C322" s="31">
        <v>1</v>
      </c>
      <c r="D322" s="32" t="s">
        <v>989</v>
      </c>
      <c r="E322" s="32" t="s">
        <v>1310</v>
      </c>
      <c r="F322" s="32" t="s">
        <v>990</v>
      </c>
      <c r="G322" s="32" t="s">
        <v>1081</v>
      </c>
      <c r="H322" s="32" t="s">
        <v>352</v>
      </c>
      <c r="I322" s="31" t="s">
        <v>406</v>
      </c>
      <c r="J322" s="31">
        <v>99</v>
      </c>
      <c r="K322" s="33" t="s">
        <v>704</v>
      </c>
      <c r="L322" s="33" t="s">
        <v>704</v>
      </c>
      <c r="M322" s="34" t="s">
        <v>705</v>
      </c>
      <c r="N322" s="34" t="s">
        <v>1704</v>
      </c>
      <c r="O322" s="35">
        <v>1</v>
      </c>
      <c r="P322" s="35"/>
      <c r="Q322" s="32"/>
      <c r="S322" s="1">
        <f t="shared" si="99"/>
        <v>0</v>
      </c>
      <c r="T322" s="1">
        <f t="shared" si="100"/>
        <v>0</v>
      </c>
      <c r="U322" s="1">
        <f t="shared" si="101"/>
        <v>0</v>
      </c>
      <c r="V322" s="1">
        <f t="shared" si="102"/>
        <v>0</v>
      </c>
      <c r="W322" s="1">
        <f t="shared" si="103"/>
        <v>0</v>
      </c>
      <c r="X322" s="1">
        <f t="shared" si="104"/>
        <v>0</v>
      </c>
      <c r="Y322" s="1">
        <f t="shared" si="105"/>
        <v>0</v>
      </c>
      <c r="Z322" s="1">
        <f t="shared" si="106"/>
        <v>0</v>
      </c>
      <c r="AA322" s="1">
        <f t="shared" si="107"/>
        <v>0</v>
      </c>
      <c r="AB322" s="1">
        <f t="shared" si="108"/>
        <v>0</v>
      </c>
      <c r="AD322" s="1">
        <f t="shared" si="109"/>
        <v>0</v>
      </c>
      <c r="AE322" s="1">
        <f t="shared" si="110"/>
        <v>1</v>
      </c>
      <c r="AF322" s="1">
        <f t="shared" si="111"/>
        <v>0</v>
      </c>
      <c r="AG322" s="1">
        <f t="shared" si="112"/>
        <v>1</v>
      </c>
      <c r="AH322" s="1">
        <f t="shared" si="113"/>
        <v>0</v>
      </c>
      <c r="AI322" s="1">
        <f t="shared" si="114"/>
        <v>1</v>
      </c>
    </row>
    <row r="323" spans="1:35" s="1" customFormat="1" ht="14.25" customHeight="1" x14ac:dyDescent="0.25">
      <c r="A323" s="31">
        <v>0</v>
      </c>
      <c r="B323" s="31">
        <v>2</v>
      </c>
      <c r="C323" s="31">
        <v>1</v>
      </c>
      <c r="D323" s="32" t="s">
        <v>1111</v>
      </c>
      <c r="E323" s="32" t="s">
        <v>555</v>
      </c>
      <c r="F323" s="32" t="s">
        <v>1327</v>
      </c>
      <c r="G323" s="32" t="s">
        <v>264</v>
      </c>
      <c r="H323" s="32" t="s">
        <v>352</v>
      </c>
      <c r="I323" s="31" t="s">
        <v>1112</v>
      </c>
      <c r="J323" s="31">
        <v>8</v>
      </c>
      <c r="K323" s="33" t="s">
        <v>703</v>
      </c>
      <c r="L323" s="33" t="s">
        <v>1675</v>
      </c>
      <c r="M323" s="34" t="s">
        <v>705</v>
      </c>
      <c r="N323" s="34" t="s">
        <v>1708</v>
      </c>
      <c r="O323" s="35">
        <v>1</v>
      </c>
      <c r="P323" s="35"/>
      <c r="Q323" s="32"/>
      <c r="S323" s="1">
        <f t="shared" si="99"/>
        <v>0</v>
      </c>
      <c r="T323" s="1">
        <f t="shared" si="100"/>
        <v>0</v>
      </c>
      <c r="U323" s="1">
        <f t="shared" si="101"/>
        <v>0</v>
      </c>
      <c r="V323" s="1">
        <f t="shared" si="102"/>
        <v>0</v>
      </c>
      <c r="W323" s="1">
        <f t="shared" si="103"/>
        <v>0</v>
      </c>
      <c r="X323" s="1">
        <f t="shared" si="104"/>
        <v>0</v>
      </c>
      <c r="Y323" s="1">
        <f t="shared" si="105"/>
        <v>0</v>
      </c>
      <c r="Z323" s="1">
        <f t="shared" si="106"/>
        <v>1</v>
      </c>
      <c r="AA323" s="1">
        <f t="shared" si="107"/>
        <v>0</v>
      </c>
      <c r="AB323" s="1">
        <f t="shared" si="108"/>
        <v>0</v>
      </c>
      <c r="AD323" s="1">
        <f t="shared" si="109"/>
        <v>0</v>
      </c>
      <c r="AE323" s="1">
        <f t="shared" si="110"/>
        <v>1</v>
      </c>
      <c r="AF323" s="1">
        <f t="shared" si="111"/>
        <v>0</v>
      </c>
      <c r="AG323" s="1">
        <f t="shared" si="112"/>
        <v>1</v>
      </c>
      <c r="AH323" s="1">
        <f t="shared" si="113"/>
        <v>0</v>
      </c>
      <c r="AI323" s="1">
        <f t="shared" si="114"/>
        <v>1</v>
      </c>
    </row>
    <row r="324" spans="1:35" s="1" customFormat="1" ht="14.25" customHeight="1" x14ac:dyDescent="0.25">
      <c r="A324" s="31">
        <v>0</v>
      </c>
      <c r="B324" s="31">
        <v>2</v>
      </c>
      <c r="C324" s="31">
        <v>1</v>
      </c>
      <c r="D324" s="32" t="s">
        <v>1260</v>
      </c>
      <c r="E324" s="32" t="s">
        <v>1308</v>
      </c>
      <c r="F324" s="32" t="s">
        <v>1257</v>
      </c>
      <c r="G324" s="32" t="s">
        <v>1258</v>
      </c>
      <c r="H324" s="32" t="s">
        <v>352</v>
      </c>
      <c r="I324" s="31" t="s">
        <v>1259</v>
      </c>
      <c r="J324" s="31">
        <v>1</v>
      </c>
      <c r="K324" s="33" t="s">
        <v>703</v>
      </c>
      <c r="L324" s="33" t="s">
        <v>704</v>
      </c>
      <c r="M324" s="34" t="s">
        <v>705</v>
      </c>
      <c r="N324" s="34" t="s">
        <v>1721</v>
      </c>
      <c r="O324" s="35">
        <v>1</v>
      </c>
      <c r="P324" s="35"/>
      <c r="Q324" s="32" t="s">
        <v>1860</v>
      </c>
      <c r="S324" s="1">
        <f t="shared" si="99"/>
        <v>1</v>
      </c>
      <c r="T324" s="1">
        <f t="shared" si="100"/>
        <v>0</v>
      </c>
      <c r="U324" s="1">
        <f t="shared" si="101"/>
        <v>0</v>
      </c>
      <c r="V324" s="1">
        <f t="shared" si="102"/>
        <v>0</v>
      </c>
      <c r="W324" s="1">
        <f t="shared" si="103"/>
        <v>0</v>
      </c>
      <c r="X324" s="1">
        <f t="shared" si="104"/>
        <v>0</v>
      </c>
      <c r="Y324" s="1">
        <f t="shared" si="105"/>
        <v>0</v>
      </c>
      <c r="Z324" s="1">
        <f t="shared" si="106"/>
        <v>0</v>
      </c>
      <c r="AA324" s="1">
        <f t="shared" si="107"/>
        <v>0</v>
      </c>
      <c r="AB324" s="1">
        <f t="shared" si="108"/>
        <v>0</v>
      </c>
      <c r="AD324" s="1">
        <f t="shared" si="109"/>
        <v>0</v>
      </c>
      <c r="AE324" s="1">
        <f t="shared" si="110"/>
        <v>1</v>
      </c>
      <c r="AF324" s="1">
        <f t="shared" si="111"/>
        <v>0</v>
      </c>
      <c r="AG324" s="1">
        <f t="shared" si="112"/>
        <v>1</v>
      </c>
      <c r="AH324" s="1">
        <f t="shared" si="113"/>
        <v>0</v>
      </c>
      <c r="AI324" s="1">
        <f t="shared" si="114"/>
        <v>1</v>
      </c>
    </row>
    <row r="325" spans="1:35" s="1" customFormat="1" ht="14.25" customHeight="1" x14ac:dyDescent="0.25">
      <c r="A325" s="31">
        <v>0</v>
      </c>
      <c r="B325" s="31">
        <v>2</v>
      </c>
      <c r="C325" s="31">
        <v>1</v>
      </c>
      <c r="D325" s="32" t="s">
        <v>52</v>
      </c>
      <c r="E325" s="32" t="s">
        <v>32</v>
      </c>
      <c r="F325" s="32" t="s">
        <v>205</v>
      </c>
      <c r="G325" s="32" t="s">
        <v>206</v>
      </c>
      <c r="H325" s="32" t="s">
        <v>352</v>
      </c>
      <c r="I325" s="31" t="s">
        <v>389</v>
      </c>
      <c r="J325" s="31">
        <v>99</v>
      </c>
      <c r="K325" s="33" t="s">
        <v>703</v>
      </c>
      <c r="L325" s="33" t="s">
        <v>704</v>
      </c>
      <c r="M325" s="34" t="s">
        <v>705</v>
      </c>
      <c r="N325" s="34" t="s">
        <v>1699</v>
      </c>
      <c r="O325" s="35">
        <v>1</v>
      </c>
      <c r="P325" s="35">
        <v>1</v>
      </c>
      <c r="Q325" s="32"/>
      <c r="S325" s="1">
        <f t="shared" si="99"/>
        <v>0</v>
      </c>
      <c r="T325" s="1">
        <f t="shared" si="100"/>
        <v>0</v>
      </c>
      <c r="U325" s="1">
        <f t="shared" si="101"/>
        <v>0</v>
      </c>
      <c r="V325" s="1">
        <f t="shared" si="102"/>
        <v>0</v>
      </c>
      <c r="W325" s="1">
        <f t="shared" si="103"/>
        <v>0</v>
      </c>
      <c r="X325" s="1">
        <f t="shared" si="104"/>
        <v>0</v>
      </c>
      <c r="Y325" s="1">
        <f t="shared" si="105"/>
        <v>0</v>
      </c>
      <c r="Z325" s="1">
        <f t="shared" si="106"/>
        <v>0</v>
      </c>
      <c r="AA325" s="1">
        <f t="shared" si="107"/>
        <v>0</v>
      </c>
      <c r="AB325" s="1">
        <f t="shared" si="108"/>
        <v>0</v>
      </c>
      <c r="AD325" s="1">
        <f t="shared" si="109"/>
        <v>1</v>
      </c>
      <c r="AE325" s="1">
        <f t="shared" si="110"/>
        <v>0</v>
      </c>
      <c r="AF325" s="1">
        <f t="shared" si="111"/>
        <v>1</v>
      </c>
      <c r="AG325" s="1">
        <f t="shared" si="112"/>
        <v>0</v>
      </c>
      <c r="AH325" s="1">
        <f t="shared" si="113"/>
        <v>1</v>
      </c>
      <c r="AI325" s="1">
        <f t="shared" si="114"/>
        <v>0</v>
      </c>
    </row>
    <row r="326" spans="1:35" s="1" customFormat="1" ht="14.25" customHeight="1" x14ac:dyDescent="0.25">
      <c r="A326" s="31">
        <v>0</v>
      </c>
      <c r="B326" s="31">
        <v>2</v>
      </c>
      <c r="C326" s="31">
        <v>1</v>
      </c>
      <c r="D326" s="32" t="s">
        <v>73</v>
      </c>
      <c r="E326" s="32" t="s">
        <v>555</v>
      </c>
      <c r="F326" s="32" t="s">
        <v>1031</v>
      </c>
      <c r="G326" s="32" t="s">
        <v>189</v>
      </c>
      <c r="H326" s="32" t="s">
        <v>352</v>
      </c>
      <c r="I326" s="31" t="s">
        <v>419</v>
      </c>
      <c r="J326" s="31">
        <v>99</v>
      </c>
      <c r="K326" s="33" t="s">
        <v>935</v>
      </c>
      <c r="L326" s="33" t="s">
        <v>704</v>
      </c>
      <c r="M326" s="34" t="s">
        <v>705</v>
      </c>
      <c r="N326" s="34" t="s">
        <v>1704</v>
      </c>
      <c r="O326" s="35">
        <v>1</v>
      </c>
      <c r="P326" s="35"/>
      <c r="Q326" s="32"/>
      <c r="S326" s="1">
        <f t="shared" si="99"/>
        <v>0</v>
      </c>
      <c r="T326" s="1">
        <f t="shared" si="100"/>
        <v>0</v>
      </c>
      <c r="U326" s="1">
        <f t="shared" si="101"/>
        <v>0</v>
      </c>
      <c r="V326" s="1">
        <f t="shared" si="102"/>
        <v>0</v>
      </c>
      <c r="W326" s="1">
        <f t="shared" si="103"/>
        <v>0</v>
      </c>
      <c r="X326" s="1">
        <f t="shared" si="104"/>
        <v>0</v>
      </c>
      <c r="Y326" s="1">
        <f t="shared" si="105"/>
        <v>0</v>
      </c>
      <c r="Z326" s="1">
        <f t="shared" si="106"/>
        <v>0</v>
      </c>
      <c r="AA326" s="1">
        <f t="shared" si="107"/>
        <v>0</v>
      </c>
      <c r="AB326" s="1">
        <f t="shared" si="108"/>
        <v>0</v>
      </c>
      <c r="AD326" s="1">
        <f t="shared" si="109"/>
        <v>0</v>
      </c>
      <c r="AE326" s="1">
        <f t="shared" si="110"/>
        <v>1</v>
      </c>
      <c r="AF326" s="1">
        <f t="shared" si="111"/>
        <v>0</v>
      </c>
      <c r="AG326" s="1">
        <f t="shared" si="112"/>
        <v>1</v>
      </c>
      <c r="AH326" s="1">
        <f t="shared" si="113"/>
        <v>0</v>
      </c>
      <c r="AI326" s="1">
        <f t="shared" si="114"/>
        <v>1</v>
      </c>
    </row>
    <row r="327" spans="1:35" s="1" customFormat="1" ht="14.25" customHeight="1" x14ac:dyDescent="0.25">
      <c r="A327" s="31">
        <v>0</v>
      </c>
      <c r="B327" s="31">
        <v>2</v>
      </c>
      <c r="C327" s="31">
        <v>1</v>
      </c>
      <c r="D327" s="32" t="s">
        <v>47</v>
      </c>
      <c r="E327" s="32" t="s">
        <v>32</v>
      </c>
      <c r="F327" s="32" t="s">
        <v>186</v>
      </c>
      <c r="G327" s="32" t="s">
        <v>179</v>
      </c>
      <c r="H327" s="32" t="s">
        <v>352</v>
      </c>
      <c r="I327" s="31" t="s">
        <v>381</v>
      </c>
      <c r="J327" s="31">
        <v>10</v>
      </c>
      <c r="K327" s="33" t="s">
        <v>936</v>
      </c>
      <c r="L327" s="33" t="s">
        <v>704</v>
      </c>
      <c r="M327" s="34" t="s">
        <v>705</v>
      </c>
      <c r="N327" s="34" t="s">
        <v>1704</v>
      </c>
      <c r="O327" s="35">
        <v>1</v>
      </c>
      <c r="P327" s="35"/>
      <c r="Q327" s="32"/>
      <c r="S327" s="1">
        <f t="shared" si="99"/>
        <v>0</v>
      </c>
      <c r="T327" s="1">
        <f t="shared" si="100"/>
        <v>0</v>
      </c>
      <c r="U327" s="1">
        <f t="shared" si="101"/>
        <v>0</v>
      </c>
      <c r="V327" s="1">
        <f t="shared" si="102"/>
        <v>0</v>
      </c>
      <c r="W327" s="1">
        <f t="shared" si="103"/>
        <v>0</v>
      </c>
      <c r="X327" s="1">
        <f t="shared" si="104"/>
        <v>0</v>
      </c>
      <c r="Y327" s="1">
        <f t="shared" si="105"/>
        <v>0</v>
      </c>
      <c r="Z327" s="1">
        <f t="shared" si="106"/>
        <v>0</v>
      </c>
      <c r="AA327" s="1">
        <f t="shared" si="107"/>
        <v>0</v>
      </c>
      <c r="AB327" s="1">
        <f t="shared" si="108"/>
        <v>1</v>
      </c>
      <c r="AD327" s="1">
        <f t="shared" si="109"/>
        <v>0</v>
      </c>
      <c r="AE327" s="1">
        <f t="shared" si="110"/>
        <v>1</v>
      </c>
      <c r="AF327" s="1">
        <f t="shared" si="111"/>
        <v>0</v>
      </c>
      <c r="AG327" s="1">
        <f t="shared" si="112"/>
        <v>1</v>
      </c>
      <c r="AH327" s="1">
        <f t="shared" si="113"/>
        <v>0</v>
      </c>
      <c r="AI327" s="1">
        <f t="shared" si="114"/>
        <v>1</v>
      </c>
    </row>
    <row r="328" spans="1:35" s="1" customFormat="1" ht="14.25" customHeight="1" x14ac:dyDescent="0.25">
      <c r="A328" s="31">
        <v>0</v>
      </c>
      <c r="B328" s="31">
        <v>2</v>
      </c>
      <c r="C328" s="31">
        <v>1</v>
      </c>
      <c r="D328" s="32" t="s">
        <v>644</v>
      </c>
      <c r="E328" s="32" t="s">
        <v>159</v>
      </c>
      <c r="F328" s="32" t="s">
        <v>187</v>
      </c>
      <c r="G328" s="32" t="s">
        <v>660</v>
      </c>
      <c r="H328" s="32" t="s">
        <v>352</v>
      </c>
      <c r="I328" s="31" t="s">
        <v>382</v>
      </c>
      <c r="J328" s="31">
        <v>99</v>
      </c>
      <c r="K328" s="33" t="s">
        <v>703</v>
      </c>
      <c r="L328" s="33" t="s">
        <v>704</v>
      </c>
      <c r="M328" s="34" t="s">
        <v>705</v>
      </c>
      <c r="N328" s="34" t="s">
        <v>1716</v>
      </c>
      <c r="O328" s="35">
        <v>1</v>
      </c>
      <c r="P328" s="35"/>
      <c r="Q328" s="32"/>
      <c r="S328" s="1">
        <f t="shared" si="99"/>
        <v>0</v>
      </c>
      <c r="T328" s="1">
        <f t="shared" si="100"/>
        <v>0</v>
      </c>
      <c r="U328" s="1">
        <f t="shared" si="101"/>
        <v>0</v>
      </c>
      <c r="V328" s="1">
        <f t="shared" si="102"/>
        <v>0</v>
      </c>
      <c r="W328" s="1">
        <f t="shared" si="103"/>
        <v>0</v>
      </c>
      <c r="X328" s="1">
        <f t="shared" si="104"/>
        <v>0</v>
      </c>
      <c r="Y328" s="1">
        <f t="shared" si="105"/>
        <v>0</v>
      </c>
      <c r="Z328" s="1">
        <f t="shared" si="106"/>
        <v>0</v>
      </c>
      <c r="AA328" s="1">
        <f t="shared" si="107"/>
        <v>0</v>
      </c>
      <c r="AB328" s="1">
        <f t="shared" si="108"/>
        <v>0</v>
      </c>
      <c r="AD328" s="1">
        <f t="shared" si="109"/>
        <v>0</v>
      </c>
      <c r="AE328" s="1">
        <f t="shared" si="110"/>
        <v>1</v>
      </c>
      <c r="AF328" s="1">
        <f t="shared" si="111"/>
        <v>0</v>
      </c>
      <c r="AG328" s="1">
        <f t="shared" si="112"/>
        <v>1</v>
      </c>
      <c r="AH328" s="1">
        <f t="shared" si="113"/>
        <v>0</v>
      </c>
      <c r="AI328" s="1">
        <f t="shared" si="114"/>
        <v>1</v>
      </c>
    </row>
    <row r="329" spans="1:35" s="1" customFormat="1" ht="14.25" customHeight="1" x14ac:dyDescent="0.25">
      <c r="A329" s="31">
        <v>0</v>
      </c>
      <c r="B329" s="31">
        <v>2</v>
      </c>
      <c r="C329" s="31">
        <v>1</v>
      </c>
      <c r="D329" s="32" t="s">
        <v>1278</v>
      </c>
      <c r="E329" s="32" t="s">
        <v>36</v>
      </c>
      <c r="F329" s="32" t="s">
        <v>1279</v>
      </c>
      <c r="G329" s="32" t="s">
        <v>257</v>
      </c>
      <c r="H329" s="32" t="s">
        <v>352</v>
      </c>
      <c r="I329" s="31" t="s">
        <v>1280</v>
      </c>
      <c r="J329" s="31">
        <v>8</v>
      </c>
      <c r="K329" s="33" t="s">
        <v>940</v>
      </c>
      <c r="L329" s="33" t="s">
        <v>704</v>
      </c>
      <c r="M329" s="34" t="s">
        <v>705</v>
      </c>
      <c r="N329" s="34" t="s">
        <v>1699</v>
      </c>
      <c r="O329" s="35">
        <v>1</v>
      </c>
      <c r="P329" s="35">
        <v>1</v>
      </c>
      <c r="Q329" s="32"/>
      <c r="S329" s="1">
        <f t="shared" si="99"/>
        <v>0</v>
      </c>
      <c r="T329" s="1">
        <f t="shared" si="100"/>
        <v>0</v>
      </c>
      <c r="U329" s="1">
        <f t="shared" si="101"/>
        <v>0</v>
      </c>
      <c r="V329" s="1">
        <f t="shared" si="102"/>
        <v>0</v>
      </c>
      <c r="W329" s="1">
        <f t="shared" si="103"/>
        <v>0</v>
      </c>
      <c r="X329" s="1">
        <f t="shared" si="104"/>
        <v>0</v>
      </c>
      <c r="Y329" s="1">
        <f t="shared" si="105"/>
        <v>0</v>
      </c>
      <c r="Z329" s="1">
        <f t="shared" si="106"/>
        <v>1</v>
      </c>
      <c r="AA329" s="1">
        <f t="shared" si="107"/>
        <v>0</v>
      </c>
      <c r="AB329" s="1">
        <f t="shared" si="108"/>
        <v>0</v>
      </c>
      <c r="AD329" s="1">
        <f t="shared" si="109"/>
        <v>1</v>
      </c>
      <c r="AE329" s="1">
        <f t="shared" si="110"/>
        <v>0</v>
      </c>
      <c r="AF329" s="1">
        <f t="shared" si="111"/>
        <v>1</v>
      </c>
      <c r="AG329" s="1">
        <f t="shared" si="112"/>
        <v>0</v>
      </c>
      <c r="AH329" s="1">
        <f t="shared" si="113"/>
        <v>1</v>
      </c>
      <c r="AI329" s="1">
        <f t="shared" si="114"/>
        <v>0</v>
      </c>
    </row>
    <row r="330" spans="1:35" s="1" customFormat="1" ht="14.25" customHeight="1" x14ac:dyDescent="0.25">
      <c r="A330" s="31">
        <v>0</v>
      </c>
      <c r="B330" s="31">
        <v>2</v>
      </c>
      <c r="C330" s="31">
        <v>1</v>
      </c>
      <c r="D330" s="32" t="s">
        <v>54</v>
      </c>
      <c r="E330" s="32" t="s">
        <v>555</v>
      </c>
      <c r="F330" s="32" t="s">
        <v>211</v>
      </c>
      <c r="G330" s="32" t="s">
        <v>212</v>
      </c>
      <c r="H330" s="32" t="s">
        <v>352</v>
      </c>
      <c r="I330" s="31" t="s">
        <v>391</v>
      </c>
      <c r="J330" s="31">
        <v>1</v>
      </c>
      <c r="K330" s="33" t="s">
        <v>936</v>
      </c>
      <c r="L330" s="33" t="s">
        <v>704</v>
      </c>
      <c r="M330" s="34" t="s">
        <v>39</v>
      </c>
      <c r="N330" s="34" t="s">
        <v>1704</v>
      </c>
      <c r="O330" s="35">
        <v>1</v>
      </c>
      <c r="P330" s="35"/>
      <c r="Q330" s="32"/>
      <c r="S330" s="1">
        <f t="shared" si="99"/>
        <v>1</v>
      </c>
      <c r="T330" s="1">
        <f t="shared" si="100"/>
        <v>0</v>
      </c>
      <c r="U330" s="1">
        <f t="shared" si="101"/>
        <v>0</v>
      </c>
      <c r="V330" s="1">
        <f t="shared" si="102"/>
        <v>0</v>
      </c>
      <c r="W330" s="1">
        <f t="shared" si="103"/>
        <v>0</v>
      </c>
      <c r="X330" s="1">
        <f t="shared" si="104"/>
        <v>0</v>
      </c>
      <c r="Y330" s="1">
        <f t="shared" si="105"/>
        <v>0</v>
      </c>
      <c r="Z330" s="1">
        <f t="shared" si="106"/>
        <v>0</v>
      </c>
      <c r="AA330" s="1">
        <f t="shared" si="107"/>
        <v>0</v>
      </c>
      <c r="AB330" s="1">
        <f t="shared" si="108"/>
        <v>0</v>
      </c>
      <c r="AD330" s="1">
        <f t="shared" si="109"/>
        <v>0</v>
      </c>
      <c r="AE330" s="1">
        <f t="shared" si="110"/>
        <v>1</v>
      </c>
      <c r="AF330" s="1">
        <f t="shared" si="111"/>
        <v>0</v>
      </c>
      <c r="AG330" s="1">
        <f t="shared" si="112"/>
        <v>1</v>
      </c>
      <c r="AH330" s="1">
        <f t="shared" si="113"/>
        <v>0</v>
      </c>
      <c r="AI330" s="1">
        <f t="shared" si="114"/>
        <v>1</v>
      </c>
    </row>
    <row r="331" spans="1:35" s="1" customFormat="1" ht="14.25" customHeight="1" x14ac:dyDescent="0.25">
      <c r="A331" s="31">
        <v>0</v>
      </c>
      <c r="B331" s="31">
        <v>2</v>
      </c>
      <c r="C331" s="31">
        <v>1</v>
      </c>
      <c r="D331" s="32" t="s">
        <v>61</v>
      </c>
      <c r="E331" s="32" t="s">
        <v>539</v>
      </c>
      <c r="F331" s="32" t="s">
        <v>232</v>
      </c>
      <c r="G331" s="32" t="s">
        <v>203</v>
      </c>
      <c r="H331" s="32" t="s">
        <v>352</v>
      </c>
      <c r="I331" s="31" t="s">
        <v>399</v>
      </c>
      <c r="J331" s="31">
        <v>7</v>
      </c>
      <c r="K331" s="33" t="s">
        <v>703</v>
      </c>
      <c r="L331" s="33" t="s">
        <v>704</v>
      </c>
      <c r="M331" s="34" t="s">
        <v>705</v>
      </c>
      <c r="N331" s="34" t="s">
        <v>1721</v>
      </c>
      <c r="O331" s="35">
        <v>1</v>
      </c>
      <c r="P331" s="35"/>
      <c r="Q331" s="32"/>
      <c r="S331" s="1">
        <f t="shared" si="99"/>
        <v>0</v>
      </c>
      <c r="T331" s="1">
        <f t="shared" si="100"/>
        <v>0</v>
      </c>
      <c r="U331" s="1">
        <f t="shared" si="101"/>
        <v>0</v>
      </c>
      <c r="V331" s="1">
        <f t="shared" si="102"/>
        <v>0</v>
      </c>
      <c r="W331" s="1">
        <f t="shared" si="103"/>
        <v>0</v>
      </c>
      <c r="X331" s="1">
        <f t="shared" si="104"/>
        <v>0</v>
      </c>
      <c r="Y331" s="1">
        <f t="shared" si="105"/>
        <v>1</v>
      </c>
      <c r="Z331" s="1">
        <f t="shared" si="106"/>
        <v>0</v>
      </c>
      <c r="AA331" s="1">
        <f t="shared" si="107"/>
        <v>0</v>
      </c>
      <c r="AB331" s="1">
        <f t="shared" si="108"/>
        <v>0</v>
      </c>
      <c r="AD331" s="1">
        <f t="shared" si="109"/>
        <v>0</v>
      </c>
      <c r="AE331" s="1">
        <f t="shared" si="110"/>
        <v>1</v>
      </c>
      <c r="AF331" s="1">
        <f t="shared" si="111"/>
        <v>0</v>
      </c>
      <c r="AG331" s="1">
        <f t="shared" si="112"/>
        <v>1</v>
      </c>
      <c r="AH331" s="1">
        <f t="shared" si="113"/>
        <v>0</v>
      </c>
      <c r="AI331" s="1">
        <f t="shared" si="114"/>
        <v>1</v>
      </c>
    </row>
    <row r="332" spans="1:35" s="1" customFormat="1" ht="14.25" customHeight="1" x14ac:dyDescent="0.25">
      <c r="A332" s="31">
        <v>0</v>
      </c>
      <c r="B332" s="31">
        <v>2</v>
      </c>
      <c r="C332" s="31">
        <v>1</v>
      </c>
      <c r="D332" s="32" t="s">
        <v>1614</v>
      </c>
      <c r="E332" s="32" t="s">
        <v>555</v>
      </c>
      <c r="F332" s="32" t="s">
        <v>1330</v>
      </c>
      <c r="G332" s="32" t="s">
        <v>1258</v>
      </c>
      <c r="H332" s="32" t="s">
        <v>352</v>
      </c>
      <c r="I332" s="31" t="s">
        <v>1145</v>
      </c>
      <c r="J332" s="31">
        <v>99</v>
      </c>
      <c r="K332" s="33" t="s">
        <v>703</v>
      </c>
      <c r="L332" s="33" t="s">
        <v>704</v>
      </c>
      <c r="M332" s="34" t="s">
        <v>705</v>
      </c>
      <c r="N332" s="34" t="s">
        <v>1708</v>
      </c>
      <c r="O332" s="35">
        <v>1</v>
      </c>
      <c r="P332" s="35"/>
      <c r="Q332" s="32" t="s">
        <v>1859</v>
      </c>
      <c r="S332" s="1">
        <f t="shared" si="99"/>
        <v>0</v>
      </c>
      <c r="T332" s="1">
        <f t="shared" si="100"/>
        <v>0</v>
      </c>
      <c r="U332" s="1">
        <f t="shared" si="101"/>
        <v>0</v>
      </c>
      <c r="V332" s="1">
        <f t="shared" si="102"/>
        <v>0</v>
      </c>
      <c r="W332" s="1">
        <f t="shared" si="103"/>
        <v>0</v>
      </c>
      <c r="X332" s="1">
        <f t="shared" si="104"/>
        <v>0</v>
      </c>
      <c r="Y332" s="1">
        <f t="shared" si="105"/>
        <v>0</v>
      </c>
      <c r="Z332" s="1">
        <f t="shared" si="106"/>
        <v>0</v>
      </c>
      <c r="AA332" s="1">
        <f t="shared" si="107"/>
        <v>0</v>
      </c>
      <c r="AB332" s="1">
        <f t="shared" si="108"/>
        <v>0</v>
      </c>
      <c r="AD332" s="1">
        <f t="shared" si="109"/>
        <v>0</v>
      </c>
      <c r="AE332" s="1">
        <f t="shared" si="110"/>
        <v>1</v>
      </c>
      <c r="AF332" s="1">
        <f t="shared" si="111"/>
        <v>0</v>
      </c>
      <c r="AG332" s="1">
        <f t="shared" si="112"/>
        <v>1</v>
      </c>
      <c r="AH332" s="1">
        <f t="shared" si="113"/>
        <v>0</v>
      </c>
      <c r="AI332" s="1">
        <f t="shared" si="114"/>
        <v>1</v>
      </c>
    </row>
    <row r="333" spans="1:35" s="1" customFormat="1" ht="14.25" customHeight="1" x14ac:dyDescent="0.25">
      <c r="A333" s="31">
        <v>0</v>
      </c>
      <c r="B333" s="31">
        <v>2</v>
      </c>
      <c r="C333" s="31">
        <v>1</v>
      </c>
      <c r="D333" s="32" t="s">
        <v>1742</v>
      </c>
      <c r="E333" s="32" t="s">
        <v>1743</v>
      </c>
      <c r="F333" s="32" t="s">
        <v>1744</v>
      </c>
      <c r="G333" s="32" t="s">
        <v>1745</v>
      </c>
      <c r="H333" s="32" t="s">
        <v>352</v>
      </c>
      <c r="I333" s="31"/>
      <c r="J333" s="31">
        <v>1</v>
      </c>
      <c r="K333" s="33" t="s">
        <v>694</v>
      </c>
      <c r="L333" s="33"/>
      <c r="M333" s="34"/>
      <c r="N333" s="34" t="s">
        <v>1704</v>
      </c>
      <c r="O333" s="35">
        <v>1</v>
      </c>
      <c r="P333" s="35"/>
      <c r="Q333" s="32" t="s">
        <v>1867</v>
      </c>
      <c r="S333" s="1">
        <f t="shared" si="99"/>
        <v>1</v>
      </c>
      <c r="T333" s="1">
        <f t="shared" si="100"/>
        <v>0</v>
      </c>
      <c r="U333" s="1">
        <f t="shared" si="101"/>
        <v>0</v>
      </c>
      <c r="V333" s="1">
        <f t="shared" si="102"/>
        <v>0</v>
      </c>
      <c r="W333" s="1">
        <f t="shared" si="103"/>
        <v>0</v>
      </c>
      <c r="X333" s="1">
        <f t="shared" si="104"/>
        <v>0</v>
      </c>
      <c r="Y333" s="1">
        <f t="shared" si="105"/>
        <v>0</v>
      </c>
      <c r="Z333" s="1">
        <f t="shared" si="106"/>
        <v>0</v>
      </c>
      <c r="AA333" s="1">
        <f t="shared" si="107"/>
        <v>0</v>
      </c>
      <c r="AB333" s="1">
        <f t="shared" si="108"/>
        <v>0</v>
      </c>
      <c r="AD333" s="1">
        <f t="shared" si="109"/>
        <v>0</v>
      </c>
      <c r="AE333" s="1">
        <f t="shared" si="110"/>
        <v>1</v>
      </c>
      <c r="AF333" s="1">
        <f t="shared" si="111"/>
        <v>0</v>
      </c>
      <c r="AG333" s="1">
        <f t="shared" si="112"/>
        <v>1</v>
      </c>
      <c r="AH333" s="1">
        <f t="shared" si="113"/>
        <v>0</v>
      </c>
      <c r="AI333" s="1">
        <f t="shared" si="114"/>
        <v>1</v>
      </c>
    </row>
    <row r="334" spans="1:35" s="1" customFormat="1" ht="14.25" customHeight="1" x14ac:dyDescent="0.25">
      <c r="A334" s="62">
        <v>0</v>
      </c>
      <c r="B334" s="62">
        <v>2</v>
      </c>
      <c r="C334" s="62">
        <v>1</v>
      </c>
      <c r="D334" s="63" t="s">
        <v>1292</v>
      </c>
      <c r="E334" s="63" t="s">
        <v>1312</v>
      </c>
      <c r="F334" s="63" t="s">
        <v>1275</v>
      </c>
      <c r="G334" s="63" t="s">
        <v>1276</v>
      </c>
      <c r="H334" s="63" t="s">
        <v>352</v>
      </c>
      <c r="I334" s="62" t="s">
        <v>1277</v>
      </c>
      <c r="J334" s="62">
        <v>99</v>
      </c>
      <c r="K334" s="64" t="s">
        <v>936</v>
      </c>
      <c r="L334" s="64" t="s">
        <v>704</v>
      </c>
      <c r="M334" s="65" t="s">
        <v>705</v>
      </c>
      <c r="N334" s="65" t="s">
        <v>1877</v>
      </c>
      <c r="O334" s="66">
        <v>1</v>
      </c>
      <c r="P334" s="66"/>
      <c r="Q334" s="63"/>
      <c r="S334" s="1">
        <f t="shared" si="99"/>
        <v>0</v>
      </c>
      <c r="T334" s="1">
        <f t="shared" si="100"/>
        <v>0</v>
      </c>
      <c r="U334" s="1">
        <f t="shared" si="101"/>
        <v>0</v>
      </c>
      <c r="V334" s="1">
        <f t="shared" si="102"/>
        <v>0</v>
      </c>
      <c r="W334" s="1">
        <f t="shared" si="103"/>
        <v>0</v>
      </c>
      <c r="X334" s="1">
        <f t="shared" si="104"/>
        <v>0</v>
      </c>
      <c r="Y334" s="1">
        <f t="shared" si="105"/>
        <v>0</v>
      </c>
      <c r="Z334" s="1">
        <f t="shared" si="106"/>
        <v>0</v>
      </c>
      <c r="AA334" s="1">
        <f t="shared" si="107"/>
        <v>0</v>
      </c>
      <c r="AB334" s="1">
        <f t="shared" si="108"/>
        <v>0</v>
      </c>
      <c r="AD334" s="1">
        <f t="shared" si="109"/>
        <v>0</v>
      </c>
      <c r="AE334" s="1">
        <f t="shared" si="110"/>
        <v>1</v>
      </c>
      <c r="AF334" s="1">
        <f t="shared" si="111"/>
        <v>0</v>
      </c>
      <c r="AG334" s="1">
        <f t="shared" si="112"/>
        <v>1</v>
      </c>
      <c r="AH334" s="1">
        <f t="shared" si="113"/>
        <v>0</v>
      </c>
      <c r="AI334" s="1">
        <f t="shared" si="114"/>
        <v>1</v>
      </c>
    </row>
    <row r="335" spans="1:35" s="1" customFormat="1" ht="14.25" customHeight="1" x14ac:dyDescent="0.25">
      <c r="A335" s="15">
        <v>0</v>
      </c>
      <c r="B335" s="15">
        <v>2</v>
      </c>
      <c r="C335" s="15">
        <v>1</v>
      </c>
      <c r="D335" s="16" t="s">
        <v>1287</v>
      </c>
      <c r="E335" s="16" t="s">
        <v>159</v>
      </c>
      <c r="F335" s="16" t="s">
        <v>1289</v>
      </c>
      <c r="G335" s="16" t="s">
        <v>1290</v>
      </c>
      <c r="H335" s="16" t="s">
        <v>352</v>
      </c>
      <c r="I335" s="15" t="s">
        <v>1291</v>
      </c>
      <c r="J335" s="15">
        <v>8</v>
      </c>
      <c r="K335" s="10" t="s">
        <v>704</v>
      </c>
      <c r="L335" s="10" t="s">
        <v>704</v>
      </c>
      <c r="M335" s="19" t="s">
        <v>705</v>
      </c>
      <c r="N335" s="19"/>
      <c r="Q335" s="16"/>
      <c r="S335" s="1">
        <f t="shared" si="99"/>
        <v>0</v>
      </c>
      <c r="T335" s="1">
        <f t="shared" si="100"/>
        <v>0</v>
      </c>
      <c r="U335" s="1">
        <f t="shared" si="101"/>
        <v>0</v>
      </c>
      <c r="V335" s="1">
        <f t="shared" si="102"/>
        <v>0</v>
      </c>
      <c r="W335" s="1">
        <f t="shared" si="103"/>
        <v>0</v>
      </c>
      <c r="X335" s="1">
        <f t="shared" si="104"/>
        <v>0</v>
      </c>
      <c r="Y335" s="1">
        <f t="shared" si="105"/>
        <v>0</v>
      </c>
      <c r="Z335" s="1">
        <f t="shared" si="106"/>
        <v>1</v>
      </c>
      <c r="AA335" s="1">
        <f t="shared" si="107"/>
        <v>0</v>
      </c>
      <c r="AB335" s="1">
        <f t="shared" si="108"/>
        <v>0</v>
      </c>
      <c r="AD335" s="1">
        <f t="shared" si="109"/>
        <v>0</v>
      </c>
      <c r="AE335" s="1">
        <f t="shared" si="110"/>
        <v>0</v>
      </c>
      <c r="AF335" s="1">
        <f t="shared" si="111"/>
        <v>0</v>
      </c>
      <c r="AG335" s="1">
        <f t="shared" si="112"/>
        <v>0</v>
      </c>
      <c r="AH335" s="1">
        <f t="shared" si="113"/>
        <v>0</v>
      </c>
      <c r="AI335" s="1">
        <f t="shared" si="114"/>
        <v>1</v>
      </c>
    </row>
    <row r="336" spans="1:35" s="1" customFormat="1" ht="14.25" customHeight="1" x14ac:dyDescent="0.25">
      <c r="A336" s="31">
        <v>0</v>
      </c>
      <c r="B336" s="31">
        <v>2</v>
      </c>
      <c r="C336" s="31">
        <v>2</v>
      </c>
      <c r="D336" s="32" t="s">
        <v>1613</v>
      </c>
      <c r="E336" s="32" t="s">
        <v>1146</v>
      </c>
      <c r="F336" s="32" t="s">
        <v>1646</v>
      </c>
      <c r="G336" s="32" t="s">
        <v>189</v>
      </c>
      <c r="H336" s="32" t="s">
        <v>352</v>
      </c>
      <c r="I336" s="31" t="s">
        <v>1574</v>
      </c>
      <c r="J336" s="31">
        <v>99</v>
      </c>
      <c r="K336" s="33" t="s">
        <v>704</v>
      </c>
      <c r="L336" s="33" t="s">
        <v>687</v>
      </c>
      <c r="M336" s="34" t="s">
        <v>1575</v>
      </c>
      <c r="N336" s="34" t="s">
        <v>1721</v>
      </c>
      <c r="O336" s="35">
        <v>1</v>
      </c>
      <c r="P336" s="35"/>
      <c r="Q336" s="32"/>
      <c r="S336" s="1">
        <f t="shared" si="99"/>
        <v>0</v>
      </c>
      <c r="T336" s="1">
        <f t="shared" si="100"/>
        <v>0</v>
      </c>
      <c r="U336" s="1">
        <f t="shared" si="101"/>
        <v>0</v>
      </c>
      <c r="V336" s="1">
        <f t="shared" si="102"/>
        <v>0</v>
      </c>
      <c r="W336" s="1">
        <f t="shared" si="103"/>
        <v>0</v>
      </c>
      <c r="X336" s="1">
        <f t="shared" si="104"/>
        <v>0</v>
      </c>
      <c r="Y336" s="1">
        <f t="shared" si="105"/>
        <v>0</v>
      </c>
      <c r="Z336" s="1">
        <f t="shared" si="106"/>
        <v>0</v>
      </c>
      <c r="AA336" s="1">
        <f t="shared" si="107"/>
        <v>0</v>
      </c>
      <c r="AB336" s="1">
        <f t="shared" si="108"/>
        <v>0</v>
      </c>
      <c r="AD336" s="1">
        <f t="shared" si="109"/>
        <v>0</v>
      </c>
      <c r="AE336" s="1">
        <f t="shared" si="110"/>
        <v>1</v>
      </c>
      <c r="AF336" s="1">
        <f t="shared" si="111"/>
        <v>0</v>
      </c>
      <c r="AG336" s="1">
        <f t="shared" si="112"/>
        <v>1</v>
      </c>
      <c r="AH336" s="1">
        <f t="shared" si="113"/>
        <v>0</v>
      </c>
      <c r="AI336" s="1">
        <f t="shared" si="114"/>
        <v>1</v>
      </c>
    </row>
    <row r="337" spans="1:35" s="1" customFormat="1" ht="14.25" customHeight="1" x14ac:dyDescent="0.25">
      <c r="A337" s="31">
        <v>0</v>
      </c>
      <c r="B337" s="31">
        <v>2</v>
      </c>
      <c r="C337" s="31">
        <v>2</v>
      </c>
      <c r="D337" s="32" t="s">
        <v>65</v>
      </c>
      <c r="E337" s="32" t="s">
        <v>163</v>
      </c>
      <c r="F337" s="32" t="s">
        <v>242</v>
      </c>
      <c r="G337" s="32" t="s">
        <v>199</v>
      </c>
      <c r="H337" s="32" t="s">
        <v>352</v>
      </c>
      <c r="I337" s="31" t="s">
        <v>405</v>
      </c>
      <c r="J337" s="31">
        <v>2</v>
      </c>
      <c r="K337" s="33" t="s">
        <v>936</v>
      </c>
      <c r="L337" s="33" t="s">
        <v>687</v>
      </c>
      <c r="M337" s="34" t="s">
        <v>706</v>
      </c>
      <c r="N337" s="34" t="s">
        <v>1704</v>
      </c>
      <c r="O337" s="35">
        <v>1</v>
      </c>
      <c r="P337" s="35"/>
      <c r="Q337" s="32"/>
      <c r="S337" s="1">
        <f t="shared" si="99"/>
        <v>0</v>
      </c>
      <c r="T337" s="1">
        <f t="shared" si="100"/>
        <v>1</v>
      </c>
      <c r="U337" s="1">
        <f t="shared" si="101"/>
        <v>0</v>
      </c>
      <c r="V337" s="1">
        <f t="shared" si="102"/>
        <v>0</v>
      </c>
      <c r="W337" s="1">
        <f t="shared" si="103"/>
        <v>0</v>
      </c>
      <c r="X337" s="1">
        <f t="shared" si="104"/>
        <v>0</v>
      </c>
      <c r="Y337" s="1">
        <f t="shared" si="105"/>
        <v>0</v>
      </c>
      <c r="Z337" s="1">
        <f t="shared" si="106"/>
        <v>0</v>
      </c>
      <c r="AA337" s="1">
        <f t="shared" si="107"/>
        <v>0</v>
      </c>
      <c r="AB337" s="1">
        <f t="shared" si="108"/>
        <v>0</v>
      </c>
      <c r="AD337" s="1">
        <f t="shared" si="109"/>
        <v>0</v>
      </c>
      <c r="AE337" s="1">
        <f t="shared" si="110"/>
        <v>1</v>
      </c>
      <c r="AF337" s="1">
        <f t="shared" si="111"/>
        <v>0</v>
      </c>
      <c r="AG337" s="1">
        <f t="shared" si="112"/>
        <v>1</v>
      </c>
      <c r="AH337" s="1">
        <f t="shared" si="113"/>
        <v>0</v>
      </c>
      <c r="AI337" s="1">
        <f t="shared" si="114"/>
        <v>1</v>
      </c>
    </row>
    <row r="338" spans="1:35" s="1" customFormat="1" ht="14.25" customHeight="1" x14ac:dyDescent="0.25">
      <c r="A338" s="31">
        <v>0</v>
      </c>
      <c r="B338" s="31">
        <v>2</v>
      </c>
      <c r="C338" s="31">
        <v>2</v>
      </c>
      <c r="D338" s="32" t="s">
        <v>1787</v>
      </c>
      <c r="E338" s="32" t="s">
        <v>1788</v>
      </c>
      <c r="F338" s="32" t="s">
        <v>1789</v>
      </c>
      <c r="G338" s="32" t="s">
        <v>195</v>
      </c>
      <c r="H338" s="32" t="s">
        <v>352</v>
      </c>
      <c r="I338" s="31" t="s">
        <v>1790</v>
      </c>
      <c r="J338" s="31"/>
      <c r="K338" s="33" t="s">
        <v>694</v>
      </c>
      <c r="L338" s="33">
        <v>20</v>
      </c>
      <c r="M338" s="34" t="s">
        <v>1791</v>
      </c>
      <c r="N338" s="34" t="s">
        <v>1708</v>
      </c>
      <c r="O338" s="35">
        <v>1</v>
      </c>
      <c r="P338" s="35"/>
      <c r="Q338" s="32"/>
      <c r="S338" s="1">
        <f t="shared" si="99"/>
        <v>0</v>
      </c>
      <c r="T338" s="1">
        <f t="shared" si="100"/>
        <v>0</v>
      </c>
      <c r="U338" s="1">
        <f t="shared" si="101"/>
        <v>0</v>
      </c>
      <c r="V338" s="1">
        <f t="shared" si="102"/>
        <v>0</v>
      </c>
      <c r="W338" s="1">
        <f t="shared" si="103"/>
        <v>0</v>
      </c>
      <c r="X338" s="1">
        <f t="shared" si="104"/>
        <v>0</v>
      </c>
      <c r="Y338" s="1">
        <f t="shared" si="105"/>
        <v>0</v>
      </c>
      <c r="Z338" s="1">
        <f t="shared" si="106"/>
        <v>0</v>
      </c>
      <c r="AA338" s="1">
        <f t="shared" si="107"/>
        <v>0</v>
      </c>
      <c r="AB338" s="1">
        <f t="shared" si="108"/>
        <v>0</v>
      </c>
      <c r="AD338" s="1">
        <f t="shared" si="109"/>
        <v>0</v>
      </c>
      <c r="AE338" s="1">
        <f t="shared" si="110"/>
        <v>1</v>
      </c>
      <c r="AF338" s="1">
        <f t="shared" si="111"/>
        <v>0</v>
      </c>
      <c r="AG338" s="1">
        <f t="shared" si="112"/>
        <v>1</v>
      </c>
      <c r="AH338" s="1">
        <f t="shared" si="113"/>
        <v>0</v>
      </c>
      <c r="AI338" s="1">
        <f t="shared" si="114"/>
        <v>1</v>
      </c>
    </row>
    <row r="339" spans="1:35" s="1" customFormat="1" ht="14.25" customHeight="1" x14ac:dyDescent="0.25">
      <c r="A339" s="37">
        <v>0</v>
      </c>
      <c r="B339" s="37">
        <v>2</v>
      </c>
      <c r="C339" s="37">
        <v>2</v>
      </c>
      <c r="D339" s="36" t="s">
        <v>2095</v>
      </c>
      <c r="E339" s="36" t="s">
        <v>2093</v>
      </c>
      <c r="F339" s="36" t="s">
        <v>2094</v>
      </c>
      <c r="G339" s="36" t="s">
        <v>256</v>
      </c>
      <c r="H339" s="36" t="s">
        <v>352</v>
      </c>
      <c r="I339" s="37" t="s">
        <v>30</v>
      </c>
      <c r="J339" s="37">
        <v>2</v>
      </c>
      <c r="K339" s="33" t="s">
        <v>694</v>
      </c>
      <c r="L339" s="33"/>
      <c r="M339" s="34"/>
      <c r="N339" s="34" t="s">
        <v>1693</v>
      </c>
      <c r="O339" s="35">
        <v>1</v>
      </c>
      <c r="P339" s="35">
        <v>1</v>
      </c>
      <c r="Q339" s="36"/>
      <c r="S339" s="1">
        <f t="shared" si="99"/>
        <v>0</v>
      </c>
      <c r="T339" s="1">
        <f t="shared" si="100"/>
        <v>1</v>
      </c>
      <c r="U339" s="1">
        <f t="shared" si="101"/>
        <v>0</v>
      </c>
      <c r="V339" s="1">
        <f t="shared" si="102"/>
        <v>0</v>
      </c>
      <c r="W339" s="1">
        <f t="shared" si="103"/>
        <v>0</v>
      </c>
      <c r="X339" s="1">
        <f t="shared" si="104"/>
        <v>0</v>
      </c>
      <c r="Y339" s="1">
        <f t="shared" si="105"/>
        <v>0</v>
      </c>
      <c r="Z339" s="1">
        <f t="shared" si="106"/>
        <v>0</v>
      </c>
      <c r="AA339" s="1">
        <f t="shared" si="107"/>
        <v>0</v>
      </c>
      <c r="AB339" s="1">
        <f t="shared" si="108"/>
        <v>0</v>
      </c>
      <c r="AD339" s="1">
        <f t="shared" si="109"/>
        <v>1</v>
      </c>
      <c r="AE339" s="1">
        <f t="shared" si="110"/>
        <v>0</v>
      </c>
      <c r="AF339" s="1">
        <f t="shared" si="111"/>
        <v>1</v>
      </c>
      <c r="AG339" s="1">
        <f t="shared" si="112"/>
        <v>0</v>
      </c>
      <c r="AH339" s="1">
        <f t="shared" si="113"/>
        <v>1</v>
      </c>
      <c r="AI339" s="1">
        <f t="shared" si="114"/>
        <v>0</v>
      </c>
    </row>
    <row r="340" spans="1:35" s="1" customFormat="1" ht="14.25" customHeight="1" x14ac:dyDescent="0.25">
      <c r="A340" s="31">
        <v>0</v>
      </c>
      <c r="B340" s="31">
        <v>2</v>
      </c>
      <c r="C340" s="31">
        <v>2</v>
      </c>
      <c r="D340" s="32" t="s">
        <v>1543</v>
      </c>
      <c r="E340" s="32" t="s">
        <v>1544</v>
      </c>
      <c r="F340" s="32" t="s">
        <v>1546</v>
      </c>
      <c r="G340" s="32" t="s">
        <v>1547</v>
      </c>
      <c r="H340" s="32" t="s">
        <v>352</v>
      </c>
      <c r="I340" s="31" t="s">
        <v>1545</v>
      </c>
      <c r="J340" s="31">
        <v>99</v>
      </c>
      <c r="K340" s="33" t="s">
        <v>694</v>
      </c>
      <c r="L340" s="33">
        <v>18</v>
      </c>
      <c r="M340" s="34" t="s">
        <v>1548</v>
      </c>
      <c r="N340" s="34" t="s">
        <v>1708</v>
      </c>
      <c r="O340" s="35">
        <v>1</v>
      </c>
      <c r="P340" s="35"/>
      <c r="Q340" s="32"/>
      <c r="S340" s="1">
        <f t="shared" ref="S340:S404" si="115">IF(J340=$S$7,1,0)</f>
        <v>0</v>
      </c>
      <c r="T340" s="1">
        <f t="shared" ref="T340:T404" si="116">IF(J340=$T$7,1,0)</f>
        <v>0</v>
      </c>
      <c r="U340" s="1">
        <f t="shared" ref="U340:U404" si="117">IF(J340=$U$7,1,0)</f>
        <v>0</v>
      </c>
      <c r="V340" s="1">
        <f t="shared" ref="V340:V404" si="118">IF(J340=$V$7,1,0)</f>
        <v>0</v>
      </c>
      <c r="W340" s="1">
        <f t="shared" ref="W340:W404" si="119">IF(J340=$W$7,1,0)</f>
        <v>0</v>
      </c>
      <c r="X340" s="1">
        <f t="shared" ref="X340:X404" si="120">IF(J340=$X$7,1,0)</f>
        <v>0</v>
      </c>
      <c r="Y340" s="1">
        <f t="shared" ref="Y340:Y404" si="121">IF(J340=$Y$7,1,0)</f>
        <v>0</v>
      </c>
      <c r="Z340" s="1">
        <f t="shared" ref="Z340:Z404" si="122">IF(J340=$Z$7,1,0)</f>
        <v>0</v>
      </c>
      <c r="AA340" s="1">
        <f t="shared" ref="AA340:AA404" si="123">IF(J340=$AA$7,1,0)</f>
        <v>0</v>
      </c>
      <c r="AB340" s="1">
        <f t="shared" ref="AB340:AB404" si="124">IF(J340=$AB$7,1,0)</f>
        <v>0</v>
      </c>
      <c r="AD340" s="1">
        <f t="shared" ref="AD340:AD404" si="125">+O340*P340</f>
        <v>0</v>
      </c>
      <c r="AE340" s="1">
        <f t="shared" ref="AE340:AE404" si="126">O340*(1-P340)</f>
        <v>1</v>
      </c>
      <c r="AF340" s="1">
        <f t="shared" si="111"/>
        <v>0</v>
      </c>
      <c r="AG340" s="1">
        <f t="shared" si="112"/>
        <v>1</v>
      </c>
      <c r="AH340" s="1">
        <f t="shared" si="113"/>
        <v>0</v>
      </c>
      <c r="AI340" s="1">
        <f t="shared" si="114"/>
        <v>1</v>
      </c>
    </row>
    <row r="341" spans="1:35" s="1" customFormat="1" ht="14.25" customHeight="1" x14ac:dyDescent="0.25">
      <c r="A341" s="31">
        <v>0</v>
      </c>
      <c r="B341" s="31">
        <v>2</v>
      </c>
      <c r="C341" s="31">
        <v>2</v>
      </c>
      <c r="D341" s="32" t="s">
        <v>64</v>
      </c>
      <c r="E341" s="32" t="s">
        <v>33</v>
      </c>
      <c r="F341" s="32" t="s">
        <v>240</v>
      </c>
      <c r="G341" s="32" t="s">
        <v>241</v>
      </c>
      <c r="H341" s="32" t="s">
        <v>352</v>
      </c>
      <c r="I341" s="31" t="s">
        <v>404</v>
      </c>
      <c r="J341" s="31">
        <v>1</v>
      </c>
      <c r="K341" s="33" t="s">
        <v>942</v>
      </c>
      <c r="L341" s="33" t="s">
        <v>707</v>
      </c>
      <c r="M341" s="34" t="s">
        <v>708</v>
      </c>
      <c r="N341" s="34" t="s">
        <v>1704</v>
      </c>
      <c r="O341" s="35">
        <v>1</v>
      </c>
      <c r="P341" s="35"/>
      <c r="Q341" s="32"/>
      <c r="S341" s="1">
        <f t="shared" si="115"/>
        <v>1</v>
      </c>
      <c r="T341" s="1">
        <f t="shared" si="116"/>
        <v>0</v>
      </c>
      <c r="U341" s="1">
        <f t="shared" si="117"/>
        <v>0</v>
      </c>
      <c r="V341" s="1">
        <f t="shared" si="118"/>
        <v>0</v>
      </c>
      <c r="W341" s="1">
        <f t="shared" si="119"/>
        <v>0</v>
      </c>
      <c r="X341" s="1">
        <f t="shared" si="120"/>
        <v>0</v>
      </c>
      <c r="Y341" s="1">
        <f t="shared" si="121"/>
        <v>0</v>
      </c>
      <c r="Z341" s="1">
        <f t="shared" si="122"/>
        <v>0</v>
      </c>
      <c r="AA341" s="1">
        <f t="shared" si="123"/>
        <v>0</v>
      </c>
      <c r="AB341" s="1">
        <f t="shared" si="124"/>
        <v>0</v>
      </c>
      <c r="AD341" s="1">
        <f t="shared" si="125"/>
        <v>0</v>
      </c>
      <c r="AE341" s="1">
        <f t="shared" si="126"/>
        <v>1</v>
      </c>
      <c r="AF341" s="1">
        <f t="shared" ref="AF341:AF405" si="127">+O341*P341*(1-A341)</f>
        <v>0</v>
      </c>
      <c r="AG341" s="1">
        <f t="shared" ref="AG341:AG405" si="128">O341*(1-P341)*(1-A341)</f>
        <v>1</v>
      </c>
      <c r="AH341" s="1">
        <f t="shared" ref="AH341:AH405" si="129">+P341*(1-A341)</f>
        <v>0</v>
      </c>
      <c r="AI341" s="1">
        <f t="shared" ref="AI341:AI405" si="130">+(1-A341)*(1-P341)</f>
        <v>1</v>
      </c>
    </row>
    <row r="342" spans="1:35" s="1" customFormat="1" ht="14.25" customHeight="1" x14ac:dyDescent="0.25">
      <c r="A342" s="31">
        <v>0</v>
      </c>
      <c r="B342" s="31">
        <v>2</v>
      </c>
      <c r="C342" s="31">
        <v>2</v>
      </c>
      <c r="D342" s="32" t="s">
        <v>62</v>
      </c>
      <c r="E342" s="32" t="s">
        <v>1067</v>
      </c>
      <c r="F342" s="32" t="s">
        <v>233</v>
      </c>
      <c r="G342" s="32" t="s">
        <v>234</v>
      </c>
      <c r="H342" s="32" t="s">
        <v>352</v>
      </c>
      <c r="I342" s="31" t="s">
        <v>1337</v>
      </c>
      <c r="J342" s="31">
        <v>99</v>
      </c>
      <c r="K342" s="33" t="s">
        <v>936</v>
      </c>
      <c r="L342" s="33" t="s">
        <v>707</v>
      </c>
      <c r="M342" s="34" t="s">
        <v>709</v>
      </c>
      <c r="N342" s="34" t="s">
        <v>1704</v>
      </c>
      <c r="O342" s="35">
        <v>1</v>
      </c>
      <c r="P342" s="35"/>
      <c r="Q342" s="32"/>
      <c r="S342" s="1">
        <f t="shared" si="115"/>
        <v>0</v>
      </c>
      <c r="T342" s="1">
        <f t="shared" si="116"/>
        <v>0</v>
      </c>
      <c r="U342" s="1">
        <f t="shared" si="117"/>
        <v>0</v>
      </c>
      <c r="V342" s="1">
        <f t="shared" si="118"/>
        <v>0</v>
      </c>
      <c r="W342" s="1">
        <f t="shared" si="119"/>
        <v>0</v>
      </c>
      <c r="X342" s="1">
        <f t="shared" si="120"/>
        <v>0</v>
      </c>
      <c r="Y342" s="1">
        <f t="shared" si="121"/>
        <v>0</v>
      </c>
      <c r="Z342" s="1">
        <f t="shared" si="122"/>
        <v>0</v>
      </c>
      <c r="AA342" s="1">
        <f t="shared" si="123"/>
        <v>0</v>
      </c>
      <c r="AB342" s="1">
        <f t="shared" si="124"/>
        <v>0</v>
      </c>
      <c r="AD342" s="1">
        <f t="shared" si="125"/>
        <v>0</v>
      </c>
      <c r="AE342" s="1">
        <f t="shared" si="126"/>
        <v>1</v>
      </c>
      <c r="AF342" s="1">
        <f t="shared" si="127"/>
        <v>0</v>
      </c>
      <c r="AG342" s="1">
        <f t="shared" si="128"/>
        <v>1</v>
      </c>
      <c r="AH342" s="1">
        <f t="shared" si="129"/>
        <v>0</v>
      </c>
      <c r="AI342" s="1">
        <f t="shared" si="130"/>
        <v>1</v>
      </c>
    </row>
    <row r="343" spans="1:35" s="1" customFormat="1" ht="14.25" customHeight="1" x14ac:dyDescent="0.25">
      <c r="A343" s="31">
        <v>0</v>
      </c>
      <c r="B343" s="31">
        <v>2</v>
      </c>
      <c r="C343" s="31">
        <v>2</v>
      </c>
      <c r="D343" s="32" t="s">
        <v>1682</v>
      </c>
      <c r="E343" s="32" t="s">
        <v>1684</v>
      </c>
      <c r="F343" s="32" t="s">
        <v>1683</v>
      </c>
      <c r="G343" s="32"/>
      <c r="H343" s="32" t="s">
        <v>352</v>
      </c>
      <c r="I343" s="31" t="s">
        <v>1685</v>
      </c>
      <c r="J343" s="31"/>
      <c r="K343" s="33" t="s">
        <v>694</v>
      </c>
      <c r="L343" s="33"/>
      <c r="M343" s="34"/>
      <c r="N343" s="34" t="s">
        <v>1693</v>
      </c>
      <c r="O343" s="35">
        <v>1</v>
      </c>
      <c r="P343" s="35">
        <v>1</v>
      </c>
      <c r="Q343" s="32"/>
      <c r="S343" s="1">
        <f t="shared" si="115"/>
        <v>0</v>
      </c>
      <c r="T343" s="1">
        <f t="shared" si="116"/>
        <v>0</v>
      </c>
      <c r="U343" s="1">
        <f t="shared" si="117"/>
        <v>0</v>
      </c>
      <c r="V343" s="1">
        <f t="shared" si="118"/>
        <v>0</v>
      </c>
      <c r="W343" s="1">
        <f t="shared" si="119"/>
        <v>0</v>
      </c>
      <c r="X343" s="1">
        <f t="shared" si="120"/>
        <v>0</v>
      </c>
      <c r="Y343" s="1">
        <f t="shared" si="121"/>
        <v>0</v>
      </c>
      <c r="Z343" s="1">
        <f t="shared" si="122"/>
        <v>0</v>
      </c>
      <c r="AA343" s="1">
        <f t="shared" si="123"/>
        <v>0</v>
      </c>
      <c r="AB343" s="1">
        <f t="shared" si="124"/>
        <v>0</v>
      </c>
      <c r="AD343" s="1">
        <f t="shared" si="125"/>
        <v>1</v>
      </c>
      <c r="AE343" s="1">
        <f t="shared" si="126"/>
        <v>0</v>
      </c>
      <c r="AF343" s="1">
        <f t="shared" si="127"/>
        <v>1</v>
      </c>
      <c r="AG343" s="1">
        <f t="shared" si="128"/>
        <v>0</v>
      </c>
      <c r="AH343" s="1">
        <f t="shared" si="129"/>
        <v>1</v>
      </c>
      <c r="AI343" s="1">
        <f t="shared" si="130"/>
        <v>0</v>
      </c>
    </row>
    <row r="344" spans="1:35" s="1" customFormat="1" ht="14.25" customHeight="1" x14ac:dyDescent="0.25">
      <c r="A344" s="31">
        <v>0</v>
      </c>
      <c r="B344" s="31">
        <v>2</v>
      </c>
      <c r="C344" s="31">
        <v>2</v>
      </c>
      <c r="D344" s="32" t="s">
        <v>772</v>
      </c>
      <c r="E344" s="32" t="s">
        <v>892</v>
      </c>
      <c r="F344" s="32" t="s">
        <v>1538</v>
      </c>
      <c r="G344" s="32" t="s">
        <v>229</v>
      </c>
      <c r="H344" s="32" t="s">
        <v>352</v>
      </c>
      <c r="I344" s="31" t="s">
        <v>1660</v>
      </c>
      <c r="J344" s="31">
        <v>7</v>
      </c>
      <c r="K344" s="33" t="s">
        <v>704</v>
      </c>
      <c r="L344" s="33">
        <v>20</v>
      </c>
      <c r="M344" s="34" t="s">
        <v>39</v>
      </c>
      <c r="N344" s="34" t="s">
        <v>1709</v>
      </c>
      <c r="O344" s="35">
        <v>1</v>
      </c>
      <c r="P344" s="35"/>
      <c r="Q344" s="32"/>
      <c r="S344" s="1">
        <f t="shared" si="115"/>
        <v>0</v>
      </c>
      <c r="T344" s="1">
        <f t="shared" si="116"/>
        <v>0</v>
      </c>
      <c r="U344" s="1">
        <f t="shared" si="117"/>
        <v>0</v>
      </c>
      <c r="V344" s="1">
        <f t="shared" si="118"/>
        <v>0</v>
      </c>
      <c r="W344" s="1">
        <f t="shared" si="119"/>
        <v>0</v>
      </c>
      <c r="X344" s="1">
        <f t="shared" si="120"/>
        <v>0</v>
      </c>
      <c r="Y344" s="1">
        <f t="shared" si="121"/>
        <v>1</v>
      </c>
      <c r="Z344" s="1">
        <f t="shared" si="122"/>
        <v>0</v>
      </c>
      <c r="AA344" s="1">
        <f t="shared" si="123"/>
        <v>0</v>
      </c>
      <c r="AB344" s="1">
        <f t="shared" si="124"/>
        <v>0</v>
      </c>
      <c r="AD344" s="1">
        <f t="shared" si="125"/>
        <v>0</v>
      </c>
      <c r="AE344" s="1">
        <f t="shared" si="126"/>
        <v>1</v>
      </c>
      <c r="AF344" s="1">
        <f t="shared" si="127"/>
        <v>0</v>
      </c>
      <c r="AG344" s="1">
        <f t="shared" si="128"/>
        <v>1</v>
      </c>
      <c r="AH344" s="1">
        <f t="shared" si="129"/>
        <v>0</v>
      </c>
      <c r="AI344" s="1">
        <f t="shared" si="130"/>
        <v>1</v>
      </c>
    </row>
    <row r="345" spans="1:35" s="1" customFormat="1" ht="14.25" customHeight="1" x14ac:dyDescent="0.25">
      <c r="A345" s="31">
        <v>0</v>
      </c>
      <c r="B345" s="31">
        <v>2</v>
      </c>
      <c r="C345" s="31">
        <v>2</v>
      </c>
      <c r="D345" s="32" t="s">
        <v>837</v>
      </c>
      <c r="E345" s="32" t="s">
        <v>537</v>
      </c>
      <c r="F345" s="32" t="s">
        <v>839</v>
      </c>
      <c r="G345" s="32" t="s">
        <v>219</v>
      </c>
      <c r="H345" s="32" t="s">
        <v>352</v>
      </c>
      <c r="I345" s="31" t="s">
        <v>840</v>
      </c>
      <c r="J345" s="31">
        <v>8</v>
      </c>
      <c r="K345" s="33" t="s">
        <v>704</v>
      </c>
      <c r="L345" s="33" t="s">
        <v>707</v>
      </c>
      <c r="M345" s="34" t="s">
        <v>1383</v>
      </c>
      <c r="N345" s="34" t="s">
        <v>1704</v>
      </c>
      <c r="O345" s="35">
        <v>1</v>
      </c>
      <c r="P345" s="35"/>
      <c r="Q345" s="32"/>
      <c r="S345" s="1">
        <f t="shared" si="115"/>
        <v>0</v>
      </c>
      <c r="T345" s="1">
        <f t="shared" si="116"/>
        <v>0</v>
      </c>
      <c r="U345" s="1">
        <f t="shared" si="117"/>
        <v>0</v>
      </c>
      <c r="V345" s="1">
        <f t="shared" si="118"/>
        <v>0</v>
      </c>
      <c r="W345" s="1">
        <f t="shared" si="119"/>
        <v>0</v>
      </c>
      <c r="X345" s="1">
        <f t="shared" si="120"/>
        <v>0</v>
      </c>
      <c r="Y345" s="1">
        <f t="shared" si="121"/>
        <v>0</v>
      </c>
      <c r="Z345" s="1">
        <f t="shared" si="122"/>
        <v>1</v>
      </c>
      <c r="AA345" s="1">
        <f t="shared" si="123"/>
        <v>0</v>
      </c>
      <c r="AB345" s="1">
        <f t="shared" si="124"/>
        <v>0</v>
      </c>
      <c r="AD345" s="1">
        <f t="shared" si="125"/>
        <v>0</v>
      </c>
      <c r="AE345" s="1">
        <f t="shared" si="126"/>
        <v>1</v>
      </c>
      <c r="AF345" s="1">
        <f t="shared" si="127"/>
        <v>0</v>
      </c>
      <c r="AG345" s="1">
        <f t="shared" si="128"/>
        <v>1</v>
      </c>
      <c r="AH345" s="1">
        <f t="shared" si="129"/>
        <v>0</v>
      </c>
      <c r="AI345" s="1">
        <f t="shared" si="130"/>
        <v>1</v>
      </c>
    </row>
    <row r="346" spans="1:35" s="1" customFormat="1" ht="14.25" customHeight="1" x14ac:dyDescent="0.25">
      <c r="A346" s="31">
        <v>1</v>
      </c>
      <c r="B346" s="31">
        <v>2</v>
      </c>
      <c r="C346" s="31">
        <v>2</v>
      </c>
      <c r="D346" s="32" t="s">
        <v>837</v>
      </c>
      <c r="E346" s="32" t="s">
        <v>537</v>
      </c>
      <c r="F346" s="32" t="s">
        <v>1326</v>
      </c>
      <c r="G346" s="32" t="s">
        <v>193</v>
      </c>
      <c r="H346" s="32" t="s">
        <v>352</v>
      </c>
      <c r="I346" s="31" t="s">
        <v>838</v>
      </c>
      <c r="J346" s="31">
        <v>9</v>
      </c>
      <c r="K346" s="33" t="s">
        <v>704</v>
      </c>
      <c r="L346" s="33" t="s">
        <v>707</v>
      </c>
      <c r="M346" s="34" t="s">
        <v>1383</v>
      </c>
      <c r="N346" s="34" t="s">
        <v>1704</v>
      </c>
      <c r="O346" s="35">
        <v>1</v>
      </c>
      <c r="P346" s="35"/>
      <c r="Q346" s="32"/>
      <c r="S346" s="1">
        <f t="shared" si="115"/>
        <v>0</v>
      </c>
      <c r="T346" s="1">
        <f t="shared" si="116"/>
        <v>0</v>
      </c>
      <c r="U346" s="1">
        <f t="shared" si="117"/>
        <v>0</v>
      </c>
      <c r="V346" s="1">
        <f t="shared" si="118"/>
        <v>0</v>
      </c>
      <c r="W346" s="1">
        <f t="shared" si="119"/>
        <v>0</v>
      </c>
      <c r="X346" s="1">
        <f t="shared" si="120"/>
        <v>0</v>
      </c>
      <c r="Y346" s="1">
        <f t="shared" si="121"/>
        <v>0</v>
      </c>
      <c r="Z346" s="1">
        <f t="shared" si="122"/>
        <v>0</v>
      </c>
      <c r="AA346" s="1">
        <f t="shared" si="123"/>
        <v>1</v>
      </c>
      <c r="AB346" s="1">
        <f t="shared" si="124"/>
        <v>0</v>
      </c>
      <c r="AD346" s="1">
        <f t="shared" si="125"/>
        <v>0</v>
      </c>
      <c r="AE346" s="1">
        <f t="shared" si="126"/>
        <v>1</v>
      </c>
      <c r="AF346" s="1">
        <f t="shared" si="127"/>
        <v>0</v>
      </c>
      <c r="AG346" s="1">
        <f t="shared" si="128"/>
        <v>0</v>
      </c>
      <c r="AH346" s="1">
        <f t="shared" si="129"/>
        <v>0</v>
      </c>
      <c r="AI346" s="1">
        <f t="shared" si="130"/>
        <v>0</v>
      </c>
    </row>
    <row r="347" spans="1:35" s="1" customFormat="1" ht="14.25" customHeight="1" x14ac:dyDescent="0.25">
      <c r="A347" s="31">
        <v>0</v>
      </c>
      <c r="B347" s="31">
        <v>2</v>
      </c>
      <c r="C347" s="31">
        <v>2</v>
      </c>
      <c r="D347" s="32" t="s">
        <v>901</v>
      </c>
      <c r="E347" s="32" t="s">
        <v>770</v>
      </c>
      <c r="F347" s="32" t="s">
        <v>771</v>
      </c>
      <c r="G347" s="32" t="s">
        <v>229</v>
      </c>
      <c r="H347" s="32" t="s">
        <v>352</v>
      </c>
      <c r="I347" s="31" t="s">
        <v>773</v>
      </c>
      <c r="J347" s="31">
        <v>7</v>
      </c>
      <c r="K347" s="33" t="s">
        <v>703</v>
      </c>
      <c r="L347" s="33">
        <v>15</v>
      </c>
      <c r="M347" s="34" t="s">
        <v>39</v>
      </c>
      <c r="N347" s="34" t="s">
        <v>1704</v>
      </c>
      <c r="O347" s="35">
        <v>1</v>
      </c>
      <c r="P347" s="35"/>
      <c r="Q347" s="32"/>
      <c r="S347" s="1">
        <f t="shared" si="115"/>
        <v>0</v>
      </c>
      <c r="T347" s="1">
        <f t="shared" si="116"/>
        <v>0</v>
      </c>
      <c r="U347" s="1">
        <f t="shared" si="117"/>
        <v>0</v>
      </c>
      <c r="V347" s="1">
        <f t="shared" si="118"/>
        <v>0</v>
      </c>
      <c r="W347" s="1">
        <f t="shared" si="119"/>
        <v>0</v>
      </c>
      <c r="X347" s="1">
        <f t="shared" si="120"/>
        <v>0</v>
      </c>
      <c r="Y347" s="1">
        <f t="shared" si="121"/>
        <v>1</v>
      </c>
      <c r="Z347" s="1">
        <f t="shared" si="122"/>
        <v>0</v>
      </c>
      <c r="AA347" s="1">
        <f t="shared" si="123"/>
        <v>0</v>
      </c>
      <c r="AB347" s="1">
        <f t="shared" si="124"/>
        <v>0</v>
      </c>
      <c r="AD347" s="1">
        <f t="shared" si="125"/>
        <v>0</v>
      </c>
      <c r="AE347" s="1">
        <f t="shared" si="126"/>
        <v>1</v>
      </c>
      <c r="AF347" s="1">
        <f t="shared" si="127"/>
        <v>0</v>
      </c>
      <c r="AG347" s="1">
        <f t="shared" si="128"/>
        <v>1</v>
      </c>
      <c r="AH347" s="1">
        <f t="shared" si="129"/>
        <v>0</v>
      </c>
      <c r="AI347" s="1">
        <f t="shared" si="130"/>
        <v>1</v>
      </c>
    </row>
    <row r="348" spans="1:35" s="1" customFormat="1" ht="14.25" customHeight="1" x14ac:dyDescent="0.25">
      <c r="A348" s="31">
        <v>0</v>
      </c>
      <c r="B348" s="31">
        <v>2</v>
      </c>
      <c r="C348" s="31">
        <v>2</v>
      </c>
      <c r="D348" s="32" t="s">
        <v>83</v>
      </c>
      <c r="E348" s="32" t="s">
        <v>156</v>
      </c>
      <c r="F348" s="32" t="s">
        <v>1831</v>
      </c>
      <c r="G348" s="32" t="s">
        <v>208</v>
      </c>
      <c r="H348" s="32" t="s">
        <v>352</v>
      </c>
      <c r="I348" s="31" t="s">
        <v>430</v>
      </c>
      <c r="J348" s="31">
        <v>99</v>
      </c>
      <c r="K348" s="33" t="s">
        <v>935</v>
      </c>
      <c r="L348" s="33" t="s">
        <v>695</v>
      </c>
      <c r="M348" s="34" t="s">
        <v>710</v>
      </c>
      <c r="N348" s="34" t="s">
        <v>1704</v>
      </c>
      <c r="O348" s="35">
        <v>1</v>
      </c>
      <c r="P348" s="35"/>
      <c r="Q348" s="32"/>
      <c r="S348" s="1">
        <f t="shared" si="115"/>
        <v>0</v>
      </c>
      <c r="T348" s="1">
        <f t="shared" si="116"/>
        <v>0</v>
      </c>
      <c r="U348" s="1">
        <f t="shared" si="117"/>
        <v>0</v>
      </c>
      <c r="V348" s="1">
        <f t="shared" si="118"/>
        <v>0</v>
      </c>
      <c r="W348" s="1">
        <f t="shared" si="119"/>
        <v>0</v>
      </c>
      <c r="X348" s="1">
        <f t="shared" si="120"/>
        <v>0</v>
      </c>
      <c r="Y348" s="1">
        <f t="shared" si="121"/>
        <v>0</v>
      </c>
      <c r="Z348" s="1">
        <f t="shared" si="122"/>
        <v>0</v>
      </c>
      <c r="AA348" s="1">
        <f t="shared" si="123"/>
        <v>0</v>
      </c>
      <c r="AB348" s="1">
        <f t="shared" si="124"/>
        <v>0</v>
      </c>
      <c r="AD348" s="1">
        <f t="shared" si="125"/>
        <v>0</v>
      </c>
      <c r="AE348" s="1">
        <f t="shared" si="126"/>
        <v>1</v>
      </c>
      <c r="AF348" s="1">
        <f t="shared" si="127"/>
        <v>0</v>
      </c>
      <c r="AG348" s="1">
        <f t="shared" si="128"/>
        <v>1</v>
      </c>
      <c r="AH348" s="1">
        <f t="shared" si="129"/>
        <v>0</v>
      </c>
      <c r="AI348" s="1">
        <f t="shared" si="130"/>
        <v>1</v>
      </c>
    </row>
    <row r="349" spans="1:35" s="1" customFormat="1" ht="14.25" customHeight="1" x14ac:dyDescent="0.25">
      <c r="A349" s="31">
        <v>0</v>
      </c>
      <c r="B349" s="31">
        <v>2</v>
      </c>
      <c r="C349" s="31">
        <v>2</v>
      </c>
      <c r="D349" s="32" t="s">
        <v>1531</v>
      </c>
      <c r="E349" s="32" t="s">
        <v>1308</v>
      </c>
      <c r="F349" s="32" t="s">
        <v>1532</v>
      </c>
      <c r="G349" s="32" t="s">
        <v>1144</v>
      </c>
      <c r="H349" s="32" t="s">
        <v>352</v>
      </c>
      <c r="I349" s="31" t="s">
        <v>1533</v>
      </c>
      <c r="J349" s="31">
        <v>1</v>
      </c>
      <c r="K349" s="33" t="s">
        <v>704</v>
      </c>
      <c r="L349" s="33" t="s">
        <v>39</v>
      </c>
      <c r="M349" s="34" t="s">
        <v>39</v>
      </c>
      <c r="N349" s="34" t="s">
        <v>1693</v>
      </c>
      <c r="O349" s="35">
        <v>1</v>
      </c>
      <c r="P349" s="35">
        <v>1</v>
      </c>
      <c r="Q349" s="32"/>
      <c r="S349" s="1">
        <f t="shared" si="115"/>
        <v>1</v>
      </c>
      <c r="T349" s="1">
        <f t="shared" si="116"/>
        <v>0</v>
      </c>
      <c r="U349" s="1">
        <f t="shared" si="117"/>
        <v>0</v>
      </c>
      <c r="V349" s="1">
        <f t="shared" si="118"/>
        <v>0</v>
      </c>
      <c r="W349" s="1">
        <f t="shared" si="119"/>
        <v>0</v>
      </c>
      <c r="X349" s="1">
        <f t="shared" si="120"/>
        <v>0</v>
      </c>
      <c r="Y349" s="1">
        <f t="shared" si="121"/>
        <v>0</v>
      </c>
      <c r="Z349" s="1">
        <f t="shared" si="122"/>
        <v>0</v>
      </c>
      <c r="AA349" s="1">
        <f t="shared" si="123"/>
        <v>0</v>
      </c>
      <c r="AB349" s="1">
        <f t="shared" si="124"/>
        <v>0</v>
      </c>
      <c r="AD349" s="1">
        <f t="shared" si="125"/>
        <v>1</v>
      </c>
      <c r="AE349" s="1">
        <f t="shared" si="126"/>
        <v>0</v>
      </c>
      <c r="AF349" s="1">
        <f t="shared" si="127"/>
        <v>1</v>
      </c>
      <c r="AG349" s="1">
        <f t="shared" si="128"/>
        <v>0</v>
      </c>
      <c r="AH349" s="1">
        <f t="shared" si="129"/>
        <v>1</v>
      </c>
      <c r="AI349" s="1">
        <f t="shared" si="130"/>
        <v>0</v>
      </c>
    </row>
    <row r="350" spans="1:35" s="1" customFormat="1" ht="14.25" customHeight="1" x14ac:dyDescent="0.25">
      <c r="A350" s="31">
        <v>0</v>
      </c>
      <c r="B350" s="31">
        <v>2</v>
      </c>
      <c r="C350" s="31">
        <v>2</v>
      </c>
      <c r="D350" s="32" t="s">
        <v>1705</v>
      </c>
      <c r="E350" s="32" t="s">
        <v>27</v>
      </c>
      <c r="F350" s="32" t="s">
        <v>1025</v>
      </c>
      <c r="G350" s="32" t="s">
        <v>219</v>
      </c>
      <c r="H350" s="32" t="s">
        <v>352</v>
      </c>
      <c r="I350" s="31" t="s">
        <v>1026</v>
      </c>
      <c r="J350" s="31">
        <v>8</v>
      </c>
      <c r="K350" s="33" t="s">
        <v>704</v>
      </c>
      <c r="L350" s="33">
        <v>25</v>
      </c>
      <c r="M350" s="34" t="s">
        <v>1706</v>
      </c>
      <c r="N350" s="34" t="s">
        <v>1693</v>
      </c>
      <c r="O350" s="35">
        <v>1</v>
      </c>
      <c r="P350" s="35">
        <v>1</v>
      </c>
      <c r="Q350" s="32"/>
      <c r="S350" s="1">
        <f t="shared" si="115"/>
        <v>0</v>
      </c>
      <c r="T350" s="1">
        <f t="shared" si="116"/>
        <v>0</v>
      </c>
      <c r="U350" s="1">
        <f t="shared" si="117"/>
        <v>0</v>
      </c>
      <c r="V350" s="1">
        <f t="shared" si="118"/>
        <v>0</v>
      </c>
      <c r="W350" s="1">
        <f t="shared" si="119"/>
        <v>0</v>
      </c>
      <c r="X350" s="1">
        <f t="shared" si="120"/>
        <v>0</v>
      </c>
      <c r="Y350" s="1">
        <f t="shared" si="121"/>
        <v>0</v>
      </c>
      <c r="Z350" s="1">
        <f t="shared" si="122"/>
        <v>1</v>
      </c>
      <c r="AA350" s="1">
        <f t="shared" si="123"/>
        <v>0</v>
      </c>
      <c r="AB350" s="1">
        <f t="shared" si="124"/>
        <v>0</v>
      </c>
      <c r="AD350" s="1">
        <f t="shared" si="125"/>
        <v>1</v>
      </c>
      <c r="AE350" s="1">
        <f t="shared" si="126"/>
        <v>0</v>
      </c>
      <c r="AF350" s="1">
        <f t="shared" si="127"/>
        <v>1</v>
      </c>
      <c r="AG350" s="1">
        <f t="shared" si="128"/>
        <v>0</v>
      </c>
      <c r="AH350" s="1">
        <f t="shared" si="129"/>
        <v>1</v>
      </c>
      <c r="AI350" s="1">
        <f t="shared" si="130"/>
        <v>0</v>
      </c>
    </row>
    <row r="351" spans="1:35" s="1" customFormat="1" ht="14.25" customHeight="1" x14ac:dyDescent="0.25">
      <c r="A351" s="31">
        <v>0</v>
      </c>
      <c r="B351" s="31">
        <v>2</v>
      </c>
      <c r="C351" s="31">
        <v>2</v>
      </c>
      <c r="D351" s="32" t="s">
        <v>45</v>
      </c>
      <c r="E351" s="32" t="s">
        <v>44</v>
      </c>
      <c r="F351" s="32" t="s">
        <v>661</v>
      </c>
      <c r="G351" s="32" t="s">
        <v>179</v>
      </c>
      <c r="H351" s="32" t="s">
        <v>352</v>
      </c>
      <c r="I351" s="31" t="s">
        <v>931</v>
      </c>
      <c r="J351" s="31">
        <v>10</v>
      </c>
      <c r="K351" s="33" t="s">
        <v>704</v>
      </c>
      <c r="L351" s="33" t="s">
        <v>711</v>
      </c>
      <c r="M351" s="34" t="s">
        <v>712</v>
      </c>
      <c r="N351" s="34" t="s">
        <v>1693</v>
      </c>
      <c r="O351" s="35">
        <v>1</v>
      </c>
      <c r="P351" s="35">
        <v>1</v>
      </c>
      <c r="Q351" s="32"/>
      <c r="S351" s="1">
        <f t="shared" si="115"/>
        <v>0</v>
      </c>
      <c r="T351" s="1">
        <f t="shared" si="116"/>
        <v>0</v>
      </c>
      <c r="U351" s="1">
        <f t="shared" si="117"/>
        <v>0</v>
      </c>
      <c r="V351" s="1">
        <f t="shared" si="118"/>
        <v>0</v>
      </c>
      <c r="W351" s="1">
        <f t="shared" si="119"/>
        <v>0</v>
      </c>
      <c r="X351" s="1">
        <f t="shared" si="120"/>
        <v>0</v>
      </c>
      <c r="Y351" s="1">
        <f t="shared" si="121"/>
        <v>0</v>
      </c>
      <c r="Z351" s="1">
        <f t="shared" si="122"/>
        <v>0</v>
      </c>
      <c r="AA351" s="1">
        <f t="shared" si="123"/>
        <v>0</v>
      </c>
      <c r="AB351" s="1">
        <f t="shared" si="124"/>
        <v>1</v>
      </c>
      <c r="AD351" s="1">
        <f t="shared" si="125"/>
        <v>1</v>
      </c>
      <c r="AE351" s="1">
        <f t="shared" si="126"/>
        <v>0</v>
      </c>
      <c r="AF351" s="1">
        <f t="shared" si="127"/>
        <v>1</v>
      </c>
      <c r="AG351" s="1">
        <f t="shared" si="128"/>
        <v>0</v>
      </c>
      <c r="AH351" s="1">
        <f t="shared" si="129"/>
        <v>1</v>
      </c>
      <c r="AI351" s="1">
        <f t="shared" si="130"/>
        <v>0</v>
      </c>
    </row>
    <row r="352" spans="1:35" s="1" customFormat="1" ht="14.25" customHeight="1" x14ac:dyDescent="0.25">
      <c r="A352" s="31">
        <v>0</v>
      </c>
      <c r="B352" s="31">
        <v>2</v>
      </c>
      <c r="C352" s="31">
        <v>2</v>
      </c>
      <c r="D352" s="32" t="s">
        <v>1417</v>
      </c>
      <c r="E352" s="32" t="s">
        <v>1620</v>
      </c>
      <c r="F352" s="32" t="s">
        <v>1635</v>
      </c>
      <c r="G352" s="32" t="s">
        <v>229</v>
      </c>
      <c r="H352" s="32" t="s">
        <v>352</v>
      </c>
      <c r="I352" s="31" t="s">
        <v>1418</v>
      </c>
      <c r="J352" s="31">
        <v>99</v>
      </c>
      <c r="K352" s="33" t="s">
        <v>936</v>
      </c>
      <c r="L352" s="33">
        <v>20</v>
      </c>
      <c r="M352" s="34" t="s">
        <v>39</v>
      </c>
      <c r="N352" s="34" t="s">
        <v>1693</v>
      </c>
      <c r="O352" s="35">
        <v>1</v>
      </c>
      <c r="P352" s="35">
        <v>1</v>
      </c>
      <c r="Q352" s="32"/>
      <c r="S352" s="1">
        <f t="shared" si="115"/>
        <v>0</v>
      </c>
      <c r="T352" s="1">
        <f t="shared" si="116"/>
        <v>0</v>
      </c>
      <c r="U352" s="1">
        <f t="shared" si="117"/>
        <v>0</v>
      </c>
      <c r="V352" s="1">
        <f t="shared" si="118"/>
        <v>0</v>
      </c>
      <c r="W352" s="1">
        <f t="shared" si="119"/>
        <v>0</v>
      </c>
      <c r="X352" s="1">
        <f t="shared" si="120"/>
        <v>0</v>
      </c>
      <c r="Y352" s="1">
        <f t="shared" si="121"/>
        <v>0</v>
      </c>
      <c r="Z352" s="1">
        <f t="shared" si="122"/>
        <v>0</v>
      </c>
      <c r="AA352" s="1">
        <f t="shared" si="123"/>
        <v>0</v>
      </c>
      <c r="AB352" s="1">
        <f t="shared" si="124"/>
        <v>0</v>
      </c>
      <c r="AD352" s="1">
        <f t="shared" si="125"/>
        <v>1</v>
      </c>
      <c r="AE352" s="1">
        <f t="shared" si="126"/>
        <v>0</v>
      </c>
      <c r="AF352" s="1">
        <f t="shared" si="127"/>
        <v>1</v>
      </c>
      <c r="AG352" s="1">
        <f t="shared" si="128"/>
        <v>0</v>
      </c>
      <c r="AH352" s="1">
        <f t="shared" si="129"/>
        <v>1</v>
      </c>
      <c r="AI352" s="1">
        <f t="shared" si="130"/>
        <v>0</v>
      </c>
    </row>
    <row r="353" spans="1:35" s="1" customFormat="1" ht="14.25" customHeight="1" x14ac:dyDescent="0.25">
      <c r="A353" s="59">
        <v>0</v>
      </c>
      <c r="B353" s="59">
        <v>2</v>
      </c>
      <c r="C353" s="59">
        <v>2</v>
      </c>
      <c r="D353" s="49" t="s">
        <v>1946</v>
      </c>
      <c r="E353" s="49" t="s">
        <v>2030</v>
      </c>
      <c r="F353" s="49" t="s">
        <v>1947</v>
      </c>
      <c r="G353" s="49" t="s">
        <v>178</v>
      </c>
      <c r="H353" s="49" t="s">
        <v>352</v>
      </c>
      <c r="I353" s="59" t="s">
        <v>1948</v>
      </c>
      <c r="J353" s="59"/>
      <c r="K353" s="59" t="s">
        <v>694</v>
      </c>
      <c r="L353" s="59"/>
      <c r="M353" s="49"/>
      <c r="N353" s="49"/>
      <c r="O353" s="60"/>
      <c r="P353" s="60">
        <v>1</v>
      </c>
      <c r="Q353" s="49"/>
      <c r="S353" s="1">
        <f t="shared" si="115"/>
        <v>0</v>
      </c>
      <c r="T353" s="1">
        <f t="shared" si="116"/>
        <v>0</v>
      </c>
      <c r="U353" s="1">
        <f t="shared" si="117"/>
        <v>0</v>
      </c>
      <c r="V353" s="1">
        <f t="shared" si="118"/>
        <v>0</v>
      </c>
      <c r="W353" s="1">
        <f t="shared" si="119"/>
        <v>0</v>
      </c>
      <c r="X353" s="1">
        <f t="shared" si="120"/>
        <v>0</v>
      </c>
      <c r="Y353" s="1">
        <f t="shared" si="121"/>
        <v>0</v>
      </c>
      <c r="Z353" s="1">
        <f t="shared" si="122"/>
        <v>0</v>
      </c>
      <c r="AA353" s="1">
        <f t="shared" si="123"/>
        <v>0</v>
      </c>
      <c r="AB353" s="1">
        <f t="shared" si="124"/>
        <v>0</v>
      </c>
      <c r="AD353" s="1">
        <f t="shared" si="125"/>
        <v>0</v>
      </c>
      <c r="AE353" s="1">
        <f t="shared" si="126"/>
        <v>0</v>
      </c>
      <c r="AF353" s="1">
        <f t="shared" si="127"/>
        <v>0</v>
      </c>
      <c r="AG353" s="1">
        <f t="shared" si="128"/>
        <v>0</v>
      </c>
      <c r="AH353" s="1">
        <f t="shared" si="129"/>
        <v>1</v>
      </c>
      <c r="AI353" s="1">
        <f t="shared" si="130"/>
        <v>0</v>
      </c>
    </row>
    <row r="354" spans="1:35" s="1" customFormat="1" ht="14.25" customHeight="1" x14ac:dyDescent="0.25">
      <c r="A354" s="31">
        <v>0</v>
      </c>
      <c r="B354" s="31">
        <v>2</v>
      </c>
      <c r="C354" s="31">
        <v>2</v>
      </c>
      <c r="D354" s="32" t="s">
        <v>598</v>
      </c>
      <c r="E354" s="32" t="s">
        <v>599</v>
      </c>
      <c r="F354" s="32" t="s">
        <v>600</v>
      </c>
      <c r="G354" s="32" t="s">
        <v>256</v>
      </c>
      <c r="H354" s="32" t="s">
        <v>352</v>
      </c>
      <c r="I354" s="31" t="s">
        <v>601</v>
      </c>
      <c r="J354" s="31">
        <v>99</v>
      </c>
      <c r="K354" s="33" t="s">
        <v>936</v>
      </c>
      <c r="L354" s="33" t="s">
        <v>695</v>
      </c>
      <c r="M354" s="34" t="s">
        <v>1384</v>
      </c>
      <c r="N354" s="34" t="s">
        <v>1704</v>
      </c>
      <c r="O354" s="35">
        <v>1</v>
      </c>
      <c r="P354" s="35"/>
      <c r="Q354" s="32"/>
      <c r="S354" s="1">
        <f t="shared" si="115"/>
        <v>0</v>
      </c>
      <c r="T354" s="1">
        <f t="shared" si="116"/>
        <v>0</v>
      </c>
      <c r="U354" s="1">
        <f t="shared" si="117"/>
        <v>0</v>
      </c>
      <c r="V354" s="1">
        <f t="shared" si="118"/>
        <v>0</v>
      </c>
      <c r="W354" s="1">
        <f t="shared" si="119"/>
        <v>0</v>
      </c>
      <c r="X354" s="1">
        <f t="shared" si="120"/>
        <v>0</v>
      </c>
      <c r="Y354" s="1">
        <f t="shared" si="121"/>
        <v>0</v>
      </c>
      <c r="Z354" s="1">
        <f t="shared" si="122"/>
        <v>0</v>
      </c>
      <c r="AA354" s="1">
        <f t="shared" si="123"/>
        <v>0</v>
      </c>
      <c r="AB354" s="1">
        <f t="shared" si="124"/>
        <v>0</v>
      </c>
      <c r="AD354" s="1">
        <f t="shared" si="125"/>
        <v>0</v>
      </c>
      <c r="AE354" s="1">
        <f t="shared" si="126"/>
        <v>1</v>
      </c>
      <c r="AF354" s="1">
        <f t="shared" si="127"/>
        <v>0</v>
      </c>
      <c r="AG354" s="1">
        <f t="shared" si="128"/>
        <v>1</v>
      </c>
      <c r="AH354" s="1">
        <f t="shared" si="129"/>
        <v>0</v>
      </c>
      <c r="AI354" s="1">
        <f t="shared" si="130"/>
        <v>1</v>
      </c>
    </row>
    <row r="355" spans="1:35" s="1" customFormat="1" ht="14.25" customHeight="1" x14ac:dyDescent="0.25">
      <c r="A355" s="31">
        <v>0</v>
      </c>
      <c r="B355" s="31">
        <v>2</v>
      </c>
      <c r="C355" s="31">
        <v>2</v>
      </c>
      <c r="D355" s="32" t="s">
        <v>1883</v>
      </c>
      <c r="E355" s="32" t="s">
        <v>1884</v>
      </c>
      <c r="F355" s="32" t="s">
        <v>1885</v>
      </c>
      <c r="G355" s="32" t="s">
        <v>183</v>
      </c>
      <c r="H355" s="32" t="s">
        <v>352</v>
      </c>
      <c r="I355" s="31" t="s">
        <v>1887</v>
      </c>
      <c r="J355" s="31">
        <v>99</v>
      </c>
      <c r="K355" s="33" t="s">
        <v>694</v>
      </c>
      <c r="L355" s="33"/>
      <c r="M355" s="34"/>
      <c r="N355" s="34" t="s">
        <v>1693</v>
      </c>
      <c r="O355" s="35">
        <v>1</v>
      </c>
      <c r="P355" s="35">
        <v>1</v>
      </c>
      <c r="Q355" s="32" t="s">
        <v>1886</v>
      </c>
      <c r="S355" s="1">
        <f t="shared" si="115"/>
        <v>0</v>
      </c>
      <c r="T355" s="1">
        <f t="shared" si="116"/>
        <v>0</v>
      </c>
      <c r="U355" s="1">
        <f t="shared" si="117"/>
        <v>0</v>
      </c>
      <c r="V355" s="1">
        <f t="shared" si="118"/>
        <v>0</v>
      </c>
      <c r="W355" s="1">
        <f t="shared" si="119"/>
        <v>0</v>
      </c>
      <c r="X355" s="1">
        <f t="shared" si="120"/>
        <v>0</v>
      </c>
      <c r="Y355" s="1">
        <f t="shared" si="121"/>
        <v>0</v>
      </c>
      <c r="Z355" s="1">
        <f t="shared" si="122"/>
        <v>0</v>
      </c>
      <c r="AA355" s="1">
        <f t="shared" si="123"/>
        <v>0</v>
      </c>
      <c r="AB355" s="1">
        <f t="shared" si="124"/>
        <v>0</v>
      </c>
      <c r="AD355" s="1">
        <f t="shared" si="125"/>
        <v>1</v>
      </c>
      <c r="AE355" s="1">
        <f t="shared" si="126"/>
        <v>0</v>
      </c>
      <c r="AF355" s="1">
        <f t="shared" si="127"/>
        <v>1</v>
      </c>
      <c r="AG355" s="1">
        <f t="shared" si="128"/>
        <v>0</v>
      </c>
      <c r="AH355" s="1">
        <f t="shared" si="129"/>
        <v>1</v>
      </c>
      <c r="AI355" s="1">
        <f t="shared" si="130"/>
        <v>0</v>
      </c>
    </row>
    <row r="356" spans="1:35" s="1" customFormat="1" ht="14.25" customHeight="1" x14ac:dyDescent="0.25">
      <c r="A356" s="31">
        <v>0</v>
      </c>
      <c r="B356" s="31">
        <v>2</v>
      </c>
      <c r="C356" s="31">
        <v>2</v>
      </c>
      <c r="D356" s="32" t="s">
        <v>1610</v>
      </c>
      <c r="E356" s="32" t="s">
        <v>1146</v>
      </c>
      <c r="F356" s="32" t="s">
        <v>1641</v>
      </c>
      <c r="G356" s="32" t="s">
        <v>179</v>
      </c>
      <c r="H356" s="32" t="s">
        <v>352</v>
      </c>
      <c r="I356" s="31" t="s">
        <v>1463</v>
      </c>
      <c r="J356" s="31">
        <v>10</v>
      </c>
      <c r="K356" s="33" t="s">
        <v>703</v>
      </c>
      <c r="L356" s="33">
        <v>15</v>
      </c>
      <c r="M356" s="34" t="s">
        <v>39</v>
      </c>
      <c r="N356" s="34" t="s">
        <v>1749</v>
      </c>
      <c r="O356" s="35">
        <v>1</v>
      </c>
      <c r="P356" s="35"/>
      <c r="Q356" s="32"/>
      <c r="S356" s="1">
        <f t="shared" si="115"/>
        <v>0</v>
      </c>
      <c r="T356" s="1">
        <f t="shared" si="116"/>
        <v>0</v>
      </c>
      <c r="U356" s="1">
        <f t="shared" si="117"/>
        <v>0</v>
      </c>
      <c r="V356" s="1">
        <f t="shared" si="118"/>
        <v>0</v>
      </c>
      <c r="W356" s="1">
        <f t="shared" si="119"/>
        <v>0</v>
      </c>
      <c r="X356" s="1">
        <f t="shared" si="120"/>
        <v>0</v>
      </c>
      <c r="Y356" s="1">
        <f t="shared" si="121"/>
        <v>0</v>
      </c>
      <c r="Z356" s="1">
        <f t="shared" si="122"/>
        <v>0</v>
      </c>
      <c r="AA356" s="1">
        <f t="shared" si="123"/>
        <v>0</v>
      </c>
      <c r="AB356" s="1">
        <f t="shared" si="124"/>
        <v>1</v>
      </c>
      <c r="AD356" s="1">
        <f t="shared" si="125"/>
        <v>0</v>
      </c>
      <c r="AE356" s="1">
        <f t="shared" si="126"/>
        <v>1</v>
      </c>
      <c r="AF356" s="1">
        <f t="shared" si="127"/>
        <v>0</v>
      </c>
      <c r="AG356" s="1">
        <f t="shared" si="128"/>
        <v>1</v>
      </c>
      <c r="AH356" s="1">
        <f t="shared" si="129"/>
        <v>0</v>
      </c>
      <c r="AI356" s="1">
        <f t="shared" si="130"/>
        <v>1</v>
      </c>
    </row>
    <row r="357" spans="1:35" s="1" customFormat="1" ht="14.25" customHeight="1" x14ac:dyDescent="0.25">
      <c r="A357" s="31">
        <v>0</v>
      </c>
      <c r="B357" s="31">
        <v>2</v>
      </c>
      <c r="C357" s="31">
        <v>2</v>
      </c>
      <c r="D357" s="32" t="s">
        <v>847</v>
      </c>
      <c r="E357" s="32" t="s">
        <v>540</v>
      </c>
      <c r="F357" s="32" t="s">
        <v>848</v>
      </c>
      <c r="G357" s="32" t="s">
        <v>312</v>
      </c>
      <c r="H357" s="32" t="s">
        <v>352</v>
      </c>
      <c r="I357" s="31" t="s">
        <v>849</v>
      </c>
      <c r="J357" s="31">
        <v>1</v>
      </c>
      <c r="K357" s="33" t="s">
        <v>703</v>
      </c>
      <c r="L357" s="33">
        <v>25</v>
      </c>
      <c r="M357" s="34" t="s">
        <v>39</v>
      </c>
      <c r="N357" s="34" t="s">
        <v>1704</v>
      </c>
      <c r="O357" s="35">
        <v>1</v>
      </c>
      <c r="P357" s="35"/>
      <c r="Q357" s="32"/>
      <c r="S357" s="1">
        <f t="shared" si="115"/>
        <v>1</v>
      </c>
      <c r="T357" s="1">
        <f t="shared" si="116"/>
        <v>0</v>
      </c>
      <c r="U357" s="1">
        <f t="shared" si="117"/>
        <v>0</v>
      </c>
      <c r="V357" s="1">
        <f t="shared" si="118"/>
        <v>0</v>
      </c>
      <c r="W357" s="1">
        <f t="shared" si="119"/>
        <v>0</v>
      </c>
      <c r="X357" s="1">
        <f t="shared" si="120"/>
        <v>0</v>
      </c>
      <c r="Y357" s="1">
        <f t="shared" si="121"/>
        <v>0</v>
      </c>
      <c r="Z357" s="1">
        <f t="shared" si="122"/>
        <v>0</v>
      </c>
      <c r="AA357" s="1">
        <f t="shared" si="123"/>
        <v>0</v>
      </c>
      <c r="AB357" s="1">
        <f t="shared" si="124"/>
        <v>0</v>
      </c>
      <c r="AD357" s="1">
        <f t="shared" si="125"/>
        <v>0</v>
      </c>
      <c r="AE357" s="1">
        <f t="shared" si="126"/>
        <v>1</v>
      </c>
      <c r="AF357" s="1">
        <f t="shared" si="127"/>
        <v>0</v>
      </c>
      <c r="AG357" s="1">
        <f t="shared" si="128"/>
        <v>1</v>
      </c>
      <c r="AH357" s="1">
        <f t="shared" si="129"/>
        <v>0</v>
      </c>
      <c r="AI357" s="1">
        <f t="shared" si="130"/>
        <v>1</v>
      </c>
    </row>
    <row r="358" spans="1:35" s="1" customFormat="1" ht="14.25" customHeight="1" x14ac:dyDescent="0.25">
      <c r="A358" s="31">
        <v>0</v>
      </c>
      <c r="B358" s="31">
        <v>2</v>
      </c>
      <c r="C358" s="31">
        <v>3</v>
      </c>
      <c r="D358" s="32" t="s">
        <v>562</v>
      </c>
      <c r="E358" s="32" t="s">
        <v>38</v>
      </c>
      <c r="F358" s="32" t="s">
        <v>236</v>
      </c>
      <c r="G358" s="32" t="s">
        <v>535</v>
      </c>
      <c r="H358" s="32" t="s">
        <v>352</v>
      </c>
      <c r="I358" s="31" t="s">
        <v>401</v>
      </c>
      <c r="J358" s="31">
        <v>1</v>
      </c>
      <c r="K358" s="33" t="s">
        <v>703</v>
      </c>
      <c r="L358" s="33" t="s">
        <v>715</v>
      </c>
      <c r="M358" s="34" t="s">
        <v>716</v>
      </c>
      <c r="N358" s="34" t="s">
        <v>1693</v>
      </c>
      <c r="O358" s="35">
        <v>1</v>
      </c>
      <c r="P358" s="35">
        <v>1</v>
      </c>
      <c r="Q358" s="32"/>
      <c r="S358" s="1">
        <f t="shared" si="115"/>
        <v>1</v>
      </c>
      <c r="T358" s="1">
        <f t="shared" si="116"/>
        <v>0</v>
      </c>
      <c r="U358" s="1">
        <f t="shared" si="117"/>
        <v>0</v>
      </c>
      <c r="V358" s="1">
        <f t="shared" si="118"/>
        <v>0</v>
      </c>
      <c r="W358" s="1">
        <f t="shared" si="119"/>
        <v>0</v>
      </c>
      <c r="X358" s="1">
        <f t="shared" si="120"/>
        <v>0</v>
      </c>
      <c r="Y358" s="1">
        <f t="shared" si="121"/>
        <v>0</v>
      </c>
      <c r="Z358" s="1">
        <f t="shared" si="122"/>
        <v>0</v>
      </c>
      <c r="AA358" s="1">
        <f t="shared" si="123"/>
        <v>0</v>
      </c>
      <c r="AB358" s="1">
        <f t="shared" si="124"/>
        <v>0</v>
      </c>
      <c r="AD358" s="1">
        <f t="shared" si="125"/>
        <v>1</v>
      </c>
      <c r="AE358" s="1">
        <f t="shared" si="126"/>
        <v>0</v>
      </c>
      <c r="AF358" s="1">
        <f t="shared" si="127"/>
        <v>1</v>
      </c>
      <c r="AG358" s="1">
        <f t="shared" si="128"/>
        <v>0</v>
      </c>
      <c r="AH358" s="1">
        <f t="shared" si="129"/>
        <v>1</v>
      </c>
      <c r="AI358" s="1">
        <f t="shared" si="130"/>
        <v>0</v>
      </c>
    </row>
    <row r="359" spans="1:35" s="1" customFormat="1" ht="14.25" customHeight="1" x14ac:dyDescent="0.25">
      <c r="A359" s="31">
        <v>0</v>
      </c>
      <c r="B359" s="31">
        <v>2</v>
      </c>
      <c r="C359" s="31">
        <v>3</v>
      </c>
      <c r="D359" s="32" t="s">
        <v>835</v>
      </c>
      <c r="E359" s="32" t="s">
        <v>34</v>
      </c>
      <c r="F359" s="32" t="s">
        <v>909</v>
      </c>
      <c r="G359" s="32" t="s">
        <v>630</v>
      </c>
      <c r="H359" s="32" t="s">
        <v>352</v>
      </c>
      <c r="I359" s="31" t="s">
        <v>836</v>
      </c>
      <c r="J359" s="31">
        <v>1</v>
      </c>
      <c r="K359" s="33" t="s">
        <v>935</v>
      </c>
      <c r="L359" s="33" t="s">
        <v>720</v>
      </c>
      <c r="M359" s="34" t="s">
        <v>714</v>
      </c>
      <c r="N359" s="34" t="s">
        <v>1704</v>
      </c>
      <c r="O359" s="35">
        <v>1</v>
      </c>
      <c r="P359" s="35"/>
      <c r="Q359" s="32"/>
      <c r="S359" s="1">
        <f t="shared" si="115"/>
        <v>1</v>
      </c>
      <c r="T359" s="1">
        <f t="shared" si="116"/>
        <v>0</v>
      </c>
      <c r="U359" s="1">
        <f t="shared" si="117"/>
        <v>0</v>
      </c>
      <c r="V359" s="1">
        <f t="shared" si="118"/>
        <v>0</v>
      </c>
      <c r="W359" s="1">
        <f t="shared" si="119"/>
        <v>0</v>
      </c>
      <c r="X359" s="1">
        <f t="shared" si="120"/>
        <v>0</v>
      </c>
      <c r="Y359" s="1">
        <f t="shared" si="121"/>
        <v>0</v>
      </c>
      <c r="Z359" s="1">
        <f t="shared" si="122"/>
        <v>0</v>
      </c>
      <c r="AA359" s="1">
        <f t="shared" si="123"/>
        <v>0</v>
      </c>
      <c r="AB359" s="1">
        <f t="shared" si="124"/>
        <v>0</v>
      </c>
      <c r="AD359" s="1">
        <f t="shared" si="125"/>
        <v>0</v>
      </c>
      <c r="AE359" s="1">
        <f t="shared" si="126"/>
        <v>1</v>
      </c>
      <c r="AF359" s="1">
        <f t="shared" si="127"/>
        <v>0</v>
      </c>
      <c r="AG359" s="1">
        <f t="shared" si="128"/>
        <v>1</v>
      </c>
      <c r="AH359" s="1">
        <f t="shared" si="129"/>
        <v>0</v>
      </c>
      <c r="AI359" s="1">
        <f t="shared" si="130"/>
        <v>1</v>
      </c>
    </row>
    <row r="360" spans="1:35" s="1" customFormat="1" ht="14.25" customHeight="1" x14ac:dyDescent="0.25">
      <c r="A360" s="31">
        <v>0</v>
      </c>
      <c r="B360" s="31">
        <v>2</v>
      </c>
      <c r="C360" s="31">
        <v>3</v>
      </c>
      <c r="D360" s="32" t="s">
        <v>778</v>
      </c>
      <c r="E360" s="32" t="s">
        <v>32</v>
      </c>
      <c r="F360" s="32" t="s">
        <v>779</v>
      </c>
      <c r="G360" s="32" t="s">
        <v>250</v>
      </c>
      <c r="H360" s="32" t="s">
        <v>352</v>
      </c>
      <c r="I360" s="31" t="s">
        <v>780</v>
      </c>
      <c r="J360" s="31">
        <v>99</v>
      </c>
      <c r="K360" s="33" t="s">
        <v>704</v>
      </c>
      <c r="L360" s="33" t="s">
        <v>713</v>
      </c>
      <c r="M360" s="34" t="s">
        <v>714</v>
      </c>
      <c r="N360" s="34" t="s">
        <v>1808</v>
      </c>
      <c r="O360" s="35">
        <v>1</v>
      </c>
      <c r="P360" s="35"/>
      <c r="Q360" s="32"/>
      <c r="S360" s="1">
        <f t="shared" si="115"/>
        <v>0</v>
      </c>
      <c r="T360" s="1">
        <f t="shared" si="116"/>
        <v>0</v>
      </c>
      <c r="U360" s="1">
        <f t="shared" si="117"/>
        <v>0</v>
      </c>
      <c r="V360" s="1">
        <f t="shared" si="118"/>
        <v>0</v>
      </c>
      <c r="W360" s="1">
        <f t="shared" si="119"/>
        <v>0</v>
      </c>
      <c r="X360" s="1">
        <f t="shared" si="120"/>
        <v>0</v>
      </c>
      <c r="Y360" s="1">
        <f t="shared" si="121"/>
        <v>0</v>
      </c>
      <c r="Z360" s="1">
        <f t="shared" si="122"/>
        <v>0</v>
      </c>
      <c r="AA360" s="1">
        <f t="shared" si="123"/>
        <v>0</v>
      </c>
      <c r="AB360" s="1">
        <f t="shared" si="124"/>
        <v>0</v>
      </c>
      <c r="AD360" s="1">
        <f t="shared" si="125"/>
        <v>0</v>
      </c>
      <c r="AE360" s="1">
        <f t="shared" si="126"/>
        <v>1</v>
      </c>
      <c r="AF360" s="1">
        <f t="shared" si="127"/>
        <v>0</v>
      </c>
      <c r="AG360" s="1">
        <f t="shared" si="128"/>
        <v>1</v>
      </c>
      <c r="AH360" s="1">
        <f t="shared" si="129"/>
        <v>0</v>
      </c>
      <c r="AI360" s="1">
        <f t="shared" si="130"/>
        <v>1</v>
      </c>
    </row>
    <row r="361" spans="1:35" s="1" customFormat="1" ht="14.25" customHeight="1" x14ac:dyDescent="0.25">
      <c r="A361" s="44">
        <v>0</v>
      </c>
      <c r="B361" s="44">
        <v>2</v>
      </c>
      <c r="C361" s="44">
        <v>3</v>
      </c>
      <c r="D361" s="45" t="s">
        <v>56</v>
      </c>
      <c r="E361" s="45" t="s">
        <v>160</v>
      </c>
      <c r="F361" s="45" t="s">
        <v>218</v>
      </c>
      <c r="G361" s="45" t="s">
        <v>195</v>
      </c>
      <c r="H361" s="45" t="s">
        <v>352</v>
      </c>
      <c r="I361" s="44" t="s">
        <v>547</v>
      </c>
      <c r="J361" s="44">
        <v>99</v>
      </c>
      <c r="K361" s="46" t="s">
        <v>704</v>
      </c>
      <c r="L361" s="46" t="s">
        <v>713</v>
      </c>
      <c r="M361" s="47" t="s">
        <v>714</v>
      </c>
      <c r="N361" s="47" t="s">
        <v>1761</v>
      </c>
      <c r="O361" s="48"/>
      <c r="P361" s="48"/>
      <c r="Q361" s="45"/>
      <c r="S361" s="1">
        <f t="shared" si="115"/>
        <v>0</v>
      </c>
      <c r="T361" s="1">
        <f t="shared" si="116"/>
        <v>0</v>
      </c>
      <c r="U361" s="1">
        <f t="shared" si="117"/>
        <v>0</v>
      </c>
      <c r="V361" s="1">
        <f t="shared" si="118"/>
        <v>0</v>
      </c>
      <c r="W361" s="1">
        <f t="shared" si="119"/>
        <v>0</v>
      </c>
      <c r="X361" s="1">
        <f t="shared" si="120"/>
        <v>0</v>
      </c>
      <c r="Y361" s="1">
        <f t="shared" si="121"/>
        <v>0</v>
      </c>
      <c r="Z361" s="1">
        <f t="shared" si="122"/>
        <v>0</v>
      </c>
      <c r="AA361" s="1">
        <f t="shared" si="123"/>
        <v>0</v>
      </c>
      <c r="AB361" s="1">
        <f t="shared" si="124"/>
        <v>0</v>
      </c>
      <c r="AD361" s="1">
        <f t="shared" si="125"/>
        <v>0</v>
      </c>
      <c r="AE361" s="1">
        <f t="shared" si="126"/>
        <v>0</v>
      </c>
      <c r="AF361" s="1">
        <f t="shared" si="127"/>
        <v>0</v>
      </c>
      <c r="AG361" s="1">
        <f t="shared" si="128"/>
        <v>0</v>
      </c>
      <c r="AH361" s="1">
        <f t="shared" si="129"/>
        <v>0</v>
      </c>
      <c r="AI361" s="1">
        <f t="shared" si="130"/>
        <v>1</v>
      </c>
    </row>
    <row r="362" spans="1:35" s="1" customFormat="1" ht="14.25" customHeight="1" x14ac:dyDescent="0.25">
      <c r="A362" s="31">
        <v>0</v>
      </c>
      <c r="B362" s="31">
        <v>2</v>
      </c>
      <c r="C362" s="31">
        <v>3</v>
      </c>
      <c r="D362" s="32" t="s">
        <v>1153</v>
      </c>
      <c r="E362" s="32" t="s">
        <v>1309</v>
      </c>
      <c r="F362" s="32" t="s">
        <v>1154</v>
      </c>
      <c r="G362" s="32" t="s">
        <v>300</v>
      </c>
      <c r="H362" s="32" t="s">
        <v>352</v>
      </c>
      <c r="I362" s="31" t="s">
        <v>1155</v>
      </c>
      <c r="J362" s="31">
        <v>1</v>
      </c>
      <c r="K362" s="33" t="s">
        <v>936</v>
      </c>
      <c r="L362" s="33" t="s">
        <v>684</v>
      </c>
      <c r="M362" s="34" t="s">
        <v>1385</v>
      </c>
      <c r="N362" s="34" t="s">
        <v>1704</v>
      </c>
      <c r="O362" s="35">
        <v>1</v>
      </c>
      <c r="P362" s="35"/>
      <c r="Q362" s="32"/>
      <c r="S362" s="1">
        <f t="shared" si="115"/>
        <v>1</v>
      </c>
      <c r="T362" s="1">
        <f t="shared" si="116"/>
        <v>0</v>
      </c>
      <c r="U362" s="1">
        <f t="shared" si="117"/>
        <v>0</v>
      </c>
      <c r="V362" s="1">
        <f t="shared" si="118"/>
        <v>0</v>
      </c>
      <c r="W362" s="1">
        <f t="shared" si="119"/>
        <v>0</v>
      </c>
      <c r="X362" s="1">
        <f t="shared" si="120"/>
        <v>0</v>
      </c>
      <c r="Y362" s="1">
        <f t="shared" si="121"/>
        <v>0</v>
      </c>
      <c r="Z362" s="1">
        <f t="shared" si="122"/>
        <v>0</v>
      </c>
      <c r="AA362" s="1">
        <f t="shared" si="123"/>
        <v>0</v>
      </c>
      <c r="AB362" s="1">
        <f t="shared" si="124"/>
        <v>0</v>
      </c>
      <c r="AD362" s="1">
        <f t="shared" si="125"/>
        <v>0</v>
      </c>
      <c r="AE362" s="1">
        <f t="shared" si="126"/>
        <v>1</v>
      </c>
      <c r="AF362" s="1">
        <f t="shared" si="127"/>
        <v>0</v>
      </c>
      <c r="AG362" s="1">
        <f t="shared" si="128"/>
        <v>1</v>
      </c>
      <c r="AH362" s="1">
        <f t="shared" si="129"/>
        <v>0</v>
      </c>
      <c r="AI362" s="1">
        <f t="shared" si="130"/>
        <v>1</v>
      </c>
    </row>
    <row r="363" spans="1:35" s="1" customFormat="1" ht="14.25" customHeight="1" x14ac:dyDescent="0.25">
      <c r="A363" s="31">
        <v>0</v>
      </c>
      <c r="B363" s="31">
        <v>2</v>
      </c>
      <c r="C363" s="31">
        <v>3</v>
      </c>
      <c r="D363" s="32" t="s">
        <v>1150</v>
      </c>
      <c r="E363" s="32" t="s">
        <v>1309</v>
      </c>
      <c r="F363" s="32" t="s">
        <v>1151</v>
      </c>
      <c r="G363" s="32" t="s">
        <v>1037</v>
      </c>
      <c r="H363" s="32" t="s">
        <v>352</v>
      </c>
      <c r="I363" s="31" t="s">
        <v>1152</v>
      </c>
      <c r="J363" s="31">
        <v>1</v>
      </c>
      <c r="K363" s="33" t="s">
        <v>704</v>
      </c>
      <c r="L363" s="33" t="s">
        <v>684</v>
      </c>
      <c r="M363" s="34" t="s">
        <v>1385</v>
      </c>
      <c r="N363" s="34" t="s">
        <v>1704</v>
      </c>
      <c r="O363" s="35">
        <v>1</v>
      </c>
      <c r="P363" s="35"/>
      <c r="Q363" s="32"/>
      <c r="S363" s="1">
        <f t="shared" si="115"/>
        <v>1</v>
      </c>
      <c r="T363" s="1">
        <f t="shared" si="116"/>
        <v>0</v>
      </c>
      <c r="U363" s="1">
        <f t="shared" si="117"/>
        <v>0</v>
      </c>
      <c r="V363" s="1">
        <f t="shared" si="118"/>
        <v>0</v>
      </c>
      <c r="W363" s="1">
        <f t="shared" si="119"/>
        <v>0</v>
      </c>
      <c r="X363" s="1">
        <f t="shared" si="120"/>
        <v>0</v>
      </c>
      <c r="Y363" s="1">
        <f t="shared" si="121"/>
        <v>0</v>
      </c>
      <c r="Z363" s="1">
        <f t="shared" si="122"/>
        <v>0</v>
      </c>
      <c r="AA363" s="1">
        <f t="shared" si="123"/>
        <v>0</v>
      </c>
      <c r="AB363" s="1">
        <f t="shared" si="124"/>
        <v>0</v>
      </c>
      <c r="AD363" s="1">
        <f t="shared" si="125"/>
        <v>0</v>
      </c>
      <c r="AE363" s="1">
        <f t="shared" si="126"/>
        <v>1</v>
      </c>
      <c r="AF363" s="1">
        <f t="shared" si="127"/>
        <v>0</v>
      </c>
      <c r="AG363" s="1">
        <f t="shared" si="128"/>
        <v>1</v>
      </c>
      <c r="AH363" s="1">
        <f t="shared" si="129"/>
        <v>0</v>
      </c>
      <c r="AI363" s="1">
        <f t="shared" si="130"/>
        <v>1</v>
      </c>
    </row>
    <row r="364" spans="1:35" s="1" customFormat="1" ht="14.25" customHeight="1" x14ac:dyDescent="0.25">
      <c r="A364" s="31">
        <v>0</v>
      </c>
      <c r="B364" s="31">
        <v>2</v>
      </c>
      <c r="C364" s="31">
        <v>3</v>
      </c>
      <c r="D364" s="32" t="s">
        <v>1268</v>
      </c>
      <c r="E364" s="32" t="s">
        <v>32</v>
      </c>
      <c r="F364" s="32" t="s">
        <v>1269</v>
      </c>
      <c r="G364" s="32" t="s">
        <v>221</v>
      </c>
      <c r="H364" s="32" t="s">
        <v>352</v>
      </c>
      <c r="I364" s="31" t="s">
        <v>1655</v>
      </c>
      <c r="J364" s="31">
        <v>99</v>
      </c>
      <c r="K364" s="33" t="s">
        <v>704</v>
      </c>
      <c r="L364" s="33" t="s">
        <v>707</v>
      </c>
      <c r="M364" s="34" t="s">
        <v>1270</v>
      </c>
      <c r="N364" s="34" t="s">
        <v>1693</v>
      </c>
      <c r="O364" s="35">
        <v>1</v>
      </c>
      <c r="P364" s="35">
        <v>1</v>
      </c>
      <c r="Q364" s="32"/>
      <c r="S364" s="1">
        <f t="shared" si="115"/>
        <v>0</v>
      </c>
      <c r="T364" s="1">
        <f t="shared" si="116"/>
        <v>0</v>
      </c>
      <c r="U364" s="1">
        <f t="shared" si="117"/>
        <v>0</v>
      </c>
      <c r="V364" s="1">
        <f t="shared" si="118"/>
        <v>0</v>
      </c>
      <c r="W364" s="1">
        <f t="shared" si="119"/>
        <v>0</v>
      </c>
      <c r="X364" s="1">
        <f t="shared" si="120"/>
        <v>0</v>
      </c>
      <c r="Y364" s="1">
        <f t="shared" si="121"/>
        <v>0</v>
      </c>
      <c r="Z364" s="1">
        <f t="shared" si="122"/>
        <v>0</v>
      </c>
      <c r="AA364" s="1">
        <f t="shared" si="123"/>
        <v>0</v>
      </c>
      <c r="AB364" s="1">
        <f t="shared" si="124"/>
        <v>0</v>
      </c>
      <c r="AD364" s="1">
        <f t="shared" si="125"/>
        <v>1</v>
      </c>
      <c r="AE364" s="1">
        <f t="shared" si="126"/>
        <v>0</v>
      </c>
      <c r="AF364" s="1">
        <f t="shared" si="127"/>
        <v>1</v>
      </c>
      <c r="AG364" s="1">
        <f t="shared" si="128"/>
        <v>0</v>
      </c>
      <c r="AH364" s="1">
        <f t="shared" si="129"/>
        <v>1</v>
      </c>
      <c r="AI364" s="1">
        <f t="shared" si="130"/>
        <v>0</v>
      </c>
    </row>
    <row r="365" spans="1:35" s="1" customFormat="1" ht="14.25" customHeight="1" x14ac:dyDescent="0.25">
      <c r="A365" s="31">
        <v>0</v>
      </c>
      <c r="B365" s="31">
        <v>2</v>
      </c>
      <c r="C365" s="31">
        <v>3</v>
      </c>
      <c r="D365" s="32" t="s">
        <v>746</v>
      </c>
      <c r="E365" s="32" t="s">
        <v>896</v>
      </c>
      <c r="F365" s="32" t="s">
        <v>747</v>
      </c>
      <c r="G365" s="32" t="s">
        <v>219</v>
      </c>
      <c r="H365" s="32" t="s">
        <v>352</v>
      </c>
      <c r="I365" s="31" t="s">
        <v>748</v>
      </c>
      <c r="J365" s="31">
        <v>8</v>
      </c>
      <c r="K365" s="33" t="s">
        <v>936</v>
      </c>
      <c r="L365" s="33" t="s">
        <v>720</v>
      </c>
      <c r="M365" s="34" t="s">
        <v>714</v>
      </c>
      <c r="N365" s="34" t="s">
        <v>1708</v>
      </c>
      <c r="O365" s="35">
        <v>1</v>
      </c>
      <c r="P365" s="35"/>
      <c r="Q365" s="32"/>
      <c r="S365" s="1">
        <f t="shared" si="115"/>
        <v>0</v>
      </c>
      <c r="T365" s="1">
        <f t="shared" si="116"/>
        <v>0</v>
      </c>
      <c r="U365" s="1">
        <f t="shared" si="117"/>
        <v>0</v>
      </c>
      <c r="V365" s="1">
        <f t="shared" si="118"/>
        <v>0</v>
      </c>
      <c r="W365" s="1">
        <f t="shared" si="119"/>
        <v>0</v>
      </c>
      <c r="X365" s="1">
        <f t="shared" si="120"/>
        <v>0</v>
      </c>
      <c r="Y365" s="1">
        <f t="shared" si="121"/>
        <v>0</v>
      </c>
      <c r="Z365" s="1">
        <f t="shared" si="122"/>
        <v>1</v>
      </c>
      <c r="AA365" s="1">
        <f t="shared" si="123"/>
        <v>0</v>
      </c>
      <c r="AB365" s="1">
        <f t="shared" si="124"/>
        <v>0</v>
      </c>
      <c r="AD365" s="1">
        <f t="shared" si="125"/>
        <v>0</v>
      </c>
      <c r="AE365" s="1">
        <f t="shared" si="126"/>
        <v>1</v>
      </c>
      <c r="AF365" s="1">
        <f t="shared" si="127"/>
        <v>0</v>
      </c>
      <c r="AG365" s="1">
        <f t="shared" si="128"/>
        <v>1</v>
      </c>
      <c r="AH365" s="1">
        <f t="shared" si="129"/>
        <v>0</v>
      </c>
      <c r="AI365" s="1">
        <f t="shared" si="130"/>
        <v>1</v>
      </c>
    </row>
    <row r="366" spans="1:35" s="1" customFormat="1" ht="14.25" customHeight="1" x14ac:dyDescent="0.25">
      <c r="A366" s="44">
        <v>0</v>
      </c>
      <c r="B366" s="44">
        <v>2</v>
      </c>
      <c r="C366" s="44">
        <v>3</v>
      </c>
      <c r="D366" s="45" t="s">
        <v>1464</v>
      </c>
      <c r="E366" s="45" t="s">
        <v>1465</v>
      </c>
      <c r="F366" s="45" t="s">
        <v>1466</v>
      </c>
      <c r="G366" s="45" t="s">
        <v>237</v>
      </c>
      <c r="H366" s="45" t="s">
        <v>352</v>
      </c>
      <c r="I366" s="44" t="s">
        <v>1467</v>
      </c>
      <c r="J366" s="44">
        <v>4</v>
      </c>
      <c r="K366" s="46" t="s">
        <v>703</v>
      </c>
      <c r="L366" s="46">
        <v>15</v>
      </c>
      <c r="M366" s="47" t="s">
        <v>39</v>
      </c>
      <c r="N366" s="47" t="s">
        <v>1761</v>
      </c>
      <c r="O366" s="48"/>
      <c r="P366" s="48"/>
      <c r="Q366" s="45"/>
      <c r="S366" s="1">
        <f t="shared" si="115"/>
        <v>0</v>
      </c>
      <c r="T366" s="1">
        <f t="shared" si="116"/>
        <v>0</v>
      </c>
      <c r="U366" s="1">
        <f t="shared" si="117"/>
        <v>0</v>
      </c>
      <c r="V366" s="1">
        <f t="shared" si="118"/>
        <v>1</v>
      </c>
      <c r="W366" s="1">
        <f t="shared" si="119"/>
        <v>0</v>
      </c>
      <c r="X366" s="1">
        <f t="shared" si="120"/>
        <v>0</v>
      </c>
      <c r="Y366" s="1">
        <f t="shared" si="121"/>
        <v>0</v>
      </c>
      <c r="Z366" s="1">
        <f t="shared" si="122"/>
        <v>0</v>
      </c>
      <c r="AA366" s="1">
        <f t="shared" si="123"/>
        <v>0</v>
      </c>
      <c r="AB366" s="1">
        <f t="shared" si="124"/>
        <v>0</v>
      </c>
      <c r="AD366" s="1">
        <f t="shared" si="125"/>
        <v>0</v>
      </c>
      <c r="AE366" s="1">
        <f t="shared" si="126"/>
        <v>0</v>
      </c>
      <c r="AF366" s="1">
        <f t="shared" si="127"/>
        <v>0</v>
      </c>
      <c r="AG366" s="1">
        <f t="shared" si="128"/>
        <v>0</v>
      </c>
      <c r="AH366" s="1">
        <f t="shared" si="129"/>
        <v>0</v>
      </c>
      <c r="AI366" s="1">
        <f t="shared" si="130"/>
        <v>1</v>
      </c>
    </row>
    <row r="367" spans="1:35" s="1" customFormat="1" ht="14.25" customHeight="1" x14ac:dyDescent="0.25">
      <c r="A367" s="31">
        <v>0</v>
      </c>
      <c r="B367" s="31">
        <v>2</v>
      </c>
      <c r="C367" s="31">
        <v>3</v>
      </c>
      <c r="D367" s="32" t="s">
        <v>1520</v>
      </c>
      <c r="E367" s="32" t="s">
        <v>1521</v>
      </c>
      <c r="F367" s="32" t="s">
        <v>1522</v>
      </c>
      <c r="G367" s="32" t="s">
        <v>1523</v>
      </c>
      <c r="H367" s="32" t="s">
        <v>352</v>
      </c>
      <c r="I367" s="31" t="s">
        <v>1524</v>
      </c>
      <c r="J367" s="31">
        <v>7</v>
      </c>
      <c r="K367" s="33" t="s">
        <v>936</v>
      </c>
      <c r="L367" s="33">
        <v>10</v>
      </c>
      <c r="M367" s="34" t="s">
        <v>39</v>
      </c>
      <c r="N367" s="34" t="s">
        <v>1704</v>
      </c>
      <c r="O367" s="35">
        <v>1</v>
      </c>
      <c r="P367" s="35"/>
      <c r="Q367" s="32"/>
      <c r="S367" s="1">
        <f t="shared" si="115"/>
        <v>0</v>
      </c>
      <c r="T367" s="1">
        <f t="shared" si="116"/>
        <v>0</v>
      </c>
      <c r="U367" s="1">
        <f t="shared" si="117"/>
        <v>0</v>
      </c>
      <c r="V367" s="1">
        <f t="shared" si="118"/>
        <v>0</v>
      </c>
      <c r="W367" s="1">
        <f t="shared" si="119"/>
        <v>0</v>
      </c>
      <c r="X367" s="1">
        <f t="shared" si="120"/>
        <v>0</v>
      </c>
      <c r="Y367" s="1">
        <f t="shared" si="121"/>
        <v>1</v>
      </c>
      <c r="Z367" s="1">
        <f t="shared" si="122"/>
        <v>0</v>
      </c>
      <c r="AA367" s="1">
        <f t="shared" si="123"/>
        <v>0</v>
      </c>
      <c r="AB367" s="1">
        <f t="shared" si="124"/>
        <v>0</v>
      </c>
      <c r="AD367" s="1">
        <f t="shared" si="125"/>
        <v>0</v>
      </c>
      <c r="AE367" s="1">
        <f t="shared" si="126"/>
        <v>1</v>
      </c>
      <c r="AF367" s="1">
        <f t="shared" si="127"/>
        <v>0</v>
      </c>
      <c r="AG367" s="1">
        <f t="shared" si="128"/>
        <v>1</v>
      </c>
      <c r="AH367" s="1">
        <f t="shared" si="129"/>
        <v>0</v>
      </c>
      <c r="AI367" s="1">
        <f t="shared" si="130"/>
        <v>1</v>
      </c>
    </row>
    <row r="368" spans="1:35" s="1" customFormat="1" ht="14.25" customHeight="1" x14ac:dyDescent="0.25">
      <c r="A368" s="31">
        <v>0</v>
      </c>
      <c r="B368" s="31">
        <v>2</v>
      </c>
      <c r="C368" s="31">
        <v>3</v>
      </c>
      <c r="D368" s="32" t="s">
        <v>826</v>
      </c>
      <c r="E368" s="32" t="s">
        <v>32</v>
      </c>
      <c r="F368" s="32" t="s">
        <v>828</v>
      </c>
      <c r="G368" s="32" t="s">
        <v>39</v>
      </c>
      <c r="H368" s="32" t="s">
        <v>352</v>
      </c>
      <c r="I368" s="31" t="s">
        <v>827</v>
      </c>
      <c r="J368" s="31">
        <v>1</v>
      </c>
      <c r="K368" s="33" t="s">
        <v>704</v>
      </c>
      <c r="L368" s="33" t="s">
        <v>685</v>
      </c>
      <c r="M368" s="34" t="s">
        <v>1385</v>
      </c>
      <c r="N368" s="34" t="s">
        <v>1704</v>
      </c>
      <c r="O368" s="35">
        <v>1</v>
      </c>
      <c r="P368" s="35"/>
      <c r="Q368" s="32"/>
      <c r="S368" s="1">
        <f t="shared" si="115"/>
        <v>1</v>
      </c>
      <c r="T368" s="1">
        <f t="shared" si="116"/>
        <v>0</v>
      </c>
      <c r="U368" s="1">
        <f t="shared" si="117"/>
        <v>0</v>
      </c>
      <c r="V368" s="1">
        <f t="shared" si="118"/>
        <v>0</v>
      </c>
      <c r="W368" s="1">
        <f t="shared" si="119"/>
        <v>0</v>
      </c>
      <c r="X368" s="1">
        <f t="shared" si="120"/>
        <v>0</v>
      </c>
      <c r="Y368" s="1">
        <f t="shared" si="121"/>
        <v>0</v>
      </c>
      <c r="Z368" s="1">
        <f t="shared" si="122"/>
        <v>0</v>
      </c>
      <c r="AA368" s="1">
        <f t="shared" si="123"/>
        <v>0</v>
      </c>
      <c r="AB368" s="1">
        <f t="shared" si="124"/>
        <v>0</v>
      </c>
      <c r="AD368" s="1">
        <f t="shared" si="125"/>
        <v>0</v>
      </c>
      <c r="AE368" s="1">
        <f t="shared" si="126"/>
        <v>1</v>
      </c>
      <c r="AF368" s="1">
        <f t="shared" si="127"/>
        <v>0</v>
      </c>
      <c r="AG368" s="1">
        <f t="shared" si="128"/>
        <v>1</v>
      </c>
      <c r="AH368" s="1">
        <f t="shared" si="129"/>
        <v>0</v>
      </c>
      <c r="AI368" s="1">
        <f t="shared" si="130"/>
        <v>1</v>
      </c>
    </row>
    <row r="369" spans="1:35" s="1" customFormat="1" ht="14.25" customHeight="1" x14ac:dyDescent="0.25">
      <c r="A369" s="15">
        <v>0</v>
      </c>
      <c r="B369" s="15">
        <v>2</v>
      </c>
      <c r="C369" s="15">
        <v>4</v>
      </c>
      <c r="D369" s="16" t="s">
        <v>749</v>
      </c>
      <c r="E369" s="16" t="s">
        <v>750</v>
      </c>
      <c r="F369" s="16" t="s">
        <v>751</v>
      </c>
      <c r="G369" s="16" t="s">
        <v>752</v>
      </c>
      <c r="H369" s="16" t="s">
        <v>352</v>
      </c>
      <c r="I369" s="15" t="s">
        <v>753</v>
      </c>
      <c r="J369" s="15">
        <v>99</v>
      </c>
      <c r="K369" s="10" t="s">
        <v>694</v>
      </c>
      <c r="L369" s="10">
        <v>15</v>
      </c>
      <c r="M369" s="19" t="s">
        <v>754</v>
      </c>
      <c r="N369" s="19"/>
      <c r="Q369" s="16"/>
      <c r="S369" s="1">
        <f t="shared" si="115"/>
        <v>0</v>
      </c>
      <c r="T369" s="1">
        <f t="shared" si="116"/>
        <v>0</v>
      </c>
      <c r="U369" s="1">
        <f t="shared" si="117"/>
        <v>0</v>
      </c>
      <c r="V369" s="1">
        <f t="shared" si="118"/>
        <v>0</v>
      </c>
      <c r="W369" s="1">
        <f t="shared" si="119"/>
        <v>0</v>
      </c>
      <c r="X369" s="1">
        <f t="shared" si="120"/>
        <v>0</v>
      </c>
      <c r="Y369" s="1">
        <f t="shared" si="121"/>
        <v>0</v>
      </c>
      <c r="Z369" s="1">
        <f t="shared" si="122"/>
        <v>0</v>
      </c>
      <c r="AA369" s="1">
        <f t="shared" si="123"/>
        <v>0</v>
      </c>
      <c r="AB369" s="1">
        <f t="shared" si="124"/>
        <v>0</v>
      </c>
      <c r="AD369" s="1">
        <f t="shared" si="125"/>
        <v>0</v>
      </c>
      <c r="AE369" s="1">
        <f t="shared" si="126"/>
        <v>0</v>
      </c>
      <c r="AF369" s="1">
        <f t="shared" si="127"/>
        <v>0</v>
      </c>
      <c r="AG369" s="1">
        <f t="shared" si="128"/>
        <v>0</v>
      </c>
      <c r="AH369" s="1">
        <f t="shared" si="129"/>
        <v>0</v>
      </c>
      <c r="AI369" s="1">
        <f t="shared" si="130"/>
        <v>1</v>
      </c>
    </row>
    <row r="370" spans="1:35" s="1" customFormat="1" ht="14.25" customHeight="1" x14ac:dyDescent="0.25">
      <c r="A370" s="31">
        <v>0</v>
      </c>
      <c r="B370" s="31">
        <v>2</v>
      </c>
      <c r="C370" s="31">
        <v>4</v>
      </c>
      <c r="D370" s="32" t="s">
        <v>783</v>
      </c>
      <c r="E370" s="32" t="s">
        <v>891</v>
      </c>
      <c r="F370" s="32" t="s">
        <v>908</v>
      </c>
      <c r="G370" s="32" t="s">
        <v>207</v>
      </c>
      <c r="H370" s="32" t="s">
        <v>352</v>
      </c>
      <c r="I370" s="31" t="s">
        <v>1335</v>
      </c>
      <c r="J370" s="31">
        <v>3</v>
      </c>
      <c r="K370" s="33" t="s">
        <v>694</v>
      </c>
      <c r="L370" s="33">
        <v>20</v>
      </c>
      <c r="M370" s="34" t="s">
        <v>1387</v>
      </c>
      <c r="N370" s="34" t="s">
        <v>1784</v>
      </c>
      <c r="O370" s="35">
        <v>1</v>
      </c>
      <c r="P370" s="35"/>
      <c r="Q370" s="32"/>
      <c r="S370" s="1">
        <f t="shared" si="115"/>
        <v>0</v>
      </c>
      <c r="T370" s="1">
        <f t="shared" si="116"/>
        <v>0</v>
      </c>
      <c r="U370" s="1">
        <f t="shared" si="117"/>
        <v>1</v>
      </c>
      <c r="V370" s="1">
        <f t="shared" si="118"/>
        <v>0</v>
      </c>
      <c r="W370" s="1">
        <f t="shared" si="119"/>
        <v>0</v>
      </c>
      <c r="X370" s="1">
        <f t="shared" si="120"/>
        <v>0</v>
      </c>
      <c r="Y370" s="1">
        <f t="shared" si="121"/>
        <v>0</v>
      </c>
      <c r="Z370" s="1">
        <f t="shared" si="122"/>
        <v>0</v>
      </c>
      <c r="AA370" s="1">
        <f t="shared" si="123"/>
        <v>0</v>
      </c>
      <c r="AB370" s="1">
        <f t="shared" si="124"/>
        <v>0</v>
      </c>
      <c r="AD370" s="1">
        <f t="shared" si="125"/>
        <v>0</v>
      </c>
      <c r="AE370" s="1">
        <f t="shared" si="126"/>
        <v>1</v>
      </c>
      <c r="AF370" s="1">
        <f t="shared" si="127"/>
        <v>0</v>
      </c>
      <c r="AG370" s="1">
        <f t="shared" si="128"/>
        <v>1</v>
      </c>
      <c r="AH370" s="1">
        <f t="shared" si="129"/>
        <v>0</v>
      </c>
      <c r="AI370" s="1">
        <f t="shared" si="130"/>
        <v>1</v>
      </c>
    </row>
    <row r="371" spans="1:35" s="1" customFormat="1" ht="14.25" customHeight="1" x14ac:dyDescent="0.25">
      <c r="A371" s="51">
        <v>0</v>
      </c>
      <c r="B371" s="51">
        <v>2</v>
      </c>
      <c r="C371" s="51">
        <v>4</v>
      </c>
      <c r="D371" s="52" t="s">
        <v>561</v>
      </c>
      <c r="E371" s="52" t="s">
        <v>37</v>
      </c>
      <c r="F371" s="52" t="s">
        <v>204</v>
      </c>
      <c r="G371" s="52" t="s">
        <v>39</v>
      </c>
      <c r="H371" s="52" t="s">
        <v>352</v>
      </c>
      <c r="I371" s="51" t="s">
        <v>387</v>
      </c>
      <c r="J371" s="51">
        <v>6</v>
      </c>
      <c r="K371" s="53" t="s">
        <v>694</v>
      </c>
      <c r="L371" s="53" t="s">
        <v>39</v>
      </c>
      <c r="M371" s="54" t="s">
        <v>39</v>
      </c>
      <c r="N371" s="55"/>
      <c r="O371" s="56"/>
      <c r="P371" s="56"/>
      <c r="Q371" s="52"/>
      <c r="S371" s="1">
        <f t="shared" si="115"/>
        <v>0</v>
      </c>
      <c r="T371" s="1">
        <f t="shared" si="116"/>
        <v>0</v>
      </c>
      <c r="U371" s="1">
        <f t="shared" si="117"/>
        <v>0</v>
      </c>
      <c r="V371" s="1">
        <f t="shared" si="118"/>
        <v>0</v>
      </c>
      <c r="W371" s="1">
        <f t="shared" si="119"/>
        <v>0</v>
      </c>
      <c r="X371" s="1">
        <f t="shared" si="120"/>
        <v>1</v>
      </c>
      <c r="Y371" s="1">
        <f t="shared" si="121"/>
        <v>0</v>
      </c>
      <c r="Z371" s="1">
        <f t="shared" si="122"/>
        <v>0</v>
      </c>
      <c r="AA371" s="1">
        <f t="shared" si="123"/>
        <v>0</v>
      </c>
      <c r="AB371" s="1">
        <f t="shared" si="124"/>
        <v>0</v>
      </c>
      <c r="AD371" s="1">
        <f t="shared" si="125"/>
        <v>0</v>
      </c>
      <c r="AE371" s="1">
        <f t="shared" si="126"/>
        <v>0</v>
      </c>
      <c r="AF371" s="1">
        <f t="shared" si="127"/>
        <v>0</v>
      </c>
      <c r="AG371" s="1">
        <f t="shared" si="128"/>
        <v>0</v>
      </c>
      <c r="AH371" s="1">
        <f t="shared" si="129"/>
        <v>0</v>
      </c>
      <c r="AI371" s="1">
        <f t="shared" si="130"/>
        <v>1</v>
      </c>
    </row>
    <row r="372" spans="1:35" s="1" customFormat="1" ht="14.25" customHeight="1" x14ac:dyDescent="0.25">
      <c r="A372" s="31">
        <v>0</v>
      </c>
      <c r="B372" s="31">
        <v>2</v>
      </c>
      <c r="C372" s="31">
        <v>4</v>
      </c>
      <c r="D372" s="32" t="s">
        <v>645</v>
      </c>
      <c r="E372" s="32" t="s">
        <v>893</v>
      </c>
      <c r="F372" s="32" t="s">
        <v>616</v>
      </c>
      <c r="G372" s="32" t="s">
        <v>339</v>
      </c>
      <c r="H372" s="32" t="s">
        <v>352</v>
      </c>
      <c r="I372" s="31" t="s">
        <v>617</v>
      </c>
      <c r="J372" s="31">
        <v>10</v>
      </c>
      <c r="K372" s="33" t="s">
        <v>935</v>
      </c>
      <c r="L372" s="33" t="s">
        <v>695</v>
      </c>
      <c r="M372" s="34" t="s">
        <v>1388</v>
      </c>
      <c r="N372" s="34" t="s">
        <v>1709</v>
      </c>
      <c r="O372" s="35">
        <v>1</v>
      </c>
      <c r="P372" s="35"/>
      <c r="Q372" s="32"/>
      <c r="S372" s="1">
        <f t="shared" si="115"/>
        <v>0</v>
      </c>
      <c r="T372" s="1">
        <f t="shared" si="116"/>
        <v>0</v>
      </c>
      <c r="U372" s="1">
        <f t="shared" si="117"/>
        <v>0</v>
      </c>
      <c r="V372" s="1">
        <f t="shared" si="118"/>
        <v>0</v>
      </c>
      <c r="W372" s="1">
        <f t="shared" si="119"/>
        <v>0</v>
      </c>
      <c r="X372" s="1">
        <f t="shared" si="120"/>
        <v>0</v>
      </c>
      <c r="Y372" s="1">
        <f t="shared" si="121"/>
        <v>0</v>
      </c>
      <c r="Z372" s="1">
        <f t="shared" si="122"/>
        <v>0</v>
      </c>
      <c r="AA372" s="1">
        <f t="shared" si="123"/>
        <v>0</v>
      </c>
      <c r="AB372" s="1">
        <f t="shared" si="124"/>
        <v>1</v>
      </c>
      <c r="AD372" s="1">
        <f t="shared" si="125"/>
        <v>0</v>
      </c>
      <c r="AE372" s="1">
        <f t="shared" si="126"/>
        <v>1</v>
      </c>
      <c r="AF372" s="1">
        <f t="shared" si="127"/>
        <v>0</v>
      </c>
      <c r="AG372" s="1">
        <f t="shared" si="128"/>
        <v>1</v>
      </c>
      <c r="AH372" s="1">
        <f t="shared" si="129"/>
        <v>0</v>
      </c>
      <c r="AI372" s="1">
        <f t="shared" si="130"/>
        <v>1</v>
      </c>
    </row>
    <row r="373" spans="1:35" s="1" customFormat="1" ht="14.25" customHeight="1" x14ac:dyDescent="0.25">
      <c r="A373" s="31">
        <v>0</v>
      </c>
      <c r="B373" s="31">
        <v>2</v>
      </c>
      <c r="C373" s="31">
        <v>4</v>
      </c>
      <c r="D373" s="32" t="s">
        <v>75</v>
      </c>
      <c r="E373" s="32" t="s">
        <v>35</v>
      </c>
      <c r="F373" s="32" t="s">
        <v>265</v>
      </c>
      <c r="G373" s="32" t="s">
        <v>212</v>
      </c>
      <c r="H373" s="32" t="s">
        <v>352</v>
      </c>
      <c r="I373" s="31" t="s">
        <v>927</v>
      </c>
      <c r="J373" s="31">
        <v>1</v>
      </c>
      <c r="K373" s="33" t="s">
        <v>704</v>
      </c>
      <c r="L373" s="33" t="s">
        <v>695</v>
      </c>
      <c r="M373" s="34" t="s">
        <v>1389</v>
      </c>
      <c r="N373" s="34" t="s">
        <v>1704</v>
      </c>
      <c r="O373" s="35">
        <v>1</v>
      </c>
      <c r="P373" s="35"/>
      <c r="Q373" s="32"/>
      <c r="S373" s="1">
        <f t="shared" si="115"/>
        <v>1</v>
      </c>
      <c r="T373" s="1">
        <f t="shared" si="116"/>
        <v>0</v>
      </c>
      <c r="U373" s="1">
        <f t="shared" si="117"/>
        <v>0</v>
      </c>
      <c r="V373" s="1">
        <f t="shared" si="118"/>
        <v>0</v>
      </c>
      <c r="W373" s="1">
        <f t="shared" si="119"/>
        <v>0</v>
      </c>
      <c r="X373" s="1">
        <f t="shared" si="120"/>
        <v>0</v>
      </c>
      <c r="Y373" s="1">
        <f t="shared" si="121"/>
        <v>0</v>
      </c>
      <c r="Z373" s="1">
        <f t="shared" si="122"/>
        <v>0</v>
      </c>
      <c r="AA373" s="1">
        <f t="shared" si="123"/>
        <v>0</v>
      </c>
      <c r="AB373" s="1">
        <f t="shared" si="124"/>
        <v>0</v>
      </c>
      <c r="AD373" s="1">
        <f t="shared" si="125"/>
        <v>0</v>
      </c>
      <c r="AE373" s="1">
        <f t="shared" si="126"/>
        <v>1</v>
      </c>
      <c r="AF373" s="1">
        <f t="shared" si="127"/>
        <v>0</v>
      </c>
      <c r="AG373" s="1">
        <f t="shared" si="128"/>
        <v>1</v>
      </c>
      <c r="AH373" s="1">
        <f t="shared" si="129"/>
        <v>0</v>
      </c>
      <c r="AI373" s="1">
        <f t="shared" si="130"/>
        <v>1</v>
      </c>
    </row>
    <row r="374" spans="1:35" s="1" customFormat="1" ht="14.25" customHeight="1" x14ac:dyDescent="0.25">
      <c r="A374" s="31">
        <v>0</v>
      </c>
      <c r="B374" s="31">
        <v>2</v>
      </c>
      <c r="C374" s="31">
        <v>4</v>
      </c>
      <c r="D374" s="32" t="s">
        <v>902</v>
      </c>
      <c r="E374" s="32" t="s">
        <v>895</v>
      </c>
      <c r="F374" s="32" t="s">
        <v>767</v>
      </c>
      <c r="G374" s="32" t="s">
        <v>283</v>
      </c>
      <c r="H374" s="32" t="s">
        <v>352</v>
      </c>
      <c r="I374" s="31" t="s">
        <v>928</v>
      </c>
      <c r="J374" s="31">
        <v>4</v>
      </c>
      <c r="K374" s="33" t="s">
        <v>704</v>
      </c>
      <c r="L374" s="33" t="s">
        <v>687</v>
      </c>
      <c r="M374" s="34" t="s">
        <v>1390</v>
      </c>
      <c r="N374" s="34" t="s">
        <v>1709</v>
      </c>
      <c r="O374" s="35">
        <v>1</v>
      </c>
      <c r="P374" s="35"/>
      <c r="Q374" s="32"/>
      <c r="S374" s="1">
        <f t="shared" si="115"/>
        <v>0</v>
      </c>
      <c r="T374" s="1">
        <f t="shared" si="116"/>
        <v>0</v>
      </c>
      <c r="U374" s="1">
        <f t="shared" si="117"/>
        <v>0</v>
      </c>
      <c r="V374" s="1">
        <f t="shared" si="118"/>
        <v>1</v>
      </c>
      <c r="W374" s="1">
        <f t="shared" si="119"/>
        <v>0</v>
      </c>
      <c r="X374" s="1">
        <f t="shared" si="120"/>
        <v>0</v>
      </c>
      <c r="Y374" s="1">
        <f t="shared" si="121"/>
        <v>0</v>
      </c>
      <c r="Z374" s="1">
        <f t="shared" si="122"/>
        <v>0</v>
      </c>
      <c r="AA374" s="1">
        <f t="shared" si="123"/>
        <v>0</v>
      </c>
      <c r="AB374" s="1">
        <f t="shared" si="124"/>
        <v>0</v>
      </c>
      <c r="AD374" s="1">
        <f t="shared" si="125"/>
        <v>0</v>
      </c>
      <c r="AE374" s="1">
        <f t="shared" si="126"/>
        <v>1</v>
      </c>
      <c r="AF374" s="1">
        <f t="shared" si="127"/>
        <v>0</v>
      </c>
      <c r="AG374" s="1">
        <f t="shared" si="128"/>
        <v>1</v>
      </c>
      <c r="AH374" s="1">
        <f t="shared" si="129"/>
        <v>0</v>
      </c>
      <c r="AI374" s="1">
        <f t="shared" si="130"/>
        <v>1</v>
      </c>
    </row>
    <row r="375" spans="1:35" s="1" customFormat="1" ht="14.25" customHeight="1" x14ac:dyDescent="0.25">
      <c r="A375" s="31">
        <v>0</v>
      </c>
      <c r="B375" s="31">
        <v>2</v>
      </c>
      <c r="C375" s="31">
        <v>4</v>
      </c>
      <c r="D375" s="32" t="s">
        <v>621</v>
      </c>
      <c r="E375" s="32" t="s">
        <v>676</v>
      </c>
      <c r="F375" s="32" t="s">
        <v>662</v>
      </c>
      <c r="G375" s="32" t="s">
        <v>620</v>
      </c>
      <c r="H375" s="32" t="s">
        <v>352</v>
      </c>
      <c r="I375" s="31" t="s">
        <v>622</v>
      </c>
      <c r="J375" s="31">
        <v>99</v>
      </c>
      <c r="K375" s="33" t="s">
        <v>936</v>
      </c>
      <c r="L375" s="33" t="s">
        <v>39</v>
      </c>
      <c r="M375" s="34" t="s">
        <v>39</v>
      </c>
      <c r="N375" s="34" t="s">
        <v>1699</v>
      </c>
      <c r="O375" s="35">
        <v>1</v>
      </c>
      <c r="P375" s="35">
        <v>1</v>
      </c>
      <c r="Q375" s="32" t="s">
        <v>1855</v>
      </c>
      <c r="S375" s="1">
        <f t="shared" si="115"/>
        <v>0</v>
      </c>
      <c r="T375" s="1">
        <f t="shared" si="116"/>
        <v>0</v>
      </c>
      <c r="U375" s="1">
        <f t="shared" si="117"/>
        <v>0</v>
      </c>
      <c r="V375" s="1">
        <f t="shared" si="118"/>
        <v>0</v>
      </c>
      <c r="W375" s="1">
        <f t="shared" si="119"/>
        <v>0</v>
      </c>
      <c r="X375" s="1">
        <f t="shared" si="120"/>
        <v>0</v>
      </c>
      <c r="Y375" s="1">
        <f t="shared" si="121"/>
        <v>0</v>
      </c>
      <c r="Z375" s="1">
        <f t="shared" si="122"/>
        <v>0</v>
      </c>
      <c r="AA375" s="1">
        <f t="shared" si="123"/>
        <v>0</v>
      </c>
      <c r="AB375" s="1">
        <f t="shared" si="124"/>
        <v>0</v>
      </c>
      <c r="AD375" s="1">
        <f t="shared" si="125"/>
        <v>1</v>
      </c>
      <c r="AE375" s="1">
        <f t="shared" si="126"/>
        <v>0</v>
      </c>
      <c r="AF375" s="1">
        <f t="shared" si="127"/>
        <v>1</v>
      </c>
      <c r="AG375" s="1">
        <f t="shared" si="128"/>
        <v>0</v>
      </c>
      <c r="AH375" s="1">
        <f t="shared" si="129"/>
        <v>1</v>
      </c>
      <c r="AI375" s="1">
        <f t="shared" si="130"/>
        <v>0</v>
      </c>
    </row>
    <row r="376" spans="1:35" s="1" customFormat="1" ht="14.25" customHeight="1" x14ac:dyDescent="0.25">
      <c r="A376" s="31">
        <v>0</v>
      </c>
      <c r="B376" s="31">
        <v>2</v>
      </c>
      <c r="C376" s="31">
        <v>4</v>
      </c>
      <c r="D376" s="32" t="s">
        <v>84</v>
      </c>
      <c r="E376" s="32" t="s">
        <v>35</v>
      </c>
      <c r="F376" s="32" t="s">
        <v>276</v>
      </c>
      <c r="G376" s="32" t="s">
        <v>223</v>
      </c>
      <c r="H376" s="32" t="s">
        <v>352</v>
      </c>
      <c r="I376" s="31" t="s">
        <v>431</v>
      </c>
      <c r="J376" s="31">
        <v>99</v>
      </c>
      <c r="K376" s="33" t="s">
        <v>935</v>
      </c>
      <c r="L376" s="33" t="s">
        <v>695</v>
      </c>
      <c r="M376" s="34" t="s">
        <v>717</v>
      </c>
      <c r="N376" s="34" t="s">
        <v>1721</v>
      </c>
      <c r="O376" s="35">
        <v>1</v>
      </c>
      <c r="P376" s="35"/>
      <c r="Q376" s="32"/>
      <c r="S376" s="1">
        <f t="shared" si="115"/>
        <v>0</v>
      </c>
      <c r="T376" s="1">
        <f t="shared" si="116"/>
        <v>0</v>
      </c>
      <c r="U376" s="1">
        <f t="shared" si="117"/>
        <v>0</v>
      </c>
      <c r="V376" s="1">
        <f t="shared" si="118"/>
        <v>0</v>
      </c>
      <c r="W376" s="1">
        <f t="shared" si="119"/>
        <v>0</v>
      </c>
      <c r="X376" s="1">
        <f t="shared" si="120"/>
        <v>0</v>
      </c>
      <c r="Y376" s="1">
        <f t="shared" si="121"/>
        <v>0</v>
      </c>
      <c r="Z376" s="1">
        <f t="shared" si="122"/>
        <v>0</v>
      </c>
      <c r="AA376" s="1">
        <f t="shared" si="123"/>
        <v>0</v>
      </c>
      <c r="AB376" s="1">
        <f t="shared" si="124"/>
        <v>0</v>
      </c>
      <c r="AD376" s="1">
        <f t="shared" si="125"/>
        <v>0</v>
      </c>
      <c r="AE376" s="1">
        <f t="shared" si="126"/>
        <v>1</v>
      </c>
      <c r="AF376" s="1">
        <f t="shared" si="127"/>
        <v>0</v>
      </c>
      <c r="AG376" s="1">
        <f t="shared" si="128"/>
        <v>1</v>
      </c>
      <c r="AH376" s="1">
        <f t="shared" si="129"/>
        <v>0</v>
      </c>
      <c r="AI376" s="1">
        <f t="shared" si="130"/>
        <v>1</v>
      </c>
    </row>
    <row r="377" spans="1:35" s="1" customFormat="1" ht="14.25" customHeight="1" x14ac:dyDescent="0.25">
      <c r="A377" s="31">
        <v>0</v>
      </c>
      <c r="B377" s="31">
        <v>2</v>
      </c>
      <c r="C377" s="31">
        <v>4</v>
      </c>
      <c r="D377" s="32" t="s">
        <v>864</v>
      </c>
      <c r="E377" s="32" t="s">
        <v>757</v>
      </c>
      <c r="F377" s="32" t="s">
        <v>862</v>
      </c>
      <c r="G377" s="32" t="s">
        <v>278</v>
      </c>
      <c r="H377" s="32" t="s">
        <v>352</v>
      </c>
      <c r="I377" s="31" t="s">
        <v>863</v>
      </c>
      <c r="J377" s="31">
        <v>99</v>
      </c>
      <c r="K377" s="33" t="s">
        <v>694</v>
      </c>
      <c r="L377" s="33">
        <v>25</v>
      </c>
      <c r="M377" s="34" t="s">
        <v>1391</v>
      </c>
      <c r="N377" s="34" t="s">
        <v>1808</v>
      </c>
      <c r="O377" s="35">
        <v>1</v>
      </c>
      <c r="P377" s="35"/>
      <c r="Q377" s="32"/>
      <c r="S377" s="1">
        <f t="shared" si="115"/>
        <v>0</v>
      </c>
      <c r="T377" s="1">
        <f t="shared" si="116"/>
        <v>0</v>
      </c>
      <c r="U377" s="1">
        <f t="shared" si="117"/>
        <v>0</v>
      </c>
      <c r="V377" s="1">
        <f t="shared" si="118"/>
        <v>0</v>
      </c>
      <c r="W377" s="1">
        <f t="shared" si="119"/>
        <v>0</v>
      </c>
      <c r="X377" s="1">
        <f t="shared" si="120"/>
        <v>0</v>
      </c>
      <c r="Y377" s="1">
        <f t="shared" si="121"/>
        <v>0</v>
      </c>
      <c r="Z377" s="1">
        <f t="shared" si="122"/>
        <v>0</v>
      </c>
      <c r="AA377" s="1">
        <f t="shared" si="123"/>
        <v>0</v>
      </c>
      <c r="AB377" s="1">
        <f t="shared" si="124"/>
        <v>0</v>
      </c>
      <c r="AD377" s="1">
        <f t="shared" si="125"/>
        <v>0</v>
      </c>
      <c r="AE377" s="1">
        <f t="shared" si="126"/>
        <v>1</v>
      </c>
      <c r="AF377" s="1">
        <f t="shared" si="127"/>
        <v>0</v>
      </c>
      <c r="AG377" s="1">
        <f t="shared" si="128"/>
        <v>1</v>
      </c>
      <c r="AH377" s="1">
        <f t="shared" si="129"/>
        <v>0</v>
      </c>
      <c r="AI377" s="1">
        <f t="shared" si="130"/>
        <v>1</v>
      </c>
    </row>
    <row r="378" spans="1:35" s="1" customFormat="1" ht="14.25" customHeight="1" x14ac:dyDescent="0.25">
      <c r="A378" s="31">
        <v>0</v>
      </c>
      <c r="B378" s="31">
        <v>2</v>
      </c>
      <c r="C378" s="31">
        <v>4</v>
      </c>
      <c r="D378" s="32" t="s">
        <v>905</v>
      </c>
      <c r="E378" s="32" t="s">
        <v>757</v>
      </c>
      <c r="F378" s="32" t="s">
        <v>829</v>
      </c>
      <c r="G378" s="32" t="s">
        <v>208</v>
      </c>
      <c r="H378" s="32" t="s">
        <v>352</v>
      </c>
      <c r="I378" s="31" t="s">
        <v>830</v>
      </c>
      <c r="J378" s="31">
        <v>99</v>
      </c>
      <c r="K378" s="33" t="s">
        <v>703</v>
      </c>
      <c r="L378" s="33" t="s">
        <v>695</v>
      </c>
      <c r="M378" s="34" t="s">
        <v>717</v>
      </c>
      <c r="N378" s="34" t="s">
        <v>1716</v>
      </c>
      <c r="O378" s="35">
        <v>1</v>
      </c>
      <c r="P378" s="35"/>
      <c r="Q378" s="32"/>
      <c r="S378" s="1">
        <f t="shared" si="115"/>
        <v>0</v>
      </c>
      <c r="T378" s="1">
        <f t="shared" si="116"/>
        <v>0</v>
      </c>
      <c r="U378" s="1">
        <f t="shared" si="117"/>
        <v>0</v>
      </c>
      <c r="V378" s="1">
        <f t="shared" si="118"/>
        <v>0</v>
      </c>
      <c r="W378" s="1">
        <f t="shared" si="119"/>
        <v>0</v>
      </c>
      <c r="X378" s="1">
        <f t="shared" si="120"/>
        <v>0</v>
      </c>
      <c r="Y378" s="1">
        <f t="shared" si="121"/>
        <v>0</v>
      </c>
      <c r="Z378" s="1">
        <f t="shared" si="122"/>
        <v>0</v>
      </c>
      <c r="AA378" s="1">
        <f t="shared" si="123"/>
        <v>0</v>
      </c>
      <c r="AB378" s="1">
        <f t="shared" si="124"/>
        <v>0</v>
      </c>
      <c r="AD378" s="1">
        <f t="shared" si="125"/>
        <v>0</v>
      </c>
      <c r="AE378" s="1">
        <f t="shared" si="126"/>
        <v>1</v>
      </c>
      <c r="AF378" s="1">
        <f t="shared" si="127"/>
        <v>0</v>
      </c>
      <c r="AG378" s="1">
        <f t="shared" si="128"/>
        <v>1</v>
      </c>
      <c r="AH378" s="1">
        <f t="shared" si="129"/>
        <v>0</v>
      </c>
      <c r="AI378" s="1">
        <f t="shared" si="130"/>
        <v>1</v>
      </c>
    </row>
    <row r="379" spans="1:35" s="1" customFormat="1" ht="14.25" customHeight="1" x14ac:dyDescent="0.25">
      <c r="A379" s="31">
        <v>0</v>
      </c>
      <c r="B379" s="31">
        <v>2</v>
      </c>
      <c r="C379" s="31">
        <v>4</v>
      </c>
      <c r="D379" s="32" t="s">
        <v>1980</v>
      </c>
      <c r="E379" s="32" t="s">
        <v>35</v>
      </c>
      <c r="F379" s="32" t="s">
        <v>1981</v>
      </c>
      <c r="G379" s="32" t="s">
        <v>208</v>
      </c>
      <c r="H379" s="32" t="s">
        <v>352</v>
      </c>
      <c r="I379" s="31" t="s">
        <v>1982</v>
      </c>
      <c r="J379" s="31">
        <v>99</v>
      </c>
      <c r="K379" s="33" t="s">
        <v>694</v>
      </c>
      <c r="L379" s="33">
        <v>25</v>
      </c>
      <c r="M379" s="34" t="s">
        <v>1984</v>
      </c>
      <c r="N379" s="34" t="s">
        <v>1808</v>
      </c>
      <c r="O379" s="35">
        <v>1</v>
      </c>
      <c r="P379" s="35"/>
      <c r="Q379" s="32" t="s">
        <v>1983</v>
      </c>
      <c r="S379" s="1">
        <f t="shared" si="115"/>
        <v>0</v>
      </c>
      <c r="T379" s="1">
        <f t="shared" si="116"/>
        <v>0</v>
      </c>
      <c r="U379" s="1">
        <f t="shared" si="117"/>
        <v>0</v>
      </c>
      <c r="V379" s="1">
        <f t="shared" si="118"/>
        <v>0</v>
      </c>
      <c r="W379" s="1">
        <f t="shared" si="119"/>
        <v>0</v>
      </c>
      <c r="X379" s="1">
        <f t="shared" si="120"/>
        <v>0</v>
      </c>
      <c r="Y379" s="1">
        <f t="shared" si="121"/>
        <v>0</v>
      </c>
      <c r="Z379" s="1">
        <f t="shared" si="122"/>
        <v>0</v>
      </c>
      <c r="AA379" s="1">
        <f t="shared" si="123"/>
        <v>0</v>
      </c>
      <c r="AB379" s="1">
        <f t="shared" si="124"/>
        <v>0</v>
      </c>
      <c r="AD379" s="1">
        <f t="shared" si="125"/>
        <v>0</v>
      </c>
      <c r="AE379" s="1">
        <f t="shared" si="126"/>
        <v>1</v>
      </c>
      <c r="AF379" s="1">
        <f t="shared" si="127"/>
        <v>0</v>
      </c>
      <c r="AG379" s="1">
        <f t="shared" si="128"/>
        <v>1</v>
      </c>
      <c r="AH379" s="1">
        <f t="shared" si="129"/>
        <v>0</v>
      </c>
      <c r="AI379" s="1">
        <f t="shared" si="130"/>
        <v>1</v>
      </c>
    </row>
    <row r="380" spans="1:35" s="1" customFormat="1" ht="14.25" customHeight="1" x14ac:dyDescent="0.25">
      <c r="A380" s="31">
        <v>0</v>
      </c>
      <c r="B380" s="31">
        <v>2</v>
      </c>
      <c r="C380" s="31">
        <v>4</v>
      </c>
      <c r="D380" s="32" t="s">
        <v>1198</v>
      </c>
      <c r="E380" s="32" t="s">
        <v>1197</v>
      </c>
      <c r="F380" s="32" t="s">
        <v>1199</v>
      </c>
      <c r="G380" s="32" t="s">
        <v>531</v>
      </c>
      <c r="H380" s="32" t="s">
        <v>352</v>
      </c>
      <c r="I380" s="31" t="s">
        <v>1200</v>
      </c>
      <c r="J380" s="31">
        <v>99</v>
      </c>
      <c r="K380" s="33" t="s">
        <v>704</v>
      </c>
      <c r="L380" s="33" t="s">
        <v>685</v>
      </c>
      <c r="M380" s="34" t="s">
        <v>1392</v>
      </c>
      <c r="N380" s="34" t="s">
        <v>1693</v>
      </c>
      <c r="O380" s="35">
        <v>1</v>
      </c>
      <c r="P380" s="35">
        <v>1</v>
      </c>
      <c r="Q380" s="32"/>
      <c r="S380" s="1">
        <f t="shared" si="115"/>
        <v>0</v>
      </c>
      <c r="T380" s="1">
        <f t="shared" si="116"/>
        <v>0</v>
      </c>
      <c r="U380" s="1">
        <f t="shared" si="117"/>
        <v>0</v>
      </c>
      <c r="V380" s="1">
        <f t="shared" si="118"/>
        <v>0</v>
      </c>
      <c r="W380" s="1">
        <f t="shared" si="119"/>
        <v>0</v>
      </c>
      <c r="X380" s="1">
        <f t="shared" si="120"/>
        <v>0</v>
      </c>
      <c r="Y380" s="1">
        <f t="shared" si="121"/>
        <v>0</v>
      </c>
      <c r="Z380" s="1">
        <f t="shared" si="122"/>
        <v>0</v>
      </c>
      <c r="AA380" s="1">
        <f t="shared" si="123"/>
        <v>0</v>
      </c>
      <c r="AB380" s="1">
        <f t="shared" si="124"/>
        <v>0</v>
      </c>
      <c r="AD380" s="1">
        <f t="shared" si="125"/>
        <v>1</v>
      </c>
      <c r="AE380" s="1">
        <f t="shared" si="126"/>
        <v>0</v>
      </c>
      <c r="AF380" s="1">
        <f t="shared" si="127"/>
        <v>1</v>
      </c>
      <c r="AG380" s="1">
        <f t="shared" si="128"/>
        <v>0</v>
      </c>
      <c r="AH380" s="1">
        <f t="shared" si="129"/>
        <v>1</v>
      </c>
      <c r="AI380" s="1">
        <f t="shared" si="130"/>
        <v>0</v>
      </c>
    </row>
    <row r="381" spans="1:35" s="1" customFormat="1" ht="14.25" customHeight="1" x14ac:dyDescent="0.25">
      <c r="A381" s="31">
        <v>0</v>
      </c>
      <c r="B381" s="31">
        <v>2</v>
      </c>
      <c r="C381" s="31">
        <v>4</v>
      </c>
      <c r="D381" s="32" t="s">
        <v>808</v>
      </c>
      <c r="E381" s="32" t="s">
        <v>582</v>
      </c>
      <c r="F381" s="32" t="s">
        <v>809</v>
      </c>
      <c r="G381" s="32" t="s">
        <v>919</v>
      </c>
      <c r="H381" s="32" t="s">
        <v>352</v>
      </c>
      <c r="I381" s="31" t="s">
        <v>932</v>
      </c>
      <c r="J381" s="31">
        <v>7</v>
      </c>
      <c r="K381" s="33" t="s">
        <v>703</v>
      </c>
      <c r="L381" s="33" t="s">
        <v>39</v>
      </c>
      <c r="M381" s="34" t="s">
        <v>39</v>
      </c>
      <c r="N381" s="34" t="s">
        <v>1693</v>
      </c>
      <c r="O381" s="35">
        <v>1</v>
      </c>
      <c r="P381" s="35">
        <v>1</v>
      </c>
      <c r="Q381" s="32"/>
      <c r="S381" s="1">
        <f t="shared" si="115"/>
        <v>0</v>
      </c>
      <c r="T381" s="1">
        <f t="shared" si="116"/>
        <v>0</v>
      </c>
      <c r="U381" s="1">
        <f t="shared" si="117"/>
        <v>0</v>
      </c>
      <c r="V381" s="1">
        <f t="shared" si="118"/>
        <v>0</v>
      </c>
      <c r="W381" s="1">
        <f t="shared" si="119"/>
        <v>0</v>
      </c>
      <c r="X381" s="1">
        <f t="shared" si="120"/>
        <v>0</v>
      </c>
      <c r="Y381" s="1">
        <f t="shared" si="121"/>
        <v>1</v>
      </c>
      <c r="Z381" s="1">
        <f t="shared" si="122"/>
        <v>0</v>
      </c>
      <c r="AA381" s="1">
        <f t="shared" si="123"/>
        <v>0</v>
      </c>
      <c r="AB381" s="1">
        <f t="shared" si="124"/>
        <v>0</v>
      </c>
      <c r="AD381" s="1">
        <f t="shared" si="125"/>
        <v>1</v>
      </c>
      <c r="AE381" s="1">
        <f t="shared" si="126"/>
        <v>0</v>
      </c>
      <c r="AF381" s="1">
        <f t="shared" si="127"/>
        <v>1</v>
      </c>
      <c r="AG381" s="1">
        <f t="shared" si="128"/>
        <v>0</v>
      </c>
      <c r="AH381" s="1">
        <f t="shared" si="129"/>
        <v>1</v>
      </c>
      <c r="AI381" s="1">
        <f t="shared" si="130"/>
        <v>0</v>
      </c>
    </row>
    <row r="382" spans="1:35" s="1" customFormat="1" ht="14.25" customHeight="1" x14ac:dyDescent="0.25">
      <c r="A382" s="31">
        <v>0</v>
      </c>
      <c r="B382" s="31">
        <v>2</v>
      </c>
      <c r="C382" s="31">
        <v>4</v>
      </c>
      <c r="D382" s="32" t="s">
        <v>1572</v>
      </c>
      <c r="E382" s="32" t="s">
        <v>1622</v>
      </c>
      <c r="F382" s="32" t="s">
        <v>1573</v>
      </c>
      <c r="G382" s="32" t="s">
        <v>331</v>
      </c>
      <c r="H382" s="32" t="s">
        <v>352</v>
      </c>
      <c r="I382" s="31" t="s">
        <v>30</v>
      </c>
      <c r="J382" s="31">
        <v>99</v>
      </c>
      <c r="K382" s="33" t="s">
        <v>704</v>
      </c>
      <c r="L382" s="33">
        <v>20</v>
      </c>
      <c r="M382" s="34" t="s">
        <v>39</v>
      </c>
      <c r="N382" s="34" t="s">
        <v>1715</v>
      </c>
      <c r="O382" s="35">
        <v>1</v>
      </c>
      <c r="P382" s="35"/>
      <c r="Q382" s="32"/>
      <c r="S382" s="1">
        <f t="shared" si="115"/>
        <v>0</v>
      </c>
      <c r="T382" s="1">
        <f t="shared" si="116"/>
        <v>0</v>
      </c>
      <c r="U382" s="1">
        <f t="shared" si="117"/>
        <v>0</v>
      </c>
      <c r="V382" s="1">
        <f t="shared" si="118"/>
        <v>0</v>
      </c>
      <c r="W382" s="1">
        <f t="shared" si="119"/>
        <v>0</v>
      </c>
      <c r="X382" s="1">
        <f t="shared" si="120"/>
        <v>0</v>
      </c>
      <c r="Y382" s="1">
        <f t="shared" si="121"/>
        <v>0</v>
      </c>
      <c r="Z382" s="1">
        <f t="shared" si="122"/>
        <v>0</v>
      </c>
      <c r="AA382" s="1">
        <f t="shared" si="123"/>
        <v>0</v>
      </c>
      <c r="AB382" s="1">
        <f t="shared" si="124"/>
        <v>0</v>
      </c>
      <c r="AD382" s="1">
        <f t="shared" si="125"/>
        <v>0</v>
      </c>
      <c r="AE382" s="1">
        <f t="shared" si="126"/>
        <v>1</v>
      </c>
      <c r="AF382" s="1">
        <f t="shared" si="127"/>
        <v>0</v>
      </c>
      <c r="AG382" s="1">
        <f t="shared" si="128"/>
        <v>1</v>
      </c>
      <c r="AH382" s="1">
        <f t="shared" si="129"/>
        <v>0</v>
      </c>
      <c r="AI382" s="1">
        <f t="shared" si="130"/>
        <v>1</v>
      </c>
    </row>
    <row r="383" spans="1:35" s="1" customFormat="1" ht="14.25" customHeight="1" x14ac:dyDescent="0.25">
      <c r="A383" s="15">
        <v>0</v>
      </c>
      <c r="B383" s="15">
        <v>2</v>
      </c>
      <c r="C383" s="15">
        <v>4</v>
      </c>
      <c r="D383" s="16" t="s">
        <v>2145</v>
      </c>
      <c r="E383" s="16" t="s">
        <v>2146</v>
      </c>
      <c r="F383" s="16" t="s">
        <v>2147</v>
      </c>
      <c r="G383" s="16" t="s">
        <v>278</v>
      </c>
      <c r="H383" s="16" t="s">
        <v>352</v>
      </c>
      <c r="I383" s="21" t="s">
        <v>2148</v>
      </c>
      <c r="J383" s="15">
        <v>99</v>
      </c>
      <c r="K383" s="10" t="s">
        <v>694</v>
      </c>
      <c r="L383" s="10">
        <v>30</v>
      </c>
      <c r="M383" s="19" t="s">
        <v>2149</v>
      </c>
      <c r="N383" s="19"/>
      <c r="Q383" s="16" t="s">
        <v>2150</v>
      </c>
      <c r="S383" s="1">
        <f t="shared" si="115"/>
        <v>0</v>
      </c>
      <c r="T383" s="1">
        <f t="shared" si="116"/>
        <v>0</v>
      </c>
      <c r="U383" s="1">
        <f t="shared" si="117"/>
        <v>0</v>
      </c>
      <c r="V383" s="1">
        <f t="shared" si="118"/>
        <v>0</v>
      </c>
      <c r="W383" s="1">
        <f t="shared" si="119"/>
        <v>0</v>
      </c>
      <c r="X383" s="1">
        <f t="shared" si="120"/>
        <v>0</v>
      </c>
      <c r="Y383" s="1">
        <f t="shared" si="121"/>
        <v>0</v>
      </c>
      <c r="Z383" s="1">
        <f t="shared" si="122"/>
        <v>0</v>
      </c>
      <c r="AA383" s="1">
        <f t="shared" si="123"/>
        <v>0</v>
      </c>
      <c r="AB383" s="1">
        <f t="shared" si="124"/>
        <v>0</v>
      </c>
      <c r="AD383" s="1">
        <f t="shared" ref="AD383:AD386" si="131">+O383*P383</f>
        <v>0</v>
      </c>
      <c r="AE383" s="1">
        <f t="shared" ref="AE383:AE386" si="132">O383*(1-P383)</f>
        <v>0</v>
      </c>
      <c r="AF383" s="1">
        <f t="shared" ref="AF383:AF386" si="133">+O383*P383*(1-A383)</f>
        <v>0</v>
      </c>
      <c r="AG383" s="1">
        <f t="shared" ref="AG383:AG386" si="134">O383*(1-P383)*(1-A383)</f>
        <v>0</v>
      </c>
      <c r="AH383" s="1">
        <f t="shared" ref="AH383:AH386" si="135">+P383*(1-A383)</f>
        <v>0</v>
      </c>
      <c r="AI383" s="1">
        <f t="shared" ref="AI383:AI386" si="136">+(1-A383)*(1-P383)</f>
        <v>1</v>
      </c>
    </row>
    <row r="384" spans="1:35" s="1" customFormat="1" ht="14.25" customHeight="1" x14ac:dyDescent="0.25">
      <c r="A384" s="31">
        <v>0</v>
      </c>
      <c r="B384" s="31">
        <v>2</v>
      </c>
      <c r="C384" s="31">
        <v>5</v>
      </c>
      <c r="D384" s="32" t="s">
        <v>58</v>
      </c>
      <c r="E384" s="32" t="s">
        <v>44</v>
      </c>
      <c r="F384" s="32" t="s">
        <v>663</v>
      </c>
      <c r="G384" s="32" t="s">
        <v>222</v>
      </c>
      <c r="H384" s="32" t="s">
        <v>352</v>
      </c>
      <c r="I384" s="31" t="s">
        <v>395</v>
      </c>
      <c r="J384" s="31">
        <v>8</v>
      </c>
      <c r="K384" s="33" t="s">
        <v>704</v>
      </c>
      <c r="L384" s="33" t="s">
        <v>707</v>
      </c>
      <c r="M384" s="34" t="s">
        <v>1393</v>
      </c>
      <c r="N384" s="34" t="s">
        <v>1708</v>
      </c>
      <c r="O384" s="35">
        <v>1</v>
      </c>
      <c r="P384" s="35"/>
      <c r="Q384" s="32"/>
      <c r="S384" s="1">
        <f t="shared" si="115"/>
        <v>0</v>
      </c>
      <c r="T384" s="1">
        <f t="shared" si="116"/>
        <v>0</v>
      </c>
      <c r="U384" s="1">
        <f t="shared" si="117"/>
        <v>0</v>
      </c>
      <c r="V384" s="1">
        <f t="shared" si="118"/>
        <v>0</v>
      </c>
      <c r="W384" s="1">
        <f t="shared" si="119"/>
        <v>0</v>
      </c>
      <c r="X384" s="1">
        <f t="shared" si="120"/>
        <v>0</v>
      </c>
      <c r="Y384" s="1">
        <f t="shared" si="121"/>
        <v>0</v>
      </c>
      <c r="Z384" s="1">
        <f t="shared" si="122"/>
        <v>1</v>
      </c>
      <c r="AA384" s="1">
        <f t="shared" si="123"/>
        <v>0</v>
      </c>
      <c r="AB384" s="1">
        <f t="shared" si="124"/>
        <v>0</v>
      </c>
      <c r="AD384" s="1">
        <f t="shared" si="131"/>
        <v>0</v>
      </c>
      <c r="AE384" s="1">
        <f t="shared" si="132"/>
        <v>1</v>
      </c>
      <c r="AF384" s="1">
        <f t="shared" si="133"/>
        <v>0</v>
      </c>
      <c r="AG384" s="1">
        <f t="shared" si="134"/>
        <v>1</v>
      </c>
      <c r="AH384" s="1">
        <f t="shared" si="135"/>
        <v>0</v>
      </c>
      <c r="AI384" s="1">
        <f t="shared" si="136"/>
        <v>1</v>
      </c>
    </row>
    <row r="385" spans="1:35" s="1" customFormat="1" ht="14.25" customHeight="1" x14ac:dyDescent="0.25">
      <c r="A385" s="31">
        <v>0</v>
      </c>
      <c r="B385" s="31">
        <v>2</v>
      </c>
      <c r="C385" s="31">
        <v>5</v>
      </c>
      <c r="D385" s="32" t="s">
        <v>817</v>
      </c>
      <c r="E385" s="32" t="s">
        <v>816</v>
      </c>
      <c r="F385" s="32" t="s">
        <v>907</v>
      </c>
      <c r="G385" s="32" t="s">
        <v>212</v>
      </c>
      <c r="H385" s="32" t="s">
        <v>352</v>
      </c>
      <c r="I385" s="31" t="s">
        <v>818</v>
      </c>
      <c r="J385" s="31">
        <v>1</v>
      </c>
      <c r="K385" s="33" t="s">
        <v>703</v>
      </c>
      <c r="L385" s="33" t="s">
        <v>684</v>
      </c>
      <c r="M385" s="34" t="s">
        <v>1394</v>
      </c>
      <c r="N385" s="34" t="s">
        <v>1704</v>
      </c>
      <c r="O385" s="35">
        <v>1</v>
      </c>
      <c r="P385" s="35"/>
      <c r="Q385" s="32"/>
      <c r="S385" s="1">
        <f t="shared" si="115"/>
        <v>1</v>
      </c>
      <c r="T385" s="1">
        <f t="shared" si="116"/>
        <v>0</v>
      </c>
      <c r="U385" s="1">
        <f t="shared" si="117"/>
        <v>0</v>
      </c>
      <c r="V385" s="1">
        <f t="shared" si="118"/>
        <v>0</v>
      </c>
      <c r="W385" s="1">
        <f t="shared" si="119"/>
        <v>0</v>
      </c>
      <c r="X385" s="1">
        <f t="shared" si="120"/>
        <v>0</v>
      </c>
      <c r="Y385" s="1">
        <f t="shared" si="121"/>
        <v>0</v>
      </c>
      <c r="Z385" s="1">
        <f t="shared" si="122"/>
        <v>0</v>
      </c>
      <c r="AA385" s="1">
        <f t="shared" si="123"/>
        <v>0</v>
      </c>
      <c r="AB385" s="1">
        <f t="shared" si="124"/>
        <v>0</v>
      </c>
      <c r="AD385" s="1">
        <f t="shared" si="131"/>
        <v>0</v>
      </c>
      <c r="AE385" s="1">
        <f t="shared" si="132"/>
        <v>1</v>
      </c>
      <c r="AF385" s="1">
        <f t="shared" si="133"/>
        <v>0</v>
      </c>
      <c r="AG385" s="1">
        <f t="shared" si="134"/>
        <v>1</v>
      </c>
      <c r="AH385" s="1">
        <f t="shared" si="135"/>
        <v>0</v>
      </c>
      <c r="AI385" s="1">
        <f t="shared" si="136"/>
        <v>1</v>
      </c>
    </row>
    <row r="386" spans="1:35" s="1" customFormat="1" ht="14.25" customHeight="1" x14ac:dyDescent="0.25">
      <c r="A386" s="31">
        <v>0</v>
      </c>
      <c r="B386" s="31">
        <v>2</v>
      </c>
      <c r="C386" s="31">
        <v>5</v>
      </c>
      <c r="D386" s="36" t="s">
        <v>2013</v>
      </c>
      <c r="E386" s="36" t="s">
        <v>169</v>
      </c>
      <c r="F386" s="36" t="s">
        <v>2014</v>
      </c>
      <c r="G386" s="36" t="s">
        <v>1501</v>
      </c>
      <c r="H386" s="36" t="s">
        <v>352</v>
      </c>
      <c r="I386" s="37" t="s">
        <v>2015</v>
      </c>
      <c r="J386" s="31">
        <v>5</v>
      </c>
      <c r="K386" s="33" t="s">
        <v>694</v>
      </c>
      <c r="L386" s="33"/>
      <c r="M386" s="34"/>
      <c r="N386" s="34" t="s">
        <v>1693</v>
      </c>
      <c r="O386" s="35">
        <v>1</v>
      </c>
      <c r="P386" s="35">
        <v>1</v>
      </c>
      <c r="Q386" s="36" t="s">
        <v>2016</v>
      </c>
      <c r="S386" s="1">
        <f t="shared" si="115"/>
        <v>0</v>
      </c>
      <c r="T386" s="1">
        <f t="shared" si="116"/>
        <v>0</v>
      </c>
      <c r="U386" s="1">
        <f t="shared" si="117"/>
        <v>0</v>
      </c>
      <c r="V386" s="1">
        <f t="shared" si="118"/>
        <v>0</v>
      </c>
      <c r="W386" s="1">
        <f t="shared" si="119"/>
        <v>1</v>
      </c>
      <c r="X386" s="1">
        <f t="shared" si="120"/>
        <v>0</v>
      </c>
      <c r="Y386" s="1">
        <f t="shared" si="121"/>
        <v>0</v>
      </c>
      <c r="Z386" s="1">
        <f t="shared" si="122"/>
        <v>0</v>
      </c>
      <c r="AA386" s="1">
        <f t="shared" si="123"/>
        <v>0</v>
      </c>
      <c r="AB386" s="1">
        <f t="shared" si="124"/>
        <v>0</v>
      </c>
      <c r="AD386" s="1">
        <f t="shared" si="131"/>
        <v>1</v>
      </c>
      <c r="AE386" s="1">
        <f t="shared" si="132"/>
        <v>0</v>
      </c>
      <c r="AF386" s="1">
        <f t="shared" si="133"/>
        <v>1</v>
      </c>
      <c r="AG386" s="1">
        <f t="shared" si="134"/>
        <v>0</v>
      </c>
      <c r="AH386" s="1">
        <f t="shared" si="135"/>
        <v>1</v>
      </c>
      <c r="AI386" s="1">
        <f t="shared" si="136"/>
        <v>0</v>
      </c>
    </row>
    <row r="387" spans="1:35" s="1" customFormat="1" ht="14.25" customHeight="1" x14ac:dyDescent="0.25">
      <c r="A387" s="31">
        <v>0</v>
      </c>
      <c r="B387" s="31">
        <v>2</v>
      </c>
      <c r="C387" s="31">
        <v>5</v>
      </c>
      <c r="D387" s="32" t="s">
        <v>65</v>
      </c>
      <c r="E387" s="32" t="s">
        <v>163</v>
      </c>
      <c r="F387" s="32" t="s">
        <v>543</v>
      </c>
      <c r="G387" s="32" t="s">
        <v>193</v>
      </c>
      <c r="H387" s="32" t="s">
        <v>352</v>
      </c>
      <c r="I387" s="31" t="s">
        <v>548</v>
      </c>
      <c r="J387" s="31">
        <v>9</v>
      </c>
      <c r="K387" s="33" t="s">
        <v>704</v>
      </c>
      <c r="L387" s="33" t="s">
        <v>678</v>
      </c>
      <c r="M387" s="34" t="s">
        <v>1412</v>
      </c>
      <c r="N387" s="34" t="s">
        <v>1721</v>
      </c>
      <c r="O387" s="35">
        <v>1</v>
      </c>
      <c r="P387" s="35"/>
      <c r="Q387" s="32"/>
      <c r="S387" s="1">
        <f t="shared" si="115"/>
        <v>0</v>
      </c>
      <c r="T387" s="1">
        <f t="shared" si="116"/>
        <v>0</v>
      </c>
      <c r="U387" s="1">
        <f t="shared" si="117"/>
        <v>0</v>
      </c>
      <c r="V387" s="1">
        <f t="shared" si="118"/>
        <v>0</v>
      </c>
      <c r="W387" s="1">
        <f t="shared" si="119"/>
        <v>0</v>
      </c>
      <c r="X387" s="1">
        <f t="shared" si="120"/>
        <v>0</v>
      </c>
      <c r="Y387" s="1">
        <f t="shared" si="121"/>
        <v>0</v>
      </c>
      <c r="Z387" s="1">
        <f t="shared" si="122"/>
        <v>0</v>
      </c>
      <c r="AA387" s="1">
        <f t="shared" si="123"/>
        <v>1</v>
      </c>
      <c r="AB387" s="1">
        <f t="shared" si="124"/>
        <v>0</v>
      </c>
      <c r="AD387" s="1">
        <f t="shared" si="125"/>
        <v>0</v>
      </c>
      <c r="AE387" s="1">
        <f t="shared" si="126"/>
        <v>1</v>
      </c>
      <c r="AF387" s="1">
        <f t="shared" si="127"/>
        <v>0</v>
      </c>
      <c r="AG387" s="1">
        <f t="shared" si="128"/>
        <v>1</v>
      </c>
      <c r="AH387" s="1">
        <f t="shared" si="129"/>
        <v>0</v>
      </c>
      <c r="AI387" s="1">
        <f t="shared" si="130"/>
        <v>1</v>
      </c>
    </row>
    <row r="388" spans="1:35" s="1" customFormat="1" ht="14.25" customHeight="1" x14ac:dyDescent="0.25">
      <c r="A388" s="31">
        <v>0</v>
      </c>
      <c r="B388" s="31">
        <v>2</v>
      </c>
      <c r="C388" s="31">
        <v>5</v>
      </c>
      <c r="D388" s="32" t="s">
        <v>1455</v>
      </c>
      <c r="E388" s="32" t="s">
        <v>35</v>
      </c>
      <c r="F388" s="32" t="s">
        <v>1832</v>
      </c>
      <c r="G388" s="32" t="s">
        <v>221</v>
      </c>
      <c r="H388" s="32" t="s">
        <v>352</v>
      </c>
      <c r="I388" s="31" t="s">
        <v>1652</v>
      </c>
      <c r="J388" s="31">
        <v>99</v>
      </c>
      <c r="K388" s="33" t="s">
        <v>704</v>
      </c>
      <c r="L388" s="33">
        <v>25</v>
      </c>
      <c r="M388" s="34" t="s">
        <v>39</v>
      </c>
      <c r="N388" s="34" t="s">
        <v>1716</v>
      </c>
      <c r="O388" s="35">
        <v>1</v>
      </c>
      <c r="P388" s="35"/>
      <c r="Q388" s="32"/>
      <c r="S388" s="1">
        <f t="shared" si="115"/>
        <v>0</v>
      </c>
      <c r="T388" s="1">
        <f t="shared" si="116"/>
        <v>0</v>
      </c>
      <c r="U388" s="1">
        <f t="shared" si="117"/>
        <v>0</v>
      </c>
      <c r="V388" s="1">
        <f t="shared" si="118"/>
        <v>0</v>
      </c>
      <c r="W388" s="1">
        <f t="shared" si="119"/>
        <v>0</v>
      </c>
      <c r="X388" s="1">
        <f t="shared" si="120"/>
        <v>0</v>
      </c>
      <c r="Y388" s="1">
        <f t="shared" si="121"/>
        <v>0</v>
      </c>
      <c r="Z388" s="1">
        <f t="shared" si="122"/>
        <v>0</v>
      </c>
      <c r="AA388" s="1">
        <f t="shared" si="123"/>
        <v>0</v>
      </c>
      <c r="AB388" s="1">
        <f t="shared" si="124"/>
        <v>0</v>
      </c>
      <c r="AD388" s="1">
        <f t="shared" si="125"/>
        <v>0</v>
      </c>
      <c r="AE388" s="1">
        <f t="shared" si="126"/>
        <v>1</v>
      </c>
      <c r="AF388" s="1">
        <f t="shared" si="127"/>
        <v>0</v>
      </c>
      <c r="AG388" s="1">
        <f t="shared" si="128"/>
        <v>1</v>
      </c>
      <c r="AH388" s="1">
        <f t="shared" si="129"/>
        <v>0</v>
      </c>
      <c r="AI388" s="1">
        <f t="shared" si="130"/>
        <v>1</v>
      </c>
    </row>
    <row r="389" spans="1:35" s="1" customFormat="1" ht="14.25" customHeight="1" x14ac:dyDescent="0.25">
      <c r="A389" s="31">
        <v>0</v>
      </c>
      <c r="B389" s="31">
        <v>2</v>
      </c>
      <c r="C389" s="31">
        <v>5</v>
      </c>
      <c r="D389" s="32" t="s">
        <v>1778</v>
      </c>
      <c r="E389" s="32" t="s">
        <v>757</v>
      </c>
      <c r="F389" s="32" t="s">
        <v>1779</v>
      </c>
      <c r="G389" s="32" t="s">
        <v>223</v>
      </c>
      <c r="H389" s="32" t="s">
        <v>352</v>
      </c>
      <c r="I389" s="31" t="s">
        <v>1780</v>
      </c>
      <c r="J389" s="31">
        <v>99</v>
      </c>
      <c r="K389" s="33" t="s">
        <v>1781</v>
      </c>
      <c r="L389" s="33">
        <v>40</v>
      </c>
      <c r="M389" s="34" t="s">
        <v>1782</v>
      </c>
      <c r="N389" s="34" t="s">
        <v>1808</v>
      </c>
      <c r="O389" s="35">
        <v>1</v>
      </c>
      <c r="P389" s="35"/>
      <c r="Q389" s="32"/>
      <c r="S389" s="1">
        <f t="shared" si="115"/>
        <v>0</v>
      </c>
      <c r="T389" s="1">
        <f t="shared" si="116"/>
        <v>0</v>
      </c>
      <c r="U389" s="1">
        <f t="shared" si="117"/>
        <v>0</v>
      </c>
      <c r="V389" s="1">
        <f t="shared" si="118"/>
        <v>0</v>
      </c>
      <c r="W389" s="1">
        <f t="shared" si="119"/>
        <v>0</v>
      </c>
      <c r="X389" s="1">
        <f t="shared" si="120"/>
        <v>0</v>
      </c>
      <c r="Y389" s="1">
        <f t="shared" si="121"/>
        <v>0</v>
      </c>
      <c r="Z389" s="1">
        <f t="shared" si="122"/>
        <v>0</v>
      </c>
      <c r="AA389" s="1">
        <f t="shared" si="123"/>
        <v>0</v>
      </c>
      <c r="AB389" s="1">
        <f t="shared" si="124"/>
        <v>0</v>
      </c>
      <c r="AD389" s="1">
        <f t="shared" si="125"/>
        <v>0</v>
      </c>
      <c r="AE389" s="1">
        <f t="shared" si="126"/>
        <v>1</v>
      </c>
      <c r="AF389" s="1">
        <f t="shared" si="127"/>
        <v>0</v>
      </c>
      <c r="AG389" s="1">
        <f t="shared" si="128"/>
        <v>1</v>
      </c>
      <c r="AH389" s="1">
        <f t="shared" si="129"/>
        <v>0</v>
      </c>
      <c r="AI389" s="1">
        <f t="shared" si="130"/>
        <v>1</v>
      </c>
    </row>
    <row r="390" spans="1:35" s="1" customFormat="1" ht="14.25" customHeight="1" x14ac:dyDescent="0.25">
      <c r="A390" s="31">
        <v>0</v>
      </c>
      <c r="B390" s="31">
        <v>2</v>
      </c>
      <c r="C390" s="31">
        <v>5</v>
      </c>
      <c r="D390" s="32" t="s">
        <v>608</v>
      </c>
      <c r="E390" s="32" t="s">
        <v>677</v>
      </c>
      <c r="F390" s="32" t="s">
        <v>609</v>
      </c>
      <c r="G390" s="32" t="s">
        <v>285</v>
      </c>
      <c r="H390" s="32" t="s">
        <v>352</v>
      </c>
      <c r="I390" s="31" t="s">
        <v>610</v>
      </c>
      <c r="J390" s="31">
        <v>99</v>
      </c>
      <c r="K390" s="33" t="s">
        <v>703</v>
      </c>
      <c r="L390" s="33" t="s">
        <v>695</v>
      </c>
      <c r="M390" s="34" t="s">
        <v>1395</v>
      </c>
      <c r="N390" s="34" t="s">
        <v>1704</v>
      </c>
      <c r="O390" s="35">
        <v>1</v>
      </c>
      <c r="P390" s="35"/>
      <c r="Q390" s="32"/>
      <c r="S390" s="1">
        <f t="shared" si="115"/>
        <v>0</v>
      </c>
      <c r="T390" s="1">
        <f t="shared" si="116"/>
        <v>0</v>
      </c>
      <c r="U390" s="1">
        <f t="shared" si="117"/>
        <v>0</v>
      </c>
      <c r="V390" s="1">
        <f t="shared" si="118"/>
        <v>0</v>
      </c>
      <c r="W390" s="1">
        <f t="shared" si="119"/>
        <v>0</v>
      </c>
      <c r="X390" s="1">
        <f t="shared" si="120"/>
        <v>0</v>
      </c>
      <c r="Y390" s="1">
        <f t="shared" si="121"/>
        <v>0</v>
      </c>
      <c r="Z390" s="1">
        <f t="shared" si="122"/>
        <v>0</v>
      </c>
      <c r="AA390" s="1">
        <f t="shared" si="123"/>
        <v>0</v>
      </c>
      <c r="AB390" s="1">
        <f t="shared" si="124"/>
        <v>0</v>
      </c>
      <c r="AD390" s="1">
        <f t="shared" si="125"/>
        <v>0</v>
      </c>
      <c r="AE390" s="1">
        <f t="shared" si="126"/>
        <v>1</v>
      </c>
      <c r="AF390" s="1">
        <f t="shared" si="127"/>
        <v>0</v>
      </c>
      <c r="AG390" s="1">
        <f t="shared" si="128"/>
        <v>1</v>
      </c>
      <c r="AH390" s="1">
        <f t="shared" si="129"/>
        <v>0</v>
      </c>
      <c r="AI390" s="1">
        <f t="shared" si="130"/>
        <v>1</v>
      </c>
    </row>
    <row r="391" spans="1:35" s="1" customFormat="1" ht="14.25" customHeight="1" x14ac:dyDescent="0.25">
      <c r="A391" s="31">
        <v>0</v>
      </c>
      <c r="B391" s="31">
        <v>2</v>
      </c>
      <c r="C391" s="31">
        <v>5</v>
      </c>
      <c r="D391" s="32" t="s">
        <v>1457</v>
      </c>
      <c r="E391" s="32" t="s">
        <v>757</v>
      </c>
      <c r="F391" s="32" t="s">
        <v>1458</v>
      </c>
      <c r="G391" s="32" t="s">
        <v>195</v>
      </c>
      <c r="H391" s="32" t="s">
        <v>352</v>
      </c>
      <c r="I391" s="31" t="s">
        <v>1459</v>
      </c>
      <c r="J391" s="31">
        <v>99</v>
      </c>
      <c r="K391" s="33" t="s">
        <v>935</v>
      </c>
      <c r="L391" s="33" t="s">
        <v>684</v>
      </c>
      <c r="M391" s="34" t="s">
        <v>1386</v>
      </c>
      <c r="N391" s="34" t="s">
        <v>1704</v>
      </c>
      <c r="O391" s="35">
        <v>1</v>
      </c>
      <c r="P391" s="35"/>
      <c r="Q391" s="32"/>
      <c r="S391" s="1">
        <f t="shared" si="115"/>
        <v>0</v>
      </c>
      <c r="T391" s="1">
        <f t="shared" si="116"/>
        <v>0</v>
      </c>
      <c r="U391" s="1">
        <f t="shared" si="117"/>
        <v>0</v>
      </c>
      <c r="V391" s="1">
        <f t="shared" si="118"/>
        <v>0</v>
      </c>
      <c r="W391" s="1">
        <f t="shared" si="119"/>
        <v>0</v>
      </c>
      <c r="X391" s="1">
        <f t="shared" si="120"/>
        <v>0</v>
      </c>
      <c r="Y391" s="1">
        <f t="shared" si="121"/>
        <v>0</v>
      </c>
      <c r="Z391" s="1">
        <f t="shared" si="122"/>
        <v>0</v>
      </c>
      <c r="AA391" s="1">
        <f t="shared" si="123"/>
        <v>0</v>
      </c>
      <c r="AB391" s="1">
        <f t="shared" si="124"/>
        <v>0</v>
      </c>
      <c r="AD391" s="1">
        <f t="shared" si="125"/>
        <v>0</v>
      </c>
      <c r="AE391" s="1">
        <f t="shared" si="126"/>
        <v>1</v>
      </c>
      <c r="AF391" s="1">
        <f t="shared" si="127"/>
        <v>0</v>
      </c>
      <c r="AG391" s="1">
        <f t="shared" si="128"/>
        <v>1</v>
      </c>
      <c r="AH391" s="1">
        <f t="shared" si="129"/>
        <v>0</v>
      </c>
      <c r="AI391" s="1">
        <f t="shared" si="130"/>
        <v>1</v>
      </c>
    </row>
    <row r="392" spans="1:35" s="1" customFormat="1" ht="14.25" customHeight="1" x14ac:dyDescent="0.25">
      <c r="A392" s="31">
        <v>0</v>
      </c>
      <c r="B392" s="31">
        <v>2</v>
      </c>
      <c r="C392" s="31">
        <v>5</v>
      </c>
      <c r="D392" s="32" t="s">
        <v>760</v>
      </c>
      <c r="E392" s="32" t="s">
        <v>757</v>
      </c>
      <c r="F392" s="32" t="s">
        <v>762</v>
      </c>
      <c r="G392" s="32" t="s">
        <v>206</v>
      </c>
      <c r="H392" s="32" t="s">
        <v>352</v>
      </c>
      <c r="I392" s="31" t="s">
        <v>761</v>
      </c>
      <c r="J392" s="31">
        <v>99</v>
      </c>
      <c r="K392" s="33" t="s">
        <v>703</v>
      </c>
      <c r="L392" s="33" t="s">
        <v>685</v>
      </c>
      <c r="M392" s="34" t="s">
        <v>1396</v>
      </c>
      <c r="N392" s="34" t="s">
        <v>1704</v>
      </c>
      <c r="O392" s="35">
        <v>1</v>
      </c>
      <c r="P392" s="35"/>
      <c r="Q392" s="32"/>
      <c r="S392" s="1">
        <f t="shared" si="115"/>
        <v>0</v>
      </c>
      <c r="T392" s="1">
        <f t="shared" si="116"/>
        <v>0</v>
      </c>
      <c r="U392" s="1">
        <f t="shared" si="117"/>
        <v>0</v>
      </c>
      <c r="V392" s="1">
        <f t="shared" si="118"/>
        <v>0</v>
      </c>
      <c r="W392" s="1">
        <f t="shared" si="119"/>
        <v>0</v>
      </c>
      <c r="X392" s="1">
        <f t="shared" si="120"/>
        <v>0</v>
      </c>
      <c r="Y392" s="1">
        <f t="shared" si="121"/>
        <v>0</v>
      </c>
      <c r="Z392" s="1">
        <f t="shared" si="122"/>
        <v>0</v>
      </c>
      <c r="AA392" s="1">
        <f t="shared" si="123"/>
        <v>0</v>
      </c>
      <c r="AB392" s="1">
        <f t="shared" si="124"/>
        <v>0</v>
      </c>
      <c r="AD392" s="1">
        <f t="shared" si="125"/>
        <v>0</v>
      </c>
      <c r="AE392" s="1">
        <f t="shared" si="126"/>
        <v>1</v>
      </c>
      <c r="AF392" s="1">
        <f t="shared" si="127"/>
        <v>0</v>
      </c>
      <c r="AG392" s="1">
        <f t="shared" si="128"/>
        <v>1</v>
      </c>
      <c r="AH392" s="1">
        <f t="shared" si="129"/>
        <v>0</v>
      </c>
      <c r="AI392" s="1">
        <f t="shared" si="130"/>
        <v>1</v>
      </c>
    </row>
    <row r="393" spans="1:35" s="1" customFormat="1" ht="14.25" customHeight="1" x14ac:dyDescent="0.25">
      <c r="A393" s="31">
        <v>1</v>
      </c>
      <c r="B393" s="31">
        <v>2</v>
      </c>
      <c r="C393" s="31">
        <v>5</v>
      </c>
      <c r="D393" s="32" t="s">
        <v>760</v>
      </c>
      <c r="E393" s="32" t="s">
        <v>757</v>
      </c>
      <c r="F393" s="32" t="s">
        <v>987</v>
      </c>
      <c r="G393" s="32" t="s">
        <v>189</v>
      </c>
      <c r="H393" s="32" t="s">
        <v>352</v>
      </c>
      <c r="I393" s="31" t="s">
        <v>988</v>
      </c>
      <c r="J393" s="31">
        <v>99</v>
      </c>
      <c r="K393" s="33" t="s">
        <v>703</v>
      </c>
      <c r="L393" s="33" t="s">
        <v>685</v>
      </c>
      <c r="M393" s="34" t="s">
        <v>1396</v>
      </c>
      <c r="N393" s="34" t="s">
        <v>1704</v>
      </c>
      <c r="O393" s="35">
        <v>1</v>
      </c>
      <c r="P393" s="35"/>
      <c r="Q393" s="32"/>
      <c r="S393" s="1">
        <f t="shared" si="115"/>
        <v>0</v>
      </c>
      <c r="T393" s="1">
        <f t="shared" si="116"/>
        <v>0</v>
      </c>
      <c r="U393" s="1">
        <f t="shared" si="117"/>
        <v>0</v>
      </c>
      <c r="V393" s="1">
        <f t="shared" si="118"/>
        <v>0</v>
      </c>
      <c r="W393" s="1">
        <f t="shared" si="119"/>
        <v>0</v>
      </c>
      <c r="X393" s="1">
        <f t="shared" si="120"/>
        <v>0</v>
      </c>
      <c r="Y393" s="1">
        <f t="shared" si="121"/>
        <v>0</v>
      </c>
      <c r="Z393" s="1">
        <f t="shared" si="122"/>
        <v>0</v>
      </c>
      <c r="AA393" s="1">
        <f t="shared" si="123"/>
        <v>0</v>
      </c>
      <c r="AB393" s="1">
        <f t="shared" si="124"/>
        <v>0</v>
      </c>
      <c r="AD393" s="1">
        <f t="shared" si="125"/>
        <v>0</v>
      </c>
      <c r="AE393" s="1">
        <f t="shared" si="126"/>
        <v>1</v>
      </c>
      <c r="AF393" s="1">
        <f t="shared" si="127"/>
        <v>0</v>
      </c>
      <c r="AG393" s="1">
        <f t="shared" si="128"/>
        <v>0</v>
      </c>
      <c r="AH393" s="1">
        <f t="shared" si="129"/>
        <v>0</v>
      </c>
      <c r="AI393" s="1">
        <f t="shared" si="130"/>
        <v>0</v>
      </c>
    </row>
    <row r="394" spans="1:35" s="1" customFormat="1" ht="14.25" customHeight="1" x14ac:dyDescent="0.25">
      <c r="A394" s="15">
        <v>0</v>
      </c>
      <c r="B394" s="15">
        <v>2</v>
      </c>
      <c r="C394" s="15">
        <v>5</v>
      </c>
      <c r="D394" s="16" t="s">
        <v>899</v>
      </c>
      <c r="E394" s="16" t="s">
        <v>894</v>
      </c>
      <c r="F394" s="16" t="s">
        <v>912</v>
      </c>
      <c r="G394" s="16" t="s">
        <v>1323</v>
      </c>
      <c r="H394" s="16" t="s">
        <v>352</v>
      </c>
      <c r="I394" s="15" t="s">
        <v>755</v>
      </c>
      <c r="J394" s="15">
        <v>99</v>
      </c>
      <c r="K394" s="10" t="s">
        <v>694</v>
      </c>
      <c r="L394" s="10">
        <v>20</v>
      </c>
      <c r="M394" s="19" t="s">
        <v>1397</v>
      </c>
      <c r="N394" s="19"/>
      <c r="Q394" s="16"/>
      <c r="S394" s="1">
        <f t="shared" si="115"/>
        <v>0</v>
      </c>
      <c r="T394" s="1">
        <f t="shared" si="116"/>
        <v>0</v>
      </c>
      <c r="U394" s="1">
        <f t="shared" si="117"/>
        <v>0</v>
      </c>
      <c r="V394" s="1">
        <f t="shared" si="118"/>
        <v>0</v>
      </c>
      <c r="W394" s="1">
        <f t="shared" si="119"/>
        <v>0</v>
      </c>
      <c r="X394" s="1">
        <f t="shared" si="120"/>
        <v>0</v>
      </c>
      <c r="Y394" s="1">
        <f t="shared" si="121"/>
        <v>0</v>
      </c>
      <c r="Z394" s="1">
        <f t="shared" si="122"/>
        <v>0</v>
      </c>
      <c r="AA394" s="1">
        <f t="shared" si="123"/>
        <v>0</v>
      </c>
      <c r="AB394" s="1">
        <f t="shared" si="124"/>
        <v>0</v>
      </c>
      <c r="AD394" s="1">
        <f t="shared" si="125"/>
        <v>0</v>
      </c>
      <c r="AE394" s="1">
        <f t="shared" si="126"/>
        <v>0</v>
      </c>
      <c r="AF394" s="1">
        <f t="shared" si="127"/>
        <v>0</v>
      </c>
      <c r="AG394" s="1">
        <f t="shared" si="128"/>
        <v>0</v>
      </c>
      <c r="AH394" s="1">
        <f t="shared" si="129"/>
        <v>0</v>
      </c>
      <c r="AI394" s="1">
        <f t="shared" si="130"/>
        <v>1</v>
      </c>
    </row>
    <row r="395" spans="1:35" s="1" customFormat="1" ht="14.25" customHeight="1" x14ac:dyDescent="0.25">
      <c r="A395" s="31">
        <v>0</v>
      </c>
      <c r="B395" s="31">
        <v>2</v>
      </c>
      <c r="C395" s="31">
        <v>5</v>
      </c>
      <c r="D395" s="32" t="s">
        <v>1879</v>
      </c>
      <c r="E395" s="32"/>
      <c r="F395" s="32" t="s">
        <v>1880</v>
      </c>
      <c r="G395" s="32" t="s">
        <v>207</v>
      </c>
      <c r="H395" s="32" t="s">
        <v>352</v>
      </c>
      <c r="I395" s="31" t="s">
        <v>1881</v>
      </c>
      <c r="J395" s="31">
        <v>3</v>
      </c>
      <c r="K395" s="33" t="s">
        <v>694</v>
      </c>
      <c r="L395" s="33"/>
      <c r="M395" s="34"/>
      <c r="N395" s="34" t="s">
        <v>1693</v>
      </c>
      <c r="O395" s="35">
        <v>1</v>
      </c>
      <c r="P395" s="35">
        <v>1</v>
      </c>
      <c r="Q395" s="32" t="s">
        <v>1882</v>
      </c>
      <c r="S395" s="1">
        <f t="shared" si="115"/>
        <v>0</v>
      </c>
      <c r="T395" s="1">
        <f t="shared" si="116"/>
        <v>0</v>
      </c>
      <c r="U395" s="1">
        <f t="shared" si="117"/>
        <v>1</v>
      </c>
      <c r="V395" s="1">
        <f t="shared" si="118"/>
        <v>0</v>
      </c>
      <c r="W395" s="1">
        <f t="shared" si="119"/>
        <v>0</v>
      </c>
      <c r="X395" s="1">
        <f t="shared" si="120"/>
        <v>0</v>
      </c>
      <c r="Y395" s="1">
        <f t="shared" si="121"/>
        <v>0</v>
      </c>
      <c r="Z395" s="1">
        <f t="shared" si="122"/>
        <v>0</v>
      </c>
      <c r="AA395" s="1">
        <f t="shared" si="123"/>
        <v>0</v>
      </c>
      <c r="AB395" s="1">
        <f t="shared" si="124"/>
        <v>0</v>
      </c>
      <c r="AD395" s="1">
        <f t="shared" si="125"/>
        <v>1</v>
      </c>
      <c r="AE395" s="1">
        <f t="shared" si="126"/>
        <v>0</v>
      </c>
      <c r="AF395" s="1">
        <f t="shared" si="127"/>
        <v>1</v>
      </c>
      <c r="AG395" s="1">
        <f t="shared" si="128"/>
        <v>0</v>
      </c>
      <c r="AH395" s="1">
        <f t="shared" si="129"/>
        <v>1</v>
      </c>
      <c r="AI395" s="1">
        <f t="shared" si="130"/>
        <v>0</v>
      </c>
    </row>
    <row r="396" spans="1:35" s="1" customFormat="1" ht="14.25" customHeight="1" x14ac:dyDescent="0.25">
      <c r="A396" s="31">
        <v>0</v>
      </c>
      <c r="B396" s="31">
        <v>2</v>
      </c>
      <c r="C396" s="31">
        <v>5</v>
      </c>
      <c r="D396" s="32" t="s">
        <v>1244</v>
      </c>
      <c r="E396" s="32" t="s">
        <v>1245</v>
      </c>
      <c r="F396" s="32" t="s">
        <v>1246</v>
      </c>
      <c r="G396" s="32" t="s">
        <v>219</v>
      </c>
      <c r="H396" s="32" t="s">
        <v>352</v>
      </c>
      <c r="I396" s="31" t="s">
        <v>1689</v>
      </c>
      <c r="J396" s="31">
        <v>8</v>
      </c>
      <c r="K396" s="33" t="s">
        <v>704</v>
      </c>
      <c r="L396" s="33" t="s">
        <v>39</v>
      </c>
      <c r="M396" s="34" t="s">
        <v>39</v>
      </c>
      <c r="N396" s="34" t="s">
        <v>1693</v>
      </c>
      <c r="O396" s="35">
        <v>1</v>
      </c>
      <c r="P396" s="35">
        <v>1</v>
      </c>
      <c r="Q396" s="32"/>
      <c r="S396" s="1">
        <f t="shared" si="115"/>
        <v>0</v>
      </c>
      <c r="T396" s="1">
        <f t="shared" si="116"/>
        <v>0</v>
      </c>
      <c r="U396" s="1">
        <f t="shared" si="117"/>
        <v>0</v>
      </c>
      <c r="V396" s="1">
        <f t="shared" si="118"/>
        <v>0</v>
      </c>
      <c r="W396" s="1">
        <f t="shared" si="119"/>
        <v>0</v>
      </c>
      <c r="X396" s="1">
        <f t="shared" si="120"/>
        <v>0</v>
      </c>
      <c r="Y396" s="1">
        <f t="shared" si="121"/>
        <v>0</v>
      </c>
      <c r="Z396" s="1">
        <f t="shared" si="122"/>
        <v>1</v>
      </c>
      <c r="AA396" s="1">
        <f t="shared" si="123"/>
        <v>0</v>
      </c>
      <c r="AB396" s="1">
        <f t="shared" si="124"/>
        <v>0</v>
      </c>
      <c r="AD396" s="1">
        <f t="shared" si="125"/>
        <v>1</v>
      </c>
      <c r="AE396" s="1">
        <f t="shared" si="126"/>
        <v>0</v>
      </c>
      <c r="AF396" s="1">
        <f t="shared" si="127"/>
        <v>1</v>
      </c>
      <c r="AG396" s="1">
        <f t="shared" si="128"/>
        <v>0</v>
      </c>
      <c r="AH396" s="1">
        <f t="shared" si="129"/>
        <v>1</v>
      </c>
      <c r="AI396" s="1">
        <f t="shared" si="130"/>
        <v>0</v>
      </c>
    </row>
    <row r="397" spans="1:35" s="1" customFormat="1" ht="14.25" customHeight="1" x14ac:dyDescent="0.25">
      <c r="A397" s="31">
        <v>0</v>
      </c>
      <c r="B397" s="31">
        <v>2</v>
      </c>
      <c r="C397" s="31">
        <v>5</v>
      </c>
      <c r="D397" s="32" t="s">
        <v>1063</v>
      </c>
      <c r="E397" s="32" t="s">
        <v>154</v>
      </c>
      <c r="F397" s="32" t="s">
        <v>1047</v>
      </c>
      <c r="G397" s="32" t="s">
        <v>319</v>
      </c>
      <c r="H397" s="32" t="s">
        <v>352</v>
      </c>
      <c r="I397" s="31" t="s">
        <v>1048</v>
      </c>
      <c r="J397" s="31">
        <v>99</v>
      </c>
      <c r="K397" s="33" t="s">
        <v>704</v>
      </c>
      <c r="L397" s="33" t="s">
        <v>685</v>
      </c>
      <c r="M397" s="34" t="s">
        <v>1398</v>
      </c>
      <c r="N397" s="34" t="s">
        <v>1716</v>
      </c>
      <c r="O397" s="35">
        <v>1</v>
      </c>
      <c r="P397" s="35"/>
      <c r="Q397" s="32"/>
      <c r="S397" s="1">
        <f t="shared" si="115"/>
        <v>0</v>
      </c>
      <c r="T397" s="1">
        <f t="shared" si="116"/>
        <v>0</v>
      </c>
      <c r="U397" s="1">
        <f t="shared" si="117"/>
        <v>0</v>
      </c>
      <c r="V397" s="1">
        <f t="shared" si="118"/>
        <v>0</v>
      </c>
      <c r="W397" s="1">
        <f t="shared" si="119"/>
        <v>0</v>
      </c>
      <c r="X397" s="1">
        <f t="shared" si="120"/>
        <v>0</v>
      </c>
      <c r="Y397" s="1">
        <f t="shared" si="121"/>
        <v>0</v>
      </c>
      <c r="Z397" s="1">
        <f t="shared" si="122"/>
        <v>0</v>
      </c>
      <c r="AA397" s="1">
        <f t="shared" si="123"/>
        <v>0</v>
      </c>
      <c r="AB397" s="1">
        <f t="shared" si="124"/>
        <v>0</v>
      </c>
      <c r="AD397" s="1">
        <f t="shared" si="125"/>
        <v>0</v>
      </c>
      <c r="AE397" s="1">
        <f t="shared" si="126"/>
        <v>1</v>
      </c>
      <c r="AF397" s="1">
        <f t="shared" si="127"/>
        <v>0</v>
      </c>
      <c r="AG397" s="1">
        <f t="shared" si="128"/>
        <v>1</v>
      </c>
      <c r="AH397" s="1">
        <f t="shared" si="129"/>
        <v>0</v>
      </c>
      <c r="AI397" s="1">
        <f t="shared" si="130"/>
        <v>1</v>
      </c>
    </row>
    <row r="398" spans="1:35" s="1" customFormat="1" ht="14.25" customHeight="1" x14ac:dyDescent="0.25">
      <c r="A398" s="31">
        <v>0</v>
      </c>
      <c r="B398" s="31">
        <v>2</v>
      </c>
      <c r="C398" s="31">
        <v>5</v>
      </c>
      <c r="D398" s="32" t="s">
        <v>781</v>
      </c>
      <c r="E398" s="32" t="s">
        <v>757</v>
      </c>
      <c r="F398" s="32" t="s">
        <v>915</v>
      </c>
      <c r="G398" s="32" t="s">
        <v>219</v>
      </c>
      <c r="H398" s="32" t="s">
        <v>352</v>
      </c>
      <c r="I398" s="31" t="s">
        <v>782</v>
      </c>
      <c r="J398" s="31">
        <v>8</v>
      </c>
      <c r="K398" s="33" t="s">
        <v>694</v>
      </c>
      <c r="L398" s="33">
        <v>20</v>
      </c>
      <c r="M398" s="34" t="s">
        <v>1389</v>
      </c>
      <c r="N398" s="34" t="s">
        <v>1784</v>
      </c>
      <c r="O398" s="35">
        <v>1</v>
      </c>
      <c r="P398" s="35"/>
      <c r="Q398" s="32"/>
      <c r="S398" s="1">
        <f t="shared" si="115"/>
        <v>0</v>
      </c>
      <c r="T398" s="1">
        <f t="shared" si="116"/>
        <v>0</v>
      </c>
      <c r="U398" s="1">
        <f t="shared" si="117"/>
        <v>0</v>
      </c>
      <c r="V398" s="1">
        <f t="shared" si="118"/>
        <v>0</v>
      </c>
      <c r="W398" s="1">
        <f t="shared" si="119"/>
        <v>0</v>
      </c>
      <c r="X398" s="1">
        <f t="shared" si="120"/>
        <v>0</v>
      </c>
      <c r="Y398" s="1">
        <f t="shared" si="121"/>
        <v>0</v>
      </c>
      <c r="Z398" s="1">
        <f t="shared" si="122"/>
        <v>1</v>
      </c>
      <c r="AA398" s="1">
        <f t="shared" si="123"/>
        <v>0</v>
      </c>
      <c r="AB398" s="1">
        <f t="shared" si="124"/>
        <v>0</v>
      </c>
      <c r="AD398" s="1">
        <f t="shared" si="125"/>
        <v>0</v>
      </c>
      <c r="AE398" s="1">
        <f t="shared" si="126"/>
        <v>1</v>
      </c>
      <c r="AF398" s="1">
        <f t="shared" si="127"/>
        <v>0</v>
      </c>
      <c r="AG398" s="1">
        <f t="shared" si="128"/>
        <v>1</v>
      </c>
      <c r="AH398" s="1">
        <f t="shared" si="129"/>
        <v>0</v>
      </c>
      <c r="AI398" s="1">
        <f t="shared" si="130"/>
        <v>1</v>
      </c>
    </row>
    <row r="399" spans="1:35" s="1" customFormat="1" ht="14.25" customHeight="1" x14ac:dyDescent="0.25">
      <c r="A399" s="31">
        <v>0</v>
      </c>
      <c r="B399" s="31">
        <v>2</v>
      </c>
      <c r="C399" s="31">
        <v>5</v>
      </c>
      <c r="D399" s="32" t="s">
        <v>79</v>
      </c>
      <c r="E399" s="32" t="s">
        <v>158</v>
      </c>
      <c r="F399" s="32" t="s">
        <v>267</v>
      </c>
      <c r="G399" s="32" t="s">
        <v>212</v>
      </c>
      <c r="H399" s="32" t="s">
        <v>352</v>
      </c>
      <c r="I399" s="31" t="s">
        <v>423</v>
      </c>
      <c r="J399" s="31">
        <v>1</v>
      </c>
      <c r="K399" s="33" t="s">
        <v>936</v>
      </c>
      <c r="L399" s="33" t="s">
        <v>695</v>
      </c>
      <c r="M399" s="34" t="s">
        <v>718</v>
      </c>
      <c r="N399" s="34" t="s">
        <v>1704</v>
      </c>
      <c r="O399" s="35">
        <v>1</v>
      </c>
      <c r="P399" s="35"/>
      <c r="Q399" s="32"/>
      <c r="S399" s="1">
        <f t="shared" si="115"/>
        <v>1</v>
      </c>
      <c r="T399" s="1">
        <f t="shared" si="116"/>
        <v>0</v>
      </c>
      <c r="U399" s="1">
        <f t="shared" si="117"/>
        <v>0</v>
      </c>
      <c r="V399" s="1">
        <f t="shared" si="118"/>
        <v>0</v>
      </c>
      <c r="W399" s="1">
        <f t="shared" si="119"/>
        <v>0</v>
      </c>
      <c r="X399" s="1">
        <f t="shared" si="120"/>
        <v>0</v>
      </c>
      <c r="Y399" s="1">
        <f t="shared" si="121"/>
        <v>0</v>
      </c>
      <c r="Z399" s="1">
        <f t="shared" si="122"/>
        <v>0</v>
      </c>
      <c r="AA399" s="1">
        <f t="shared" si="123"/>
        <v>0</v>
      </c>
      <c r="AB399" s="1">
        <f t="shared" si="124"/>
        <v>0</v>
      </c>
      <c r="AD399" s="1">
        <f t="shared" si="125"/>
        <v>0</v>
      </c>
      <c r="AE399" s="1">
        <f t="shared" si="126"/>
        <v>1</v>
      </c>
      <c r="AF399" s="1">
        <f t="shared" si="127"/>
        <v>0</v>
      </c>
      <c r="AG399" s="1">
        <f t="shared" si="128"/>
        <v>1</v>
      </c>
      <c r="AH399" s="1">
        <f t="shared" si="129"/>
        <v>0</v>
      </c>
      <c r="AI399" s="1">
        <f t="shared" si="130"/>
        <v>1</v>
      </c>
    </row>
    <row r="400" spans="1:35" s="1" customFormat="1" ht="14.25" customHeight="1" x14ac:dyDescent="0.25">
      <c r="A400" s="31">
        <v>0</v>
      </c>
      <c r="B400" s="31">
        <v>2</v>
      </c>
      <c r="C400" s="31">
        <v>5</v>
      </c>
      <c r="D400" s="36" t="s">
        <v>2102</v>
      </c>
      <c r="E400" s="36" t="s">
        <v>816</v>
      </c>
      <c r="F400" s="36" t="s">
        <v>2103</v>
      </c>
      <c r="G400" s="36" t="s">
        <v>202</v>
      </c>
      <c r="H400" s="36" t="s">
        <v>352</v>
      </c>
      <c r="I400" s="37" t="s">
        <v>2104</v>
      </c>
      <c r="J400" s="31">
        <v>99</v>
      </c>
      <c r="K400" s="33" t="s">
        <v>694</v>
      </c>
      <c r="L400" s="33"/>
      <c r="M400" s="34"/>
      <c r="N400" s="34" t="s">
        <v>1693</v>
      </c>
      <c r="O400" s="35">
        <v>1</v>
      </c>
      <c r="P400" s="35">
        <v>1</v>
      </c>
      <c r="Q400" s="32"/>
      <c r="S400" s="1">
        <f t="shared" si="115"/>
        <v>0</v>
      </c>
      <c r="T400" s="1">
        <f t="shared" si="116"/>
        <v>0</v>
      </c>
      <c r="U400" s="1">
        <f t="shared" si="117"/>
        <v>0</v>
      </c>
      <c r="V400" s="1">
        <f t="shared" si="118"/>
        <v>0</v>
      </c>
      <c r="W400" s="1">
        <f t="shared" si="119"/>
        <v>0</v>
      </c>
      <c r="X400" s="1">
        <f t="shared" si="120"/>
        <v>0</v>
      </c>
      <c r="Y400" s="1">
        <f t="shared" si="121"/>
        <v>0</v>
      </c>
      <c r="Z400" s="1">
        <f t="shared" si="122"/>
        <v>0</v>
      </c>
      <c r="AA400" s="1">
        <f t="shared" si="123"/>
        <v>0</v>
      </c>
      <c r="AB400" s="1">
        <f t="shared" si="124"/>
        <v>0</v>
      </c>
      <c r="AD400" s="1">
        <f t="shared" si="125"/>
        <v>1</v>
      </c>
      <c r="AE400" s="1">
        <f t="shared" si="126"/>
        <v>0</v>
      </c>
      <c r="AF400" s="1">
        <f t="shared" si="127"/>
        <v>1</v>
      </c>
      <c r="AG400" s="1">
        <f t="shared" si="128"/>
        <v>0</v>
      </c>
      <c r="AH400" s="1">
        <f t="shared" si="129"/>
        <v>1</v>
      </c>
      <c r="AI400" s="1">
        <f t="shared" si="130"/>
        <v>0</v>
      </c>
    </row>
    <row r="401" spans="1:35" s="1" customFormat="1" ht="14.25" customHeight="1" x14ac:dyDescent="0.25">
      <c r="A401" s="31">
        <v>0</v>
      </c>
      <c r="B401" s="31">
        <v>2</v>
      </c>
      <c r="C401" s="31">
        <v>5</v>
      </c>
      <c r="D401" s="32" t="s">
        <v>2038</v>
      </c>
      <c r="E401" s="32" t="s">
        <v>171</v>
      </c>
      <c r="F401" s="32" t="s">
        <v>2039</v>
      </c>
      <c r="G401" s="32" t="s">
        <v>206</v>
      </c>
      <c r="H401" s="32" t="s">
        <v>352</v>
      </c>
      <c r="I401" s="31" t="s">
        <v>2040</v>
      </c>
      <c r="J401" s="31">
        <v>99</v>
      </c>
      <c r="K401" s="33" t="s">
        <v>694</v>
      </c>
      <c r="L401" s="33">
        <v>30</v>
      </c>
      <c r="M401" s="34" t="s">
        <v>951</v>
      </c>
      <c r="N401" s="34" t="s">
        <v>1704</v>
      </c>
      <c r="O401" s="35">
        <v>1</v>
      </c>
      <c r="P401" s="35"/>
      <c r="Q401" s="32" t="s">
        <v>2041</v>
      </c>
      <c r="S401" s="1">
        <f t="shared" si="115"/>
        <v>0</v>
      </c>
      <c r="T401" s="1">
        <f t="shared" si="116"/>
        <v>0</v>
      </c>
      <c r="U401" s="1">
        <f t="shared" si="117"/>
        <v>0</v>
      </c>
      <c r="V401" s="1">
        <f t="shared" si="118"/>
        <v>0</v>
      </c>
      <c r="W401" s="1">
        <f t="shared" si="119"/>
        <v>0</v>
      </c>
      <c r="X401" s="1">
        <f t="shared" si="120"/>
        <v>0</v>
      </c>
      <c r="Y401" s="1">
        <f t="shared" si="121"/>
        <v>0</v>
      </c>
      <c r="Z401" s="1">
        <f t="shared" si="122"/>
        <v>0</v>
      </c>
      <c r="AA401" s="1">
        <f t="shared" si="123"/>
        <v>0</v>
      </c>
      <c r="AB401" s="1">
        <f t="shared" si="124"/>
        <v>0</v>
      </c>
      <c r="AD401" s="1">
        <f t="shared" si="125"/>
        <v>0</v>
      </c>
      <c r="AE401" s="1">
        <f t="shared" si="126"/>
        <v>1</v>
      </c>
      <c r="AF401" s="1">
        <f t="shared" si="127"/>
        <v>0</v>
      </c>
      <c r="AG401" s="1">
        <f t="shared" si="128"/>
        <v>1</v>
      </c>
      <c r="AH401" s="1">
        <f t="shared" si="129"/>
        <v>0</v>
      </c>
      <c r="AI401" s="1">
        <f t="shared" si="130"/>
        <v>1</v>
      </c>
    </row>
    <row r="402" spans="1:35" s="1" customFormat="1" ht="14.25" customHeight="1" x14ac:dyDescent="0.25">
      <c r="A402" s="31">
        <v>0</v>
      </c>
      <c r="B402" s="31">
        <v>2</v>
      </c>
      <c r="C402" s="31">
        <v>5</v>
      </c>
      <c r="D402" s="32" t="s">
        <v>1609</v>
      </c>
      <c r="E402" s="32" t="s">
        <v>1621</v>
      </c>
      <c r="F402" s="32" t="s">
        <v>1518</v>
      </c>
      <c r="G402" s="32" t="s">
        <v>261</v>
      </c>
      <c r="H402" s="32" t="s">
        <v>352</v>
      </c>
      <c r="I402" s="31" t="s">
        <v>1519</v>
      </c>
      <c r="J402" s="31">
        <v>99</v>
      </c>
      <c r="K402" s="33" t="s">
        <v>936</v>
      </c>
      <c r="L402" s="33">
        <v>40</v>
      </c>
      <c r="M402" s="34" t="s">
        <v>39</v>
      </c>
      <c r="N402" s="34" t="s">
        <v>1784</v>
      </c>
      <c r="O402" s="35">
        <v>1</v>
      </c>
      <c r="P402" s="35"/>
      <c r="Q402" s="32"/>
      <c r="S402" s="1">
        <f t="shared" si="115"/>
        <v>0</v>
      </c>
      <c r="T402" s="1">
        <f t="shared" si="116"/>
        <v>0</v>
      </c>
      <c r="U402" s="1">
        <f t="shared" si="117"/>
        <v>0</v>
      </c>
      <c r="V402" s="1">
        <f t="shared" si="118"/>
        <v>0</v>
      </c>
      <c r="W402" s="1">
        <f t="shared" si="119"/>
        <v>0</v>
      </c>
      <c r="X402" s="1">
        <f t="shared" si="120"/>
        <v>0</v>
      </c>
      <c r="Y402" s="1">
        <f t="shared" si="121"/>
        <v>0</v>
      </c>
      <c r="Z402" s="1">
        <f t="shared" si="122"/>
        <v>0</v>
      </c>
      <c r="AA402" s="1">
        <f t="shared" si="123"/>
        <v>0</v>
      </c>
      <c r="AB402" s="1">
        <f t="shared" si="124"/>
        <v>0</v>
      </c>
      <c r="AD402" s="1">
        <f t="shared" si="125"/>
        <v>0</v>
      </c>
      <c r="AE402" s="1">
        <f t="shared" si="126"/>
        <v>1</v>
      </c>
      <c r="AF402" s="1">
        <f t="shared" si="127"/>
        <v>0</v>
      </c>
      <c r="AG402" s="1">
        <f t="shared" si="128"/>
        <v>1</v>
      </c>
      <c r="AH402" s="1">
        <f t="shared" si="129"/>
        <v>0</v>
      </c>
      <c r="AI402" s="1">
        <f t="shared" si="130"/>
        <v>1</v>
      </c>
    </row>
    <row r="403" spans="1:35" s="1" customFormat="1" ht="14.25" customHeight="1" x14ac:dyDescent="0.25">
      <c r="A403" s="31">
        <v>0</v>
      </c>
      <c r="B403" s="31">
        <v>2</v>
      </c>
      <c r="C403" s="31">
        <v>5</v>
      </c>
      <c r="D403" s="32" t="s">
        <v>1271</v>
      </c>
      <c r="E403" s="32" t="s">
        <v>27</v>
      </c>
      <c r="F403" s="32" t="s">
        <v>1272</v>
      </c>
      <c r="G403" s="32" t="s">
        <v>1273</v>
      </c>
      <c r="H403" s="32" t="s">
        <v>352</v>
      </c>
      <c r="I403" s="31" t="s">
        <v>1274</v>
      </c>
      <c r="J403" s="31">
        <v>99</v>
      </c>
      <c r="K403" s="33" t="s">
        <v>936</v>
      </c>
      <c r="L403" s="33" t="s">
        <v>39</v>
      </c>
      <c r="M403" s="34" t="s">
        <v>39</v>
      </c>
      <c r="N403" s="34" t="s">
        <v>1693</v>
      </c>
      <c r="O403" s="35">
        <v>1</v>
      </c>
      <c r="P403" s="35">
        <v>1</v>
      </c>
      <c r="Q403" s="36"/>
      <c r="S403" s="1">
        <f t="shared" si="115"/>
        <v>0</v>
      </c>
      <c r="T403" s="1">
        <f t="shared" si="116"/>
        <v>0</v>
      </c>
      <c r="U403" s="1">
        <f t="shared" si="117"/>
        <v>0</v>
      </c>
      <c r="V403" s="1">
        <f t="shared" si="118"/>
        <v>0</v>
      </c>
      <c r="W403" s="1">
        <f t="shared" si="119"/>
        <v>0</v>
      </c>
      <c r="X403" s="1">
        <f t="shared" si="120"/>
        <v>0</v>
      </c>
      <c r="Y403" s="1">
        <f t="shared" si="121"/>
        <v>0</v>
      </c>
      <c r="Z403" s="1">
        <f t="shared" si="122"/>
        <v>0</v>
      </c>
      <c r="AA403" s="1">
        <f t="shared" si="123"/>
        <v>0</v>
      </c>
      <c r="AB403" s="1">
        <f t="shared" si="124"/>
        <v>0</v>
      </c>
      <c r="AD403" s="1">
        <f t="shared" si="125"/>
        <v>1</v>
      </c>
      <c r="AE403" s="1">
        <f t="shared" si="126"/>
        <v>0</v>
      </c>
      <c r="AF403" s="1">
        <f t="shared" si="127"/>
        <v>1</v>
      </c>
      <c r="AG403" s="1">
        <f t="shared" si="128"/>
        <v>0</v>
      </c>
      <c r="AH403" s="1">
        <f t="shared" si="129"/>
        <v>1</v>
      </c>
      <c r="AI403" s="1">
        <f t="shared" si="130"/>
        <v>0</v>
      </c>
    </row>
    <row r="404" spans="1:35" s="1" customFormat="1" ht="14.25" customHeight="1" x14ac:dyDescent="0.25">
      <c r="A404" s="15">
        <v>0</v>
      </c>
      <c r="B404" s="15">
        <v>2</v>
      </c>
      <c r="C404" s="15">
        <v>5</v>
      </c>
      <c r="D404" s="16" t="s">
        <v>1570</v>
      </c>
      <c r="E404" s="16" t="s">
        <v>158</v>
      </c>
      <c r="F404" s="16" t="s">
        <v>2101</v>
      </c>
      <c r="G404" s="16" t="s">
        <v>1437</v>
      </c>
      <c r="H404" s="16" t="s">
        <v>352</v>
      </c>
      <c r="I404" s="15" t="s">
        <v>1438</v>
      </c>
      <c r="J404" s="15">
        <v>99</v>
      </c>
      <c r="K404" s="10" t="s">
        <v>704</v>
      </c>
      <c r="L404" s="10" t="s">
        <v>687</v>
      </c>
      <c r="M404" s="19" t="s">
        <v>1439</v>
      </c>
      <c r="N404" s="19"/>
      <c r="Q404" s="16"/>
      <c r="S404" s="1">
        <f t="shared" si="115"/>
        <v>0</v>
      </c>
      <c r="T404" s="1">
        <f t="shared" si="116"/>
        <v>0</v>
      </c>
      <c r="U404" s="1">
        <f t="shared" si="117"/>
        <v>0</v>
      </c>
      <c r="V404" s="1">
        <f t="shared" si="118"/>
        <v>0</v>
      </c>
      <c r="W404" s="1">
        <f t="shared" si="119"/>
        <v>0</v>
      </c>
      <c r="X404" s="1">
        <f t="shared" si="120"/>
        <v>0</v>
      </c>
      <c r="Y404" s="1">
        <f t="shared" si="121"/>
        <v>0</v>
      </c>
      <c r="Z404" s="1">
        <f t="shared" si="122"/>
        <v>0</v>
      </c>
      <c r="AA404" s="1">
        <f t="shared" si="123"/>
        <v>0</v>
      </c>
      <c r="AB404" s="1">
        <f t="shared" si="124"/>
        <v>0</v>
      </c>
      <c r="AD404" s="1">
        <f t="shared" si="125"/>
        <v>0</v>
      </c>
      <c r="AE404" s="1">
        <f t="shared" si="126"/>
        <v>0</v>
      </c>
      <c r="AF404" s="1">
        <f t="shared" si="127"/>
        <v>0</v>
      </c>
      <c r="AG404" s="1">
        <f t="shared" si="128"/>
        <v>0</v>
      </c>
      <c r="AH404" s="1">
        <f t="shared" si="129"/>
        <v>0</v>
      </c>
      <c r="AI404" s="1">
        <f t="shared" si="130"/>
        <v>1</v>
      </c>
    </row>
    <row r="405" spans="1:35" s="1" customFormat="1" ht="14.25" customHeight="1" x14ac:dyDescent="0.25">
      <c r="A405" s="31">
        <v>0</v>
      </c>
      <c r="B405" s="31">
        <v>2</v>
      </c>
      <c r="C405" s="31">
        <v>5</v>
      </c>
      <c r="D405" s="32" t="s">
        <v>1997</v>
      </c>
      <c r="E405" s="32" t="s">
        <v>1998</v>
      </c>
      <c r="F405" s="32" t="s">
        <v>1999</v>
      </c>
      <c r="G405" s="32" t="s">
        <v>2002</v>
      </c>
      <c r="H405" s="32" t="s">
        <v>352</v>
      </c>
      <c r="I405" s="31" t="s">
        <v>2000</v>
      </c>
      <c r="J405" s="31"/>
      <c r="K405" s="33" t="s">
        <v>1781</v>
      </c>
      <c r="L405" s="33"/>
      <c r="M405" s="34"/>
      <c r="N405" s="34" t="s">
        <v>1693</v>
      </c>
      <c r="O405" s="35">
        <v>1</v>
      </c>
      <c r="P405" s="35">
        <v>1</v>
      </c>
      <c r="Q405" s="32" t="s">
        <v>2001</v>
      </c>
      <c r="S405" s="1">
        <f t="shared" ref="S405:S469" si="137">IF(J405=$S$7,1,0)</f>
        <v>0</v>
      </c>
      <c r="T405" s="1">
        <f t="shared" ref="T405:T469" si="138">IF(J405=$T$7,1,0)</f>
        <v>0</v>
      </c>
      <c r="U405" s="1">
        <f t="shared" ref="U405:U469" si="139">IF(J405=$U$7,1,0)</f>
        <v>0</v>
      </c>
      <c r="V405" s="1">
        <f t="shared" ref="V405:V469" si="140">IF(J405=$V$7,1,0)</f>
        <v>0</v>
      </c>
      <c r="W405" s="1">
        <f t="shared" ref="W405:W469" si="141">IF(J405=$W$7,1,0)</f>
        <v>0</v>
      </c>
      <c r="X405" s="1">
        <f t="shared" ref="X405:X469" si="142">IF(J405=$X$7,1,0)</f>
        <v>0</v>
      </c>
      <c r="Y405" s="1">
        <f t="shared" ref="Y405:Y469" si="143">IF(J405=$Y$7,1,0)</f>
        <v>0</v>
      </c>
      <c r="Z405" s="1">
        <f t="shared" ref="Z405:Z469" si="144">IF(J405=$Z$7,1,0)</f>
        <v>0</v>
      </c>
      <c r="AA405" s="1">
        <f t="shared" ref="AA405:AA469" si="145">IF(J405=$AA$7,1,0)</f>
        <v>0</v>
      </c>
      <c r="AB405" s="1">
        <f t="shared" ref="AB405:AB469" si="146">IF(J405=$AB$7,1,0)</f>
        <v>0</v>
      </c>
      <c r="AD405" s="1">
        <f t="shared" ref="AD405:AD469" si="147">+O405*P405</f>
        <v>1</v>
      </c>
      <c r="AE405" s="1">
        <f t="shared" ref="AE405:AE469" si="148">O405*(1-P405)</f>
        <v>0</v>
      </c>
      <c r="AF405" s="1">
        <f t="shared" si="127"/>
        <v>1</v>
      </c>
      <c r="AG405" s="1">
        <f t="shared" si="128"/>
        <v>0</v>
      </c>
      <c r="AH405" s="1">
        <f t="shared" si="129"/>
        <v>1</v>
      </c>
      <c r="AI405" s="1">
        <f t="shared" si="130"/>
        <v>0</v>
      </c>
    </row>
    <row r="406" spans="1:35" s="1" customFormat="1" ht="14.25" customHeight="1" x14ac:dyDescent="0.25">
      <c r="A406" s="31">
        <v>0</v>
      </c>
      <c r="B406" s="31">
        <v>2</v>
      </c>
      <c r="C406" s="31">
        <v>5</v>
      </c>
      <c r="D406" s="32" t="s">
        <v>1738</v>
      </c>
      <c r="E406" s="32" t="s">
        <v>154</v>
      </c>
      <c r="F406" s="32" t="s">
        <v>1739</v>
      </c>
      <c r="G406" s="32" t="s">
        <v>648</v>
      </c>
      <c r="H406" s="32" t="s">
        <v>352</v>
      </c>
      <c r="I406" s="31" t="s">
        <v>1740</v>
      </c>
      <c r="J406" s="31"/>
      <c r="K406" s="33" t="s">
        <v>694</v>
      </c>
      <c r="L406" s="33">
        <v>40</v>
      </c>
      <c r="M406" s="34" t="s">
        <v>1741</v>
      </c>
      <c r="N406" s="34" t="s">
        <v>1704</v>
      </c>
      <c r="O406" s="35">
        <v>1</v>
      </c>
      <c r="P406" s="35"/>
      <c r="Q406" s="32"/>
      <c r="S406" s="1">
        <f t="shared" si="137"/>
        <v>0</v>
      </c>
      <c r="T406" s="1">
        <f t="shared" si="138"/>
        <v>0</v>
      </c>
      <c r="U406" s="1">
        <f t="shared" si="139"/>
        <v>0</v>
      </c>
      <c r="V406" s="1">
        <f t="shared" si="140"/>
        <v>0</v>
      </c>
      <c r="W406" s="1">
        <f t="shared" si="141"/>
        <v>0</v>
      </c>
      <c r="X406" s="1">
        <f t="shared" si="142"/>
        <v>0</v>
      </c>
      <c r="Y406" s="1">
        <f t="shared" si="143"/>
        <v>0</v>
      </c>
      <c r="Z406" s="1">
        <f t="shared" si="144"/>
        <v>0</v>
      </c>
      <c r="AA406" s="1">
        <f t="shared" si="145"/>
        <v>0</v>
      </c>
      <c r="AB406" s="1">
        <f t="shared" si="146"/>
        <v>0</v>
      </c>
      <c r="AD406" s="1">
        <f t="shared" si="147"/>
        <v>0</v>
      </c>
      <c r="AE406" s="1">
        <f t="shared" si="148"/>
        <v>1</v>
      </c>
      <c r="AF406" s="1">
        <f t="shared" ref="AF406:AF470" si="149">+O406*P406*(1-A406)</f>
        <v>0</v>
      </c>
      <c r="AG406" s="1">
        <f t="shared" ref="AG406:AG470" si="150">O406*(1-P406)*(1-A406)</f>
        <v>1</v>
      </c>
      <c r="AH406" s="1">
        <f t="shared" ref="AH406:AH470" si="151">+P406*(1-A406)</f>
        <v>0</v>
      </c>
      <c r="AI406" s="1">
        <f t="shared" ref="AI406:AI470" si="152">+(1-A406)*(1-P406)</f>
        <v>1</v>
      </c>
    </row>
    <row r="407" spans="1:35" s="1" customFormat="1" ht="14.25" customHeight="1" x14ac:dyDescent="0.25">
      <c r="A407" s="31">
        <v>0</v>
      </c>
      <c r="B407" s="31">
        <v>2</v>
      </c>
      <c r="C407" s="31">
        <v>5</v>
      </c>
      <c r="D407" s="32" t="s">
        <v>822</v>
      </c>
      <c r="E407" s="32" t="s">
        <v>816</v>
      </c>
      <c r="F407" s="32" t="s">
        <v>923</v>
      </c>
      <c r="G407" s="32" t="s">
        <v>179</v>
      </c>
      <c r="H407" s="32" t="s">
        <v>352</v>
      </c>
      <c r="I407" s="31" t="s">
        <v>1090</v>
      </c>
      <c r="J407" s="31">
        <v>10</v>
      </c>
      <c r="K407" s="33" t="s">
        <v>703</v>
      </c>
      <c r="L407" s="33" t="s">
        <v>684</v>
      </c>
      <c r="M407" s="34" t="s">
        <v>1399</v>
      </c>
      <c r="N407" s="34" t="s">
        <v>1715</v>
      </c>
      <c r="O407" s="35">
        <v>1</v>
      </c>
      <c r="P407" s="35"/>
      <c r="Q407" s="32"/>
      <c r="S407" s="1">
        <f t="shared" si="137"/>
        <v>0</v>
      </c>
      <c r="T407" s="1">
        <f t="shared" si="138"/>
        <v>0</v>
      </c>
      <c r="U407" s="1">
        <f t="shared" si="139"/>
        <v>0</v>
      </c>
      <c r="V407" s="1">
        <f t="shared" si="140"/>
        <v>0</v>
      </c>
      <c r="W407" s="1">
        <f t="shared" si="141"/>
        <v>0</v>
      </c>
      <c r="X407" s="1">
        <f t="shared" si="142"/>
        <v>0</v>
      </c>
      <c r="Y407" s="1">
        <f t="shared" si="143"/>
        <v>0</v>
      </c>
      <c r="Z407" s="1">
        <f t="shared" si="144"/>
        <v>0</v>
      </c>
      <c r="AA407" s="1">
        <f t="shared" si="145"/>
        <v>0</v>
      </c>
      <c r="AB407" s="1">
        <f t="shared" si="146"/>
        <v>1</v>
      </c>
      <c r="AD407" s="1">
        <f t="shared" si="147"/>
        <v>0</v>
      </c>
      <c r="AE407" s="1">
        <f t="shared" si="148"/>
        <v>1</v>
      </c>
      <c r="AF407" s="1">
        <f t="shared" si="149"/>
        <v>0</v>
      </c>
      <c r="AG407" s="1">
        <f t="shared" si="150"/>
        <v>1</v>
      </c>
      <c r="AH407" s="1">
        <f t="shared" si="151"/>
        <v>0</v>
      </c>
      <c r="AI407" s="1">
        <f t="shared" si="152"/>
        <v>1</v>
      </c>
    </row>
    <row r="408" spans="1:35" s="1" customFormat="1" ht="14.25" customHeight="1" x14ac:dyDescent="0.25">
      <c r="A408" s="51">
        <v>0</v>
      </c>
      <c r="B408" s="51">
        <v>2</v>
      </c>
      <c r="C408" s="51">
        <v>6</v>
      </c>
      <c r="D408" s="52" t="s">
        <v>1510</v>
      </c>
      <c r="E408" s="52" t="s">
        <v>27</v>
      </c>
      <c r="F408" s="52" t="s">
        <v>1512</v>
      </c>
      <c r="G408" s="52" t="s">
        <v>1501</v>
      </c>
      <c r="H408" s="52" t="s">
        <v>352</v>
      </c>
      <c r="I408" s="51" t="s">
        <v>1511</v>
      </c>
      <c r="J408" s="51">
        <v>5</v>
      </c>
      <c r="K408" s="53" t="s">
        <v>936</v>
      </c>
      <c r="L408" s="53" t="s">
        <v>39</v>
      </c>
      <c r="M408" s="54" t="s">
        <v>39</v>
      </c>
      <c r="N408" s="55"/>
      <c r="O408" s="56"/>
      <c r="P408" s="56"/>
      <c r="Q408" s="58" t="s">
        <v>1858</v>
      </c>
      <c r="S408" s="1">
        <f t="shared" si="137"/>
        <v>0</v>
      </c>
      <c r="T408" s="1">
        <f t="shared" si="138"/>
        <v>0</v>
      </c>
      <c r="U408" s="1">
        <f t="shared" si="139"/>
        <v>0</v>
      </c>
      <c r="V408" s="1">
        <f t="shared" si="140"/>
        <v>0</v>
      </c>
      <c r="W408" s="1">
        <f t="shared" si="141"/>
        <v>1</v>
      </c>
      <c r="X408" s="1">
        <f t="shared" si="142"/>
        <v>0</v>
      </c>
      <c r="Y408" s="1">
        <f t="shared" si="143"/>
        <v>0</v>
      </c>
      <c r="Z408" s="1">
        <f t="shared" si="144"/>
        <v>0</v>
      </c>
      <c r="AA408" s="1">
        <f t="shared" si="145"/>
        <v>0</v>
      </c>
      <c r="AB408" s="1">
        <f t="shared" si="146"/>
        <v>0</v>
      </c>
      <c r="AD408" s="1">
        <f t="shared" si="147"/>
        <v>0</v>
      </c>
      <c r="AE408" s="1">
        <f t="shared" si="148"/>
        <v>0</v>
      </c>
      <c r="AF408" s="1">
        <f t="shared" si="149"/>
        <v>0</v>
      </c>
      <c r="AG408" s="1">
        <f t="shared" si="150"/>
        <v>0</v>
      </c>
      <c r="AH408" s="1">
        <f t="shared" si="151"/>
        <v>0</v>
      </c>
      <c r="AI408" s="1">
        <f t="shared" si="152"/>
        <v>1</v>
      </c>
    </row>
    <row r="409" spans="1:35" s="1" customFormat="1" ht="14.25" customHeight="1" x14ac:dyDescent="0.25">
      <c r="A409" s="31">
        <v>0</v>
      </c>
      <c r="B409" s="31">
        <v>2</v>
      </c>
      <c r="C409" s="31">
        <v>6</v>
      </c>
      <c r="D409" s="32" t="s">
        <v>515</v>
      </c>
      <c r="E409" s="32" t="s">
        <v>31</v>
      </c>
      <c r="F409" s="32" t="s">
        <v>664</v>
      </c>
      <c r="G409" s="32" t="s">
        <v>199</v>
      </c>
      <c r="H409" s="32" t="s">
        <v>352</v>
      </c>
      <c r="I409" s="31" t="s">
        <v>516</v>
      </c>
      <c r="J409" s="31">
        <v>2</v>
      </c>
      <c r="K409" s="33" t="s">
        <v>935</v>
      </c>
      <c r="L409" s="33" t="s">
        <v>685</v>
      </c>
      <c r="M409" s="34" t="s">
        <v>1400</v>
      </c>
      <c r="N409" s="34" t="s">
        <v>1704</v>
      </c>
      <c r="O409" s="35">
        <v>1</v>
      </c>
      <c r="P409" s="35"/>
      <c r="Q409" s="32"/>
      <c r="S409" s="1">
        <f t="shared" si="137"/>
        <v>0</v>
      </c>
      <c r="T409" s="1">
        <f t="shared" si="138"/>
        <v>1</v>
      </c>
      <c r="U409" s="1">
        <f t="shared" si="139"/>
        <v>0</v>
      </c>
      <c r="V409" s="1">
        <f t="shared" si="140"/>
        <v>0</v>
      </c>
      <c r="W409" s="1">
        <f t="shared" si="141"/>
        <v>0</v>
      </c>
      <c r="X409" s="1">
        <f t="shared" si="142"/>
        <v>0</v>
      </c>
      <c r="Y409" s="1">
        <f t="shared" si="143"/>
        <v>0</v>
      </c>
      <c r="Z409" s="1">
        <f t="shared" si="144"/>
        <v>0</v>
      </c>
      <c r="AA409" s="1">
        <f t="shared" si="145"/>
        <v>0</v>
      </c>
      <c r="AB409" s="1">
        <f t="shared" si="146"/>
        <v>0</v>
      </c>
      <c r="AD409" s="1">
        <f t="shared" si="147"/>
        <v>0</v>
      </c>
      <c r="AE409" s="1">
        <f t="shared" si="148"/>
        <v>1</v>
      </c>
      <c r="AF409" s="1">
        <f t="shared" si="149"/>
        <v>0</v>
      </c>
      <c r="AG409" s="1">
        <f t="shared" si="150"/>
        <v>1</v>
      </c>
      <c r="AH409" s="1">
        <f t="shared" si="151"/>
        <v>0</v>
      </c>
      <c r="AI409" s="1">
        <f t="shared" si="152"/>
        <v>1</v>
      </c>
    </row>
    <row r="410" spans="1:35" s="1" customFormat="1" ht="14.25" customHeight="1" x14ac:dyDescent="0.25">
      <c r="A410" s="31">
        <v>0</v>
      </c>
      <c r="B410" s="31">
        <v>2</v>
      </c>
      <c r="C410" s="31">
        <v>6</v>
      </c>
      <c r="D410" s="32" t="s">
        <v>53</v>
      </c>
      <c r="E410" s="32" t="s">
        <v>31</v>
      </c>
      <c r="F410" s="32" t="s">
        <v>209</v>
      </c>
      <c r="G410" s="32" t="s">
        <v>210</v>
      </c>
      <c r="H410" s="32" t="s">
        <v>352</v>
      </c>
      <c r="I410" s="31" t="s">
        <v>390</v>
      </c>
      <c r="J410" s="31">
        <v>1</v>
      </c>
      <c r="K410" s="33" t="s">
        <v>703</v>
      </c>
      <c r="L410" s="33" t="s">
        <v>695</v>
      </c>
      <c r="M410" s="34" t="s">
        <v>719</v>
      </c>
      <c r="N410" s="34" t="s">
        <v>1704</v>
      </c>
      <c r="O410" s="35">
        <v>1</v>
      </c>
      <c r="P410" s="35"/>
      <c r="Q410" s="32"/>
      <c r="S410" s="1">
        <f t="shared" si="137"/>
        <v>1</v>
      </c>
      <c r="T410" s="1">
        <f t="shared" si="138"/>
        <v>0</v>
      </c>
      <c r="U410" s="1">
        <f t="shared" si="139"/>
        <v>0</v>
      </c>
      <c r="V410" s="1">
        <f t="shared" si="140"/>
        <v>0</v>
      </c>
      <c r="W410" s="1">
        <f t="shared" si="141"/>
        <v>0</v>
      </c>
      <c r="X410" s="1">
        <f t="shared" si="142"/>
        <v>0</v>
      </c>
      <c r="Y410" s="1">
        <f t="shared" si="143"/>
        <v>0</v>
      </c>
      <c r="Z410" s="1">
        <f t="shared" si="144"/>
        <v>0</v>
      </c>
      <c r="AA410" s="1">
        <f t="shared" si="145"/>
        <v>0</v>
      </c>
      <c r="AB410" s="1">
        <f t="shared" si="146"/>
        <v>0</v>
      </c>
      <c r="AD410" s="1">
        <f t="shared" si="147"/>
        <v>0</v>
      </c>
      <c r="AE410" s="1">
        <f t="shared" si="148"/>
        <v>1</v>
      </c>
      <c r="AF410" s="1">
        <f t="shared" si="149"/>
        <v>0</v>
      </c>
      <c r="AG410" s="1">
        <f t="shared" si="150"/>
        <v>1</v>
      </c>
      <c r="AH410" s="1">
        <f t="shared" si="151"/>
        <v>0</v>
      </c>
      <c r="AI410" s="1">
        <f t="shared" si="152"/>
        <v>1</v>
      </c>
    </row>
    <row r="411" spans="1:35" s="1" customFormat="1" ht="14.25" customHeight="1" x14ac:dyDescent="0.25">
      <c r="A411" s="31">
        <v>0</v>
      </c>
      <c r="B411" s="31">
        <v>2</v>
      </c>
      <c r="C411" s="31">
        <v>6</v>
      </c>
      <c r="D411" s="32" t="s">
        <v>1821</v>
      </c>
      <c r="E411" s="32" t="s">
        <v>1822</v>
      </c>
      <c r="F411" s="32" t="s">
        <v>1823</v>
      </c>
      <c r="G411" s="32"/>
      <c r="H411" s="32" t="s">
        <v>352</v>
      </c>
      <c r="I411" s="31" t="s">
        <v>1824</v>
      </c>
      <c r="J411" s="31">
        <v>99</v>
      </c>
      <c r="K411" s="33" t="s">
        <v>694</v>
      </c>
      <c r="L411" s="33">
        <v>25</v>
      </c>
      <c r="M411" s="34" t="s">
        <v>1825</v>
      </c>
      <c r="N411" s="34" t="s">
        <v>1704</v>
      </c>
      <c r="O411" s="35">
        <v>1</v>
      </c>
      <c r="P411" s="35"/>
      <c r="Q411" s="32" t="s">
        <v>2003</v>
      </c>
      <c r="S411" s="1">
        <f t="shared" si="137"/>
        <v>0</v>
      </c>
      <c r="T411" s="1">
        <f t="shared" si="138"/>
        <v>0</v>
      </c>
      <c r="U411" s="1">
        <f t="shared" si="139"/>
        <v>0</v>
      </c>
      <c r="V411" s="1">
        <f t="shared" si="140"/>
        <v>0</v>
      </c>
      <c r="W411" s="1">
        <f t="shared" si="141"/>
        <v>0</v>
      </c>
      <c r="X411" s="1">
        <f t="shared" si="142"/>
        <v>0</v>
      </c>
      <c r="Y411" s="1">
        <f t="shared" si="143"/>
        <v>0</v>
      </c>
      <c r="Z411" s="1">
        <f t="shared" si="144"/>
        <v>0</v>
      </c>
      <c r="AA411" s="1">
        <f t="shared" si="145"/>
        <v>0</v>
      </c>
      <c r="AB411" s="1">
        <f t="shared" si="146"/>
        <v>0</v>
      </c>
      <c r="AD411" s="1">
        <f t="shared" si="147"/>
        <v>0</v>
      </c>
      <c r="AE411" s="1">
        <f t="shared" si="148"/>
        <v>1</v>
      </c>
      <c r="AF411" s="1">
        <f t="shared" si="149"/>
        <v>0</v>
      </c>
      <c r="AG411" s="1">
        <f t="shared" si="150"/>
        <v>1</v>
      </c>
      <c r="AH411" s="1">
        <f t="shared" si="151"/>
        <v>0</v>
      </c>
      <c r="AI411" s="1">
        <f t="shared" si="152"/>
        <v>1</v>
      </c>
    </row>
    <row r="412" spans="1:35" s="1" customFormat="1" ht="14.25" customHeight="1" x14ac:dyDescent="0.25">
      <c r="A412" s="31">
        <v>0</v>
      </c>
      <c r="B412" s="31">
        <v>2</v>
      </c>
      <c r="C412" s="31">
        <v>6</v>
      </c>
      <c r="D412" s="32" t="s">
        <v>80</v>
      </c>
      <c r="E412" s="32" t="s">
        <v>31</v>
      </c>
      <c r="F412" s="32" t="s">
        <v>269</v>
      </c>
      <c r="G412" s="32" t="s">
        <v>223</v>
      </c>
      <c r="H412" s="32" t="s">
        <v>352</v>
      </c>
      <c r="I412" s="31" t="s">
        <v>670</v>
      </c>
      <c r="J412" s="31">
        <v>99</v>
      </c>
      <c r="K412" s="33" t="s">
        <v>936</v>
      </c>
      <c r="L412" s="33" t="s">
        <v>685</v>
      </c>
      <c r="M412" s="34" t="s">
        <v>1401</v>
      </c>
      <c r="N412" s="34" t="s">
        <v>1808</v>
      </c>
      <c r="O412" s="35">
        <v>1</v>
      </c>
      <c r="P412" s="35"/>
      <c r="Q412" s="32"/>
      <c r="S412" s="1">
        <f t="shared" si="137"/>
        <v>0</v>
      </c>
      <c r="T412" s="1">
        <f t="shared" si="138"/>
        <v>0</v>
      </c>
      <c r="U412" s="1">
        <f t="shared" si="139"/>
        <v>0</v>
      </c>
      <c r="V412" s="1">
        <f t="shared" si="140"/>
        <v>0</v>
      </c>
      <c r="W412" s="1">
        <f t="shared" si="141"/>
        <v>0</v>
      </c>
      <c r="X412" s="1">
        <f t="shared" si="142"/>
        <v>0</v>
      </c>
      <c r="Y412" s="1">
        <f t="shared" si="143"/>
        <v>0</v>
      </c>
      <c r="Z412" s="1">
        <f t="shared" si="144"/>
        <v>0</v>
      </c>
      <c r="AA412" s="1">
        <f t="shared" si="145"/>
        <v>0</v>
      </c>
      <c r="AB412" s="1">
        <f t="shared" si="146"/>
        <v>0</v>
      </c>
      <c r="AD412" s="1">
        <f t="shared" si="147"/>
        <v>0</v>
      </c>
      <c r="AE412" s="1">
        <f t="shared" si="148"/>
        <v>1</v>
      </c>
      <c r="AF412" s="1">
        <f t="shared" si="149"/>
        <v>0</v>
      </c>
      <c r="AG412" s="1">
        <f t="shared" si="150"/>
        <v>1</v>
      </c>
      <c r="AH412" s="1">
        <f t="shared" si="151"/>
        <v>0</v>
      </c>
      <c r="AI412" s="1">
        <f t="shared" si="152"/>
        <v>1</v>
      </c>
    </row>
    <row r="413" spans="1:35" s="1" customFormat="1" ht="14.25" customHeight="1" x14ac:dyDescent="0.25">
      <c r="A413" s="31">
        <v>0</v>
      </c>
      <c r="B413" s="31">
        <v>2</v>
      </c>
      <c r="C413" s="31">
        <v>6</v>
      </c>
      <c r="D413" s="32" t="s">
        <v>631</v>
      </c>
      <c r="E413" s="32" t="s">
        <v>31</v>
      </c>
      <c r="F413" s="32" t="s">
        <v>632</v>
      </c>
      <c r="G413" s="32" t="s">
        <v>239</v>
      </c>
      <c r="H413" s="32" t="s">
        <v>352</v>
      </c>
      <c r="I413" s="31" t="s">
        <v>633</v>
      </c>
      <c r="J413" s="31">
        <v>1</v>
      </c>
      <c r="K413" s="33" t="s">
        <v>704</v>
      </c>
      <c r="L413" s="33" t="s">
        <v>685</v>
      </c>
      <c r="M413" s="34" t="s">
        <v>1402</v>
      </c>
      <c r="N413" s="34" t="s">
        <v>1704</v>
      </c>
      <c r="O413" s="35">
        <v>1</v>
      </c>
      <c r="P413" s="35"/>
      <c r="Q413" s="32"/>
      <c r="S413" s="1">
        <f t="shared" si="137"/>
        <v>1</v>
      </c>
      <c r="T413" s="1">
        <f t="shared" si="138"/>
        <v>0</v>
      </c>
      <c r="U413" s="1">
        <f t="shared" si="139"/>
        <v>0</v>
      </c>
      <c r="V413" s="1">
        <f t="shared" si="140"/>
        <v>0</v>
      </c>
      <c r="W413" s="1">
        <f t="shared" si="141"/>
        <v>0</v>
      </c>
      <c r="X413" s="1">
        <f t="shared" si="142"/>
        <v>0</v>
      </c>
      <c r="Y413" s="1">
        <f t="shared" si="143"/>
        <v>0</v>
      </c>
      <c r="Z413" s="1">
        <f t="shared" si="144"/>
        <v>0</v>
      </c>
      <c r="AA413" s="1">
        <f t="shared" si="145"/>
        <v>0</v>
      </c>
      <c r="AB413" s="1">
        <f t="shared" si="146"/>
        <v>0</v>
      </c>
      <c r="AD413" s="1">
        <f t="shared" si="147"/>
        <v>0</v>
      </c>
      <c r="AE413" s="1">
        <f t="shared" si="148"/>
        <v>1</v>
      </c>
      <c r="AF413" s="1">
        <f t="shared" si="149"/>
        <v>0</v>
      </c>
      <c r="AG413" s="1">
        <f t="shared" si="150"/>
        <v>1</v>
      </c>
      <c r="AH413" s="1">
        <f t="shared" si="151"/>
        <v>0</v>
      </c>
      <c r="AI413" s="1">
        <f t="shared" si="152"/>
        <v>1</v>
      </c>
    </row>
    <row r="414" spans="1:35" s="1" customFormat="1" ht="14.25" customHeight="1" x14ac:dyDescent="0.25">
      <c r="A414" s="44">
        <v>0</v>
      </c>
      <c r="B414" s="44">
        <v>2</v>
      </c>
      <c r="C414" s="44">
        <v>6</v>
      </c>
      <c r="D414" s="45" t="s">
        <v>1113</v>
      </c>
      <c r="E414" s="45" t="s">
        <v>31</v>
      </c>
      <c r="F414" s="45" t="s">
        <v>664</v>
      </c>
      <c r="G414" s="45" t="s">
        <v>199</v>
      </c>
      <c r="H414" s="45" t="s">
        <v>352</v>
      </c>
      <c r="I414" s="44" t="s">
        <v>516</v>
      </c>
      <c r="J414" s="44">
        <v>2</v>
      </c>
      <c r="K414" s="46" t="s">
        <v>703</v>
      </c>
      <c r="L414" s="46" t="s">
        <v>685</v>
      </c>
      <c r="M414" s="47" t="s">
        <v>719</v>
      </c>
      <c r="N414" s="47" t="s">
        <v>1701</v>
      </c>
      <c r="O414" s="48"/>
      <c r="P414" s="48"/>
      <c r="Q414" s="45"/>
      <c r="S414" s="1">
        <f t="shared" si="137"/>
        <v>0</v>
      </c>
      <c r="T414" s="1">
        <f t="shared" si="138"/>
        <v>1</v>
      </c>
      <c r="U414" s="1">
        <f t="shared" si="139"/>
        <v>0</v>
      </c>
      <c r="V414" s="1">
        <f t="shared" si="140"/>
        <v>0</v>
      </c>
      <c r="W414" s="1">
        <f t="shared" si="141"/>
        <v>0</v>
      </c>
      <c r="X414" s="1">
        <f t="shared" si="142"/>
        <v>0</v>
      </c>
      <c r="Y414" s="1">
        <f t="shared" si="143"/>
        <v>0</v>
      </c>
      <c r="Z414" s="1">
        <f t="shared" si="144"/>
        <v>0</v>
      </c>
      <c r="AA414" s="1">
        <f t="shared" si="145"/>
        <v>0</v>
      </c>
      <c r="AB414" s="1">
        <f t="shared" si="146"/>
        <v>0</v>
      </c>
      <c r="AD414" s="1">
        <f t="shared" si="147"/>
        <v>0</v>
      </c>
      <c r="AE414" s="1">
        <f t="shared" si="148"/>
        <v>0</v>
      </c>
      <c r="AF414" s="1">
        <f t="shared" si="149"/>
        <v>0</v>
      </c>
      <c r="AG414" s="1">
        <f t="shared" si="150"/>
        <v>0</v>
      </c>
      <c r="AH414" s="1">
        <f t="shared" si="151"/>
        <v>0</v>
      </c>
      <c r="AI414" s="1">
        <f t="shared" si="152"/>
        <v>1</v>
      </c>
    </row>
    <row r="415" spans="1:35" s="1" customFormat="1" ht="14.25" customHeight="1" x14ac:dyDescent="0.25">
      <c r="A415" s="31">
        <v>0</v>
      </c>
      <c r="B415" s="31">
        <v>2</v>
      </c>
      <c r="C415" s="31">
        <v>6</v>
      </c>
      <c r="D415" s="32" t="s">
        <v>1064</v>
      </c>
      <c r="E415" s="32" t="s">
        <v>158</v>
      </c>
      <c r="F415" s="32" t="s">
        <v>197</v>
      </c>
      <c r="G415" s="32" t="s">
        <v>198</v>
      </c>
      <c r="H415" s="32" t="s">
        <v>352</v>
      </c>
      <c r="I415" s="31" t="s">
        <v>386</v>
      </c>
      <c r="J415" s="31">
        <v>99</v>
      </c>
      <c r="K415" s="33" t="s">
        <v>703</v>
      </c>
      <c r="L415" s="33" t="s">
        <v>707</v>
      </c>
      <c r="M415" s="34" t="s">
        <v>721</v>
      </c>
      <c r="N415" s="34" t="s">
        <v>1709</v>
      </c>
      <c r="O415" s="35">
        <v>1</v>
      </c>
      <c r="P415" s="35"/>
      <c r="Q415" s="32"/>
      <c r="S415" s="1">
        <f t="shared" si="137"/>
        <v>0</v>
      </c>
      <c r="T415" s="1">
        <f t="shared" si="138"/>
        <v>0</v>
      </c>
      <c r="U415" s="1">
        <f t="shared" si="139"/>
        <v>0</v>
      </c>
      <c r="V415" s="1">
        <f t="shared" si="140"/>
        <v>0</v>
      </c>
      <c r="W415" s="1">
        <f t="shared" si="141"/>
        <v>0</v>
      </c>
      <c r="X415" s="1">
        <f t="shared" si="142"/>
        <v>0</v>
      </c>
      <c r="Y415" s="1">
        <f t="shared" si="143"/>
        <v>0</v>
      </c>
      <c r="Z415" s="1">
        <f t="shared" si="144"/>
        <v>0</v>
      </c>
      <c r="AA415" s="1">
        <f t="shared" si="145"/>
        <v>0</v>
      </c>
      <c r="AB415" s="1">
        <f t="shared" si="146"/>
        <v>0</v>
      </c>
      <c r="AD415" s="1">
        <f t="shared" si="147"/>
        <v>0</v>
      </c>
      <c r="AE415" s="1">
        <f t="shared" si="148"/>
        <v>1</v>
      </c>
      <c r="AF415" s="1">
        <f t="shared" si="149"/>
        <v>0</v>
      </c>
      <c r="AG415" s="1">
        <f t="shared" si="150"/>
        <v>1</v>
      </c>
      <c r="AH415" s="1">
        <f t="shared" si="151"/>
        <v>0</v>
      </c>
      <c r="AI415" s="1">
        <f t="shared" si="152"/>
        <v>1</v>
      </c>
    </row>
    <row r="416" spans="1:35" s="1" customFormat="1" ht="14.25" customHeight="1" x14ac:dyDescent="0.25">
      <c r="A416" s="31">
        <v>0</v>
      </c>
      <c r="B416" s="31">
        <v>2</v>
      </c>
      <c r="C416" s="31">
        <v>7</v>
      </c>
      <c r="D416" s="32" t="s">
        <v>505</v>
      </c>
      <c r="E416" s="32" t="s">
        <v>155</v>
      </c>
      <c r="F416" s="32" t="s">
        <v>506</v>
      </c>
      <c r="G416" s="32" t="s">
        <v>39</v>
      </c>
      <c r="H416" s="32" t="s">
        <v>352</v>
      </c>
      <c r="I416" s="31" t="s">
        <v>924</v>
      </c>
      <c r="J416" s="31">
        <v>7</v>
      </c>
      <c r="K416" s="33" t="s">
        <v>936</v>
      </c>
      <c r="L416" s="33" t="s">
        <v>39</v>
      </c>
      <c r="M416" s="34" t="s">
        <v>39</v>
      </c>
      <c r="N416" s="34" t="s">
        <v>1693</v>
      </c>
      <c r="O416" s="35">
        <v>1</v>
      </c>
      <c r="P416" s="35">
        <v>1</v>
      </c>
      <c r="Q416" s="32"/>
      <c r="S416" s="1">
        <f t="shared" si="137"/>
        <v>0</v>
      </c>
      <c r="T416" s="1">
        <f t="shared" si="138"/>
        <v>0</v>
      </c>
      <c r="U416" s="1">
        <f t="shared" si="139"/>
        <v>0</v>
      </c>
      <c r="V416" s="1">
        <f t="shared" si="140"/>
        <v>0</v>
      </c>
      <c r="W416" s="1">
        <f t="shared" si="141"/>
        <v>0</v>
      </c>
      <c r="X416" s="1">
        <f t="shared" si="142"/>
        <v>0</v>
      </c>
      <c r="Y416" s="1">
        <f t="shared" si="143"/>
        <v>1</v>
      </c>
      <c r="Z416" s="1">
        <f t="shared" si="144"/>
        <v>0</v>
      </c>
      <c r="AA416" s="1">
        <f t="shared" si="145"/>
        <v>0</v>
      </c>
      <c r="AB416" s="1">
        <f t="shared" si="146"/>
        <v>0</v>
      </c>
      <c r="AD416" s="1">
        <f t="shared" si="147"/>
        <v>1</v>
      </c>
      <c r="AE416" s="1">
        <f t="shared" si="148"/>
        <v>0</v>
      </c>
      <c r="AF416" s="1">
        <f t="shared" si="149"/>
        <v>1</v>
      </c>
      <c r="AG416" s="1">
        <f t="shared" si="150"/>
        <v>0</v>
      </c>
      <c r="AH416" s="1">
        <f t="shared" si="151"/>
        <v>1</v>
      </c>
      <c r="AI416" s="1">
        <f t="shared" si="152"/>
        <v>0</v>
      </c>
    </row>
    <row r="417" spans="1:35" s="1" customFormat="1" ht="14.25" customHeight="1" x14ac:dyDescent="0.25">
      <c r="A417" s="31">
        <v>0</v>
      </c>
      <c r="B417" s="31">
        <v>2</v>
      </c>
      <c r="C417" s="31">
        <v>7</v>
      </c>
      <c r="D417" s="32" t="s">
        <v>70</v>
      </c>
      <c r="E417" s="32" t="s">
        <v>28</v>
      </c>
      <c r="F417" s="32" t="s">
        <v>665</v>
      </c>
      <c r="G417" s="32" t="s">
        <v>257</v>
      </c>
      <c r="H417" s="32" t="s">
        <v>352</v>
      </c>
      <c r="I417" s="31" t="s">
        <v>415</v>
      </c>
      <c r="J417" s="31">
        <v>8</v>
      </c>
      <c r="K417" s="33" t="s">
        <v>704</v>
      </c>
      <c r="L417" s="33" t="s">
        <v>704</v>
      </c>
      <c r="M417" s="34" t="s">
        <v>722</v>
      </c>
      <c r="N417" s="34" t="s">
        <v>1704</v>
      </c>
      <c r="O417" s="35">
        <v>1</v>
      </c>
      <c r="P417" s="35"/>
      <c r="Q417" s="32"/>
      <c r="S417" s="1">
        <f t="shared" si="137"/>
        <v>0</v>
      </c>
      <c r="T417" s="1">
        <f t="shared" si="138"/>
        <v>0</v>
      </c>
      <c r="U417" s="1">
        <f t="shared" si="139"/>
        <v>0</v>
      </c>
      <c r="V417" s="1">
        <f t="shared" si="140"/>
        <v>0</v>
      </c>
      <c r="W417" s="1">
        <f t="shared" si="141"/>
        <v>0</v>
      </c>
      <c r="X417" s="1">
        <f t="shared" si="142"/>
        <v>0</v>
      </c>
      <c r="Y417" s="1">
        <f t="shared" si="143"/>
        <v>0</v>
      </c>
      <c r="Z417" s="1">
        <f t="shared" si="144"/>
        <v>1</v>
      </c>
      <c r="AA417" s="1">
        <f t="shared" si="145"/>
        <v>0</v>
      </c>
      <c r="AB417" s="1">
        <f t="shared" si="146"/>
        <v>0</v>
      </c>
      <c r="AD417" s="1">
        <f t="shared" si="147"/>
        <v>0</v>
      </c>
      <c r="AE417" s="1">
        <f t="shared" si="148"/>
        <v>1</v>
      </c>
      <c r="AF417" s="1">
        <f t="shared" si="149"/>
        <v>0</v>
      </c>
      <c r="AG417" s="1">
        <f t="shared" si="150"/>
        <v>1</v>
      </c>
      <c r="AH417" s="1">
        <f t="shared" si="151"/>
        <v>0</v>
      </c>
      <c r="AI417" s="1">
        <f t="shared" si="152"/>
        <v>1</v>
      </c>
    </row>
    <row r="418" spans="1:35" s="1" customFormat="1" ht="14.25" customHeight="1" x14ac:dyDescent="0.25">
      <c r="A418" s="31">
        <v>0</v>
      </c>
      <c r="B418" s="31">
        <v>2</v>
      </c>
      <c r="C418" s="31">
        <v>7</v>
      </c>
      <c r="D418" s="32" t="s">
        <v>646</v>
      </c>
      <c r="E418" s="32" t="s">
        <v>155</v>
      </c>
      <c r="F418" s="32" t="s">
        <v>577</v>
      </c>
      <c r="G418" s="32" t="s">
        <v>248</v>
      </c>
      <c r="H418" s="32" t="s">
        <v>352</v>
      </c>
      <c r="I418" s="31" t="s">
        <v>671</v>
      </c>
      <c r="J418" s="31">
        <v>7</v>
      </c>
      <c r="K418" s="33" t="s">
        <v>936</v>
      </c>
      <c r="L418" s="33" t="s">
        <v>39</v>
      </c>
      <c r="M418" s="34" t="s">
        <v>39</v>
      </c>
      <c r="N418" s="34" t="s">
        <v>1693</v>
      </c>
      <c r="O418" s="35">
        <v>1</v>
      </c>
      <c r="P418" s="35">
        <v>1</v>
      </c>
      <c r="Q418" s="32"/>
      <c r="S418" s="1">
        <f t="shared" si="137"/>
        <v>0</v>
      </c>
      <c r="T418" s="1">
        <f t="shared" si="138"/>
        <v>0</v>
      </c>
      <c r="U418" s="1">
        <f t="shared" si="139"/>
        <v>0</v>
      </c>
      <c r="V418" s="1">
        <f t="shared" si="140"/>
        <v>0</v>
      </c>
      <c r="W418" s="1">
        <f t="shared" si="141"/>
        <v>0</v>
      </c>
      <c r="X418" s="1">
        <f t="shared" si="142"/>
        <v>0</v>
      </c>
      <c r="Y418" s="1">
        <f t="shared" si="143"/>
        <v>1</v>
      </c>
      <c r="Z418" s="1">
        <f t="shared" si="144"/>
        <v>0</v>
      </c>
      <c r="AA418" s="1">
        <f t="shared" si="145"/>
        <v>0</v>
      </c>
      <c r="AB418" s="1">
        <f t="shared" si="146"/>
        <v>0</v>
      </c>
      <c r="AD418" s="1">
        <f t="shared" si="147"/>
        <v>1</v>
      </c>
      <c r="AE418" s="1">
        <f t="shared" si="148"/>
        <v>0</v>
      </c>
      <c r="AF418" s="1">
        <f t="shared" si="149"/>
        <v>1</v>
      </c>
      <c r="AG418" s="1">
        <f t="shared" si="150"/>
        <v>0</v>
      </c>
      <c r="AH418" s="1">
        <f t="shared" si="151"/>
        <v>1</v>
      </c>
      <c r="AI418" s="1">
        <f t="shared" si="152"/>
        <v>0</v>
      </c>
    </row>
    <row r="419" spans="1:35" s="1" customFormat="1" ht="14.25" customHeight="1" x14ac:dyDescent="0.25">
      <c r="A419" s="44">
        <v>0</v>
      </c>
      <c r="B419" s="44">
        <v>2</v>
      </c>
      <c r="C419" s="44">
        <v>7</v>
      </c>
      <c r="D419" s="45" t="s">
        <v>1601</v>
      </c>
      <c r="E419" s="45" t="s">
        <v>155</v>
      </c>
      <c r="F419" s="45" t="s">
        <v>1624</v>
      </c>
      <c r="G419" s="45" t="s">
        <v>212</v>
      </c>
      <c r="H419" s="45" t="s">
        <v>352</v>
      </c>
      <c r="I419" s="44" t="s">
        <v>586</v>
      </c>
      <c r="J419" s="44">
        <v>1</v>
      </c>
      <c r="K419" s="46" t="s">
        <v>703</v>
      </c>
      <c r="L419" s="46" t="s">
        <v>713</v>
      </c>
      <c r="M419" s="47" t="s">
        <v>1403</v>
      </c>
      <c r="N419" s="47" t="s">
        <v>1701</v>
      </c>
      <c r="O419" s="48"/>
      <c r="P419" s="48"/>
      <c r="Q419" s="45"/>
      <c r="S419" s="1">
        <f t="shared" si="137"/>
        <v>1</v>
      </c>
      <c r="T419" s="1">
        <f t="shared" si="138"/>
        <v>0</v>
      </c>
      <c r="U419" s="1">
        <f t="shared" si="139"/>
        <v>0</v>
      </c>
      <c r="V419" s="1">
        <f t="shared" si="140"/>
        <v>0</v>
      </c>
      <c r="W419" s="1">
        <f t="shared" si="141"/>
        <v>0</v>
      </c>
      <c r="X419" s="1">
        <f t="shared" si="142"/>
        <v>0</v>
      </c>
      <c r="Y419" s="1">
        <f t="shared" si="143"/>
        <v>0</v>
      </c>
      <c r="Z419" s="1">
        <f t="shared" si="144"/>
        <v>0</v>
      </c>
      <c r="AA419" s="1">
        <f t="shared" si="145"/>
        <v>0</v>
      </c>
      <c r="AB419" s="1">
        <f t="shared" si="146"/>
        <v>0</v>
      </c>
      <c r="AD419" s="1">
        <f t="shared" si="147"/>
        <v>0</v>
      </c>
      <c r="AE419" s="1">
        <f t="shared" si="148"/>
        <v>0</v>
      </c>
      <c r="AF419" s="1">
        <f t="shared" si="149"/>
        <v>0</v>
      </c>
      <c r="AG419" s="1">
        <f t="shared" si="150"/>
        <v>0</v>
      </c>
      <c r="AH419" s="1">
        <f t="shared" si="151"/>
        <v>0</v>
      </c>
      <c r="AI419" s="1">
        <f t="shared" si="152"/>
        <v>1</v>
      </c>
    </row>
    <row r="420" spans="1:35" s="1" customFormat="1" ht="14.25" customHeight="1" x14ac:dyDescent="0.25">
      <c r="A420" s="31">
        <v>0</v>
      </c>
      <c r="B420" s="31">
        <v>2</v>
      </c>
      <c r="C420" s="31">
        <v>7</v>
      </c>
      <c r="D420" s="32" t="s">
        <v>1051</v>
      </c>
      <c r="E420" s="32" t="s">
        <v>1027</v>
      </c>
      <c r="F420" s="32" t="s">
        <v>1052</v>
      </c>
      <c r="G420" s="32" t="s">
        <v>212</v>
      </c>
      <c r="H420" s="32" t="s">
        <v>352</v>
      </c>
      <c r="I420" s="31" t="s">
        <v>1053</v>
      </c>
      <c r="J420" s="31">
        <v>1</v>
      </c>
      <c r="K420" s="33" t="s">
        <v>936</v>
      </c>
      <c r="L420" s="33" t="s">
        <v>713</v>
      </c>
      <c r="M420" s="34" t="s">
        <v>1404</v>
      </c>
      <c r="N420" s="34" t="s">
        <v>1704</v>
      </c>
      <c r="O420" s="35">
        <v>1</v>
      </c>
      <c r="P420" s="35"/>
      <c r="Q420" s="32" t="s">
        <v>1876</v>
      </c>
      <c r="S420" s="1">
        <f t="shared" si="137"/>
        <v>1</v>
      </c>
      <c r="T420" s="1">
        <f t="shared" si="138"/>
        <v>0</v>
      </c>
      <c r="U420" s="1">
        <f t="shared" si="139"/>
        <v>0</v>
      </c>
      <c r="V420" s="1">
        <f t="shared" si="140"/>
        <v>0</v>
      </c>
      <c r="W420" s="1">
        <f t="shared" si="141"/>
        <v>0</v>
      </c>
      <c r="X420" s="1">
        <f t="shared" si="142"/>
        <v>0</v>
      </c>
      <c r="Y420" s="1">
        <f t="shared" si="143"/>
        <v>0</v>
      </c>
      <c r="Z420" s="1">
        <f t="shared" si="144"/>
        <v>0</v>
      </c>
      <c r="AA420" s="1">
        <f t="shared" si="145"/>
        <v>0</v>
      </c>
      <c r="AB420" s="1">
        <f t="shared" si="146"/>
        <v>0</v>
      </c>
      <c r="AD420" s="1">
        <f t="shared" si="147"/>
        <v>0</v>
      </c>
      <c r="AE420" s="1">
        <f t="shared" si="148"/>
        <v>1</v>
      </c>
      <c r="AF420" s="1">
        <f t="shared" si="149"/>
        <v>0</v>
      </c>
      <c r="AG420" s="1">
        <f t="shared" si="150"/>
        <v>1</v>
      </c>
      <c r="AH420" s="1">
        <f t="shared" si="151"/>
        <v>0</v>
      </c>
      <c r="AI420" s="1">
        <f t="shared" si="152"/>
        <v>1</v>
      </c>
    </row>
    <row r="421" spans="1:35" s="1" customFormat="1" ht="14.25" customHeight="1" x14ac:dyDescent="0.25">
      <c r="A421" s="31">
        <v>0</v>
      </c>
      <c r="B421" s="31">
        <v>2</v>
      </c>
      <c r="C421" s="31">
        <v>7</v>
      </c>
      <c r="D421" s="32" t="s">
        <v>998</v>
      </c>
      <c r="E421" s="32" t="s">
        <v>155</v>
      </c>
      <c r="F421" s="32" t="s">
        <v>1069</v>
      </c>
      <c r="G421" s="32" t="s">
        <v>1079</v>
      </c>
      <c r="H421" s="32" t="s">
        <v>352</v>
      </c>
      <c r="I421" s="31" t="s">
        <v>999</v>
      </c>
      <c r="J421" s="31">
        <v>99</v>
      </c>
      <c r="K421" s="33" t="s">
        <v>704</v>
      </c>
      <c r="L421" s="33" t="s">
        <v>713</v>
      </c>
      <c r="M421" s="34" t="s">
        <v>1404</v>
      </c>
      <c r="N421" s="34" t="s">
        <v>1708</v>
      </c>
      <c r="O421" s="35">
        <v>1</v>
      </c>
      <c r="P421" s="35"/>
      <c r="Q421" s="32"/>
      <c r="S421" s="1">
        <f t="shared" si="137"/>
        <v>0</v>
      </c>
      <c r="T421" s="1">
        <f t="shared" si="138"/>
        <v>0</v>
      </c>
      <c r="U421" s="1">
        <f t="shared" si="139"/>
        <v>0</v>
      </c>
      <c r="V421" s="1">
        <f t="shared" si="140"/>
        <v>0</v>
      </c>
      <c r="W421" s="1">
        <f t="shared" si="141"/>
        <v>0</v>
      </c>
      <c r="X421" s="1">
        <f t="shared" si="142"/>
        <v>0</v>
      </c>
      <c r="Y421" s="1">
        <f t="shared" si="143"/>
        <v>0</v>
      </c>
      <c r="Z421" s="1">
        <f t="shared" si="144"/>
        <v>0</v>
      </c>
      <c r="AA421" s="1">
        <f t="shared" si="145"/>
        <v>0</v>
      </c>
      <c r="AB421" s="1">
        <f t="shared" si="146"/>
        <v>0</v>
      </c>
      <c r="AD421" s="1">
        <f t="shared" si="147"/>
        <v>0</v>
      </c>
      <c r="AE421" s="1">
        <f t="shared" si="148"/>
        <v>1</v>
      </c>
      <c r="AF421" s="1">
        <f t="shared" si="149"/>
        <v>0</v>
      </c>
      <c r="AG421" s="1">
        <f t="shared" si="150"/>
        <v>1</v>
      </c>
      <c r="AH421" s="1">
        <f t="shared" si="151"/>
        <v>0</v>
      </c>
      <c r="AI421" s="1">
        <f t="shared" si="152"/>
        <v>1</v>
      </c>
    </row>
    <row r="422" spans="1:35" s="1" customFormat="1" ht="14.25" customHeight="1" x14ac:dyDescent="0.25">
      <c r="A422" s="31">
        <v>0</v>
      </c>
      <c r="B422" s="31">
        <v>2</v>
      </c>
      <c r="C422" s="31">
        <v>7</v>
      </c>
      <c r="D422" s="32" t="s">
        <v>1180</v>
      </c>
      <c r="E422" s="32" t="s">
        <v>1306</v>
      </c>
      <c r="F422" s="32" t="s">
        <v>1181</v>
      </c>
      <c r="G422" s="32" t="s">
        <v>39</v>
      </c>
      <c r="H422" s="32" t="s">
        <v>352</v>
      </c>
      <c r="I422" s="31" t="s">
        <v>1651</v>
      </c>
      <c r="J422" s="31">
        <v>99</v>
      </c>
      <c r="K422" s="33" t="s">
        <v>936</v>
      </c>
      <c r="L422" s="33" t="s">
        <v>720</v>
      </c>
      <c r="M422" s="34" t="s">
        <v>1405</v>
      </c>
      <c r="N422" s="34" t="s">
        <v>1708</v>
      </c>
      <c r="O422" s="35">
        <v>1</v>
      </c>
      <c r="P422" s="35"/>
      <c r="Q422" s="32"/>
      <c r="S422" s="1">
        <f t="shared" si="137"/>
        <v>0</v>
      </c>
      <c r="T422" s="1">
        <f t="shared" si="138"/>
        <v>0</v>
      </c>
      <c r="U422" s="1">
        <f t="shared" si="139"/>
        <v>0</v>
      </c>
      <c r="V422" s="1">
        <f t="shared" si="140"/>
        <v>0</v>
      </c>
      <c r="W422" s="1">
        <f t="shared" si="141"/>
        <v>0</v>
      </c>
      <c r="X422" s="1">
        <f t="shared" si="142"/>
        <v>0</v>
      </c>
      <c r="Y422" s="1">
        <f t="shared" si="143"/>
        <v>0</v>
      </c>
      <c r="Z422" s="1">
        <f t="shared" si="144"/>
        <v>0</v>
      </c>
      <c r="AA422" s="1">
        <f t="shared" si="145"/>
        <v>0</v>
      </c>
      <c r="AB422" s="1">
        <f t="shared" si="146"/>
        <v>0</v>
      </c>
      <c r="AD422" s="1">
        <f t="shared" si="147"/>
        <v>0</v>
      </c>
      <c r="AE422" s="1">
        <f t="shared" si="148"/>
        <v>1</v>
      </c>
      <c r="AF422" s="1">
        <f t="shared" si="149"/>
        <v>0</v>
      </c>
      <c r="AG422" s="1">
        <f t="shared" si="150"/>
        <v>1</v>
      </c>
      <c r="AH422" s="1">
        <f t="shared" si="151"/>
        <v>0</v>
      </c>
      <c r="AI422" s="1">
        <f t="shared" si="152"/>
        <v>1</v>
      </c>
    </row>
    <row r="423" spans="1:35" s="1" customFormat="1" ht="14.25" customHeight="1" x14ac:dyDescent="0.25">
      <c r="A423" s="31">
        <v>0</v>
      </c>
      <c r="B423" s="31">
        <v>2</v>
      </c>
      <c r="C423" s="31">
        <v>7</v>
      </c>
      <c r="D423" s="32" t="s">
        <v>55</v>
      </c>
      <c r="E423" s="32" t="s">
        <v>28</v>
      </c>
      <c r="F423" s="32" t="s">
        <v>636</v>
      </c>
      <c r="G423" s="32" t="s">
        <v>531</v>
      </c>
      <c r="H423" s="32" t="s">
        <v>352</v>
      </c>
      <c r="I423" s="31" t="s">
        <v>392</v>
      </c>
      <c r="J423" s="31">
        <v>6</v>
      </c>
      <c r="K423" s="33" t="s">
        <v>703</v>
      </c>
      <c r="L423" s="33" t="s">
        <v>704</v>
      </c>
      <c r="M423" s="34" t="s">
        <v>722</v>
      </c>
      <c r="N423" s="34" t="s">
        <v>1721</v>
      </c>
      <c r="O423" s="35">
        <v>1</v>
      </c>
      <c r="P423" s="35"/>
      <c r="Q423" s="32"/>
      <c r="S423" s="1">
        <f t="shared" si="137"/>
        <v>0</v>
      </c>
      <c r="T423" s="1">
        <f t="shared" si="138"/>
        <v>0</v>
      </c>
      <c r="U423" s="1">
        <f t="shared" si="139"/>
        <v>0</v>
      </c>
      <c r="V423" s="1">
        <f t="shared" si="140"/>
        <v>0</v>
      </c>
      <c r="W423" s="1">
        <f t="shared" si="141"/>
        <v>0</v>
      </c>
      <c r="X423" s="1">
        <f t="shared" si="142"/>
        <v>1</v>
      </c>
      <c r="Y423" s="1">
        <f t="shared" si="143"/>
        <v>0</v>
      </c>
      <c r="Z423" s="1">
        <f t="shared" si="144"/>
        <v>0</v>
      </c>
      <c r="AA423" s="1">
        <f t="shared" si="145"/>
        <v>0</v>
      </c>
      <c r="AB423" s="1">
        <f t="shared" si="146"/>
        <v>0</v>
      </c>
      <c r="AD423" s="1">
        <f t="shared" si="147"/>
        <v>0</v>
      </c>
      <c r="AE423" s="1">
        <f t="shared" si="148"/>
        <v>1</v>
      </c>
      <c r="AF423" s="1">
        <f t="shared" si="149"/>
        <v>0</v>
      </c>
      <c r="AG423" s="1">
        <f t="shared" si="150"/>
        <v>1</v>
      </c>
      <c r="AH423" s="1">
        <f t="shared" si="151"/>
        <v>0</v>
      </c>
      <c r="AI423" s="1">
        <f t="shared" si="152"/>
        <v>1</v>
      </c>
    </row>
    <row r="424" spans="1:35" s="1" customFormat="1" ht="14.25" customHeight="1" x14ac:dyDescent="0.25">
      <c r="A424" s="31">
        <v>1</v>
      </c>
      <c r="B424" s="31">
        <v>2</v>
      </c>
      <c r="C424" s="31">
        <v>7</v>
      </c>
      <c r="D424" s="32" t="s">
        <v>55</v>
      </c>
      <c r="E424" s="32" t="s">
        <v>28</v>
      </c>
      <c r="F424" s="32" t="s">
        <v>215</v>
      </c>
      <c r="G424" s="32" t="s">
        <v>39</v>
      </c>
      <c r="H424" s="32" t="s">
        <v>352</v>
      </c>
      <c r="I424" s="31" t="s">
        <v>30</v>
      </c>
      <c r="J424" s="31">
        <v>99</v>
      </c>
      <c r="K424" s="33" t="s">
        <v>703</v>
      </c>
      <c r="L424" s="33" t="s">
        <v>704</v>
      </c>
      <c r="M424" s="34" t="s">
        <v>722</v>
      </c>
      <c r="N424" s="34" t="s">
        <v>1721</v>
      </c>
      <c r="O424" s="35">
        <v>1</v>
      </c>
      <c r="P424" s="35"/>
      <c r="Q424" s="32"/>
      <c r="S424" s="1">
        <f t="shared" si="137"/>
        <v>0</v>
      </c>
      <c r="T424" s="1">
        <f t="shared" si="138"/>
        <v>0</v>
      </c>
      <c r="U424" s="1">
        <f t="shared" si="139"/>
        <v>0</v>
      </c>
      <c r="V424" s="1">
        <f t="shared" si="140"/>
        <v>0</v>
      </c>
      <c r="W424" s="1">
        <f t="shared" si="141"/>
        <v>0</v>
      </c>
      <c r="X424" s="1">
        <f t="shared" si="142"/>
        <v>0</v>
      </c>
      <c r="Y424" s="1">
        <f t="shared" si="143"/>
        <v>0</v>
      </c>
      <c r="Z424" s="1">
        <f t="shared" si="144"/>
        <v>0</v>
      </c>
      <c r="AA424" s="1">
        <f t="shared" si="145"/>
        <v>0</v>
      </c>
      <c r="AB424" s="1">
        <f t="shared" si="146"/>
        <v>0</v>
      </c>
      <c r="AD424" s="1">
        <f t="shared" si="147"/>
        <v>0</v>
      </c>
      <c r="AE424" s="1">
        <f t="shared" si="148"/>
        <v>1</v>
      </c>
      <c r="AF424" s="1">
        <f t="shared" si="149"/>
        <v>0</v>
      </c>
      <c r="AG424" s="1">
        <f t="shared" si="150"/>
        <v>0</v>
      </c>
      <c r="AH424" s="1">
        <f t="shared" si="151"/>
        <v>0</v>
      </c>
      <c r="AI424" s="1">
        <f t="shared" si="152"/>
        <v>0</v>
      </c>
    </row>
    <row r="425" spans="1:35" s="1" customFormat="1" ht="14.25" customHeight="1" x14ac:dyDescent="0.25">
      <c r="A425" s="31">
        <v>1</v>
      </c>
      <c r="B425" s="31">
        <v>2</v>
      </c>
      <c r="C425" s="31">
        <v>7</v>
      </c>
      <c r="D425" s="32" t="s">
        <v>55</v>
      </c>
      <c r="E425" s="32" t="s">
        <v>28</v>
      </c>
      <c r="F425" s="32" t="s">
        <v>214</v>
      </c>
      <c r="G425" s="32" t="s">
        <v>39</v>
      </c>
      <c r="H425" s="32" t="s">
        <v>352</v>
      </c>
      <c r="I425" s="31" t="s">
        <v>392</v>
      </c>
      <c r="J425" s="31">
        <v>99</v>
      </c>
      <c r="K425" s="33" t="s">
        <v>703</v>
      </c>
      <c r="L425" s="33" t="s">
        <v>704</v>
      </c>
      <c r="M425" s="34" t="s">
        <v>722</v>
      </c>
      <c r="N425" s="34" t="s">
        <v>1721</v>
      </c>
      <c r="O425" s="35">
        <v>1</v>
      </c>
      <c r="P425" s="35"/>
      <c r="Q425" s="32"/>
      <c r="S425" s="1">
        <f t="shared" si="137"/>
        <v>0</v>
      </c>
      <c r="T425" s="1">
        <f t="shared" si="138"/>
        <v>0</v>
      </c>
      <c r="U425" s="1">
        <f t="shared" si="139"/>
        <v>0</v>
      </c>
      <c r="V425" s="1">
        <f t="shared" si="140"/>
        <v>0</v>
      </c>
      <c r="W425" s="1">
        <f t="shared" si="141"/>
        <v>0</v>
      </c>
      <c r="X425" s="1">
        <f t="shared" si="142"/>
        <v>0</v>
      </c>
      <c r="Y425" s="1">
        <f t="shared" si="143"/>
        <v>0</v>
      </c>
      <c r="Z425" s="1">
        <f t="shared" si="144"/>
        <v>0</v>
      </c>
      <c r="AA425" s="1">
        <f t="shared" si="145"/>
        <v>0</v>
      </c>
      <c r="AB425" s="1">
        <f t="shared" si="146"/>
        <v>0</v>
      </c>
      <c r="AD425" s="1">
        <f t="shared" si="147"/>
        <v>0</v>
      </c>
      <c r="AE425" s="1">
        <f t="shared" si="148"/>
        <v>1</v>
      </c>
      <c r="AF425" s="1">
        <f t="shared" si="149"/>
        <v>0</v>
      </c>
      <c r="AG425" s="1">
        <f t="shared" si="150"/>
        <v>0</v>
      </c>
      <c r="AH425" s="1">
        <f t="shared" si="151"/>
        <v>0</v>
      </c>
      <c r="AI425" s="1">
        <f t="shared" si="152"/>
        <v>0</v>
      </c>
    </row>
    <row r="426" spans="1:35" s="1" customFormat="1" ht="14.25" customHeight="1" x14ac:dyDescent="0.25">
      <c r="A426" s="31">
        <v>1</v>
      </c>
      <c r="B426" s="31">
        <v>2</v>
      </c>
      <c r="C426" s="31">
        <v>7</v>
      </c>
      <c r="D426" s="32" t="s">
        <v>55</v>
      </c>
      <c r="E426" s="32" t="s">
        <v>28</v>
      </c>
      <c r="F426" s="32" t="s">
        <v>216</v>
      </c>
      <c r="G426" s="32" t="s">
        <v>217</v>
      </c>
      <c r="H426" s="32" t="s">
        <v>352</v>
      </c>
      <c r="I426" s="31" t="s">
        <v>393</v>
      </c>
      <c r="J426" s="31">
        <v>99</v>
      </c>
      <c r="K426" s="33" t="s">
        <v>703</v>
      </c>
      <c r="L426" s="33" t="s">
        <v>704</v>
      </c>
      <c r="M426" s="34" t="s">
        <v>722</v>
      </c>
      <c r="N426" s="34" t="s">
        <v>1721</v>
      </c>
      <c r="O426" s="35">
        <v>1</v>
      </c>
      <c r="P426" s="35"/>
      <c r="Q426" s="32"/>
      <c r="S426" s="1">
        <f t="shared" si="137"/>
        <v>0</v>
      </c>
      <c r="T426" s="1">
        <f t="shared" si="138"/>
        <v>0</v>
      </c>
      <c r="U426" s="1">
        <f t="shared" si="139"/>
        <v>0</v>
      </c>
      <c r="V426" s="1">
        <f t="shared" si="140"/>
        <v>0</v>
      </c>
      <c r="W426" s="1">
        <f t="shared" si="141"/>
        <v>0</v>
      </c>
      <c r="X426" s="1">
        <f t="shared" si="142"/>
        <v>0</v>
      </c>
      <c r="Y426" s="1">
        <f t="shared" si="143"/>
        <v>0</v>
      </c>
      <c r="Z426" s="1">
        <f t="shared" si="144"/>
        <v>0</v>
      </c>
      <c r="AA426" s="1">
        <f t="shared" si="145"/>
        <v>0</v>
      </c>
      <c r="AB426" s="1">
        <f t="shared" si="146"/>
        <v>0</v>
      </c>
      <c r="AD426" s="1">
        <f t="shared" si="147"/>
        <v>0</v>
      </c>
      <c r="AE426" s="1">
        <f t="shared" si="148"/>
        <v>1</v>
      </c>
      <c r="AF426" s="1">
        <f t="shared" si="149"/>
        <v>0</v>
      </c>
      <c r="AG426" s="1">
        <f t="shared" si="150"/>
        <v>0</v>
      </c>
      <c r="AH426" s="1">
        <f t="shared" si="151"/>
        <v>0</v>
      </c>
      <c r="AI426" s="1">
        <f t="shared" si="152"/>
        <v>0</v>
      </c>
    </row>
    <row r="427" spans="1:35" s="1" customFormat="1" ht="14.25" customHeight="1" x14ac:dyDescent="0.25">
      <c r="A427" s="31">
        <v>0</v>
      </c>
      <c r="B427" s="31">
        <v>2</v>
      </c>
      <c r="C427" s="31">
        <v>7</v>
      </c>
      <c r="D427" s="36" t="s">
        <v>2005</v>
      </c>
      <c r="E427" s="36" t="s">
        <v>155</v>
      </c>
      <c r="F427" s="36" t="s">
        <v>2006</v>
      </c>
      <c r="G427" s="36" t="s">
        <v>219</v>
      </c>
      <c r="H427" s="36" t="s">
        <v>352</v>
      </c>
      <c r="I427" s="37" t="s">
        <v>2007</v>
      </c>
      <c r="J427" s="31">
        <v>99</v>
      </c>
      <c r="K427" s="33" t="s">
        <v>694</v>
      </c>
      <c r="L427" s="33">
        <v>10</v>
      </c>
      <c r="M427" s="34" t="s">
        <v>2008</v>
      </c>
      <c r="N427" s="34" t="s">
        <v>1708</v>
      </c>
      <c r="O427" s="35">
        <v>1</v>
      </c>
      <c r="P427" s="35"/>
      <c r="Q427" s="32"/>
      <c r="S427" s="1">
        <f t="shared" si="137"/>
        <v>0</v>
      </c>
      <c r="T427" s="1">
        <f t="shared" si="138"/>
        <v>0</v>
      </c>
      <c r="U427" s="1">
        <f t="shared" si="139"/>
        <v>0</v>
      </c>
      <c r="V427" s="1">
        <f t="shared" si="140"/>
        <v>0</v>
      </c>
      <c r="W427" s="1">
        <f t="shared" si="141"/>
        <v>0</v>
      </c>
      <c r="X427" s="1">
        <f t="shared" si="142"/>
        <v>0</v>
      </c>
      <c r="Y427" s="1">
        <f t="shared" si="143"/>
        <v>0</v>
      </c>
      <c r="Z427" s="1">
        <f t="shared" si="144"/>
        <v>0</v>
      </c>
      <c r="AA427" s="1">
        <f t="shared" si="145"/>
        <v>0</v>
      </c>
      <c r="AB427" s="1">
        <f t="shared" si="146"/>
        <v>0</v>
      </c>
      <c r="AD427" s="1">
        <f t="shared" si="147"/>
        <v>0</v>
      </c>
      <c r="AE427" s="1">
        <f t="shared" si="148"/>
        <v>1</v>
      </c>
      <c r="AF427" s="1">
        <f t="shared" si="149"/>
        <v>0</v>
      </c>
      <c r="AG427" s="1">
        <f t="shared" si="150"/>
        <v>1</v>
      </c>
      <c r="AH427" s="1">
        <f t="shared" si="151"/>
        <v>0</v>
      </c>
      <c r="AI427" s="1">
        <f t="shared" si="152"/>
        <v>1</v>
      </c>
    </row>
    <row r="428" spans="1:35" s="1" customFormat="1" ht="14.25" customHeight="1" x14ac:dyDescent="0.25">
      <c r="A428" s="31">
        <v>0</v>
      </c>
      <c r="B428" s="31">
        <v>2</v>
      </c>
      <c r="C428" s="31">
        <v>7</v>
      </c>
      <c r="D428" s="36" t="s">
        <v>68</v>
      </c>
      <c r="E428" s="36" t="s">
        <v>28</v>
      </c>
      <c r="F428" s="36" t="s">
        <v>252</v>
      </c>
      <c r="G428" s="36" t="s">
        <v>253</v>
      </c>
      <c r="H428" s="36" t="s">
        <v>352</v>
      </c>
      <c r="I428" s="37" t="s">
        <v>412</v>
      </c>
      <c r="J428" s="31">
        <v>99</v>
      </c>
      <c r="K428" s="33" t="s">
        <v>704</v>
      </c>
      <c r="L428" s="33" t="s">
        <v>704</v>
      </c>
      <c r="M428" s="34" t="s">
        <v>722</v>
      </c>
      <c r="N428" s="34" t="s">
        <v>1784</v>
      </c>
      <c r="O428" s="35">
        <v>1</v>
      </c>
      <c r="P428" s="35"/>
      <c r="Q428" s="32"/>
      <c r="S428" s="1">
        <f t="shared" si="137"/>
        <v>0</v>
      </c>
      <c r="T428" s="1">
        <f t="shared" si="138"/>
        <v>0</v>
      </c>
      <c r="U428" s="1">
        <f t="shared" si="139"/>
        <v>0</v>
      </c>
      <c r="V428" s="1">
        <f t="shared" si="140"/>
        <v>0</v>
      </c>
      <c r="W428" s="1">
        <f t="shared" si="141"/>
        <v>0</v>
      </c>
      <c r="X428" s="1">
        <f t="shared" si="142"/>
        <v>0</v>
      </c>
      <c r="Y428" s="1">
        <f t="shared" si="143"/>
        <v>0</v>
      </c>
      <c r="Z428" s="1">
        <f t="shared" si="144"/>
        <v>0</v>
      </c>
      <c r="AA428" s="1">
        <f t="shared" si="145"/>
        <v>0</v>
      </c>
      <c r="AB428" s="1">
        <f t="shared" si="146"/>
        <v>0</v>
      </c>
      <c r="AD428" s="1">
        <f t="shared" si="147"/>
        <v>0</v>
      </c>
      <c r="AE428" s="1">
        <f t="shared" si="148"/>
        <v>1</v>
      </c>
      <c r="AF428" s="1">
        <f t="shared" si="149"/>
        <v>0</v>
      </c>
      <c r="AG428" s="1">
        <f t="shared" si="150"/>
        <v>1</v>
      </c>
      <c r="AH428" s="1">
        <f t="shared" si="151"/>
        <v>0</v>
      </c>
      <c r="AI428" s="1">
        <f t="shared" si="152"/>
        <v>1</v>
      </c>
    </row>
    <row r="429" spans="1:35" s="1" customFormat="1" ht="14.25" customHeight="1" x14ac:dyDescent="0.25">
      <c r="A429" s="31">
        <v>0</v>
      </c>
      <c r="B429" s="31">
        <v>2</v>
      </c>
      <c r="C429" s="31">
        <v>7</v>
      </c>
      <c r="D429" s="32" t="s">
        <v>1969</v>
      </c>
      <c r="E429" s="32" t="s">
        <v>28</v>
      </c>
      <c r="F429" s="32" t="s">
        <v>1971</v>
      </c>
      <c r="G429" s="32" t="s">
        <v>1085</v>
      </c>
      <c r="H429" s="32" t="s">
        <v>352</v>
      </c>
      <c r="I429" s="31" t="s">
        <v>1972</v>
      </c>
      <c r="J429" s="31">
        <v>1</v>
      </c>
      <c r="K429" s="33" t="s">
        <v>694</v>
      </c>
      <c r="L429" s="33"/>
      <c r="M429" s="34"/>
      <c r="N429" s="34" t="s">
        <v>1693</v>
      </c>
      <c r="O429" s="35">
        <v>1</v>
      </c>
      <c r="P429" s="35">
        <v>1</v>
      </c>
      <c r="Q429" s="32" t="s">
        <v>1974</v>
      </c>
      <c r="S429" s="1">
        <f t="shared" si="137"/>
        <v>1</v>
      </c>
      <c r="T429" s="1">
        <f t="shared" si="138"/>
        <v>0</v>
      </c>
      <c r="U429" s="1">
        <f t="shared" si="139"/>
        <v>0</v>
      </c>
      <c r="V429" s="1">
        <f t="shared" si="140"/>
        <v>0</v>
      </c>
      <c r="W429" s="1">
        <f t="shared" si="141"/>
        <v>0</v>
      </c>
      <c r="X429" s="1">
        <f t="shared" si="142"/>
        <v>0</v>
      </c>
      <c r="Y429" s="1">
        <f t="shared" si="143"/>
        <v>0</v>
      </c>
      <c r="Z429" s="1">
        <f t="shared" si="144"/>
        <v>0</v>
      </c>
      <c r="AA429" s="1">
        <f t="shared" si="145"/>
        <v>0</v>
      </c>
      <c r="AB429" s="1">
        <f t="shared" si="146"/>
        <v>0</v>
      </c>
      <c r="AD429" s="1">
        <f t="shared" si="147"/>
        <v>1</v>
      </c>
      <c r="AE429" s="1">
        <f t="shared" si="148"/>
        <v>0</v>
      </c>
      <c r="AF429" s="1">
        <f t="shared" si="149"/>
        <v>1</v>
      </c>
      <c r="AG429" s="1">
        <f t="shared" si="150"/>
        <v>0</v>
      </c>
      <c r="AH429" s="1">
        <f t="shared" si="151"/>
        <v>1</v>
      </c>
      <c r="AI429" s="1">
        <f t="shared" si="152"/>
        <v>0</v>
      </c>
    </row>
    <row r="430" spans="1:35" s="1" customFormat="1" ht="14.25" customHeight="1" x14ac:dyDescent="0.25">
      <c r="A430" s="31">
        <v>1</v>
      </c>
      <c r="B430" s="31">
        <v>2</v>
      </c>
      <c r="C430" s="31">
        <v>7</v>
      </c>
      <c r="D430" s="32" t="s">
        <v>1969</v>
      </c>
      <c r="E430" s="32" t="s">
        <v>28</v>
      </c>
      <c r="F430" s="32" t="s">
        <v>1970</v>
      </c>
      <c r="G430" s="36" t="s">
        <v>1976</v>
      </c>
      <c r="H430" s="32" t="s">
        <v>352</v>
      </c>
      <c r="I430" s="31" t="s">
        <v>1973</v>
      </c>
      <c r="J430" s="31">
        <v>8</v>
      </c>
      <c r="K430" s="33" t="s">
        <v>694</v>
      </c>
      <c r="L430" s="33"/>
      <c r="M430" s="34"/>
      <c r="N430" s="34" t="s">
        <v>1693</v>
      </c>
      <c r="O430" s="35">
        <v>1</v>
      </c>
      <c r="P430" s="35">
        <v>1</v>
      </c>
      <c r="Q430" s="32" t="s">
        <v>1975</v>
      </c>
      <c r="S430" s="1">
        <f t="shared" si="137"/>
        <v>0</v>
      </c>
      <c r="T430" s="1">
        <f t="shared" si="138"/>
        <v>0</v>
      </c>
      <c r="U430" s="1">
        <f t="shared" si="139"/>
        <v>0</v>
      </c>
      <c r="V430" s="1">
        <f t="shared" si="140"/>
        <v>0</v>
      </c>
      <c r="W430" s="1">
        <f t="shared" si="141"/>
        <v>0</v>
      </c>
      <c r="X430" s="1">
        <f t="shared" si="142"/>
        <v>0</v>
      </c>
      <c r="Y430" s="1">
        <f t="shared" si="143"/>
        <v>0</v>
      </c>
      <c r="Z430" s="1">
        <f t="shared" si="144"/>
        <v>1</v>
      </c>
      <c r="AA430" s="1">
        <f t="shared" si="145"/>
        <v>0</v>
      </c>
      <c r="AB430" s="1">
        <f t="shared" si="146"/>
        <v>0</v>
      </c>
      <c r="AD430" s="1">
        <f t="shared" si="147"/>
        <v>1</v>
      </c>
      <c r="AE430" s="1">
        <f t="shared" si="148"/>
        <v>0</v>
      </c>
      <c r="AF430" s="1">
        <f t="shared" si="149"/>
        <v>0</v>
      </c>
      <c r="AG430" s="1">
        <f t="shared" si="150"/>
        <v>0</v>
      </c>
      <c r="AH430" s="1">
        <f t="shared" si="151"/>
        <v>0</v>
      </c>
      <c r="AI430" s="1">
        <f t="shared" si="152"/>
        <v>0</v>
      </c>
    </row>
    <row r="431" spans="1:35" s="1" customFormat="1" ht="14.25" customHeight="1" x14ac:dyDescent="0.25">
      <c r="A431" s="31">
        <v>0</v>
      </c>
      <c r="B431" s="31">
        <v>2</v>
      </c>
      <c r="C431" s="31">
        <v>7</v>
      </c>
      <c r="D431" s="32" t="s">
        <v>69</v>
      </c>
      <c r="E431" s="32" t="s">
        <v>28</v>
      </c>
      <c r="F431" s="32" t="s">
        <v>254</v>
      </c>
      <c r="G431" s="36" t="s">
        <v>206</v>
      </c>
      <c r="H431" s="32" t="s">
        <v>352</v>
      </c>
      <c r="I431" s="31" t="s">
        <v>413</v>
      </c>
      <c r="J431" s="31">
        <v>99</v>
      </c>
      <c r="K431" s="33" t="s">
        <v>936</v>
      </c>
      <c r="L431" s="33" t="s">
        <v>704</v>
      </c>
      <c r="M431" s="34" t="s">
        <v>722</v>
      </c>
      <c r="N431" s="34" t="s">
        <v>1699</v>
      </c>
      <c r="O431" s="35">
        <v>1</v>
      </c>
      <c r="P431" s="35">
        <v>1</v>
      </c>
      <c r="Q431" s="32"/>
      <c r="S431" s="1">
        <f t="shared" si="137"/>
        <v>0</v>
      </c>
      <c r="T431" s="1">
        <f t="shared" si="138"/>
        <v>0</v>
      </c>
      <c r="U431" s="1">
        <f t="shared" si="139"/>
        <v>0</v>
      </c>
      <c r="V431" s="1">
        <f t="shared" si="140"/>
        <v>0</v>
      </c>
      <c r="W431" s="1">
        <f t="shared" si="141"/>
        <v>0</v>
      </c>
      <c r="X431" s="1">
        <f t="shared" si="142"/>
        <v>0</v>
      </c>
      <c r="Y431" s="1">
        <f t="shared" si="143"/>
        <v>0</v>
      </c>
      <c r="Z431" s="1">
        <f t="shared" si="144"/>
        <v>0</v>
      </c>
      <c r="AA431" s="1">
        <f t="shared" si="145"/>
        <v>0</v>
      </c>
      <c r="AB431" s="1">
        <f t="shared" si="146"/>
        <v>0</v>
      </c>
      <c r="AD431" s="1">
        <f t="shared" si="147"/>
        <v>1</v>
      </c>
      <c r="AE431" s="1">
        <f t="shared" si="148"/>
        <v>0</v>
      </c>
      <c r="AF431" s="1">
        <f t="shared" si="149"/>
        <v>1</v>
      </c>
      <c r="AG431" s="1">
        <f t="shared" si="150"/>
        <v>0</v>
      </c>
      <c r="AH431" s="1">
        <f t="shared" si="151"/>
        <v>1</v>
      </c>
      <c r="AI431" s="1">
        <f t="shared" si="152"/>
        <v>0</v>
      </c>
    </row>
    <row r="432" spans="1:35" s="1" customFormat="1" ht="14.25" customHeight="1" x14ac:dyDescent="0.25">
      <c r="A432" s="31">
        <v>1</v>
      </c>
      <c r="B432" s="31">
        <v>2</v>
      </c>
      <c r="C432" s="31">
        <v>7</v>
      </c>
      <c r="D432" s="32" t="s">
        <v>69</v>
      </c>
      <c r="E432" s="32" t="s">
        <v>28</v>
      </c>
      <c r="F432" s="32" t="s">
        <v>1833</v>
      </c>
      <c r="G432" s="36" t="s">
        <v>255</v>
      </c>
      <c r="H432" s="32" t="s">
        <v>352</v>
      </c>
      <c r="I432" s="31" t="s">
        <v>414</v>
      </c>
      <c r="J432" s="31">
        <v>99</v>
      </c>
      <c r="K432" s="33" t="s">
        <v>936</v>
      </c>
      <c r="L432" s="33" t="s">
        <v>704</v>
      </c>
      <c r="M432" s="34" t="s">
        <v>722</v>
      </c>
      <c r="N432" s="34" t="s">
        <v>1699</v>
      </c>
      <c r="O432" s="35">
        <v>1</v>
      </c>
      <c r="P432" s="35">
        <v>1</v>
      </c>
      <c r="Q432" s="32"/>
      <c r="S432" s="1">
        <f t="shared" si="137"/>
        <v>0</v>
      </c>
      <c r="T432" s="1">
        <f t="shared" si="138"/>
        <v>0</v>
      </c>
      <c r="U432" s="1">
        <f t="shared" si="139"/>
        <v>0</v>
      </c>
      <c r="V432" s="1">
        <f t="shared" si="140"/>
        <v>0</v>
      </c>
      <c r="W432" s="1">
        <f t="shared" si="141"/>
        <v>0</v>
      </c>
      <c r="X432" s="1">
        <f t="shared" si="142"/>
        <v>0</v>
      </c>
      <c r="Y432" s="1">
        <f t="shared" si="143"/>
        <v>0</v>
      </c>
      <c r="Z432" s="1">
        <f t="shared" si="144"/>
        <v>0</v>
      </c>
      <c r="AA432" s="1">
        <f t="shared" si="145"/>
        <v>0</v>
      </c>
      <c r="AB432" s="1">
        <f t="shared" si="146"/>
        <v>0</v>
      </c>
      <c r="AD432" s="1">
        <f t="shared" si="147"/>
        <v>1</v>
      </c>
      <c r="AE432" s="1">
        <f t="shared" si="148"/>
        <v>0</v>
      </c>
      <c r="AF432" s="1">
        <f t="shared" si="149"/>
        <v>0</v>
      </c>
      <c r="AG432" s="1">
        <f t="shared" si="150"/>
        <v>0</v>
      </c>
      <c r="AH432" s="1">
        <f t="shared" si="151"/>
        <v>0</v>
      </c>
      <c r="AI432" s="1">
        <f t="shared" si="152"/>
        <v>0</v>
      </c>
    </row>
    <row r="433" spans="1:35" s="1" customFormat="1" ht="14.25" customHeight="1" x14ac:dyDescent="0.25">
      <c r="A433" s="31">
        <v>1</v>
      </c>
      <c r="B433" s="31">
        <v>2</v>
      </c>
      <c r="C433" s="31">
        <v>7</v>
      </c>
      <c r="D433" s="32" t="s">
        <v>69</v>
      </c>
      <c r="E433" s="32" t="s">
        <v>28</v>
      </c>
      <c r="F433" s="32" t="s">
        <v>563</v>
      </c>
      <c r="G433" s="36" t="s">
        <v>564</v>
      </c>
      <c r="H433" s="32" t="s">
        <v>352</v>
      </c>
      <c r="I433" s="31" t="s">
        <v>572</v>
      </c>
      <c r="J433" s="31">
        <v>99</v>
      </c>
      <c r="K433" s="33" t="s">
        <v>936</v>
      </c>
      <c r="L433" s="33" t="s">
        <v>704</v>
      </c>
      <c r="M433" s="34" t="s">
        <v>722</v>
      </c>
      <c r="N433" s="34" t="s">
        <v>1699</v>
      </c>
      <c r="O433" s="35">
        <v>1</v>
      </c>
      <c r="P433" s="35">
        <v>1</v>
      </c>
      <c r="Q433" s="32"/>
      <c r="S433" s="1">
        <f t="shared" si="137"/>
        <v>0</v>
      </c>
      <c r="T433" s="1">
        <f t="shared" si="138"/>
        <v>0</v>
      </c>
      <c r="U433" s="1">
        <f t="shared" si="139"/>
        <v>0</v>
      </c>
      <c r="V433" s="1">
        <f t="shared" si="140"/>
        <v>0</v>
      </c>
      <c r="W433" s="1">
        <f t="shared" si="141"/>
        <v>0</v>
      </c>
      <c r="X433" s="1">
        <f t="shared" si="142"/>
        <v>0</v>
      </c>
      <c r="Y433" s="1">
        <f t="shared" si="143"/>
        <v>0</v>
      </c>
      <c r="Z433" s="1">
        <f t="shared" si="144"/>
        <v>0</v>
      </c>
      <c r="AA433" s="1">
        <f t="shared" si="145"/>
        <v>0</v>
      </c>
      <c r="AB433" s="1">
        <f t="shared" si="146"/>
        <v>0</v>
      </c>
      <c r="AD433" s="1">
        <f t="shared" si="147"/>
        <v>1</v>
      </c>
      <c r="AE433" s="1">
        <f t="shared" si="148"/>
        <v>0</v>
      </c>
      <c r="AF433" s="1">
        <f t="shared" si="149"/>
        <v>0</v>
      </c>
      <c r="AG433" s="1">
        <f t="shared" si="150"/>
        <v>0</v>
      </c>
      <c r="AH433" s="1">
        <f t="shared" si="151"/>
        <v>0</v>
      </c>
      <c r="AI433" s="1">
        <f t="shared" si="152"/>
        <v>0</v>
      </c>
    </row>
    <row r="434" spans="1:35" s="1" customFormat="1" ht="14.25" customHeight="1" x14ac:dyDescent="0.25">
      <c r="A434" s="31">
        <v>0</v>
      </c>
      <c r="B434" s="31">
        <v>2</v>
      </c>
      <c r="C434" s="31">
        <v>7</v>
      </c>
      <c r="D434" s="32" t="s">
        <v>71</v>
      </c>
      <c r="E434" s="32" t="s">
        <v>28</v>
      </c>
      <c r="F434" s="32" t="s">
        <v>1322</v>
      </c>
      <c r="G434" s="36" t="s">
        <v>258</v>
      </c>
      <c r="H434" s="32" t="s">
        <v>352</v>
      </c>
      <c r="I434" s="31" t="s">
        <v>416</v>
      </c>
      <c r="J434" s="31">
        <v>99</v>
      </c>
      <c r="K434" s="33" t="s">
        <v>704</v>
      </c>
      <c r="L434" s="33" t="s">
        <v>704</v>
      </c>
      <c r="M434" s="34" t="s">
        <v>722</v>
      </c>
      <c r="N434" s="34" t="s">
        <v>1784</v>
      </c>
      <c r="O434" s="35">
        <v>1</v>
      </c>
      <c r="P434" s="35"/>
      <c r="Q434" s="32"/>
      <c r="S434" s="1">
        <f t="shared" si="137"/>
        <v>0</v>
      </c>
      <c r="T434" s="1">
        <f t="shared" si="138"/>
        <v>0</v>
      </c>
      <c r="U434" s="1">
        <f t="shared" si="139"/>
        <v>0</v>
      </c>
      <c r="V434" s="1">
        <f t="shared" si="140"/>
        <v>0</v>
      </c>
      <c r="W434" s="1">
        <f t="shared" si="141"/>
        <v>0</v>
      </c>
      <c r="X434" s="1">
        <f t="shared" si="142"/>
        <v>0</v>
      </c>
      <c r="Y434" s="1">
        <f t="shared" si="143"/>
        <v>0</v>
      </c>
      <c r="Z434" s="1">
        <f t="shared" si="144"/>
        <v>0</v>
      </c>
      <c r="AA434" s="1">
        <f t="shared" si="145"/>
        <v>0</v>
      </c>
      <c r="AB434" s="1">
        <f t="shared" si="146"/>
        <v>0</v>
      </c>
      <c r="AD434" s="1">
        <f t="shared" si="147"/>
        <v>0</v>
      </c>
      <c r="AE434" s="1">
        <f t="shared" si="148"/>
        <v>1</v>
      </c>
      <c r="AF434" s="1">
        <f t="shared" si="149"/>
        <v>0</v>
      </c>
      <c r="AG434" s="1">
        <f t="shared" si="150"/>
        <v>1</v>
      </c>
      <c r="AH434" s="1">
        <f t="shared" si="151"/>
        <v>0</v>
      </c>
      <c r="AI434" s="1">
        <f t="shared" si="152"/>
        <v>1</v>
      </c>
    </row>
    <row r="435" spans="1:35" s="1" customFormat="1" ht="14.25" customHeight="1" x14ac:dyDescent="0.25">
      <c r="A435" s="44">
        <v>0</v>
      </c>
      <c r="B435" s="44">
        <v>2</v>
      </c>
      <c r="C435" s="44">
        <v>7</v>
      </c>
      <c r="D435" s="45" t="s">
        <v>1043</v>
      </c>
      <c r="E435" s="45" t="s">
        <v>28</v>
      </c>
      <c r="F435" s="45" t="s">
        <v>1044</v>
      </c>
      <c r="G435" s="45" t="s">
        <v>1045</v>
      </c>
      <c r="H435" s="45" t="s">
        <v>352</v>
      </c>
      <c r="I435" s="44" t="s">
        <v>1046</v>
      </c>
      <c r="J435" s="44">
        <v>99</v>
      </c>
      <c r="K435" s="46" t="s">
        <v>704</v>
      </c>
      <c r="L435" s="46" t="s">
        <v>704</v>
      </c>
      <c r="M435" s="47" t="s">
        <v>722</v>
      </c>
      <c r="N435" s="47" t="s">
        <v>1761</v>
      </c>
      <c r="O435" s="48"/>
      <c r="P435" s="48"/>
      <c r="Q435" s="45"/>
      <c r="S435" s="1">
        <f t="shared" si="137"/>
        <v>0</v>
      </c>
      <c r="T435" s="1">
        <f t="shared" si="138"/>
        <v>0</v>
      </c>
      <c r="U435" s="1">
        <f t="shared" si="139"/>
        <v>0</v>
      </c>
      <c r="V435" s="1">
        <f t="shared" si="140"/>
        <v>0</v>
      </c>
      <c r="W435" s="1">
        <f t="shared" si="141"/>
        <v>0</v>
      </c>
      <c r="X435" s="1">
        <f t="shared" si="142"/>
        <v>0</v>
      </c>
      <c r="Y435" s="1">
        <f t="shared" si="143"/>
        <v>0</v>
      </c>
      <c r="Z435" s="1">
        <f t="shared" si="144"/>
        <v>0</v>
      </c>
      <c r="AA435" s="1">
        <f t="shared" si="145"/>
        <v>0</v>
      </c>
      <c r="AB435" s="1">
        <f t="shared" si="146"/>
        <v>0</v>
      </c>
      <c r="AD435" s="1">
        <f t="shared" si="147"/>
        <v>0</v>
      </c>
      <c r="AE435" s="1">
        <f t="shared" si="148"/>
        <v>0</v>
      </c>
      <c r="AF435" s="1">
        <f t="shared" si="149"/>
        <v>0</v>
      </c>
      <c r="AG435" s="1">
        <f t="shared" si="150"/>
        <v>0</v>
      </c>
      <c r="AH435" s="1">
        <f t="shared" si="151"/>
        <v>0</v>
      </c>
      <c r="AI435" s="1">
        <f t="shared" si="152"/>
        <v>1</v>
      </c>
    </row>
    <row r="436" spans="1:35" s="1" customFormat="1" ht="14.25" customHeight="1" x14ac:dyDescent="0.25">
      <c r="A436" s="31">
        <v>0</v>
      </c>
      <c r="B436" s="31">
        <v>2</v>
      </c>
      <c r="C436" s="31">
        <v>7</v>
      </c>
      <c r="D436" s="32" t="s">
        <v>1765</v>
      </c>
      <c r="E436" s="32" t="s">
        <v>155</v>
      </c>
      <c r="F436" s="32" t="s">
        <v>1766</v>
      </c>
      <c r="G436" s="32"/>
      <c r="H436" s="32" t="s">
        <v>352</v>
      </c>
      <c r="I436" s="31" t="s">
        <v>1767</v>
      </c>
      <c r="J436" s="31">
        <v>99</v>
      </c>
      <c r="K436" s="33" t="s">
        <v>694</v>
      </c>
      <c r="L436" s="33"/>
      <c r="M436" s="34"/>
      <c r="N436" s="34" t="s">
        <v>1693</v>
      </c>
      <c r="O436" s="35">
        <v>1</v>
      </c>
      <c r="P436" s="35">
        <v>1</v>
      </c>
      <c r="Q436" s="32"/>
      <c r="S436" s="1">
        <f t="shared" si="137"/>
        <v>0</v>
      </c>
      <c r="T436" s="1">
        <f t="shared" si="138"/>
        <v>0</v>
      </c>
      <c r="U436" s="1">
        <f t="shared" si="139"/>
        <v>0</v>
      </c>
      <c r="V436" s="1">
        <f t="shared" si="140"/>
        <v>0</v>
      </c>
      <c r="W436" s="1">
        <f t="shared" si="141"/>
        <v>0</v>
      </c>
      <c r="X436" s="1">
        <f t="shared" si="142"/>
        <v>0</v>
      </c>
      <c r="Y436" s="1">
        <f t="shared" si="143"/>
        <v>0</v>
      </c>
      <c r="Z436" s="1">
        <f t="shared" si="144"/>
        <v>0</v>
      </c>
      <c r="AA436" s="1">
        <f t="shared" si="145"/>
        <v>0</v>
      </c>
      <c r="AB436" s="1">
        <f t="shared" si="146"/>
        <v>0</v>
      </c>
      <c r="AD436" s="1">
        <f t="shared" si="147"/>
        <v>1</v>
      </c>
      <c r="AE436" s="1">
        <f t="shared" si="148"/>
        <v>0</v>
      </c>
      <c r="AF436" s="1">
        <f t="shared" si="149"/>
        <v>1</v>
      </c>
      <c r="AG436" s="1">
        <f t="shared" si="150"/>
        <v>0</v>
      </c>
      <c r="AH436" s="1">
        <f t="shared" si="151"/>
        <v>1</v>
      </c>
      <c r="AI436" s="1">
        <f t="shared" si="152"/>
        <v>0</v>
      </c>
    </row>
    <row r="437" spans="1:35" s="1" customFormat="1" ht="14.25" customHeight="1" x14ac:dyDescent="0.25">
      <c r="A437" s="31">
        <v>0</v>
      </c>
      <c r="B437" s="31">
        <v>2</v>
      </c>
      <c r="C437" s="31">
        <v>7</v>
      </c>
      <c r="D437" s="32" t="s">
        <v>1156</v>
      </c>
      <c r="E437" s="32" t="s">
        <v>155</v>
      </c>
      <c r="F437" s="32" t="s">
        <v>1157</v>
      </c>
      <c r="G437" s="32" t="s">
        <v>291</v>
      </c>
      <c r="H437" s="32" t="s">
        <v>352</v>
      </c>
      <c r="I437" s="31" t="s">
        <v>1158</v>
      </c>
      <c r="J437" s="31">
        <v>99</v>
      </c>
      <c r="K437" s="33" t="s">
        <v>704</v>
      </c>
      <c r="L437" s="33" t="s">
        <v>713</v>
      </c>
      <c r="M437" s="34" t="s">
        <v>1404</v>
      </c>
      <c r="N437" s="34" t="s">
        <v>1708</v>
      </c>
      <c r="O437" s="35">
        <v>1</v>
      </c>
      <c r="P437" s="35"/>
      <c r="Q437" s="32"/>
      <c r="S437" s="1">
        <f t="shared" si="137"/>
        <v>0</v>
      </c>
      <c r="T437" s="1">
        <f t="shared" si="138"/>
        <v>0</v>
      </c>
      <c r="U437" s="1">
        <f t="shared" si="139"/>
        <v>0</v>
      </c>
      <c r="V437" s="1">
        <f t="shared" si="140"/>
        <v>0</v>
      </c>
      <c r="W437" s="1">
        <f t="shared" si="141"/>
        <v>0</v>
      </c>
      <c r="X437" s="1">
        <f t="shared" si="142"/>
        <v>0</v>
      </c>
      <c r="Y437" s="1">
        <f t="shared" si="143"/>
        <v>0</v>
      </c>
      <c r="Z437" s="1">
        <f t="shared" si="144"/>
        <v>0</v>
      </c>
      <c r="AA437" s="1">
        <f t="shared" si="145"/>
        <v>0</v>
      </c>
      <c r="AB437" s="1">
        <f t="shared" si="146"/>
        <v>0</v>
      </c>
      <c r="AD437" s="1">
        <f t="shared" si="147"/>
        <v>0</v>
      </c>
      <c r="AE437" s="1">
        <f t="shared" si="148"/>
        <v>1</v>
      </c>
      <c r="AF437" s="1">
        <f t="shared" si="149"/>
        <v>0</v>
      </c>
      <c r="AG437" s="1">
        <f t="shared" si="150"/>
        <v>1</v>
      </c>
      <c r="AH437" s="1">
        <f t="shared" si="151"/>
        <v>0</v>
      </c>
      <c r="AI437" s="1">
        <f t="shared" si="152"/>
        <v>1</v>
      </c>
    </row>
    <row r="438" spans="1:35" s="1" customFormat="1" ht="14.25" customHeight="1" x14ac:dyDescent="0.25">
      <c r="A438" s="31">
        <v>0</v>
      </c>
      <c r="B438" s="31">
        <v>2</v>
      </c>
      <c r="C438" s="31">
        <v>7</v>
      </c>
      <c r="D438" s="36" t="s">
        <v>2134</v>
      </c>
      <c r="E438" s="32" t="s">
        <v>155</v>
      </c>
      <c r="F438" s="32" t="s">
        <v>1959</v>
      </c>
      <c r="G438" s="32" t="s">
        <v>281</v>
      </c>
      <c r="H438" s="32" t="s">
        <v>352</v>
      </c>
      <c r="I438" s="31" t="s">
        <v>1960</v>
      </c>
      <c r="J438" s="31">
        <v>99</v>
      </c>
      <c r="K438" s="33" t="s">
        <v>694</v>
      </c>
      <c r="L438" s="33" t="s">
        <v>713</v>
      </c>
      <c r="M438" s="34" t="s">
        <v>723</v>
      </c>
      <c r="N438" s="34" t="s">
        <v>1693</v>
      </c>
      <c r="O438" s="35">
        <v>1</v>
      </c>
      <c r="P438" s="35">
        <v>1</v>
      </c>
      <c r="Q438" s="32"/>
      <c r="S438" s="1">
        <f t="shared" si="137"/>
        <v>0</v>
      </c>
      <c r="T438" s="1">
        <f t="shared" si="138"/>
        <v>0</v>
      </c>
      <c r="U438" s="1">
        <f t="shared" si="139"/>
        <v>0</v>
      </c>
      <c r="V438" s="1">
        <f t="shared" si="140"/>
        <v>0</v>
      </c>
      <c r="W438" s="1">
        <f t="shared" si="141"/>
        <v>0</v>
      </c>
      <c r="X438" s="1">
        <f t="shared" si="142"/>
        <v>0</v>
      </c>
      <c r="Y438" s="1">
        <f t="shared" si="143"/>
        <v>0</v>
      </c>
      <c r="Z438" s="1">
        <f t="shared" si="144"/>
        <v>0</v>
      </c>
      <c r="AA438" s="1">
        <f t="shared" si="145"/>
        <v>0</v>
      </c>
      <c r="AB438" s="1">
        <f t="shared" si="146"/>
        <v>0</v>
      </c>
      <c r="AD438" s="1">
        <f t="shared" si="147"/>
        <v>1</v>
      </c>
      <c r="AE438" s="1">
        <f t="shared" si="148"/>
        <v>0</v>
      </c>
      <c r="AF438" s="1">
        <f t="shared" si="149"/>
        <v>1</v>
      </c>
      <c r="AG438" s="1">
        <f t="shared" si="150"/>
        <v>0</v>
      </c>
      <c r="AH438" s="1">
        <f t="shared" si="151"/>
        <v>1</v>
      </c>
      <c r="AI438" s="1">
        <f t="shared" si="152"/>
        <v>0</v>
      </c>
    </row>
    <row r="439" spans="1:35" s="1" customFormat="1" ht="14.25" customHeight="1" x14ac:dyDescent="0.25">
      <c r="A439" s="31">
        <v>1</v>
      </c>
      <c r="B439" s="31">
        <v>2</v>
      </c>
      <c r="C439" s="31">
        <v>7</v>
      </c>
      <c r="D439" s="36" t="s">
        <v>2134</v>
      </c>
      <c r="E439" s="32" t="s">
        <v>155</v>
      </c>
      <c r="F439" s="32" t="s">
        <v>1961</v>
      </c>
      <c r="G439" s="32" t="s">
        <v>1962</v>
      </c>
      <c r="H439" s="32" t="s">
        <v>352</v>
      </c>
      <c r="I439" s="31" t="s">
        <v>1963</v>
      </c>
      <c r="J439" s="31">
        <v>99</v>
      </c>
      <c r="K439" s="33" t="s">
        <v>694</v>
      </c>
      <c r="L439" s="33" t="s">
        <v>713</v>
      </c>
      <c r="M439" s="34" t="s">
        <v>723</v>
      </c>
      <c r="N439" s="34" t="s">
        <v>1693</v>
      </c>
      <c r="O439" s="35">
        <v>1</v>
      </c>
      <c r="P439" s="35">
        <v>1</v>
      </c>
      <c r="Q439" s="32"/>
      <c r="S439" s="1">
        <f t="shared" si="137"/>
        <v>0</v>
      </c>
      <c r="T439" s="1">
        <f t="shared" si="138"/>
        <v>0</v>
      </c>
      <c r="U439" s="1">
        <f t="shared" si="139"/>
        <v>0</v>
      </c>
      <c r="V439" s="1">
        <f t="shared" si="140"/>
        <v>0</v>
      </c>
      <c r="W439" s="1">
        <f t="shared" si="141"/>
        <v>0</v>
      </c>
      <c r="X439" s="1">
        <f t="shared" si="142"/>
        <v>0</v>
      </c>
      <c r="Y439" s="1">
        <f t="shared" si="143"/>
        <v>0</v>
      </c>
      <c r="Z439" s="1">
        <f t="shared" si="144"/>
        <v>0</v>
      </c>
      <c r="AA439" s="1">
        <f t="shared" si="145"/>
        <v>0</v>
      </c>
      <c r="AB439" s="1">
        <f t="shared" si="146"/>
        <v>0</v>
      </c>
      <c r="AD439" s="1">
        <f t="shared" si="147"/>
        <v>1</v>
      </c>
      <c r="AE439" s="1">
        <f t="shared" si="148"/>
        <v>0</v>
      </c>
      <c r="AF439" s="1">
        <f t="shared" si="149"/>
        <v>0</v>
      </c>
      <c r="AG439" s="1">
        <f t="shared" si="150"/>
        <v>0</v>
      </c>
      <c r="AH439" s="1">
        <f t="shared" si="151"/>
        <v>0</v>
      </c>
      <c r="AI439" s="1">
        <f t="shared" si="152"/>
        <v>0</v>
      </c>
    </row>
    <row r="440" spans="1:35" s="1" customFormat="1" ht="14.25" customHeight="1" x14ac:dyDescent="0.25">
      <c r="A440" s="31">
        <v>0</v>
      </c>
      <c r="B440" s="31">
        <v>2</v>
      </c>
      <c r="C440" s="31">
        <v>7</v>
      </c>
      <c r="D440" s="32" t="s">
        <v>1131</v>
      </c>
      <c r="E440" s="32" t="s">
        <v>1132</v>
      </c>
      <c r="F440" s="36" t="s">
        <v>1836</v>
      </c>
      <c r="G440" s="32" t="s">
        <v>620</v>
      </c>
      <c r="H440" s="32" t="s">
        <v>352</v>
      </c>
      <c r="I440" s="31" t="s">
        <v>1133</v>
      </c>
      <c r="J440" s="31">
        <v>99</v>
      </c>
      <c r="K440" s="33" t="s">
        <v>704</v>
      </c>
      <c r="L440" s="33" t="s">
        <v>704</v>
      </c>
      <c r="M440" s="34" t="s">
        <v>722</v>
      </c>
      <c r="N440" s="34" t="s">
        <v>1704</v>
      </c>
      <c r="O440" s="35">
        <v>1</v>
      </c>
      <c r="P440" s="35"/>
      <c r="Q440" s="36" t="s">
        <v>1856</v>
      </c>
      <c r="S440" s="1">
        <f t="shared" si="137"/>
        <v>0</v>
      </c>
      <c r="T440" s="1">
        <f t="shared" si="138"/>
        <v>0</v>
      </c>
      <c r="U440" s="1">
        <f t="shared" si="139"/>
        <v>0</v>
      </c>
      <c r="V440" s="1">
        <f t="shared" si="140"/>
        <v>0</v>
      </c>
      <c r="W440" s="1">
        <f t="shared" si="141"/>
        <v>0</v>
      </c>
      <c r="X440" s="1">
        <f t="shared" si="142"/>
        <v>0</v>
      </c>
      <c r="Y440" s="1">
        <f t="shared" si="143"/>
        <v>0</v>
      </c>
      <c r="Z440" s="1">
        <f t="shared" si="144"/>
        <v>0</v>
      </c>
      <c r="AA440" s="1">
        <f t="shared" si="145"/>
        <v>0</v>
      </c>
      <c r="AB440" s="1">
        <f t="shared" si="146"/>
        <v>0</v>
      </c>
      <c r="AD440" s="1">
        <f t="shared" si="147"/>
        <v>0</v>
      </c>
      <c r="AE440" s="1">
        <f t="shared" si="148"/>
        <v>1</v>
      </c>
      <c r="AF440" s="1">
        <f t="shared" si="149"/>
        <v>0</v>
      </c>
      <c r="AG440" s="1">
        <f t="shared" si="150"/>
        <v>1</v>
      </c>
      <c r="AH440" s="1">
        <f t="shared" si="151"/>
        <v>0</v>
      </c>
      <c r="AI440" s="1">
        <f t="shared" si="152"/>
        <v>1</v>
      </c>
    </row>
    <row r="441" spans="1:35" s="1" customFormat="1" ht="14.25" customHeight="1" x14ac:dyDescent="0.25">
      <c r="A441" s="31">
        <v>0</v>
      </c>
      <c r="B441" s="31">
        <v>2</v>
      </c>
      <c r="C441" s="31">
        <v>7</v>
      </c>
      <c r="D441" s="32" t="s">
        <v>538</v>
      </c>
      <c r="E441" s="32" t="s">
        <v>157</v>
      </c>
      <c r="F441" s="32" t="s">
        <v>194</v>
      </c>
      <c r="G441" s="32" t="s">
        <v>195</v>
      </c>
      <c r="H441" s="32" t="s">
        <v>352</v>
      </c>
      <c r="I441" s="31" t="s">
        <v>546</v>
      </c>
      <c r="J441" s="31">
        <v>99</v>
      </c>
      <c r="K441" s="33" t="s">
        <v>936</v>
      </c>
      <c r="L441" s="33" t="s">
        <v>687</v>
      </c>
      <c r="M441" s="34" t="s">
        <v>1406</v>
      </c>
      <c r="N441" s="34" t="s">
        <v>1708</v>
      </c>
      <c r="O441" s="35">
        <v>1</v>
      </c>
      <c r="P441" s="35"/>
      <c r="Q441" s="32"/>
      <c r="S441" s="1">
        <f t="shared" si="137"/>
        <v>0</v>
      </c>
      <c r="T441" s="1">
        <f t="shared" si="138"/>
        <v>0</v>
      </c>
      <c r="U441" s="1">
        <f t="shared" si="139"/>
        <v>0</v>
      </c>
      <c r="V441" s="1">
        <f t="shared" si="140"/>
        <v>0</v>
      </c>
      <c r="W441" s="1">
        <f t="shared" si="141"/>
        <v>0</v>
      </c>
      <c r="X441" s="1">
        <f t="shared" si="142"/>
        <v>0</v>
      </c>
      <c r="Y441" s="1">
        <f t="shared" si="143"/>
        <v>0</v>
      </c>
      <c r="Z441" s="1">
        <f t="shared" si="144"/>
        <v>0</v>
      </c>
      <c r="AA441" s="1">
        <f t="shared" si="145"/>
        <v>0</v>
      </c>
      <c r="AB441" s="1">
        <f t="shared" si="146"/>
        <v>0</v>
      </c>
      <c r="AD441" s="1">
        <f t="shared" si="147"/>
        <v>0</v>
      </c>
      <c r="AE441" s="1">
        <f t="shared" si="148"/>
        <v>1</v>
      </c>
      <c r="AF441" s="1">
        <f t="shared" si="149"/>
        <v>0</v>
      </c>
      <c r="AG441" s="1">
        <f t="shared" si="150"/>
        <v>1</v>
      </c>
      <c r="AH441" s="1">
        <f t="shared" si="151"/>
        <v>0</v>
      </c>
      <c r="AI441" s="1">
        <f t="shared" si="152"/>
        <v>1</v>
      </c>
    </row>
    <row r="442" spans="1:35" s="1" customFormat="1" ht="14.25" customHeight="1" x14ac:dyDescent="0.25">
      <c r="A442" s="31">
        <v>0</v>
      </c>
      <c r="B442" s="31">
        <v>2</v>
      </c>
      <c r="C442" s="31">
        <v>7</v>
      </c>
      <c r="D442" s="32" t="s">
        <v>46</v>
      </c>
      <c r="E442" s="32" t="s">
        <v>155</v>
      </c>
      <c r="F442" s="32" t="s">
        <v>182</v>
      </c>
      <c r="G442" s="32" t="s">
        <v>178</v>
      </c>
      <c r="H442" s="32" t="s">
        <v>352</v>
      </c>
      <c r="I442" s="31" t="s">
        <v>380</v>
      </c>
      <c r="J442" s="31">
        <v>10</v>
      </c>
      <c r="K442" s="33" t="s">
        <v>936</v>
      </c>
      <c r="L442" s="33" t="s">
        <v>713</v>
      </c>
      <c r="M442" s="34" t="s">
        <v>1404</v>
      </c>
      <c r="N442" s="34" t="s">
        <v>1808</v>
      </c>
      <c r="O442" s="35">
        <v>1</v>
      </c>
      <c r="P442" s="35"/>
      <c r="Q442" s="32"/>
      <c r="S442" s="1">
        <f t="shared" si="137"/>
        <v>0</v>
      </c>
      <c r="T442" s="1">
        <f t="shared" si="138"/>
        <v>0</v>
      </c>
      <c r="U442" s="1">
        <f t="shared" si="139"/>
        <v>0</v>
      </c>
      <c r="V442" s="1">
        <f t="shared" si="140"/>
        <v>0</v>
      </c>
      <c r="W442" s="1">
        <f t="shared" si="141"/>
        <v>0</v>
      </c>
      <c r="X442" s="1">
        <f t="shared" si="142"/>
        <v>0</v>
      </c>
      <c r="Y442" s="1">
        <f t="shared" si="143"/>
        <v>0</v>
      </c>
      <c r="Z442" s="1">
        <f t="shared" si="144"/>
        <v>0</v>
      </c>
      <c r="AA442" s="1">
        <f t="shared" si="145"/>
        <v>0</v>
      </c>
      <c r="AB442" s="1">
        <f t="shared" si="146"/>
        <v>1</v>
      </c>
      <c r="AD442" s="1">
        <f t="shared" si="147"/>
        <v>0</v>
      </c>
      <c r="AE442" s="1">
        <f t="shared" si="148"/>
        <v>1</v>
      </c>
      <c r="AF442" s="1">
        <f t="shared" si="149"/>
        <v>0</v>
      </c>
      <c r="AG442" s="1">
        <f t="shared" si="150"/>
        <v>1</v>
      </c>
      <c r="AH442" s="1">
        <f t="shared" si="151"/>
        <v>0</v>
      </c>
      <c r="AI442" s="1">
        <f t="shared" si="152"/>
        <v>1</v>
      </c>
    </row>
    <row r="443" spans="1:35" s="1" customFormat="1" ht="14.25" customHeight="1" x14ac:dyDescent="0.25">
      <c r="A443" s="31">
        <v>0</v>
      </c>
      <c r="B443" s="31">
        <v>2</v>
      </c>
      <c r="C443" s="31">
        <v>7</v>
      </c>
      <c r="D443" s="32" t="s">
        <v>67</v>
      </c>
      <c r="E443" s="32" t="s">
        <v>28</v>
      </c>
      <c r="F443" s="32" t="s">
        <v>247</v>
      </c>
      <c r="G443" s="32" t="s">
        <v>248</v>
      </c>
      <c r="H443" s="32" t="s">
        <v>352</v>
      </c>
      <c r="I443" s="31" t="s">
        <v>409</v>
      </c>
      <c r="J443" s="31">
        <v>7</v>
      </c>
      <c r="K443" s="33" t="s">
        <v>704</v>
      </c>
      <c r="L443" s="33" t="s">
        <v>704</v>
      </c>
      <c r="M443" s="34" t="s">
        <v>722</v>
      </c>
      <c r="N443" s="34" t="s">
        <v>1709</v>
      </c>
      <c r="O443" s="35">
        <v>1</v>
      </c>
      <c r="P443" s="35"/>
      <c r="Q443" s="32"/>
      <c r="S443" s="1">
        <f t="shared" si="137"/>
        <v>0</v>
      </c>
      <c r="T443" s="1">
        <f t="shared" si="138"/>
        <v>0</v>
      </c>
      <c r="U443" s="1">
        <f t="shared" si="139"/>
        <v>0</v>
      </c>
      <c r="V443" s="1">
        <f t="shared" si="140"/>
        <v>0</v>
      </c>
      <c r="W443" s="1">
        <f t="shared" si="141"/>
        <v>0</v>
      </c>
      <c r="X443" s="1">
        <f t="shared" si="142"/>
        <v>0</v>
      </c>
      <c r="Y443" s="1">
        <f t="shared" si="143"/>
        <v>1</v>
      </c>
      <c r="Z443" s="1">
        <f t="shared" si="144"/>
        <v>0</v>
      </c>
      <c r="AA443" s="1">
        <f t="shared" si="145"/>
        <v>0</v>
      </c>
      <c r="AB443" s="1">
        <f t="shared" si="146"/>
        <v>0</v>
      </c>
      <c r="AD443" s="1">
        <f t="shared" si="147"/>
        <v>0</v>
      </c>
      <c r="AE443" s="1">
        <f t="shared" si="148"/>
        <v>1</v>
      </c>
      <c r="AF443" s="1">
        <f t="shared" si="149"/>
        <v>0</v>
      </c>
      <c r="AG443" s="1">
        <f t="shared" si="150"/>
        <v>1</v>
      </c>
      <c r="AH443" s="1">
        <f t="shared" si="151"/>
        <v>0</v>
      </c>
      <c r="AI443" s="1">
        <f t="shared" si="152"/>
        <v>1</v>
      </c>
    </row>
    <row r="444" spans="1:35" s="1" customFormat="1" ht="14.25" customHeight="1" x14ac:dyDescent="0.25">
      <c r="A444" s="31">
        <v>1</v>
      </c>
      <c r="B444" s="31">
        <v>2</v>
      </c>
      <c r="C444" s="31">
        <v>7</v>
      </c>
      <c r="D444" s="32" t="s">
        <v>67</v>
      </c>
      <c r="E444" s="32" t="s">
        <v>28</v>
      </c>
      <c r="F444" s="32" t="s">
        <v>1020</v>
      </c>
      <c r="G444" s="32" t="s">
        <v>535</v>
      </c>
      <c r="H444" s="32" t="s">
        <v>352</v>
      </c>
      <c r="I444" s="31" t="s">
        <v>30</v>
      </c>
      <c r="J444" s="31">
        <v>1</v>
      </c>
      <c r="K444" s="33" t="s">
        <v>704</v>
      </c>
      <c r="L444" s="33" t="s">
        <v>704</v>
      </c>
      <c r="M444" s="34" t="s">
        <v>722</v>
      </c>
      <c r="N444" s="34" t="s">
        <v>1709</v>
      </c>
      <c r="O444" s="35">
        <v>1</v>
      </c>
      <c r="P444" s="35"/>
      <c r="Q444" s="32"/>
      <c r="S444" s="1">
        <f t="shared" si="137"/>
        <v>1</v>
      </c>
      <c r="T444" s="1">
        <f t="shared" si="138"/>
        <v>0</v>
      </c>
      <c r="U444" s="1">
        <f t="shared" si="139"/>
        <v>0</v>
      </c>
      <c r="V444" s="1">
        <f t="shared" si="140"/>
        <v>0</v>
      </c>
      <c r="W444" s="1">
        <f t="shared" si="141"/>
        <v>0</v>
      </c>
      <c r="X444" s="1">
        <f t="shared" si="142"/>
        <v>0</v>
      </c>
      <c r="Y444" s="1">
        <f t="shared" si="143"/>
        <v>0</v>
      </c>
      <c r="Z444" s="1">
        <f t="shared" si="144"/>
        <v>0</v>
      </c>
      <c r="AA444" s="1">
        <f t="shared" si="145"/>
        <v>0</v>
      </c>
      <c r="AB444" s="1">
        <f t="shared" si="146"/>
        <v>0</v>
      </c>
      <c r="AD444" s="1">
        <f t="shared" si="147"/>
        <v>0</v>
      </c>
      <c r="AE444" s="1">
        <f t="shared" si="148"/>
        <v>1</v>
      </c>
      <c r="AF444" s="1">
        <f t="shared" si="149"/>
        <v>0</v>
      </c>
      <c r="AG444" s="1">
        <f t="shared" si="150"/>
        <v>0</v>
      </c>
      <c r="AH444" s="1">
        <f t="shared" si="151"/>
        <v>0</v>
      </c>
      <c r="AI444" s="1">
        <f t="shared" si="152"/>
        <v>0</v>
      </c>
    </row>
    <row r="445" spans="1:35" s="1" customFormat="1" ht="14.25" customHeight="1" x14ac:dyDescent="0.25">
      <c r="A445" s="31">
        <v>1</v>
      </c>
      <c r="B445" s="31">
        <v>2</v>
      </c>
      <c r="C445" s="31">
        <v>7</v>
      </c>
      <c r="D445" s="32" t="s">
        <v>67</v>
      </c>
      <c r="E445" s="32" t="s">
        <v>28</v>
      </c>
      <c r="F445" s="32" t="s">
        <v>249</v>
      </c>
      <c r="G445" s="32" t="s">
        <v>199</v>
      </c>
      <c r="H445" s="32" t="s">
        <v>352</v>
      </c>
      <c r="I445" s="31" t="s">
        <v>410</v>
      </c>
      <c r="J445" s="31">
        <v>2</v>
      </c>
      <c r="K445" s="33" t="s">
        <v>704</v>
      </c>
      <c r="L445" s="33" t="s">
        <v>704</v>
      </c>
      <c r="M445" s="34" t="s">
        <v>722</v>
      </c>
      <c r="N445" s="34" t="s">
        <v>1709</v>
      </c>
      <c r="O445" s="35">
        <v>1</v>
      </c>
      <c r="P445" s="35"/>
      <c r="Q445" s="32"/>
      <c r="S445" s="1">
        <f t="shared" si="137"/>
        <v>0</v>
      </c>
      <c r="T445" s="1">
        <f t="shared" si="138"/>
        <v>1</v>
      </c>
      <c r="U445" s="1">
        <f t="shared" si="139"/>
        <v>0</v>
      </c>
      <c r="V445" s="1">
        <f t="shared" si="140"/>
        <v>0</v>
      </c>
      <c r="W445" s="1">
        <f t="shared" si="141"/>
        <v>0</v>
      </c>
      <c r="X445" s="1">
        <f t="shared" si="142"/>
        <v>0</v>
      </c>
      <c r="Y445" s="1">
        <f t="shared" si="143"/>
        <v>0</v>
      </c>
      <c r="Z445" s="1">
        <f t="shared" si="144"/>
        <v>0</v>
      </c>
      <c r="AA445" s="1">
        <f t="shared" si="145"/>
        <v>0</v>
      </c>
      <c r="AB445" s="1">
        <f t="shared" si="146"/>
        <v>0</v>
      </c>
      <c r="AD445" s="1">
        <f t="shared" si="147"/>
        <v>0</v>
      </c>
      <c r="AE445" s="1">
        <f t="shared" si="148"/>
        <v>1</v>
      </c>
      <c r="AF445" s="1">
        <f t="shared" si="149"/>
        <v>0</v>
      </c>
      <c r="AG445" s="1">
        <f t="shared" si="150"/>
        <v>0</v>
      </c>
      <c r="AH445" s="1">
        <f t="shared" si="151"/>
        <v>0</v>
      </c>
      <c r="AI445" s="1">
        <f t="shared" si="152"/>
        <v>0</v>
      </c>
    </row>
    <row r="446" spans="1:35" s="1" customFormat="1" ht="14.25" customHeight="1" x14ac:dyDescent="0.25">
      <c r="A446" s="31">
        <v>1</v>
      </c>
      <c r="B446" s="31">
        <v>2</v>
      </c>
      <c r="C446" s="31">
        <v>7</v>
      </c>
      <c r="D446" s="32" t="s">
        <v>67</v>
      </c>
      <c r="E446" s="32" t="s">
        <v>28</v>
      </c>
      <c r="F446" s="32" t="s">
        <v>246</v>
      </c>
      <c r="G446" s="32" t="s">
        <v>1324</v>
      </c>
      <c r="H446" s="32" t="s">
        <v>352</v>
      </c>
      <c r="I446" s="31" t="s">
        <v>30</v>
      </c>
      <c r="J446" s="31">
        <v>1</v>
      </c>
      <c r="K446" s="33" t="s">
        <v>704</v>
      </c>
      <c r="L446" s="33" t="s">
        <v>704</v>
      </c>
      <c r="M446" s="34" t="s">
        <v>722</v>
      </c>
      <c r="N446" s="34" t="s">
        <v>1709</v>
      </c>
      <c r="O446" s="35">
        <v>1</v>
      </c>
      <c r="P446" s="35"/>
      <c r="Q446" s="32" t="s">
        <v>1875</v>
      </c>
      <c r="S446" s="1">
        <f t="shared" si="137"/>
        <v>1</v>
      </c>
      <c r="T446" s="1">
        <f t="shared" si="138"/>
        <v>0</v>
      </c>
      <c r="U446" s="1">
        <f t="shared" si="139"/>
        <v>0</v>
      </c>
      <c r="V446" s="1">
        <f t="shared" si="140"/>
        <v>0</v>
      </c>
      <c r="W446" s="1">
        <f t="shared" si="141"/>
        <v>0</v>
      </c>
      <c r="X446" s="1">
        <f t="shared" si="142"/>
        <v>0</v>
      </c>
      <c r="Y446" s="1">
        <f t="shared" si="143"/>
        <v>0</v>
      </c>
      <c r="Z446" s="1">
        <f t="shared" si="144"/>
        <v>0</v>
      </c>
      <c r="AA446" s="1">
        <f t="shared" si="145"/>
        <v>0</v>
      </c>
      <c r="AB446" s="1">
        <f t="shared" si="146"/>
        <v>0</v>
      </c>
      <c r="AD446" s="1">
        <f t="shared" si="147"/>
        <v>0</v>
      </c>
      <c r="AE446" s="1">
        <f t="shared" si="148"/>
        <v>1</v>
      </c>
      <c r="AF446" s="1">
        <f t="shared" si="149"/>
        <v>0</v>
      </c>
      <c r="AG446" s="1">
        <f t="shared" si="150"/>
        <v>0</v>
      </c>
      <c r="AH446" s="1">
        <f t="shared" si="151"/>
        <v>0</v>
      </c>
      <c r="AI446" s="1">
        <f t="shared" si="152"/>
        <v>0</v>
      </c>
    </row>
    <row r="447" spans="1:35" s="1" customFormat="1" ht="14.25" customHeight="1" x14ac:dyDescent="0.25">
      <c r="A447" s="31">
        <v>1</v>
      </c>
      <c r="B447" s="31">
        <v>2</v>
      </c>
      <c r="C447" s="31">
        <v>7</v>
      </c>
      <c r="D447" s="32" t="s">
        <v>67</v>
      </c>
      <c r="E447" s="32" t="s">
        <v>28</v>
      </c>
      <c r="F447" s="32" t="s">
        <v>251</v>
      </c>
      <c r="G447" s="32" t="s">
        <v>193</v>
      </c>
      <c r="H447" s="32" t="s">
        <v>352</v>
      </c>
      <c r="I447" s="31" t="s">
        <v>411</v>
      </c>
      <c r="J447" s="31">
        <v>9</v>
      </c>
      <c r="K447" s="33" t="s">
        <v>704</v>
      </c>
      <c r="L447" s="33" t="s">
        <v>704</v>
      </c>
      <c r="M447" s="34" t="s">
        <v>722</v>
      </c>
      <c r="N447" s="34" t="s">
        <v>1709</v>
      </c>
      <c r="O447" s="35">
        <v>1</v>
      </c>
      <c r="P447" s="35"/>
      <c r="Q447" s="32"/>
      <c r="S447" s="1">
        <f t="shared" si="137"/>
        <v>0</v>
      </c>
      <c r="T447" s="1">
        <f t="shared" si="138"/>
        <v>0</v>
      </c>
      <c r="U447" s="1">
        <f t="shared" si="139"/>
        <v>0</v>
      </c>
      <c r="V447" s="1">
        <f t="shared" si="140"/>
        <v>0</v>
      </c>
      <c r="W447" s="1">
        <f t="shared" si="141"/>
        <v>0</v>
      </c>
      <c r="X447" s="1">
        <f t="shared" si="142"/>
        <v>0</v>
      </c>
      <c r="Y447" s="1">
        <f t="shared" si="143"/>
        <v>0</v>
      </c>
      <c r="Z447" s="1">
        <f t="shared" si="144"/>
        <v>0</v>
      </c>
      <c r="AA447" s="1">
        <f t="shared" si="145"/>
        <v>1</v>
      </c>
      <c r="AB447" s="1">
        <f t="shared" si="146"/>
        <v>0</v>
      </c>
      <c r="AD447" s="1">
        <f t="shared" si="147"/>
        <v>0</v>
      </c>
      <c r="AE447" s="1">
        <f t="shared" si="148"/>
        <v>1</v>
      </c>
      <c r="AF447" s="1">
        <f t="shared" si="149"/>
        <v>0</v>
      </c>
      <c r="AG447" s="1">
        <f t="shared" si="150"/>
        <v>0</v>
      </c>
      <c r="AH447" s="1">
        <f t="shared" si="151"/>
        <v>0</v>
      </c>
      <c r="AI447" s="1">
        <f t="shared" si="152"/>
        <v>0</v>
      </c>
    </row>
    <row r="448" spans="1:35" s="1" customFormat="1" ht="14.25" customHeight="1" x14ac:dyDescent="0.25">
      <c r="A448" s="31">
        <v>0</v>
      </c>
      <c r="B448" s="31">
        <v>2</v>
      </c>
      <c r="C448" s="31">
        <v>7</v>
      </c>
      <c r="D448" s="32" t="s">
        <v>1004</v>
      </c>
      <c r="E448" s="32" t="s">
        <v>28</v>
      </c>
      <c r="F448" s="32" t="s">
        <v>1005</v>
      </c>
      <c r="G448" s="32" t="s">
        <v>193</v>
      </c>
      <c r="H448" s="32" t="s">
        <v>352</v>
      </c>
      <c r="I448" s="31" t="s">
        <v>1006</v>
      </c>
      <c r="J448" s="31">
        <v>9</v>
      </c>
      <c r="K448" s="33" t="s">
        <v>703</v>
      </c>
      <c r="L448" s="33" t="s">
        <v>704</v>
      </c>
      <c r="M448" s="34" t="s">
        <v>722</v>
      </c>
      <c r="N448" s="34" t="s">
        <v>1704</v>
      </c>
      <c r="O448" s="35">
        <v>1</v>
      </c>
      <c r="P448" s="35"/>
      <c r="Q448" s="32"/>
      <c r="S448" s="1">
        <f t="shared" si="137"/>
        <v>0</v>
      </c>
      <c r="T448" s="1">
        <f t="shared" si="138"/>
        <v>0</v>
      </c>
      <c r="U448" s="1">
        <f t="shared" si="139"/>
        <v>0</v>
      </c>
      <c r="V448" s="1">
        <f t="shared" si="140"/>
        <v>0</v>
      </c>
      <c r="W448" s="1">
        <f t="shared" si="141"/>
        <v>0</v>
      </c>
      <c r="X448" s="1">
        <f t="shared" si="142"/>
        <v>0</v>
      </c>
      <c r="Y448" s="1">
        <f t="shared" si="143"/>
        <v>0</v>
      </c>
      <c r="Z448" s="1">
        <f t="shared" si="144"/>
        <v>0</v>
      </c>
      <c r="AA448" s="1">
        <f t="shared" si="145"/>
        <v>1</v>
      </c>
      <c r="AB448" s="1">
        <f t="shared" si="146"/>
        <v>0</v>
      </c>
      <c r="AD448" s="1">
        <f t="shared" si="147"/>
        <v>0</v>
      </c>
      <c r="AE448" s="1">
        <f t="shared" si="148"/>
        <v>1</v>
      </c>
      <c r="AF448" s="1">
        <f t="shared" si="149"/>
        <v>0</v>
      </c>
      <c r="AG448" s="1">
        <f t="shared" si="150"/>
        <v>1</v>
      </c>
      <c r="AH448" s="1">
        <f t="shared" si="151"/>
        <v>0</v>
      </c>
      <c r="AI448" s="1">
        <f t="shared" si="152"/>
        <v>1</v>
      </c>
    </row>
    <row r="449" spans="1:35" s="1" customFormat="1" ht="14.25" customHeight="1" x14ac:dyDescent="0.25">
      <c r="A449" s="31">
        <v>0</v>
      </c>
      <c r="B449" s="31">
        <v>2</v>
      </c>
      <c r="C449" s="31">
        <v>7</v>
      </c>
      <c r="D449" s="32" t="s">
        <v>1792</v>
      </c>
      <c r="E449" s="32" t="s">
        <v>1793</v>
      </c>
      <c r="F449" s="32" t="s">
        <v>1794</v>
      </c>
      <c r="G449" s="32" t="s">
        <v>206</v>
      </c>
      <c r="H449" s="32" t="s">
        <v>352</v>
      </c>
      <c r="I449" s="31" t="s">
        <v>30</v>
      </c>
      <c r="J449" s="31"/>
      <c r="K449" s="33" t="s">
        <v>694</v>
      </c>
      <c r="L449" s="33">
        <v>20</v>
      </c>
      <c r="M449" s="34" t="s">
        <v>1795</v>
      </c>
      <c r="N449" s="34" t="s">
        <v>1704</v>
      </c>
      <c r="O449" s="35">
        <v>1</v>
      </c>
      <c r="P449" s="35"/>
      <c r="Q449" s="32"/>
      <c r="S449" s="1">
        <f t="shared" si="137"/>
        <v>0</v>
      </c>
      <c r="T449" s="1">
        <f t="shared" si="138"/>
        <v>0</v>
      </c>
      <c r="U449" s="1">
        <f t="shared" si="139"/>
        <v>0</v>
      </c>
      <c r="V449" s="1">
        <f t="shared" si="140"/>
        <v>0</v>
      </c>
      <c r="W449" s="1">
        <f t="shared" si="141"/>
        <v>0</v>
      </c>
      <c r="X449" s="1">
        <f t="shared" si="142"/>
        <v>0</v>
      </c>
      <c r="Y449" s="1">
        <f t="shared" si="143"/>
        <v>0</v>
      </c>
      <c r="Z449" s="1">
        <f t="shared" si="144"/>
        <v>0</v>
      </c>
      <c r="AA449" s="1">
        <f t="shared" si="145"/>
        <v>0</v>
      </c>
      <c r="AB449" s="1">
        <f t="shared" si="146"/>
        <v>0</v>
      </c>
      <c r="AD449" s="1">
        <f t="shared" si="147"/>
        <v>0</v>
      </c>
      <c r="AE449" s="1">
        <f t="shared" si="148"/>
        <v>1</v>
      </c>
      <c r="AF449" s="1">
        <f t="shared" si="149"/>
        <v>0</v>
      </c>
      <c r="AG449" s="1">
        <f t="shared" si="150"/>
        <v>1</v>
      </c>
      <c r="AH449" s="1">
        <f t="shared" si="151"/>
        <v>0</v>
      </c>
      <c r="AI449" s="1">
        <f t="shared" si="152"/>
        <v>1</v>
      </c>
    </row>
    <row r="450" spans="1:35" s="1" customFormat="1" ht="14.25" customHeight="1" x14ac:dyDescent="0.25">
      <c r="A450" s="31">
        <v>0</v>
      </c>
      <c r="B450" s="31">
        <v>2</v>
      </c>
      <c r="C450" s="31">
        <v>7</v>
      </c>
      <c r="D450" s="32" t="s">
        <v>1060</v>
      </c>
      <c r="E450" s="32" t="s">
        <v>540</v>
      </c>
      <c r="F450" s="32" t="s">
        <v>1041</v>
      </c>
      <c r="G450" s="32" t="s">
        <v>237</v>
      </c>
      <c r="H450" s="32" t="s">
        <v>352</v>
      </c>
      <c r="I450" s="31" t="s">
        <v>1042</v>
      </c>
      <c r="J450" s="31">
        <v>99</v>
      </c>
      <c r="K450" s="33" t="s">
        <v>936</v>
      </c>
      <c r="L450" s="33" t="s">
        <v>713</v>
      </c>
      <c r="M450" s="34" t="s">
        <v>1407</v>
      </c>
      <c r="N450" s="34" t="s">
        <v>1704</v>
      </c>
      <c r="O450" s="35">
        <v>1</v>
      </c>
      <c r="P450" s="35"/>
      <c r="Q450" s="32"/>
      <c r="S450" s="1">
        <f t="shared" si="137"/>
        <v>0</v>
      </c>
      <c r="T450" s="1">
        <f t="shared" si="138"/>
        <v>0</v>
      </c>
      <c r="U450" s="1">
        <f t="shared" si="139"/>
        <v>0</v>
      </c>
      <c r="V450" s="1">
        <f t="shared" si="140"/>
        <v>0</v>
      </c>
      <c r="W450" s="1">
        <f t="shared" si="141"/>
        <v>0</v>
      </c>
      <c r="X450" s="1">
        <f t="shared" si="142"/>
        <v>0</v>
      </c>
      <c r="Y450" s="1">
        <f t="shared" si="143"/>
        <v>0</v>
      </c>
      <c r="Z450" s="1">
        <f t="shared" si="144"/>
        <v>0</v>
      </c>
      <c r="AA450" s="1">
        <f t="shared" si="145"/>
        <v>0</v>
      </c>
      <c r="AB450" s="1">
        <f t="shared" si="146"/>
        <v>0</v>
      </c>
      <c r="AD450" s="1">
        <f t="shared" si="147"/>
        <v>0</v>
      </c>
      <c r="AE450" s="1">
        <f t="shared" si="148"/>
        <v>1</v>
      </c>
      <c r="AF450" s="1">
        <f t="shared" si="149"/>
        <v>0</v>
      </c>
      <c r="AG450" s="1">
        <f t="shared" si="150"/>
        <v>1</v>
      </c>
      <c r="AH450" s="1">
        <f t="shared" si="151"/>
        <v>0</v>
      </c>
      <c r="AI450" s="1">
        <f t="shared" si="152"/>
        <v>1</v>
      </c>
    </row>
    <row r="451" spans="1:35" s="1" customFormat="1" ht="14.25" customHeight="1" x14ac:dyDescent="0.25">
      <c r="A451" s="31">
        <v>0</v>
      </c>
      <c r="B451" s="31">
        <v>2</v>
      </c>
      <c r="C451" s="31">
        <v>7</v>
      </c>
      <c r="D451" s="32" t="s">
        <v>1201</v>
      </c>
      <c r="E451" s="32" t="s">
        <v>155</v>
      </c>
      <c r="F451" s="32" t="s">
        <v>1202</v>
      </c>
      <c r="G451" s="32" t="s">
        <v>250</v>
      </c>
      <c r="H451" s="32" t="s">
        <v>352</v>
      </c>
      <c r="I451" s="31" t="s">
        <v>1203</v>
      </c>
      <c r="J451" s="31">
        <v>99</v>
      </c>
      <c r="K451" s="33" t="s">
        <v>704</v>
      </c>
      <c r="L451" s="33">
        <v>10</v>
      </c>
      <c r="M451" s="34" t="s">
        <v>1707</v>
      </c>
      <c r="N451" s="34" t="s">
        <v>1693</v>
      </c>
      <c r="O451" s="35">
        <v>1</v>
      </c>
      <c r="P451" s="35">
        <v>1</v>
      </c>
      <c r="Q451" s="32"/>
      <c r="S451" s="1">
        <f t="shared" si="137"/>
        <v>0</v>
      </c>
      <c r="T451" s="1">
        <f t="shared" si="138"/>
        <v>0</v>
      </c>
      <c r="U451" s="1">
        <f t="shared" si="139"/>
        <v>0</v>
      </c>
      <c r="V451" s="1">
        <f t="shared" si="140"/>
        <v>0</v>
      </c>
      <c r="W451" s="1">
        <f t="shared" si="141"/>
        <v>0</v>
      </c>
      <c r="X451" s="1">
        <f t="shared" si="142"/>
        <v>0</v>
      </c>
      <c r="Y451" s="1">
        <f t="shared" si="143"/>
        <v>0</v>
      </c>
      <c r="Z451" s="1">
        <f t="shared" si="144"/>
        <v>0</v>
      </c>
      <c r="AA451" s="1">
        <f t="shared" si="145"/>
        <v>0</v>
      </c>
      <c r="AB451" s="1">
        <f t="shared" si="146"/>
        <v>0</v>
      </c>
      <c r="AD451" s="1">
        <f t="shared" si="147"/>
        <v>1</v>
      </c>
      <c r="AE451" s="1">
        <f t="shared" si="148"/>
        <v>0</v>
      </c>
      <c r="AF451" s="1">
        <f t="shared" si="149"/>
        <v>1</v>
      </c>
      <c r="AG451" s="1">
        <f t="shared" si="150"/>
        <v>0</v>
      </c>
      <c r="AH451" s="1">
        <f t="shared" si="151"/>
        <v>1</v>
      </c>
      <c r="AI451" s="1">
        <f t="shared" si="152"/>
        <v>0</v>
      </c>
    </row>
    <row r="452" spans="1:35" s="1" customFormat="1" ht="14.25" customHeight="1" x14ac:dyDescent="0.25">
      <c r="A452" s="31">
        <v>0</v>
      </c>
      <c r="B452" s="31">
        <v>2</v>
      </c>
      <c r="C452" s="31">
        <v>7</v>
      </c>
      <c r="D452" s="36" t="s">
        <v>1762</v>
      </c>
      <c r="E452" s="36" t="s">
        <v>28</v>
      </c>
      <c r="F452" s="36" t="s">
        <v>1763</v>
      </c>
      <c r="G452" s="36" t="s">
        <v>179</v>
      </c>
      <c r="H452" s="36" t="s">
        <v>352</v>
      </c>
      <c r="I452" s="37" t="s">
        <v>1764</v>
      </c>
      <c r="J452" s="31">
        <v>10</v>
      </c>
      <c r="K452" s="33" t="s">
        <v>694</v>
      </c>
      <c r="L452" s="33">
        <v>10</v>
      </c>
      <c r="M452" s="34"/>
      <c r="N452" s="34" t="s">
        <v>1693</v>
      </c>
      <c r="O452" s="35">
        <v>1</v>
      </c>
      <c r="P452" s="35">
        <v>1</v>
      </c>
      <c r="Q452" s="36"/>
      <c r="S452" s="1">
        <f t="shared" si="137"/>
        <v>0</v>
      </c>
      <c r="T452" s="1">
        <f t="shared" si="138"/>
        <v>0</v>
      </c>
      <c r="U452" s="1">
        <f t="shared" si="139"/>
        <v>0</v>
      </c>
      <c r="V452" s="1">
        <f t="shared" si="140"/>
        <v>0</v>
      </c>
      <c r="W452" s="1">
        <f t="shared" si="141"/>
        <v>0</v>
      </c>
      <c r="X452" s="1">
        <f t="shared" si="142"/>
        <v>0</v>
      </c>
      <c r="Y452" s="1">
        <f t="shared" si="143"/>
        <v>0</v>
      </c>
      <c r="Z452" s="1">
        <f t="shared" si="144"/>
        <v>0</v>
      </c>
      <c r="AA452" s="1">
        <f t="shared" si="145"/>
        <v>0</v>
      </c>
      <c r="AB452" s="1">
        <f t="shared" si="146"/>
        <v>1</v>
      </c>
      <c r="AD452" s="1">
        <f t="shared" si="147"/>
        <v>1</v>
      </c>
      <c r="AE452" s="1">
        <f t="shared" si="148"/>
        <v>0</v>
      </c>
      <c r="AF452" s="1">
        <f t="shared" si="149"/>
        <v>1</v>
      </c>
      <c r="AG452" s="1">
        <f t="shared" si="150"/>
        <v>0</v>
      </c>
      <c r="AH452" s="1">
        <f t="shared" si="151"/>
        <v>1</v>
      </c>
      <c r="AI452" s="1">
        <f t="shared" si="152"/>
        <v>0</v>
      </c>
    </row>
    <row r="453" spans="1:35" s="1" customFormat="1" ht="14.25" customHeight="1" x14ac:dyDescent="0.25">
      <c r="A453" s="37">
        <v>0</v>
      </c>
      <c r="B453" s="37">
        <v>2</v>
      </c>
      <c r="C453" s="37">
        <v>7</v>
      </c>
      <c r="D453" s="36" t="s">
        <v>1552</v>
      </c>
      <c r="E453" s="36" t="s">
        <v>1618</v>
      </c>
      <c r="F453" s="36" t="s">
        <v>1553</v>
      </c>
      <c r="G453" s="36" t="s">
        <v>648</v>
      </c>
      <c r="H453" s="36" t="s">
        <v>352</v>
      </c>
      <c r="I453" s="37" t="s">
        <v>1554</v>
      </c>
      <c r="J453" s="37">
        <v>99</v>
      </c>
      <c r="K453" s="33" t="s">
        <v>704</v>
      </c>
      <c r="L453" s="33" t="s">
        <v>39</v>
      </c>
      <c r="M453" s="34" t="s">
        <v>39</v>
      </c>
      <c r="N453" s="34" t="s">
        <v>1693</v>
      </c>
      <c r="O453" s="35">
        <v>1</v>
      </c>
      <c r="P453" s="35">
        <v>1</v>
      </c>
      <c r="Q453" s="36"/>
      <c r="S453" s="1">
        <f t="shared" si="137"/>
        <v>0</v>
      </c>
      <c r="T453" s="1">
        <f t="shared" si="138"/>
        <v>0</v>
      </c>
      <c r="U453" s="1">
        <f t="shared" si="139"/>
        <v>0</v>
      </c>
      <c r="V453" s="1">
        <f t="shared" si="140"/>
        <v>0</v>
      </c>
      <c r="W453" s="1">
        <f t="shared" si="141"/>
        <v>0</v>
      </c>
      <c r="X453" s="1">
        <f t="shared" si="142"/>
        <v>0</v>
      </c>
      <c r="Y453" s="1">
        <f t="shared" si="143"/>
        <v>0</v>
      </c>
      <c r="Z453" s="1">
        <f t="shared" si="144"/>
        <v>0</v>
      </c>
      <c r="AA453" s="1">
        <f t="shared" si="145"/>
        <v>0</v>
      </c>
      <c r="AB453" s="1">
        <f t="shared" si="146"/>
        <v>0</v>
      </c>
      <c r="AD453" s="1">
        <f t="shared" si="147"/>
        <v>1</v>
      </c>
      <c r="AE453" s="1">
        <f t="shared" si="148"/>
        <v>0</v>
      </c>
      <c r="AF453" s="1">
        <f t="shared" si="149"/>
        <v>1</v>
      </c>
      <c r="AG453" s="1">
        <f t="shared" si="150"/>
        <v>0</v>
      </c>
      <c r="AH453" s="1">
        <f t="shared" si="151"/>
        <v>1</v>
      </c>
      <c r="AI453" s="1">
        <f t="shared" si="152"/>
        <v>0</v>
      </c>
    </row>
    <row r="454" spans="1:35" s="1" customFormat="1" ht="14.25" customHeight="1" x14ac:dyDescent="0.25">
      <c r="A454" s="37">
        <v>0</v>
      </c>
      <c r="B454" s="37">
        <v>2</v>
      </c>
      <c r="C454" s="37">
        <v>7</v>
      </c>
      <c r="D454" s="36" t="s">
        <v>2139</v>
      </c>
      <c r="E454" s="36" t="s">
        <v>2140</v>
      </c>
      <c r="F454" s="36" t="s">
        <v>2142</v>
      </c>
      <c r="G454" s="36" t="s">
        <v>2143</v>
      </c>
      <c r="H454" s="36" t="s">
        <v>352</v>
      </c>
      <c r="I454" s="37" t="s">
        <v>2141</v>
      </c>
      <c r="J454" s="37">
        <v>99</v>
      </c>
      <c r="K454" s="33" t="s">
        <v>694</v>
      </c>
      <c r="L454" s="33" t="s">
        <v>704</v>
      </c>
      <c r="M454" s="34" t="s">
        <v>722</v>
      </c>
      <c r="N454" s="34" t="s">
        <v>1699</v>
      </c>
      <c r="O454" s="35">
        <v>1</v>
      </c>
      <c r="P454" s="35">
        <v>1</v>
      </c>
      <c r="Q454" s="36" t="s">
        <v>2144</v>
      </c>
      <c r="S454" s="1">
        <f t="shared" si="137"/>
        <v>0</v>
      </c>
      <c r="T454" s="1">
        <f t="shared" si="138"/>
        <v>0</v>
      </c>
      <c r="U454" s="1">
        <f t="shared" si="139"/>
        <v>0</v>
      </c>
      <c r="V454" s="1">
        <f t="shared" si="140"/>
        <v>0</v>
      </c>
      <c r="W454" s="1">
        <f t="shared" si="141"/>
        <v>0</v>
      </c>
      <c r="X454" s="1">
        <f t="shared" si="142"/>
        <v>0</v>
      </c>
      <c r="Y454" s="1">
        <f t="shared" si="143"/>
        <v>0</v>
      </c>
      <c r="Z454" s="1">
        <f t="shared" si="144"/>
        <v>0</v>
      </c>
      <c r="AA454" s="1">
        <f t="shared" si="145"/>
        <v>0</v>
      </c>
      <c r="AB454" s="1">
        <f t="shared" si="146"/>
        <v>0</v>
      </c>
      <c r="AD454" s="1">
        <f t="shared" ref="AD454:AD456" si="153">+O454*P454</f>
        <v>1</v>
      </c>
      <c r="AE454" s="1">
        <f t="shared" ref="AE454:AE456" si="154">O454*(1-P454)</f>
        <v>0</v>
      </c>
      <c r="AF454" s="1">
        <f t="shared" ref="AF454:AF456" si="155">+O454*P454*(1-A454)</f>
        <v>1</v>
      </c>
      <c r="AG454" s="1">
        <f t="shared" ref="AG454:AG456" si="156">O454*(1-P454)*(1-A454)</f>
        <v>0</v>
      </c>
      <c r="AH454" s="1">
        <f t="shared" ref="AH454:AH456" si="157">+P454*(1-A454)</f>
        <v>1</v>
      </c>
      <c r="AI454" s="1">
        <f t="shared" ref="AI454:AI456" si="158">+(1-A454)*(1-P454)</f>
        <v>0</v>
      </c>
    </row>
    <row r="455" spans="1:35" s="1" customFormat="1" ht="14.25" customHeight="1" x14ac:dyDescent="0.25">
      <c r="A455" s="31">
        <v>0</v>
      </c>
      <c r="B455" s="31">
        <v>2</v>
      </c>
      <c r="C455" s="31">
        <v>7</v>
      </c>
      <c r="D455" s="32" t="s">
        <v>1504</v>
      </c>
      <c r="E455" s="32" t="s">
        <v>28</v>
      </c>
      <c r="F455" s="32" t="s">
        <v>1629</v>
      </c>
      <c r="G455" s="32" t="s">
        <v>285</v>
      </c>
      <c r="H455" s="32" t="s">
        <v>352</v>
      </c>
      <c r="I455" s="31" t="s">
        <v>1654</v>
      </c>
      <c r="J455" s="31">
        <v>99</v>
      </c>
      <c r="K455" s="33" t="s">
        <v>704</v>
      </c>
      <c r="L455" s="33" t="s">
        <v>704</v>
      </c>
      <c r="M455" s="34" t="s">
        <v>722</v>
      </c>
      <c r="N455" s="34" t="s">
        <v>1704</v>
      </c>
      <c r="O455" s="35">
        <v>1</v>
      </c>
      <c r="P455" s="35"/>
      <c r="Q455" s="32"/>
      <c r="S455" s="1">
        <f t="shared" si="137"/>
        <v>0</v>
      </c>
      <c r="T455" s="1">
        <f t="shared" si="138"/>
        <v>0</v>
      </c>
      <c r="U455" s="1">
        <f t="shared" si="139"/>
        <v>0</v>
      </c>
      <c r="V455" s="1">
        <f t="shared" si="140"/>
        <v>0</v>
      </c>
      <c r="W455" s="1">
        <f t="shared" si="141"/>
        <v>0</v>
      </c>
      <c r="X455" s="1">
        <f t="shared" si="142"/>
        <v>0</v>
      </c>
      <c r="Y455" s="1">
        <f t="shared" si="143"/>
        <v>0</v>
      </c>
      <c r="Z455" s="1">
        <f t="shared" si="144"/>
        <v>0</v>
      </c>
      <c r="AA455" s="1">
        <f t="shared" si="145"/>
        <v>0</v>
      </c>
      <c r="AB455" s="1">
        <f t="shared" si="146"/>
        <v>0</v>
      </c>
      <c r="AD455" s="1">
        <f t="shared" si="153"/>
        <v>0</v>
      </c>
      <c r="AE455" s="1">
        <f t="shared" si="154"/>
        <v>1</v>
      </c>
      <c r="AF455" s="1">
        <f t="shared" si="155"/>
        <v>0</v>
      </c>
      <c r="AG455" s="1">
        <f t="shared" si="156"/>
        <v>1</v>
      </c>
      <c r="AH455" s="1">
        <f t="shared" si="157"/>
        <v>0</v>
      </c>
      <c r="AI455" s="1">
        <f t="shared" si="158"/>
        <v>1</v>
      </c>
    </row>
    <row r="456" spans="1:35" s="1" customFormat="1" ht="14.25" customHeight="1" x14ac:dyDescent="0.25">
      <c r="A456" s="31">
        <v>0</v>
      </c>
      <c r="B456" s="31">
        <v>2</v>
      </c>
      <c r="C456" s="31">
        <v>7</v>
      </c>
      <c r="D456" s="32" t="s">
        <v>1302</v>
      </c>
      <c r="E456" s="32" t="s">
        <v>28</v>
      </c>
      <c r="F456" s="32" t="s">
        <v>565</v>
      </c>
      <c r="G456" s="32" t="s">
        <v>180</v>
      </c>
      <c r="H456" s="32" t="s">
        <v>352</v>
      </c>
      <c r="I456" s="31" t="s">
        <v>428</v>
      </c>
      <c r="J456" s="31">
        <v>7</v>
      </c>
      <c r="K456" s="33" t="s">
        <v>703</v>
      </c>
      <c r="L456" s="33" t="s">
        <v>704</v>
      </c>
      <c r="M456" s="34" t="s">
        <v>722</v>
      </c>
      <c r="N456" s="34" t="s">
        <v>1704</v>
      </c>
      <c r="O456" s="35">
        <v>1</v>
      </c>
      <c r="P456" s="35"/>
      <c r="Q456" s="32"/>
      <c r="S456" s="1">
        <f t="shared" si="137"/>
        <v>0</v>
      </c>
      <c r="T456" s="1">
        <f t="shared" si="138"/>
        <v>0</v>
      </c>
      <c r="U456" s="1">
        <f t="shared" si="139"/>
        <v>0</v>
      </c>
      <c r="V456" s="1">
        <f t="shared" si="140"/>
        <v>0</v>
      </c>
      <c r="W456" s="1">
        <f t="shared" si="141"/>
        <v>0</v>
      </c>
      <c r="X456" s="1">
        <f t="shared" si="142"/>
        <v>0</v>
      </c>
      <c r="Y456" s="1">
        <f t="shared" si="143"/>
        <v>1</v>
      </c>
      <c r="Z456" s="1">
        <f t="shared" si="144"/>
        <v>0</v>
      </c>
      <c r="AA456" s="1">
        <f t="shared" si="145"/>
        <v>0</v>
      </c>
      <c r="AB456" s="1">
        <f t="shared" si="146"/>
        <v>0</v>
      </c>
      <c r="AD456" s="1">
        <f t="shared" si="153"/>
        <v>0</v>
      </c>
      <c r="AE456" s="1">
        <f t="shared" si="154"/>
        <v>1</v>
      </c>
      <c r="AF456" s="1">
        <f t="shared" si="155"/>
        <v>0</v>
      </c>
      <c r="AG456" s="1">
        <f t="shared" si="156"/>
        <v>1</v>
      </c>
      <c r="AH456" s="1">
        <f t="shared" si="157"/>
        <v>0</v>
      </c>
      <c r="AI456" s="1">
        <f t="shared" si="158"/>
        <v>1</v>
      </c>
    </row>
    <row r="457" spans="1:35" s="1" customFormat="1" ht="14.25" customHeight="1" x14ac:dyDescent="0.25">
      <c r="A457" s="31">
        <v>0</v>
      </c>
      <c r="B457" s="31">
        <v>2</v>
      </c>
      <c r="C457" s="31">
        <v>7</v>
      </c>
      <c r="D457" s="32" t="s">
        <v>72</v>
      </c>
      <c r="E457" s="32" t="s">
        <v>28</v>
      </c>
      <c r="F457" s="32" t="s">
        <v>260</v>
      </c>
      <c r="G457" s="32" t="s">
        <v>219</v>
      </c>
      <c r="H457" s="32" t="s">
        <v>352</v>
      </c>
      <c r="I457" s="31" t="s">
        <v>418</v>
      </c>
      <c r="J457" s="31">
        <v>8</v>
      </c>
      <c r="K457" s="33" t="s">
        <v>704</v>
      </c>
      <c r="L457" s="33" t="s">
        <v>704</v>
      </c>
      <c r="M457" s="34" t="s">
        <v>722</v>
      </c>
      <c r="N457" s="34" t="s">
        <v>1704</v>
      </c>
      <c r="O457" s="35">
        <v>1</v>
      </c>
      <c r="P457" s="35"/>
      <c r="Q457" s="32"/>
      <c r="S457" s="1">
        <f t="shared" si="137"/>
        <v>0</v>
      </c>
      <c r="T457" s="1">
        <f t="shared" si="138"/>
        <v>0</v>
      </c>
      <c r="U457" s="1">
        <f t="shared" si="139"/>
        <v>0</v>
      </c>
      <c r="V457" s="1">
        <f t="shared" si="140"/>
        <v>0</v>
      </c>
      <c r="W457" s="1">
        <f t="shared" si="141"/>
        <v>0</v>
      </c>
      <c r="X457" s="1">
        <f t="shared" si="142"/>
        <v>0</v>
      </c>
      <c r="Y457" s="1">
        <f t="shared" si="143"/>
        <v>0</v>
      </c>
      <c r="Z457" s="1">
        <f t="shared" si="144"/>
        <v>1</v>
      </c>
      <c r="AA457" s="1">
        <f t="shared" si="145"/>
        <v>0</v>
      </c>
      <c r="AB457" s="1">
        <f t="shared" si="146"/>
        <v>0</v>
      </c>
      <c r="AD457" s="1">
        <f t="shared" si="147"/>
        <v>0</v>
      </c>
      <c r="AE457" s="1">
        <f t="shared" si="148"/>
        <v>1</v>
      </c>
      <c r="AF457" s="1">
        <f t="shared" si="149"/>
        <v>0</v>
      </c>
      <c r="AG457" s="1">
        <f t="shared" si="150"/>
        <v>1</v>
      </c>
      <c r="AH457" s="1">
        <f t="shared" si="151"/>
        <v>0</v>
      </c>
      <c r="AI457" s="1">
        <f t="shared" si="152"/>
        <v>1</v>
      </c>
    </row>
    <row r="458" spans="1:35" s="1" customFormat="1" ht="14.25" customHeight="1" x14ac:dyDescent="0.25">
      <c r="A458" s="31">
        <v>1</v>
      </c>
      <c r="B458" s="31">
        <v>2</v>
      </c>
      <c r="C458" s="31">
        <v>7</v>
      </c>
      <c r="D458" s="32" t="s">
        <v>72</v>
      </c>
      <c r="E458" s="32" t="s">
        <v>28</v>
      </c>
      <c r="F458" s="32" t="s">
        <v>259</v>
      </c>
      <c r="G458" s="32" t="s">
        <v>177</v>
      </c>
      <c r="H458" s="32" t="s">
        <v>352</v>
      </c>
      <c r="I458" s="31" t="s">
        <v>417</v>
      </c>
      <c r="J458" s="31">
        <v>1</v>
      </c>
      <c r="K458" s="33" t="s">
        <v>704</v>
      </c>
      <c r="L458" s="33" t="s">
        <v>704</v>
      </c>
      <c r="M458" s="34" t="s">
        <v>722</v>
      </c>
      <c r="N458" s="34" t="s">
        <v>1704</v>
      </c>
      <c r="O458" s="35">
        <v>1</v>
      </c>
      <c r="P458" s="35"/>
      <c r="Q458" s="32"/>
      <c r="S458" s="1">
        <f t="shared" si="137"/>
        <v>1</v>
      </c>
      <c r="T458" s="1">
        <f t="shared" si="138"/>
        <v>0</v>
      </c>
      <c r="U458" s="1">
        <f t="shared" si="139"/>
        <v>0</v>
      </c>
      <c r="V458" s="1">
        <f t="shared" si="140"/>
        <v>0</v>
      </c>
      <c r="W458" s="1">
        <f t="shared" si="141"/>
        <v>0</v>
      </c>
      <c r="X458" s="1">
        <f t="shared" si="142"/>
        <v>0</v>
      </c>
      <c r="Y458" s="1">
        <f t="shared" si="143"/>
        <v>0</v>
      </c>
      <c r="Z458" s="1">
        <f t="shared" si="144"/>
        <v>0</v>
      </c>
      <c r="AA458" s="1">
        <f t="shared" si="145"/>
        <v>0</v>
      </c>
      <c r="AB458" s="1">
        <f t="shared" si="146"/>
        <v>0</v>
      </c>
      <c r="AD458" s="1">
        <f t="shared" si="147"/>
        <v>0</v>
      </c>
      <c r="AE458" s="1">
        <f t="shared" si="148"/>
        <v>1</v>
      </c>
      <c r="AF458" s="1">
        <f t="shared" si="149"/>
        <v>0</v>
      </c>
      <c r="AG458" s="1">
        <f t="shared" si="150"/>
        <v>0</v>
      </c>
      <c r="AH458" s="1">
        <f t="shared" si="151"/>
        <v>0</v>
      </c>
      <c r="AI458" s="1">
        <f t="shared" si="152"/>
        <v>0</v>
      </c>
    </row>
    <row r="459" spans="1:35" s="1" customFormat="1" ht="14.25" customHeight="1" x14ac:dyDescent="0.25">
      <c r="A459" s="31">
        <v>0</v>
      </c>
      <c r="B459" s="31">
        <v>2</v>
      </c>
      <c r="C459" s="31">
        <v>7</v>
      </c>
      <c r="D459" s="32" t="s">
        <v>763</v>
      </c>
      <c r="E459" s="32" t="s">
        <v>28</v>
      </c>
      <c r="F459" s="32" t="s">
        <v>764</v>
      </c>
      <c r="G459" s="32" t="s">
        <v>278</v>
      </c>
      <c r="H459" s="32" t="s">
        <v>352</v>
      </c>
      <c r="I459" s="31" t="s">
        <v>765</v>
      </c>
      <c r="J459" s="31">
        <v>99</v>
      </c>
      <c r="K459" s="33" t="s">
        <v>704</v>
      </c>
      <c r="L459" s="33" t="s">
        <v>704</v>
      </c>
      <c r="M459" s="34" t="s">
        <v>722</v>
      </c>
      <c r="N459" s="34" t="s">
        <v>1704</v>
      </c>
      <c r="O459" s="35">
        <v>1</v>
      </c>
      <c r="P459" s="35"/>
      <c r="Q459" s="32"/>
      <c r="S459" s="1">
        <f t="shared" si="137"/>
        <v>0</v>
      </c>
      <c r="T459" s="1">
        <f t="shared" si="138"/>
        <v>0</v>
      </c>
      <c r="U459" s="1">
        <f t="shared" si="139"/>
        <v>0</v>
      </c>
      <c r="V459" s="1">
        <f t="shared" si="140"/>
        <v>0</v>
      </c>
      <c r="W459" s="1">
        <f t="shared" si="141"/>
        <v>0</v>
      </c>
      <c r="X459" s="1">
        <f t="shared" si="142"/>
        <v>0</v>
      </c>
      <c r="Y459" s="1">
        <f t="shared" si="143"/>
        <v>0</v>
      </c>
      <c r="Z459" s="1">
        <f t="shared" si="144"/>
        <v>0</v>
      </c>
      <c r="AA459" s="1">
        <f t="shared" si="145"/>
        <v>0</v>
      </c>
      <c r="AB459" s="1">
        <f t="shared" si="146"/>
        <v>0</v>
      </c>
      <c r="AD459" s="1">
        <f t="shared" si="147"/>
        <v>0</v>
      </c>
      <c r="AE459" s="1">
        <f t="shared" si="148"/>
        <v>1</v>
      </c>
      <c r="AF459" s="1">
        <f t="shared" si="149"/>
        <v>0</v>
      </c>
      <c r="AG459" s="1">
        <f t="shared" si="150"/>
        <v>1</v>
      </c>
      <c r="AH459" s="1">
        <f t="shared" si="151"/>
        <v>0</v>
      </c>
      <c r="AI459" s="1">
        <f t="shared" si="152"/>
        <v>1</v>
      </c>
    </row>
    <row r="460" spans="1:35" s="1" customFormat="1" ht="14.25" customHeight="1" x14ac:dyDescent="0.25">
      <c r="A460" s="31">
        <v>0</v>
      </c>
      <c r="B460" s="31">
        <v>2</v>
      </c>
      <c r="C460" s="31">
        <v>7</v>
      </c>
      <c r="D460" s="32" t="s">
        <v>85</v>
      </c>
      <c r="E460" s="32" t="s">
        <v>28</v>
      </c>
      <c r="F460" s="32" t="s">
        <v>277</v>
      </c>
      <c r="G460" s="32" t="s">
        <v>278</v>
      </c>
      <c r="H460" s="32" t="s">
        <v>352</v>
      </c>
      <c r="I460" s="31" t="s">
        <v>432</v>
      </c>
      <c r="J460" s="31">
        <v>99</v>
      </c>
      <c r="K460" s="33" t="s">
        <v>704</v>
      </c>
      <c r="L460" s="33" t="s">
        <v>704</v>
      </c>
      <c r="M460" s="34" t="s">
        <v>722</v>
      </c>
      <c r="N460" s="34" t="s">
        <v>1704</v>
      </c>
      <c r="O460" s="35">
        <v>1</v>
      </c>
      <c r="P460" s="35"/>
      <c r="Q460" s="32"/>
      <c r="S460" s="1">
        <f t="shared" si="137"/>
        <v>0</v>
      </c>
      <c r="T460" s="1">
        <f t="shared" si="138"/>
        <v>0</v>
      </c>
      <c r="U460" s="1">
        <f t="shared" si="139"/>
        <v>0</v>
      </c>
      <c r="V460" s="1">
        <f t="shared" si="140"/>
        <v>0</v>
      </c>
      <c r="W460" s="1">
        <f t="shared" si="141"/>
        <v>0</v>
      </c>
      <c r="X460" s="1">
        <f t="shared" si="142"/>
        <v>0</v>
      </c>
      <c r="Y460" s="1">
        <f t="shared" si="143"/>
        <v>0</v>
      </c>
      <c r="Z460" s="1">
        <f t="shared" si="144"/>
        <v>0</v>
      </c>
      <c r="AA460" s="1">
        <f t="shared" si="145"/>
        <v>0</v>
      </c>
      <c r="AB460" s="1">
        <f t="shared" si="146"/>
        <v>0</v>
      </c>
      <c r="AD460" s="1">
        <f t="shared" si="147"/>
        <v>0</v>
      </c>
      <c r="AE460" s="1">
        <f t="shared" si="148"/>
        <v>1</v>
      </c>
      <c r="AF460" s="1">
        <f t="shared" si="149"/>
        <v>0</v>
      </c>
      <c r="AG460" s="1">
        <f t="shared" si="150"/>
        <v>1</v>
      </c>
      <c r="AH460" s="1">
        <f t="shared" si="151"/>
        <v>0</v>
      </c>
      <c r="AI460" s="1">
        <f t="shared" si="152"/>
        <v>1</v>
      </c>
    </row>
    <row r="461" spans="1:35" s="1" customFormat="1" ht="14.25" customHeight="1" x14ac:dyDescent="0.25">
      <c r="A461" s="37">
        <v>0</v>
      </c>
      <c r="B461" s="37">
        <v>2</v>
      </c>
      <c r="C461" s="37">
        <v>7</v>
      </c>
      <c r="D461" s="36" t="s">
        <v>1895</v>
      </c>
      <c r="E461" s="36" t="s">
        <v>28</v>
      </c>
      <c r="F461" s="36" t="s">
        <v>1896</v>
      </c>
      <c r="G461" s="36" t="s">
        <v>184</v>
      </c>
      <c r="H461" s="36" t="s">
        <v>352</v>
      </c>
      <c r="I461" s="37" t="s">
        <v>1897</v>
      </c>
      <c r="J461" s="37">
        <v>99</v>
      </c>
      <c r="K461" s="33" t="s">
        <v>694</v>
      </c>
      <c r="L461" s="33">
        <v>4</v>
      </c>
      <c r="M461" s="34" t="s">
        <v>722</v>
      </c>
      <c r="N461" s="34" t="s">
        <v>1704</v>
      </c>
      <c r="O461" s="35">
        <v>1</v>
      </c>
      <c r="P461" s="35"/>
      <c r="Q461" s="36" t="s">
        <v>1898</v>
      </c>
      <c r="S461" s="1">
        <f t="shared" si="137"/>
        <v>0</v>
      </c>
      <c r="T461" s="1">
        <f t="shared" si="138"/>
        <v>0</v>
      </c>
      <c r="U461" s="1">
        <f t="shared" si="139"/>
        <v>0</v>
      </c>
      <c r="V461" s="1">
        <f t="shared" si="140"/>
        <v>0</v>
      </c>
      <c r="W461" s="1">
        <f t="shared" si="141"/>
        <v>0</v>
      </c>
      <c r="X461" s="1">
        <f t="shared" si="142"/>
        <v>0</v>
      </c>
      <c r="Y461" s="1">
        <f t="shared" si="143"/>
        <v>0</v>
      </c>
      <c r="Z461" s="1">
        <f t="shared" si="144"/>
        <v>0</v>
      </c>
      <c r="AA461" s="1">
        <f t="shared" si="145"/>
        <v>0</v>
      </c>
      <c r="AB461" s="1">
        <f t="shared" si="146"/>
        <v>0</v>
      </c>
      <c r="AD461" s="1">
        <f t="shared" si="147"/>
        <v>0</v>
      </c>
      <c r="AE461" s="1">
        <f t="shared" si="148"/>
        <v>1</v>
      </c>
      <c r="AF461" s="1">
        <f t="shared" si="149"/>
        <v>0</v>
      </c>
      <c r="AG461" s="1">
        <f t="shared" si="150"/>
        <v>1</v>
      </c>
      <c r="AH461" s="1">
        <f t="shared" si="151"/>
        <v>0</v>
      </c>
      <c r="AI461" s="1">
        <f t="shared" si="152"/>
        <v>1</v>
      </c>
    </row>
    <row r="462" spans="1:35" s="1" customFormat="1" ht="14.25" customHeight="1" x14ac:dyDescent="0.25">
      <c r="A462" s="37">
        <v>0</v>
      </c>
      <c r="B462" s="37">
        <v>2</v>
      </c>
      <c r="C462" s="37">
        <v>7</v>
      </c>
      <c r="D462" s="36" t="s">
        <v>549</v>
      </c>
      <c r="E462" s="36" t="s">
        <v>28</v>
      </c>
      <c r="F462" s="36" t="s">
        <v>1834</v>
      </c>
      <c r="G462" s="36" t="s">
        <v>552</v>
      </c>
      <c r="H462" s="36" t="s">
        <v>352</v>
      </c>
      <c r="I462" s="37" t="s">
        <v>553</v>
      </c>
      <c r="J462" s="37">
        <v>99</v>
      </c>
      <c r="K462" s="33" t="s">
        <v>704</v>
      </c>
      <c r="L462" s="33" t="s">
        <v>704</v>
      </c>
      <c r="M462" s="34" t="s">
        <v>722</v>
      </c>
      <c r="N462" s="34" t="s">
        <v>1784</v>
      </c>
      <c r="O462" s="35">
        <v>1</v>
      </c>
      <c r="P462" s="35"/>
      <c r="Q462" s="36"/>
      <c r="S462" s="1">
        <f t="shared" si="137"/>
        <v>0</v>
      </c>
      <c r="T462" s="1">
        <f t="shared" si="138"/>
        <v>0</v>
      </c>
      <c r="U462" s="1">
        <f t="shared" si="139"/>
        <v>0</v>
      </c>
      <c r="V462" s="1">
        <f t="shared" si="140"/>
        <v>0</v>
      </c>
      <c r="W462" s="1">
        <f t="shared" si="141"/>
        <v>0</v>
      </c>
      <c r="X462" s="1">
        <f t="shared" si="142"/>
        <v>0</v>
      </c>
      <c r="Y462" s="1">
        <f t="shared" si="143"/>
        <v>0</v>
      </c>
      <c r="Z462" s="1">
        <f t="shared" si="144"/>
        <v>0</v>
      </c>
      <c r="AA462" s="1">
        <f t="shared" si="145"/>
        <v>0</v>
      </c>
      <c r="AB462" s="1">
        <f t="shared" si="146"/>
        <v>0</v>
      </c>
      <c r="AD462" s="1">
        <f t="shared" si="147"/>
        <v>0</v>
      </c>
      <c r="AE462" s="1">
        <f t="shared" si="148"/>
        <v>1</v>
      </c>
      <c r="AF462" s="1">
        <f t="shared" si="149"/>
        <v>0</v>
      </c>
      <c r="AG462" s="1">
        <f t="shared" si="150"/>
        <v>1</v>
      </c>
      <c r="AH462" s="1">
        <f t="shared" si="151"/>
        <v>0</v>
      </c>
      <c r="AI462" s="1">
        <f t="shared" si="152"/>
        <v>1</v>
      </c>
    </row>
    <row r="463" spans="1:35" s="1" customFormat="1" ht="14.25" customHeight="1" x14ac:dyDescent="0.25">
      <c r="A463" s="37">
        <v>1</v>
      </c>
      <c r="B463" s="37">
        <v>2</v>
      </c>
      <c r="C463" s="37">
        <v>7</v>
      </c>
      <c r="D463" s="36" t="s">
        <v>549</v>
      </c>
      <c r="E463" s="36" t="s">
        <v>28</v>
      </c>
      <c r="F463" s="36" t="s">
        <v>1835</v>
      </c>
      <c r="G463" s="36" t="s">
        <v>550</v>
      </c>
      <c r="H463" s="36" t="s">
        <v>352</v>
      </c>
      <c r="I463" s="37" t="s">
        <v>551</v>
      </c>
      <c r="J463" s="37">
        <v>99</v>
      </c>
      <c r="K463" s="33" t="s">
        <v>704</v>
      </c>
      <c r="L463" s="33" t="s">
        <v>704</v>
      </c>
      <c r="M463" s="34" t="s">
        <v>722</v>
      </c>
      <c r="N463" s="34" t="s">
        <v>1784</v>
      </c>
      <c r="O463" s="35">
        <v>1</v>
      </c>
      <c r="P463" s="35"/>
      <c r="Q463" s="36"/>
      <c r="S463" s="1">
        <f t="shared" si="137"/>
        <v>0</v>
      </c>
      <c r="T463" s="1">
        <f t="shared" si="138"/>
        <v>0</v>
      </c>
      <c r="U463" s="1">
        <f t="shared" si="139"/>
        <v>0</v>
      </c>
      <c r="V463" s="1">
        <f t="shared" si="140"/>
        <v>0</v>
      </c>
      <c r="W463" s="1">
        <f t="shared" si="141"/>
        <v>0</v>
      </c>
      <c r="X463" s="1">
        <f t="shared" si="142"/>
        <v>0</v>
      </c>
      <c r="Y463" s="1">
        <f t="shared" si="143"/>
        <v>0</v>
      </c>
      <c r="Z463" s="1">
        <f t="shared" si="144"/>
        <v>0</v>
      </c>
      <c r="AA463" s="1">
        <f t="shared" si="145"/>
        <v>0</v>
      </c>
      <c r="AB463" s="1">
        <f t="shared" si="146"/>
        <v>0</v>
      </c>
      <c r="AD463" s="1">
        <f t="shared" si="147"/>
        <v>0</v>
      </c>
      <c r="AE463" s="1">
        <f t="shared" si="148"/>
        <v>1</v>
      </c>
      <c r="AF463" s="1">
        <f t="shared" si="149"/>
        <v>0</v>
      </c>
      <c r="AG463" s="1">
        <f t="shared" si="150"/>
        <v>0</v>
      </c>
      <c r="AH463" s="1">
        <f t="shared" si="151"/>
        <v>0</v>
      </c>
      <c r="AI463" s="1">
        <f t="shared" si="152"/>
        <v>0</v>
      </c>
    </row>
    <row r="464" spans="1:35" s="1" customFormat="1" ht="14.25" customHeight="1" x14ac:dyDescent="0.25">
      <c r="A464" s="31">
        <v>0</v>
      </c>
      <c r="B464" s="31">
        <v>2</v>
      </c>
      <c r="C464" s="31">
        <v>7</v>
      </c>
      <c r="D464" s="32" t="s">
        <v>1160</v>
      </c>
      <c r="E464" s="32" t="s">
        <v>28</v>
      </c>
      <c r="F464" s="32" t="s">
        <v>1644</v>
      </c>
      <c r="G464" s="32" t="s">
        <v>234</v>
      </c>
      <c r="H464" s="32" t="s">
        <v>352</v>
      </c>
      <c r="I464" s="31" t="s">
        <v>1338</v>
      </c>
      <c r="J464" s="31">
        <v>99</v>
      </c>
      <c r="K464" s="33" t="s">
        <v>703</v>
      </c>
      <c r="L464" s="33" t="s">
        <v>704</v>
      </c>
      <c r="M464" s="34" t="s">
        <v>722</v>
      </c>
      <c r="N464" s="34" t="s">
        <v>1704</v>
      </c>
      <c r="O464" s="35">
        <v>1</v>
      </c>
      <c r="P464" s="35"/>
      <c r="Q464" s="32"/>
      <c r="S464" s="1">
        <f t="shared" si="137"/>
        <v>0</v>
      </c>
      <c r="T464" s="1">
        <f t="shared" si="138"/>
        <v>0</v>
      </c>
      <c r="U464" s="1">
        <f t="shared" si="139"/>
        <v>0</v>
      </c>
      <c r="V464" s="1">
        <f t="shared" si="140"/>
        <v>0</v>
      </c>
      <c r="W464" s="1">
        <f t="shared" si="141"/>
        <v>0</v>
      </c>
      <c r="X464" s="1">
        <f t="shared" si="142"/>
        <v>0</v>
      </c>
      <c r="Y464" s="1">
        <f t="shared" si="143"/>
        <v>0</v>
      </c>
      <c r="Z464" s="1">
        <f t="shared" si="144"/>
        <v>0</v>
      </c>
      <c r="AA464" s="1">
        <f t="shared" si="145"/>
        <v>0</v>
      </c>
      <c r="AB464" s="1">
        <f t="shared" si="146"/>
        <v>0</v>
      </c>
      <c r="AD464" s="1">
        <f t="shared" si="147"/>
        <v>0</v>
      </c>
      <c r="AE464" s="1">
        <f t="shared" si="148"/>
        <v>1</v>
      </c>
      <c r="AF464" s="1">
        <f t="shared" si="149"/>
        <v>0</v>
      </c>
      <c r="AG464" s="1">
        <f t="shared" si="150"/>
        <v>1</v>
      </c>
      <c r="AH464" s="1">
        <f t="shared" si="151"/>
        <v>0</v>
      </c>
      <c r="AI464" s="1">
        <f t="shared" si="152"/>
        <v>1</v>
      </c>
    </row>
    <row r="465" spans="1:35" s="1" customFormat="1" ht="14.25" customHeight="1" x14ac:dyDescent="0.25">
      <c r="A465" s="31">
        <v>1</v>
      </c>
      <c r="B465" s="31">
        <v>2</v>
      </c>
      <c r="C465" s="31">
        <v>7</v>
      </c>
      <c r="D465" s="32" t="s">
        <v>1160</v>
      </c>
      <c r="E465" s="32" t="s">
        <v>28</v>
      </c>
      <c r="F465" s="32" t="s">
        <v>1645</v>
      </c>
      <c r="G465" s="32" t="s">
        <v>1325</v>
      </c>
      <c r="H465" s="32" t="s">
        <v>352</v>
      </c>
      <c r="I465" s="31" t="s">
        <v>1339</v>
      </c>
      <c r="J465" s="31">
        <v>99</v>
      </c>
      <c r="K465" s="33" t="s">
        <v>703</v>
      </c>
      <c r="L465" s="33" t="s">
        <v>704</v>
      </c>
      <c r="M465" s="34" t="s">
        <v>722</v>
      </c>
      <c r="N465" s="34" t="s">
        <v>1704</v>
      </c>
      <c r="O465" s="35">
        <v>1</v>
      </c>
      <c r="P465" s="35"/>
      <c r="Q465" s="32"/>
      <c r="S465" s="1">
        <f t="shared" si="137"/>
        <v>0</v>
      </c>
      <c r="T465" s="1">
        <f t="shared" si="138"/>
        <v>0</v>
      </c>
      <c r="U465" s="1">
        <f t="shared" si="139"/>
        <v>0</v>
      </c>
      <c r="V465" s="1">
        <f t="shared" si="140"/>
        <v>0</v>
      </c>
      <c r="W465" s="1">
        <f t="shared" si="141"/>
        <v>0</v>
      </c>
      <c r="X465" s="1">
        <f t="shared" si="142"/>
        <v>0</v>
      </c>
      <c r="Y465" s="1">
        <f t="shared" si="143"/>
        <v>0</v>
      </c>
      <c r="Z465" s="1">
        <f t="shared" si="144"/>
        <v>0</v>
      </c>
      <c r="AA465" s="1">
        <f t="shared" si="145"/>
        <v>0</v>
      </c>
      <c r="AB465" s="1">
        <f t="shared" si="146"/>
        <v>0</v>
      </c>
      <c r="AD465" s="1">
        <f t="shared" si="147"/>
        <v>0</v>
      </c>
      <c r="AE465" s="1">
        <f t="shared" si="148"/>
        <v>1</v>
      </c>
      <c r="AF465" s="1">
        <f t="shared" si="149"/>
        <v>0</v>
      </c>
      <c r="AG465" s="1">
        <f t="shared" si="150"/>
        <v>0</v>
      </c>
      <c r="AH465" s="1">
        <f t="shared" si="151"/>
        <v>0</v>
      </c>
      <c r="AI465" s="1">
        <f t="shared" si="152"/>
        <v>0</v>
      </c>
    </row>
    <row r="466" spans="1:35" s="1" customFormat="1" ht="14.25" customHeight="1" x14ac:dyDescent="0.25">
      <c r="A466" s="31">
        <v>0</v>
      </c>
      <c r="B466" s="31">
        <v>2</v>
      </c>
      <c r="C466" s="31">
        <v>7</v>
      </c>
      <c r="D466" s="32" t="s">
        <v>1228</v>
      </c>
      <c r="E466" s="32" t="s">
        <v>28</v>
      </c>
      <c r="F466" s="32" t="s">
        <v>1227</v>
      </c>
      <c r="G466" s="32" t="s">
        <v>1212</v>
      </c>
      <c r="H466" s="32" t="s">
        <v>352</v>
      </c>
      <c r="I466" s="31" t="s">
        <v>1229</v>
      </c>
      <c r="J466" s="31">
        <v>99</v>
      </c>
      <c r="K466" s="33" t="s">
        <v>694</v>
      </c>
      <c r="L466" s="33" t="s">
        <v>704</v>
      </c>
      <c r="M466" s="34" t="s">
        <v>722</v>
      </c>
      <c r="N466" s="34" t="s">
        <v>1704</v>
      </c>
      <c r="O466" s="35">
        <v>1</v>
      </c>
      <c r="P466" s="35"/>
      <c r="Q466" s="32"/>
      <c r="S466" s="1">
        <f t="shared" si="137"/>
        <v>0</v>
      </c>
      <c r="T466" s="1">
        <f t="shared" si="138"/>
        <v>0</v>
      </c>
      <c r="U466" s="1">
        <f t="shared" si="139"/>
        <v>0</v>
      </c>
      <c r="V466" s="1">
        <f t="shared" si="140"/>
        <v>0</v>
      </c>
      <c r="W466" s="1">
        <f t="shared" si="141"/>
        <v>0</v>
      </c>
      <c r="X466" s="1">
        <f t="shared" si="142"/>
        <v>0</v>
      </c>
      <c r="Y466" s="1">
        <f t="shared" si="143"/>
        <v>0</v>
      </c>
      <c r="Z466" s="1">
        <f t="shared" si="144"/>
        <v>0</v>
      </c>
      <c r="AA466" s="1">
        <f t="shared" si="145"/>
        <v>0</v>
      </c>
      <c r="AB466" s="1">
        <f t="shared" si="146"/>
        <v>0</v>
      </c>
      <c r="AD466" s="1">
        <f t="shared" si="147"/>
        <v>0</v>
      </c>
      <c r="AE466" s="1">
        <f t="shared" si="148"/>
        <v>1</v>
      </c>
      <c r="AF466" s="1">
        <f t="shared" si="149"/>
        <v>0</v>
      </c>
      <c r="AG466" s="1">
        <f t="shared" si="150"/>
        <v>1</v>
      </c>
      <c r="AH466" s="1">
        <f t="shared" si="151"/>
        <v>0</v>
      </c>
      <c r="AI466" s="1">
        <f t="shared" si="152"/>
        <v>1</v>
      </c>
    </row>
    <row r="467" spans="1:35" s="1" customFormat="1" ht="14.25" customHeight="1" x14ac:dyDescent="0.25">
      <c r="A467" s="31">
        <v>1</v>
      </c>
      <c r="B467" s="31">
        <v>2</v>
      </c>
      <c r="C467" s="31">
        <v>7</v>
      </c>
      <c r="D467" s="32" t="s">
        <v>1228</v>
      </c>
      <c r="E467" s="32" t="s">
        <v>28</v>
      </c>
      <c r="F467" s="32" t="s">
        <v>1226</v>
      </c>
      <c r="G467" s="32" t="s">
        <v>39</v>
      </c>
      <c r="H467" s="32" t="s">
        <v>352</v>
      </c>
      <c r="I467" s="31" t="s">
        <v>1230</v>
      </c>
      <c r="J467" s="31">
        <v>9</v>
      </c>
      <c r="K467" s="33" t="s">
        <v>694</v>
      </c>
      <c r="L467" s="33" t="s">
        <v>704</v>
      </c>
      <c r="M467" s="34" t="s">
        <v>722</v>
      </c>
      <c r="N467" s="34" t="s">
        <v>1704</v>
      </c>
      <c r="O467" s="35">
        <v>1</v>
      </c>
      <c r="P467" s="35"/>
      <c r="Q467" s="32"/>
      <c r="S467" s="1">
        <f t="shared" si="137"/>
        <v>0</v>
      </c>
      <c r="T467" s="1">
        <f t="shared" si="138"/>
        <v>0</v>
      </c>
      <c r="U467" s="1">
        <f t="shared" si="139"/>
        <v>0</v>
      </c>
      <c r="V467" s="1">
        <f t="shared" si="140"/>
        <v>0</v>
      </c>
      <c r="W467" s="1">
        <f t="shared" si="141"/>
        <v>0</v>
      </c>
      <c r="X467" s="1">
        <f t="shared" si="142"/>
        <v>0</v>
      </c>
      <c r="Y467" s="1">
        <f t="shared" si="143"/>
        <v>0</v>
      </c>
      <c r="Z467" s="1">
        <f t="shared" si="144"/>
        <v>0</v>
      </c>
      <c r="AA467" s="1">
        <f t="shared" si="145"/>
        <v>1</v>
      </c>
      <c r="AB467" s="1">
        <f t="shared" si="146"/>
        <v>0</v>
      </c>
      <c r="AD467" s="1">
        <f t="shared" si="147"/>
        <v>0</v>
      </c>
      <c r="AE467" s="1">
        <f t="shared" si="148"/>
        <v>1</v>
      </c>
      <c r="AF467" s="1">
        <f t="shared" si="149"/>
        <v>0</v>
      </c>
      <c r="AG467" s="1">
        <f t="shared" si="150"/>
        <v>0</v>
      </c>
      <c r="AH467" s="1">
        <f t="shared" si="151"/>
        <v>0</v>
      </c>
      <c r="AI467" s="1">
        <f t="shared" si="152"/>
        <v>0</v>
      </c>
    </row>
    <row r="468" spans="1:35" s="1" customFormat="1" ht="14.25" customHeight="1" x14ac:dyDescent="0.25">
      <c r="A468" s="31">
        <v>1</v>
      </c>
      <c r="B468" s="31">
        <v>2</v>
      </c>
      <c r="C468" s="31">
        <v>7</v>
      </c>
      <c r="D468" s="32" t="s">
        <v>1228</v>
      </c>
      <c r="E468" s="32" t="s">
        <v>28</v>
      </c>
      <c r="F468" s="36" t="s">
        <v>1783</v>
      </c>
      <c r="G468" s="36" t="s">
        <v>257</v>
      </c>
      <c r="H468" s="32" t="s">
        <v>352</v>
      </c>
      <c r="I468" s="37" t="s">
        <v>30</v>
      </c>
      <c r="J468" s="31">
        <v>8</v>
      </c>
      <c r="K468" s="33" t="s">
        <v>694</v>
      </c>
      <c r="L468" s="33" t="s">
        <v>704</v>
      </c>
      <c r="M468" s="34" t="s">
        <v>722</v>
      </c>
      <c r="N468" s="34" t="s">
        <v>1704</v>
      </c>
      <c r="O468" s="35">
        <v>1</v>
      </c>
      <c r="P468" s="35"/>
      <c r="Q468" s="32"/>
      <c r="S468" s="1">
        <f t="shared" si="137"/>
        <v>0</v>
      </c>
      <c r="T468" s="1">
        <f t="shared" si="138"/>
        <v>0</v>
      </c>
      <c r="U468" s="1">
        <f t="shared" si="139"/>
        <v>0</v>
      </c>
      <c r="V468" s="1">
        <f t="shared" si="140"/>
        <v>0</v>
      </c>
      <c r="W468" s="1">
        <f t="shared" si="141"/>
        <v>0</v>
      </c>
      <c r="X468" s="1">
        <f t="shared" si="142"/>
        <v>0</v>
      </c>
      <c r="Y468" s="1">
        <f t="shared" si="143"/>
        <v>0</v>
      </c>
      <c r="Z468" s="1">
        <f t="shared" si="144"/>
        <v>1</v>
      </c>
      <c r="AA468" s="1">
        <f t="shared" si="145"/>
        <v>0</v>
      </c>
      <c r="AB468" s="1">
        <f t="shared" si="146"/>
        <v>0</v>
      </c>
      <c r="AD468" s="1">
        <f t="shared" si="147"/>
        <v>0</v>
      </c>
      <c r="AE468" s="1">
        <f t="shared" si="148"/>
        <v>1</v>
      </c>
      <c r="AF468" s="1">
        <f t="shared" si="149"/>
        <v>0</v>
      </c>
      <c r="AG468" s="1">
        <f t="shared" si="150"/>
        <v>0</v>
      </c>
      <c r="AH468" s="1">
        <f t="shared" si="151"/>
        <v>0</v>
      </c>
      <c r="AI468" s="1">
        <f t="shared" si="152"/>
        <v>0</v>
      </c>
    </row>
    <row r="469" spans="1:35" s="1" customFormat="1" ht="14.25" customHeight="1" x14ac:dyDescent="0.25">
      <c r="A469" s="31">
        <v>0</v>
      </c>
      <c r="B469" s="31">
        <v>2</v>
      </c>
      <c r="C469" s="31">
        <v>7</v>
      </c>
      <c r="D469" s="32" t="s">
        <v>51</v>
      </c>
      <c r="E469" s="32" t="s">
        <v>28</v>
      </c>
      <c r="F469" s="32" t="s">
        <v>666</v>
      </c>
      <c r="G469" s="32" t="s">
        <v>184</v>
      </c>
      <c r="H469" s="32" t="s">
        <v>352</v>
      </c>
      <c r="I469" s="31" t="s">
        <v>388</v>
      </c>
      <c r="J469" s="31">
        <v>99</v>
      </c>
      <c r="K469" s="33" t="s">
        <v>703</v>
      </c>
      <c r="L469" s="33" t="s">
        <v>704</v>
      </c>
      <c r="M469" s="34" t="s">
        <v>722</v>
      </c>
      <c r="N469" s="34" t="s">
        <v>1709</v>
      </c>
      <c r="O469" s="35">
        <v>1</v>
      </c>
      <c r="P469" s="35"/>
      <c r="Q469" s="32"/>
      <c r="S469" s="1">
        <f t="shared" si="137"/>
        <v>0</v>
      </c>
      <c r="T469" s="1">
        <f t="shared" si="138"/>
        <v>0</v>
      </c>
      <c r="U469" s="1">
        <f t="shared" si="139"/>
        <v>0</v>
      </c>
      <c r="V469" s="1">
        <f t="shared" si="140"/>
        <v>0</v>
      </c>
      <c r="W469" s="1">
        <f t="shared" si="141"/>
        <v>0</v>
      </c>
      <c r="X469" s="1">
        <f t="shared" si="142"/>
        <v>0</v>
      </c>
      <c r="Y469" s="1">
        <f t="shared" si="143"/>
        <v>0</v>
      </c>
      <c r="Z469" s="1">
        <f t="shared" si="144"/>
        <v>0</v>
      </c>
      <c r="AA469" s="1">
        <f t="shared" si="145"/>
        <v>0</v>
      </c>
      <c r="AB469" s="1">
        <f t="shared" si="146"/>
        <v>0</v>
      </c>
      <c r="AD469" s="1">
        <f t="shared" si="147"/>
        <v>0</v>
      </c>
      <c r="AE469" s="1">
        <f t="shared" si="148"/>
        <v>1</v>
      </c>
      <c r="AF469" s="1">
        <f t="shared" si="149"/>
        <v>0</v>
      </c>
      <c r="AG469" s="1">
        <f t="shared" si="150"/>
        <v>1</v>
      </c>
      <c r="AH469" s="1">
        <f t="shared" si="151"/>
        <v>0</v>
      </c>
      <c r="AI469" s="1">
        <f t="shared" si="152"/>
        <v>1</v>
      </c>
    </row>
    <row r="470" spans="1:35" s="1" customFormat="1" ht="14.25" customHeight="1" x14ac:dyDescent="0.25">
      <c r="A470" s="31">
        <v>0</v>
      </c>
      <c r="B470" s="31">
        <v>2</v>
      </c>
      <c r="C470" s="31">
        <v>7</v>
      </c>
      <c r="D470" s="32" t="s">
        <v>1062</v>
      </c>
      <c r="E470" s="32" t="s">
        <v>28</v>
      </c>
      <c r="F470" s="32" t="s">
        <v>979</v>
      </c>
      <c r="G470" s="32" t="s">
        <v>239</v>
      </c>
      <c r="H470" s="32" t="s">
        <v>352</v>
      </c>
      <c r="I470" s="31" t="s">
        <v>1087</v>
      </c>
      <c r="J470" s="31">
        <v>1</v>
      </c>
      <c r="K470" s="33" t="s">
        <v>703</v>
      </c>
      <c r="L470" s="33" t="s">
        <v>704</v>
      </c>
      <c r="M470" s="34" t="s">
        <v>722</v>
      </c>
      <c r="N470" s="34" t="s">
        <v>1704</v>
      </c>
      <c r="O470" s="35">
        <v>1</v>
      </c>
      <c r="P470" s="35"/>
      <c r="Q470" s="32"/>
      <c r="S470" s="1">
        <f t="shared" ref="S470:S513" si="159">IF(J470=$S$7,1,0)</f>
        <v>1</v>
      </c>
      <c r="T470" s="1">
        <f t="shared" ref="T470:T513" si="160">IF(J470=$T$7,1,0)</f>
        <v>0</v>
      </c>
      <c r="U470" s="1">
        <f t="shared" ref="U470:U513" si="161">IF(J470=$U$7,1,0)</f>
        <v>0</v>
      </c>
      <c r="V470" s="1">
        <f t="shared" ref="V470:V513" si="162">IF(J470=$V$7,1,0)</f>
        <v>0</v>
      </c>
      <c r="W470" s="1">
        <f t="shared" ref="W470:W513" si="163">IF(J470=$W$7,1,0)</f>
        <v>0</v>
      </c>
      <c r="X470" s="1">
        <f t="shared" ref="X470:X513" si="164">IF(J470=$X$7,1,0)</f>
        <v>0</v>
      </c>
      <c r="Y470" s="1">
        <f t="shared" ref="Y470:Y513" si="165">IF(J470=$Y$7,1,0)</f>
        <v>0</v>
      </c>
      <c r="Z470" s="1">
        <f t="shared" ref="Z470:Z513" si="166">IF(J470=$Z$7,1,0)</f>
        <v>0</v>
      </c>
      <c r="AA470" s="1">
        <f t="shared" ref="AA470:AA513" si="167">IF(J470=$AA$7,1,0)</f>
        <v>0</v>
      </c>
      <c r="AB470" s="1">
        <f t="shared" ref="AB470:AB513" si="168">IF(J470=$AB$7,1,0)</f>
        <v>0</v>
      </c>
      <c r="AD470" s="1">
        <f t="shared" ref="AD470:AD513" si="169">+O470*P470</f>
        <v>0</v>
      </c>
      <c r="AE470" s="1">
        <f t="shared" ref="AE470:AE513" si="170">O470*(1-P470)</f>
        <v>1</v>
      </c>
      <c r="AF470" s="1">
        <f t="shared" si="149"/>
        <v>0</v>
      </c>
      <c r="AG470" s="1">
        <f t="shared" si="150"/>
        <v>1</v>
      </c>
      <c r="AH470" s="1">
        <f t="shared" si="151"/>
        <v>0</v>
      </c>
      <c r="AI470" s="1">
        <f t="shared" si="152"/>
        <v>1</v>
      </c>
    </row>
    <row r="471" spans="1:35" s="1" customFormat="1" ht="14.25" customHeight="1" x14ac:dyDescent="0.25">
      <c r="A471" s="31">
        <v>1</v>
      </c>
      <c r="B471" s="31">
        <v>2</v>
      </c>
      <c r="C471" s="31">
        <v>7</v>
      </c>
      <c r="D471" s="32" t="s">
        <v>1062</v>
      </c>
      <c r="E471" s="32" t="s">
        <v>28</v>
      </c>
      <c r="F471" s="32" t="s">
        <v>980</v>
      </c>
      <c r="G471" s="32" t="s">
        <v>1080</v>
      </c>
      <c r="H471" s="32" t="s">
        <v>352</v>
      </c>
      <c r="I471" s="31" t="s">
        <v>1088</v>
      </c>
      <c r="J471" s="31">
        <v>1</v>
      </c>
      <c r="K471" s="33" t="s">
        <v>703</v>
      </c>
      <c r="L471" s="33" t="s">
        <v>704</v>
      </c>
      <c r="M471" s="34" t="s">
        <v>722</v>
      </c>
      <c r="N471" s="34" t="s">
        <v>1704</v>
      </c>
      <c r="O471" s="35">
        <v>1</v>
      </c>
      <c r="P471" s="35"/>
      <c r="Q471" s="32"/>
      <c r="S471" s="1">
        <f t="shared" si="159"/>
        <v>1</v>
      </c>
      <c r="T471" s="1">
        <f t="shared" si="160"/>
        <v>0</v>
      </c>
      <c r="U471" s="1">
        <f t="shared" si="161"/>
        <v>0</v>
      </c>
      <c r="V471" s="1">
        <f t="shared" si="162"/>
        <v>0</v>
      </c>
      <c r="W471" s="1">
        <f t="shared" si="163"/>
        <v>0</v>
      </c>
      <c r="X471" s="1">
        <f t="shared" si="164"/>
        <v>0</v>
      </c>
      <c r="Y471" s="1">
        <f t="shared" si="165"/>
        <v>0</v>
      </c>
      <c r="Z471" s="1">
        <f t="shared" si="166"/>
        <v>0</v>
      </c>
      <c r="AA471" s="1">
        <f t="shared" si="167"/>
        <v>0</v>
      </c>
      <c r="AB471" s="1">
        <f t="shared" si="168"/>
        <v>0</v>
      </c>
      <c r="AD471" s="1">
        <f t="shared" si="169"/>
        <v>0</v>
      </c>
      <c r="AE471" s="1">
        <f t="shared" si="170"/>
        <v>1</v>
      </c>
      <c r="AF471" s="1">
        <f t="shared" ref="AF471:AF513" si="171">+O471*P471*(1-A471)</f>
        <v>0</v>
      </c>
      <c r="AG471" s="1">
        <f t="shared" ref="AG471:AG513" si="172">O471*(1-P471)*(1-A471)</f>
        <v>0</v>
      </c>
      <c r="AH471" s="1">
        <f t="shared" ref="AH471:AH513" si="173">+P471*(1-A471)</f>
        <v>0</v>
      </c>
      <c r="AI471" s="1">
        <f t="shared" ref="AI471:AI513" si="174">+(1-A471)*(1-P471)</f>
        <v>0</v>
      </c>
    </row>
    <row r="472" spans="1:35" s="1" customFormat="1" ht="14.25" customHeight="1" x14ac:dyDescent="0.25">
      <c r="A472" s="31">
        <v>0</v>
      </c>
      <c r="B472" s="31">
        <v>2</v>
      </c>
      <c r="C472" s="31">
        <v>7</v>
      </c>
      <c r="D472" s="32" t="s">
        <v>1605</v>
      </c>
      <c r="E472" s="32" t="s">
        <v>155</v>
      </c>
      <c r="F472" s="32" t="s">
        <v>1460</v>
      </c>
      <c r="G472" s="32" t="s">
        <v>1461</v>
      </c>
      <c r="H472" s="32" t="s">
        <v>352</v>
      </c>
      <c r="I472" s="31" t="s">
        <v>1462</v>
      </c>
      <c r="J472" s="31">
        <v>99</v>
      </c>
      <c r="K472" s="33" t="s">
        <v>936</v>
      </c>
      <c r="L472" s="33" t="s">
        <v>713</v>
      </c>
      <c r="M472" s="34" t="s">
        <v>723</v>
      </c>
      <c r="N472" s="34" t="s">
        <v>1708</v>
      </c>
      <c r="O472" s="35">
        <v>1</v>
      </c>
      <c r="P472" s="35"/>
      <c r="Q472" s="32"/>
      <c r="S472" s="1">
        <f t="shared" si="159"/>
        <v>0</v>
      </c>
      <c r="T472" s="1">
        <f t="shared" si="160"/>
        <v>0</v>
      </c>
      <c r="U472" s="1">
        <f t="shared" si="161"/>
        <v>0</v>
      </c>
      <c r="V472" s="1">
        <f t="shared" si="162"/>
        <v>0</v>
      </c>
      <c r="W472" s="1">
        <f t="shared" si="163"/>
        <v>0</v>
      </c>
      <c r="X472" s="1">
        <f t="shared" si="164"/>
        <v>0</v>
      </c>
      <c r="Y472" s="1">
        <f t="shared" si="165"/>
        <v>0</v>
      </c>
      <c r="Z472" s="1">
        <f t="shared" si="166"/>
        <v>0</v>
      </c>
      <c r="AA472" s="1">
        <f t="shared" si="167"/>
        <v>0</v>
      </c>
      <c r="AB472" s="1">
        <f t="shared" si="168"/>
        <v>0</v>
      </c>
      <c r="AD472" s="1">
        <f t="shared" si="169"/>
        <v>0</v>
      </c>
      <c r="AE472" s="1">
        <f t="shared" si="170"/>
        <v>1</v>
      </c>
      <c r="AF472" s="1">
        <f t="shared" si="171"/>
        <v>0</v>
      </c>
      <c r="AG472" s="1">
        <f t="shared" si="172"/>
        <v>1</v>
      </c>
      <c r="AH472" s="1">
        <f t="shared" si="173"/>
        <v>0</v>
      </c>
      <c r="AI472" s="1">
        <f t="shared" si="174"/>
        <v>1</v>
      </c>
    </row>
    <row r="473" spans="1:35" s="1" customFormat="1" ht="14.25" customHeight="1" x14ac:dyDescent="0.25">
      <c r="A473" s="31">
        <v>0</v>
      </c>
      <c r="B473" s="31">
        <v>2</v>
      </c>
      <c r="C473" s="31">
        <v>7</v>
      </c>
      <c r="D473" s="32" t="s">
        <v>82</v>
      </c>
      <c r="E473" s="32" t="s">
        <v>28</v>
      </c>
      <c r="F473" s="32" t="s">
        <v>273</v>
      </c>
      <c r="G473" s="32" t="s">
        <v>274</v>
      </c>
      <c r="H473" s="32" t="s">
        <v>352</v>
      </c>
      <c r="I473" s="31" t="s">
        <v>427</v>
      </c>
      <c r="J473" s="31">
        <v>7</v>
      </c>
      <c r="K473" s="33" t="s">
        <v>936</v>
      </c>
      <c r="L473" s="33" t="s">
        <v>935</v>
      </c>
      <c r="M473" s="34" t="s">
        <v>949</v>
      </c>
      <c r="N473" s="34" t="s">
        <v>1808</v>
      </c>
      <c r="O473" s="35">
        <v>1</v>
      </c>
      <c r="P473" s="35"/>
      <c r="Q473" s="32"/>
      <c r="S473" s="1">
        <f t="shared" si="159"/>
        <v>0</v>
      </c>
      <c r="T473" s="1">
        <f t="shared" si="160"/>
        <v>0</v>
      </c>
      <c r="U473" s="1">
        <f t="shared" si="161"/>
        <v>0</v>
      </c>
      <c r="V473" s="1">
        <f t="shared" si="162"/>
        <v>0</v>
      </c>
      <c r="W473" s="1">
        <f t="shared" si="163"/>
        <v>0</v>
      </c>
      <c r="X473" s="1">
        <f t="shared" si="164"/>
        <v>0</v>
      </c>
      <c r="Y473" s="1">
        <f t="shared" si="165"/>
        <v>1</v>
      </c>
      <c r="Z473" s="1">
        <f t="shared" si="166"/>
        <v>0</v>
      </c>
      <c r="AA473" s="1">
        <f t="shared" si="167"/>
        <v>0</v>
      </c>
      <c r="AB473" s="1">
        <f t="shared" si="168"/>
        <v>0</v>
      </c>
      <c r="AD473" s="1">
        <f t="shared" si="169"/>
        <v>0</v>
      </c>
      <c r="AE473" s="1">
        <f t="shared" si="170"/>
        <v>1</v>
      </c>
      <c r="AF473" s="1">
        <f t="shared" si="171"/>
        <v>0</v>
      </c>
      <c r="AG473" s="1">
        <f t="shared" si="172"/>
        <v>1</v>
      </c>
      <c r="AH473" s="1">
        <f t="shared" si="173"/>
        <v>0</v>
      </c>
      <c r="AI473" s="1">
        <f t="shared" si="174"/>
        <v>1</v>
      </c>
    </row>
    <row r="474" spans="1:35" s="1" customFormat="1" ht="14.25" customHeight="1" x14ac:dyDescent="0.25">
      <c r="A474" s="31">
        <v>0</v>
      </c>
      <c r="B474" s="31">
        <v>2</v>
      </c>
      <c r="C474" s="31">
        <v>7</v>
      </c>
      <c r="D474" s="32" t="s">
        <v>76</v>
      </c>
      <c r="E474" s="32" t="s">
        <v>28</v>
      </c>
      <c r="F474" s="32" t="s">
        <v>1647</v>
      </c>
      <c r="G474" s="32" t="s">
        <v>189</v>
      </c>
      <c r="H474" s="32" t="s">
        <v>352</v>
      </c>
      <c r="I474" s="31" t="s">
        <v>421</v>
      </c>
      <c r="J474" s="31">
        <v>99</v>
      </c>
      <c r="K474" s="33" t="s">
        <v>935</v>
      </c>
      <c r="L474" s="33" t="s">
        <v>704</v>
      </c>
      <c r="M474" s="34" t="s">
        <v>722</v>
      </c>
      <c r="N474" s="34" t="s">
        <v>1704</v>
      </c>
      <c r="O474" s="35">
        <v>1</v>
      </c>
      <c r="P474" s="35"/>
      <c r="Q474" s="32"/>
      <c r="S474" s="1">
        <f t="shared" si="159"/>
        <v>0</v>
      </c>
      <c r="T474" s="1">
        <f t="shared" si="160"/>
        <v>0</v>
      </c>
      <c r="U474" s="1">
        <f t="shared" si="161"/>
        <v>0</v>
      </c>
      <c r="V474" s="1">
        <f t="shared" si="162"/>
        <v>0</v>
      </c>
      <c r="W474" s="1">
        <f t="shared" si="163"/>
        <v>0</v>
      </c>
      <c r="X474" s="1">
        <f t="shared" si="164"/>
        <v>0</v>
      </c>
      <c r="Y474" s="1">
        <f t="shared" si="165"/>
        <v>0</v>
      </c>
      <c r="Z474" s="1">
        <f t="shared" si="166"/>
        <v>0</v>
      </c>
      <c r="AA474" s="1">
        <f t="shared" si="167"/>
        <v>0</v>
      </c>
      <c r="AB474" s="1">
        <f t="shared" si="168"/>
        <v>0</v>
      </c>
      <c r="AD474" s="1">
        <f t="shared" si="169"/>
        <v>0</v>
      </c>
      <c r="AE474" s="1">
        <f t="shared" si="170"/>
        <v>1</v>
      </c>
      <c r="AF474" s="1">
        <f t="shared" si="171"/>
        <v>0</v>
      </c>
      <c r="AG474" s="1">
        <f t="shared" si="172"/>
        <v>1</v>
      </c>
      <c r="AH474" s="1">
        <f t="shared" si="173"/>
        <v>0</v>
      </c>
      <c r="AI474" s="1">
        <f t="shared" si="174"/>
        <v>1</v>
      </c>
    </row>
    <row r="475" spans="1:35" s="1" customFormat="1" ht="14.25" customHeight="1" x14ac:dyDescent="0.25">
      <c r="A475" s="31">
        <v>0</v>
      </c>
      <c r="B475" s="31">
        <v>2</v>
      </c>
      <c r="C475" s="31">
        <v>7</v>
      </c>
      <c r="D475" s="36" t="s">
        <v>1985</v>
      </c>
      <c r="E475" s="32" t="s">
        <v>1989</v>
      </c>
      <c r="F475" s="36" t="s">
        <v>1986</v>
      </c>
      <c r="G475" s="36" t="s">
        <v>1987</v>
      </c>
      <c r="H475" s="36" t="s">
        <v>352</v>
      </c>
      <c r="I475" s="37" t="s">
        <v>1988</v>
      </c>
      <c r="J475" s="31">
        <v>99</v>
      </c>
      <c r="K475" s="33" t="s">
        <v>694</v>
      </c>
      <c r="L475" s="33">
        <v>20</v>
      </c>
      <c r="M475" s="34" t="s">
        <v>1991</v>
      </c>
      <c r="N475" s="34" t="s">
        <v>1708</v>
      </c>
      <c r="O475" s="35">
        <v>1</v>
      </c>
      <c r="P475" s="35"/>
      <c r="Q475" s="36" t="s">
        <v>1990</v>
      </c>
      <c r="S475" s="1">
        <f t="shared" si="159"/>
        <v>0</v>
      </c>
      <c r="T475" s="1">
        <f t="shared" si="160"/>
        <v>0</v>
      </c>
      <c r="U475" s="1">
        <f t="shared" si="161"/>
        <v>0</v>
      </c>
      <c r="V475" s="1">
        <f t="shared" si="162"/>
        <v>0</v>
      </c>
      <c r="W475" s="1">
        <f t="shared" si="163"/>
        <v>0</v>
      </c>
      <c r="X475" s="1">
        <f t="shared" si="164"/>
        <v>0</v>
      </c>
      <c r="Y475" s="1">
        <f t="shared" si="165"/>
        <v>0</v>
      </c>
      <c r="Z475" s="1">
        <f t="shared" si="166"/>
        <v>0</v>
      </c>
      <c r="AA475" s="1">
        <f t="shared" si="167"/>
        <v>0</v>
      </c>
      <c r="AB475" s="1">
        <f t="shared" si="168"/>
        <v>0</v>
      </c>
      <c r="AD475" s="1">
        <f t="shared" si="169"/>
        <v>0</v>
      </c>
      <c r="AE475" s="1">
        <f t="shared" si="170"/>
        <v>1</v>
      </c>
      <c r="AF475" s="1">
        <f t="shared" si="171"/>
        <v>0</v>
      </c>
      <c r="AG475" s="1">
        <f t="shared" si="172"/>
        <v>1</v>
      </c>
      <c r="AH475" s="1">
        <f t="shared" si="173"/>
        <v>0</v>
      </c>
      <c r="AI475" s="1">
        <f t="shared" si="174"/>
        <v>1</v>
      </c>
    </row>
    <row r="476" spans="1:35" s="1" customFormat="1" ht="14.25" customHeight="1" x14ac:dyDescent="0.25">
      <c r="A476" s="31">
        <v>0</v>
      </c>
      <c r="B476" s="31">
        <v>2</v>
      </c>
      <c r="C476" s="31">
        <v>7</v>
      </c>
      <c r="D476" s="32" t="s">
        <v>1607</v>
      </c>
      <c r="E476" s="32" t="s">
        <v>162</v>
      </c>
      <c r="F476" s="32" t="s">
        <v>243</v>
      </c>
      <c r="G476" s="32" t="s">
        <v>217</v>
      </c>
      <c r="H476" s="32" t="s">
        <v>352</v>
      </c>
      <c r="I476" s="31" t="s">
        <v>406</v>
      </c>
      <c r="J476" s="31">
        <v>99</v>
      </c>
      <c r="K476" s="33" t="s">
        <v>704</v>
      </c>
      <c r="L476" s="33" t="s">
        <v>713</v>
      </c>
      <c r="M476" s="34" t="s">
        <v>723</v>
      </c>
      <c r="N476" s="34" t="s">
        <v>1693</v>
      </c>
      <c r="O476" s="35">
        <v>1</v>
      </c>
      <c r="P476" s="35">
        <v>1</v>
      </c>
      <c r="Q476" s="32"/>
      <c r="S476" s="1">
        <f t="shared" si="159"/>
        <v>0</v>
      </c>
      <c r="T476" s="1">
        <f t="shared" si="160"/>
        <v>0</v>
      </c>
      <c r="U476" s="1">
        <f t="shared" si="161"/>
        <v>0</v>
      </c>
      <c r="V476" s="1">
        <f t="shared" si="162"/>
        <v>0</v>
      </c>
      <c r="W476" s="1">
        <f t="shared" si="163"/>
        <v>0</v>
      </c>
      <c r="X476" s="1">
        <f t="shared" si="164"/>
        <v>0</v>
      </c>
      <c r="Y476" s="1">
        <f t="shared" si="165"/>
        <v>0</v>
      </c>
      <c r="Z476" s="1">
        <f t="shared" si="166"/>
        <v>0</v>
      </c>
      <c r="AA476" s="1">
        <f t="shared" si="167"/>
        <v>0</v>
      </c>
      <c r="AB476" s="1">
        <f t="shared" si="168"/>
        <v>0</v>
      </c>
      <c r="AD476" s="1">
        <f t="shared" si="169"/>
        <v>1</v>
      </c>
      <c r="AE476" s="1">
        <f t="shared" si="170"/>
        <v>0</v>
      </c>
      <c r="AF476" s="1">
        <f t="shared" si="171"/>
        <v>1</v>
      </c>
      <c r="AG476" s="1">
        <f t="shared" si="172"/>
        <v>0</v>
      </c>
      <c r="AH476" s="1">
        <f t="shared" si="173"/>
        <v>1</v>
      </c>
      <c r="AI476" s="1">
        <f t="shared" si="174"/>
        <v>0</v>
      </c>
    </row>
    <row r="477" spans="1:35" s="1" customFormat="1" ht="14.25" customHeight="1" x14ac:dyDescent="0.25">
      <c r="A477" s="31">
        <v>0</v>
      </c>
      <c r="B477" s="31">
        <v>2</v>
      </c>
      <c r="C477" s="31">
        <v>7</v>
      </c>
      <c r="D477" s="32" t="s">
        <v>1505</v>
      </c>
      <c r="E477" s="32" t="s">
        <v>155</v>
      </c>
      <c r="F477" s="32" t="s">
        <v>1506</v>
      </c>
      <c r="G477" s="32" t="s">
        <v>39</v>
      </c>
      <c r="H477" s="32" t="s">
        <v>352</v>
      </c>
      <c r="I477" s="31" t="s">
        <v>1507</v>
      </c>
      <c r="J477" s="31">
        <v>99</v>
      </c>
      <c r="K477" s="33" t="s">
        <v>704</v>
      </c>
      <c r="L477" s="33" t="s">
        <v>713</v>
      </c>
      <c r="M477" s="34" t="s">
        <v>723</v>
      </c>
      <c r="N477" s="34" t="s">
        <v>1708</v>
      </c>
      <c r="O477" s="35">
        <v>1</v>
      </c>
      <c r="P477" s="35"/>
      <c r="Q477" s="32"/>
      <c r="S477" s="1">
        <f t="shared" si="159"/>
        <v>0</v>
      </c>
      <c r="T477" s="1">
        <f t="shared" si="160"/>
        <v>0</v>
      </c>
      <c r="U477" s="1">
        <f t="shared" si="161"/>
        <v>0</v>
      </c>
      <c r="V477" s="1">
        <f t="shared" si="162"/>
        <v>0</v>
      </c>
      <c r="W477" s="1">
        <f t="shared" si="163"/>
        <v>0</v>
      </c>
      <c r="X477" s="1">
        <f t="shared" si="164"/>
        <v>0</v>
      </c>
      <c r="Y477" s="1">
        <f t="shared" si="165"/>
        <v>0</v>
      </c>
      <c r="Z477" s="1">
        <f t="shared" si="166"/>
        <v>0</v>
      </c>
      <c r="AA477" s="1">
        <f t="shared" si="167"/>
        <v>0</v>
      </c>
      <c r="AB477" s="1">
        <f t="shared" si="168"/>
        <v>0</v>
      </c>
      <c r="AD477" s="1">
        <f t="shared" si="169"/>
        <v>0</v>
      </c>
      <c r="AE477" s="1">
        <f t="shared" si="170"/>
        <v>1</v>
      </c>
      <c r="AF477" s="1">
        <f t="shared" si="171"/>
        <v>0</v>
      </c>
      <c r="AG477" s="1">
        <f t="shared" si="172"/>
        <v>1</v>
      </c>
      <c r="AH477" s="1">
        <f t="shared" si="173"/>
        <v>0</v>
      </c>
      <c r="AI477" s="1">
        <f t="shared" si="174"/>
        <v>1</v>
      </c>
    </row>
    <row r="478" spans="1:35" s="1" customFormat="1" ht="14.25" customHeight="1" x14ac:dyDescent="0.25">
      <c r="A478" s="31">
        <v>0</v>
      </c>
      <c r="B478" s="31">
        <v>2</v>
      </c>
      <c r="C478" s="31">
        <v>7</v>
      </c>
      <c r="D478" s="32" t="s">
        <v>66</v>
      </c>
      <c r="E478" s="32" t="s">
        <v>28</v>
      </c>
      <c r="F478" s="32" t="s">
        <v>955</v>
      </c>
      <c r="G478" s="32" t="s">
        <v>1082</v>
      </c>
      <c r="H478" s="32" t="s">
        <v>352</v>
      </c>
      <c r="I478" s="31" t="s">
        <v>1089</v>
      </c>
      <c r="J478" s="31">
        <v>99</v>
      </c>
      <c r="K478" s="33" t="s">
        <v>704</v>
      </c>
      <c r="L478" s="33" t="s">
        <v>704</v>
      </c>
      <c r="M478" s="34" t="s">
        <v>722</v>
      </c>
      <c r="N478" s="34" t="s">
        <v>1704</v>
      </c>
      <c r="O478" s="35">
        <v>1</v>
      </c>
      <c r="P478" s="35"/>
      <c r="Q478" s="32"/>
      <c r="S478" s="1">
        <f t="shared" si="159"/>
        <v>0</v>
      </c>
      <c r="T478" s="1">
        <f t="shared" si="160"/>
        <v>0</v>
      </c>
      <c r="U478" s="1">
        <f t="shared" si="161"/>
        <v>0</v>
      </c>
      <c r="V478" s="1">
        <f t="shared" si="162"/>
        <v>0</v>
      </c>
      <c r="W478" s="1">
        <f t="shared" si="163"/>
        <v>0</v>
      </c>
      <c r="X478" s="1">
        <f t="shared" si="164"/>
        <v>0</v>
      </c>
      <c r="Y478" s="1">
        <f t="shared" si="165"/>
        <v>0</v>
      </c>
      <c r="Z478" s="1">
        <f t="shared" si="166"/>
        <v>0</v>
      </c>
      <c r="AA478" s="1">
        <f t="shared" si="167"/>
        <v>0</v>
      </c>
      <c r="AB478" s="1">
        <f t="shared" si="168"/>
        <v>0</v>
      </c>
      <c r="AD478" s="1">
        <f t="shared" si="169"/>
        <v>0</v>
      </c>
      <c r="AE478" s="1">
        <f t="shared" si="170"/>
        <v>1</v>
      </c>
      <c r="AF478" s="1">
        <f t="shared" si="171"/>
        <v>0</v>
      </c>
      <c r="AG478" s="1">
        <f t="shared" si="172"/>
        <v>1</v>
      </c>
      <c r="AH478" s="1">
        <f t="shared" si="173"/>
        <v>0</v>
      </c>
      <c r="AI478" s="1">
        <f t="shared" si="174"/>
        <v>1</v>
      </c>
    </row>
    <row r="479" spans="1:35" s="1" customFormat="1" ht="14.25" customHeight="1" x14ac:dyDescent="0.25">
      <c r="A479" s="31">
        <v>1</v>
      </c>
      <c r="B479" s="31">
        <v>2</v>
      </c>
      <c r="C479" s="31">
        <v>7</v>
      </c>
      <c r="D479" s="32" t="s">
        <v>66</v>
      </c>
      <c r="E479" s="32" t="s">
        <v>28</v>
      </c>
      <c r="F479" s="32" t="s">
        <v>244</v>
      </c>
      <c r="G479" s="32" t="s">
        <v>223</v>
      </c>
      <c r="H479" s="32" t="s">
        <v>352</v>
      </c>
      <c r="I479" s="31" t="s">
        <v>407</v>
      </c>
      <c r="J479" s="31">
        <v>99</v>
      </c>
      <c r="K479" s="33" t="s">
        <v>704</v>
      </c>
      <c r="L479" s="33" t="s">
        <v>704</v>
      </c>
      <c r="M479" s="34" t="s">
        <v>722</v>
      </c>
      <c r="N479" s="34" t="s">
        <v>1704</v>
      </c>
      <c r="O479" s="35">
        <v>1</v>
      </c>
      <c r="P479" s="35"/>
      <c r="Q479" s="32"/>
      <c r="S479" s="1">
        <f t="shared" si="159"/>
        <v>0</v>
      </c>
      <c r="T479" s="1">
        <f t="shared" si="160"/>
        <v>0</v>
      </c>
      <c r="U479" s="1">
        <f t="shared" si="161"/>
        <v>0</v>
      </c>
      <c r="V479" s="1">
        <f t="shared" si="162"/>
        <v>0</v>
      </c>
      <c r="W479" s="1">
        <f t="shared" si="163"/>
        <v>0</v>
      </c>
      <c r="X479" s="1">
        <f t="shared" si="164"/>
        <v>0</v>
      </c>
      <c r="Y479" s="1">
        <f t="shared" si="165"/>
        <v>0</v>
      </c>
      <c r="Z479" s="1">
        <f t="shared" si="166"/>
        <v>0</v>
      </c>
      <c r="AA479" s="1">
        <f t="shared" si="167"/>
        <v>0</v>
      </c>
      <c r="AB479" s="1">
        <f t="shared" si="168"/>
        <v>0</v>
      </c>
      <c r="AD479" s="1">
        <f t="shared" si="169"/>
        <v>0</v>
      </c>
      <c r="AE479" s="1">
        <f t="shared" si="170"/>
        <v>1</v>
      </c>
      <c r="AF479" s="1">
        <f t="shared" si="171"/>
        <v>0</v>
      </c>
      <c r="AG479" s="1">
        <f t="shared" si="172"/>
        <v>0</v>
      </c>
      <c r="AH479" s="1">
        <f t="shared" si="173"/>
        <v>0</v>
      </c>
      <c r="AI479" s="1">
        <f t="shared" si="174"/>
        <v>0</v>
      </c>
    </row>
    <row r="480" spans="1:35" s="1" customFormat="1" ht="14.25" customHeight="1" x14ac:dyDescent="0.25">
      <c r="A480" s="31">
        <v>1</v>
      </c>
      <c r="B480" s="31">
        <v>2</v>
      </c>
      <c r="C480" s="31">
        <v>7</v>
      </c>
      <c r="D480" s="32" t="s">
        <v>66</v>
      </c>
      <c r="E480" s="32" t="s">
        <v>28</v>
      </c>
      <c r="F480" s="32" t="s">
        <v>245</v>
      </c>
      <c r="G480" s="32" t="s">
        <v>219</v>
      </c>
      <c r="H480" s="32" t="s">
        <v>352</v>
      </c>
      <c r="I480" s="31" t="s">
        <v>408</v>
      </c>
      <c r="J480" s="31">
        <v>8</v>
      </c>
      <c r="K480" s="33" t="s">
        <v>704</v>
      </c>
      <c r="L480" s="33" t="s">
        <v>704</v>
      </c>
      <c r="M480" s="34" t="s">
        <v>722</v>
      </c>
      <c r="N480" s="34" t="s">
        <v>1704</v>
      </c>
      <c r="O480" s="35">
        <v>1</v>
      </c>
      <c r="P480" s="35"/>
      <c r="Q480" s="32" t="s">
        <v>1968</v>
      </c>
      <c r="S480" s="1">
        <f t="shared" si="159"/>
        <v>0</v>
      </c>
      <c r="T480" s="1">
        <f t="shared" si="160"/>
        <v>0</v>
      </c>
      <c r="U480" s="1">
        <f t="shared" si="161"/>
        <v>0</v>
      </c>
      <c r="V480" s="1">
        <f t="shared" si="162"/>
        <v>0</v>
      </c>
      <c r="W480" s="1">
        <f t="shared" si="163"/>
        <v>0</v>
      </c>
      <c r="X480" s="1">
        <f t="shared" si="164"/>
        <v>0</v>
      </c>
      <c r="Y480" s="1">
        <f t="shared" si="165"/>
        <v>0</v>
      </c>
      <c r="Z480" s="1">
        <f t="shared" si="166"/>
        <v>1</v>
      </c>
      <c r="AA480" s="1">
        <f t="shared" si="167"/>
        <v>0</v>
      </c>
      <c r="AB480" s="1">
        <f t="shared" si="168"/>
        <v>0</v>
      </c>
      <c r="AD480" s="1">
        <f t="shared" si="169"/>
        <v>0</v>
      </c>
      <c r="AE480" s="1">
        <f t="shared" si="170"/>
        <v>1</v>
      </c>
      <c r="AF480" s="1">
        <f t="shared" si="171"/>
        <v>0</v>
      </c>
      <c r="AG480" s="1">
        <f t="shared" si="172"/>
        <v>0</v>
      </c>
      <c r="AH480" s="1">
        <f t="shared" si="173"/>
        <v>0</v>
      </c>
      <c r="AI480" s="1">
        <f t="shared" si="174"/>
        <v>0</v>
      </c>
    </row>
    <row r="481" spans="1:35" s="1" customFormat="1" ht="14.25" customHeight="1" x14ac:dyDescent="0.25">
      <c r="A481" s="31">
        <v>1</v>
      </c>
      <c r="B481" s="31">
        <v>2</v>
      </c>
      <c r="C481" s="31">
        <v>7</v>
      </c>
      <c r="D481" s="32" t="s">
        <v>66</v>
      </c>
      <c r="E481" s="32" t="s">
        <v>28</v>
      </c>
      <c r="F481" s="32" t="s">
        <v>1015</v>
      </c>
      <c r="G481" s="32" t="s">
        <v>39</v>
      </c>
      <c r="H481" s="32" t="s">
        <v>352</v>
      </c>
      <c r="I481" s="31" t="s">
        <v>1016</v>
      </c>
      <c r="J481" s="31">
        <v>1</v>
      </c>
      <c r="K481" s="33" t="s">
        <v>704</v>
      </c>
      <c r="L481" s="33" t="s">
        <v>704</v>
      </c>
      <c r="M481" s="34" t="s">
        <v>722</v>
      </c>
      <c r="N481" s="34" t="s">
        <v>1704</v>
      </c>
      <c r="O481" s="35">
        <v>1</v>
      </c>
      <c r="P481" s="35"/>
      <c r="Q481" s="32"/>
      <c r="S481" s="1">
        <f t="shared" si="159"/>
        <v>1</v>
      </c>
      <c r="T481" s="1">
        <f t="shared" si="160"/>
        <v>0</v>
      </c>
      <c r="U481" s="1">
        <f t="shared" si="161"/>
        <v>0</v>
      </c>
      <c r="V481" s="1">
        <f t="shared" si="162"/>
        <v>0</v>
      </c>
      <c r="W481" s="1">
        <f t="shared" si="163"/>
        <v>0</v>
      </c>
      <c r="X481" s="1">
        <f t="shared" si="164"/>
        <v>0</v>
      </c>
      <c r="Y481" s="1">
        <f t="shared" si="165"/>
        <v>0</v>
      </c>
      <c r="Z481" s="1">
        <f t="shared" si="166"/>
        <v>0</v>
      </c>
      <c r="AA481" s="1">
        <f t="shared" si="167"/>
        <v>0</v>
      </c>
      <c r="AB481" s="1">
        <f t="shared" si="168"/>
        <v>0</v>
      </c>
      <c r="AD481" s="1">
        <f t="shared" si="169"/>
        <v>0</v>
      </c>
      <c r="AE481" s="1">
        <f t="shared" si="170"/>
        <v>1</v>
      </c>
      <c r="AF481" s="1">
        <f t="shared" si="171"/>
        <v>0</v>
      </c>
      <c r="AG481" s="1">
        <f t="shared" si="172"/>
        <v>0</v>
      </c>
      <c r="AH481" s="1">
        <f t="shared" si="173"/>
        <v>0</v>
      </c>
      <c r="AI481" s="1">
        <f t="shared" si="174"/>
        <v>0</v>
      </c>
    </row>
    <row r="482" spans="1:35" s="1" customFormat="1" ht="14.25" customHeight="1" x14ac:dyDescent="0.25">
      <c r="A482" s="31">
        <v>1</v>
      </c>
      <c r="B482" s="31">
        <v>2</v>
      </c>
      <c r="C482" s="31">
        <v>7</v>
      </c>
      <c r="D482" s="32" t="s">
        <v>66</v>
      </c>
      <c r="E482" s="32" t="s">
        <v>28</v>
      </c>
      <c r="F482" s="32" t="s">
        <v>1017</v>
      </c>
      <c r="G482" s="32" t="s">
        <v>300</v>
      </c>
      <c r="H482" s="32" t="s">
        <v>352</v>
      </c>
      <c r="I482" s="31" t="s">
        <v>1018</v>
      </c>
      <c r="J482" s="31">
        <v>1</v>
      </c>
      <c r="K482" s="33" t="s">
        <v>704</v>
      </c>
      <c r="L482" s="33" t="s">
        <v>704</v>
      </c>
      <c r="M482" s="34" t="s">
        <v>722</v>
      </c>
      <c r="N482" s="34" t="s">
        <v>1704</v>
      </c>
      <c r="O482" s="35">
        <v>1</v>
      </c>
      <c r="P482" s="35"/>
      <c r="Q482" s="32"/>
      <c r="S482" s="1">
        <f t="shared" si="159"/>
        <v>1</v>
      </c>
      <c r="T482" s="1">
        <f t="shared" si="160"/>
        <v>0</v>
      </c>
      <c r="U482" s="1">
        <f t="shared" si="161"/>
        <v>0</v>
      </c>
      <c r="V482" s="1">
        <f t="shared" si="162"/>
        <v>0</v>
      </c>
      <c r="W482" s="1">
        <f t="shared" si="163"/>
        <v>0</v>
      </c>
      <c r="X482" s="1">
        <f t="shared" si="164"/>
        <v>0</v>
      </c>
      <c r="Y482" s="1">
        <f t="shared" si="165"/>
        <v>0</v>
      </c>
      <c r="Z482" s="1">
        <f t="shared" si="166"/>
        <v>0</v>
      </c>
      <c r="AA482" s="1">
        <f t="shared" si="167"/>
        <v>0</v>
      </c>
      <c r="AB482" s="1">
        <f t="shared" si="168"/>
        <v>0</v>
      </c>
      <c r="AD482" s="1">
        <f t="shared" si="169"/>
        <v>0</v>
      </c>
      <c r="AE482" s="1">
        <f t="shared" si="170"/>
        <v>1</v>
      </c>
      <c r="AF482" s="1">
        <f t="shared" si="171"/>
        <v>0</v>
      </c>
      <c r="AG482" s="1">
        <f t="shared" si="172"/>
        <v>0</v>
      </c>
      <c r="AH482" s="1">
        <f t="shared" si="173"/>
        <v>0</v>
      </c>
      <c r="AI482" s="1">
        <f t="shared" si="174"/>
        <v>0</v>
      </c>
    </row>
    <row r="483" spans="1:35" s="1" customFormat="1" ht="14.25" customHeight="1" x14ac:dyDescent="0.25">
      <c r="A483" s="15">
        <v>0</v>
      </c>
      <c r="B483" s="15">
        <v>2</v>
      </c>
      <c r="C483" s="15">
        <v>7</v>
      </c>
      <c r="D483" s="20" t="s">
        <v>1540</v>
      </c>
      <c r="E483" s="20" t="s">
        <v>155</v>
      </c>
      <c r="F483" s="20" t="s">
        <v>1541</v>
      </c>
      <c r="G483" s="16" t="s">
        <v>206</v>
      </c>
      <c r="H483" s="20" t="s">
        <v>352</v>
      </c>
      <c r="I483" s="21" t="s">
        <v>1542</v>
      </c>
      <c r="J483" s="15">
        <v>99</v>
      </c>
      <c r="K483" s="10" t="s">
        <v>703</v>
      </c>
      <c r="L483" s="10" t="s">
        <v>713</v>
      </c>
      <c r="M483" s="19" t="s">
        <v>723</v>
      </c>
      <c r="N483" s="17"/>
      <c r="Q483" s="16"/>
      <c r="S483" s="1">
        <f t="shared" si="159"/>
        <v>0</v>
      </c>
      <c r="T483" s="1">
        <f t="shared" si="160"/>
        <v>0</v>
      </c>
      <c r="U483" s="1">
        <f t="shared" si="161"/>
        <v>0</v>
      </c>
      <c r="V483" s="1">
        <f t="shared" si="162"/>
        <v>0</v>
      </c>
      <c r="W483" s="1">
        <f t="shared" si="163"/>
        <v>0</v>
      </c>
      <c r="X483" s="1">
        <f t="shared" si="164"/>
        <v>0</v>
      </c>
      <c r="Y483" s="1">
        <f t="shared" si="165"/>
        <v>0</v>
      </c>
      <c r="Z483" s="1">
        <f t="shared" si="166"/>
        <v>0</v>
      </c>
      <c r="AA483" s="1">
        <f t="shared" si="167"/>
        <v>0</v>
      </c>
      <c r="AB483" s="1">
        <f t="shared" si="168"/>
        <v>0</v>
      </c>
      <c r="AD483" s="1">
        <f t="shared" si="169"/>
        <v>0</v>
      </c>
      <c r="AE483" s="1">
        <f t="shared" si="170"/>
        <v>0</v>
      </c>
      <c r="AF483" s="1">
        <f t="shared" si="171"/>
        <v>0</v>
      </c>
      <c r="AG483" s="1">
        <f t="shared" si="172"/>
        <v>0</v>
      </c>
      <c r="AH483" s="1">
        <f t="shared" si="173"/>
        <v>0</v>
      </c>
      <c r="AI483" s="1">
        <f t="shared" si="174"/>
        <v>1</v>
      </c>
    </row>
    <row r="484" spans="1:35" s="1" customFormat="1" ht="14.25" customHeight="1" x14ac:dyDescent="0.25">
      <c r="A484" s="31">
        <v>0</v>
      </c>
      <c r="B484" s="31">
        <v>2</v>
      </c>
      <c r="C484" s="31">
        <v>7</v>
      </c>
      <c r="D484" s="32" t="s">
        <v>73</v>
      </c>
      <c r="E484" s="32" t="s">
        <v>28</v>
      </c>
      <c r="F484" s="32" t="s">
        <v>263</v>
      </c>
      <c r="G484" s="32" t="s">
        <v>193</v>
      </c>
      <c r="H484" s="32" t="s">
        <v>352</v>
      </c>
      <c r="I484" s="31" t="s">
        <v>419</v>
      </c>
      <c r="J484" s="31">
        <v>9</v>
      </c>
      <c r="K484" s="33" t="s">
        <v>703</v>
      </c>
      <c r="L484" s="33" t="s">
        <v>704</v>
      </c>
      <c r="M484" s="34" t="s">
        <v>722</v>
      </c>
      <c r="N484" s="34" t="s">
        <v>1704</v>
      </c>
      <c r="O484" s="35">
        <v>1</v>
      </c>
      <c r="P484" s="35"/>
      <c r="Q484" s="32"/>
      <c r="S484" s="1">
        <f t="shared" si="159"/>
        <v>0</v>
      </c>
      <c r="T484" s="1">
        <f t="shared" si="160"/>
        <v>0</v>
      </c>
      <c r="U484" s="1">
        <f t="shared" si="161"/>
        <v>0</v>
      </c>
      <c r="V484" s="1">
        <f t="shared" si="162"/>
        <v>0</v>
      </c>
      <c r="W484" s="1">
        <f t="shared" si="163"/>
        <v>0</v>
      </c>
      <c r="X484" s="1">
        <f t="shared" si="164"/>
        <v>0</v>
      </c>
      <c r="Y484" s="1">
        <f t="shared" si="165"/>
        <v>0</v>
      </c>
      <c r="Z484" s="1">
        <f t="shared" si="166"/>
        <v>0</v>
      </c>
      <c r="AA484" s="1">
        <f t="shared" si="167"/>
        <v>1</v>
      </c>
      <c r="AB484" s="1">
        <f t="shared" si="168"/>
        <v>0</v>
      </c>
      <c r="AD484" s="1">
        <f t="shared" si="169"/>
        <v>0</v>
      </c>
      <c r="AE484" s="1">
        <f t="shared" si="170"/>
        <v>1</v>
      </c>
      <c r="AF484" s="1">
        <f t="shared" si="171"/>
        <v>0</v>
      </c>
      <c r="AG484" s="1">
        <f t="shared" si="172"/>
        <v>1</v>
      </c>
      <c r="AH484" s="1">
        <f t="shared" si="173"/>
        <v>0</v>
      </c>
      <c r="AI484" s="1">
        <f t="shared" si="174"/>
        <v>1</v>
      </c>
    </row>
    <row r="485" spans="1:35" s="1" customFormat="1" ht="14.25" customHeight="1" x14ac:dyDescent="0.25">
      <c r="A485" s="31">
        <v>0</v>
      </c>
      <c r="B485" s="31">
        <v>2</v>
      </c>
      <c r="C485" s="31">
        <v>7</v>
      </c>
      <c r="D485" s="32" t="s">
        <v>59</v>
      </c>
      <c r="E485" s="32" t="s">
        <v>162</v>
      </c>
      <c r="F485" s="32" t="s">
        <v>224</v>
      </c>
      <c r="G485" s="32" t="s">
        <v>225</v>
      </c>
      <c r="H485" s="32" t="s">
        <v>352</v>
      </c>
      <c r="I485" s="31" t="s">
        <v>396</v>
      </c>
      <c r="J485" s="31">
        <v>99</v>
      </c>
      <c r="K485" s="33" t="s">
        <v>704</v>
      </c>
      <c r="L485" s="33" t="s">
        <v>713</v>
      </c>
      <c r="M485" s="34" t="s">
        <v>723</v>
      </c>
      <c r="N485" s="34" t="s">
        <v>1710</v>
      </c>
      <c r="O485" s="35">
        <v>1</v>
      </c>
      <c r="P485" s="35"/>
      <c r="Q485" s="32"/>
      <c r="S485" s="1">
        <f t="shared" si="159"/>
        <v>0</v>
      </c>
      <c r="T485" s="1">
        <f t="shared" si="160"/>
        <v>0</v>
      </c>
      <c r="U485" s="1">
        <f t="shared" si="161"/>
        <v>0</v>
      </c>
      <c r="V485" s="1">
        <f t="shared" si="162"/>
        <v>0</v>
      </c>
      <c r="W485" s="1">
        <f t="shared" si="163"/>
        <v>0</v>
      </c>
      <c r="X485" s="1">
        <f t="shared" si="164"/>
        <v>0</v>
      </c>
      <c r="Y485" s="1">
        <f t="shared" si="165"/>
        <v>0</v>
      </c>
      <c r="Z485" s="1">
        <f t="shared" si="166"/>
        <v>0</v>
      </c>
      <c r="AA485" s="1">
        <f t="shared" si="167"/>
        <v>0</v>
      </c>
      <c r="AB485" s="1">
        <f t="shared" si="168"/>
        <v>0</v>
      </c>
      <c r="AD485" s="1">
        <f t="shared" si="169"/>
        <v>0</v>
      </c>
      <c r="AE485" s="1">
        <f t="shared" si="170"/>
        <v>1</v>
      </c>
      <c r="AF485" s="1">
        <f t="shared" si="171"/>
        <v>0</v>
      </c>
      <c r="AG485" s="1">
        <f t="shared" si="172"/>
        <v>1</v>
      </c>
      <c r="AH485" s="1">
        <f t="shared" si="173"/>
        <v>0</v>
      </c>
      <c r="AI485" s="1">
        <f t="shared" si="174"/>
        <v>1</v>
      </c>
    </row>
    <row r="486" spans="1:35" s="1" customFormat="1" ht="14.25" customHeight="1" x14ac:dyDescent="0.25">
      <c r="A486" s="31">
        <v>0</v>
      </c>
      <c r="B486" s="31">
        <v>2</v>
      </c>
      <c r="C486" s="31">
        <v>7</v>
      </c>
      <c r="D486" s="32" t="s">
        <v>1056</v>
      </c>
      <c r="E486" s="32" t="s">
        <v>155</v>
      </c>
      <c r="F486" s="32" t="s">
        <v>1057</v>
      </c>
      <c r="G486" s="32" t="s">
        <v>219</v>
      </c>
      <c r="H486" s="32" t="s">
        <v>352</v>
      </c>
      <c r="I486" s="31" t="s">
        <v>1058</v>
      </c>
      <c r="J486" s="31">
        <v>8</v>
      </c>
      <c r="K486" s="33" t="s">
        <v>703</v>
      </c>
      <c r="L486" s="33" t="s">
        <v>713</v>
      </c>
      <c r="M486" s="34" t="s">
        <v>723</v>
      </c>
      <c r="N486" s="34" t="s">
        <v>1708</v>
      </c>
      <c r="O486" s="35">
        <v>1</v>
      </c>
      <c r="P486" s="35"/>
      <c r="Q486" s="32"/>
      <c r="S486" s="1">
        <f t="shared" si="159"/>
        <v>0</v>
      </c>
      <c r="T486" s="1">
        <f t="shared" si="160"/>
        <v>0</v>
      </c>
      <c r="U486" s="1">
        <f t="shared" si="161"/>
        <v>0</v>
      </c>
      <c r="V486" s="1">
        <f t="shared" si="162"/>
        <v>0</v>
      </c>
      <c r="W486" s="1">
        <f t="shared" si="163"/>
        <v>0</v>
      </c>
      <c r="X486" s="1">
        <f t="shared" si="164"/>
        <v>0</v>
      </c>
      <c r="Y486" s="1">
        <f t="shared" si="165"/>
        <v>0</v>
      </c>
      <c r="Z486" s="1">
        <f t="shared" si="166"/>
        <v>1</v>
      </c>
      <c r="AA486" s="1">
        <f t="shared" si="167"/>
        <v>0</v>
      </c>
      <c r="AB486" s="1">
        <f t="shared" si="168"/>
        <v>0</v>
      </c>
      <c r="AD486" s="1">
        <f t="shared" si="169"/>
        <v>0</v>
      </c>
      <c r="AE486" s="1">
        <f t="shared" si="170"/>
        <v>1</v>
      </c>
      <c r="AF486" s="1">
        <f t="shared" si="171"/>
        <v>0</v>
      </c>
      <c r="AG486" s="1">
        <f t="shared" si="172"/>
        <v>1</v>
      </c>
      <c r="AH486" s="1">
        <f t="shared" si="173"/>
        <v>0</v>
      </c>
      <c r="AI486" s="1">
        <f t="shared" si="174"/>
        <v>1</v>
      </c>
    </row>
    <row r="487" spans="1:35" s="1" customFormat="1" ht="14.25" customHeight="1" x14ac:dyDescent="0.25">
      <c r="A487" s="31">
        <v>0</v>
      </c>
      <c r="B487" s="31">
        <v>2</v>
      </c>
      <c r="C487" s="31">
        <v>7</v>
      </c>
      <c r="D487" s="32" t="s">
        <v>81</v>
      </c>
      <c r="E487" s="32" t="s">
        <v>155</v>
      </c>
      <c r="F487" s="32" t="s">
        <v>272</v>
      </c>
      <c r="G487" s="32" t="s">
        <v>253</v>
      </c>
      <c r="H487" s="32" t="s">
        <v>352</v>
      </c>
      <c r="I487" s="31" t="s">
        <v>426</v>
      </c>
      <c r="J487" s="31">
        <v>99</v>
      </c>
      <c r="K487" s="33" t="s">
        <v>704</v>
      </c>
      <c r="L487" s="33" t="s">
        <v>724</v>
      </c>
      <c r="M487" s="34" t="s">
        <v>725</v>
      </c>
      <c r="N487" s="34" t="s">
        <v>1716</v>
      </c>
      <c r="O487" s="35">
        <v>1</v>
      </c>
      <c r="P487" s="35"/>
      <c r="Q487" s="32"/>
      <c r="S487" s="1">
        <f t="shared" si="159"/>
        <v>0</v>
      </c>
      <c r="T487" s="1">
        <f t="shared" si="160"/>
        <v>0</v>
      </c>
      <c r="U487" s="1">
        <f t="shared" si="161"/>
        <v>0</v>
      </c>
      <c r="V487" s="1">
        <f t="shared" si="162"/>
        <v>0</v>
      </c>
      <c r="W487" s="1">
        <f t="shared" si="163"/>
        <v>0</v>
      </c>
      <c r="X487" s="1">
        <f t="shared" si="164"/>
        <v>0</v>
      </c>
      <c r="Y487" s="1">
        <f t="shared" si="165"/>
        <v>0</v>
      </c>
      <c r="Z487" s="1">
        <f t="shared" si="166"/>
        <v>0</v>
      </c>
      <c r="AA487" s="1">
        <f t="shared" si="167"/>
        <v>0</v>
      </c>
      <c r="AB487" s="1">
        <f t="shared" si="168"/>
        <v>0</v>
      </c>
      <c r="AD487" s="1">
        <f t="shared" si="169"/>
        <v>0</v>
      </c>
      <c r="AE487" s="1">
        <f t="shared" si="170"/>
        <v>1</v>
      </c>
      <c r="AF487" s="1">
        <f t="shared" si="171"/>
        <v>0</v>
      </c>
      <c r="AG487" s="1">
        <f t="shared" si="172"/>
        <v>1</v>
      </c>
      <c r="AH487" s="1">
        <f t="shared" si="173"/>
        <v>0</v>
      </c>
      <c r="AI487" s="1">
        <f t="shared" si="174"/>
        <v>1</v>
      </c>
    </row>
    <row r="488" spans="1:35" s="1" customFormat="1" ht="14.25" customHeight="1" x14ac:dyDescent="0.25">
      <c r="A488" s="37">
        <v>0</v>
      </c>
      <c r="B488" s="37">
        <v>2</v>
      </c>
      <c r="C488" s="37">
        <v>7</v>
      </c>
      <c r="D488" s="36" t="s">
        <v>1735</v>
      </c>
      <c r="E488" s="36" t="s">
        <v>1736</v>
      </c>
      <c r="F488" s="36" t="s">
        <v>1737</v>
      </c>
      <c r="G488" s="36" t="s">
        <v>189</v>
      </c>
      <c r="H488" s="36" t="s">
        <v>352</v>
      </c>
      <c r="I488" s="37"/>
      <c r="J488" s="37"/>
      <c r="K488" s="33" t="s">
        <v>694</v>
      </c>
      <c r="L488" s="33"/>
      <c r="M488" s="34"/>
      <c r="N488" s="34" t="s">
        <v>1693</v>
      </c>
      <c r="O488" s="35">
        <v>1</v>
      </c>
      <c r="P488" s="35">
        <v>1</v>
      </c>
      <c r="Q488" s="36"/>
      <c r="S488" s="1">
        <f t="shared" si="159"/>
        <v>0</v>
      </c>
      <c r="T488" s="1">
        <f t="shared" si="160"/>
        <v>0</v>
      </c>
      <c r="U488" s="1">
        <f t="shared" si="161"/>
        <v>0</v>
      </c>
      <c r="V488" s="1">
        <f t="shared" si="162"/>
        <v>0</v>
      </c>
      <c r="W488" s="1">
        <f t="shared" si="163"/>
        <v>0</v>
      </c>
      <c r="X488" s="1">
        <f t="shared" si="164"/>
        <v>0</v>
      </c>
      <c r="Y488" s="1">
        <f t="shared" si="165"/>
        <v>0</v>
      </c>
      <c r="Z488" s="1">
        <f t="shared" si="166"/>
        <v>0</v>
      </c>
      <c r="AA488" s="1">
        <f t="shared" si="167"/>
        <v>0</v>
      </c>
      <c r="AB488" s="1">
        <f t="shared" si="168"/>
        <v>0</v>
      </c>
      <c r="AD488" s="1">
        <f t="shared" si="169"/>
        <v>1</v>
      </c>
      <c r="AE488" s="1">
        <f t="shared" si="170"/>
        <v>0</v>
      </c>
      <c r="AF488" s="1">
        <f t="shared" si="171"/>
        <v>1</v>
      </c>
      <c r="AG488" s="1">
        <f t="shared" si="172"/>
        <v>0</v>
      </c>
      <c r="AH488" s="1">
        <f t="shared" si="173"/>
        <v>1</v>
      </c>
      <c r="AI488" s="1">
        <f t="shared" si="174"/>
        <v>0</v>
      </c>
    </row>
    <row r="489" spans="1:35" s="1" customFormat="1" ht="14.25" customHeight="1" x14ac:dyDescent="0.25">
      <c r="A489" s="37">
        <v>0</v>
      </c>
      <c r="B489" s="37">
        <v>2</v>
      </c>
      <c r="C489" s="37">
        <v>7</v>
      </c>
      <c r="D489" s="36" t="s">
        <v>510</v>
      </c>
      <c r="E489" s="36" t="s">
        <v>155</v>
      </c>
      <c r="F489" s="36" t="s">
        <v>567</v>
      </c>
      <c r="G489" s="36" t="s">
        <v>319</v>
      </c>
      <c r="H489" s="36" t="s">
        <v>352</v>
      </c>
      <c r="I489" s="37" t="s">
        <v>573</v>
      </c>
      <c r="J489" s="37">
        <v>99</v>
      </c>
      <c r="K489" s="33" t="s">
        <v>935</v>
      </c>
      <c r="L489" s="33" t="s">
        <v>713</v>
      </c>
      <c r="M489" s="34" t="s">
        <v>723</v>
      </c>
      <c r="N489" s="34" t="s">
        <v>1721</v>
      </c>
      <c r="O489" s="35">
        <v>1</v>
      </c>
      <c r="P489" s="35"/>
      <c r="Q489" s="36"/>
      <c r="S489" s="1">
        <f t="shared" si="159"/>
        <v>0</v>
      </c>
      <c r="T489" s="1">
        <f t="shared" si="160"/>
        <v>0</v>
      </c>
      <c r="U489" s="1">
        <f t="shared" si="161"/>
        <v>0</v>
      </c>
      <c r="V489" s="1">
        <f t="shared" si="162"/>
        <v>0</v>
      </c>
      <c r="W489" s="1">
        <f t="shared" si="163"/>
        <v>0</v>
      </c>
      <c r="X489" s="1">
        <f t="shared" si="164"/>
        <v>0</v>
      </c>
      <c r="Y489" s="1">
        <f t="shared" si="165"/>
        <v>0</v>
      </c>
      <c r="Z489" s="1">
        <f t="shared" si="166"/>
        <v>0</v>
      </c>
      <c r="AA489" s="1">
        <f t="shared" si="167"/>
        <v>0</v>
      </c>
      <c r="AB489" s="1">
        <f t="shared" si="168"/>
        <v>0</v>
      </c>
      <c r="AD489" s="1">
        <f t="shared" si="169"/>
        <v>0</v>
      </c>
      <c r="AE489" s="1">
        <f t="shared" si="170"/>
        <v>1</v>
      </c>
      <c r="AF489" s="1">
        <f t="shared" si="171"/>
        <v>0</v>
      </c>
      <c r="AG489" s="1">
        <f t="shared" si="172"/>
        <v>1</v>
      </c>
      <c r="AH489" s="1">
        <f t="shared" si="173"/>
        <v>0</v>
      </c>
      <c r="AI489" s="1">
        <f t="shared" si="174"/>
        <v>1</v>
      </c>
    </row>
    <row r="490" spans="1:35" s="1" customFormat="1" ht="14.25" customHeight="1" x14ac:dyDescent="0.25">
      <c r="A490" s="31">
        <v>0</v>
      </c>
      <c r="B490" s="31">
        <v>2</v>
      </c>
      <c r="C490" s="31">
        <v>7</v>
      </c>
      <c r="D490" s="32" t="s">
        <v>74</v>
      </c>
      <c r="E490" s="32" t="s">
        <v>155</v>
      </c>
      <c r="F490" s="32" t="s">
        <v>667</v>
      </c>
      <c r="G490" s="32" t="s">
        <v>264</v>
      </c>
      <c r="H490" s="32" t="s">
        <v>352</v>
      </c>
      <c r="I490" s="31" t="s">
        <v>420</v>
      </c>
      <c r="J490" s="31">
        <v>99</v>
      </c>
      <c r="K490" s="33" t="s">
        <v>703</v>
      </c>
      <c r="L490" s="33" t="s">
        <v>720</v>
      </c>
      <c r="M490" s="34" t="s">
        <v>723</v>
      </c>
      <c r="N490" s="34" t="s">
        <v>1704</v>
      </c>
      <c r="O490" s="35">
        <v>1</v>
      </c>
      <c r="P490" s="35"/>
      <c r="Q490" s="32"/>
      <c r="S490" s="1">
        <f t="shared" si="159"/>
        <v>0</v>
      </c>
      <c r="T490" s="1">
        <f t="shared" si="160"/>
        <v>0</v>
      </c>
      <c r="U490" s="1">
        <f t="shared" si="161"/>
        <v>0</v>
      </c>
      <c r="V490" s="1">
        <f t="shared" si="162"/>
        <v>0</v>
      </c>
      <c r="W490" s="1">
        <f t="shared" si="163"/>
        <v>0</v>
      </c>
      <c r="X490" s="1">
        <f t="shared" si="164"/>
        <v>0</v>
      </c>
      <c r="Y490" s="1">
        <f t="shared" si="165"/>
        <v>0</v>
      </c>
      <c r="Z490" s="1">
        <f t="shared" si="166"/>
        <v>0</v>
      </c>
      <c r="AA490" s="1">
        <f t="shared" si="167"/>
        <v>0</v>
      </c>
      <c r="AB490" s="1">
        <f t="shared" si="168"/>
        <v>0</v>
      </c>
      <c r="AD490" s="1">
        <f t="shared" si="169"/>
        <v>0</v>
      </c>
      <c r="AE490" s="1">
        <f t="shared" si="170"/>
        <v>1</v>
      </c>
      <c r="AF490" s="1">
        <f t="shared" si="171"/>
        <v>0</v>
      </c>
      <c r="AG490" s="1">
        <f t="shared" si="172"/>
        <v>1</v>
      </c>
      <c r="AH490" s="1">
        <f t="shared" si="173"/>
        <v>0</v>
      </c>
      <c r="AI490" s="1">
        <f t="shared" si="174"/>
        <v>1</v>
      </c>
    </row>
    <row r="491" spans="1:35" s="1" customFormat="1" ht="14.25" customHeight="1" x14ac:dyDescent="0.25">
      <c r="A491" s="15">
        <v>0</v>
      </c>
      <c r="B491" s="15">
        <v>2</v>
      </c>
      <c r="C491" s="15">
        <v>7</v>
      </c>
      <c r="D491" s="20" t="s">
        <v>1817</v>
      </c>
      <c r="E491" s="16" t="s">
        <v>155</v>
      </c>
      <c r="F491" s="20" t="s">
        <v>1818</v>
      </c>
      <c r="G491" s="20" t="s">
        <v>281</v>
      </c>
      <c r="H491" s="20" t="s">
        <v>352</v>
      </c>
      <c r="I491" s="21" t="s">
        <v>1819</v>
      </c>
      <c r="J491" s="15">
        <v>99</v>
      </c>
      <c r="K491" s="10" t="s">
        <v>694</v>
      </c>
      <c r="L491" s="10" t="s">
        <v>713</v>
      </c>
      <c r="M491" s="19" t="s">
        <v>723</v>
      </c>
      <c r="N491" s="19"/>
      <c r="Q491" s="20"/>
      <c r="S491" s="1">
        <f t="shared" si="159"/>
        <v>0</v>
      </c>
      <c r="T491" s="1">
        <f t="shared" si="160"/>
        <v>0</v>
      </c>
      <c r="U491" s="1">
        <f t="shared" si="161"/>
        <v>0</v>
      </c>
      <c r="V491" s="1">
        <f t="shared" si="162"/>
        <v>0</v>
      </c>
      <c r="W491" s="1">
        <f t="shared" si="163"/>
        <v>0</v>
      </c>
      <c r="X491" s="1">
        <f t="shared" si="164"/>
        <v>0</v>
      </c>
      <c r="Y491" s="1">
        <f t="shared" si="165"/>
        <v>0</v>
      </c>
      <c r="Z491" s="1">
        <f t="shared" si="166"/>
        <v>0</v>
      </c>
      <c r="AA491" s="1">
        <f t="shared" si="167"/>
        <v>0</v>
      </c>
      <c r="AB491" s="1">
        <f t="shared" si="168"/>
        <v>0</v>
      </c>
      <c r="AD491" s="1">
        <f t="shared" si="169"/>
        <v>0</v>
      </c>
      <c r="AE491" s="1">
        <f t="shared" si="170"/>
        <v>0</v>
      </c>
      <c r="AF491" s="1">
        <f t="shared" si="171"/>
        <v>0</v>
      </c>
      <c r="AG491" s="1">
        <f t="shared" si="172"/>
        <v>0</v>
      </c>
      <c r="AH491" s="1">
        <f t="shared" si="173"/>
        <v>0</v>
      </c>
      <c r="AI491" s="1">
        <f t="shared" si="174"/>
        <v>1</v>
      </c>
    </row>
    <row r="492" spans="1:35" s="1" customFormat="1" ht="14.25" customHeight="1" x14ac:dyDescent="0.25">
      <c r="A492" s="31">
        <v>0</v>
      </c>
      <c r="B492" s="31">
        <v>2</v>
      </c>
      <c r="C492" s="31">
        <v>7</v>
      </c>
      <c r="D492" s="32" t="s">
        <v>60</v>
      </c>
      <c r="E492" s="32" t="s">
        <v>162</v>
      </c>
      <c r="F492" s="32" t="s">
        <v>226</v>
      </c>
      <c r="G492" s="32" t="s">
        <v>189</v>
      </c>
      <c r="H492" s="32" t="s">
        <v>352</v>
      </c>
      <c r="I492" s="31" t="s">
        <v>397</v>
      </c>
      <c r="J492" s="31">
        <v>99</v>
      </c>
      <c r="K492" s="33" t="s">
        <v>704</v>
      </c>
      <c r="L492" s="33" t="s">
        <v>713</v>
      </c>
      <c r="M492" s="34" t="s">
        <v>723</v>
      </c>
      <c r="N492" s="34" t="s">
        <v>1708</v>
      </c>
      <c r="O492" s="35">
        <v>1</v>
      </c>
      <c r="P492" s="35"/>
      <c r="Q492" s="32"/>
      <c r="S492" s="1">
        <f t="shared" si="159"/>
        <v>0</v>
      </c>
      <c r="T492" s="1">
        <f t="shared" si="160"/>
        <v>0</v>
      </c>
      <c r="U492" s="1">
        <f t="shared" si="161"/>
        <v>0</v>
      </c>
      <c r="V492" s="1">
        <f t="shared" si="162"/>
        <v>0</v>
      </c>
      <c r="W492" s="1">
        <f t="shared" si="163"/>
        <v>0</v>
      </c>
      <c r="X492" s="1">
        <f t="shared" si="164"/>
        <v>0</v>
      </c>
      <c r="Y492" s="1">
        <f t="shared" si="165"/>
        <v>0</v>
      </c>
      <c r="Z492" s="1">
        <f t="shared" si="166"/>
        <v>0</v>
      </c>
      <c r="AA492" s="1">
        <f t="shared" si="167"/>
        <v>0</v>
      </c>
      <c r="AB492" s="1">
        <f t="shared" si="168"/>
        <v>0</v>
      </c>
      <c r="AD492" s="1">
        <f t="shared" si="169"/>
        <v>0</v>
      </c>
      <c r="AE492" s="1">
        <f t="shared" si="170"/>
        <v>1</v>
      </c>
      <c r="AF492" s="1">
        <f t="shared" si="171"/>
        <v>0</v>
      </c>
      <c r="AG492" s="1">
        <f t="shared" si="172"/>
        <v>1</v>
      </c>
      <c r="AH492" s="1">
        <f t="shared" si="173"/>
        <v>0</v>
      </c>
      <c r="AI492" s="1">
        <f t="shared" si="174"/>
        <v>1</v>
      </c>
    </row>
    <row r="493" spans="1:35" s="1" customFormat="1" ht="14.25" customHeight="1" x14ac:dyDescent="0.25">
      <c r="A493" s="31">
        <v>0</v>
      </c>
      <c r="B493" s="31">
        <v>2</v>
      </c>
      <c r="C493" s="31">
        <v>7</v>
      </c>
      <c r="D493" s="32" t="s">
        <v>1303</v>
      </c>
      <c r="E493" s="32" t="s">
        <v>155</v>
      </c>
      <c r="F493" s="32" t="s">
        <v>1121</v>
      </c>
      <c r="G493" s="32" t="s">
        <v>191</v>
      </c>
      <c r="H493" s="32" t="s">
        <v>352</v>
      </c>
      <c r="I493" s="31" t="s">
        <v>1340</v>
      </c>
      <c r="J493" s="31">
        <v>99</v>
      </c>
      <c r="K493" s="33" t="s">
        <v>703</v>
      </c>
      <c r="L493" s="33" t="s">
        <v>39</v>
      </c>
      <c r="M493" s="34" t="s">
        <v>39</v>
      </c>
      <c r="N493" s="34" t="s">
        <v>1693</v>
      </c>
      <c r="O493" s="35">
        <v>1</v>
      </c>
      <c r="P493" s="35">
        <v>1</v>
      </c>
      <c r="Q493" s="32"/>
      <c r="S493" s="1">
        <f t="shared" si="159"/>
        <v>0</v>
      </c>
      <c r="T493" s="1">
        <f t="shared" si="160"/>
        <v>0</v>
      </c>
      <c r="U493" s="1">
        <f t="shared" si="161"/>
        <v>0</v>
      </c>
      <c r="V493" s="1">
        <f t="shared" si="162"/>
        <v>0</v>
      </c>
      <c r="W493" s="1">
        <f t="shared" si="163"/>
        <v>0</v>
      </c>
      <c r="X493" s="1">
        <f t="shared" si="164"/>
        <v>0</v>
      </c>
      <c r="Y493" s="1">
        <f t="shared" si="165"/>
        <v>0</v>
      </c>
      <c r="Z493" s="1">
        <f t="shared" si="166"/>
        <v>0</v>
      </c>
      <c r="AA493" s="1">
        <f t="shared" si="167"/>
        <v>0</v>
      </c>
      <c r="AB493" s="1">
        <f t="shared" si="168"/>
        <v>0</v>
      </c>
      <c r="AD493" s="1">
        <f t="shared" si="169"/>
        <v>1</v>
      </c>
      <c r="AE493" s="1">
        <f t="shared" si="170"/>
        <v>0</v>
      </c>
      <c r="AF493" s="1">
        <f t="shared" si="171"/>
        <v>1</v>
      </c>
      <c r="AG493" s="1">
        <f t="shared" si="172"/>
        <v>0</v>
      </c>
      <c r="AH493" s="1">
        <f t="shared" si="173"/>
        <v>1</v>
      </c>
      <c r="AI493" s="1">
        <f t="shared" si="174"/>
        <v>0</v>
      </c>
    </row>
    <row r="494" spans="1:35" s="1" customFormat="1" ht="14.25" customHeight="1" x14ac:dyDescent="0.25">
      <c r="A494" s="31">
        <v>0</v>
      </c>
      <c r="B494" s="31">
        <v>2</v>
      </c>
      <c r="C494" s="31">
        <v>7</v>
      </c>
      <c r="D494" s="32" t="s">
        <v>581</v>
      </c>
      <c r="E494" s="32" t="s">
        <v>1311</v>
      </c>
      <c r="F494" s="32" t="s">
        <v>668</v>
      </c>
      <c r="G494" s="32" t="s">
        <v>239</v>
      </c>
      <c r="H494" s="32" t="s">
        <v>352</v>
      </c>
      <c r="I494" s="31" t="s">
        <v>403</v>
      </c>
      <c r="J494" s="31">
        <v>1</v>
      </c>
      <c r="K494" s="33" t="s">
        <v>704</v>
      </c>
      <c r="L494" s="33" t="s">
        <v>1677</v>
      </c>
      <c r="M494" s="34" t="s">
        <v>1408</v>
      </c>
      <c r="N494" s="34" t="s">
        <v>1708</v>
      </c>
      <c r="O494" s="35">
        <v>1</v>
      </c>
      <c r="P494" s="35"/>
      <c r="Q494" s="32"/>
      <c r="S494" s="1">
        <f t="shared" si="159"/>
        <v>1</v>
      </c>
      <c r="T494" s="1">
        <f t="shared" si="160"/>
        <v>0</v>
      </c>
      <c r="U494" s="1">
        <f t="shared" si="161"/>
        <v>0</v>
      </c>
      <c r="V494" s="1">
        <f t="shared" si="162"/>
        <v>0</v>
      </c>
      <c r="W494" s="1">
        <f t="shared" si="163"/>
        <v>0</v>
      </c>
      <c r="X494" s="1">
        <f t="shared" si="164"/>
        <v>0</v>
      </c>
      <c r="Y494" s="1">
        <f t="shared" si="165"/>
        <v>0</v>
      </c>
      <c r="Z494" s="1">
        <f t="shared" si="166"/>
        <v>0</v>
      </c>
      <c r="AA494" s="1">
        <f t="shared" si="167"/>
        <v>0</v>
      </c>
      <c r="AB494" s="1">
        <f t="shared" si="168"/>
        <v>0</v>
      </c>
      <c r="AD494" s="1">
        <f t="shared" si="169"/>
        <v>0</v>
      </c>
      <c r="AE494" s="1">
        <f t="shared" si="170"/>
        <v>1</v>
      </c>
      <c r="AF494" s="1">
        <f t="shared" si="171"/>
        <v>0</v>
      </c>
      <c r="AG494" s="1">
        <f t="shared" si="172"/>
        <v>1</v>
      </c>
      <c r="AH494" s="1">
        <f t="shared" si="173"/>
        <v>0</v>
      </c>
      <c r="AI494" s="1">
        <f t="shared" si="174"/>
        <v>1</v>
      </c>
    </row>
    <row r="495" spans="1:35" s="1" customFormat="1" ht="14.25" customHeight="1" x14ac:dyDescent="0.25">
      <c r="A495" s="31">
        <v>1</v>
      </c>
      <c r="B495" s="31">
        <v>2</v>
      </c>
      <c r="C495" s="31">
        <v>7</v>
      </c>
      <c r="D495" s="32" t="s">
        <v>581</v>
      </c>
      <c r="E495" s="32" t="s">
        <v>1311</v>
      </c>
      <c r="F495" s="32" t="s">
        <v>238</v>
      </c>
      <c r="G495" s="32" t="s">
        <v>177</v>
      </c>
      <c r="H495" s="32" t="s">
        <v>352</v>
      </c>
      <c r="I495" s="31" t="s">
        <v>402</v>
      </c>
      <c r="J495" s="31">
        <v>1</v>
      </c>
      <c r="K495" s="33" t="s">
        <v>704</v>
      </c>
      <c r="L495" s="33" t="s">
        <v>1677</v>
      </c>
      <c r="M495" s="34" t="s">
        <v>1408</v>
      </c>
      <c r="N495" s="34" t="s">
        <v>1708</v>
      </c>
      <c r="O495" s="35">
        <v>1</v>
      </c>
      <c r="P495" s="35"/>
      <c r="Q495" s="36" t="s">
        <v>1869</v>
      </c>
      <c r="S495" s="1">
        <f t="shared" si="159"/>
        <v>1</v>
      </c>
      <c r="T495" s="1">
        <f t="shared" si="160"/>
        <v>0</v>
      </c>
      <c r="U495" s="1">
        <f t="shared" si="161"/>
        <v>0</v>
      </c>
      <c r="V495" s="1">
        <f t="shared" si="162"/>
        <v>0</v>
      </c>
      <c r="W495" s="1">
        <f t="shared" si="163"/>
        <v>0</v>
      </c>
      <c r="X495" s="1">
        <f t="shared" si="164"/>
        <v>0</v>
      </c>
      <c r="Y495" s="1">
        <f t="shared" si="165"/>
        <v>0</v>
      </c>
      <c r="Z495" s="1">
        <f t="shared" si="166"/>
        <v>0</v>
      </c>
      <c r="AA495" s="1">
        <f t="shared" si="167"/>
        <v>0</v>
      </c>
      <c r="AB495" s="1">
        <f t="shared" si="168"/>
        <v>0</v>
      </c>
      <c r="AD495" s="1">
        <f t="shared" si="169"/>
        <v>0</v>
      </c>
      <c r="AE495" s="1">
        <f t="shared" si="170"/>
        <v>1</v>
      </c>
      <c r="AF495" s="1">
        <f t="shared" si="171"/>
        <v>0</v>
      </c>
      <c r="AG495" s="1">
        <f t="shared" si="172"/>
        <v>0</v>
      </c>
      <c r="AH495" s="1">
        <f t="shared" si="173"/>
        <v>0</v>
      </c>
      <c r="AI495" s="1">
        <f t="shared" si="174"/>
        <v>0</v>
      </c>
    </row>
    <row r="496" spans="1:35" s="1" customFormat="1" ht="14.25" customHeight="1" x14ac:dyDescent="0.25">
      <c r="A496" s="31">
        <v>0</v>
      </c>
      <c r="B496" s="31">
        <v>2</v>
      </c>
      <c r="C496" s="31">
        <v>7</v>
      </c>
      <c r="D496" s="32" t="s">
        <v>1304</v>
      </c>
      <c r="E496" s="32" t="s">
        <v>155</v>
      </c>
      <c r="F496" s="32" t="s">
        <v>1328</v>
      </c>
      <c r="G496" s="32" t="s">
        <v>257</v>
      </c>
      <c r="H496" s="32" t="s">
        <v>352</v>
      </c>
      <c r="I496" s="31" t="s">
        <v>1214</v>
      </c>
      <c r="J496" s="31">
        <v>8</v>
      </c>
      <c r="K496" s="33" t="s">
        <v>936</v>
      </c>
      <c r="L496" s="33" t="s">
        <v>713</v>
      </c>
      <c r="M496" s="34" t="s">
        <v>723</v>
      </c>
      <c r="N496" s="34" t="s">
        <v>1708</v>
      </c>
      <c r="O496" s="35">
        <v>1</v>
      </c>
      <c r="P496" s="35"/>
      <c r="Q496" s="32"/>
      <c r="S496" s="1">
        <f t="shared" si="159"/>
        <v>0</v>
      </c>
      <c r="T496" s="1">
        <f t="shared" si="160"/>
        <v>0</v>
      </c>
      <c r="U496" s="1">
        <f t="shared" si="161"/>
        <v>0</v>
      </c>
      <c r="V496" s="1">
        <f t="shared" si="162"/>
        <v>0</v>
      </c>
      <c r="W496" s="1">
        <f t="shared" si="163"/>
        <v>0</v>
      </c>
      <c r="X496" s="1">
        <f t="shared" si="164"/>
        <v>0</v>
      </c>
      <c r="Y496" s="1">
        <f t="shared" si="165"/>
        <v>0</v>
      </c>
      <c r="Z496" s="1">
        <f t="shared" si="166"/>
        <v>1</v>
      </c>
      <c r="AA496" s="1">
        <f t="shared" si="167"/>
        <v>0</v>
      </c>
      <c r="AB496" s="1">
        <f t="shared" si="168"/>
        <v>0</v>
      </c>
      <c r="AD496" s="1">
        <f t="shared" si="169"/>
        <v>0</v>
      </c>
      <c r="AE496" s="1">
        <f t="shared" si="170"/>
        <v>1</v>
      </c>
      <c r="AF496" s="1">
        <f t="shared" si="171"/>
        <v>0</v>
      </c>
      <c r="AG496" s="1">
        <f t="shared" si="172"/>
        <v>1</v>
      </c>
      <c r="AH496" s="1">
        <f t="shared" si="173"/>
        <v>0</v>
      </c>
      <c r="AI496" s="1">
        <f t="shared" si="174"/>
        <v>1</v>
      </c>
    </row>
    <row r="497" spans="1:35" s="1" customFormat="1" ht="14.25" customHeight="1" x14ac:dyDescent="0.25">
      <c r="A497" s="31">
        <v>1</v>
      </c>
      <c r="B497" s="31">
        <v>2</v>
      </c>
      <c r="C497" s="31">
        <v>7</v>
      </c>
      <c r="D497" s="32" t="s">
        <v>1304</v>
      </c>
      <c r="E497" s="32" t="s">
        <v>155</v>
      </c>
      <c r="F497" s="32" t="s">
        <v>1193</v>
      </c>
      <c r="G497" s="32" t="s">
        <v>217</v>
      </c>
      <c r="H497" s="32" t="s">
        <v>352</v>
      </c>
      <c r="I497" s="31" t="s">
        <v>1214</v>
      </c>
      <c r="J497" s="31">
        <v>99</v>
      </c>
      <c r="K497" s="33" t="s">
        <v>936</v>
      </c>
      <c r="L497" s="33" t="s">
        <v>713</v>
      </c>
      <c r="M497" s="34" t="s">
        <v>723</v>
      </c>
      <c r="N497" s="34" t="s">
        <v>1708</v>
      </c>
      <c r="O497" s="35">
        <v>1</v>
      </c>
      <c r="P497" s="35"/>
      <c r="Q497" s="32"/>
      <c r="S497" s="1">
        <f t="shared" si="159"/>
        <v>0</v>
      </c>
      <c r="T497" s="1">
        <f t="shared" si="160"/>
        <v>0</v>
      </c>
      <c r="U497" s="1">
        <f t="shared" si="161"/>
        <v>0</v>
      </c>
      <c r="V497" s="1">
        <f t="shared" si="162"/>
        <v>0</v>
      </c>
      <c r="W497" s="1">
        <f t="shared" si="163"/>
        <v>0</v>
      </c>
      <c r="X497" s="1">
        <f t="shared" si="164"/>
        <v>0</v>
      </c>
      <c r="Y497" s="1">
        <f t="shared" si="165"/>
        <v>0</v>
      </c>
      <c r="Z497" s="1">
        <f t="shared" si="166"/>
        <v>0</v>
      </c>
      <c r="AA497" s="1">
        <f t="shared" si="167"/>
        <v>0</v>
      </c>
      <c r="AB497" s="1">
        <f t="shared" si="168"/>
        <v>0</v>
      </c>
      <c r="AD497" s="1">
        <f t="shared" si="169"/>
        <v>0</v>
      </c>
      <c r="AE497" s="1">
        <f t="shared" si="170"/>
        <v>1</v>
      </c>
      <c r="AF497" s="1">
        <f t="shared" si="171"/>
        <v>0</v>
      </c>
      <c r="AG497" s="1">
        <f t="shared" si="172"/>
        <v>0</v>
      </c>
      <c r="AH497" s="1">
        <f t="shared" si="173"/>
        <v>0</v>
      </c>
      <c r="AI497" s="1">
        <f t="shared" si="174"/>
        <v>0</v>
      </c>
    </row>
    <row r="498" spans="1:35" s="1" customFormat="1" ht="14.25" customHeight="1" x14ac:dyDescent="0.25">
      <c r="A498" s="31">
        <v>0</v>
      </c>
      <c r="B498" s="31">
        <v>2</v>
      </c>
      <c r="C498" s="31">
        <v>7</v>
      </c>
      <c r="D498" s="32" t="s">
        <v>1223</v>
      </c>
      <c r="E498" s="32" t="s">
        <v>155</v>
      </c>
      <c r="F498" s="32" t="s">
        <v>1225</v>
      </c>
      <c r="G498" s="32" t="s">
        <v>219</v>
      </c>
      <c r="H498" s="32" t="s">
        <v>352</v>
      </c>
      <c r="I498" s="31" t="s">
        <v>1341</v>
      </c>
      <c r="J498" s="31">
        <v>8</v>
      </c>
      <c r="K498" s="33" t="s">
        <v>935</v>
      </c>
      <c r="L498" s="33" t="s">
        <v>713</v>
      </c>
      <c r="M498" s="34" t="s">
        <v>723</v>
      </c>
      <c r="N498" s="34" t="s">
        <v>1704</v>
      </c>
      <c r="O498" s="35">
        <v>1</v>
      </c>
      <c r="P498" s="35"/>
      <c r="Q498" s="32"/>
      <c r="S498" s="1">
        <f t="shared" si="159"/>
        <v>0</v>
      </c>
      <c r="T498" s="1">
        <f t="shared" si="160"/>
        <v>0</v>
      </c>
      <c r="U498" s="1">
        <f t="shared" si="161"/>
        <v>0</v>
      </c>
      <c r="V498" s="1">
        <f t="shared" si="162"/>
        <v>0</v>
      </c>
      <c r="W498" s="1">
        <f t="shared" si="163"/>
        <v>0</v>
      </c>
      <c r="X498" s="1">
        <f t="shared" si="164"/>
        <v>0</v>
      </c>
      <c r="Y498" s="1">
        <f t="shared" si="165"/>
        <v>0</v>
      </c>
      <c r="Z498" s="1">
        <f t="shared" si="166"/>
        <v>1</v>
      </c>
      <c r="AA498" s="1">
        <f t="shared" si="167"/>
        <v>0</v>
      </c>
      <c r="AB498" s="1">
        <f t="shared" si="168"/>
        <v>0</v>
      </c>
      <c r="AD498" s="1">
        <f t="shared" si="169"/>
        <v>0</v>
      </c>
      <c r="AE498" s="1">
        <f t="shared" si="170"/>
        <v>1</v>
      </c>
      <c r="AF498" s="1">
        <f t="shared" si="171"/>
        <v>0</v>
      </c>
      <c r="AG498" s="1">
        <f t="shared" si="172"/>
        <v>1</v>
      </c>
      <c r="AH498" s="1">
        <f t="shared" si="173"/>
        <v>0</v>
      </c>
      <c r="AI498" s="1">
        <f t="shared" si="174"/>
        <v>1</v>
      </c>
    </row>
    <row r="499" spans="1:35" s="1" customFormat="1" ht="14.25" customHeight="1" x14ac:dyDescent="0.25">
      <c r="A499" s="31">
        <v>1</v>
      </c>
      <c r="B499" s="31">
        <v>2</v>
      </c>
      <c r="C499" s="31">
        <v>7</v>
      </c>
      <c r="D499" s="32" t="s">
        <v>1223</v>
      </c>
      <c r="E499" s="32" t="s">
        <v>155</v>
      </c>
      <c r="F499" s="32" t="s">
        <v>1329</v>
      </c>
      <c r="G499" s="32" t="s">
        <v>39</v>
      </c>
      <c r="H499" s="32" t="s">
        <v>353</v>
      </c>
      <c r="I499" s="31" t="s">
        <v>1224</v>
      </c>
      <c r="J499" s="31">
        <v>99</v>
      </c>
      <c r="K499" s="33" t="s">
        <v>935</v>
      </c>
      <c r="L499" s="33" t="s">
        <v>713</v>
      </c>
      <c r="M499" s="34" t="s">
        <v>723</v>
      </c>
      <c r="N499" s="34" t="s">
        <v>1704</v>
      </c>
      <c r="O499" s="35">
        <v>1</v>
      </c>
      <c r="P499" s="35"/>
      <c r="Q499" s="32" t="s">
        <v>1862</v>
      </c>
      <c r="S499" s="1">
        <f t="shared" si="159"/>
        <v>0</v>
      </c>
      <c r="T499" s="1">
        <f t="shared" si="160"/>
        <v>0</v>
      </c>
      <c r="U499" s="1">
        <f t="shared" si="161"/>
        <v>0</v>
      </c>
      <c r="V499" s="1">
        <f t="shared" si="162"/>
        <v>0</v>
      </c>
      <c r="W499" s="1">
        <f t="shared" si="163"/>
        <v>0</v>
      </c>
      <c r="X499" s="1">
        <f t="shared" si="164"/>
        <v>0</v>
      </c>
      <c r="Y499" s="1">
        <f t="shared" si="165"/>
        <v>0</v>
      </c>
      <c r="Z499" s="1">
        <f t="shared" si="166"/>
        <v>0</v>
      </c>
      <c r="AA499" s="1">
        <f t="shared" si="167"/>
        <v>0</v>
      </c>
      <c r="AB499" s="1">
        <f t="shared" si="168"/>
        <v>0</v>
      </c>
      <c r="AD499" s="1">
        <f t="shared" si="169"/>
        <v>0</v>
      </c>
      <c r="AE499" s="1">
        <f t="shared" si="170"/>
        <v>1</v>
      </c>
      <c r="AF499" s="1">
        <f t="shared" si="171"/>
        <v>0</v>
      </c>
      <c r="AG499" s="1">
        <f t="shared" si="172"/>
        <v>0</v>
      </c>
      <c r="AH499" s="1">
        <f t="shared" si="173"/>
        <v>0</v>
      </c>
      <c r="AI499" s="1">
        <f t="shared" si="174"/>
        <v>0</v>
      </c>
    </row>
    <row r="500" spans="1:35" s="1" customFormat="1" ht="14.25" customHeight="1" x14ac:dyDescent="0.25">
      <c r="A500" s="31">
        <v>1</v>
      </c>
      <c r="B500" s="31">
        <v>2</v>
      </c>
      <c r="C500" s="31">
        <v>7</v>
      </c>
      <c r="D500" s="32" t="s">
        <v>1223</v>
      </c>
      <c r="E500" s="32" t="s">
        <v>155</v>
      </c>
      <c r="F500" s="32" t="s">
        <v>1491</v>
      </c>
      <c r="G500" s="32" t="s">
        <v>234</v>
      </c>
      <c r="H500" s="32" t="s">
        <v>352</v>
      </c>
      <c r="I500" s="31" t="s">
        <v>1657</v>
      </c>
      <c r="J500" s="31">
        <v>99</v>
      </c>
      <c r="K500" s="33" t="s">
        <v>935</v>
      </c>
      <c r="L500" s="33" t="s">
        <v>713</v>
      </c>
      <c r="M500" s="34" t="s">
        <v>723</v>
      </c>
      <c r="N500" s="34" t="s">
        <v>1704</v>
      </c>
      <c r="O500" s="35">
        <v>1</v>
      </c>
      <c r="P500" s="35"/>
      <c r="Q500" s="32"/>
      <c r="S500" s="1">
        <f t="shared" si="159"/>
        <v>0</v>
      </c>
      <c r="T500" s="1">
        <f t="shared" si="160"/>
        <v>0</v>
      </c>
      <c r="U500" s="1">
        <f t="shared" si="161"/>
        <v>0</v>
      </c>
      <c r="V500" s="1">
        <f t="shared" si="162"/>
        <v>0</v>
      </c>
      <c r="W500" s="1">
        <f t="shared" si="163"/>
        <v>0</v>
      </c>
      <c r="X500" s="1">
        <f t="shared" si="164"/>
        <v>0</v>
      </c>
      <c r="Y500" s="1">
        <f t="shared" si="165"/>
        <v>0</v>
      </c>
      <c r="Z500" s="1">
        <f t="shared" si="166"/>
        <v>0</v>
      </c>
      <c r="AA500" s="1">
        <f t="shared" si="167"/>
        <v>0</v>
      </c>
      <c r="AB500" s="1">
        <f t="shared" si="168"/>
        <v>0</v>
      </c>
      <c r="AD500" s="1">
        <f t="shared" si="169"/>
        <v>0</v>
      </c>
      <c r="AE500" s="1">
        <f t="shared" si="170"/>
        <v>1</v>
      </c>
      <c r="AF500" s="1">
        <f t="shared" si="171"/>
        <v>0</v>
      </c>
      <c r="AG500" s="1">
        <f t="shared" si="172"/>
        <v>0</v>
      </c>
      <c r="AH500" s="1">
        <f t="shared" si="173"/>
        <v>0</v>
      </c>
      <c r="AI500" s="1">
        <f t="shared" si="174"/>
        <v>0</v>
      </c>
    </row>
    <row r="501" spans="1:35" s="1" customFormat="1" ht="14.25" customHeight="1" x14ac:dyDescent="0.25">
      <c r="A501" s="31">
        <v>0</v>
      </c>
      <c r="B501" s="31">
        <v>2</v>
      </c>
      <c r="C501" s="31">
        <v>7</v>
      </c>
      <c r="D501" s="32" t="s">
        <v>1809</v>
      </c>
      <c r="E501" s="32" t="s">
        <v>1810</v>
      </c>
      <c r="F501" s="32" t="s">
        <v>1811</v>
      </c>
      <c r="G501" s="32" t="s">
        <v>264</v>
      </c>
      <c r="H501" s="32" t="s">
        <v>352</v>
      </c>
      <c r="I501" s="31" t="s">
        <v>1812</v>
      </c>
      <c r="J501" s="31">
        <v>99</v>
      </c>
      <c r="K501" s="33" t="s">
        <v>694</v>
      </c>
      <c r="L501" s="33"/>
      <c r="M501" s="34"/>
      <c r="N501" s="34" t="s">
        <v>1693</v>
      </c>
      <c r="O501" s="35">
        <v>1</v>
      </c>
      <c r="P501" s="35">
        <v>1</v>
      </c>
      <c r="Q501" s="32"/>
      <c r="S501" s="1">
        <f t="shared" si="159"/>
        <v>0</v>
      </c>
      <c r="T501" s="1">
        <f t="shared" si="160"/>
        <v>0</v>
      </c>
      <c r="U501" s="1">
        <f t="shared" si="161"/>
        <v>0</v>
      </c>
      <c r="V501" s="1">
        <f t="shared" si="162"/>
        <v>0</v>
      </c>
      <c r="W501" s="1">
        <f t="shared" si="163"/>
        <v>0</v>
      </c>
      <c r="X501" s="1">
        <f t="shared" si="164"/>
        <v>0</v>
      </c>
      <c r="Y501" s="1">
        <f t="shared" si="165"/>
        <v>0</v>
      </c>
      <c r="Z501" s="1">
        <f t="shared" si="166"/>
        <v>0</v>
      </c>
      <c r="AA501" s="1">
        <f t="shared" si="167"/>
        <v>0</v>
      </c>
      <c r="AB501" s="1">
        <f t="shared" si="168"/>
        <v>0</v>
      </c>
      <c r="AD501" s="1">
        <f t="shared" si="169"/>
        <v>1</v>
      </c>
      <c r="AE501" s="1">
        <f t="shared" si="170"/>
        <v>0</v>
      </c>
      <c r="AF501" s="1">
        <f t="shared" si="171"/>
        <v>1</v>
      </c>
      <c r="AG501" s="1">
        <f t="shared" si="172"/>
        <v>0</v>
      </c>
      <c r="AH501" s="1">
        <f t="shared" si="173"/>
        <v>1</v>
      </c>
      <c r="AI501" s="1">
        <f t="shared" si="174"/>
        <v>0</v>
      </c>
    </row>
    <row r="502" spans="1:35" s="1" customFormat="1" ht="14.25" customHeight="1" x14ac:dyDescent="0.25">
      <c r="A502" s="31">
        <v>0</v>
      </c>
      <c r="B502" s="31">
        <v>2</v>
      </c>
      <c r="C502" s="31">
        <v>7</v>
      </c>
      <c r="D502" s="32" t="s">
        <v>1218</v>
      </c>
      <c r="E502" s="32" t="s">
        <v>28</v>
      </c>
      <c r="F502" s="32" t="s">
        <v>1211</v>
      </c>
      <c r="G502" s="32" t="s">
        <v>1212</v>
      </c>
      <c r="H502" s="32" t="s">
        <v>352</v>
      </c>
      <c r="I502" s="31" t="s">
        <v>1213</v>
      </c>
      <c r="J502" s="31">
        <v>99</v>
      </c>
      <c r="K502" s="33" t="s">
        <v>703</v>
      </c>
      <c r="L502" s="33" t="s">
        <v>704</v>
      </c>
      <c r="M502" s="34" t="s">
        <v>722</v>
      </c>
      <c r="N502" s="34" t="s">
        <v>1704</v>
      </c>
      <c r="O502" s="35">
        <v>1</v>
      </c>
      <c r="P502" s="35"/>
      <c r="Q502" s="32"/>
      <c r="S502" s="1">
        <f t="shared" si="159"/>
        <v>0</v>
      </c>
      <c r="T502" s="1">
        <f t="shared" si="160"/>
        <v>0</v>
      </c>
      <c r="U502" s="1">
        <f t="shared" si="161"/>
        <v>0</v>
      </c>
      <c r="V502" s="1">
        <f t="shared" si="162"/>
        <v>0</v>
      </c>
      <c r="W502" s="1">
        <f t="shared" si="163"/>
        <v>0</v>
      </c>
      <c r="X502" s="1">
        <f t="shared" si="164"/>
        <v>0</v>
      </c>
      <c r="Y502" s="1">
        <f t="shared" si="165"/>
        <v>0</v>
      </c>
      <c r="Z502" s="1">
        <f t="shared" si="166"/>
        <v>0</v>
      </c>
      <c r="AA502" s="1">
        <f t="shared" si="167"/>
        <v>0</v>
      </c>
      <c r="AB502" s="1">
        <f t="shared" si="168"/>
        <v>0</v>
      </c>
      <c r="AD502" s="1">
        <f t="shared" si="169"/>
        <v>0</v>
      </c>
      <c r="AE502" s="1">
        <f t="shared" si="170"/>
        <v>1</v>
      </c>
      <c r="AF502" s="1">
        <f t="shared" si="171"/>
        <v>0</v>
      </c>
      <c r="AG502" s="1">
        <f t="shared" si="172"/>
        <v>1</v>
      </c>
      <c r="AH502" s="1">
        <f t="shared" si="173"/>
        <v>0</v>
      </c>
      <c r="AI502" s="1">
        <f t="shared" si="174"/>
        <v>1</v>
      </c>
    </row>
    <row r="503" spans="1:35" s="1" customFormat="1" ht="14.25" customHeight="1" x14ac:dyDescent="0.25">
      <c r="A503" s="31">
        <v>1</v>
      </c>
      <c r="B503" s="31">
        <v>2</v>
      </c>
      <c r="C503" s="31">
        <v>7</v>
      </c>
      <c r="D503" s="32" t="s">
        <v>1215</v>
      </c>
      <c r="E503" s="32" t="s">
        <v>28</v>
      </c>
      <c r="F503" s="32" t="s">
        <v>1216</v>
      </c>
      <c r="G503" s="32" t="s">
        <v>519</v>
      </c>
      <c r="H503" s="32" t="s">
        <v>352</v>
      </c>
      <c r="I503" s="31" t="s">
        <v>1217</v>
      </c>
      <c r="J503" s="31">
        <v>99</v>
      </c>
      <c r="K503" s="33" t="s">
        <v>703</v>
      </c>
      <c r="L503" s="33" t="s">
        <v>704</v>
      </c>
      <c r="M503" s="34" t="s">
        <v>722</v>
      </c>
      <c r="N503" s="34" t="s">
        <v>1704</v>
      </c>
      <c r="O503" s="35">
        <v>1</v>
      </c>
      <c r="P503" s="35"/>
      <c r="Q503" s="32"/>
      <c r="S503" s="1">
        <f t="shared" si="159"/>
        <v>0</v>
      </c>
      <c r="T503" s="1">
        <f t="shared" si="160"/>
        <v>0</v>
      </c>
      <c r="U503" s="1">
        <f t="shared" si="161"/>
        <v>0</v>
      </c>
      <c r="V503" s="1">
        <f t="shared" si="162"/>
        <v>0</v>
      </c>
      <c r="W503" s="1">
        <f t="shared" si="163"/>
        <v>0</v>
      </c>
      <c r="X503" s="1">
        <f t="shared" si="164"/>
        <v>0</v>
      </c>
      <c r="Y503" s="1">
        <f t="shared" si="165"/>
        <v>0</v>
      </c>
      <c r="Z503" s="1">
        <f t="shared" si="166"/>
        <v>0</v>
      </c>
      <c r="AA503" s="1">
        <f t="shared" si="167"/>
        <v>0</v>
      </c>
      <c r="AB503" s="1">
        <f t="shared" si="168"/>
        <v>0</v>
      </c>
      <c r="AD503" s="1">
        <f t="shared" si="169"/>
        <v>0</v>
      </c>
      <c r="AE503" s="1">
        <f t="shared" si="170"/>
        <v>1</v>
      </c>
      <c r="AF503" s="1">
        <f t="shared" si="171"/>
        <v>0</v>
      </c>
      <c r="AG503" s="1">
        <f t="shared" si="172"/>
        <v>0</v>
      </c>
      <c r="AH503" s="1">
        <f t="shared" si="173"/>
        <v>0</v>
      </c>
      <c r="AI503" s="1">
        <f t="shared" si="174"/>
        <v>0</v>
      </c>
    </row>
    <row r="504" spans="1:35" s="1" customFormat="1" ht="14.25" customHeight="1" x14ac:dyDescent="0.25">
      <c r="A504" s="31">
        <v>0</v>
      </c>
      <c r="B504" s="31">
        <v>2</v>
      </c>
      <c r="C504" s="31">
        <v>7</v>
      </c>
      <c r="D504" s="32" t="s">
        <v>1805</v>
      </c>
      <c r="E504" s="32" t="s">
        <v>1146</v>
      </c>
      <c r="F504" s="32" t="s">
        <v>1806</v>
      </c>
      <c r="G504" s="32"/>
      <c r="H504" s="32" t="s">
        <v>352</v>
      </c>
      <c r="I504" s="31" t="s">
        <v>1807</v>
      </c>
      <c r="J504" s="31">
        <v>6</v>
      </c>
      <c r="K504" s="33" t="s">
        <v>694</v>
      </c>
      <c r="L504" s="33"/>
      <c r="M504" s="34"/>
      <c r="N504" s="34" t="s">
        <v>1708</v>
      </c>
      <c r="O504" s="35">
        <v>1</v>
      </c>
      <c r="P504" s="35"/>
      <c r="Q504" s="32"/>
      <c r="S504" s="1">
        <f t="shared" si="159"/>
        <v>0</v>
      </c>
      <c r="T504" s="1">
        <f t="shared" si="160"/>
        <v>0</v>
      </c>
      <c r="U504" s="1">
        <f t="shared" si="161"/>
        <v>0</v>
      </c>
      <c r="V504" s="1">
        <f t="shared" si="162"/>
        <v>0</v>
      </c>
      <c r="W504" s="1">
        <f t="shared" si="163"/>
        <v>0</v>
      </c>
      <c r="X504" s="1">
        <f t="shared" si="164"/>
        <v>1</v>
      </c>
      <c r="Y504" s="1">
        <f t="shared" si="165"/>
        <v>0</v>
      </c>
      <c r="Z504" s="1">
        <f t="shared" si="166"/>
        <v>0</v>
      </c>
      <c r="AA504" s="1">
        <f t="shared" si="167"/>
        <v>0</v>
      </c>
      <c r="AB504" s="1">
        <f t="shared" si="168"/>
        <v>0</v>
      </c>
      <c r="AD504" s="1">
        <f t="shared" si="169"/>
        <v>0</v>
      </c>
      <c r="AE504" s="1">
        <f t="shared" si="170"/>
        <v>1</v>
      </c>
      <c r="AF504" s="1">
        <f t="shared" si="171"/>
        <v>0</v>
      </c>
      <c r="AG504" s="1">
        <f t="shared" si="172"/>
        <v>1</v>
      </c>
      <c r="AH504" s="1">
        <f t="shared" si="173"/>
        <v>0</v>
      </c>
      <c r="AI504" s="1">
        <f t="shared" si="174"/>
        <v>1</v>
      </c>
    </row>
    <row r="505" spans="1:35" s="1" customFormat="1" ht="14.25" customHeight="1" x14ac:dyDescent="0.25">
      <c r="A505" s="31">
        <v>0</v>
      </c>
      <c r="B505" s="31">
        <v>2</v>
      </c>
      <c r="C505" s="31">
        <v>7</v>
      </c>
      <c r="D505" s="32" t="s">
        <v>1427</v>
      </c>
      <c r="E505" s="32" t="s">
        <v>28</v>
      </c>
      <c r="F505" s="32" t="s">
        <v>1428</v>
      </c>
      <c r="G505" s="32" t="s">
        <v>1429</v>
      </c>
      <c r="H505" s="32" t="s">
        <v>352</v>
      </c>
      <c r="I505" s="31" t="s">
        <v>1430</v>
      </c>
      <c r="J505" s="31">
        <v>99</v>
      </c>
      <c r="K505" s="33" t="s">
        <v>703</v>
      </c>
      <c r="L505" s="33" t="s">
        <v>704</v>
      </c>
      <c r="M505" s="34" t="s">
        <v>722</v>
      </c>
      <c r="N505" s="34" t="s">
        <v>1704</v>
      </c>
      <c r="O505" s="35">
        <v>1</v>
      </c>
      <c r="P505" s="35"/>
      <c r="Q505" s="32" t="s">
        <v>1889</v>
      </c>
      <c r="S505" s="1">
        <f t="shared" si="159"/>
        <v>0</v>
      </c>
      <c r="T505" s="1">
        <f t="shared" si="160"/>
        <v>0</v>
      </c>
      <c r="U505" s="1">
        <f t="shared" si="161"/>
        <v>0</v>
      </c>
      <c r="V505" s="1">
        <f t="shared" si="162"/>
        <v>0</v>
      </c>
      <c r="W505" s="1">
        <f t="shared" si="163"/>
        <v>0</v>
      </c>
      <c r="X505" s="1">
        <f t="shared" si="164"/>
        <v>0</v>
      </c>
      <c r="Y505" s="1">
        <f t="shared" si="165"/>
        <v>0</v>
      </c>
      <c r="Z505" s="1">
        <f t="shared" si="166"/>
        <v>0</v>
      </c>
      <c r="AA505" s="1">
        <f t="shared" si="167"/>
        <v>0</v>
      </c>
      <c r="AB505" s="1">
        <f t="shared" si="168"/>
        <v>0</v>
      </c>
      <c r="AD505" s="1">
        <f t="shared" si="169"/>
        <v>0</v>
      </c>
      <c r="AE505" s="1">
        <f t="shared" si="170"/>
        <v>1</v>
      </c>
      <c r="AF505" s="1">
        <f t="shared" si="171"/>
        <v>0</v>
      </c>
      <c r="AG505" s="1">
        <f t="shared" si="172"/>
        <v>1</v>
      </c>
      <c r="AH505" s="1">
        <f t="shared" si="173"/>
        <v>0</v>
      </c>
      <c r="AI505" s="1">
        <f t="shared" si="174"/>
        <v>1</v>
      </c>
    </row>
    <row r="506" spans="1:35" s="1" customFormat="1" ht="14.25" customHeight="1" x14ac:dyDescent="0.25">
      <c r="A506" s="31">
        <v>0</v>
      </c>
      <c r="B506" s="31">
        <v>2</v>
      </c>
      <c r="C506" s="31">
        <v>7</v>
      </c>
      <c r="D506" s="32" t="s">
        <v>2089</v>
      </c>
      <c r="E506" s="32" t="s">
        <v>155</v>
      </c>
      <c r="F506" s="32" t="s">
        <v>2090</v>
      </c>
      <c r="G506" s="32" t="s">
        <v>552</v>
      </c>
      <c r="H506" s="32" t="s">
        <v>352</v>
      </c>
      <c r="I506" s="31" t="s">
        <v>2091</v>
      </c>
      <c r="J506" s="31">
        <v>99</v>
      </c>
      <c r="K506" s="33" t="s">
        <v>694</v>
      </c>
      <c r="L506" s="33">
        <v>7</v>
      </c>
      <c r="M506" s="34" t="s">
        <v>723</v>
      </c>
      <c r="N506" s="34" t="s">
        <v>1708</v>
      </c>
      <c r="O506" s="35">
        <v>1</v>
      </c>
      <c r="P506" s="35"/>
      <c r="Q506" s="32"/>
      <c r="S506" s="1">
        <f t="shared" si="159"/>
        <v>0</v>
      </c>
      <c r="T506" s="1">
        <f t="shared" si="160"/>
        <v>0</v>
      </c>
      <c r="U506" s="1">
        <f t="shared" si="161"/>
        <v>0</v>
      </c>
      <c r="V506" s="1">
        <f t="shared" si="162"/>
        <v>0</v>
      </c>
      <c r="W506" s="1">
        <f t="shared" si="163"/>
        <v>0</v>
      </c>
      <c r="X506" s="1">
        <f t="shared" si="164"/>
        <v>0</v>
      </c>
      <c r="Y506" s="1">
        <f t="shared" si="165"/>
        <v>0</v>
      </c>
      <c r="Z506" s="1">
        <f t="shared" si="166"/>
        <v>0</v>
      </c>
      <c r="AA506" s="1">
        <f t="shared" si="167"/>
        <v>0</v>
      </c>
      <c r="AB506" s="1">
        <f t="shared" si="168"/>
        <v>0</v>
      </c>
      <c r="AD506" s="1">
        <f t="shared" si="169"/>
        <v>0</v>
      </c>
      <c r="AE506" s="1">
        <f t="shared" si="170"/>
        <v>1</v>
      </c>
      <c r="AF506" s="1">
        <f t="shared" si="171"/>
        <v>0</v>
      </c>
      <c r="AG506" s="1">
        <f t="shared" si="172"/>
        <v>1</v>
      </c>
      <c r="AH506" s="1">
        <f t="shared" si="173"/>
        <v>0</v>
      </c>
      <c r="AI506" s="1">
        <f t="shared" si="174"/>
        <v>1</v>
      </c>
    </row>
    <row r="507" spans="1:35" s="1" customFormat="1" ht="14.25" customHeight="1" x14ac:dyDescent="0.25">
      <c r="A507" s="31">
        <v>1</v>
      </c>
      <c r="B507" s="31">
        <v>2</v>
      </c>
      <c r="C507" s="31">
        <v>7</v>
      </c>
      <c r="D507" s="32" t="s">
        <v>2089</v>
      </c>
      <c r="E507" s="32" t="s">
        <v>155</v>
      </c>
      <c r="F507" s="32" t="s">
        <v>2092</v>
      </c>
      <c r="G507" s="32" t="s">
        <v>203</v>
      </c>
      <c r="H507" s="32" t="s">
        <v>352</v>
      </c>
      <c r="I507" s="31" t="s">
        <v>2091</v>
      </c>
      <c r="J507" s="31">
        <v>7</v>
      </c>
      <c r="K507" s="33" t="s">
        <v>694</v>
      </c>
      <c r="L507" s="33">
        <v>7</v>
      </c>
      <c r="M507" s="34" t="s">
        <v>723</v>
      </c>
      <c r="N507" s="34" t="s">
        <v>1708</v>
      </c>
      <c r="O507" s="35">
        <v>1</v>
      </c>
      <c r="P507" s="35"/>
      <c r="Q507" s="32"/>
      <c r="S507" s="1">
        <f t="shared" si="159"/>
        <v>0</v>
      </c>
      <c r="T507" s="1">
        <f t="shared" si="160"/>
        <v>0</v>
      </c>
      <c r="U507" s="1">
        <f t="shared" si="161"/>
        <v>0</v>
      </c>
      <c r="V507" s="1">
        <f t="shared" si="162"/>
        <v>0</v>
      </c>
      <c r="W507" s="1">
        <f t="shared" si="163"/>
        <v>0</v>
      </c>
      <c r="X507" s="1">
        <f t="shared" si="164"/>
        <v>0</v>
      </c>
      <c r="Y507" s="1">
        <f t="shared" si="165"/>
        <v>1</v>
      </c>
      <c r="Z507" s="1">
        <f t="shared" si="166"/>
        <v>0</v>
      </c>
      <c r="AA507" s="1">
        <f t="shared" si="167"/>
        <v>0</v>
      </c>
      <c r="AB507" s="1">
        <f t="shared" si="168"/>
        <v>0</v>
      </c>
      <c r="AD507" s="1">
        <f t="shared" si="169"/>
        <v>0</v>
      </c>
      <c r="AE507" s="1">
        <f t="shared" si="170"/>
        <v>1</v>
      </c>
      <c r="AF507" s="1">
        <f t="shared" si="171"/>
        <v>0</v>
      </c>
      <c r="AG507" s="1">
        <f t="shared" si="172"/>
        <v>0</v>
      </c>
      <c r="AH507" s="1">
        <f t="shared" si="173"/>
        <v>0</v>
      </c>
      <c r="AI507" s="1">
        <f t="shared" si="174"/>
        <v>0</v>
      </c>
    </row>
    <row r="508" spans="1:35" s="1" customFormat="1" ht="14.25" customHeight="1" x14ac:dyDescent="0.25">
      <c r="A508" s="31">
        <v>0</v>
      </c>
      <c r="B508" s="31">
        <v>2</v>
      </c>
      <c r="C508" s="31">
        <v>7</v>
      </c>
      <c r="D508" s="32" t="s">
        <v>43</v>
      </c>
      <c r="E508" s="32" t="s">
        <v>537</v>
      </c>
      <c r="F508" s="32" t="s">
        <v>568</v>
      </c>
      <c r="G508" s="32" t="s">
        <v>234</v>
      </c>
      <c r="H508" s="32" t="s">
        <v>352</v>
      </c>
      <c r="I508" s="31" t="s">
        <v>574</v>
      </c>
      <c r="J508" s="31">
        <v>99</v>
      </c>
      <c r="K508" s="33" t="s">
        <v>703</v>
      </c>
      <c r="L508" s="33" t="s">
        <v>720</v>
      </c>
      <c r="M508" s="34" t="s">
        <v>1409</v>
      </c>
      <c r="N508" s="34" t="s">
        <v>1708</v>
      </c>
      <c r="O508" s="35">
        <v>1</v>
      </c>
      <c r="P508" s="35"/>
      <c r="Q508" s="32"/>
      <c r="S508" s="1">
        <f t="shared" si="159"/>
        <v>0</v>
      </c>
      <c r="T508" s="1">
        <f t="shared" si="160"/>
        <v>0</v>
      </c>
      <c r="U508" s="1">
        <f t="shared" si="161"/>
        <v>0</v>
      </c>
      <c r="V508" s="1">
        <f t="shared" si="162"/>
        <v>0</v>
      </c>
      <c r="W508" s="1">
        <f t="shared" si="163"/>
        <v>0</v>
      </c>
      <c r="X508" s="1">
        <f t="shared" si="164"/>
        <v>0</v>
      </c>
      <c r="Y508" s="1">
        <f t="shared" si="165"/>
        <v>0</v>
      </c>
      <c r="Z508" s="1">
        <f t="shared" si="166"/>
        <v>0</v>
      </c>
      <c r="AA508" s="1">
        <f t="shared" si="167"/>
        <v>0</v>
      </c>
      <c r="AB508" s="1">
        <f t="shared" si="168"/>
        <v>0</v>
      </c>
      <c r="AD508" s="1">
        <f t="shared" si="169"/>
        <v>0</v>
      </c>
      <c r="AE508" s="1">
        <f t="shared" si="170"/>
        <v>1</v>
      </c>
      <c r="AF508" s="1">
        <f t="shared" si="171"/>
        <v>0</v>
      </c>
      <c r="AG508" s="1">
        <f t="shared" si="172"/>
        <v>1</v>
      </c>
      <c r="AH508" s="1">
        <f t="shared" si="173"/>
        <v>0</v>
      </c>
      <c r="AI508" s="1">
        <f t="shared" si="174"/>
        <v>1</v>
      </c>
    </row>
    <row r="509" spans="1:35" s="1" customFormat="1" ht="14.25" customHeight="1" x14ac:dyDescent="0.25">
      <c r="A509" s="31">
        <v>1</v>
      </c>
      <c r="B509" s="31">
        <v>2</v>
      </c>
      <c r="C509" s="31">
        <v>7</v>
      </c>
      <c r="D509" s="32" t="s">
        <v>43</v>
      </c>
      <c r="E509" s="32" t="s">
        <v>537</v>
      </c>
      <c r="F509" s="32" t="s">
        <v>270</v>
      </c>
      <c r="G509" s="32" t="s">
        <v>179</v>
      </c>
      <c r="H509" s="32" t="s">
        <v>352</v>
      </c>
      <c r="I509" s="31" t="s">
        <v>424</v>
      </c>
      <c r="J509" s="31">
        <v>10</v>
      </c>
      <c r="K509" s="33" t="s">
        <v>703</v>
      </c>
      <c r="L509" s="33" t="s">
        <v>720</v>
      </c>
      <c r="M509" s="34" t="s">
        <v>1409</v>
      </c>
      <c r="N509" s="34" t="s">
        <v>1708</v>
      </c>
      <c r="O509" s="35">
        <v>1</v>
      </c>
      <c r="P509" s="35"/>
      <c r="Q509" s="32"/>
      <c r="S509" s="1">
        <f t="shared" si="159"/>
        <v>0</v>
      </c>
      <c r="T509" s="1">
        <f t="shared" si="160"/>
        <v>0</v>
      </c>
      <c r="U509" s="1">
        <f t="shared" si="161"/>
        <v>0</v>
      </c>
      <c r="V509" s="1">
        <f t="shared" si="162"/>
        <v>0</v>
      </c>
      <c r="W509" s="1">
        <f t="shared" si="163"/>
        <v>0</v>
      </c>
      <c r="X509" s="1">
        <f t="shared" si="164"/>
        <v>0</v>
      </c>
      <c r="Y509" s="1">
        <f t="shared" si="165"/>
        <v>0</v>
      </c>
      <c r="Z509" s="1">
        <f t="shared" si="166"/>
        <v>0</v>
      </c>
      <c r="AA509" s="1">
        <f t="shared" si="167"/>
        <v>0</v>
      </c>
      <c r="AB509" s="1">
        <f t="shared" si="168"/>
        <v>1</v>
      </c>
      <c r="AD509" s="1">
        <f t="shared" si="169"/>
        <v>0</v>
      </c>
      <c r="AE509" s="1">
        <f t="shared" si="170"/>
        <v>1</v>
      </c>
      <c r="AF509" s="1">
        <f t="shared" si="171"/>
        <v>0</v>
      </c>
      <c r="AG509" s="1">
        <f t="shared" si="172"/>
        <v>0</v>
      </c>
      <c r="AH509" s="1">
        <f t="shared" si="173"/>
        <v>0</v>
      </c>
      <c r="AI509" s="1">
        <f t="shared" si="174"/>
        <v>0</v>
      </c>
    </row>
    <row r="510" spans="1:35" s="1" customFormat="1" ht="14.25" customHeight="1" x14ac:dyDescent="0.25">
      <c r="A510" s="31">
        <v>1</v>
      </c>
      <c r="B510" s="31">
        <v>2</v>
      </c>
      <c r="C510" s="31">
        <v>7</v>
      </c>
      <c r="D510" s="32" t="s">
        <v>43</v>
      </c>
      <c r="E510" s="32" t="s">
        <v>537</v>
      </c>
      <c r="F510" s="32" t="s">
        <v>271</v>
      </c>
      <c r="G510" s="32" t="s">
        <v>39</v>
      </c>
      <c r="H510" s="32" t="s">
        <v>352</v>
      </c>
      <c r="I510" s="31" t="s">
        <v>425</v>
      </c>
      <c r="J510" s="31">
        <v>5</v>
      </c>
      <c r="K510" s="33" t="s">
        <v>703</v>
      </c>
      <c r="L510" s="33" t="s">
        <v>720</v>
      </c>
      <c r="M510" s="34" t="s">
        <v>1409</v>
      </c>
      <c r="N510" s="34" t="s">
        <v>1708</v>
      </c>
      <c r="O510" s="35">
        <v>1</v>
      </c>
      <c r="P510" s="35"/>
      <c r="Q510" s="32"/>
      <c r="S510" s="1">
        <f t="shared" si="159"/>
        <v>0</v>
      </c>
      <c r="T510" s="1">
        <f t="shared" si="160"/>
        <v>0</v>
      </c>
      <c r="U510" s="1">
        <f t="shared" si="161"/>
        <v>0</v>
      </c>
      <c r="V510" s="1">
        <f t="shared" si="162"/>
        <v>0</v>
      </c>
      <c r="W510" s="1">
        <f t="shared" si="163"/>
        <v>1</v>
      </c>
      <c r="X510" s="1">
        <f t="shared" si="164"/>
        <v>0</v>
      </c>
      <c r="Y510" s="1">
        <f t="shared" si="165"/>
        <v>0</v>
      </c>
      <c r="Z510" s="1">
        <f t="shared" si="166"/>
        <v>0</v>
      </c>
      <c r="AA510" s="1">
        <f t="shared" si="167"/>
        <v>0</v>
      </c>
      <c r="AB510" s="1">
        <f t="shared" si="168"/>
        <v>0</v>
      </c>
      <c r="AD510" s="1">
        <f t="shared" si="169"/>
        <v>0</v>
      </c>
      <c r="AE510" s="1">
        <f t="shared" si="170"/>
        <v>1</v>
      </c>
      <c r="AF510" s="1">
        <f t="shared" si="171"/>
        <v>0</v>
      </c>
      <c r="AG510" s="1">
        <f t="shared" si="172"/>
        <v>0</v>
      </c>
      <c r="AH510" s="1">
        <f t="shared" si="173"/>
        <v>0</v>
      </c>
      <c r="AI510" s="1">
        <f t="shared" si="174"/>
        <v>0</v>
      </c>
    </row>
    <row r="511" spans="1:35" s="1" customFormat="1" ht="14.25" customHeight="1" x14ac:dyDescent="0.25">
      <c r="A511" s="31">
        <v>1</v>
      </c>
      <c r="B511" s="31">
        <v>2</v>
      </c>
      <c r="C511" s="31">
        <v>7</v>
      </c>
      <c r="D511" s="32" t="s">
        <v>43</v>
      </c>
      <c r="E511" s="32" t="s">
        <v>537</v>
      </c>
      <c r="F511" s="32" t="s">
        <v>275</v>
      </c>
      <c r="G511" s="32" t="s">
        <v>193</v>
      </c>
      <c r="H511" s="32" t="s">
        <v>352</v>
      </c>
      <c r="I511" s="31" t="s">
        <v>429</v>
      </c>
      <c r="J511" s="31">
        <v>9</v>
      </c>
      <c r="K511" s="33" t="s">
        <v>703</v>
      </c>
      <c r="L511" s="33" t="s">
        <v>720</v>
      </c>
      <c r="M511" s="34" t="s">
        <v>1409</v>
      </c>
      <c r="N511" s="34" t="s">
        <v>1708</v>
      </c>
      <c r="O511" s="35">
        <v>1</v>
      </c>
      <c r="P511" s="35"/>
      <c r="Q511" s="32"/>
      <c r="S511" s="1">
        <f t="shared" si="159"/>
        <v>0</v>
      </c>
      <c r="T511" s="1">
        <f t="shared" si="160"/>
        <v>0</v>
      </c>
      <c r="U511" s="1">
        <f t="shared" si="161"/>
        <v>0</v>
      </c>
      <c r="V511" s="1">
        <f t="shared" si="162"/>
        <v>0</v>
      </c>
      <c r="W511" s="1">
        <f t="shared" si="163"/>
        <v>0</v>
      </c>
      <c r="X511" s="1">
        <f t="shared" si="164"/>
        <v>0</v>
      </c>
      <c r="Y511" s="1">
        <f t="shared" si="165"/>
        <v>0</v>
      </c>
      <c r="Z511" s="1">
        <f t="shared" si="166"/>
        <v>0</v>
      </c>
      <c r="AA511" s="1">
        <f t="shared" si="167"/>
        <v>1</v>
      </c>
      <c r="AB511" s="1">
        <f t="shared" si="168"/>
        <v>0</v>
      </c>
      <c r="AD511" s="1">
        <f t="shared" si="169"/>
        <v>0</v>
      </c>
      <c r="AE511" s="1">
        <f t="shared" si="170"/>
        <v>1</v>
      </c>
      <c r="AF511" s="1">
        <f t="shared" si="171"/>
        <v>0</v>
      </c>
      <c r="AG511" s="1">
        <f t="shared" si="172"/>
        <v>0</v>
      </c>
      <c r="AH511" s="1">
        <f t="shared" si="173"/>
        <v>0</v>
      </c>
      <c r="AI511" s="1">
        <f t="shared" si="174"/>
        <v>0</v>
      </c>
    </row>
    <row r="512" spans="1:35" s="1" customFormat="1" ht="14.25" customHeight="1" x14ac:dyDescent="0.25">
      <c r="A512" s="31">
        <v>0</v>
      </c>
      <c r="B512" s="31">
        <v>2</v>
      </c>
      <c r="C512" s="31">
        <v>7</v>
      </c>
      <c r="D512" s="32" t="s">
        <v>1528</v>
      </c>
      <c r="E512" s="32" t="s">
        <v>28</v>
      </c>
      <c r="F512" s="32" t="s">
        <v>1529</v>
      </c>
      <c r="G512" s="32" t="s">
        <v>237</v>
      </c>
      <c r="H512" s="32" t="s">
        <v>352</v>
      </c>
      <c r="I512" s="31" t="s">
        <v>1661</v>
      </c>
      <c r="J512" s="31">
        <v>4</v>
      </c>
      <c r="K512" s="33" t="s">
        <v>704</v>
      </c>
      <c r="L512" s="33" t="s">
        <v>704</v>
      </c>
      <c r="M512" s="34" t="s">
        <v>722</v>
      </c>
      <c r="N512" s="34" t="s">
        <v>1704</v>
      </c>
      <c r="O512" s="35">
        <v>1</v>
      </c>
      <c r="P512" s="35"/>
      <c r="Q512" s="32"/>
      <c r="S512" s="1">
        <f t="shared" si="159"/>
        <v>0</v>
      </c>
      <c r="T512" s="1">
        <f t="shared" si="160"/>
        <v>0</v>
      </c>
      <c r="U512" s="1">
        <f t="shared" si="161"/>
        <v>0</v>
      </c>
      <c r="V512" s="1">
        <f t="shared" si="162"/>
        <v>1</v>
      </c>
      <c r="W512" s="1">
        <f t="shared" si="163"/>
        <v>0</v>
      </c>
      <c r="X512" s="1">
        <f t="shared" si="164"/>
        <v>0</v>
      </c>
      <c r="Y512" s="1">
        <f t="shared" si="165"/>
        <v>0</v>
      </c>
      <c r="Z512" s="1">
        <f t="shared" si="166"/>
        <v>0</v>
      </c>
      <c r="AA512" s="1">
        <f t="shared" si="167"/>
        <v>0</v>
      </c>
      <c r="AB512" s="1">
        <f t="shared" si="168"/>
        <v>0</v>
      </c>
      <c r="AD512" s="1">
        <f t="shared" si="169"/>
        <v>0</v>
      </c>
      <c r="AE512" s="1">
        <f t="shared" si="170"/>
        <v>1</v>
      </c>
      <c r="AF512" s="1">
        <f t="shared" si="171"/>
        <v>0</v>
      </c>
      <c r="AG512" s="1">
        <f t="shared" si="172"/>
        <v>1</v>
      </c>
      <c r="AH512" s="1">
        <f t="shared" si="173"/>
        <v>0</v>
      </c>
      <c r="AI512" s="1">
        <f t="shared" si="174"/>
        <v>1</v>
      </c>
    </row>
    <row r="513" spans="1:35" s="1" customFormat="1" ht="14.25" customHeight="1" x14ac:dyDescent="0.25">
      <c r="A513" s="31">
        <v>0</v>
      </c>
      <c r="B513" s="31">
        <v>2</v>
      </c>
      <c r="C513" s="31">
        <v>7</v>
      </c>
      <c r="D513" s="32" t="s">
        <v>63</v>
      </c>
      <c r="E513" s="32" t="s">
        <v>44</v>
      </c>
      <c r="F513" s="32" t="s">
        <v>235</v>
      </c>
      <c r="G513" s="32" t="s">
        <v>199</v>
      </c>
      <c r="H513" s="32" t="s">
        <v>352</v>
      </c>
      <c r="I513" s="31" t="s">
        <v>400</v>
      </c>
      <c r="J513" s="31">
        <v>2</v>
      </c>
      <c r="K513" s="33" t="s">
        <v>704</v>
      </c>
      <c r="L513" s="33" t="s">
        <v>713</v>
      </c>
      <c r="M513" s="34" t="s">
        <v>726</v>
      </c>
      <c r="N513" s="34" t="s">
        <v>1704</v>
      </c>
      <c r="O513" s="35">
        <v>1</v>
      </c>
      <c r="P513" s="35"/>
      <c r="Q513" s="32"/>
      <c r="S513" s="1">
        <f t="shared" si="159"/>
        <v>0</v>
      </c>
      <c r="T513" s="1">
        <f t="shared" si="160"/>
        <v>1</v>
      </c>
      <c r="U513" s="1">
        <f t="shared" si="161"/>
        <v>0</v>
      </c>
      <c r="V513" s="1">
        <f t="shared" si="162"/>
        <v>0</v>
      </c>
      <c r="W513" s="1">
        <f t="shared" si="163"/>
        <v>0</v>
      </c>
      <c r="X513" s="1">
        <f t="shared" si="164"/>
        <v>0</v>
      </c>
      <c r="Y513" s="1">
        <f t="shared" si="165"/>
        <v>0</v>
      </c>
      <c r="Z513" s="1">
        <f t="shared" si="166"/>
        <v>0</v>
      </c>
      <c r="AA513" s="1">
        <f t="shared" si="167"/>
        <v>0</v>
      </c>
      <c r="AB513" s="1">
        <f t="shared" si="168"/>
        <v>0</v>
      </c>
      <c r="AD513" s="1">
        <f t="shared" si="169"/>
        <v>0</v>
      </c>
      <c r="AE513" s="1">
        <f t="shared" si="170"/>
        <v>1</v>
      </c>
      <c r="AF513" s="1">
        <f t="shared" si="171"/>
        <v>0</v>
      </c>
      <c r="AG513" s="1">
        <f t="shared" si="172"/>
        <v>1</v>
      </c>
      <c r="AH513" s="1">
        <f t="shared" si="173"/>
        <v>0</v>
      </c>
      <c r="AI513" s="1">
        <f t="shared" si="174"/>
        <v>1</v>
      </c>
    </row>
    <row r="514" spans="1:35" s="1" customFormat="1" ht="14.25" customHeight="1" x14ac:dyDescent="0.25">
      <c r="A514" s="15"/>
      <c r="B514" s="15"/>
      <c r="C514" s="15"/>
      <c r="D514" s="20"/>
      <c r="E514" s="20"/>
      <c r="F514" s="20"/>
      <c r="G514" s="20"/>
      <c r="H514" s="20"/>
      <c r="I514" s="21"/>
      <c r="J514" s="15"/>
      <c r="K514" s="21"/>
      <c r="L514" s="10"/>
      <c r="M514" s="19"/>
      <c r="N514" s="17"/>
      <c r="Q514" s="20"/>
    </row>
    <row r="515" spans="1:35" s="1" customFormat="1" ht="14.25" customHeight="1" x14ac:dyDescent="0.25">
      <c r="A515" s="15"/>
      <c r="B515" s="15"/>
      <c r="C515" s="15"/>
      <c r="D515" s="20"/>
      <c r="E515" s="20"/>
      <c r="F515" s="20"/>
      <c r="G515" s="20"/>
      <c r="H515" s="20"/>
      <c r="I515" s="21"/>
      <c r="J515" s="15"/>
      <c r="K515" s="21"/>
      <c r="L515" s="10"/>
      <c r="M515" s="19"/>
      <c r="N515" s="17"/>
      <c r="Q515" s="20"/>
    </row>
    <row r="516" spans="1:35" s="1" customFormat="1" ht="14.25" customHeight="1" x14ac:dyDescent="0.25">
      <c r="A516" s="15"/>
      <c r="B516" s="15"/>
      <c r="C516" s="15"/>
      <c r="D516" s="20"/>
      <c r="E516" s="20"/>
      <c r="F516" s="20"/>
      <c r="G516" s="20"/>
      <c r="H516" s="20"/>
      <c r="I516" s="21"/>
      <c r="J516" s="15"/>
      <c r="K516" s="21"/>
      <c r="L516" s="10"/>
      <c r="M516" s="19"/>
      <c r="N516" s="17"/>
      <c r="Q516" s="20"/>
    </row>
    <row r="517" spans="1:35" s="1" customFormat="1" ht="14.25" customHeight="1" x14ac:dyDescent="0.25">
      <c r="A517" s="15"/>
      <c r="B517" s="15"/>
      <c r="C517" s="15"/>
      <c r="D517" s="20"/>
      <c r="E517" s="20"/>
      <c r="F517" s="20"/>
      <c r="G517" s="20"/>
      <c r="H517" s="20"/>
      <c r="I517" s="21"/>
      <c r="J517" s="15"/>
      <c r="K517" s="21"/>
      <c r="L517" s="10"/>
      <c r="M517" s="19"/>
      <c r="N517" s="17"/>
      <c r="Q517" s="20"/>
    </row>
    <row r="518" spans="1:35" s="1" customFormat="1" ht="14.25" customHeight="1" x14ac:dyDescent="0.25">
      <c r="A518" s="15"/>
      <c r="B518" s="15"/>
      <c r="C518" s="15"/>
      <c r="D518" s="20"/>
      <c r="E518" s="20"/>
      <c r="F518" s="20"/>
      <c r="G518" s="20"/>
      <c r="H518" s="20"/>
      <c r="I518" s="21"/>
      <c r="J518" s="15"/>
      <c r="K518" s="21"/>
      <c r="L518" s="10"/>
      <c r="M518" s="19"/>
      <c r="N518" s="17"/>
      <c r="Q518" s="20"/>
    </row>
    <row r="519" spans="1:35" s="1" customFormat="1" ht="14.25" customHeight="1" x14ac:dyDescent="0.25">
      <c r="A519" s="15"/>
      <c r="B519" s="15"/>
      <c r="C519" s="15"/>
      <c r="D519" s="20"/>
      <c r="E519" s="20"/>
      <c r="F519" s="20"/>
      <c r="G519" s="20"/>
      <c r="H519" s="20"/>
      <c r="I519" s="21"/>
      <c r="J519" s="15"/>
      <c r="K519" s="21"/>
      <c r="L519" s="10"/>
      <c r="M519" s="19"/>
      <c r="N519" s="17"/>
      <c r="Q519" s="20"/>
    </row>
    <row r="520" spans="1:35" s="1" customFormat="1" ht="14.25" customHeight="1" x14ac:dyDescent="0.25">
      <c r="A520" s="15"/>
      <c r="B520" s="15"/>
      <c r="C520" s="15"/>
      <c r="D520" s="20"/>
      <c r="E520" s="20"/>
      <c r="F520" s="20"/>
      <c r="G520" s="20"/>
      <c r="H520" s="20"/>
      <c r="I520" s="21"/>
      <c r="J520" s="15"/>
      <c r="K520" s="21"/>
      <c r="L520" s="10"/>
      <c r="M520" s="19"/>
      <c r="N520" s="17"/>
      <c r="Q520" s="20"/>
    </row>
    <row r="521" spans="1:35" s="1" customFormat="1" ht="14.25" customHeight="1" x14ac:dyDescent="0.25">
      <c r="A521" s="15"/>
      <c r="B521" s="15"/>
      <c r="C521" s="15"/>
      <c r="D521" s="20"/>
      <c r="E521" s="20"/>
      <c r="F521" s="20"/>
      <c r="G521" s="20"/>
      <c r="H521" s="20"/>
      <c r="I521" s="21"/>
      <c r="J521" s="15"/>
      <c r="K521" s="21"/>
      <c r="L521" s="10"/>
      <c r="M521" s="19"/>
      <c r="N521" s="17"/>
      <c r="Q521" s="20"/>
    </row>
    <row r="522" spans="1:35" s="1" customFormat="1" ht="14.25" customHeight="1" x14ac:dyDescent="0.25">
      <c r="A522" s="15"/>
      <c r="B522" s="15"/>
      <c r="C522" s="15"/>
      <c r="D522" s="20"/>
      <c r="E522" s="20"/>
      <c r="F522" s="20"/>
      <c r="G522" s="20"/>
      <c r="H522" s="20"/>
      <c r="I522" s="21"/>
      <c r="J522" s="15"/>
      <c r="K522" s="21"/>
      <c r="L522" s="10"/>
      <c r="M522" s="19"/>
      <c r="N522" s="17"/>
      <c r="Q522" s="20"/>
    </row>
    <row r="523" spans="1:35" s="1" customFormat="1" ht="14.25" customHeight="1" x14ac:dyDescent="0.25">
      <c r="A523" s="15"/>
      <c r="B523" s="15"/>
      <c r="C523" s="15"/>
      <c r="D523" s="20"/>
      <c r="E523" s="20"/>
      <c r="F523" s="20"/>
      <c r="G523" s="20"/>
      <c r="H523" s="20"/>
      <c r="I523" s="21"/>
      <c r="J523" s="15"/>
      <c r="K523" s="21"/>
      <c r="L523" s="10"/>
      <c r="M523" s="19"/>
      <c r="N523" s="17"/>
      <c r="Q523" s="20"/>
    </row>
    <row r="524" spans="1:35" s="1" customFormat="1" ht="14.25" customHeight="1" x14ac:dyDescent="0.25">
      <c r="A524" s="15"/>
      <c r="B524" s="15"/>
      <c r="C524" s="15"/>
      <c r="D524" s="20"/>
      <c r="E524" s="20"/>
      <c r="F524" s="20"/>
      <c r="G524" s="20"/>
      <c r="H524" s="20"/>
      <c r="I524" s="21"/>
      <c r="J524" s="15"/>
      <c r="K524" s="21"/>
      <c r="L524" s="10"/>
      <c r="M524" s="19"/>
      <c r="N524" s="17"/>
      <c r="Q524" s="20"/>
    </row>
    <row r="525" spans="1:35" s="1" customFormat="1" ht="14.25" customHeight="1" x14ac:dyDescent="0.25">
      <c r="A525" s="15"/>
      <c r="B525" s="15"/>
      <c r="C525" s="15"/>
      <c r="D525" s="20"/>
      <c r="E525" s="20"/>
      <c r="F525" s="20"/>
      <c r="G525" s="20"/>
      <c r="H525" s="20"/>
      <c r="I525" s="21"/>
      <c r="J525" s="15"/>
      <c r="K525" s="21"/>
      <c r="L525" s="10"/>
      <c r="M525" s="19"/>
      <c r="N525" s="17"/>
      <c r="Q525" s="20"/>
    </row>
    <row r="526" spans="1:35" s="1" customFormat="1" ht="14.25" customHeight="1" x14ac:dyDescent="0.25">
      <c r="A526" s="15"/>
      <c r="B526" s="15"/>
      <c r="C526" s="15"/>
      <c r="D526" s="20"/>
      <c r="E526" s="20"/>
      <c r="F526" s="20"/>
      <c r="G526" s="20"/>
      <c r="H526" s="20"/>
      <c r="I526" s="21"/>
      <c r="J526" s="15"/>
      <c r="K526" s="21"/>
      <c r="L526" s="10"/>
      <c r="M526" s="19"/>
      <c r="N526" s="17"/>
      <c r="Q526" s="20"/>
    </row>
    <row r="527" spans="1:35" s="1" customFormat="1" ht="14.25" customHeight="1" x14ac:dyDescent="0.25">
      <c r="A527" s="15"/>
      <c r="B527" s="15"/>
      <c r="C527" s="15"/>
      <c r="D527" s="20"/>
      <c r="E527" s="20"/>
      <c r="F527" s="20"/>
      <c r="G527" s="20"/>
      <c r="H527" s="20"/>
      <c r="I527" s="21"/>
      <c r="J527" s="15"/>
      <c r="K527" s="21"/>
      <c r="L527" s="10"/>
      <c r="M527" s="19"/>
      <c r="N527" s="17"/>
      <c r="Q527" s="20"/>
    </row>
    <row r="528" spans="1:35" s="1" customFormat="1" ht="14.25" customHeight="1" x14ac:dyDescent="0.25">
      <c r="A528" s="15"/>
      <c r="B528" s="15"/>
      <c r="C528" s="15"/>
      <c r="D528" s="20"/>
      <c r="E528" s="20"/>
      <c r="F528" s="20"/>
      <c r="G528" s="20"/>
      <c r="H528" s="20"/>
      <c r="I528" s="21"/>
      <c r="J528" s="15"/>
      <c r="K528" s="21"/>
      <c r="L528" s="10"/>
      <c r="M528" s="19"/>
      <c r="N528" s="17"/>
      <c r="Q528" s="20"/>
    </row>
    <row r="529" spans="1:17" s="1" customFormat="1" ht="14.25" customHeight="1" x14ac:dyDescent="0.25">
      <c r="A529" s="15"/>
      <c r="B529" s="15"/>
      <c r="C529" s="15"/>
      <c r="D529" s="20"/>
      <c r="E529" s="20"/>
      <c r="F529" s="20"/>
      <c r="G529" s="20"/>
      <c r="H529" s="20"/>
      <c r="I529" s="21"/>
      <c r="J529" s="15"/>
      <c r="K529" s="21"/>
      <c r="L529" s="10"/>
      <c r="M529" s="19"/>
      <c r="N529" s="17"/>
      <c r="Q529" s="20"/>
    </row>
    <row r="530" spans="1:17" s="1" customFormat="1" ht="14.25" customHeight="1" x14ac:dyDescent="0.25">
      <c r="A530" s="15"/>
      <c r="B530" s="15"/>
      <c r="C530" s="15"/>
      <c r="D530" s="20"/>
      <c r="E530" s="20"/>
      <c r="F530" s="20"/>
      <c r="G530" s="20"/>
      <c r="H530" s="20"/>
      <c r="I530" s="21"/>
      <c r="J530" s="15"/>
      <c r="K530" s="21"/>
      <c r="L530" s="10"/>
      <c r="M530" s="19"/>
      <c r="N530" s="17"/>
      <c r="Q530" s="20"/>
    </row>
    <row r="531" spans="1:17" s="1" customFormat="1" ht="14.25" customHeight="1" x14ac:dyDescent="0.25">
      <c r="A531" s="15"/>
      <c r="B531" s="15"/>
      <c r="C531" s="15"/>
      <c r="D531" s="20"/>
      <c r="E531" s="20"/>
      <c r="F531" s="20"/>
      <c r="G531" s="20"/>
      <c r="H531" s="20"/>
      <c r="I531" s="21"/>
      <c r="J531" s="15"/>
      <c r="K531" s="21"/>
      <c r="L531" s="10"/>
      <c r="M531" s="19"/>
      <c r="N531" s="17"/>
      <c r="Q531" s="20"/>
    </row>
    <row r="532" spans="1:17" s="1" customFormat="1" ht="14.25" customHeight="1" x14ac:dyDescent="0.25">
      <c r="A532" s="15"/>
      <c r="B532" s="15"/>
      <c r="C532" s="15"/>
      <c r="D532" s="20"/>
      <c r="E532" s="20"/>
      <c r="F532" s="20"/>
      <c r="G532" s="20"/>
      <c r="H532" s="20"/>
      <c r="I532" s="21"/>
      <c r="J532" s="15"/>
      <c r="K532" s="21"/>
      <c r="L532" s="10"/>
      <c r="M532" s="19"/>
      <c r="N532" s="17"/>
      <c r="Q532" s="20"/>
    </row>
    <row r="533" spans="1:17" s="1" customFormat="1" ht="14.25" customHeight="1" x14ac:dyDescent="0.25">
      <c r="A533" s="15"/>
      <c r="B533" s="15"/>
      <c r="C533" s="15"/>
      <c r="D533" s="20"/>
      <c r="E533" s="20"/>
      <c r="F533" s="20"/>
      <c r="G533" s="20"/>
      <c r="H533" s="20"/>
      <c r="I533" s="21"/>
      <c r="J533" s="15"/>
      <c r="K533" s="21"/>
      <c r="L533" s="10"/>
      <c r="M533" s="19"/>
      <c r="N533" s="17"/>
      <c r="Q533" s="20"/>
    </row>
    <row r="534" spans="1:17" s="1" customFormat="1" ht="14.25" customHeight="1" x14ac:dyDescent="0.25">
      <c r="A534" s="15"/>
      <c r="B534" s="15"/>
      <c r="C534" s="15"/>
      <c r="D534" s="20"/>
      <c r="E534" s="20"/>
      <c r="F534" s="20"/>
      <c r="G534" s="20"/>
      <c r="H534" s="20"/>
      <c r="I534" s="21"/>
      <c r="J534" s="15"/>
      <c r="K534" s="21"/>
      <c r="L534" s="10"/>
      <c r="M534" s="19"/>
      <c r="N534" s="17"/>
      <c r="Q534" s="20"/>
    </row>
    <row r="535" spans="1:17" s="1" customFormat="1" ht="14.25" customHeight="1" x14ac:dyDescent="0.25">
      <c r="A535" s="15"/>
      <c r="B535" s="15"/>
      <c r="C535" s="15"/>
      <c r="D535" s="20"/>
      <c r="E535" s="20"/>
      <c r="F535" s="20"/>
      <c r="G535" s="20"/>
      <c r="H535" s="20"/>
      <c r="I535" s="21"/>
      <c r="J535" s="15"/>
      <c r="K535" s="21"/>
      <c r="L535" s="10"/>
      <c r="M535" s="19"/>
      <c r="N535" s="17"/>
      <c r="Q535" s="20"/>
    </row>
    <row r="536" spans="1:17" s="1" customFormat="1" ht="14.25" customHeight="1" x14ac:dyDescent="0.25">
      <c r="A536" s="15"/>
      <c r="B536" s="15"/>
      <c r="C536" s="15"/>
      <c r="D536" s="20"/>
      <c r="E536" s="20"/>
      <c r="F536" s="20"/>
      <c r="G536" s="20"/>
      <c r="H536" s="20"/>
      <c r="I536" s="21"/>
      <c r="J536" s="15"/>
      <c r="K536" s="21"/>
      <c r="L536" s="10"/>
      <c r="M536" s="19"/>
      <c r="N536" s="17"/>
      <c r="Q536" s="20"/>
    </row>
    <row r="537" spans="1:17" s="1" customFormat="1" ht="14.25" customHeight="1" x14ac:dyDescent="0.25">
      <c r="A537" s="15"/>
      <c r="B537" s="15"/>
      <c r="C537" s="15"/>
      <c r="D537" s="20"/>
      <c r="E537" s="20"/>
      <c r="F537" s="20"/>
      <c r="G537" s="20"/>
      <c r="H537" s="20"/>
      <c r="I537" s="21"/>
      <c r="J537" s="15"/>
      <c r="K537" s="21"/>
      <c r="L537" s="10"/>
      <c r="M537" s="19"/>
      <c r="N537" s="17"/>
      <c r="Q537" s="20"/>
    </row>
    <row r="538" spans="1:17" s="1" customFormat="1" ht="14.25" customHeight="1" x14ac:dyDescent="0.25">
      <c r="A538" s="15"/>
      <c r="B538" s="15"/>
      <c r="C538" s="15"/>
      <c r="D538" s="20"/>
      <c r="E538" s="20"/>
      <c r="F538" s="20"/>
      <c r="G538" s="20"/>
      <c r="H538" s="20"/>
      <c r="I538" s="21"/>
      <c r="J538" s="15"/>
      <c r="K538" s="21"/>
      <c r="L538" s="10"/>
      <c r="M538" s="19"/>
      <c r="N538" s="17"/>
      <c r="Q538" s="20"/>
    </row>
    <row r="539" spans="1:17" s="1" customFormat="1" ht="14.25" customHeight="1" x14ac:dyDescent="0.25">
      <c r="A539" s="15"/>
      <c r="B539" s="15"/>
      <c r="C539" s="15"/>
      <c r="D539" s="20"/>
      <c r="E539" s="20"/>
      <c r="F539" s="20"/>
      <c r="G539" s="20"/>
      <c r="H539" s="20"/>
      <c r="I539" s="21"/>
      <c r="J539" s="15"/>
      <c r="K539" s="21"/>
      <c r="L539" s="10"/>
      <c r="M539" s="19"/>
      <c r="N539" s="17"/>
      <c r="Q539" s="20"/>
    </row>
    <row r="540" spans="1:17" s="1" customFormat="1" ht="14.25" customHeight="1" x14ac:dyDescent="0.25">
      <c r="A540" s="15"/>
      <c r="B540" s="15"/>
      <c r="C540" s="15"/>
      <c r="D540" s="20"/>
      <c r="E540" s="20"/>
      <c r="F540" s="20"/>
      <c r="G540" s="20"/>
      <c r="H540" s="20"/>
      <c r="I540" s="21"/>
      <c r="J540" s="15"/>
      <c r="K540" s="21"/>
      <c r="L540" s="10"/>
      <c r="M540" s="19"/>
      <c r="N540" s="17"/>
      <c r="Q540" s="20"/>
    </row>
    <row r="541" spans="1:17" s="1" customFormat="1" ht="14.25" customHeight="1" x14ac:dyDescent="0.25">
      <c r="A541" s="15"/>
      <c r="B541" s="15"/>
      <c r="C541" s="15"/>
      <c r="D541" s="20"/>
      <c r="E541" s="20"/>
      <c r="F541" s="20"/>
      <c r="G541" s="20"/>
      <c r="H541" s="20"/>
      <c r="I541" s="21"/>
      <c r="J541" s="15"/>
      <c r="K541" s="21"/>
      <c r="L541" s="10"/>
      <c r="M541" s="19"/>
      <c r="N541" s="17"/>
      <c r="Q541" s="20"/>
    </row>
    <row r="542" spans="1:17" s="1" customFormat="1" ht="14.25" customHeight="1" x14ac:dyDescent="0.25">
      <c r="A542" s="15"/>
      <c r="B542" s="15"/>
      <c r="C542" s="15"/>
      <c r="D542" s="20"/>
      <c r="E542" s="20"/>
      <c r="F542" s="20"/>
      <c r="G542" s="20"/>
      <c r="H542" s="20"/>
      <c r="I542" s="21"/>
      <c r="J542" s="15"/>
      <c r="K542" s="21"/>
      <c r="L542" s="10"/>
      <c r="M542" s="19"/>
      <c r="N542" s="17"/>
      <c r="Q542" s="20"/>
    </row>
    <row r="543" spans="1:17" s="1" customFormat="1" ht="14.25" customHeight="1" x14ac:dyDescent="0.25">
      <c r="A543" s="15"/>
      <c r="B543" s="15"/>
      <c r="C543" s="15"/>
      <c r="D543" s="20"/>
      <c r="E543" s="20"/>
      <c r="F543" s="20"/>
      <c r="G543" s="20"/>
      <c r="H543" s="20"/>
      <c r="I543" s="21"/>
      <c r="J543" s="15"/>
      <c r="K543" s="21"/>
      <c r="L543" s="10"/>
      <c r="M543" s="19"/>
      <c r="N543" s="17"/>
      <c r="Q543" s="20"/>
    </row>
    <row r="544" spans="1:17" s="1" customFormat="1" ht="14.25" customHeight="1" x14ac:dyDescent="0.25">
      <c r="A544" s="15"/>
      <c r="B544" s="15"/>
      <c r="C544" s="15"/>
      <c r="D544" s="20"/>
      <c r="E544" s="20"/>
      <c r="F544" s="20"/>
      <c r="G544" s="20"/>
      <c r="H544" s="20"/>
      <c r="I544" s="21"/>
      <c r="J544" s="15"/>
      <c r="K544" s="21"/>
      <c r="L544" s="10"/>
      <c r="M544" s="19"/>
      <c r="N544" s="17"/>
      <c r="Q544" s="20"/>
    </row>
    <row r="545" spans="1:17" s="1" customFormat="1" ht="14.25" customHeight="1" x14ac:dyDescent="0.25">
      <c r="A545" s="15"/>
      <c r="B545" s="15"/>
      <c r="C545" s="15"/>
      <c r="D545" s="20"/>
      <c r="E545" s="20"/>
      <c r="F545" s="20"/>
      <c r="G545" s="20"/>
      <c r="H545" s="20"/>
      <c r="I545" s="21"/>
      <c r="J545" s="15"/>
      <c r="K545" s="21"/>
      <c r="L545" s="10"/>
      <c r="M545" s="19"/>
      <c r="N545" s="17"/>
      <c r="Q545" s="20"/>
    </row>
    <row r="546" spans="1:17" s="1" customFormat="1" ht="14.25" customHeight="1" x14ac:dyDescent="0.25">
      <c r="A546" s="15"/>
      <c r="B546" s="15"/>
      <c r="C546" s="15"/>
      <c r="D546" s="20"/>
      <c r="E546" s="20"/>
      <c r="F546" s="20"/>
      <c r="G546" s="20"/>
      <c r="H546" s="20"/>
      <c r="I546" s="21"/>
      <c r="J546" s="15"/>
      <c r="K546" s="21"/>
      <c r="L546" s="10"/>
      <c r="M546" s="19"/>
      <c r="N546" s="17"/>
      <c r="Q546" s="20"/>
    </row>
    <row r="547" spans="1:17" s="1" customFormat="1" ht="14.25" customHeight="1" x14ac:dyDescent="0.25">
      <c r="A547" s="15"/>
      <c r="B547" s="15"/>
      <c r="C547" s="15"/>
      <c r="D547" s="20"/>
      <c r="E547" s="20"/>
      <c r="F547" s="20"/>
      <c r="G547" s="20"/>
      <c r="H547" s="20"/>
      <c r="I547" s="21"/>
      <c r="J547" s="15"/>
      <c r="K547" s="21"/>
      <c r="L547" s="10"/>
      <c r="M547" s="19"/>
      <c r="N547" s="17"/>
      <c r="Q547" s="20"/>
    </row>
    <row r="548" spans="1:17" s="1" customFormat="1" ht="14.25" customHeight="1" x14ac:dyDescent="0.25">
      <c r="A548" s="15"/>
      <c r="B548" s="15"/>
      <c r="C548" s="15"/>
      <c r="D548" s="20"/>
      <c r="E548" s="20"/>
      <c r="F548" s="20"/>
      <c r="G548" s="20"/>
      <c r="H548" s="20"/>
      <c r="I548" s="21"/>
      <c r="J548" s="15"/>
      <c r="K548" s="21"/>
      <c r="L548" s="10"/>
      <c r="M548" s="19"/>
      <c r="N548" s="17"/>
      <c r="Q548" s="20"/>
    </row>
    <row r="549" spans="1:17" s="1" customFormat="1" ht="14.25" customHeight="1" x14ac:dyDescent="0.25">
      <c r="A549" s="15"/>
      <c r="B549" s="15"/>
      <c r="C549" s="15"/>
      <c r="D549" s="20"/>
      <c r="E549" s="20"/>
      <c r="F549" s="20"/>
      <c r="G549" s="20"/>
      <c r="H549" s="20"/>
      <c r="I549" s="21"/>
      <c r="J549" s="15"/>
      <c r="K549" s="21"/>
      <c r="L549" s="10"/>
      <c r="M549" s="19"/>
      <c r="N549" s="17"/>
      <c r="Q549" s="20"/>
    </row>
    <row r="550" spans="1:17" s="1" customFormat="1" ht="14.25" customHeight="1" x14ac:dyDescent="0.25">
      <c r="A550" s="15"/>
      <c r="B550" s="15"/>
      <c r="C550" s="15"/>
      <c r="D550" s="20"/>
      <c r="E550" s="20"/>
      <c r="F550" s="20"/>
      <c r="G550" s="20"/>
      <c r="H550" s="20"/>
      <c r="I550" s="21"/>
      <c r="J550" s="15"/>
      <c r="K550" s="21"/>
      <c r="L550" s="10"/>
      <c r="M550" s="19"/>
      <c r="N550" s="17"/>
      <c r="Q550" s="20"/>
    </row>
    <row r="551" spans="1:17" s="1" customFormat="1" ht="14.25" customHeight="1" x14ac:dyDescent="0.25">
      <c r="A551" s="15"/>
      <c r="B551" s="15"/>
      <c r="C551" s="15"/>
      <c r="D551" s="20"/>
      <c r="E551" s="20"/>
      <c r="F551" s="20"/>
      <c r="G551" s="20"/>
      <c r="H551" s="20"/>
      <c r="I551" s="21"/>
      <c r="J551" s="15"/>
      <c r="K551" s="21"/>
      <c r="L551" s="10"/>
      <c r="M551" s="19"/>
      <c r="N551" s="17"/>
      <c r="Q551" s="20"/>
    </row>
    <row r="552" spans="1:17" s="1" customFormat="1" ht="14.25" customHeight="1" x14ac:dyDescent="0.25">
      <c r="A552" s="15"/>
      <c r="B552" s="15"/>
      <c r="C552" s="15"/>
      <c r="D552" s="20"/>
      <c r="E552" s="20"/>
      <c r="F552" s="20"/>
      <c r="G552" s="20"/>
      <c r="H552" s="20"/>
      <c r="I552" s="21"/>
      <c r="J552" s="15"/>
      <c r="K552" s="21"/>
      <c r="L552" s="10"/>
      <c r="M552" s="19"/>
      <c r="N552" s="17"/>
      <c r="Q552" s="20"/>
    </row>
    <row r="553" spans="1:17" s="1" customFormat="1" ht="14.25" customHeight="1" x14ac:dyDescent="0.25">
      <c r="A553" s="15"/>
      <c r="B553" s="15"/>
      <c r="C553" s="15"/>
      <c r="D553" s="20"/>
      <c r="E553" s="20"/>
      <c r="F553" s="20"/>
      <c r="G553" s="20"/>
      <c r="H553" s="20"/>
      <c r="I553" s="21"/>
      <c r="J553" s="15"/>
      <c r="K553" s="21"/>
      <c r="L553" s="10"/>
      <c r="M553" s="19"/>
      <c r="N553" s="17"/>
      <c r="Q553" s="20"/>
    </row>
    <row r="554" spans="1:17" s="1" customFormat="1" ht="14.25" customHeight="1" x14ac:dyDescent="0.25">
      <c r="A554" s="15"/>
      <c r="B554" s="15"/>
      <c r="C554" s="15"/>
      <c r="D554" s="20"/>
      <c r="E554" s="20"/>
      <c r="F554" s="20"/>
      <c r="G554" s="20"/>
      <c r="H554" s="20"/>
      <c r="I554" s="21"/>
      <c r="J554" s="15"/>
      <c r="K554" s="21"/>
      <c r="L554" s="10"/>
      <c r="M554" s="19"/>
      <c r="N554" s="17"/>
      <c r="Q554" s="20"/>
    </row>
    <row r="555" spans="1:17" s="1" customFormat="1" ht="14.25" customHeight="1" x14ac:dyDescent="0.25">
      <c r="A555" s="15"/>
      <c r="B555" s="15"/>
      <c r="C555" s="15"/>
      <c r="D555" s="20"/>
      <c r="E555" s="20"/>
      <c r="F555" s="20"/>
      <c r="G555" s="20"/>
      <c r="H555" s="20"/>
      <c r="I555" s="21"/>
      <c r="J555" s="15"/>
      <c r="K555" s="21"/>
      <c r="L555" s="10"/>
      <c r="M555" s="19"/>
      <c r="N555" s="17"/>
      <c r="Q555" s="20"/>
    </row>
    <row r="556" spans="1:17" s="1" customFormat="1" ht="14.25" customHeight="1" x14ac:dyDescent="0.25">
      <c r="A556" s="15"/>
      <c r="B556" s="15"/>
      <c r="C556" s="15"/>
      <c r="D556" s="20"/>
      <c r="E556" s="20"/>
      <c r="F556" s="20"/>
      <c r="G556" s="20"/>
      <c r="H556" s="20"/>
      <c r="I556" s="21"/>
      <c r="J556" s="15"/>
      <c r="K556" s="21"/>
      <c r="L556" s="10"/>
      <c r="M556" s="19"/>
      <c r="N556" s="17"/>
      <c r="Q556" s="20"/>
    </row>
    <row r="557" spans="1:17" s="1" customFormat="1" ht="14.25" customHeight="1" x14ac:dyDescent="0.25">
      <c r="A557" s="15"/>
      <c r="B557" s="15"/>
      <c r="C557" s="15"/>
      <c r="D557" s="20"/>
      <c r="E557" s="20"/>
      <c r="F557" s="20"/>
      <c r="G557" s="20"/>
      <c r="H557" s="20"/>
      <c r="I557" s="21"/>
      <c r="J557" s="15"/>
      <c r="K557" s="21"/>
      <c r="L557" s="10"/>
      <c r="M557" s="19"/>
      <c r="N557" s="17"/>
      <c r="Q557" s="20"/>
    </row>
    <row r="558" spans="1:17" s="1" customFormat="1" ht="14.25" customHeight="1" x14ac:dyDescent="0.25">
      <c r="A558" s="15"/>
      <c r="B558" s="15"/>
      <c r="C558" s="15"/>
      <c r="D558" s="20"/>
      <c r="E558" s="20"/>
      <c r="F558" s="20"/>
      <c r="G558" s="20"/>
      <c r="H558" s="20"/>
      <c r="I558" s="21"/>
      <c r="J558" s="15"/>
      <c r="K558" s="21"/>
      <c r="L558" s="10"/>
      <c r="M558" s="19"/>
      <c r="N558" s="17"/>
      <c r="Q558" s="20"/>
    </row>
    <row r="559" spans="1:17" s="1" customFormat="1" ht="14.25" customHeight="1" x14ac:dyDescent="0.25">
      <c r="A559" s="15"/>
      <c r="B559" s="15"/>
      <c r="C559" s="15"/>
      <c r="D559" s="20"/>
      <c r="E559" s="20"/>
      <c r="F559" s="20"/>
      <c r="G559" s="20"/>
      <c r="H559" s="20"/>
      <c r="I559" s="21"/>
      <c r="J559" s="15"/>
      <c r="K559" s="21"/>
      <c r="L559" s="10"/>
      <c r="M559" s="19"/>
      <c r="N559" s="17"/>
      <c r="Q559" s="20"/>
    </row>
    <row r="560" spans="1:17" s="1" customFormat="1" ht="14.25" customHeight="1" x14ac:dyDescent="0.25">
      <c r="A560" s="15"/>
      <c r="B560" s="15"/>
      <c r="C560" s="15"/>
      <c r="D560" s="20"/>
      <c r="E560" s="20"/>
      <c r="F560" s="20"/>
      <c r="G560" s="20"/>
      <c r="H560" s="20"/>
      <c r="I560" s="21"/>
      <c r="J560" s="15"/>
      <c r="K560" s="21"/>
      <c r="L560" s="10"/>
      <c r="M560" s="19"/>
      <c r="N560" s="17"/>
      <c r="Q560" s="20"/>
    </row>
    <row r="561" spans="1:17" s="1" customFormat="1" ht="14.25" customHeight="1" x14ac:dyDescent="0.25">
      <c r="A561" s="15"/>
      <c r="B561" s="15"/>
      <c r="C561" s="15"/>
      <c r="D561" s="20"/>
      <c r="E561" s="20"/>
      <c r="F561" s="20"/>
      <c r="G561" s="20"/>
      <c r="H561" s="20"/>
      <c r="I561" s="21"/>
      <c r="J561" s="15"/>
      <c r="K561" s="21"/>
      <c r="L561" s="10"/>
      <c r="M561" s="19"/>
      <c r="N561" s="17"/>
      <c r="Q561" s="20"/>
    </row>
    <row r="562" spans="1:17" s="1" customFormat="1" ht="14.25" customHeight="1" x14ac:dyDescent="0.25">
      <c r="A562" s="15"/>
      <c r="B562" s="15"/>
      <c r="C562" s="15"/>
      <c r="D562" s="20"/>
      <c r="E562" s="20"/>
      <c r="F562" s="20"/>
      <c r="G562" s="20"/>
      <c r="H562" s="20"/>
      <c r="I562" s="21"/>
      <c r="J562" s="15"/>
      <c r="K562" s="21"/>
      <c r="L562" s="10"/>
      <c r="M562" s="19"/>
      <c r="N562" s="17"/>
      <c r="Q562" s="20"/>
    </row>
    <row r="563" spans="1:17" s="1" customFormat="1" ht="14.25" customHeight="1" x14ac:dyDescent="0.25">
      <c r="A563" s="15"/>
      <c r="B563" s="15"/>
      <c r="C563" s="15"/>
      <c r="D563" s="20"/>
      <c r="E563" s="20"/>
      <c r="F563" s="20"/>
      <c r="G563" s="20"/>
      <c r="H563" s="20"/>
      <c r="I563" s="21"/>
      <c r="J563" s="15"/>
      <c r="K563" s="21"/>
      <c r="L563" s="10"/>
      <c r="M563" s="19"/>
      <c r="N563" s="17"/>
      <c r="Q563" s="20"/>
    </row>
    <row r="564" spans="1:17" s="1" customFormat="1" ht="14.25" customHeight="1" x14ac:dyDescent="0.25">
      <c r="A564" s="15"/>
      <c r="B564" s="15"/>
      <c r="C564" s="15"/>
      <c r="D564" s="20"/>
      <c r="E564" s="20"/>
      <c r="F564" s="20"/>
      <c r="G564" s="20"/>
      <c r="H564" s="20"/>
      <c r="I564" s="21"/>
      <c r="J564" s="15"/>
      <c r="K564" s="21"/>
      <c r="L564" s="10"/>
      <c r="M564" s="19"/>
      <c r="N564" s="17"/>
      <c r="Q564" s="20"/>
    </row>
    <row r="565" spans="1:17" s="1" customFormat="1" ht="14.25" customHeight="1" x14ac:dyDescent="0.25">
      <c r="A565" s="15"/>
      <c r="B565" s="15"/>
      <c r="C565" s="15"/>
      <c r="D565" s="20"/>
      <c r="E565" s="20"/>
      <c r="F565" s="20"/>
      <c r="G565" s="20"/>
      <c r="H565" s="20"/>
      <c r="I565" s="21"/>
      <c r="J565" s="15"/>
      <c r="K565" s="21"/>
      <c r="L565" s="10"/>
      <c r="M565" s="19"/>
      <c r="N565" s="17"/>
      <c r="Q565" s="20"/>
    </row>
    <row r="566" spans="1:17" s="1" customFormat="1" ht="14.25" customHeight="1" x14ac:dyDescent="0.25">
      <c r="A566" s="15"/>
      <c r="B566" s="15"/>
      <c r="C566" s="15"/>
      <c r="D566" s="20"/>
      <c r="E566" s="20"/>
      <c r="F566" s="20"/>
      <c r="G566" s="20"/>
      <c r="H566" s="20"/>
      <c r="I566" s="21"/>
      <c r="J566" s="15"/>
      <c r="K566" s="21"/>
      <c r="L566" s="10"/>
      <c r="M566" s="19"/>
      <c r="N566" s="17"/>
      <c r="Q566" s="20"/>
    </row>
    <row r="567" spans="1:17" s="1" customFormat="1" ht="14.25" customHeight="1" x14ac:dyDescent="0.25">
      <c r="A567" s="15"/>
      <c r="B567" s="15"/>
      <c r="C567" s="15"/>
      <c r="D567" s="20"/>
      <c r="E567" s="20"/>
      <c r="F567" s="20"/>
      <c r="G567" s="20"/>
      <c r="H567" s="20"/>
      <c r="I567" s="21"/>
      <c r="J567" s="15"/>
      <c r="K567" s="21"/>
      <c r="L567" s="10"/>
      <c r="M567" s="19"/>
      <c r="N567" s="17"/>
      <c r="Q567" s="20"/>
    </row>
    <row r="568" spans="1:17" s="1" customFormat="1" ht="14.25" customHeight="1" x14ac:dyDescent="0.25">
      <c r="A568" s="15"/>
      <c r="B568" s="15"/>
      <c r="C568" s="15"/>
      <c r="D568" s="20"/>
      <c r="E568" s="20"/>
      <c r="F568" s="20"/>
      <c r="G568" s="20"/>
      <c r="H568" s="20"/>
      <c r="I568" s="21"/>
      <c r="J568" s="15"/>
      <c r="K568" s="21"/>
      <c r="L568" s="10"/>
      <c r="M568" s="19"/>
      <c r="N568" s="17"/>
      <c r="Q568" s="20"/>
    </row>
    <row r="569" spans="1:17" s="1" customFormat="1" ht="14.25" customHeight="1" x14ac:dyDescent="0.25">
      <c r="A569" s="15"/>
      <c r="B569" s="15"/>
      <c r="C569" s="15"/>
      <c r="D569" s="20"/>
      <c r="E569" s="20"/>
      <c r="F569" s="20"/>
      <c r="G569" s="20"/>
      <c r="H569" s="20"/>
      <c r="I569" s="21"/>
      <c r="J569" s="15"/>
      <c r="K569" s="21"/>
      <c r="L569" s="10"/>
      <c r="M569" s="19"/>
      <c r="N569" s="17"/>
      <c r="Q569" s="20"/>
    </row>
    <row r="570" spans="1:17" s="1" customFormat="1" ht="14.25" customHeight="1" x14ac:dyDescent="0.25">
      <c r="A570" s="15"/>
      <c r="B570" s="15"/>
      <c r="C570" s="15"/>
      <c r="D570" s="20"/>
      <c r="E570" s="20"/>
      <c r="F570" s="20"/>
      <c r="G570" s="20"/>
      <c r="H570" s="20"/>
      <c r="I570" s="21"/>
      <c r="J570" s="15"/>
      <c r="K570" s="21"/>
      <c r="L570" s="10"/>
      <c r="M570" s="19"/>
      <c r="N570" s="17"/>
      <c r="Q570" s="20"/>
    </row>
    <row r="571" spans="1:17" s="1" customFormat="1" ht="14.25" customHeight="1" x14ac:dyDescent="0.25">
      <c r="A571" s="15"/>
      <c r="B571" s="15"/>
      <c r="C571" s="15"/>
      <c r="D571" s="20"/>
      <c r="E571" s="20"/>
      <c r="F571" s="20"/>
      <c r="G571" s="20"/>
      <c r="H571" s="20"/>
      <c r="I571" s="21"/>
      <c r="J571" s="15"/>
      <c r="K571" s="21"/>
      <c r="L571" s="10"/>
      <c r="M571" s="19"/>
      <c r="N571" s="17"/>
      <c r="Q571" s="20"/>
    </row>
    <row r="572" spans="1:17" s="1" customFormat="1" ht="14.25" customHeight="1" x14ac:dyDescent="0.25">
      <c r="A572" s="15"/>
      <c r="B572" s="15"/>
      <c r="C572" s="15"/>
      <c r="D572" s="20"/>
      <c r="E572" s="20"/>
      <c r="F572" s="20"/>
      <c r="G572" s="20"/>
      <c r="H572" s="20"/>
      <c r="I572" s="21"/>
      <c r="J572" s="15"/>
      <c r="K572" s="21"/>
      <c r="L572" s="10"/>
      <c r="M572" s="19"/>
      <c r="N572" s="17"/>
      <c r="Q572" s="20"/>
    </row>
    <row r="573" spans="1:17" s="1" customFormat="1" ht="14.25" customHeight="1" x14ac:dyDescent="0.25">
      <c r="A573" s="15"/>
      <c r="B573" s="15"/>
      <c r="C573" s="15"/>
      <c r="D573" s="20"/>
      <c r="E573" s="20"/>
      <c r="F573" s="20"/>
      <c r="G573" s="20"/>
      <c r="H573" s="20"/>
      <c r="I573" s="21"/>
      <c r="J573" s="15"/>
      <c r="K573" s="21"/>
      <c r="L573" s="10"/>
      <c r="M573" s="19"/>
      <c r="N573" s="17"/>
      <c r="Q573" s="20"/>
    </row>
    <row r="574" spans="1:17" s="1" customFormat="1" ht="14.25" customHeight="1" x14ac:dyDescent="0.25">
      <c r="A574" s="15"/>
      <c r="B574" s="15"/>
      <c r="C574" s="15"/>
      <c r="D574" s="20"/>
      <c r="E574" s="20"/>
      <c r="F574" s="20"/>
      <c r="G574" s="20"/>
      <c r="H574" s="20"/>
      <c r="I574" s="21"/>
      <c r="J574" s="15"/>
      <c r="K574" s="21"/>
      <c r="L574" s="10"/>
      <c r="M574" s="19"/>
      <c r="N574" s="17"/>
      <c r="Q574" s="20"/>
    </row>
    <row r="575" spans="1:17" s="1" customFormat="1" ht="14.25" customHeight="1" x14ac:dyDescent="0.25">
      <c r="A575" s="15"/>
      <c r="B575" s="15"/>
      <c r="C575" s="15"/>
      <c r="D575" s="20"/>
      <c r="E575" s="20"/>
      <c r="F575" s="20"/>
      <c r="G575" s="20"/>
      <c r="H575" s="20"/>
      <c r="I575" s="21"/>
      <c r="J575" s="15"/>
      <c r="K575" s="21"/>
      <c r="L575" s="10"/>
      <c r="M575" s="19"/>
      <c r="N575" s="17"/>
      <c r="Q575" s="20"/>
    </row>
    <row r="576" spans="1:17" s="1" customFormat="1" ht="14.25" customHeight="1" x14ac:dyDescent="0.25">
      <c r="A576" s="15"/>
      <c r="B576" s="15"/>
      <c r="C576" s="15"/>
      <c r="D576" s="20"/>
      <c r="E576" s="20"/>
      <c r="F576" s="20"/>
      <c r="G576" s="20"/>
      <c r="H576" s="20"/>
      <c r="I576" s="21"/>
      <c r="J576" s="15"/>
      <c r="K576" s="21"/>
      <c r="L576" s="10"/>
      <c r="M576" s="19"/>
      <c r="N576" s="17"/>
      <c r="Q576" s="20"/>
    </row>
    <row r="577" spans="1:17" s="1" customFormat="1" ht="14.25" customHeight="1" x14ac:dyDescent="0.25">
      <c r="A577" s="15"/>
      <c r="B577" s="15"/>
      <c r="C577" s="15"/>
      <c r="D577" s="20"/>
      <c r="E577" s="20"/>
      <c r="F577" s="20"/>
      <c r="G577" s="20"/>
      <c r="H577" s="20"/>
      <c r="I577" s="21"/>
      <c r="J577" s="15"/>
      <c r="K577" s="21"/>
      <c r="L577" s="10"/>
      <c r="M577" s="19"/>
      <c r="N577" s="17"/>
      <c r="Q577" s="20"/>
    </row>
    <row r="578" spans="1:17" s="1" customFormat="1" ht="14.25" customHeight="1" x14ac:dyDescent="0.25">
      <c r="A578" s="15"/>
      <c r="B578" s="15"/>
      <c r="C578" s="15"/>
      <c r="D578" s="20"/>
      <c r="E578" s="20"/>
      <c r="F578" s="20"/>
      <c r="G578" s="20"/>
      <c r="H578" s="20"/>
      <c r="I578" s="21"/>
      <c r="J578" s="15"/>
      <c r="K578" s="21"/>
      <c r="L578" s="10"/>
      <c r="M578" s="19"/>
      <c r="N578" s="17"/>
      <c r="Q578" s="20"/>
    </row>
    <row r="579" spans="1:17" s="1" customFormat="1" ht="14.25" customHeight="1" x14ac:dyDescent="0.25">
      <c r="A579" s="15"/>
      <c r="B579" s="15"/>
      <c r="C579" s="15"/>
      <c r="D579" s="20"/>
      <c r="E579" s="20"/>
      <c r="F579" s="20"/>
      <c r="G579" s="20"/>
      <c r="H579" s="20"/>
      <c r="I579" s="21"/>
      <c r="J579" s="15"/>
      <c r="K579" s="21"/>
      <c r="L579" s="10"/>
      <c r="M579" s="19"/>
      <c r="N579" s="17"/>
      <c r="Q579" s="20"/>
    </row>
    <row r="580" spans="1:17" s="1" customFormat="1" ht="14.25" customHeight="1" x14ac:dyDescent="0.25">
      <c r="A580" s="15"/>
      <c r="B580" s="15"/>
      <c r="C580" s="15"/>
      <c r="D580" s="20"/>
      <c r="E580" s="20"/>
      <c r="F580" s="20"/>
      <c r="G580" s="20"/>
      <c r="H580" s="20"/>
      <c r="I580" s="21"/>
      <c r="J580" s="15"/>
      <c r="K580" s="21"/>
      <c r="L580" s="10"/>
      <c r="M580" s="19"/>
      <c r="N580" s="17"/>
      <c r="Q580" s="20"/>
    </row>
    <row r="581" spans="1:17" s="1" customFormat="1" ht="14.25" customHeight="1" x14ac:dyDescent="0.25">
      <c r="A581" s="15"/>
      <c r="B581" s="15"/>
      <c r="C581" s="15"/>
      <c r="D581" s="20"/>
      <c r="E581" s="20"/>
      <c r="F581" s="20"/>
      <c r="G581" s="20"/>
      <c r="H581" s="20"/>
      <c r="I581" s="21"/>
      <c r="J581" s="15"/>
      <c r="K581" s="21"/>
      <c r="L581" s="10"/>
      <c r="M581" s="19"/>
      <c r="N581" s="17"/>
      <c r="Q581" s="20"/>
    </row>
    <row r="582" spans="1:17" s="1" customFormat="1" ht="14.25" customHeight="1" x14ac:dyDescent="0.25">
      <c r="A582" s="15"/>
      <c r="B582" s="15"/>
      <c r="C582" s="15"/>
      <c r="D582" s="20"/>
      <c r="E582" s="20"/>
      <c r="F582" s="20"/>
      <c r="G582" s="20"/>
      <c r="H582" s="20"/>
      <c r="I582" s="21"/>
      <c r="J582" s="15"/>
      <c r="K582" s="21"/>
      <c r="L582" s="10"/>
      <c r="M582" s="19"/>
      <c r="N582" s="17"/>
      <c r="Q582" s="20"/>
    </row>
    <row r="583" spans="1:17" s="1" customFormat="1" ht="14.25" customHeight="1" x14ac:dyDescent="0.25">
      <c r="A583" s="15"/>
      <c r="B583" s="15"/>
      <c r="C583" s="15"/>
      <c r="D583" s="20"/>
      <c r="E583" s="20"/>
      <c r="F583" s="20"/>
      <c r="G583" s="20"/>
      <c r="H583" s="20"/>
      <c r="I583" s="21"/>
      <c r="J583" s="15"/>
      <c r="K583" s="21"/>
      <c r="L583" s="10"/>
      <c r="M583" s="19"/>
      <c r="N583" s="17"/>
      <c r="Q583" s="20"/>
    </row>
    <row r="584" spans="1:17" s="1" customFormat="1" ht="14.25" customHeight="1" x14ac:dyDescent="0.25">
      <c r="A584" s="15"/>
      <c r="B584" s="15"/>
      <c r="C584" s="15"/>
      <c r="D584" s="20"/>
      <c r="E584" s="20"/>
      <c r="F584" s="20"/>
      <c r="G584" s="20"/>
      <c r="H584" s="20"/>
      <c r="I584" s="21"/>
      <c r="J584" s="15"/>
      <c r="K584" s="21"/>
      <c r="L584" s="10"/>
      <c r="M584" s="19"/>
      <c r="N584" s="17"/>
      <c r="Q584" s="20"/>
    </row>
    <row r="585" spans="1:17" s="1" customFormat="1" ht="14.25" customHeight="1" x14ac:dyDescent="0.25">
      <c r="A585" s="15"/>
      <c r="B585" s="15"/>
      <c r="C585" s="15"/>
      <c r="D585" s="20"/>
      <c r="E585" s="20"/>
      <c r="F585" s="20"/>
      <c r="G585" s="20"/>
      <c r="H585" s="20"/>
      <c r="I585" s="21"/>
      <c r="J585" s="15"/>
      <c r="K585" s="21"/>
      <c r="L585" s="10"/>
      <c r="M585" s="19"/>
      <c r="N585" s="17"/>
      <c r="Q585" s="20"/>
    </row>
    <row r="586" spans="1:17" s="1" customFormat="1" ht="14.25" customHeight="1" x14ac:dyDescent="0.25">
      <c r="A586" s="15"/>
      <c r="B586" s="15"/>
      <c r="C586" s="15"/>
      <c r="D586" s="20"/>
      <c r="E586" s="20"/>
      <c r="F586" s="20"/>
      <c r="G586" s="20"/>
      <c r="H586" s="20"/>
      <c r="I586" s="21"/>
      <c r="J586" s="15"/>
      <c r="K586" s="21"/>
      <c r="L586" s="10"/>
      <c r="M586" s="19"/>
      <c r="N586" s="17"/>
      <c r="Q586" s="20"/>
    </row>
    <row r="587" spans="1:17" s="1" customFormat="1" ht="14.25" customHeight="1" x14ac:dyDescent="0.25">
      <c r="A587" s="15"/>
      <c r="B587" s="15"/>
      <c r="C587" s="15"/>
      <c r="D587" s="20"/>
      <c r="E587" s="20"/>
      <c r="F587" s="20"/>
      <c r="G587" s="20"/>
      <c r="H587" s="20"/>
      <c r="I587" s="21"/>
      <c r="J587" s="15"/>
      <c r="K587" s="21"/>
      <c r="L587" s="10"/>
      <c r="M587" s="19"/>
      <c r="N587" s="17"/>
      <c r="Q587" s="20"/>
    </row>
    <row r="588" spans="1:17" s="1" customFormat="1" ht="14.25" customHeight="1" x14ac:dyDescent="0.25">
      <c r="A588" s="15"/>
      <c r="B588" s="15"/>
      <c r="C588" s="15"/>
      <c r="D588" s="20"/>
      <c r="E588" s="20"/>
      <c r="F588" s="20"/>
      <c r="G588" s="20"/>
      <c r="H588" s="20"/>
      <c r="I588" s="21"/>
      <c r="J588" s="15"/>
      <c r="K588" s="21"/>
      <c r="L588" s="10"/>
      <c r="M588" s="19"/>
      <c r="N588" s="17"/>
      <c r="Q588" s="20"/>
    </row>
    <row r="589" spans="1:17" s="1" customFormat="1" ht="14.25" customHeight="1" x14ac:dyDescent="0.25">
      <c r="A589" s="15"/>
      <c r="B589" s="15"/>
      <c r="C589" s="15"/>
      <c r="D589" s="20"/>
      <c r="E589" s="20"/>
      <c r="F589" s="20"/>
      <c r="G589" s="20"/>
      <c r="H589" s="20"/>
      <c r="I589" s="21"/>
      <c r="J589" s="15"/>
      <c r="K589" s="21"/>
      <c r="L589" s="10"/>
      <c r="M589" s="19"/>
      <c r="N589" s="17"/>
      <c r="Q589" s="20"/>
    </row>
    <row r="590" spans="1:17" s="1" customFormat="1" ht="14.25" customHeight="1" x14ac:dyDescent="0.25">
      <c r="A590" s="15"/>
      <c r="B590" s="15"/>
      <c r="C590" s="15"/>
      <c r="D590" s="20"/>
      <c r="E590" s="20"/>
      <c r="F590" s="20"/>
      <c r="G590" s="20"/>
      <c r="H590" s="20"/>
      <c r="I590" s="21"/>
      <c r="J590" s="15"/>
      <c r="K590" s="21"/>
      <c r="L590" s="10"/>
      <c r="M590" s="19"/>
      <c r="N590" s="17"/>
      <c r="Q590" s="20"/>
    </row>
    <row r="591" spans="1:17" s="1" customFormat="1" ht="14.25" customHeight="1" x14ac:dyDescent="0.25">
      <c r="A591" s="15"/>
      <c r="B591" s="15"/>
      <c r="C591" s="15"/>
      <c r="D591" s="20"/>
      <c r="E591" s="20"/>
      <c r="F591" s="20"/>
      <c r="G591" s="20"/>
      <c r="H591" s="20"/>
      <c r="I591" s="21"/>
      <c r="J591" s="15"/>
      <c r="K591" s="21"/>
      <c r="L591" s="10"/>
      <c r="M591" s="19"/>
      <c r="N591" s="17"/>
      <c r="Q591" s="20"/>
    </row>
    <row r="592" spans="1:17" s="1" customFormat="1" ht="14.25" customHeight="1" x14ac:dyDescent="0.25">
      <c r="A592" s="15"/>
      <c r="B592" s="15"/>
      <c r="C592" s="15"/>
      <c r="D592" s="20"/>
      <c r="E592" s="20"/>
      <c r="F592" s="20"/>
      <c r="G592" s="20"/>
      <c r="H592" s="20"/>
      <c r="I592" s="21"/>
      <c r="J592" s="15"/>
      <c r="K592" s="21"/>
      <c r="L592" s="10"/>
      <c r="M592" s="19"/>
      <c r="N592" s="17"/>
      <c r="Q592" s="20"/>
    </row>
    <row r="593" spans="1:17" s="1" customFormat="1" ht="14.25" customHeight="1" x14ac:dyDescent="0.25">
      <c r="A593" s="15"/>
      <c r="B593" s="15"/>
      <c r="C593" s="15"/>
      <c r="D593" s="20"/>
      <c r="E593" s="20"/>
      <c r="F593" s="20"/>
      <c r="G593" s="20"/>
      <c r="H593" s="20"/>
      <c r="I593" s="21"/>
      <c r="J593" s="15"/>
      <c r="K593" s="21"/>
      <c r="L593" s="10"/>
      <c r="M593" s="19"/>
      <c r="N593" s="17"/>
      <c r="Q593" s="20"/>
    </row>
    <row r="594" spans="1:17" s="1" customFormat="1" ht="14.25" customHeight="1" x14ac:dyDescent="0.25">
      <c r="A594" s="15"/>
      <c r="B594" s="15"/>
      <c r="C594" s="15"/>
      <c r="D594" s="20"/>
      <c r="E594" s="20"/>
      <c r="F594" s="20"/>
      <c r="G594" s="20"/>
      <c r="H594" s="20"/>
      <c r="I594" s="21"/>
      <c r="J594" s="15"/>
      <c r="K594" s="21"/>
      <c r="L594" s="10"/>
      <c r="M594" s="19"/>
      <c r="N594" s="17"/>
      <c r="Q594" s="20"/>
    </row>
    <row r="595" spans="1:17" s="1" customFormat="1" ht="14.25" customHeight="1" x14ac:dyDescent="0.25">
      <c r="A595" s="15"/>
      <c r="B595" s="15"/>
      <c r="C595" s="15"/>
      <c r="D595" s="20"/>
      <c r="E595" s="20"/>
      <c r="F595" s="20"/>
      <c r="G595" s="20"/>
      <c r="H595" s="20"/>
      <c r="I595" s="21"/>
      <c r="J595" s="15"/>
      <c r="K595" s="21"/>
      <c r="L595" s="10"/>
      <c r="M595" s="19"/>
      <c r="N595" s="17"/>
      <c r="Q595" s="20"/>
    </row>
    <row r="596" spans="1:17" s="1" customFormat="1" ht="14.25" customHeight="1" x14ac:dyDescent="0.25">
      <c r="A596" s="15"/>
      <c r="B596" s="15"/>
      <c r="C596" s="15"/>
      <c r="D596" s="20"/>
      <c r="E596" s="20"/>
      <c r="F596" s="20"/>
      <c r="G596" s="20"/>
      <c r="H596" s="20"/>
      <c r="I596" s="21"/>
      <c r="J596" s="15"/>
      <c r="K596" s="21"/>
      <c r="L596" s="10"/>
      <c r="M596" s="19"/>
      <c r="N596" s="17"/>
      <c r="Q596" s="20"/>
    </row>
    <row r="597" spans="1:17" s="1" customFormat="1" ht="14.25" customHeight="1" x14ac:dyDescent="0.25">
      <c r="A597" s="15"/>
      <c r="B597" s="15"/>
      <c r="C597" s="15"/>
      <c r="D597" s="20"/>
      <c r="E597" s="20"/>
      <c r="F597" s="20"/>
      <c r="G597" s="20"/>
      <c r="H597" s="20"/>
      <c r="I597" s="21"/>
      <c r="J597" s="15"/>
      <c r="K597" s="21"/>
      <c r="L597" s="10"/>
      <c r="M597" s="19"/>
      <c r="N597" s="17"/>
      <c r="Q597" s="20"/>
    </row>
    <row r="598" spans="1:17" s="1" customFormat="1" ht="14.25" customHeight="1" x14ac:dyDescent="0.25">
      <c r="A598" s="15"/>
      <c r="B598" s="15"/>
      <c r="C598" s="15"/>
      <c r="D598" s="20"/>
      <c r="E598" s="20"/>
      <c r="F598" s="20"/>
      <c r="G598" s="20"/>
      <c r="H598" s="20"/>
      <c r="I598" s="21"/>
      <c r="J598" s="15"/>
      <c r="K598" s="21"/>
      <c r="L598" s="10"/>
      <c r="M598" s="19"/>
      <c r="N598" s="17"/>
      <c r="Q598" s="20"/>
    </row>
    <row r="599" spans="1:17" s="1" customFormat="1" ht="14.25" customHeight="1" x14ac:dyDescent="0.25">
      <c r="A599" s="15"/>
      <c r="B599" s="15"/>
      <c r="C599" s="15"/>
      <c r="D599" s="20"/>
      <c r="E599" s="20"/>
      <c r="F599" s="20"/>
      <c r="G599" s="20"/>
      <c r="H599" s="20"/>
      <c r="I599" s="21"/>
      <c r="J599" s="15"/>
      <c r="K599" s="21"/>
      <c r="L599" s="10"/>
      <c r="M599" s="19"/>
      <c r="N599" s="17"/>
      <c r="Q599" s="20"/>
    </row>
    <row r="600" spans="1:17" s="1" customFormat="1" ht="14.25" customHeight="1" x14ac:dyDescent="0.25">
      <c r="A600" s="15"/>
      <c r="B600" s="15"/>
      <c r="C600" s="15"/>
      <c r="D600" s="20"/>
      <c r="E600" s="20"/>
      <c r="F600" s="20"/>
      <c r="G600" s="20"/>
      <c r="H600" s="20"/>
      <c r="I600" s="21"/>
      <c r="J600" s="15"/>
      <c r="K600" s="21"/>
      <c r="L600" s="10"/>
      <c r="M600" s="19"/>
      <c r="N600" s="17"/>
      <c r="Q600" s="20"/>
    </row>
    <row r="601" spans="1:17" s="1" customFormat="1" ht="14.25" customHeight="1" x14ac:dyDescent="0.25">
      <c r="A601" s="15"/>
      <c r="B601" s="15"/>
      <c r="C601" s="15"/>
      <c r="D601" s="20"/>
      <c r="E601" s="20"/>
      <c r="F601" s="20"/>
      <c r="G601" s="20"/>
      <c r="H601" s="20"/>
      <c r="I601" s="21"/>
      <c r="J601" s="15"/>
      <c r="K601" s="21"/>
      <c r="L601" s="10"/>
      <c r="M601" s="19"/>
      <c r="N601" s="17"/>
      <c r="Q601" s="20"/>
    </row>
    <row r="602" spans="1:17" s="1" customFormat="1" ht="14.25" customHeight="1" x14ac:dyDescent="0.25">
      <c r="A602" s="15"/>
      <c r="B602" s="15"/>
      <c r="C602" s="15"/>
      <c r="D602" s="20"/>
      <c r="E602" s="20"/>
      <c r="F602" s="20"/>
      <c r="G602" s="20"/>
      <c r="H602" s="20"/>
      <c r="I602" s="21"/>
      <c r="J602" s="15"/>
      <c r="K602" s="21"/>
      <c r="L602" s="10"/>
      <c r="M602" s="19"/>
      <c r="N602" s="17"/>
      <c r="Q602" s="20"/>
    </row>
    <row r="603" spans="1:17" s="1" customFormat="1" ht="14.25" customHeight="1" x14ac:dyDescent="0.25">
      <c r="A603" s="15"/>
      <c r="B603" s="15"/>
      <c r="C603" s="15"/>
      <c r="D603" s="20"/>
      <c r="E603" s="20"/>
      <c r="F603" s="20"/>
      <c r="G603" s="20"/>
      <c r="H603" s="20"/>
      <c r="I603" s="21"/>
      <c r="J603" s="15"/>
      <c r="K603" s="21"/>
      <c r="L603" s="10"/>
      <c r="M603" s="19"/>
      <c r="N603" s="17"/>
      <c r="Q603" s="20"/>
    </row>
    <row r="604" spans="1:17" s="1" customFormat="1" ht="14.25" customHeight="1" x14ac:dyDescent="0.25">
      <c r="A604" s="15"/>
      <c r="B604" s="15"/>
      <c r="C604" s="15"/>
      <c r="D604" s="20"/>
      <c r="E604" s="20"/>
      <c r="F604" s="20"/>
      <c r="G604" s="20"/>
      <c r="H604" s="20"/>
      <c r="I604" s="21"/>
      <c r="J604" s="15"/>
      <c r="K604" s="21"/>
      <c r="L604" s="10"/>
      <c r="M604" s="19"/>
      <c r="N604" s="17"/>
      <c r="Q604" s="20"/>
    </row>
    <row r="605" spans="1:17" s="1" customFormat="1" ht="14.25" customHeight="1" x14ac:dyDescent="0.25">
      <c r="A605" s="15"/>
      <c r="B605" s="15"/>
      <c r="C605" s="15"/>
      <c r="D605" s="20"/>
      <c r="E605" s="20"/>
      <c r="F605" s="20"/>
      <c r="G605" s="20"/>
      <c r="H605" s="20"/>
      <c r="I605" s="21"/>
      <c r="J605" s="15"/>
      <c r="K605" s="21"/>
      <c r="L605" s="10"/>
      <c r="M605" s="19"/>
      <c r="N605" s="17"/>
      <c r="Q605" s="20"/>
    </row>
    <row r="606" spans="1:17" s="1" customFormat="1" ht="14.25" customHeight="1" x14ac:dyDescent="0.25">
      <c r="A606" s="15"/>
      <c r="B606" s="15"/>
      <c r="C606" s="15"/>
      <c r="D606" s="20"/>
      <c r="E606" s="20"/>
      <c r="F606" s="20"/>
      <c r="G606" s="20"/>
      <c r="H606" s="20"/>
      <c r="I606" s="21"/>
      <c r="J606" s="15"/>
      <c r="K606" s="21"/>
      <c r="L606" s="10"/>
      <c r="M606" s="19"/>
      <c r="N606" s="17"/>
      <c r="Q606" s="20"/>
    </row>
    <row r="607" spans="1:17" s="1" customFormat="1" ht="14.25" customHeight="1" x14ac:dyDescent="0.25">
      <c r="A607" s="15"/>
      <c r="B607" s="15"/>
      <c r="C607" s="15"/>
      <c r="D607" s="20"/>
      <c r="E607" s="20"/>
      <c r="F607" s="20"/>
      <c r="G607" s="20"/>
      <c r="H607" s="20"/>
      <c r="I607" s="21"/>
      <c r="J607" s="15"/>
      <c r="K607" s="21"/>
      <c r="L607" s="10"/>
      <c r="M607" s="19"/>
      <c r="N607" s="17"/>
      <c r="Q607" s="20"/>
    </row>
    <row r="608" spans="1:17" s="1" customFormat="1" ht="14.25" customHeight="1" x14ac:dyDescent="0.25">
      <c r="A608" s="15"/>
      <c r="B608" s="15"/>
      <c r="C608" s="15"/>
      <c r="D608" s="20"/>
      <c r="E608" s="20"/>
      <c r="F608" s="20"/>
      <c r="G608" s="20"/>
      <c r="H608" s="20"/>
      <c r="I608" s="21"/>
      <c r="J608" s="15"/>
      <c r="K608" s="21"/>
      <c r="L608" s="10"/>
      <c r="M608" s="19"/>
      <c r="N608" s="17"/>
      <c r="Q608" s="20"/>
    </row>
    <row r="609" spans="1:17" s="1" customFormat="1" ht="14.25" customHeight="1" x14ac:dyDescent="0.25">
      <c r="A609" s="15"/>
      <c r="B609" s="15"/>
      <c r="C609" s="15"/>
      <c r="D609" s="20"/>
      <c r="E609" s="20"/>
      <c r="F609" s="20"/>
      <c r="G609" s="20"/>
      <c r="H609" s="20"/>
      <c r="I609" s="21"/>
      <c r="J609" s="15"/>
      <c r="K609" s="21"/>
      <c r="L609" s="10"/>
      <c r="M609" s="19"/>
      <c r="N609" s="17"/>
      <c r="Q609" s="20"/>
    </row>
    <row r="610" spans="1:17" s="1" customFormat="1" ht="14.25" customHeight="1" x14ac:dyDescent="0.25">
      <c r="A610" s="15"/>
      <c r="B610" s="15"/>
      <c r="C610" s="15"/>
      <c r="D610" s="20"/>
      <c r="E610" s="20"/>
      <c r="F610" s="20"/>
      <c r="G610" s="20"/>
      <c r="H610" s="20"/>
      <c r="I610" s="21"/>
      <c r="J610" s="15"/>
      <c r="K610" s="21"/>
      <c r="L610" s="10"/>
      <c r="M610" s="19"/>
      <c r="N610" s="17"/>
      <c r="Q610" s="20"/>
    </row>
    <row r="611" spans="1:17" s="1" customFormat="1" ht="14.25" customHeight="1" x14ac:dyDescent="0.25">
      <c r="A611" s="15"/>
      <c r="B611" s="15"/>
      <c r="C611" s="15"/>
      <c r="D611" s="20"/>
      <c r="E611" s="20"/>
      <c r="F611" s="20"/>
      <c r="G611" s="20"/>
      <c r="H611" s="20"/>
      <c r="I611" s="21"/>
      <c r="J611" s="15"/>
      <c r="K611" s="21"/>
      <c r="L611" s="10"/>
      <c r="M611" s="19"/>
      <c r="N611" s="17"/>
      <c r="Q611" s="20"/>
    </row>
    <row r="612" spans="1:17" s="1" customFormat="1" ht="14.25" customHeight="1" x14ac:dyDescent="0.25">
      <c r="A612" s="15"/>
      <c r="B612" s="15"/>
      <c r="C612" s="15"/>
      <c r="D612" s="20"/>
      <c r="E612" s="20"/>
      <c r="F612" s="20"/>
      <c r="G612" s="20"/>
      <c r="H612" s="20"/>
      <c r="I612" s="21"/>
      <c r="J612" s="15"/>
      <c r="K612" s="21"/>
      <c r="L612" s="10"/>
      <c r="M612" s="19"/>
      <c r="N612" s="17"/>
      <c r="Q612" s="20"/>
    </row>
    <row r="613" spans="1:17" s="1" customFormat="1" ht="14.25" customHeight="1" x14ac:dyDescent="0.25">
      <c r="A613" s="15"/>
      <c r="B613" s="15"/>
      <c r="C613" s="15"/>
      <c r="D613" s="20"/>
      <c r="E613" s="20"/>
      <c r="F613" s="20"/>
      <c r="G613" s="20"/>
      <c r="H613" s="20"/>
      <c r="I613" s="21"/>
      <c r="J613" s="15"/>
      <c r="K613" s="21"/>
      <c r="L613" s="10"/>
      <c r="M613" s="19"/>
      <c r="N613" s="17"/>
      <c r="Q613" s="20"/>
    </row>
    <row r="614" spans="1:17" s="1" customFormat="1" ht="14.25" customHeight="1" x14ac:dyDescent="0.25">
      <c r="A614" s="15"/>
      <c r="B614" s="15"/>
      <c r="C614" s="15"/>
      <c r="D614" s="20"/>
      <c r="E614" s="20"/>
      <c r="F614" s="20"/>
      <c r="G614" s="20"/>
      <c r="H614" s="20"/>
      <c r="I614" s="21"/>
      <c r="J614" s="15"/>
      <c r="K614" s="21"/>
      <c r="L614" s="10"/>
      <c r="M614" s="19"/>
      <c r="N614" s="17"/>
      <c r="Q614" s="20"/>
    </row>
    <row r="615" spans="1:17" s="1" customFormat="1" ht="14.25" customHeight="1" x14ac:dyDescent="0.25">
      <c r="A615" s="15"/>
      <c r="B615" s="15"/>
      <c r="C615" s="15"/>
      <c r="D615" s="20"/>
      <c r="E615" s="20"/>
      <c r="F615" s="20"/>
      <c r="G615" s="20"/>
      <c r="H615" s="20"/>
      <c r="I615" s="21"/>
      <c r="J615" s="15"/>
      <c r="K615" s="21"/>
      <c r="L615" s="10"/>
      <c r="M615" s="19"/>
      <c r="N615" s="17"/>
      <c r="Q615" s="20"/>
    </row>
    <row r="616" spans="1:17" s="1" customFormat="1" ht="14.25" customHeight="1" x14ac:dyDescent="0.25">
      <c r="A616" s="15"/>
      <c r="B616" s="15"/>
      <c r="C616" s="15"/>
      <c r="D616" s="20"/>
      <c r="E616" s="20"/>
      <c r="F616" s="20"/>
      <c r="G616" s="20"/>
      <c r="H616" s="20"/>
      <c r="I616" s="21"/>
      <c r="J616" s="15"/>
      <c r="K616" s="21"/>
      <c r="L616" s="10"/>
      <c r="M616" s="19"/>
      <c r="N616" s="17"/>
      <c r="Q616" s="20"/>
    </row>
    <row r="617" spans="1:17" s="1" customFormat="1" ht="14.25" customHeight="1" x14ac:dyDescent="0.25">
      <c r="A617" s="15"/>
      <c r="B617" s="15"/>
      <c r="C617" s="15"/>
      <c r="D617" s="20"/>
      <c r="E617" s="20"/>
      <c r="F617" s="20"/>
      <c r="G617" s="20"/>
      <c r="H617" s="20"/>
      <c r="I617" s="21"/>
      <c r="J617" s="15"/>
      <c r="K617" s="21"/>
      <c r="L617" s="10"/>
      <c r="M617" s="19"/>
      <c r="N617" s="17"/>
      <c r="Q617" s="20"/>
    </row>
    <row r="618" spans="1:17" s="1" customFormat="1" ht="14.25" customHeight="1" x14ac:dyDescent="0.25">
      <c r="A618" s="15"/>
      <c r="B618" s="15"/>
      <c r="C618" s="15"/>
      <c r="D618" s="20"/>
      <c r="E618" s="20"/>
      <c r="F618" s="20"/>
      <c r="G618" s="20"/>
      <c r="H618" s="20"/>
      <c r="I618" s="21"/>
      <c r="J618" s="15"/>
      <c r="K618" s="21"/>
      <c r="L618" s="10"/>
      <c r="M618" s="19"/>
      <c r="N618" s="17"/>
      <c r="Q618" s="20"/>
    </row>
    <row r="619" spans="1:17" s="1" customFormat="1" ht="14.25" customHeight="1" x14ac:dyDescent="0.25">
      <c r="A619" s="15"/>
      <c r="B619" s="15"/>
      <c r="C619" s="15"/>
      <c r="D619" s="20"/>
      <c r="E619" s="20"/>
      <c r="F619" s="20"/>
      <c r="G619" s="20"/>
      <c r="H619" s="20"/>
      <c r="I619" s="21"/>
      <c r="J619" s="15"/>
      <c r="K619" s="21"/>
      <c r="L619" s="10"/>
      <c r="M619" s="19"/>
      <c r="N619" s="17"/>
      <c r="Q619" s="20"/>
    </row>
    <row r="620" spans="1:17" s="1" customFormat="1" ht="14.25" customHeight="1" x14ac:dyDescent="0.25">
      <c r="A620" s="15"/>
      <c r="B620" s="15"/>
      <c r="C620" s="15"/>
      <c r="D620" s="20"/>
      <c r="E620" s="20"/>
      <c r="F620" s="20"/>
      <c r="G620" s="20"/>
      <c r="H620" s="20"/>
      <c r="I620" s="21"/>
      <c r="J620" s="15"/>
      <c r="K620" s="21"/>
      <c r="L620" s="10"/>
      <c r="M620" s="19"/>
      <c r="N620" s="17"/>
      <c r="Q620" s="20"/>
    </row>
    <row r="621" spans="1:17" s="1" customFormat="1" ht="14.25" customHeight="1" x14ac:dyDescent="0.25">
      <c r="A621" s="15"/>
      <c r="B621" s="15"/>
      <c r="C621" s="15"/>
      <c r="D621" s="20"/>
      <c r="E621" s="20"/>
      <c r="F621" s="20"/>
      <c r="G621" s="20"/>
      <c r="H621" s="20"/>
      <c r="I621" s="21"/>
      <c r="J621" s="15"/>
      <c r="K621" s="21"/>
      <c r="L621" s="10"/>
      <c r="M621" s="19"/>
      <c r="N621" s="17"/>
      <c r="Q621" s="20"/>
    </row>
    <row r="622" spans="1:17" s="1" customFormat="1" ht="14.25" customHeight="1" x14ac:dyDescent="0.25">
      <c r="A622" s="15"/>
      <c r="B622" s="15"/>
      <c r="C622" s="15"/>
      <c r="D622" s="20"/>
      <c r="E622" s="20"/>
      <c r="F622" s="20"/>
      <c r="G622" s="20"/>
      <c r="H622" s="20"/>
      <c r="I622" s="21"/>
      <c r="J622" s="15"/>
      <c r="K622" s="21"/>
      <c r="L622" s="10"/>
      <c r="M622" s="19"/>
      <c r="N622" s="17"/>
      <c r="Q622" s="20"/>
    </row>
    <row r="623" spans="1:17" s="1" customFormat="1" ht="14.25" customHeight="1" x14ac:dyDescent="0.25">
      <c r="A623" s="15"/>
      <c r="B623" s="15"/>
      <c r="C623" s="15"/>
      <c r="D623" s="20"/>
      <c r="E623" s="20"/>
      <c r="F623" s="20"/>
      <c r="G623" s="20"/>
      <c r="H623" s="20"/>
      <c r="I623" s="21"/>
      <c r="J623" s="15"/>
      <c r="K623" s="21"/>
      <c r="L623" s="10"/>
      <c r="M623" s="19"/>
      <c r="N623" s="17"/>
      <c r="Q623" s="20"/>
    </row>
    <row r="624" spans="1:17" s="1" customFormat="1" ht="14.25" customHeight="1" x14ac:dyDescent="0.25">
      <c r="A624" s="15"/>
      <c r="B624" s="15"/>
      <c r="C624" s="15"/>
      <c r="D624" s="20"/>
      <c r="E624" s="20"/>
      <c r="F624" s="20"/>
      <c r="G624" s="20"/>
      <c r="H624" s="20"/>
      <c r="I624" s="21"/>
      <c r="J624" s="15"/>
      <c r="K624" s="21"/>
      <c r="L624" s="10"/>
      <c r="M624" s="19"/>
      <c r="N624" s="17"/>
      <c r="Q624" s="20"/>
    </row>
    <row r="625" spans="1:17" s="1" customFormat="1" ht="14.25" customHeight="1" x14ac:dyDescent="0.25">
      <c r="A625" s="15"/>
      <c r="B625" s="15"/>
      <c r="C625" s="15"/>
      <c r="D625" s="20"/>
      <c r="E625" s="20"/>
      <c r="F625" s="20"/>
      <c r="G625" s="20"/>
      <c r="H625" s="20"/>
      <c r="I625" s="21"/>
      <c r="J625" s="15"/>
      <c r="K625" s="21"/>
      <c r="L625" s="10"/>
      <c r="M625" s="19"/>
      <c r="N625" s="17"/>
      <c r="Q625" s="20"/>
    </row>
    <row r="626" spans="1:17" s="1" customFormat="1" ht="14.25" customHeight="1" x14ac:dyDescent="0.25">
      <c r="A626" s="15"/>
      <c r="B626" s="15"/>
      <c r="C626" s="15"/>
      <c r="D626" s="20"/>
      <c r="E626" s="20"/>
      <c r="F626" s="20"/>
      <c r="G626" s="20"/>
      <c r="H626" s="20"/>
      <c r="I626" s="21"/>
      <c r="J626" s="15"/>
      <c r="K626" s="21"/>
      <c r="L626" s="10"/>
      <c r="M626" s="19"/>
      <c r="N626" s="17"/>
      <c r="Q626" s="20"/>
    </row>
    <row r="627" spans="1:17" s="1" customFormat="1" ht="14.25" customHeight="1" x14ac:dyDescent="0.25">
      <c r="A627" s="15"/>
      <c r="B627" s="15"/>
      <c r="C627" s="15"/>
      <c r="D627" s="20"/>
      <c r="E627" s="20"/>
      <c r="F627" s="20"/>
      <c r="G627" s="20"/>
      <c r="H627" s="20"/>
      <c r="I627" s="21"/>
      <c r="J627" s="15"/>
      <c r="K627" s="21"/>
      <c r="L627" s="10"/>
      <c r="M627" s="19"/>
      <c r="N627" s="17"/>
      <c r="Q627" s="20"/>
    </row>
    <row r="628" spans="1:17" s="1" customFormat="1" ht="14.25" customHeight="1" x14ac:dyDescent="0.25">
      <c r="A628" s="15"/>
      <c r="B628" s="15"/>
      <c r="C628" s="15"/>
      <c r="D628" s="20"/>
      <c r="E628" s="20"/>
      <c r="F628" s="20"/>
      <c r="G628" s="20"/>
      <c r="H628" s="20"/>
      <c r="I628" s="21"/>
      <c r="J628" s="15"/>
      <c r="K628" s="21"/>
      <c r="L628" s="10"/>
      <c r="M628" s="19"/>
      <c r="N628" s="17"/>
      <c r="Q628" s="20"/>
    </row>
    <row r="629" spans="1:17" s="1" customFormat="1" ht="14.25" customHeight="1" x14ac:dyDescent="0.25">
      <c r="A629" s="15"/>
      <c r="B629" s="15"/>
      <c r="C629" s="15"/>
      <c r="D629" s="20"/>
      <c r="E629" s="20"/>
      <c r="F629" s="20"/>
      <c r="G629" s="20"/>
      <c r="H629" s="20"/>
      <c r="I629" s="21"/>
      <c r="J629" s="15"/>
      <c r="K629" s="21"/>
      <c r="L629" s="10"/>
      <c r="M629" s="19"/>
      <c r="N629" s="17"/>
      <c r="Q629" s="20"/>
    </row>
    <row r="630" spans="1:17" s="1" customFormat="1" ht="14.25" customHeight="1" x14ac:dyDescent="0.25">
      <c r="A630" s="15"/>
      <c r="B630" s="15"/>
      <c r="C630" s="15"/>
      <c r="D630" s="20"/>
      <c r="E630" s="20"/>
      <c r="F630" s="20"/>
      <c r="G630" s="20"/>
      <c r="H630" s="20"/>
      <c r="I630" s="21"/>
      <c r="J630" s="15"/>
      <c r="K630" s="21"/>
      <c r="L630" s="10"/>
      <c r="M630" s="19"/>
      <c r="N630" s="17"/>
      <c r="Q630" s="20"/>
    </row>
    <row r="631" spans="1:17" s="1" customFormat="1" ht="14.25" customHeight="1" x14ac:dyDescent="0.25">
      <c r="A631" s="15"/>
      <c r="B631" s="15"/>
      <c r="C631" s="15"/>
      <c r="D631" s="20"/>
      <c r="E631" s="20"/>
      <c r="F631" s="20"/>
      <c r="G631" s="20"/>
      <c r="H631" s="20"/>
      <c r="I631" s="21"/>
      <c r="J631" s="15"/>
      <c r="K631" s="21"/>
      <c r="L631" s="10"/>
      <c r="M631" s="19"/>
      <c r="N631" s="17"/>
      <c r="Q631" s="20"/>
    </row>
    <row r="632" spans="1:17" s="1" customFormat="1" ht="14.25" customHeight="1" x14ac:dyDescent="0.25">
      <c r="A632" s="15"/>
      <c r="B632" s="15"/>
      <c r="C632" s="15"/>
      <c r="D632" s="20"/>
      <c r="E632" s="20"/>
      <c r="F632" s="20"/>
      <c r="G632" s="20"/>
      <c r="H632" s="20"/>
      <c r="I632" s="21"/>
      <c r="J632" s="15"/>
      <c r="K632" s="21"/>
      <c r="L632" s="10"/>
      <c r="M632" s="19"/>
      <c r="N632" s="17"/>
      <c r="Q632" s="20"/>
    </row>
    <row r="633" spans="1:17" s="1" customFormat="1" ht="14.25" customHeight="1" x14ac:dyDescent="0.25">
      <c r="A633" s="15"/>
      <c r="B633" s="15"/>
      <c r="C633" s="15"/>
      <c r="D633" s="20"/>
      <c r="E633" s="20"/>
      <c r="F633" s="20"/>
      <c r="G633" s="20"/>
      <c r="H633" s="20"/>
      <c r="I633" s="21"/>
      <c r="J633" s="15"/>
      <c r="K633" s="21"/>
      <c r="L633" s="10"/>
      <c r="M633" s="19"/>
      <c r="N633" s="17"/>
      <c r="Q633" s="20"/>
    </row>
    <row r="634" spans="1:17" s="1" customFormat="1" ht="14.25" customHeight="1" x14ac:dyDescent="0.25">
      <c r="A634" s="15"/>
      <c r="B634" s="15"/>
      <c r="C634" s="15"/>
      <c r="D634" s="20"/>
      <c r="E634" s="20"/>
      <c r="F634" s="20"/>
      <c r="G634" s="20"/>
      <c r="H634" s="20"/>
      <c r="I634" s="21"/>
      <c r="J634" s="15"/>
      <c r="K634" s="21"/>
      <c r="L634" s="10"/>
      <c r="M634" s="19"/>
      <c r="N634" s="17"/>
      <c r="Q634" s="20"/>
    </row>
    <row r="635" spans="1:17" s="1" customFormat="1" ht="14.25" customHeight="1" x14ac:dyDescent="0.25">
      <c r="A635" s="15"/>
      <c r="B635" s="15"/>
      <c r="C635" s="15"/>
      <c r="D635" s="20"/>
      <c r="E635" s="20"/>
      <c r="F635" s="20"/>
      <c r="G635" s="20"/>
      <c r="H635" s="20"/>
      <c r="I635" s="21"/>
      <c r="J635" s="15"/>
      <c r="K635" s="21"/>
      <c r="L635" s="10"/>
      <c r="M635" s="19"/>
      <c r="N635" s="17"/>
      <c r="Q635" s="20"/>
    </row>
    <row r="636" spans="1:17" s="1" customFormat="1" ht="14.25" customHeight="1" x14ac:dyDescent="0.25">
      <c r="A636" s="15"/>
      <c r="B636" s="15"/>
      <c r="C636" s="15"/>
      <c r="D636" s="20"/>
      <c r="E636" s="20"/>
      <c r="F636" s="20"/>
      <c r="G636" s="20"/>
      <c r="H636" s="20"/>
      <c r="I636" s="21"/>
      <c r="J636" s="15"/>
      <c r="K636" s="21"/>
      <c r="L636" s="10"/>
      <c r="M636" s="19"/>
      <c r="N636" s="17"/>
      <c r="Q636" s="20"/>
    </row>
    <row r="637" spans="1:17" s="1" customFormat="1" ht="14.25" customHeight="1" x14ac:dyDescent="0.25">
      <c r="A637" s="15"/>
      <c r="B637" s="15"/>
      <c r="C637" s="15"/>
      <c r="D637" s="20"/>
      <c r="E637" s="20"/>
      <c r="F637" s="20"/>
      <c r="G637" s="20"/>
      <c r="H637" s="20"/>
      <c r="I637" s="21"/>
      <c r="J637" s="15"/>
      <c r="K637" s="21"/>
      <c r="L637" s="10"/>
      <c r="M637" s="19"/>
      <c r="N637" s="17"/>
      <c r="Q637" s="20"/>
    </row>
    <row r="638" spans="1:17" s="1" customFormat="1" ht="14.25" customHeight="1" x14ac:dyDescent="0.25">
      <c r="A638" s="15"/>
      <c r="B638" s="15"/>
      <c r="C638" s="15"/>
      <c r="D638" s="20"/>
      <c r="E638" s="20"/>
      <c r="F638" s="20"/>
      <c r="G638" s="20"/>
      <c r="H638" s="20"/>
      <c r="I638" s="21"/>
      <c r="J638" s="15"/>
      <c r="K638" s="21"/>
      <c r="L638" s="10"/>
      <c r="M638" s="19"/>
      <c r="N638" s="17"/>
      <c r="Q638" s="20"/>
    </row>
    <row r="639" spans="1:17" s="1" customFormat="1" ht="14.25" customHeight="1" x14ac:dyDescent="0.25">
      <c r="A639" s="15"/>
      <c r="B639" s="15"/>
      <c r="C639" s="15"/>
      <c r="D639" s="20"/>
      <c r="E639" s="20"/>
      <c r="F639" s="20"/>
      <c r="G639" s="20"/>
      <c r="H639" s="20"/>
      <c r="I639" s="21"/>
      <c r="J639" s="15"/>
      <c r="K639" s="21"/>
      <c r="L639" s="10"/>
      <c r="M639" s="19"/>
      <c r="N639" s="17"/>
      <c r="Q639" s="20"/>
    </row>
    <row r="640" spans="1:17" s="1" customFormat="1" ht="14.25" customHeight="1" x14ac:dyDescent="0.25">
      <c r="A640" s="15"/>
      <c r="B640" s="15"/>
      <c r="C640" s="15"/>
      <c r="D640" s="20"/>
      <c r="E640" s="20"/>
      <c r="F640" s="20"/>
      <c r="G640" s="20"/>
      <c r="H640" s="20"/>
      <c r="I640" s="21"/>
      <c r="J640" s="15"/>
      <c r="K640" s="21"/>
      <c r="L640" s="10"/>
      <c r="M640" s="19"/>
      <c r="N640" s="17"/>
      <c r="Q640" s="20"/>
    </row>
    <row r="641" spans="1:17" s="1" customFormat="1" ht="14.25" customHeight="1" x14ac:dyDescent="0.25">
      <c r="A641" s="15"/>
      <c r="B641" s="15"/>
      <c r="C641" s="15"/>
      <c r="D641" s="20"/>
      <c r="E641" s="20"/>
      <c r="F641" s="20"/>
      <c r="G641" s="20"/>
      <c r="H641" s="20"/>
      <c r="I641" s="21"/>
      <c r="J641" s="15"/>
      <c r="K641" s="21"/>
      <c r="L641" s="10"/>
      <c r="M641" s="19"/>
      <c r="N641" s="17"/>
      <c r="Q641" s="20"/>
    </row>
    <row r="642" spans="1:17" s="1" customFormat="1" ht="14.25" customHeight="1" x14ac:dyDescent="0.25">
      <c r="A642" s="15"/>
      <c r="B642" s="15"/>
      <c r="C642" s="15"/>
      <c r="D642" s="20"/>
      <c r="E642" s="20"/>
      <c r="F642" s="20"/>
      <c r="G642" s="20"/>
      <c r="H642" s="20"/>
      <c r="I642" s="21"/>
      <c r="J642" s="15"/>
      <c r="K642" s="21"/>
      <c r="L642" s="10"/>
      <c r="M642" s="19"/>
      <c r="N642" s="17"/>
      <c r="Q642" s="20"/>
    </row>
    <row r="643" spans="1:17" s="1" customFormat="1" ht="14.25" customHeight="1" x14ac:dyDescent="0.25">
      <c r="A643" s="15"/>
      <c r="B643" s="15"/>
      <c r="C643" s="15"/>
      <c r="D643" s="20"/>
      <c r="E643" s="20"/>
      <c r="F643" s="20"/>
      <c r="G643" s="20"/>
      <c r="H643" s="20"/>
      <c r="I643" s="21"/>
      <c r="J643" s="15"/>
      <c r="K643" s="21"/>
      <c r="L643" s="10"/>
      <c r="M643" s="19"/>
      <c r="N643" s="17"/>
      <c r="Q643" s="20"/>
    </row>
    <row r="644" spans="1:17" s="1" customFormat="1" ht="14.25" customHeight="1" x14ac:dyDescent="0.25">
      <c r="A644" s="15"/>
      <c r="B644" s="15"/>
      <c r="C644" s="15"/>
      <c r="D644" s="20"/>
      <c r="E644" s="20"/>
      <c r="F644" s="20"/>
      <c r="G644" s="20"/>
      <c r="H644" s="20"/>
      <c r="I644" s="21"/>
      <c r="J644" s="15"/>
      <c r="K644" s="21"/>
      <c r="L644" s="10"/>
      <c r="M644" s="19"/>
      <c r="N644" s="17"/>
      <c r="Q644" s="20"/>
    </row>
    <row r="645" spans="1:17" s="1" customFormat="1" ht="14.25" customHeight="1" x14ac:dyDescent="0.25">
      <c r="A645" s="15"/>
      <c r="B645" s="15"/>
      <c r="C645" s="15"/>
      <c r="D645" s="20"/>
      <c r="E645" s="20"/>
      <c r="F645" s="20"/>
      <c r="G645" s="20"/>
      <c r="H645" s="20"/>
      <c r="I645" s="21"/>
      <c r="J645" s="15"/>
      <c r="K645" s="21"/>
      <c r="L645" s="10"/>
      <c r="M645" s="19"/>
      <c r="N645" s="17"/>
      <c r="Q645" s="20"/>
    </row>
    <row r="646" spans="1:17" s="1" customFormat="1" ht="14.25" customHeight="1" x14ac:dyDescent="0.25">
      <c r="A646" s="15"/>
      <c r="B646" s="15"/>
      <c r="C646" s="15"/>
      <c r="D646" s="20"/>
      <c r="E646" s="20"/>
      <c r="F646" s="20"/>
      <c r="G646" s="20"/>
      <c r="H646" s="20"/>
      <c r="I646" s="21"/>
      <c r="J646" s="15"/>
      <c r="K646" s="21"/>
      <c r="L646" s="10"/>
      <c r="M646" s="19"/>
      <c r="N646" s="17"/>
      <c r="Q646" s="20"/>
    </row>
    <row r="647" spans="1:17" s="1" customFormat="1" ht="14.25" customHeight="1" x14ac:dyDescent="0.25">
      <c r="A647" s="15"/>
      <c r="B647" s="15"/>
      <c r="C647" s="15"/>
      <c r="D647" s="20"/>
      <c r="E647" s="20"/>
      <c r="F647" s="20"/>
      <c r="G647" s="20"/>
      <c r="H647" s="20"/>
      <c r="I647" s="21"/>
      <c r="J647" s="15"/>
      <c r="K647" s="21"/>
      <c r="L647" s="10"/>
      <c r="M647" s="19"/>
      <c r="N647" s="17"/>
      <c r="Q647" s="20"/>
    </row>
    <row r="648" spans="1:17" s="1" customFormat="1" ht="14.25" customHeight="1" x14ac:dyDescent="0.25">
      <c r="A648" s="15"/>
      <c r="B648" s="15"/>
      <c r="C648" s="15"/>
      <c r="D648" s="20"/>
      <c r="E648" s="20"/>
      <c r="F648" s="20"/>
      <c r="G648" s="20"/>
      <c r="H648" s="20"/>
      <c r="I648" s="21"/>
      <c r="J648" s="15"/>
      <c r="K648" s="21"/>
      <c r="L648" s="10"/>
      <c r="M648" s="19"/>
      <c r="N648" s="17"/>
      <c r="Q648" s="20"/>
    </row>
    <row r="649" spans="1:17" s="1" customFormat="1" ht="14.25" customHeight="1" x14ac:dyDescent="0.25">
      <c r="A649" s="15"/>
      <c r="B649" s="15"/>
      <c r="C649" s="15"/>
      <c r="D649" s="20"/>
      <c r="E649" s="20"/>
      <c r="F649" s="20"/>
      <c r="G649" s="20"/>
      <c r="H649" s="20"/>
      <c r="I649" s="21"/>
      <c r="J649" s="15"/>
      <c r="K649" s="21"/>
      <c r="L649" s="10"/>
      <c r="M649" s="19"/>
      <c r="N649" s="17"/>
      <c r="Q649" s="20"/>
    </row>
    <row r="650" spans="1:17" s="1" customFormat="1" ht="14.25" customHeight="1" x14ac:dyDescent="0.25">
      <c r="A650" s="15"/>
      <c r="B650" s="15"/>
      <c r="C650" s="15"/>
      <c r="D650" s="20"/>
      <c r="E650" s="20"/>
      <c r="F650" s="20"/>
      <c r="G650" s="20"/>
      <c r="H650" s="20"/>
      <c r="I650" s="21"/>
      <c r="J650" s="15"/>
      <c r="K650" s="21"/>
      <c r="L650" s="10"/>
      <c r="M650" s="19"/>
      <c r="N650" s="17"/>
      <c r="Q650" s="20"/>
    </row>
    <row r="651" spans="1:17" s="1" customFormat="1" ht="14.25" customHeight="1" x14ac:dyDescent="0.25">
      <c r="A651" s="15"/>
      <c r="B651" s="15"/>
      <c r="C651" s="15"/>
      <c r="D651" s="20"/>
      <c r="E651" s="20"/>
      <c r="F651" s="20"/>
      <c r="G651" s="20"/>
      <c r="H651" s="20"/>
      <c r="I651" s="21"/>
      <c r="J651" s="15"/>
      <c r="K651" s="21"/>
      <c r="L651" s="10"/>
      <c r="M651" s="19"/>
      <c r="N651" s="17"/>
      <c r="Q651" s="20"/>
    </row>
    <row r="652" spans="1:17" s="1" customFormat="1" ht="14.25" customHeight="1" x14ac:dyDescent="0.25">
      <c r="A652" s="15"/>
      <c r="B652" s="15"/>
      <c r="C652" s="15"/>
      <c r="D652" s="20"/>
      <c r="E652" s="20"/>
      <c r="F652" s="20"/>
      <c r="G652" s="20"/>
      <c r="H652" s="20"/>
      <c r="I652" s="21"/>
      <c r="J652" s="15"/>
      <c r="K652" s="21"/>
      <c r="L652" s="10"/>
      <c r="M652" s="19"/>
      <c r="N652" s="17"/>
      <c r="Q652" s="20"/>
    </row>
    <row r="653" spans="1:17" s="1" customFormat="1" ht="14.25" customHeight="1" x14ac:dyDescent="0.25">
      <c r="A653" s="15"/>
      <c r="B653" s="15"/>
      <c r="C653" s="15"/>
      <c r="D653" s="20"/>
      <c r="E653" s="20"/>
      <c r="F653" s="20"/>
      <c r="G653" s="20"/>
      <c r="H653" s="20"/>
      <c r="I653" s="21"/>
      <c r="J653" s="15"/>
      <c r="K653" s="21"/>
      <c r="L653" s="10"/>
      <c r="M653" s="19"/>
      <c r="N653" s="17"/>
      <c r="Q653" s="20"/>
    </row>
    <row r="654" spans="1:17" s="1" customFormat="1" ht="14.25" customHeight="1" x14ac:dyDescent="0.25">
      <c r="A654" s="15"/>
      <c r="B654" s="15"/>
      <c r="C654" s="15"/>
      <c r="D654" s="20"/>
      <c r="E654" s="20"/>
      <c r="F654" s="20"/>
      <c r="G654" s="20"/>
      <c r="H654" s="20"/>
      <c r="I654" s="21"/>
      <c r="J654" s="15"/>
      <c r="K654" s="21"/>
      <c r="L654" s="10"/>
      <c r="M654" s="19"/>
      <c r="N654" s="17"/>
      <c r="Q654" s="20"/>
    </row>
    <row r="655" spans="1:17" s="1" customFormat="1" ht="14.25" customHeight="1" x14ac:dyDescent="0.25">
      <c r="A655" s="15"/>
      <c r="B655" s="15"/>
      <c r="C655" s="15"/>
      <c r="D655" s="20"/>
      <c r="E655" s="20"/>
      <c r="F655" s="20"/>
      <c r="G655" s="20"/>
      <c r="H655" s="20"/>
      <c r="I655" s="21"/>
      <c r="J655" s="15"/>
      <c r="K655" s="21"/>
      <c r="L655" s="10"/>
      <c r="M655" s="19"/>
      <c r="N655" s="17"/>
      <c r="Q655" s="20"/>
    </row>
    <row r="656" spans="1:17" s="1" customFormat="1" ht="14.25" customHeight="1" x14ac:dyDescent="0.25">
      <c r="A656" s="15"/>
      <c r="B656" s="15"/>
      <c r="C656" s="15"/>
      <c r="D656" s="20"/>
      <c r="E656" s="20"/>
      <c r="F656" s="20"/>
      <c r="G656" s="20"/>
      <c r="H656" s="20"/>
      <c r="I656" s="21"/>
      <c r="J656" s="15"/>
      <c r="K656" s="21"/>
      <c r="L656" s="10"/>
      <c r="M656" s="19"/>
      <c r="N656" s="17"/>
      <c r="Q656" s="20"/>
    </row>
    <row r="657" spans="1:17" s="1" customFormat="1" ht="14.25" customHeight="1" x14ac:dyDescent="0.25">
      <c r="A657" s="15"/>
      <c r="B657" s="15"/>
      <c r="C657" s="15"/>
      <c r="D657" s="20"/>
      <c r="E657" s="20"/>
      <c r="F657" s="20"/>
      <c r="G657" s="20"/>
      <c r="H657" s="20"/>
      <c r="I657" s="21"/>
      <c r="J657" s="15"/>
      <c r="K657" s="21"/>
      <c r="L657" s="10"/>
      <c r="M657" s="19"/>
      <c r="N657" s="17"/>
      <c r="Q657" s="20"/>
    </row>
    <row r="658" spans="1:17" s="1" customFormat="1" ht="14.25" customHeight="1" x14ac:dyDescent="0.25">
      <c r="A658" s="15"/>
      <c r="B658" s="15"/>
      <c r="C658" s="15"/>
      <c r="D658" s="20"/>
      <c r="E658" s="20"/>
      <c r="F658" s="20"/>
      <c r="G658" s="20"/>
      <c r="H658" s="20"/>
      <c r="I658" s="21"/>
      <c r="J658" s="15"/>
      <c r="K658" s="21"/>
      <c r="L658" s="10"/>
      <c r="M658" s="19"/>
      <c r="N658" s="17"/>
      <c r="Q658" s="20"/>
    </row>
    <row r="659" spans="1:17" s="1" customFormat="1" ht="14.25" customHeight="1" x14ac:dyDescent="0.25">
      <c r="A659" s="15"/>
      <c r="B659" s="15"/>
      <c r="C659" s="15"/>
      <c r="D659" s="20"/>
      <c r="E659" s="20"/>
      <c r="F659" s="20"/>
      <c r="G659" s="20"/>
      <c r="H659" s="20"/>
      <c r="I659" s="21"/>
      <c r="J659" s="15"/>
      <c r="K659" s="21"/>
      <c r="L659" s="10"/>
      <c r="M659" s="19"/>
      <c r="N659" s="17"/>
      <c r="Q659" s="20"/>
    </row>
    <row r="660" spans="1:17" s="1" customFormat="1" ht="14.25" customHeight="1" x14ac:dyDescent="0.25">
      <c r="A660" s="15"/>
      <c r="B660" s="15"/>
      <c r="C660" s="15"/>
      <c r="D660" s="20"/>
      <c r="E660" s="20"/>
      <c r="F660" s="20"/>
      <c r="G660" s="20"/>
      <c r="H660" s="20"/>
      <c r="I660" s="21"/>
      <c r="J660" s="15"/>
      <c r="K660" s="21"/>
      <c r="L660" s="10"/>
      <c r="M660" s="19"/>
      <c r="N660" s="17"/>
      <c r="Q660" s="20"/>
    </row>
    <row r="661" spans="1:17" s="1" customFormat="1" ht="14.25" customHeight="1" x14ac:dyDescent="0.25">
      <c r="A661" s="15"/>
      <c r="B661" s="15"/>
      <c r="C661" s="15"/>
      <c r="D661" s="20"/>
      <c r="E661" s="20"/>
      <c r="F661" s="20"/>
      <c r="G661" s="20"/>
      <c r="H661" s="20"/>
      <c r="I661" s="21"/>
      <c r="J661" s="15"/>
      <c r="K661" s="21"/>
      <c r="L661" s="10"/>
      <c r="M661" s="19"/>
      <c r="N661" s="17"/>
      <c r="Q661" s="20"/>
    </row>
    <row r="662" spans="1:17" s="1" customFormat="1" ht="14.25" customHeight="1" x14ac:dyDescent="0.25">
      <c r="A662" s="15"/>
      <c r="B662" s="15"/>
      <c r="C662" s="15"/>
      <c r="D662" s="20"/>
      <c r="E662" s="20"/>
      <c r="F662" s="20"/>
      <c r="G662" s="20"/>
      <c r="H662" s="20"/>
      <c r="I662" s="21"/>
      <c r="J662" s="15"/>
      <c r="K662" s="21"/>
      <c r="L662" s="10"/>
      <c r="M662" s="19"/>
      <c r="N662" s="17"/>
      <c r="Q662" s="20"/>
    </row>
    <row r="663" spans="1:17" s="1" customFormat="1" ht="14.25" customHeight="1" x14ac:dyDescent="0.25">
      <c r="A663" s="15"/>
      <c r="B663" s="15"/>
      <c r="C663" s="15"/>
      <c r="D663" s="20"/>
      <c r="E663" s="20"/>
      <c r="F663" s="20"/>
      <c r="G663" s="20"/>
      <c r="H663" s="20"/>
      <c r="I663" s="21"/>
      <c r="J663" s="15"/>
      <c r="K663" s="21"/>
      <c r="L663" s="10"/>
      <c r="M663" s="19"/>
      <c r="N663" s="17"/>
      <c r="Q663" s="20"/>
    </row>
    <row r="664" spans="1:17" s="1" customFormat="1" ht="14.25" customHeight="1" x14ac:dyDescent="0.25">
      <c r="A664" s="15"/>
      <c r="B664" s="15"/>
      <c r="C664" s="15"/>
      <c r="D664" s="20"/>
      <c r="E664" s="20"/>
      <c r="F664" s="20"/>
      <c r="G664" s="20"/>
      <c r="H664" s="20"/>
      <c r="I664" s="21"/>
      <c r="J664" s="15"/>
      <c r="K664" s="21"/>
      <c r="L664" s="10"/>
      <c r="M664" s="19"/>
      <c r="N664" s="17"/>
      <c r="Q664" s="20"/>
    </row>
    <row r="665" spans="1:17" s="1" customFormat="1" ht="14.25" customHeight="1" x14ac:dyDescent="0.25">
      <c r="A665" s="15"/>
      <c r="B665" s="15"/>
      <c r="C665" s="15"/>
      <c r="D665" s="20"/>
      <c r="E665" s="20"/>
      <c r="F665" s="20"/>
      <c r="G665" s="20"/>
      <c r="H665" s="20"/>
      <c r="I665" s="21"/>
      <c r="J665" s="15"/>
      <c r="K665" s="21"/>
      <c r="L665" s="10"/>
      <c r="M665" s="19"/>
      <c r="N665" s="17"/>
      <c r="Q665" s="20"/>
    </row>
    <row r="666" spans="1:17" s="1" customFormat="1" ht="14.25" customHeight="1" x14ac:dyDescent="0.25">
      <c r="A666" s="15"/>
      <c r="B666" s="15"/>
      <c r="C666" s="15"/>
      <c r="D666" s="20"/>
      <c r="E666" s="20"/>
      <c r="F666" s="20"/>
      <c r="G666" s="20"/>
      <c r="H666" s="20"/>
      <c r="I666" s="21"/>
      <c r="J666" s="15"/>
      <c r="K666" s="21"/>
      <c r="L666" s="10"/>
      <c r="M666" s="19"/>
      <c r="N666" s="17"/>
      <c r="Q666" s="20"/>
    </row>
    <row r="667" spans="1:17" s="1" customFormat="1" ht="14.25" customHeight="1" x14ac:dyDescent="0.25">
      <c r="A667" s="15"/>
      <c r="B667" s="15"/>
      <c r="C667" s="15"/>
      <c r="D667" s="20"/>
      <c r="E667" s="20"/>
      <c r="F667" s="20"/>
      <c r="G667" s="20"/>
      <c r="H667" s="20"/>
      <c r="I667" s="21"/>
      <c r="J667" s="15"/>
      <c r="K667" s="21"/>
      <c r="L667" s="10"/>
      <c r="M667" s="19"/>
      <c r="N667" s="17"/>
      <c r="Q667" s="20"/>
    </row>
    <row r="668" spans="1:17" s="1" customFormat="1" ht="14.25" customHeight="1" x14ac:dyDescent="0.25">
      <c r="A668" s="15"/>
      <c r="B668" s="15"/>
      <c r="C668" s="15"/>
      <c r="D668" s="20"/>
      <c r="E668" s="20"/>
      <c r="F668" s="20"/>
      <c r="G668" s="20"/>
      <c r="H668" s="20"/>
      <c r="I668" s="21"/>
      <c r="J668" s="15"/>
      <c r="K668" s="21"/>
      <c r="L668" s="10"/>
      <c r="M668" s="19"/>
      <c r="N668" s="17"/>
      <c r="Q668" s="20"/>
    </row>
    <row r="669" spans="1:17" s="1" customFormat="1" ht="14.25" customHeight="1" x14ac:dyDescent="0.25">
      <c r="A669" s="15"/>
      <c r="B669" s="15"/>
      <c r="C669" s="15"/>
      <c r="D669" s="20"/>
      <c r="E669" s="20"/>
      <c r="F669" s="20"/>
      <c r="G669" s="20"/>
      <c r="H669" s="20"/>
      <c r="I669" s="21"/>
      <c r="J669" s="15"/>
      <c r="K669" s="21"/>
      <c r="L669" s="10"/>
      <c r="M669" s="19"/>
      <c r="N669" s="17"/>
      <c r="Q669" s="20"/>
    </row>
    <row r="670" spans="1:17" s="1" customFormat="1" ht="14.25" customHeight="1" x14ac:dyDescent="0.25">
      <c r="A670" s="15"/>
      <c r="B670" s="15"/>
      <c r="C670" s="15"/>
      <c r="D670" s="20"/>
      <c r="E670" s="20"/>
      <c r="F670" s="20"/>
      <c r="G670" s="20"/>
      <c r="H670" s="20"/>
      <c r="I670" s="21"/>
      <c r="J670" s="15"/>
      <c r="K670" s="21"/>
      <c r="L670" s="10"/>
      <c r="M670" s="19"/>
      <c r="N670" s="17"/>
      <c r="Q670" s="20"/>
    </row>
    <row r="671" spans="1:17" s="1" customFormat="1" ht="14.25" customHeight="1" x14ac:dyDescent="0.25">
      <c r="A671" s="15"/>
      <c r="B671" s="15"/>
      <c r="C671" s="15"/>
      <c r="D671" s="20"/>
      <c r="E671" s="20"/>
      <c r="F671" s="20"/>
      <c r="G671" s="20"/>
      <c r="H671" s="20"/>
      <c r="I671" s="21"/>
      <c r="J671" s="15"/>
      <c r="K671" s="21"/>
      <c r="L671" s="10"/>
      <c r="M671" s="19"/>
      <c r="N671" s="17"/>
      <c r="Q671" s="20"/>
    </row>
    <row r="672" spans="1:17" s="1" customFormat="1" ht="14.25" customHeight="1" x14ac:dyDescent="0.25">
      <c r="A672" s="15"/>
      <c r="B672" s="15"/>
      <c r="C672" s="15"/>
      <c r="D672" s="20"/>
      <c r="E672" s="20"/>
      <c r="F672" s="20"/>
      <c r="G672" s="20"/>
      <c r="H672" s="20"/>
      <c r="I672" s="21"/>
      <c r="J672" s="15"/>
      <c r="K672" s="21"/>
      <c r="L672" s="10"/>
      <c r="M672" s="19"/>
      <c r="N672" s="17"/>
      <c r="Q672" s="20"/>
    </row>
    <row r="673" spans="1:17" s="1" customFormat="1" ht="14.25" customHeight="1" x14ac:dyDescent="0.25">
      <c r="A673" s="15"/>
      <c r="B673" s="15"/>
      <c r="C673" s="15"/>
      <c r="D673" s="20"/>
      <c r="E673" s="20"/>
      <c r="F673" s="20"/>
      <c r="G673" s="20"/>
      <c r="H673" s="20"/>
      <c r="I673" s="21"/>
      <c r="J673" s="15"/>
      <c r="K673" s="21"/>
      <c r="L673" s="10"/>
      <c r="M673" s="19"/>
      <c r="N673" s="17"/>
      <c r="Q673" s="20"/>
    </row>
    <row r="674" spans="1:17" s="1" customFormat="1" ht="14.25" customHeight="1" x14ac:dyDescent="0.25">
      <c r="A674" s="15"/>
      <c r="B674" s="15"/>
      <c r="C674" s="15"/>
      <c r="D674" s="20"/>
      <c r="E674" s="20"/>
      <c r="F674" s="20"/>
      <c r="G674" s="20"/>
      <c r="H674" s="20"/>
      <c r="I674" s="21"/>
      <c r="J674" s="15"/>
      <c r="K674" s="21"/>
      <c r="L674" s="10"/>
      <c r="M674" s="19"/>
      <c r="N674" s="17"/>
      <c r="Q674" s="20"/>
    </row>
    <row r="675" spans="1:17" s="1" customFormat="1" ht="14.25" customHeight="1" x14ac:dyDescent="0.25">
      <c r="A675" s="15"/>
      <c r="B675" s="15"/>
      <c r="C675" s="15"/>
      <c r="D675" s="20"/>
      <c r="E675" s="20"/>
      <c r="F675" s="20"/>
      <c r="G675" s="20"/>
      <c r="H675" s="20"/>
      <c r="I675" s="21"/>
      <c r="J675" s="15"/>
      <c r="K675" s="21"/>
      <c r="L675" s="10"/>
      <c r="M675" s="19"/>
      <c r="N675" s="17"/>
      <c r="Q675" s="20"/>
    </row>
    <row r="676" spans="1:17" s="1" customFormat="1" ht="14.25" customHeight="1" x14ac:dyDescent="0.25">
      <c r="A676" s="15"/>
      <c r="B676" s="15"/>
      <c r="C676" s="15"/>
      <c r="D676" s="20"/>
      <c r="E676" s="20"/>
      <c r="F676" s="20"/>
      <c r="G676" s="20"/>
      <c r="H676" s="20"/>
      <c r="I676" s="21"/>
      <c r="J676" s="15"/>
      <c r="K676" s="21"/>
      <c r="L676" s="10"/>
      <c r="M676" s="19"/>
      <c r="N676" s="17"/>
      <c r="Q676" s="20"/>
    </row>
    <row r="677" spans="1:17" s="1" customFormat="1" ht="14.25" customHeight="1" x14ac:dyDescent="0.25">
      <c r="A677" s="15"/>
      <c r="B677" s="15"/>
      <c r="C677" s="15"/>
      <c r="D677" s="20"/>
      <c r="E677" s="20"/>
      <c r="F677" s="20"/>
      <c r="G677" s="20"/>
      <c r="H677" s="20"/>
      <c r="I677" s="21"/>
      <c r="J677" s="15"/>
      <c r="K677" s="21"/>
      <c r="L677" s="10"/>
      <c r="M677" s="19"/>
      <c r="N677" s="17"/>
      <c r="Q677" s="20"/>
    </row>
    <row r="678" spans="1:17" s="1" customFormat="1" ht="14.25" customHeight="1" x14ac:dyDescent="0.25">
      <c r="A678" s="15"/>
      <c r="B678" s="15"/>
      <c r="C678" s="15"/>
      <c r="D678" s="20"/>
      <c r="E678" s="20"/>
      <c r="F678" s="20"/>
      <c r="G678" s="20"/>
      <c r="H678" s="20"/>
      <c r="I678" s="21"/>
      <c r="J678" s="15"/>
      <c r="K678" s="21"/>
      <c r="L678" s="10"/>
      <c r="M678" s="19"/>
      <c r="N678" s="17"/>
      <c r="Q678" s="20"/>
    </row>
    <row r="679" spans="1:17" s="1" customFormat="1" ht="14.25" customHeight="1" x14ac:dyDescent="0.25">
      <c r="A679" s="15"/>
      <c r="B679" s="15"/>
      <c r="C679" s="15"/>
      <c r="D679" s="20"/>
      <c r="E679" s="20"/>
      <c r="F679" s="20"/>
      <c r="G679" s="20"/>
      <c r="H679" s="20"/>
      <c r="I679" s="21"/>
      <c r="J679" s="15"/>
      <c r="K679" s="21"/>
      <c r="L679" s="10"/>
      <c r="M679" s="19"/>
      <c r="N679" s="17"/>
      <c r="Q679" s="20"/>
    </row>
    <row r="680" spans="1:17" s="1" customFormat="1" ht="14.25" customHeight="1" x14ac:dyDescent="0.25">
      <c r="A680" s="15"/>
      <c r="B680" s="15"/>
      <c r="C680" s="15"/>
      <c r="D680" s="20"/>
      <c r="E680" s="20"/>
      <c r="F680" s="20"/>
      <c r="G680" s="20"/>
      <c r="H680" s="20"/>
      <c r="I680" s="21"/>
      <c r="J680" s="15"/>
      <c r="K680" s="21"/>
      <c r="L680" s="10"/>
      <c r="M680" s="19"/>
      <c r="N680" s="17"/>
      <c r="Q680" s="20"/>
    </row>
    <row r="681" spans="1:17" s="1" customFormat="1" ht="14.25" customHeight="1" x14ac:dyDescent="0.25">
      <c r="A681" s="15"/>
      <c r="B681" s="15"/>
      <c r="C681" s="15"/>
      <c r="D681" s="20"/>
      <c r="E681" s="20"/>
      <c r="F681" s="20"/>
      <c r="G681" s="20"/>
      <c r="H681" s="20"/>
      <c r="I681" s="21"/>
      <c r="J681" s="15"/>
      <c r="K681" s="21"/>
      <c r="L681" s="10"/>
      <c r="M681" s="19"/>
      <c r="N681" s="17"/>
      <c r="Q681" s="20"/>
    </row>
    <row r="682" spans="1:17" s="1" customFormat="1" ht="14.25" customHeight="1" x14ac:dyDescent="0.25">
      <c r="A682" s="15"/>
      <c r="B682" s="15"/>
      <c r="C682" s="15"/>
      <c r="D682" s="20"/>
      <c r="E682" s="20"/>
      <c r="F682" s="20"/>
      <c r="G682" s="20"/>
      <c r="H682" s="20"/>
      <c r="I682" s="21"/>
      <c r="J682" s="15"/>
      <c r="K682" s="21"/>
      <c r="L682" s="10"/>
      <c r="M682" s="19"/>
      <c r="N682" s="17"/>
      <c r="Q682" s="20"/>
    </row>
    <row r="683" spans="1:17" s="1" customFormat="1" ht="14.25" customHeight="1" x14ac:dyDescent="0.25">
      <c r="A683" s="15"/>
      <c r="B683" s="15"/>
      <c r="C683" s="15"/>
      <c r="D683" s="20"/>
      <c r="E683" s="20"/>
      <c r="F683" s="20"/>
      <c r="G683" s="20"/>
      <c r="H683" s="20"/>
      <c r="I683" s="21"/>
      <c r="J683" s="15"/>
      <c r="K683" s="21"/>
      <c r="L683" s="10"/>
      <c r="M683" s="19"/>
      <c r="N683" s="17"/>
      <c r="Q683" s="20"/>
    </row>
    <row r="684" spans="1:17" s="1" customFormat="1" ht="14.25" customHeight="1" x14ac:dyDescent="0.25">
      <c r="A684" s="15"/>
      <c r="B684" s="15"/>
      <c r="C684" s="15"/>
      <c r="D684" s="20"/>
      <c r="E684" s="20"/>
      <c r="F684" s="20"/>
      <c r="G684" s="20"/>
      <c r="H684" s="20"/>
      <c r="I684" s="21"/>
      <c r="J684" s="15"/>
      <c r="K684" s="21"/>
      <c r="L684" s="10"/>
      <c r="M684" s="19"/>
      <c r="N684" s="17"/>
      <c r="Q684" s="20"/>
    </row>
    <row r="685" spans="1:17" s="1" customFormat="1" ht="14.25" customHeight="1" x14ac:dyDescent="0.25">
      <c r="A685" s="15"/>
      <c r="B685" s="15"/>
      <c r="C685" s="15"/>
      <c r="D685" s="20"/>
      <c r="E685" s="20"/>
      <c r="F685" s="20"/>
      <c r="G685" s="20"/>
      <c r="H685" s="20"/>
      <c r="I685" s="21"/>
      <c r="J685" s="15"/>
      <c r="K685" s="21"/>
      <c r="L685" s="10"/>
      <c r="M685" s="19"/>
      <c r="N685" s="17"/>
      <c r="Q685" s="20"/>
    </row>
    <row r="686" spans="1:17" s="1" customFormat="1" ht="14.25" customHeight="1" x14ac:dyDescent="0.25">
      <c r="A686" s="15"/>
      <c r="B686" s="15"/>
      <c r="C686" s="15"/>
      <c r="D686" s="20"/>
      <c r="E686" s="20"/>
      <c r="F686" s="20"/>
      <c r="G686" s="20"/>
      <c r="H686" s="20"/>
      <c r="I686" s="21"/>
      <c r="J686" s="15"/>
      <c r="K686" s="21"/>
      <c r="L686" s="10"/>
      <c r="M686" s="19"/>
      <c r="N686" s="17"/>
      <c r="Q686" s="20"/>
    </row>
    <row r="687" spans="1:17" s="1" customFormat="1" ht="14.25" customHeight="1" x14ac:dyDescent="0.25">
      <c r="A687" s="15"/>
      <c r="B687" s="15"/>
      <c r="C687" s="15"/>
      <c r="D687" s="20"/>
      <c r="E687" s="20"/>
      <c r="F687" s="20"/>
      <c r="G687" s="20"/>
      <c r="H687" s="20"/>
      <c r="I687" s="21"/>
      <c r="J687" s="15"/>
      <c r="K687" s="21"/>
      <c r="L687" s="10"/>
      <c r="M687" s="19"/>
      <c r="N687" s="17"/>
      <c r="Q687" s="20"/>
    </row>
    <row r="688" spans="1:17" s="1" customFormat="1" ht="14.25" customHeight="1" x14ac:dyDescent="0.25">
      <c r="A688" s="15"/>
      <c r="B688" s="15"/>
      <c r="C688" s="15"/>
      <c r="D688" s="20"/>
      <c r="E688" s="20"/>
      <c r="F688" s="20"/>
      <c r="G688" s="20"/>
      <c r="H688" s="20"/>
      <c r="I688" s="21"/>
      <c r="J688" s="15"/>
      <c r="K688" s="21"/>
      <c r="L688" s="10"/>
      <c r="M688" s="19"/>
      <c r="N688" s="17"/>
      <c r="Q688" s="20"/>
    </row>
    <row r="689" spans="1:17" s="1" customFormat="1" ht="14.25" customHeight="1" x14ac:dyDescent="0.25">
      <c r="A689" s="15"/>
      <c r="B689" s="15"/>
      <c r="C689" s="15"/>
      <c r="D689" s="20"/>
      <c r="E689" s="20"/>
      <c r="F689" s="20"/>
      <c r="G689" s="20"/>
      <c r="H689" s="20"/>
      <c r="I689" s="21"/>
      <c r="J689" s="15"/>
      <c r="K689" s="21"/>
      <c r="L689" s="10"/>
      <c r="M689" s="19"/>
      <c r="N689" s="17"/>
      <c r="Q689" s="20"/>
    </row>
    <row r="690" spans="1:17" s="1" customFormat="1" ht="14.25" customHeight="1" x14ac:dyDescent="0.25">
      <c r="A690" s="15"/>
      <c r="B690" s="15"/>
      <c r="C690" s="15"/>
      <c r="D690" s="20"/>
      <c r="E690" s="20"/>
      <c r="F690" s="20"/>
      <c r="G690" s="20"/>
      <c r="H690" s="20"/>
      <c r="I690" s="21"/>
      <c r="J690" s="15"/>
      <c r="K690" s="21"/>
      <c r="L690" s="10"/>
      <c r="M690" s="19"/>
      <c r="N690" s="17"/>
      <c r="Q690" s="20"/>
    </row>
    <row r="691" spans="1:17" s="1" customFormat="1" ht="14.25" customHeight="1" x14ac:dyDescent="0.25">
      <c r="A691" s="15"/>
      <c r="B691" s="15"/>
      <c r="C691" s="15"/>
      <c r="D691" s="20"/>
      <c r="E691" s="20"/>
      <c r="F691" s="20"/>
      <c r="G691" s="20"/>
      <c r="H691" s="20"/>
      <c r="I691" s="21"/>
      <c r="J691" s="15"/>
      <c r="K691" s="21"/>
      <c r="L691" s="10"/>
      <c r="M691" s="19"/>
      <c r="N691" s="17"/>
      <c r="Q691" s="20"/>
    </row>
    <row r="692" spans="1:17" s="1" customFormat="1" ht="14.25" customHeight="1" x14ac:dyDescent="0.25">
      <c r="A692" s="15"/>
      <c r="B692" s="15"/>
      <c r="C692" s="15"/>
      <c r="D692" s="20"/>
      <c r="E692" s="20"/>
      <c r="F692" s="20"/>
      <c r="G692" s="20"/>
      <c r="H692" s="20"/>
      <c r="I692" s="21"/>
      <c r="J692" s="15"/>
      <c r="K692" s="21"/>
      <c r="L692" s="10"/>
      <c r="M692" s="19"/>
      <c r="N692" s="17"/>
      <c r="Q692" s="20"/>
    </row>
    <row r="693" spans="1:17" s="1" customFormat="1" ht="14.25" customHeight="1" x14ac:dyDescent="0.25">
      <c r="A693" s="15"/>
      <c r="B693" s="15"/>
      <c r="C693" s="15"/>
      <c r="D693" s="20"/>
      <c r="E693" s="20"/>
      <c r="F693" s="20"/>
      <c r="G693" s="20"/>
      <c r="H693" s="20"/>
      <c r="I693" s="21"/>
      <c r="J693" s="15"/>
      <c r="K693" s="21"/>
      <c r="L693" s="10"/>
      <c r="M693" s="19"/>
      <c r="N693" s="17"/>
      <c r="Q693" s="20"/>
    </row>
    <row r="694" spans="1:17" s="1" customFormat="1" ht="14.25" customHeight="1" x14ac:dyDescent="0.25">
      <c r="A694" s="15"/>
      <c r="B694" s="15"/>
      <c r="C694" s="15"/>
      <c r="D694" s="20"/>
      <c r="E694" s="20"/>
      <c r="F694" s="20"/>
      <c r="G694" s="20"/>
      <c r="H694" s="20"/>
      <c r="I694" s="21"/>
      <c r="J694" s="15"/>
      <c r="K694" s="21"/>
      <c r="L694" s="10"/>
      <c r="M694" s="19"/>
      <c r="N694" s="17"/>
      <c r="Q694" s="20"/>
    </row>
    <row r="695" spans="1:17" s="1" customFormat="1" ht="14.25" customHeight="1" x14ac:dyDescent="0.25">
      <c r="A695" s="15"/>
      <c r="B695" s="15"/>
      <c r="C695" s="15"/>
      <c r="D695" s="20"/>
      <c r="E695" s="20"/>
      <c r="F695" s="20"/>
      <c r="G695" s="20"/>
      <c r="H695" s="20"/>
      <c r="I695" s="21"/>
      <c r="J695" s="15"/>
      <c r="K695" s="21"/>
      <c r="L695" s="10"/>
      <c r="M695" s="19"/>
      <c r="N695" s="17"/>
      <c r="Q695" s="20"/>
    </row>
    <row r="696" spans="1:17" s="1" customFormat="1" ht="14.25" customHeight="1" x14ac:dyDescent="0.25">
      <c r="A696" s="15"/>
      <c r="B696" s="15"/>
      <c r="C696" s="15"/>
      <c r="D696" s="20"/>
      <c r="E696" s="20"/>
      <c r="F696" s="20"/>
      <c r="G696" s="20"/>
      <c r="H696" s="20"/>
      <c r="I696" s="21"/>
      <c r="J696" s="15"/>
      <c r="K696" s="21"/>
      <c r="L696" s="10"/>
      <c r="M696" s="19"/>
      <c r="N696" s="17"/>
      <c r="Q696" s="20"/>
    </row>
    <row r="697" spans="1:17" s="1" customFormat="1" ht="14.25" customHeight="1" x14ac:dyDescent="0.25">
      <c r="A697" s="15"/>
      <c r="B697" s="15"/>
      <c r="C697" s="15"/>
      <c r="D697" s="20"/>
      <c r="E697" s="20"/>
      <c r="F697" s="20"/>
      <c r="G697" s="20"/>
      <c r="H697" s="20"/>
      <c r="I697" s="21"/>
      <c r="J697" s="15"/>
      <c r="K697" s="21"/>
      <c r="L697" s="10"/>
      <c r="M697" s="19"/>
      <c r="N697" s="17"/>
      <c r="Q697" s="20"/>
    </row>
    <row r="698" spans="1:17" s="1" customFormat="1" ht="14.25" customHeight="1" x14ac:dyDescent="0.25">
      <c r="A698" s="15"/>
      <c r="B698" s="15"/>
      <c r="C698" s="15"/>
      <c r="D698" s="20"/>
      <c r="E698" s="20"/>
      <c r="F698" s="20"/>
      <c r="G698" s="20"/>
      <c r="H698" s="20"/>
      <c r="I698" s="21"/>
      <c r="J698" s="15"/>
      <c r="K698" s="21"/>
      <c r="L698" s="10"/>
      <c r="M698" s="19"/>
      <c r="N698" s="17"/>
      <c r="Q698" s="20"/>
    </row>
    <row r="699" spans="1:17" s="1" customFormat="1" ht="14.25" customHeight="1" x14ac:dyDescent="0.25">
      <c r="A699" s="15"/>
      <c r="B699" s="15"/>
      <c r="C699" s="15"/>
      <c r="D699" s="20"/>
      <c r="E699" s="20"/>
      <c r="F699" s="20"/>
      <c r="G699" s="20"/>
      <c r="H699" s="20"/>
      <c r="I699" s="21"/>
      <c r="J699" s="15"/>
      <c r="K699" s="21"/>
      <c r="L699" s="10"/>
      <c r="M699" s="19"/>
      <c r="N699" s="17"/>
      <c r="Q699" s="20"/>
    </row>
    <row r="700" spans="1:17" s="1" customFormat="1" ht="14.25" customHeight="1" x14ac:dyDescent="0.25">
      <c r="A700" s="15"/>
      <c r="B700" s="15"/>
      <c r="C700" s="15"/>
      <c r="D700" s="20"/>
      <c r="E700" s="20"/>
      <c r="F700" s="20"/>
      <c r="G700" s="20"/>
      <c r="H700" s="20"/>
      <c r="I700" s="21"/>
      <c r="J700" s="15"/>
      <c r="K700" s="21"/>
      <c r="L700" s="10"/>
      <c r="M700" s="19"/>
      <c r="N700" s="17"/>
      <c r="Q700" s="20"/>
    </row>
    <row r="701" spans="1:17" s="1" customFormat="1" ht="14.25" customHeight="1" x14ac:dyDescent="0.25">
      <c r="A701" s="15"/>
      <c r="B701" s="15"/>
      <c r="C701" s="15"/>
      <c r="D701" s="20"/>
      <c r="E701" s="20"/>
      <c r="F701" s="20"/>
      <c r="G701" s="20"/>
      <c r="H701" s="20"/>
      <c r="I701" s="21"/>
      <c r="J701" s="15"/>
      <c r="K701" s="21"/>
      <c r="L701" s="10"/>
      <c r="M701" s="19"/>
      <c r="N701" s="17"/>
      <c r="Q701" s="20"/>
    </row>
    <row r="702" spans="1:17" s="1" customFormat="1" ht="14.25" customHeight="1" x14ac:dyDescent="0.25">
      <c r="A702" s="15"/>
      <c r="B702" s="15"/>
      <c r="C702" s="15"/>
      <c r="D702" s="20"/>
      <c r="E702" s="20"/>
      <c r="F702" s="20"/>
      <c r="G702" s="20"/>
      <c r="H702" s="20"/>
      <c r="I702" s="21"/>
      <c r="J702" s="15"/>
      <c r="K702" s="21"/>
      <c r="L702" s="10"/>
      <c r="M702" s="19"/>
      <c r="N702" s="17"/>
      <c r="Q702" s="20"/>
    </row>
    <row r="703" spans="1:17" s="1" customFormat="1" ht="14.25" customHeight="1" x14ac:dyDescent="0.25">
      <c r="A703" s="15"/>
      <c r="B703" s="15"/>
      <c r="C703" s="15"/>
      <c r="D703" s="20"/>
      <c r="E703" s="20"/>
      <c r="F703" s="20"/>
      <c r="G703" s="20"/>
      <c r="H703" s="20"/>
      <c r="I703" s="21"/>
      <c r="J703" s="15"/>
      <c r="K703" s="21"/>
      <c r="L703" s="10"/>
      <c r="M703" s="19"/>
      <c r="N703" s="17"/>
      <c r="Q703" s="20"/>
    </row>
    <row r="704" spans="1:17" s="1" customFormat="1" ht="14.25" customHeight="1" x14ac:dyDescent="0.25">
      <c r="A704" s="15"/>
      <c r="B704" s="15"/>
      <c r="C704" s="15"/>
      <c r="D704" s="20"/>
      <c r="E704" s="20"/>
      <c r="F704" s="20"/>
      <c r="G704" s="20"/>
      <c r="H704" s="20"/>
      <c r="I704" s="21"/>
      <c r="J704" s="15"/>
      <c r="K704" s="21"/>
      <c r="L704" s="10"/>
      <c r="M704" s="19"/>
      <c r="N704" s="17"/>
      <c r="Q704" s="20"/>
    </row>
    <row r="705" spans="1:17" s="1" customFormat="1" ht="14.25" customHeight="1" x14ac:dyDescent="0.25">
      <c r="A705" s="15"/>
      <c r="B705" s="15"/>
      <c r="C705" s="15"/>
      <c r="D705" s="20"/>
      <c r="E705" s="20"/>
      <c r="F705" s="20"/>
      <c r="G705" s="20"/>
      <c r="H705" s="20"/>
      <c r="I705" s="21"/>
      <c r="J705" s="15"/>
      <c r="K705" s="21"/>
      <c r="L705" s="10"/>
      <c r="M705" s="19"/>
      <c r="N705" s="17"/>
      <c r="Q705" s="20"/>
    </row>
    <row r="706" spans="1:17" s="1" customFormat="1" ht="14.25" customHeight="1" x14ac:dyDescent="0.25">
      <c r="A706" s="15"/>
      <c r="B706" s="15"/>
      <c r="C706" s="15"/>
      <c r="D706" s="20"/>
      <c r="E706" s="20"/>
      <c r="F706" s="20"/>
      <c r="G706" s="20"/>
      <c r="H706" s="20"/>
      <c r="I706" s="21"/>
      <c r="J706" s="15"/>
      <c r="K706" s="21"/>
      <c r="L706" s="10"/>
      <c r="M706" s="19"/>
      <c r="N706" s="17"/>
      <c r="Q706" s="20"/>
    </row>
    <row r="707" spans="1:17" s="1" customFormat="1" ht="14.25" customHeight="1" x14ac:dyDescent="0.25">
      <c r="A707" s="15"/>
      <c r="B707" s="15"/>
      <c r="C707" s="15"/>
      <c r="D707" s="20"/>
      <c r="E707" s="20"/>
      <c r="F707" s="20"/>
      <c r="G707" s="20"/>
      <c r="H707" s="20"/>
      <c r="I707" s="21"/>
      <c r="J707" s="15"/>
      <c r="K707" s="21"/>
      <c r="L707" s="10"/>
      <c r="M707" s="19"/>
      <c r="N707" s="17"/>
      <c r="Q707" s="20"/>
    </row>
    <row r="708" spans="1:17" s="1" customFormat="1" ht="14.25" customHeight="1" x14ac:dyDescent="0.25">
      <c r="A708" s="15"/>
      <c r="B708" s="15"/>
      <c r="C708" s="15"/>
      <c r="D708" s="20"/>
      <c r="E708" s="20"/>
      <c r="F708" s="20"/>
      <c r="G708" s="20"/>
      <c r="H708" s="20"/>
      <c r="I708" s="21"/>
      <c r="J708" s="15"/>
      <c r="K708" s="21"/>
      <c r="L708" s="10"/>
      <c r="M708" s="19"/>
      <c r="N708" s="17"/>
      <c r="Q708" s="20"/>
    </row>
    <row r="709" spans="1:17" s="1" customFormat="1" ht="14.25" customHeight="1" x14ac:dyDescent="0.25">
      <c r="A709" s="15"/>
      <c r="B709" s="15"/>
      <c r="C709" s="15"/>
      <c r="D709" s="20"/>
      <c r="E709" s="20"/>
      <c r="F709" s="20"/>
      <c r="G709" s="20"/>
      <c r="H709" s="20"/>
      <c r="I709" s="21"/>
      <c r="J709" s="15"/>
      <c r="K709" s="21"/>
      <c r="L709" s="10"/>
      <c r="M709" s="19"/>
      <c r="N709" s="17"/>
      <c r="Q709" s="20"/>
    </row>
    <row r="710" spans="1:17" s="1" customFormat="1" ht="14.25" customHeight="1" x14ac:dyDescent="0.25">
      <c r="A710" s="15"/>
      <c r="B710" s="15"/>
      <c r="C710" s="15"/>
      <c r="D710" s="20"/>
      <c r="E710" s="20"/>
      <c r="F710" s="20"/>
      <c r="G710" s="20"/>
      <c r="H710" s="20"/>
      <c r="I710" s="21"/>
      <c r="J710" s="15"/>
      <c r="K710" s="21"/>
      <c r="L710" s="10"/>
      <c r="M710" s="19"/>
      <c r="N710" s="17"/>
      <c r="Q710" s="20"/>
    </row>
    <row r="711" spans="1:17" s="1" customFormat="1" ht="14.25" customHeight="1" x14ac:dyDescent="0.25">
      <c r="A711" s="15"/>
      <c r="B711" s="15"/>
      <c r="C711" s="15"/>
      <c r="D711" s="20"/>
      <c r="E711" s="20"/>
      <c r="F711" s="20"/>
      <c r="G711" s="20"/>
      <c r="H711" s="20"/>
      <c r="I711" s="21"/>
      <c r="J711" s="15"/>
      <c r="K711" s="21"/>
      <c r="L711" s="10"/>
      <c r="M711" s="19"/>
      <c r="N711" s="17"/>
      <c r="Q711" s="20"/>
    </row>
    <row r="712" spans="1:17" s="1" customFormat="1" ht="14.25" customHeight="1" x14ac:dyDescent="0.25">
      <c r="A712" s="15"/>
      <c r="B712" s="15"/>
      <c r="C712" s="15"/>
      <c r="D712" s="20"/>
      <c r="E712" s="20"/>
      <c r="F712" s="20"/>
      <c r="G712" s="20"/>
      <c r="H712" s="20"/>
      <c r="I712" s="21"/>
      <c r="J712" s="15"/>
      <c r="K712" s="21"/>
      <c r="L712" s="10"/>
      <c r="M712" s="19"/>
      <c r="N712" s="17"/>
      <c r="Q712" s="20"/>
    </row>
    <row r="713" spans="1:17" s="1" customFormat="1" ht="14.25" customHeight="1" x14ac:dyDescent="0.25">
      <c r="A713" s="15"/>
      <c r="B713" s="15"/>
      <c r="C713" s="15"/>
      <c r="D713" s="20"/>
      <c r="E713" s="20"/>
      <c r="F713" s="20"/>
      <c r="G713" s="20"/>
      <c r="H713" s="20"/>
      <c r="I713" s="21"/>
      <c r="J713" s="15"/>
      <c r="K713" s="21"/>
      <c r="L713" s="10"/>
      <c r="M713" s="19"/>
      <c r="N713" s="17"/>
      <c r="Q713" s="20"/>
    </row>
    <row r="714" spans="1:17" s="1" customFormat="1" ht="14.25" customHeight="1" x14ac:dyDescent="0.25">
      <c r="A714" s="15"/>
      <c r="B714" s="15"/>
      <c r="C714" s="15"/>
      <c r="D714" s="20"/>
      <c r="E714" s="20"/>
      <c r="F714" s="20"/>
      <c r="G714" s="20"/>
      <c r="H714" s="20"/>
      <c r="I714" s="21"/>
      <c r="J714" s="15"/>
      <c r="K714" s="21"/>
      <c r="L714" s="10"/>
      <c r="M714" s="19"/>
      <c r="N714" s="17"/>
      <c r="Q714" s="20"/>
    </row>
    <row r="715" spans="1:17" s="1" customFormat="1" ht="14.25" customHeight="1" x14ac:dyDescent="0.25">
      <c r="A715" s="15"/>
      <c r="B715" s="15"/>
      <c r="C715" s="15"/>
      <c r="D715" s="20"/>
      <c r="E715" s="20"/>
      <c r="F715" s="20"/>
      <c r="G715" s="20"/>
      <c r="H715" s="20"/>
      <c r="I715" s="21"/>
      <c r="J715" s="15"/>
      <c r="K715" s="21"/>
      <c r="L715" s="10"/>
      <c r="M715" s="19"/>
      <c r="N715" s="17"/>
      <c r="Q715" s="20"/>
    </row>
    <row r="716" spans="1:17" s="1" customFormat="1" ht="14.25" customHeight="1" x14ac:dyDescent="0.25">
      <c r="A716" s="15"/>
      <c r="B716" s="15"/>
      <c r="C716" s="15"/>
      <c r="D716" s="20"/>
      <c r="E716" s="20"/>
      <c r="F716" s="20"/>
      <c r="G716" s="20"/>
      <c r="H716" s="20"/>
      <c r="I716" s="21"/>
      <c r="J716" s="15"/>
      <c r="K716" s="21"/>
      <c r="L716" s="10"/>
      <c r="M716" s="19"/>
      <c r="N716" s="17"/>
      <c r="Q716" s="20"/>
    </row>
    <row r="717" spans="1:17" s="1" customFormat="1" ht="14.25" customHeight="1" x14ac:dyDescent="0.25">
      <c r="A717" s="15"/>
      <c r="B717" s="15"/>
      <c r="C717" s="15"/>
      <c r="D717" s="20"/>
      <c r="E717" s="20"/>
      <c r="F717" s="20"/>
      <c r="G717" s="20"/>
      <c r="H717" s="20"/>
      <c r="I717" s="21"/>
      <c r="J717" s="15"/>
      <c r="K717" s="21"/>
      <c r="L717" s="10"/>
      <c r="M717" s="19"/>
      <c r="N717" s="17"/>
      <c r="Q717" s="20"/>
    </row>
    <row r="718" spans="1:17" s="1" customFormat="1" ht="14.25" customHeight="1" x14ac:dyDescent="0.25">
      <c r="A718" s="15"/>
      <c r="B718" s="15"/>
      <c r="C718" s="15"/>
      <c r="D718" s="20"/>
      <c r="E718" s="20"/>
      <c r="F718" s="20"/>
      <c r="G718" s="20"/>
      <c r="H718" s="20"/>
      <c r="I718" s="21"/>
      <c r="J718" s="15"/>
      <c r="K718" s="21"/>
      <c r="L718" s="10"/>
      <c r="M718" s="19"/>
      <c r="N718" s="17"/>
      <c r="Q718" s="20"/>
    </row>
    <row r="719" spans="1:17" s="1" customFormat="1" ht="14.25" customHeight="1" x14ac:dyDescent="0.25">
      <c r="A719" s="15"/>
      <c r="B719" s="15"/>
      <c r="C719" s="15"/>
      <c r="D719" s="20"/>
      <c r="E719" s="20"/>
      <c r="F719" s="20"/>
      <c r="G719" s="20"/>
      <c r="H719" s="20"/>
      <c r="I719" s="21"/>
      <c r="J719" s="15"/>
      <c r="K719" s="21"/>
      <c r="L719" s="10"/>
      <c r="M719" s="19"/>
      <c r="N719" s="17"/>
      <c r="Q719" s="20"/>
    </row>
    <row r="720" spans="1:17" s="1" customFormat="1" ht="14.25" customHeight="1" x14ac:dyDescent="0.25">
      <c r="A720" s="15"/>
      <c r="B720" s="15"/>
      <c r="C720" s="15"/>
      <c r="D720" s="20"/>
      <c r="E720" s="20"/>
      <c r="F720" s="20"/>
      <c r="G720" s="20"/>
      <c r="H720" s="20"/>
      <c r="I720" s="21"/>
      <c r="J720" s="15"/>
      <c r="K720" s="21"/>
      <c r="L720" s="10"/>
      <c r="M720" s="19"/>
      <c r="N720" s="17"/>
      <c r="Q720" s="20"/>
    </row>
    <row r="721" spans="1:17" s="1" customFormat="1" ht="14.25" customHeight="1" x14ac:dyDescent="0.25">
      <c r="A721" s="15"/>
      <c r="B721" s="15"/>
      <c r="C721" s="15"/>
      <c r="D721" s="20"/>
      <c r="E721" s="20"/>
      <c r="F721" s="20"/>
      <c r="G721" s="20"/>
      <c r="H721" s="20"/>
      <c r="I721" s="21"/>
      <c r="J721" s="15"/>
      <c r="K721" s="21"/>
      <c r="L721" s="10"/>
      <c r="M721" s="19"/>
      <c r="N721" s="17"/>
      <c r="Q721" s="20"/>
    </row>
    <row r="722" spans="1:17" s="1" customFormat="1" ht="14.25" customHeight="1" x14ac:dyDescent="0.25">
      <c r="A722" s="15"/>
      <c r="B722" s="15"/>
      <c r="C722" s="15"/>
      <c r="D722" s="20"/>
      <c r="E722" s="20"/>
      <c r="F722" s="20"/>
      <c r="G722" s="20"/>
      <c r="H722" s="20"/>
      <c r="I722" s="21"/>
      <c r="J722" s="15"/>
      <c r="K722" s="21"/>
      <c r="L722" s="10"/>
      <c r="M722" s="19"/>
      <c r="N722" s="17"/>
      <c r="Q722" s="20"/>
    </row>
    <row r="723" spans="1:17" s="1" customFormat="1" ht="14.25" customHeight="1" x14ac:dyDescent="0.25">
      <c r="A723" s="15"/>
      <c r="B723" s="15"/>
      <c r="C723" s="15"/>
      <c r="D723" s="20"/>
      <c r="E723" s="20"/>
      <c r="F723" s="20"/>
      <c r="G723" s="20"/>
      <c r="H723" s="20"/>
      <c r="I723" s="21"/>
      <c r="J723" s="15"/>
      <c r="K723" s="21"/>
      <c r="L723" s="10"/>
      <c r="M723" s="19"/>
      <c r="N723" s="17"/>
      <c r="Q723" s="20"/>
    </row>
    <row r="724" spans="1:17" s="1" customFormat="1" ht="14.25" customHeight="1" x14ac:dyDescent="0.25">
      <c r="A724" s="15"/>
      <c r="B724" s="15"/>
      <c r="C724" s="15"/>
      <c r="D724" s="20"/>
      <c r="E724" s="20"/>
      <c r="F724" s="20"/>
      <c r="G724" s="20"/>
      <c r="H724" s="20"/>
      <c r="I724" s="21"/>
      <c r="J724" s="15"/>
      <c r="K724" s="21"/>
      <c r="L724" s="10"/>
      <c r="M724" s="19"/>
      <c r="N724" s="17"/>
      <c r="Q724" s="20"/>
    </row>
    <row r="725" spans="1:17" s="1" customFormat="1" ht="14.25" customHeight="1" x14ac:dyDescent="0.25">
      <c r="A725" s="15"/>
      <c r="B725" s="15"/>
      <c r="C725" s="15"/>
      <c r="D725" s="20"/>
      <c r="E725" s="20"/>
      <c r="F725" s="20"/>
      <c r="G725" s="20"/>
      <c r="H725" s="20"/>
      <c r="I725" s="21"/>
      <c r="J725" s="15"/>
      <c r="K725" s="21"/>
      <c r="L725" s="10"/>
      <c r="M725" s="19"/>
      <c r="N725" s="17"/>
      <c r="Q725" s="20"/>
    </row>
    <row r="726" spans="1:17" s="1" customFormat="1" ht="14.25" customHeight="1" x14ac:dyDescent="0.25">
      <c r="A726" s="15"/>
      <c r="B726" s="15"/>
      <c r="C726" s="15"/>
      <c r="D726" s="20"/>
      <c r="E726" s="20"/>
      <c r="F726" s="20"/>
      <c r="G726" s="20"/>
      <c r="H726" s="20"/>
      <c r="I726" s="21"/>
      <c r="J726" s="15"/>
      <c r="K726" s="21"/>
      <c r="L726" s="10"/>
      <c r="M726" s="19"/>
      <c r="N726" s="17"/>
      <c r="Q726" s="20"/>
    </row>
    <row r="727" spans="1:17" s="1" customFormat="1" ht="14.25" customHeight="1" x14ac:dyDescent="0.25">
      <c r="A727" s="15"/>
      <c r="B727" s="15"/>
      <c r="C727" s="15"/>
      <c r="D727" s="20"/>
      <c r="E727" s="20"/>
      <c r="F727" s="20"/>
      <c r="G727" s="20"/>
      <c r="H727" s="20"/>
      <c r="I727" s="21"/>
      <c r="J727" s="15"/>
      <c r="K727" s="21"/>
      <c r="L727" s="10"/>
      <c r="M727" s="19"/>
      <c r="N727" s="17"/>
      <c r="Q727" s="20"/>
    </row>
    <row r="728" spans="1:17" s="1" customFormat="1" ht="14.25" customHeight="1" x14ac:dyDescent="0.25">
      <c r="A728" s="15"/>
      <c r="B728" s="15"/>
      <c r="C728" s="15"/>
      <c r="D728" s="20"/>
      <c r="E728" s="20"/>
      <c r="F728" s="20"/>
      <c r="G728" s="20"/>
      <c r="H728" s="20"/>
      <c r="I728" s="21"/>
      <c r="J728" s="15"/>
      <c r="K728" s="21"/>
      <c r="L728" s="10"/>
      <c r="M728" s="19"/>
      <c r="N728" s="17"/>
      <c r="Q728" s="20"/>
    </row>
    <row r="729" spans="1:17" s="1" customFormat="1" ht="14.25" customHeight="1" x14ac:dyDescent="0.25">
      <c r="A729" s="15"/>
      <c r="B729" s="15"/>
      <c r="C729" s="15"/>
      <c r="D729" s="20"/>
      <c r="E729" s="20"/>
      <c r="F729" s="20"/>
      <c r="G729" s="20"/>
      <c r="H729" s="20"/>
      <c r="I729" s="21"/>
      <c r="J729" s="15"/>
      <c r="K729" s="21"/>
      <c r="L729" s="10"/>
      <c r="M729" s="19"/>
      <c r="N729" s="17"/>
      <c r="Q729" s="20"/>
    </row>
    <row r="730" spans="1:17" s="1" customFormat="1" ht="14.25" customHeight="1" x14ac:dyDescent="0.25">
      <c r="A730" s="15"/>
      <c r="B730" s="15"/>
      <c r="C730" s="15"/>
      <c r="D730" s="20"/>
      <c r="E730" s="20"/>
      <c r="F730" s="20"/>
      <c r="G730" s="20"/>
      <c r="H730" s="20"/>
      <c r="I730" s="21"/>
      <c r="J730" s="15"/>
      <c r="K730" s="21"/>
      <c r="L730" s="10"/>
      <c r="M730" s="19"/>
      <c r="N730" s="17"/>
      <c r="Q730" s="20"/>
    </row>
    <row r="731" spans="1:17" s="1" customFormat="1" ht="14.25" customHeight="1" x14ac:dyDescent="0.25">
      <c r="A731" s="15"/>
      <c r="B731" s="15"/>
      <c r="C731" s="15"/>
      <c r="D731" s="20"/>
      <c r="E731" s="20"/>
      <c r="F731" s="20"/>
      <c r="G731" s="20"/>
      <c r="H731" s="20"/>
      <c r="I731" s="21"/>
      <c r="J731" s="15"/>
      <c r="K731" s="21"/>
      <c r="L731" s="10"/>
      <c r="M731" s="19"/>
      <c r="N731" s="17"/>
      <c r="Q731" s="20"/>
    </row>
    <row r="732" spans="1:17" s="1" customFormat="1" ht="14.25" customHeight="1" x14ac:dyDescent="0.25">
      <c r="A732" s="15"/>
      <c r="B732" s="15"/>
      <c r="C732" s="15"/>
      <c r="D732" s="20"/>
      <c r="E732" s="20"/>
      <c r="F732" s="20"/>
      <c r="G732" s="20"/>
      <c r="H732" s="20"/>
      <c r="I732" s="21"/>
      <c r="J732" s="15"/>
      <c r="K732" s="21"/>
      <c r="L732" s="10"/>
      <c r="M732" s="19"/>
      <c r="N732" s="17"/>
      <c r="Q732" s="20"/>
    </row>
    <row r="733" spans="1:17" s="1" customFormat="1" ht="14.25" customHeight="1" x14ac:dyDescent="0.25">
      <c r="A733" s="15"/>
      <c r="B733" s="15"/>
      <c r="C733" s="15"/>
      <c r="D733" s="20"/>
      <c r="E733" s="20"/>
      <c r="F733" s="20"/>
      <c r="G733" s="20"/>
      <c r="H733" s="20"/>
      <c r="I733" s="21"/>
      <c r="J733" s="15"/>
      <c r="K733" s="21"/>
      <c r="L733" s="10"/>
      <c r="M733" s="19"/>
      <c r="N733" s="17"/>
      <c r="Q733" s="20"/>
    </row>
    <row r="734" spans="1:17" s="1" customFormat="1" ht="14.25" customHeight="1" x14ac:dyDescent="0.25">
      <c r="A734" s="15"/>
      <c r="B734" s="15"/>
      <c r="C734" s="15"/>
      <c r="D734" s="20"/>
      <c r="E734" s="20"/>
      <c r="F734" s="20"/>
      <c r="G734" s="20"/>
      <c r="H734" s="20"/>
      <c r="I734" s="21"/>
      <c r="J734" s="15"/>
      <c r="K734" s="21"/>
      <c r="L734" s="10"/>
      <c r="M734" s="19"/>
      <c r="N734" s="17"/>
      <c r="Q734" s="20"/>
    </row>
    <row r="735" spans="1:17" s="1" customFormat="1" ht="14.25" customHeight="1" x14ac:dyDescent="0.25">
      <c r="A735" s="15"/>
      <c r="B735" s="15"/>
      <c r="C735" s="15"/>
      <c r="D735" s="20"/>
      <c r="E735" s="20"/>
      <c r="F735" s="20"/>
      <c r="G735" s="20"/>
      <c r="H735" s="20"/>
      <c r="I735" s="21"/>
      <c r="J735" s="15"/>
      <c r="K735" s="21"/>
      <c r="L735" s="10"/>
      <c r="M735" s="19"/>
      <c r="N735" s="17"/>
      <c r="Q735" s="20"/>
    </row>
    <row r="736" spans="1:17" s="1" customFormat="1" ht="14.25" customHeight="1" x14ac:dyDescent="0.25">
      <c r="A736" s="15"/>
      <c r="B736" s="15"/>
      <c r="C736" s="15"/>
      <c r="D736" s="20"/>
      <c r="E736" s="20"/>
      <c r="F736" s="20"/>
      <c r="G736" s="20"/>
      <c r="H736" s="20"/>
      <c r="I736" s="21"/>
      <c r="J736" s="15"/>
      <c r="K736" s="21"/>
      <c r="L736" s="10"/>
      <c r="M736" s="19"/>
      <c r="N736" s="17"/>
      <c r="Q736" s="20"/>
    </row>
    <row r="737" spans="1:17" s="1" customFormat="1" ht="14.25" customHeight="1" x14ac:dyDescent="0.25">
      <c r="A737" s="15"/>
      <c r="B737" s="15"/>
      <c r="C737" s="15"/>
      <c r="D737" s="20"/>
      <c r="E737" s="20"/>
      <c r="F737" s="20"/>
      <c r="G737" s="20"/>
      <c r="H737" s="20"/>
      <c r="I737" s="21"/>
      <c r="J737" s="15"/>
      <c r="K737" s="21"/>
      <c r="L737" s="10"/>
      <c r="M737" s="19"/>
      <c r="N737" s="17"/>
      <c r="Q737" s="20"/>
    </row>
    <row r="738" spans="1:17" s="1" customFormat="1" ht="14.25" customHeight="1" x14ac:dyDescent="0.25">
      <c r="A738" s="15"/>
      <c r="B738" s="15"/>
      <c r="C738" s="15"/>
      <c r="D738" s="20"/>
      <c r="E738" s="20"/>
      <c r="F738" s="20"/>
      <c r="G738" s="20"/>
      <c r="H738" s="20"/>
      <c r="I738" s="21"/>
      <c r="J738" s="15"/>
      <c r="K738" s="21"/>
      <c r="L738" s="10"/>
      <c r="M738" s="19"/>
      <c r="N738" s="17"/>
      <c r="Q738" s="20"/>
    </row>
    <row r="739" spans="1:17" s="1" customFormat="1" ht="14.25" customHeight="1" x14ac:dyDescent="0.25">
      <c r="A739" s="15"/>
      <c r="B739" s="15"/>
      <c r="C739" s="15"/>
      <c r="D739" s="20"/>
      <c r="E739" s="20"/>
      <c r="F739" s="20"/>
      <c r="G739" s="20"/>
      <c r="H739" s="20"/>
      <c r="I739" s="21"/>
      <c r="J739" s="15"/>
      <c r="K739" s="21"/>
      <c r="L739" s="10"/>
      <c r="M739" s="19"/>
      <c r="N739" s="17"/>
      <c r="Q739" s="20"/>
    </row>
    <row r="740" spans="1:17" s="1" customFormat="1" ht="14.25" customHeight="1" x14ac:dyDescent="0.25">
      <c r="A740" s="15"/>
      <c r="B740" s="15"/>
      <c r="C740" s="15"/>
      <c r="D740" s="20"/>
      <c r="E740" s="20"/>
      <c r="F740" s="20"/>
      <c r="G740" s="20"/>
      <c r="H740" s="20"/>
      <c r="I740" s="21"/>
      <c r="J740" s="15"/>
      <c r="K740" s="21"/>
      <c r="L740" s="10"/>
      <c r="M740" s="19"/>
      <c r="N740" s="17"/>
      <c r="Q740" s="20"/>
    </row>
    <row r="741" spans="1:17" s="1" customFormat="1" ht="14.25" customHeight="1" x14ac:dyDescent="0.25">
      <c r="A741" s="15"/>
      <c r="B741" s="15"/>
      <c r="C741" s="15"/>
      <c r="D741" s="20"/>
      <c r="E741" s="20"/>
      <c r="F741" s="20"/>
      <c r="G741" s="20"/>
      <c r="H741" s="20"/>
      <c r="I741" s="21"/>
      <c r="J741" s="15"/>
      <c r="K741" s="21"/>
      <c r="L741" s="10"/>
      <c r="M741" s="19"/>
      <c r="N741" s="17"/>
      <c r="Q741" s="20"/>
    </row>
    <row r="742" spans="1:17" s="1" customFormat="1" ht="14.25" customHeight="1" x14ac:dyDescent="0.25">
      <c r="A742" s="15"/>
      <c r="B742" s="15"/>
      <c r="C742" s="15"/>
      <c r="D742" s="20"/>
      <c r="E742" s="20"/>
      <c r="F742" s="20"/>
      <c r="G742" s="20"/>
      <c r="H742" s="20"/>
      <c r="I742" s="21"/>
      <c r="J742" s="15"/>
      <c r="K742" s="21"/>
      <c r="L742" s="10"/>
      <c r="M742" s="19"/>
      <c r="N742" s="17"/>
      <c r="Q742" s="20"/>
    </row>
    <row r="743" spans="1:17" s="1" customFormat="1" ht="14.25" customHeight="1" x14ac:dyDescent="0.25">
      <c r="A743" s="15"/>
      <c r="B743" s="15"/>
      <c r="C743" s="15"/>
      <c r="D743" s="20"/>
      <c r="E743" s="20"/>
      <c r="F743" s="20"/>
      <c r="G743" s="20"/>
      <c r="H743" s="20"/>
      <c r="I743" s="21"/>
      <c r="J743" s="15"/>
      <c r="K743" s="21"/>
      <c r="L743" s="10"/>
      <c r="M743" s="19"/>
      <c r="N743" s="17"/>
      <c r="Q743" s="20"/>
    </row>
    <row r="744" spans="1:17" s="1" customFormat="1" ht="14.25" customHeight="1" x14ac:dyDescent="0.25">
      <c r="A744" s="15"/>
      <c r="B744" s="15"/>
      <c r="C744" s="15"/>
      <c r="D744" s="20"/>
      <c r="E744" s="20"/>
      <c r="F744" s="20"/>
      <c r="G744" s="20"/>
      <c r="H744" s="20"/>
      <c r="I744" s="21"/>
      <c r="J744" s="15"/>
      <c r="K744" s="21"/>
      <c r="L744" s="10"/>
      <c r="M744" s="19"/>
      <c r="N744" s="17"/>
      <c r="Q744" s="20"/>
    </row>
    <row r="745" spans="1:17" s="1" customFormat="1" ht="14.25" customHeight="1" x14ac:dyDescent="0.25">
      <c r="A745" s="15"/>
      <c r="B745" s="15"/>
      <c r="C745" s="15"/>
      <c r="D745" s="20"/>
      <c r="E745" s="20"/>
      <c r="F745" s="20"/>
      <c r="G745" s="20"/>
      <c r="H745" s="20"/>
      <c r="I745" s="21"/>
      <c r="J745" s="15"/>
      <c r="K745" s="21"/>
      <c r="L745" s="10"/>
      <c r="M745" s="19"/>
      <c r="N745" s="17"/>
      <c r="Q745" s="20"/>
    </row>
    <row r="746" spans="1:17" s="1" customFormat="1" ht="14.25" customHeight="1" x14ac:dyDescent="0.25">
      <c r="A746" s="15"/>
      <c r="B746" s="15"/>
      <c r="C746" s="15"/>
      <c r="D746" s="20"/>
      <c r="E746" s="20"/>
      <c r="F746" s="20"/>
      <c r="G746" s="20"/>
      <c r="H746" s="20"/>
      <c r="I746" s="21"/>
      <c r="J746" s="15"/>
      <c r="K746" s="21"/>
      <c r="L746" s="10"/>
      <c r="M746" s="19"/>
      <c r="N746" s="17"/>
      <c r="Q746" s="20"/>
    </row>
    <row r="747" spans="1:17" s="1" customFormat="1" ht="14.25" customHeight="1" x14ac:dyDescent="0.25">
      <c r="A747" s="15"/>
      <c r="B747" s="15"/>
      <c r="C747" s="15"/>
      <c r="D747" s="20"/>
      <c r="E747" s="20"/>
      <c r="F747" s="20"/>
      <c r="G747" s="20"/>
      <c r="H747" s="20"/>
      <c r="I747" s="21"/>
      <c r="J747" s="15"/>
      <c r="K747" s="21"/>
      <c r="L747" s="10"/>
      <c r="M747" s="19"/>
      <c r="N747" s="17"/>
      <c r="Q747" s="20"/>
    </row>
    <row r="748" spans="1:17" s="1" customFormat="1" ht="14.25" customHeight="1" x14ac:dyDescent="0.25">
      <c r="A748" s="15"/>
      <c r="B748" s="15"/>
      <c r="C748" s="15"/>
      <c r="D748" s="20"/>
      <c r="E748" s="20"/>
      <c r="F748" s="20"/>
      <c r="G748" s="20"/>
      <c r="H748" s="20"/>
      <c r="I748" s="21"/>
      <c r="J748" s="15"/>
      <c r="K748" s="21"/>
      <c r="L748" s="10"/>
      <c r="M748" s="19"/>
      <c r="N748" s="17"/>
      <c r="Q748" s="20"/>
    </row>
    <row r="749" spans="1:17" s="1" customFormat="1" ht="14.25" customHeight="1" x14ac:dyDescent="0.25">
      <c r="A749" s="15"/>
      <c r="B749" s="15"/>
      <c r="C749" s="15"/>
      <c r="D749" s="20"/>
      <c r="E749" s="20"/>
      <c r="F749" s="20"/>
      <c r="G749" s="20"/>
      <c r="H749" s="20"/>
      <c r="I749" s="21"/>
      <c r="J749" s="15"/>
      <c r="K749" s="21"/>
      <c r="L749" s="10"/>
      <c r="M749" s="19"/>
      <c r="N749" s="17"/>
      <c r="Q749" s="20"/>
    </row>
    <row r="750" spans="1:17" s="1" customFormat="1" ht="14.25" customHeight="1" x14ac:dyDescent="0.25">
      <c r="A750" s="15"/>
      <c r="B750" s="15"/>
      <c r="C750" s="15"/>
      <c r="D750" s="20"/>
      <c r="E750" s="20"/>
      <c r="F750" s="20"/>
      <c r="G750" s="20"/>
      <c r="H750" s="20"/>
      <c r="I750" s="21"/>
      <c r="J750" s="15"/>
      <c r="K750" s="21"/>
      <c r="L750" s="10"/>
      <c r="M750" s="19"/>
      <c r="N750" s="17"/>
      <c r="Q750" s="20"/>
    </row>
    <row r="751" spans="1:17" s="1" customFormat="1" ht="14.25" customHeight="1" x14ac:dyDescent="0.25">
      <c r="A751" s="15"/>
      <c r="B751" s="15"/>
      <c r="C751" s="15"/>
      <c r="D751" s="20"/>
      <c r="E751" s="20"/>
      <c r="F751" s="20"/>
      <c r="G751" s="20"/>
      <c r="H751" s="20"/>
      <c r="I751" s="21"/>
      <c r="J751" s="15"/>
      <c r="K751" s="21"/>
      <c r="L751" s="10"/>
      <c r="M751" s="19"/>
      <c r="N751" s="17"/>
      <c r="Q751" s="20"/>
    </row>
    <row r="752" spans="1:17" s="1" customFormat="1" ht="14.25" customHeight="1" x14ac:dyDescent="0.25">
      <c r="A752" s="15"/>
      <c r="B752" s="15"/>
      <c r="C752" s="15"/>
      <c r="D752" s="20"/>
      <c r="E752" s="20"/>
      <c r="F752" s="20"/>
      <c r="G752" s="20"/>
      <c r="H752" s="20"/>
      <c r="I752" s="21"/>
      <c r="J752" s="15"/>
      <c r="K752" s="21"/>
      <c r="L752" s="10"/>
      <c r="M752" s="19"/>
      <c r="N752" s="17"/>
      <c r="Q752" s="20"/>
    </row>
    <row r="753" spans="1:17" s="1" customFormat="1" ht="14.25" customHeight="1" x14ac:dyDescent="0.25">
      <c r="A753" s="15"/>
      <c r="B753" s="15"/>
      <c r="C753" s="15"/>
      <c r="D753" s="20"/>
      <c r="E753" s="20"/>
      <c r="F753" s="20"/>
      <c r="G753" s="20"/>
      <c r="H753" s="20"/>
      <c r="I753" s="21"/>
      <c r="J753" s="15"/>
      <c r="K753" s="21"/>
      <c r="L753" s="10"/>
      <c r="M753" s="19"/>
      <c r="N753" s="17"/>
      <c r="Q753" s="20"/>
    </row>
    <row r="754" spans="1:17" s="1" customFormat="1" ht="14.25" customHeight="1" x14ac:dyDescent="0.25">
      <c r="A754" s="15"/>
      <c r="B754" s="15"/>
      <c r="C754" s="15"/>
      <c r="D754" s="20"/>
      <c r="E754" s="20"/>
      <c r="F754" s="20"/>
      <c r="G754" s="20"/>
      <c r="H754" s="20"/>
      <c r="I754" s="21"/>
      <c r="J754" s="15"/>
      <c r="K754" s="21"/>
      <c r="L754" s="10"/>
      <c r="M754" s="19"/>
      <c r="N754" s="17"/>
      <c r="Q754" s="20"/>
    </row>
    <row r="755" spans="1:17" s="1" customFormat="1" ht="14.25" customHeight="1" x14ac:dyDescent="0.25">
      <c r="A755" s="15"/>
      <c r="B755" s="15"/>
      <c r="C755" s="15"/>
      <c r="D755" s="20"/>
      <c r="E755" s="20"/>
      <c r="F755" s="20"/>
      <c r="G755" s="20"/>
      <c r="H755" s="20"/>
      <c r="I755" s="21"/>
      <c r="J755" s="15"/>
      <c r="K755" s="21"/>
      <c r="L755" s="10"/>
      <c r="M755" s="19"/>
      <c r="N755" s="17"/>
      <c r="Q755" s="20"/>
    </row>
    <row r="756" spans="1:17" s="1" customFormat="1" ht="14.25" customHeight="1" x14ac:dyDescent="0.25">
      <c r="A756" s="15"/>
      <c r="B756" s="15"/>
      <c r="C756" s="15"/>
      <c r="D756" s="20"/>
      <c r="E756" s="20"/>
      <c r="F756" s="20"/>
      <c r="G756" s="20"/>
      <c r="H756" s="20"/>
      <c r="I756" s="21"/>
      <c r="J756" s="15"/>
      <c r="K756" s="21"/>
      <c r="L756" s="10"/>
      <c r="M756" s="19"/>
      <c r="N756" s="17"/>
      <c r="Q756" s="20"/>
    </row>
    <row r="757" spans="1:17" s="1" customFormat="1" ht="14.25" customHeight="1" x14ac:dyDescent="0.25">
      <c r="A757" s="15"/>
      <c r="B757" s="15"/>
      <c r="C757" s="15"/>
      <c r="D757" s="20"/>
      <c r="E757" s="20"/>
      <c r="F757" s="20"/>
      <c r="G757" s="20"/>
      <c r="H757" s="20"/>
      <c r="I757" s="21"/>
      <c r="J757" s="15"/>
      <c r="K757" s="21"/>
      <c r="L757" s="10"/>
      <c r="M757" s="19"/>
      <c r="N757" s="17"/>
      <c r="Q757" s="20"/>
    </row>
    <row r="758" spans="1:17" s="1" customFormat="1" ht="14.25" customHeight="1" x14ac:dyDescent="0.25">
      <c r="A758" s="15"/>
      <c r="B758" s="15"/>
      <c r="C758" s="15"/>
      <c r="D758" s="20"/>
      <c r="E758" s="20"/>
      <c r="F758" s="20"/>
      <c r="G758" s="20"/>
      <c r="H758" s="20"/>
      <c r="I758" s="21"/>
      <c r="J758" s="15"/>
      <c r="K758" s="21"/>
      <c r="L758" s="10"/>
      <c r="M758" s="19"/>
      <c r="N758" s="17"/>
      <c r="Q758" s="20"/>
    </row>
    <row r="759" spans="1:17" s="1" customFormat="1" ht="14.25" customHeight="1" x14ac:dyDescent="0.25">
      <c r="A759" s="15"/>
      <c r="B759" s="15"/>
      <c r="C759" s="15"/>
      <c r="D759" s="20"/>
      <c r="E759" s="20"/>
      <c r="F759" s="20"/>
      <c r="G759" s="20"/>
      <c r="H759" s="20"/>
      <c r="I759" s="21"/>
      <c r="J759" s="15"/>
      <c r="K759" s="21"/>
      <c r="L759" s="10"/>
      <c r="M759" s="19"/>
      <c r="N759" s="17"/>
      <c r="Q759" s="20"/>
    </row>
    <row r="760" spans="1:17" s="1" customFormat="1" ht="14.25" customHeight="1" x14ac:dyDescent="0.25">
      <c r="A760" s="15"/>
      <c r="B760" s="15"/>
      <c r="C760" s="15"/>
      <c r="D760" s="20"/>
      <c r="E760" s="20"/>
      <c r="F760" s="20"/>
      <c r="G760" s="20"/>
      <c r="H760" s="20"/>
      <c r="I760" s="21"/>
      <c r="J760" s="15"/>
      <c r="K760" s="21"/>
      <c r="L760" s="10"/>
      <c r="M760" s="19"/>
      <c r="N760" s="17"/>
      <c r="Q760" s="20"/>
    </row>
    <row r="761" spans="1:17" s="1" customFormat="1" ht="14.25" customHeight="1" x14ac:dyDescent="0.25">
      <c r="A761" s="15"/>
      <c r="B761" s="15"/>
      <c r="C761" s="15"/>
      <c r="D761" s="20"/>
      <c r="E761" s="20"/>
      <c r="F761" s="20"/>
      <c r="G761" s="20"/>
      <c r="H761" s="20"/>
      <c r="I761" s="21"/>
      <c r="J761" s="15"/>
      <c r="K761" s="21"/>
      <c r="L761" s="10"/>
      <c r="M761" s="19"/>
      <c r="N761" s="17"/>
      <c r="Q761" s="20"/>
    </row>
    <row r="762" spans="1:17" s="1" customFormat="1" ht="14.25" customHeight="1" x14ac:dyDescent="0.25">
      <c r="A762" s="15"/>
      <c r="B762" s="15"/>
      <c r="C762" s="15"/>
      <c r="D762" s="20"/>
      <c r="E762" s="20"/>
      <c r="F762" s="20"/>
      <c r="G762" s="20"/>
      <c r="H762" s="20"/>
      <c r="I762" s="21"/>
      <c r="J762" s="15"/>
      <c r="K762" s="21"/>
      <c r="L762" s="10"/>
      <c r="M762" s="19"/>
      <c r="N762" s="17"/>
      <c r="Q762" s="20"/>
    </row>
    <row r="763" spans="1:17" s="1" customFormat="1" ht="14.25" customHeight="1" x14ac:dyDescent="0.25">
      <c r="A763" s="15"/>
      <c r="B763" s="15"/>
      <c r="C763" s="15"/>
      <c r="D763" s="20"/>
      <c r="E763" s="20"/>
      <c r="F763" s="20"/>
      <c r="G763" s="20"/>
      <c r="H763" s="20"/>
      <c r="I763" s="21"/>
      <c r="J763" s="15"/>
      <c r="K763" s="21"/>
      <c r="L763" s="10"/>
      <c r="M763" s="19"/>
      <c r="N763" s="17"/>
      <c r="Q763" s="20"/>
    </row>
    <row r="764" spans="1:17" s="1" customFormat="1" ht="14.25" customHeight="1" x14ac:dyDescent="0.25">
      <c r="A764" s="15"/>
      <c r="B764" s="15"/>
      <c r="C764" s="15"/>
      <c r="D764" s="20"/>
      <c r="E764" s="20"/>
      <c r="F764" s="20"/>
      <c r="G764" s="20"/>
      <c r="H764" s="20"/>
      <c r="I764" s="21"/>
      <c r="J764" s="15"/>
      <c r="K764" s="21"/>
      <c r="L764" s="10"/>
      <c r="M764" s="19"/>
      <c r="N764" s="17"/>
      <c r="Q764" s="20"/>
    </row>
    <row r="765" spans="1:17" s="1" customFormat="1" ht="14.25" customHeight="1" x14ac:dyDescent="0.25">
      <c r="A765" s="15"/>
      <c r="B765" s="15"/>
      <c r="C765" s="15"/>
      <c r="D765" s="20"/>
      <c r="E765" s="20"/>
      <c r="F765" s="20"/>
      <c r="G765" s="20"/>
      <c r="H765" s="20"/>
      <c r="I765" s="21"/>
      <c r="J765" s="15"/>
      <c r="K765" s="21"/>
      <c r="L765" s="10"/>
      <c r="M765" s="19"/>
      <c r="N765" s="17"/>
      <c r="Q765" s="20"/>
    </row>
    <row r="766" spans="1:17" s="1" customFormat="1" ht="14.25" customHeight="1" x14ac:dyDescent="0.25">
      <c r="A766" s="15"/>
      <c r="B766" s="15"/>
      <c r="C766" s="15"/>
      <c r="D766" s="20"/>
      <c r="E766" s="20"/>
      <c r="F766" s="20"/>
      <c r="G766" s="20"/>
      <c r="H766" s="20"/>
      <c r="I766" s="21"/>
      <c r="J766" s="15"/>
      <c r="K766" s="21"/>
      <c r="L766" s="10"/>
      <c r="M766" s="19"/>
      <c r="N766" s="17"/>
      <c r="Q766" s="20"/>
    </row>
    <row r="767" spans="1:17" s="1" customFormat="1" ht="14.25" customHeight="1" x14ac:dyDescent="0.25">
      <c r="A767" s="15"/>
      <c r="B767" s="15"/>
      <c r="C767" s="15"/>
      <c r="D767" s="20"/>
      <c r="E767" s="20"/>
      <c r="F767" s="20"/>
      <c r="G767" s="20"/>
      <c r="H767" s="20"/>
      <c r="I767" s="21"/>
      <c r="J767" s="15"/>
      <c r="K767" s="21"/>
      <c r="L767" s="10"/>
      <c r="M767" s="19"/>
      <c r="N767" s="17"/>
      <c r="Q767" s="20"/>
    </row>
    <row r="768" spans="1:17" s="1" customFormat="1" ht="14.25" customHeight="1" x14ac:dyDescent="0.25">
      <c r="A768" s="15"/>
      <c r="B768" s="15"/>
      <c r="C768" s="15"/>
      <c r="D768" s="20"/>
      <c r="E768" s="20"/>
      <c r="F768" s="20"/>
      <c r="G768" s="20"/>
      <c r="H768" s="20"/>
      <c r="I768" s="21"/>
      <c r="J768" s="15"/>
      <c r="K768" s="21"/>
      <c r="L768" s="10"/>
      <c r="M768" s="19"/>
      <c r="N768" s="17"/>
      <c r="Q768" s="20"/>
    </row>
    <row r="769" spans="1:17" s="1" customFormat="1" ht="14.25" customHeight="1" x14ac:dyDescent="0.25">
      <c r="A769" s="15"/>
      <c r="B769" s="15"/>
      <c r="C769" s="15"/>
      <c r="D769" s="20"/>
      <c r="E769" s="20"/>
      <c r="F769" s="20"/>
      <c r="G769" s="20"/>
      <c r="H769" s="20"/>
      <c r="I769" s="21"/>
      <c r="J769" s="15"/>
      <c r="K769" s="21"/>
      <c r="L769" s="10"/>
      <c r="M769" s="19"/>
      <c r="N769" s="17"/>
      <c r="Q769" s="20"/>
    </row>
    <row r="770" spans="1:17" s="1" customFormat="1" ht="14.25" customHeight="1" x14ac:dyDescent="0.25">
      <c r="A770" s="15"/>
      <c r="B770" s="15"/>
      <c r="C770" s="15"/>
      <c r="D770" s="20"/>
      <c r="E770" s="20"/>
      <c r="F770" s="20"/>
      <c r="G770" s="20"/>
      <c r="H770" s="20"/>
      <c r="I770" s="21"/>
      <c r="J770" s="15"/>
      <c r="K770" s="21"/>
      <c r="L770" s="10"/>
      <c r="M770" s="19"/>
      <c r="N770" s="17"/>
      <c r="Q770" s="20"/>
    </row>
    <row r="771" spans="1:17" s="1" customFormat="1" ht="14.25" customHeight="1" x14ac:dyDescent="0.25">
      <c r="A771" s="15"/>
      <c r="B771" s="15"/>
      <c r="C771" s="15"/>
      <c r="D771" s="20"/>
      <c r="E771" s="20"/>
      <c r="F771" s="20"/>
      <c r="G771" s="20"/>
      <c r="H771" s="20"/>
      <c r="I771" s="21"/>
      <c r="J771" s="15"/>
      <c r="K771" s="21"/>
      <c r="L771" s="10"/>
      <c r="M771" s="19"/>
      <c r="N771" s="17"/>
      <c r="Q771" s="20"/>
    </row>
    <row r="772" spans="1:17" s="1" customFormat="1" ht="14.25" customHeight="1" x14ac:dyDescent="0.25">
      <c r="A772" s="15"/>
      <c r="B772" s="15"/>
      <c r="C772" s="15"/>
      <c r="D772" s="20"/>
      <c r="E772" s="20"/>
      <c r="F772" s="20"/>
      <c r="G772" s="20"/>
      <c r="H772" s="20"/>
      <c r="I772" s="21"/>
      <c r="J772" s="15"/>
      <c r="K772" s="21"/>
      <c r="L772" s="10"/>
      <c r="M772" s="19"/>
      <c r="N772" s="17"/>
      <c r="Q772" s="20"/>
    </row>
    <row r="773" spans="1:17" s="1" customFormat="1" ht="14.25" customHeight="1" x14ac:dyDescent="0.25">
      <c r="A773" s="15"/>
      <c r="B773" s="15"/>
      <c r="C773" s="15"/>
      <c r="D773" s="20"/>
      <c r="E773" s="20"/>
      <c r="F773" s="20"/>
      <c r="G773" s="20"/>
      <c r="H773" s="20"/>
      <c r="I773" s="21"/>
      <c r="J773" s="15"/>
      <c r="K773" s="21"/>
      <c r="L773" s="10"/>
      <c r="M773" s="19"/>
      <c r="N773" s="17"/>
      <c r="Q773" s="20"/>
    </row>
    <row r="774" spans="1:17" s="1" customFormat="1" ht="14.25" customHeight="1" x14ac:dyDescent="0.25">
      <c r="A774" s="15"/>
      <c r="B774" s="15"/>
      <c r="C774" s="15"/>
      <c r="D774" s="20"/>
      <c r="E774" s="20"/>
      <c r="F774" s="20"/>
      <c r="G774" s="20"/>
      <c r="H774" s="20"/>
      <c r="I774" s="21"/>
      <c r="J774" s="15"/>
      <c r="K774" s="21"/>
      <c r="L774" s="10"/>
      <c r="M774" s="19"/>
      <c r="N774" s="17"/>
      <c r="Q774" s="20"/>
    </row>
    <row r="775" spans="1:17" s="1" customFormat="1" ht="14.25" customHeight="1" x14ac:dyDescent="0.25">
      <c r="A775" s="15"/>
      <c r="B775" s="15"/>
      <c r="C775" s="15"/>
      <c r="D775" s="20"/>
      <c r="E775" s="20"/>
      <c r="F775" s="20"/>
      <c r="G775" s="20"/>
      <c r="H775" s="20"/>
      <c r="I775" s="21"/>
      <c r="J775" s="15"/>
      <c r="K775" s="21"/>
      <c r="L775" s="10"/>
      <c r="M775" s="19"/>
      <c r="N775" s="17"/>
      <c r="Q775" s="20"/>
    </row>
    <row r="776" spans="1:17" s="1" customFormat="1" ht="14.25" customHeight="1" x14ac:dyDescent="0.25">
      <c r="A776" s="15"/>
      <c r="B776" s="15"/>
      <c r="C776" s="15"/>
      <c r="D776" s="20"/>
      <c r="E776" s="20"/>
      <c r="F776" s="20"/>
      <c r="G776" s="20"/>
      <c r="H776" s="20"/>
      <c r="I776" s="21"/>
      <c r="J776" s="15"/>
      <c r="K776" s="21"/>
      <c r="L776" s="10"/>
      <c r="M776" s="19"/>
      <c r="N776" s="17"/>
      <c r="Q776" s="20"/>
    </row>
    <row r="777" spans="1:17" s="1" customFormat="1" ht="14.25" customHeight="1" x14ac:dyDescent="0.25">
      <c r="A777" s="15"/>
      <c r="B777" s="15"/>
      <c r="C777" s="15"/>
      <c r="D777" s="20"/>
      <c r="E777" s="20"/>
      <c r="F777" s="20"/>
      <c r="G777" s="20"/>
      <c r="H777" s="20"/>
      <c r="I777" s="21"/>
      <c r="J777" s="15"/>
      <c r="K777" s="21"/>
      <c r="L777" s="10"/>
      <c r="M777" s="19"/>
      <c r="N777" s="17"/>
      <c r="Q777" s="20"/>
    </row>
    <row r="778" spans="1:17" s="1" customFormat="1" ht="14.25" customHeight="1" x14ac:dyDescent="0.25">
      <c r="A778" s="15"/>
      <c r="B778" s="15"/>
      <c r="C778" s="15"/>
      <c r="D778" s="20"/>
      <c r="E778" s="20"/>
      <c r="F778" s="20"/>
      <c r="G778" s="20"/>
      <c r="H778" s="20"/>
      <c r="I778" s="21"/>
      <c r="J778" s="15"/>
      <c r="K778" s="21"/>
      <c r="L778" s="10"/>
      <c r="M778" s="19"/>
      <c r="N778" s="17"/>
      <c r="Q778" s="20"/>
    </row>
    <row r="779" spans="1:17" s="1" customFormat="1" ht="14.25" customHeight="1" x14ac:dyDescent="0.25">
      <c r="A779" s="15"/>
      <c r="B779" s="15"/>
      <c r="C779" s="15"/>
      <c r="D779" s="20"/>
      <c r="E779" s="20"/>
      <c r="F779" s="20"/>
      <c r="G779" s="20"/>
      <c r="H779" s="20"/>
      <c r="I779" s="21"/>
      <c r="J779" s="15"/>
      <c r="K779" s="21"/>
      <c r="L779" s="10"/>
      <c r="M779" s="19"/>
      <c r="N779" s="17"/>
      <c r="Q779" s="20"/>
    </row>
    <row r="780" spans="1:17" s="1" customFormat="1" ht="14.25" customHeight="1" x14ac:dyDescent="0.25">
      <c r="A780" s="15"/>
      <c r="B780" s="15"/>
      <c r="C780" s="15"/>
      <c r="D780" s="20"/>
      <c r="E780" s="20"/>
      <c r="F780" s="20"/>
      <c r="G780" s="20"/>
      <c r="H780" s="20"/>
      <c r="I780" s="21"/>
      <c r="J780" s="15"/>
      <c r="K780" s="21"/>
      <c r="L780" s="10"/>
      <c r="M780" s="19"/>
      <c r="N780" s="17"/>
      <c r="Q780" s="20"/>
    </row>
    <row r="781" spans="1:17" s="1" customFormat="1" ht="14.25" customHeight="1" x14ac:dyDescent="0.25">
      <c r="A781" s="15"/>
      <c r="B781" s="15"/>
      <c r="C781" s="15"/>
      <c r="D781" s="20"/>
      <c r="E781" s="20"/>
      <c r="F781" s="20"/>
      <c r="G781" s="20"/>
      <c r="H781" s="20"/>
      <c r="I781" s="21"/>
      <c r="J781" s="15"/>
      <c r="K781" s="21"/>
      <c r="L781" s="10"/>
      <c r="M781" s="19"/>
      <c r="N781" s="17"/>
      <c r="Q781" s="20"/>
    </row>
    <row r="782" spans="1:17" s="1" customFormat="1" ht="14.25" customHeight="1" x14ac:dyDescent="0.25">
      <c r="A782" s="15"/>
      <c r="B782" s="15"/>
      <c r="C782" s="15"/>
      <c r="D782" s="20"/>
      <c r="E782" s="20"/>
      <c r="F782" s="20"/>
      <c r="G782" s="20"/>
      <c r="H782" s="20"/>
      <c r="I782" s="21"/>
      <c r="J782" s="15"/>
      <c r="K782" s="21"/>
      <c r="L782" s="10"/>
      <c r="M782" s="19"/>
      <c r="N782" s="17"/>
      <c r="Q782" s="20"/>
    </row>
    <row r="783" spans="1:17" s="1" customFormat="1" ht="14.25" customHeight="1" x14ac:dyDescent="0.25">
      <c r="A783" s="15"/>
      <c r="B783" s="15"/>
      <c r="C783" s="15"/>
      <c r="D783" s="20"/>
      <c r="E783" s="20"/>
      <c r="F783" s="20"/>
      <c r="G783" s="20"/>
      <c r="H783" s="20"/>
      <c r="I783" s="21"/>
      <c r="J783" s="15"/>
      <c r="K783" s="21"/>
      <c r="L783" s="10"/>
      <c r="M783" s="19"/>
      <c r="N783" s="17"/>
      <c r="Q783" s="20"/>
    </row>
    <row r="784" spans="1:17" s="1" customFormat="1" ht="14.25" customHeight="1" x14ac:dyDescent="0.25">
      <c r="A784" s="15"/>
      <c r="B784" s="15"/>
      <c r="C784" s="15"/>
      <c r="D784" s="20"/>
      <c r="E784" s="20"/>
      <c r="F784" s="20"/>
      <c r="G784" s="20"/>
      <c r="H784" s="20"/>
      <c r="I784" s="21"/>
      <c r="J784" s="15"/>
      <c r="K784" s="21"/>
      <c r="L784" s="10"/>
      <c r="M784" s="19"/>
      <c r="N784" s="17"/>
      <c r="Q784" s="20"/>
    </row>
    <row r="785" spans="1:17" s="1" customFormat="1" ht="14.25" customHeight="1" x14ac:dyDescent="0.25">
      <c r="A785" s="15"/>
      <c r="B785" s="15"/>
      <c r="C785" s="15"/>
      <c r="D785" s="20"/>
      <c r="E785" s="20"/>
      <c r="F785" s="20"/>
      <c r="G785" s="20"/>
      <c r="H785" s="20"/>
      <c r="I785" s="21"/>
      <c r="J785" s="15"/>
      <c r="K785" s="21"/>
      <c r="L785" s="10"/>
      <c r="M785" s="19"/>
      <c r="N785" s="17"/>
      <c r="Q785" s="20"/>
    </row>
    <row r="786" spans="1:17" s="1" customFormat="1" ht="14.25" customHeight="1" x14ac:dyDescent="0.25">
      <c r="A786" s="15"/>
      <c r="B786" s="15"/>
      <c r="C786" s="15"/>
      <c r="D786" s="20"/>
      <c r="E786" s="20"/>
      <c r="F786" s="20"/>
      <c r="G786" s="20"/>
      <c r="H786" s="20"/>
      <c r="I786" s="21"/>
      <c r="J786" s="15"/>
      <c r="K786" s="21"/>
      <c r="L786" s="10"/>
      <c r="M786" s="19"/>
      <c r="N786" s="17"/>
      <c r="Q786" s="20"/>
    </row>
    <row r="787" spans="1:17" s="1" customFormat="1" ht="14.25" customHeight="1" x14ac:dyDescent="0.25">
      <c r="A787" s="15"/>
      <c r="B787" s="15"/>
      <c r="C787" s="15"/>
      <c r="D787" s="20"/>
      <c r="E787" s="20"/>
      <c r="F787" s="20"/>
      <c r="G787" s="20"/>
      <c r="H787" s="20"/>
      <c r="I787" s="21"/>
      <c r="J787" s="15"/>
      <c r="K787" s="21"/>
      <c r="L787" s="10"/>
      <c r="M787" s="19"/>
      <c r="N787" s="17"/>
      <c r="Q787" s="20"/>
    </row>
    <row r="788" spans="1:17" s="1" customFormat="1" ht="14.25" customHeight="1" x14ac:dyDescent="0.25">
      <c r="A788" s="15"/>
      <c r="B788" s="15"/>
      <c r="C788" s="15"/>
      <c r="D788" s="20"/>
      <c r="E788" s="20"/>
      <c r="F788" s="20"/>
      <c r="G788" s="20"/>
      <c r="H788" s="20"/>
      <c r="I788" s="21"/>
      <c r="J788" s="15"/>
      <c r="K788" s="21"/>
      <c r="L788" s="10"/>
      <c r="M788" s="19"/>
      <c r="N788" s="17"/>
      <c r="Q788" s="20"/>
    </row>
    <row r="789" spans="1:17" s="1" customFormat="1" ht="14.25" customHeight="1" x14ac:dyDescent="0.25">
      <c r="A789" s="15"/>
      <c r="B789" s="15"/>
      <c r="C789" s="15"/>
      <c r="D789" s="20"/>
      <c r="E789" s="20"/>
      <c r="F789" s="20"/>
      <c r="G789" s="20"/>
      <c r="H789" s="20"/>
      <c r="I789" s="21"/>
      <c r="J789" s="15"/>
      <c r="K789" s="21"/>
      <c r="L789" s="10"/>
      <c r="M789" s="19"/>
      <c r="N789" s="17"/>
      <c r="Q789" s="20"/>
    </row>
    <row r="790" spans="1:17" s="1" customFormat="1" ht="14.25" customHeight="1" x14ac:dyDescent="0.25">
      <c r="A790" s="15"/>
      <c r="B790" s="15"/>
      <c r="C790" s="15"/>
      <c r="D790" s="20"/>
      <c r="E790" s="20"/>
      <c r="F790" s="20"/>
      <c r="G790" s="20"/>
      <c r="H790" s="20"/>
      <c r="I790" s="21"/>
      <c r="J790" s="15"/>
      <c r="K790" s="21"/>
      <c r="L790" s="10"/>
      <c r="M790" s="19"/>
      <c r="N790" s="17"/>
      <c r="Q790" s="20"/>
    </row>
    <row r="791" spans="1:17" s="1" customFormat="1" ht="14.25" customHeight="1" x14ac:dyDescent="0.25">
      <c r="A791" s="15"/>
      <c r="B791" s="15"/>
      <c r="C791" s="15"/>
      <c r="D791" s="20"/>
      <c r="E791" s="20"/>
      <c r="F791" s="20"/>
      <c r="G791" s="20"/>
      <c r="H791" s="20"/>
      <c r="I791" s="21"/>
      <c r="J791" s="15"/>
      <c r="K791" s="21"/>
      <c r="L791" s="10"/>
      <c r="M791" s="19"/>
      <c r="N791" s="17"/>
      <c r="Q791" s="20"/>
    </row>
    <row r="792" spans="1:17" s="1" customFormat="1" ht="14.25" customHeight="1" x14ac:dyDescent="0.25">
      <c r="A792" s="15"/>
      <c r="B792" s="15"/>
      <c r="C792" s="15"/>
      <c r="D792" s="20"/>
      <c r="E792" s="20"/>
      <c r="F792" s="20"/>
      <c r="G792" s="20"/>
      <c r="H792" s="20"/>
      <c r="I792" s="21"/>
      <c r="J792" s="15"/>
      <c r="K792" s="21"/>
      <c r="L792" s="10"/>
      <c r="M792" s="19"/>
      <c r="N792" s="17"/>
      <c r="Q792" s="20"/>
    </row>
    <row r="793" spans="1:17" s="1" customFormat="1" ht="14.25" customHeight="1" x14ac:dyDescent="0.25">
      <c r="A793" s="15"/>
      <c r="B793" s="15"/>
      <c r="C793" s="15"/>
      <c r="D793" s="20"/>
      <c r="E793" s="20"/>
      <c r="F793" s="20"/>
      <c r="G793" s="20"/>
      <c r="H793" s="20"/>
      <c r="I793" s="21"/>
      <c r="J793" s="15"/>
      <c r="K793" s="21"/>
      <c r="L793" s="10"/>
      <c r="M793" s="19"/>
      <c r="N793" s="17"/>
      <c r="Q793" s="20"/>
    </row>
    <row r="794" spans="1:17" s="1" customFormat="1" ht="14.25" customHeight="1" x14ac:dyDescent="0.25">
      <c r="A794" s="15"/>
      <c r="B794" s="15"/>
      <c r="C794" s="15"/>
      <c r="D794" s="20"/>
      <c r="E794" s="20"/>
      <c r="F794" s="20"/>
      <c r="G794" s="20"/>
      <c r="H794" s="20"/>
      <c r="I794" s="21"/>
      <c r="J794" s="15"/>
      <c r="K794" s="21"/>
      <c r="L794" s="10"/>
      <c r="M794" s="19"/>
      <c r="N794" s="17"/>
      <c r="Q794" s="20"/>
    </row>
    <row r="795" spans="1:17" s="1" customFormat="1" ht="14.25" customHeight="1" x14ac:dyDescent="0.25">
      <c r="A795" s="15"/>
      <c r="B795" s="15"/>
      <c r="C795" s="15"/>
      <c r="D795" s="20"/>
      <c r="E795" s="20"/>
      <c r="F795" s="20"/>
      <c r="G795" s="20"/>
      <c r="H795" s="20"/>
      <c r="I795" s="21"/>
      <c r="J795" s="15"/>
      <c r="K795" s="21"/>
      <c r="L795" s="10"/>
      <c r="M795" s="19"/>
      <c r="N795" s="17"/>
      <c r="Q795" s="20"/>
    </row>
    <row r="796" spans="1:17" s="1" customFormat="1" ht="14.25" customHeight="1" x14ac:dyDescent="0.25">
      <c r="A796" s="15"/>
      <c r="B796" s="15"/>
      <c r="C796" s="15"/>
      <c r="D796" s="20"/>
      <c r="E796" s="20"/>
      <c r="F796" s="20"/>
      <c r="G796" s="20"/>
      <c r="H796" s="20"/>
      <c r="I796" s="21"/>
      <c r="J796" s="15"/>
      <c r="K796" s="21"/>
      <c r="L796" s="10"/>
      <c r="M796" s="19"/>
      <c r="N796" s="17"/>
      <c r="Q796" s="20"/>
    </row>
    <row r="797" spans="1:17" s="1" customFormat="1" ht="14.25" customHeight="1" x14ac:dyDescent="0.25">
      <c r="A797" s="15"/>
      <c r="B797" s="15"/>
      <c r="C797" s="15"/>
      <c r="D797" s="20"/>
      <c r="E797" s="20"/>
      <c r="F797" s="20"/>
      <c r="G797" s="20"/>
      <c r="H797" s="20"/>
      <c r="I797" s="21"/>
      <c r="J797" s="15"/>
      <c r="K797" s="21"/>
      <c r="L797" s="10"/>
      <c r="M797" s="19"/>
      <c r="N797" s="17"/>
      <c r="Q797" s="20"/>
    </row>
    <row r="798" spans="1:17" s="1" customFormat="1" ht="14.25" customHeight="1" x14ac:dyDescent="0.25">
      <c r="A798" s="15"/>
      <c r="B798" s="15"/>
      <c r="C798" s="15"/>
      <c r="D798" s="20"/>
      <c r="E798" s="20"/>
      <c r="F798" s="20"/>
      <c r="G798" s="20"/>
      <c r="H798" s="20"/>
      <c r="I798" s="21"/>
      <c r="J798" s="15"/>
      <c r="K798" s="21"/>
      <c r="L798" s="10"/>
      <c r="M798" s="19"/>
      <c r="N798" s="17"/>
      <c r="Q798" s="20"/>
    </row>
    <row r="799" spans="1:17" s="1" customFormat="1" ht="14.25" customHeight="1" x14ac:dyDescent="0.25">
      <c r="A799" s="15"/>
      <c r="B799" s="15"/>
      <c r="C799" s="15"/>
      <c r="D799" s="20"/>
      <c r="E799" s="20"/>
      <c r="F799" s="20"/>
      <c r="G799" s="20"/>
      <c r="H799" s="20"/>
      <c r="I799" s="21"/>
      <c r="J799" s="15"/>
      <c r="K799" s="21"/>
      <c r="L799" s="10"/>
      <c r="M799" s="19"/>
      <c r="N799" s="17"/>
      <c r="Q799" s="20"/>
    </row>
    <row r="800" spans="1:17" s="1" customFormat="1" ht="14.25" customHeight="1" x14ac:dyDescent="0.25">
      <c r="A800" s="15"/>
      <c r="B800" s="15"/>
      <c r="C800" s="15"/>
      <c r="D800" s="20"/>
      <c r="E800" s="20"/>
      <c r="F800" s="20"/>
      <c r="G800" s="20"/>
      <c r="H800" s="20"/>
      <c r="I800" s="21"/>
      <c r="J800" s="15"/>
      <c r="K800" s="21"/>
      <c r="L800" s="10"/>
      <c r="M800" s="19"/>
      <c r="N800" s="17"/>
      <c r="Q800" s="20"/>
    </row>
    <row r="801" spans="1:17" s="1" customFormat="1" ht="14.25" customHeight="1" x14ac:dyDescent="0.25">
      <c r="A801" s="15"/>
      <c r="B801" s="15"/>
      <c r="C801" s="15"/>
      <c r="D801" s="20"/>
      <c r="E801" s="20"/>
      <c r="F801" s="20"/>
      <c r="G801" s="20"/>
      <c r="H801" s="20"/>
      <c r="I801" s="21"/>
      <c r="J801" s="15"/>
      <c r="K801" s="21"/>
      <c r="L801" s="10"/>
      <c r="M801" s="19"/>
      <c r="N801" s="17"/>
      <c r="Q801" s="20"/>
    </row>
    <row r="802" spans="1:17" s="1" customFormat="1" ht="14.25" customHeight="1" x14ac:dyDescent="0.25">
      <c r="A802" s="15"/>
      <c r="B802" s="15"/>
      <c r="C802" s="15"/>
      <c r="D802" s="20"/>
      <c r="E802" s="20"/>
      <c r="F802" s="20"/>
      <c r="G802" s="20"/>
      <c r="H802" s="20"/>
      <c r="I802" s="21"/>
      <c r="J802" s="15"/>
      <c r="K802" s="21"/>
      <c r="L802" s="10"/>
      <c r="M802" s="19"/>
      <c r="N802" s="17"/>
      <c r="Q802" s="20"/>
    </row>
    <row r="803" spans="1:17" s="1" customFormat="1" ht="14.25" customHeight="1" x14ac:dyDescent="0.25">
      <c r="A803" s="15"/>
      <c r="B803" s="15"/>
      <c r="C803" s="15"/>
      <c r="D803" s="20"/>
      <c r="E803" s="20"/>
      <c r="F803" s="20"/>
      <c r="G803" s="20"/>
      <c r="H803" s="20"/>
      <c r="I803" s="21"/>
      <c r="J803" s="15"/>
      <c r="K803" s="21"/>
      <c r="L803" s="10"/>
      <c r="M803" s="19"/>
      <c r="N803" s="17"/>
      <c r="Q803" s="20"/>
    </row>
    <row r="804" spans="1:17" s="1" customFormat="1" ht="14.25" customHeight="1" x14ac:dyDescent="0.25">
      <c r="A804" s="15"/>
      <c r="B804" s="15"/>
      <c r="C804" s="15"/>
      <c r="D804" s="20"/>
      <c r="E804" s="20"/>
      <c r="F804" s="20"/>
      <c r="G804" s="20"/>
      <c r="H804" s="20"/>
      <c r="I804" s="21"/>
      <c r="J804" s="15"/>
      <c r="K804" s="21"/>
      <c r="L804" s="10"/>
      <c r="M804" s="19"/>
      <c r="N804" s="17"/>
      <c r="Q804" s="20"/>
    </row>
    <row r="805" spans="1:17" s="1" customFormat="1" ht="14.25" customHeight="1" x14ac:dyDescent="0.25">
      <c r="A805" s="15"/>
      <c r="B805" s="15"/>
      <c r="C805" s="15"/>
      <c r="D805" s="16"/>
      <c r="E805" s="16"/>
      <c r="F805" s="16"/>
      <c r="G805" s="16"/>
      <c r="H805" s="16"/>
      <c r="I805" s="15"/>
      <c r="J805" s="15"/>
      <c r="K805" s="10"/>
      <c r="L805" s="10"/>
      <c r="M805" s="19"/>
      <c r="N805" s="17"/>
      <c r="Q805" s="16"/>
    </row>
    <row r="806" spans="1:17" s="1" customFormat="1" ht="14.25" customHeight="1" x14ac:dyDescent="0.25">
      <c r="A806" s="15"/>
      <c r="B806" s="15"/>
      <c r="C806" s="15"/>
      <c r="D806" s="16"/>
      <c r="E806" s="16"/>
      <c r="F806" s="16"/>
      <c r="G806" s="16"/>
      <c r="H806" s="16"/>
      <c r="I806" s="15"/>
      <c r="J806" s="15"/>
      <c r="K806" s="10"/>
      <c r="L806" s="10"/>
      <c r="M806" s="19"/>
      <c r="N806" s="17"/>
      <c r="Q806" s="16"/>
    </row>
    <row r="807" spans="1:17" s="1" customFormat="1" ht="14.25" customHeight="1" x14ac:dyDescent="0.25">
      <c r="A807" s="15"/>
      <c r="B807" s="15"/>
      <c r="C807" s="15"/>
      <c r="D807" s="16"/>
      <c r="E807" s="16"/>
      <c r="F807" s="16"/>
      <c r="G807" s="16"/>
      <c r="H807" s="16"/>
      <c r="I807" s="15"/>
      <c r="J807" s="15"/>
      <c r="K807" s="10"/>
      <c r="L807" s="10"/>
      <c r="M807" s="19"/>
      <c r="N807" s="17"/>
      <c r="Q807" s="16"/>
    </row>
    <row r="808" spans="1:17" s="1" customFormat="1" ht="14.25" customHeight="1" x14ac:dyDescent="0.25">
      <c r="A808" s="15"/>
      <c r="B808" s="15"/>
      <c r="C808" s="15"/>
      <c r="D808" s="16"/>
      <c r="E808" s="16"/>
      <c r="F808" s="16"/>
      <c r="G808" s="16"/>
      <c r="H808" s="16"/>
      <c r="I808" s="15"/>
      <c r="J808" s="15"/>
      <c r="K808" s="10"/>
      <c r="L808" s="10"/>
      <c r="M808" s="19"/>
      <c r="N808" s="17"/>
      <c r="Q808" s="16"/>
    </row>
    <row r="809" spans="1:17" s="1" customFormat="1" ht="14.25" customHeight="1" x14ac:dyDescent="0.25">
      <c r="A809" s="15"/>
      <c r="B809" s="15"/>
      <c r="C809" s="15"/>
      <c r="D809" s="16"/>
      <c r="E809" s="16"/>
      <c r="F809" s="16"/>
      <c r="G809" s="16"/>
      <c r="H809" s="16"/>
      <c r="I809" s="15"/>
      <c r="J809" s="15"/>
      <c r="K809" s="10"/>
      <c r="L809" s="10"/>
      <c r="M809" s="17"/>
      <c r="N809" s="17"/>
      <c r="Q809" s="16"/>
    </row>
    <row r="810" spans="1:17" s="1" customFormat="1" ht="14.25" customHeight="1" x14ac:dyDescent="0.25">
      <c r="A810" s="15"/>
      <c r="B810" s="15"/>
      <c r="C810" s="15"/>
      <c r="D810" s="16"/>
      <c r="E810" s="16"/>
      <c r="F810" s="16"/>
      <c r="G810" s="16"/>
      <c r="H810" s="16"/>
      <c r="I810" s="15"/>
      <c r="J810" s="15"/>
      <c r="K810" s="10"/>
      <c r="L810" s="10"/>
      <c r="M810" s="17"/>
      <c r="N810" s="17"/>
      <c r="Q810" s="16"/>
    </row>
    <row r="811" spans="1:17" s="1" customFormat="1" ht="14.25" customHeight="1" x14ac:dyDescent="0.25">
      <c r="A811" s="15"/>
      <c r="B811" s="15"/>
      <c r="C811" s="15"/>
      <c r="D811" s="16"/>
      <c r="E811" s="16"/>
      <c r="F811" s="16"/>
      <c r="G811" s="16"/>
      <c r="H811" s="16"/>
      <c r="I811" s="15"/>
      <c r="J811" s="15"/>
      <c r="K811" s="10"/>
      <c r="L811" s="10"/>
      <c r="M811" s="17"/>
      <c r="N811" s="17"/>
      <c r="Q811" s="16"/>
    </row>
    <row r="812" spans="1:17" s="1" customFormat="1" ht="14.25" customHeight="1" x14ac:dyDescent="0.25">
      <c r="A812" s="15"/>
      <c r="B812" s="15"/>
      <c r="C812" s="15"/>
      <c r="D812" s="16"/>
      <c r="E812" s="16"/>
      <c r="F812" s="16"/>
      <c r="G812" s="16"/>
      <c r="H812" s="16"/>
      <c r="I812" s="15"/>
      <c r="J812" s="15"/>
      <c r="K812" s="10"/>
      <c r="L812" s="10"/>
      <c r="M812" s="17"/>
      <c r="N812" s="17"/>
      <c r="Q812" s="16"/>
    </row>
  </sheetData>
  <autoFilter ref="A7:Q513" xr:uid="{AEE30112-88BB-441D-AEFC-A7A733AB1798}">
    <sortState xmlns:xlrd2="http://schemas.microsoft.com/office/spreadsheetml/2017/richdata2" ref="A8:Q513">
      <sortCondition ref="B8:B513"/>
      <sortCondition ref="C8:C513"/>
      <sortCondition ref="D8:D513"/>
      <sortCondition ref="A8:A513"/>
    </sortState>
  </autoFilter>
  <sortState xmlns:xlrd2="http://schemas.microsoft.com/office/spreadsheetml/2017/richdata2" ref="A8:Q513">
    <sortCondition ref="B8:B513"/>
    <sortCondition ref="C8:C513"/>
    <sortCondition ref="D8:D513"/>
    <sortCondition ref="A8:A513"/>
  </sortState>
  <phoneticPr fontId="0" type="noConversion"/>
  <pageMargins left="0.35433070866141736" right="0.35433070866141736" top="0.15748031496062992" bottom="0.19685039370078741" header="0.51181102362204722" footer="0.19685039370078741"/>
  <pageSetup paperSize="9" scale="20" orientation="landscape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2023-07-30T07:09:54Z</cp:lastPrinted>
  <dcterms:created xsi:type="dcterms:W3CDTF">2003-01-08T15:13:21Z</dcterms:created>
  <dcterms:modified xsi:type="dcterms:W3CDTF">2026-09-29T19:45:42Z</dcterms:modified>
</cp:coreProperties>
</file>