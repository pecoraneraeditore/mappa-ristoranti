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AD409D40-AC0B-4398-8C58-CA24404FF6CE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golose'!$A$7:$Q$494</definedName>
    <definedName name="_xlnm.Print_Area" localSheetId="0">'Tavole e pause golose'!$D$7:$I$178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88" i="6" l="1"/>
  <c r="AE288" i="6"/>
  <c r="AF288" i="6"/>
  <c r="AG288" i="6"/>
  <c r="AH288" i="6"/>
  <c r="AI288" i="6"/>
  <c r="AD289" i="6"/>
  <c r="AE289" i="6"/>
  <c r="AF289" i="6"/>
  <c r="AG289" i="6"/>
  <c r="AH289" i="6"/>
  <c r="AI289" i="6"/>
  <c r="AD290" i="6"/>
  <c r="AE290" i="6"/>
  <c r="AF290" i="6"/>
  <c r="AG290" i="6"/>
  <c r="AH290" i="6"/>
  <c r="AI290" i="6"/>
  <c r="AD291" i="6"/>
  <c r="AE291" i="6"/>
  <c r="AF291" i="6"/>
  <c r="AG291" i="6"/>
  <c r="AH291" i="6"/>
  <c r="AI291" i="6"/>
  <c r="AD292" i="6"/>
  <c r="AE292" i="6"/>
  <c r="AF292" i="6"/>
  <c r="AG292" i="6"/>
  <c r="AH292" i="6"/>
  <c r="AI292" i="6"/>
  <c r="S288" i="6"/>
  <c r="T288" i="6"/>
  <c r="U288" i="6"/>
  <c r="V288" i="6"/>
  <c r="W288" i="6"/>
  <c r="X288" i="6"/>
  <c r="Y288" i="6"/>
  <c r="Z288" i="6"/>
  <c r="AA288" i="6"/>
  <c r="AB288" i="6"/>
  <c r="AD85" i="6"/>
  <c r="AE85" i="6"/>
  <c r="AF85" i="6"/>
  <c r="AG85" i="6"/>
  <c r="S85" i="6"/>
  <c r="AH85" i="6"/>
  <c r="AI85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AD408" i="6"/>
  <c r="AE408" i="6"/>
  <c r="AF408" i="6"/>
  <c r="AG408" i="6"/>
  <c r="S408" i="6"/>
  <c r="AH408" i="6"/>
  <c r="AI408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AD454" i="6"/>
  <c r="AE454" i="6"/>
  <c r="AF454" i="6"/>
  <c r="AG454" i="6"/>
  <c r="AH454" i="6"/>
  <c r="AI454" i="6"/>
  <c r="AD455" i="6"/>
  <c r="AE455" i="6"/>
  <c r="AF455" i="6"/>
  <c r="AG455" i="6"/>
  <c r="AH455" i="6"/>
  <c r="AI455" i="6"/>
  <c r="AD456" i="6"/>
  <c r="AE456" i="6"/>
  <c r="AF456" i="6"/>
  <c r="AG456" i="6"/>
  <c r="AH456" i="6"/>
  <c r="AI456" i="6"/>
  <c r="AD457" i="6"/>
  <c r="AE457" i="6"/>
  <c r="AF457" i="6"/>
  <c r="AG457" i="6"/>
  <c r="AH457" i="6"/>
  <c r="AI457" i="6"/>
  <c r="S454" i="6"/>
  <c r="AD362" i="6"/>
  <c r="AE362" i="6"/>
  <c r="AF362" i="6"/>
  <c r="AG362" i="6"/>
  <c r="AH362" i="6"/>
  <c r="AI362" i="6"/>
  <c r="AD363" i="6"/>
  <c r="AE363" i="6"/>
  <c r="AF363" i="6"/>
  <c r="AG363" i="6"/>
  <c r="AH363" i="6"/>
  <c r="AI363" i="6"/>
  <c r="AD364" i="6"/>
  <c r="AE364" i="6"/>
  <c r="AF364" i="6"/>
  <c r="AG364" i="6"/>
  <c r="AH364" i="6"/>
  <c r="AI364" i="6"/>
  <c r="S363" i="6"/>
  <c r="AI270" i="6"/>
  <c r="AH270" i="6"/>
  <c r="AG270" i="6"/>
  <c r="AF270" i="6"/>
  <c r="AE270" i="6"/>
  <c r="AD270" i="6"/>
  <c r="S270" i="6"/>
  <c r="AI269" i="6"/>
  <c r="AH269" i="6"/>
  <c r="AG269" i="6"/>
  <c r="AF269" i="6"/>
  <c r="AE269" i="6"/>
  <c r="AD269" i="6"/>
  <c r="S269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AD75" i="6"/>
  <c r="AE75" i="6"/>
  <c r="AF75" i="6"/>
  <c r="AG75" i="6"/>
  <c r="AH75" i="6"/>
  <c r="AI75" i="6"/>
  <c r="S74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AD188" i="6"/>
  <c r="AE188" i="6"/>
  <c r="AF188" i="6"/>
  <c r="AD189" i="6"/>
  <c r="AE189" i="6"/>
  <c r="AF189" i="6"/>
  <c r="AD190" i="6"/>
  <c r="AE190" i="6"/>
  <c r="AF190" i="6"/>
  <c r="AD191" i="6"/>
  <c r="AE191" i="6"/>
  <c r="AF191" i="6"/>
  <c r="AD192" i="6"/>
  <c r="AE192" i="6"/>
  <c r="AF192" i="6"/>
  <c r="S190" i="6"/>
  <c r="AG190" i="6"/>
  <c r="AH190" i="6"/>
  <c r="AI190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AI492" i="6"/>
  <c r="AH492" i="6"/>
  <c r="AG492" i="6"/>
  <c r="AF492" i="6"/>
  <c r="AE492" i="6"/>
  <c r="AD492" i="6"/>
  <c r="AI491" i="6"/>
  <c r="AH491" i="6"/>
  <c r="AG491" i="6"/>
  <c r="AF491" i="6"/>
  <c r="AE491" i="6"/>
  <c r="AD491" i="6"/>
  <c r="AI490" i="6"/>
  <c r="AH490" i="6"/>
  <c r="AG490" i="6"/>
  <c r="AF490" i="6"/>
  <c r="AE490" i="6"/>
  <c r="AD490" i="6"/>
  <c r="AI489" i="6"/>
  <c r="AH489" i="6"/>
  <c r="AG489" i="6"/>
  <c r="AF489" i="6"/>
  <c r="AE489" i="6"/>
  <c r="AD489" i="6"/>
  <c r="AI488" i="6"/>
  <c r="AH488" i="6"/>
  <c r="AG488" i="6"/>
  <c r="AF488" i="6"/>
  <c r="AE488" i="6"/>
  <c r="AD488" i="6"/>
  <c r="AI487" i="6"/>
  <c r="AH487" i="6"/>
  <c r="AG487" i="6"/>
  <c r="AF487" i="6"/>
  <c r="AE487" i="6"/>
  <c r="AD487" i="6"/>
  <c r="AI486" i="6"/>
  <c r="AH486" i="6"/>
  <c r="AG486" i="6"/>
  <c r="AF486" i="6"/>
  <c r="AE486" i="6"/>
  <c r="AD486" i="6"/>
  <c r="AI485" i="6"/>
  <c r="AH485" i="6"/>
  <c r="AG485" i="6"/>
  <c r="AF485" i="6"/>
  <c r="AE485" i="6"/>
  <c r="AD485" i="6"/>
  <c r="AI265" i="6"/>
  <c r="AH265" i="6"/>
  <c r="AG265" i="6"/>
  <c r="AF265" i="6"/>
  <c r="AE265" i="6"/>
  <c r="AD265" i="6"/>
  <c r="AI264" i="6"/>
  <c r="AH264" i="6"/>
  <c r="AG264" i="6"/>
  <c r="AF264" i="6"/>
  <c r="AE264" i="6"/>
  <c r="AD264" i="6"/>
  <c r="S492" i="6"/>
  <c r="S491" i="6"/>
  <c r="S490" i="6"/>
  <c r="S489" i="6"/>
  <c r="S488" i="6"/>
  <c r="S487" i="6"/>
  <c r="S486" i="6"/>
  <c r="S485" i="6"/>
  <c r="AD194" i="6"/>
  <c r="AE194" i="6"/>
  <c r="AF194" i="6"/>
  <c r="AD195" i="6"/>
  <c r="AE195" i="6"/>
  <c r="AF195" i="6"/>
  <c r="S195" i="6"/>
  <c r="AG195" i="6"/>
  <c r="AH195" i="6"/>
  <c r="AI195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329" i="6"/>
  <c r="AD329" i="6"/>
  <c r="AE329" i="6"/>
  <c r="AF329" i="6"/>
  <c r="AG329" i="6"/>
  <c r="AH329" i="6"/>
  <c r="AI329" i="6"/>
  <c r="AD366" i="6"/>
  <c r="AE366" i="6"/>
  <c r="AF366" i="6"/>
  <c r="AG366" i="6"/>
  <c r="AH366" i="6"/>
  <c r="AI366" i="6"/>
  <c r="AD367" i="6"/>
  <c r="AE367" i="6"/>
  <c r="AF367" i="6"/>
  <c r="AG367" i="6"/>
  <c r="AH367" i="6"/>
  <c r="AI367" i="6"/>
  <c r="AD368" i="6"/>
  <c r="AE368" i="6"/>
  <c r="AF368" i="6"/>
  <c r="AG368" i="6"/>
  <c r="AH368" i="6"/>
  <c r="AI368" i="6"/>
  <c r="AD369" i="6"/>
  <c r="AE369" i="6"/>
  <c r="AF369" i="6"/>
  <c r="AG369" i="6"/>
  <c r="AH369" i="6"/>
  <c r="AI369" i="6"/>
  <c r="S367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AD462" i="6"/>
  <c r="AE462" i="6"/>
  <c r="AD463" i="6"/>
  <c r="AE463" i="6"/>
  <c r="S462" i="6"/>
  <c r="AF462" i="6"/>
  <c r="AG462" i="6"/>
  <c r="AH462" i="6"/>
  <c r="AI462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AD477" i="6"/>
  <c r="AE477" i="6"/>
  <c r="S477" i="6"/>
  <c r="AF477" i="6"/>
  <c r="AG477" i="6"/>
  <c r="AH477" i="6"/>
  <c r="AI477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S73" i="6"/>
  <c r="S75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G188" i="6"/>
  <c r="AH188" i="6"/>
  <c r="AI188" i="6"/>
  <c r="S189" i="6"/>
  <c r="AG189" i="6"/>
  <c r="AH189" i="6"/>
  <c r="AI189" i="6"/>
  <c r="S191" i="6"/>
  <c r="AG191" i="6"/>
  <c r="AH191" i="6"/>
  <c r="AI191" i="6"/>
  <c r="S192" i="6"/>
  <c r="AG192" i="6"/>
  <c r="AH192" i="6"/>
  <c r="AI192" i="6"/>
  <c r="S193" i="6"/>
  <c r="AD193" i="6"/>
  <c r="AE193" i="6"/>
  <c r="AF193" i="6"/>
  <c r="AG193" i="6"/>
  <c r="AH193" i="6"/>
  <c r="AI193" i="6"/>
  <c r="S194" i="6"/>
  <c r="AG194" i="6"/>
  <c r="AH194" i="6"/>
  <c r="AI194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S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9" i="6"/>
  <c r="S290" i="6"/>
  <c r="S291" i="6"/>
  <c r="S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S364" i="6"/>
  <c r="S365" i="6"/>
  <c r="AD365" i="6"/>
  <c r="AE365" i="6"/>
  <c r="AF365" i="6"/>
  <c r="AG365" i="6"/>
  <c r="AH365" i="6"/>
  <c r="AI365" i="6"/>
  <c r="S366" i="6"/>
  <c r="S368" i="6"/>
  <c r="S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4" i="6"/>
  <c r="AD384" i="6"/>
  <c r="AE384" i="6"/>
  <c r="AF384" i="6"/>
  <c r="AG384" i="6"/>
  <c r="AH384" i="6"/>
  <c r="AI384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5" i="6"/>
  <c r="S456" i="6"/>
  <c r="S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39" i="6" s="1"/>
  <c r="T85" i="6" l="1"/>
  <c r="T35" i="6"/>
  <c r="T34" i="6"/>
  <c r="T33" i="6"/>
  <c r="T32" i="6"/>
  <c r="T171" i="6"/>
  <c r="T170" i="6"/>
  <c r="T408" i="6"/>
  <c r="T388" i="6"/>
  <c r="T387" i="6"/>
  <c r="T386" i="6"/>
  <c r="T385" i="6"/>
  <c r="T161" i="6"/>
  <c r="T160" i="6"/>
  <c r="T159" i="6"/>
  <c r="T158" i="6"/>
  <c r="T157" i="6"/>
  <c r="T454" i="6"/>
  <c r="T363" i="6"/>
  <c r="T269" i="6"/>
  <c r="T270" i="6"/>
  <c r="T415" i="6"/>
  <c r="T414" i="6"/>
  <c r="T413" i="6"/>
  <c r="T412" i="6"/>
  <c r="T411" i="6"/>
  <c r="T410" i="6"/>
  <c r="T409" i="6"/>
  <c r="T74" i="6"/>
  <c r="T476" i="6"/>
  <c r="T475" i="6"/>
  <c r="T474" i="6"/>
  <c r="T473" i="6"/>
  <c r="T472" i="6"/>
  <c r="T471" i="6"/>
  <c r="T54" i="6"/>
  <c r="T53" i="6"/>
  <c r="T52" i="6"/>
  <c r="T190" i="6"/>
  <c r="T487" i="6"/>
  <c r="T492" i="6"/>
  <c r="T489" i="6"/>
  <c r="T491" i="6"/>
  <c r="T488" i="6"/>
  <c r="T490" i="6"/>
  <c r="T494" i="6"/>
  <c r="T493" i="6"/>
  <c r="T486" i="6"/>
  <c r="T485" i="6"/>
  <c r="T195" i="6"/>
  <c r="T433" i="6"/>
  <c r="T432" i="6"/>
  <c r="T431" i="6"/>
  <c r="T430" i="6"/>
  <c r="T429" i="6"/>
  <c r="T101" i="6"/>
  <c r="T100" i="6"/>
  <c r="T99" i="6"/>
  <c r="T329" i="6"/>
  <c r="T367" i="6"/>
  <c r="T89" i="6"/>
  <c r="T341" i="6"/>
  <c r="T372" i="6"/>
  <c r="T303" i="6"/>
  <c r="T191" i="6"/>
  <c r="T189" i="6"/>
  <c r="T65" i="6"/>
  <c r="T383" i="6"/>
  <c r="T382" i="6"/>
  <c r="T381" i="6"/>
  <c r="T462" i="6"/>
  <c r="T274" i="6"/>
  <c r="T243" i="6"/>
  <c r="T275" i="6"/>
  <c r="T221" i="6"/>
  <c r="T220" i="6"/>
  <c r="T359" i="6"/>
  <c r="T345" i="6"/>
  <c r="T143" i="6"/>
  <c r="T167" i="6"/>
  <c r="T106" i="6"/>
  <c r="T144" i="6"/>
  <c r="T325" i="6"/>
  <c r="T105" i="6"/>
  <c r="T96" i="6"/>
  <c r="T95" i="6"/>
  <c r="T94" i="6"/>
  <c r="T300" i="6"/>
  <c r="T244" i="6"/>
  <c r="T376" i="6"/>
  <c r="T360" i="6"/>
  <c r="T324" i="6"/>
  <c r="T296" i="6"/>
  <c r="T272" i="6"/>
  <c r="T242" i="6"/>
  <c r="T219" i="6"/>
  <c r="T187" i="6"/>
  <c r="T71" i="6"/>
  <c r="T142" i="6"/>
  <c r="T102" i="6"/>
  <c r="T380" i="6"/>
  <c r="T347" i="6"/>
  <c r="T323" i="6"/>
  <c r="T295" i="6"/>
  <c r="T271" i="6"/>
  <c r="T241" i="6"/>
  <c r="T216" i="6"/>
  <c r="T186" i="6"/>
  <c r="T134" i="6"/>
  <c r="T66" i="6"/>
  <c r="T294" i="6"/>
  <c r="T185" i="6"/>
  <c r="T211" i="6"/>
  <c r="T398" i="6"/>
  <c r="T69" i="6"/>
  <c r="T209" i="6"/>
  <c r="T369" i="6"/>
  <c r="T406" i="6"/>
  <c r="T335" i="6"/>
  <c r="T312" i="6"/>
  <c r="T289" i="6"/>
  <c r="T81" i="6"/>
  <c r="T235" i="6"/>
  <c r="T208" i="6"/>
  <c r="T92" i="6"/>
  <c r="T126" i="6"/>
  <c r="T91" i="6"/>
  <c r="T129" i="6"/>
  <c r="T237" i="6"/>
  <c r="T351" i="6"/>
  <c r="T373" i="6"/>
  <c r="T417" i="6"/>
  <c r="T256" i="6"/>
  <c r="T311" i="6"/>
  <c r="T287" i="6"/>
  <c r="T250" i="6"/>
  <c r="T232" i="6"/>
  <c r="T207" i="6"/>
  <c r="T173" i="6"/>
  <c r="T125" i="6"/>
  <c r="T49" i="6"/>
  <c r="T333" i="6"/>
  <c r="T130" i="6"/>
  <c r="T265" i="6"/>
  <c r="T334" i="6"/>
  <c r="T261" i="6"/>
  <c r="T178" i="6"/>
  <c r="T402" i="6"/>
  <c r="T310" i="6"/>
  <c r="T251" i="6"/>
  <c r="T228" i="6"/>
  <c r="T205" i="6"/>
  <c r="T165" i="6"/>
  <c r="T155" i="6"/>
  <c r="T123" i="6"/>
  <c r="T48" i="6"/>
  <c r="T268" i="6"/>
  <c r="T61" i="6"/>
  <c r="T239" i="6"/>
  <c r="T292" i="6"/>
  <c r="T176" i="6"/>
  <c r="T377" i="6"/>
  <c r="T336" i="6"/>
  <c r="T286" i="6"/>
  <c r="T254" i="6"/>
  <c r="T309" i="6"/>
  <c r="T283" i="6"/>
  <c r="T252" i="6"/>
  <c r="T227" i="6"/>
  <c r="T204" i="6"/>
  <c r="T174" i="6"/>
  <c r="T154" i="6"/>
  <c r="T122" i="6"/>
  <c r="T46" i="6"/>
  <c r="T321" i="6"/>
  <c r="T86" i="6"/>
  <c r="T390" i="6"/>
  <c r="T293" i="6"/>
  <c r="T68" i="6"/>
  <c r="T319" i="6"/>
  <c r="T128" i="6"/>
  <c r="T127" i="6"/>
  <c r="T342" i="6"/>
  <c r="T343" i="6"/>
  <c r="T353" i="6"/>
  <c r="T308" i="6"/>
  <c r="T279" i="6"/>
  <c r="T175" i="6"/>
  <c r="T226" i="6"/>
  <c r="T196" i="6"/>
  <c r="T70" i="6"/>
  <c r="T153" i="6"/>
  <c r="T118" i="6"/>
  <c r="T45" i="6"/>
  <c r="T240" i="6"/>
  <c r="T350" i="6"/>
  <c r="T182" i="6"/>
  <c r="T210" i="6"/>
  <c r="T365" i="6"/>
  <c r="T316" i="6"/>
  <c r="T236" i="6"/>
  <c r="T169" i="6"/>
  <c r="T59" i="6"/>
  <c r="T330" i="6"/>
  <c r="T307" i="6"/>
  <c r="T166" i="6"/>
  <c r="T194" i="6"/>
  <c r="T150" i="6"/>
  <c r="T399" i="6"/>
  <c r="T259" i="6"/>
  <c r="T305" i="6"/>
  <c r="T277" i="6"/>
  <c r="T177" i="6"/>
  <c r="T224" i="6"/>
  <c r="T193" i="6"/>
  <c r="T93" i="6"/>
  <c r="T146" i="6"/>
  <c r="T109" i="6"/>
  <c r="T41" i="6"/>
  <c r="T212" i="6"/>
  <c r="T320" i="6"/>
  <c r="T87" i="6"/>
  <c r="T291" i="6"/>
  <c r="T395" i="6"/>
  <c r="T258" i="6"/>
  <c r="T278" i="6"/>
  <c r="T225" i="6"/>
  <c r="T60" i="6"/>
  <c r="T114" i="6"/>
  <c r="T43" i="6"/>
  <c r="T403" i="6"/>
  <c r="T344" i="6"/>
  <c r="T260" i="6"/>
  <c r="T304" i="6"/>
  <c r="T276" i="6"/>
  <c r="T248" i="6"/>
  <c r="T223" i="6"/>
  <c r="T192" i="6"/>
  <c r="T75" i="6"/>
  <c r="T145" i="6"/>
  <c r="T107" i="6"/>
  <c r="T38" i="6"/>
  <c r="T62" i="6"/>
  <c r="T56" i="6"/>
  <c r="T141" i="6"/>
  <c r="T113" i="6"/>
  <c r="T80" i="6"/>
  <c r="T31" i="6"/>
  <c r="T203" i="6"/>
  <c r="T163" i="6"/>
  <c r="T139" i="6"/>
  <c r="T112" i="6"/>
  <c r="T64" i="6"/>
  <c r="T30" i="6"/>
  <c r="T200" i="6"/>
  <c r="T172" i="6"/>
  <c r="T162" i="6"/>
  <c r="T138" i="6"/>
  <c r="T111" i="6"/>
  <c r="T55" i="6"/>
  <c r="T29" i="6"/>
  <c r="T137" i="6"/>
  <c r="T110" i="6"/>
  <c r="T50" i="6"/>
  <c r="T27" i="6"/>
  <c r="T26" i="6"/>
  <c r="T25" i="6"/>
  <c r="T47" i="6"/>
  <c r="T17" i="6"/>
  <c r="T16" i="6"/>
  <c r="T15" i="6"/>
  <c r="T14" i="6"/>
  <c r="T42" i="6"/>
  <c r="T9" i="6"/>
  <c r="T11" i="6"/>
  <c r="T121" i="6"/>
  <c r="T83" i="6"/>
  <c r="T22" i="6"/>
  <c r="T18" i="6"/>
  <c r="T13" i="6"/>
  <c r="U7" i="6"/>
  <c r="U85" i="6" s="1"/>
  <c r="T441" i="6"/>
  <c r="T378" i="6"/>
  <c r="T477" i="6"/>
  <c r="T391" i="6"/>
  <c r="T394" i="6"/>
  <c r="T255" i="6"/>
  <c r="T352" i="6"/>
  <c r="T322" i="6"/>
  <c r="T306" i="6"/>
  <c r="T290" i="6"/>
  <c r="T273" i="6"/>
  <c r="T253" i="6"/>
  <c r="T238" i="6"/>
  <c r="T222" i="6"/>
  <c r="T206" i="6"/>
  <c r="T188" i="6"/>
  <c r="T84" i="6"/>
  <c r="T58" i="6"/>
  <c r="T156" i="6"/>
  <c r="T140" i="6"/>
  <c r="T124" i="6"/>
  <c r="T108" i="6"/>
  <c r="T97" i="6"/>
  <c r="T44" i="6"/>
  <c r="T28" i="6"/>
  <c r="T12" i="6"/>
  <c r="T483" i="6"/>
  <c r="T407" i="6"/>
  <c r="T346" i="6"/>
  <c r="T337" i="6"/>
  <c r="T318" i="6"/>
  <c r="T302" i="6"/>
  <c r="T285" i="6"/>
  <c r="T267" i="6"/>
  <c r="T168" i="6"/>
  <c r="T234" i="6"/>
  <c r="T218" i="6"/>
  <c r="T202" i="6"/>
  <c r="T184" i="6"/>
  <c r="T98" i="6"/>
  <c r="T152" i="6"/>
  <c r="T136" i="6"/>
  <c r="T120" i="6"/>
  <c r="T104" i="6"/>
  <c r="T57" i="6"/>
  <c r="T40" i="6"/>
  <c r="T24" i="6"/>
  <c r="T10" i="6"/>
  <c r="T478" i="6"/>
  <c r="T418" i="6"/>
  <c r="T331" i="6"/>
  <c r="T257" i="6"/>
  <c r="T317" i="6"/>
  <c r="T301" i="6"/>
  <c r="T284" i="6"/>
  <c r="T266" i="6"/>
  <c r="T249" i="6"/>
  <c r="T233" i="6"/>
  <c r="T217" i="6"/>
  <c r="T201" i="6"/>
  <c r="T183" i="6"/>
  <c r="T88" i="6"/>
  <c r="T82" i="6"/>
  <c r="T151" i="6"/>
  <c r="T135" i="6"/>
  <c r="T119" i="6"/>
  <c r="T103" i="6"/>
  <c r="T73" i="6"/>
  <c r="T39" i="6"/>
  <c r="T23" i="6"/>
  <c r="T357" i="6"/>
  <c r="T397" i="6"/>
  <c r="T446" i="6"/>
  <c r="AD6" i="6"/>
  <c r="F3" i="6" s="1"/>
  <c r="T421" i="6"/>
  <c r="T419" i="6"/>
  <c r="T356" i="6"/>
  <c r="T348" i="6"/>
  <c r="T328" i="6"/>
  <c r="T315" i="6"/>
  <c r="T299" i="6"/>
  <c r="T282" i="6"/>
  <c r="T264" i="6"/>
  <c r="T247" i="6"/>
  <c r="T231" i="6"/>
  <c r="T215" i="6"/>
  <c r="T199" i="6"/>
  <c r="T181" i="6"/>
  <c r="T67" i="6"/>
  <c r="T79" i="6"/>
  <c r="T149" i="6"/>
  <c r="T133" i="6"/>
  <c r="T117" i="6"/>
  <c r="T90" i="6"/>
  <c r="T37" i="6"/>
  <c r="T21" i="6"/>
  <c r="T458" i="6"/>
  <c r="T362" i="6"/>
  <c r="T339" i="6"/>
  <c r="T340" i="6"/>
  <c r="T332" i="6"/>
  <c r="T327" i="6"/>
  <c r="T314" i="6"/>
  <c r="T298" i="6"/>
  <c r="T281" i="6"/>
  <c r="T263" i="6"/>
  <c r="T246" i="6"/>
  <c r="T230" i="6"/>
  <c r="T214" i="6"/>
  <c r="T198" i="6"/>
  <c r="T180" i="6"/>
  <c r="T63" i="6"/>
  <c r="T148" i="6"/>
  <c r="T132" i="6"/>
  <c r="T116" i="6"/>
  <c r="T36" i="6"/>
  <c r="T20" i="6"/>
  <c r="T354" i="6"/>
  <c r="T364" i="6"/>
  <c r="T358" i="6"/>
  <c r="T349" i="6"/>
  <c r="T326" i="6"/>
  <c r="T313" i="6"/>
  <c r="T297" i="6"/>
  <c r="T280" i="6"/>
  <c r="T262" i="6"/>
  <c r="T245" i="6"/>
  <c r="T229" i="6"/>
  <c r="T213" i="6"/>
  <c r="T197" i="6"/>
  <c r="T179" i="6"/>
  <c r="T78" i="6"/>
  <c r="T164" i="6"/>
  <c r="T147" i="6"/>
  <c r="T131" i="6"/>
  <c r="T115" i="6"/>
  <c r="T72" i="6"/>
  <c r="T51" i="6"/>
  <c r="T19" i="6"/>
  <c r="T77" i="6"/>
  <c r="T76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70" i="6"/>
  <c r="T453" i="6"/>
  <c r="T437" i="6"/>
  <c r="T481" i="6"/>
  <c r="T461" i="6"/>
  <c r="T444" i="6"/>
  <c r="T427" i="6"/>
  <c r="T401" i="6"/>
  <c r="T368" i="6"/>
  <c r="T468" i="6"/>
  <c r="T451" i="6"/>
  <c r="T435" i="6"/>
  <c r="T355" i="6"/>
  <c r="T479" i="6"/>
  <c r="T459" i="6"/>
  <c r="T442" i="6"/>
  <c r="T425" i="6"/>
  <c r="T405" i="6"/>
  <c r="T371" i="6"/>
  <c r="T466" i="6"/>
  <c r="T449" i="6"/>
  <c r="T423" i="6"/>
  <c r="T457" i="6"/>
  <c r="T440" i="6"/>
  <c r="T392" i="6"/>
  <c r="T375" i="6"/>
  <c r="T484" i="6"/>
  <c r="T464" i="6"/>
  <c r="T447" i="6"/>
  <c r="T455" i="6"/>
  <c r="T438" i="6"/>
  <c r="T396" i="6"/>
  <c r="T379" i="6"/>
  <c r="T361" i="6"/>
  <c r="T482" i="6"/>
  <c r="T463" i="6"/>
  <c r="T445" i="6"/>
  <c r="T428" i="6"/>
  <c r="T416" i="6"/>
  <c r="T469" i="6"/>
  <c r="T452" i="6"/>
  <c r="T436" i="6"/>
  <c r="T400" i="6"/>
  <c r="T384" i="6"/>
  <c r="T366" i="6"/>
  <c r="T480" i="6"/>
  <c r="T460" i="6"/>
  <c r="T443" i="6"/>
  <c r="T426" i="6"/>
  <c r="T467" i="6"/>
  <c r="T450" i="6"/>
  <c r="T434" i="6"/>
  <c r="T424" i="6"/>
  <c r="T420" i="6"/>
  <c r="T404" i="6"/>
  <c r="T389" i="6"/>
  <c r="T370" i="6"/>
  <c r="T422" i="6"/>
  <c r="T338" i="6"/>
  <c r="T465" i="6"/>
  <c r="T448" i="6"/>
  <c r="T393" i="6"/>
  <c r="T374" i="6"/>
  <c r="T456" i="6"/>
  <c r="U32" i="6" l="1"/>
  <c r="U33" i="6"/>
  <c r="U34" i="6"/>
  <c r="U35" i="6"/>
  <c r="U408" i="6"/>
  <c r="U170" i="6"/>
  <c r="U171" i="6"/>
  <c r="U385" i="6"/>
  <c r="U386" i="6"/>
  <c r="U387" i="6"/>
  <c r="U388" i="6"/>
  <c r="U157" i="6"/>
  <c r="U158" i="6"/>
  <c r="U159" i="6"/>
  <c r="U160" i="6"/>
  <c r="U161" i="6"/>
  <c r="U363" i="6"/>
  <c r="U454" i="6"/>
  <c r="U270" i="6"/>
  <c r="U269" i="6"/>
  <c r="U74" i="6"/>
  <c r="U409" i="6"/>
  <c r="U410" i="6"/>
  <c r="U411" i="6"/>
  <c r="U412" i="6"/>
  <c r="U413" i="6"/>
  <c r="U414" i="6"/>
  <c r="U415" i="6"/>
  <c r="U471" i="6"/>
  <c r="U472" i="6"/>
  <c r="U473" i="6"/>
  <c r="U474" i="6"/>
  <c r="U475" i="6"/>
  <c r="U476" i="6"/>
  <c r="U190" i="6"/>
  <c r="U52" i="6"/>
  <c r="U53" i="6"/>
  <c r="U54" i="6"/>
  <c r="U487" i="6"/>
  <c r="U493" i="6"/>
  <c r="U494" i="6"/>
  <c r="U490" i="6"/>
  <c r="U488" i="6"/>
  <c r="U491" i="6"/>
  <c r="U489" i="6"/>
  <c r="U492" i="6"/>
  <c r="U195" i="6"/>
  <c r="U485" i="6"/>
  <c r="U486" i="6"/>
  <c r="U429" i="6"/>
  <c r="U430" i="6"/>
  <c r="U431" i="6"/>
  <c r="U432" i="6"/>
  <c r="U433" i="6"/>
  <c r="U329" i="6"/>
  <c r="U99" i="6"/>
  <c r="U100" i="6"/>
  <c r="U101" i="6"/>
  <c r="U13" i="6"/>
  <c r="U367" i="6"/>
  <c r="U340" i="6"/>
  <c r="U462" i="6"/>
  <c r="U381" i="6"/>
  <c r="U382" i="6"/>
  <c r="U383" i="6"/>
  <c r="U94" i="6"/>
  <c r="U95" i="6"/>
  <c r="U96" i="6"/>
  <c r="U145" i="6"/>
  <c r="U110" i="6"/>
  <c r="U297" i="6"/>
  <c r="U185" i="6"/>
  <c r="U460" i="6"/>
  <c r="U423" i="6"/>
  <c r="U464" i="6"/>
  <c r="U298" i="6"/>
  <c r="U224" i="6"/>
  <c r="U234" i="6"/>
  <c r="U316" i="6"/>
  <c r="U176" i="6"/>
  <c r="U134" i="6"/>
  <c r="U279" i="6"/>
  <c r="U149" i="6"/>
  <c r="U282" i="6"/>
  <c r="U103" i="6"/>
  <c r="U338" i="6"/>
  <c r="U326" i="6"/>
  <c r="U78" i="6"/>
  <c r="U302" i="6"/>
  <c r="U165" i="6"/>
  <c r="U391" i="6"/>
  <c r="U111" i="6"/>
  <c r="U108" i="6"/>
  <c r="U337" i="6"/>
  <c r="U178" i="6"/>
  <c r="U210" i="6"/>
  <c r="U121" i="6"/>
  <c r="U331" i="6"/>
  <c r="U204" i="6"/>
  <c r="U300" i="6"/>
  <c r="U181" i="6"/>
  <c r="U45" i="6"/>
  <c r="U22" i="6"/>
  <c r="U192" i="6"/>
  <c r="U36" i="6"/>
  <c r="U24" i="6"/>
  <c r="U304" i="6"/>
  <c r="U124" i="6"/>
  <c r="U231" i="6"/>
  <c r="U207" i="6"/>
  <c r="U479" i="6"/>
  <c r="U484" i="6"/>
  <c r="U467" i="6"/>
  <c r="U20" i="6"/>
  <c r="U451" i="6"/>
  <c r="U328" i="6"/>
  <c r="U71" i="6"/>
  <c r="U466" i="6"/>
  <c r="U458" i="6"/>
  <c r="U239" i="6"/>
  <c r="U154" i="6"/>
  <c r="U320" i="6"/>
  <c r="U243" i="6"/>
  <c r="U233" i="6"/>
  <c r="U113" i="6"/>
  <c r="U203" i="6"/>
  <c r="U235" i="6"/>
  <c r="V7" i="6"/>
  <c r="V85" i="6" s="1"/>
  <c r="U27" i="6"/>
  <c r="U469" i="6"/>
  <c r="U250" i="6"/>
  <c r="U449" i="6"/>
  <c r="U21" i="6"/>
  <c r="U112" i="6"/>
  <c r="U19" i="6"/>
  <c r="U69" i="6"/>
  <c r="U420" i="6"/>
  <c r="U140" i="6"/>
  <c r="U348" i="6"/>
  <c r="U219" i="6"/>
  <c r="U356" i="6"/>
  <c r="U79" i="6"/>
  <c r="U271" i="6"/>
  <c r="U209" i="6"/>
  <c r="U287" i="6"/>
  <c r="U457" i="6"/>
  <c r="U468" i="6"/>
  <c r="U57" i="6"/>
  <c r="U107" i="6"/>
  <c r="U73" i="6"/>
  <c r="U142" i="6"/>
  <c r="U133" i="6"/>
  <c r="U135" i="6"/>
  <c r="U339" i="6"/>
  <c r="U179" i="6"/>
  <c r="U275" i="6"/>
  <c r="U446" i="6"/>
  <c r="U9" i="6"/>
  <c r="U68" i="6"/>
  <c r="U175" i="6"/>
  <c r="U153" i="6"/>
  <c r="U109" i="6"/>
  <c r="U11" i="6"/>
  <c r="U294" i="6"/>
  <c r="U357" i="6"/>
  <c r="U194" i="6"/>
  <c r="U444" i="6"/>
  <c r="U197" i="6"/>
  <c r="U77" i="6"/>
  <c r="U296" i="6"/>
  <c r="U437" i="6"/>
  <c r="U278" i="6"/>
  <c r="U183" i="6"/>
  <c r="U30" i="6"/>
  <c r="U450" i="6"/>
  <c r="U438" i="6"/>
  <c r="U480" i="6"/>
  <c r="U424" i="6"/>
  <c r="U144" i="6"/>
  <c r="U440" i="6"/>
  <c r="U10" i="6"/>
  <c r="U114" i="6"/>
  <c r="U23" i="6"/>
  <c r="U421" i="6"/>
  <c r="U478" i="6"/>
  <c r="U105" i="6"/>
  <c r="U277" i="6"/>
  <c r="U76" i="6"/>
  <c r="U241" i="6"/>
  <c r="U162" i="6"/>
  <c r="U418" i="6"/>
  <c r="U86" i="6"/>
  <c r="U137" i="6"/>
  <c r="U428" i="6"/>
  <c r="U120" i="6"/>
  <c r="U151" i="6"/>
  <c r="U25" i="6"/>
  <c r="U310" i="6"/>
  <c r="U425" i="6"/>
  <c r="U211" i="6"/>
  <c r="U213" i="6"/>
  <c r="U315" i="6"/>
  <c r="U180" i="6"/>
  <c r="U318" i="6"/>
  <c r="U212" i="6"/>
  <c r="U59" i="6"/>
  <c r="U482" i="6"/>
  <c r="U126" i="6"/>
  <c r="U62" i="6"/>
  <c r="U8" i="6"/>
  <c r="U441" i="6"/>
  <c r="U358" i="6"/>
  <c r="U40" i="6"/>
  <c r="U225" i="6"/>
  <c r="U456" i="6"/>
  <c r="U89" i="6"/>
  <c r="U87" i="6"/>
  <c r="U427" i="6"/>
  <c r="U51" i="6"/>
  <c r="U91" i="6"/>
  <c r="U419" i="6"/>
  <c r="U104" i="6"/>
  <c r="U426" i="6"/>
  <c r="U257" i="6"/>
  <c r="U188" i="6"/>
  <c r="U172" i="6"/>
  <c r="U41" i="6"/>
  <c r="U167" i="6"/>
  <c r="U227" i="6"/>
  <c r="U461" i="6"/>
  <c r="U229" i="6"/>
  <c r="U259" i="6"/>
  <c r="U205" i="6"/>
  <c r="U373" i="6"/>
  <c r="U177" i="6"/>
  <c r="U416" i="6"/>
  <c r="U249" i="6"/>
  <c r="U82" i="6"/>
  <c r="U435" i="6"/>
  <c r="U455" i="6"/>
  <c r="U43" i="6"/>
  <c r="U38" i="6"/>
  <c r="U60" i="6"/>
  <c r="U55" i="6"/>
  <c r="U166" i="6"/>
  <c r="U483" i="6"/>
  <c r="U465" i="6"/>
  <c r="U129" i="6"/>
  <c r="U443" i="6"/>
  <c r="U222" i="6"/>
  <c r="U447" i="6"/>
  <c r="U191" i="6"/>
  <c r="U75" i="6"/>
  <c r="U481" i="6"/>
  <c r="U263" i="6"/>
  <c r="U404" i="6"/>
  <c r="U237" i="6"/>
  <c r="U280" i="6"/>
  <c r="U16" i="6"/>
  <c r="U214" i="6"/>
  <c r="U452" i="6"/>
  <c r="U29" i="6"/>
  <c r="U168" i="6"/>
  <c r="U439" i="6"/>
  <c r="U97" i="6"/>
  <c r="U448" i="6"/>
  <c r="U18" i="6"/>
  <c r="U445" i="6"/>
  <c r="U206" i="6"/>
  <c r="U136" i="6"/>
  <c r="U58" i="6"/>
  <c r="U442" i="6"/>
  <c r="U355" i="6"/>
  <c r="U253" i="6"/>
  <c r="U349" i="6"/>
  <c r="U232" i="6"/>
  <c r="U15" i="6"/>
  <c r="U434" i="6"/>
  <c r="U155" i="6"/>
  <c r="U436" i="6"/>
  <c r="U463" i="6"/>
  <c r="U130" i="6"/>
  <c r="U208" i="6"/>
  <c r="U92" i="6"/>
  <c r="U459" i="6"/>
  <c r="U281" i="6"/>
  <c r="U80" i="6"/>
  <c r="U276" i="6"/>
  <c r="U407" i="6"/>
  <c r="U184" i="6"/>
  <c r="U49" i="6"/>
  <c r="U90" i="6"/>
  <c r="U119" i="6"/>
  <c r="U301" i="6"/>
  <c r="U375" i="6"/>
  <c r="U122" i="6"/>
  <c r="U131" i="6"/>
  <c r="U299" i="6"/>
  <c r="U319" i="6"/>
  <c r="U393" i="6"/>
  <c r="U321" i="6"/>
  <c r="U193" i="6"/>
  <c r="U371" i="6"/>
  <c r="U317" i="6"/>
  <c r="U354" i="6"/>
  <c r="U422" i="6"/>
  <c r="U286" i="6"/>
  <c r="U370" i="6"/>
  <c r="U247" i="6"/>
  <c r="U389" i="6"/>
  <c r="U258" i="6"/>
  <c r="U347" i="6"/>
  <c r="U453" i="6"/>
  <c r="U470" i="6"/>
  <c r="U307" i="6"/>
  <c r="U405" i="6"/>
  <c r="U332" i="6"/>
  <c r="U374" i="6"/>
  <c r="U325" i="6"/>
  <c r="U44" i="6"/>
  <c r="U343" i="6"/>
  <c r="U390" i="6"/>
  <c r="U392" i="6"/>
  <c r="U352" i="6"/>
  <c r="U42" i="6"/>
  <c r="U330" i="6"/>
  <c r="U72" i="6"/>
  <c r="U372" i="6"/>
  <c r="U47" i="6"/>
  <c r="U14" i="6"/>
  <c r="U362" i="6"/>
  <c r="U70" i="6"/>
  <c r="U12" i="6"/>
  <c r="U106" i="6"/>
  <c r="U406" i="6"/>
  <c r="U182" i="6"/>
  <c r="U48" i="6"/>
  <c r="U341" i="6"/>
  <c r="U379" i="6"/>
  <c r="U173" i="6"/>
  <c r="U46" i="6"/>
  <c r="U245" i="6"/>
  <c r="U81" i="6"/>
  <c r="U115" i="6"/>
  <c r="U397" i="6"/>
  <c r="U342" i="6"/>
  <c r="U123" i="6"/>
  <c r="U215" i="6"/>
  <c r="U252" i="6"/>
  <c r="U291" i="6"/>
  <c r="U236" i="6"/>
  <c r="U360" i="6"/>
  <c r="U255" i="6"/>
  <c r="U216" i="6"/>
  <c r="U244" i="6"/>
  <c r="U50" i="6"/>
  <c r="U164" i="6"/>
  <c r="U220" i="6"/>
  <c r="U262" i="6"/>
  <c r="U295" i="6"/>
  <c r="U248" i="6"/>
  <c r="U365" i="6"/>
  <c r="U396" i="6"/>
  <c r="U116" i="6"/>
  <c r="U399" i="6"/>
  <c r="U199" i="6"/>
  <c r="U98" i="6"/>
  <c r="U147" i="6"/>
  <c r="U477" i="6"/>
  <c r="U102" i="6"/>
  <c r="U169" i="6"/>
  <c r="U221" i="6"/>
  <c r="U264" i="6"/>
  <c r="U303" i="6"/>
  <c r="U260" i="6"/>
  <c r="U366" i="6"/>
  <c r="U398" i="6"/>
  <c r="U128" i="6"/>
  <c r="U266" i="6"/>
  <c r="U125" i="6"/>
  <c r="U83" i="6"/>
  <c r="U314" i="6"/>
  <c r="U93" i="6"/>
  <c r="U324" i="6"/>
  <c r="U251" i="6"/>
  <c r="U344" i="6"/>
  <c r="U39" i="6"/>
  <c r="U293" i="6"/>
  <c r="U56" i="6"/>
  <c r="U223" i="6"/>
  <c r="U305" i="6"/>
  <c r="U368" i="6"/>
  <c r="U284" i="6"/>
  <c r="U290" i="6"/>
  <c r="U217" i="6"/>
  <c r="U61" i="6"/>
  <c r="U117" i="6"/>
  <c r="U152" i="6"/>
  <c r="U226" i="6"/>
  <c r="U267" i="6"/>
  <c r="U306" i="6"/>
  <c r="U353" i="6"/>
  <c r="U400" i="6"/>
  <c r="U148" i="6"/>
  <c r="U359" i="6"/>
  <c r="U395" i="6"/>
  <c r="U63" i="6"/>
  <c r="U118" i="6"/>
  <c r="U186" i="6"/>
  <c r="U228" i="6"/>
  <c r="U268" i="6"/>
  <c r="U308" i="6"/>
  <c r="U327" i="6"/>
  <c r="U369" i="6"/>
  <c r="U401" i="6"/>
  <c r="U230" i="6"/>
  <c r="U336" i="6"/>
  <c r="U376" i="6"/>
  <c r="U138" i="6"/>
  <c r="U256" i="6"/>
  <c r="U37" i="6"/>
  <c r="U64" i="6"/>
  <c r="U127" i="6"/>
  <c r="U187" i="6"/>
  <c r="U272" i="6"/>
  <c r="U309" i="6"/>
  <c r="U402" i="6"/>
  <c r="U273" i="6"/>
  <c r="U377" i="6"/>
  <c r="U139" i="6"/>
  <c r="U65" i="6"/>
  <c r="U143" i="6"/>
  <c r="U189" i="6"/>
  <c r="U311" i="6"/>
  <c r="U403" i="6"/>
  <c r="U141" i="6"/>
  <c r="U246" i="6"/>
  <c r="U364" i="6"/>
  <c r="U17" i="6"/>
  <c r="U66" i="6"/>
  <c r="U174" i="6"/>
  <c r="U196" i="6"/>
  <c r="U146" i="6"/>
  <c r="U274" i="6"/>
  <c r="U312" i="6"/>
  <c r="U335" i="6"/>
  <c r="U378" i="6"/>
  <c r="U283" i="6"/>
  <c r="U313" i="6"/>
  <c r="U380" i="6"/>
  <c r="U202" i="6"/>
  <c r="U394" i="6"/>
  <c r="U26" i="6"/>
  <c r="U67" i="6"/>
  <c r="U132" i="6"/>
  <c r="U198" i="6"/>
  <c r="U163" i="6"/>
  <c r="U351" i="6"/>
  <c r="U28" i="6"/>
  <c r="U334" i="6"/>
  <c r="U346" i="6"/>
  <c r="U292" i="6"/>
  <c r="U31" i="6"/>
  <c r="U84" i="6"/>
  <c r="U156" i="6"/>
  <c r="U200" i="6"/>
  <c r="U238" i="6"/>
  <c r="U285" i="6"/>
  <c r="U322" i="6"/>
  <c r="U350" i="6"/>
  <c r="U417" i="6"/>
  <c r="U240" i="6"/>
  <c r="U261" i="6"/>
  <c r="U88" i="6"/>
  <c r="U150" i="6"/>
  <c r="U201" i="6"/>
  <c r="U242" i="6"/>
  <c r="U289" i="6"/>
  <c r="U323" i="6"/>
  <c r="U333" i="6"/>
  <c r="U384" i="6"/>
  <c r="U345" i="6"/>
  <c r="U361" i="6"/>
  <c r="U218" i="6"/>
  <c r="U254" i="6"/>
  <c r="U265" i="6"/>
  <c r="F5" i="6"/>
  <c r="G5" i="6"/>
  <c r="E5" i="6"/>
  <c r="H4" i="6"/>
  <c r="H3" i="6"/>
  <c r="T5" i="6"/>
  <c r="V32" i="6" l="1"/>
  <c r="V33" i="6"/>
  <c r="V34" i="6"/>
  <c r="V35" i="6"/>
  <c r="V408" i="6"/>
  <c r="V170" i="6"/>
  <c r="V171" i="6"/>
  <c r="V385" i="6"/>
  <c r="V386" i="6"/>
  <c r="V387" i="6"/>
  <c r="V388" i="6"/>
  <c r="V157" i="6"/>
  <c r="V158" i="6"/>
  <c r="V159" i="6"/>
  <c r="V160" i="6"/>
  <c r="V161" i="6"/>
  <c r="V363" i="6"/>
  <c r="V454" i="6"/>
  <c r="V269" i="6"/>
  <c r="V270" i="6"/>
  <c r="V74" i="6"/>
  <c r="V409" i="6"/>
  <c r="V410" i="6"/>
  <c r="V411" i="6"/>
  <c r="V412" i="6"/>
  <c r="V413" i="6"/>
  <c r="V414" i="6"/>
  <c r="V415" i="6"/>
  <c r="V317" i="6"/>
  <c r="V471" i="6"/>
  <c r="V472" i="6"/>
  <c r="V473" i="6"/>
  <c r="V474" i="6"/>
  <c r="V475" i="6"/>
  <c r="V476" i="6"/>
  <c r="V52" i="6"/>
  <c r="V53" i="6"/>
  <c r="V54" i="6"/>
  <c r="V142" i="6"/>
  <c r="V190" i="6"/>
  <c r="V477" i="6"/>
  <c r="V487" i="6"/>
  <c r="V493" i="6"/>
  <c r="V494" i="6"/>
  <c r="V490" i="6"/>
  <c r="V488" i="6"/>
  <c r="V491" i="6"/>
  <c r="V489" i="6"/>
  <c r="V492" i="6"/>
  <c r="V384" i="6"/>
  <c r="V192" i="6"/>
  <c r="V359" i="6"/>
  <c r="V241" i="6"/>
  <c r="V195" i="6"/>
  <c r="V485" i="6"/>
  <c r="V486" i="6"/>
  <c r="V429" i="6"/>
  <c r="V430" i="6"/>
  <c r="V431" i="6"/>
  <c r="V432" i="6"/>
  <c r="V433" i="6"/>
  <c r="V99" i="6"/>
  <c r="V100" i="6"/>
  <c r="V101" i="6"/>
  <c r="V367" i="6"/>
  <c r="V329" i="6"/>
  <c r="V97" i="6"/>
  <c r="V314" i="6"/>
  <c r="V389" i="6"/>
  <c r="V38" i="6"/>
  <c r="V265" i="6"/>
  <c r="V130" i="6"/>
  <c r="V322" i="6"/>
  <c r="V397" i="6"/>
  <c r="V13" i="6"/>
  <c r="V68" i="6"/>
  <c r="V138" i="6"/>
  <c r="V356" i="6"/>
  <c r="V169" i="6"/>
  <c r="V287" i="6"/>
  <c r="V293" i="6"/>
  <c r="V230" i="6"/>
  <c r="V326" i="6"/>
  <c r="V28" i="6"/>
  <c r="V18" i="6"/>
  <c r="V236" i="6"/>
  <c r="V445" i="6"/>
  <c r="V185" i="6"/>
  <c r="V462" i="6"/>
  <c r="V381" i="6"/>
  <c r="V382" i="6"/>
  <c r="V383" i="6"/>
  <c r="V94" i="6"/>
  <c r="V95" i="6"/>
  <c r="V96" i="6"/>
  <c r="V155" i="6"/>
  <c r="V425" i="6"/>
  <c r="V207" i="6"/>
  <c r="V479" i="6"/>
  <c r="V254" i="6"/>
  <c r="V73" i="6"/>
  <c r="V362" i="6"/>
  <c r="V106" i="6"/>
  <c r="V395" i="6"/>
  <c r="V136" i="6"/>
  <c r="V255" i="6"/>
  <c r="V204" i="6"/>
  <c r="V257" i="6"/>
  <c r="V56" i="6"/>
  <c r="V284" i="6"/>
  <c r="V12" i="6"/>
  <c r="V233" i="6"/>
  <c r="V349" i="6"/>
  <c r="V51" i="6"/>
  <c r="V281" i="6"/>
  <c r="V457" i="6"/>
  <c r="V198" i="6"/>
  <c r="V296" i="6"/>
  <c r="V252" i="6"/>
  <c r="V398" i="6"/>
  <c r="V126" i="6"/>
  <c r="V447" i="6"/>
  <c r="V361" i="6"/>
  <c r="V65" i="6"/>
  <c r="V464" i="6"/>
  <c r="V352" i="6"/>
  <c r="V377" i="6"/>
  <c r="V120" i="6"/>
  <c r="V237" i="6"/>
  <c r="V446" i="6"/>
  <c r="V186" i="6"/>
  <c r="V149" i="6"/>
  <c r="V266" i="6"/>
  <c r="V480" i="6"/>
  <c r="V217" i="6"/>
  <c r="V330" i="6"/>
  <c r="V19" i="6"/>
  <c r="V263" i="6"/>
  <c r="V440" i="6"/>
  <c r="V180" i="6"/>
  <c r="V279" i="6"/>
  <c r="V400" i="6"/>
  <c r="V141" i="6"/>
  <c r="V242" i="6"/>
  <c r="V271" i="6"/>
  <c r="V459" i="6"/>
  <c r="V306" i="6"/>
  <c r="V484" i="6"/>
  <c r="V9" i="6"/>
  <c r="V250" i="6"/>
  <c r="V90" i="6"/>
  <c r="V435" i="6"/>
  <c r="V323" i="6"/>
  <c r="V66" i="6"/>
  <c r="V360" i="6"/>
  <c r="V104" i="6"/>
  <c r="V221" i="6"/>
  <c r="V174" i="6"/>
  <c r="V392" i="6"/>
  <c r="V133" i="6"/>
  <c r="V81" i="6"/>
  <c r="V460" i="6"/>
  <c r="V201" i="6"/>
  <c r="V315" i="6"/>
  <c r="V80" i="6"/>
  <c r="V247" i="6"/>
  <c r="W7" i="6"/>
  <c r="W85" i="6" s="1"/>
  <c r="V93" i="6"/>
  <c r="V261" i="6"/>
  <c r="V125" i="6"/>
  <c r="V226" i="6"/>
  <c r="V483" i="6"/>
  <c r="V212" i="6"/>
  <c r="V451" i="6"/>
  <c r="V368" i="6"/>
  <c r="V468" i="6"/>
  <c r="V419" i="6"/>
  <c r="V307" i="6"/>
  <c r="V67" i="6"/>
  <c r="V353" i="6"/>
  <c r="V31" i="6"/>
  <c r="V205" i="6"/>
  <c r="V342" i="6"/>
  <c r="V82" i="6"/>
  <c r="V374" i="6"/>
  <c r="V117" i="6"/>
  <c r="V234" i="6"/>
  <c r="V443" i="6"/>
  <c r="V183" i="6"/>
  <c r="V299" i="6"/>
  <c r="V40" i="6"/>
  <c r="V231" i="6"/>
  <c r="V422" i="6"/>
  <c r="V245" i="6"/>
  <c r="V366" i="6"/>
  <c r="V109" i="6"/>
  <c r="V210" i="6"/>
  <c r="V455" i="6"/>
  <c r="V256" i="6"/>
  <c r="V175" i="6"/>
  <c r="V371" i="6"/>
  <c r="V312" i="6"/>
  <c r="V139" i="6"/>
  <c r="V10" i="6"/>
  <c r="V275" i="6"/>
  <c r="V43" i="6"/>
  <c r="V437" i="6"/>
  <c r="V324" i="6"/>
  <c r="V291" i="6"/>
  <c r="V24" i="6"/>
  <c r="V321" i="6"/>
  <c r="V87" i="6"/>
  <c r="V187" i="6"/>
  <c r="V150" i="6"/>
  <c r="V347" i="6"/>
  <c r="V79" i="6"/>
  <c r="V218" i="6"/>
  <c r="V426" i="6"/>
  <c r="V92" i="6"/>
  <c r="V282" i="6"/>
  <c r="V478" i="6"/>
  <c r="V215" i="6"/>
  <c r="V403" i="6"/>
  <c r="V144" i="6"/>
  <c r="V229" i="6"/>
  <c r="V351" i="6"/>
  <c r="V41" i="6"/>
  <c r="V193" i="6"/>
  <c r="V77" i="6"/>
  <c r="V311" i="6"/>
  <c r="V453" i="6"/>
  <c r="V380" i="6"/>
  <c r="V189" i="6"/>
  <c r="V470" i="6"/>
  <c r="V421" i="6"/>
  <c r="V239" i="6"/>
  <c r="V274" i="6"/>
  <c r="V105" i="6"/>
  <c r="V305" i="6"/>
  <c r="V173" i="6"/>
  <c r="V393" i="6"/>
  <c r="V134" i="6"/>
  <c r="V338" i="6"/>
  <c r="V25" i="6"/>
  <c r="V202" i="6"/>
  <c r="V344" i="6"/>
  <c r="V164" i="6"/>
  <c r="V264" i="6"/>
  <c r="V458" i="6"/>
  <c r="V199" i="6"/>
  <c r="V128" i="6"/>
  <c r="V213" i="6"/>
  <c r="V260" i="6"/>
  <c r="V98" i="6"/>
  <c r="V60" i="6"/>
  <c r="V76" i="6"/>
  <c r="V225" i="6"/>
  <c r="V358" i="6"/>
  <c r="V290" i="6"/>
  <c r="V110" i="6"/>
  <c r="V439" i="6"/>
  <c r="V336" i="6"/>
  <c r="V168" i="6"/>
  <c r="V289" i="6"/>
  <c r="V20" i="6"/>
  <c r="V375" i="6"/>
  <c r="V118" i="6"/>
  <c r="V318" i="6"/>
  <c r="V59" i="6"/>
  <c r="V184" i="6"/>
  <c r="V406" i="6"/>
  <c r="V147" i="6"/>
  <c r="V248" i="6"/>
  <c r="V441" i="6"/>
  <c r="V181" i="6"/>
  <c r="V369" i="6"/>
  <c r="V112" i="6"/>
  <c r="V197" i="6"/>
  <c r="V310" i="6"/>
  <c r="V30" i="6"/>
  <c r="V71" i="6"/>
  <c r="V153" i="6"/>
  <c r="V396" i="6"/>
  <c r="V196" i="6"/>
  <c r="V244" i="6"/>
  <c r="V70" i="6"/>
  <c r="V240" i="6"/>
  <c r="V61" i="6"/>
  <c r="V272" i="6"/>
  <c r="V151" i="6"/>
  <c r="V331" i="6"/>
  <c r="V102" i="6"/>
  <c r="V302" i="6"/>
  <c r="V46" i="6"/>
  <c r="V166" i="6"/>
  <c r="V390" i="6"/>
  <c r="V131" i="6"/>
  <c r="V232" i="6"/>
  <c r="V340" i="6"/>
  <c r="V62" i="6"/>
  <c r="V258" i="6"/>
  <c r="V47" i="6"/>
  <c r="V179" i="6"/>
  <c r="V294" i="6"/>
  <c r="V418" i="6"/>
  <c r="V156" i="6"/>
  <c r="V26" i="6"/>
  <c r="V295" i="6"/>
  <c r="V123" i="6"/>
  <c r="V444" i="6"/>
  <c r="V334" i="6"/>
  <c r="V58" i="6"/>
  <c r="V424" i="6"/>
  <c r="V224" i="6"/>
  <c r="V55" i="6"/>
  <c r="V177" i="6"/>
  <c r="V394" i="6"/>
  <c r="V135" i="6"/>
  <c r="V354" i="6"/>
  <c r="V27" i="6"/>
  <c r="V285" i="6"/>
  <c r="V14" i="6"/>
  <c r="V165" i="6"/>
  <c r="V372" i="6"/>
  <c r="V115" i="6"/>
  <c r="V216" i="6"/>
  <c r="V345" i="6"/>
  <c r="V162" i="6"/>
  <c r="V327" i="6"/>
  <c r="V15" i="6"/>
  <c r="V75" i="6"/>
  <c r="V277" i="6"/>
  <c r="V399" i="6"/>
  <c r="V140" i="6"/>
  <c r="V456" i="6"/>
  <c r="V209" i="6"/>
  <c r="V481" i="6"/>
  <c r="V11" i="6"/>
  <c r="V253" i="6"/>
  <c r="V72" i="6"/>
  <c r="V467" i="6"/>
  <c r="V208" i="6"/>
  <c r="V22" i="6"/>
  <c r="V238" i="6"/>
  <c r="V376" i="6"/>
  <c r="V119" i="6"/>
  <c r="V319" i="6"/>
  <c r="V83" i="6"/>
  <c r="V267" i="6"/>
  <c r="V407" i="6"/>
  <c r="V148" i="6"/>
  <c r="V332" i="6"/>
  <c r="V200" i="6"/>
  <c r="V404" i="6"/>
  <c r="V145" i="6"/>
  <c r="V313" i="6"/>
  <c r="V64" i="6"/>
  <c r="V251" i="6"/>
  <c r="V124" i="6"/>
  <c r="V292" i="6"/>
  <c r="V86" i="6"/>
  <c r="V152" i="6"/>
  <c r="V301" i="6"/>
  <c r="V114" i="6"/>
  <c r="V57" i="6"/>
  <c r="V427" i="6"/>
  <c r="V137" i="6"/>
  <c r="V449" i="6"/>
  <c r="V364" i="6"/>
  <c r="V466" i="6"/>
  <c r="V450" i="6"/>
  <c r="V191" i="6"/>
  <c r="V423" i="6"/>
  <c r="V222" i="6"/>
  <c r="V346" i="6"/>
  <c r="V103" i="6"/>
  <c r="V303" i="6"/>
  <c r="V48" i="6"/>
  <c r="V167" i="6"/>
  <c r="V391" i="6"/>
  <c r="V132" i="6"/>
  <c r="V339" i="6"/>
  <c r="V21" i="6"/>
  <c r="V182" i="6"/>
  <c r="V129" i="6"/>
  <c r="V297" i="6"/>
  <c r="V36" i="6"/>
  <c r="V143" i="6"/>
  <c r="V243" i="6"/>
  <c r="V365" i="6"/>
  <c r="V108" i="6"/>
  <c r="V228" i="6"/>
  <c r="V442" i="6"/>
  <c r="V122" i="6"/>
  <c r="V428" i="6"/>
  <c r="V249" i="6"/>
  <c r="V89" i="6"/>
  <c r="V461" i="6"/>
  <c r="V401" i="6"/>
  <c r="V357" i="6"/>
  <c r="V8" i="6"/>
  <c r="V273" i="6"/>
  <c r="V37" i="6"/>
  <c r="V436" i="6"/>
  <c r="V434" i="6"/>
  <c r="V172" i="6"/>
  <c r="V465" i="6"/>
  <c r="V206" i="6"/>
  <c r="V337" i="6"/>
  <c r="V29" i="6"/>
  <c r="V286" i="6"/>
  <c r="V16" i="6"/>
  <c r="V235" i="6"/>
  <c r="V373" i="6"/>
  <c r="V116" i="6"/>
  <c r="V316" i="6"/>
  <c r="V91" i="6"/>
  <c r="V84" i="6"/>
  <c r="V370" i="6"/>
  <c r="V113" i="6"/>
  <c r="V280" i="6"/>
  <c r="V402" i="6"/>
  <c r="V127" i="6"/>
  <c r="V227" i="6"/>
  <c r="V335" i="6"/>
  <c r="V39" i="6"/>
  <c r="V308" i="6"/>
  <c r="V452" i="6"/>
  <c r="V378" i="6"/>
  <c r="V178" i="6"/>
  <c r="V469" i="6"/>
  <c r="V420" i="6"/>
  <c r="V341" i="6"/>
  <c r="V448" i="6"/>
  <c r="V188" i="6"/>
  <c r="V320" i="6"/>
  <c r="V69" i="6"/>
  <c r="V268" i="6"/>
  <c r="V482" i="6"/>
  <c r="V219" i="6"/>
  <c r="V348" i="6"/>
  <c r="V63" i="6"/>
  <c r="V300" i="6"/>
  <c r="V42" i="6"/>
  <c r="V163" i="6"/>
  <c r="V333" i="6"/>
  <c r="V49" i="6"/>
  <c r="V262" i="6"/>
  <c r="V111" i="6"/>
  <c r="V211" i="6"/>
  <c r="V325" i="6"/>
  <c r="V121" i="6"/>
  <c r="V379" i="6"/>
  <c r="V220" i="6"/>
  <c r="V44" i="6"/>
  <c r="V298" i="6"/>
  <c r="V214" i="6"/>
  <c r="V276" i="6"/>
  <c r="V417" i="6"/>
  <c r="V223" i="6"/>
  <c r="V343" i="6"/>
  <c r="V278" i="6"/>
  <c r="V107" i="6"/>
  <c r="V438" i="6"/>
  <c r="V259" i="6"/>
  <c r="V416" i="6"/>
  <c r="V154" i="6"/>
  <c r="V78" i="6"/>
  <c r="V304" i="6"/>
  <c r="V50" i="6"/>
  <c r="V176" i="6"/>
  <c r="V463" i="6"/>
  <c r="V203" i="6"/>
  <c r="V355" i="6"/>
  <c r="V23" i="6"/>
  <c r="V283" i="6"/>
  <c r="V405" i="6"/>
  <c r="V146" i="6"/>
  <c r="V328" i="6"/>
  <c r="V17" i="6"/>
  <c r="V246" i="6"/>
  <c r="V350" i="6"/>
  <c r="V45" i="6"/>
  <c r="V194" i="6"/>
  <c r="V309" i="6"/>
  <c r="V88" i="6"/>
  <c r="U5" i="6"/>
  <c r="H5" i="6"/>
  <c r="W32" i="6" l="1"/>
  <c r="W33" i="6"/>
  <c r="W34" i="6"/>
  <c r="W35" i="6"/>
  <c r="W408" i="6"/>
  <c r="W170" i="6"/>
  <c r="W171" i="6"/>
  <c r="W385" i="6"/>
  <c r="W386" i="6"/>
  <c r="W387" i="6"/>
  <c r="W388" i="6"/>
  <c r="W157" i="6"/>
  <c r="W158" i="6"/>
  <c r="W159" i="6"/>
  <c r="W160" i="6"/>
  <c r="W161" i="6"/>
  <c r="W363" i="6"/>
  <c r="W454" i="6"/>
  <c r="W270" i="6"/>
  <c r="W269" i="6"/>
  <c r="W74" i="6"/>
  <c r="W409" i="6"/>
  <c r="W410" i="6"/>
  <c r="W411" i="6"/>
  <c r="W412" i="6"/>
  <c r="W413" i="6"/>
  <c r="W414" i="6"/>
  <c r="W415" i="6"/>
  <c r="W471" i="6"/>
  <c r="W472" i="6"/>
  <c r="W473" i="6"/>
  <c r="W474" i="6"/>
  <c r="W475" i="6"/>
  <c r="W476" i="6"/>
  <c r="W190" i="6"/>
  <c r="W52" i="6"/>
  <c r="W53" i="6"/>
  <c r="W54" i="6"/>
  <c r="W492" i="6"/>
  <c r="W487" i="6"/>
  <c r="W493" i="6"/>
  <c r="W494" i="6"/>
  <c r="W490" i="6"/>
  <c r="W488" i="6"/>
  <c r="W491" i="6"/>
  <c r="W489" i="6"/>
  <c r="W195" i="6"/>
  <c r="W485" i="6"/>
  <c r="W486" i="6"/>
  <c r="W429" i="6"/>
  <c r="W430" i="6"/>
  <c r="W431" i="6"/>
  <c r="W432" i="6"/>
  <c r="W433" i="6"/>
  <c r="W127" i="6"/>
  <c r="W99" i="6"/>
  <c r="W100" i="6"/>
  <c r="W101" i="6"/>
  <c r="W362" i="6"/>
  <c r="W329" i="6"/>
  <c r="W61" i="6"/>
  <c r="W120" i="6"/>
  <c r="W88" i="6"/>
  <c r="W253" i="6"/>
  <c r="W188" i="6"/>
  <c r="W282" i="6"/>
  <c r="W17" i="6"/>
  <c r="W418" i="6"/>
  <c r="W12" i="6"/>
  <c r="W37" i="6"/>
  <c r="W149" i="6"/>
  <c r="W323" i="6"/>
  <c r="W367" i="6"/>
  <c r="W359" i="6"/>
  <c r="W60" i="6"/>
  <c r="W439" i="6"/>
  <c r="W202" i="6"/>
  <c r="W8" i="6"/>
  <c r="W483" i="6"/>
  <c r="W427" i="6"/>
  <c r="W62" i="6"/>
  <c r="W67" i="6"/>
  <c r="W462" i="6"/>
  <c r="W381" i="6"/>
  <c r="W382" i="6"/>
  <c r="W383" i="6"/>
  <c r="W307" i="6"/>
  <c r="W94" i="6"/>
  <c r="W95" i="6"/>
  <c r="W96" i="6"/>
  <c r="V5" i="6"/>
  <c r="W384" i="6"/>
  <c r="W407" i="6"/>
  <c r="W419" i="6"/>
  <c r="W479" i="6"/>
  <c r="W459" i="6"/>
  <c r="W442" i="6"/>
  <c r="W31" i="6"/>
  <c r="W30" i="6"/>
  <c r="W59" i="6"/>
  <c r="W86" i="6"/>
  <c r="W119" i="6"/>
  <c r="W147" i="6"/>
  <c r="W165" i="6"/>
  <c r="W246" i="6"/>
  <c r="W182" i="6"/>
  <c r="W43" i="6"/>
  <c r="W264" i="6"/>
  <c r="W392" i="6"/>
  <c r="W111" i="6"/>
  <c r="W211" i="6"/>
  <c r="W36" i="6"/>
  <c r="W50" i="6"/>
  <c r="W291" i="6"/>
  <c r="W347" i="6"/>
  <c r="W405" i="6"/>
  <c r="W341" i="6"/>
  <c r="W426" i="6"/>
  <c r="W440" i="6"/>
  <c r="W257" i="6"/>
  <c r="W478" i="6"/>
  <c r="W458" i="6"/>
  <c r="W29" i="6"/>
  <c r="W57" i="6"/>
  <c r="W82" i="6"/>
  <c r="W118" i="6"/>
  <c r="W145" i="6"/>
  <c r="W166" i="6"/>
  <c r="W339" i="6"/>
  <c r="W27" i="6"/>
  <c r="W225" i="6"/>
  <c r="W450" i="6"/>
  <c r="W374" i="6"/>
  <c r="W89" i="6"/>
  <c r="W310" i="6"/>
  <c r="W20" i="6"/>
  <c r="W274" i="6"/>
  <c r="W77" i="6"/>
  <c r="W191" i="6"/>
  <c r="W232" i="6"/>
  <c r="W348" i="6"/>
  <c r="W380" i="6"/>
  <c r="W404" i="6"/>
  <c r="W324" i="6"/>
  <c r="W420" i="6"/>
  <c r="W480" i="6"/>
  <c r="W456" i="6"/>
  <c r="W469" i="6"/>
  <c r="W441" i="6"/>
  <c r="W28" i="6"/>
  <c r="W81" i="6"/>
  <c r="W117" i="6"/>
  <c r="W142" i="6"/>
  <c r="W317" i="6"/>
  <c r="W465" i="6"/>
  <c r="W250" i="6"/>
  <c r="W421" i="6"/>
  <c r="W144" i="6"/>
  <c r="W325" i="6"/>
  <c r="W71" i="6"/>
  <c r="W294" i="6"/>
  <c r="W308" i="6"/>
  <c r="W18" i="6"/>
  <c r="W230" i="6"/>
  <c r="W76" i="6"/>
  <c r="W355" i="6"/>
  <c r="W356" i="6"/>
  <c r="W208" i="6"/>
  <c r="W378" i="6"/>
  <c r="W402" i="6"/>
  <c r="W401" i="6"/>
  <c r="W400" i="6"/>
  <c r="W330" i="6"/>
  <c r="W460" i="6"/>
  <c r="W470" i="6"/>
  <c r="W436" i="6"/>
  <c r="W484" i="6"/>
  <c r="W26" i="6"/>
  <c r="W51" i="6"/>
  <c r="W80" i="6"/>
  <c r="W115" i="6"/>
  <c r="W301" i="6"/>
  <c r="W218" i="6"/>
  <c r="W128" i="6"/>
  <c r="W352" i="6"/>
  <c r="W55" i="6"/>
  <c r="W277" i="6"/>
  <c r="W292" i="6"/>
  <c r="X7" i="6"/>
  <c r="X85" i="6" s="1"/>
  <c r="W241" i="6"/>
  <c r="W305" i="6"/>
  <c r="W304" i="6"/>
  <c r="W259" i="6"/>
  <c r="W349" i="6"/>
  <c r="W376" i="6"/>
  <c r="W373" i="6"/>
  <c r="W371" i="6"/>
  <c r="W399" i="6"/>
  <c r="W422" i="6"/>
  <c r="W453" i="6"/>
  <c r="W481" i="6"/>
  <c r="W461" i="6"/>
  <c r="W24" i="6"/>
  <c r="W48" i="6"/>
  <c r="W79" i="6"/>
  <c r="W284" i="6"/>
  <c r="W438" i="6"/>
  <c r="W256" i="6"/>
  <c r="W393" i="6"/>
  <c r="W112" i="6"/>
  <c r="W227" i="6"/>
  <c r="W38" i="6"/>
  <c r="W244" i="6"/>
  <c r="W275" i="6"/>
  <c r="W428" i="6"/>
  <c r="W181" i="6"/>
  <c r="W477" i="6"/>
  <c r="W276" i="6"/>
  <c r="W273" i="6"/>
  <c r="W303" i="6"/>
  <c r="W219" i="6"/>
  <c r="W333" i="6"/>
  <c r="W326" i="6"/>
  <c r="W258" i="6"/>
  <c r="W370" i="6"/>
  <c r="W398" i="6"/>
  <c r="W396" i="6"/>
  <c r="W423" i="6"/>
  <c r="W444" i="6"/>
  <c r="W451" i="6"/>
  <c r="W21" i="6"/>
  <c r="W47" i="6"/>
  <c r="W266" i="6"/>
  <c r="W468" i="6"/>
  <c r="W163" i="6"/>
  <c r="W375" i="6"/>
  <c r="W90" i="6"/>
  <c r="W312" i="6"/>
  <c r="W22" i="6"/>
  <c r="W183" i="6"/>
  <c r="W236" i="6"/>
  <c r="W10" i="6"/>
  <c r="W177" i="6"/>
  <c r="W217" i="6"/>
  <c r="W192" i="6"/>
  <c r="W272" i="6"/>
  <c r="W302" i="6"/>
  <c r="W203" i="6"/>
  <c r="W194" i="6"/>
  <c r="W260" i="6"/>
  <c r="W350" i="6"/>
  <c r="W351" i="6"/>
  <c r="W368" i="6"/>
  <c r="W394" i="6"/>
  <c r="W357" i="6"/>
  <c r="W467" i="6"/>
  <c r="W455" i="6"/>
  <c r="W448" i="6"/>
  <c r="W19" i="6"/>
  <c r="W178" i="6"/>
  <c r="W146" i="6"/>
  <c r="W331" i="6"/>
  <c r="W72" i="6"/>
  <c r="W296" i="6"/>
  <c r="W482" i="6"/>
  <c r="W207" i="6"/>
  <c r="W245" i="6"/>
  <c r="W457" i="6"/>
  <c r="W175" i="6"/>
  <c r="W233" i="6"/>
  <c r="W93" i="6"/>
  <c r="W238" i="6"/>
  <c r="W226" i="6"/>
  <c r="W249" i="6"/>
  <c r="W271" i="6"/>
  <c r="W300" i="6"/>
  <c r="W298" i="6"/>
  <c r="W295" i="6"/>
  <c r="W180" i="6"/>
  <c r="W320" i="6"/>
  <c r="W336" i="6"/>
  <c r="W366" i="6"/>
  <c r="W391" i="6"/>
  <c r="W342" i="6"/>
  <c r="W9" i="6"/>
  <c r="W466" i="6"/>
  <c r="W196" i="6"/>
  <c r="W345" i="6"/>
  <c r="W130" i="6"/>
  <c r="W335" i="6"/>
  <c r="W56" i="6"/>
  <c r="W279" i="6"/>
  <c r="W452" i="6"/>
  <c r="W179" i="6"/>
  <c r="W189" i="6"/>
  <c r="W243" i="6"/>
  <c r="W154" i="6"/>
  <c r="W306" i="6"/>
  <c r="W242" i="6"/>
  <c r="W140" i="6"/>
  <c r="W176" i="6"/>
  <c r="W167" i="6"/>
  <c r="W210" i="6"/>
  <c r="W237" i="6"/>
  <c r="W268" i="6"/>
  <c r="W267" i="6"/>
  <c r="W265" i="6"/>
  <c r="W293" i="6"/>
  <c r="W290" i="6"/>
  <c r="W319" i="6"/>
  <c r="W353" i="6"/>
  <c r="W365" i="6"/>
  <c r="W389" i="6"/>
  <c r="W343" i="6"/>
  <c r="W417" i="6"/>
  <c r="W425" i="6"/>
  <c r="W234" i="6"/>
  <c r="W395" i="6"/>
  <c r="W114" i="6"/>
  <c r="W235" i="6"/>
  <c r="W39" i="6"/>
  <c r="W261" i="6"/>
  <c r="W443" i="6"/>
  <c r="W173" i="6"/>
  <c r="W254" i="6"/>
  <c r="W224" i="6"/>
  <c r="W138" i="6"/>
  <c r="W278" i="6"/>
  <c r="W113" i="6"/>
  <c r="W137" i="6"/>
  <c r="W136" i="6"/>
  <c r="W184" i="6"/>
  <c r="W228" i="6"/>
  <c r="W220" i="6"/>
  <c r="W212" i="6"/>
  <c r="W263" i="6"/>
  <c r="W248" i="6"/>
  <c r="W289" i="6"/>
  <c r="W318" i="6"/>
  <c r="W337" i="6"/>
  <c r="W364" i="6"/>
  <c r="W247" i="6"/>
  <c r="W447" i="6"/>
  <c r="W197" i="6"/>
  <c r="W377" i="6"/>
  <c r="W92" i="6"/>
  <c r="W313" i="6"/>
  <c r="W23" i="6"/>
  <c r="W201" i="6"/>
  <c r="W239" i="6"/>
  <c r="W174" i="6"/>
  <c r="W403" i="6"/>
  <c r="W122" i="6"/>
  <c r="W78" i="6"/>
  <c r="W110" i="6"/>
  <c r="W108" i="6"/>
  <c r="W135" i="6"/>
  <c r="W164" i="6"/>
  <c r="W168" i="6"/>
  <c r="W255" i="6"/>
  <c r="W229" i="6"/>
  <c r="W204" i="6"/>
  <c r="W186" i="6"/>
  <c r="W240" i="6"/>
  <c r="W287" i="6"/>
  <c r="W316" i="6"/>
  <c r="W216" i="6"/>
  <c r="W361" i="6"/>
  <c r="W437" i="6"/>
  <c r="W360" i="6"/>
  <c r="W75" i="6"/>
  <c r="W297" i="6"/>
  <c r="W435" i="6"/>
  <c r="W223" i="6"/>
  <c r="W11" i="6"/>
  <c r="W141" i="6"/>
  <c r="W155" i="6"/>
  <c r="W106" i="6"/>
  <c r="W46" i="6"/>
  <c r="W45" i="6"/>
  <c r="W73" i="6"/>
  <c r="W105" i="6"/>
  <c r="W134" i="6"/>
  <c r="W162" i="6"/>
  <c r="W156" i="6"/>
  <c r="W221" i="6"/>
  <c r="W213" i="6"/>
  <c r="W251" i="6"/>
  <c r="W222" i="6"/>
  <c r="W286" i="6"/>
  <c r="W314" i="6"/>
  <c r="W354" i="6"/>
  <c r="W346" i="6"/>
  <c r="W328" i="6"/>
  <c r="W148" i="6"/>
  <c r="W334" i="6"/>
  <c r="W58" i="6"/>
  <c r="W280" i="6"/>
  <c r="W321" i="6"/>
  <c r="W193" i="6"/>
  <c r="W406" i="6"/>
  <c r="W125" i="6"/>
  <c r="W139" i="6"/>
  <c r="W369" i="6"/>
  <c r="W83" i="6"/>
  <c r="W16" i="6"/>
  <c r="W15" i="6"/>
  <c r="W44" i="6"/>
  <c r="W70" i="6"/>
  <c r="W104" i="6"/>
  <c r="W133" i="6"/>
  <c r="W131" i="6"/>
  <c r="W129" i="6"/>
  <c r="W153" i="6"/>
  <c r="W152" i="6"/>
  <c r="W205" i="6"/>
  <c r="W215" i="6"/>
  <c r="W214" i="6"/>
  <c r="W285" i="6"/>
  <c r="W311" i="6"/>
  <c r="W338" i="6"/>
  <c r="W200" i="6"/>
  <c r="W132" i="6"/>
  <c r="W340" i="6"/>
  <c r="W41" i="6"/>
  <c r="W262" i="6"/>
  <c r="W446" i="6"/>
  <c r="W172" i="6"/>
  <c r="W390" i="6"/>
  <c r="W109" i="6"/>
  <c r="W123" i="6"/>
  <c r="W332" i="6"/>
  <c r="W66" i="6"/>
  <c r="W449" i="6"/>
  <c r="W445" i="6"/>
  <c r="W14" i="6"/>
  <c r="W42" i="6"/>
  <c r="W68" i="6"/>
  <c r="W103" i="6"/>
  <c r="W102" i="6"/>
  <c r="W126" i="6"/>
  <c r="W124" i="6"/>
  <c r="W151" i="6"/>
  <c r="W187" i="6"/>
  <c r="W199" i="6"/>
  <c r="W206" i="6"/>
  <c r="W283" i="6"/>
  <c r="W309" i="6"/>
  <c r="W397" i="6"/>
  <c r="W116" i="6"/>
  <c r="W315" i="6"/>
  <c r="W25" i="6"/>
  <c r="W209" i="6"/>
  <c r="W434" i="6"/>
  <c r="W372" i="6"/>
  <c r="W87" i="6"/>
  <c r="W107" i="6"/>
  <c r="W327" i="6"/>
  <c r="W49" i="6"/>
  <c r="W416" i="6"/>
  <c r="W463" i="6"/>
  <c r="W358" i="6"/>
  <c r="W424" i="6"/>
  <c r="W464" i="6"/>
  <c r="W13" i="6"/>
  <c r="W40" i="6"/>
  <c r="W65" i="6"/>
  <c r="W64" i="6"/>
  <c r="W63" i="6"/>
  <c r="W98" i="6"/>
  <c r="W91" i="6"/>
  <c r="W121" i="6"/>
  <c r="W150" i="6"/>
  <c r="W169" i="6"/>
  <c r="W252" i="6"/>
  <c r="W198" i="6"/>
  <c r="W281" i="6"/>
  <c r="W379" i="6"/>
  <c r="W97" i="6"/>
  <c r="W299" i="6"/>
  <c r="W231" i="6"/>
  <c r="W344" i="6"/>
  <c r="W143" i="6"/>
  <c r="W322" i="6"/>
  <c r="W69" i="6"/>
  <c r="W84" i="6"/>
  <c r="W185" i="6"/>
  <c r="X32" i="6" l="1"/>
  <c r="X33" i="6"/>
  <c r="X34" i="6"/>
  <c r="X35" i="6"/>
  <c r="X408" i="6"/>
  <c r="X170" i="6"/>
  <c r="X171" i="6"/>
  <c r="X385" i="6"/>
  <c r="X386" i="6"/>
  <c r="X387" i="6"/>
  <c r="X388" i="6"/>
  <c r="X157" i="6"/>
  <c r="X158" i="6"/>
  <c r="X159" i="6"/>
  <c r="X160" i="6"/>
  <c r="X161" i="6"/>
  <c r="X363" i="6"/>
  <c r="X454" i="6"/>
  <c r="X270" i="6"/>
  <c r="X269" i="6"/>
  <c r="X74" i="6"/>
  <c r="X409" i="6"/>
  <c r="X410" i="6"/>
  <c r="X411" i="6"/>
  <c r="X412" i="6"/>
  <c r="X413" i="6"/>
  <c r="X414" i="6"/>
  <c r="X415" i="6"/>
  <c r="X471" i="6"/>
  <c r="X472" i="6"/>
  <c r="X473" i="6"/>
  <c r="X474" i="6"/>
  <c r="X475" i="6"/>
  <c r="X476" i="6"/>
  <c r="X190" i="6"/>
  <c r="X52" i="6"/>
  <c r="X53" i="6"/>
  <c r="X54" i="6"/>
  <c r="X492" i="6"/>
  <c r="X487" i="6"/>
  <c r="X493" i="6"/>
  <c r="X494" i="6"/>
  <c r="X490" i="6"/>
  <c r="X488" i="6"/>
  <c r="X491" i="6"/>
  <c r="X489" i="6"/>
  <c r="X195" i="6"/>
  <c r="X485" i="6"/>
  <c r="X486" i="6"/>
  <c r="X429" i="6"/>
  <c r="X430" i="6"/>
  <c r="X431" i="6"/>
  <c r="X432" i="6"/>
  <c r="X433" i="6"/>
  <c r="X329" i="6"/>
  <c r="X99" i="6"/>
  <c r="X100" i="6"/>
  <c r="X101" i="6"/>
  <c r="X275" i="6"/>
  <c r="X367" i="6"/>
  <c r="X391" i="6"/>
  <c r="X301" i="6"/>
  <c r="X168" i="6"/>
  <c r="X480" i="6"/>
  <c r="X326" i="6"/>
  <c r="X72" i="6"/>
  <c r="X381" i="6"/>
  <c r="X382" i="6"/>
  <c r="X383" i="6"/>
  <c r="X274" i="6"/>
  <c r="X291" i="6"/>
  <c r="X451" i="6"/>
  <c r="X422" i="6"/>
  <c r="X79" i="6"/>
  <c r="X67" i="6"/>
  <c r="X13" i="6"/>
  <c r="X28" i="6"/>
  <c r="X462" i="6"/>
  <c r="X437" i="6"/>
  <c r="X81" i="6"/>
  <c r="X167" i="6"/>
  <c r="X26" i="6"/>
  <c r="X324" i="6"/>
  <c r="X252" i="6"/>
  <c r="X221" i="6"/>
  <c r="X455" i="6"/>
  <c r="X315" i="6"/>
  <c r="X82" i="6"/>
  <c r="X439" i="6"/>
  <c r="X425" i="6"/>
  <c r="X373" i="6"/>
  <c r="X228" i="6"/>
  <c r="X452" i="6"/>
  <c r="X253" i="6"/>
  <c r="X317" i="6"/>
  <c r="X331" i="6"/>
  <c r="X182" i="6"/>
  <c r="X88" i="6"/>
  <c r="X134" i="6"/>
  <c r="X400" i="6"/>
  <c r="X364" i="6"/>
  <c r="X151" i="6"/>
  <c r="X350" i="6"/>
  <c r="X295" i="6"/>
  <c r="X278" i="6"/>
  <c r="X196" i="6"/>
  <c r="X336" i="6"/>
  <c r="X358" i="6"/>
  <c r="X29" i="6"/>
  <c r="X94" i="6"/>
  <c r="X95" i="6"/>
  <c r="X96" i="6"/>
  <c r="X362" i="6"/>
  <c r="X172" i="6"/>
  <c r="X293" i="6"/>
  <c r="X93" i="6"/>
  <c r="X65" i="6"/>
  <c r="X70" i="6"/>
  <c r="X343" i="6"/>
  <c r="X154" i="6"/>
  <c r="X27" i="6"/>
  <c r="X276" i="6"/>
  <c r="X84" i="6"/>
  <c r="X479" i="6"/>
  <c r="X292" i="6"/>
  <c r="X90" i="6"/>
  <c r="W5" i="6"/>
  <c r="X481" i="6"/>
  <c r="X434" i="6"/>
  <c r="X103" i="6"/>
  <c r="X354" i="6"/>
  <c r="X10" i="6"/>
  <c r="X442" i="6"/>
  <c r="X267" i="6"/>
  <c r="X334" i="6"/>
  <c r="X248" i="6"/>
  <c r="X180" i="6"/>
  <c r="X43" i="6"/>
  <c r="X240" i="6"/>
  <c r="X236" i="6"/>
  <c r="X230" i="6"/>
  <c r="X443" i="6"/>
  <c r="X191" i="6"/>
  <c r="X213" i="6"/>
  <c r="X403" i="6"/>
  <c r="X138" i="6"/>
  <c r="X153" i="6"/>
  <c r="X418" i="6"/>
  <c r="X150" i="6"/>
  <c r="X340" i="6"/>
  <c r="X51" i="6"/>
  <c r="X49" i="6"/>
  <c r="X48" i="6"/>
  <c r="X46" i="6"/>
  <c r="X77" i="6"/>
  <c r="X312" i="6"/>
  <c r="X426" i="6"/>
  <c r="X192" i="6"/>
  <c r="X22" i="6"/>
  <c r="X245" i="6"/>
  <c r="X137" i="6"/>
  <c r="X25" i="6"/>
  <c r="X24" i="6"/>
  <c r="X76" i="6"/>
  <c r="X468" i="6"/>
  <c r="X396" i="6"/>
  <c r="X187" i="6"/>
  <c r="X355" i="6"/>
  <c r="X384" i="6"/>
  <c r="Y7" i="6"/>
  <c r="Y85" i="6" s="1"/>
  <c r="X188" i="6"/>
  <c r="X215" i="6"/>
  <c r="X294" i="6"/>
  <c r="X199" i="6"/>
  <c r="X189" i="6"/>
  <c r="X181" i="6"/>
  <c r="X424" i="6"/>
  <c r="X156" i="6"/>
  <c r="X173" i="6"/>
  <c r="X369" i="6"/>
  <c r="X106" i="6"/>
  <c r="X121" i="6"/>
  <c r="X118" i="6"/>
  <c r="X299" i="6"/>
  <c r="X298" i="6"/>
  <c r="X297" i="6"/>
  <c r="X296" i="6"/>
  <c r="X9" i="6"/>
  <c r="X370" i="6"/>
  <c r="X464" i="6"/>
  <c r="X308" i="6"/>
  <c r="X260" i="6"/>
  <c r="X406" i="6"/>
  <c r="X453" i="6"/>
  <c r="X120" i="6"/>
  <c r="X184" i="6"/>
  <c r="X277" i="6"/>
  <c r="X478" i="6"/>
  <c r="X254" i="6"/>
  <c r="X255" i="6"/>
  <c r="X229" i="6"/>
  <c r="X405" i="6"/>
  <c r="X140" i="6"/>
  <c r="X155" i="6"/>
  <c r="X349" i="6"/>
  <c r="X80" i="6"/>
  <c r="X105" i="6"/>
  <c r="X365" i="6"/>
  <c r="X102" i="6"/>
  <c r="X282" i="6"/>
  <c r="X281" i="6"/>
  <c r="X280" i="6"/>
  <c r="X279" i="6"/>
  <c r="X36" i="6"/>
  <c r="X477" i="6"/>
  <c r="X420" i="6"/>
  <c r="X335" i="6"/>
  <c r="X419" i="6"/>
  <c r="X483" i="6"/>
  <c r="X75" i="6"/>
  <c r="X259" i="6"/>
  <c r="X379" i="6"/>
  <c r="X11" i="6"/>
  <c r="X232" i="6"/>
  <c r="X244" i="6"/>
  <c r="X216" i="6"/>
  <c r="X208" i="6"/>
  <c r="X200" i="6"/>
  <c r="X389" i="6"/>
  <c r="X124" i="6"/>
  <c r="X139" i="6"/>
  <c r="X338" i="6"/>
  <c r="X58" i="6"/>
  <c r="X57" i="6"/>
  <c r="X194" i="6"/>
  <c r="X92" i="6"/>
  <c r="X264" i="6"/>
  <c r="X263" i="6"/>
  <c r="X262" i="6"/>
  <c r="X261" i="6"/>
  <c r="X20" i="6"/>
  <c r="X404" i="6"/>
  <c r="X318" i="6"/>
  <c r="X393" i="6"/>
  <c r="X345" i="6"/>
  <c r="X428" i="6"/>
  <c r="X302" i="6"/>
  <c r="X219" i="6"/>
  <c r="X401" i="6"/>
  <c r="X435" i="6"/>
  <c r="X86" i="6"/>
  <c r="X183" i="6"/>
  <c r="X484" i="6"/>
  <c r="X177" i="6"/>
  <c r="X176" i="6"/>
  <c r="X175" i="6"/>
  <c r="X371" i="6"/>
  <c r="X108" i="6"/>
  <c r="X123" i="6"/>
  <c r="X320" i="6"/>
  <c r="X37" i="6"/>
  <c r="X356" i="6"/>
  <c r="X225" i="6"/>
  <c r="X217" i="6"/>
  <c r="X209" i="6"/>
  <c r="X201" i="6"/>
  <c r="X50" i="6"/>
  <c r="X440" i="6"/>
  <c r="X136" i="6"/>
  <c r="X310" i="6"/>
  <c r="X241" i="6"/>
  <c r="X394" i="6"/>
  <c r="X204" i="6"/>
  <c r="X366" i="6"/>
  <c r="X446" i="6"/>
  <c r="X169" i="6"/>
  <c r="X341" i="6"/>
  <c r="X376" i="6"/>
  <c r="X450" i="6"/>
  <c r="X162" i="6"/>
  <c r="X207" i="6"/>
  <c r="X344" i="6"/>
  <c r="X332" i="6"/>
  <c r="X83" i="6"/>
  <c r="X107" i="6"/>
  <c r="X304" i="6"/>
  <c r="X12" i="6"/>
  <c r="X98" i="6"/>
  <c r="X316" i="6"/>
  <c r="X30" i="6"/>
  <c r="X250" i="6"/>
  <c r="X251" i="6"/>
  <c r="X231" i="6"/>
  <c r="X223" i="6"/>
  <c r="X360" i="6"/>
  <c r="X122" i="6"/>
  <c r="X378" i="6"/>
  <c r="X104" i="6"/>
  <c r="X327" i="6"/>
  <c r="X390" i="6"/>
  <c r="X359" i="6"/>
  <c r="X459" i="6"/>
  <c r="X285" i="6"/>
  <c r="X258" i="6"/>
  <c r="X185" i="6"/>
  <c r="X145" i="6"/>
  <c r="X179" i="6"/>
  <c r="X143" i="6"/>
  <c r="X142" i="6"/>
  <c r="X141" i="6"/>
  <c r="X227" i="6"/>
  <c r="X60" i="6"/>
  <c r="X91" i="6"/>
  <c r="X287" i="6"/>
  <c r="X303" i="6"/>
  <c r="X56" i="6"/>
  <c r="X300" i="6"/>
  <c r="X445" i="6"/>
  <c r="X218" i="6"/>
  <c r="X210" i="6"/>
  <c r="X202" i="6"/>
  <c r="X193" i="6"/>
  <c r="X18" i="6"/>
  <c r="X423" i="6"/>
  <c r="X368" i="6"/>
  <c r="X438" i="6"/>
  <c r="X313" i="6"/>
  <c r="X361" i="6"/>
  <c r="X460" i="6"/>
  <c r="X152" i="6"/>
  <c r="X323" i="6"/>
  <c r="X397" i="6"/>
  <c r="X129" i="6"/>
  <c r="X224" i="6"/>
  <c r="X392" i="6"/>
  <c r="X127" i="6"/>
  <c r="X126" i="6"/>
  <c r="X125" i="6"/>
  <c r="X322" i="6"/>
  <c r="X39" i="6"/>
  <c r="X59" i="6"/>
  <c r="X271" i="6"/>
  <c r="X286" i="6"/>
  <c r="X283" i="6"/>
  <c r="X449" i="6"/>
  <c r="X247" i="6"/>
  <c r="X243" i="6"/>
  <c r="X239" i="6"/>
  <c r="X235" i="6"/>
  <c r="X64" i="6"/>
  <c r="X399" i="6"/>
  <c r="X333" i="6"/>
  <c r="X436" i="6"/>
  <c r="X234" i="6"/>
  <c r="X203" i="6"/>
  <c r="X8" i="6"/>
  <c r="X444" i="6"/>
  <c r="X266" i="6"/>
  <c r="X372" i="6"/>
  <c r="X113" i="6"/>
  <c r="X68" i="6"/>
  <c r="X374" i="6"/>
  <c r="X111" i="6"/>
  <c r="X110" i="6"/>
  <c r="X109" i="6"/>
  <c r="X306" i="6"/>
  <c r="X16" i="6"/>
  <c r="X38" i="6"/>
  <c r="X206" i="6"/>
  <c r="X268" i="6"/>
  <c r="X73" i="6"/>
  <c r="X265" i="6"/>
  <c r="X89" i="6"/>
  <c r="X71" i="6"/>
  <c r="X47" i="6"/>
  <c r="X337" i="6"/>
  <c r="X458" i="6"/>
  <c r="X465" i="6"/>
  <c r="X311" i="6"/>
  <c r="X346" i="6"/>
  <c r="X407" i="6"/>
  <c r="X470" i="6"/>
  <c r="X135" i="6"/>
  <c r="X351" i="6"/>
  <c r="X66" i="6"/>
  <c r="X347" i="6"/>
  <c r="X87" i="6"/>
  <c r="X69" i="6"/>
  <c r="X97" i="6"/>
  <c r="X290" i="6"/>
  <c r="X305" i="6"/>
  <c r="X14" i="6"/>
  <c r="X220" i="6"/>
  <c r="X198" i="6"/>
  <c r="X55" i="6"/>
  <c r="X233" i="6"/>
  <c r="X211" i="6"/>
  <c r="X166" i="6"/>
  <c r="X165" i="6"/>
  <c r="X164" i="6"/>
  <c r="X163" i="6"/>
  <c r="X31" i="6"/>
  <c r="X249" i="6"/>
  <c r="X328" i="6"/>
  <c r="X421" i="6"/>
  <c r="X461" i="6"/>
  <c r="X256" i="6"/>
  <c r="X339" i="6"/>
  <c r="X342" i="6"/>
  <c r="X456" i="6"/>
  <c r="X319" i="6"/>
  <c r="X44" i="6"/>
  <c r="X144" i="6"/>
  <c r="X353" i="6"/>
  <c r="X63" i="6"/>
  <c r="X62" i="6"/>
  <c r="X61" i="6"/>
  <c r="X273" i="6"/>
  <c r="X289" i="6"/>
  <c r="X448" i="6"/>
  <c r="X246" i="6"/>
  <c r="X212" i="6"/>
  <c r="X186" i="6"/>
  <c r="X417" i="6"/>
  <c r="X149" i="6"/>
  <c r="X148" i="6"/>
  <c r="X147" i="6"/>
  <c r="X146" i="6"/>
  <c r="X15" i="6"/>
  <c r="X441" i="6"/>
  <c r="X321" i="6"/>
  <c r="X427" i="6"/>
  <c r="X314" i="6"/>
  <c r="X395" i="6"/>
  <c r="X447" i="6"/>
  <c r="X463" i="6"/>
  <c r="X307" i="6"/>
  <c r="X348" i="6"/>
  <c r="X402" i="6"/>
  <c r="X467" i="6"/>
  <c r="X178" i="6"/>
  <c r="X23" i="6"/>
  <c r="X128" i="6"/>
  <c r="X325" i="6"/>
  <c r="X42" i="6"/>
  <c r="X41" i="6"/>
  <c r="X40" i="6"/>
  <c r="X222" i="6"/>
  <c r="X272" i="6"/>
  <c r="X469" i="6"/>
  <c r="X205" i="6"/>
  <c r="X242" i="6"/>
  <c r="X482" i="6"/>
  <c r="X226" i="6"/>
  <c r="X398" i="6"/>
  <c r="X133" i="6"/>
  <c r="X132" i="6"/>
  <c r="X131" i="6"/>
  <c r="X130" i="6"/>
  <c r="X45" i="6"/>
  <c r="X174" i="6"/>
  <c r="X238" i="6"/>
  <c r="X284" i="6"/>
  <c r="X352" i="6"/>
  <c r="X416" i="6"/>
  <c r="X357" i="6"/>
  <c r="X377" i="6"/>
  <c r="X330" i="6"/>
  <c r="X119" i="6"/>
  <c r="X375" i="6"/>
  <c r="X112" i="6"/>
  <c r="X309" i="6"/>
  <c r="X21" i="6"/>
  <c r="X19" i="6"/>
  <c r="X17" i="6"/>
  <c r="X237" i="6"/>
  <c r="X214" i="6"/>
  <c r="X457" i="6"/>
  <c r="X78" i="6"/>
  <c r="X197" i="6"/>
  <c r="X466" i="6"/>
  <c r="X257" i="6"/>
  <c r="X380" i="6"/>
  <c r="X117" i="6"/>
  <c r="X116" i="6"/>
  <c r="X115" i="6"/>
  <c r="X114" i="6"/>
  <c r="Y32" i="6" l="1"/>
  <c r="Y33" i="6"/>
  <c r="Y34" i="6"/>
  <c r="Y35" i="6"/>
  <c r="Y408" i="6"/>
  <c r="Y170" i="6"/>
  <c r="Y171" i="6"/>
  <c r="Y385" i="6"/>
  <c r="Y386" i="6"/>
  <c r="Y387" i="6"/>
  <c r="Y388" i="6"/>
  <c r="Y157" i="6"/>
  <c r="Y158" i="6"/>
  <c r="Y159" i="6"/>
  <c r="Y160" i="6"/>
  <c r="Y161" i="6"/>
  <c r="Y363" i="6"/>
  <c r="Y454" i="6"/>
  <c r="Y270" i="6"/>
  <c r="Y269" i="6"/>
  <c r="Y74" i="6"/>
  <c r="Y409" i="6"/>
  <c r="Y410" i="6"/>
  <c r="Y411" i="6"/>
  <c r="Y412" i="6"/>
  <c r="Y413" i="6"/>
  <c r="Y414" i="6"/>
  <c r="Y415" i="6"/>
  <c r="Y471" i="6"/>
  <c r="Y472" i="6"/>
  <c r="Y473" i="6"/>
  <c r="Y474" i="6"/>
  <c r="Y475" i="6"/>
  <c r="Y476" i="6"/>
  <c r="Y190" i="6"/>
  <c r="Y52" i="6"/>
  <c r="Y53" i="6"/>
  <c r="Y54" i="6"/>
  <c r="Y489" i="6"/>
  <c r="Y492" i="6"/>
  <c r="Y487" i="6"/>
  <c r="Y493" i="6"/>
  <c r="Y494" i="6"/>
  <c r="Y490" i="6"/>
  <c r="Y488" i="6"/>
  <c r="Y491" i="6"/>
  <c r="Y485" i="6"/>
  <c r="Y486" i="6"/>
  <c r="Y103" i="6"/>
  <c r="Y371" i="6"/>
  <c r="Y137" i="6"/>
  <c r="Y195" i="6"/>
  <c r="Y478" i="6"/>
  <c r="Y406" i="6"/>
  <c r="Y403" i="6"/>
  <c r="Y146" i="6"/>
  <c r="Y42" i="6"/>
  <c r="Y75" i="6"/>
  <c r="Y123" i="6"/>
  <c r="Y201" i="6"/>
  <c r="Y429" i="6"/>
  <c r="Y430" i="6"/>
  <c r="Y431" i="6"/>
  <c r="Y432" i="6"/>
  <c r="Y433" i="6"/>
  <c r="Y272" i="6"/>
  <c r="Y218" i="6"/>
  <c r="Y178" i="6"/>
  <c r="Y129" i="6"/>
  <c r="Y78" i="6"/>
  <c r="Y57" i="6"/>
  <c r="Y369" i="6"/>
  <c r="Y207" i="6"/>
  <c r="Y14" i="6"/>
  <c r="Y285" i="6"/>
  <c r="Y438" i="6"/>
  <c r="Y279" i="6"/>
  <c r="Y427" i="6"/>
  <c r="Y27" i="6"/>
  <c r="Y294" i="6"/>
  <c r="Y145" i="6"/>
  <c r="Y65" i="6"/>
  <c r="Y105" i="6"/>
  <c r="Y18" i="6"/>
  <c r="Y223" i="6"/>
  <c r="Y110" i="6"/>
  <c r="Y243" i="6"/>
  <c r="Y180" i="6"/>
  <c r="Y149" i="6"/>
  <c r="Y87" i="6"/>
  <c r="Y221" i="6"/>
  <c r="Y72" i="6"/>
  <c r="Y61" i="6"/>
  <c r="Y124" i="6"/>
  <c r="Y352" i="6"/>
  <c r="Y275" i="6"/>
  <c r="Y401" i="6"/>
  <c r="Y308" i="6"/>
  <c r="Y219" i="6"/>
  <c r="Y115" i="6"/>
  <c r="Y329" i="6"/>
  <c r="Y99" i="6"/>
  <c r="Y100" i="6"/>
  <c r="Y101" i="6"/>
  <c r="Y343" i="6"/>
  <c r="Y174" i="6"/>
  <c r="Y234" i="6"/>
  <c r="Y84" i="6"/>
  <c r="Y62" i="6"/>
  <c r="Y416" i="6"/>
  <c r="Y82" i="6"/>
  <c r="Y318" i="6"/>
  <c r="Y188" i="6"/>
  <c r="Y464" i="6"/>
  <c r="Y148" i="6"/>
  <c r="Y104" i="6"/>
  <c r="Y359" i="6"/>
  <c r="Y350" i="6"/>
  <c r="Y255" i="6"/>
  <c r="Y12" i="6"/>
  <c r="Y119" i="6"/>
  <c r="Y232" i="6"/>
  <c r="Y367" i="6"/>
  <c r="Y453" i="6"/>
  <c r="Y132" i="6"/>
  <c r="Y332" i="6"/>
  <c r="Y204" i="6"/>
  <c r="Y134" i="6"/>
  <c r="Y439" i="6"/>
  <c r="Y423" i="6"/>
  <c r="Y398" i="6"/>
  <c r="Y49" i="6"/>
  <c r="Y127" i="6"/>
  <c r="Y196" i="6"/>
  <c r="Y194" i="6"/>
  <c r="Y215" i="6"/>
  <c r="Y316" i="6"/>
  <c r="Y16" i="6"/>
  <c r="Y38" i="6"/>
  <c r="Y60" i="6"/>
  <c r="Y9" i="6"/>
  <c r="Y113" i="6"/>
  <c r="Y189" i="6"/>
  <c r="Y205" i="6"/>
  <c r="Y183" i="6"/>
  <c r="Y46" i="6"/>
  <c r="Y261" i="6"/>
  <c r="Y331" i="6"/>
  <c r="Y239" i="6"/>
  <c r="Y17" i="6"/>
  <c r="Y112" i="6"/>
  <c r="Y374" i="6"/>
  <c r="Y399" i="6"/>
  <c r="Y26" i="6"/>
  <c r="Y102" i="6"/>
  <c r="Y166" i="6"/>
  <c r="Y89" i="6"/>
  <c r="Y192" i="6"/>
  <c r="Y365" i="6"/>
  <c r="Y280" i="6"/>
  <c r="Y13" i="6"/>
  <c r="Y36" i="6"/>
  <c r="Y402" i="6"/>
  <c r="Y73" i="6"/>
  <c r="Y173" i="6"/>
  <c r="Y156" i="6"/>
  <c r="Y167" i="6"/>
  <c r="Y30" i="6"/>
  <c r="Y393" i="6"/>
  <c r="Y277" i="6"/>
  <c r="Y8" i="6"/>
  <c r="Y58" i="6"/>
  <c r="Y248" i="6"/>
  <c r="Y370" i="6"/>
  <c r="Y461" i="6"/>
  <c r="Y394" i="6"/>
  <c r="Y48" i="6"/>
  <c r="Y125" i="6"/>
  <c r="Y69" i="6"/>
  <c r="Y122" i="6"/>
  <c r="Y449" i="6"/>
  <c r="Y344" i="6"/>
  <c r="Y346" i="6"/>
  <c r="Y368" i="6"/>
  <c r="Y360" i="6"/>
  <c r="Y40" i="6"/>
  <c r="Y70" i="6"/>
  <c r="Y108" i="6"/>
  <c r="Y81" i="6"/>
  <c r="Y77" i="6"/>
  <c r="Y259" i="6"/>
  <c r="Y97" i="6"/>
  <c r="Y262" i="6"/>
  <c r="Y379" i="6"/>
  <c r="Y482" i="6"/>
  <c r="Y24" i="6"/>
  <c r="Y37" i="6"/>
  <c r="Y86" i="6"/>
  <c r="Y47" i="6"/>
  <c r="Y76" i="6"/>
  <c r="Y228" i="6"/>
  <c r="Y384" i="6"/>
  <c r="Y422" i="6"/>
  <c r="Y22" i="6"/>
  <c r="Y390" i="6"/>
  <c r="Y55" i="6"/>
  <c r="Y306" i="6"/>
  <c r="Y43" i="6"/>
  <c r="Y446" i="6"/>
  <c r="Y445" i="6"/>
  <c r="Y442" i="6"/>
  <c r="Y380" i="6"/>
  <c r="Y51" i="6"/>
  <c r="Y477" i="6"/>
  <c r="Y349" i="6"/>
  <c r="Y314" i="6"/>
  <c r="Y44" i="6"/>
  <c r="Y355" i="6"/>
  <c r="Y253" i="6"/>
  <c r="Y311" i="6"/>
  <c r="Y468" i="6"/>
  <c r="Y237" i="6"/>
  <c r="Y341" i="6"/>
  <c r="Y376" i="6"/>
  <c r="Y317" i="6"/>
  <c r="Y15" i="6"/>
  <c r="Y300" i="6"/>
  <c r="Y443" i="6"/>
  <c r="Y109" i="6"/>
  <c r="Y313" i="6"/>
  <c r="Y444" i="6"/>
  <c r="Y133" i="6"/>
  <c r="Y202" i="6"/>
  <c r="Y246" i="6"/>
  <c r="Y358" i="6"/>
  <c r="Y484" i="6"/>
  <c r="Y483" i="6"/>
  <c r="Y372" i="6"/>
  <c r="Y20" i="6"/>
  <c r="Y339" i="6"/>
  <c r="Y303" i="6"/>
  <c r="Y295" i="6"/>
  <c r="Y400" i="6"/>
  <c r="Y268" i="6"/>
  <c r="Y425" i="6"/>
  <c r="Y407" i="6"/>
  <c r="Y451" i="6"/>
  <c r="Y437" i="6"/>
  <c r="Y366" i="6"/>
  <c r="Y463" i="6"/>
  <c r="Y225" i="6"/>
  <c r="Y418" i="6"/>
  <c r="Y466" i="6"/>
  <c r="Y111" i="6"/>
  <c r="Y298" i="6"/>
  <c r="Y456" i="6"/>
  <c r="Y377" i="6"/>
  <c r="Y309" i="6"/>
  <c r="Y293" i="6"/>
  <c r="Y286" i="6"/>
  <c r="Y312" i="6"/>
  <c r="Y345" i="6"/>
  <c r="Y362" i="6"/>
  <c r="Y292" i="6"/>
  <c r="Y435" i="6"/>
  <c r="Y395" i="6"/>
  <c r="Y426" i="6"/>
  <c r="Y354" i="6"/>
  <c r="Y265" i="6"/>
  <c r="Y448" i="6"/>
  <c r="Y68" i="6"/>
  <c r="Y467" i="6"/>
  <c r="Y447" i="6"/>
  <c r="Y305" i="6"/>
  <c r="Y396" i="6"/>
  <c r="Y199" i="6"/>
  <c r="Y458" i="6"/>
  <c r="Y214" i="6"/>
  <c r="Y155" i="6"/>
  <c r="Y227" i="6"/>
  <c r="Y79" i="6"/>
  <c r="Y131" i="6"/>
  <c r="Y222" i="6"/>
  <c r="Y320" i="6"/>
  <c r="Y481" i="6"/>
  <c r="Y191" i="6"/>
  <c r="Y235" i="6"/>
  <c r="Y315" i="6"/>
  <c r="Y307" i="6"/>
  <c r="Y299" i="6"/>
  <c r="Y274" i="6"/>
  <c r="Y326" i="6"/>
  <c r="Y469" i="6"/>
  <c r="Y281" i="6"/>
  <c r="Y118" i="6"/>
  <c r="Y25" i="6"/>
  <c r="Y179" i="6"/>
  <c r="Y10" i="6"/>
  <c r="Y67" i="6"/>
  <c r="Y470" i="6"/>
  <c r="Y31" i="6"/>
  <c r="Y11" i="6"/>
  <c r="Y434" i="6"/>
  <c r="Y424" i="6"/>
  <c r="Y282" i="6"/>
  <c r="Y333" i="6"/>
  <c r="Y177" i="6"/>
  <c r="Y242" i="6"/>
  <c r="Y267" i="6"/>
  <c r="Y353" i="6"/>
  <c r="Y378" i="6"/>
  <c r="Y278" i="6"/>
  <c r="Y203" i="6"/>
  <c r="Y419" i="6"/>
  <c r="Y250" i="6"/>
  <c r="Y41" i="6"/>
  <c r="Y266" i="6"/>
  <c r="Y107" i="6"/>
  <c r="Y153" i="6"/>
  <c r="Y198" i="6"/>
  <c r="Y342" i="6"/>
  <c r="Y321" i="6"/>
  <c r="Y347" i="6"/>
  <c r="Y455" i="6"/>
  <c r="Y93" i="6"/>
  <c r="Y212" i="6"/>
  <c r="Y258" i="6"/>
  <c r="Y236" i="6"/>
  <c r="Y230" i="6"/>
  <c r="Y210" i="6"/>
  <c r="Y301" i="6"/>
  <c r="Y457" i="6"/>
  <c r="Y452" i="6"/>
  <c r="Y327" i="6"/>
  <c r="Y92" i="6"/>
  <c r="Y144" i="6"/>
  <c r="Y252" i="6"/>
  <c r="Y450" i="6"/>
  <c r="Y241" i="6"/>
  <c r="Y172" i="6"/>
  <c r="Y263" i="6"/>
  <c r="Y209" i="6"/>
  <c r="Y465" i="6"/>
  <c r="Y28" i="6"/>
  <c r="Y121" i="6"/>
  <c r="Y169" i="6"/>
  <c r="Y420" i="6"/>
  <c r="Y23" i="6"/>
  <c r="Y330" i="6"/>
  <c r="Y441" i="6"/>
  <c r="Y480" i="6"/>
  <c r="Y397" i="6"/>
  <c r="Y130" i="6"/>
  <c r="Y238" i="6"/>
  <c r="Y273" i="6"/>
  <c r="Y186" i="6"/>
  <c r="Y211" i="6"/>
  <c r="Y208" i="6"/>
  <c r="Y193" i="6"/>
  <c r="Y357" i="6"/>
  <c r="Y440" i="6"/>
  <c r="Y392" i="6"/>
  <c r="Y264" i="6"/>
  <c r="Y373" i="6"/>
  <c r="Y213" i="6"/>
  <c r="Y229" i="6"/>
  <c r="Y106" i="6"/>
  <c r="Y150" i="6"/>
  <c r="Y220" i="6"/>
  <c r="Y304" i="6"/>
  <c r="Y296" i="6"/>
  <c r="Y260" i="6"/>
  <c r="Y141" i="6"/>
  <c r="Y185" i="6"/>
  <c r="Y163" i="6"/>
  <c r="Y181" i="6"/>
  <c r="Y168" i="6"/>
  <c r="Y322" i="6"/>
  <c r="Y323" i="6"/>
  <c r="Y143" i="6"/>
  <c r="Y247" i="6"/>
  <c r="Y29" i="6"/>
  <c r="Y206" i="6"/>
  <c r="Y421" i="6"/>
  <c r="Y375" i="6"/>
  <c r="Y50" i="6"/>
  <c r="Y128" i="6"/>
  <c r="Y197" i="6"/>
  <c r="Y324" i="6"/>
  <c r="Y302" i="6"/>
  <c r="Y351" i="6"/>
  <c r="Y91" i="6"/>
  <c r="Y117" i="6"/>
  <c r="Y139" i="6"/>
  <c r="Y138" i="6"/>
  <c r="Y162" i="6"/>
  <c r="Y257" i="6"/>
  <c r="Y245" i="6"/>
  <c r="Y290" i="6"/>
  <c r="Y135" i="6"/>
  <c r="Y337" i="6"/>
  <c r="Y340" i="6"/>
  <c r="Y164" i="6"/>
  <c r="Y231" i="6"/>
  <c r="Y276" i="6"/>
  <c r="Y361" i="6"/>
  <c r="Y417" i="6"/>
  <c r="Y88" i="6"/>
  <c r="Y175" i="6"/>
  <c r="Y356" i="6"/>
  <c r="Y310" i="6"/>
  <c r="Y348" i="6"/>
  <c r="Y335" i="6"/>
  <c r="Y291" i="6"/>
  <c r="Y56" i="6"/>
  <c r="Y154" i="6"/>
  <c r="Y224" i="6"/>
  <c r="Y338" i="6"/>
  <c r="Y460" i="6"/>
  <c r="Y289" i="6"/>
  <c r="Y45" i="6"/>
  <c r="Y90" i="6"/>
  <c r="Y176" i="6"/>
  <c r="Y297" i="6"/>
  <c r="Y39" i="6"/>
  <c r="Y116" i="6"/>
  <c r="Y184" i="6"/>
  <c r="Y249" i="6"/>
  <c r="Y336" i="6"/>
  <c r="Y459" i="6"/>
  <c r="Y140" i="6"/>
  <c r="Y251" i="6"/>
  <c r="Y462" i="6"/>
  <c r="Y381" i="6"/>
  <c r="Y382" i="6"/>
  <c r="Y383" i="6"/>
  <c r="Y114" i="6"/>
  <c r="Y244" i="6"/>
  <c r="Y283" i="6"/>
  <c r="Y325" i="6"/>
  <c r="Y389" i="6"/>
  <c r="Y152" i="6"/>
  <c r="Y216" i="6"/>
  <c r="Y83" i="6"/>
  <c r="Y254" i="6"/>
  <c r="Y405" i="6"/>
  <c r="Y142" i="6"/>
  <c r="Y334" i="6"/>
  <c r="Y364" i="6"/>
  <c r="Y136" i="6"/>
  <c r="Y200" i="6"/>
  <c r="Y71" i="6"/>
  <c r="Y147" i="6"/>
  <c r="Y256" i="6"/>
  <c r="Y66" i="6"/>
  <c r="Y165" i="6"/>
  <c r="Y240" i="6"/>
  <c r="Y404" i="6"/>
  <c r="Z7" i="6"/>
  <c r="Z85" i="6" s="1"/>
  <c r="Y59" i="6"/>
  <c r="Y226" i="6"/>
  <c r="Y479" i="6"/>
  <c r="Y126" i="6"/>
  <c r="Y284" i="6"/>
  <c r="Y391" i="6"/>
  <c r="Y120" i="6"/>
  <c r="Y182" i="6"/>
  <c r="X5" i="6"/>
  <c r="Y63" i="6"/>
  <c r="Y94" i="6"/>
  <c r="Y95" i="6"/>
  <c r="Y96" i="6"/>
  <c r="Y428" i="6"/>
  <c r="Y98" i="6"/>
  <c r="Y287" i="6"/>
  <c r="Y21" i="6"/>
  <c r="Y187" i="6"/>
  <c r="Y436" i="6"/>
  <c r="Y64" i="6"/>
  <c r="Y151" i="6"/>
  <c r="Y271" i="6"/>
  <c r="Y19" i="6"/>
  <c r="Y233" i="6"/>
  <c r="Y80" i="6"/>
  <c r="Y328" i="6"/>
  <c r="Y217" i="6"/>
  <c r="Y319" i="6"/>
  <c r="Z32" i="6" l="1"/>
  <c r="Z33" i="6"/>
  <c r="Z34" i="6"/>
  <c r="Z35" i="6"/>
  <c r="Z408" i="6"/>
  <c r="Z170" i="6"/>
  <c r="Z171" i="6"/>
  <c r="Z385" i="6"/>
  <c r="Z386" i="6"/>
  <c r="Z387" i="6"/>
  <c r="Z388" i="6"/>
  <c r="Z157" i="6"/>
  <c r="Z158" i="6"/>
  <c r="Z159" i="6"/>
  <c r="Z160" i="6"/>
  <c r="Z161" i="6"/>
  <c r="Z363" i="6"/>
  <c r="Z454" i="6"/>
  <c r="Z270" i="6"/>
  <c r="Z269" i="6"/>
  <c r="Z74" i="6"/>
  <c r="Z409" i="6"/>
  <c r="Z410" i="6"/>
  <c r="Z411" i="6"/>
  <c r="Z412" i="6"/>
  <c r="Z413" i="6"/>
  <c r="Z414" i="6"/>
  <c r="Z415" i="6"/>
  <c r="Z471" i="6"/>
  <c r="Z472" i="6"/>
  <c r="Z473" i="6"/>
  <c r="Z474" i="6"/>
  <c r="Z475" i="6"/>
  <c r="Z476" i="6"/>
  <c r="Z190" i="6"/>
  <c r="Z52" i="6"/>
  <c r="Z53" i="6"/>
  <c r="Z54" i="6"/>
  <c r="Z489" i="6"/>
  <c r="Z492" i="6"/>
  <c r="Z487" i="6"/>
  <c r="Z493" i="6"/>
  <c r="Z494" i="6"/>
  <c r="Z490" i="6"/>
  <c r="Z488" i="6"/>
  <c r="Z491" i="6"/>
  <c r="Z195" i="6"/>
  <c r="Z485" i="6"/>
  <c r="Z486" i="6"/>
  <c r="Z202" i="6"/>
  <c r="Z184" i="6"/>
  <c r="Z370" i="6"/>
  <c r="Z429" i="6"/>
  <c r="Z430" i="6"/>
  <c r="Z431" i="6"/>
  <c r="Z432" i="6"/>
  <c r="Z433" i="6"/>
  <c r="Z135" i="6"/>
  <c r="Z329" i="6"/>
  <c r="Z99" i="6"/>
  <c r="Z100" i="6"/>
  <c r="Z101" i="6"/>
  <c r="Z168" i="6"/>
  <c r="Z12" i="6"/>
  <c r="Z367" i="6"/>
  <c r="Z76" i="6"/>
  <c r="Z348" i="6"/>
  <c r="Z313" i="6"/>
  <c r="Z453" i="6"/>
  <c r="Z306" i="6"/>
  <c r="Z13" i="6"/>
  <c r="Z349" i="6"/>
  <c r="Z456" i="6"/>
  <c r="Z435" i="6"/>
  <c r="Z275" i="6"/>
  <c r="Z447" i="6"/>
  <c r="Z144" i="6"/>
  <c r="Z477" i="6"/>
  <c r="Z137" i="6"/>
  <c r="Z42" i="6"/>
  <c r="Z154" i="6"/>
  <c r="Z128" i="6"/>
  <c r="Z61" i="6"/>
  <c r="Z389" i="6"/>
  <c r="Z23" i="6"/>
  <c r="Z83" i="6"/>
  <c r="Z8" i="6"/>
  <c r="Z466" i="6"/>
  <c r="Z359" i="6"/>
  <c r="Z321" i="6"/>
  <c r="Y5" i="6"/>
  <c r="Z396" i="6"/>
  <c r="Z249" i="6"/>
  <c r="Z50" i="6"/>
  <c r="Z116" i="6"/>
  <c r="Z352" i="6"/>
  <c r="Z65" i="6"/>
  <c r="Z296" i="6"/>
  <c r="Z63" i="6"/>
  <c r="Z88" i="6"/>
  <c r="Z350" i="6"/>
  <c r="Z302" i="6"/>
  <c r="Z127" i="6"/>
  <c r="Z147" i="6"/>
  <c r="Z285" i="6"/>
  <c r="Z252" i="6"/>
  <c r="Z354" i="6"/>
  <c r="Z89" i="6"/>
  <c r="Z244" i="6"/>
  <c r="Z235" i="6"/>
  <c r="Z284" i="6"/>
  <c r="Z259" i="6"/>
  <c r="Z311" i="6"/>
  <c r="Z417" i="6"/>
  <c r="Z263" i="6"/>
  <c r="Z212" i="6"/>
  <c r="Z398" i="6"/>
  <c r="Z355" i="6"/>
  <c r="Z258" i="6"/>
  <c r="Z276" i="6"/>
  <c r="Z347" i="6"/>
  <c r="Z239" i="6"/>
  <c r="Z419" i="6"/>
  <c r="Z134" i="6"/>
  <c r="Z379" i="6"/>
  <c r="Z118" i="6"/>
  <c r="Z278" i="6"/>
  <c r="Z86" i="6"/>
  <c r="Z331" i="6"/>
  <c r="Z334" i="6"/>
  <c r="Z340" i="6"/>
  <c r="Z251" i="6"/>
  <c r="Z255" i="6"/>
  <c r="Z481" i="6"/>
  <c r="Z437" i="6"/>
  <c r="Z121" i="6"/>
  <c r="Z37" i="6"/>
  <c r="Z143" i="6"/>
  <c r="Z459" i="6"/>
  <c r="Z238" i="6"/>
  <c r="Z371" i="6"/>
  <c r="Z338" i="6"/>
  <c r="Z245" i="6"/>
  <c r="Z362" i="6"/>
  <c r="Z316" i="6"/>
  <c r="Z114" i="6"/>
  <c r="Z62" i="6"/>
  <c r="Z298" i="6"/>
  <c r="Z402" i="6"/>
  <c r="Z484" i="6"/>
  <c r="Z43" i="6"/>
  <c r="Z345" i="6"/>
  <c r="Z380" i="6"/>
  <c r="Z204" i="6"/>
  <c r="Z344" i="6"/>
  <c r="Z464" i="6"/>
  <c r="Z25" i="6"/>
  <c r="Z262" i="6"/>
  <c r="Z51" i="6"/>
  <c r="Z364" i="6"/>
  <c r="Z450" i="6"/>
  <c r="Z289" i="6"/>
  <c r="Z214" i="6"/>
  <c r="Z440" i="6"/>
  <c r="Z56" i="6"/>
  <c r="Z353" i="6"/>
  <c r="Z369" i="6"/>
  <c r="Z179" i="6"/>
  <c r="Z404" i="6"/>
  <c r="Z314" i="6"/>
  <c r="Z31" i="6"/>
  <c r="Z228" i="6"/>
  <c r="Z112" i="6"/>
  <c r="Z111" i="6"/>
  <c r="Z291" i="6"/>
  <c r="Z282" i="6"/>
  <c r="Z325" i="6"/>
  <c r="Z223" i="6"/>
  <c r="Z222" i="6"/>
  <c r="Z219" i="6"/>
  <c r="Z151" i="6"/>
  <c r="Z292" i="6"/>
  <c r="Z73" i="6"/>
  <c r="Z318" i="6"/>
  <c r="Z109" i="6"/>
  <c r="Z444" i="6"/>
  <c r="Z70" i="6"/>
  <c r="Z317" i="6"/>
  <c r="Z403" i="6"/>
  <c r="Z197" i="6"/>
  <c r="Z425" i="6"/>
  <c r="Z29" i="6"/>
  <c r="Z279" i="6"/>
  <c r="Z339" i="6"/>
  <c r="Z372" i="6"/>
  <c r="Z196" i="6"/>
  <c r="Z322" i="6"/>
  <c r="Z93" i="6"/>
  <c r="Z81" i="6"/>
  <c r="Z327" i="6"/>
  <c r="Z326" i="6"/>
  <c r="Z418" i="6"/>
  <c r="Z189" i="6"/>
  <c r="Z188" i="6"/>
  <c r="Z185" i="6"/>
  <c r="Z438" i="6"/>
  <c r="Z119" i="6"/>
  <c r="Z293" i="6"/>
  <c r="Z248" i="6"/>
  <c r="Z84" i="6"/>
  <c r="Z95" i="6"/>
  <c r="Z97" i="6"/>
  <c r="Z207" i="6"/>
  <c r="Z203" i="6"/>
  <c r="Z286" i="6"/>
  <c r="Z395" i="6"/>
  <c r="Z178" i="6"/>
  <c r="Z45" i="6"/>
  <c r="Z44" i="6"/>
  <c r="Z241" i="6"/>
  <c r="Z240" i="6"/>
  <c r="Z373" i="6"/>
  <c r="Z174" i="6"/>
  <c r="Z173" i="6"/>
  <c r="Z169" i="6"/>
  <c r="Z400" i="6"/>
  <c r="Z102" i="6"/>
  <c r="Z261" i="6"/>
  <c r="Z15" i="6"/>
  <c r="Z232" i="6"/>
  <c r="Z49" i="6"/>
  <c r="Z94" i="6"/>
  <c r="Z72" i="6"/>
  <c r="Z250" i="6"/>
  <c r="Z236" i="6"/>
  <c r="Z281" i="6"/>
  <c r="Z423" i="6"/>
  <c r="Z164" i="6"/>
  <c r="Z351" i="6"/>
  <c r="Z420" i="6"/>
  <c r="Z205" i="6"/>
  <c r="Z434" i="6"/>
  <c r="Z47" i="6"/>
  <c r="Z304" i="6"/>
  <c r="Z360" i="6"/>
  <c r="Z256" i="6"/>
  <c r="Z272" i="6"/>
  <c r="Z162" i="6"/>
  <c r="Z323" i="6"/>
  <c r="Z27" i="6"/>
  <c r="Z26" i="6"/>
  <c r="Z225" i="6"/>
  <c r="Z224" i="6"/>
  <c r="Z480" i="6"/>
  <c r="Z156" i="6"/>
  <c r="Z155" i="6"/>
  <c r="Z152" i="6"/>
  <c r="Z300" i="6"/>
  <c r="Z92" i="6"/>
  <c r="Z324" i="6"/>
  <c r="Z397" i="6"/>
  <c r="Z216" i="6"/>
  <c r="AA7" i="6"/>
  <c r="AA85" i="6" s="1"/>
  <c r="Z90" i="6"/>
  <c r="Z341" i="6"/>
  <c r="Z478" i="6"/>
  <c r="Z138" i="6"/>
  <c r="Z265" i="6"/>
  <c r="Z187" i="6"/>
  <c r="Z246" i="6"/>
  <c r="Z457" i="6"/>
  <c r="Z104" i="6"/>
  <c r="Z247" i="6"/>
  <c r="Z465" i="6"/>
  <c r="Z145" i="6"/>
  <c r="Z307" i="6"/>
  <c r="Z299" i="6"/>
  <c r="Z280" i="6"/>
  <c r="Z209" i="6"/>
  <c r="Z208" i="6"/>
  <c r="Z460" i="6"/>
  <c r="Z140" i="6"/>
  <c r="Z139" i="6"/>
  <c r="Z136" i="6"/>
  <c r="Z333" i="6"/>
  <c r="Z254" i="6"/>
  <c r="Z390" i="6"/>
  <c r="Z200" i="6"/>
  <c r="Z17" i="6"/>
  <c r="Z130" i="6"/>
  <c r="Z376" i="6"/>
  <c r="Z229" i="6"/>
  <c r="Z441" i="6"/>
  <c r="Z266" i="6"/>
  <c r="Z180" i="6"/>
  <c r="Z19" i="6"/>
  <c r="Z231" i="6"/>
  <c r="Z448" i="6"/>
  <c r="Z129" i="6"/>
  <c r="Z277" i="6"/>
  <c r="Z267" i="6"/>
  <c r="Z368" i="6"/>
  <c r="Z192" i="6"/>
  <c r="Z191" i="6"/>
  <c r="Z443" i="6"/>
  <c r="Z124" i="6"/>
  <c r="Z123" i="6"/>
  <c r="Z120" i="6"/>
  <c r="Z301" i="6"/>
  <c r="Z75" i="6"/>
  <c r="Z421" i="6"/>
  <c r="Z182" i="6"/>
  <c r="Z14" i="6"/>
  <c r="Z406" i="6"/>
  <c r="Z483" i="6"/>
  <c r="Z220" i="6"/>
  <c r="Z58" i="6"/>
  <c r="Z122" i="6"/>
  <c r="Z163" i="6"/>
  <c r="Z153" i="6"/>
  <c r="Z346" i="6"/>
  <c r="Z257" i="6"/>
  <c r="Z38" i="6"/>
  <c r="Z115" i="6"/>
  <c r="Z268" i="6"/>
  <c r="Z393" i="6"/>
  <c r="Z215" i="6"/>
  <c r="Z113" i="6"/>
  <c r="Z330" i="6"/>
  <c r="Z328" i="6"/>
  <c r="Z297" i="6"/>
  <c r="Z176" i="6"/>
  <c r="Z175" i="6"/>
  <c r="Z426" i="6"/>
  <c r="Z107" i="6"/>
  <c r="Z106" i="6"/>
  <c r="Z103" i="6"/>
  <c r="Z271" i="6"/>
  <c r="Z16" i="6"/>
  <c r="Z233" i="6"/>
  <c r="Z422" i="6"/>
  <c r="Z166" i="6"/>
  <c r="Z462" i="6"/>
  <c r="Z381" i="6"/>
  <c r="Z382" i="6"/>
  <c r="Z383" i="6"/>
  <c r="Z230" i="6"/>
  <c r="Z461" i="6"/>
  <c r="Z198" i="6"/>
  <c r="Z287" i="6"/>
  <c r="Z67" i="6"/>
  <c r="Z243" i="6"/>
  <c r="Z242" i="6"/>
  <c r="Z482" i="6"/>
  <c r="Z416" i="6"/>
  <c r="Z66" i="6"/>
  <c r="Z342" i="6"/>
  <c r="Z217" i="6"/>
  <c r="Z469" i="6"/>
  <c r="Z149" i="6"/>
  <c r="Z68" i="6"/>
  <c r="Z79" i="6"/>
  <c r="Z427" i="6"/>
  <c r="Z91" i="6"/>
  <c r="Z446" i="6"/>
  <c r="Z10" i="6"/>
  <c r="Z303" i="6"/>
  <c r="Z237" i="6"/>
  <c r="Z407" i="6"/>
  <c r="Z181" i="6"/>
  <c r="Z332" i="6"/>
  <c r="Z46" i="6"/>
  <c r="Z227" i="6"/>
  <c r="Z226" i="6"/>
  <c r="Z463" i="6"/>
  <c r="Z142" i="6"/>
  <c r="Z141" i="6"/>
  <c r="Z295" i="6"/>
  <c r="Z60" i="6"/>
  <c r="Z59" i="6"/>
  <c r="Z55" i="6"/>
  <c r="Z253" i="6"/>
  <c r="Z394" i="6"/>
  <c r="Z201" i="6"/>
  <c r="Z452" i="6"/>
  <c r="Z133" i="6"/>
  <c r="Z57" i="6"/>
  <c r="Z96" i="6"/>
  <c r="Z377" i="6"/>
  <c r="Z467" i="6"/>
  <c r="Z80" i="6"/>
  <c r="Z30" i="6"/>
  <c r="Z199" i="6"/>
  <c r="Z98" i="6"/>
  <c r="Z48" i="6"/>
  <c r="Z165" i="6"/>
  <c r="Z28" i="6"/>
  <c r="Z210" i="6"/>
  <c r="Z445" i="6"/>
  <c r="Z126" i="6"/>
  <c r="Z125" i="6"/>
  <c r="Z335" i="6"/>
  <c r="Z41" i="6"/>
  <c r="Z39" i="6"/>
  <c r="Z36" i="6"/>
  <c r="Z9" i="6"/>
  <c r="Z183" i="6"/>
  <c r="Z436" i="6"/>
  <c r="Z117" i="6"/>
  <c r="Z40" i="6"/>
  <c r="Z343" i="6"/>
  <c r="Z206" i="6"/>
  <c r="Z455" i="6"/>
  <c r="Z310" i="6"/>
  <c r="Z336" i="6"/>
  <c r="Z378" i="6"/>
  <c r="Z357" i="6"/>
  <c r="Z479" i="6"/>
  <c r="Z146" i="6"/>
  <c r="Z308" i="6"/>
  <c r="Z384" i="6"/>
  <c r="Z71" i="6"/>
  <c r="Z458" i="6"/>
  <c r="Z105" i="6"/>
  <c r="Z468" i="6"/>
  <c r="Z148" i="6"/>
  <c r="Z337" i="6"/>
  <c r="Z375" i="6"/>
  <c r="Z194" i="6"/>
  <c r="Z193" i="6"/>
  <c r="Z428" i="6"/>
  <c r="Z110" i="6"/>
  <c r="Z108" i="6"/>
  <c r="Z312" i="6"/>
  <c r="Z22" i="6"/>
  <c r="Z21" i="6"/>
  <c r="Z18" i="6"/>
  <c r="Z234" i="6"/>
  <c r="Z260" i="6"/>
  <c r="Z167" i="6"/>
  <c r="Z392" i="6"/>
  <c r="Z82" i="6"/>
  <c r="Z24" i="6"/>
  <c r="Z356" i="6"/>
  <c r="Z305" i="6"/>
  <c r="Z374" i="6"/>
  <c r="Z401" i="6"/>
  <c r="Z366" i="6"/>
  <c r="Z294" i="6"/>
  <c r="Z131" i="6"/>
  <c r="Z273" i="6"/>
  <c r="Z11" i="6"/>
  <c r="Z213" i="6"/>
  <c r="Z439" i="6"/>
  <c r="Z320" i="6"/>
  <c r="Z365" i="6"/>
  <c r="Z172" i="6"/>
  <c r="Z290" i="6"/>
  <c r="Z211" i="6"/>
  <c r="Z449" i="6"/>
  <c r="Z319" i="6"/>
  <c r="Z221" i="6"/>
  <c r="Z442" i="6"/>
  <c r="Z309" i="6"/>
  <c r="Z399" i="6"/>
  <c r="Z186" i="6"/>
  <c r="Z424" i="6"/>
  <c r="Z20" i="6"/>
  <c r="Z451" i="6"/>
  <c r="Z132" i="6"/>
  <c r="Z315" i="6"/>
  <c r="Z391" i="6"/>
  <c r="Z177" i="6"/>
  <c r="Z78" i="6"/>
  <c r="Z361" i="6"/>
  <c r="Z87" i="6"/>
  <c r="Z69" i="6"/>
  <c r="Z274" i="6"/>
  <c r="Z264" i="6"/>
  <c r="Z358" i="6"/>
  <c r="Z405" i="6"/>
  <c r="Z218" i="6"/>
  <c r="Z470" i="6"/>
  <c r="Z150" i="6"/>
  <c r="Z283" i="6"/>
  <c r="Z64" i="6"/>
  <c r="Z77" i="6"/>
  <c r="AA32" i="6" l="1"/>
  <c r="AA33" i="6"/>
  <c r="AA34" i="6"/>
  <c r="AA35" i="6"/>
  <c r="AA408" i="6"/>
  <c r="AA170" i="6"/>
  <c r="AA171" i="6"/>
  <c r="AA385" i="6"/>
  <c r="AA386" i="6"/>
  <c r="AA387" i="6"/>
  <c r="AA388" i="6"/>
  <c r="AA157" i="6"/>
  <c r="AA158" i="6"/>
  <c r="AA159" i="6"/>
  <c r="AA160" i="6"/>
  <c r="AA161" i="6"/>
  <c r="AA363" i="6"/>
  <c r="AA454" i="6"/>
  <c r="AA270" i="6"/>
  <c r="AA269" i="6"/>
  <c r="AA74" i="6"/>
  <c r="AA409" i="6"/>
  <c r="AA410" i="6"/>
  <c r="AA411" i="6"/>
  <c r="AA412" i="6"/>
  <c r="AA413" i="6"/>
  <c r="AA414" i="6"/>
  <c r="AA415" i="6"/>
  <c r="AA471" i="6"/>
  <c r="AA472" i="6"/>
  <c r="AA473" i="6"/>
  <c r="AA474" i="6"/>
  <c r="AA475" i="6"/>
  <c r="AA476" i="6"/>
  <c r="AA190" i="6"/>
  <c r="AA52" i="6"/>
  <c r="AA53" i="6"/>
  <c r="AA54" i="6"/>
  <c r="AA489" i="6"/>
  <c r="AA492" i="6"/>
  <c r="AA487" i="6"/>
  <c r="AA493" i="6"/>
  <c r="AA494" i="6"/>
  <c r="AA490" i="6"/>
  <c r="AA488" i="6"/>
  <c r="AA491" i="6"/>
  <c r="AA195" i="6"/>
  <c r="AA486" i="6"/>
  <c r="AA485" i="6"/>
  <c r="AA429" i="6"/>
  <c r="AA430" i="6"/>
  <c r="AA431" i="6"/>
  <c r="AA432" i="6"/>
  <c r="AA433" i="6"/>
  <c r="AA329" i="6"/>
  <c r="AA100" i="6"/>
  <c r="AA101" i="6"/>
  <c r="AA99" i="6"/>
  <c r="AA400" i="6"/>
  <c r="AA272" i="6"/>
  <c r="AA367" i="6"/>
  <c r="AA348" i="6"/>
  <c r="AA139" i="6"/>
  <c r="AA55" i="6"/>
  <c r="AA440" i="6"/>
  <c r="AA39" i="6"/>
  <c r="AA384" i="6"/>
  <c r="AA132" i="6"/>
  <c r="AA368" i="6"/>
  <c r="AA297" i="6"/>
  <c r="AA120" i="6"/>
  <c r="AA23" i="6"/>
  <c r="AA332" i="6"/>
  <c r="AA11" i="6"/>
  <c r="AA98" i="6"/>
  <c r="AA110" i="6"/>
  <c r="AA219" i="6"/>
  <c r="AA324" i="6"/>
  <c r="AA141" i="6"/>
  <c r="AA165" i="6"/>
  <c r="AA92" i="6"/>
  <c r="AA280" i="6"/>
  <c r="AA291" i="6"/>
  <c r="AA253" i="6"/>
  <c r="AA312" i="6"/>
  <c r="AA350" i="6"/>
  <c r="AA66" i="6"/>
  <c r="AA316" i="6"/>
  <c r="AA186" i="6"/>
  <c r="AA201" i="6"/>
  <c r="AA154" i="6"/>
  <c r="AA238" i="6"/>
  <c r="AA273" i="6"/>
  <c r="AA292" i="6"/>
  <c r="AA179" i="6"/>
  <c r="AA81" i="6"/>
  <c r="AA108" i="6"/>
  <c r="AA284" i="6"/>
  <c r="AA49" i="6"/>
  <c r="AA89" i="6"/>
  <c r="AA338" i="6"/>
  <c r="AA29" i="6"/>
  <c r="AA466" i="6"/>
  <c r="AA133" i="6"/>
  <c r="AA206" i="6"/>
  <c r="AA105" i="6"/>
  <c r="AA13" i="6"/>
  <c r="AA365" i="6"/>
  <c r="AA131" i="6"/>
  <c r="AA196" i="6"/>
  <c r="AA396" i="6"/>
  <c r="AA376" i="6"/>
  <c r="AA389" i="6"/>
  <c r="AA254" i="6"/>
  <c r="AA152" i="6"/>
  <c r="AA402" i="6"/>
  <c r="AA102" i="6"/>
  <c r="AA149" i="6"/>
  <c r="AA452" i="6"/>
  <c r="AA362" i="6"/>
  <c r="AA150" i="6"/>
  <c r="AA407" i="6"/>
  <c r="AA416" i="6"/>
  <c r="AA121" i="6"/>
  <c r="AA28" i="6"/>
  <c r="AA70" i="6"/>
  <c r="AA364" i="6"/>
  <c r="AA228" i="6"/>
  <c r="AA94" i="6"/>
  <c r="AA183" i="6"/>
  <c r="AA75" i="6"/>
  <c r="AA204" i="6"/>
  <c r="AA274" i="6"/>
  <c r="AA441" i="6"/>
  <c r="AA361" i="6"/>
  <c r="AA184" i="6"/>
  <c r="AA318" i="6"/>
  <c r="AA209" i="6"/>
  <c r="Z5" i="6"/>
  <c r="AA462" i="6"/>
  <c r="AA381" i="6"/>
  <c r="AA382" i="6"/>
  <c r="AA383" i="6"/>
  <c r="AA241" i="6"/>
  <c r="AA333" i="6"/>
  <c r="AA339" i="6"/>
  <c r="AA392" i="6"/>
  <c r="AA311" i="6"/>
  <c r="AA394" i="6"/>
  <c r="AA65" i="6"/>
  <c r="AA64" i="6"/>
  <c r="AA181" i="6"/>
  <c r="AA282" i="6"/>
  <c r="AA351" i="6"/>
  <c r="AA450" i="6"/>
  <c r="AA295" i="6"/>
  <c r="AA162" i="6"/>
  <c r="AA17" i="6"/>
  <c r="AA398" i="6"/>
  <c r="AA221" i="6"/>
  <c r="AA281" i="6"/>
  <c r="AA58" i="6"/>
  <c r="AA218" i="6"/>
  <c r="AA449" i="6"/>
  <c r="AA143" i="6"/>
  <c r="AA465" i="6"/>
  <c r="AA44" i="6"/>
  <c r="AA278" i="6"/>
  <c r="AA373" i="6"/>
  <c r="AA136" i="6"/>
  <c r="AA285" i="6"/>
  <c r="AA334" i="6"/>
  <c r="AA463" i="6"/>
  <c r="AA403" i="6"/>
  <c r="AA38" i="6"/>
  <c r="AA37" i="6"/>
  <c r="AA259" i="6"/>
  <c r="AA313" i="6"/>
  <c r="AA304" i="6"/>
  <c r="AA428" i="6"/>
  <c r="AA360" i="6"/>
  <c r="AA22" i="6"/>
  <c r="AA177" i="6"/>
  <c r="AA30" i="6"/>
  <c r="AA322" i="6"/>
  <c r="AA208" i="6"/>
  <c r="AA236" i="6"/>
  <c r="AA41" i="6"/>
  <c r="AA226" i="6"/>
  <c r="AA243" i="6"/>
  <c r="AA122" i="6"/>
  <c r="AA216" i="6"/>
  <c r="AA256" i="6"/>
  <c r="AA293" i="6"/>
  <c r="AA59" i="6"/>
  <c r="AA188" i="6"/>
  <c r="AA252" i="6"/>
  <c r="AA185" i="6"/>
  <c r="AA372" i="6"/>
  <c r="AA8" i="6"/>
  <c r="AA114" i="6"/>
  <c r="AA153" i="6"/>
  <c r="AA169" i="6"/>
  <c r="AA266" i="6"/>
  <c r="AA439" i="6"/>
  <c r="AA10" i="6"/>
  <c r="AA390" i="6"/>
  <c r="AA375" i="6"/>
  <c r="AA123" i="6"/>
  <c r="AA250" i="6"/>
  <c r="AA357" i="6"/>
  <c r="AA330" i="6"/>
  <c r="AA308" i="6"/>
  <c r="AA80" i="6"/>
  <c r="AA14" i="6"/>
  <c r="AA283" i="6"/>
  <c r="AA172" i="6"/>
  <c r="AA248" i="6"/>
  <c r="AA25" i="6"/>
  <c r="AA247" i="6"/>
  <c r="AA378" i="6"/>
  <c r="AA84" i="6"/>
  <c r="AA223" i="6"/>
  <c r="AA479" i="6"/>
  <c r="AA467" i="6"/>
  <c r="AA142" i="6"/>
  <c r="AA78" i="6"/>
  <c r="AA197" i="6"/>
  <c r="AA277" i="6"/>
  <c r="AA353" i="6"/>
  <c r="AA438" i="6"/>
  <c r="AA484" i="6"/>
  <c r="AA379" i="6"/>
  <c r="AA93" i="6"/>
  <c r="AA232" i="6"/>
  <c r="AA237" i="6"/>
  <c r="AA296" i="6"/>
  <c r="AA427" i="6"/>
  <c r="AA303" i="6"/>
  <c r="AA21" i="6"/>
  <c r="AA224" i="6"/>
  <c r="AA459" i="6"/>
  <c r="AA140" i="6"/>
  <c r="AA344" i="6"/>
  <c r="AA423" i="6"/>
  <c r="AA111" i="6"/>
  <c r="AA129" i="6"/>
  <c r="AA352" i="6"/>
  <c r="AA50" i="6"/>
  <c r="AA359" i="6"/>
  <c r="AA249" i="6"/>
  <c r="AA374" i="6"/>
  <c r="AA460" i="6"/>
  <c r="AA63" i="6"/>
  <c r="AA234" i="6"/>
  <c r="AA358" i="6"/>
  <c r="AA319" i="6"/>
  <c r="AA470" i="6"/>
  <c r="AA202" i="6"/>
  <c r="AA113" i="6"/>
  <c r="AA442" i="6"/>
  <c r="AA178" i="6"/>
  <c r="AA125" i="6"/>
  <c r="AA468" i="6"/>
  <c r="AA137" i="6"/>
  <c r="AA151" i="6"/>
  <c r="AA327" i="6"/>
  <c r="AA275" i="6"/>
  <c r="AA455" i="6"/>
  <c r="AA314" i="6"/>
  <c r="AA230" i="6"/>
  <c r="AA336" i="6"/>
  <c r="AA425" i="6"/>
  <c r="AA60" i="6"/>
  <c r="AA212" i="6"/>
  <c r="AA451" i="6"/>
  <c r="AA130" i="6"/>
  <c r="AA315" i="6"/>
  <c r="AA18" i="6"/>
  <c r="AA12" i="6"/>
  <c r="AA227" i="6"/>
  <c r="AA343" i="6"/>
  <c r="AA448" i="6"/>
  <c r="AA109" i="6"/>
  <c r="AA349" i="6"/>
  <c r="AA67" i="6"/>
  <c r="AA229" i="6"/>
  <c r="AA47" i="6"/>
  <c r="AA340" i="6"/>
  <c r="AA419" i="6"/>
  <c r="AA418" i="6"/>
  <c r="AA175" i="6"/>
  <c r="AA437" i="6"/>
  <c r="AA176" i="6"/>
  <c r="AA447" i="6"/>
  <c r="AA420" i="6"/>
  <c r="AA404" i="6"/>
  <c r="AA405" i="6"/>
  <c r="AA187" i="6"/>
  <c r="AA370" i="6"/>
  <c r="AA393" i="6"/>
  <c r="AA126" i="6"/>
  <c r="AA287" i="6"/>
  <c r="AA426" i="6"/>
  <c r="AA144" i="6"/>
  <c r="AA156" i="6"/>
  <c r="AA9" i="6"/>
  <c r="AA246" i="6"/>
  <c r="AA435" i="6"/>
  <c r="AA138" i="6"/>
  <c r="AA86" i="6"/>
  <c r="AA302" i="6"/>
  <c r="AA77" i="6"/>
  <c r="AA445" i="6"/>
  <c r="AA326" i="6"/>
  <c r="AA194" i="6"/>
  <c r="AA341" i="6"/>
  <c r="AA265" i="6"/>
  <c r="AA200" i="6"/>
  <c r="AA57" i="6"/>
  <c r="AA310" i="6"/>
  <c r="AA16" i="6"/>
  <c r="AA215" i="6"/>
  <c r="AA395" i="6"/>
  <c r="AA182" i="6"/>
  <c r="AA235" i="6"/>
  <c r="AA320" i="6"/>
  <c r="AA444" i="6"/>
  <c r="AB7" i="6"/>
  <c r="AB85" i="6" s="1"/>
  <c r="AA469" i="6"/>
  <c r="AA146" i="6"/>
  <c r="AA233" i="6"/>
  <c r="AA337" i="6"/>
  <c r="AA483" i="6"/>
  <c r="AA91" i="6"/>
  <c r="AA251" i="6"/>
  <c r="AA43" i="6"/>
  <c r="AA481" i="6"/>
  <c r="AA242" i="6"/>
  <c r="AA355" i="6"/>
  <c r="AA294" i="6"/>
  <c r="AA325" i="6"/>
  <c r="AA446" i="6"/>
  <c r="AA72" i="6"/>
  <c r="AA164" i="6"/>
  <c r="AA207" i="6"/>
  <c r="AA307" i="6"/>
  <c r="AA306" i="6"/>
  <c r="AA458" i="6"/>
  <c r="AA380" i="6"/>
  <c r="AA61" i="6"/>
  <c r="AA119" i="6"/>
  <c r="AA255" i="6"/>
  <c r="AA342" i="6"/>
  <c r="AA300" i="6"/>
  <c r="AA173" i="6"/>
  <c r="AA180" i="6"/>
  <c r="AA298" i="6"/>
  <c r="AA27" i="6"/>
  <c r="AA205" i="6"/>
  <c r="AA87" i="6"/>
  <c r="AA68" i="6"/>
  <c r="AA262" i="6"/>
  <c r="AA76" i="6"/>
  <c r="AA399" i="6"/>
  <c r="AA48" i="6"/>
  <c r="AA264" i="6"/>
  <c r="AA417" i="6"/>
  <c r="AA26" i="6"/>
  <c r="AA104" i="6"/>
  <c r="AA267" i="6"/>
  <c r="AA134" i="6"/>
  <c r="AA263" i="6"/>
  <c r="AA90" i="6"/>
  <c r="AA213" i="6"/>
  <c r="AA46" i="6"/>
  <c r="AA198" i="6"/>
  <c r="AA424" i="6"/>
  <c r="AA346" i="6"/>
  <c r="AA42" i="6"/>
  <c r="AA166" i="6"/>
  <c r="AA115" i="6"/>
  <c r="AA323" i="6"/>
  <c r="AA436" i="6"/>
  <c r="AA31" i="6"/>
  <c r="AA88" i="6"/>
  <c r="AA106" i="6"/>
  <c r="AA222" i="6"/>
  <c r="AA317" i="6"/>
  <c r="AA107" i="6"/>
  <c r="AA97" i="6"/>
  <c r="AA276" i="6"/>
  <c r="AA421" i="6"/>
  <c r="AA191" i="6"/>
  <c r="AA331" i="6"/>
  <c r="AA69" i="6"/>
  <c r="AA51" i="6"/>
  <c r="AA192" i="6"/>
  <c r="AA461" i="6"/>
  <c r="AA391" i="6"/>
  <c r="AA480" i="6"/>
  <c r="AA347" i="6"/>
  <c r="AA225" i="6"/>
  <c r="AA299" i="6"/>
  <c r="AA366" i="6"/>
  <c r="AA345" i="6"/>
  <c r="AA56" i="6"/>
  <c r="AA116" i="6"/>
  <c r="AA220" i="6"/>
  <c r="AA279" i="6"/>
  <c r="AA135" i="6"/>
  <c r="AA79" i="6"/>
  <c r="AA271" i="6"/>
  <c r="AA211" i="6"/>
  <c r="AA155" i="6"/>
  <c r="AA335" i="6"/>
  <c r="AA231" i="6"/>
  <c r="AA477" i="6"/>
  <c r="AA289" i="6"/>
  <c r="AA118" i="6"/>
  <c r="AA167" i="6"/>
  <c r="AA290" i="6"/>
  <c r="AA62" i="6"/>
  <c r="AA210" i="6"/>
  <c r="AA168" i="6"/>
  <c r="AA112" i="6"/>
  <c r="AA257" i="6"/>
  <c r="AA244" i="6"/>
  <c r="AA245" i="6"/>
  <c r="AA73" i="6"/>
  <c r="AA377" i="6"/>
  <c r="AA145" i="6"/>
  <c r="AA422" i="6"/>
  <c r="AA401" i="6"/>
  <c r="AA147" i="6"/>
  <c r="AA482" i="6"/>
  <c r="AA371" i="6"/>
  <c r="AA127" i="6"/>
  <c r="AA268" i="6"/>
  <c r="AA15" i="6"/>
  <c r="AA309" i="6"/>
  <c r="AA464" i="6"/>
  <c r="AA406" i="6"/>
  <c r="AA71" i="6"/>
  <c r="AA148" i="6"/>
  <c r="AA199" i="6"/>
  <c r="AA217" i="6"/>
  <c r="AA456" i="6"/>
  <c r="AA369" i="6"/>
  <c r="AA24" i="6"/>
  <c r="AA103" i="6"/>
  <c r="AA193" i="6"/>
  <c r="AA328" i="6"/>
  <c r="AA117" i="6"/>
  <c r="AA203" i="6"/>
  <c r="AA174" i="6"/>
  <c r="AA354" i="6"/>
  <c r="AA36" i="6"/>
  <c r="AA19" i="6"/>
  <c r="AA96" i="6"/>
  <c r="AA163" i="6"/>
  <c r="AA453" i="6"/>
  <c r="AA301" i="6"/>
  <c r="AA305" i="6"/>
  <c r="AA128" i="6"/>
  <c r="AA261" i="6"/>
  <c r="AA443" i="6"/>
  <c r="AA40" i="6"/>
  <c r="AA258" i="6"/>
  <c r="AA189" i="6"/>
  <c r="AA240" i="6"/>
  <c r="AA434" i="6"/>
  <c r="AA478" i="6"/>
  <c r="AA397" i="6"/>
  <c r="AA82" i="6"/>
  <c r="AA260" i="6"/>
  <c r="AA214" i="6"/>
  <c r="AA83" i="6"/>
  <c r="AA45" i="6"/>
  <c r="AA321" i="6"/>
  <c r="AA457" i="6"/>
  <c r="AA124" i="6"/>
  <c r="AA356" i="6"/>
  <c r="AA20" i="6"/>
  <c r="AA286" i="6"/>
  <c r="AA239" i="6"/>
  <c r="AA95" i="6"/>
  <c r="AB32" i="6" l="1"/>
  <c r="AB33" i="6"/>
  <c r="AB34" i="6"/>
  <c r="AB35" i="6"/>
  <c r="AB408" i="6"/>
  <c r="AB170" i="6"/>
  <c r="AB171" i="6"/>
  <c r="AB385" i="6"/>
  <c r="AB388" i="6"/>
  <c r="AB386" i="6"/>
  <c r="AB387" i="6"/>
  <c r="AB157" i="6"/>
  <c r="AB158" i="6"/>
  <c r="AB159" i="6"/>
  <c r="AB160" i="6"/>
  <c r="AB161" i="6"/>
  <c r="AB363" i="6"/>
  <c r="AB454" i="6"/>
  <c r="AB269" i="6"/>
  <c r="AB270" i="6"/>
  <c r="AB74" i="6"/>
  <c r="AB409" i="6"/>
  <c r="AB410" i="6"/>
  <c r="AB411" i="6"/>
  <c r="AB412" i="6"/>
  <c r="AB413" i="6"/>
  <c r="AB414" i="6"/>
  <c r="AB415" i="6"/>
  <c r="AB471" i="6"/>
  <c r="AB472" i="6"/>
  <c r="AB473" i="6"/>
  <c r="AB474" i="6"/>
  <c r="AB475" i="6"/>
  <c r="AB476" i="6"/>
  <c r="AB190" i="6"/>
  <c r="AB52" i="6"/>
  <c r="AB53" i="6"/>
  <c r="AB54" i="6"/>
  <c r="AB489" i="6"/>
  <c r="AB492" i="6"/>
  <c r="AB487" i="6"/>
  <c r="AB493" i="6"/>
  <c r="AB494" i="6"/>
  <c r="AB490" i="6"/>
  <c r="AB488" i="6"/>
  <c r="AB491" i="6"/>
  <c r="AB195" i="6"/>
  <c r="AB486" i="6"/>
  <c r="AB485" i="6"/>
  <c r="AB325" i="6"/>
  <c r="AB432" i="6"/>
  <c r="AB431" i="6"/>
  <c r="AB429" i="6"/>
  <c r="AB430" i="6"/>
  <c r="AB433" i="6"/>
  <c r="AB444" i="6"/>
  <c r="AB329" i="6"/>
  <c r="AB99" i="6"/>
  <c r="AB100" i="6"/>
  <c r="AB101" i="6"/>
  <c r="AB128" i="6"/>
  <c r="AB166" i="6"/>
  <c r="AB367" i="6"/>
  <c r="AB368" i="6"/>
  <c r="AB223" i="6"/>
  <c r="AB169" i="6"/>
  <c r="AB308" i="6"/>
  <c r="AB309" i="6"/>
  <c r="AB319" i="6"/>
  <c r="AB242" i="6"/>
  <c r="AB64" i="6"/>
  <c r="AB428" i="6"/>
  <c r="AB56" i="6"/>
  <c r="AB47" i="6"/>
  <c r="AB72" i="6"/>
  <c r="AB372" i="6"/>
  <c r="AB39" i="6"/>
  <c r="AB31" i="6"/>
  <c r="AB112" i="6"/>
  <c r="AB238" i="6"/>
  <c r="AB134" i="6"/>
  <c r="AB186" i="6"/>
  <c r="AB289" i="6"/>
  <c r="AB272" i="6"/>
  <c r="AB17" i="6"/>
  <c r="AB351" i="6"/>
  <c r="AB222" i="6"/>
  <c r="AB440" i="6"/>
  <c r="AB483" i="6"/>
  <c r="AB357" i="6"/>
  <c r="AB115" i="6"/>
  <c r="AB421" i="6"/>
  <c r="AB130" i="6"/>
  <c r="AB254" i="6"/>
  <c r="AB121" i="6"/>
  <c r="AB285" i="6"/>
  <c r="AB373" i="6"/>
  <c r="AB267" i="6"/>
  <c r="AB87" i="6"/>
  <c r="AB335" i="6"/>
  <c r="AB164" i="6"/>
  <c r="AB69" i="6"/>
  <c r="AB482" i="6"/>
  <c r="AB24" i="6"/>
  <c r="AB425" i="6"/>
  <c r="AB455" i="6"/>
  <c r="AB406" i="6"/>
  <c r="AB356" i="6"/>
  <c r="AB328" i="6"/>
  <c r="AB353" i="6"/>
  <c r="AB442" i="6"/>
  <c r="AB314" i="6"/>
  <c r="AB103" i="6"/>
  <c r="AB439" i="6"/>
  <c r="AB221" i="6"/>
  <c r="AB311" i="6"/>
  <c r="AB172" i="6"/>
  <c r="AB348" i="6"/>
  <c r="AB79" i="6"/>
  <c r="AB110" i="6"/>
  <c r="AB332" i="6"/>
  <c r="AB187" i="6"/>
  <c r="AB62" i="6"/>
  <c r="AB407" i="6"/>
  <c r="AB271" i="6"/>
  <c r="AB250" i="6"/>
  <c r="AB310" i="6"/>
  <c r="AB424" i="6"/>
  <c r="AB156" i="6"/>
  <c r="AB116" i="6"/>
  <c r="AB317" i="6"/>
  <c r="AB394" i="6"/>
  <c r="AB23" i="6"/>
  <c r="AB206" i="6"/>
  <c r="AB138" i="6"/>
  <c r="AB173" i="6"/>
  <c r="AB45" i="6"/>
  <c r="AB243" i="6"/>
  <c r="AB144" i="6"/>
  <c r="AB178" i="6"/>
  <c r="AB132" i="6"/>
  <c r="AB301" i="6"/>
  <c r="AB113" i="6"/>
  <c r="AB362" i="6"/>
  <c r="AB89" i="6"/>
  <c r="AB111" i="6"/>
  <c r="AB107" i="6"/>
  <c r="AB448" i="6"/>
  <c r="AB29" i="6"/>
  <c r="AB106" i="6"/>
  <c r="AB376" i="6"/>
  <c r="AB71" i="6"/>
  <c r="AB423" i="6"/>
  <c r="AB137" i="6"/>
  <c r="AB135" i="6"/>
  <c r="AB390" i="6"/>
  <c r="AB13" i="6"/>
  <c r="AB284" i="6"/>
  <c r="AB342" i="6"/>
  <c r="AB61" i="6"/>
  <c r="AB331" i="6"/>
  <c r="AB354" i="6"/>
  <c r="AB77" i="6"/>
  <c r="AB102" i="6"/>
  <c r="AB194" i="6"/>
  <c r="AB248" i="6"/>
  <c r="AB151" i="6"/>
  <c r="AB217" i="6"/>
  <c r="AB249" i="6"/>
  <c r="AB226" i="6"/>
  <c r="AB44" i="6"/>
  <c r="AB225" i="6"/>
  <c r="AB155" i="6"/>
  <c r="AB316" i="6"/>
  <c r="AB437" i="6"/>
  <c r="AB205" i="6"/>
  <c r="AB11" i="6"/>
  <c r="AB251" i="6"/>
  <c r="AB466" i="6"/>
  <c r="AB338" i="6"/>
  <c r="AB76" i="6"/>
  <c r="AB403" i="6"/>
  <c r="AB78" i="6"/>
  <c r="AB60" i="6"/>
  <c r="AB422" i="6"/>
  <c r="AB358" i="6"/>
  <c r="AB202" i="6"/>
  <c r="AB59" i="6"/>
  <c r="AB49" i="6"/>
  <c r="AB320" i="6"/>
  <c r="AB392" i="6"/>
  <c r="AB28" i="6"/>
  <c r="AB209" i="6"/>
  <c r="AB208" i="6"/>
  <c r="AB300" i="6"/>
  <c r="AB366" i="6"/>
  <c r="AB88" i="6"/>
  <c r="AB458" i="6"/>
  <c r="AB235" i="6"/>
  <c r="AB404" i="6"/>
  <c r="AB80" i="6"/>
  <c r="AB452" i="6"/>
  <c r="AB481" i="6"/>
  <c r="AB233" i="6"/>
  <c r="AB9" i="6"/>
  <c r="AB109" i="6"/>
  <c r="AB55" i="6"/>
  <c r="AB192" i="6"/>
  <c r="AB461" i="6"/>
  <c r="AB478" i="6"/>
  <c r="AB259" i="6"/>
  <c r="AB375" i="6"/>
  <c r="AB303" i="6"/>
  <c r="AB108" i="6"/>
  <c r="AB295" i="6"/>
  <c r="AB67" i="6"/>
  <c r="AB42" i="6"/>
  <c r="AB445" i="6"/>
  <c r="AB191" i="6"/>
  <c r="AB219" i="6"/>
  <c r="AB63" i="6"/>
  <c r="AB129" i="6"/>
  <c r="AB104" i="6"/>
  <c r="AB168" i="6"/>
  <c r="AB163" i="6"/>
  <c r="AB265" i="6"/>
  <c r="AB152" i="6"/>
  <c r="AB21" i="6"/>
  <c r="AB203" i="6"/>
  <c r="AB449" i="6"/>
  <c r="AB46" i="6"/>
  <c r="AB257" i="6"/>
  <c r="AB266" i="6"/>
  <c r="AB12" i="6"/>
  <c r="AB484" i="6"/>
  <c r="AB218" i="6"/>
  <c r="AB377" i="6"/>
  <c r="AB211" i="6"/>
  <c r="AB43" i="6"/>
  <c r="AB426" i="6"/>
  <c r="AB352" i="6"/>
  <c r="AB369" i="6"/>
  <c r="AB92" i="6"/>
  <c r="AB91" i="6"/>
  <c r="AB147" i="6"/>
  <c r="AB346" i="6"/>
  <c r="AB10" i="6"/>
  <c r="AB252" i="6"/>
  <c r="AB122" i="6"/>
  <c r="AB416" i="6"/>
  <c r="AB30" i="6"/>
  <c r="AB347" i="6"/>
  <c r="AB241" i="6"/>
  <c r="AB83" i="6"/>
  <c r="AB283" i="6"/>
  <c r="AB148" i="6"/>
  <c r="AB419" i="6"/>
  <c r="AB18" i="6"/>
  <c r="AB201" i="6"/>
  <c r="AB417" i="6"/>
  <c r="AB27" i="6"/>
  <c r="AB336" i="6"/>
  <c r="AB447" i="6"/>
  <c r="AB365" i="6"/>
  <c r="AB73" i="6"/>
  <c r="AB165" i="6"/>
  <c r="AB264" i="6"/>
  <c r="AB434" i="6"/>
  <c r="AB236" i="6"/>
  <c r="AB86" i="6"/>
  <c r="AB355" i="6"/>
  <c r="AB14" i="6"/>
  <c r="AB294" i="6"/>
  <c r="AB193" i="6"/>
  <c r="AB443" i="6"/>
  <c r="AB374" i="6"/>
  <c r="AB105" i="6"/>
  <c r="AB435" i="6"/>
  <c r="AB339" i="6"/>
  <c r="AB66" i="6"/>
  <c r="AB450" i="6"/>
  <c r="AB321" i="6"/>
  <c r="AB378" i="6"/>
  <c r="AB57" i="6"/>
  <c r="AB139" i="6"/>
  <c r="AB220" i="6"/>
  <c r="AB364" i="6"/>
  <c r="AB393" i="6"/>
  <c r="AB287" i="6"/>
  <c r="AB420" i="6"/>
  <c r="AB389" i="6"/>
  <c r="AB453" i="6"/>
  <c r="AB305" i="6"/>
  <c r="AB465" i="6"/>
  <c r="AB464" i="6"/>
  <c r="AB40" i="6"/>
  <c r="AB255" i="6"/>
  <c r="AB162" i="6"/>
  <c r="AB345" i="6"/>
  <c r="AB204" i="6"/>
  <c r="AB451" i="6"/>
  <c r="AB324" i="6"/>
  <c r="AB398" i="6"/>
  <c r="AB323" i="6"/>
  <c r="AB337" i="6"/>
  <c r="AB36" i="6"/>
  <c r="AB19" i="6"/>
  <c r="AB232" i="6"/>
  <c r="AB247" i="6"/>
  <c r="AB307" i="6"/>
  <c r="AB322" i="6"/>
  <c r="AB477" i="6"/>
  <c r="AB298" i="6"/>
  <c r="AB344" i="6"/>
  <c r="AB20" i="6"/>
  <c r="AB405" i="6"/>
  <c r="AB216" i="6"/>
  <c r="AB231" i="6"/>
  <c r="AB291" i="6"/>
  <c r="AB306" i="6"/>
  <c r="AB38" i="6"/>
  <c r="AB327" i="6"/>
  <c r="AB200" i="6"/>
  <c r="AB274" i="6"/>
  <c r="AB290" i="6"/>
  <c r="AB468" i="6"/>
  <c r="AB184" i="6"/>
  <c r="AB118" i="6"/>
  <c r="AB136" i="6"/>
  <c r="AB93" i="6"/>
  <c r="AB260" i="6"/>
  <c r="AB120" i="6"/>
  <c r="AB75" i="6"/>
  <c r="AB174" i="6"/>
  <c r="AB441" i="6"/>
  <c r="AB207" i="6"/>
  <c r="AB330" i="6"/>
  <c r="AB22" i="6"/>
  <c r="AB131" i="6"/>
  <c r="AB313" i="6"/>
  <c r="AB399" i="6"/>
  <c r="AB182" i="6"/>
  <c r="AB199" i="6"/>
  <c r="AB133" i="6"/>
  <c r="AB273" i="6"/>
  <c r="AB215" i="6"/>
  <c r="AB286" i="6"/>
  <c r="AB456" i="6"/>
  <c r="AB234" i="6"/>
  <c r="AB26" i="6"/>
  <c r="AB349" i="6"/>
  <c r="AB58" i="6"/>
  <c r="AB256" i="6"/>
  <c r="AB370" i="6"/>
  <c r="AB189" i="6"/>
  <c r="AB315" i="6"/>
  <c r="AB359" i="6"/>
  <c r="AB153" i="6"/>
  <c r="AB297" i="6"/>
  <c r="AB296" i="6"/>
  <c r="AB469" i="6"/>
  <c r="AB181" i="6"/>
  <c r="AB198" i="6"/>
  <c r="AB125" i="6"/>
  <c r="AA5" i="6"/>
  <c r="AB350" i="6"/>
  <c r="AB341" i="6"/>
  <c r="AB50" i="6"/>
  <c r="AB304" i="6"/>
  <c r="AB244" i="6"/>
  <c r="AB140" i="6"/>
  <c r="AB277" i="6"/>
  <c r="AB268" i="6"/>
  <c r="AB384" i="6"/>
  <c r="AB117" i="6"/>
  <c r="AB126" i="6"/>
  <c r="AB380" i="6"/>
  <c r="AB228" i="6"/>
  <c r="AB333" i="6"/>
  <c r="AB25" i="6"/>
  <c r="AB240" i="6"/>
  <c r="AB463" i="6"/>
  <c r="AB154" i="6"/>
  <c r="AB299" i="6"/>
  <c r="AB281" i="6"/>
  <c r="AB253" i="6"/>
  <c r="AB280" i="6"/>
  <c r="AB279" i="6"/>
  <c r="AB82" i="6"/>
  <c r="AB180" i="6"/>
  <c r="AB142" i="6"/>
  <c r="AB263" i="6"/>
  <c r="AB379" i="6"/>
  <c r="AB210" i="6"/>
  <c r="AB143" i="6"/>
  <c r="AB258" i="6"/>
  <c r="AB479" i="6"/>
  <c r="AB227" i="6"/>
  <c r="AB457" i="6"/>
  <c r="AB212" i="6"/>
  <c r="AB302" i="6"/>
  <c r="AB371" i="6"/>
  <c r="AB224" i="6"/>
  <c r="AB438" i="6"/>
  <c r="AB90" i="6"/>
  <c r="AB282" i="6"/>
  <c r="AB176" i="6"/>
  <c r="AB237" i="6"/>
  <c r="AB262" i="6"/>
  <c r="AB261" i="6"/>
  <c r="AB480" i="6"/>
  <c r="AB395" i="6"/>
  <c r="AB81" i="6"/>
  <c r="AB98" i="6"/>
  <c r="AB462" i="6"/>
  <c r="AB381" i="6"/>
  <c r="AB382" i="6"/>
  <c r="AB383" i="6"/>
  <c r="AB185" i="6"/>
  <c r="AB340" i="6"/>
  <c r="AB65" i="6"/>
  <c r="AB292" i="6"/>
  <c r="AB15" i="6"/>
  <c r="AB150" i="6"/>
  <c r="AB245" i="6"/>
  <c r="AB96" i="6"/>
  <c r="AB48" i="6"/>
  <c r="AB275" i="6"/>
  <c r="AB397" i="6"/>
  <c r="AB175" i="6"/>
  <c r="AB460" i="6"/>
  <c r="AB229" i="6"/>
  <c r="AB95" i="6"/>
  <c r="AB141" i="6"/>
  <c r="AB402" i="6"/>
  <c r="AB119" i="6"/>
  <c r="AB396" i="6"/>
  <c r="AB213" i="6"/>
  <c r="AB94" i="6"/>
  <c r="AB70" i="6"/>
  <c r="AB123" i="6"/>
  <c r="AB343" i="6"/>
  <c r="AB68" i="6"/>
  <c r="AB293" i="6"/>
  <c r="AB16" i="6"/>
  <c r="AB391" i="6"/>
  <c r="AB246" i="6"/>
  <c r="AB197" i="6"/>
  <c r="AB37" i="6"/>
  <c r="AB326" i="6"/>
  <c r="AB51" i="6"/>
  <c r="AB276" i="6"/>
  <c r="AB401" i="6"/>
  <c r="AB230" i="6"/>
  <c r="AB446" i="6"/>
  <c r="AB179" i="6"/>
  <c r="AB188" i="6"/>
  <c r="AB361" i="6"/>
  <c r="AB145" i="6"/>
  <c r="AB114" i="6"/>
  <c r="AB84" i="6"/>
  <c r="AB278" i="6"/>
  <c r="AB467" i="6"/>
  <c r="AB334" i="6"/>
  <c r="AB183" i="6"/>
  <c r="AB427" i="6"/>
  <c r="AB177" i="6"/>
  <c r="AB470" i="6"/>
  <c r="AB196" i="6"/>
  <c r="AB318" i="6"/>
  <c r="AB41" i="6"/>
  <c r="AB124" i="6"/>
  <c r="AB360" i="6"/>
  <c r="AB239" i="6"/>
  <c r="AB436" i="6"/>
  <c r="AB146" i="6"/>
  <c r="AB459" i="6"/>
  <c r="AB418" i="6"/>
  <c r="AB167" i="6"/>
  <c r="AB312" i="6"/>
  <c r="AB149" i="6"/>
  <c r="AB8" i="6"/>
  <c r="AB127" i="6"/>
  <c r="AB400" i="6"/>
  <c r="AB214" i="6"/>
  <c r="AB97" i="6"/>
  <c r="AB5" i="6" l="1"/>
</calcChain>
</file>

<file path=xl/sharedStrings.xml><?xml version="1.0" encoding="utf-8"?>
<sst xmlns="http://schemas.openxmlformats.org/spreadsheetml/2006/main" count="4731" uniqueCount="2074">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</sst>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3"/>
  <sheetViews>
    <sheetView tabSelected="1" zoomScaleNormal="100" workbookViewId="0">
      <pane ySplit="7" topLeftCell="A272" activePane="bottomLeft" state="frozen"/>
      <selection pane="bottomLeft" activeCell="AD286" sqref="AD286:AI292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121</v>
      </c>
      <c r="F3" s="5">
        <f>+AD6</f>
        <v>107</v>
      </c>
      <c r="G3" s="5">
        <f>+AF6</f>
        <v>102</v>
      </c>
      <c r="H3" s="5">
        <f>+E3-G3</f>
        <v>19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326</v>
      </c>
      <c r="F4" s="7">
        <f>+AE6</f>
        <v>165</v>
      </c>
      <c r="G4" s="7">
        <f>+AG6</f>
        <v>148</v>
      </c>
      <c r="H4" s="5">
        <f>+E4-G4</f>
        <v>178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447</v>
      </c>
      <c r="F5" s="8">
        <f>+F3+F4</f>
        <v>272</v>
      </c>
      <c r="G5" s="8">
        <f>+G3+G4</f>
        <v>250</v>
      </c>
      <c r="H5" s="8">
        <f>+H3+H4</f>
        <v>197</v>
      </c>
      <c r="I5" s="30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SUM(S8:S2436)</f>
        <v>59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30</v>
      </c>
      <c r="AA5" s="9">
        <f t="shared" si="0"/>
        <v>17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SUM(AD8:AD1705)</f>
        <v>107</v>
      </c>
      <c r="AE6" s="1">
        <f t="shared" si="1"/>
        <v>165</v>
      </c>
      <c r="AF6" s="1">
        <f t="shared" si="1"/>
        <v>102</v>
      </c>
      <c r="AG6" s="1">
        <f t="shared" si="1"/>
        <v>148</v>
      </c>
      <c r="AH6" s="1">
        <f t="shared" si="1"/>
        <v>121</v>
      </c>
      <c r="AI6" s="1">
        <f t="shared" si="1"/>
        <v>326</v>
      </c>
    </row>
    <row r="7" spans="1:35" s="69" customFormat="1" ht="14.25" customHeight="1" x14ac:dyDescent="0.25">
      <c r="A7" s="27" t="s">
        <v>1371</v>
      </c>
      <c r="B7" s="27" t="s">
        <v>1372</v>
      </c>
      <c r="C7" s="27" t="s">
        <v>1373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29" t="s">
        <v>1375</v>
      </c>
      <c r="N7" s="28" t="s">
        <v>0</v>
      </c>
      <c r="O7" s="18" t="s">
        <v>1</v>
      </c>
      <c r="P7" s="18" t="s">
        <v>2</v>
      </c>
      <c r="Q7" s="29" t="s">
        <v>1881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125</v>
      </c>
      <c r="E8" s="32" t="s">
        <v>907</v>
      </c>
      <c r="F8" s="32" t="s">
        <v>325</v>
      </c>
      <c r="G8" s="32" t="s">
        <v>178</v>
      </c>
      <c r="H8" s="32" t="s">
        <v>354</v>
      </c>
      <c r="I8" s="31" t="s">
        <v>472</v>
      </c>
      <c r="J8" s="31">
        <v>1</v>
      </c>
      <c r="K8" s="33" t="s">
        <v>733</v>
      </c>
      <c r="L8" s="33">
        <v>200</v>
      </c>
      <c r="M8" s="34" t="s">
        <v>39</v>
      </c>
      <c r="N8" s="34" t="s">
        <v>1743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71" si="3">+O8*P8*(1-A8)</f>
        <v>0</v>
      </c>
      <c r="AG8" s="1">
        <f t="shared" ref="AG8:AG71" si="4">O8*(1-P8)*(1-A8)</f>
        <v>1</v>
      </c>
      <c r="AH8" s="1">
        <f t="shared" ref="AH8:AH71" si="5">+P8*(1-A8)</f>
        <v>0</v>
      </c>
      <c r="AI8" s="1">
        <f t="shared" ref="AI8:AI71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1591</v>
      </c>
      <c r="E9" s="32" t="s">
        <v>171</v>
      </c>
      <c r="F9" s="32" t="s">
        <v>1541</v>
      </c>
      <c r="G9" s="32" t="s">
        <v>39</v>
      </c>
      <c r="H9" s="32" t="s">
        <v>363</v>
      </c>
      <c r="I9" s="31" t="s">
        <v>1542</v>
      </c>
      <c r="J9" s="31">
        <v>99</v>
      </c>
      <c r="K9" s="33" t="s">
        <v>964</v>
      </c>
      <c r="L9" s="33" t="s">
        <v>1701</v>
      </c>
      <c r="M9" s="34" t="s">
        <v>1379</v>
      </c>
      <c r="N9" s="34" t="s">
        <v>1727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150</v>
      </c>
      <c r="E10" s="45" t="s">
        <v>171</v>
      </c>
      <c r="F10" s="45" t="s">
        <v>351</v>
      </c>
      <c r="G10" s="45" t="s">
        <v>178</v>
      </c>
      <c r="H10" s="45" t="s">
        <v>354</v>
      </c>
      <c r="I10" s="44" t="s">
        <v>497</v>
      </c>
      <c r="J10" s="44">
        <v>1</v>
      </c>
      <c r="K10" s="46" t="s">
        <v>964</v>
      </c>
      <c r="L10" s="46" t="s">
        <v>1702</v>
      </c>
      <c r="M10" s="47" t="s">
        <v>1376</v>
      </c>
      <c r="N10" s="47" t="s">
        <v>1747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1032</v>
      </c>
      <c r="E11" s="32" t="s">
        <v>174</v>
      </c>
      <c r="F11" s="32" t="s">
        <v>1090</v>
      </c>
      <c r="G11" s="32" t="s">
        <v>39</v>
      </c>
      <c r="H11" s="32" t="s">
        <v>1033</v>
      </c>
      <c r="I11" s="31" t="s">
        <v>1112</v>
      </c>
      <c r="J11" s="31">
        <v>16</v>
      </c>
      <c r="K11" s="33" t="s">
        <v>962</v>
      </c>
      <c r="L11" s="33">
        <v>45</v>
      </c>
      <c r="M11" s="34" t="s">
        <v>1377</v>
      </c>
      <c r="N11" s="34" t="s">
        <v>1825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117</v>
      </c>
      <c r="E12" s="45" t="s">
        <v>171</v>
      </c>
      <c r="F12" s="45" t="s">
        <v>316</v>
      </c>
      <c r="G12" s="45" t="s">
        <v>317</v>
      </c>
      <c r="H12" s="45" t="s">
        <v>354</v>
      </c>
      <c r="I12" s="44" t="s">
        <v>464</v>
      </c>
      <c r="J12" s="44">
        <v>8</v>
      </c>
      <c r="K12" s="46" t="s">
        <v>966</v>
      </c>
      <c r="L12" s="46" t="s">
        <v>1705</v>
      </c>
      <c r="M12" s="47" t="s">
        <v>1119</v>
      </c>
      <c r="N12" s="47" t="s">
        <v>1736</v>
      </c>
      <c r="O12" s="48"/>
      <c r="P12" s="48"/>
      <c r="Q12" s="45"/>
      <c r="S12" s="1">
        <f t="shared" ref="S12:S75" si="7">IF(J12=$S$7,1,0)</f>
        <v>0</v>
      </c>
      <c r="T12" s="1">
        <f t="shared" ref="T12:T75" si="8">IF(J12=$T$7,1,0)</f>
        <v>0</v>
      </c>
      <c r="U12" s="1">
        <f t="shared" ref="U12:U75" si="9">IF(J12=$U$7,1,0)</f>
        <v>0</v>
      </c>
      <c r="V12" s="1">
        <f t="shared" ref="V12:V75" si="10">IF(J12=$V$7,1,0)</f>
        <v>0</v>
      </c>
      <c r="W12" s="1">
        <f t="shared" ref="W12:W75" si="11">IF(J12=$W$7,1,0)</f>
        <v>0</v>
      </c>
      <c r="X12" s="1">
        <f t="shared" ref="X12:X75" si="12">IF(J12=$X$7,1,0)</f>
        <v>0</v>
      </c>
      <c r="Y12" s="1">
        <f t="shared" ref="Y12:Y75" si="13">IF(J12=$Y$7,1,0)</f>
        <v>0</v>
      </c>
      <c r="Z12" s="1">
        <f t="shared" ref="Z12:Z75" si="14">IF(J12=$Z$7,1,0)</f>
        <v>1</v>
      </c>
      <c r="AA12" s="1">
        <f t="shared" ref="AA12:AA75" si="15">IF(J12=$AA$7,1,0)</f>
        <v>0</v>
      </c>
      <c r="AB12" s="1">
        <f t="shared" ref="AB12:AB75" si="16">IF(J12=$AB$7,1,0)</f>
        <v>0</v>
      </c>
      <c r="AD12" s="1">
        <f t="shared" ref="AD12:AD71" si="17">+O12*P12</f>
        <v>0</v>
      </c>
      <c r="AE12" s="1">
        <f t="shared" ref="AE12:AE71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140</v>
      </c>
      <c r="E13" s="45" t="s">
        <v>171</v>
      </c>
      <c r="F13" s="45" t="s">
        <v>340</v>
      </c>
      <c r="G13" s="45" t="s">
        <v>341</v>
      </c>
      <c r="H13" s="45" t="s">
        <v>354</v>
      </c>
      <c r="I13" s="44" t="s">
        <v>488</v>
      </c>
      <c r="J13" s="44">
        <v>10</v>
      </c>
      <c r="K13" s="46" t="s">
        <v>964</v>
      </c>
      <c r="L13" s="46" t="s">
        <v>1706</v>
      </c>
      <c r="M13" s="47" t="s">
        <v>1119</v>
      </c>
      <c r="N13" s="47" t="s">
        <v>1736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25">
      <c r="A14" s="44">
        <v>0</v>
      </c>
      <c r="B14" s="44">
        <v>1</v>
      </c>
      <c r="C14" s="44">
        <v>1</v>
      </c>
      <c r="D14" s="45" t="s">
        <v>534</v>
      </c>
      <c r="E14" s="45" t="s">
        <v>171</v>
      </c>
      <c r="F14" s="45" t="s">
        <v>1293</v>
      </c>
      <c r="G14" s="45" t="s">
        <v>240</v>
      </c>
      <c r="H14" s="45" t="s">
        <v>354</v>
      </c>
      <c r="I14" s="44" t="s">
        <v>1360</v>
      </c>
      <c r="J14" s="44">
        <v>1</v>
      </c>
      <c r="K14" s="46" t="s">
        <v>960</v>
      </c>
      <c r="L14" s="46" t="s">
        <v>1708</v>
      </c>
      <c r="M14" s="47" t="s">
        <v>1378</v>
      </c>
      <c r="N14" s="47" t="s">
        <v>1739</v>
      </c>
      <c r="O14" s="48"/>
      <c r="P14" s="48"/>
      <c r="Q14" s="45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116</v>
      </c>
      <c r="E15" s="45" t="s">
        <v>171</v>
      </c>
      <c r="F15" s="45" t="s">
        <v>315</v>
      </c>
      <c r="G15" s="45" t="s">
        <v>186</v>
      </c>
      <c r="H15" s="45" t="s">
        <v>354</v>
      </c>
      <c r="I15" s="44" t="s">
        <v>463</v>
      </c>
      <c r="J15" s="44">
        <v>1</v>
      </c>
      <c r="K15" s="46" t="s">
        <v>964</v>
      </c>
      <c r="L15" s="46" t="s">
        <v>1706</v>
      </c>
      <c r="M15" s="47" t="s">
        <v>1119</v>
      </c>
      <c r="N15" s="47" t="s">
        <v>1747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110</v>
      </c>
      <c r="E16" s="39" t="s">
        <v>171</v>
      </c>
      <c r="F16" s="39" t="s">
        <v>309</v>
      </c>
      <c r="G16" s="39" t="s">
        <v>213</v>
      </c>
      <c r="H16" s="39" t="s">
        <v>354</v>
      </c>
      <c r="I16" s="38" t="s">
        <v>458</v>
      </c>
      <c r="J16" s="38">
        <v>1</v>
      </c>
      <c r="K16" s="40" t="s">
        <v>1698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120</v>
      </c>
      <c r="E17" s="45" t="s">
        <v>681</v>
      </c>
      <c r="F17" s="45" t="s">
        <v>1091</v>
      </c>
      <c r="G17" s="45" t="s">
        <v>39</v>
      </c>
      <c r="H17" s="45" t="s">
        <v>355</v>
      </c>
      <c r="I17" s="44" t="s">
        <v>1113</v>
      </c>
      <c r="J17" s="44">
        <v>11</v>
      </c>
      <c r="K17" s="46" t="s">
        <v>966</v>
      </c>
      <c r="L17" s="46" t="s">
        <v>1714</v>
      </c>
      <c r="M17" s="47" t="s">
        <v>1379</v>
      </c>
      <c r="N17" s="47" t="s">
        <v>1741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148</v>
      </c>
      <c r="E18" s="45" t="s">
        <v>171</v>
      </c>
      <c r="F18" s="45" t="s">
        <v>349</v>
      </c>
      <c r="G18" s="45" t="s">
        <v>39</v>
      </c>
      <c r="H18" s="45" t="s">
        <v>379</v>
      </c>
      <c r="I18" s="44" t="s">
        <v>495</v>
      </c>
      <c r="J18" s="44">
        <v>16</v>
      </c>
      <c r="K18" s="46" t="s">
        <v>960</v>
      </c>
      <c r="L18" s="46">
        <v>75</v>
      </c>
      <c r="M18" s="47" t="s">
        <v>1379</v>
      </c>
      <c r="N18" s="47" t="s">
        <v>1802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4">
        <v>0</v>
      </c>
      <c r="B19" s="44">
        <v>1</v>
      </c>
      <c r="C19" s="44">
        <v>1</v>
      </c>
      <c r="D19" s="45" t="s">
        <v>121</v>
      </c>
      <c r="E19" s="45" t="s">
        <v>171</v>
      </c>
      <c r="F19" s="45" t="s">
        <v>322</v>
      </c>
      <c r="G19" s="45" t="s">
        <v>323</v>
      </c>
      <c r="H19" s="45" t="s">
        <v>354</v>
      </c>
      <c r="I19" s="44" t="s">
        <v>468</v>
      </c>
      <c r="J19" s="44">
        <v>99</v>
      </c>
      <c r="K19" s="46" t="s">
        <v>965</v>
      </c>
      <c r="L19" s="46">
        <v>200</v>
      </c>
      <c r="M19" s="47" t="s">
        <v>39</v>
      </c>
      <c r="N19" s="47" t="s">
        <v>1809</v>
      </c>
      <c r="O19" s="48"/>
      <c r="P19" s="48"/>
      <c r="Q19" s="45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38">
        <v>0</v>
      </c>
      <c r="B20" s="38">
        <v>1</v>
      </c>
      <c r="C20" s="38">
        <v>1</v>
      </c>
      <c r="D20" s="39" t="s">
        <v>101</v>
      </c>
      <c r="E20" s="39" t="s">
        <v>171</v>
      </c>
      <c r="F20" s="39" t="s">
        <v>298</v>
      </c>
      <c r="G20" s="39" t="s">
        <v>39</v>
      </c>
      <c r="H20" s="39" t="s">
        <v>356</v>
      </c>
      <c r="I20" s="38" t="s">
        <v>448</v>
      </c>
      <c r="J20" s="38">
        <v>15</v>
      </c>
      <c r="K20" s="40" t="s">
        <v>967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896</v>
      </c>
      <c r="E21" s="32" t="s">
        <v>170</v>
      </c>
      <c r="F21" s="32" t="s">
        <v>294</v>
      </c>
      <c r="G21" s="32" t="s">
        <v>39</v>
      </c>
      <c r="H21" s="32" t="s">
        <v>355</v>
      </c>
      <c r="I21" s="31" t="s">
        <v>444</v>
      </c>
      <c r="J21" s="31">
        <v>11</v>
      </c>
      <c r="K21" s="33" t="s">
        <v>960</v>
      </c>
      <c r="L21" s="33" t="s">
        <v>39</v>
      </c>
      <c r="M21" s="34" t="s">
        <v>39</v>
      </c>
      <c r="N21" s="34" t="s">
        <v>1727</v>
      </c>
      <c r="O21" s="35">
        <v>1</v>
      </c>
      <c r="P21" s="35">
        <v>1</v>
      </c>
      <c r="Q21" s="3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1</v>
      </c>
      <c r="AE21" s="1">
        <f t="shared" si="18"/>
        <v>0</v>
      </c>
      <c r="AF21" s="1">
        <f t="shared" si="3"/>
        <v>1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118</v>
      </c>
      <c r="E22" s="32" t="s">
        <v>171</v>
      </c>
      <c r="F22" s="32" t="s">
        <v>318</v>
      </c>
      <c r="G22" s="32" t="s">
        <v>39</v>
      </c>
      <c r="H22" s="32" t="s">
        <v>368</v>
      </c>
      <c r="I22" s="31" t="s">
        <v>465</v>
      </c>
      <c r="J22" s="31">
        <v>18</v>
      </c>
      <c r="K22" s="33" t="s">
        <v>967</v>
      </c>
      <c r="L22" s="33" t="s">
        <v>39</v>
      </c>
      <c r="M22" s="34" t="s">
        <v>39</v>
      </c>
      <c r="N22" s="34" t="s">
        <v>1733</v>
      </c>
      <c r="O22" s="35">
        <v>1</v>
      </c>
      <c r="P22" s="35">
        <v>1</v>
      </c>
      <c r="Q22" s="3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1</v>
      </c>
      <c r="AE22" s="1">
        <f t="shared" si="18"/>
        <v>0</v>
      </c>
      <c r="AF22" s="1">
        <f t="shared" si="3"/>
        <v>1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138</v>
      </c>
      <c r="E23" s="32" t="s">
        <v>682</v>
      </c>
      <c r="F23" s="32" t="s">
        <v>339</v>
      </c>
      <c r="G23" s="32" t="s">
        <v>1166</v>
      </c>
      <c r="H23" s="32" t="s">
        <v>354</v>
      </c>
      <c r="I23" s="31" t="s">
        <v>486</v>
      </c>
      <c r="J23" s="31">
        <v>1</v>
      </c>
      <c r="K23" s="33" t="s">
        <v>960</v>
      </c>
      <c r="L23" s="33" t="s">
        <v>1706</v>
      </c>
      <c r="M23" s="34" t="s">
        <v>1119</v>
      </c>
      <c r="N23" s="34" t="s">
        <v>1743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1588</v>
      </c>
      <c r="E24" s="32" t="s">
        <v>171</v>
      </c>
      <c r="F24" s="32" t="s">
        <v>1589</v>
      </c>
      <c r="G24" s="32" t="s">
        <v>213</v>
      </c>
      <c r="H24" s="32" t="s">
        <v>354</v>
      </c>
      <c r="I24" s="31" t="s">
        <v>1590</v>
      </c>
      <c r="J24" s="31">
        <v>1</v>
      </c>
      <c r="K24" s="33" t="s">
        <v>966</v>
      </c>
      <c r="L24" s="33" t="s">
        <v>39</v>
      </c>
      <c r="M24" s="34" t="s">
        <v>39</v>
      </c>
      <c r="N24" s="34" t="s">
        <v>1727</v>
      </c>
      <c r="O24" s="35">
        <v>1</v>
      </c>
      <c r="P24" s="35">
        <v>1</v>
      </c>
      <c r="Q24" s="3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1</v>
      </c>
      <c r="AE24" s="1">
        <f t="shared" si="18"/>
        <v>0</v>
      </c>
      <c r="AF24" s="1">
        <f t="shared" si="3"/>
        <v>1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1051</v>
      </c>
      <c r="E25" s="32" t="s">
        <v>171</v>
      </c>
      <c r="F25" s="32" t="s">
        <v>1095</v>
      </c>
      <c r="G25" s="32" t="s">
        <v>1038</v>
      </c>
      <c r="H25" s="32" t="s">
        <v>354</v>
      </c>
      <c r="I25" s="31" t="s">
        <v>1052</v>
      </c>
      <c r="J25" s="31">
        <v>99</v>
      </c>
      <c r="K25" s="33" t="s">
        <v>733</v>
      </c>
      <c r="L25" s="33">
        <v>150</v>
      </c>
      <c r="M25" s="34" t="s">
        <v>39</v>
      </c>
      <c r="N25" s="34" t="s">
        <v>1749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112</v>
      </c>
      <c r="E26" s="39" t="s">
        <v>170</v>
      </c>
      <c r="F26" s="39" t="s">
        <v>311</v>
      </c>
      <c r="G26" s="39" t="s">
        <v>39</v>
      </c>
      <c r="H26" s="39" t="s">
        <v>355</v>
      </c>
      <c r="I26" s="38" t="s">
        <v>460</v>
      </c>
      <c r="J26" s="38">
        <v>11</v>
      </c>
      <c r="K26" s="40" t="s">
        <v>733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103</v>
      </c>
      <c r="E27" s="45" t="s">
        <v>171</v>
      </c>
      <c r="F27" s="45" t="s">
        <v>301</v>
      </c>
      <c r="G27" s="45" t="s">
        <v>302</v>
      </c>
      <c r="H27" s="45" t="s">
        <v>354</v>
      </c>
      <c r="I27" s="44" t="s">
        <v>450</v>
      </c>
      <c r="J27" s="44">
        <v>1</v>
      </c>
      <c r="K27" s="46" t="s">
        <v>964</v>
      </c>
      <c r="L27" s="46" t="s">
        <v>1715</v>
      </c>
      <c r="M27" s="47" t="s">
        <v>1380</v>
      </c>
      <c r="N27" s="47" t="s">
        <v>1736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114</v>
      </c>
      <c r="E28" s="32" t="s">
        <v>171</v>
      </c>
      <c r="F28" s="32" t="s">
        <v>313</v>
      </c>
      <c r="G28" s="32" t="s">
        <v>314</v>
      </c>
      <c r="H28" s="32" t="s">
        <v>354</v>
      </c>
      <c r="I28" s="31" t="s">
        <v>462</v>
      </c>
      <c r="J28" s="31">
        <v>1</v>
      </c>
      <c r="K28" s="33" t="s">
        <v>967</v>
      </c>
      <c r="L28" s="33" t="s">
        <v>39</v>
      </c>
      <c r="M28" s="34" t="s">
        <v>39</v>
      </c>
      <c r="N28" s="34" t="s">
        <v>1733</v>
      </c>
      <c r="O28" s="35">
        <v>1</v>
      </c>
      <c r="P28" s="35">
        <v>1</v>
      </c>
      <c r="Q28" s="32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856</v>
      </c>
      <c r="E29" s="32" t="s">
        <v>171</v>
      </c>
      <c r="F29" s="32" t="s">
        <v>857</v>
      </c>
      <c r="G29" s="32" t="s">
        <v>220</v>
      </c>
      <c r="H29" s="32" t="s">
        <v>354</v>
      </c>
      <c r="I29" s="31" t="s">
        <v>858</v>
      </c>
      <c r="J29" s="31">
        <v>8</v>
      </c>
      <c r="K29" s="33" t="s">
        <v>964</v>
      </c>
      <c r="L29" s="33" t="s">
        <v>1710</v>
      </c>
      <c r="M29" s="34" t="s">
        <v>1560</v>
      </c>
      <c r="N29" s="34" t="s">
        <v>1756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38">
        <v>0</v>
      </c>
      <c r="B30" s="38">
        <v>1</v>
      </c>
      <c r="C30" s="38">
        <v>1</v>
      </c>
      <c r="D30" s="39" t="s">
        <v>133</v>
      </c>
      <c r="E30" s="39" t="s">
        <v>171</v>
      </c>
      <c r="F30" s="39" t="s">
        <v>335</v>
      </c>
      <c r="G30" s="39" t="s">
        <v>39</v>
      </c>
      <c r="H30" s="39" t="s">
        <v>357</v>
      </c>
      <c r="I30" s="38" t="s">
        <v>482</v>
      </c>
      <c r="J30" s="38">
        <v>18</v>
      </c>
      <c r="K30" s="40" t="s">
        <v>960</v>
      </c>
      <c r="L30" s="40" t="s">
        <v>39</v>
      </c>
      <c r="M30" s="41" t="s">
        <v>39</v>
      </c>
      <c r="N30" s="42"/>
      <c r="O30" s="43"/>
      <c r="P30" s="43">
        <v>1</v>
      </c>
      <c r="Q30" s="39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144</v>
      </c>
      <c r="E31" s="45" t="s">
        <v>174</v>
      </c>
      <c r="F31" s="45" t="s">
        <v>346</v>
      </c>
      <c r="G31" s="45" t="s">
        <v>39</v>
      </c>
      <c r="H31" s="45" t="s">
        <v>367</v>
      </c>
      <c r="I31" s="44" t="s">
        <v>492</v>
      </c>
      <c r="J31" s="44">
        <v>18</v>
      </c>
      <c r="K31" s="46" t="s">
        <v>964</v>
      </c>
      <c r="L31" s="46">
        <v>70</v>
      </c>
      <c r="M31" s="47" t="s">
        <v>1381</v>
      </c>
      <c r="N31" s="47" t="s">
        <v>1734</v>
      </c>
      <c r="O31" s="48"/>
      <c r="P31" s="48"/>
      <c r="Q31" s="65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152</v>
      </c>
      <c r="E32" s="36" t="s">
        <v>171</v>
      </c>
      <c r="F32" s="36" t="s">
        <v>352</v>
      </c>
      <c r="G32" s="36" t="s">
        <v>194</v>
      </c>
      <c r="H32" s="36" t="s">
        <v>354</v>
      </c>
      <c r="I32" s="37" t="s">
        <v>499</v>
      </c>
      <c r="J32" s="31">
        <v>9</v>
      </c>
      <c r="K32" s="33" t="s">
        <v>960</v>
      </c>
      <c r="L32" s="33" t="s">
        <v>1706</v>
      </c>
      <c r="M32" s="34" t="s">
        <v>1382</v>
      </c>
      <c r="N32" s="34" t="s">
        <v>1756</v>
      </c>
      <c r="O32" s="35">
        <v>1</v>
      </c>
      <c r="P32" s="35"/>
      <c r="Q32" s="36"/>
      <c r="S32" s="1">
        <f t="shared" ref="S32:S35" si="19">IF(J32=$S$7,1,0)</f>
        <v>0</v>
      </c>
      <c r="T32" s="1">
        <f t="shared" ref="T32:T35" si="20">IF(J32=$T$7,1,0)</f>
        <v>0</v>
      </c>
      <c r="U32" s="1">
        <f t="shared" ref="U32:U35" si="21">IF(J32=$U$7,1,0)</f>
        <v>0</v>
      </c>
      <c r="V32" s="1">
        <f t="shared" ref="V32:V35" si="22">IF(J32=$V$7,1,0)</f>
        <v>0</v>
      </c>
      <c r="W32" s="1">
        <f t="shared" ref="W32:W35" si="23">IF(J32=$W$7,1,0)</f>
        <v>0</v>
      </c>
      <c r="X32" s="1">
        <f t="shared" ref="X32:X35" si="24">IF(J32=$X$7,1,0)</f>
        <v>0</v>
      </c>
      <c r="Y32" s="1">
        <f t="shared" ref="Y32:Y35" si="25">IF(J32=$Y$7,1,0)</f>
        <v>0</v>
      </c>
      <c r="Z32" s="1">
        <f t="shared" ref="Z32:Z35" si="26">IF(J32=$Z$7,1,0)</f>
        <v>0</v>
      </c>
      <c r="AA32" s="1">
        <f t="shared" ref="AA32:AA35" si="27">IF(J32=$AA$7,1,0)</f>
        <v>1</v>
      </c>
      <c r="AB32" s="1">
        <f t="shared" ref="AB32:AB35" si="28">IF(J32=$AB$7,1,0)</f>
        <v>0</v>
      </c>
      <c r="AD32" s="1">
        <f t="shared" ref="AD32:AD35" si="29">+O32*P32</f>
        <v>0</v>
      </c>
      <c r="AE32" s="1">
        <f t="shared" ref="AE32:AE35" si="30">O32*(1-P32)</f>
        <v>1</v>
      </c>
      <c r="AF32" s="1">
        <f t="shared" ref="AF32:AF35" si="31">+O32*P32*(1-A32)</f>
        <v>0</v>
      </c>
      <c r="AG32" s="1">
        <f t="shared" ref="AG32:AG35" si="32">O32*(1-P32)*(1-A32)</f>
        <v>1</v>
      </c>
      <c r="AH32" s="1">
        <f t="shared" ref="AH32:AH35" si="33">+P32*(1-A32)</f>
        <v>0</v>
      </c>
      <c r="AI32" s="1">
        <f t="shared" ref="AI32:AI35" si="34">+(1-A32)*(1-P32)</f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1549</v>
      </c>
      <c r="E33" s="36" t="s">
        <v>1246</v>
      </c>
      <c r="F33" s="36" t="s">
        <v>1550</v>
      </c>
      <c r="G33" s="36" t="s">
        <v>258</v>
      </c>
      <c r="H33" s="36" t="s">
        <v>354</v>
      </c>
      <c r="I33" s="37" t="s">
        <v>473</v>
      </c>
      <c r="J33" s="31">
        <v>8</v>
      </c>
      <c r="K33" s="33" t="s">
        <v>702</v>
      </c>
      <c r="L33" s="33" t="s">
        <v>689</v>
      </c>
      <c r="M33" s="34" t="s">
        <v>690</v>
      </c>
      <c r="N33" s="34" t="s">
        <v>1789</v>
      </c>
      <c r="O33" s="35">
        <v>1</v>
      </c>
      <c r="P33" s="35"/>
      <c r="Q33" s="36"/>
      <c r="S33" s="1">
        <f t="shared" si="19"/>
        <v>0</v>
      </c>
      <c r="T33" s="1">
        <f t="shared" si="20"/>
        <v>0</v>
      </c>
      <c r="U33" s="1">
        <f t="shared" si="21"/>
        <v>0</v>
      </c>
      <c r="V33" s="1">
        <f t="shared" si="22"/>
        <v>0</v>
      </c>
      <c r="W33" s="1">
        <f t="shared" si="23"/>
        <v>0</v>
      </c>
      <c r="X33" s="1">
        <f t="shared" si="24"/>
        <v>0</v>
      </c>
      <c r="Y33" s="1">
        <f t="shared" si="25"/>
        <v>0</v>
      </c>
      <c r="Z33" s="1">
        <f t="shared" si="26"/>
        <v>1</v>
      </c>
      <c r="AA33" s="1">
        <f t="shared" si="27"/>
        <v>0</v>
      </c>
      <c r="AB33" s="1">
        <f t="shared" si="28"/>
        <v>0</v>
      </c>
      <c r="AD33" s="1">
        <f t="shared" si="29"/>
        <v>0</v>
      </c>
      <c r="AE33" s="1">
        <f t="shared" si="30"/>
        <v>1</v>
      </c>
      <c r="AF33" s="1">
        <f t="shared" si="31"/>
        <v>0</v>
      </c>
      <c r="AG33" s="1">
        <f t="shared" si="32"/>
        <v>1</v>
      </c>
      <c r="AH33" s="1">
        <f t="shared" si="33"/>
        <v>0</v>
      </c>
      <c r="AI33" s="1">
        <f t="shared" si="34"/>
        <v>1</v>
      </c>
    </row>
    <row r="34" spans="1:35" ht="14.25" customHeight="1" x14ac:dyDescent="0.25">
      <c r="A34" s="38">
        <v>0</v>
      </c>
      <c r="B34" s="38">
        <v>1</v>
      </c>
      <c r="C34" s="38">
        <v>2</v>
      </c>
      <c r="D34" s="39" t="s">
        <v>1462</v>
      </c>
      <c r="E34" s="39" t="s">
        <v>1464</v>
      </c>
      <c r="F34" s="39" t="s">
        <v>1463</v>
      </c>
      <c r="G34" s="39"/>
      <c r="H34" s="39" t="s">
        <v>1138</v>
      </c>
      <c r="I34" s="38" t="s">
        <v>1465</v>
      </c>
      <c r="J34" s="38">
        <v>99</v>
      </c>
      <c r="K34" s="40" t="s">
        <v>703</v>
      </c>
      <c r="L34" s="40"/>
      <c r="M34" s="41"/>
      <c r="N34" s="42"/>
      <c r="O34" s="43"/>
      <c r="P34" s="43">
        <v>1</v>
      </c>
      <c r="Q34" s="54" t="s">
        <v>1920</v>
      </c>
      <c r="S34" s="1">
        <f t="shared" si="19"/>
        <v>0</v>
      </c>
      <c r="T34" s="1">
        <f t="shared" si="20"/>
        <v>0</v>
      </c>
      <c r="U34" s="1">
        <f t="shared" si="21"/>
        <v>0</v>
      </c>
      <c r="V34" s="1">
        <f t="shared" si="22"/>
        <v>0</v>
      </c>
      <c r="W34" s="1">
        <f t="shared" si="23"/>
        <v>0</v>
      </c>
      <c r="X34" s="1">
        <f t="shared" si="24"/>
        <v>0</v>
      </c>
      <c r="Y34" s="1">
        <f t="shared" si="25"/>
        <v>0</v>
      </c>
      <c r="Z34" s="1">
        <f t="shared" si="26"/>
        <v>0</v>
      </c>
      <c r="AA34" s="1">
        <f t="shared" si="27"/>
        <v>0</v>
      </c>
      <c r="AB34" s="1">
        <f t="shared" si="28"/>
        <v>0</v>
      </c>
      <c r="AD34" s="1">
        <f t="shared" si="29"/>
        <v>0</v>
      </c>
      <c r="AE34" s="1">
        <f t="shared" si="30"/>
        <v>0</v>
      </c>
      <c r="AF34" s="1">
        <f t="shared" si="31"/>
        <v>0</v>
      </c>
      <c r="AG34" s="1">
        <f t="shared" si="32"/>
        <v>0</v>
      </c>
      <c r="AH34" s="1">
        <f t="shared" si="33"/>
        <v>1</v>
      </c>
      <c r="AI34" s="1">
        <f t="shared" si="34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596</v>
      </c>
      <c r="E35" s="45" t="s">
        <v>175</v>
      </c>
      <c r="F35" s="45" t="s">
        <v>597</v>
      </c>
      <c r="G35" s="45" t="s">
        <v>251</v>
      </c>
      <c r="H35" s="45" t="s">
        <v>354</v>
      </c>
      <c r="I35" s="44" t="s">
        <v>598</v>
      </c>
      <c r="J35" s="44">
        <v>99</v>
      </c>
      <c r="K35" s="46" t="s">
        <v>956</v>
      </c>
      <c r="L35" s="46" t="s">
        <v>689</v>
      </c>
      <c r="M35" s="47" t="s">
        <v>1383</v>
      </c>
      <c r="N35" s="47" t="s">
        <v>1747</v>
      </c>
      <c r="O35" s="48"/>
      <c r="P35" s="48"/>
      <c r="Q35" s="45"/>
      <c r="S35" s="1">
        <f t="shared" si="19"/>
        <v>0</v>
      </c>
      <c r="T35" s="1">
        <f t="shared" si="20"/>
        <v>0</v>
      </c>
      <c r="U35" s="1">
        <f t="shared" si="21"/>
        <v>0</v>
      </c>
      <c r="V35" s="1">
        <f t="shared" si="22"/>
        <v>0</v>
      </c>
      <c r="W35" s="1">
        <f t="shared" si="23"/>
        <v>0</v>
      </c>
      <c r="X35" s="1">
        <f t="shared" si="24"/>
        <v>0</v>
      </c>
      <c r="Y35" s="1">
        <f t="shared" si="25"/>
        <v>0</v>
      </c>
      <c r="Z35" s="1">
        <f t="shared" si="26"/>
        <v>0</v>
      </c>
      <c r="AA35" s="1">
        <f t="shared" si="27"/>
        <v>0</v>
      </c>
      <c r="AB35" s="1">
        <f t="shared" si="28"/>
        <v>0</v>
      </c>
      <c r="AD35" s="1">
        <f t="shared" si="29"/>
        <v>0</v>
      </c>
      <c r="AE35" s="1">
        <f t="shared" si="30"/>
        <v>0</v>
      </c>
      <c r="AF35" s="1">
        <f t="shared" si="31"/>
        <v>0</v>
      </c>
      <c r="AG35" s="1">
        <f t="shared" si="32"/>
        <v>0</v>
      </c>
      <c r="AH35" s="1">
        <f t="shared" si="33"/>
        <v>0</v>
      </c>
      <c r="AI35" s="1">
        <f t="shared" si="34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113</v>
      </c>
      <c r="E36" s="45" t="s">
        <v>175</v>
      </c>
      <c r="F36" s="65" t="s">
        <v>1868</v>
      </c>
      <c r="G36" s="45" t="s">
        <v>312</v>
      </c>
      <c r="H36" s="45" t="s">
        <v>354</v>
      </c>
      <c r="I36" s="44" t="s">
        <v>461</v>
      </c>
      <c r="J36" s="44">
        <v>99</v>
      </c>
      <c r="K36" s="46" t="s">
        <v>702</v>
      </c>
      <c r="L36" s="46" t="s">
        <v>689</v>
      </c>
      <c r="M36" s="47" t="s">
        <v>691</v>
      </c>
      <c r="N36" s="47" t="s">
        <v>1802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1762</v>
      </c>
      <c r="E37" s="36" t="s">
        <v>155</v>
      </c>
      <c r="F37" s="36" t="s">
        <v>1763</v>
      </c>
      <c r="G37" s="36"/>
      <c r="H37" s="36" t="s">
        <v>1764</v>
      </c>
      <c r="I37" s="37" t="s">
        <v>1765</v>
      </c>
      <c r="J37" s="31">
        <v>18</v>
      </c>
      <c r="K37" s="33" t="s">
        <v>703</v>
      </c>
      <c r="L37" s="33">
        <v>55</v>
      </c>
      <c r="M37" s="34" t="s">
        <v>1477</v>
      </c>
      <c r="N37" s="34" t="s">
        <v>1733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599</v>
      </c>
      <c r="E38" s="36" t="s">
        <v>175</v>
      </c>
      <c r="F38" s="36" t="s">
        <v>600</v>
      </c>
      <c r="G38" s="36" t="s">
        <v>573</v>
      </c>
      <c r="H38" s="36" t="s">
        <v>354</v>
      </c>
      <c r="I38" s="37" t="s">
        <v>601</v>
      </c>
      <c r="J38" s="31">
        <v>1</v>
      </c>
      <c r="K38" s="33" t="s">
        <v>956</v>
      </c>
      <c r="L38" s="33" t="s">
        <v>1703</v>
      </c>
      <c r="M38" s="34" t="s">
        <v>1382</v>
      </c>
      <c r="N38" s="34" t="s">
        <v>1748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1751</v>
      </c>
      <c r="E39" s="36" t="s">
        <v>1752</v>
      </c>
      <c r="F39" s="36" t="s">
        <v>1753</v>
      </c>
      <c r="G39" s="36" t="s">
        <v>321</v>
      </c>
      <c r="H39" s="36" t="s">
        <v>354</v>
      </c>
      <c r="I39" s="37" t="s">
        <v>1754</v>
      </c>
      <c r="J39" s="31">
        <v>99</v>
      </c>
      <c r="K39" s="33" t="s">
        <v>703</v>
      </c>
      <c r="L39" s="33"/>
      <c r="M39" s="34"/>
      <c r="N39" s="34" t="s">
        <v>1733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642</v>
      </c>
      <c r="E40" s="45" t="s">
        <v>175</v>
      </c>
      <c r="F40" s="45" t="s">
        <v>643</v>
      </c>
      <c r="G40" s="45" t="s">
        <v>220</v>
      </c>
      <c r="H40" s="45" t="s">
        <v>354</v>
      </c>
      <c r="I40" s="44" t="s">
        <v>1111</v>
      </c>
      <c r="J40" s="44">
        <v>8</v>
      </c>
      <c r="K40" s="46" t="s">
        <v>956</v>
      </c>
      <c r="L40" s="46" t="s">
        <v>1700</v>
      </c>
      <c r="M40" s="47" t="s">
        <v>1377</v>
      </c>
      <c r="N40" s="47" t="s">
        <v>1737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1512</v>
      </c>
      <c r="E41" s="36" t="s">
        <v>175</v>
      </c>
      <c r="F41" s="36" t="s">
        <v>1660</v>
      </c>
      <c r="G41" s="36" t="s">
        <v>1514</v>
      </c>
      <c r="H41" s="36" t="s">
        <v>354</v>
      </c>
      <c r="I41" s="37" t="s">
        <v>1513</v>
      </c>
      <c r="J41" s="31">
        <v>99</v>
      </c>
      <c r="K41" s="33" t="s">
        <v>957</v>
      </c>
      <c r="L41" s="33" t="s">
        <v>39</v>
      </c>
      <c r="M41" s="34" t="s">
        <v>39</v>
      </c>
      <c r="N41" s="34" t="s">
        <v>1727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880</v>
      </c>
      <c r="E42" s="32" t="s">
        <v>174</v>
      </c>
      <c r="F42" s="32" t="s">
        <v>881</v>
      </c>
      <c r="G42" s="32" t="s">
        <v>39</v>
      </c>
      <c r="H42" s="32" t="s">
        <v>375</v>
      </c>
      <c r="I42" s="31" t="s">
        <v>882</v>
      </c>
      <c r="J42" s="31">
        <v>12</v>
      </c>
      <c r="K42" s="33" t="s">
        <v>702</v>
      </c>
      <c r="L42" s="33" t="s">
        <v>1704</v>
      </c>
      <c r="M42" s="34" t="s">
        <v>1384</v>
      </c>
      <c r="N42" s="34" t="s">
        <v>1825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1815</v>
      </c>
      <c r="E43" s="45" t="s">
        <v>175</v>
      </c>
      <c r="F43" s="45" t="s">
        <v>1816</v>
      </c>
      <c r="G43" s="45" t="s">
        <v>194</v>
      </c>
      <c r="H43" s="45" t="s">
        <v>354</v>
      </c>
      <c r="I43" s="44" t="s">
        <v>1817</v>
      </c>
      <c r="J43" s="44">
        <v>9</v>
      </c>
      <c r="K43" s="46" t="s">
        <v>703</v>
      </c>
      <c r="L43" s="46">
        <v>60</v>
      </c>
      <c r="M43" s="47" t="s">
        <v>1818</v>
      </c>
      <c r="N43" s="47" t="s">
        <v>1809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139</v>
      </c>
      <c r="E44" s="45" t="s">
        <v>175</v>
      </c>
      <c r="F44" s="65" t="s">
        <v>1879</v>
      </c>
      <c r="G44" s="45" t="s">
        <v>200</v>
      </c>
      <c r="H44" s="45" t="s">
        <v>354</v>
      </c>
      <c r="I44" s="44" t="s">
        <v>487</v>
      </c>
      <c r="J44" s="44">
        <v>2</v>
      </c>
      <c r="K44" s="46" t="s">
        <v>956</v>
      </c>
      <c r="L44" s="46" t="s">
        <v>693</v>
      </c>
      <c r="M44" s="47" t="s">
        <v>691</v>
      </c>
      <c r="N44" s="47" t="s">
        <v>1738</v>
      </c>
      <c r="O44" s="48"/>
      <c r="P44" s="48"/>
      <c r="Q44" s="65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838</v>
      </c>
      <c r="E45" s="32" t="s">
        <v>175</v>
      </c>
      <c r="F45" s="32" t="s">
        <v>840</v>
      </c>
      <c r="G45" s="32" t="s">
        <v>39</v>
      </c>
      <c r="H45" s="32" t="s">
        <v>354</v>
      </c>
      <c r="I45" s="31" t="s">
        <v>839</v>
      </c>
      <c r="J45" s="31">
        <v>99</v>
      </c>
      <c r="K45" s="33" t="s">
        <v>962</v>
      </c>
      <c r="L45" s="33" t="s">
        <v>39</v>
      </c>
      <c r="M45" s="34" t="s">
        <v>39</v>
      </c>
      <c r="N45" s="34" t="s">
        <v>1733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915</v>
      </c>
      <c r="E46" s="45" t="s">
        <v>175</v>
      </c>
      <c r="F46" s="45" t="s">
        <v>783</v>
      </c>
      <c r="G46" s="45" t="s">
        <v>39</v>
      </c>
      <c r="H46" s="45" t="s">
        <v>375</v>
      </c>
      <c r="I46" s="44" t="s">
        <v>784</v>
      </c>
      <c r="J46" s="44">
        <v>12</v>
      </c>
      <c r="K46" s="46" t="s">
        <v>722</v>
      </c>
      <c r="L46" s="46" t="s">
        <v>1699</v>
      </c>
      <c r="M46" s="47" t="s">
        <v>1119</v>
      </c>
      <c r="N46" s="47" t="s">
        <v>1802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38">
        <v>0</v>
      </c>
      <c r="B47" s="38">
        <v>1</v>
      </c>
      <c r="C47" s="38">
        <v>2</v>
      </c>
      <c r="D47" s="39" t="s">
        <v>1635</v>
      </c>
      <c r="E47" s="39" t="s">
        <v>174</v>
      </c>
      <c r="F47" s="39" t="s">
        <v>1661</v>
      </c>
      <c r="G47" s="39" t="s">
        <v>251</v>
      </c>
      <c r="H47" s="39" t="s">
        <v>354</v>
      </c>
      <c r="I47" s="38" t="s">
        <v>1563</v>
      </c>
      <c r="J47" s="38">
        <v>99</v>
      </c>
      <c r="K47" s="40" t="s">
        <v>957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1531</v>
      </c>
      <c r="E48" s="32" t="s">
        <v>1649</v>
      </c>
      <c r="F48" s="32" t="s">
        <v>1532</v>
      </c>
      <c r="G48" s="32" t="s">
        <v>200</v>
      </c>
      <c r="H48" s="32" t="s">
        <v>354</v>
      </c>
      <c r="I48" s="31" t="s">
        <v>1533</v>
      </c>
      <c r="J48" s="31">
        <v>2</v>
      </c>
      <c r="K48" s="33" t="s">
        <v>956</v>
      </c>
      <c r="L48" s="33">
        <v>70</v>
      </c>
      <c r="M48" s="34" t="s">
        <v>39</v>
      </c>
      <c r="N48" s="34" t="s">
        <v>1789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1467</v>
      </c>
      <c r="E49" s="45" t="s">
        <v>1650</v>
      </c>
      <c r="F49" s="45" t="s">
        <v>1466</v>
      </c>
      <c r="G49" s="45" t="s">
        <v>220</v>
      </c>
      <c r="H49" s="45" t="s">
        <v>354</v>
      </c>
      <c r="I49" s="44" t="s">
        <v>1687</v>
      </c>
      <c r="J49" s="44">
        <v>8</v>
      </c>
      <c r="K49" s="46" t="s">
        <v>702</v>
      </c>
      <c r="L49" s="46">
        <v>70</v>
      </c>
      <c r="M49" s="47" t="s">
        <v>39</v>
      </c>
      <c r="N49" s="47" t="s">
        <v>1737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811</v>
      </c>
      <c r="E50" s="32" t="s">
        <v>175</v>
      </c>
      <c r="F50" s="32" t="s">
        <v>812</v>
      </c>
      <c r="G50" s="32" t="s">
        <v>39</v>
      </c>
      <c r="H50" s="32" t="s">
        <v>813</v>
      </c>
      <c r="I50" s="31" t="s">
        <v>814</v>
      </c>
      <c r="J50" s="31">
        <v>11</v>
      </c>
      <c r="K50" s="33" t="s">
        <v>703</v>
      </c>
      <c r="L50" s="33">
        <v>50</v>
      </c>
      <c r="M50" s="34" t="s">
        <v>1119</v>
      </c>
      <c r="N50" s="34" t="s">
        <v>1946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1471</v>
      </c>
      <c r="E51" s="32"/>
      <c r="F51" s="32" t="s">
        <v>1472</v>
      </c>
      <c r="G51" s="32" t="s">
        <v>1473</v>
      </c>
      <c r="H51" s="32" t="s">
        <v>354</v>
      </c>
      <c r="I51" s="31" t="s">
        <v>1474</v>
      </c>
      <c r="J51" s="31">
        <v>99</v>
      </c>
      <c r="K51" s="33" t="s">
        <v>703</v>
      </c>
      <c r="L51" s="33">
        <v>35</v>
      </c>
      <c r="M51" s="34" t="s">
        <v>1479</v>
      </c>
      <c r="N51" s="34" t="s">
        <v>1748</v>
      </c>
      <c r="O51" s="35">
        <v>1</v>
      </c>
      <c r="P51" s="35"/>
      <c r="Q51" s="32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1</v>
      </c>
      <c r="AF51" s="1">
        <f t="shared" si="3"/>
        <v>0</v>
      </c>
      <c r="AG51" s="1">
        <f t="shared" si="4"/>
        <v>1</v>
      </c>
      <c r="AH51" s="1">
        <f t="shared" si="5"/>
        <v>0</v>
      </c>
      <c r="AI51" s="1">
        <f t="shared" si="6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2002</v>
      </c>
      <c r="E52" s="32" t="s">
        <v>175</v>
      </c>
      <c r="F52" s="32" t="s">
        <v>2003</v>
      </c>
      <c r="G52" s="32" t="s">
        <v>2004</v>
      </c>
      <c r="H52" s="32" t="s">
        <v>354</v>
      </c>
      <c r="I52" s="31" t="s">
        <v>2005</v>
      </c>
      <c r="J52" s="31">
        <v>99</v>
      </c>
      <c r="K52" s="33" t="s">
        <v>703</v>
      </c>
      <c r="L52" s="33"/>
      <c r="M52" s="34"/>
      <c r="N52" s="34" t="s">
        <v>1733</v>
      </c>
      <c r="O52" s="35">
        <v>1</v>
      </c>
      <c r="P52" s="35">
        <v>1</v>
      </c>
      <c r="Q52" s="32" t="s">
        <v>2006</v>
      </c>
      <c r="S52" s="1">
        <f t="shared" ref="S52:S54" si="35">IF(J52=$S$7,1,0)</f>
        <v>0</v>
      </c>
      <c r="T52" s="1">
        <f t="shared" ref="T52:T54" si="36">IF(J52=$T$7,1,0)</f>
        <v>0</v>
      </c>
      <c r="U52" s="1">
        <f t="shared" ref="U52:U54" si="37">IF(J52=$U$7,1,0)</f>
        <v>0</v>
      </c>
      <c r="V52" s="1">
        <f t="shared" ref="V52:V54" si="38">IF(J52=$V$7,1,0)</f>
        <v>0</v>
      </c>
      <c r="W52" s="1">
        <f t="shared" ref="W52:W54" si="39">IF(J52=$W$7,1,0)</f>
        <v>0</v>
      </c>
      <c r="X52" s="1">
        <f t="shared" ref="X52:X54" si="40">IF(J52=$X$7,1,0)</f>
        <v>0</v>
      </c>
      <c r="Y52" s="1">
        <f t="shared" ref="Y52:Y54" si="41">IF(J52=$Y$7,1,0)</f>
        <v>0</v>
      </c>
      <c r="Z52" s="1">
        <f t="shared" ref="Z52:Z54" si="42">IF(J52=$Z$7,1,0)</f>
        <v>0</v>
      </c>
      <c r="AA52" s="1">
        <f t="shared" ref="AA52:AA54" si="43">IF(J52=$AA$7,1,0)</f>
        <v>0</v>
      </c>
      <c r="AB52" s="1">
        <f t="shared" ref="AB52:AB54" si="44">IF(J52=$AB$7,1,0)</f>
        <v>0</v>
      </c>
      <c r="AD52" s="1">
        <f t="shared" ref="AD52:AD54" si="45">+O52*P52</f>
        <v>1</v>
      </c>
      <c r="AE52" s="1">
        <f t="shared" ref="AE52:AE54" si="46">O52*(1-P52)</f>
        <v>0</v>
      </c>
      <c r="AF52" s="1">
        <f t="shared" ref="AF52:AF54" si="47">+O52*P52*(1-A52)</f>
        <v>1</v>
      </c>
      <c r="AG52" s="1">
        <f t="shared" ref="AG52:AG54" si="48">O52*(1-P52)*(1-A52)</f>
        <v>0</v>
      </c>
      <c r="AH52" s="1">
        <f t="shared" ref="AH52:AH54" si="49">+P52*(1-A52)</f>
        <v>1</v>
      </c>
      <c r="AI52" s="1">
        <f t="shared" ref="AI52:AI54" si="50">+(1-A52)*(1-P52)</f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122</v>
      </c>
      <c r="E53" s="45" t="s">
        <v>175</v>
      </c>
      <c r="F53" s="45" t="s">
        <v>655</v>
      </c>
      <c r="G53" s="45" t="s">
        <v>39</v>
      </c>
      <c r="H53" s="45" t="s">
        <v>371</v>
      </c>
      <c r="I53" s="44" t="s">
        <v>469</v>
      </c>
      <c r="J53" s="44">
        <v>11</v>
      </c>
      <c r="K53" s="46" t="s">
        <v>703</v>
      </c>
      <c r="L53" s="46">
        <v>40</v>
      </c>
      <c r="M53" s="47" t="s">
        <v>691</v>
      </c>
      <c r="N53" s="47" t="s">
        <v>1802</v>
      </c>
      <c r="O53" s="48"/>
      <c r="P53" s="48"/>
      <c r="Q53" s="45"/>
      <c r="S53" s="1">
        <f t="shared" si="35"/>
        <v>0</v>
      </c>
      <c r="T53" s="1">
        <f t="shared" si="36"/>
        <v>0</v>
      </c>
      <c r="U53" s="1">
        <f t="shared" si="37"/>
        <v>0</v>
      </c>
      <c r="V53" s="1">
        <f t="shared" si="38"/>
        <v>0</v>
      </c>
      <c r="W53" s="1">
        <f t="shared" si="39"/>
        <v>0</v>
      </c>
      <c r="X53" s="1">
        <f t="shared" si="40"/>
        <v>0</v>
      </c>
      <c r="Y53" s="1">
        <f t="shared" si="41"/>
        <v>0</v>
      </c>
      <c r="Z53" s="1">
        <f t="shared" si="42"/>
        <v>0</v>
      </c>
      <c r="AA53" s="1">
        <f t="shared" si="43"/>
        <v>0</v>
      </c>
      <c r="AB53" s="1">
        <f t="shared" si="44"/>
        <v>0</v>
      </c>
      <c r="AD53" s="1">
        <f t="shared" si="45"/>
        <v>0</v>
      </c>
      <c r="AE53" s="1">
        <f t="shared" si="46"/>
        <v>0</v>
      </c>
      <c r="AF53" s="1">
        <f t="shared" si="47"/>
        <v>0</v>
      </c>
      <c r="AG53" s="1">
        <f t="shared" si="48"/>
        <v>0</v>
      </c>
      <c r="AH53" s="1">
        <f t="shared" si="49"/>
        <v>0</v>
      </c>
      <c r="AI53" s="1">
        <f t="shared" si="50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1054</v>
      </c>
      <c r="E54" s="32" t="s">
        <v>175</v>
      </c>
      <c r="F54" s="32" t="s">
        <v>1055</v>
      </c>
      <c r="G54" s="32" t="s">
        <v>1056</v>
      </c>
      <c r="H54" s="32" t="s">
        <v>354</v>
      </c>
      <c r="I54" s="31" t="s">
        <v>1057</v>
      </c>
      <c r="J54" s="31">
        <v>1</v>
      </c>
      <c r="K54" s="33" t="s">
        <v>722</v>
      </c>
      <c r="L54" s="33" t="s">
        <v>687</v>
      </c>
      <c r="M54" s="34" t="s">
        <v>1119</v>
      </c>
      <c r="N54" s="34" t="s">
        <v>1789</v>
      </c>
      <c r="O54" s="35">
        <v>1</v>
      </c>
      <c r="P54" s="35"/>
      <c r="Q54" s="32" t="s">
        <v>1910</v>
      </c>
      <c r="S54" s="1">
        <f t="shared" si="35"/>
        <v>1</v>
      </c>
      <c r="T54" s="1">
        <f t="shared" si="36"/>
        <v>0</v>
      </c>
      <c r="U54" s="1">
        <f t="shared" si="37"/>
        <v>0</v>
      </c>
      <c r="V54" s="1">
        <f t="shared" si="38"/>
        <v>0</v>
      </c>
      <c r="W54" s="1">
        <f t="shared" si="39"/>
        <v>0</v>
      </c>
      <c r="X54" s="1">
        <f t="shared" si="40"/>
        <v>0</v>
      </c>
      <c r="Y54" s="1">
        <f t="shared" si="41"/>
        <v>0</v>
      </c>
      <c r="Z54" s="1">
        <f t="shared" si="42"/>
        <v>0</v>
      </c>
      <c r="AA54" s="1">
        <f t="shared" si="43"/>
        <v>0</v>
      </c>
      <c r="AB54" s="1">
        <f t="shared" si="44"/>
        <v>0</v>
      </c>
      <c r="AD54" s="1">
        <f t="shared" si="45"/>
        <v>0</v>
      </c>
      <c r="AE54" s="1">
        <f t="shared" si="46"/>
        <v>1</v>
      </c>
      <c r="AF54" s="1">
        <f t="shared" si="47"/>
        <v>0</v>
      </c>
      <c r="AG54" s="1">
        <f t="shared" si="48"/>
        <v>1</v>
      </c>
      <c r="AH54" s="1">
        <f t="shared" si="49"/>
        <v>0</v>
      </c>
      <c r="AI54" s="1">
        <f t="shared" si="50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1639</v>
      </c>
      <c r="E55" s="32" t="s">
        <v>175</v>
      </c>
      <c r="F55" s="32" t="s">
        <v>1665</v>
      </c>
      <c r="G55" s="32" t="s">
        <v>1666</v>
      </c>
      <c r="H55" s="32" t="s">
        <v>354</v>
      </c>
      <c r="I55" s="31" t="s">
        <v>1478</v>
      </c>
      <c r="J55" s="31">
        <v>99</v>
      </c>
      <c r="K55" s="33" t="s">
        <v>702</v>
      </c>
      <c r="L55" s="33">
        <v>45</v>
      </c>
      <c r="M55" s="34" t="s">
        <v>39</v>
      </c>
      <c r="N55" s="34" t="s">
        <v>1755</v>
      </c>
      <c r="O55" s="35">
        <v>1</v>
      </c>
      <c r="P55" s="35"/>
      <c r="Q55" s="32" t="s">
        <v>2053</v>
      </c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1</v>
      </c>
      <c r="AF55" s="1">
        <f t="shared" si="3"/>
        <v>0</v>
      </c>
      <c r="AG55" s="1">
        <f t="shared" si="4"/>
        <v>1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4">
        <v>0</v>
      </c>
      <c r="B56" s="44">
        <v>1</v>
      </c>
      <c r="C56" s="44">
        <v>2</v>
      </c>
      <c r="D56" s="45" t="s">
        <v>647</v>
      </c>
      <c r="E56" s="45" t="s">
        <v>175</v>
      </c>
      <c r="F56" s="45" t="s">
        <v>602</v>
      </c>
      <c r="G56" s="45" t="s">
        <v>595</v>
      </c>
      <c r="H56" s="45" t="s">
        <v>354</v>
      </c>
      <c r="I56" s="44" t="s">
        <v>677</v>
      </c>
      <c r="J56" s="44">
        <v>1</v>
      </c>
      <c r="K56" s="46" t="s">
        <v>702</v>
      </c>
      <c r="L56" s="46" t="s">
        <v>1700</v>
      </c>
      <c r="M56" s="47" t="s">
        <v>1385</v>
      </c>
      <c r="N56" s="47" t="s">
        <v>1735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1">
        <v>0</v>
      </c>
      <c r="B60" s="31">
        <v>1</v>
      </c>
      <c r="C60" s="31">
        <v>2</v>
      </c>
      <c r="D60" s="32" t="s">
        <v>1592</v>
      </c>
      <c r="E60" s="32" t="s">
        <v>175</v>
      </c>
      <c r="F60" s="32" t="s">
        <v>1593</v>
      </c>
      <c r="G60" s="32" t="s">
        <v>1594</v>
      </c>
      <c r="H60" s="32" t="s">
        <v>354</v>
      </c>
      <c r="I60" s="31" t="s">
        <v>1487</v>
      </c>
      <c r="J60" s="31">
        <v>99</v>
      </c>
      <c r="K60" s="33" t="s">
        <v>702</v>
      </c>
      <c r="L60" s="33" t="s">
        <v>39</v>
      </c>
      <c r="M60" s="34" t="s">
        <v>39</v>
      </c>
      <c r="N60" s="34" t="s">
        <v>1727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1620</v>
      </c>
      <c r="E61" s="32" t="s">
        <v>170</v>
      </c>
      <c r="F61" s="32" t="s">
        <v>1621</v>
      </c>
      <c r="G61" s="32" t="s">
        <v>39</v>
      </c>
      <c r="H61" s="32" t="s">
        <v>355</v>
      </c>
      <c r="I61" s="31" t="s">
        <v>1622</v>
      </c>
      <c r="J61" s="31">
        <v>11</v>
      </c>
      <c r="K61" s="33" t="s">
        <v>957</v>
      </c>
      <c r="L61" s="33" t="s">
        <v>39</v>
      </c>
      <c r="M61" s="34" t="s">
        <v>39</v>
      </c>
      <c r="N61" s="34" t="s">
        <v>1727</v>
      </c>
      <c r="O61" s="35">
        <v>1</v>
      </c>
      <c r="P61" s="35">
        <v>1</v>
      </c>
      <c r="Q61" s="36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1617</v>
      </c>
      <c r="E62" s="32" t="s">
        <v>174</v>
      </c>
      <c r="F62" s="32" t="s">
        <v>1618</v>
      </c>
      <c r="G62" s="32" t="s">
        <v>1483</v>
      </c>
      <c r="H62" s="32" t="s">
        <v>354</v>
      </c>
      <c r="I62" s="31" t="s">
        <v>1619</v>
      </c>
      <c r="J62" s="31">
        <v>99</v>
      </c>
      <c r="K62" s="33" t="s">
        <v>962</v>
      </c>
      <c r="L62" s="33" t="s">
        <v>39</v>
      </c>
      <c r="M62" s="34" t="s">
        <v>39</v>
      </c>
      <c r="N62" s="34" t="s">
        <v>1727</v>
      </c>
      <c r="O62" s="35">
        <v>1</v>
      </c>
      <c r="P62" s="35">
        <v>1</v>
      </c>
      <c r="Q62" s="3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1</v>
      </c>
      <c r="AE62" s="1">
        <f t="shared" si="18"/>
        <v>0</v>
      </c>
      <c r="AF62" s="1">
        <f t="shared" si="3"/>
        <v>1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569</v>
      </c>
      <c r="E63" s="32" t="s">
        <v>579</v>
      </c>
      <c r="F63" s="32" t="s">
        <v>558</v>
      </c>
      <c r="G63" s="32" t="s">
        <v>262</v>
      </c>
      <c r="H63" s="32" t="s">
        <v>354</v>
      </c>
      <c r="I63" s="31" t="s">
        <v>559</v>
      </c>
      <c r="J63" s="31">
        <v>99</v>
      </c>
      <c r="K63" s="33" t="s">
        <v>956</v>
      </c>
      <c r="L63" s="33" t="s">
        <v>39</v>
      </c>
      <c r="M63" s="34" t="s">
        <v>39</v>
      </c>
      <c r="N63" s="34" t="s">
        <v>1727</v>
      </c>
      <c r="O63" s="35">
        <v>1</v>
      </c>
      <c r="P63" s="35">
        <v>1</v>
      </c>
      <c r="Q63" s="3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1</v>
      </c>
      <c r="AE63" s="1">
        <f t="shared" si="18"/>
        <v>0</v>
      </c>
      <c r="AF63" s="1">
        <f t="shared" si="3"/>
        <v>1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799</v>
      </c>
      <c r="E64" s="32" t="s">
        <v>174</v>
      </c>
      <c r="F64" s="32" t="s">
        <v>801</v>
      </c>
      <c r="G64" s="32" t="s">
        <v>39</v>
      </c>
      <c r="H64" s="32" t="s">
        <v>800</v>
      </c>
      <c r="I64" s="31" t="s">
        <v>802</v>
      </c>
      <c r="J64" s="31">
        <v>14</v>
      </c>
      <c r="K64" s="33" t="s">
        <v>964</v>
      </c>
      <c r="L64" s="33" t="s">
        <v>1706</v>
      </c>
      <c r="M64" s="34" t="s">
        <v>1379</v>
      </c>
      <c r="N64" s="34" t="s">
        <v>1749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1515</v>
      </c>
      <c r="E66" s="45" t="s">
        <v>170</v>
      </c>
      <c r="F66" s="45" t="s">
        <v>1517</v>
      </c>
      <c r="G66" s="45" t="s">
        <v>1165</v>
      </c>
      <c r="H66" s="45" t="s">
        <v>354</v>
      </c>
      <c r="I66" s="44" t="s">
        <v>1516</v>
      </c>
      <c r="J66" s="44">
        <v>11</v>
      </c>
      <c r="K66" s="46" t="s">
        <v>722</v>
      </c>
      <c r="L66" s="46">
        <v>50</v>
      </c>
      <c r="M66" s="47" t="s">
        <v>39</v>
      </c>
      <c r="N66" s="47" t="s">
        <v>1809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1137</v>
      </c>
      <c r="E67" s="32" t="s">
        <v>175</v>
      </c>
      <c r="F67" s="32" t="s">
        <v>1140</v>
      </c>
      <c r="G67" s="32" t="s">
        <v>39</v>
      </c>
      <c r="H67" s="32" t="s">
        <v>1138</v>
      </c>
      <c r="I67" s="31" t="s">
        <v>1139</v>
      </c>
      <c r="J67" s="31">
        <v>12</v>
      </c>
      <c r="K67" s="33" t="s">
        <v>703</v>
      </c>
      <c r="L67" s="33">
        <v>50</v>
      </c>
      <c r="M67" s="34" t="s">
        <v>39</v>
      </c>
      <c r="N67" s="34" t="s">
        <v>1749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57">
        <v>0</v>
      </c>
      <c r="B68" s="57">
        <v>1</v>
      </c>
      <c r="C68" s="57">
        <v>2</v>
      </c>
      <c r="D68" s="58" t="s">
        <v>154</v>
      </c>
      <c r="E68" s="58" t="s">
        <v>171</v>
      </c>
      <c r="F68" s="58" t="s">
        <v>935</v>
      </c>
      <c r="G68" s="58" t="s">
        <v>186</v>
      </c>
      <c r="H68" s="58" t="s">
        <v>354</v>
      </c>
      <c r="I68" s="57" t="s">
        <v>501</v>
      </c>
      <c r="J68" s="57">
        <v>1</v>
      </c>
      <c r="K68" s="59" t="s">
        <v>960</v>
      </c>
      <c r="L68" s="59" t="s">
        <v>39</v>
      </c>
      <c r="M68" s="60" t="s">
        <v>39</v>
      </c>
      <c r="N68" s="61"/>
      <c r="O68" s="62"/>
      <c r="P68" s="62">
        <v>1</v>
      </c>
      <c r="Q68" s="58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1447</v>
      </c>
      <c r="E69" s="32" t="s">
        <v>175</v>
      </c>
      <c r="F69" s="32" t="s">
        <v>1444</v>
      </c>
      <c r="G69" s="32" t="s">
        <v>39</v>
      </c>
      <c r="H69" s="32" t="s">
        <v>354</v>
      </c>
      <c r="I69" s="31" t="s">
        <v>1445</v>
      </c>
      <c r="J69" s="31">
        <v>99</v>
      </c>
      <c r="K69" s="33" t="s">
        <v>702</v>
      </c>
      <c r="L69" s="33" t="s">
        <v>689</v>
      </c>
      <c r="M69" s="34" t="s">
        <v>1446</v>
      </c>
      <c r="N69" s="34" t="s">
        <v>1727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38">
        <v>0</v>
      </c>
      <c r="B70" s="38">
        <v>1</v>
      </c>
      <c r="C70" s="38">
        <v>2</v>
      </c>
      <c r="D70" s="54" t="s">
        <v>815</v>
      </c>
      <c r="E70" s="39" t="s">
        <v>175</v>
      </c>
      <c r="F70" s="39" t="s">
        <v>936</v>
      </c>
      <c r="G70" s="39" t="s">
        <v>213</v>
      </c>
      <c r="H70" s="39" t="s">
        <v>354</v>
      </c>
      <c r="I70" s="38" t="s">
        <v>816</v>
      </c>
      <c r="J70" s="38">
        <v>1</v>
      </c>
      <c r="K70" s="40" t="s">
        <v>956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1323</v>
      </c>
      <c r="E71" s="32" t="s">
        <v>175</v>
      </c>
      <c r="F71" s="32" t="s">
        <v>1126</v>
      </c>
      <c r="G71" s="32" t="s">
        <v>39</v>
      </c>
      <c r="H71" s="32" t="s">
        <v>1125</v>
      </c>
      <c r="I71" s="31" t="s">
        <v>1124</v>
      </c>
      <c r="J71" s="31">
        <v>15</v>
      </c>
      <c r="K71" s="33" t="s">
        <v>957</v>
      </c>
      <c r="L71" s="33">
        <v>75</v>
      </c>
      <c r="M71" s="34" t="s">
        <v>1388</v>
      </c>
      <c r="N71" s="34" t="s">
        <v>1733</v>
      </c>
      <c r="O71" s="35">
        <v>1</v>
      </c>
      <c r="P71" s="35">
        <v>1</v>
      </c>
      <c r="Q71" s="32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1047</v>
      </c>
      <c r="E72" s="32" t="s">
        <v>174</v>
      </c>
      <c r="F72" s="32" t="s">
        <v>1048</v>
      </c>
      <c r="G72" s="32" t="s">
        <v>628</v>
      </c>
      <c r="H72" s="32" t="s">
        <v>354</v>
      </c>
      <c r="I72" s="31" t="s">
        <v>1049</v>
      </c>
      <c r="J72" s="31">
        <v>99</v>
      </c>
      <c r="K72" s="33" t="s">
        <v>702</v>
      </c>
      <c r="L72" s="33" t="s">
        <v>39</v>
      </c>
      <c r="M72" s="34" t="s">
        <v>39</v>
      </c>
      <c r="N72" s="34" t="s">
        <v>1733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ref="AD72:AD75" si="51">+O72*P72</f>
        <v>1</v>
      </c>
      <c r="AE72" s="1">
        <f t="shared" ref="AE72:AE75" si="52">O72*(1-P72)</f>
        <v>0</v>
      </c>
      <c r="AF72" s="1">
        <f t="shared" ref="AF72:AF75" si="53">+O72*P72*(1-A72)</f>
        <v>1</v>
      </c>
      <c r="AG72" s="1">
        <f t="shared" ref="AG72:AG75" si="54">O72*(1-P72)*(1-A72)</f>
        <v>0</v>
      </c>
      <c r="AH72" s="1">
        <f t="shared" ref="AH72:AH75" si="55">+P72*(1-A72)</f>
        <v>1</v>
      </c>
      <c r="AI72" s="1">
        <f t="shared" ref="AI72:AI75" si="56">+(1-A72)*(1-P72)</f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2058</v>
      </c>
      <c r="E73" s="32" t="s">
        <v>1983</v>
      </c>
      <c r="F73" s="32" t="s">
        <v>2059</v>
      </c>
      <c r="G73" s="32" t="s">
        <v>285</v>
      </c>
      <c r="H73" s="32" t="s">
        <v>354</v>
      </c>
      <c r="I73" s="31" t="s">
        <v>2060</v>
      </c>
      <c r="J73" s="31">
        <v>10</v>
      </c>
      <c r="K73" s="33" t="s">
        <v>703</v>
      </c>
      <c r="L73" s="33"/>
      <c r="M73" s="34"/>
      <c r="N73" s="34" t="s">
        <v>1733</v>
      </c>
      <c r="O73" s="35">
        <v>1</v>
      </c>
      <c r="P73" s="35">
        <v>1</v>
      </c>
      <c r="Q73" s="36" t="s">
        <v>2061</v>
      </c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1</v>
      </c>
      <c r="AD73" s="1">
        <f t="shared" si="51"/>
        <v>1</v>
      </c>
      <c r="AE73" s="1">
        <f t="shared" si="52"/>
        <v>0</v>
      </c>
      <c r="AF73" s="1">
        <f t="shared" si="53"/>
        <v>1</v>
      </c>
      <c r="AG73" s="1">
        <f t="shared" si="54"/>
        <v>0</v>
      </c>
      <c r="AH73" s="1">
        <f t="shared" si="55"/>
        <v>1</v>
      </c>
      <c r="AI73" s="1">
        <f t="shared" si="56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6" t="s">
        <v>2014</v>
      </c>
      <c r="E74" s="32" t="s">
        <v>175</v>
      </c>
      <c r="F74" s="36" t="s">
        <v>2015</v>
      </c>
      <c r="G74" s="36" t="s">
        <v>220</v>
      </c>
      <c r="H74" s="36" t="s">
        <v>354</v>
      </c>
      <c r="I74" s="37" t="s">
        <v>2016</v>
      </c>
      <c r="J74" s="31">
        <v>8</v>
      </c>
      <c r="K74" s="33" t="s">
        <v>703</v>
      </c>
      <c r="L74" s="33"/>
      <c r="M74" s="34"/>
      <c r="N74" s="34" t="s">
        <v>1733</v>
      </c>
      <c r="O74" s="35">
        <v>1</v>
      </c>
      <c r="P74" s="35">
        <v>1</v>
      </c>
      <c r="Q74" s="32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1</v>
      </c>
      <c r="AA74" s="1">
        <f t="shared" si="15"/>
        <v>0</v>
      </c>
      <c r="AB74" s="1">
        <f t="shared" si="16"/>
        <v>0</v>
      </c>
      <c r="AD74" s="1">
        <f t="shared" si="51"/>
        <v>1</v>
      </c>
      <c r="AE74" s="1">
        <f t="shared" si="52"/>
        <v>0</v>
      </c>
      <c r="AF74" s="1">
        <f t="shared" si="53"/>
        <v>1</v>
      </c>
      <c r="AG74" s="1">
        <f t="shared" si="54"/>
        <v>0</v>
      </c>
      <c r="AH74" s="1">
        <f t="shared" si="55"/>
        <v>1</v>
      </c>
      <c r="AI74" s="1">
        <f t="shared" si="56"/>
        <v>0</v>
      </c>
    </row>
    <row r="75" spans="1:35" ht="14.25" customHeight="1" x14ac:dyDescent="0.25">
      <c r="A75" s="44">
        <v>0</v>
      </c>
      <c r="B75" s="44">
        <v>1</v>
      </c>
      <c r="C75" s="44">
        <v>2</v>
      </c>
      <c r="D75" s="45" t="s">
        <v>584</v>
      </c>
      <c r="E75" s="45" t="s">
        <v>174</v>
      </c>
      <c r="F75" s="45" t="s">
        <v>586</v>
      </c>
      <c r="G75" s="45" t="s">
        <v>39</v>
      </c>
      <c r="H75" s="45" t="s">
        <v>587</v>
      </c>
      <c r="I75" s="44" t="s">
        <v>588</v>
      </c>
      <c r="J75" s="44">
        <v>12</v>
      </c>
      <c r="K75" s="46" t="s">
        <v>960</v>
      </c>
      <c r="L75" s="46" t="s">
        <v>1712</v>
      </c>
      <c r="M75" s="47" t="s">
        <v>1379</v>
      </c>
      <c r="N75" s="47" t="s">
        <v>1738</v>
      </c>
      <c r="O75" s="48"/>
      <c r="P75" s="48"/>
      <c r="Q75" s="45"/>
      <c r="S75" s="1">
        <f t="shared" si="7"/>
        <v>0</v>
      </c>
      <c r="T75" s="1">
        <f t="shared" si="8"/>
        <v>0</v>
      </c>
      <c r="U75" s="1">
        <f t="shared" si="9"/>
        <v>0</v>
      </c>
      <c r="V75" s="1">
        <f t="shared" si="10"/>
        <v>0</v>
      </c>
      <c r="W75" s="1">
        <f t="shared" si="11"/>
        <v>0</v>
      </c>
      <c r="X75" s="1">
        <f t="shared" si="12"/>
        <v>0</v>
      </c>
      <c r="Y75" s="1">
        <f t="shared" si="13"/>
        <v>0</v>
      </c>
      <c r="Z75" s="1">
        <f t="shared" si="14"/>
        <v>0</v>
      </c>
      <c r="AA75" s="1">
        <f t="shared" si="15"/>
        <v>0</v>
      </c>
      <c r="AB75" s="1">
        <f t="shared" si="16"/>
        <v>0</v>
      </c>
      <c r="AD75" s="1">
        <f t="shared" si="51"/>
        <v>0</v>
      </c>
      <c r="AE75" s="1">
        <f t="shared" si="52"/>
        <v>0</v>
      </c>
      <c r="AF75" s="1">
        <f t="shared" si="53"/>
        <v>0</v>
      </c>
      <c r="AG75" s="1">
        <f t="shared" si="54"/>
        <v>0</v>
      </c>
      <c r="AH75" s="1">
        <f t="shared" si="55"/>
        <v>0</v>
      </c>
      <c r="AI75" s="1">
        <f t="shared" si="56"/>
        <v>1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2" t="s">
        <v>1842</v>
      </c>
      <c r="E76" s="32" t="s">
        <v>174</v>
      </c>
      <c r="F76" s="32" t="s">
        <v>1843</v>
      </c>
      <c r="G76" s="32"/>
      <c r="H76" s="32" t="s">
        <v>1844</v>
      </c>
      <c r="I76" s="31" t="s">
        <v>1845</v>
      </c>
      <c r="J76" s="31">
        <v>14</v>
      </c>
      <c r="K76" s="33" t="s">
        <v>703</v>
      </c>
      <c r="L76" s="33">
        <v>75</v>
      </c>
      <c r="M76" s="34" t="s">
        <v>971</v>
      </c>
      <c r="N76" s="34" t="s">
        <v>1743</v>
      </c>
      <c r="O76" s="35">
        <v>1</v>
      </c>
      <c r="P76" s="35"/>
      <c r="Q76" s="32"/>
      <c r="S76" s="1">
        <f t="shared" ref="S76:S77" si="57">IF(J76=$S$7,1,0)</f>
        <v>0</v>
      </c>
      <c r="T76" s="1">
        <f t="shared" ref="T76:T77" si="58">IF(J76=$T$7,1,0)</f>
        <v>0</v>
      </c>
      <c r="U76" s="1">
        <f t="shared" ref="U76:U77" si="59">IF(J76=$U$7,1,0)</f>
        <v>0</v>
      </c>
      <c r="V76" s="1">
        <f t="shared" ref="V76:V77" si="60">IF(J76=$V$7,1,0)</f>
        <v>0</v>
      </c>
      <c r="W76" s="1">
        <f t="shared" ref="W76:W77" si="61">IF(J76=$W$7,1,0)</f>
        <v>0</v>
      </c>
      <c r="X76" s="1">
        <f t="shared" ref="X76:X77" si="62">IF(J76=$X$7,1,0)</f>
        <v>0</v>
      </c>
      <c r="Y76" s="1">
        <f t="shared" ref="Y76:Y77" si="63">IF(J76=$Y$7,1,0)</f>
        <v>0</v>
      </c>
      <c r="Z76" s="1">
        <f t="shared" ref="Z76:Z77" si="64">IF(J76=$Z$7,1,0)</f>
        <v>0</v>
      </c>
      <c r="AA76" s="1">
        <f t="shared" ref="AA76:AA77" si="65">IF(J76=$AA$7,1,0)</f>
        <v>0</v>
      </c>
      <c r="AB76" s="1">
        <f t="shared" ref="AB76:AB77" si="66">IF(J76=$AB$7,1,0)</f>
        <v>0</v>
      </c>
      <c r="AD76" s="1">
        <f t="shared" ref="AD76:AD77" si="67">+O76*P76</f>
        <v>0</v>
      </c>
      <c r="AE76" s="1">
        <f t="shared" ref="AE76:AE77" si="68">O76*(1-P76)</f>
        <v>1</v>
      </c>
      <c r="AF76" s="1">
        <f t="shared" ref="AF76:AF139" si="69">+O76*P76*(1-A76)</f>
        <v>0</v>
      </c>
      <c r="AG76" s="1">
        <f t="shared" ref="AG76:AG139" si="70">O76*(1-P76)*(1-A76)</f>
        <v>1</v>
      </c>
      <c r="AH76" s="1">
        <f t="shared" ref="AH76:AH139" si="71">+P76*(1-A76)</f>
        <v>0</v>
      </c>
      <c r="AI76" s="1">
        <f t="shared" ref="AI76:AI139" si="72">+(1-A76)*(1-P76)</f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1724</v>
      </c>
      <c r="E77" s="32" t="s">
        <v>175</v>
      </c>
      <c r="F77" s="36" t="s">
        <v>1725</v>
      </c>
      <c r="G77" s="36" t="s">
        <v>207</v>
      </c>
      <c r="H77" s="36" t="s">
        <v>354</v>
      </c>
      <c r="I77" s="37" t="s">
        <v>1726</v>
      </c>
      <c r="J77" s="31">
        <v>99</v>
      </c>
      <c r="K77" s="33" t="s">
        <v>703</v>
      </c>
      <c r="L77" s="33"/>
      <c r="M77" s="34"/>
      <c r="N77" s="34" t="s">
        <v>1727</v>
      </c>
      <c r="O77" s="35">
        <v>1</v>
      </c>
      <c r="P77" s="35">
        <v>1</v>
      </c>
      <c r="Q77" s="36"/>
      <c r="S77" s="1">
        <f t="shared" si="57"/>
        <v>0</v>
      </c>
      <c r="T77" s="1">
        <f t="shared" si="58"/>
        <v>0</v>
      </c>
      <c r="U77" s="1">
        <f t="shared" si="59"/>
        <v>0</v>
      </c>
      <c r="V77" s="1">
        <f t="shared" si="60"/>
        <v>0</v>
      </c>
      <c r="W77" s="1">
        <f t="shared" si="61"/>
        <v>0</v>
      </c>
      <c r="X77" s="1">
        <f t="shared" si="62"/>
        <v>0</v>
      </c>
      <c r="Y77" s="1">
        <f t="shared" si="63"/>
        <v>0</v>
      </c>
      <c r="Z77" s="1">
        <f t="shared" si="64"/>
        <v>0</v>
      </c>
      <c r="AA77" s="1">
        <f t="shared" si="65"/>
        <v>0</v>
      </c>
      <c r="AB77" s="1">
        <f t="shared" si="66"/>
        <v>0</v>
      </c>
      <c r="AD77" s="1">
        <f t="shared" si="67"/>
        <v>1</v>
      </c>
      <c r="AE77" s="1">
        <f t="shared" si="68"/>
        <v>0</v>
      </c>
      <c r="AF77" s="1">
        <f t="shared" si="69"/>
        <v>1</v>
      </c>
      <c r="AG77" s="1">
        <f t="shared" si="70"/>
        <v>0</v>
      </c>
      <c r="AH77" s="1">
        <f t="shared" si="71"/>
        <v>1</v>
      </c>
      <c r="AI77" s="1">
        <f t="shared" si="72"/>
        <v>0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1058</v>
      </c>
      <c r="E78" s="32" t="s">
        <v>175</v>
      </c>
      <c r="F78" s="36" t="s">
        <v>1097</v>
      </c>
      <c r="G78" s="36" t="s">
        <v>39</v>
      </c>
      <c r="H78" s="36" t="s">
        <v>1059</v>
      </c>
      <c r="I78" s="37" t="s">
        <v>1161</v>
      </c>
      <c r="J78" s="31">
        <v>13</v>
      </c>
      <c r="K78" s="33" t="s">
        <v>702</v>
      </c>
      <c r="L78" s="33" t="s">
        <v>689</v>
      </c>
      <c r="M78" s="34" t="s">
        <v>1441</v>
      </c>
      <c r="N78" s="34" t="s">
        <v>1749</v>
      </c>
      <c r="O78" s="35">
        <v>1</v>
      </c>
      <c r="P78" s="35"/>
      <c r="Q78" s="36"/>
      <c r="S78" s="1">
        <f t="shared" ref="S78:S144" si="73">IF(J78=$S$7,1,0)</f>
        <v>0</v>
      </c>
      <c r="T78" s="1">
        <f t="shared" ref="T78:T144" si="74">IF(J78=$T$7,1,0)</f>
        <v>0</v>
      </c>
      <c r="U78" s="1">
        <f t="shared" ref="U78:U144" si="75">IF(J78=$U$7,1,0)</f>
        <v>0</v>
      </c>
      <c r="V78" s="1">
        <f t="shared" ref="V78:V144" si="76">IF(J78=$V$7,1,0)</f>
        <v>0</v>
      </c>
      <c r="W78" s="1">
        <f t="shared" ref="W78:W144" si="77">IF(J78=$W$7,1,0)</f>
        <v>0</v>
      </c>
      <c r="X78" s="1">
        <f t="shared" ref="X78:X144" si="78">IF(J78=$X$7,1,0)</f>
        <v>0</v>
      </c>
      <c r="Y78" s="1">
        <f t="shared" ref="Y78:Y144" si="79">IF(J78=$Y$7,1,0)</f>
        <v>0</v>
      </c>
      <c r="Z78" s="1">
        <f t="shared" ref="Z78:Z144" si="80">IF(J78=$Z$7,1,0)</f>
        <v>0</v>
      </c>
      <c r="AA78" s="1">
        <f t="shared" ref="AA78:AA144" si="81">IF(J78=$AA$7,1,0)</f>
        <v>0</v>
      </c>
      <c r="AB78" s="1">
        <f t="shared" ref="AB78:AB144" si="82">IF(J78=$AB$7,1,0)</f>
        <v>0</v>
      </c>
      <c r="AD78" s="1">
        <f t="shared" ref="AD78:AD144" si="83">+O78*P78</f>
        <v>0</v>
      </c>
      <c r="AE78" s="1">
        <f t="shared" ref="AE78:AE144" si="84">O78*(1-P78)</f>
        <v>1</v>
      </c>
      <c r="AF78" s="1">
        <f t="shared" si="69"/>
        <v>0</v>
      </c>
      <c r="AG78" s="1">
        <f t="shared" si="70"/>
        <v>1</v>
      </c>
      <c r="AH78" s="1">
        <f t="shared" si="71"/>
        <v>0</v>
      </c>
      <c r="AI78" s="1">
        <f t="shared" si="72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1595</v>
      </c>
      <c r="E79" s="32" t="s">
        <v>175</v>
      </c>
      <c r="F79" s="36" t="s">
        <v>1596</v>
      </c>
      <c r="G79" s="36" t="s">
        <v>235</v>
      </c>
      <c r="H79" s="36" t="s">
        <v>354</v>
      </c>
      <c r="I79" s="37" t="s">
        <v>1597</v>
      </c>
      <c r="J79" s="31">
        <v>99</v>
      </c>
      <c r="K79" s="33" t="s">
        <v>956</v>
      </c>
      <c r="L79" s="33">
        <v>45</v>
      </c>
      <c r="M79" s="34" t="s">
        <v>39</v>
      </c>
      <c r="N79" s="34" t="s">
        <v>1789</v>
      </c>
      <c r="O79" s="35">
        <v>1</v>
      </c>
      <c r="P79" s="35"/>
      <c r="Q79" s="36"/>
      <c r="S79" s="1">
        <f t="shared" si="73"/>
        <v>0</v>
      </c>
      <c r="T79" s="1">
        <f t="shared" si="74"/>
        <v>0</v>
      </c>
      <c r="U79" s="1">
        <f t="shared" si="75"/>
        <v>0</v>
      </c>
      <c r="V79" s="1">
        <f t="shared" si="76"/>
        <v>0</v>
      </c>
      <c r="W79" s="1">
        <f t="shared" si="77"/>
        <v>0</v>
      </c>
      <c r="X79" s="1">
        <f t="shared" si="78"/>
        <v>0</v>
      </c>
      <c r="Y79" s="1">
        <f t="shared" si="79"/>
        <v>0</v>
      </c>
      <c r="Z79" s="1">
        <f t="shared" si="80"/>
        <v>0</v>
      </c>
      <c r="AA79" s="1">
        <f t="shared" si="81"/>
        <v>0</v>
      </c>
      <c r="AB79" s="1">
        <f t="shared" si="82"/>
        <v>0</v>
      </c>
      <c r="AD79" s="1">
        <f t="shared" si="83"/>
        <v>0</v>
      </c>
      <c r="AE79" s="1">
        <f t="shared" si="84"/>
        <v>1</v>
      </c>
      <c r="AF79" s="1">
        <f t="shared" si="69"/>
        <v>0</v>
      </c>
      <c r="AG79" s="1">
        <f t="shared" si="70"/>
        <v>1</v>
      </c>
      <c r="AH79" s="1">
        <f t="shared" si="71"/>
        <v>0</v>
      </c>
      <c r="AI79" s="1">
        <f t="shared" si="72"/>
        <v>1</v>
      </c>
    </row>
    <row r="80" spans="1:35" ht="14.25" customHeight="1" x14ac:dyDescent="0.25">
      <c r="A80" s="38">
        <v>0</v>
      </c>
      <c r="B80" s="38">
        <v>1</v>
      </c>
      <c r="C80" s="38">
        <v>2</v>
      </c>
      <c r="D80" s="54" t="s">
        <v>1325</v>
      </c>
      <c r="E80" s="39" t="s">
        <v>174</v>
      </c>
      <c r="F80" s="39" t="s">
        <v>1268</v>
      </c>
      <c r="G80" s="39" t="s">
        <v>207</v>
      </c>
      <c r="H80" s="39" t="s">
        <v>354</v>
      </c>
      <c r="I80" s="38" t="s">
        <v>1269</v>
      </c>
      <c r="J80" s="38">
        <v>99</v>
      </c>
      <c r="K80" s="40" t="s">
        <v>962</v>
      </c>
      <c r="L80" s="40" t="s">
        <v>39</v>
      </c>
      <c r="M80" s="41" t="s">
        <v>39</v>
      </c>
      <c r="N80" s="42"/>
      <c r="O80" s="43"/>
      <c r="P80" s="43">
        <v>1</v>
      </c>
      <c r="Q80" s="39"/>
      <c r="S80" s="1">
        <f t="shared" si="73"/>
        <v>0</v>
      </c>
      <c r="T80" s="1">
        <f t="shared" si="74"/>
        <v>0</v>
      </c>
      <c r="U80" s="1">
        <f t="shared" si="75"/>
        <v>0</v>
      </c>
      <c r="V80" s="1">
        <f t="shared" si="76"/>
        <v>0</v>
      </c>
      <c r="W80" s="1">
        <f t="shared" si="77"/>
        <v>0</v>
      </c>
      <c r="X80" s="1">
        <f t="shared" si="78"/>
        <v>0</v>
      </c>
      <c r="Y80" s="1">
        <f t="shared" si="79"/>
        <v>0</v>
      </c>
      <c r="Z80" s="1">
        <f t="shared" si="80"/>
        <v>0</v>
      </c>
      <c r="AA80" s="1">
        <f t="shared" si="81"/>
        <v>0</v>
      </c>
      <c r="AB80" s="1">
        <f t="shared" si="82"/>
        <v>0</v>
      </c>
      <c r="AD80" s="1">
        <f t="shared" si="83"/>
        <v>0</v>
      </c>
      <c r="AE80" s="1">
        <f t="shared" si="84"/>
        <v>0</v>
      </c>
      <c r="AF80" s="1">
        <f t="shared" si="69"/>
        <v>0</v>
      </c>
      <c r="AG80" s="1">
        <f t="shared" si="70"/>
        <v>0</v>
      </c>
      <c r="AH80" s="1">
        <f t="shared" si="71"/>
        <v>1</v>
      </c>
      <c r="AI80" s="1">
        <f t="shared" si="72"/>
        <v>0</v>
      </c>
    </row>
    <row r="81" spans="1:35" ht="14.25" customHeight="1" x14ac:dyDescent="0.25">
      <c r="A81" s="31">
        <v>0</v>
      </c>
      <c r="B81" s="31">
        <v>1</v>
      </c>
      <c r="C81" s="31">
        <v>3</v>
      </c>
      <c r="D81" s="36" t="s">
        <v>1799</v>
      </c>
      <c r="E81" s="32" t="s">
        <v>170</v>
      </c>
      <c r="F81" s="36" t="s">
        <v>1797</v>
      </c>
      <c r="G81" s="36" t="s">
        <v>232</v>
      </c>
      <c r="H81" s="36" t="s">
        <v>354</v>
      </c>
      <c r="I81" s="37" t="s">
        <v>1798</v>
      </c>
      <c r="J81" s="31">
        <v>99</v>
      </c>
      <c r="K81" s="33" t="s">
        <v>703</v>
      </c>
      <c r="L81" s="33"/>
      <c r="M81" s="34"/>
      <c r="N81" s="34" t="s">
        <v>1727</v>
      </c>
      <c r="O81" s="35">
        <v>1</v>
      </c>
      <c r="P81" s="35">
        <v>1</v>
      </c>
      <c r="Q81" s="36"/>
      <c r="S81" s="1">
        <f t="shared" si="73"/>
        <v>0</v>
      </c>
      <c r="T81" s="1">
        <f t="shared" si="74"/>
        <v>0</v>
      </c>
      <c r="U81" s="1">
        <f t="shared" si="75"/>
        <v>0</v>
      </c>
      <c r="V81" s="1">
        <f t="shared" si="76"/>
        <v>0</v>
      </c>
      <c r="W81" s="1">
        <f t="shared" si="77"/>
        <v>0</v>
      </c>
      <c r="X81" s="1">
        <f t="shared" si="78"/>
        <v>0</v>
      </c>
      <c r="Y81" s="1">
        <f t="shared" si="79"/>
        <v>0</v>
      </c>
      <c r="Z81" s="1">
        <f t="shared" si="80"/>
        <v>0</v>
      </c>
      <c r="AA81" s="1">
        <f t="shared" si="81"/>
        <v>0</v>
      </c>
      <c r="AB81" s="1">
        <f t="shared" si="82"/>
        <v>0</v>
      </c>
      <c r="AD81" s="1">
        <f t="shared" si="83"/>
        <v>1</v>
      </c>
      <c r="AE81" s="1">
        <f t="shared" si="84"/>
        <v>0</v>
      </c>
      <c r="AF81" s="1">
        <f t="shared" si="69"/>
        <v>1</v>
      </c>
      <c r="AG81" s="1">
        <f t="shared" si="70"/>
        <v>0</v>
      </c>
      <c r="AH81" s="1">
        <f t="shared" si="71"/>
        <v>1</v>
      </c>
      <c r="AI81" s="1">
        <f t="shared" si="72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1158</v>
      </c>
      <c r="E82" s="32" t="s">
        <v>170</v>
      </c>
      <c r="F82" s="36" t="s">
        <v>1159</v>
      </c>
      <c r="G82" s="36" t="s">
        <v>39</v>
      </c>
      <c r="H82" s="36" t="s">
        <v>1359</v>
      </c>
      <c r="I82" s="37" t="s">
        <v>1160</v>
      </c>
      <c r="J82" s="31">
        <v>11</v>
      </c>
      <c r="K82" s="33" t="s">
        <v>702</v>
      </c>
      <c r="L82" s="33" t="s">
        <v>1699</v>
      </c>
      <c r="M82" s="34" t="s">
        <v>1389</v>
      </c>
      <c r="N82" s="34" t="s">
        <v>1749</v>
      </c>
      <c r="O82" s="35">
        <v>1</v>
      </c>
      <c r="P82" s="35"/>
      <c r="Q82" s="36"/>
      <c r="S82" s="1">
        <f t="shared" si="73"/>
        <v>0</v>
      </c>
      <c r="T82" s="1">
        <f t="shared" si="74"/>
        <v>0</v>
      </c>
      <c r="U82" s="1">
        <f t="shared" si="75"/>
        <v>0</v>
      </c>
      <c r="V82" s="1">
        <f t="shared" si="76"/>
        <v>0</v>
      </c>
      <c r="W82" s="1">
        <f t="shared" si="77"/>
        <v>0</v>
      </c>
      <c r="X82" s="1">
        <f t="shared" si="78"/>
        <v>0</v>
      </c>
      <c r="Y82" s="1">
        <f t="shared" si="79"/>
        <v>0</v>
      </c>
      <c r="Z82" s="1">
        <f t="shared" si="80"/>
        <v>0</v>
      </c>
      <c r="AA82" s="1">
        <f t="shared" si="81"/>
        <v>0</v>
      </c>
      <c r="AB82" s="1">
        <f t="shared" si="82"/>
        <v>0</v>
      </c>
      <c r="AD82" s="1">
        <f t="shared" si="83"/>
        <v>0</v>
      </c>
      <c r="AE82" s="1">
        <f t="shared" si="84"/>
        <v>1</v>
      </c>
      <c r="AF82" s="1">
        <f t="shared" si="69"/>
        <v>0</v>
      </c>
      <c r="AG82" s="1">
        <f t="shared" si="70"/>
        <v>1</v>
      </c>
      <c r="AH82" s="1">
        <f t="shared" si="71"/>
        <v>0</v>
      </c>
      <c r="AI82" s="1">
        <f t="shared" si="72"/>
        <v>1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124</v>
      </c>
      <c r="E83" s="32" t="s">
        <v>170</v>
      </c>
      <c r="F83" s="36" t="s">
        <v>576</v>
      </c>
      <c r="G83" s="36" t="s">
        <v>39</v>
      </c>
      <c r="H83" s="36" t="s">
        <v>373</v>
      </c>
      <c r="I83" s="37" t="s">
        <v>471</v>
      </c>
      <c r="J83" s="31">
        <v>18</v>
      </c>
      <c r="K83" s="33" t="s">
        <v>703</v>
      </c>
      <c r="L83" s="33" t="s">
        <v>695</v>
      </c>
      <c r="M83" s="34" t="s">
        <v>691</v>
      </c>
      <c r="N83" s="34" t="s">
        <v>1825</v>
      </c>
      <c r="O83" s="35">
        <v>1</v>
      </c>
      <c r="P83" s="35"/>
      <c r="Q83" s="36" t="s">
        <v>1882</v>
      </c>
      <c r="S83" s="1">
        <f t="shared" si="73"/>
        <v>0</v>
      </c>
      <c r="T83" s="1">
        <f t="shared" si="74"/>
        <v>0</v>
      </c>
      <c r="U83" s="1">
        <f t="shared" si="75"/>
        <v>0</v>
      </c>
      <c r="V83" s="1">
        <f t="shared" si="76"/>
        <v>0</v>
      </c>
      <c r="W83" s="1">
        <f t="shared" si="77"/>
        <v>0</v>
      </c>
      <c r="X83" s="1">
        <f t="shared" si="78"/>
        <v>0</v>
      </c>
      <c r="Y83" s="1">
        <f t="shared" si="79"/>
        <v>0</v>
      </c>
      <c r="Z83" s="1">
        <f t="shared" si="80"/>
        <v>0</v>
      </c>
      <c r="AA83" s="1">
        <f t="shared" si="81"/>
        <v>0</v>
      </c>
      <c r="AB83" s="1">
        <f t="shared" si="82"/>
        <v>0</v>
      </c>
      <c r="AD83" s="1">
        <f t="shared" si="83"/>
        <v>0</v>
      </c>
      <c r="AE83" s="1">
        <f t="shared" si="84"/>
        <v>1</v>
      </c>
      <c r="AF83" s="1">
        <f t="shared" si="69"/>
        <v>0</v>
      </c>
      <c r="AG83" s="1">
        <f t="shared" si="70"/>
        <v>1</v>
      </c>
      <c r="AH83" s="1">
        <f t="shared" si="71"/>
        <v>0</v>
      </c>
      <c r="AI83" s="1">
        <f t="shared" si="72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1010</v>
      </c>
      <c r="E84" s="32" t="s">
        <v>172</v>
      </c>
      <c r="F84" s="36" t="s">
        <v>1011</v>
      </c>
      <c r="G84" s="36" t="s">
        <v>1012</v>
      </c>
      <c r="H84" s="36" t="s">
        <v>354</v>
      </c>
      <c r="I84" s="37" t="s">
        <v>1013</v>
      </c>
      <c r="J84" s="31">
        <v>99</v>
      </c>
      <c r="K84" s="33" t="s">
        <v>956</v>
      </c>
      <c r="L84" s="33" t="s">
        <v>39</v>
      </c>
      <c r="M84" s="34" t="s">
        <v>39</v>
      </c>
      <c r="N84" s="34" t="s">
        <v>1733</v>
      </c>
      <c r="O84" s="35">
        <v>1</v>
      </c>
      <c r="P84" s="35">
        <v>1</v>
      </c>
      <c r="Q84" s="36"/>
      <c r="S84" s="1">
        <f t="shared" si="73"/>
        <v>0</v>
      </c>
      <c r="T84" s="1">
        <f t="shared" si="74"/>
        <v>0</v>
      </c>
      <c r="U84" s="1">
        <f t="shared" si="75"/>
        <v>0</v>
      </c>
      <c r="V84" s="1">
        <f t="shared" si="76"/>
        <v>0</v>
      </c>
      <c r="W84" s="1">
        <f t="shared" si="77"/>
        <v>0</v>
      </c>
      <c r="X84" s="1">
        <f t="shared" si="78"/>
        <v>0</v>
      </c>
      <c r="Y84" s="1">
        <f t="shared" si="79"/>
        <v>0</v>
      </c>
      <c r="Z84" s="1">
        <f t="shared" si="80"/>
        <v>0</v>
      </c>
      <c r="AA84" s="1">
        <f t="shared" si="81"/>
        <v>0</v>
      </c>
      <c r="AB84" s="1">
        <f t="shared" si="82"/>
        <v>0</v>
      </c>
      <c r="AD84" s="1">
        <f t="shared" si="83"/>
        <v>1</v>
      </c>
      <c r="AE84" s="1">
        <f t="shared" si="84"/>
        <v>0</v>
      </c>
      <c r="AF84" s="1">
        <f t="shared" si="69"/>
        <v>1</v>
      </c>
      <c r="AG84" s="1">
        <f t="shared" si="70"/>
        <v>0</v>
      </c>
      <c r="AH84" s="1">
        <f t="shared" si="71"/>
        <v>1</v>
      </c>
      <c r="AI84" s="1">
        <f t="shared" si="72"/>
        <v>0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143</v>
      </c>
      <c r="E85" s="32" t="s">
        <v>175</v>
      </c>
      <c r="F85" s="36" t="s">
        <v>344</v>
      </c>
      <c r="G85" s="36" t="s">
        <v>345</v>
      </c>
      <c r="H85" s="36" t="s">
        <v>354</v>
      </c>
      <c r="I85" s="37" t="s">
        <v>491</v>
      </c>
      <c r="J85" s="31">
        <v>6</v>
      </c>
      <c r="K85" s="33" t="s">
        <v>957</v>
      </c>
      <c r="L85" s="33" t="s">
        <v>687</v>
      </c>
      <c r="M85" s="34" t="s">
        <v>691</v>
      </c>
      <c r="N85" s="34" t="s">
        <v>1743</v>
      </c>
      <c r="O85" s="35">
        <v>1</v>
      </c>
      <c r="P85" s="35"/>
      <c r="Q85" s="36"/>
      <c r="S85" s="1">
        <f t="shared" si="73"/>
        <v>0</v>
      </c>
      <c r="T85" s="1">
        <f t="shared" si="74"/>
        <v>0</v>
      </c>
      <c r="U85" s="1">
        <f t="shared" si="75"/>
        <v>0</v>
      </c>
      <c r="V85" s="1">
        <f t="shared" si="76"/>
        <v>0</v>
      </c>
      <c r="W85" s="1">
        <f t="shared" si="77"/>
        <v>0</v>
      </c>
      <c r="X85" s="1">
        <f t="shared" si="78"/>
        <v>1</v>
      </c>
      <c r="Y85" s="1">
        <f t="shared" si="79"/>
        <v>0</v>
      </c>
      <c r="Z85" s="1">
        <f t="shared" si="80"/>
        <v>0</v>
      </c>
      <c r="AA85" s="1">
        <f t="shared" si="81"/>
        <v>0</v>
      </c>
      <c r="AB85" s="1">
        <f t="shared" si="82"/>
        <v>0</v>
      </c>
      <c r="AD85" s="1">
        <f t="shared" si="83"/>
        <v>0</v>
      </c>
      <c r="AE85" s="1">
        <f t="shared" si="84"/>
        <v>1</v>
      </c>
      <c r="AF85" s="1">
        <f t="shared" si="69"/>
        <v>0</v>
      </c>
      <c r="AG85" s="1">
        <f t="shared" si="70"/>
        <v>1</v>
      </c>
      <c r="AH85" s="1">
        <f t="shared" si="71"/>
        <v>0</v>
      </c>
      <c r="AI85" s="1">
        <f t="shared" si="72"/>
        <v>1</v>
      </c>
    </row>
    <row r="86" spans="1:35" ht="14.25" customHeight="1" x14ac:dyDescent="0.25">
      <c r="A86" s="15">
        <v>0</v>
      </c>
      <c r="B86" s="15">
        <v>1</v>
      </c>
      <c r="C86" s="15">
        <v>3</v>
      </c>
      <c r="D86" s="16" t="s">
        <v>1786</v>
      </c>
      <c r="E86" s="16" t="s">
        <v>172</v>
      </c>
      <c r="F86" s="16" t="s">
        <v>1788</v>
      </c>
      <c r="G86" s="16"/>
      <c r="H86" s="16" t="s">
        <v>364</v>
      </c>
      <c r="I86" s="15" t="s">
        <v>1787</v>
      </c>
      <c r="J86" s="15">
        <v>17</v>
      </c>
      <c r="K86" s="10" t="s">
        <v>703</v>
      </c>
      <c r="L86" s="10" t="s">
        <v>1742</v>
      </c>
      <c r="M86" s="19" t="s">
        <v>691</v>
      </c>
      <c r="N86" s="17"/>
      <c r="Q86" s="20" t="s">
        <v>1914</v>
      </c>
      <c r="S86" s="1">
        <f t="shared" si="73"/>
        <v>0</v>
      </c>
      <c r="T86" s="1">
        <f t="shared" si="74"/>
        <v>0</v>
      </c>
      <c r="U86" s="1">
        <f t="shared" si="75"/>
        <v>0</v>
      </c>
      <c r="V86" s="1">
        <f t="shared" si="76"/>
        <v>0</v>
      </c>
      <c r="W86" s="1">
        <f t="shared" si="77"/>
        <v>0</v>
      </c>
      <c r="X86" s="1">
        <f t="shared" si="78"/>
        <v>0</v>
      </c>
      <c r="Y86" s="1">
        <f t="shared" si="79"/>
        <v>0</v>
      </c>
      <c r="Z86" s="1">
        <f t="shared" si="80"/>
        <v>0</v>
      </c>
      <c r="AA86" s="1">
        <f t="shared" si="81"/>
        <v>0</v>
      </c>
      <c r="AB86" s="1">
        <f t="shared" si="82"/>
        <v>0</v>
      </c>
      <c r="AD86" s="1">
        <f t="shared" si="83"/>
        <v>0</v>
      </c>
      <c r="AE86" s="1">
        <f t="shared" si="84"/>
        <v>0</v>
      </c>
      <c r="AF86" s="1">
        <f t="shared" si="69"/>
        <v>0</v>
      </c>
      <c r="AG86" s="1">
        <f t="shared" si="70"/>
        <v>0</v>
      </c>
      <c r="AH86" s="1">
        <f t="shared" si="71"/>
        <v>0</v>
      </c>
      <c r="AI86" s="1">
        <f t="shared" si="72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2" t="s">
        <v>1810</v>
      </c>
      <c r="E87" s="32" t="s">
        <v>172</v>
      </c>
      <c r="F87" s="32" t="s">
        <v>1811</v>
      </c>
      <c r="G87" s="32" t="s">
        <v>1812</v>
      </c>
      <c r="H87" s="32" t="s">
        <v>354</v>
      </c>
      <c r="I87" s="31" t="s">
        <v>1813</v>
      </c>
      <c r="J87" s="31">
        <v>1</v>
      </c>
      <c r="K87" s="33" t="s">
        <v>703</v>
      </c>
      <c r="L87" s="33">
        <v>60</v>
      </c>
      <c r="M87" s="34" t="s">
        <v>1814</v>
      </c>
      <c r="N87" s="34" t="s">
        <v>1849</v>
      </c>
      <c r="O87" s="35">
        <v>1</v>
      </c>
      <c r="P87" s="35"/>
      <c r="Q87" s="32"/>
      <c r="S87" s="1">
        <f t="shared" si="73"/>
        <v>1</v>
      </c>
      <c r="T87" s="1">
        <f t="shared" si="74"/>
        <v>0</v>
      </c>
      <c r="U87" s="1">
        <f t="shared" si="75"/>
        <v>0</v>
      </c>
      <c r="V87" s="1">
        <f t="shared" si="76"/>
        <v>0</v>
      </c>
      <c r="W87" s="1">
        <f t="shared" si="77"/>
        <v>0</v>
      </c>
      <c r="X87" s="1">
        <f t="shared" si="78"/>
        <v>0</v>
      </c>
      <c r="Y87" s="1">
        <f t="shared" si="79"/>
        <v>0</v>
      </c>
      <c r="Z87" s="1">
        <f t="shared" si="80"/>
        <v>0</v>
      </c>
      <c r="AA87" s="1">
        <f t="shared" si="81"/>
        <v>0</v>
      </c>
      <c r="AB87" s="1">
        <f t="shared" si="82"/>
        <v>0</v>
      </c>
      <c r="AD87" s="1">
        <f t="shared" si="83"/>
        <v>0</v>
      </c>
      <c r="AE87" s="1">
        <f t="shared" si="84"/>
        <v>1</v>
      </c>
      <c r="AF87" s="1">
        <f t="shared" si="69"/>
        <v>0</v>
      </c>
      <c r="AG87" s="1">
        <f t="shared" si="70"/>
        <v>1</v>
      </c>
      <c r="AH87" s="1">
        <f t="shared" si="71"/>
        <v>0</v>
      </c>
      <c r="AI87" s="1">
        <f t="shared" si="72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2068</v>
      </c>
      <c r="E88" s="36" t="s">
        <v>176</v>
      </c>
      <c r="F88" s="36" t="s">
        <v>2066</v>
      </c>
      <c r="G88" s="36" t="s">
        <v>220</v>
      </c>
      <c r="H88" s="36" t="s">
        <v>354</v>
      </c>
      <c r="I88" s="37" t="s">
        <v>2067</v>
      </c>
      <c r="J88" s="31">
        <v>8</v>
      </c>
      <c r="K88" s="33" t="s">
        <v>703</v>
      </c>
      <c r="L88" s="33"/>
      <c r="M88" s="34"/>
      <c r="N88" s="34" t="s">
        <v>1733</v>
      </c>
      <c r="O88" s="35">
        <v>1</v>
      </c>
      <c r="P88" s="35">
        <v>1</v>
      </c>
      <c r="Q88" s="36"/>
      <c r="S88" s="1">
        <f t="shared" si="73"/>
        <v>0</v>
      </c>
      <c r="T88" s="1">
        <f t="shared" si="74"/>
        <v>0</v>
      </c>
      <c r="U88" s="1">
        <f t="shared" si="75"/>
        <v>0</v>
      </c>
      <c r="V88" s="1">
        <f t="shared" si="76"/>
        <v>0</v>
      </c>
      <c r="W88" s="1">
        <f t="shared" si="77"/>
        <v>0</v>
      </c>
      <c r="X88" s="1">
        <f t="shared" si="78"/>
        <v>0</v>
      </c>
      <c r="Y88" s="1">
        <f t="shared" si="79"/>
        <v>0</v>
      </c>
      <c r="Z88" s="1">
        <f t="shared" si="80"/>
        <v>1</v>
      </c>
      <c r="AA88" s="1">
        <f t="shared" si="81"/>
        <v>0</v>
      </c>
      <c r="AB88" s="1">
        <f t="shared" si="82"/>
        <v>0</v>
      </c>
      <c r="AD88" s="1">
        <f t="shared" si="83"/>
        <v>1</v>
      </c>
      <c r="AE88" s="1">
        <f t="shared" si="84"/>
        <v>0</v>
      </c>
      <c r="AF88" s="1">
        <f t="shared" si="69"/>
        <v>1</v>
      </c>
      <c r="AG88" s="1">
        <f t="shared" si="70"/>
        <v>0</v>
      </c>
      <c r="AH88" s="1">
        <f t="shared" si="71"/>
        <v>1</v>
      </c>
      <c r="AI88" s="1">
        <f t="shared" si="72"/>
        <v>0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6" t="s">
        <v>1598</v>
      </c>
      <c r="E89" s="32" t="s">
        <v>175</v>
      </c>
      <c r="F89" s="36" t="s">
        <v>319</v>
      </c>
      <c r="G89" s="36" t="s">
        <v>269</v>
      </c>
      <c r="H89" s="36" t="s">
        <v>354</v>
      </c>
      <c r="I89" s="37" t="s">
        <v>466</v>
      </c>
      <c r="J89" s="31">
        <v>8</v>
      </c>
      <c r="K89" s="33" t="s">
        <v>702</v>
      </c>
      <c r="L89" s="33" t="s">
        <v>689</v>
      </c>
      <c r="M89" s="34" t="s">
        <v>691</v>
      </c>
      <c r="N89" s="34" t="s">
        <v>1755</v>
      </c>
      <c r="O89" s="35">
        <v>1</v>
      </c>
      <c r="P89" s="35"/>
      <c r="Q89" s="36"/>
      <c r="S89" s="1">
        <f t="shared" si="73"/>
        <v>0</v>
      </c>
      <c r="T89" s="1">
        <f t="shared" si="74"/>
        <v>0</v>
      </c>
      <c r="U89" s="1">
        <f t="shared" si="75"/>
        <v>0</v>
      </c>
      <c r="V89" s="1">
        <f t="shared" si="76"/>
        <v>0</v>
      </c>
      <c r="W89" s="1">
        <f t="shared" si="77"/>
        <v>0</v>
      </c>
      <c r="X89" s="1">
        <f t="shared" si="78"/>
        <v>0</v>
      </c>
      <c r="Y89" s="1">
        <f t="shared" si="79"/>
        <v>0</v>
      </c>
      <c r="Z89" s="1">
        <f t="shared" si="80"/>
        <v>1</v>
      </c>
      <c r="AA89" s="1">
        <f t="shared" si="81"/>
        <v>0</v>
      </c>
      <c r="AB89" s="1">
        <f t="shared" si="82"/>
        <v>0</v>
      </c>
      <c r="AD89" s="1">
        <f t="shared" si="83"/>
        <v>0</v>
      </c>
      <c r="AE89" s="1">
        <f t="shared" si="84"/>
        <v>1</v>
      </c>
      <c r="AF89" s="1">
        <f t="shared" si="69"/>
        <v>0</v>
      </c>
      <c r="AG89" s="1">
        <f t="shared" si="70"/>
        <v>1</v>
      </c>
      <c r="AH89" s="1">
        <f t="shared" si="71"/>
        <v>0</v>
      </c>
      <c r="AI89" s="1">
        <f t="shared" si="72"/>
        <v>1</v>
      </c>
    </row>
    <row r="90" spans="1:35" ht="14.25" customHeight="1" x14ac:dyDescent="0.25">
      <c r="A90" s="38">
        <v>0</v>
      </c>
      <c r="B90" s="38">
        <v>1</v>
      </c>
      <c r="C90" s="38">
        <v>3</v>
      </c>
      <c r="D90" s="39" t="s">
        <v>136</v>
      </c>
      <c r="E90" s="39" t="s">
        <v>172</v>
      </c>
      <c r="F90" s="54" t="s">
        <v>1880</v>
      </c>
      <c r="G90" s="39" t="s">
        <v>240</v>
      </c>
      <c r="H90" s="39" t="s">
        <v>354</v>
      </c>
      <c r="I90" s="38" t="s">
        <v>484</v>
      </c>
      <c r="J90" s="38">
        <v>1</v>
      </c>
      <c r="K90" s="40" t="s">
        <v>956</v>
      </c>
      <c r="L90" s="40" t="s">
        <v>689</v>
      </c>
      <c r="M90" s="41" t="s">
        <v>691</v>
      </c>
      <c r="N90" s="42"/>
      <c r="O90" s="43"/>
      <c r="P90" s="43">
        <v>1</v>
      </c>
      <c r="Q90" s="39"/>
      <c r="S90" s="1">
        <f t="shared" si="73"/>
        <v>1</v>
      </c>
      <c r="T90" s="1">
        <f t="shared" si="74"/>
        <v>0</v>
      </c>
      <c r="U90" s="1">
        <f t="shared" si="75"/>
        <v>0</v>
      </c>
      <c r="V90" s="1">
        <f t="shared" si="76"/>
        <v>0</v>
      </c>
      <c r="W90" s="1">
        <f t="shared" si="77"/>
        <v>0</v>
      </c>
      <c r="X90" s="1">
        <f t="shared" si="78"/>
        <v>0</v>
      </c>
      <c r="Y90" s="1">
        <f t="shared" si="79"/>
        <v>0</v>
      </c>
      <c r="Z90" s="1">
        <f t="shared" si="80"/>
        <v>0</v>
      </c>
      <c r="AA90" s="1">
        <f t="shared" si="81"/>
        <v>0</v>
      </c>
      <c r="AB90" s="1">
        <f t="shared" si="82"/>
        <v>0</v>
      </c>
      <c r="AD90" s="1">
        <f t="shared" si="83"/>
        <v>0</v>
      </c>
      <c r="AE90" s="1">
        <f t="shared" si="84"/>
        <v>0</v>
      </c>
      <c r="AF90" s="1">
        <f t="shared" si="69"/>
        <v>0</v>
      </c>
      <c r="AG90" s="1">
        <f t="shared" si="70"/>
        <v>0</v>
      </c>
      <c r="AH90" s="1">
        <f t="shared" si="71"/>
        <v>1</v>
      </c>
      <c r="AI90" s="1">
        <f t="shared" si="72"/>
        <v>0</v>
      </c>
    </row>
    <row r="91" spans="1:35" ht="14.25" customHeight="1" x14ac:dyDescent="0.25">
      <c r="A91" s="44">
        <v>0</v>
      </c>
      <c r="B91" s="44">
        <v>1</v>
      </c>
      <c r="C91" s="44">
        <v>3</v>
      </c>
      <c r="D91" s="45" t="s">
        <v>790</v>
      </c>
      <c r="E91" s="45" t="s">
        <v>610</v>
      </c>
      <c r="F91" s="45" t="s">
        <v>792</v>
      </c>
      <c r="G91" s="45" t="s">
        <v>214</v>
      </c>
      <c r="H91" s="45" t="s">
        <v>354</v>
      </c>
      <c r="I91" s="44" t="s">
        <v>791</v>
      </c>
      <c r="J91" s="44">
        <v>99</v>
      </c>
      <c r="K91" s="46" t="s">
        <v>722</v>
      </c>
      <c r="L91" s="46" t="s">
        <v>1699</v>
      </c>
      <c r="M91" s="47" t="s">
        <v>1390</v>
      </c>
      <c r="N91" s="47" t="s">
        <v>1747</v>
      </c>
      <c r="O91" s="48"/>
      <c r="P91" s="48"/>
      <c r="Q91" s="45"/>
      <c r="S91" s="1">
        <f t="shared" si="73"/>
        <v>0</v>
      </c>
      <c r="T91" s="1">
        <f t="shared" si="74"/>
        <v>0</v>
      </c>
      <c r="U91" s="1">
        <f t="shared" si="75"/>
        <v>0</v>
      </c>
      <c r="V91" s="1">
        <f t="shared" si="76"/>
        <v>0</v>
      </c>
      <c r="W91" s="1">
        <f t="shared" si="77"/>
        <v>0</v>
      </c>
      <c r="X91" s="1">
        <f t="shared" si="78"/>
        <v>0</v>
      </c>
      <c r="Y91" s="1">
        <f t="shared" si="79"/>
        <v>0</v>
      </c>
      <c r="Z91" s="1">
        <f t="shared" si="80"/>
        <v>0</v>
      </c>
      <c r="AA91" s="1">
        <f t="shared" si="81"/>
        <v>0</v>
      </c>
      <c r="AB91" s="1">
        <f t="shared" si="82"/>
        <v>0</v>
      </c>
      <c r="AD91" s="1">
        <f t="shared" si="83"/>
        <v>0</v>
      </c>
      <c r="AE91" s="1">
        <f t="shared" si="84"/>
        <v>0</v>
      </c>
      <c r="AF91" s="1">
        <f t="shared" si="69"/>
        <v>0</v>
      </c>
      <c r="AG91" s="1">
        <f t="shared" si="70"/>
        <v>0</v>
      </c>
      <c r="AH91" s="1">
        <f t="shared" si="71"/>
        <v>0</v>
      </c>
      <c r="AI91" s="1">
        <f t="shared" si="72"/>
        <v>1</v>
      </c>
    </row>
    <row r="92" spans="1:35" ht="14.25" customHeight="1" x14ac:dyDescent="0.25">
      <c r="A92" s="44">
        <v>0</v>
      </c>
      <c r="B92" s="44">
        <v>1</v>
      </c>
      <c r="C92" s="44">
        <v>3</v>
      </c>
      <c r="D92" s="45" t="s">
        <v>77</v>
      </c>
      <c r="E92" s="45" t="s">
        <v>172</v>
      </c>
      <c r="F92" s="45" t="s">
        <v>267</v>
      </c>
      <c r="G92" s="45" t="s">
        <v>263</v>
      </c>
      <c r="H92" s="45" t="s">
        <v>354</v>
      </c>
      <c r="I92" s="44" t="s">
        <v>424</v>
      </c>
      <c r="J92" s="44">
        <v>1</v>
      </c>
      <c r="K92" s="46" t="s">
        <v>956</v>
      </c>
      <c r="L92" s="46" t="s">
        <v>1699</v>
      </c>
      <c r="M92" s="47" t="s">
        <v>970</v>
      </c>
      <c r="N92" s="47" t="s">
        <v>1735</v>
      </c>
      <c r="O92" s="48"/>
      <c r="P92" s="48"/>
      <c r="Q92" s="45"/>
      <c r="S92" s="1">
        <f t="shared" si="73"/>
        <v>1</v>
      </c>
      <c r="T92" s="1">
        <f t="shared" si="74"/>
        <v>0</v>
      </c>
      <c r="U92" s="1">
        <f t="shared" si="75"/>
        <v>0</v>
      </c>
      <c r="V92" s="1">
        <f t="shared" si="76"/>
        <v>0</v>
      </c>
      <c r="W92" s="1">
        <f t="shared" si="77"/>
        <v>0</v>
      </c>
      <c r="X92" s="1">
        <f t="shared" si="78"/>
        <v>0</v>
      </c>
      <c r="Y92" s="1">
        <f t="shared" si="79"/>
        <v>0</v>
      </c>
      <c r="Z92" s="1">
        <f t="shared" si="80"/>
        <v>0</v>
      </c>
      <c r="AA92" s="1">
        <f t="shared" si="81"/>
        <v>0</v>
      </c>
      <c r="AB92" s="1">
        <f t="shared" si="82"/>
        <v>0</v>
      </c>
      <c r="AD92" s="1">
        <f t="shared" si="83"/>
        <v>0</v>
      </c>
      <c r="AE92" s="1">
        <f t="shared" si="84"/>
        <v>0</v>
      </c>
      <c r="AF92" s="1">
        <f t="shared" si="69"/>
        <v>0</v>
      </c>
      <c r="AG92" s="1">
        <f t="shared" si="70"/>
        <v>0</v>
      </c>
      <c r="AH92" s="1">
        <f t="shared" si="71"/>
        <v>0</v>
      </c>
      <c r="AI92" s="1">
        <f t="shared" si="72"/>
        <v>1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20" t="s">
        <v>1952</v>
      </c>
      <c r="E93" s="20" t="s">
        <v>1983</v>
      </c>
      <c r="F93" s="20" t="s">
        <v>1984</v>
      </c>
      <c r="G93" s="20"/>
      <c r="H93" s="20" t="s">
        <v>1980</v>
      </c>
      <c r="I93" s="21" t="s">
        <v>1985</v>
      </c>
      <c r="J93" s="15">
        <v>18</v>
      </c>
      <c r="K93" s="10" t="s">
        <v>703</v>
      </c>
      <c r="L93" s="10" t="s">
        <v>1742</v>
      </c>
      <c r="M93" s="19" t="s">
        <v>971</v>
      </c>
      <c r="N93" s="17"/>
      <c r="Q93" s="20" t="s">
        <v>1986</v>
      </c>
      <c r="S93" s="1">
        <f t="shared" si="73"/>
        <v>0</v>
      </c>
      <c r="T93" s="1">
        <f t="shared" si="74"/>
        <v>0</v>
      </c>
      <c r="U93" s="1">
        <f t="shared" si="75"/>
        <v>0</v>
      </c>
      <c r="V93" s="1">
        <f t="shared" si="76"/>
        <v>0</v>
      </c>
      <c r="W93" s="1">
        <f t="shared" si="77"/>
        <v>0</v>
      </c>
      <c r="X93" s="1">
        <f t="shared" si="78"/>
        <v>0</v>
      </c>
      <c r="Y93" s="1">
        <f t="shared" si="79"/>
        <v>0</v>
      </c>
      <c r="Z93" s="1">
        <f t="shared" si="80"/>
        <v>0</v>
      </c>
      <c r="AA93" s="1">
        <f t="shared" si="81"/>
        <v>0</v>
      </c>
      <c r="AB93" s="1">
        <f t="shared" si="82"/>
        <v>0</v>
      </c>
      <c r="AD93" s="1">
        <f t="shared" si="83"/>
        <v>0</v>
      </c>
      <c r="AE93" s="1">
        <f t="shared" si="84"/>
        <v>0</v>
      </c>
      <c r="AF93" s="1">
        <f t="shared" si="69"/>
        <v>0</v>
      </c>
      <c r="AG93" s="1">
        <f t="shared" si="70"/>
        <v>0</v>
      </c>
      <c r="AH93" s="1">
        <f t="shared" si="71"/>
        <v>0</v>
      </c>
      <c r="AI93" s="1">
        <f t="shared" si="72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6" t="s">
        <v>1525</v>
      </c>
      <c r="E94" s="32" t="s">
        <v>176</v>
      </c>
      <c r="F94" s="36" t="s">
        <v>1526</v>
      </c>
      <c r="G94" s="36" t="s">
        <v>39</v>
      </c>
      <c r="H94" s="36" t="s">
        <v>906</v>
      </c>
      <c r="I94" s="37" t="s">
        <v>1527</v>
      </c>
      <c r="J94" s="31">
        <v>11</v>
      </c>
      <c r="K94" s="33" t="s">
        <v>964</v>
      </c>
      <c r="L94" s="33" t="s">
        <v>39</v>
      </c>
      <c r="M94" s="34" t="s">
        <v>39</v>
      </c>
      <c r="N94" s="34" t="s">
        <v>1733</v>
      </c>
      <c r="O94" s="35">
        <v>1</v>
      </c>
      <c r="P94" s="35">
        <v>1</v>
      </c>
      <c r="Q94" s="36"/>
      <c r="S94" s="1">
        <f t="shared" ref="S94:S96" si="85">IF(J94=$S$7,1,0)</f>
        <v>0</v>
      </c>
      <c r="T94" s="1">
        <f t="shared" ref="T94:T96" si="86">IF(J94=$T$7,1,0)</f>
        <v>0</v>
      </c>
      <c r="U94" s="1">
        <f t="shared" ref="U94:U96" si="87">IF(J94=$U$7,1,0)</f>
        <v>0</v>
      </c>
      <c r="V94" s="1">
        <f t="shared" ref="V94:V96" si="88">IF(J94=$V$7,1,0)</f>
        <v>0</v>
      </c>
      <c r="W94" s="1">
        <f t="shared" ref="W94:W96" si="89">IF(J94=$W$7,1,0)</f>
        <v>0</v>
      </c>
      <c r="X94" s="1">
        <f t="shared" ref="X94:X96" si="90">IF(J94=$X$7,1,0)</f>
        <v>0</v>
      </c>
      <c r="Y94" s="1">
        <f t="shared" ref="Y94:Y96" si="91">IF(J94=$Y$7,1,0)</f>
        <v>0</v>
      </c>
      <c r="Z94" s="1">
        <f t="shared" ref="Z94:Z96" si="92">IF(J94=$Z$7,1,0)</f>
        <v>0</v>
      </c>
      <c r="AA94" s="1">
        <f t="shared" ref="AA94:AA96" si="93">IF(J94=$AA$7,1,0)</f>
        <v>0</v>
      </c>
      <c r="AB94" s="1">
        <f t="shared" ref="AB94:AB96" si="94">IF(J94=$AB$7,1,0)</f>
        <v>0</v>
      </c>
      <c r="AD94" s="1">
        <f t="shared" ref="AD94:AD96" si="95">+O94*P94</f>
        <v>1</v>
      </c>
      <c r="AE94" s="1">
        <f t="shared" ref="AE94:AE96" si="96">O94*(1-P94)</f>
        <v>0</v>
      </c>
      <c r="AF94" s="1">
        <f t="shared" si="69"/>
        <v>1</v>
      </c>
      <c r="AG94" s="1">
        <f t="shared" si="70"/>
        <v>0</v>
      </c>
      <c r="AH94" s="1">
        <f t="shared" si="71"/>
        <v>1</v>
      </c>
      <c r="AI94" s="1">
        <f t="shared" si="72"/>
        <v>0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6" t="s">
        <v>1854</v>
      </c>
      <c r="E95" s="36" t="s">
        <v>172</v>
      </c>
      <c r="F95" s="36" t="s">
        <v>1855</v>
      </c>
      <c r="G95" s="36"/>
      <c r="H95" s="36" t="s">
        <v>1856</v>
      </c>
      <c r="I95" s="37" t="s">
        <v>1857</v>
      </c>
      <c r="J95" s="31">
        <v>15</v>
      </c>
      <c r="K95" s="33" t="s">
        <v>703</v>
      </c>
      <c r="L95" s="33"/>
      <c r="M95" s="34"/>
      <c r="N95" s="34" t="s">
        <v>1733</v>
      </c>
      <c r="O95" s="35">
        <v>1</v>
      </c>
      <c r="P95" s="35">
        <v>1</v>
      </c>
      <c r="Q95" s="36" t="s">
        <v>1892</v>
      </c>
      <c r="S95" s="1">
        <f t="shared" si="85"/>
        <v>0</v>
      </c>
      <c r="T95" s="1">
        <f t="shared" si="86"/>
        <v>0</v>
      </c>
      <c r="U95" s="1">
        <f t="shared" si="87"/>
        <v>0</v>
      </c>
      <c r="V95" s="1">
        <f t="shared" si="88"/>
        <v>0</v>
      </c>
      <c r="W95" s="1">
        <f t="shared" si="89"/>
        <v>0</v>
      </c>
      <c r="X95" s="1">
        <f t="shared" si="90"/>
        <v>0</v>
      </c>
      <c r="Y95" s="1">
        <f t="shared" si="91"/>
        <v>0</v>
      </c>
      <c r="Z95" s="1">
        <f t="shared" si="92"/>
        <v>0</v>
      </c>
      <c r="AA95" s="1">
        <f t="shared" si="93"/>
        <v>0</v>
      </c>
      <c r="AB95" s="1">
        <f t="shared" si="94"/>
        <v>0</v>
      </c>
      <c r="AD95" s="1">
        <f t="shared" si="95"/>
        <v>1</v>
      </c>
      <c r="AE95" s="1">
        <f t="shared" si="96"/>
        <v>0</v>
      </c>
      <c r="AF95" s="1">
        <f t="shared" si="69"/>
        <v>1</v>
      </c>
      <c r="AG95" s="1">
        <f t="shared" si="70"/>
        <v>0</v>
      </c>
      <c r="AH95" s="1">
        <f t="shared" si="71"/>
        <v>1</v>
      </c>
      <c r="AI95" s="1">
        <f t="shared" si="72"/>
        <v>0</v>
      </c>
    </row>
    <row r="96" spans="1:35" ht="14.25" customHeight="1" x14ac:dyDescent="0.25">
      <c r="A96" s="44">
        <v>0</v>
      </c>
      <c r="B96" s="44">
        <v>1</v>
      </c>
      <c r="C96" s="44">
        <v>3</v>
      </c>
      <c r="D96" s="45" t="s">
        <v>736</v>
      </c>
      <c r="E96" s="45" t="s">
        <v>1331</v>
      </c>
      <c r="F96" s="45" t="s">
        <v>1658</v>
      </c>
      <c r="G96" s="45" t="s">
        <v>39</v>
      </c>
      <c r="H96" s="45" t="s">
        <v>737</v>
      </c>
      <c r="I96" s="44" t="s">
        <v>738</v>
      </c>
      <c r="J96" s="44">
        <v>18</v>
      </c>
      <c r="K96" s="46" t="s">
        <v>702</v>
      </c>
      <c r="L96" s="46" t="s">
        <v>688</v>
      </c>
      <c r="M96" s="47" t="s">
        <v>970</v>
      </c>
      <c r="N96" s="47" t="s">
        <v>1809</v>
      </c>
      <c r="O96" s="48"/>
      <c r="P96" s="48"/>
      <c r="Q96" s="45"/>
      <c r="S96" s="1">
        <f t="shared" si="85"/>
        <v>0</v>
      </c>
      <c r="T96" s="1">
        <f t="shared" si="86"/>
        <v>0</v>
      </c>
      <c r="U96" s="1">
        <f t="shared" si="87"/>
        <v>0</v>
      </c>
      <c r="V96" s="1">
        <f t="shared" si="88"/>
        <v>0</v>
      </c>
      <c r="W96" s="1">
        <f t="shared" si="89"/>
        <v>0</v>
      </c>
      <c r="X96" s="1">
        <f t="shared" si="90"/>
        <v>0</v>
      </c>
      <c r="Y96" s="1">
        <f t="shared" si="91"/>
        <v>0</v>
      </c>
      <c r="Z96" s="1">
        <f t="shared" si="92"/>
        <v>0</v>
      </c>
      <c r="AA96" s="1">
        <f t="shared" si="93"/>
        <v>0</v>
      </c>
      <c r="AB96" s="1">
        <f t="shared" si="94"/>
        <v>0</v>
      </c>
      <c r="AD96" s="1">
        <f t="shared" si="95"/>
        <v>0</v>
      </c>
      <c r="AE96" s="1">
        <f t="shared" si="96"/>
        <v>0</v>
      </c>
      <c r="AF96" s="1">
        <f t="shared" si="69"/>
        <v>0</v>
      </c>
      <c r="AG96" s="1">
        <f t="shared" si="70"/>
        <v>0</v>
      </c>
      <c r="AH96" s="1">
        <f t="shared" si="71"/>
        <v>0</v>
      </c>
      <c r="AI96" s="1">
        <f t="shared" si="72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2" t="s">
        <v>1546</v>
      </c>
      <c r="E97" s="32" t="s">
        <v>172</v>
      </c>
      <c r="F97" s="32" t="s">
        <v>1547</v>
      </c>
      <c r="G97" s="32" t="s">
        <v>39</v>
      </c>
      <c r="H97" s="32" t="s">
        <v>364</v>
      </c>
      <c r="I97" s="31" t="s">
        <v>1548</v>
      </c>
      <c r="J97" s="31">
        <v>17</v>
      </c>
      <c r="K97" s="33" t="s">
        <v>722</v>
      </c>
      <c r="L97" s="33" t="s">
        <v>688</v>
      </c>
      <c r="M97" s="34" t="s">
        <v>39</v>
      </c>
      <c r="N97" s="34" t="s">
        <v>1727</v>
      </c>
      <c r="O97" s="35">
        <v>1</v>
      </c>
      <c r="P97" s="35">
        <v>1</v>
      </c>
      <c r="Q97" s="36" t="s">
        <v>1916</v>
      </c>
      <c r="S97" s="1">
        <f t="shared" si="73"/>
        <v>0</v>
      </c>
      <c r="T97" s="1">
        <f t="shared" si="74"/>
        <v>0</v>
      </c>
      <c r="U97" s="1">
        <f t="shared" si="75"/>
        <v>0</v>
      </c>
      <c r="V97" s="1">
        <f t="shared" si="76"/>
        <v>0</v>
      </c>
      <c r="W97" s="1">
        <f t="shared" si="77"/>
        <v>0</v>
      </c>
      <c r="X97" s="1">
        <f t="shared" si="78"/>
        <v>0</v>
      </c>
      <c r="Y97" s="1">
        <f t="shared" si="79"/>
        <v>0</v>
      </c>
      <c r="Z97" s="1">
        <f t="shared" si="80"/>
        <v>0</v>
      </c>
      <c r="AA97" s="1">
        <f t="shared" si="81"/>
        <v>0</v>
      </c>
      <c r="AB97" s="1">
        <f t="shared" si="82"/>
        <v>0</v>
      </c>
      <c r="AD97" s="1">
        <f t="shared" si="83"/>
        <v>1</v>
      </c>
      <c r="AE97" s="1">
        <f t="shared" si="84"/>
        <v>0</v>
      </c>
      <c r="AF97" s="1">
        <f t="shared" si="69"/>
        <v>1</v>
      </c>
      <c r="AG97" s="1">
        <f t="shared" si="70"/>
        <v>0</v>
      </c>
      <c r="AH97" s="1">
        <f t="shared" si="71"/>
        <v>1</v>
      </c>
      <c r="AI97" s="1">
        <f t="shared" si="72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119</v>
      </c>
      <c r="E98" s="32" t="s">
        <v>172</v>
      </c>
      <c r="F98" s="36" t="s">
        <v>320</v>
      </c>
      <c r="G98" s="36" t="s">
        <v>39</v>
      </c>
      <c r="H98" s="36" t="s">
        <v>370</v>
      </c>
      <c r="I98" s="37" t="s">
        <v>467</v>
      </c>
      <c r="J98" s="31">
        <v>14</v>
      </c>
      <c r="K98" s="33" t="s">
        <v>956</v>
      </c>
      <c r="L98" s="33" t="s">
        <v>694</v>
      </c>
      <c r="M98" s="34" t="s">
        <v>691</v>
      </c>
      <c r="N98" s="34" t="s">
        <v>1748</v>
      </c>
      <c r="O98" s="35">
        <v>1</v>
      </c>
      <c r="P98" s="35"/>
      <c r="Q98" s="36" t="s">
        <v>1889</v>
      </c>
      <c r="S98" s="1">
        <f t="shared" si="73"/>
        <v>0</v>
      </c>
      <c r="T98" s="1">
        <f t="shared" si="74"/>
        <v>0</v>
      </c>
      <c r="U98" s="1">
        <f t="shared" si="75"/>
        <v>0</v>
      </c>
      <c r="V98" s="1">
        <f t="shared" si="76"/>
        <v>0</v>
      </c>
      <c r="W98" s="1">
        <f t="shared" si="77"/>
        <v>0</v>
      </c>
      <c r="X98" s="1">
        <f t="shared" si="78"/>
        <v>0</v>
      </c>
      <c r="Y98" s="1">
        <f t="shared" si="79"/>
        <v>0</v>
      </c>
      <c r="Z98" s="1">
        <f t="shared" si="80"/>
        <v>0</v>
      </c>
      <c r="AA98" s="1">
        <f t="shared" si="81"/>
        <v>0</v>
      </c>
      <c r="AB98" s="1">
        <f t="shared" si="82"/>
        <v>0</v>
      </c>
      <c r="AD98" s="1">
        <f t="shared" si="83"/>
        <v>0</v>
      </c>
      <c r="AE98" s="1">
        <f t="shared" si="84"/>
        <v>1</v>
      </c>
      <c r="AF98" s="1">
        <f t="shared" si="69"/>
        <v>0</v>
      </c>
      <c r="AG98" s="1">
        <f t="shared" si="70"/>
        <v>1</v>
      </c>
      <c r="AH98" s="1">
        <f t="shared" si="71"/>
        <v>0</v>
      </c>
      <c r="AI98" s="1">
        <f t="shared" si="72"/>
        <v>1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6" t="s">
        <v>115</v>
      </c>
      <c r="E99" s="32" t="s">
        <v>170</v>
      </c>
      <c r="F99" s="36" t="s">
        <v>326</v>
      </c>
      <c r="G99" s="36" t="s">
        <v>230</v>
      </c>
      <c r="H99" s="36" t="s">
        <v>354</v>
      </c>
      <c r="I99" s="37" t="s">
        <v>474</v>
      </c>
      <c r="J99" s="31">
        <v>7</v>
      </c>
      <c r="K99" s="33" t="s">
        <v>702</v>
      </c>
      <c r="L99" s="33" t="s">
        <v>39</v>
      </c>
      <c r="M99" s="34" t="s">
        <v>39</v>
      </c>
      <c r="N99" s="34" t="s">
        <v>1733</v>
      </c>
      <c r="O99" s="35">
        <v>1</v>
      </c>
      <c r="P99" s="35">
        <v>1</v>
      </c>
      <c r="Q99" s="36"/>
      <c r="S99" s="1">
        <f t="shared" ref="S99:S101" si="97">IF(J99=$S$7,1,0)</f>
        <v>0</v>
      </c>
      <c r="T99" s="1">
        <f t="shared" ref="T99:T101" si="98">IF(J99=$T$7,1,0)</f>
        <v>0</v>
      </c>
      <c r="U99" s="1">
        <f t="shared" ref="U99:U101" si="99">IF(J99=$U$7,1,0)</f>
        <v>0</v>
      </c>
      <c r="V99" s="1">
        <f t="shared" ref="V99:V101" si="100">IF(J99=$V$7,1,0)</f>
        <v>0</v>
      </c>
      <c r="W99" s="1">
        <f t="shared" ref="W99:W101" si="101">IF(J99=$W$7,1,0)</f>
        <v>0</v>
      </c>
      <c r="X99" s="1">
        <f t="shared" ref="X99:X101" si="102">IF(J99=$X$7,1,0)</f>
        <v>0</v>
      </c>
      <c r="Y99" s="1">
        <f t="shared" ref="Y99:Y101" si="103">IF(J99=$Y$7,1,0)</f>
        <v>1</v>
      </c>
      <c r="Z99" s="1">
        <f t="shared" ref="Z99:Z101" si="104">IF(J99=$Z$7,1,0)</f>
        <v>0</v>
      </c>
      <c r="AA99" s="1">
        <f t="shared" ref="AA99:AA101" si="105">IF(J99=$AA$7,1,0)</f>
        <v>0</v>
      </c>
      <c r="AB99" s="1">
        <f t="shared" ref="AB99:AB101" si="106">IF(J99=$AB$7,1,0)</f>
        <v>0</v>
      </c>
      <c r="AD99" s="1">
        <f t="shared" ref="AD99:AD101" si="107">+O99*P99</f>
        <v>1</v>
      </c>
      <c r="AE99" s="1">
        <f t="shared" ref="AE99:AE101" si="108">O99*(1-P99)</f>
        <v>0</v>
      </c>
      <c r="AF99" s="1">
        <f t="shared" ref="AF99:AF101" si="109">+O99*P99*(1-A99)</f>
        <v>1</v>
      </c>
      <c r="AG99" s="1">
        <f t="shared" ref="AG99:AG101" si="110">O99*(1-P99)*(1-A99)</f>
        <v>0</v>
      </c>
      <c r="AH99" s="1">
        <f t="shared" ref="AH99:AH101" si="111">+P99*(1-A99)</f>
        <v>1</v>
      </c>
      <c r="AI99" s="1">
        <f t="shared" ref="AI99:AI101" si="112">+(1-A99)*(1-P99)</f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1932</v>
      </c>
      <c r="E100" s="32" t="s">
        <v>1933</v>
      </c>
      <c r="F100" s="36" t="s">
        <v>1934</v>
      </c>
      <c r="G100" s="36"/>
      <c r="H100" s="36" t="s">
        <v>366</v>
      </c>
      <c r="I100" s="37" t="s">
        <v>1936</v>
      </c>
      <c r="J100" s="31">
        <v>18</v>
      </c>
      <c r="K100" s="33" t="s">
        <v>703</v>
      </c>
      <c r="L100" s="33"/>
      <c r="M100" s="34"/>
      <c r="N100" s="34" t="s">
        <v>1733</v>
      </c>
      <c r="O100" s="35">
        <v>1</v>
      </c>
      <c r="P100" s="35">
        <v>1</v>
      </c>
      <c r="Q100" s="36" t="s">
        <v>1935</v>
      </c>
      <c r="S100" s="1">
        <f t="shared" si="97"/>
        <v>0</v>
      </c>
      <c r="T100" s="1">
        <f t="shared" si="98"/>
        <v>0</v>
      </c>
      <c r="U100" s="1">
        <f t="shared" si="99"/>
        <v>0</v>
      </c>
      <c r="V100" s="1">
        <f t="shared" si="100"/>
        <v>0</v>
      </c>
      <c r="W100" s="1">
        <f t="shared" si="101"/>
        <v>0</v>
      </c>
      <c r="X100" s="1">
        <f t="shared" si="102"/>
        <v>0</v>
      </c>
      <c r="Y100" s="1">
        <f t="shared" si="103"/>
        <v>0</v>
      </c>
      <c r="Z100" s="1">
        <f t="shared" si="104"/>
        <v>0</v>
      </c>
      <c r="AA100" s="1">
        <f t="shared" si="105"/>
        <v>0</v>
      </c>
      <c r="AB100" s="1">
        <f t="shared" si="106"/>
        <v>0</v>
      </c>
      <c r="AD100" s="1">
        <f t="shared" si="107"/>
        <v>1</v>
      </c>
      <c r="AE100" s="1">
        <f t="shared" si="108"/>
        <v>0</v>
      </c>
      <c r="AF100" s="1">
        <f t="shared" si="109"/>
        <v>1</v>
      </c>
      <c r="AG100" s="1">
        <f t="shared" si="110"/>
        <v>0</v>
      </c>
      <c r="AH100" s="1">
        <f t="shared" si="111"/>
        <v>1</v>
      </c>
      <c r="AI100" s="1">
        <f t="shared" si="112"/>
        <v>0</v>
      </c>
    </row>
    <row r="101" spans="1:35" ht="14.25" customHeight="1" x14ac:dyDescent="0.25">
      <c r="A101" s="44">
        <v>0</v>
      </c>
      <c r="B101" s="44">
        <v>1</v>
      </c>
      <c r="C101" s="44">
        <v>3</v>
      </c>
      <c r="D101" s="45" t="s">
        <v>1207</v>
      </c>
      <c r="E101" s="45" t="s">
        <v>175</v>
      </c>
      <c r="F101" s="45" t="s">
        <v>1339</v>
      </c>
      <c r="G101" s="45" t="s">
        <v>39</v>
      </c>
      <c r="H101" s="45" t="s">
        <v>611</v>
      </c>
      <c r="I101" s="44" t="s">
        <v>1208</v>
      </c>
      <c r="J101" s="44">
        <v>14</v>
      </c>
      <c r="K101" s="46" t="s">
        <v>956</v>
      </c>
      <c r="L101" s="46" t="s">
        <v>1699</v>
      </c>
      <c r="M101" s="47" t="s">
        <v>1391</v>
      </c>
      <c r="N101" s="47" t="s">
        <v>1802</v>
      </c>
      <c r="O101" s="48"/>
      <c r="P101" s="48"/>
      <c r="Q101" s="45"/>
      <c r="S101" s="1">
        <f t="shared" si="97"/>
        <v>0</v>
      </c>
      <c r="T101" s="1">
        <f t="shared" si="98"/>
        <v>0</v>
      </c>
      <c r="U101" s="1">
        <f t="shared" si="99"/>
        <v>0</v>
      </c>
      <c r="V101" s="1">
        <f t="shared" si="100"/>
        <v>0</v>
      </c>
      <c r="W101" s="1">
        <f t="shared" si="101"/>
        <v>0</v>
      </c>
      <c r="X101" s="1">
        <f t="shared" si="102"/>
        <v>0</v>
      </c>
      <c r="Y101" s="1">
        <f t="shared" si="103"/>
        <v>0</v>
      </c>
      <c r="Z101" s="1">
        <f t="shared" si="104"/>
        <v>0</v>
      </c>
      <c r="AA101" s="1">
        <f t="shared" si="105"/>
        <v>0</v>
      </c>
      <c r="AB101" s="1">
        <f t="shared" si="106"/>
        <v>0</v>
      </c>
      <c r="AD101" s="1">
        <f t="shared" si="107"/>
        <v>0</v>
      </c>
      <c r="AE101" s="1">
        <f t="shared" si="108"/>
        <v>0</v>
      </c>
      <c r="AF101" s="1">
        <f t="shared" si="109"/>
        <v>0</v>
      </c>
      <c r="AG101" s="1">
        <f t="shared" si="110"/>
        <v>0</v>
      </c>
      <c r="AH101" s="1">
        <f t="shared" si="111"/>
        <v>0</v>
      </c>
      <c r="AI101" s="1">
        <f t="shared" si="112"/>
        <v>1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821</v>
      </c>
      <c r="E102" s="32" t="s">
        <v>176</v>
      </c>
      <c r="F102" s="36" t="s">
        <v>927</v>
      </c>
      <c r="G102" s="36" t="s">
        <v>39</v>
      </c>
      <c r="H102" s="36" t="s">
        <v>372</v>
      </c>
      <c r="I102" s="37" t="s">
        <v>822</v>
      </c>
      <c r="J102" s="31">
        <v>16</v>
      </c>
      <c r="K102" s="33" t="s">
        <v>957</v>
      </c>
      <c r="L102" s="33" t="s">
        <v>688</v>
      </c>
      <c r="M102" s="34" t="s">
        <v>970</v>
      </c>
      <c r="N102" s="34" t="s">
        <v>1727</v>
      </c>
      <c r="O102" s="35">
        <v>1</v>
      </c>
      <c r="P102" s="35">
        <v>1</v>
      </c>
      <c r="Q102" s="36"/>
      <c r="S102" s="1">
        <f t="shared" si="73"/>
        <v>0</v>
      </c>
      <c r="T102" s="1">
        <f t="shared" si="74"/>
        <v>0</v>
      </c>
      <c r="U102" s="1">
        <f t="shared" si="75"/>
        <v>0</v>
      </c>
      <c r="V102" s="1">
        <f t="shared" si="76"/>
        <v>0</v>
      </c>
      <c r="W102" s="1">
        <f t="shared" si="77"/>
        <v>0</v>
      </c>
      <c r="X102" s="1">
        <f t="shared" si="78"/>
        <v>0</v>
      </c>
      <c r="Y102" s="1">
        <f t="shared" si="79"/>
        <v>0</v>
      </c>
      <c r="Z102" s="1">
        <f t="shared" si="80"/>
        <v>0</v>
      </c>
      <c r="AA102" s="1">
        <f t="shared" si="81"/>
        <v>0</v>
      </c>
      <c r="AB102" s="1">
        <f t="shared" si="82"/>
        <v>0</v>
      </c>
      <c r="AD102" s="1">
        <f t="shared" si="83"/>
        <v>1</v>
      </c>
      <c r="AE102" s="1">
        <f t="shared" si="84"/>
        <v>0</v>
      </c>
      <c r="AF102" s="1">
        <f t="shared" si="69"/>
        <v>1</v>
      </c>
      <c r="AG102" s="1">
        <f t="shared" si="70"/>
        <v>0</v>
      </c>
      <c r="AH102" s="1">
        <f t="shared" si="71"/>
        <v>1</v>
      </c>
      <c r="AI102" s="1">
        <f t="shared" si="72"/>
        <v>0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104</v>
      </c>
      <c r="E103" s="16" t="s">
        <v>170</v>
      </c>
      <c r="F103" s="16" t="s">
        <v>303</v>
      </c>
      <c r="G103" s="16" t="s">
        <v>39</v>
      </c>
      <c r="H103" s="16" t="s">
        <v>357</v>
      </c>
      <c r="I103" s="15" t="s">
        <v>451</v>
      </c>
      <c r="J103" s="15">
        <v>18</v>
      </c>
      <c r="K103" s="10" t="s">
        <v>702</v>
      </c>
      <c r="L103" s="10" t="s">
        <v>688</v>
      </c>
      <c r="M103" s="19" t="s">
        <v>691</v>
      </c>
      <c r="N103" s="17"/>
      <c r="Q103" s="16"/>
      <c r="S103" s="1">
        <f t="shared" si="73"/>
        <v>0</v>
      </c>
      <c r="T103" s="1">
        <f t="shared" si="74"/>
        <v>0</v>
      </c>
      <c r="U103" s="1">
        <f t="shared" si="75"/>
        <v>0</v>
      </c>
      <c r="V103" s="1">
        <f t="shared" si="76"/>
        <v>0</v>
      </c>
      <c r="W103" s="1">
        <f t="shared" si="77"/>
        <v>0</v>
      </c>
      <c r="X103" s="1">
        <f t="shared" si="78"/>
        <v>0</v>
      </c>
      <c r="Y103" s="1">
        <f t="shared" si="79"/>
        <v>0</v>
      </c>
      <c r="Z103" s="1">
        <f t="shared" si="80"/>
        <v>0</v>
      </c>
      <c r="AA103" s="1">
        <f t="shared" si="81"/>
        <v>0</v>
      </c>
      <c r="AB103" s="1">
        <f t="shared" si="82"/>
        <v>0</v>
      </c>
      <c r="AD103" s="1">
        <f t="shared" si="83"/>
        <v>0</v>
      </c>
      <c r="AE103" s="1">
        <f t="shared" si="84"/>
        <v>0</v>
      </c>
      <c r="AF103" s="1">
        <f t="shared" si="69"/>
        <v>0</v>
      </c>
      <c r="AG103" s="1">
        <f t="shared" si="70"/>
        <v>0</v>
      </c>
      <c r="AH103" s="1">
        <f t="shared" si="71"/>
        <v>0</v>
      </c>
      <c r="AI103" s="1">
        <f t="shared" si="72"/>
        <v>1</v>
      </c>
    </row>
    <row r="104" spans="1:35" ht="14.25" customHeight="1" x14ac:dyDescent="0.25">
      <c r="A104" s="44">
        <v>0</v>
      </c>
      <c r="B104" s="44">
        <v>1</v>
      </c>
      <c r="C104" s="44">
        <v>3</v>
      </c>
      <c r="D104" s="45" t="s">
        <v>516</v>
      </c>
      <c r="E104" s="45" t="s">
        <v>170</v>
      </c>
      <c r="F104" s="45" t="s">
        <v>517</v>
      </c>
      <c r="G104" s="45" t="s">
        <v>504</v>
      </c>
      <c r="H104" s="45" t="s">
        <v>354</v>
      </c>
      <c r="I104" s="44" t="s">
        <v>518</v>
      </c>
      <c r="J104" s="44">
        <v>99</v>
      </c>
      <c r="K104" s="46" t="s">
        <v>956</v>
      </c>
      <c r="L104" s="46" t="s">
        <v>694</v>
      </c>
      <c r="M104" s="47" t="s">
        <v>691</v>
      </c>
      <c r="N104" s="47" t="s">
        <v>1747</v>
      </c>
      <c r="O104" s="48"/>
      <c r="P104" s="48"/>
      <c r="Q104" s="45"/>
      <c r="S104" s="1">
        <f t="shared" si="73"/>
        <v>0</v>
      </c>
      <c r="T104" s="1">
        <f t="shared" si="74"/>
        <v>0</v>
      </c>
      <c r="U104" s="1">
        <f t="shared" si="75"/>
        <v>0</v>
      </c>
      <c r="V104" s="1">
        <f t="shared" si="76"/>
        <v>0</v>
      </c>
      <c r="W104" s="1">
        <f t="shared" si="77"/>
        <v>0</v>
      </c>
      <c r="X104" s="1">
        <f t="shared" si="78"/>
        <v>0</v>
      </c>
      <c r="Y104" s="1">
        <f t="shared" si="79"/>
        <v>0</v>
      </c>
      <c r="Z104" s="1">
        <f t="shared" si="80"/>
        <v>0</v>
      </c>
      <c r="AA104" s="1">
        <f t="shared" si="81"/>
        <v>0</v>
      </c>
      <c r="AB104" s="1">
        <f t="shared" si="82"/>
        <v>0</v>
      </c>
      <c r="AD104" s="1">
        <f t="shared" si="83"/>
        <v>0</v>
      </c>
      <c r="AE104" s="1">
        <f t="shared" si="84"/>
        <v>0</v>
      </c>
      <c r="AF104" s="1">
        <f t="shared" si="69"/>
        <v>0</v>
      </c>
      <c r="AG104" s="1">
        <f t="shared" si="70"/>
        <v>0</v>
      </c>
      <c r="AH104" s="1">
        <f t="shared" si="71"/>
        <v>0</v>
      </c>
      <c r="AI104" s="1">
        <f t="shared" si="72"/>
        <v>1</v>
      </c>
    </row>
    <row r="105" spans="1:35" ht="14.25" customHeight="1" x14ac:dyDescent="0.25">
      <c r="A105" s="15">
        <v>0</v>
      </c>
      <c r="B105" s="15">
        <v>1</v>
      </c>
      <c r="C105" s="15">
        <v>3</v>
      </c>
      <c r="D105" s="16" t="s">
        <v>1645</v>
      </c>
      <c r="E105" s="16" t="s">
        <v>1087</v>
      </c>
      <c r="F105" s="16" t="s">
        <v>1219</v>
      </c>
      <c r="G105" s="16" t="s">
        <v>39</v>
      </c>
      <c r="H105" s="16" t="s">
        <v>1220</v>
      </c>
      <c r="I105" s="15" t="s">
        <v>1221</v>
      </c>
      <c r="J105" s="15">
        <v>18</v>
      </c>
      <c r="K105" s="10" t="s">
        <v>958</v>
      </c>
      <c r="L105" s="10" t="s">
        <v>688</v>
      </c>
      <c r="M105" s="19" t="s">
        <v>970</v>
      </c>
      <c r="N105" s="17"/>
      <c r="Q105" s="16" t="s">
        <v>1884</v>
      </c>
      <c r="S105" s="1">
        <f t="shared" si="73"/>
        <v>0</v>
      </c>
      <c r="T105" s="1">
        <f t="shared" si="74"/>
        <v>0</v>
      </c>
      <c r="U105" s="1">
        <f t="shared" si="75"/>
        <v>0</v>
      </c>
      <c r="V105" s="1">
        <f t="shared" si="76"/>
        <v>0</v>
      </c>
      <c r="W105" s="1">
        <f t="shared" si="77"/>
        <v>0</v>
      </c>
      <c r="X105" s="1">
        <f t="shared" si="78"/>
        <v>0</v>
      </c>
      <c r="Y105" s="1">
        <f t="shared" si="79"/>
        <v>0</v>
      </c>
      <c r="Z105" s="1">
        <f t="shared" si="80"/>
        <v>0</v>
      </c>
      <c r="AA105" s="1">
        <f t="shared" si="81"/>
        <v>0</v>
      </c>
      <c r="AB105" s="1">
        <f t="shared" si="82"/>
        <v>0</v>
      </c>
      <c r="AD105" s="1">
        <f t="shared" si="83"/>
        <v>0</v>
      </c>
      <c r="AE105" s="1">
        <f t="shared" si="84"/>
        <v>0</v>
      </c>
      <c r="AF105" s="1">
        <f t="shared" si="69"/>
        <v>0</v>
      </c>
      <c r="AG105" s="1">
        <f t="shared" si="70"/>
        <v>0</v>
      </c>
      <c r="AH105" s="1">
        <f t="shared" si="71"/>
        <v>0</v>
      </c>
      <c r="AI105" s="1">
        <f t="shared" si="72"/>
        <v>1</v>
      </c>
    </row>
    <row r="106" spans="1:35" ht="14.25" customHeight="1" x14ac:dyDescent="0.25">
      <c r="A106" s="15">
        <v>0</v>
      </c>
      <c r="B106" s="15">
        <v>1</v>
      </c>
      <c r="C106" s="15">
        <v>3</v>
      </c>
      <c r="D106" s="16" t="s">
        <v>1558</v>
      </c>
      <c r="E106" s="16" t="s">
        <v>170</v>
      </c>
      <c r="F106" s="16" t="s">
        <v>1677</v>
      </c>
      <c r="G106" s="16" t="s">
        <v>39</v>
      </c>
      <c r="H106" s="16" t="s">
        <v>357</v>
      </c>
      <c r="I106" s="15" t="s">
        <v>1559</v>
      </c>
      <c r="J106" s="15">
        <v>18</v>
      </c>
      <c r="K106" s="10" t="s">
        <v>722</v>
      </c>
      <c r="L106" s="10" t="s">
        <v>688</v>
      </c>
      <c r="M106" s="19" t="s">
        <v>691</v>
      </c>
      <c r="N106" s="17"/>
      <c r="Q106" s="16"/>
      <c r="S106" s="1">
        <f t="shared" si="73"/>
        <v>0</v>
      </c>
      <c r="T106" s="1">
        <f t="shared" si="74"/>
        <v>0</v>
      </c>
      <c r="U106" s="1">
        <f t="shared" si="75"/>
        <v>0</v>
      </c>
      <c r="V106" s="1">
        <f t="shared" si="76"/>
        <v>0</v>
      </c>
      <c r="W106" s="1">
        <f t="shared" si="77"/>
        <v>0</v>
      </c>
      <c r="X106" s="1">
        <f t="shared" si="78"/>
        <v>0</v>
      </c>
      <c r="Y106" s="1">
        <f t="shared" si="79"/>
        <v>0</v>
      </c>
      <c r="Z106" s="1">
        <f t="shared" si="80"/>
        <v>0</v>
      </c>
      <c r="AA106" s="1">
        <f t="shared" si="81"/>
        <v>0</v>
      </c>
      <c r="AB106" s="1">
        <f t="shared" si="82"/>
        <v>0</v>
      </c>
      <c r="AD106" s="1">
        <f t="shared" si="83"/>
        <v>0</v>
      </c>
      <c r="AE106" s="1">
        <f t="shared" si="84"/>
        <v>0</v>
      </c>
      <c r="AF106" s="1">
        <f t="shared" si="69"/>
        <v>0</v>
      </c>
      <c r="AG106" s="1">
        <f t="shared" si="70"/>
        <v>0</v>
      </c>
      <c r="AH106" s="1">
        <f t="shared" si="71"/>
        <v>0</v>
      </c>
      <c r="AI106" s="1">
        <f t="shared" si="72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1319</v>
      </c>
      <c r="E107" s="32" t="s">
        <v>175</v>
      </c>
      <c r="F107" s="32" t="s">
        <v>1340</v>
      </c>
      <c r="G107" s="32" t="s">
        <v>39</v>
      </c>
      <c r="H107" s="32" t="s">
        <v>354</v>
      </c>
      <c r="I107" s="31" t="s">
        <v>1136</v>
      </c>
      <c r="J107" s="31">
        <v>99</v>
      </c>
      <c r="K107" s="33" t="s">
        <v>702</v>
      </c>
      <c r="L107" s="33" t="s">
        <v>1699</v>
      </c>
      <c r="M107" s="34" t="s">
        <v>1392</v>
      </c>
      <c r="N107" s="34" t="s">
        <v>1749</v>
      </c>
      <c r="O107" s="35">
        <v>1</v>
      </c>
      <c r="P107" s="35"/>
      <c r="Q107" s="32"/>
      <c r="S107" s="1">
        <f t="shared" si="73"/>
        <v>0</v>
      </c>
      <c r="T107" s="1">
        <f t="shared" si="74"/>
        <v>0</v>
      </c>
      <c r="U107" s="1">
        <f t="shared" si="75"/>
        <v>0</v>
      </c>
      <c r="V107" s="1">
        <f t="shared" si="76"/>
        <v>0</v>
      </c>
      <c r="W107" s="1">
        <f t="shared" si="77"/>
        <v>0</v>
      </c>
      <c r="X107" s="1">
        <f t="shared" si="78"/>
        <v>0</v>
      </c>
      <c r="Y107" s="1">
        <f t="shared" si="79"/>
        <v>0</v>
      </c>
      <c r="Z107" s="1">
        <f t="shared" si="80"/>
        <v>0</v>
      </c>
      <c r="AA107" s="1">
        <f t="shared" si="81"/>
        <v>0</v>
      </c>
      <c r="AB107" s="1">
        <f t="shared" si="82"/>
        <v>0</v>
      </c>
      <c r="AD107" s="1">
        <f t="shared" si="83"/>
        <v>0</v>
      </c>
      <c r="AE107" s="1">
        <f t="shared" si="84"/>
        <v>1</v>
      </c>
      <c r="AF107" s="1">
        <f t="shared" si="69"/>
        <v>0</v>
      </c>
      <c r="AG107" s="1">
        <f t="shared" si="70"/>
        <v>1</v>
      </c>
      <c r="AH107" s="1">
        <f t="shared" si="71"/>
        <v>0</v>
      </c>
      <c r="AI107" s="1">
        <f t="shared" si="72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1263</v>
      </c>
      <c r="E108" s="32" t="s">
        <v>170</v>
      </c>
      <c r="F108" s="32" t="s">
        <v>1341</v>
      </c>
      <c r="G108" s="32" t="s">
        <v>1194</v>
      </c>
      <c r="H108" s="32" t="s">
        <v>354</v>
      </c>
      <c r="I108" s="31" t="s">
        <v>1195</v>
      </c>
      <c r="J108" s="31">
        <v>99</v>
      </c>
      <c r="K108" s="33" t="s">
        <v>722</v>
      </c>
      <c r="L108" s="33">
        <v>50</v>
      </c>
      <c r="M108" s="34" t="s">
        <v>39</v>
      </c>
      <c r="N108" s="34" t="s">
        <v>1801</v>
      </c>
      <c r="O108" s="35">
        <v>1</v>
      </c>
      <c r="P108" s="35"/>
      <c r="Q108" s="32"/>
      <c r="S108" s="1">
        <f t="shared" si="73"/>
        <v>0</v>
      </c>
      <c r="T108" s="1">
        <f t="shared" si="74"/>
        <v>0</v>
      </c>
      <c r="U108" s="1">
        <f t="shared" si="75"/>
        <v>0</v>
      </c>
      <c r="V108" s="1">
        <f t="shared" si="76"/>
        <v>0</v>
      </c>
      <c r="W108" s="1">
        <f t="shared" si="77"/>
        <v>0</v>
      </c>
      <c r="X108" s="1">
        <f t="shared" si="78"/>
        <v>0</v>
      </c>
      <c r="Y108" s="1">
        <f t="shared" si="79"/>
        <v>0</v>
      </c>
      <c r="Z108" s="1">
        <f t="shared" si="80"/>
        <v>0</v>
      </c>
      <c r="AA108" s="1">
        <f t="shared" si="81"/>
        <v>0</v>
      </c>
      <c r="AB108" s="1">
        <f t="shared" si="82"/>
        <v>0</v>
      </c>
      <c r="AD108" s="1">
        <f t="shared" si="83"/>
        <v>0</v>
      </c>
      <c r="AE108" s="1">
        <f t="shared" si="84"/>
        <v>1</v>
      </c>
      <c r="AF108" s="1">
        <f t="shared" si="69"/>
        <v>0</v>
      </c>
      <c r="AG108" s="1">
        <f t="shared" si="70"/>
        <v>1</v>
      </c>
      <c r="AH108" s="1">
        <f t="shared" si="71"/>
        <v>0</v>
      </c>
      <c r="AI108" s="1">
        <f t="shared" si="72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1019</v>
      </c>
      <c r="E109" s="32" t="s">
        <v>610</v>
      </c>
      <c r="F109" s="32" t="s">
        <v>1020</v>
      </c>
      <c r="G109" s="32" t="s">
        <v>1021</v>
      </c>
      <c r="H109" s="32" t="s">
        <v>354</v>
      </c>
      <c r="I109" s="31" t="s">
        <v>1022</v>
      </c>
      <c r="J109" s="31">
        <v>99</v>
      </c>
      <c r="K109" s="33" t="s">
        <v>956</v>
      </c>
      <c r="L109" s="33" t="s">
        <v>39</v>
      </c>
      <c r="M109" s="34" t="s">
        <v>39</v>
      </c>
      <c r="N109" s="34" t="s">
        <v>1733</v>
      </c>
      <c r="O109" s="35">
        <v>1</v>
      </c>
      <c r="P109" s="35">
        <v>1</v>
      </c>
      <c r="Q109" s="32"/>
      <c r="S109" s="1">
        <f t="shared" si="73"/>
        <v>0</v>
      </c>
      <c r="T109" s="1">
        <f t="shared" si="74"/>
        <v>0</v>
      </c>
      <c r="U109" s="1">
        <f t="shared" si="75"/>
        <v>0</v>
      </c>
      <c r="V109" s="1">
        <f t="shared" si="76"/>
        <v>0</v>
      </c>
      <c r="W109" s="1">
        <f t="shared" si="77"/>
        <v>0</v>
      </c>
      <c r="X109" s="1">
        <f t="shared" si="78"/>
        <v>0</v>
      </c>
      <c r="Y109" s="1">
        <f t="shared" si="79"/>
        <v>0</v>
      </c>
      <c r="Z109" s="1">
        <f t="shared" si="80"/>
        <v>0</v>
      </c>
      <c r="AA109" s="1">
        <f t="shared" si="81"/>
        <v>0</v>
      </c>
      <c r="AB109" s="1">
        <f t="shared" si="82"/>
        <v>0</v>
      </c>
      <c r="AD109" s="1">
        <f t="shared" si="83"/>
        <v>1</v>
      </c>
      <c r="AE109" s="1">
        <f t="shared" si="84"/>
        <v>0</v>
      </c>
      <c r="AF109" s="1">
        <f t="shared" si="69"/>
        <v>1</v>
      </c>
      <c r="AG109" s="1">
        <f t="shared" si="70"/>
        <v>0</v>
      </c>
      <c r="AH109" s="1">
        <f t="shared" si="71"/>
        <v>1</v>
      </c>
      <c r="AI109" s="1">
        <f t="shared" si="72"/>
        <v>0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141</v>
      </c>
      <c r="E110" s="32" t="s">
        <v>175</v>
      </c>
      <c r="F110" s="32" t="s">
        <v>342</v>
      </c>
      <c r="G110" s="32" t="s">
        <v>39</v>
      </c>
      <c r="H110" s="32" t="s">
        <v>376</v>
      </c>
      <c r="I110" s="31" t="s">
        <v>489</v>
      </c>
      <c r="J110" s="31">
        <v>16</v>
      </c>
      <c r="K110" s="33" t="s">
        <v>702</v>
      </c>
      <c r="L110" s="33" t="s">
        <v>688</v>
      </c>
      <c r="M110" s="34" t="s">
        <v>1393</v>
      </c>
      <c r="N110" s="34" t="s">
        <v>1748</v>
      </c>
      <c r="O110" s="35">
        <v>1</v>
      </c>
      <c r="P110" s="35"/>
      <c r="Q110" s="32"/>
      <c r="S110" s="1">
        <f t="shared" si="73"/>
        <v>0</v>
      </c>
      <c r="T110" s="1">
        <f t="shared" si="74"/>
        <v>0</v>
      </c>
      <c r="U110" s="1">
        <f t="shared" si="75"/>
        <v>0</v>
      </c>
      <c r="V110" s="1">
        <f t="shared" si="76"/>
        <v>0</v>
      </c>
      <c r="W110" s="1">
        <f t="shared" si="77"/>
        <v>0</v>
      </c>
      <c r="X110" s="1">
        <f t="shared" si="78"/>
        <v>0</v>
      </c>
      <c r="Y110" s="1">
        <f t="shared" si="79"/>
        <v>0</v>
      </c>
      <c r="Z110" s="1">
        <f t="shared" si="80"/>
        <v>0</v>
      </c>
      <c r="AA110" s="1">
        <f t="shared" si="81"/>
        <v>0</v>
      </c>
      <c r="AB110" s="1">
        <f t="shared" si="82"/>
        <v>0</v>
      </c>
      <c r="AD110" s="1">
        <f t="shared" si="83"/>
        <v>0</v>
      </c>
      <c r="AE110" s="1">
        <f t="shared" si="84"/>
        <v>1</v>
      </c>
      <c r="AF110" s="1">
        <f t="shared" si="69"/>
        <v>0</v>
      </c>
      <c r="AG110" s="1">
        <f t="shared" si="70"/>
        <v>1</v>
      </c>
      <c r="AH110" s="1">
        <f t="shared" si="71"/>
        <v>0</v>
      </c>
      <c r="AI110" s="1">
        <f t="shared" si="72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817</v>
      </c>
      <c r="E111" s="32" t="s">
        <v>172</v>
      </c>
      <c r="F111" s="32" t="s">
        <v>818</v>
      </c>
      <c r="G111" s="32" t="s">
        <v>39</v>
      </c>
      <c r="H111" s="32" t="s">
        <v>819</v>
      </c>
      <c r="I111" s="31" t="s">
        <v>820</v>
      </c>
      <c r="J111" s="31">
        <v>16</v>
      </c>
      <c r="K111" s="33" t="s">
        <v>702</v>
      </c>
      <c r="L111" s="33" t="s">
        <v>688</v>
      </c>
      <c r="M111" s="34" t="s">
        <v>1393</v>
      </c>
      <c r="N111" s="34" t="s">
        <v>1727</v>
      </c>
      <c r="O111" s="35">
        <v>1</v>
      </c>
      <c r="P111" s="35">
        <v>1</v>
      </c>
      <c r="Q111" s="32"/>
      <c r="S111" s="1">
        <f t="shared" si="73"/>
        <v>0</v>
      </c>
      <c r="T111" s="1">
        <f t="shared" si="74"/>
        <v>0</v>
      </c>
      <c r="U111" s="1">
        <f t="shared" si="75"/>
        <v>0</v>
      </c>
      <c r="V111" s="1">
        <f t="shared" si="76"/>
        <v>0</v>
      </c>
      <c r="W111" s="1">
        <f t="shared" si="77"/>
        <v>0</v>
      </c>
      <c r="X111" s="1">
        <f t="shared" si="78"/>
        <v>0</v>
      </c>
      <c r="Y111" s="1">
        <f t="shared" si="79"/>
        <v>0</v>
      </c>
      <c r="Z111" s="1">
        <f t="shared" si="80"/>
        <v>0</v>
      </c>
      <c r="AA111" s="1">
        <f t="shared" si="81"/>
        <v>0</v>
      </c>
      <c r="AB111" s="1">
        <f t="shared" si="82"/>
        <v>0</v>
      </c>
      <c r="AD111" s="1">
        <f t="shared" si="83"/>
        <v>1</v>
      </c>
      <c r="AE111" s="1">
        <f t="shared" si="84"/>
        <v>0</v>
      </c>
      <c r="AF111" s="1">
        <f t="shared" si="69"/>
        <v>1</v>
      </c>
      <c r="AG111" s="1">
        <f t="shared" si="70"/>
        <v>0</v>
      </c>
      <c r="AH111" s="1">
        <f t="shared" si="71"/>
        <v>1</v>
      </c>
      <c r="AI111" s="1">
        <f t="shared" si="72"/>
        <v>0</v>
      </c>
    </row>
    <row r="112" spans="1:35" ht="14.25" customHeight="1" x14ac:dyDescent="0.25">
      <c r="A112" s="15">
        <v>0</v>
      </c>
      <c r="B112" s="15">
        <v>1</v>
      </c>
      <c r="C112" s="15">
        <v>3</v>
      </c>
      <c r="D112" s="16" t="s">
        <v>108</v>
      </c>
      <c r="E112" s="16" t="s">
        <v>170</v>
      </c>
      <c r="F112" s="16" t="s">
        <v>306</v>
      </c>
      <c r="G112" s="16" t="s">
        <v>39</v>
      </c>
      <c r="H112" s="16" t="s">
        <v>361</v>
      </c>
      <c r="I112" s="15" t="s">
        <v>455</v>
      </c>
      <c r="J112" s="15">
        <v>18</v>
      </c>
      <c r="K112" s="10" t="s">
        <v>703</v>
      </c>
      <c r="L112" s="10" t="s">
        <v>688</v>
      </c>
      <c r="M112" s="19" t="s">
        <v>691</v>
      </c>
      <c r="N112" s="17"/>
      <c r="Q112" s="20" t="s">
        <v>1883</v>
      </c>
      <c r="S112" s="1">
        <f t="shared" si="73"/>
        <v>0</v>
      </c>
      <c r="T112" s="1">
        <f t="shared" si="74"/>
        <v>0</v>
      </c>
      <c r="U112" s="1">
        <f t="shared" si="75"/>
        <v>0</v>
      </c>
      <c r="V112" s="1">
        <f t="shared" si="76"/>
        <v>0</v>
      </c>
      <c r="W112" s="1">
        <f t="shared" si="77"/>
        <v>0</v>
      </c>
      <c r="X112" s="1">
        <f t="shared" si="78"/>
        <v>0</v>
      </c>
      <c r="Y112" s="1">
        <f t="shared" si="79"/>
        <v>0</v>
      </c>
      <c r="Z112" s="1">
        <f t="shared" si="80"/>
        <v>0</v>
      </c>
      <c r="AA112" s="1">
        <f t="shared" si="81"/>
        <v>0</v>
      </c>
      <c r="AB112" s="1">
        <f t="shared" si="82"/>
        <v>0</v>
      </c>
      <c r="AD112" s="1">
        <f t="shared" si="83"/>
        <v>0</v>
      </c>
      <c r="AE112" s="1">
        <f t="shared" si="84"/>
        <v>0</v>
      </c>
      <c r="AF112" s="1">
        <f t="shared" si="69"/>
        <v>0</v>
      </c>
      <c r="AG112" s="1">
        <f t="shared" si="70"/>
        <v>0</v>
      </c>
      <c r="AH112" s="1">
        <f t="shared" si="71"/>
        <v>0</v>
      </c>
      <c r="AI112" s="1">
        <f t="shared" si="72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1505</v>
      </c>
      <c r="E113" s="32" t="s">
        <v>170</v>
      </c>
      <c r="F113" s="32" t="s">
        <v>1506</v>
      </c>
      <c r="G113" s="32" t="s">
        <v>39</v>
      </c>
      <c r="H113" s="32" t="s">
        <v>374</v>
      </c>
      <c r="I113" s="31" t="s">
        <v>1507</v>
      </c>
      <c r="J113" s="31">
        <v>11</v>
      </c>
      <c r="K113" s="33" t="s">
        <v>722</v>
      </c>
      <c r="L113" s="33">
        <v>50</v>
      </c>
      <c r="M113" s="34" t="s">
        <v>39</v>
      </c>
      <c r="N113" s="34" t="s">
        <v>1749</v>
      </c>
      <c r="O113" s="35">
        <v>1</v>
      </c>
      <c r="P113" s="35"/>
      <c r="Q113" s="32"/>
      <c r="S113" s="1">
        <f t="shared" si="73"/>
        <v>0</v>
      </c>
      <c r="T113" s="1">
        <f t="shared" si="74"/>
        <v>0</v>
      </c>
      <c r="U113" s="1">
        <f t="shared" si="75"/>
        <v>0</v>
      </c>
      <c r="V113" s="1">
        <f t="shared" si="76"/>
        <v>0</v>
      </c>
      <c r="W113" s="1">
        <f t="shared" si="77"/>
        <v>0</v>
      </c>
      <c r="X113" s="1">
        <f t="shared" si="78"/>
        <v>0</v>
      </c>
      <c r="Y113" s="1">
        <f t="shared" si="79"/>
        <v>0</v>
      </c>
      <c r="Z113" s="1">
        <f t="shared" si="80"/>
        <v>0</v>
      </c>
      <c r="AA113" s="1">
        <f t="shared" si="81"/>
        <v>0</v>
      </c>
      <c r="AB113" s="1">
        <f t="shared" si="82"/>
        <v>0</v>
      </c>
      <c r="AD113" s="1">
        <f t="shared" si="83"/>
        <v>0</v>
      </c>
      <c r="AE113" s="1">
        <f t="shared" si="84"/>
        <v>1</v>
      </c>
      <c r="AF113" s="1">
        <f t="shared" si="69"/>
        <v>0</v>
      </c>
      <c r="AG113" s="1">
        <f t="shared" si="70"/>
        <v>1</v>
      </c>
      <c r="AH113" s="1">
        <f t="shared" si="71"/>
        <v>0</v>
      </c>
      <c r="AI113" s="1">
        <f t="shared" si="72"/>
        <v>1</v>
      </c>
    </row>
    <row r="114" spans="1:35" ht="14.25" customHeight="1" x14ac:dyDescent="0.25">
      <c r="A114" s="44">
        <v>0</v>
      </c>
      <c r="B114" s="44">
        <v>1</v>
      </c>
      <c r="C114" s="44">
        <v>3</v>
      </c>
      <c r="D114" s="45" t="s">
        <v>107</v>
      </c>
      <c r="E114" s="45" t="s">
        <v>170</v>
      </c>
      <c r="F114" s="45" t="s">
        <v>305</v>
      </c>
      <c r="G114" s="45" t="s">
        <v>39</v>
      </c>
      <c r="H114" s="45" t="s">
        <v>360</v>
      </c>
      <c r="I114" s="44" t="s">
        <v>454</v>
      </c>
      <c r="J114" s="44">
        <v>18</v>
      </c>
      <c r="K114" s="46" t="s">
        <v>702</v>
      </c>
      <c r="L114" s="46">
        <v>55</v>
      </c>
      <c r="M114" s="47" t="s">
        <v>691</v>
      </c>
      <c r="N114" s="47" t="s">
        <v>1734</v>
      </c>
      <c r="O114" s="48"/>
      <c r="P114" s="48"/>
      <c r="Q114" s="45"/>
      <c r="S114" s="1">
        <f t="shared" si="73"/>
        <v>0</v>
      </c>
      <c r="T114" s="1">
        <f t="shared" si="74"/>
        <v>0</v>
      </c>
      <c r="U114" s="1">
        <f t="shared" si="75"/>
        <v>0</v>
      </c>
      <c r="V114" s="1">
        <f t="shared" si="76"/>
        <v>0</v>
      </c>
      <c r="W114" s="1">
        <f t="shared" si="77"/>
        <v>0</v>
      </c>
      <c r="X114" s="1">
        <f t="shared" si="78"/>
        <v>0</v>
      </c>
      <c r="Y114" s="1">
        <f t="shared" si="79"/>
        <v>0</v>
      </c>
      <c r="Z114" s="1">
        <f t="shared" si="80"/>
        <v>0</v>
      </c>
      <c r="AA114" s="1">
        <f t="shared" si="81"/>
        <v>0</v>
      </c>
      <c r="AB114" s="1">
        <f t="shared" si="82"/>
        <v>0</v>
      </c>
      <c r="AD114" s="1">
        <f t="shared" si="83"/>
        <v>0</v>
      </c>
      <c r="AE114" s="1">
        <f t="shared" si="84"/>
        <v>0</v>
      </c>
      <c r="AF114" s="1">
        <f t="shared" si="69"/>
        <v>0</v>
      </c>
      <c r="AG114" s="1">
        <f t="shared" si="70"/>
        <v>0</v>
      </c>
      <c r="AH114" s="1">
        <f t="shared" si="71"/>
        <v>0</v>
      </c>
      <c r="AI114" s="1">
        <f t="shared" si="72"/>
        <v>1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128</v>
      </c>
      <c r="E115" s="32" t="s">
        <v>175</v>
      </c>
      <c r="F115" s="32" t="s">
        <v>329</v>
      </c>
      <c r="G115" s="32" t="s">
        <v>39</v>
      </c>
      <c r="H115" s="32" t="s">
        <v>375</v>
      </c>
      <c r="I115" s="31" t="s">
        <v>477</v>
      </c>
      <c r="J115" s="31">
        <v>12</v>
      </c>
      <c r="K115" s="33" t="s">
        <v>702</v>
      </c>
      <c r="L115" s="33">
        <v>35</v>
      </c>
      <c r="M115" s="34" t="s">
        <v>691</v>
      </c>
      <c r="N115" s="34" t="s">
        <v>1749</v>
      </c>
      <c r="O115" s="35">
        <v>1</v>
      </c>
      <c r="P115" s="35"/>
      <c r="Q115" s="32"/>
      <c r="S115" s="1">
        <f t="shared" si="73"/>
        <v>0</v>
      </c>
      <c r="T115" s="1">
        <f t="shared" si="74"/>
        <v>0</v>
      </c>
      <c r="U115" s="1">
        <f t="shared" si="75"/>
        <v>0</v>
      </c>
      <c r="V115" s="1">
        <f t="shared" si="76"/>
        <v>0</v>
      </c>
      <c r="W115" s="1">
        <f t="shared" si="77"/>
        <v>0</v>
      </c>
      <c r="X115" s="1">
        <f t="shared" si="78"/>
        <v>0</v>
      </c>
      <c r="Y115" s="1">
        <f t="shared" si="79"/>
        <v>0</v>
      </c>
      <c r="Z115" s="1">
        <f t="shared" si="80"/>
        <v>0</v>
      </c>
      <c r="AA115" s="1">
        <f t="shared" si="81"/>
        <v>0</v>
      </c>
      <c r="AB115" s="1">
        <f t="shared" si="82"/>
        <v>0</v>
      </c>
      <c r="AD115" s="1">
        <f t="shared" si="83"/>
        <v>0</v>
      </c>
      <c r="AE115" s="1">
        <f t="shared" si="84"/>
        <v>1</v>
      </c>
      <c r="AF115" s="1">
        <f t="shared" si="69"/>
        <v>0</v>
      </c>
      <c r="AG115" s="1">
        <f t="shared" si="70"/>
        <v>1</v>
      </c>
      <c r="AH115" s="1">
        <f t="shared" si="71"/>
        <v>0</v>
      </c>
      <c r="AI115" s="1">
        <f t="shared" si="72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994</v>
      </c>
      <c r="E116" s="32" t="s">
        <v>170</v>
      </c>
      <c r="F116" s="32" t="s">
        <v>1093</v>
      </c>
      <c r="G116" s="32" t="s">
        <v>232</v>
      </c>
      <c r="H116" s="32" t="s">
        <v>354</v>
      </c>
      <c r="I116" s="31" t="s">
        <v>995</v>
      </c>
      <c r="J116" s="31">
        <v>99</v>
      </c>
      <c r="K116" s="33" t="s">
        <v>956</v>
      </c>
      <c r="L116" s="33">
        <v>40</v>
      </c>
      <c r="M116" s="34" t="s">
        <v>39</v>
      </c>
      <c r="N116" s="34" t="s">
        <v>1946</v>
      </c>
      <c r="O116" s="35">
        <v>1</v>
      </c>
      <c r="P116" s="35"/>
      <c r="Q116" s="32"/>
      <c r="S116" s="1">
        <f t="shared" si="73"/>
        <v>0</v>
      </c>
      <c r="T116" s="1">
        <f t="shared" si="74"/>
        <v>0</v>
      </c>
      <c r="U116" s="1">
        <f t="shared" si="75"/>
        <v>0</v>
      </c>
      <c r="V116" s="1">
        <f t="shared" si="76"/>
        <v>0</v>
      </c>
      <c r="W116" s="1">
        <f t="shared" si="77"/>
        <v>0</v>
      </c>
      <c r="X116" s="1">
        <f t="shared" si="78"/>
        <v>0</v>
      </c>
      <c r="Y116" s="1">
        <f t="shared" si="79"/>
        <v>0</v>
      </c>
      <c r="Z116" s="1">
        <f t="shared" si="80"/>
        <v>0</v>
      </c>
      <c r="AA116" s="1">
        <f t="shared" si="81"/>
        <v>0</v>
      </c>
      <c r="AB116" s="1">
        <f t="shared" si="82"/>
        <v>0</v>
      </c>
      <c r="AD116" s="1">
        <f t="shared" si="83"/>
        <v>0</v>
      </c>
      <c r="AE116" s="1">
        <f t="shared" si="84"/>
        <v>1</v>
      </c>
      <c r="AF116" s="1">
        <f t="shared" si="69"/>
        <v>0</v>
      </c>
      <c r="AG116" s="1">
        <f t="shared" si="70"/>
        <v>1</v>
      </c>
      <c r="AH116" s="1">
        <f t="shared" si="71"/>
        <v>0</v>
      </c>
      <c r="AI116" s="1">
        <f t="shared" si="72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129</v>
      </c>
      <c r="E117" s="32" t="s">
        <v>170</v>
      </c>
      <c r="F117" s="32" t="s">
        <v>330</v>
      </c>
      <c r="G117" s="32" t="s">
        <v>39</v>
      </c>
      <c r="H117" s="32" t="s">
        <v>371</v>
      </c>
      <c r="I117" s="31" t="s">
        <v>478</v>
      </c>
      <c r="J117" s="31">
        <v>11</v>
      </c>
      <c r="K117" s="33" t="s">
        <v>702</v>
      </c>
      <c r="L117" s="33" t="s">
        <v>39</v>
      </c>
      <c r="M117" s="34" t="s">
        <v>39</v>
      </c>
      <c r="N117" s="34" t="s">
        <v>1727</v>
      </c>
      <c r="O117" s="35">
        <v>1</v>
      </c>
      <c r="P117" s="35">
        <v>1</v>
      </c>
      <c r="Q117" s="32" t="s">
        <v>2041</v>
      </c>
      <c r="S117" s="1">
        <f t="shared" si="73"/>
        <v>0</v>
      </c>
      <c r="T117" s="1">
        <f t="shared" si="74"/>
        <v>0</v>
      </c>
      <c r="U117" s="1">
        <f t="shared" si="75"/>
        <v>0</v>
      </c>
      <c r="V117" s="1">
        <f t="shared" si="76"/>
        <v>0</v>
      </c>
      <c r="W117" s="1">
        <f t="shared" si="77"/>
        <v>0</v>
      </c>
      <c r="X117" s="1">
        <f t="shared" si="78"/>
        <v>0</v>
      </c>
      <c r="Y117" s="1">
        <f t="shared" si="79"/>
        <v>0</v>
      </c>
      <c r="Z117" s="1">
        <f t="shared" si="80"/>
        <v>0</v>
      </c>
      <c r="AA117" s="1">
        <f t="shared" si="81"/>
        <v>0</v>
      </c>
      <c r="AB117" s="1">
        <f t="shared" si="82"/>
        <v>0</v>
      </c>
      <c r="AD117" s="1">
        <f t="shared" si="83"/>
        <v>1</v>
      </c>
      <c r="AE117" s="1">
        <f t="shared" si="84"/>
        <v>0</v>
      </c>
      <c r="AF117" s="1">
        <f t="shared" si="69"/>
        <v>1</v>
      </c>
      <c r="AG117" s="1">
        <f t="shared" si="70"/>
        <v>0</v>
      </c>
      <c r="AH117" s="1">
        <f t="shared" si="71"/>
        <v>1</v>
      </c>
      <c r="AI117" s="1">
        <f t="shared" si="72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1320</v>
      </c>
      <c r="E118" s="16" t="s">
        <v>172</v>
      </c>
      <c r="F118" s="16" t="s">
        <v>1343</v>
      </c>
      <c r="G118" s="16" t="s">
        <v>39</v>
      </c>
      <c r="H118" s="16" t="s">
        <v>988</v>
      </c>
      <c r="I118" s="15" t="s">
        <v>989</v>
      </c>
      <c r="J118" s="15">
        <v>14</v>
      </c>
      <c r="K118" s="10" t="s">
        <v>703</v>
      </c>
      <c r="L118" s="10">
        <v>30</v>
      </c>
      <c r="M118" s="19" t="s">
        <v>971</v>
      </c>
      <c r="N118" s="17"/>
      <c r="Q118" s="16"/>
      <c r="S118" s="1">
        <f t="shared" si="73"/>
        <v>0</v>
      </c>
      <c r="T118" s="1">
        <f t="shared" si="74"/>
        <v>0</v>
      </c>
      <c r="U118" s="1">
        <f t="shared" si="75"/>
        <v>0</v>
      </c>
      <c r="V118" s="1">
        <f t="shared" si="76"/>
        <v>0</v>
      </c>
      <c r="W118" s="1">
        <f t="shared" si="77"/>
        <v>0</v>
      </c>
      <c r="X118" s="1">
        <f t="shared" si="78"/>
        <v>0</v>
      </c>
      <c r="Y118" s="1">
        <f t="shared" si="79"/>
        <v>0</v>
      </c>
      <c r="Z118" s="1">
        <f t="shared" si="80"/>
        <v>0</v>
      </c>
      <c r="AA118" s="1">
        <f t="shared" si="81"/>
        <v>0</v>
      </c>
      <c r="AB118" s="1">
        <f t="shared" si="82"/>
        <v>0</v>
      </c>
      <c r="AD118" s="1">
        <f t="shared" si="83"/>
        <v>0</v>
      </c>
      <c r="AE118" s="1">
        <f t="shared" si="84"/>
        <v>0</v>
      </c>
      <c r="AF118" s="1">
        <f t="shared" si="69"/>
        <v>0</v>
      </c>
      <c r="AG118" s="1">
        <f t="shared" si="70"/>
        <v>0</v>
      </c>
      <c r="AH118" s="1">
        <f t="shared" si="71"/>
        <v>0</v>
      </c>
      <c r="AI118" s="1">
        <f t="shared" si="72"/>
        <v>1</v>
      </c>
    </row>
    <row r="119" spans="1:35" ht="14.25" customHeight="1" x14ac:dyDescent="0.25">
      <c r="A119" s="44">
        <v>0</v>
      </c>
      <c r="B119" s="44">
        <v>1</v>
      </c>
      <c r="C119" s="44">
        <v>3</v>
      </c>
      <c r="D119" s="45" t="s">
        <v>699</v>
      </c>
      <c r="E119" s="45" t="s">
        <v>175</v>
      </c>
      <c r="F119" s="45" t="s">
        <v>700</v>
      </c>
      <c r="G119" s="45" t="s">
        <v>39</v>
      </c>
      <c r="H119" s="45" t="s">
        <v>701</v>
      </c>
      <c r="I119" s="44" t="s">
        <v>1115</v>
      </c>
      <c r="J119" s="44">
        <v>13</v>
      </c>
      <c r="K119" s="46" t="s">
        <v>702</v>
      </c>
      <c r="L119" s="46" t="s">
        <v>1699</v>
      </c>
      <c r="M119" s="47" t="s">
        <v>970</v>
      </c>
      <c r="N119" s="47" t="s">
        <v>1802</v>
      </c>
      <c r="O119" s="48"/>
      <c r="P119" s="48"/>
      <c r="Q119" s="45"/>
      <c r="S119" s="1">
        <f t="shared" si="73"/>
        <v>0</v>
      </c>
      <c r="T119" s="1">
        <f t="shared" si="74"/>
        <v>0</v>
      </c>
      <c r="U119" s="1">
        <f t="shared" si="75"/>
        <v>0</v>
      </c>
      <c r="V119" s="1">
        <f t="shared" si="76"/>
        <v>0</v>
      </c>
      <c r="W119" s="1">
        <f t="shared" si="77"/>
        <v>0</v>
      </c>
      <c r="X119" s="1">
        <f t="shared" si="78"/>
        <v>0</v>
      </c>
      <c r="Y119" s="1">
        <f t="shared" si="79"/>
        <v>0</v>
      </c>
      <c r="Z119" s="1">
        <f t="shared" si="80"/>
        <v>0</v>
      </c>
      <c r="AA119" s="1">
        <f t="shared" si="81"/>
        <v>0</v>
      </c>
      <c r="AB119" s="1">
        <f t="shared" si="82"/>
        <v>0</v>
      </c>
      <c r="AD119" s="1">
        <f t="shared" si="83"/>
        <v>0</v>
      </c>
      <c r="AE119" s="1">
        <f t="shared" si="84"/>
        <v>0</v>
      </c>
      <c r="AF119" s="1">
        <f t="shared" si="69"/>
        <v>0</v>
      </c>
      <c r="AG119" s="1">
        <f t="shared" si="70"/>
        <v>0</v>
      </c>
      <c r="AH119" s="1">
        <f t="shared" si="71"/>
        <v>0</v>
      </c>
      <c r="AI119" s="1">
        <f t="shared" si="72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1520</v>
      </c>
      <c r="E120" s="32" t="s">
        <v>170</v>
      </c>
      <c r="F120" s="32" t="s">
        <v>1667</v>
      </c>
      <c r="G120" s="32" t="s">
        <v>39</v>
      </c>
      <c r="H120" s="32" t="s">
        <v>1521</v>
      </c>
      <c r="I120" s="31" t="s">
        <v>1522</v>
      </c>
      <c r="J120" s="31">
        <v>11</v>
      </c>
      <c r="K120" s="33" t="s">
        <v>722</v>
      </c>
      <c r="L120" s="33">
        <v>40</v>
      </c>
      <c r="M120" s="34" t="s">
        <v>39</v>
      </c>
      <c r="N120" s="34" t="s">
        <v>1727</v>
      </c>
      <c r="O120" s="35">
        <v>1</v>
      </c>
      <c r="P120" s="35">
        <v>1</v>
      </c>
      <c r="Q120" s="32"/>
      <c r="S120" s="1">
        <f t="shared" si="73"/>
        <v>0</v>
      </c>
      <c r="T120" s="1">
        <f t="shared" si="74"/>
        <v>0</v>
      </c>
      <c r="U120" s="1">
        <f t="shared" si="75"/>
        <v>0</v>
      </c>
      <c r="V120" s="1">
        <f t="shared" si="76"/>
        <v>0</v>
      </c>
      <c r="W120" s="1">
        <f t="shared" si="77"/>
        <v>0</v>
      </c>
      <c r="X120" s="1">
        <f t="shared" si="78"/>
        <v>0</v>
      </c>
      <c r="Y120" s="1">
        <f t="shared" si="79"/>
        <v>0</v>
      </c>
      <c r="Z120" s="1">
        <f t="shared" si="80"/>
        <v>0</v>
      </c>
      <c r="AA120" s="1">
        <f t="shared" si="81"/>
        <v>0</v>
      </c>
      <c r="AB120" s="1">
        <f t="shared" si="82"/>
        <v>0</v>
      </c>
      <c r="AD120" s="1">
        <f t="shared" si="83"/>
        <v>1</v>
      </c>
      <c r="AE120" s="1">
        <f t="shared" si="84"/>
        <v>0</v>
      </c>
      <c r="AF120" s="1">
        <f t="shared" si="69"/>
        <v>1</v>
      </c>
      <c r="AG120" s="1">
        <f t="shared" si="70"/>
        <v>0</v>
      </c>
      <c r="AH120" s="1">
        <f t="shared" si="71"/>
        <v>1</v>
      </c>
      <c r="AI120" s="1">
        <f t="shared" si="72"/>
        <v>0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146</v>
      </c>
      <c r="E121" s="16" t="s">
        <v>172</v>
      </c>
      <c r="F121" s="16" t="s">
        <v>348</v>
      </c>
      <c r="G121" s="16" t="s">
        <v>39</v>
      </c>
      <c r="H121" s="16" t="s">
        <v>367</v>
      </c>
      <c r="I121" s="15" t="s">
        <v>493</v>
      </c>
      <c r="J121" s="15">
        <v>18</v>
      </c>
      <c r="K121" s="10" t="s">
        <v>956</v>
      </c>
      <c r="L121" s="10" t="s">
        <v>697</v>
      </c>
      <c r="M121" s="19" t="s">
        <v>970</v>
      </c>
      <c r="N121" s="17"/>
      <c r="Q121" s="16"/>
      <c r="S121" s="1">
        <f t="shared" si="73"/>
        <v>0</v>
      </c>
      <c r="T121" s="1">
        <f t="shared" si="74"/>
        <v>0</v>
      </c>
      <c r="U121" s="1">
        <f t="shared" si="75"/>
        <v>0</v>
      </c>
      <c r="V121" s="1">
        <f t="shared" si="76"/>
        <v>0</v>
      </c>
      <c r="W121" s="1">
        <f t="shared" si="77"/>
        <v>0</v>
      </c>
      <c r="X121" s="1">
        <f t="shared" si="78"/>
        <v>0</v>
      </c>
      <c r="Y121" s="1">
        <f t="shared" si="79"/>
        <v>0</v>
      </c>
      <c r="Z121" s="1">
        <f t="shared" si="80"/>
        <v>0</v>
      </c>
      <c r="AA121" s="1">
        <f t="shared" si="81"/>
        <v>0</v>
      </c>
      <c r="AB121" s="1">
        <f t="shared" si="82"/>
        <v>0</v>
      </c>
      <c r="AD121" s="1">
        <f t="shared" si="83"/>
        <v>0</v>
      </c>
      <c r="AE121" s="1">
        <f t="shared" si="84"/>
        <v>0</v>
      </c>
      <c r="AF121" s="1">
        <f t="shared" si="69"/>
        <v>0</v>
      </c>
      <c r="AG121" s="1">
        <f t="shared" si="70"/>
        <v>0</v>
      </c>
      <c r="AH121" s="1">
        <f t="shared" si="71"/>
        <v>0</v>
      </c>
      <c r="AI121" s="1">
        <f t="shared" si="72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20" t="s">
        <v>1978</v>
      </c>
      <c r="E122" s="20" t="s">
        <v>172</v>
      </c>
      <c r="F122" s="20" t="s">
        <v>1975</v>
      </c>
      <c r="G122" s="20"/>
      <c r="H122" s="20" t="s">
        <v>1976</v>
      </c>
      <c r="I122" s="21" t="s">
        <v>1974</v>
      </c>
      <c r="J122" s="15">
        <v>17</v>
      </c>
      <c r="K122" s="10" t="s">
        <v>703</v>
      </c>
      <c r="L122" s="10" t="s">
        <v>1742</v>
      </c>
      <c r="M122" s="19" t="s">
        <v>971</v>
      </c>
      <c r="N122" s="17"/>
      <c r="Q122" s="20" t="s">
        <v>1977</v>
      </c>
      <c r="S122" s="1">
        <f t="shared" si="73"/>
        <v>0</v>
      </c>
      <c r="T122" s="1">
        <f t="shared" si="74"/>
        <v>0</v>
      </c>
      <c r="U122" s="1">
        <f t="shared" si="75"/>
        <v>0</v>
      </c>
      <c r="V122" s="1">
        <f t="shared" si="76"/>
        <v>0</v>
      </c>
      <c r="W122" s="1">
        <f t="shared" si="77"/>
        <v>0</v>
      </c>
      <c r="X122" s="1">
        <f t="shared" si="78"/>
        <v>0</v>
      </c>
      <c r="Y122" s="1">
        <f t="shared" si="79"/>
        <v>0</v>
      </c>
      <c r="Z122" s="1">
        <f t="shared" si="80"/>
        <v>0</v>
      </c>
      <c r="AA122" s="1">
        <f t="shared" si="81"/>
        <v>0</v>
      </c>
      <c r="AB122" s="1">
        <f t="shared" si="82"/>
        <v>0</v>
      </c>
      <c r="AD122" s="1">
        <f t="shared" si="83"/>
        <v>0</v>
      </c>
      <c r="AE122" s="1">
        <f t="shared" si="84"/>
        <v>0</v>
      </c>
      <c r="AF122" s="1">
        <f t="shared" si="69"/>
        <v>0</v>
      </c>
      <c r="AG122" s="1">
        <f t="shared" si="70"/>
        <v>0</v>
      </c>
      <c r="AH122" s="1">
        <f t="shared" si="71"/>
        <v>0</v>
      </c>
      <c r="AI122" s="1">
        <f t="shared" si="72"/>
        <v>1</v>
      </c>
    </row>
    <row r="123" spans="1:35" ht="14.25" customHeight="1" x14ac:dyDescent="0.25">
      <c r="A123" s="44">
        <v>0</v>
      </c>
      <c r="B123" s="44">
        <v>1</v>
      </c>
      <c r="C123" s="44">
        <v>3</v>
      </c>
      <c r="D123" s="45" t="s">
        <v>1000</v>
      </c>
      <c r="E123" s="45" t="s">
        <v>172</v>
      </c>
      <c r="F123" s="65" t="s">
        <v>1867</v>
      </c>
      <c r="G123" s="45" t="s">
        <v>39</v>
      </c>
      <c r="H123" s="45" t="s">
        <v>1001</v>
      </c>
      <c r="I123" s="44" t="s">
        <v>1116</v>
      </c>
      <c r="J123" s="44">
        <v>16</v>
      </c>
      <c r="K123" s="46" t="s">
        <v>722</v>
      </c>
      <c r="L123" s="46" t="s">
        <v>1742</v>
      </c>
      <c r="M123" s="47" t="s">
        <v>1394</v>
      </c>
      <c r="N123" s="47" t="s">
        <v>1802</v>
      </c>
      <c r="O123" s="48"/>
      <c r="P123" s="48"/>
      <c r="Q123" s="65" t="s">
        <v>1890</v>
      </c>
      <c r="S123" s="1">
        <f t="shared" si="73"/>
        <v>0</v>
      </c>
      <c r="T123" s="1">
        <f t="shared" si="74"/>
        <v>0</v>
      </c>
      <c r="U123" s="1">
        <f t="shared" si="75"/>
        <v>0</v>
      </c>
      <c r="V123" s="1">
        <f t="shared" si="76"/>
        <v>0</v>
      </c>
      <c r="W123" s="1">
        <f t="shared" si="77"/>
        <v>0</v>
      </c>
      <c r="X123" s="1">
        <f t="shared" si="78"/>
        <v>0</v>
      </c>
      <c r="Y123" s="1">
        <f t="shared" si="79"/>
        <v>0</v>
      </c>
      <c r="Z123" s="1">
        <f t="shared" si="80"/>
        <v>0</v>
      </c>
      <c r="AA123" s="1">
        <f t="shared" si="81"/>
        <v>0</v>
      </c>
      <c r="AB123" s="1">
        <f t="shared" si="82"/>
        <v>0</v>
      </c>
      <c r="AD123" s="1">
        <f t="shared" si="83"/>
        <v>0</v>
      </c>
      <c r="AE123" s="1">
        <f t="shared" si="84"/>
        <v>0</v>
      </c>
      <c r="AF123" s="1">
        <f t="shared" si="69"/>
        <v>0</v>
      </c>
      <c r="AG123" s="1">
        <f t="shared" si="70"/>
        <v>0</v>
      </c>
      <c r="AH123" s="1">
        <f t="shared" si="71"/>
        <v>0</v>
      </c>
      <c r="AI123" s="1">
        <f t="shared" si="72"/>
        <v>1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1127</v>
      </c>
      <c r="E124" s="16" t="s">
        <v>172</v>
      </c>
      <c r="F124" s="16" t="s">
        <v>1344</v>
      </c>
      <c r="G124" s="16" t="s">
        <v>39</v>
      </c>
      <c r="H124" s="16" t="s">
        <v>1129</v>
      </c>
      <c r="I124" s="15" t="s">
        <v>1128</v>
      </c>
      <c r="J124" s="15">
        <v>14</v>
      </c>
      <c r="K124" s="10" t="s">
        <v>958</v>
      </c>
      <c r="L124" s="10" t="s">
        <v>1699</v>
      </c>
      <c r="M124" s="19" t="s">
        <v>1395</v>
      </c>
      <c r="N124" s="17"/>
      <c r="Q124" s="16"/>
      <c r="S124" s="1">
        <f t="shared" si="73"/>
        <v>0</v>
      </c>
      <c r="T124" s="1">
        <f t="shared" si="74"/>
        <v>0</v>
      </c>
      <c r="U124" s="1">
        <f t="shared" si="75"/>
        <v>0</v>
      </c>
      <c r="V124" s="1">
        <f t="shared" si="76"/>
        <v>0</v>
      </c>
      <c r="W124" s="1">
        <f t="shared" si="77"/>
        <v>0</v>
      </c>
      <c r="X124" s="1">
        <f t="shared" si="78"/>
        <v>0</v>
      </c>
      <c r="Y124" s="1">
        <f t="shared" si="79"/>
        <v>0</v>
      </c>
      <c r="Z124" s="1">
        <f t="shared" si="80"/>
        <v>0</v>
      </c>
      <c r="AA124" s="1">
        <f t="shared" si="81"/>
        <v>0</v>
      </c>
      <c r="AB124" s="1">
        <f t="shared" si="82"/>
        <v>0</v>
      </c>
      <c r="AD124" s="1">
        <f t="shared" si="83"/>
        <v>0</v>
      </c>
      <c r="AE124" s="1">
        <f t="shared" si="84"/>
        <v>0</v>
      </c>
      <c r="AF124" s="1">
        <f t="shared" si="69"/>
        <v>0</v>
      </c>
      <c r="AG124" s="1">
        <f t="shared" si="70"/>
        <v>0</v>
      </c>
      <c r="AH124" s="1">
        <f t="shared" si="71"/>
        <v>0</v>
      </c>
      <c r="AI124" s="1">
        <f t="shared" si="72"/>
        <v>1</v>
      </c>
    </row>
    <row r="125" spans="1:35" ht="14.25" customHeight="1" x14ac:dyDescent="0.25">
      <c r="A125" s="31">
        <v>0</v>
      </c>
      <c r="B125" s="31">
        <v>1</v>
      </c>
      <c r="C125" s="31">
        <v>3</v>
      </c>
      <c r="D125" s="32" t="s">
        <v>1078</v>
      </c>
      <c r="E125" s="32" t="s">
        <v>172</v>
      </c>
      <c r="F125" s="32" t="s">
        <v>1040</v>
      </c>
      <c r="G125" s="32" t="s">
        <v>1104</v>
      </c>
      <c r="H125" s="32" t="s">
        <v>354</v>
      </c>
      <c r="I125" s="31" t="s">
        <v>1041</v>
      </c>
      <c r="J125" s="31">
        <v>1</v>
      </c>
      <c r="K125" s="33" t="s">
        <v>958</v>
      </c>
      <c r="L125" s="33" t="s">
        <v>687</v>
      </c>
      <c r="M125" s="34" t="s">
        <v>971</v>
      </c>
      <c r="N125" s="34" t="s">
        <v>1755</v>
      </c>
      <c r="O125" s="35">
        <v>1</v>
      </c>
      <c r="P125" s="35"/>
      <c r="Q125" s="32"/>
      <c r="S125" s="1">
        <f t="shared" si="73"/>
        <v>1</v>
      </c>
      <c r="T125" s="1">
        <f t="shared" si="74"/>
        <v>0</v>
      </c>
      <c r="U125" s="1">
        <f t="shared" si="75"/>
        <v>0</v>
      </c>
      <c r="V125" s="1">
        <f t="shared" si="76"/>
        <v>0</v>
      </c>
      <c r="W125" s="1">
        <f t="shared" si="77"/>
        <v>0</v>
      </c>
      <c r="X125" s="1">
        <f t="shared" si="78"/>
        <v>0</v>
      </c>
      <c r="Y125" s="1">
        <f t="shared" si="79"/>
        <v>0</v>
      </c>
      <c r="Z125" s="1">
        <f t="shared" si="80"/>
        <v>0</v>
      </c>
      <c r="AA125" s="1">
        <f t="shared" si="81"/>
        <v>0</v>
      </c>
      <c r="AB125" s="1">
        <f t="shared" si="82"/>
        <v>0</v>
      </c>
      <c r="AD125" s="1">
        <f t="shared" si="83"/>
        <v>0</v>
      </c>
      <c r="AE125" s="1">
        <f t="shared" si="84"/>
        <v>1</v>
      </c>
      <c r="AF125" s="1">
        <f t="shared" si="69"/>
        <v>0</v>
      </c>
      <c r="AG125" s="1">
        <f t="shared" si="70"/>
        <v>1</v>
      </c>
      <c r="AH125" s="1">
        <f t="shared" si="71"/>
        <v>0</v>
      </c>
      <c r="AI125" s="1">
        <f t="shared" si="72"/>
        <v>1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1629</v>
      </c>
      <c r="E126" s="32" t="s">
        <v>1087</v>
      </c>
      <c r="F126" s="32" t="s">
        <v>1630</v>
      </c>
      <c r="G126" s="32" t="s">
        <v>39</v>
      </c>
      <c r="H126" s="32" t="s">
        <v>1631</v>
      </c>
      <c r="I126" s="31" t="s">
        <v>1632</v>
      </c>
      <c r="J126" s="31">
        <v>15</v>
      </c>
      <c r="K126" s="33" t="s">
        <v>958</v>
      </c>
      <c r="L126" s="33" t="s">
        <v>39</v>
      </c>
      <c r="M126" s="34" t="s">
        <v>39</v>
      </c>
      <c r="N126" s="34" t="s">
        <v>1748</v>
      </c>
      <c r="O126" s="35">
        <v>1</v>
      </c>
      <c r="P126" s="35"/>
      <c r="Q126" s="36" t="s">
        <v>1895</v>
      </c>
      <c r="S126" s="1">
        <f t="shared" si="73"/>
        <v>0</v>
      </c>
      <c r="T126" s="1">
        <f t="shared" si="74"/>
        <v>0</v>
      </c>
      <c r="U126" s="1">
        <f t="shared" si="75"/>
        <v>0</v>
      </c>
      <c r="V126" s="1">
        <f t="shared" si="76"/>
        <v>0</v>
      </c>
      <c r="W126" s="1">
        <f t="shared" si="77"/>
        <v>0</v>
      </c>
      <c r="X126" s="1">
        <f t="shared" si="78"/>
        <v>0</v>
      </c>
      <c r="Y126" s="1">
        <f t="shared" si="79"/>
        <v>0</v>
      </c>
      <c r="Z126" s="1">
        <f t="shared" si="80"/>
        <v>0</v>
      </c>
      <c r="AA126" s="1">
        <f t="shared" si="81"/>
        <v>0</v>
      </c>
      <c r="AB126" s="1">
        <f t="shared" si="82"/>
        <v>0</v>
      </c>
      <c r="AD126" s="1">
        <f t="shared" si="83"/>
        <v>0</v>
      </c>
      <c r="AE126" s="1">
        <f t="shared" si="84"/>
        <v>1</v>
      </c>
      <c r="AF126" s="1">
        <f t="shared" si="69"/>
        <v>0</v>
      </c>
      <c r="AG126" s="1">
        <f t="shared" si="70"/>
        <v>1</v>
      </c>
      <c r="AH126" s="1">
        <f t="shared" si="71"/>
        <v>0</v>
      </c>
      <c r="AI126" s="1">
        <f t="shared" si="72"/>
        <v>1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613</v>
      </c>
      <c r="E127" s="16" t="s">
        <v>170</v>
      </c>
      <c r="F127" s="16" t="s">
        <v>614</v>
      </c>
      <c r="G127" s="16" t="s">
        <v>39</v>
      </c>
      <c r="H127" s="16" t="s">
        <v>366</v>
      </c>
      <c r="I127" s="15" t="s">
        <v>615</v>
      </c>
      <c r="J127" s="15">
        <v>18</v>
      </c>
      <c r="K127" s="10" t="s">
        <v>722</v>
      </c>
      <c r="L127" s="10" t="s">
        <v>1742</v>
      </c>
      <c r="M127" s="19" t="s">
        <v>39</v>
      </c>
      <c r="N127" s="17"/>
      <c r="Q127" s="16"/>
      <c r="S127" s="1">
        <f t="shared" si="73"/>
        <v>0</v>
      </c>
      <c r="T127" s="1">
        <f t="shared" si="74"/>
        <v>0</v>
      </c>
      <c r="U127" s="1">
        <f t="shared" si="75"/>
        <v>0</v>
      </c>
      <c r="V127" s="1">
        <f t="shared" si="76"/>
        <v>0</v>
      </c>
      <c r="W127" s="1">
        <f t="shared" si="77"/>
        <v>0</v>
      </c>
      <c r="X127" s="1">
        <f t="shared" si="78"/>
        <v>0</v>
      </c>
      <c r="Y127" s="1">
        <f t="shared" si="79"/>
        <v>0</v>
      </c>
      <c r="Z127" s="1">
        <f t="shared" si="80"/>
        <v>0</v>
      </c>
      <c r="AA127" s="1">
        <f t="shared" si="81"/>
        <v>0</v>
      </c>
      <c r="AB127" s="1">
        <f t="shared" si="82"/>
        <v>0</v>
      </c>
      <c r="AD127" s="1">
        <f t="shared" si="83"/>
        <v>0</v>
      </c>
      <c r="AE127" s="1">
        <f t="shared" si="84"/>
        <v>0</v>
      </c>
      <c r="AF127" s="1">
        <f t="shared" si="69"/>
        <v>0</v>
      </c>
      <c r="AG127" s="1">
        <f t="shared" si="70"/>
        <v>0</v>
      </c>
      <c r="AH127" s="1">
        <f t="shared" si="71"/>
        <v>0</v>
      </c>
      <c r="AI127" s="1">
        <f t="shared" si="72"/>
        <v>1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20" t="s">
        <v>1950</v>
      </c>
      <c r="E128" s="20" t="s">
        <v>172</v>
      </c>
      <c r="F128" s="20" t="s">
        <v>1971</v>
      </c>
      <c r="G128" s="20"/>
      <c r="H128" s="20" t="s">
        <v>1970</v>
      </c>
      <c r="I128" s="21" t="s">
        <v>1972</v>
      </c>
      <c r="J128" s="15">
        <v>15</v>
      </c>
      <c r="K128" s="10" t="s">
        <v>703</v>
      </c>
      <c r="L128" s="10" t="s">
        <v>1742</v>
      </c>
      <c r="M128" s="19" t="s">
        <v>971</v>
      </c>
      <c r="N128" s="17"/>
      <c r="Q128" s="20" t="s">
        <v>1973</v>
      </c>
      <c r="S128" s="1">
        <f t="shared" si="73"/>
        <v>0</v>
      </c>
      <c r="T128" s="1">
        <f t="shared" si="74"/>
        <v>0</v>
      </c>
      <c r="U128" s="1">
        <f t="shared" si="75"/>
        <v>0</v>
      </c>
      <c r="V128" s="1">
        <f t="shared" si="76"/>
        <v>0</v>
      </c>
      <c r="W128" s="1">
        <f t="shared" si="77"/>
        <v>0</v>
      </c>
      <c r="X128" s="1">
        <f t="shared" si="78"/>
        <v>0</v>
      </c>
      <c r="Y128" s="1">
        <f t="shared" si="79"/>
        <v>0</v>
      </c>
      <c r="Z128" s="1">
        <f t="shared" si="80"/>
        <v>0</v>
      </c>
      <c r="AA128" s="1">
        <f t="shared" si="81"/>
        <v>0</v>
      </c>
      <c r="AB128" s="1">
        <f t="shared" si="82"/>
        <v>0</v>
      </c>
      <c r="AD128" s="1">
        <f t="shared" si="83"/>
        <v>0</v>
      </c>
      <c r="AE128" s="1">
        <f t="shared" si="84"/>
        <v>0</v>
      </c>
      <c r="AF128" s="1">
        <f t="shared" si="69"/>
        <v>0</v>
      </c>
      <c r="AG128" s="1">
        <f t="shared" si="70"/>
        <v>0</v>
      </c>
      <c r="AH128" s="1">
        <f t="shared" si="71"/>
        <v>0</v>
      </c>
      <c r="AI128" s="1">
        <f t="shared" si="72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920</v>
      </c>
      <c r="E129" s="32" t="s">
        <v>172</v>
      </c>
      <c r="F129" s="32" t="s">
        <v>1157</v>
      </c>
      <c r="G129" s="32" t="s">
        <v>39</v>
      </c>
      <c r="H129" s="32" t="s">
        <v>363</v>
      </c>
      <c r="I129" s="31" t="s">
        <v>891</v>
      </c>
      <c r="J129" s="31">
        <v>14</v>
      </c>
      <c r="K129" s="33" t="s">
        <v>957</v>
      </c>
      <c r="L129" s="33" t="s">
        <v>39</v>
      </c>
      <c r="M129" s="34" t="s">
        <v>39</v>
      </c>
      <c r="N129" s="34" t="s">
        <v>1733</v>
      </c>
      <c r="O129" s="35">
        <v>1</v>
      </c>
      <c r="P129" s="35">
        <v>1</v>
      </c>
      <c r="Q129" s="36"/>
      <c r="S129" s="1">
        <f t="shared" si="73"/>
        <v>0</v>
      </c>
      <c r="T129" s="1">
        <f t="shared" si="74"/>
        <v>0</v>
      </c>
      <c r="U129" s="1">
        <f t="shared" si="75"/>
        <v>0</v>
      </c>
      <c r="V129" s="1">
        <f t="shared" si="76"/>
        <v>0</v>
      </c>
      <c r="W129" s="1">
        <f t="shared" si="77"/>
        <v>0</v>
      </c>
      <c r="X129" s="1">
        <f t="shared" si="78"/>
        <v>0</v>
      </c>
      <c r="Y129" s="1">
        <f t="shared" si="79"/>
        <v>0</v>
      </c>
      <c r="Z129" s="1">
        <f t="shared" si="80"/>
        <v>0</v>
      </c>
      <c r="AA129" s="1">
        <f t="shared" si="81"/>
        <v>0</v>
      </c>
      <c r="AB129" s="1">
        <f t="shared" si="82"/>
        <v>0</v>
      </c>
      <c r="AD129" s="1">
        <f t="shared" si="83"/>
        <v>1</v>
      </c>
      <c r="AE129" s="1">
        <f t="shared" si="84"/>
        <v>0</v>
      </c>
      <c r="AF129" s="1">
        <f t="shared" si="69"/>
        <v>1</v>
      </c>
      <c r="AG129" s="1">
        <f t="shared" si="70"/>
        <v>0</v>
      </c>
      <c r="AH129" s="1">
        <f t="shared" si="71"/>
        <v>1</v>
      </c>
      <c r="AI129" s="1">
        <f t="shared" si="72"/>
        <v>0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16" t="s">
        <v>105</v>
      </c>
      <c r="E130" s="16" t="s">
        <v>172</v>
      </c>
      <c r="F130" s="16" t="s">
        <v>931</v>
      </c>
      <c r="G130" s="16" t="s">
        <v>39</v>
      </c>
      <c r="H130" s="16" t="s">
        <v>358</v>
      </c>
      <c r="I130" s="15" t="s">
        <v>452</v>
      </c>
      <c r="J130" s="15">
        <v>18</v>
      </c>
      <c r="K130" s="10" t="s">
        <v>956</v>
      </c>
      <c r="L130" s="10" t="s">
        <v>697</v>
      </c>
      <c r="M130" s="19" t="s">
        <v>691</v>
      </c>
      <c r="N130" s="17"/>
      <c r="Q130" s="16" t="s">
        <v>1888</v>
      </c>
      <c r="S130" s="1">
        <f t="shared" si="73"/>
        <v>0</v>
      </c>
      <c r="T130" s="1">
        <f t="shared" si="74"/>
        <v>0</v>
      </c>
      <c r="U130" s="1">
        <f t="shared" si="75"/>
        <v>0</v>
      </c>
      <c r="V130" s="1">
        <f t="shared" si="76"/>
        <v>0</v>
      </c>
      <c r="W130" s="1">
        <f t="shared" si="77"/>
        <v>0</v>
      </c>
      <c r="X130" s="1">
        <f t="shared" si="78"/>
        <v>0</v>
      </c>
      <c r="Y130" s="1">
        <f t="shared" si="79"/>
        <v>0</v>
      </c>
      <c r="Z130" s="1">
        <f t="shared" si="80"/>
        <v>0</v>
      </c>
      <c r="AA130" s="1">
        <f t="shared" si="81"/>
        <v>0</v>
      </c>
      <c r="AB130" s="1">
        <f t="shared" si="82"/>
        <v>0</v>
      </c>
      <c r="AD130" s="1">
        <f t="shared" si="83"/>
        <v>0</v>
      </c>
      <c r="AE130" s="1">
        <f t="shared" si="84"/>
        <v>0</v>
      </c>
      <c r="AF130" s="1">
        <f t="shared" si="69"/>
        <v>0</v>
      </c>
      <c r="AG130" s="1">
        <f t="shared" si="70"/>
        <v>0</v>
      </c>
      <c r="AH130" s="1">
        <f t="shared" si="71"/>
        <v>0</v>
      </c>
      <c r="AI130" s="1">
        <f t="shared" si="72"/>
        <v>1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1508</v>
      </c>
      <c r="E131" s="32" t="s">
        <v>1652</v>
      </c>
      <c r="F131" s="32" t="s">
        <v>1510</v>
      </c>
      <c r="G131" s="32" t="s">
        <v>39</v>
      </c>
      <c r="H131" s="32" t="s">
        <v>1511</v>
      </c>
      <c r="I131" s="31" t="s">
        <v>1509</v>
      </c>
      <c r="J131" s="31">
        <v>14</v>
      </c>
      <c r="K131" s="33" t="s">
        <v>962</v>
      </c>
      <c r="L131" s="33" t="s">
        <v>687</v>
      </c>
      <c r="M131" s="34" t="s">
        <v>1396</v>
      </c>
      <c r="N131" s="34" t="s">
        <v>1727</v>
      </c>
      <c r="O131" s="35">
        <v>1</v>
      </c>
      <c r="P131" s="35">
        <v>1</v>
      </c>
      <c r="Q131" s="36"/>
      <c r="S131" s="1">
        <f t="shared" si="73"/>
        <v>0</v>
      </c>
      <c r="T131" s="1">
        <f t="shared" si="74"/>
        <v>0</v>
      </c>
      <c r="U131" s="1">
        <f t="shared" si="75"/>
        <v>0</v>
      </c>
      <c r="V131" s="1">
        <f t="shared" si="76"/>
        <v>0</v>
      </c>
      <c r="W131" s="1">
        <f t="shared" si="77"/>
        <v>0</v>
      </c>
      <c r="X131" s="1">
        <f t="shared" si="78"/>
        <v>0</v>
      </c>
      <c r="Y131" s="1">
        <f t="shared" si="79"/>
        <v>0</v>
      </c>
      <c r="Z131" s="1">
        <f t="shared" si="80"/>
        <v>0</v>
      </c>
      <c r="AA131" s="1">
        <f t="shared" si="81"/>
        <v>0</v>
      </c>
      <c r="AB131" s="1">
        <f t="shared" si="82"/>
        <v>0</v>
      </c>
      <c r="AD131" s="1">
        <f t="shared" si="83"/>
        <v>1</v>
      </c>
      <c r="AE131" s="1">
        <f t="shared" si="84"/>
        <v>0</v>
      </c>
      <c r="AF131" s="1">
        <f t="shared" si="69"/>
        <v>1</v>
      </c>
      <c r="AG131" s="1">
        <f t="shared" si="70"/>
        <v>0</v>
      </c>
      <c r="AH131" s="1">
        <f t="shared" si="71"/>
        <v>1</v>
      </c>
      <c r="AI131" s="1">
        <f t="shared" si="72"/>
        <v>0</v>
      </c>
    </row>
    <row r="132" spans="1:35" ht="14.25" customHeight="1" x14ac:dyDescent="0.25">
      <c r="A132" s="44">
        <v>0</v>
      </c>
      <c r="B132" s="44">
        <v>1</v>
      </c>
      <c r="C132" s="44">
        <v>3</v>
      </c>
      <c r="D132" s="45" t="s">
        <v>1256</v>
      </c>
      <c r="E132" s="45" t="s">
        <v>172</v>
      </c>
      <c r="F132" s="45" t="s">
        <v>1257</v>
      </c>
      <c r="G132" s="45" t="s">
        <v>1259</v>
      </c>
      <c r="H132" s="45" t="s">
        <v>354</v>
      </c>
      <c r="I132" s="44" t="s">
        <v>1258</v>
      </c>
      <c r="J132" s="44">
        <v>99</v>
      </c>
      <c r="K132" s="46" t="s">
        <v>958</v>
      </c>
      <c r="L132" s="46" t="s">
        <v>693</v>
      </c>
      <c r="M132" s="47" t="s">
        <v>971</v>
      </c>
      <c r="N132" s="47" t="s">
        <v>1802</v>
      </c>
      <c r="O132" s="48"/>
      <c r="P132" s="48"/>
      <c r="Q132" s="45"/>
      <c r="S132" s="1">
        <f t="shared" si="73"/>
        <v>0</v>
      </c>
      <c r="T132" s="1">
        <f t="shared" si="74"/>
        <v>0</v>
      </c>
      <c r="U132" s="1">
        <f t="shared" si="75"/>
        <v>0</v>
      </c>
      <c r="V132" s="1">
        <f t="shared" si="76"/>
        <v>0</v>
      </c>
      <c r="W132" s="1">
        <f t="shared" si="77"/>
        <v>0</v>
      </c>
      <c r="X132" s="1">
        <f t="shared" si="78"/>
        <v>0</v>
      </c>
      <c r="Y132" s="1">
        <f t="shared" si="79"/>
        <v>0</v>
      </c>
      <c r="Z132" s="1">
        <f t="shared" si="80"/>
        <v>0</v>
      </c>
      <c r="AA132" s="1">
        <f t="shared" si="81"/>
        <v>0</v>
      </c>
      <c r="AB132" s="1">
        <f t="shared" si="82"/>
        <v>0</v>
      </c>
      <c r="AD132" s="1">
        <f t="shared" si="83"/>
        <v>0</v>
      </c>
      <c r="AE132" s="1">
        <f t="shared" si="84"/>
        <v>0</v>
      </c>
      <c r="AF132" s="1">
        <f t="shared" si="69"/>
        <v>0</v>
      </c>
      <c r="AG132" s="1">
        <f t="shared" si="70"/>
        <v>0</v>
      </c>
      <c r="AH132" s="1">
        <f t="shared" si="71"/>
        <v>0</v>
      </c>
      <c r="AI132" s="1">
        <f t="shared" si="72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16" t="s">
        <v>1502</v>
      </c>
      <c r="E133" s="16" t="s">
        <v>172</v>
      </c>
      <c r="F133" s="16" t="s">
        <v>1503</v>
      </c>
      <c r="G133" s="16" t="s">
        <v>39</v>
      </c>
      <c r="H133" s="16" t="s">
        <v>365</v>
      </c>
      <c r="I133" s="15" t="s">
        <v>1504</v>
      </c>
      <c r="J133" s="15">
        <v>18</v>
      </c>
      <c r="K133" s="10" t="s">
        <v>956</v>
      </c>
      <c r="L133" s="10" t="s">
        <v>1742</v>
      </c>
      <c r="M133" s="19" t="s">
        <v>39</v>
      </c>
      <c r="N133" s="17"/>
      <c r="Q133" s="16"/>
      <c r="S133" s="1">
        <f t="shared" si="73"/>
        <v>0</v>
      </c>
      <c r="T133" s="1">
        <f t="shared" si="74"/>
        <v>0</v>
      </c>
      <c r="U133" s="1">
        <f t="shared" si="75"/>
        <v>0</v>
      </c>
      <c r="V133" s="1">
        <f t="shared" si="76"/>
        <v>0</v>
      </c>
      <c r="W133" s="1">
        <f t="shared" si="77"/>
        <v>0</v>
      </c>
      <c r="X133" s="1">
        <f t="shared" si="78"/>
        <v>0</v>
      </c>
      <c r="Y133" s="1">
        <f t="shared" si="79"/>
        <v>0</v>
      </c>
      <c r="Z133" s="1">
        <f t="shared" si="80"/>
        <v>0</v>
      </c>
      <c r="AA133" s="1">
        <f t="shared" si="81"/>
        <v>0</v>
      </c>
      <c r="AB133" s="1">
        <f t="shared" si="82"/>
        <v>0</v>
      </c>
      <c r="AD133" s="1">
        <f t="shared" si="83"/>
        <v>0</v>
      </c>
      <c r="AE133" s="1">
        <f t="shared" si="84"/>
        <v>0</v>
      </c>
      <c r="AF133" s="1">
        <f t="shared" si="69"/>
        <v>0</v>
      </c>
      <c r="AG133" s="1">
        <f t="shared" si="70"/>
        <v>0</v>
      </c>
      <c r="AH133" s="1">
        <f t="shared" si="71"/>
        <v>0</v>
      </c>
      <c r="AI133" s="1">
        <f t="shared" si="72"/>
        <v>1</v>
      </c>
    </row>
    <row r="134" spans="1:35" ht="14.25" customHeight="1" x14ac:dyDescent="0.25">
      <c r="A134" s="15">
        <v>0</v>
      </c>
      <c r="B134" s="15">
        <v>1</v>
      </c>
      <c r="C134" s="15">
        <v>3</v>
      </c>
      <c r="D134" s="16" t="s">
        <v>1623</v>
      </c>
      <c r="E134" s="16" t="s">
        <v>172</v>
      </c>
      <c r="F134" s="16" t="s">
        <v>1626</v>
      </c>
      <c r="G134" s="16" t="s">
        <v>39</v>
      </c>
      <c r="H134" s="16" t="s">
        <v>1624</v>
      </c>
      <c r="I134" s="15" t="s">
        <v>1625</v>
      </c>
      <c r="J134" s="15">
        <v>15</v>
      </c>
      <c r="K134" s="10" t="s">
        <v>722</v>
      </c>
      <c r="L134" s="10" t="s">
        <v>39</v>
      </c>
      <c r="M134" s="19" t="s">
        <v>39</v>
      </c>
      <c r="N134" s="17"/>
      <c r="Q134" s="16"/>
      <c r="S134" s="1">
        <f t="shared" si="73"/>
        <v>0</v>
      </c>
      <c r="T134" s="1">
        <f t="shared" si="74"/>
        <v>0</v>
      </c>
      <c r="U134" s="1">
        <f t="shared" si="75"/>
        <v>0</v>
      </c>
      <c r="V134" s="1">
        <f t="shared" si="76"/>
        <v>0</v>
      </c>
      <c r="W134" s="1">
        <f t="shared" si="77"/>
        <v>0</v>
      </c>
      <c r="X134" s="1">
        <f t="shared" si="78"/>
        <v>0</v>
      </c>
      <c r="Y134" s="1">
        <f t="shared" si="79"/>
        <v>0</v>
      </c>
      <c r="Z134" s="1">
        <f t="shared" si="80"/>
        <v>0</v>
      </c>
      <c r="AA134" s="1">
        <f t="shared" si="81"/>
        <v>0</v>
      </c>
      <c r="AB134" s="1">
        <f t="shared" si="82"/>
        <v>0</v>
      </c>
      <c r="AD134" s="1">
        <f t="shared" si="83"/>
        <v>0</v>
      </c>
      <c r="AE134" s="1">
        <f t="shared" si="84"/>
        <v>0</v>
      </c>
      <c r="AF134" s="1">
        <f t="shared" si="69"/>
        <v>0</v>
      </c>
      <c r="AG134" s="1">
        <f t="shared" si="70"/>
        <v>0</v>
      </c>
      <c r="AH134" s="1">
        <f t="shared" si="71"/>
        <v>0</v>
      </c>
      <c r="AI134" s="1">
        <f t="shared" si="72"/>
        <v>1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1244</v>
      </c>
      <c r="E135" s="32" t="s">
        <v>1246</v>
      </c>
      <c r="F135" s="32" t="s">
        <v>1247</v>
      </c>
      <c r="G135" s="32" t="s">
        <v>39</v>
      </c>
      <c r="H135" s="32" t="s">
        <v>369</v>
      </c>
      <c r="I135" s="31" t="s">
        <v>1245</v>
      </c>
      <c r="J135" s="31">
        <v>14</v>
      </c>
      <c r="K135" s="33" t="s">
        <v>958</v>
      </c>
      <c r="L135" s="33" t="s">
        <v>687</v>
      </c>
      <c r="M135" s="34" t="s">
        <v>1396</v>
      </c>
      <c r="N135" s="34" t="s">
        <v>1733</v>
      </c>
      <c r="O135" s="35">
        <v>1</v>
      </c>
      <c r="P135" s="35">
        <v>1</v>
      </c>
      <c r="Q135" s="32"/>
      <c r="S135" s="1">
        <f t="shared" si="73"/>
        <v>0</v>
      </c>
      <c r="T135" s="1">
        <f t="shared" si="74"/>
        <v>0</v>
      </c>
      <c r="U135" s="1">
        <f t="shared" si="75"/>
        <v>0</v>
      </c>
      <c r="V135" s="1">
        <f t="shared" si="76"/>
        <v>0</v>
      </c>
      <c r="W135" s="1">
        <f t="shared" si="77"/>
        <v>0</v>
      </c>
      <c r="X135" s="1">
        <f t="shared" si="78"/>
        <v>0</v>
      </c>
      <c r="Y135" s="1">
        <f t="shared" si="79"/>
        <v>0</v>
      </c>
      <c r="Z135" s="1">
        <f t="shared" si="80"/>
        <v>0</v>
      </c>
      <c r="AA135" s="1">
        <f t="shared" si="81"/>
        <v>0</v>
      </c>
      <c r="AB135" s="1">
        <f t="shared" si="82"/>
        <v>0</v>
      </c>
      <c r="AD135" s="1">
        <f t="shared" si="83"/>
        <v>1</v>
      </c>
      <c r="AE135" s="1">
        <f t="shared" si="84"/>
        <v>0</v>
      </c>
      <c r="AF135" s="1">
        <f t="shared" si="69"/>
        <v>1</v>
      </c>
      <c r="AG135" s="1">
        <f t="shared" si="70"/>
        <v>0</v>
      </c>
      <c r="AH135" s="1">
        <f t="shared" si="71"/>
        <v>1</v>
      </c>
      <c r="AI135" s="1">
        <f t="shared" si="72"/>
        <v>0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2" t="s">
        <v>130</v>
      </c>
      <c r="E136" s="32" t="s">
        <v>176</v>
      </c>
      <c r="F136" s="32" t="s">
        <v>331</v>
      </c>
      <c r="G136" s="32" t="s">
        <v>182</v>
      </c>
      <c r="H136" s="32" t="s">
        <v>354</v>
      </c>
      <c r="I136" s="31" t="s">
        <v>479</v>
      </c>
      <c r="J136" s="31">
        <v>99</v>
      </c>
      <c r="K136" s="33" t="s">
        <v>957</v>
      </c>
      <c r="L136" s="33" t="s">
        <v>39</v>
      </c>
      <c r="M136" s="34" t="s">
        <v>39</v>
      </c>
      <c r="N136" s="34" t="s">
        <v>1733</v>
      </c>
      <c r="O136" s="35">
        <v>1</v>
      </c>
      <c r="P136" s="35">
        <v>1</v>
      </c>
      <c r="Q136" s="32"/>
      <c r="S136" s="1">
        <f t="shared" si="73"/>
        <v>0</v>
      </c>
      <c r="T136" s="1">
        <f t="shared" si="74"/>
        <v>0</v>
      </c>
      <c r="U136" s="1">
        <f t="shared" si="75"/>
        <v>0</v>
      </c>
      <c r="V136" s="1">
        <f t="shared" si="76"/>
        <v>0</v>
      </c>
      <c r="W136" s="1">
        <f t="shared" si="77"/>
        <v>0</v>
      </c>
      <c r="X136" s="1">
        <f t="shared" si="78"/>
        <v>0</v>
      </c>
      <c r="Y136" s="1">
        <f t="shared" si="79"/>
        <v>0</v>
      </c>
      <c r="Z136" s="1">
        <f t="shared" si="80"/>
        <v>0</v>
      </c>
      <c r="AA136" s="1">
        <f t="shared" si="81"/>
        <v>0</v>
      </c>
      <c r="AB136" s="1">
        <f t="shared" si="82"/>
        <v>0</v>
      </c>
      <c r="AD136" s="1">
        <f t="shared" si="83"/>
        <v>1</v>
      </c>
      <c r="AE136" s="1">
        <f t="shared" si="84"/>
        <v>0</v>
      </c>
      <c r="AF136" s="1">
        <f t="shared" si="69"/>
        <v>1</v>
      </c>
      <c r="AG136" s="1">
        <f t="shared" si="70"/>
        <v>0</v>
      </c>
      <c r="AH136" s="1">
        <f t="shared" si="71"/>
        <v>1</v>
      </c>
      <c r="AI136" s="1">
        <f t="shared" si="72"/>
        <v>0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2" t="s">
        <v>921</v>
      </c>
      <c r="E137" s="32" t="s">
        <v>172</v>
      </c>
      <c r="F137" s="32" t="s">
        <v>933</v>
      </c>
      <c r="G137" s="32" t="s">
        <v>235</v>
      </c>
      <c r="H137" s="32" t="s">
        <v>354</v>
      </c>
      <c r="I137" s="31" t="s">
        <v>947</v>
      </c>
      <c r="J137" s="31">
        <v>99</v>
      </c>
      <c r="K137" s="33" t="s">
        <v>722</v>
      </c>
      <c r="L137" s="33">
        <v>45</v>
      </c>
      <c r="M137" s="34" t="s">
        <v>39</v>
      </c>
      <c r="N137" s="34" t="s">
        <v>1801</v>
      </c>
      <c r="O137" s="35">
        <v>1</v>
      </c>
      <c r="P137" s="35"/>
      <c r="Q137" s="32"/>
      <c r="S137" s="1">
        <f t="shared" si="73"/>
        <v>0</v>
      </c>
      <c r="T137" s="1">
        <f t="shared" si="74"/>
        <v>0</v>
      </c>
      <c r="U137" s="1">
        <f t="shared" si="75"/>
        <v>0</v>
      </c>
      <c r="V137" s="1">
        <f t="shared" si="76"/>
        <v>0</v>
      </c>
      <c r="W137" s="1">
        <f t="shared" si="77"/>
        <v>0</v>
      </c>
      <c r="X137" s="1">
        <f t="shared" si="78"/>
        <v>0</v>
      </c>
      <c r="Y137" s="1">
        <f t="shared" si="79"/>
        <v>0</v>
      </c>
      <c r="Z137" s="1">
        <f t="shared" si="80"/>
        <v>0</v>
      </c>
      <c r="AA137" s="1">
        <f t="shared" si="81"/>
        <v>0</v>
      </c>
      <c r="AB137" s="1">
        <f t="shared" si="82"/>
        <v>0</v>
      </c>
      <c r="AD137" s="1">
        <f t="shared" si="83"/>
        <v>0</v>
      </c>
      <c r="AE137" s="1">
        <f t="shared" si="84"/>
        <v>1</v>
      </c>
      <c r="AF137" s="1">
        <f t="shared" si="69"/>
        <v>0</v>
      </c>
      <c r="AG137" s="1">
        <f t="shared" si="70"/>
        <v>1</v>
      </c>
      <c r="AH137" s="1">
        <f t="shared" si="71"/>
        <v>0</v>
      </c>
      <c r="AI137" s="1">
        <f t="shared" si="72"/>
        <v>1</v>
      </c>
    </row>
    <row r="138" spans="1:35" ht="14.25" customHeight="1" x14ac:dyDescent="0.25">
      <c r="A138" s="44">
        <v>0</v>
      </c>
      <c r="B138" s="44">
        <v>1</v>
      </c>
      <c r="C138" s="44">
        <v>3</v>
      </c>
      <c r="D138" s="45" t="s">
        <v>78</v>
      </c>
      <c r="E138" s="45" t="s">
        <v>610</v>
      </c>
      <c r="F138" s="45" t="s">
        <v>308</v>
      </c>
      <c r="G138" s="45" t="s">
        <v>39</v>
      </c>
      <c r="H138" s="45" t="s">
        <v>362</v>
      </c>
      <c r="I138" s="44" t="s">
        <v>457</v>
      </c>
      <c r="J138" s="44">
        <v>12</v>
      </c>
      <c r="K138" s="46" t="s">
        <v>703</v>
      </c>
      <c r="L138" s="46">
        <v>40</v>
      </c>
      <c r="M138" s="47" t="s">
        <v>971</v>
      </c>
      <c r="N138" s="47" t="s">
        <v>1802</v>
      </c>
      <c r="O138" s="48"/>
      <c r="P138" s="48"/>
      <c r="Q138" s="45"/>
      <c r="S138" s="1">
        <f t="shared" si="73"/>
        <v>0</v>
      </c>
      <c r="T138" s="1">
        <f t="shared" si="74"/>
        <v>0</v>
      </c>
      <c r="U138" s="1">
        <f t="shared" si="75"/>
        <v>0</v>
      </c>
      <c r="V138" s="1">
        <f t="shared" si="76"/>
        <v>0</v>
      </c>
      <c r="W138" s="1">
        <f t="shared" si="77"/>
        <v>0</v>
      </c>
      <c r="X138" s="1">
        <f t="shared" si="78"/>
        <v>0</v>
      </c>
      <c r="Y138" s="1">
        <f t="shared" si="79"/>
        <v>0</v>
      </c>
      <c r="Z138" s="1">
        <f t="shared" si="80"/>
        <v>0</v>
      </c>
      <c r="AA138" s="1">
        <f t="shared" si="81"/>
        <v>0</v>
      </c>
      <c r="AB138" s="1">
        <f t="shared" si="82"/>
        <v>0</v>
      </c>
      <c r="AD138" s="1">
        <f t="shared" si="83"/>
        <v>0</v>
      </c>
      <c r="AE138" s="1">
        <f t="shared" si="84"/>
        <v>0</v>
      </c>
      <c r="AF138" s="1">
        <f t="shared" si="69"/>
        <v>0</v>
      </c>
      <c r="AG138" s="1">
        <f t="shared" si="70"/>
        <v>0</v>
      </c>
      <c r="AH138" s="1">
        <f t="shared" si="71"/>
        <v>0</v>
      </c>
      <c r="AI138" s="1">
        <f t="shared" si="72"/>
        <v>1</v>
      </c>
    </row>
    <row r="139" spans="1:35" ht="14.25" customHeight="1" x14ac:dyDescent="0.25">
      <c r="A139" s="15">
        <v>0</v>
      </c>
      <c r="B139" s="15">
        <v>1</v>
      </c>
      <c r="C139" s="15">
        <v>3</v>
      </c>
      <c r="D139" s="16" t="s">
        <v>1582</v>
      </c>
      <c r="E139" s="16" t="s">
        <v>170</v>
      </c>
      <c r="F139" s="16" t="s">
        <v>1584</v>
      </c>
      <c r="G139" s="16"/>
      <c r="H139" s="16" t="s">
        <v>365</v>
      </c>
      <c r="I139" s="15" t="s">
        <v>1583</v>
      </c>
      <c r="J139" s="15">
        <v>18</v>
      </c>
      <c r="K139" s="10" t="s">
        <v>703</v>
      </c>
      <c r="L139" s="10" t="s">
        <v>688</v>
      </c>
      <c r="M139" s="19" t="s">
        <v>971</v>
      </c>
      <c r="N139" s="17"/>
      <c r="Q139" s="16"/>
      <c r="S139" s="1">
        <f t="shared" si="73"/>
        <v>0</v>
      </c>
      <c r="T139" s="1">
        <f t="shared" si="74"/>
        <v>0</v>
      </c>
      <c r="U139" s="1">
        <f t="shared" si="75"/>
        <v>0</v>
      </c>
      <c r="V139" s="1">
        <f t="shared" si="76"/>
        <v>0</v>
      </c>
      <c r="W139" s="1">
        <f t="shared" si="77"/>
        <v>0</v>
      </c>
      <c r="X139" s="1">
        <f t="shared" si="78"/>
        <v>0</v>
      </c>
      <c r="Y139" s="1">
        <f t="shared" si="79"/>
        <v>0</v>
      </c>
      <c r="Z139" s="1">
        <f t="shared" si="80"/>
        <v>0</v>
      </c>
      <c r="AA139" s="1">
        <f t="shared" si="81"/>
        <v>0</v>
      </c>
      <c r="AB139" s="1">
        <f t="shared" si="82"/>
        <v>0</v>
      </c>
      <c r="AD139" s="1">
        <f t="shared" si="83"/>
        <v>0</v>
      </c>
      <c r="AE139" s="1">
        <f t="shared" si="84"/>
        <v>0</v>
      </c>
      <c r="AF139" s="1">
        <f t="shared" si="69"/>
        <v>0</v>
      </c>
      <c r="AG139" s="1">
        <f t="shared" si="70"/>
        <v>0</v>
      </c>
      <c r="AH139" s="1">
        <f t="shared" si="71"/>
        <v>0</v>
      </c>
      <c r="AI139" s="1">
        <f t="shared" si="72"/>
        <v>1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1287</v>
      </c>
      <c r="E140" s="32" t="s">
        <v>172</v>
      </c>
      <c r="F140" s="32" t="s">
        <v>1288</v>
      </c>
      <c r="G140" s="32" t="s">
        <v>238</v>
      </c>
      <c r="H140" s="32" t="s">
        <v>354</v>
      </c>
      <c r="I140" s="31" t="s">
        <v>1289</v>
      </c>
      <c r="J140" s="31">
        <v>4</v>
      </c>
      <c r="K140" s="33" t="s">
        <v>957</v>
      </c>
      <c r="L140" s="33" t="s">
        <v>39</v>
      </c>
      <c r="M140" s="34" t="s">
        <v>39</v>
      </c>
      <c r="N140" s="34" t="s">
        <v>1727</v>
      </c>
      <c r="O140" s="35">
        <v>1</v>
      </c>
      <c r="P140" s="35">
        <v>1</v>
      </c>
      <c r="Q140" s="32"/>
      <c r="S140" s="1">
        <f t="shared" si="73"/>
        <v>0</v>
      </c>
      <c r="T140" s="1">
        <f t="shared" si="74"/>
        <v>0</v>
      </c>
      <c r="U140" s="1">
        <f t="shared" si="75"/>
        <v>0</v>
      </c>
      <c r="V140" s="1">
        <f t="shared" si="76"/>
        <v>1</v>
      </c>
      <c r="W140" s="1">
        <f t="shared" si="77"/>
        <v>0</v>
      </c>
      <c r="X140" s="1">
        <f t="shared" si="78"/>
        <v>0</v>
      </c>
      <c r="Y140" s="1">
        <f t="shared" si="79"/>
        <v>0</v>
      </c>
      <c r="Z140" s="1">
        <f t="shared" si="80"/>
        <v>0</v>
      </c>
      <c r="AA140" s="1">
        <f t="shared" si="81"/>
        <v>0</v>
      </c>
      <c r="AB140" s="1">
        <f t="shared" si="82"/>
        <v>0</v>
      </c>
      <c r="AD140" s="1">
        <f t="shared" si="83"/>
        <v>1</v>
      </c>
      <c r="AE140" s="1">
        <f t="shared" si="84"/>
        <v>0</v>
      </c>
      <c r="AF140" s="1">
        <f t="shared" ref="AF140:AF207" si="113">+O140*P140*(1-A140)</f>
        <v>1</v>
      </c>
      <c r="AG140" s="1">
        <f t="shared" ref="AG140:AG207" si="114">O140*(1-P140)*(1-A140)</f>
        <v>0</v>
      </c>
      <c r="AH140" s="1">
        <f t="shared" ref="AH140:AH207" si="115">+P140*(1-A140)</f>
        <v>1</v>
      </c>
      <c r="AI140" s="1">
        <f t="shared" ref="AI140:AI207" si="116">+(1-A140)*(1-P140)</f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648</v>
      </c>
      <c r="E141" s="32" t="s">
        <v>172</v>
      </c>
      <c r="F141" s="32" t="s">
        <v>657</v>
      </c>
      <c r="G141" s="32" t="s">
        <v>232</v>
      </c>
      <c r="H141" s="32" t="s">
        <v>354</v>
      </c>
      <c r="I141" s="31" t="s">
        <v>612</v>
      </c>
      <c r="J141" s="31">
        <v>99</v>
      </c>
      <c r="K141" s="33" t="s">
        <v>702</v>
      </c>
      <c r="L141" s="33" t="s">
        <v>39</v>
      </c>
      <c r="M141" s="34" t="s">
        <v>39</v>
      </c>
      <c r="N141" s="34" t="s">
        <v>1733</v>
      </c>
      <c r="O141" s="35">
        <v>1</v>
      </c>
      <c r="P141" s="35">
        <v>1</v>
      </c>
      <c r="Q141" s="32"/>
      <c r="S141" s="1">
        <f t="shared" si="73"/>
        <v>0</v>
      </c>
      <c r="T141" s="1">
        <f t="shared" si="74"/>
        <v>0</v>
      </c>
      <c r="U141" s="1">
        <f t="shared" si="75"/>
        <v>0</v>
      </c>
      <c r="V141" s="1">
        <f t="shared" si="76"/>
        <v>0</v>
      </c>
      <c r="W141" s="1">
        <f t="shared" si="77"/>
        <v>0</v>
      </c>
      <c r="X141" s="1">
        <f t="shared" si="78"/>
        <v>0</v>
      </c>
      <c r="Y141" s="1">
        <f t="shared" si="79"/>
        <v>0</v>
      </c>
      <c r="Z141" s="1">
        <f t="shared" si="80"/>
        <v>0</v>
      </c>
      <c r="AA141" s="1">
        <f t="shared" si="81"/>
        <v>0</v>
      </c>
      <c r="AB141" s="1">
        <f t="shared" si="82"/>
        <v>0</v>
      </c>
      <c r="AD141" s="1">
        <f t="shared" si="83"/>
        <v>1</v>
      </c>
      <c r="AE141" s="1">
        <f t="shared" si="84"/>
        <v>0</v>
      </c>
      <c r="AF141" s="1">
        <f t="shared" si="113"/>
        <v>1</v>
      </c>
      <c r="AG141" s="1">
        <f t="shared" si="114"/>
        <v>0</v>
      </c>
      <c r="AH141" s="1">
        <f t="shared" si="115"/>
        <v>1</v>
      </c>
      <c r="AI141" s="1">
        <f t="shared" si="116"/>
        <v>0</v>
      </c>
    </row>
    <row r="142" spans="1:35" ht="14.25" customHeight="1" x14ac:dyDescent="0.25">
      <c r="A142" s="38">
        <v>0</v>
      </c>
      <c r="B142" s="38">
        <v>1</v>
      </c>
      <c r="C142" s="38">
        <v>3</v>
      </c>
      <c r="D142" s="39" t="s">
        <v>873</v>
      </c>
      <c r="E142" s="39" t="s">
        <v>874</v>
      </c>
      <c r="F142" s="39" t="s">
        <v>875</v>
      </c>
      <c r="G142" s="39" t="s">
        <v>39</v>
      </c>
      <c r="H142" s="39" t="s">
        <v>366</v>
      </c>
      <c r="I142" s="38" t="s">
        <v>876</v>
      </c>
      <c r="J142" s="38">
        <v>18</v>
      </c>
      <c r="K142" s="40" t="s">
        <v>956</v>
      </c>
      <c r="L142" s="40" t="s">
        <v>39</v>
      </c>
      <c r="M142" s="41" t="s">
        <v>39</v>
      </c>
      <c r="N142" s="42"/>
      <c r="O142" s="43"/>
      <c r="P142" s="43">
        <v>1</v>
      </c>
      <c r="Q142" s="39"/>
      <c r="S142" s="1">
        <f t="shared" si="73"/>
        <v>0</v>
      </c>
      <c r="T142" s="1">
        <f t="shared" si="74"/>
        <v>0</v>
      </c>
      <c r="U142" s="1">
        <f t="shared" si="75"/>
        <v>0</v>
      </c>
      <c r="V142" s="1">
        <f t="shared" si="76"/>
        <v>0</v>
      </c>
      <c r="W142" s="1">
        <f t="shared" si="77"/>
        <v>0</v>
      </c>
      <c r="X142" s="1">
        <f t="shared" si="78"/>
        <v>0</v>
      </c>
      <c r="Y142" s="1">
        <f t="shared" si="79"/>
        <v>0</v>
      </c>
      <c r="Z142" s="1">
        <f t="shared" si="80"/>
        <v>0</v>
      </c>
      <c r="AA142" s="1">
        <f t="shared" si="81"/>
        <v>0</v>
      </c>
      <c r="AB142" s="1">
        <f t="shared" si="82"/>
        <v>0</v>
      </c>
      <c r="AD142" s="1">
        <f t="shared" si="83"/>
        <v>0</v>
      </c>
      <c r="AE142" s="1">
        <f t="shared" si="84"/>
        <v>0</v>
      </c>
      <c r="AF142" s="1">
        <f t="shared" si="113"/>
        <v>0</v>
      </c>
      <c r="AG142" s="1">
        <f t="shared" si="114"/>
        <v>0</v>
      </c>
      <c r="AH142" s="1">
        <f t="shared" si="115"/>
        <v>1</v>
      </c>
      <c r="AI142" s="1">
        <f t="shared" si="116"/>
        <v>0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1307</v>
      </c>
      <c r="E143" s="32" t="s">
        <v>172</v>
      </c>
      <c r="F143" s="32" t="s">
        <v>1308</v>
      </c>
      <c r="G143" s="32" t="s">
        <v>208</v>
      </c>
      <c r="H143" s="32" t="s">
        <v>354</v>
      </c>
      <c r="I143" s="31" t="s">
        <v>1309</v>
      </c>
      <c r="J143" s="31">
        <v>3</v>
      </c>
      <c r="K143" s="33" t="s">
        <v>956</v>
      </c>
      <c r="L143" s="33" t="s">
        <v>39</v>
      </c>
      <c r="M143" s="34" t="s">
        <v>39</v>
      </c>
      <c r="N143" s="34" t="s">
        <v>1733</v>
      </c>
      <c r="O143" s="35">
        <v>1</v>
      </c>
      <c r="P143" s="35">
        <v>1</v>
      </c>
      <c r="Q143" s="32"/>
      <c r="S143" s="1">
        <f t="shared" si="73"/>
        <v>0</v>
      </c>
      <c r="T143" s="1">
        <f t="shared" si="74"/>
        <v>0</v>
      </c>
      <c r="U143" s="1">
        <f t="shared" si="75"/>
        <v>1</v>
      </c>
      <c r="V143" s="1">
        <f t="shared" si="76"/>
        <v>0</v>
      </c>
      <c r="W143" s="1">
        <f t="shared" si="77"/>
        <v>0</v>
      </c>
      <c r="X143" s="1">
        <f t="shared" si="78"/>
        <v>0</v>
      </c>
      <c r="Y143" s="1">
        <f t="shared" si="79"/>
        <v>0</v>
      </c>
      <c r="Z143" s="1">
        <f t="shared" si="80"/>
        <v>0</v>
      </c>
      <c r="AA143" s="1">
        <f t="shared" si="81"/>
        <v>0</v>
      </c>
      <c r="AB143" s="1">
        <f t="shared" si="82"/>
        <v>0</v>
      </c>
      <c r="AD143" s="1">
        <f t="shared" si="83"/>
        <v>1</v>
      </c>
      <c r="AE143" s="1">
        <f t="shared" si="84"/>
        <v>0</v>
      </c>
      <c r="AF143" s="1">
        <f t="shared" si="113"/>
        <v>1</v>
      </c>
      <c r="AG143" s="1">
        <f t="shared" si="114"/>
        <v>0</v>
      </c>
      <c r="AH143" s="1">
        <f t="shared" si="115"/>
        <v>1</v>
      </c>
      <c r="AI143" s="1">
        <f t="shared" si="116"/>
        <v>0</v>
      </c>
    </row>
    <row r="144" spans="1:35" ht="14.25" customHeight="1" x14ac:dyDescent="0.25">
      <c r="A144" s="44">
        <v>0</v>
      </c>
      <c r="B144" s="44">
        <v>1</v>
      </c>
      <c r="C144" s="44">
        <v>3</v>
      </c>
      <c r="D144" s="45" t="s">
        <v>867</v>
      </c>
      <c r="E144" s="45" t="s">
        <v>170</v>
      </c>
      <c r="F144" s="45" t="s">
        <v>868</v>
      </c>
      <c r="G144" s="45" t="s">
        <v>39</v>
      </c>
      <c r="H144" s="45" t="s">
        <v>869</v>
      </c>
      <c r="I144" s="44" t="s">
        <v>948</v>
      </c>
      <c r="J144" s="44">
        <v>11</v>
      </c>
      <c r="K144" s="46" t="s">
        <v>702</v>
      </c>
      <c r="L144" s="46" t="s">
        <v>689</v>
      </c>
      <c r="M144" s="47" t="s">
        <v>971</v>
      </c>
      <c r="N144" s="47" t="s">
        <v>1741</v>
      </c>
      <c r="O144" s="48"/>
      <c r="P144" s="48"/>
      <c r="Q144" s="45"/>
      <c r="S144" s="1">
        <f t="shared" si="73"/>
        <v>0</v>
      </c>
      <c r="T144" s="1">
        <f t="shared" si="74"/>
        <v>0</v>
      </c>
      <c r="U144" s="1">
        <f t="shared" si="75"/>
        <v>0</v>
      </c>
      <c r="V144" s="1">
        <f t="shared" si="76"/>
        <v>0</v>
      </c>
      <c r="W144" s="1">
        <f t="shared" si="77"/>
        <v>0</v>
      </c>
      <c r="X144" s="1">
        <f t="shared" si="78"/>
        <v>0</v>
      </c>
      <c r="Y144" s="1">
        <f t="shared" si="79"/>
        <v>0</v>
      </c>
      <c r="Z144" s="1">
        <f t="shared" si="80"/>
        <v>0</v>
      </c>
      <c r="AA144" s="1">
        <f t="shared" si="81"/>
        <v>0</v>
      </c>
      <c r="AB144" s="1">
        <f t="shared" si="82"/>
        <v>0</v>
      </c>
      <c r="AD144" s="1">
        <f t="shared" si="83"/>
        <v>0</v>
      </c>
      <c r="AE144" s="1">
        <f t="shared" si="84"/>
        <v>0</v>
      </c>
      <c r="AF144" s="1">
        <f t="shared" si="113"/>
        <v>0</v>
      </c>
      <c r="AG144" s="1">
        <f t="shared" si="114"/>
        <v>0</v>
      </c>
      <c r="AH144" s="1">
        <f t="shared" si="115"/>
        <v>0</v>
      </c>
      <c r="AI144" s="1">
        <f t="shared" si="116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6" t="s">
        <v>506</v>
      </c>
      <c r="E145" s="36" t="s">
        <v>170</v>
      </c>
      <c r="F145" s="36" t="s">
        <v>507</v>
      </c>
      <c r="G145" s="36" t="s">
        <v>504</v>
      </c>
      <c r="H145" s="36" t="s">
        <v>354</v>
      </c>
      <c r="I145" s="37" t="s">
        <v>508</v>
      </c>
      <c r="J145" s="31">
        <v>99</v>
      </c>
      <c r="K145" s="33" t="s">
        <v>703</v>
      </c>
      <c r="L145" s="33">
        <v>40</v>
      </c>
      <c r="M145" s="34" t="s">
        <v>971</v>
      </c>
      <c r="N145" s="34" t="s">
        <v>1946</v>
      </c>
      <c r="O145" s="35">
        <v>1</v>
      </c>
      <c r="P145" s="35"/>
      <c r="Q145" s="36"/>
      <c r="S145" s="1">
        <f t="shared" ref="S145:S212" si="117">IF(J145=$S$7,1,0)</f>
        <v>0</v>
      </c>
      <c r="T145" s="1">
        <f t="shared" ref="T145:T212" si="118">IF(J145=$T$7,1,0)</f>
        <v>0</v>
      </c>
      <c r="U145" s="1">
        <f t="shared" ref="U145:U212" si="119">IF(J145=$U$7,1,0)</f>
        <v>0</v>
      </c>
      <c r="V145" s="1">
        <f t="shared" ref="V145:V212" si="120">IF(J145=$V$7,1,0)</f>
        <v>0</v>
      </c>
      <c r="W145" s="1">
        <f t="shared" ref="W145:W212" si="121">IF(J145=$W$7,1,0)</f>
        <v>0</v>
      </c>
      <c r="X145" s="1">
        <f t="shared" ref="X145:X212" si="122">IF(J145=$X$7,1,0)</f>
        <v>0</v>
      </c>
      <c r="Y145" s="1">
        <f t="shared" ref="Y145:Y212" si="123">IF(J145=$Y$7,1,0)</f>
        <v>0</v>
      </c>
      <c r="Z145" s="1">
        <f t="shared" ref="Z145:Z212" si="124">IF(J145=$Z$7,1,0)</f>
        <v>0</v>
      </c>
      <c r="AA145" s="1">
        <f t="shared" ref="AA145:AA212" si="125">IF(J145=$AA$7,1,0)</f>
        <v>0</v>
      </c>
      <c r="AB145" s="1">
        <f t="shared" ref="AB145:AB212" si="126">IF(J145=$AB$7,1,0)</f>
        <v>0</v>
      </c>
      <c r="AD145" s="1">
        <f t="shared" ref="AD145:AD212" si="127">+O145*P145</f>
        <v>0</v>
      </c>
      <c r="AE145" s="1">
        <f t="shared" ref="AE145:AE212" si="128">O145*(1-P145)</f>
        <v>1</v>
      </c>
      <c r="AF145" s="1">
        <f t="shared" si="113"/>
        <v>0</v>
      </c>
      <c r="AG145" s="1">
        <f t="shared" si="114"/>
        <v>1</v>
      </c>
      <c r="AH145" s="1">
        <f t="shared" si="115"/>
        <v>0</v>
      </c>
      <c r="AI145" s="1">
        <f t="shared" si="116"/>
        <v>1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6" t="s">
        <v>1792</v>
      </c>
      <c r="E146" s="36" t="s">
        <v>1793</v>
      </c>
      <c r="F146" s="36" t="s">
        <v>1794</v>
      </c>
      <c r="G146" s="36" t="s">
        <v>1795</v>
      </c>
      <c r="H146" s="36" t="s">
        <v>354</v>
      </c>
      <c r="I146" s="37" t="s">
        <v>1796</v>
      </c>
      <c r="J146" s="31">
        <v>99</v>
      </c>
      <c r="K146" s="33" t="s">
        <v>703</v>
      </c>
      <c r="L146" s="33"/>
      <c r="M146" s="34"/>
      <c r="N146" s="34" t="s">
        <v>1733</v>
      </c>
      <c r="O146" s="35">
        <v>1</v>
      </c>
      <c r="P146" s="35">
        <v>1</v>
      </c>
      <c r="Q146" s="36"/>
      <c r="S146" s="1">
        <f t="shared" si="117"/>
        <v>0</v>
      </c>
      <c r="T146" s="1">
        <f t="shared" si="118"/>
        <v>0</v>
      </c>
      <c r="U146" s="1">
        <f t="shared" si="119"/>
        <v>0</v>
      </c>
      <c r="V146" s="1">
        <f t="shared" si="120"/>
        <v>0</v>
      </c>
      <c r="W146" s="1">
        <f t="shared" si="121"/>
        <v>0</v>
      </c>
      <c r="X146" s="1">
        <f t="shared" si="122"/>
        <v>0</v>
      </c>
      <c r="Y146" s="1">
        <f t="shared" si="123"/>
        <v>0</v>
      </c>
      <c r="Z146" s="1">
        <f t="shared" si="124"/>
        <v>0</v>
      </c>
      <c r="AA146" s="1">
        <f t="shared" si="125"/>
        <v>0</v>
      </c>
      <c r="AB146" s="1">
        <f t="shared" si="126"/>
        <v>0</v>
      </c>
      <c r="AD146" s="1">
        <f t="shared" si="127"/>
        <v>1</v>
      </c>
      <c r="AE146" s="1">
        <f t="shared" si="128"/>
        <v>0</v>
      </c>
      <c r="AF146" s="1">
        <f t="shared" si="113"/>
        <v>1</v>
      </c>
      <c r="AG146" s="1">
        <f t="shared" si="114"/>
        <v>0</v>
      </c>
      <c r="AH146" s="1">
        <f t="shared" si="115"/>
        <v>1</v>
      </c>
      <c r="AI146" s="1">
        <f t="shared" si="116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529</v>
      </c>
      <c r="E147" s="32" t="s">
        <v>170</v>
      </c>
      <c r="F147" s="32" t="s">
        <v>658</v>
      </c>
      <c r="G147" s="32" t="s">
        <v>39</v>
      </c>
      <c r="H147" s="32" t="s">
        <v>530</v>
      </c>
      <c r="I147" s="31" t="s">
        <v>531</v>
      </c>
      <c r="J147" s="31">
        <v>18</v>
      </c>
      <c r="K147" s="33" t="s">
        <v>956</v>
      </c>
      <c r="L147" s="33" t="s">
        <v>1742</v>
      </c>
      <c r="M147" s="34" t="s">
        <v>970</v>
      </c>
      <c r="N147" s="34" t="s">
        <v>1733</v>
      </c>
      <c r="O147" s="35">
        <v>1</v>
      </c>
      <c r="P147" s="35">
        <v>1</v>
      </c>
      <c r="Q147" s="32"/>
      <c r="S147" s="1">
        <f t="shared" si="117"/>
        <v>0</v>
      </c>
      <c r="T147" s="1">
        <f t="shared" si="118"/>
        <v>0</v>
      </c>
      <c r="U147" s="1">
        <f t="shared" si="119"/>
        <v>0</v>
      </c>
      <c r="V147" s="1">
        <f t="shared" si="120"/>
        <v>0</v>
      </c>
      <c r="W147" s="1">
        <f t="shared" si="121"/>
        <v>0</v>
      </c>
      <c r="X147" s="1">
        <f t="shared" si="122"/>
        <v>0</v>
      </c>
      <c r="Y147" s="1">
        <f t="shared" si="123"/>
        <v>0</v>
      </c>
      <c r="Z147" s="1">
        <f t="shared" si="124"/>
        <v>0</v>
      </c>
      <c r="AA147" s="1">
        <f t="shared" si="125"/>
        <v>0</v>
      </c>
      <c r="AB147" s="1">
        <f t="shared" si="126"/>
        <v>0</v>
      </c>
      <c r="AD147" s="1">
        <f t="shared" si="127"/>
        <v>1</v>
      </c>
      <c r="AE147" s="1">
        <f t="shared" si="128"/>
        <v>0</v>
      </c>
      <c r="AF147" s="1">
        <f t="shared" si="113"/>
        <v>1</v>
      </c>
      <c r="AG147" s="1">
        <f t="shared" si="114"/>
        <v>0</v>
      </c>
      <c r="AH147" s="1">
        <f t="shared" si="115"/>
        <v>1</v>
      </c>
      <c r="AI147" s="1">
        <f t="shared" si="116"/>
        <v>0</v>
      </c>
    </row>
    <row r="148" spans="1:35" ht="14.25" customHeight="1" x14ac:dyDescent="0.25">
      <c r="A148" s="44">
        <v>0</v>
      </c>
      <c r="B148" s="44">
        <v>1</v>
      </c>
      <c r="C148" s="44">
        <v>3</v>
      </c>
      <c r="D148" s="45" t="s">
        <v>975</v>
      </c>
      <c r="E148" s="45" t="s">
        <v>175</v>
      </c>
      <c r="F148" s="45" t="s">
        <v>805</v>
      </c>
      <c r="G148" s="45" t="s">
        <v>39</v>
      </c>
      <c r="H148" s="45" t="s">
        <v>806</v>
      </c>
      <c r="I148" s="44" t="s">
        <v>807</v>
      </c>
      <c r="J148" s="44">
        <v>16</v>
      </c>
      <c r="K148" s="46" t="s">
        <v>957</v>
      </c>
      <c r="L148" s="46" t="s">
        <v>1141</v>
      </c>
      <c r="M148" s="47" t="s">
        <v>970</v>
      </c>
      <c r="N148" s="47" t="s">
        <v>1739</v>
      </c>
      <c r="O148" s="48"/>
      <c r="P148" s="48"/>
      <c r="Q148" s="45"/>
      <c r="S148" s="1">
        <f t="shared" si="117"/>
        <v>0</v>
      </c>
      <c r="T148" s="1">
        <f t="shared" si="118"/>
        <v>0</v>
      </c>
      <c r="U148" s="1">
        <f t="shared" si="119"/>
        <v>0</v>
      </c>
      <c r="V148" s="1">
        <f t="shared" si="120"/>
        <v>0</v>
      </c>
      <c r="W148" s="1">
        <f t="shared" si="121"/>
        <v>0</v>
      </c>
      <c r="X148" s="1">
        <f t="shared" si="122"/>
        <v>0</v>
      </c>
      <c r="Y148" s="1">
        <f t="shared" si="123"/>
        <v>0</v>
      </c>
      <c r="Z148" s="1">
        <f t="shared" si="124"/>
        <v>0</v>
      </c>
      <c r="AA148" s="1">
        <f t="shared" si="125"/>
        <v>0</v>
      </c>
      <c r="AB148" s="1">
        <f t="shared" si="126"/>
        <v>0</v>
      </c>
      <c r="AD148" s="1">
        <f t="shared" si="127"/>
        <v>0</v>
      </c>
      <c r="AE148" s="1">
        <f t="shared" si="128"/>
        <v>0</v>
      </c>
      <c r="AF148" s="1">
        <f t="shared" si="113"/>
        <v>0</v>
      </c>
      <c r="AG148" s="1">
        <f t="shared" si="114"/>
        <v>0</v>
      </c>
      <c r="AH148" s="1">
        <f t="shared" si="115"/>
        <v>0</v>
      </c>
      <c r="AI148" s="1">
        <f t="shared" si="116"/>
        <v>1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1198</v>
      </c>
      <c r="E149" s="32" t="s">
        <v>172</v>
      </c>
      <c r="F149" s="32" t="s">
        <v>1199</v>
      </c>
      <c r="G149" s="32" t="s">
        <v>238</v>
      </c>
      <c r="H149" s="32" t="s">
        <v>354</v>
      </c>
      <c r="I149" s="31" t="s">
        <v>1200</v>
      </c>
      <c r="J149" s="31">
        <v>4</v>
      </c>
      <c r="K149" s="33" t="s">
        <v>963</v>
      </c>
      <c r="L149" s="33" t="s">
        <v>1699</v>
      </c>
      <c r="M149" s="34" t="s">
        <v>1604</v>
      </c>
      <c r="N149" s="34" t="s">
        <v>1727</v>
      </c>
      <c r="O149" s="35">
        <v>1</v>
      </c>
      <c r="P149" s="35">
        <v>1</v>
      </c>
      <c r="Q149" s="32"/>
      <c r="S149" s="1">
        <f t="shared" si="117"/>
        <v>0</v>
      </c>
      <c r="T149" s="1">
        <f t="shared" si="118"/>
        <v>0</v>
      </c>
      <c r="U149" s="1">
        <f t="shared" si="119"/>
        <v>0</v>
      </c>
      <c r="V149" s="1">
        <f t="shared" si="120"/>
        <v>1</v>
      </c>
      <c r="W149" s="1">
        <f t="shared" si="121"/>
        <v>0</v>
      </c>
      <c r="X149" s="1">
        <f t="shared" si="122"/>
        <v>0</v>
      </c>
      <c r="Y149" s="1">
        <f t="shared" si="123"/>
        <v>0</v>
      </c>
      <c r="Z149" s="1">
        <f t="shared" si="124"/>
        <v>0</v>
      </c>
      <c r="AA149" s="1">
        <f t="shared" si="125"/>
        <v>0</v>
      </c>
      <c r="AB149" s="1">
        <f t="shared" si="126"/>
        <v>0</v>
      </c>
      <c r="AD149" s="1">
        <f t="shared" si="127"/>
        <v>1</v>
      </c>
      <c r="AE149" s="1">
        <f t="shared" si="128"/>
        <v>0</v>
      </c>
      <c r="AF149" s="1">
        <f t="shared" si="113"/>
        <v>1</v>
      </c>
      <c r="AG149" s="1">
        <f t="shared" si="114"/>
        <v>0</v>
      </c>
      <c r="AH149" s="1">
        <f t="shared" si="115"/>
        <v>1</v>
      </c>
      <c r="AI149" s="1">
        <f t="shared" si="116"/>
        <v>0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1641</v>
      </c>
      <c r="E150" s="32" t="s">
        <v>170</v>
      </c>
      <c r="F150" s="32" t="s">
        <v>1476</v>
      </c>
      <c r="G150" s="32" t="s">
        <v>1669</v>
      </c>
      <c r="H150" s="32" t="s">
        <v>354</v>
      </c>
      <c r="I150" s="31" t="s">
        <v>1475</v>
      </c>
      <c r="J150" s="31">
        <v>99</v>
      </c>
      <c r="K150" s="33" t="s">
        <v>702</v>
      </c>
      <c r="L150" s="33" t="s">
        <v>1704</v>
      </c>
      <c r="M150" s="34" t="s">
        <v>1477</v>
      </c>
      <c r="N150" s="34" t="s">
        <v>1749</v>
      </c>
      <c r="O150" s="35">
        <v>1</v>
      </c>
      <c r="P150" s="35"/>
      <c r="Q150" s="32"/>
      <c r="S150" s="1">
        <f t="shared" si="117"/>
        <v>0</v>
      </c>
      <c r="T150" s="1">
        <f t="shared" si="118"/>
        <v>0</v>
      </c>
      <c r="U150" s="1">
        <f t="shared" si="119"/>
        <v>0</v>
      </c>
      <c r="V150" s="1">
        <f t="shared" si="120"/>
        <v>0</v>
      </c>
      <c r="W150" s="1">
        <f t="shared" si="121"/>
        <v>0</v>
      </c>
      <c r="X150" s="1">
        <f t="shared" si="122"/>
        <v>0</v>
      </c>
      <c r="Y150" s="1">
        <f t="shared" si="123"/>
        <v>0</v>
      </c>
      <c r="Z150" s="1">
        <f t="shared" si="124"/>
        <v>0</v>
      </c>
      <c r="AA150" s="1">
        <f t="shared" si="125"/>
        <v>0</v>
      </c>
      <c r="AB150" s="1">
        <f t="shared" si="126"/>
        <v>0</v>
      </c>
      <c r="AD150" s="1">
        <f t="shared" si="127"/>
        <v>0</v>
      </c>
      <c r="AE150" s="1">
        <f t="shared" si="128"/>
        <v>1</v>
      </c>
      <c r="AF150" s="1">
        <f t="shared" si="113"/>
        <v>0</v>
      </c>
      <c r="AG150" s="1">
        <f t="shared" si="114"/>
        <v>1</v>
      </c>
      <c r="AH150" s="1">
        <f t="shared" si="115"/>
        <v>0</v>
      </c>
      <c r="AI150" s="1">
        <f t="shared" si="116"/>
        <v>1</v>
      </c>
    </row>
    <row r="151" spans="1:35" ht="14.25" customHeight="1" x14ac:dyDescent="0.25">
      <c r="A151" s="15">
        <v>0</v>
      </c>
      <c r="B151" s="15">
        <v>1</v>
      </c>
      <c r="C151" s="15">
        <v>3</v>
      </c>
      <c r="D151" s="20" t="s">
        <v>1948</v>
      </c>
      <c r="E151" s="20" t="s">
        <v>172</v>
      </c>
      <c r="F151" s="20" t="s">
        <v>1964</v>
      </c>
      <c r="G151" s="20"/>
      <c r="H151" s="20" t="s">
        <v>1963</v>
      </c>
      <c r="I151" s="21" t="s">
        <v>1962</v>
      </c>
      <c r="J151" s="15">
        <v>14</v>
      </c>
      <c r="K151" s="10" t="s">
        <v>703</v>
      </c>
      <c r="L151" s="10" t="s">
        <v>697</v>
      </c>
      <c r="M151" s="19" t="s">
        <v>971</v>
      </c>
      <c r="N151" s="17"/>
      <c r="Q151" s="20" t="s">
        <v>1965</v>
      </c>
      <c r="S151" s="1">
        <f t="shared" si="117"/>
        <v>0</v>
      </c>
      <c r="T151" s="1">
        <f t="shared" si="118"/>
        <v>0</v>
      </c>
      <c r="U151" s="1">
        <f t="shared" si="119"/>
        <v>0</v>
      </c>
      <c r="V151" s="1">
        <f t="shared" si="120"/>
        <v>0</v>
      </c>
      <c r="W151" s="1">
        <f t="shared" si="121"/>
        <v>0</v>
      </c>
      <c r="X151" s="1">
        <f t="shared" si="122"/>
        <v>0</v>
      </c>
      <c r="Y151" s="1">
        <f t="shared" si="123"/>
        <v>0</v>
      </c>
      <c r="Z151" s="1">
        <f t="shared" si="124"/>
        <v>0</v>
      </c>
      <c r="AA151" s="1">
        <f t="shared" si="125"/>
        <v>0</v>
      </c>
      <c r="AB151" s="1">
        <f t="shared" si="126"/>
        <v>0</v>
      </c>
      <c r="AD151" s="1">
        <f t="shared" si="127"/>
        <v>0</v>
      </c>
      <c r="AE151" s="1">
        <f t="shared" si="128"/>
        <v>0</v>
      </c>
      <c r="AF151" s="1">
        <f t="shared" si="113"/>
        <v>0</v>
      </c>
      <c r="AG151" s="1">
        <f t="shared" si="114"/>
        <v>0</v>
      </c>
      <c r="AH151" s="1">
        <f t="shared" si="115"/>
        <v>0</v>
      </c>
      <c r="AI151" s="1">
        <f t="shared" si="116"/>
        <v>1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145</v>
      </c>
      <c r="E152" s="32" t="s">
        <v>172</v>
      </c>
      <c r="F152" s="32" t="s">
        <v>347</v>
      </c>
      <c r="G152" s="32" t="s">
        <v>39</v>
      </c>
      <c r="H152" s="32" t="s">
        <v>378</v>
      </c>
      <c r="I152" s="31" t="s">
        <v>1362</v>
      </c>
      <c r="J152" s="31">
        <v>14</v>
      </c>
      <c r="K152" s="33" t="s">
        <v>956</v>
      </c>
      <c r="L152" s="33" t="s">
        <v>689</v>
      </c>
      <c r="M152" s="34" t="s">
        <v>691</v>
      </c>
      <c r="N152" s="34" t="s">
        <v>1748</v>
      </c>
      <c r="O152" s="35">
        <v>1</v>
      </c>
      <c r="P152" s="35"/>
      <c r="Q152" s="32"/>
      <c r="S152" s="1">
        <f t="shared" si="117"/>
        <v>0</v>
      </c>
      <c r="T152" s="1">
        <f t="shared" si="118"/>
        <v>0</v>
      </c>
      <c r="U152" s="1">
        <f t="shared" si="119"/>
        <v>0</v>
      </c>
      <c r="V152" s="1">
        <f t="shared" si="120"/>
        <v>0</v>
      </c>
      <c r="W152" s="1">
        <f t="shared" si="121"/>
        <v>0</v>
      </c>
      <c r="X152" s="1">
        <f t="shared" si="122"/>
        <v>0</v>
      </c>
      <c r="Y152" s="1">
        <f t="shared" si="123"/>
        <v>0</v>
      </c>
      <c r="Z152" s="1">
        <f t="shared" si="124"/>
        <v>0</v>
      </c>
      <c r="AA152" s="1">
        <f t="shared" si="125"/>
        <v>0</v>
      </c>
      <c r="AB152" s="1">
        <f t="shared" si="126"/>
        <v>0</v>
      </c>
      <c r="AD152" s="1">
        <f t="shared" si="127"/>
        <v>0</v>
      </c>
      <c r="AE152" s="1">
        <f t="shared" si="128"/>
        <v>1</v>
      </c>
      <c r="AF152" s="1">
        <f t="shared" si="113"/>
        <v>0</v>
      </c>
      <c r="AG152" s="1">
        <f t="shared" si="114"/>
        <v>1</v>
      </c>
      <c r="AH152" s="1">
        <f t="shared" si="115"/>
        <v>0</v>
      </c>
      <c r="AI152" s="1">
        <f t="shared" si="116"/>
        <v>1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1567</v>
      </c>
      <c r="E153" s="32" t="s">
        <v>172</v>
      </c>
      <c r="F153" s="32" t="s">
        <v>1568</v>
      </c>
      <c r="G153" s="32" t="s">
        <v>39</v>
      </c>
      <c r="H153" s="32" t="s">
        <v>1569</v>
      </c>
      <c r="I153" s="31" t="s">
        <v>1570</v>
      </c>
      <c r="J153" s="31">
        <v>17</v>
      </c>
      <c r="K153" s="33" t="s">
        <v>722</v>
      </c>
      <c r="L153" s="33" t="s">
        <v>39</v>
      </c>
      <c r="M153" s="34" t="s">
        <v>39</v>
      </c>
      <c r="N153" s="34" t="s">
        <v>1733</v>
      </c>
      <c r="O153" s="35">
        <v>1</v>
      </c>
      <c r="P153" s="35">
        <v>1</v>
      </c>
      <c r="Q153" s="32" t="s">
        <v>1913</v>
      </c>
      <c r="S153" s="1">
        <f t="shared" si="117"/>
        <v>0</v>
      </c>
      <c r="T153" s="1">
        <f t="shared" si="118"/>
        <v>0</v>
      </c>
      <c r="U153" s="1">
        <f t="shared" si="119"/>
        <v>0</v>
      </c>
      <c r="V153" s="1">
        <f t="shared" si="120"/>
        <v>0</v>
      </c>
      <c r="W153" s="1">
        <f t="shared" si="121"/>
        <v>0</v>
      </c>
      <c r="X153" s="1">
        <f t="shared" si="122"/>
        <v>0</v>
      </c>
      <c r="Y153" s="1">
        <f t="shared" si="123"/>
        <v>0</v>
      </c>
      <c r="Z153" s="1">
        <f t="shared" si="124"/>
        <v>0</v>
      </c>
      <c r="AA153" s="1">
        <f t="shared" si="125"/>
        <v>0</v>
      </c>
      <c r="AB153" s="1">
        <f t="shared" si="126"/>
        <v>0</v>
      </c>
      <c r="AD153" s="1">
        <f t="shared" si="127"/>
        <v>1</v>
      </c>
      <c r="AE153" s="1">
        <f t="shared" si="128"/>
        <v>0</v>
      </c>
      <c r="AF153" s="1">
        <f t="shared" si="113"/>
        <v>1</v>
      </c>
      <c r="AG153" s="1">
        <f t="shared" si="114"/>
        <v>0</v>
      </c>
      <c r="AH153" s="1">
        <f t="shared" si="115"/>
        <v>1</v>
      </c>
      <c r="AI153" s="1">
        <f t="shared" si="116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153</v>
      </c>
      <c r="E154" s="32" t="s">
        <v>172</v>
      </c>
      <c r="F154" s="32" t="s">
        <v>353</v>
      </c>
      <c r="G154" s="32" t="s">
        <v>39</v>
      </c>
      <c r="H154" s="32" t="s">
        <v>1869</v>
      </c>
      <c r="I154" s="31" t="s">
        <v>500</v>
      </c>
      <c r="J154" s="31">
        <v>14</v>
      </c>
      <c r="K154" s="33" t="s">
        <v>702</v>
      </c>
      <c r="L154" s="33" t="s">
        <v>689</v>
      </c>
      <c r="M154" s="34" t="s">
        <v>970</v>
      </c>
      <c r="N154" s="34" t="s">
        <v>1748</v>
      </c>
      <c r="O154" s="35">
        <v>1</v>
      </c>
      <c r="P154" s="35"/>
      <c r="Q154" s="32" t="s">
        <v>1896</v>
      </c>
      <c r="S154" s="1">
        <f t="shared" si="117"/>
        <v>0</v>
      </c>
      <c r="T154" s="1">
        <f t="shared" si="118"/>
        <v>0</v>
      </c>
      <c r="U154" s="1">
        <f t="shared" si="119"/>
        <v>0</v>
      </c>
      <c r="V154" s="1">
        <f t="shared" si="120"/>
        <v>0</v>
      </c>
      <c r="W154" s="1">
        <f t="shared" si="121"/>
        <v>0</v>
      </c>
      <c r="X154" s="1">
        <f t="shared" si="122"/>
        <v>0</v>
      </c>
      <c r="Y154" s="1">
        <f t="shared" si="123"/>
        <v>0</v>
      </c>
      <c r="Z154" s="1">
        <f t="shared" si="124"/>
        <v>0</v>
      </c>
      <c r="AA154" s="1">
        <f t="shared" si="125"/>
        <v>0</v>
      </c>
      <c r="AB154" s="1">
        <f t="shared" si="126"/>
        <v>0</v>
      </c>
      <c r="AD154" s="1">
        <f t="shared" si="127"/>
        <v>0</v>
      </c>
      <c r="AE154" s="1">
        <f t="shared" si="128"/>
        <v>1</v>
      </c>
      <c r="AF154" s="1">
        <f t="shared" si="113"/>
        <v>0</v>
      </c>
      <c r="AG154" s="1">
        <f t="shared" si="114"/>
        <v>1</v>
      </c>
      <c r="AH154" s="1">
        <f t="shared" si="115"/>
        <v>0</v>
      </c>
      <c r="AI154" s="1">
        <f t="shared" si="116"/>
        <v>1</v>
      </c>
    </row>
    <row r="155" spans="1:35" ht="14.25" customHeight="1" x14ac:dyDescent="0.25">
      <c r="A155" s="15">
        <v>0</v>
      </c>
      <c r="B155" s="15">
        <v>1</v>
      </c>
      <c r="C155" s="15">
        <v>3</v>
      </c>
      <c r="D155" s="16" t="s">
        <v>739</v>
      </c>
      <c r="E155" s="16" t="s">
        <v>172</v>
      </c>
      <c r="F155" s="16" t="s">
        <v>740</v>
      </c>
      <c r="G155" s="16" t="s">
        <v>39</v>
      </c>
      <c r="H155" s="16" t="s">
        <v>741</v>
      </c>
      <c r="I155" s="15" t="s">
        <v>742</v>
      </c>
      <c r="J155" s="15">
        <v>17</v>
      </c>
      <c r="K155" s="10" t="s">
        <v>722</v>
      </c>
      <c r="L155" s="10" t="s">
        <v>697</v>
      </c>
      <c r="M155" s="19" t="s">
        <v>691</v>
      </c>
      <c r="N155" s="17"/>
      <c r="Q155" s="16" t="s">
        <v>1887</v>
      </c>
      <c r="S155" s="1">
        <f t="shared" si="117"/>
        <v>0</v>
      </c>
      <c r="T155" s="1">
        <f t="shared" si="118"/>
        <v>0</v>
      </c>
      <c r="U155" s="1">
        <f t="shared" si="119"/>
        <v>0</v>
      </c>
      <c r="V155" s="1">
        <f t="shared" si="120"/>
        <v>0</v>
      </c>
      <c r="W155" s="1">
        <f t="shared" si="121"/>
        <v>0</v>
      </c>
      <c r="X155" s="1">
        <f t="shared" si="122"/>
        <v>0</v>
      </c>
      <c r="Y155" s="1">
        <f t="shared" si="123"/>
        <v>0</v>
      </c>
      <c r="Z155" s="1">
        <f t="shared" si="124"/>
        <v>0</v>
      </c>
      <c r="AA155" s="1">
        <f t="shared" si="125"/>
        <v>0</v>
      </c>
      <c r="AB155" s="1">
        <f t="shared" si="126"/>
        <v>0</v>
      </c>
      <c r="AD155" s="1">
        <f t="shared" si="127"/>
        <v>0</v>
      </c>
      <c r="AE155" s="1">
        <f t="shared" si="128"/>
        <v>0</v>
      </c>
      <c r="AF155" s="1">
        <f t="shared" si="113"/>
        <v>0</v>
      </c>
      <c r="AG155" s="1">
        <f t="shared" si="114"/>
        <v>0</v>
      </c>
      <c r="AH155" s="1">
        <f t="shared" si="115"/>
        <v>0</v>
      </c>
      <c r="AI155" s="1">
        <f t="shared" si="116"/>
        <v>1</v>
      </c>
    </row>
    <row r="156" spans="1:35" ht="14.25" customHeight="1" x14ac:dyDescent="0.25">
      <c r="A156" s="44">
        <v>0</v>
      </c>
      <c r="B156" s="44">
        <v>1</v>
      </c>
      <c r="C156" s="44">
        <v>3</v>
      </c>
      <c r="D156" s="45" t="s">
        <v>904</v>
      </c>
      <c r="E156" s="45" t="s">
        <v>172</v>
      </c>
      <c r="F156" s="45" t="s">
        <v>1096</v>
      </c>
      <c r="G156" s="45" t="s">
        <v>39</v>
      </c>
      <c r="H156" s="45" t="s">
        <v>906</v>
      </c>
      <c r="I156" s="44" t="s">
        <v>905</v>
      </c>
      <c r="J156" s="44">
        <v>11</v>
      </c>
      <c r="K156" s="46" t="s">
        <v>957</v>
      </c>
      <c r="L156" s="46">
        <v>60</v>
      </c>
      <c r="M156" s="47" t="s">
        <v>39</v>
      </c>
      <c r="N156" s="47" t="s">
        <v>1739</v>
      </c>
      <c r="O156" s="48"/>
      <c r="P156" s="48"/>
      <c r="Q156" s="45"/>
      <c r="S156" s="1">
        <f t="shared" si="117"/>
        <v>0</v>
      </c>
      <c r="T156" s="1">
        <f t="shared" si="118"/>
        <v>0</v>
      </c>
      <c r="U156" s="1">
        <f t="shared" si="119"/>
        <v>0</v>
      </c>
      <c r="V156" s="1">
        <f t="shared" si="120"/>
        <v>0</v>
      </c>
      <c r="W156" s="1">
        <f t="shared" si="121"/>
        <v>0</v>
      </c>
      <c r="X156" s="1">
        <f t="shared" si="122"/>
        <v>0</v>
      </c>
      <c r="Y156" s="1">
        <f t="shared" si="123"/>
        <v>0</v>
      </c>
      <c r="Z156" s="1">
        <f t="shared" si="124"/>
        <v>0</v>
      </c>
      <c r="AA156" s="1">
        <f t="shared" si="125"/>
        <v>0</v>
      </c>
      <c r="AB156" s="1">
        <f t="shared" si="126"/>
        <v>0</v>
      </c>
      <c r="AD156" s="1">
        <f t="shared" si="127"/>
        <v>0</v>
      </c>
      <c r="AE156" s="1">
        <f t="shared" si="128"/>
        <v>0</v>
      </c>
      <c r="AF156" s="1">
        <f t="shared" si="113"/>
        <v>0</v>
      </c>
      <c r="AG156" s="1">
        <f t="shared" si="114"/>
        <v>0</v>
      </c>
      <c r="AH156" s="1">
        <f t="shared" si="115"/>
        <v>0</v>
      </c>
      <c r="AI156" s="1">
        <f t="shared" si="116"/>
        <v>1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123</v>
      </c>
      <c r="E157" s="32" t="s">
        <v>175</v>
      </c>
      <c r="F157" s="32" t="s">
        <v>324</v>
      </c>
      <c r="G157" s="32" t="s">
        <v>39</v>
      </c>
      <c r="H157" s="32" t="s">
        <v>363</v>
      </c>
      <c r="I157" s="31" t="s">
        <v>470</v>
      </c>
      <c r="J157" s="31">
        <v>14</v>
      </c>
      <c r="K157" s="33" t="s">
        <v>722</v>
      </c>
      <c r="L157" s="33" t="s">
        <v>693</v>
      </c>
      <c r="M157" s="34" t="s">
        <v>1379</v>
      </c>
      <c r="N157" s="34" t="s">
        <v>1849</v>
      </c>
      <c r="O157" s="35">
        <v>1</v>
      </c>
      <c r="P157" s="35"/>
      <c r="Q157" s="36"/>
      <c r="S157" s="1">
        <f t="shared" ref="S157:S161" si="129">IF(J157=$S$7,1,0)</f>
        <v>0</v>
      </c>
      <c r="T157" s="1">
        <f t="shared" ref="T157:T161" si="130">IF(J157=$T$7,1,0)</f>
        <v>0</v>
      </c>
      <c r="U157" s="1">
        <f t="shared" ref="U157:U161" si="131">IF(J157=$U$7,1,0)</f>
        <v>0</v>
      </c>
      <c r="V157" s="1">
        <f t="shared" ref="V157:V161" si="132">IF(J157=$V$7,1,0)</f>
        <v>0</v>
      </c>
      <c r="W157" s="1">
        <f t="shared" ref="W157:W161" si="133">IF(J157=$W$7,1,0)</f>
        <v>0</v>
      </c>
      <c r="X157" s="1">
        <f t="shared" ref="X157:X161" si="134">IF(J157=$X$7,1,0)</f>
        <v>0</v>
      </c>
      <c r="Y157" s="1">
        <f t="shared" ref="Y157:Y161" si="135">IF(J157=$Y$7,1,0)</f>
        <v>0</v>
      </c>
      <c r="Z157" s="1">
        <f t="shared" ref="Z157:Z161" si="136">IF(J157=$Z$7,1,0)</f>
        <v>0</v>
      </c>
      <c r="AA157" s="1">
        <f t="shared" ref="AA157:AA161" si="137">IF(J157=$AA$7,1,0)</f>
        <v>0</v>
      </c>
      <c r="AB157" s="1">
        <f t="shared" ref="AB157:AB161" si="138">IF(J157=$AB$7,1,0)</f>
        <v>0</v>
      </c>
      <c r="AD157" s="1">
        <f t="shared" ref="AD157:AD161" si="139">+O157*P157</f>
        <v>0</v>
      </c>
      <c r="AE157" s="1">
        <f t="shared" ref="AE157:AE161" si="140">O157*(1-P157)</f>
        <v>1</v>
      </c>
      <c r="AF157" s="1">
        <f t="shared" ref="AF157:AF161" si="141">+O157*P157*(1-A157)</f>
        <v>0</v>
      </c>
      <c r="AG157" s="1">
        <f t="shared" ref="AG157:AG161" si="142">O157*(1-P157)*(1-A157)</f>
        <v>1</v>
      </c>
      <c r="AH157" s="1">
        <f t="shared" ref="AH157:AH161" si="143">+P157*(1-A157)</f>
        <v>0</v>
      </c>
      <c r="AI157" s="1">
        <f t="shared" ref="AI157:AI161" si="144">+(1-A157)*(1-P157)</f>
        <v>1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1169</v>
      </c>
      <c r="E158" s="32" t="s">
        <v>172</v>
      </c>
      <c r="F158" s="32" t="s">
        <v>1171</v>
      </c>
      <c r="G158" s="32" t="s">
        <v>767</v>
      </c>
      <c r="H158" s="32" t="s">
        <v>354</v>
      </c>
      <c r="I158" s="31" t="s">
        <v>1170</v>
      </c>
      <c r="J158" s="31">
        <v>99</v>
      </c>
      <c r="K158" s="33" t="s">
        <v>703</v>
      </c>
      <c r="L158" s="33">
        <v>30</v>
      </c>
      <c r="M158" s="34" t="s">
        <v>970</v>
      </c>
      <c r="N158" s="34" t="s">
        <v>1825</v>
      </c>
      <c r="O158" s="35">
        <v>1</v>
      </c>
      <c r="P158" s="35"/>
      <c r="Q158" s="36"/>
      <c r="S158" s="1">
        <f t="shared" si="129"/>
        <v>0</v>
      </c>
      <c r="T158" s="1">
        <f t="shared" si="130"/>
        <v>0</v>
      </c>
      <c r="U158" s="1">
        <f t="shared" si="131"/>
        <v>0</v>
      </c>
      <c r="V158" s="1">
        <f t="shared" si="132"/>
        <v>0</v>
      </c>
      <c r="W158" s="1">
        <f t="shared" si="133"/>
        <v>0</v>
      </c>
      <c r="X158" s="1">
        <f t="shared" si="134"/>
        <v>0</v>
      </c>
      <c r="Y158" s="1">
        <f t="shared" si="135"/>
        <v>0</v>
      </c>
      <c r="Z158" s="1">
        <f t="shared" si="136"/>
        <v>0</v>
      </c>
      <c r="AA158" s="1">
        <f t="shared" si="137"/>
        <v>0</v>
      </c>
      <c r="AB158" s="1">
        <f t="shared" si="138"/>
        <v>0</v>
      </c>
      <c r="AD158" s="1">
        <f t="shared" si="139"/>
        <v>0</v>
      </c>
      <c r="AE158" s="1">
        <f t="shared" si="140"/>
        <v>1</v>
      </c>
      <c r="AF158" s="1">
        <f t="shared" si="141"/>
        <v>0</v>
      </c>
      <c r="AG158" s="1">
        <f t="shared" si="142"/>
        <v>1</v>
      </c>
      <c r="AH158" s="1">
        <f t="shared" si="143"/>
        <v>0</v>
      </c>
      <c r="AI158" s="1">
        <f t="shared" si="144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2042</v>
      </c>
      <c r="E159" s="32" t="s">
        <v>172</v>
      </c>
      <c r="F159" s="32" t="s">
        <v>2043</v>
      </c>
      <c r="G159" s="32"/>
      <c r="H159" s="32" t="s">
        <v>354</v>
      </c>
      <c r="I159" s="31" t="s">
        <v>2044</v>
      </c>
      <c r="J159" s="31">
        <v>18</v>
      </c>
      <c r="K159" s="33" t="s">
        <v>703</v>
      </c>
      <c r="L159" s="33"/>
      <c r="M159" s="34"/>
      <c r="N159" s="34" t="s">
        <v>1733</v>
      </c>
      <c r="O159" s="35">
        <v>1</v>
      </c>
      <c r="P159" s="35">
        <v>1</v>
      </c>
      <c r="Q159" s="36" t="s">
        <v>2045</v>
      </c>
      <c r="S159" s="1">
        <f t="shared" si="129"/>
        <v>0</v>
      </c>
      <c r="T159" s="1">
        <f t="shared" si="130"/>
        <v>0</v>
      </c>
      <c r="U159" s="1">
        <f t="shared" si="131"/>
        <v>0</v>
      </c>
      <c r="V159" s="1">
        <f t="shared" si="132"/>
        <v>0</v>
      </c>
      <c r="W159" s="1">
        <f t="shared" si="133"/>
        <v>0</v>
      </c>
      <c r="X159" s="1">
        <f t="shared" si="134"/>
        <v>0</v>
      </c>
      <c r="Y159" s="1">
        <f t="shared" si="135"/>
        <v>0</v>
      </c>
      <c r="Z159" s="1">
        <f t="shared" si="136"/>
        <v>0</v>
      </c>
      <c r="AA159" s="1">
        <f t="shared" si="137"/>
        <v>0</v>
      </c>
      <c r="AB159" s="1">
        <f t="shared" si="138"/>
        <v>0</v>
      </c>
      <c r="AD159" s="1">
        <f t="shared" si="139"/>
        <v>1</v>
      </c>
      <c r="AE159" s="1">
        <f t="shared" si="140"/>
        <v>0</v>
      </c>
      <c r="AF159" s="1">
        <f t="shared" si="141"/>
        <v>1</v>
      </c>
      <c r="AG159" s="1">
        <f t="shared" si="142"/>
        <v>0</v>
      </c>
      <c r="AH159" s="1">
        <f t="shared" si="143"/>
        <v>1</v>
      </c>
      <c r="AI159" s="1">
        <f t="shared" si="144"/>
        <v>0</v>
      </c>
    </row>
    <row r="160" spans="1:35" ht="14.25" customHeight="1" x14ac:dyDescent="0.25">
      <c r="A160" s="15">
        <v>0</v>
      </c>
      <c r="B160" s="15">
        <v>1</v>
      </c>
      <c r="C160" s="15">
        <v>3</v>
      </c>
      <c r="D160" s="16" t="s">
        <v>743</v>
      </c>
      <c r="E160" s="16" t="s">
        <v>170</v>
      </c>
      <c r="F160" s="16" t="s">
        <v>744</v>
      </c>
      <c r="G160" s="16" t="s">
        <v>39</v>
      </c>
      <c r="H160" s="16" t="s">
        <v>745</v>
      </c>
      <c r="I160" s="15" t="s">
        <v>746</v>
      </c>
      <c r="J160" s="15">
        <v>17</v>
      </c>
      <c r="K160" s="10" t="s">
        <v>703</v>
      </c>
      <c r="L160" s="10" t="s">
        <v>697</v>
      </c>
      <c r="M160" s="19" t="s">
        <v>971</v>
      </c>
      <c r="N160" s="17"/>
      <c r="Q160" s="16"/>
      <c r="S160" s="1">
        <f t="shared" si="129"/>
        <v>0</v>
      </c>
      <c r="T160" s="1">
        <f t="shared" si="130"/>
        <v>0</v>
      </c>
      <c r="U160" s="1">
        <f t="shared" si="131"/>
        <v>0</v>
      </c>
      <c r="V160" s="1">
        <f t="shared" si="132"/>
        <v>0</v>
      </c>
      <c r="W160" s="1">
        <f t="shared" si="133"/>
        <v>0</v>
      </c>
      <c r="X160" s="1">
        <f t="shared" si="134"/>
        <v>0</v>
      </c>
      <c r="Y160" s="1">
        <f t="shared" si="135"/>
        <v>0</v>
      </c>
      <c r="Z160" s="1">
        <f t="shared" si="136"/>
        <v>0</v>
      </c>
      <c r="AA160" s="1">
        <f t="shared" si="137"/>
        <v>0</v>
      </c>
      <c r="AB160" s="1">
        <f t="shared" si="138"/>
        <v>0</v>
      </c>
      <c r="AD160" s="1">
        <f t="shared" si="139"/>
        <v>0</v>
      </c>
      <c r="AE160" s="1">
        <f t="shared" si="140"/>
        <v>0</v>
      </c>
      <c r="AF160" s="1">
        <f t="shared" si="141"/>
        <v>0</v>
      </c>
      <c r="AG160" s="1">
        <f t="shared" si="142"/>
        <v>0</v>
      </c>
      <c r="AH160" s="1">
        <f t="shared" si="143"/>
        <v>0</v>
      </c>
      <c r="AI160" s="1">
        <f t="shared" si="144"/>
        <v>1</v>
      </c>
    </row>
    <row r="161" spans="1:35" ht="14.25" customHeight="1" x14ac:dyDescent="0.25">
      <c r="A161" s="15">
        <v>0</v>
      </c>
      <c r="B161" s="15">
        <v>1</v>
      </c>
      <c r="C161" s="15">
        <v>3</v>
      </c>
      <c r="D161" s="20" t="s">
        <v>1947</v>
      </c>
      <c r="E161" s="20" t="s">
        <v>172</v>
      </c>
      <c r="F161" s="20" t="s">
        <v>1958</v>
      </c>
      <c r="G161" s="20"/>
      <c r="H161" s="20" t="s">
        <v>1959</v>
      </c>
      <c r="I161" s="21" t="s">
        <v>1960</v>
      </c>
      <c r="J161" s="15">
        <v>16</v>
      </c>
      <c r="K161" s="10" t="s">
        <v>703</v>
      </c>
      <c r="L161" s="10" t="s">
        <v>697</v>
      </c>
      <c r="M161" s="19" t="s">
        <v>971</v>
      </c>
      <c r="N161" s="17"/>
      <c r="Q161" s="20" t="s">
        <v>1957</v>
      </c>
      <c r="S161" s="1">
        <f t="shared" si="129"/>
        <v>0</v>
      </c>
      <c r="T161" s="1">
        <f t="shared" si="130"/>
        <v>0</v>
      </c>
      <c r="U161" s="1">
        <f t="shared" si="131"/>
        <v>0</v>
      </c>
      <c r="V161" s="1">
        <f t="shared" si="132"/>
        <v>0</v>
      </c>
      <c r="W161" s="1">
        <f t="shared" si="133"/>
        <v>0</v>
      </c>
      <c r="X161" s="1">
        <f t="shared" si="134"/>
        <v>0</v>
      </c>
      <c r="Y161" s="1">
        <f t="shared" si="135"/>
        <v>0</v>
      </c>
      <c r="Z161" s="1">
        <f t="shared" si="136"/>
        <v>0</v>
      </c>
      <c r="AA161" s="1">
        <f t="shared" si="137"/>
        <v>0</v>
      </c>
      <c r="AB161" s="1">
        <f t="shared" si="138"/>
        <v>0</v>
      </c>
      <c r="AD161" s="1">
        <f t="shared" si="139"/>
        <v>0</v>
      </c>
      <c r="AE161" s="1">
        <f t="shared" si="140"/>
        <v>0</v>
      </c>
      <c r="AF161" s="1">
        <f t="shared" si="141"/>
        <v>0</v>
      </c>
      <c r="AG161" s="1">
        <f t="shared" si="142"/>
        <v>0</v>
      </c>
      <c r="AH161" s="1">
        <f t="shared" si="143"/>
        <v>0</v>
      </c>
      <c r="AI161" s="1">
        <f t="shared" si="144"/>
        <v>1</v>
      </c>
    </row>
    <row r="162" spans="1:35" ht="14.25" customHeight="1" x14ac:dyDescent="0.25">
      <c r="A162" s="44">
        <v>0</v>
      </c>
      <c r="B162" s="44">
        <v>1</v>
      </c>
      <c r="C162" s="44">
        <v>3</v>
      </c>
      <c r="D162" s="45" t="s">
        <v>834</v>
      </c>
      <c r="E162" s="45" t="s">
        <v>914</v>
      </c>
      <c r="F162" s="45" t="s">
        <v>835</v>
      </c>
      <c r="G162" s="45" t="s">
        <v>208</v>
      </c>
      <c r="H162" s="45" t="s">
        <v>354</v>
      </c>
      <c r="I162" s="44" t="s">
        <v>836</v>
      </c>
      <c r="J162" s="44">
        <v>3</v>
      </c>
      <c r="K162" s="46" t="s">
        <v>722</v>
      </c>
      <c r="L162" s="46" t="s">
        <v>693</v>
      </c>
      <c r="M162" s="47" t="s">
        <v>698</v>
      </c>
      <c r="N162" s="47" t="s">
        <v>1740</v>
      </c>
      <c r="O162" s="48"/>
      <c r="P162" s="48"/>
      <c r="Q162" s="45"/>
      <c r="S162" s="1">
        <f t="shared" si="117"/>
        <v>0</v>
      </c>
      <c r="T162" s="1">
        <f t="shared" si="118"/>
        <v>0</v>
      </c>
      <c r="U162" s="1">
        <f t="shared" si="119"/>
        <v>1</v>
      </c>
      <c r="V162" s="1">
        <f t="shared" si="120"/>
        <v>0</v>
      </c>
      <c r="W162" s="1">
        <f t="shared" si="121"/>
        <v>0</v>
      </c>
      <c r="X162" s="1">
        <f t="shared" si="122"/>
        <v>0</v>
      </c>
      <c r="Y162" s="1">
        <f t="shared" si="123"/>
        <v>0</v>
      </c>
      <c r="Z162" s="1">
        <f t="shared" si="124"/>
        <v>0</v>
      </c>
      <c r="AA162" s="1">
        <f t="shared" si="125"/>
        <v>0</v>
      </c>
      <c r="AB162" s="1">
        <f t="shared" si="126"/>
        <v>0</v>
      </c>
      <c r="AD162" s="1">
        <f t="shared" si="127"/>
        <v>0</v>
      </c>
      <c r="AE162" s="1">
        <f t="shared" si="128"/>
        <v>0</v>
      </c>
      <c r="AF162" s="1">
        <f t="shared" si="113"/>
        <v>0</v>
      </c>
      <c r="AG162" s="1">
        <f t="shared" si="114"/>
        <v>0</v>
      </c>
      <c r="AH162" s="1">
        <f t="shared" si="115"/>
        <v>0</v>
      </c>
      <c r="AI162" s="1">
        <f t="shared" si="116"/>
        <v>1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20" t="s">
        <v>1953</v>
      </c>
      <c r="E163" s="20" t="s">
        <v>172</v>
      </c>
      <c r="F163" s="20" t="s">
        <v>1955</v>
      </c>
      <c r="G163" s="20"/>
      <c r="H163" s="20" t="s">
        <v>1956</v>
      </c>
      <c r="I163" s="21" t="s">
        <v>1954</v>
      </c>
      <c r="J163" s="15">
        <v>16</v>
      </c>
      <c r="K163" s="10" t="s">
        <v>703</v>
      </c>
      <c r="L163" s="10" t="s">
        <v>697</v>
      </c>
      <c r="M163" s="19" t="s">
        <v>971</v>
      </c>
      <c r="N163" s="17"/>
      <c r="Q163" s="20" t="s">
        <v>1961</v>
      </c>
      <c r="S163" s="1">
        <f t="shared" si="117"/>
        <v>0</v>
      </c>
      <c r="T163" s="1">
        <f t="shared" si="118"/>
        <v>0</v>
      </c>
      <c r="U163" s="1">
        <f t="shared" si="119"/>
        <v>0</v>
      </c>
      <c r="V163" s="1">
        <f t="shared" si="120"/>
        <v>0</v>
      </c>
      <c r="W163" s="1">
        <f t="shared" si="121"/>
        <v>0</v>
      </c>
      <c r="X163" s="1">
        <f t="shared" si="122"/>
        <v>0</v>
      </c>
      <c r="Y163" s="1">
        <f t="shared" si="123"/>
        <v>0</v>
      </c>
      <c r="Z163" s="1">
        <f t="shared" si="124"/>
        <v>0</v>
      </c>
      <c r="AA163" s="1">
        <f t="shared" si="125"/>
        <v>0</v>
      </c>
      <c r="AB163" s="1">
        <f t="shared" si="126"/>
        <v>0</v>
      </c>
      <c r="AD163" s="1">
        <f t="shared" si="127"/>
        <v>0</v>
      </c>
      <c r="AE163" s="1">
        <f t="shared" si="128"/>
        <v>0</v>
      </c>
      <c r="AF163" s="1">
        <f t="shared" si="113"/>
        <v>0</v>
      </c>
      <c r="AG163" s="1">
        <f t="shared" si="114"/>
        <v>0</v>
      </c>
      <c r="AH163" s="1">
        <f t="shared" si="115"/>
        <v>0</v>
      </c>
      <c r="AI163" s="1">
        <f t="shared" si="116"/>
        <v>1</v>
      </c>
    </row>
    <row r="164" spans="1:35" ht="14.25" customHeight="1" x14ac:dyDescent="0.25">
      <c r="A164" s="44">
        <v>0</v>
      </c>
      <c r="B164" s="44">
        <v>1</v>
      </c>
      <c r="C164" s="44">
        <v>3</v>
      </c>
      <c r="D164" s="45" t="s">
        <v>1209</v>
      </c>
      <c r="E164" s="45" t="s">
        <v>172</v>
      </c>
      <c r="F164" s="45" t="s">
        <v>1211</v>
      </c>
      <c r="G164" s="45" t="s">
        <v>185</v>
      </c>
      <c r="H164" s="45" t="s">
        <v>354</v>
      </c>
      <c r="I164" s="44" t="s">
        <v>1210</v>
      </c>
      <c r="J164" s="44">
        <v>99</v>
      </c>
      <c r="K164" s="46" t="s">
        <v>958</v>
      </c>
      <c r="L164" s="46" t="s">
        <v>689</v>
      </c>
      <c r="M164" s="47" t="s">
        <v>971</v>
      </c>
      <c r="N164" s="47" t="s">
        <v>1734</v>
      </c>
      <c r="O164" s="48"/>
      <c r="P164" s="48"/>
      <c r="Q164" s="45"/>
      <c r="S164" s="1">
        <f t="shared" si="117"/>
        <v>0</v>
      </c>
      <c r="T164" s="1">
        <f t="shared" si="118"/>
        <v>0</v>
      </c>
      <c r="U164" s="1">
        <f t="shared" si="119"/>
        <v>0</v>
      </c>
      <c r="V164" s="1">
        <f t="shared" si="120"/>
        <v>0</v>
      </c>
      <c r="W164" s="1">
        <f t="shared" si="121"/>
        <v>0</v>
      </c>
      <c r="X164" s="1">
        <f t="shared" si="122"/>
        <v>0</v>
      </c>
      <c r="Y164" s="1">
        <f t="shared" si="123"/>
        <v>0</v>
      </c>
      <c r="Z164" s="1">
        <f t="shared" si="124"/>
        <v>0</v>
      </c>
      <c r="AA164" s="1">
        <f t="shared" si="125"/>
        <v>0</v>
      </c>
      <c r="AB164" s="1">
        <f t="shared" si="126"/>
        <v>0</v>
      </c>
      <c r="AD164" s="1">
        <f t="shared" si="127"/>
        <v>0</v>
      </c>
      <c r="AE164" s="1">
        <f t="shared" si="128"/>
        <v>0</v>
      </c>
      <c r="AF164" s="1">
        <f t="shared" si="113"/>
        <v>0</v>
      </c>
      <c r="AG164" s="1">
        <f t="shared" si="114"/>
        <v>0</v>
      </c>
      <c r="AH164" s="1">
        <f t="shared" si="115"/>
        <v>0</v>
      </c>
      <c r="AI164" s="1">
        <f t="shared" si="116"/>
        <v>1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632</v>
      </c>
      <c r="E165" s="32" t="s">
        <v>170</v>
      </c>
      <c r="F165" s="32" t="s">
        <v>633</v>
      </c>
      <c r="G165" s="32" t="s">
        <v>194</v>
      </c>
      <c r="H165" s="32" t="s">
        <v>354</v>
      </c>
      <c r="I165" s="31" t="s">
        <v>634</v>
      </c>
      <c r="J165" s="31">
        <v>9</v>
      </c>
      <c r="K165" s="33" t="s">
        <v>957</v>
      </c>
      <c r="L165" s="33" t="s">
        <v>1699</v>
      </c>
      <c r="M165" s="34" t="s">
        <v>970</v>
      </c>
      <c r="N165" s="34" t="s">
        <v>1727</v>
      </c>
      <c r="O165" s="35">
        <v>1</v>
      </c>
      <c r="P165" s="35">
        <v>1</v>
      </c>
      <c r="Q165" s="32"/>
      <c r="S165" s="1">
        <f t="shared" si="117"/>
        <v>0</v>
      </c>
      <c r="T165" s="1">
        <f t="shared" si="118"/>
        <v>0</v>
      </c>
      <c r="U165" s="1">
        <f t="shared" si="119"/>
        <v>0</v>
      </c>
      <c r="V165" s="1">
        <f t="shared" si="120"/>
        <v>0</v>
      </c>
      <c r="W165" s="1">
        <f t="shared" si="121"/>
        <v>0</v>
      </c>
      <c r="X165" s="1">
        <f t="shared" si="122"/>
        <v>0</v>
      </c>
      <c r="Y165" s="1">
        <f t="shared" si="123"/>
        <v>0</v>
      </c>
      <c r="Z165" s="1">
        <f t="shared" si="124"/>
        <v>0</v>
      </c>
      <c r="AA165" s="1">
        <f t="shared" si="125"/>
        <v>1</v>
      </c>
      <c r="AB165" s="1">
        <f t="shared" si="126"/>
        <v>0</v>
      </c>
      <c r="AD165" s="1">
        <f t="shared" si="127"/>
        <v>1</v>
      </c>
      <c r="AE165" s="1">
        <f t="shared" si="128"/>
        <v>0</v>
      </c>
      <c r="AF165" s="1">
        <f t="shared" si="113"/>
        <v>1</v>
      </c>
      <c r="AG165" s="1">
        <f t="shared" si="114"/>
        <v>0</v>
      </c>
      <c r="AH165" s="1">
        <f t="shared" si="115"/>
        <v>1</v>
      </c>
      <c r="AI165" s="1">
        <f t="shared" si="116"/>
        <v>0</v>
      </c>
    </row>
    <row r="166" spans="1:35" ht="14.25" customHeight="1" x14ac:dyDescent="0.25">
      <c r="A166" s="44">
        <v>0</v>
      </c>
      <c r="B166" s="44">
        <v>1</v>
      </c>
      <c r="C166" s="44">
        <v>3</v>
      </c>
      <c r="D166" s="45" t="s">
        <v>132</v>
      </c>
      <c r="E166" s="45" t="s">
        <v>683</v>
      </c>
      <c r="F166" s="45" t="s">
        <v>334</v>
      </c>
      <c r="G166" s="45" t="s">
        <v>39</v>
      </c>
      <c r="H166" s="45" t="s">
        <v>362</v>
      </c>
      <c r="I166" s="44" t="s">
        <v>481</v>
      </c>
      <c r="J166" s="44">
        <v>12</v>
      </c>
      <c r="K166" s="46" t="s">
        <v>722</v>
      </c>
      <c r="L166" s="46">
        <v>35</v>
      </c>
      <c r="M166" s="47" t="s">
        <v>39</v>
      </c>
      <c r="N166" s="47" t="s">
        <v>1802</v>
      </c>
      <c r="O166" s="48"/>
      <c r="P166" s="48"/>
      <c r="Q166" s="45"/>
      <c r="S166" s="1">
        <f t="shared" si="117"/>
        <v>0</v>
      </c>
      <c r="T166" s="1">
        <f t="shared" si="118"/>
        <v>0</v>
      </c>
      <c r="U166" s="1">
        <f t="shared" si="119"/>
        <v>0</v>
      </c>
      <c r="V166" s="1">
        <f t="shared" si="120"/>
        <v>0</v>
      </c>
      <c r="W166" s="1">
        <f t="shared" si="121"/>
        <v>0</v>
      </c>
      <c r="X166" s="1">
        <f t="shared" si="122"/>
        <v>0</v>
      </c>
      <c r="Y166" s="1">
        <f t="shared" si="123"/>
        <v>0</v>
      </c>
      <c r="Z166" s="1">
        <f t="shared" si="124"/>
        <v>0</v>
      </c>
      <c r="AA166" s="1">
        <f t="shared" si="125"/>
        <v>0</v>
      </c>
      <c r="AB166" s="1">
        <f t="shared" si="126"/>
        <v>0</v>
      </c>
      <c r="AD166" s="1">
        <f t="shared" si="127"/>
        <v>0</v>
      </c>
      <c r="AE166" s="1">
        <f t="shared" si="128"/>
        <v>0</v>
      </c>
      <c r="AF166" s="1">
        <f t="shared" si="113"/>
        <v>0</v>
      </c>
      <c r="AG166" s="1">
        <f t="shared" si="114"/>
        <v>0</v>
      </c>
      <c r="AH166" s="1">
        <f t="shared" si="115"/>
        <v>0</v>
      </c>
      <c r="AI166" s="1">
        <f t="shared" si="116"/>
        <v>1</v>
      </c>
    </row>
    <row r="167" spans="1:35" ht="14.25" customHeight="1" x14ac:dyDescent="0.25">
      <c r="A167" s="15">
        <v>0</v>
      </c>
      <c r="B167" s="15">
        <v>1</v>
      </c>
      <c r="C167" s="15">
        <v>3</v>
      </c>
      <c r="D167" s="16" t="s">
        <v>826</v>
      </c>
      <c r="E167" s="16" t="s">
        <v>172</v>
      </c>
      <c r="F167" s="16" t="s">
        <v>827</v>
      </c>
      <c r="G167" s="16" t="s">
        <v>39</v>
      </c>
      <c r="H167" s="16" t="s">
        <v>375</v>
      </c>
      <c r="I167" s="15" t="s">
        <v>825</v>
      </c>
      <c r="J167" s="15">
        <v>12</v>
      </c>
      <c r="K167" s="10" t="s">
        <v>703</v>
      </c>
      <c r="L167" s="10">
        <v>40</v>
      </c>
      <c r="M167" s="19" t="s">
        <v>970</v>
      </c>
      <c r="N167" s="19"/>
      <c r="Q167" s="16"/>
      <c r="S167" s="1">
        <f t="shared" si="117"/>
        <v>0</v>
      </c>
      <c r="T167" s="1">
        <f t="shared" si="118"/>
        <v>0</v>
      </c>
      <c r="U167" s="1">
        <f t="shared" si="119"/>
        <v>0</v>
      </c>
      <c r="V167" s="1">
        <f t="shared" si="120"/>
        <v>0</v>
      </c>
      <c r="W167" s="1">
        <f t="shared" si="121"/>
        <v>0</v>
      </c>
      <c r="X167" s="1">
        <f t="shared" si="122"/>
        <v>0</v>
      </c>
      <c r="Y167" s="1">
        <f t="shared" si="123"/>
        <v>0</v>
      </c>
      <c r="Z167" s="1">
        <f t="shared" si="124"/>
        <v>0</v>
      </c>
      <c r="AA167" s="1">
        <f t="shared" si="125"/>
        <v>0</v>
      </c>
      <c r="AB167" s="1">
        <f t="shared" si="126"/>
        <v>0</v>
      </c>
      <c r="AD167" s="1">
        <f t="shared" si="127"/>
        <v>0</v>
      </c>
      <c r="AE167" s="1">
        <f t="shared" si="128"/>
        <v>0</v>
      </c>
      <c r="AF167" s="1">
        <f t="shared" si="113"/>
        <v>0</v>
      </c>
      <c r="AG167" s="1">
        <f t="shared" si="114"/>
        <v>0</v>
      </c>
      <c r="AH167" s="1">
        <f t="shared" si="115"/>
        <v>0</v>
      </c>
      <c r="AI167" s="1">
        <f t="shared" si="116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2" t="s">
        <v>142</v>
      </c>
      <c r="E168" s="32" t="s">
        <v>172</v>
      </c>
      <c r="F168" s="32" t="s">
        <v>343</v>
      </c>
      <c r="G168" s="32" t="s">
        <v>39</v>
      </c>
      <c r="H168" s="32" t="s">
        <v>377</v>
      </c>
      <c r="I168" s="31" t="s">
        <v>490</v>
      </c>
      <c r="J168" s="31">
        <v>15</v>
      </c>
      <c r="K168" s="33" t="s">
        <v>702</v>
      </c>
      <c r="L168" s="33" t="s">
        <v>692</v>
      </c>
      <c r="M168" s="34" t="s">
        <v>691</v>
      </c>
      <c r="N168" s="34" t="s">
        <v>1733</v>
      </c>
      <c r="O168" s="35">
        <v>1</v>
      </c>
      <c r="P168" s="35">
        <v>1</v>
      </c>
      <c r="Q168" s="36" t="s">
        <v>1891</v>
      </c>
      <c r="S168" s="1">
        <f t="shared" si="117"/>
        <v>0</v>
      </c>
      <c r="T168" s="1">
        <f t="shared" si="118"/>
        <v>0</v>
      </c>
      <c r="U168" s="1">
        <f t="shared" si="119"/>
        <v>0</v>
      </c>
      <c r="V168" s="1">
        <f t="shared" si="120"/>
        <v>0</v>
      </c>
      <c r="W168" s="1">
        <f t="shared" si="121"/>
        <v>0</v>
      </c>
      <c r="X168" s="1">
        <f t="shared" si="122"/>
        <v>0</v>
      </c>
      <c r="Y168" s="1">
        <f t="shared" si="123"/>
        <v>0</v>
      </c>
      <c r="Z168" s="1">
        <f t="shared" si="124"/>
        <v>0</v>
      </c>
      <c r="AA168" s="1">
        <f t="shared" si="125"/>
        <v>0</v>
      </c>
      <c r="AB168" s="1">
        <f t="shared" si="126"/>
        <v>0</v>
      </c>
      <c r="AD168" s="1">
        <f t="shared" si="127"/>
        <v>1</v>
      </c>
      <c r="AE168" s="1">
        <f t="shared" si="128"/>
        <v>0</v>
      </c>
      <c r="AF168" s="1">
        <f t="shared" si="113"/>
        <v>1</v>
      </c>
      <c r="AG168" s="1">
        <f t="shared" si="114"/>
        <v>0</v>
      </c>
      <c r="AH168" s="1">
        <f t="shared" si="115"/>
        <v>1</v>
      </c>
      <c r="AI168" s="1">
        <f t="shared" si="116"/>
        <v>0</v>
      </c>
    </row>
    <row r="169" spans="1:35" ht="14.25" customHeight="1" x14ac:dyDescent="0.25">
      <c r="A169" s="15">
        <v>0</v>
      </c>
      <c r="B169" s="15">
        <v>1</v>
      </c>
      <c r="C169" s="15">
        <v>3</v>
      </c>
      <c r="D169" s="16" t="s">
        <v>747</v>
      </c>
      <c r="E169" s="16" t="s">
        <v>610</v>
      </c>
      <c r="F169" s="16" t="s">
        <v>748</v>
      </c>
      <c r="G169" s="16" t="s">
        <v>39</v>
      </c>
      <c r="H169" s="16" t="s">
        <v>749</v>
      </c>
      <c r="I169" s="15" t="s">
        <v>750</v>
      </c>
      <c r="J169" s="15">
        <v>18</v>
      </c>
      <c r="K169" s="10" t="s">
        <v>703</v>
      </c>
      <c r="L169" s="10" t="s">
        <v>697</v>
      </c>
      <c r="M169" s="19" t="s">
        <v>691</v>
      </c>
      <c r="N169" s="17"/>
      <c r="Q169" s="16"/>
      <c r="S169" s="1">
        <f t="shared" si="117"/>
        <v>0</v>
      </c>
      <c r="T169" s="1">
        <f t="shared" si="118"/>
        <v>0</v>
      </c>
      <c r="U169" s="1">
        <f t="shared" si="119"/>
        <v>0</v>
      </c>
      <c r="V169" s="1">
        <f t="shared" si="120"/>
        <v>0</v>
      </c>
      <c r="W169" s="1">
        <f t="shared" si="121"/>
        <v>0</v>
      </c>
      <c r="X169" s="1">
        <f t="shared" si="122"/>
        <v>0</v>
      </c>
      <c r="Y169" s="1">
        <f t="shared" si="123"/>
        <v>0</v>
      </c>
      <c r="Z169" s="1">
        <f t="shared" si="124"/>
        <v>0</v>
      </c>
      <c r="AA169" s="1">
        <f t="shared" si="125"/>
        <v>0</v>
      </c>
      <c r="AB169" s="1">
        <f t="shared" si="126"/>
        <v>0</v>
      </c>
      <c r="AD169" s="1">
        <f t="shared" si="127"/>
        <v>0</v>
      </c>
      <c r="AE169" s="1">
        <f t="shared" si="128"/>
        <v>0</v>
      </c>
      <c r="AF169" s="1">
        <f t="shared" si="113"/>
        <v>0</v>
      </c>
      <c r="AG169" s="1">
        <f t="shared" si="114"/>
        <v>0</v>
      </c>
      <c r="AH169" s="1">
        <f t="shared" si="115"/>
        <v>0</v>
      </c>
      <c r="AI169" s="1">
        <f t="shared" si="116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6" t="s">
        <v>1841</v>
      </c>
      <c r="E170" s="32" t="s">
        <v>1087</v>
      </c>
      <c r="F170" s="32" t="s">
        <v>1826</v>
      </c>
      <c r="G170" s="32"/>
      <c r="H170" s="32" t="s">
        <v>372</v>
      </c>
      <c r="I170" s="31" t="s">
        <v>1827</v>
      </c>
      <c r="J170" s="31">
        <v>16</v>
      </c>
      <c r="K170" s="33" t="s">
        <v>703</v>
      </c>
      <c r="L170" s="33"/>
      <c r="M170" s="34"/>
      <c r="N170" s="34" t="s">
        <v>1727</v>
      </c>
      <c r="O170" s="35">
        <v>1</v>
      </c>
      <c r="P170" s="35">
        <v>1</v>
      </c>
      <c r="Q170" s="32"/>
      <c r="S170" s="1">
        <f t="shared" ref="S170:S171" si="145">IF(J170=$S$7,1,0)</f>
        <v>0</v>
      </c>
      <c r="T170" s="1">
        <f t="shared" ref="T170:T171" si="146">IF(J170=$T$7,1,0)</f>
        <v>0</v>
      </c>
      <c r="U170" s="1">
        <f t="shared" ref="U170:U171" si="147">IF(J170=$U$7,1,0)</f>
        <v>0</v>
      </c>
      <c r="V170" s="1">
        <f t="shared" ref="V170:V171" si="148">IF(J170=$V$7,1,0)</f>
        <v>0</v>
      </c>
      <c r="W170" s="1">
        <f t="shared" ref="W170:W171" si="149">IF(J170=$W$7,1,0)</f>
        <v>0</v>
      </c>
      <c r="X170" s="1">
        <f t="shared" ref="X170:X171" si="150">IF(J170=$X$7,1,0)</f>
        <v>0</v>
      </c>
      <c r="Y170" s="1">
        <f t="shared" ref="Y170:Y171" si="151">IF(J170=$Y$7,1,0)</f>
        <v>0</v>
      </c>
      <c r="Z170" s="1">
        <f t="shared" ref="Z170:Z171" si="152">IF(J170=$Z$7,1,0)</f>
        <v>0</v>
      </c>
      <c r="AA170" s="1">
        <f t="shared" ref="AA170:AA171" si="153">IF(J170=$AA$7,1,0)</f>
        <v>0</v>
      </c>
      <c r="AB170" s="1">
        <f t="shared" ref="AB170:AB171" si="154">IF(J170=$AB$7,1,0)</f>
        <v>0</v>
      </c>
      <c r="AD170" s="1">
        <f t="shared" ref="AD170:AD171" si="155">+O170*P170</f>
        <v>1</v>
      </c>
      <c r="AE170" s="1">
        <f t="shared" ref="AE170:AE171" si="156">O170*(1-P170)</f>
        <v>0</v>
      </c>
      <c r="AF170" s="1">
        <f t="shared" ref="AF170:AF171" si="157">+O170*P170*(1-A170)</f>
        <v>1</v>
      </c>
      <c r="AG170" s="1">
        <f t="shared" ref="AG170:AG171" si="158">O170*(1-P170)*(1-A170)</f>
        <v>0</v>
      </c>
      <c r="AH170" s="1">
        <f t="shared" ref="AH170:AH171" si="159">+P170*(1-A170)</f>
        <v>1</v>
      </c>
      <c r="AI170" s="1">
        <f t="shared" ref="AI170:AI171" si="160">+(1-A170)*(1-P170)</f>
        <v>0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979</v>
      </c>
      <c r="E171" s="32" t="s">
        <v>610</v>
      </c>
      <c r="F171" s="32" t="s">
        <v>980</v>
      </c>
      <c r="G171" s="32" t="s">
        <v>203</v>
      </c>
      <c r="H171" s="32" t="s">
        <v>354</v>
      </c>
      <c r="I171" s="31" t="s">
        <v>981</v>
      </c>
      <c r="J171" s="31">
        <v>99</v>
      </c>
      <c r="K171" s="33" t="s">
        <v>956</v>
      </c>
      <c r="L171" s="33" t="s">
        <v>39</v>
      </c>
      <c r="M171" s="34" t="s">
        <v>39</v>
      </c>
      <c r="N171" s="34" t="s">
        <v>1727</v>
      </c>
      <c r="O171" s="35">
        <v>1</v>
      </c>
      <c r="P171" s="35">
        <v>1</v>
      </c>
      <c r="Q171" s="32"/>
      <c r="S171" s="1">
        <f t="shared" si="145"/>
        <v>0</v>
      </c>
      <c r="T171" s="1">
        <f t="shared" si="146"/>
        <v>0</v>
      </c>
      <c r="U171" s="1">
        <f t="shared" si="147"/>
        <v>0</v>
      </c>
      <c r="V171" s="1">
        <f t="shared" si="148"/>
        <v>0</v>
      </c>
      <c r="W171" s="1">
        <f t="shared" si="149"/>
        <v>0</v>
      </c>
      <c r="X171" s="1">
        <f t="shared" si="150"/>
        <v>0</v>
      </c>
      <c r="Y171" s="1">
        <f t="shared" si="151"/>
        <v>0</v>
      </c>
      <c r="Z171" s="1">
        <f t="shared" si="152"/>
        <v>0</v>
      </c>
      <c r="AA171" s="1">
        <f t="shared" si="153"/>
        <v>0</v>
      </c>
      <c r="AB171" s="1">
        <f t="shared" si="154"/>
        <v>0</v>
      </c>
      <c r="AD171" s="1">
        <f t="shared" si="155"/>
        <v>1</v>
      </c>
      <c r="AE171" s="1">
        <f t="shared" si="156"/>
        <v>0</v>
      </c>
      <c r="AF171" s="1">
        <f t="shared" si="157"/>
        <v>1</v>
      </c>
      <c r="AG171" s="1">
        <f t="shared" si="158"/>
        <v>0</v>
      </c>
      <c r="AH171" s="1">
        <f t="shared" si="159"/>
        <v>1</v>
      </c>
      <c r="AI171" s="1">
        <f t="shared" si="160"/>
        <v>0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149</v>
      </c>
      <c r="E172" s="32" t="s">
        <v>172</v>
      </c>
      <c r="F172" s="32" t="s">
        <v>350</v>
      </c>
      <c r="G172" s="32" t="s">
        <v>39</v>
      </c>
      <c r="H172" s="32" t="s">
        <v>380</v>
      </c>
      <c r="I172" s="31" t="s">
        <v>496</v>
      </c>
      <c r="J172" s="31">
        <v>14</v>
      </c>
      <c r="K172" s="33" t="s">
        <v>964</v>
      </c>
      <c r="L172" s="33" t="s">
        <v>39</v>
      </c>
      <c r="M172" s="34" t="s">
        <v>39</v>
      </c>
      <c r="N172" s="34" t="s">
        <v>1733</v>
      </c>
      <c r="O172" s="35">
        <v>1</v>
      </c>
      <c r="P172" s="35">
        <v>1</v>
      </c>
      <c r="Q172" s="32"/>
      <c r="S172" s="1">
        <f t="shared" si="117"/>
        <v>0</v>
      </c>
      <c r="T172" s="1">
        <f t="shared" si="118"/>
        <v>0</v>
      </c>
      <c r="U172" s="1">
        <f t="shared" si="119"/>
        <v>0</v>
      </c>
      <c r="V172" s="1">
        <f t="shared" si="120"/>
        <v>0</v>
      </c>
      <c r="W172" s="1">
        <f t="shared" si="121"/>
        <v>0</v>
      </c>
      <c r="X172" s="1">
        <f t="shared" si="122"/>
        <v>0</v>
      </c>
      <c r="Y172" s="1">
        <f t="shared" si="123"/>
        <v>0</v>
      </c>
      <c r="Z172" s="1">
        <f t="shared" si="124"/>
        <v>0</v>
      </c>
      <c r="AA172" s="1">
        <f t="shared" si="125"/>
        <v>0</v>
      </c>
      <c r="AB172" s="1">
        <f t="shared" si="126"/>
        <v>0</v>
      </c>
      <c r="AD172" s="1">
        <f t="shared" si="127"/>
        <v>1</v>
      </c>
      <c r="AE172" s="1">
        <f t="shared" si="128"/>
        <v>0</v>
      </c>
      <c r="AF172" s="1">
        <f t="shared" si="113"/>
        <v>1</v>
      </c>
      <c r="AG172" s="1">
        <f t="shared" si="114"/>
        <v>0</v>
      </c>
      <c r="AH172" s="1">
        <f t="shared" si="115"/>
        <v>1</v>
      </c>
      <c r="AI172" s="1">
        <f t="shared" si="116"/>
        <v>0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1989</v>
      </c>
      <c r="E173" s="32" t="s">
        <v>1990</v>
      </c>
      <c r="F173" s="32" t="s">
        <v>1991</v>
      </c>
      <c r="G173" s="32" t="s">
        <v>535</v>
      </c>
      <c r="H173" s="32" t="s">
        <v>354</v>
      </c>
      <c r="I173" s="31" t="s">
        <v>1992</v>
      </c>
      <c r="J173" s="31"/>
      <c r="K173" s="33" t="s">
        <v>703</v>
      </c>
      <c r="L173" s="33"/>
      <c r="M173" s="34"/>
      <c r="N173" s="34" t="s">
        <v>1733</v>
      </c>
      <c r="O173" s="35">
        <v>1</v>
      </c>
      <c r="P173" s="35">
        <v>1</v>
      </c>
      <c r="Q173" s="32"/>
      <c r="S173" s="1">
        <f t="shared" si="117"/>
        <v>0</v>
      </c>
      <c r="T173" s="1">
        <f t="shared" si="118"/>
        <v>0</v>
      </c>
      <c r="U173" s="1">
        <f t="shared" si="119"/>
        <v>0</v>
      </c>
      <c r="V173" s="1">
        <f t="shared" si="120"/>
        <v>0</v>
      </c>
      <c r="W173" s="1">
        <f t="shared" si="121"/>
        <v>0</v>
      </c>
      <c r="X173" s="1">
        <f t="shared" si="122"/>
        <v>0</v>
      </c>
      <c r="Y173" s="1">
        <f t="shared" si="123"/>
        <v>0</v>
      </c>
      <c r="Z173" s="1">
        <f t="shared" si="124"/>
        <v>0</v>
      </c>
      <c r="AA173" s="1">
        <f t="shared" si="125"/>
        <v>0</v>
      </c>
      <c r="AB173" s="1">
        <f t="shared" si="126"/>
        <v>0</v>
      </c>
      <c r="AD173" s="1">
        <f t="shared" si="127"/>
        <v>1</v>
      </c>
      <c r="AE173" s="1">
        <f t="shared" si="128"/>
        <v>0</v>
      </c>
      <c r="AF173" s="1">
        <f t="shared" si="113"/>
        <v>1</v>
      </c>
      <c r="AG173" s="1">
        <f t="shared" si="114"/>
        <v>0</v>
      </c>
      <c r="AH173" s="1">
        <f t="shared" si="115"/>
        <v>1</v>
      </c>
      <c r="AI173" s="1">
        <f t="shared" si="116"/>
        <v>0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635</v>
      </c>
      <c r="E174" s="32" t="s">
        <v>172</v>
      </c>
      <c r="F174" s="32" t="s">
        <v>637</v>
      </c>
      <c r="G174" s="32" t="s">
        <v>238</v>
      </c>
      <c r="H174" s="32" t="s">
        <v>354</v>
      </c>
      <c r="I174" s="31" t="s">
        <v>636</v>
      </c>
      <c r="J174" s="31">
        <v>4</v>
      </c>
      <c r="K174" s="33" t="s">
        <v>956</v>
      </c>
      <c r="L174" s="33" t="s">
        <v>39</v>
      </c>
      <c r="M174" s="34" t="s">
        <v>39</v>
      </c>
      <c r="N174" s="34" t="s">
        <v>1733</v>
      </c>
      <c r="O174" s="35">
        <v>1</v>
      </c>
      <c r="P174" s="35">
        <v>1</v>
      </c>
      <c r="Q174" s="32"/>
      <c r="S174" s="1">
        <f t="shared" si="117"/>
        <v>0</v>
      </c>
      <c r="T174" s="1">
        <f t="shared" si="118"/>
        <v>0</v>
      </c>
      <c r="U174" s="1">
        <f t="shared" si="119"/>
        <v>0</v>
      </c>
      <c r="V174" s="1">
        <f t="shared" si="120"/>
        <v>1</v>
      </c>
      <c r="W174" s="1">
        <f t="shared" si="121"/>
        <v>0</v>
      </c>
      <c r="X174" s="1">
        <f t="shared" si="122"/>
        <v>0</v>
      </c>
      <c r="Y174" s="1">
        <f t="shared" si="123"/>
        <v>0</v>
      </c>
      <c r="Z174" s="1">
        <f t="shared" si="124"/>
        <v>0</v>
      </c>
      <c r="AA174" s="1">
        <f t="shared" si="125"/>
        <v>0</v>
      </c>
      <c r="AB174" s="1">
        <f t="shared" si="126"/>
        <v>0</v>
      </c>
      <c r="AD174" s="1">
        <f t="shared" si="127"/>
        <v>1</v>
      </c>
      <c r="AE174" s="1">
        <f t="shared" si="128"/>
        <v>0</v>
      </c>
      <c r="AF174" s="1">
        <f t="shared" si="113"/>
        <v>1</v>
      </c>
      <c r="AG174" s="1">
        <f t="shared" si="114"/>
        <v>0</v>
      </c>
      <c r="AH174" s="1">
        <f t="shared" si="115"/>
        <v>1</v>
      </c>
      <c r="AI174" s="1">
        <f t="shared" si="116"/>
        <v>0</v>
      </c>
    </row>
    <row r="175" spans="1:35" ht="14.25" customHeight="1" x14ac:dyDescent="0.25">
      <c r="A175" s="15">
        <v>0</v>
      </c>
      <c r="B175" s="15">
        <v>1</v>
      </c>
      <c r="C175" s="15">
        <v>3</v>
      </c>
      <c r="D175" s="16" t="s">
        <v>1528</v>
      </c>
      <c r="E175" s="16" t="s">
        <v>1087</v>
      </c>
      <c r="F175" s="16" t="s">
        <v>1529</v>
      </c>
      <c r="G175" s="16" t="s">
        <v>218</v>
      </c>
      <c r="H175" s="16" t="s">
        <v>354</v>
      </c>
      <c r="I175" s="15" t="s">
        <v>1530</v>
      </c>
      <c r="J175" s="15">
        <v>99</v>
      </c>
      <c r="K175" s="10" t="s">
        <v>703</v>
      </c>
      <c r="L175" s="10">
        <v>40</v>
      </c>
      <c r="M175" s="19" t="s">
        <v>970</v>
      </c>
      <c r="N175" s="19"/>
      <c r="Q175" s="16"/>
      <c r="S175" s="1">
        <f t="shared" si="117"/>
        <v>0</v>
      </c>
      <c r="T175" s="1">
        <f t="shared" si="118"/>
        <v>0</v>
      </c>
      <c r="U175" s="1">
        <f t="shared" si="119"/>
        <v>0</v>
      </c>
      <c r="V175" s="1">
        <f t="shared" si="120"/>
        <v>0</v>
      </c>
      <c r="W175" s="1">
        <f t="shared" si="121"/>
        <v>0</v>
      </c>
      <c r="X175" s="1">
        <f t="shared" si="122"/>
        <v>0</v>
      </c>
      <c r="Y175" s="1">
        <f t="shared" si="123"/>
        <v>0</v>
      </c>
      <c r="Z175" s="1">
        <f t="shared" si="124"/>
        <v>0</v>
      </c>
      <c r="AA175" s="1">
        <f t="shared" si="125"/>
        <v>0</v>
      </c>
      <c r="AB175" s="1">
        <f t="shared" si="126"/>
        <v>0</v>
      </c>
      <c r="AD175" s="1">
        <f t="shared" si="127"/>
        <v>0</v>
      </c>
      <c r="AE175" s="1">
        <f t="shared" si="128"/>
        <v>0</v>
      </c>
      <c r="AF175" s="1">
        <f t="shared" si="113"/>
        <v>0</v>
      </c>
      <c r="AG175" s="1">
        <f t="shared" si="114"/>
        <v>0</v>
      </c>
      <c r="AH175" s="1">
        <f t="shared" si="115"/>
        <v>0</v>
      </c>
      <c r="AI175" s="1">
        <f t="shared" si="116"/>
        <v>1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102</v>
      </c>
      <c r="E176" s="32" t="s">
        <v>172</v>
      </c>
      <c r="F176" s="32" t="s">
        <v>299</v>
      </c>
      <c r="G176" s="32" t="s">
        <v>300</v>
      </c>
      <c r="H176" s="32" t="s">
        <v>354</v>
      </c>
      <c r="I176" s="31" t="s">
        <v>449</v>
      </c>
      <c r="J176" s="31">
        <v>99</v>
      </c>
      <c r="K176" s="33" t="s">
        <v>958</v>
      </c>
      <c r="L176" s="33" t="s">
        <v>693</v>
      </c>
      <c r="M176" s="34" t="s">
        <v>691</v>
      </c>
      <c r="N176" s="34" t="s">
        <v>1743</v>
      </c>
      <c r="O176" s="35">
        <v>1</v>
      </c>
      <c r="P176" s="35"/>
      <c r="Q176" s="32"/>
      <c r="S176" s="1">
        <f t="shared" si="117"/>
        <v>0</v>
      </c>
      <c r="T176" s="1">
        <f t="shared" si="118"/>
        <v>0</v>
      </c>
      <c r="U176" s="1">
        <f t="shared" si="119"/>
        <v>0</v>
      </c>
      <c r="V176" s="1">
        <f t="shared" si="120"/>
        <v>0</v>
      </c>
      <c r="W176" s="1">
        <f t="shared" si="121"/>
        <v>0</v>
      </c>
      <c r="X176" s="1">
        <f t="shared" si="122"/>
        <v>0</v>
      </c>
      <c r="Y176" s="1">
        <f t="shared" si="123"/>
        <v>0</v>
      </c>
      <c r="Z176" s="1">
        <f t="shared" si="124"/>
        <v>0</v>
      </c>
      <c r="AA176" s="1">
        <f t="shared" si="125"/>
        <v>0</v>
      </c>
      <c r="AB176" s="1">
        <f t="shared" si="126"/>
        <v>0</v>
      </c>
      <c r="AD176" s="1">
        <f t="shared" si="127"/>
        <v>0</v>
      </c>
      <c r="AE176" s="1">
        <f t="shared" si="128"/>
        <v>1</v>
      </c>
      <c r="AF176" s="1">
        <f t="shared" si="113"/>
        <v>0</v>
      </c>
      <c r="AG176" s="1">
        <f t="shared" si="114"/>
        <v>1</v>
      </c>
      <c r="AH176" s="1">
        <f t="shared" si="115"/>
        <v>0</v>
      </c>
      <c r="AI176" s="1">
        <f t="shared" si="116"/>
        <v>1</v>
      </c>
    </row>
    <row r="177" spans="1:35" ht="14.25" customHeight="1" x14ac:dyDescent="0.25">
      <c r="A177" s="44">
        <v>0</v>
      </c>
      <c r="B177" s="44">
        <v>1</v>
      </c>
      <c r="C177" s="44">
        <v>3</v>
      </c>
      <c r="D177" s="45" t="s">
        <v>990</v>
      </c>
      <c r="E177" s="45" t="s">
        <v>172</v>
      </c>
      <c r="F177" s="45" t="s">
        <v>993</v>
      </c>
      <c r="G177" s="45" t="s">
        <v>39</v>
      </c>
      <c r="H177" s="45" t="s">
        <v>992</v>
      </c>
      <c r="I177" s="44" t="s">
        <v>991</v>
      </c>
      <c r="J177" s="44">
        <v>14</v>
      </c>
      <c r="K177" s="46" t="s">
        <v>722</v>
      </c>
      <c r="L177" s="46" t="s">
        <v>694</v>
      </c>
      <c r="M177" s="47" t="s">
        <v>971</v>
      </c>
      <c r="N177" s="47" t="s">
        <v>1735</v>
      </c>
      <c r="O177" s="48"/>
      <c r="P177" s="48"/>
      <c r="Q177" s="45"/>
      <c r="S177" s="1">
        <f t="shared" si="117"/>
        <v>0</v>
      </c>
      <c r="T177" s="1">
        <f t="shared" si="118"/>
        <v>0</v>
      </c>
      <c r="U177" s="1">
        <f t="shared" si="119"/>
        <v>0</v>
      </c>
      <c r="V177" s="1">
        <f t="shared" si="120"/>
        <v>0</v>
      </c>
      <c r="W177" s="1">
        <f t="shared" si="121"/>
        <v>0</v>
      </c>
      <c r="X177" s="1">
        <f t="shared" si="122"/>
        <v>0</v>
      </c>
      <c r="Y177" s="1">
        <f t="shared" si="123"/>
        <v>0</v>
      </c>
      <c r="Z177" s="1">
        <f t="shared" si="124"/>
        <v>0</v>
      </c>
      <c r="AA177" s="1">
        <f t="shared" si="125"/>
        <v>0</v>
      </c>
      <c r="AB177" s="1">
        <f t="shared" si="126"/>
        <v>0</v>
      </c>
      <c r="AD177" s="1">
        <f t="shared" si="127"/>
        <v>0</v>
      </c>
      <c r="AE177" s="1">
        <f t="shared" si="128"/>
        <v>0</v>
      </c>
      <c r="AF177" s="1">
        <f t="shared" si="113"/>
        <v>0</v>
      </c>
      <c r="AG177" s="1">
        <f t="shared" si="114"/>
        <v>0</v>
      </c>
      <c r="AH177" s="1">
        <f t="shared" si="115"/>
        <v>0</v>
      </c>
      <c r="AI177" s="1">
        <f t="shared" si="116"/>
        <v>1</v>
      </c>
    </row>
    <row r="178" spans="1:35" ht="14.25" customHeight="1" x14ac:dyDescent="0.25">
      <c r="A178" s="57">
        <v>0</v>
      </c>
      <c r="B178" s="57">
        <v>1</v>
      </c>
      <c r="C178" s="57">
        <v>3</v>
      </c>
      <c r="D178" s="58" t="s">
        <v>1644</v>
      </c>
      <c r="E178" s="58" t="s">
        <v>172</v>
      </c>
      <c r="F178" s="58" t="s">
        <v>773</v>
      </c>
      <c r="G178" s="58" t="s">
        <v>39</v>
      </c>
      <c r="H178" s="58" t="s">
        <v>367</v>
      </c>
      <c r="I178" s="57" t="s">
        <v>781</v>
      </c>
      <c r="J178" s="57">
        <v>18</v>
      </c>
      <c r="K178" s="59" t="s">
        <v>1697</v>
      </c>
      <c r="L178" s="59" t="s">
        <v>39</v>
      </c>
      <c r="M178" s="60" t="s">
        <v>774</v>
      </c>
      <c r="N178" s="61"/>
      <c r="O178" s="62"/>
      <c r="P178" s="62"/>
      <c r="Q178" s="58"/>
      <c r="S178" s="1">
        <f t="shared" si="117"/>
        <v>0</v>
      </c>
      <c r="T178" s="1">
        <f t="shared" si="118"/>
        <v>0</v>
      </c>
      <c r="U178" s="1">
        <f t="shared" si="119"/>
        <v>0</v>
      </c>
      <c r="V178" s="1">
        <f t="shared" si="120"/>
        <v>0</v>
      </c>
      <c r="W178" s="1">
        <f t="shared" si="121"/>
        <v>0</v>
      </c>
      <c r="X178" s="1">
        <f t="shared" si="122"/>
        <v>0</v>
      </c>
      <c r="Y178" s="1">
        <f t="shared" si="123"/>
        <v>0</v>
      </c>
      <c r="Z178" s="1">
        <f t="shared" si="124"/>
        <v>0</v>
      </c>
      <c r="AA178" s="1">
        <f t="shared" si="125"/>
        <v>0</v>
      </c>
      <c r="AB178" s="1">
        <f t="shared" si="126"/>
        <v>0</v>
      </c>
      <c r="AD178" s="1">
        <f t="shared" si="127"/>
        <v>0</v>
      </c>
      <c r="AE178" s="1">
        <f t="shared" si="128"/>
        <v>0</v>
      </c>
      <c r="AF178" s="1">
        <f t="shared" si="113"/>
        <v>0</v>
      </c>
      <c r="AG178" s="1">
        <f t="shared" si="114"/>
        <v>0</v>
      </c>
      <c r="AH178" s="1">
        <f t="shared" si="115"/>
        <v>0</v>
      </c>
      <c r="AI178" s="1">
        <f t="shared" si="116"/>
        <v>1</v>
      </c>
    </row>
    <row r="179" spans="1:35" ht="14.25" customHeight="1" x14ac:dyDescent="0.25">
      <c r="A179" s="49">
        <v>0</v>
      </c>
      <c r="B179" s="49">
        <v>1</v>
      </c>
      <c r="C179" s="49">
        <v>3</v>
      </c>
      <c r="D179" s="50" t="s">
        <v>135</v>
      </c>
      <c r="E179" s="50" t="s">
        <v>172</v>
      </c>
      <c r="F179" s="50" t="s">
        <v>659</v>
      </c>
      <c r="G179" s="50" t="s">
        <v>257</v>
      </c>
      <c r="H179" s="50" t="s">
        <v>354</v>
      </c>
      <c r="I179" s="49" t="s">
        <v>1693</v>
      </c>
      <c r="J179" s="49">
        <v>99</v>
      </c>
      <c r="K179" s="51" t="s">
        <v>722</v>
      </c>
      <c r="L179" s="51" t="s">
        <v>687</v>
      </c>
      <c r="M179" s="52" t="s">
        <v>1397</v>
      </c>
      <c r="N179" s="52" t="s">
        <v>1743</v>
      </c>
      <c r="O179" s="53">
        <v>1</v>
      </c>
      <c r="P179" s="53"/>
      <c r="Q179" s="50" t="s">
        <v>1930</v>
      </c>
      <c r="S179" s="1">
        <f t="shared" si="117"/>
        <v>0</v>
      </c>
      <c r="T179" s="1">
        <f t="shared" si="118"/>
        <v>0</v>
      </c>
      <c r="U179" s="1">
        <f t="shared" si="119"/>
        <v>0</v>
      </c>
      <c r="V179" s="1">
        <f t="shared" si="120"/>
        <v>0</v>
      </c>
      <c r="W179" s="1">
        <f t="shared" si="121"/>
        <v>0</v>
      </c>
      <c r="X179" s="1">
        <f t="shared" si="122"/>
        <v>0</v>
      </c>
      <c r="Y179" s="1">
        <f t="shared" si="123"/>
        <v>0</v>
      </c>
      <c r="Z179" s="1">
        <f t="shared" si="124"/>
        <v>0</v>
      </c>
      <c r="AA179" s="1">
        <f t="shared" si="125"/>
        <v>0</v>
      </c>
      <c r="AB179" s="1">
        <f t="shared" si="126"/>
        <v>0</v>
      </c>
      <c r="AD179" s="1">
        <f t="shared" si="127"/>
        <v>0</v>
      </c>
      <c r="AE179" s="1">
        <f t="shared" si="128"/>
        <v>1</v>
      </c>
      <c r="AF179" s="1">
        <f t="shared" si="113"/>
        <v>0</v>
      </c>
      <c r="AG179" s="1">
        <f t="shared" si="114"/>
        <v>1</v>
      </c>
      <c r="AH179" s="1">
        <f t="shared" si="115"/>
        <v>0</v>
      </c>
      <c r="AI179" s="1">
        <f t="shared" si="116"/>
        <v>1</v>
      </c>
    </row>
    <row r="180" spans="1:35" ht="14.25" customHeight="1" x14ac:dyDescent="0.25">
      <c r="A180" s="15">
        <v>0</v>
      </c>
      <c r="B180" s="15">
        <v>1</v>
      </c>
      <c r="C180" s="15">
        <v>3</v>
      </c>
      <c r="D180" s="16" t="s">
        <v>923</v>
      </c>
      <c r="E180" s="16" t="s">
        <v>170</v>
      </c>
      <c r="F180" s="16" t="s">
        <v>940</v>
      </c>
      <c r="G180" s="16" t="s">
        <v>39</v>
      </c>
      <c r="H180" s="16" t="s">
        <v>365</v>
      </c>
      <c r="I180" s="15" t="s">
        <v>883</v>
      </c>
      <c r="J180" s="15">
        <v>18</v>
      </c>
      <c r="K180" s="10" t="s">
        <v>702</v>
      </c>
      <c r="L180" s="10" t="s">
        <v>697</v>
      </c>
      <c r="M180" s="19" t="s">
        <v>971</v>
      </c>
      <c r="N180" s="17"/>
      <c r="Q180" s="16"/>
      <c r="S180" s="1">
        <f t="shared" si="117"/>
        <v>0</v>
      </c>
      <c r="T180" s="1">
        <f t="shared" si="118"/>
        <v>0</v>
      </c>
      <c r="U180" s="1">
        <f t="shared" si="119"/>
        <v>0</v>
      </c>
      <c r="V180" s="1">
        <f t="shared" si="120"/>
        <v>0</v>
      </c>
      <c r="W180" s="1">
        <f t="shared" si="121"/>
        <v>0</v>
      </c>
      <c r="X180" s="1">
        <f t="shared" si="122"/>
        <v>0</v>
      </c>
      <c r="Y180" s="1">
        <f t="shared" si="123"/>
        <v>0</v>
      </c>
      <c r="Z180" s="1">
        <f t="shared" si="124"/>
        <v>0</v>
      </c>
      <c r="AA180" s="1">
        <f t="shared" si="125"/>
        <v>0</v>
      </c>
      <c r="AB180" s="1">
        <f t="shared" si="126"/>
        <v>0</v>
      </c>
      <c r="AD180" s="1">
        <f t="shared" si="127"/>
        <v>0</v>
      </c>
      <c r="AE180" s="1">
        <f t="shared" si="128"/>
        <v>0</v>
      </c>
      <c r="AF180" s="1">
        <f t="shared" si="113"/>
        <v>0</v>
      </c>
      <c r="AG180" s="1">
        <f t="shared" si="114"/>
        <v>0</v>
      </c>
      <c r="AH180" s="1">
        <f t="shared" si="115"/>
        <v>0</v>
      </c>
      <c r="AI180" s="1">
        <f t="shared" si="116"/>
        <v>1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1260</v>
      </c>
      <c r="E181" s="32" t="s">
        <v>170</v>
      </c>
      <c r="F181" s="32" t="s">
        <v>1676</v>
      </c>
      <c r="G181" s="32" t="s">
        <v>39</v>
      </c>
      <c r="H181" s="32" t="s">
        <v>771</v>
      </c>
      <c r="I181" s="31" t="s">
        <v>1261</v>
      </c>
      <c r="J181" s="31">
        <v>11</v>
      </c>
      <c r="K181" s="33" t="s">
        <v>722</v>
      </c>
      <c r="L181" s="33" t="s">
        <v>689</v>
      </c>
      <c r="M181" s="34" t="s">
        <v>1398</v>
      </c>
      <c r="N181" s="34" t="s">
        <v>1749</v>
      </c>
      <c r="O181" s="35">
        <v>1</v>
      </c>
      <c r="P181" s="35"/>
      <c r="Q181" s="32"/>
      <c r="S181" s="1">
        <f t="shared" si="117"/>
        <v>0</v>
      </c>
      <c r="T181" s="1">
        <f t="shared" si="118"/>
        <v>0</v>
      </c>
      <c r="U181" s="1">
        <f t="shared" si="119"/>
        <v>0</v>
      </c>
      <c r="V181" s="1">
        <f t="shared" si="120"/>
        <v>0</v>
      </c>
      <c r="W181" s="1">
        <f t="shared" si="121"/>
        <v>0</v>
      </c>
      <c r="X181" s="1">
        <f t="shared" si="122"/>
        <v>0</v>
      </c>
      <c r="Y181" s="1">
        <f t="shared" si="123"/>
        <v>0</v>
      </c>
      <c r="Z181" s="1">
        <f t="shared" si="124"/>
        <v>0</v>
      </c>
      <c r="AA181" s="1">
        <f t="shared" si="125"/>
        <v>0</v>
      </c>
      <c r="AB181" s="1">
        <f t="shared" si="126"/>
        <v>0</v>
      </c>
      <c r="AD181" s="1">
        <f t="shared" si="127"/>
        <v>0</v>
      </c>
      <c r="AE181" s="1">
        <f t="shared" si="128"/>
        <v>1</v>
      </c>
      <c r="AF181" s="1">
        <f t="shared" si="113"/>
        <v>0</v>
      </c>
      <c r="AG181" s="1">
        <f t="shared" si="114"/>
        <v>1</v>
      </c>
      <c r="AH181" s="1">
        <f t="shared" si="115"/>
        <v>0</v>
      </c>
      <c r="AI181" s="1">
        <f t="shared" si="116"/>
        <v>1</v>
      </c>
    </row>
    <row r="182" spans="1:35" ht="14.25" customHeight="1" x14ac:dyDescent="0.25">
      <c r="A182" s="31">
        <v>0</v>
      </c>
      <c r="B182" s="31">
        <v>1</v>
      </c>
      <c r="C182" s="31">
        <v>4</v>
      </c>
      <c r="D182" s="32" t="s">
        <v>996</v>
      </c>
      <c r="E182" s="32" t="s">
        <v>772</v>
      </c>
      <c r="F182" s="32" t="s">
        <v>1094</v>
      </c>
      <c r="G182" s="32" t="s">
        <v>200</v>
      </c>
      <c r="H182" s="32" t="s">
        <v>354</v>
      </c>
      <c r="I182" s="31" t="s">
        <v>997</v>
      </c>
      <c r="J182" s="31">
        <v>2</v>
      </c>
      <c r="K182" s="33" t="s">
        <v>956</v>
      </c>
      <c r="L182" s="33" t="s">
        <v>693</v>
      </c>
      <c r="M182" s="34" t="s">
        <v>1399</v>
      </c>
      <c r="N182" s="34" t="s">
        <v>1727</v>
      </c>
      <c r="O182" s="35">
        <v>1</v>
      </c>
      <c r="P182" s="35">
        <v>1</v>
      </c>
      <c r="Q182" s="32"/>
      <c r="S182" s="1">
        <f t="shared" si="117"/>
        <v>0</v>
      </c>
      <c r="T182" s="1">
        <f t="shared" si="118"/>
        <v>1</v>
      </c>
      <c r="U182" s="1">
        <f t="shared" si="119"/>
        <v>0</v>
      </c>
      <c r="V182" s="1">
        <f t="shared" si="120"/>
        <v>0</v>
      </c>
      <c r="W182" s="1">
        <f t="shared" si="121"/>
        <v>0</v>
      </c>
      <c r="X182" s="1">
        <f t="shared" si="122"/>
        <v>0</v>
      </c>
      <c r="Y182" s="1">
        <f t="shared" si="123"/>
        <v>0</v>
      </c>
      <c r="Z182" s="1">
        <f t="shared" si="124"/>
        <v>0</v>
      </c>
      <c r="AA182" s="1">
        <f t="shared" si="125"/>
        <v>0</v>
      </c>
      <c r="AB182" s="1">
        <f t="shared" si="126"/>
        <v>0</v>
      </c>
      <c r="AD182" s="1">
        <f t="shared" si="127"/>
        <v>1</v>
      </c>
      <c r="AE182" s="1">
        <f t="shared" si="128"/>
        <v>0</v>
      </c>
      <c r="AF182" s="1">
        <f t="shared" si="113"/>
        <v>1</v>
      </c>
      <c r="AG182" s="1">
        <f t="shared" si="114"/>
        <v>0</v>
      </c>
      <c r="AH182" s="1">
        <f t="shared" si="115"/>
        <v>1</v>
      </c>
      <c r="AI182" s="1">
        <f t="shared" si="116"/>
        <v>0</v>
      </c>
    </row>
    <row r="183" spans="1:35" ht="14.25" customHeight="1" x14ac:dyDescent="0.25">
      <c r="A183" s="31">
        <v>0</v>
      </c>
      <c r="B183" s="31">
        <v>1</v>
      </c>
      <c r="C183" s="31">
        <v>4</v>
      </c>
      <c r="D183" s="32" t="s">
        <v>50</v>
      </c>
      <c r="E183" s="32" t="s">
        <v>772</v>
      </c>
      <c r="F183" s="32" t="s">
        <v>193</v>
      </c>
      <c r="G183" s="32" t="s">
        <v>194</v>
      </c>
      <c r="H183" s="32" t="s">
        <v>354</v>
      </c>
      <c r="I183" s="31" t="s">
        <v>387</v>
      </c>
      <c r="J183" s="31">
        <v>9</v>
      </c>
      <c r="K183" s="33" t="s">
        <v>956</v>
      </c>
      <c r="L183" s="33" t="s">
        <v>694</v>
      </c>
      <c r="M183" s="34" t="s">
        <v>969</v>
      </c>
      <c r="N183" s="34" t="s">
        <v>1801</v>
      </c>
      <c r="O183" s="35">
        <v>1</v>
      </c>
      <c r="P183" s="35"/>
      <c r="Q183" s="32"/>
      <c r="S183" s="1">
        <f t="shared" si="117"/>
        <v>0</v>
      </c>
      <c r="T183" s="1">
        <f t="shared" si="118"/>
        <v>0</v>
      </c>
      <c r="U183" s="1">
        <f t="shared" si="119"/>
        <v>0</v>
      </c>
      <c r="V183" s="1">
        <f t="shared" si="120"/>
        <v>0</v>
      </c>
      <c r="W183" s="1">
        <f t="shared" si="121"/>
        <v>0</v>
      </c>
      <c r="X183" s="1">
        <f t="shared" si="122"/>
        <v>0</v>
      </c>
      <c r="Y183" s="1">
        <f t="shared" si="123"/>
        <v>0</v>
      </c>
      <c r="Z183" s="1">
        <f t="shared" si="124"/>
        <v>0</v>
      </c>
      <c r="AA183" s="1">
        <f t="shared" si="125"/>
        <v>1</v>
      </c>
      <c r="AB183" s="1">
        <f t="shared" si="126"/>
        <v>0</v>
      </c>
      <c r="AD183" s="1">
        <f t="shared" si="127"/>
        <v>0</v>
      </c>
      <c r="AE183" s="1">
        <f t="shared" si="128"/>
        <v>1</v>
      </c>
      <c r="AF183" s="1">
        <f t="shared" si="113"/>
        <v>0</v>
      </c>
      <c r="AG183" s="1">
        <f t="shared" si="114"/>
        <v>1</v>
      </c>
      <c r="AH183" s="1">
        <f t="shared" si="115"/>
        <v>0</v>
      </c>
      <c r="AI183" s="1">
        <f t="shared" si="116"/>
        <v>1</v>
      </c>
    </row>
    <row r="184" spans="1:35" ht="14.25" customHeight="1" x14ac:dyDescent="0.25">
      <c r="A184" s="44">
        <v>0</v>
      </c>
      <c r="B184" s="44">
        <v>1</v>
      </c>
      <c r="C184" s="44">
        <v>4</v>
      </c>
      <c r="D184" s="45" t="s">
        <v>134</v>
      </c>
      <c r="E184" s="45" t="s">
        <v>177</v>
      </c>
      <c r="F184" s="45" t="s">
        <v>336</v>
      </c>
      <c r="G184" s="45" t="s">
        <v>213</v>
      </c>
      <c r="H184" s="45" t="s">
        <v>354</v>
      </c>
      <c r="I184" s="44" t="s">
        <v>483</v>
      </c>
      <c r="J184" s="44">
        <v>1</v>
      </c>
      <c r="K184" s="46" t="s">
        <v>956</v>
      </c>
      <c r="L184" s="46" t="s">
        <v>689</v>
      </c>
      <c r="M184" s="47" t="s">
        <v>691</v>
      </c>
      <c r="N184" s="47" t="s">
        <v>1735</v>
      </c>
      <c r="O184" s="48"/>
      <c r="P184" s="48"/>
      <c r="Q184" s="45"/>
      <c r="S184" s="1">
        <f t="shared" si="117"/>
        <v>1</v>
      </c>
      <c r="T184" s="1">
        <f t="shared" si="118"/>
        <v>0</v>
      </c>
      <c r="U184" s="1">
        <f t="shared" si="119"/>
        <v>0</v>
      </c>
      <c r="V184" s="1">
        <f t="shared" si="120"/>
        <v>0</v>
      </c>
      <c r="W184" s="1">
        <f t="shared" si="121"/>
        <v>0</v>
      </c>
      <c r="X184" s="1">
        <f t="shared" si="122"/>
        <v>0</v>
      </c>
      <c r="Y184" s="1">
        <f t="shared" si="123"/>
        <v>0</v>
      </c>
      <c r="Z184" s="1">
        <f t="shared" si="124"/>
        <v>0</v>
      </c>
      <c r="AA184" s="1">
        <f t="shared" si="125"/>
        <v>0</v>
      </c>
      <c r="AB184" s="1">
        <f t="shared" si="126"/>
        <v>0</v>
      </c>
      <c r="AD184" s="1">
        <f t="shared" si="127"/>
        <v>0</v>
      </c>
      <c r="AE184" s="1">
        <f t="shared" si="128"/>
        <v>0</v>
      </c>
      <c r="AF184" s="1">
        <f t="shared" si="113"/>
        <v>0</v>
      </c>
      <c r="AG184" s="1">
        <f t="shared" si="114"/>
        <v>0</v>
      </c>
      <c r="AH184" s="1">
        <f t="shared" si="115"/>
        <v>0</v>
      </c>
      <c r="AI184" s="1">
        <f t="shared" si="116"/>
        <v>1</v>
      </c>
    </row>
    <row r="185" spans="1:35" ht="14.25" customHeight="1" x14ac:dyDescent="0.25">
      <c r="A185" s="15">
        <v>0</v>
      </c>
      <c r="B185" s="15">
        <v>1</v>
      </c>
      <c r="C185" s="15">
        <v>4</v>
      </c>
      <c r="D185" s="16" t="s">
        <v>884</v>
      </c>
      <c r="E185" s="16" t="s">
        <v>772</v>
      </c>
      <c r="F185" s="16" t="s">
        <v>885</v>
      </c>
      <c r="G185" s="16" t="s">
        <v>39</v>
      </c>
      <c r="H185" s="16" t="s">
        <v>886</v>
      </c>
      <c r="I185" s="15" t="s">
        <v>950</v>
      </c>
      <c r="J185" s="15">
        <v>17</v>
      </c>
      <c r="K185" s="10" t="s">
        <v>703</v>
      </c>
      <c r="L185" s="10" t="s">
        <v>1141</v>
      </c>
      <c r="M185" s="19" t="s">
        <v>972</v>
      </c>
      <c r="N185" s="17"/>
      <c r="Q185" s="16"/>
      <c r="S185" s="1">
        <f t="shared" si="117"/>
        <v>0</v>
      </c>
      <c r="T185" s="1">
        <f t="shared" si="118"/>
        <v>0</v>
      </c>
      <c r="U185" s="1">
        <f t="shared" si="119"/>
        <v>0</v>
      </c>
      <c r="V185" s="1">
        <f t="shared" si="120"/>
        <v>0</v>
      </c>
      <c r="W185" s="1">
        <f t="shared" si="121"/>
        <v>0</v>
      </c>
      <c r="X185" s="1">
        <f t="shared" si="122"/>
        <v>0</v>
      </c>
      <c r="Y185" s="1">
        <f t="shared" si="123"/>
        <v>0</v>
      </c>
      <c r="Z185" s="1">
        <f t="shared" si="124"/>
        <v>0</v>
      </c>
      <c r="AA185" s="1">
        <f t="shared" si="125"/>
        <v>0</v>
      </c>
      <c r="AB185" s="1">
        <f t="shared" si="126"/>
        <v>0</v>
      </c>
      <c r="AD185" s="1">
        <f t="shared" si="127"/>
        <v>0</v>
      </c>
      <c r="AE185" s="1">
        <f t="shared" si="128"/>
        <v>0</v>
      </c>
      <c r="AF185" s="1">
        <f t="shared" si="113"/>
        <v>0</v>
      </c>
      <c r="AG185" s="1">
        <f t="shared" si="114"/>
        <v>0</v>
      </c>
      <c r="AH185" s="1">
        <f t="shared" si="115"/>
        <v>0</v>
      </c>
      <c r="AI185" s="1">
        <f t="shared" si="116"/>
        <v>1</v>
      </c>
    </row>
    <row r="186" spans="1:35" ht="14.25" customHeight="1" x14ac:dyDescent="0.25">
      <c r="A186" s="31">
        <v>0</v>
      </c>
      <c r="B186" s="31">
        <v>1</v>
      </c>
      <c r="C186" s="31">
        <v>5</v>
      </c>
      <c r="D186" s="32" t="s">
        <v>126</v>
      </c>
      <c r="E186" s="32" t="s">
        <v>526</v>
      </c>
      <c r="F186" s="32" t="s">
        <v>327</v>
      </c>
      <c r="G186" s="32" t="s">
        <v>300</v>
      </c>
      <c r="H186" s="32" t="s">
        <v>354</v>
      </c>
      <c r="I186" s="31" t="s">
        <v>475</v>
      </c>
      <c r="J186" s="31">
        <v>99</v>
      </c>
      <c r="K186" s="33" t="s">
        <v>702</v>
      </c>
      <c r="L186" s="33" t="s">
        <v>689</v>
      </c>
      <c r="M186" s="34" t="s">
        <v>970</v>
      </c>
      <c r="N186" s="34" t="s">
        <v>1743</v>
      </c>
      <c r="O186" s="35">
        <v>1</v>
      </c>
      <c r="P186" s="35"/>
      <c r="Q186" s="32"/>
      <c r="S186" s="1">
        <f t="shared" si="117"/>
        <v>0</v>
      </c>
      <c r="T186" s="1">
        <f t="shared" si="118"/>
        <v>0</v>
      </c>
      <c r="U186" s="1">
        <f t="shared" si="119"/>
        <v>0</v>
      </c>
      <c r="V186" s="1">
        <f t="shared" si="120"/>
        <v>0</v>
      </c>
      <c r="W186" s="1">
        <f t="shared" si="121"/>
        <v>0</v>
      </c>
      <c r="X186" s="1">
        <f t="shared" si="122"/>
        <v>0</v>
      </c>
      <c r="Y186" s="1">
        <f t="shared" si="123"/>
        <v>0</v>
      </c>
      <c r="Z186" s="1">
        <f t="shared" si="124"/>
        <v>0</v>
      </c>
      <c r="AA186" s="1">
        <f t="shared" si="125"/>
        <v>0</v>
      </c>
      <c r="AB186" s="1">
        <f t="shared" si="126"/>
        <v>0</v>
      </c>
      <c r="AD186" s="1">
        <f t="shared" si="127"/>
        <v>0</v>
      </c>
      <c r="AE186" s="1">
        <f t="shared" si="128"/>
        <v>1</v>
      </c>
      <c r="AF186" s="1">
        <f t="shared" si="113"/>
        <v>0</v>
      </c>
      <c r="AG186" s="1">
        <f t="shared" si="114"/>
        <v>1</v>
      </c>
      <c r="AH186" s="1">
        <f t="shared" si="115"/>
        <v>0</v>
      </c>
      <c r="AI186" s="1">
        <f t="shared" si="116"/>
        <v>1</v>
      </c>
    </row>
    <row r="187" spans="1:35" ht="14.25" customHeight="1" x14ac:dyDescent="0.25">
      <c r="A187" s="31">
        <v>0</v>
      </c>
      <c r="B187" s="31">
        <v>1</v>
      </c>
      <c r="C187" s="31">
        <v>5</v>
      </c>
      <c r="D187" s="32" t="s">
        <v>1729</v>
      </c>
      <c r="E187" s="32" t="s">
        <v>166</v>
      </c>
      <c r="F187" s="32" t="s">
        <v>1730</v>
      </c>
      <c r="G187" s="32" t="s">
        <v>1731</v>
      </c>
      <c r="H187" s="32" t="s">
        <v>354</v>
      </c>
      <c r="I187" s="31" t="s">
        <v>1732</v>
      </c>
      <c r="J187" s="31">
        <v>2</v>
      </c>
      <c r="K187" s="33" t="s">
        <v>703</v>
      </c>
      <c r="L187" s="33"/>
      <c r="M187" s="34"/>
      <c r="N187" s="34" t="s">
        <v>1733</v>
      </c>
      <c r="O187" s="35">
        <v>1</v>
      </c>
      <c r="P187" s="35">
        <v>1</v>
      </c>
      <c r="Q187" s="32"/>
      <c r="S187" s="1">
        <f t="shared" si="117"/>
        <v>0</v>
      </c>
      <c r="T187" s="1">
        <f t="shared" si="118"/>
        <v>1</v>
      </c>
      <c r="U187" s="1">
        <f t="shared" si="119"/>
        <v>0</v>
      </c>
      <c r="V187" s="1">
        <f t="shared" si="120"/>
        <v>0</v>
      </c>
      <c r="W187" s="1">
        <f t="shared" si="121"/>
        <v>0</v>
      </c>
      <c r="X187" s="1">
        <f t="shared" si="122"/>
        <v>0</v>
      </c>
      <c r="Y187" s="1">
        <f t="shared" si="123"/>
        <v>0</v>
      </c>
      <c r="Z187" s="1">
        <f t="shared" si="124"/>
        <v>0</v>
      </c>
      <c r="AA187" s="1">
        <f t="shared" si="125"/>
        <v>0</v>
      </c>
      <c r="AB187" s="1">
        <f t="shared" si="126"/>
        <v>0</v>
      </c>
      <c r="AD187" s="1">
        <f t="shared" si="127"/>
        <v>1</v>
      </c>
      <c r="AE187" s="1">
        <f t="shared" si="128"/>
        <v>0</v>
      </c>
      <c r="AF187" s="1">
        <f t="shared" si="113"/>
        <v>1</v>
      </c>
      <c r="AG187" s="1">
        <f t="shared" si="114"/>
        <v>0</v>
      </c>
      <c r="AH187" s="1">
        <f t="shared" si="115"/>
        <v>1</v>
      </c>
      <c r="AI187" s="1">
        <f t="shared" si="116"/>
        <v>0</v>
      </c>
    </row>
    <row r="188" spans="1:35" ht="14.25" customHeight="1" x14ac:dyDescent="0.25">
      <c r="A188" s="44">
        <v>0</v>
      </c>
      <c r="B188" s="44">
        <v>1</v>
      </c>
      <c r="C188" s="44">
        <v>5</v>
      </c>
      <c r="D188" s="45" t="s">
        <v>87</v>
      </c>
      <c r="E188" s="45" t="s">
        <v>166</v>
      </c>
      <c r="F188" s="45" t="s">
        <v>577</v>
      </c>
      <c r="G188" s="45" t="s">
        <v>194</v>
      </c>
      <c r="H188" s="45" t="s">
        <v>354</v>
      </c>
      <c r="I188" s="44" t="s">
        <v>436</v>
      </c>
      <c r="J188" s="44">
        <v>9</v>
      </c>
      <c r="K188" s="46" t="s">
        <v>956</v>
      </c>
      <c r="L188" s="46" t="s">
        <v>696</v>
      </c>
      <c r="M188" s="47" t="s">
        <v>691</v>
      </c>
      <c r="N188" s="47" t="s">
        <v>1735</v>
      </c>
      <c r="O188" s="48"/>
      <c r="P188" s="48"/>
      <c r="Q188" s="45"/>
      <c r="S188" s="1">
        <f t="shared" si="117"/>
        <v>0</v>
      </c>
      <c r="T188" s="1">
        <f t="shared" si="118"/>
        <v>0</v>
      </c>
      <c r="U188" s="1">
        <f t="shared" si="119"/>
        <v>0</v>
      </c>
      <c r="V188" s="1">
        <f t="shared" si="120"/>
        <v>0</v>
      </c>
      <c r="W188" s="1">
        <f t="shared" si="121"/>
        <v>0</v>
      </c>
      <c r="X188" s="1">
        <f t="shared" si="122"/>
        <v>0</v>
      </c>
      <c r="Y188" s="1">
        <f t="shared" si="123"/>
        <v>0</v>
      </c>
      <c r="Z188" s="1">
        <f t="shared" si="124"/>
        <v>0</v>
      </c>
      <c r="AA188" s="1">
        <f t="shared" si="125"/>
        <v>1</v>
      </c>
      <c r="AB188" s="1">
        <f t="shared" si="126"/>
        <v>0</v>
      </c>
      <c r="AD188" s="1">
        <f t="shared" ref="AD188:AD192" si="161">+O188*P188</f>
        <v>0</v>
      </c>
      <c r="AE188" s="1">
        <f t="shared" ref="AE188:AE192" si="162">O188*(1-P188)</f>
        <v>0</v>
      </c>
      <c r="AF188" s="1">
        <f t="shared" ref="AF188:AF192" si="163">+O188*P188*(1-A188)</f>
        <v>0</v>
      </c>
      <c r="AG188" s="1">
        <f t="shared" si="114"/>
        <v>0</v>
      </c>
      <c r="AH188" s="1">
        <f t="shared" si="115"/>
        <v>0</v>
      </c>
      <c r="AI188" s="1">
        <f t="shared" si="116"/>
        <v>1</v>
      </c>
    </row>
    <row r="189" spans="1:35" ht="14.25" customHeight="1" x14ac:dyDescent="0.25">
      <c r="A189" s="31">
        <v>0</v>
      </c>
      <c r="B189" s="31">
        <v>1</v>
      </c>
      <c r="C189" s="31">
        <v>5</v>
      </c>
      <c r="D189" s="32" t="s">
        <v>1997</v>
      </c>
      <c r="E189" s="32" t="s">
        <v>166</v>
      </c>
      <c r="F189" s="32" t="s">
        <v>1998</v>
      </c>
      <c r="G189" s="32" t="s">
        <v>2001</v>
      </c>
      <c r="H189" s="32" t="s">
        <v>354</v>
      </c>
      <c r="I189" s="31" t="s">
        <v>1999</v>
      </c>
      <c r="J189" s="31">
        <v>99</v>
      </c>
      <c r="K189" s="33" t="s">
        <v>703</v>
      </c>
      <c r="L189" s="33">
        <v>25</v>
      </c>
      <c r="M189" s="34" t="s">
        <v>691</v>
      </c>
      <c r="N189" s="34" t="s">
        <v>1743</v>
      </c>
      <c r="O189" s="35">
        <v>1</v>
      </c>
      <c r="P189" s="35"/>
      <c r="Q189" s="32" t="s">
        <v>2000</v>
      </c>
      <c r="S189" s="1">
        <f t="shared" si="117"/>
        <v>0</v>
      </c>
      <c r="T189" s="1">
        <f t="shared" si="118"/>
        <v>0</v>
      </c>
      <c r="U189" s="1">
        <f t="shared" si="119"/>
        <v>0</v>
      </c>
      <c r="V189" s="1">
        <f t="shared" si="120"/>
        <v>0</v>
      </c>
      <c r="W189" s="1">
        <f t="shared" si="121"/>
        <v>0</v>
      </c>
      <c r="X189" s="1">
        <f t="shared" si="122"/>
        <v>0</v>
      </c>
      <c r="Y189" s="1">
        <f t="shared" si="123"/>
        <v>0</v>
      </c>
      <c r="Z189" s="1">
        <f t="shared" si="124"/>
        <v>0</v>
      </c>
      <c r="AA189" s="1">
        <f t="shared" si="125"/>
        <v>0</v>
      </c>
      <c r="AB189" s="1">
        <f t="shared" si="126"/>
        <v>0</v>
      </c>
      <c r="AD189" s="1">
        <f t="shared" si="161"/>
        <v>0</v>
      </c>
      <c r="AE189" s="1">
        <f t="shared" si="162"/>
        <v>1</v>
      </c>
      <c r="AF189" s="1">
        <f t="shared" si="163"/>
        <v>0</v>
      </c>
      <c r="AG189" s="1">
        <f t="shared" si="114"/>
        <v>1</v>
      </c>
      <c r="AH189" s="1">
        <f t="shared" si="115"/>
        <v>0</v>
      </c>
      <c r="AI189" s="1">
        <f t="shared" si="116"/>
        <v>1</v>
      </c>
    </row>
    <row r="190" spans="1:35" ht="14.25" customHeight="1" x14ac:dyDescent="0.25">
      <c r="A190" s="44">
        <v>0</v>
      </c>
      <c r="B190" s="44">
        <v>1</v>
      </c>
      <c r="C190" s="44">
        <v>5</v>
      </c>
      <c r="D190" s="45" t="s">
        <v>127</v>
      </c>
      <c r="E190" s="45" t="s">
        <v>166</v>
      </c>
      <c r="F190" s="45" t="s">
        <v>328</v>
      </c>
      <c r="G190" s="45" t="s">
        <v>180</v>
      </c>
      <c r="H190" s="45" t="s">
        <v>354</v>
      </c>
      <c r="I190" s="44" t="s">
        <v>476</v>
      </c>
      <c r="J190" s="44">
        <v>10</v>
      </c>
      <c r="K190" s="46" t="s">
        <v>958</v>
      </c>
      <c r="L190" s="46" t="s">
        <v>694</v>
      </c>
      <c r="M190" s="47" t="s">
        <v>691</v>
      </c>
      <c r="N190" s="47" t="s">
        <v>1740</v>
      </c>
      <c r="O190" s="48"/>
      <c r="P190" s="48"/>
      <c r="Q190" s="45"/>
      <c r="S190" s="1">
        <f t="shared" si="117"/>
        <v>0</v>
      </c>
      <c r="T190" s="1">
        <f t="shared" si="118"/>
        <v>0</v>
      </c>
      <c r="U190" s="1">
        <f t="shared" si="119"/>
        <v>0</v>
      </c>
      <c r="V190" s="1">
        <f t="shared" si="120"/>
        <v>0</v>
      </c>
      <c r="W190" s="1">
        <f t="shared" si="121"/>
        <v>0</v>
      </c>
      <c r="X190" s="1">
        <f t="shared" si="122"/>
        <v>0</v>
      </c>
      <c r="Y190" s="1">
        <f t="shared" si="123"/>
        <v>0</v>
      </c>
      <c r="Z190" s="1">
        <f t="shared" si="124"/>
        <v>0</v>
      </c>
      <c r="AA190" s="1">
        <f t="shared" si="125"/>
        <v>0</v>
      </c>
      <c r="AB190" s="1">
        <f t="shared" si="126"/>
        <v>1</v>
      </c>
      <c r="AD190" s="1">
        <f t="shared" si="161"/>
        <v>0</v>
      </c>
      <c r="AE190" s="1">
        <f t="shared" si="162"/>
        <v>0</v>
      </c>
      <c r="AF190" s="1">
        <f t="shared" si="163"/>
        <v>0</v>
      </c>
      <c r="AG190" s="1">
        <f t="shared" si="114"/>
        <v>0</v>
      </c>
      <c r="AH190" s="1">
        <f t="shared" si="115"/>
        <v>0</v>
      </c>
      <c r="AI190" s="1">
        <f t="shared" si="116"/>
        <v>1</v>
      </c>
    </row>
    <row r="191" spans="1:35" ht="14.25" customHeight="1" x14ac:dyDescent="0.25">
      <c r="A191" s="44">
        <v>0</v>
      </c>
      <c r="B191" s="44">
        <v>1</v>
      </c>
      <c r="C191" s="44">
        <v>5</v>
      </c>
      <c r="D191" s="45" t="s">
        <v>137</v>
      </c>
      <c r="E191" s="45" t="s">
        <v>166</v>
      </c>
      <c r="F191" s="45" t="s">
        <v>548</v>
      </c>
      <c r="G191" s="45" t="s">
        <v>220</v>
      </c>
      <c r="H191" s="45" t="s">
        <v>354</v>
      </c>
      <c r="I191" s="44" t="s">
        <v>540</v>
      </c>
      <c r="J191" s="44">
        <v>8</v>
      </c>
      <c r="K191" s="46" t="s">
        <v>956</v>
      </c>
      <c r="L191" s="46" t="s">
        <v>694</v>
      </c>
      <c r="M191" s="47" t="s">
        <v>691</v>
      </c>
      <c r="N191" s="47" t="s">
        <v>1735</v>
      </c>
      <c r="O191" s="48"/>
      <c r="P191" s="48"/>
      <c r="Q191" s="45"/>
      <c r="S191" s="1">
        <f t="shared" si="117"/>
        <v>0</v>
      </c>
      <c r="T191" s="1">
        <f t="shared" si="118"/>
        <v>0</v>
      </c>
      <c r="U191" s="1">
        <f t="shared" si="119"/>
        <v>0</v>
      </c>
      <c r="V191" s="1">
        <f t="shared" si="120"/>
        <v>0</v>
      </c>
      <c r="W191" s="1">
        <f t="shared" si="121"/>
        <v>0</v>
      </c>
      <c r="X191" s="1">
        <f t="shared" si="122"/>
        <v>0</v>
      </c>
      <c r="Y191" s="1">
        <f t="shared" si="123"/>
        <v>0</v>
      </c>
      <c r="Z191" s="1">
        <f t="shared" si="124"/>
        <v>1</v>
      </c>
      <c r="AA191" s="1">
        <f t="shared" si="125"/>
        <v>0</v>
      </c>
      <c r="AB191" s="1">
        <f t="shared" si="126"/>
        <v>0</v>
      </c>
      <c r="AD191" s="1">
        <f t="shared" si="161"/>
        <v>0</v>
      </c>
      <c r="AE191" s="1">
        <f t="shared" si="162"/>
        <v>0</v>
      </c>
      <c r="AF191" s="1">
        <f t="shared" si="163"/>
        <v>0</v>
      </c>
      <c r="AG191" s="1">
        <f t="shared" si="114"/>
        <v>0</v>
      </c>
      <c r="AH191" s="1">
        <f t="shared" si="115"/>
        <v>0</v>
      </c>
      <c r="AI191" s="1">
        <f t="shared" si="116"/>
        <v>1</v>
      </c>
    </row>
    <row r="192" spans="1:35" ht="13.9" customHeight="1" x14ac:dyDescent="0.25">
      <c r="A192" s="44">
        <v>1</v>
      </c>
      <c r="B192" s="44">
        <v>1</v>
      </c>
      <c r="C192" s="44">
        <v>5</v>
      </c>
      <c r="D192" s="45" t="s">
        <v>137</v>
      </c>
      <c r="E192" s="45" t="s">
        <v>166</v>
      </c>
      <c r="F192" s="45" t="s">
        <v>337</v>
      </c>
      <c r="G192" s="45" t="s">
        <v>338</v>
      </c>
      <c r="H192" s="45" t="s">
        <v>354</v>
      </c>
      <c r="I192" s="44" t="s">
        <v>485</v>
      </c>
      <c r="J192" s="44">
        <v>10</v>
      </c>
      <c r="K192" s="46" t="s">
        <v>956</v>
      </c>
      <c r="L192" s="46" t="s">
        <v>694</v>
      </c>
      <c r="M192" s="47" t="s">
        <v>691</v>
      </c>
      <c r="N192" s="47" t="s">
        <v>1735</v>
      </c>
      <c r="O192" s="48"/>
      <c r="P192" s="48"/>
      <c r="Q192" s="45"/>
      <c r="S192" s="1">
        <f t="shared" si="117"/>
        <v>0</v>
      </c>
      <c r="T192" s="1">
        <f t="shared" si="118"/>
        <v>0</v>
      </c>
      <c r="U192" s="1">
        <f t="shared" si="119"/>
        <v>0</v>
      </c>
      <c r="V192" s="1">
        <f t="shared" si="120"/>
        <v>0</v>
      </c>
      <c r="W192" s="1">
        <f t="shared" si="121"/>
        <v>0</v>
      </c>
      <c r="X192" s="1">
        <f t="shared" si="122"/>
        <v>0</v>
      </c>
      <c r="Y192" s="1">
        <f t="shared" si="123"/>
        <v>0</v>
      </c>
      <c r="Z192" s="1">
        <f t="shared" si="124"/>
        <v>0</v>
      </c>
      <c r="AA192" s="1">
        <f t="shared" si="125"/>
        <v>0</v>
      </c>
      <c r="AB192" s="1">
        <f t="shared" si="126"/>
        <v>1</v>
      </c>
      <c r="AD192" s="1">
        <f t="shared" si="161"/>
        <v>0</v>
      </c>
      <c r="AE192" s="1">
        <f t="shared" si="162"/>
        <v>0</v>
      </c>
      <c r="AF192" s="1">
        <f t="shared" si="163"/>
        <v>0</v>
      </c>
      <c r="AG192" s="1">
        <f t="shared" si="114"/>
        <v>0</v>
      </c>
      <c r="AH192" s="1">
        <f t="shared" si="115"/>
        <v>0</v>
      </c>
      <c r="AI192" s="1">
        <f t="shared" si="116"/>
        <v>0</v>
      </c>
    </row>
    <row r="193" spans="1:35" ht="14.25" customHeight="1" x14ac:dyDescent="0.25">
      <c r="A193" s="44">
        <v>0</v>
      </c>
      <c r="B193" s="44">
        <v>1</v>
      </c>
      <c r="C193" s="44">
        <v>5</v>
      </c>
      <c r="D193" s="45" t="s">
        <v>1637</v>
      </c>
      <c r="E193" s="45" t="s">
        <v>166</v>
      </c>
      <c r="F193" s="45" t="s">
        <v>865</v>
      </c>
      <c r="G193" s="45" t="s">
        <v>1664</v>
      </c>
      <c r="H193" s="45" t="s">
        <v>354</v>
      </c>
      <c r="I193" s="44" t="s">
        <v>866</v>
      </c>
      <c r="J193" s="44">
        <v>1</v>
      </c>
      <c r="K193" s="46" t="s">
        <v>722</v>
      </c>
      <c r="L193" s="46" t="s">
        <v>1707</v>
      </c>
      <c r="M193" s="47" t="s">
        <v>1400</v>
      </c>
      <c r="N193" s="47" t="s">
        <v>1735</v>
      </c>
      <c r="O193" s="48"/>
      <c r="P193" s="48"/>
      <c r="Q193" s="45"/>
      <c r="S193" s="1">
        <f t="shared" si="117"/>
        <v>1</v>
      </c>
      <c r="T193" s="1">
        <f t="shared" si="118"/>
        <v>0</v>
      </c>
      <c r="U193" s="1">
        <f t="shared" si="119"/>
        <v>0</v>
      </c>
      <c r="V193" s="1">
        <f t="shared" si="120"/>
        <v>0</v>
      </c>
      <c r="W193" s="1">
        <f t="shared" si="121"/>
        <v>0</v>
      </c>
      <c r="X193" s="1">
        <f t="shared" si="122"/>
        <v>0</v>
      </c>
      <c r="Y193" s="1">
        <f t="shared" si="123"/>
        <v>0</v>
      </c>
      <c r="Z193" s="1">
        <f t="shared" si="124"/>
        <v>0</v>
      </c>
      <c r="AA193" s="1">
        <f t="shared" si="125"/>
        <v>0</v>
      </c>
      <c r="AB193" s="1">
        <f t="shared" si="126"/>
        <v>0</v>
      </c>
      <c r="AD193" s="1">
        <f t="shared" si="127"/>
        <v>0</v>
      </c>
      <c r="AE193" s="1">
        <f t="shared" si="128"/>
        <v>0</v>
      </c>
      <c r="AF193" s="1">
        <f t="shared" si="113"/>
        <v>0</v>
      </c>
      <c r="AG193" s="1">
        <f t="shared" si="114"/>
        <v>0</v>
      </c>
      <c r="AH193" s="1">
        <f t="shared" si="115"/>
        <v>0</v>
      </c>
      <c r="AI193" s="1">
        <f t="shared" si="116"/>
        <v>1</v>
      </c>
    </row>
    <row r="194" spans="1:35" ht="14.25" customHeight="1" x14ac:dyDescent="0.25">
      <c r="A194" s="15">
        <v>0</v>
      </c>
      <c r="B194" s="15">
        <v>1</v>
      </c>
      <c r="C194" s="15">
        <v>5</v>
      </c>
      <c r="D194" s="20" t="s">
        <v>1949</v>
      </c>
      <c r="E194" s="20" t="s">
        <v>893</v>
      </c>
      <c r="F194" s="20" t="s">
        <v>1967</v>
      </c>
      <c r="G194" s="20"/>
      <c r="H194" s="20" t="s">
        <v>1968</v>
      </c>
      <c r="I194" s="21" t="s">
        <v>1966</v>
      </c>
      <c r="J194" s="15">
        <v>15</v>
      </c>
      <c r="K194" s="10" t="s">
        <v>703</v>
      </c>
      <c r="L194" s="10" t="s">
        <v>697</v>
      </c>
      <c r="M194" s="19" t="s">
        <v>971</v>
      </c>
      <c r="N194" s="17"/>
      <c r="Q194" s="20" t="s">
        <v>1969</v>
      </c>
      <c r="S194" s="1">
        <f t="shared" si="117"/>
        <v>0</v>
      </c>
      <c r="T194" s="1">
        <f t="shared" si="118"/>
        <v>0</v>
      </c>
      <c r="U194" s="1">
        <f t="shared" si="119"/>
        <v>0</v>
      </c>
      <c r="V194" s="1">
        <f t="shared" si="120"/>
        <v>0</v>
      </c>
      <c r="W194" s="1">
        <f t="shared" si="121"/>
        <v>0</v>
      </c>
      <c r="X194" s="1">
        <f t="shared" si="122"/>
        <v>0</v>
      </c>
      <c r="Y194" s="1">
        <f t="shared" si="123"/>
        <v>0</v>
      </c>
      <c r="Z194" s="1">
        <f t="shared" si="124"/>
        <v>0</v>
      </c>
      <c r="AA194" s="1">
        <f t="shared" si="125"/>
        <v>0</v>
      </c>
      <c r="AB194" s="1">
        <f t="shared" si="126"/>
        <v>0</v>
      </c>
      <c r="AD194" s="1">
        <f t="shared" ref="AD194:AD195" si="164">+O194*P194</f>
        <v>0</v>
      </c>
      <c r="AE194" s="1">
        <f t="shared" ref="AE194:AE195" si="165">O194*(1-P194)</f>
        <v>0</v>
      </c>
      <c r="AF194" s="1">
        <f t="shared" ref="AF194:AF195" si="166">+O194*P194*(1-A194)</f>
        <v>0</v>
      </c>
      <c r="AG194" s="1">
        <f t="shared" si="114"/>
        <v>0</v>
      </c>
      <c r="AH194" s="1">
        <f t="shared" si="115"/>
        <v>0</v>
      </c>
      <c r="AI194" s="1">
        <f t="shared" si="116"/>
        <v>1</v>
      </c>
    </row>
    <row r="195" spans="1:35" ht="14.25" customHeight="1" x14ac:dyDescent="0.25">
      <c r="A195" s="31">
        <v>0</v>
      </c>
      <c r="B195" s="31">
        <v>1</v>
      </c>
      <c r="C195" s="31">
        <v>5</v>
      </c>
      <c r="D195" s="32" t="s">
        <v>887</v>
      </c>
      <c r="E195" s="32" t="s">
        <v>888</v>
      </c>
      <c r="F195" s="32" t="s">
        <v>1092</v>
      </c>
      <c r="G195" s="32" t="s">
        <v>39</v>
      </c>
      <c r="H195" s="32" t="s">
        <v>889</v>
      </c>
      <c r="I195" s="31" t="s">
        <v>890</v>
      </c>
      <c r="J195" s="31">
        <v>16</v>
      </c>
      <c r="K195" s="33" t="s">
        <v>703</v>
      </c>
      <c r="L195" s="33" t="s">
        <v>692</v>
      </c>
      <c r="M195" s="34" t="s">
        <v>970</v>
      </c>
      <c r="N195" s="34" t="s">
        <v>1733</v>
      </c>
      <c r="O195" s="35">
        <v>1</v>
      </c>
      <c r="P195" s="35">
        <v>1</v>
      </c>
      <c r="Q195" s="36" t="s">
        <v>1894</v>
      </c>
      <c r="S195" s="1">
        <f t="shared" si="117"/>
        <v>0</v>
      </c>
      <c r="T195" s="1">
        <f t="shared" si="118"/>
        <v>0</v>
      </c>
      <c r="U195" s="1">
        <f t="shared" si="119"/>
        <v>0</v>
      </c>
      <c r="V195" s="1">
        <f t="shared" si="120"/>
        <v>0</v>
      </c>
      <c r="W195" s="1">
        <f t="shared" si="121"/>
        <v>0</v>
      </c>
      <c r="X195" s="1">
        <f t="shared" si="122"/>
        <v>0</v>
      </c>
      <c r="Y195" s="1">
        <f t="shared" si="123"/>
        <v>0</v>
      </c>
      <c r="Z195" s="1">
        <f t="shared" si="124"/>
        <v>0</v>
      </c>
      <c r="AA195" s="1">
        <f t="shared" si="125"/>
        <v>0</v>
      </c>
      <c r="AB195" s="1">
        <f t="shared" si="126"/>
        <v>0</v>
      </c>
      <c r="AD195" s="1">
        <f t="shared" si="164"/>
        <v>1</v>
      </c>
      <c r="AE195" s="1">
        <f t="shared" si="165"/>
        <v>0</v>
      </c>
      <c r="AF195" s="1">
        <f t="shared" si="166"/>
        <v>1</v>
      </c>
      <c r="AG195" s="1">
        <f t="shared" si="114"/>
        <v>0</v>
      </c>
      <c r="AH195" s="1">
        <f t="shared" si="115"/>
        <v>1</v>
      </c>
      <c r="AI195" s="1">
        <f t="shared" si="116"/>
        <v>0</v>
      </c>
    </row>
    <row r="196" spans="1:35" ht="14.25" customHeight="1" x14ac:dyDescent="0.25">
      <c r="A196" s="31">
        <v>0</v>
      </c>
      <c r="B196" s="31">
        <v>1</v>
      </c>
      <c r="C196" s="31">
        <v>5</v>
      </c>
      <c r="D196" s="32" t="s">
        <v>106</v>
      </c>
      <c r="E196" s="32" t="s">
        <v>173</v>
      </c>
      <c r="F196" s="32" t="s">
        <v>304</v>
      </c>
      <c r="G196" s="32" t="s">
        <v>39</v>
      </c>
      <c r="H196" s="32" t="s">
        <v>359</v>
      </c>
      <c r="I196" s="31" t="s">
        <v>453</v>
      </c>
      <c r="J196" s="31">
        <v>14</v>
      </c>
      <c r="K196" s="33" t="s">
        <v>956</v>
      </c>
      <c r="L196" s="33" t="s">
        <v>693</v>
      </c>
      <c r="M196" s="34" t="s">
        <v>970</v>
      </c>
      <c r="N196" s="34" t="s">
        <v>1743</v>
      </c>
      <c r="O196" s="35">
        <v>1</v>
      </c>
      <c r="P196" s="35"/>
      <c r="Q196" s="32"/>
      <c r="S196" s="1">
        <f t="shared" si="117"/>
        <v>0</v>
      </c>
      <c r="T196" s="1">
        <f t="shared" si="118"/>
        <v>0</v>
      </c>
      <c r="U196" s="1">
        <f t="shared" si="119"/>
        <v>0</v>
      </c>
      <c r="V196" s="1">
        <f t="shared" si="120"/>
        <v>0</v>
      </c>
      <c r="W196" s="1">
        <f t="shared" si="121"/>
        <v>0</v>
      </c>
      <c r="X196" s="1">
        <f t="shared" si="122"/>
        <v>0</v>
      </c>
      <c r="Y196" s="1">
        <f t="shared" si="123"/>
        <v>0</v>
      </c>
      <c r="Z196" s="1">
        <f t="shared" si="124"/>
        <v>0</v>
      </c>
      <c r="AA196" s="1">
        <f t="shared" si="125"/>
        <v>0</v>
      </c>
      <c r="AB196" s="1">
        <f t="shared" si="126"/>
        <v>0</v>
      </c>
      <c r="AD196" s="1">
        <f t="shared" si="127"/>
        <v>0</v>
      </c>
      <c r="AE196" s="1">
        <f t="shared" si="128"/>
        <v>1</v>
      </c>
      <c r="AF196" s="1">
        <f t="shared" si="113"/>
        <v>0</v>
      </c>
      <c r="AG196" s="1">
        <f t="shared" si="114"/>
        <v>1</v>
      </c>
      <c r="AH196" s="1">
        <f t="shared" si="115"/>
        <v>0</v>
      </c>
      <c r="AI196" s="1">
        <f t="shared" si="116"/>
        <v>1</v>
      </c>
    </row>
    <row r="197" spans="1:35" ht="14.25" customHeight="1" x14ac:dyDescent="0.25">
      <c r="A197" s="15">
        <v>0</v>
      </c>
      <c r="B197" s="15">
        <v>1</v>
      </c>
      <c r="C197" s="15">
        <v>5</v>
      </c>
      <c r="D197" s="20" t="s">
        <v>1951</v>
      </c>
      <c r="E197" s="20" t="s">
        <v>893</v>
      </c>
      <c r="F197" s="20" t="s">
        <v>1981</v>
      </c>
      <c r="G197" s="20"/>
      <c r="H197" s="20" t="s">
        <v>1980</v>
      </c>
      <c r="I197" s="21" t="s">
        <v>1979</v>
      </c>
      <c r="J197" s="15">
        <v>18</v>
      </c>
      <c r="K197" s="10" t="s">
        <v>703</v>
      </c>
      <c r="L197" s="10" t="s">
        <v>697</v>
      </c>
      <c r="M197" s="19" t="s">
        <v>971</v>
      </c>
      <c r="N197" s="17"/>
      <c r="Q197" s="20" t="s">
        <v>1982</v>
      </c>
      <c r="S197" s="1">
        <f t="shared" si="117"/>
        <v>0</v>
      </c>
      <c r="T197" s="1">
        <f t="shared" si="118"/>
        <v>0</v>
      </c>
      <c r="U197" s="1">
        <f t="shared" si="119"/>
        <v>0</v>
      </c>
      <c r="V197" s="1">
        <f t="shared" si="120"/>
        <v>0</v>
      </c>
      <c r="W197" s="1">
        <f t="shared" si="121"/>
        <v>0</v>
      </c>
      <c r="X197" s="1">
        <f t="shared" si="122"/>
        <v>0</v>
      </c>
      <c r="Y197" s="1">
        <f t="shared" si="123"/>
        <v>0</v>
      </c>
      <c r="Z197" s="1">
        <f t="shared" si="124"/>
        <v>0</v>
      </c>
      <c r="AA197" s="1">
        <f t="shared" si="125"/>
        <v>0</v>
      </c>
      <c r="AB197" s="1">
        <f t="shared" si="126"/>
        <v>0</v>
      </c>
      <c r="AD197" s="1">
        <f t="shared" si="127"/>
        <v>0</v>
      </c>
      <c r="AE197" s="1">
        <f t="shared" si="128"/>
        <v>0</v>
      </c>
      <c r="AF197" s="1">
        <f t="shared" si="113"/>
        <v>0</v>
      </c>
      <c r="AG197" s="1">
        <f t="shared" si="114"/>
        <v>0</v>
      </c>
      <c r="AH197" s="1">
        <f t="shared" si="115"/>
        <v>0</v>
      </c>
      <c r="AI197" s="1">
        <f t="shared" si="116"/>
        <v>1</v>
      </c>
    </row>
    <row r="198" spans="1:35" ht="14.25" customHeight="1" x14ac:dyDescent="0.25">
      <c r="A198" s="44">
        <v>0</v>
      </c>
      <c r="B198" s="44">
        <v>1</v>
      </c>
      <c r="C198" s="44">
        <v>5</v>
      </c>
      <c r="D198" s="45" t="s">
        <v>513</v>
      </c>
      <c r="E198" s="45" t="s">
        <v>172</v>
      </c>
      <c r="F198" s="45" t="s">
        <v>549</v>
      </c>
      <c r="G198" s="45" t="s">
        <v>39</v>
      </c>
      <c r="H198" s="45" t="s">
        <v>362</v>
      </c>
      <c r="I198" s="44" t="s">
        <v>1114</v>
      </c>
      <c r="J198" s="44">
        <v>12</v>
      </c>
      <c r="K198" s="46" t="s">
        <v>703</v>
      </c>
      <c r="L198" s="46">
        <v>35</v>
      </c>
      <c r="M198" s="47" t="s">
        <v>970</v>
      </c>
      <c r="N198" s="47" t="s">
        <v>1802</v>
      </c>
      <c r="O198" s="48"/>
      <c r="P198" s="48"/>
      <c r="Q198" s="45"/>
      <c r="S198" s="1">
        <f t="shared" si="117"/>
        <v>0</v>
      </c>
      <c r="T198" s="1">
        <f t="shared" si="118"/>
        <v>0</v>
      </c>
      <c r="U198" s="1">
        <f t="shared" si="119"/>
        <v>0</v>
      </c>
      <c r="V198" s="1">
        <f t="shared" si="120"/>
        <v>0</v>
      </c>
      <c r="W198" s="1">
        <f t="shared" si="121"/>
        <v>0</v>
      </c>
      <c r="X198" s="1">
        <f t="shared" si="122"/>
        <v>0</v>
      </c>
      <c r="Y198" s="1">
        <f t="shared" si="123"/>
        <v>0</v>
      </c>
      <c r="Z198" s="1">
        <f t="shared" si="124"/>
        <v>0</v>
      </c>
      <c r="AA198" s="1">
        <f t="shared" si="125"/>
        <v>0</v>
      </c>
      <c r="AB198" s="1">
        <f t="shared" si="126"/>
        <v>0</v>
      </c>
      <c r="AD198" s="1">
        <f t="shared" si="127"/>
        <v>0</v>
      </c>
      <c r="AE198" s="1">
        <f t="shared" si="128"/>
        <v>0</v>
      </c>
      <c r="AF198" s="1">
        <f t="shared" si="113"/>
        <v>0</v>
      </c>
      <c r="AG198" s="1">
        <f t="shared" si="114"/>
        <v>0</v>
      </c>
      <c r="AH198" s="1">
        <f t="shared" si="115"/>
        <v>0</v>
      </c>
      <c r="AI198" s="1">
        <f t="shared" si="116"/>
        <v>1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151</v>
      </c>
      <c r="E199" s="32" t="s">
        <v>166</v>
      </c>
      <c r="F199" s="36" t="s">
        <v>1870</v>
      </c>
      <c r="G199" s="32" t="s">
        <v>197</v>
      </c>
      <c r="H199" s="32" t="s">
        <v>354</v>
      </c>
      <c r="I199" s="31" t="s">
        <v>498</v>
      </c>
      <c r="J199" s="31">
        <v>99</v>
      </c>
      <c r="K199" s="33" t="s">
        <v>956</v>
      </c>
      <c r="L199" s="33" t="s">
        <v>693</v>
      </c>
      <c r="M199" s="34" t="s">
        <v>970</v>
      </c>
      <c r="N199" s="34" t="s">
        <v>1748</v>
      </c>
      <c r="O199" s="35">
        <v>1</v>
      </c>
      <c r="P199" s="35"/>
      <c r="Q199" s="32"/>
      <c r="S199" s="1">
        <f t="shared" si="117"/>
        <v>0</v>
      </c>
      <c r="T199" s="1">
        <f t="shared" si="118"/>
        <v>0</v>
      </c>
      <c r="U199" s="1">
        <f t="shared" si="119"/>
        <v>0</v>
      </c>
      <c r="V199" s="1">
        <f t="shared" si="120"/>
        <v>0</v>
      </c>
      <c r="W199" s="1">
        <f t="shared" si="121"/>
        <v>0</v>
      </c>
      <c r="X199" s="1">
        <f t="shared" si="122"/>
        <v>0</v>
      </c>
      <c r="Y199" s="1">
        <f t="shared" si="123"/>
        <v>0</v>
      </c>
      <c r="Z199" s="1">
        <f t="shared" si="124"/>
        <v>0</v>
      </c>
      <c r="AA199" s="1">
        <f t="shared" si="125"/>
        <v>0</v>
      </c>
      <c r="AB199" s="1">
        <f t="shared" si="126"/>
        <v>0</v>
      </c>
      <c r="AD199" s="1">
        <f t="shared" si="127"/>
        <v>0</v>
      </c>
      <c r="AE199" s="1">
        <f t="shared" si="128"/>
        <v>1</v>
      </c>
      <c r="AF199" s="1">
        <f t="shared" si="113"/>
        <v>0</v>
      </c>
      <c r="AG199" s="1">
        <f t="shared" si="114"/>
        <v>1</v>
      </c>
      <c r="AH199" s="1">
        <f t="shared" si="115"/>
        <v>0</v>
      </c>
      <c r="AI199" s="1">
        <f t="shared" si="116"/>
        <v>1</v>
      </c>
    </row>
    <row r="200" spans="1:35" ht="14.25" customHeight="1" x14ac:dyDescent="0.25">
      <c r="A200" s="44">
        <v>0</v>
      </c>
      <c r="B200" s="44">
        <v>1</v>
      </c>
      <c r="C200" s="44">
        <v>5</v>
      </c>
      <c r="D200" s="45" t="s">
        <v>649</v>
      </c>
      <c r="E200" s="45" t="s">
        <v>684</v>
      </c>
      <c r="F200" s="45" t="s">
        <v>645</v>
      </c>
      <c r="G200" s="45" t="s">
        <v>185</v>
      </c>
      <c r="H200" s="45" t="s">
        <v>354</v>
      </c>
      <c r="I200" s="44" t="s">
        <v>646</v>
      </c>
      <c r="J200" s="44">
        <v>99</v>
      </c>
      <c r="K200" s="46" t="s">
        <v>722</v>
      </c>
      <c r="L200" s="46" t="s">
        <v>693</v>
      </c>
      <c r="M200" s="47" t="s">
        <v>970</v>
      </c>
      <c r="N200" s="47" t="s">
        <v>1734</v>
      </c>
      <c r="O200" s="48"/>
      <c r="P200" s="48"/>
      <c r="Q200" s="45"/>
      <c r="S200" s="1">
        <f t="shared" si="117"/>
        <v>0</v>
      </c>
      <c r="T200" s="1">
        <f t="shared" si="118"/>
        <v>0</v>
      </c>
      <c r="U200" s="1">
        <f t="shared" si="119"/>
        <v>0</v>
      </c>
      <c r="V200" s="1">
        <f t="shared" si="120"/>
        <v>0</v>
      </c>
      <c r="W200" s="1">
        <f t="shared" si="121"/>
        <v>0</v>
      </c>
      <c r="X200" s="1">
        <f t="shared" si="122"/>
        <v>0</v>
      </c>
      <c r="Y200" s="1">
        <f t="shared" si="123"/>
        <v>0</v>
      </c>
      <c r="Z200" s="1">
        <f t="shared" si="124"/>
        <v>0</v>
      </c>
      <c r="AA200" s="1">
        <f t="shared" si="125"/>
        <v>0</v>
      </c>
      <c r="AB200" s="1">
        <f t="shared" si="126"/>
        <v>0</v>
      </c>
      <c r="AD200" s="1">
        <f t="shared" si="127"/>
        <v>0</v>
      </c>
      <c r="AE200" s="1">
        <f t="shared" si="128"/>
        <v>0</v>
      </c>
      <c r="AF200" s="1">
        <f t="shared" si="113"/>
        <v>0</v>
      </c>
      <c r="AG200" s="1">
        <f t="shared" si="114"/>
        <v>0</v>
      </c>
      <c r="AH200" s="1">
        <f t="shared" si="115"/>
        <v>0</v>
      </c>
      <c r="AI200" s="1">
        <f t="shared" si="116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1310</v>
      </c>
      <c r="E201" s="32" t="s">
        <v>166</v>
      </c>
      <c r="F201" s="32" t="s">
        <v>1311</v>
      </c>
      <c r="G201" s="32" t="s">
        <v>283</v>
      </c>
      <c r="H201" s="32" t="s">
        <v>354</v>
      </c>
      <c r="I201" s="31" t="s">
        <v>1312</v>
      </c>
      <c r="J201" s="31">
        <v>99</v>
      </c>
      <c r="K201" s="33" t="s">
        <v>702</v>
      </c>
      <c r="L201" s="33" t="s">
        <v>39</v>
      </c>
      <c r="M201" s="34" t="s">
        <v>39</v>
      </c>
      <c r="N201" s="34" t="s">
        <v>1733</v>
      </c>
      <c r="O201" s="35">
        <v>1</v>
      </c>
      <c r="P201" s="35">
        <v>1</v>
      </c>
      <c r="Q201" s="32"/>
      <c r="S201" s="1">
        <f t="shared" si="117"/>
        <v>0</v>
      </c>
      <c r="T201" s="1">
        <f t="shared" si="118"/>
        <v>0</v>
      </c>
      <c r="U201" s="1">
        <f t="shared" si="119"/>
        <v>0</v>
      </c>
      <c r="V201" s="1">
        <f t="shared" si="120"/>
        <v>0</v>
      </c>
      <c r="W201" s="1">
        <f t="shared" si="121"/>
        <v>0</v>
      </c>
      <c r="X201" s="1">
        <f t="shared" si="122"/>
        <v>0</v>
      </c>
      <c r="Y201" s="1">
        <f t="shared" si="123"/>
        <v>0</v>
      </c>
      <c r="Z201" s="1">
        <f t="shared" si="124"/>
        <v>0</v>
      </c>
      <c r="AA201" s="1">
        <f t="shared" si="125"/>
        <v>0</v>
      </c>
      <c r="AB201" s="1">
        <f t="shared" si="126"/>
        <v>0</v>
      </c>
      <c r="AD201" s="1">
        <f t="shared" si="127"/>
        <v>1</v>
      </c>
      <c r="AE201" s="1">
        <f t="shared" si="128"/>
        <v>0</v>
      </c>
      <c r="AF201" s="1">
        <f t="shared" si="113"/>
        <v>1</v>
      </c>
      <c r="AG201" s="1">
        <f t="shared" si="114"/>
        <v>0</v>
      </c>
      <c r="AH201" s="1">
        <f t="shared" si="115"/>
        <v>1</v>
      </c>
      <c r="AI201" s="1">
        <f t="shared" si="116"/>
        <v>0</v>
      </c>
    </row>
    <row r="202" spans="1:35" ht="14.25" customHeight="1" x14ac:dyDescent="0.25">
      <c r="A202" s="44">
        <v>0</v>
      </c>
      <c r="B202" s="44">
        <v>1</v>
      </c>
      <c r="C202" s="44">
        <v>5</v>
      </c>
      <c r="D202" s="45" t="s">
        <v>892</v>
      </c>
      <c r="E202" s="45" t="s">
        <v>893</v>
      </c>
      <c r="F202" s="45" t="s">
        <v>934</v>
      </c>
      <c r="G202" s="45" t="s">
        <v>39</v>
      </c>
      <c r="H202" s="45" t="s">
        <v>894</v>
      </c>
      <c r="I202" s="44" t="s">
        <v>895</v>
      </c>
      <c r="J202" s="44">
        <v>17</v>
      </c>
      <c r="K202" s="46" t="s">
        <v>703</v>
      </c>
      <c r="L202" s="46" t="s">
        <v>697</v>
      </c>
      <c r="M202" s="47" t="s">
        <v>970</v>
      </c>
      <c r="N202" s="47" t="s">
        <v>1741</v>
      </c>
      <c r="O202" s="48"/>
      <c r="P202" s="48"/>
      <c r="Q202" s="45"/>
      <c r="S202" s="1">
        <f t="shared" si="117"/>
        <v>0</v>
      </c>
      <c r="T202" s="1">
        <f t="shared" si="118"/>
        <v>0</v>
      </c>
      <c r="U202" s="1">
        <f t="shared" si="119"/>
        <v>0</v>
      </c>
      <c r="V202" s="1">
        <f t="shared" si="120"/>
        <v>0</v>
      </c>
      <c r="W202" s="1">
        <f t="shared" si="121"/>
        <v>0</v>
      </c>
      <c r="X202" s="1">
        <f t="shared" si="122"/>
        <v>0</v>
      </c>
      <c r="Y202" s="1">
        <f t="shared" si="123"/>
        <v>0</v>
      </c>
      <c r="Z202" s="1">
        <f t="shared" si="124"/>
        <v>0</v>
      </c>
      <c r="AA202" s="1">
        <f t="shared" si="125"/>
        <v>0</v>
      </c>
      <c r="AB202" s="1">
        <f t="shared" si="126"/>
        <v>0</v>
      </c>
      <c r="AD202" s="1">
        <f t="shared" si="127"/>
        <v>0</v>
      </c>
      <c r="AE202" s="1">
        <f t="shared" si="128"/>
        <v>0</v>
      </c>
      <c r="AF202" s="1">
        <f t="shared" si="113"/>
        <v>0</v>
      </c>
      <c r="AG202" s="1">
        <f t="shared" si="114"/>
        <v>0</v>
      </c>
      <c r="AH202" s="1">
        <f t="shared" si="115"/>
        <v>0</v>
      </c>
      <c r="AI202" s="1">
        <f t="shared" si="116"/>
        <v>1</v>
      </c>
    </row>
    <row r="203" spans="1:35" ht="14.25" customHeight="1" x14ac:dyDescent="0.25">
      <c r="A203" s="15">
        <v>0</v>
      </c>
      <c r="B203" s="15">
        <v>1</v>
      </c>
      <c r="C203" s="15">
        <v>5</v>
      </c>
      <c r="D203" s="16" t="s">
        <v>1941</v>
      </c>
      <c r="E203" s="16" t="s">
        <v>893</v>
      </c>
      <c r="F203" s="16" t="s">
        <v>1943</v>
      </c>
      <c r="G203" s="16"/>
      <c r="H203" s="16" t="s">
        <v>1942</v>
      </c>
      <c r="I203" s="15" t="s">
        <v>1944</v>
      </c>
      <c r="J203" s="15">
        <v>16</v>
      </c>
      <c r="K203" s="10" t="s">
        <v>703</v>
      </c>
      <c r="L203" s="10" t="s">
        <v>697</v>
      </c>
      <c r="M203" s="19" t="s">
        <v>970</v>
      </c>
      <c r="N203" s="17"/>
      <c r="Q203" s="20" t="s">
        <v>1945</v>
      </c>
      <c r="S203" s="1">
        <f t="shared" si="117"/>
        <v>0</v>
      </c>
      <c r="T203" s="1">
        <f t="shared" si="118"/>
        <v>0</v>
      </c>
      <c r="U203" s="1">
        <f t="shared" si="119"/>
        <v>0</v>
      </c>
      <c r="V203" s="1">
        <f t="shared" si="120"/>
        <v>0</v>
      </c>
      <c r="W203" s="1">
        <f t="shared" si="121"/>
        <v>0</v>
      </c>
      <c r="X203" s="1">
        <f t="shared" si="122"/>
        <v>0</v>
      </c>
      <c r="Y203" s="1">
        <f t="shared" si="123"/>
        <v>0</v>
      </c>
      <c r="Z203" s="1">
        <f t="shared" si="124"/>
        <v>0</v>
      </c>
      <c r="AA203" s="1">
        <f t="shared" si="125"/>
        <v>0</v>
      </c>
      <c r="AB203" s="1">
        <f t="shared" si="126"/>
        <v>0</v>
      </c>
      <c r="AD203" s="1">
        <f t="shared" si="127"/>
        <v>0</v>
      </c>
      <c r="AE203" s="1">
        <f t="shared" si="128"/>
        <v>0</v>
      </c>
      <c r="AF203" s="1">
        <f t="shared" si="113"/>
        <v>0</v>
      </c>
      <c r="AG203" s="1">
        <f t="shared" si="114"/>
        <v>0</v>
      </c>
      <c r="AH203" s="1">
        <f t="shared" si="115"/>
        <v>0</v>
      </c>
      <c r="AI203" s="1">
        <f t="shared" si="116"/>
        <v>1</v>
      </c>
    </row>
    <row r="204" spans="1:35" ht="14.25" customHeight="1" x14ac:dyDescent="0.25">
      <c r="A204" s="44">
        <v>0</v>
      </c>
      <c r="B204" s="44">
        <v>1</v>
      </c>
      <c r="C204" s="44">
        <v>5</v>
      </c>
      <c r="D204" s="45" t="s">
        <v>131</v>
      </c>
      <c r="E204" s="45" t="s">
        <v>166</v>
      </c>
      <c r="F204" s="45" t="s">
        <v>332</v>
      </c>
      <c r="G204" s="45" t="s">
        <v>333</v>
      </c>
      <c r="H204" s="45" t="s">
        <v>354</v>
      </c>
      <c r="I204" s="44" t="s">
        <v>480</v>
      </c>
      <c r="J204" s="44">
        <v>99</v>
      </c>
      <c r="K204" s="46" t="s">
        <v>722</v>
      </c>
      <c r="L204" s="46" t="s">
        <v>694</v>
      </c>
      <c r="M204" s="47" t="s">
        <v>970</v>
      </c>
      <c r="N204" s="47" t="s">
        <v>1747</v>
      </c>
      <c r="O204" s="48"/>
      <c r="P204" s="48"/>
      <c r="Q204" s="45"/>
      <c r="S204" s="1">
        <f t="shared" si="117"/>
        <v>0</v>
      </c>
      <c r="T204" s="1">
        <f t="shared" si="118"/>
        <v>0</v>
      </c>
      <c r="U204" s="1">
        <f t="shared" si="119"/>
        <v>0</v>
      </c>
      <c r="V204" s="1">
        <f t="shared" si="120"/>
        <v>0</v>
      </c>
      <c r="W204" s="1">
        <f t="shared" si="121"/>
        <v>0</v>
      </c>
      <c r="X204" s="1">
        <f t="shared" si="122"/>
        <v>0</v>
      </c>
      <c r="Y204" s="1">
        <f t="shared" si="123"/>
        <v>0</v>
      </c>
      <c r="Z204" s="1">
        <f t="shared" si="124"/>
        <v>0</v>
      </c>
      <c r="AA204" s="1">
        <f t="shared" si="125"/>
        <v>0</v>
      </c>
      <c r="AB204" s="1">
        <f t="shared" si="126"/>
        <v>0</v>
      </c>
      <c r="AD204" s="1">
        <f t="shared" si="127"/>
        <v>0</v>
      </c>
      <c r="AE204" s="1">
        <f t="shared" si="128"/>
        <v>0</v>
      </c>
      <c r="AF204" s="1">
        <f t="shared" si="113"/>
        <v>0</v>
      </c>
      <c r="AG204" s="1">
        <f t="shared" si="114"/>
        <v>0</v>
      </c>
      <c r="AH204" s="1">
        <f t="shared" si="115"/>
        <v>0</v>
      </c>
      <c r="AI204" s="1">
        <f t="shared" si="116"/>
        <v>1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109</v>
      </c>
      <c r="E205" s="32" t="s">
        <v>166</v>
      </c>
      <c r="F205" s="32" t="s">
        <v>307</v>
      </c>
      <c r="G205" s="32" t="s">
        <v>231</v>
      </c>
      <c r="H205" s="32" t="s">
        <v>354</v>
      </c>
      <c r="I205" s="31" t="s">
        <v>456</v>
      </c>
      <c r="J205" s="31">
        <v>99</v>
      </c>
      <c r="K205" s="33" t="s">
        <v>722</v>
      </c>
      <c r="L205" s="33" t="s">
        <v>696</v>
      </c>
      <c r="M205" s="34" t="s">
        <v>691</v>
      </c>
      <c r="N205" s="34" t="s">
        <v>1743</v>
      </c>
      <c r="O205" s="35">
        <v>1</v>
      </c>
      <c r="P205" s="35"/>
      <c r="Q205" s="32"/>
      <c r="S205" s="1">
        <f t="shared" si="117"/>
        <v>0</v>
      </c>
      <c r="T205" s="1">
        <f t="shared" si="118"/>
        <v>0</v>
      </c>
      <c r="U205" s="1">
        <f t="shared" si="119"/>
        <v>0</v>
      </c>
      <c r="V205" s="1">
        <f t="shared" si="120"/>
        <v>0</v>
      </c>
      <c r="W205" s="1">
        <f t="shared" si="121"/>
        <v>0</v>
      </c>
      <c r="X205" s="1">
        <f t="shared" si="122"/>
        <v>0</v>
      </c>
      <c r="Y205" s="1">
        <f t="shared" si="123"/>
        <v>0</v>
      </c>
      <c r="Z205" s="1">
        <f t="shared" si="124"/>
        <v>0</v>
      </c>
      <c r="AA205" s="1">
        <f t="shared" si="125"/>
        <v>0</v>
      </c>
      <c r="AB205" s="1">
        <f t="shared" si="126"/>
        <v>0</v>
      </c>
      <c r="AD205" s="1">
        <f t="shared" si="127"/>
        <v>0</v>
      </c>
      <c r="AE205" s="1">
        <f t="shared" si="128"/>
        <v>1</v>
      </c>
      <c r="AF205" s="1">
        <f t="shared" si="113"/>
        <v>0</v>
      </c>
      <c r="AG205" s="1">
        <f t="shared" si="114"/>
        <v>1</v>
      </c>
      <c r="AH205" s="1">
        <f t="shared" si="115"/>
        <v>0</v>
      </c>
      <c r="AI205" s="1">
        <f t="shared" si="116"/>
        <v>1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111</v>
      </c>
      <c r="E206" s="32" t="s">
        <v>172</v>
      </c>
      <c r="F206" s="32" t="s">
        <v>310</v>
      </c>
      <c r="G206" s="32" t="s">
        <v>39</v>
      </c>
      <c r="H206" s="32" t="s">
        <v>364</v>
      </c>
      <c r="I206" s="31" t="s">
        <v>459</v>
      </c>
      <c r="J206" s="31">
        <v>17</v>
      </c>
      <c r="K206" s="33" t="s">
        <v>703</v>
      </c>
      <c r="L206" s="33" t="s">
        <v>697</v>
      </c>
      <c r="M206" s="34" t="s">
        <v>691</v>
      </c>
      <c r="N206" s="34" t="s">
        <v>1733</v>
      </c>
      <c r="O206" s="35">
        <v>1</v>
      </c>
      <c r="P206" s="35">
        <v>1</v>
      </c>
      <c r="Q206" s="32" t="s">
        <v>1915</v>
      </c>
      <c r="S206" s="1">
        <f t="shared" si="117"/>
        <v>0</v>
      </c>
      <c r="T206" s="1">
        <f t="shared" si="118"/>
        <v>0</v>
      </c>
      <c r="U206" s="1">
        <f t="shared" si="119"/>
        <v>0</v>
      </c>
      <c r="V206" s="1">
        <f t="shared" si="120"/>
        <v>0</v>
      </c>
      <c r="W206" s="1">
        <f t="shared" si="121"/>
        <v>0</v>
      </c>
      <c r="X206" s="1">
        <f t="shared" si="122"/>
        <v>0</v>
      </c>
      <c r="Y206" s="1">
        <f t="shared" si="123"/>
        <v>0</v>
      </c>
      <c r="Z206" s="1">
        <f t="shared" si="124"/>
        <v>0</v>
      </c>
      <c r="AA206" s="1">
        <f t="shared" si="125"/>
        <v>0</v>
      </c>
      <c r="AB206" s="1">
        <f t="shared" si="126"/>
        <v>0</v>
      </c>
      <c r="AD206" s="1">
        <f t="shared" si="127"/>
        <v>1</v>
      </c>
      <c r="AE206" s="1">
        <f t="shared" si="128"/>
        <v>0</v>
      </c>
      <c r="AF206" s="1">
        <f t="shared" si="113"/>
        <v>1</v>
      </c>
      <c r="AG206" s="1">
        <f t="shared" si="114"/>
        <v>0</v>
      </c>
      <c r="AH206" s="1">
        <f t="shared" si="115"/>
        <v>1</v>
      </c>
      <c r="AI206" s="1">
        <f t="shared" si="116"/>
        <v>0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525</v>
      </c>
      <c r="E207" s="32" t="s">
        <v>526</v>
      </c>
      <c r="F207" s="32" t="s">
        <v>527</v>
      </c>
      <c r="G207" s="32" t="s">
        <v>202</v>
      </c>
      <c r="H207" s="32" t="s">
        <v>354</v>
      </c>
      <c r="I207" s="31" t="s">
        <v>528</v>
      </c>
      <c r="J207" s="31">
        <v>10</v>
      </c>
      <c r="K207" s="33" t="s">
        <v>702</v>
      </c>
      <c r="L207" s="33" t="s">
        <v>693</v>
      </c>
      <c r="M207" s="34" t="s">
        <v>970</v>
      </c>
      <c r="N207" s="34" t="s">
        <v>1733</v>
      </c>
      <c r="O207" s="35">
        <v>1</v>
      </c>
      <c r="P207" s="35">
        <v>1</v>
      </c>
      <c r="Q207" s="32"/>
      <c r="S207" s="1">
        <f t="shared" si="117"/>
        <v>0</v>
      </c>
      <c r="T207" s="1">
        <f t="shared" si="118"/>
        <v>0</v>
      </c>
      <c r="U207" s="1">
        <f t="shared" si="119"/>
        <v>0</v>
      </c>
      <c r="V207" s="1">
        <f t="shared" si="120"/>
        <v>0</v>
      </c>
      <c r="W207" s="1">
        <f t="shared" si="121"/>
        <v>0</v>
      </c>
      <c r="X207" s="1">
        <f t="shared" si="122"/>
        <v>0</v>
      </c>
      <c r="Y207" s="1">
        <f t="shared" si="123"/>
        <v>0</v>
      </c>
      <c r="Z207" s="1">
        <f t="shared" si="124"/>
        <v>0</v>
      </c>
      <c r="AA207" s="1">
        <f t="shared" si="125"/>
        <v>0</v>
      </c>
      <c r="AB207" s="1">
        <f t="shared" si="126"/>
        <v>1</v>
      </c>
      <c r="AD207" s="1">
        <f t="shared" si="127"/>
        <v>1</v>
      </c>
      <c r="AE207" s="1">
        <f t="shared" si="128"/>
        <v>0</v>
      </c>
      <c r="AF207" s="1">
        <f t="shared" si="113"/>
        <v>1</v>
      </c>
      <c r="AG207" s="1">
        <f t="shared" si="114"/>
        <v>0</v>
      </c>
      <c r="AH207" s="1">
        <f t="shared" si="115"/>
        <v>1</v>
      </c>
      <c r="AI207" s="1">
        <f t="shared" si="116"/>
        <v>0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1499</v>
      </c>
      <c r="E208" s="32" t="s">
        <v>166</v>
      </c>
      <c r="F208" s="32" t="s">
        <v>1500</v>
      </c>
      <c r="G208" s="32" t="s">
        <v>180</v>
      </c>
      <c r="H208" s="32" t="s">
        <v>354</v>
      </c>
      <c r="I208" s="31" t="s">
        <v>1501</v>
      </c>
      <c r="J208" s="31">
        <v>10</v>
      </c>
      <c r="K208" s="33" t="s">
        <v>956</v>
      </c>
      <c r="L208" s="33" t="s">
        <v>693</v>
      </c>
      <c r="M208" s="34" t="s">
        <v>970</v>
      </c>
      <c r="N208" s="34" t="s">
        <v>1727</v>
      </c>
      <c r="O208" s="35">
        <v>1</v>
      </c>
      <c r="P208" s="35">
        <v>1</v>
      </c>
      <c r="Q208" s="32"/>
      <c r="S208" s="1">
        <f t="shared" si="117"/>
        <v>0</v>
      </c>
      <c r="T208" s="1">
        <f t="shared" si="118"/>
        <v>0</v>
      </c>
      <c r="U208" s="1">
        <f t="shared" si="119"/>
        <v>0</v>
      </c>
      <c r="V208" s="1">
        <f t="shared" si="120"/>
        <v>0</v>
      </c>
      <c r="W208" s="1">
        <f t="shared" si="121"/>
        <v>0</v>
      </c>
      <c r="X208" s="1">
        <f t="shared" si="122"/>
        <v>0</v>
      </c>
      <c r="Y208" s="1">
        <f t="shared" si="123"/>
        <v>0</v>
      </c>
      <c r="Z208" s="1">
        <f t="shared" si="124"/>
        <v>0</v>
      </c>
      <c r="AA208" s="1">
        <f t="shared" si="125"/>
        <v>0</v>
      </c>
      <c r="AB208" s="1">
        <f t="shared" si="126"/>
        <v>1</v>
      </c>
      <c r="AD208" s="1">
        <f t="shared" si="127"/>
        <v>1</v>
      </c>
      <c r="AE208" s="1">
        <f t="shared" si="128"/>
        <v>0</v>
      </c>
      <c r="AF208" s="1">
        <f t="shared" ref="AF208:AF273" si="167">+O208*P208*(1-A208)</f>
        <v>1</v>
      </c>
      <c r="AG208" s="1">
        <f t="shared" ref="AG208:AG273" si="168">O208*(1-P208)*(1-A208)</f>
        <v>0</v>
      </c>
      <c r="AH208" s="1">
        <f t="shared" ref="AH208:AH273" si="169">+P208*(1-A208)</f>
        <v>1</v>
      </c>
      <c r="AI208" s="1">
        <f t="shared" ref="AI208:AI273" si="170">+(1-A208)*(1-P208)</f>
        <v>0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1757</v>
      </c>
      <c r="E209" s="32" t="s">
        <v>166</v>
      </c>
      <c r="F209" s="32" t="s">
        <v>1758</v>
      </c>
      <c r="G209" s="32" t="s">
        <v>1759</v>
      </c>
      <c r="H209" s="32" t="s">
        <v>354</v>
      </c>
      <c r="I209" s="31" t="s">
        <v>1760</v>
      </c>
      <c r="J209" s="31">
        <v>1</v>
      </c>
      <c r="K209" s="33" t="s">
        <v>703</v>
      </c>
      <c r="L209" s="33"/>
      <c r="M209" s="34"/>
      <c r="N209" s="34" t="s">
        <v>1748</v>
      </c>
      <c r="O209" s="35">
        <v>1</v>
      </c>
      <c r="P209" s="35"/>
      <c r="Q209" s="32"/>
      <c r="S209" s="1">
        <f t="shared" si="117"/>
        <v>1</v>
      </c>
      <c r="T209" s="1">
        <f t="shared" si="118"/>
        <v>0</v>
      </c>
      <c r="U209" s="1">
        <f t="shared" si="119"/>
        <v>0</v>
      </c>
      <c r="V209" s="1">
        <f t="shared" si="120"/>
        <v>0</v>
      </c>
      <c r="W209" s="1">
        <f t="shared" si="121"/>
        <v>0</v>
      </c>
      <c r="X209" s="1">
        <f t="shared" si="122"/>
        <v>0</v>
      </c>
      <c r="Y209" s="1">
        <f t="shared" si="123"/>
        <v>0</v>
      </c>
      <c r="Z209" s="1">
        <f t="shared" si="124"/>
        <v>0</v>
      </c>
      <c r="AA209" s="1">
        <f t="shared" si="125"/>
        <v>0</v>
      </c>
      <c r="AB209" s="1">
        <f t="shared" si="126"/>
        <v>0</v>
      </c>
      <c r="AD209" s="1">
        <f t="shared" si="127"/>
        <v>0</v>
      </c>
      <c r="AE209" s="1">
        <f t="shared" si="128"/>
        <v>1</v>
      </c>
      <c r="AF209" s="1">
        <f t="shared" si="167"/>
        <v>0</v>
      </c>
      <c r="AG209" s="1">
        <f t="shared" si="168"/>
        <v>1</v>
      </c>
      <c r="AH209" s="1">
        <f t="shared" si="169"/>
        <v>0</v>
      </c>
      <c r="AI209" s="1">
        <f t="shared" si="170"/>
        <v>1</v>
      </c>
    </row>
    <row r="210" spans="1:35" ht="14.25" customHeight="1" x14ac:dyDescent="0.25">
      <c r="A210" s="44">
        <v>0</v>
      </c>
      <c r="B210" s="44">
        <v>1</v>
      </c>
      <c r="C210" s="44">
        <v>5</v>
      </c>
      <c r="D210" s="45" t="s">
        <v>1026</v>
      </c>
      <c r="E210" s="45" t="s">
        <v>1087</v>
      </c>
      <c r="F210" s="45" t="s">
        <v>1027</v>
      </c>
      <c r="G210" s="45" t="s">
        <v>194</v>
      </c>
      <c r="H210" s="45" t="s">
        <v>354</v>
      </c>
      <c r="I210" s="44" t="s">
        <v>1028</v>
      </c>
      <c r="J210" s="44">
        <v>9</v>
      </c>
      <c r="K210" s="46" t="s">
        <v>722</v>
      </c>
      <c r="L210" s="46" t="s">
        <v>1704</v>
      </c>
      <c r="M210" s="47" t="s">
        <v>1604</v>
      </c>
      <c r="N210" s="47" t="s">
        <v>1735</v>
      </c>
      <c r="O210" s="48"/>
      <c r="P210" s="48"/>
      <c r="Q210" s="45"/>
      <c r="S210" s="1">
        <f t="shared" si="117"/>
        <v>0</v>
      </c>
      <c r="T210" s="1">
        <f t="shared" si="118"/>
        <v>0</v>
      </c>
      <c r="U210" s="1">
        <f t="shared" si="119"/>
        <v>0</v>
      </c>
      <c r="V210" s="1">
        <f t="shared" si="120"/>
        <v>0</v>
      </c>
      <c r="W210" s="1">
        <f t="shared" si="121"/>
        <v>0</v>
      </c>
      <c r="X210" s="1">
        <f t="shared" si="122"/>
        <v>0</v>
      </c>
      <c r="Y210" s="1">
        <f t="shared" si="123"/>
        <v>0</v>
      </c>
      <c r="Z210" s="1">
        <f t="shared" si="124"/>
        <v>0</v>
      </c>
      <c r="AA210" s="1">
        <f t="shared" si="125"/>
        <v>1</v>
      </c>
      <c r="AB210" s="1">
        <f t="shared" si="126"/>
        <v>0</v>
      </c>
      <c r="AD210" s="1">
        <f t="shared" si="127"/>
        <v>0</v>
      </c>
      <c r="AE210" s="1">
        <f t="shared" si="128"/>
        <v>0</v>
      </c>
      <c r="AF210" s="1">
        <f t="shared" si="167"/>
        <v>0</v>
      </c>
      <c r="AG210" s="1">
        <f t="shared" si="168"/>
        <v>0</v>
      </c>
      <c r="AH210" s="1">
        <f t="shared" si="169"/>
        <v>0</v>
      </c>
      <c r="AI210" s="1">
        <f t="shared" si="170"/>
        <v>1</v>
      </c>
    </row>
    <row r="211" spans="1:35" ht="14.25" customHeight="1" x14ac:dyDescent="0.25">
      <c r="A211" s="44">
        <v>0</v>
      </c>
      <c r="B211" s="44">
        <v>1</v>
      </c>
      <c r="C211" s="44">
        <v>5</v>
      </c>
      <c r="D211" s="45" t="s">
        <v>1614</v>
      </c>
      <c r="E211" s="45" t="s">
        <v>166</v>
      </c>
      <c r="F211" s="45" t="s">
        <v>1615</v>
      </c>
      <c r="G211" s="45" t="s">
        <v>213</v>
      </c>
      <c r="H211" s="45" t="s">
        <v>354</v>
      </c>
      <c r="I211" s="44" t="s">
        <v>1616</v>
      </c>
      <c r="J211" s="44">
        <v>1</v>
      </c>
      <c r="K211" s="46" t="s">
        <v>722</v>
      </c>
      <c r="L211" s="46" t="s">
        <v>694</v>
      </c>
      <c r="M211" s="47" t="s">
        <v>970</v>
      </c>
      <c r="N211" s="47" t="s">
        <v>1736</v>
      </c>
      <c r="O211" s="48"/>
      <c r="P211" s="48"/>
      <c r="Q211" s="45"/>
      <c r="S211" s="1">
        <f t="shared" si="117"/>
        <v>1</v>
      </c>
      <c r="T211" s="1">
        <f t="shared" si="118"/>
        <v>0</v>
      </c>
      <c r="U211" s="1">
        <f t="shared" si="119"/>
        <v>0</v>
      </c>
      <c r="V211" s="1">
        <f t="shared" si="120"/>
        <v>0</v>
      </c>
      <c r="W211" s="1">
        <f t="shared" si="121"/>
        <v>0</v>
      </c>
      <c r="X211" s="1">
        <f t="shared" si="122"/>
        <v>0</v>
      </c>
      <c r="Y211" s="1">
        <f t="shared" si="123"/>
        <v>0</v>
      </c>
      <c r="Z211" s="1">
        <f t="shared" si="124"/>
        <v>0</v>
      </c>
      <c r="AA211" s="1">
        <f t="shared" si="125"/>
        <v>0</v>
      </c>
      <c r="AB211" s="1">
        <f t="shared" si="126"/>
        <v>0</v>
      </c>
      <c r="AD211" s="1">
        <f t="shared" si="127"/>
        <v>0</v>
      </c>
      <c r="AE211" s="1">
        <f t="shared" si="128"/>
        <v>0</v>
      </c>
      <c r="AF211" s="1">
        <f t="shared" si="167"/>
        <v>0</v>
      </c>
      <c r="AG211" s="1">
        <f t="shared" si="168"/>
        <v>0</v>
      </c>
      <c r="AH211" s="1">
        <f t="shared" si="169"/>
        <v>0</v>
      </c>
      <c r="AI211" s="1">
        <f t="shared" si="170"/>
        <v>1</v>
      </c>
    </row>
    <row r="212" spans="1:35" ht="14.25" customHeight="1" x14ac:dyDescent="0.25">
      <c r="A212" s="38">
        <v>0</v>
      </c>
      <c r="B212" s="38">
        <v>1</v>
      </c>
      <c r="C212" s="38">
        <v>5</v>
      </c>
      <c r="D212" s="39" t="s">
        <v>147</v>
      </c>
      <c r="E212" s="39" t="s">
        <v>545</v>
      </c>
      <c r="F212" s="39" t="s">
        <v>1599</v>
      </c>
      <c r="G212" s="39" t="s">
        <v>1673</v>
      </c>
      <c r="H212" s="39" t="s">
        <v>354</v>
      </c>
      <c r="I212" s="38" t="s">
        <v>494</v>
      </c>
      <c r="J212" s="38">
        <v>99</v>
      </c>
      <c r="K212" s="40" t="s">
        <v>702</v>
      </c>
      <c r="L212" s="40" t="s">
        <v>689</v>
      </c>
      <c r="M212" s="41" t="s">
        <v>970</v>
      </c>
      <c r="N212" s="42"/>
      <c r="O212" s="43"/>
      <c r="P212" s="43">
        <v>1</v>
      </c>
      <c r="Q212" s="39"/>
      <c r="S212" s="1">
        <f t="shared" si="117"/>
        <v>0</v>
      </c>
      <c r="T212" s="1">
        <f t="shared" si="118"/>
        <v>0</v>
      </c>
      <c r="U212" s="1">
        <f t="shared" si="119"/>
        <v>0</v>
      </c>
      <c r="V212" s="1">
        <f t="shared" si="120"/>
        <v>0</v>
      </c>
      <c r="W212" s="1">
        <f t="shared" si="121"/>
        <v>0</v>
      </c>
      <c r="X212" s="1">
        <f t="shared" si="122"/>
        <v>0</v>
      </c>
      <c r="Y212" s="1">
        <f t="shared" si="123"/>
        <v>0</v>
      </c>
      <c r="Z212" s="1">
        <f t="shared" si="124"/>
        <v>0</v>
      </c>
      <c r="AA212" s="1">
        <f t="shared" si="125"/>
        <v>0</v>
      </c>
      <c r="AB212" s="1">
        <f t="shared" si="126"/>
        <v>0</v>
      </c>
      <c r="AD212" s="1">
        <f t="shared" si="127"/>
        <v>0</v>
      </c>
      <c r="AE212" s="1">
        <f t="shared" si="128"/>
        <v>0</v>
      </c>
      <c r="AF212" s="1">
        <f t="shared" si="167"/>
        <v>0</v>
      </c>
      <c r="AG212" s="1">
        <f t="shared" si="168"/>
        <v>0</v>
      </c>
      <c r="AH212" s="1">
        <f t="shared" si="169"/>
        <v>1</v>
      </c>
      <c r="AI212" s="1">
        <f t="shared" si="170"/>
        <v>0</v>
      </c>
    </row>
    <row r="213" spans="1:35" ht="14.25" customHeight="1" x14ac:dyDescent="0.25">
      <c r="A213" s="15">
        <v>0</v>
      </c>
      <c r="B213" s="15">
        <v>1</v>
      </c>
      <c r="C213" s="15">
        <v>5</v>
      </c>
      <c r="D213" s="16" t="s">
        <v>1212</v>
      </c>
      <c r="E213" s="16" t="s">
        <v>166</v>
      </c>
      <c r="F213" s="16" t="s">
        <v>1213</v>
      </c>
      <c r="G213" s="16" t="s">
        <v>1214</v>
      </c>
      <c r="H213" s="16" t="s">
        <v>354</v>
      </c>
      <c r="I213" s="15" t="s">
        <v>1215</v>
      </c>
      <c r="J213" s="15">
        <v>99</v>
      </c>
      <c r="K213" s="10" t="s">
        <v>703</v>
      </c>
      <c r="L213" s="10">
        <v>30</v>
      </c>
      <c r="M213" s="19" t="s">
        <v>970</v>
      </c>
      <c r="N213" s="19"/>
      <c r="Q213" s="16"/>
      <c r="S213" s="1">
        <f t="shared" ref="S213:S277" si="171">IF(J213=$S$7,1,0)</f>
        <v>0</v>
      </c>
      <c r="T213" s="1">
        <f t="shared" ref="T213:T277" si="172">IF(J213=$T$7,1,0)</f>
        <v>0</v>
      </c>
      <c r="U213" s="1">
        <f t="shared" ref="U213:U277" si="173">IF(J213=$U$7,1,0)</f>
        <v>0</v>
      </c>
      <c r="V213" s="1">
        <f t="shared" ref="V213:V277" si="174">IF(J213=$V$7,1,0)</f>
        <v>0</v>
      </c>
      <c r="W213" s="1">
        <f t="shared" ref="W213:W277" si="175">IF(J213=$W$7,1,0)</f>
        <v>0</v>
      </c>
      <c r="X213" s="1">
        <f t="shared" ref="X213:X277" si="176">IF(J213=$X$7,1,0)</f>
        <v>0</v>
      </c>
      <c r="Y213" s="1">
        <f t="shared" ref="Y213:Y277" si="177">IF(J213=$Y$7,1,0)</f>
        <v>0</v>
      </c>
      <c r="Z213" s="1">
        <f t="shared" ref="Z213:Z277" si="178">IF(J213=$Z$7,1,0)</f>
        <v>0</v>
      </c>
      <c r="AA213" s="1">
        <f t="shared" ref="AA213:AA277" si="179">IF(J213=$AA$7,1,0)</f>
        <v>0</v>
      </c>
      <c r="AB213" s="1">
        <f t="shared" ref="AB213:AB277" si="180">IF(J213=$AB$7,1,0)</f>
        <v>0</v>
      </c>
      <c r="AD213" s="1">
        <f t="shared" ref="AD213:AD277" si="181">+O213*P213</f>
        <v>0</v>
      </c>
      <c r="AE213" s="1">
        <f t="shared" ref="AE213:AE277" si="182">O213*(1-P213)</f>
        <v>0</v>
      </c>
      <c r="AF213" s="1">
        <f t="shared" si="167"/>
        <v>0</v>
      </c>
      <c r="AG213" s="1">
        <f t="shared" si="168"/>
        <v>0</v>
      </c>
      <c r="AH213" s="1">
        <f t="shared" si="169"/>
        <v>0</v>
      </c>
      <c r="AI213" s="1">
        <f t="shared" si="170"/>
        <v>1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1600</v>
      </c>
      <c r="E214" s="32" t="s">
        <v>172</v>
      </c>
      <c r="F214" s="32" t="s">
        <v>808</v>
      </c>
      <c r="G214" s="32" t="s">
        <v>39</v>
      </c>
      <c r="H214" s="32" t="s">
        <v>809</v>
      </c>
      <c r="I214" s="31" t="s">
        <v>810</v>
      </c>
      <c r="J214" s="31">
        <v>16</v>
      </c>
      <c r="K214" s="33" t="s">
        <v>957</v>
      </c>
      <c r="L214" s="33" t="s">
        <v>1742</v>
      </c>
      <c r="M214" s="34" t="s">
        <v>970</v>
      </c>
      <c r="N214" s="34" t="s">
        <v>1748</v>
      </c>
      <c r="O214" s="35">
        <v>1</v>
      </c>
      <c r="P214" s="35"/>
      <c r="Q214" s="32"/>
      <c r="S214" s="1">
        <f t="shared" si="171"/>
        <v>0</v>
      </c>
      <c r="T214" s="1">
        <f t="shared" si="172"/>
        <v>0</v>
      </c>
      <c r="U214" s="1">
        <f t="shared" si="173"/>
        <v>0</v>
      </c>
      <c r="V214" s="1">
        <f t="shared" si="174"/>
        <v>0</v>
      </c>
      <c r="W214" s="1">
        <f t="shared" si="175"/>
        <v>0</v>
      </c>
      <c r="X214" s="1">
        <f t="shared" si="176"/>
        <v>0</v>
      </c>
      <c r="Y214" s="1">
        <f t="shared" si="177"/>
        <v>0</v>
      </c>
      <c r="Z214" s="1">
        <f t="shared" si="178"/>
        <v>0</v>
      </c>
      <c r="AA214" s="1">
        <f t="shared" si="179"/>
        <v>0</v>
      </c>
      <c r="AB214" s="1">
        <f t="shared" si="180"/>
        <v>0</v>
      </c>
      <c r="AD214" s="1">
        <f t="shared" si="181"/>
        <v>0</v>
      </c>
      <c r="AE214" s="1">
        <f t="shared" si="182"/>
        <v>1</v>
      </c>
      <c r="AF214" s="1">
        <f t="shared" si="167"/>
        <v>0</v>
      </c>
      <c r="AG214" s="1">
        <f t="shared" si="168"/>
        <v>1</v>
      </c>
      <c r="AH214" s="1">
        <f t="shared" si="169"/>
        <v>0</v>
      </c>
      <c r="AI214" s="1">
        <f t="shared" si="170"/>
        <v>1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502</v>
      </c>
      <c r="E215" s="32" t="s">
        <v>166</v>
      </c>
      <c r="F215" s="32" t="s">
        <v>503</v>
      </c>
      <c r="G215" s="32" t="s">
        <v>504</v>
      </c>
      <c r="H215" s="32" t="s">
        <v>354</v>
      </c>
      <c r="I215" s="31" t="s">
        <v>505</v>
      </c>
      <c r="J215" s="31">
        <v>99</v>
      </c>
      <c r="K215" s="33" t="s">
        <v>957</v>
      </c>
      <c r="L215" s="33" t="s">
        <v>694</v>
      </c>
      <c r="M215" s="34" t="s">
        <v>691</v>
      </c>
      <c r="N215" s="34" t="s">
        <v>1727</v>
      </c>
      <c r="O215" s="35">
        <v>1</v>
      </c>
      <c r="P215" s="35">
        <v>1</v>
      </c>
      <c r="Q215" s="32"/>
      <c r="S215" s="1">
        <f t="shared" si="171"/>
        <v>0</v>
      </c>
      <c r="T215" s="1">
        <f t="shared" si="172"/>
        <v>0</v>
      </c>
      <c r="U215" s="1">
        <f t="shared" si="173"/>
        <v>0</v>
      </c>
      <c r="V215" s="1">
        <f t="shared" si="174"/>
        <v>0</v>
      </c>
      <c r="W215" s="1">
        <f t="shared" si="175"/>
        <v>0</v>
      </c>
      <c r="X215" s="1">
        <f t="shared" si="176"/>
        <v>0</v>
      </c>
      <c r="Y215" s="1">
        <f t="shared" si="177"/>
        <v>0</v>
      </c>
      <c r="Z215" s="1">
        <f t="shared" si="178"/>
        <v>0</v>
      </c>
      <c r="AA215" s="1">
        <f t="shared" si="179"/>
        <v>0</v>
      </c>
      <c r="AB215" s="1">
        <f t="shared" si="180"/>
        <v>0</v>
      </c>
      <c r="AD215" s="1">
        <f t="shared" si="181"/>
        <v>1</v>
      </c>
      <c r="AE215" s="1">
        <f t="shared" si="182"/>
        <v>0</v>
      </c>
      <c r="AF215" s="1">
        <f t="shared" si="167"/>
        <v>1</v>
      </c>
      <c r="AG215" s="1">
        <f t="shared" si="168"/>
        <v>0</v>
      </c>
      <c r="AH215" s="1">
        <f t="shared" si="169"/>
        <v>1</v>
      </c>
      <c r="AI215" s="1">
        <f t="shared" si="170"/>
        <v>0</v>
      </c>
    </row>
    <row r="216" spans="1:35" ht="14.25" customHeight="1" x14ac:dyDescent="0.25">
      <c r="A216" s="31">
        <v>0</v>
      </c>
      <c r="B216" s="31">
        <v>1</v>
      </c>
      <c r="C216" s="31">
        <v>6</v>
      </c>
      <c r="D216" s="32" t="s">
        <v>1450</v>
      </c>
      <c r="E216" s="32" t="s">
        <v>167</v>
      </c>
      <c r="F216" s="32" t="s">
        <v>1451</v>
      </c>
      <c r="G216" s="32" t="s">
        <v>179</v>
      </c>
      <c r="H216" s="32" t="s">
        <v>354</v>
      </c>
      <c r="I216" s="31" t="s">
        <v>1452</v>
      </c>
      <c r="J216" s="31">
        <v>99</v>
      </c>
      <c r="K216" s="33" t="s">
        <v>956</v>
      </c>
      <c r="L216" s="33" t="s">
        <v>696</v>
      </c>
      <c r="M216" s="34" t="s">
        <v>1453</v>
      </c>
      <c r="N216" s="34" t="s">
        <v>1749</v>
      </c>
      <c r="O216" s="35">
        <v>1</v>
      </c>
      <c r="P216" s="35"/>
      <c r="Q216" s="36"/>
      <c r="S216" s="1">
        <f t="shared" si="171"/>
        <v>0</v>
      </c>
      <c r="T216" s="1">
        <f t="shared" si="172"/>
        <v>0</v>
      </c>
      <c r="U216" s="1">
        <f t="shared" si="173"/>
        <v>0</v>
      </c>
      <c r="V216" s="1">
        <f t="shared" si="174"/>
        <v>0</v>
      </c>
      <c r="W216" s="1">
        <f t="shared" si="175"/>
        <v>0</v>
      </c>
      <c r="X216" s="1">
        <f t="shared" si="176"/>
        <v>0</v>
      </c>
      <c r="Y216" s="1">
        <f t="shared" si="177"/>
        <v>0</v>
      </c>
      <c r="Z216" s="1">
        <f t="shared" si="178"/>
        <v>0</v>
      </c>
      <c r="AA216" s="1">
        <f t="shared" si="179"/>
        <v>0</v>
      </c>
      <c r="AB216" s="1">
        <f t="shared" si="180"/>
        <v>0</v>
      </c>
      <c r="AD216" s="1">
        <f t="shared" si="181"/>
        <v>0</v>
      </c>
      <c r="AE216" s="1">
        <f t="shared" si="182"/>
        <v>1</v>
      </c>
      <c r="AF216" s="1">
        <f t="shared" si="167"/>
        <v>0</v>
      </c>
      <c r="AG216" s="1">
        <f t="shared" si="168"/>
        <v>1</v>
      </c>
      <c r="AH216" s="1">
        <f t="shared" si="169"/>
        <v>0</v>
      </c>
      <c r="AI216" s="1">
        <f t="shared" si="170"/>
        <v>1</v>
      </c>
    </row>
    <row r="217" spans="1:35" ht="14.25" customHeight="1" x14ac:dyDescent="0.25">
      <c r="A217" s="31">
        <v>0</v>
      </c>
      <c r="B217" s="31">
        <v>1</v>
      </c>
      <c r="C217" s="31">
        <v>6</v>
      </c>
      <c r="D217" s="32" t="s">
        <v>1186</v>
      </c>
      <c r="E217" s="32" t="s">
        <v>1189</v>
      </c>
      <c r="F217" s="32" t="s">
        <v>1187</v>
      </c>
      <c r="G217" s="32" t="s">
        <v>39</v>
      </c>
      <c r="H217" s="32" t="s">
        <v>354</v>
      </c>
      <c r="I217" s="31" t="s">
        <v>1188</v>
      </c>
      <c r="J217" s="31">
        <v>99</v>
      </c>
      <c r="K217" s="33" t="s">
        <v>962</v>
      </c>
      <c r="L217" s="33" t="s">
        <v>39</v>
      </c>
      <c r="M217" s="34" t="s">
        <v>39</v>
      </c>
      <c r="N217" s="34" t="s">
        <v>1733</v>
      </c>
      <c r="O217" s="35">
        <v>1</v>
      </c>
      <c r="P217" s="35">
        <v>1</v>
      </c>
      <c r="Q217" s="36" t="s">
        <v>1908</v>
      </c>
      <c r="S217" s="1">
        <f t="shared" si="171"/>
        <v>0</v>
      </c>
      <c r="T217" s="1">
        <f t="shared" si="172"/>
        <v>0</v>
      </c>
      <c r="U217" s="1">
        <f t="shared" si="173"/>
        <v>0</v>
      </c>
      <c r="V217" s="1">
        <f t="shared" si="174"/>
        <v>0</v>
      </c>
      <c r="W217" s="1">
        <f t="shared" si="175"/>
        <v>0</v>
      </c>
      <c r="X217" s="1">
        <f t="shared" si="176"/>
        <v>0</v>
      </c>
      <c r="Y217" s="1">
        <f t="shared" si="177"/>
        <v>0</v>
      </c>
      <c r="Z217" s="1">
        <f t="shared" si="178"/>
        <v>0</v>
      </c>
      <c r="AA217" s="1">
        <f t="shared" si="179"/>
        <v>0</v>
      </c>
      <c r="AB217" s="1">
        <f t="shared" si="180"/>
        <v>0</v>
      </c>
      <c r="AD217" s="1">
        <f t="shared" si="181"/>
        <v>1</v>
      </c>
      <c r="AE217" s="1">
        <f t="shared" si="182"/>
        <v>0</v>
      </c>
      <c r="AF217" s="1">
        <f t="shared" si="167"/>
        <v>1</v>
      </c>
      <c r="AG217" s="1">
        <f t="shared" si="168"/>
        <v>0</v>
      </c>
      <c r="AH217" s="1">
        <f t="shared" si="169"/>
        <v>1</v>
      </c>
      <c r="AI217" s="1">
        <f t="shared" si="170"/>
        <v>0</v>
      </c>
    </row>
    <row r="218" spans="1:35" ht="14.25" customHeight="1" x14ac:dyDescent="0.25">
      <c r="A218" s="31">
        <v>0</v>
      </c>
      <c r="B218" s="31">
        <v>1</v>
      </c>
      <c r="C218" s="31">
        <v>6</v>
      </c>
      <c r="D218" s="32" t="s">
        <v>1648</v>
      </c>
      <c r="E218" s="32" t="s">
        <v>1656</v>
      </c>
      <c r="F218" s="32" t="s">
        <v>1683</v>
      </c>
      <c r="G218" s="32" t="s">
        <v>1684</v>
      </c>
      <c r="H218" s="32" t="s">
        <v>354</v>
      </c>
      <c r="I218" s="31" t="s">
        <v>1696</v>
      </c>
      <c r="J218" s="31">
        <v>1</v>
      </c>
      <c r="K218" s="33" t="s">
        <v>958</v>
      </c>
      <c r="L218" s="33" t="s">
        <v>39</v>
      </c>
      <c r="M218" s="34" t="s">
        <v>39</v>
      </c>
      <c r="N218" s="34" t="s">
        <v>1727</v>
      </c>
      <c r="O218" s="35">
        <v>1</v>
      </c>
      <c r="P218" s="35">
        <v>1</v>
      </c>
      <c r="Q218" s="32"/>
      <c r="S218" s="1">
        <f t="shared" si="171"/>
        <v>1</v>
      </c>
      <c r="T218" s="1">
        <f t="shared" si="172"/>
        <v>0</v>
      </c>
      <c r="U218" s="1">
        <f t="shared" si="173"/>
        <v>0</v>
      </c>
      <c r="V218" s="1">
        <f t="shared" si="174"/>
        <v>0</v>
      </c>
      <c r="W218" s="1">
        <f t="shared" si="175"/>
        <v>0</v>
      </c>
      <c r="X218" s="1">
        <f t="shared" si="176"/>
        <v>0</v>
      </c>
      <c r="Y218" s="1">
        <f t="shared" si="177"/>
        <v>0</v>
      </c>
      <c r="Z218" s="1">
        <f t="shared" si="178"/>
        <v>0</v>
      </c>
      <c r="AA218" s="1">
        <f t="shared" si="179"/>
        <v>0</v>
      </c>
      <c r="AB218" s="1">
        <f t="shared" si="180"/>
        <v>0</v>
      </c>
      <c r="AD218" s="1">
        <f t="shared" si="181"/>
        <v>1</v>
      </c>
      <c r="AE218" s="1">
        <f t="shared" si="182"/>
        <v>0</v>
      </c>
      <c r="AF218" s="1">
        <f t="shared" si="167"/>
        <v>1</v>
      </c>
      <c r="AG218" s="1">
        <f t="shared" si="168"/>
        <v>0</v>
      </c>
      <c r="AH218" s="1">
        <f t="shared" si="169"/>
        <v>1</v>
      </c>
      <c r="AI218" s="1">
        <f t="shared" si="170"/>
        <v>0</v>
      </c>
    </row>
    <row r="219" spans="1:35" ht="14.25" customHeight="1" x14ac:dyDescent="0.25">
      <c r="A219" s="31">
        <v>0</v>
      </c>
      <c r="B219" s="31">
        <v>1</v>
      </c>
      <c r="C219" s="31">
        <v>6</v>
      </c>
      <c r="D219" s="32" t="s">
        <v>90</v>
      </c>
      <c r="E219" s="32" t="s">
        <v>168</v>
      </c>
      <c r="F219" s="32" t="s">
        <v>284</v>
      </c>
      <c r="G219" s="32" t="s">
        <v>230</v>
      </c>
      <c r="H219" s="32" t="s">
        <v>354</v>
      </c>
      <c r="I219" s="31" t="s">
        <v>438</v>
      </c>
      <c r="J219" s="31">
        <v>7</v>
      </c>
      <c r="K219" s="33" t="s">
        <v>722</v>
      </c>
      <c r="L219" s="33">
        <v>40</v>
      </c>
      <c r="M219" s="34" t="s">
        <v>39</v>
      </c>
      <c r="N219" s="34" t="s">
        <v>1748</v>
      </c>
      <c r="O219" s="35">
        <v>1</v>
      </c>
      <c r="P219" s="35"/>
      <c r="Q219" s="32"/>
      <c r="S219" s="1">
        <f t="shared" si="171"/>
        <v>0</v>
      </c>
      <c r="T219" s="1">
        <f t="shared" si="172"/>
        <v>0</v>
      </c>
      <c r="U219" s="1">
        <f t="shared" si="173"/>
        <v>0</v>
      </c>
      <c r="V219" s="1">
        <f t="shared" si="174"/>
        <v>0</v>
      </c>
      <c r="W219" s="1">
        <f t="shared" si="175"/>
        <v>0</v>
      </c>
      <c r="X219" s="1">
        <f t="shared" si="176"/>
        <v>0</v>
      </c>
      <c r="Y219" s="1">
        <f t="shared" si="177"/>
        <v>1</v>
      </c>
      <c r="Z219" s="1">
        <f t="shared" si="178"/>
        <v>0</v>
      </c>
      <c r="AA219" s="1">
        <f t="shared" si="179"/>
        <v>0</v>
      </c>
      <c r="AB219" s="1">
        <f t="shared" si="180"/>
        <v>0</v>
      </c>
      <c r="AD219" s="1">
        <f t="shared" si="181"/>
        <v>0</v>
      </c>
      <c r="AE219" s="1">
        <f t="shared" si="182"/>
        <v>1</v>
      </c>
      <c r="AF219" s="1">
        <f t="shared" si="167"/>
        <v>0</v>
      </c>
      <c r="AG219" s="1">
        <f t="shared" si="168"/>
        <v>1</v>
      </c>
      <c r="AH219" s="1">
        <f t="shared" si="169"/>
        <v>0</v>
      </c>
      <c r="AI219" s="1">
        <f t="shared" si="170"/>
        <v>1</v>
      </c>
    </row>
    <row r="220" spans="1:35" ht="14.25" customHeight="1" x14ac:dyDescent="0.25">
      <c r="A220" s="31">
        <v>0</v>
      </c>
      <c r="B220" s="31">
        <v>1</v>
      </c>
      <c r="C220" s="31">
        <v>6</v>
      </c>
      <c r="D220" s="32" t="s">
        <v>91</v>
      </c>
      <c r="E220" s="32" t="s">
        <v>165</v>
      </c>
      <c r="F220" s="36" t="s">
        <v>1871</v>
      </c>
      <c r="G220" s="32" t="s">
        <v>240</v>
      </c>
      <c r="H220" s="32" t="s">
        <v>354</v>
      </c>
      <c r="I220" s="31" t="s">
        <v>439</v>
      </c>
      <c r="J220" s="31">
        <v>1</v>
      </c>
      <c r="K220" s="33" t="s">
        <v>964</v>
      </c>
      <c r="L220" s="33" t="s">
        <v>39</v>
      </c>
      <c r="M220" s="34" t="s">
        <v>39</v>
      </c>
      <c r="N220" s="34" t="s">
        <v>1727</v>
      </c>
      <c r="O220" s="35">
        <v>1</v>
      </c>
      <c r="P220" s="35">
        <v>1</v>
      </c>
      <c r="Q220" s="32"/>
      <c r="S220" s="1">
        <f t="shared" si="171"/>
        <v>1</v>
      </c>
      <c r="T220" s="1">
        <f t="shared" si="172"/>
        <v>0</v>
      </c>
      <c r="U220" s="1">
        <f t="shared" si="173"/>
        <v>0</v>
      </c>
      <c r="V220" s="1">
        <f t="shared" si="174"/>
        <v>0</v>
      </c>
      <c r="W220" s="1">
        <f t="shared" si="175"/>
        <v>0</v>
      </c>
      <c r="X220" s="1">
        <f t="shared" si="176"/>
        <v>0</v>
      </c>
      <c r="Y220" s="1">
        <f t="shared" si="177"/>
        <v>0</v>
      </c>
      <c r="Z220" s="1">
        <f t="shared" si="178"/>
        <v>0</v>
      </c>
      <c r="AA220" s="1">
        <f t="shared" si="179"/>
        <v>0</v>
      </c>
      <c r="AB220" s="1">
        <f t="shared" si="180"/>
        <v>0</v>
      </c>
      <c r="AD220" s="1">
        <f t="shared" si="181"/>
        <v>1</v>
      </c>
      <c r="AE220" s="1">
        <f t="shared" si="182"/>
        <v>0</v>
      </c>
      <c r="AF220" s="1">
        <f t="shared" si="167"/>
        <v>1</v>
      </c>
      <c r="AG220" s="1">
        <f t="shared" si="168"/>
        <v>0</v>
      </c>
      <c r="AH220" s="1">
        <f t="shared" si="169"/>
        <v>1</v>
      </c>
      <c r="AI220" s="1">
        <f t="shared" si="170"/>
        <v>0</v>
      </c>
    </row>
    <row r="221" spans="1:35" ht="14.25" customHeight="1" x14ac:dyDescent="0.25">
      <c r="A221" s="31">
        <v>0</v>
      </c>
      <c r="B221" s="31">
        <v>1</v>
      </c>
      <c r="C221" s="31">
        <v>6</v>
      </c>
      <c r="D221" s="32" t="s">
        <v>92</v>
      </c>
      <c r="E221" s="32" t="s">
        <v>167</v>
      </c>
      <c r="F221" s="32" t="s">
        <v>286</v>
      </c>
      <c r="G221" s="32" t="s">
        <v>200</v>
      </c>
      <c r="H221" s="32" t="s">
        <v>354</v>
      </c>
      <c r="I221" s="31" t="s">
        <v>440</v>
      </c>
      <c r="J221" s="31">
        <v>2</v>
      </c>
      <c r="K221" s="33" t="s">
        <v>962</v>
      </c>
      <c r="L221" s="33" t="s">
        <v>39</v>
      </c>
      <c r="M221" s="34" t="s">
        <v>39</v>
      </c>
      <c r="N221" s="34" t="s">
        <v>1727</v>
      </c>
      <c r="O221" s="35">
        <v>1</v>
      </c>
      <c r="P221" s="35">
        <v>1</v>
      </c>
      <c r="Q221" s="32"/>
      <c r="S221" s="1">
        <f t="shared" si="171"/>
        <v>0</v>
      </c>
      <c r="T221" s="1">
        <f t="shared" si="172"/>
        <v>1</v>
      </c>
      <c r="U221" s="1">
        <f t="shared" si="173"/>
        <v>0</v>
      </c>
      <c r="V221" s="1">
        <f t="shared" si="174"/>
        <v>0</v>
      </c>
      <c r="W221" s="1">
        <f t="shared" si="175"/>
        <v>0</v>
      </c>
      <c r="X221" s="1">
        <f t="shared" si="176"/>
        <v>0</v>
      </c>
      <c r="Y221" s="1">
        <f t="shared" si="177"/>
        <v>0</v>
      </c>
      <c r="Z221" s="1">
        <f t="shared" si="178"/>
        <v>0</v>
      </c>
      <c r="AA221" s="1">
        <f t="shared" si="179"/>
        <v>0</v>
      </c>
      <c r="AB221" s="1">
        <f t="shared" si="180"/>
        <v>0</v>
      </c>
      <c r="AD221" s="1">
        <f t="shared" si="181"/>
        <v>1</v>
      </c>
      <c r="AE221" s="1">
        <f t="shared" si="182"/>
        <v>0</v>
      </c>
      <c r="AF221" s="1">
        <f t="shared" si="167"/>
        <v>1</v>
      </c>
      <c r="AG221" s="1">
        <f t="shared" si="168"/>
        <v>0</v>
      </c>
      <c r="AH221" s="1">
        <f t="shared" si="169"/>
        <v>1</v>
      </c>
      <c r="AI221" s="1">
        <f t="shared" si="170"/>
        <v>0</v>
      </c>
    </row>
    <row r="222" spans="1:35" ht="14.25" customHeight="1" x14ac:dyDescent="0.25">
      <c r="A222" s="31">
        <v>0</v>
      </c>
      <c r="B222" s="31">
        <v>1</v>
      </c>
      <c r="C222" s="31">
        <v>6</v>
      </c>
      <c r="D222" s="32" t="s">
        <v>1276</v>
      </c>
      <c r="E222" s="32" t="s">
        <v>167</v>
      </c>
      <c r="F222" s="32" t="s">
        <v>1148</v>
      </c>
      <c r="G222" s="32" t="s">
        <v>1342</v>
      </c>
      <c r="H222" s="32" t="s">
        <v>354</v>
      </c>
      <c r="I222" s="31" t="s">
        <v>1149</v>
      </c>
      <c r="J222" s="31">
        <v>99</v>
      </c>
      <c r="K222" s="33" t="s">
        <v>702</v>
      </c>
      <c r="L222" s="33">
        <v>45</v>
      </c>
      <c r="M222" s="34" t="s">
        <v>39</v>
      </c>
      <c r="N222" s="34" t="s">
        <v>1743</v>
      </c>
      <c r="O222" s="35">
        <v>1</v>
      </c>
      <c r="P222" s="35"/>
      <c r="Q222" s="32"/>
      <c r="S222" s="1">
        <f t="shared" si="171"/>
        <v>0</v>
      </c>
      <c r="T222" s="1">
        <f t="shared" si="172"/>
        <v>0</v>
      </c>
      <c r="U222" s="1">
        <f t="shared" si="173"/>
        <v>0</v>
      </c>
      <c r="V222" s="1">
        <f t="shared" si="174"/>
        <v>0</v>
      </c>
      <c r="W222" s="1">
        <f t="shared" si="175"/>
        <v>0</v>
      </c>
      <c r="X222" s="1">
        <f t="shared" si="176"/>
        <v>0</v>
      </c>
      <c r="Y222" s="1">
        <f t="shared" si="177"/>
        <v>0</v>
      </c>
      <c r="Z222" s="1">
        <f t="shared" si="178"/>
        <v>0</v>
      </c>
      <c r="AA222" s="1">
        <f t="shared" si="179"/>
        <v>0</v>
      </c>
      <c r="AB222" s="1">
        <f t="shared" si="180"/>
        <v>0</v>
      </c>
      <c r="AD222" s="1">
        <f t="shared" si="181"/>
        <v>0</v>
      </c>
      <c r="AE222" s="1">
        <f t="shared" si="182"/>
        <v>1</v>
      </c>
      <c r="AF222" s="1">
        <f t="shared" si="167"/>
        <v>0</v>
      </c>
      <c r="AG222" s="1">
        <f t="shared" si="168"/>
        <v>1</v>
      </c>
      <c r="AH222" s="1">
        <f t="shared" si="169"/>
        <v>0</v>
      </c>
      <c r="AI222" s="1">
        <f t="shared" si="170"/>
        <v>1</v>
      </c>
    </row>
    <row r="223" spans="1:35" ht="14.25" customHeight="1" x14ac:dyDescent="0.25">
      <c r="A223" s="31">
        <v>0</v>
      </c>
      <c r="B223" s="31">
        <v>1</v>
      </c>
      <c r="C223" s="31">
        <v>6</v>
      </c>
      <c r="D223" s="32" t="s">
        <v>1791</v>
      </c>
      <c r="E223" s="32" t="s">
        <v>167</v>
      </c>
      <c r="F223" s="32" t="s">
        <v>1766</v>
      </c>
      <c r="G223" s="32"/>
      <c r="H223" s="32" t="s">
        <v>354</v>
      </c>
      <c r="I223" s="31" t="s">
        <v>1767</v>
      </c>
      <c r="J223" s="31"/>
      <c r="K223" s="33" t="s">
        <v>703</v>
      </c>
      <c r="L223" s="33"/>
      <c r="M223" s="34"/>
      <c r="N223" s="34" t="s">
        <v>1727</v>
      </c>
      <c r="O223" s="35">
        <v>1</v>
      </c>
      <c r="P223" s="35">
        <v>1</v>
      </c>
      <c r="Q223" s="32"/>
      <c r="S223" s="1">
        <f t="shared" si="171"/>
        <v>0</v>
      </c>
      <c r="T223" s="1">
        <f t="shared" si="172"/>
        <v>0</v>
      </c>
      <c r="U223" s="1">
        <f t="shared" si="173"/>
        <v>0</v>
      </c>
      <c r="V223" s="1">
        <f t="shared" si="174"/>
        <v>0</v>
      </c>
      <c r="W223" s="1">
        <f t="shared" si="175"/>
        <v>0</v>
      </c>
      <c r="X223" s="1">
        <f t="shared" si="176"/>
        <v>0</v>
      </c>
      <c r="Y223" s="1">
        <f t="shared" si="177"/>
        <v>0</v>
      </c>
      <c r="Z223" s="1">
        <f t="shared" si="178"/>
        <v>0</v>
      </c>
      <c r="AA223" s="1">
        <f t="shared" si="179"/>
        <v>0</v>
      </c>
      <c r="AB223" s="1">
        <f t="shared" si="180"/>
        <v>0</v>
      </c>
      <c r="AD223" s="1">
        <f t="shared" si="181"/>
        <v>1</v>
      </c>
      <c r="AE223" s="1">
        <f t="shared" si="182"/>
        <v>0</v>
      </c>
      <c r="AF223" s="1">
        <f t="shared" si="167"/>
        <v>1</v>
      </c>
      <c r="AG223" s="1">
        <f t="shared" si="168"/>
        <v>0</v>
      </c>
      <c r="AH223" s="1">
        <f t="shared" si="169"/>
        <v>1</v>
      </c>
      <c r="AI223" s="1">
        <f t="shared" si="170"/>
        <v>0</v>
      </c>
    </row>
    <row r="224" spans="1:35" ht="14.25" customHeight="1" x14ac:dyDescent="0.25">
      <c r="A224" s="31">
        <v>0</v>
      </c>
      <c r="B224" s="31">
        <v>1</v>
      </c>
      <c r="C224" s="31">
        <v>6</v>
      </c>
      <c r="D224" s="32" t="s">
        <v>1790</v>
      </c>
      <c r="E224" s="32" t="s">
        <v>167</v>
      </c>
      <c r="F224" s="32" t="s">
        <v>1768</v>
      </c>
      <c r="G224" s="32"/>
      <c r="H224" s="32" t="s">
        <v>354</v>
      </c>
      <c r="I224" s="31" t="s">
        <v>1769</v>
      </c>
      <c r="J224" s="31"/>
      <c r="K224" s="33" t="s">
        <v>703</v>
      </c>
      <c r="L224" s="33">
        <v>30</v>
      </c>
      <c r="M224" s="34" t="s">
        <v>1770</v>
      </c>
      <c r="N224" s="34" t="s">
        <v>1748</v>
      </c>
      <c r="O224" s="35">
        <v>1</v>
      </c>
      <c r="P224" s="35"/>
      <c r="Q224" s="32"/>
      <c r="S224" s="1">
        <f t="shared" si="171"/>
        <v>0</v>
      </c>
      <c r="T224" s="1">
        <f t="shared" si="172"/>
        <v>0</v>
      </c>
      <c r="U224" s="1">
        <f t="shared" si="173"/>
        <v>0</v>
      </c>
      <c r="V224" s="1">
        <f t="shared" si="174"/>
        <v>0</v>
      </c>
      <c r="W224" s="1">
        <f t="shared" si="175"/>
        <v>0</v>
      </c>
      <c r="X224" s="1">
        <f t="shared" si="176"/>
        <v>0</v>
      </c>
      <c r="Y224" s="1">
        <f t="shared" si="177"/>
        <v>0</v>
      </c>
      <c r="Z224" s="1">
        <f t="shared" si="178"/>
        <v>0</v>
      </c>
      <c r="AA224" s="1">
        <f t="shared" si="179"/>
        <v>0</v>
      </c>
      <c r="AB224" s="1">
        <f t="shared" si="180"/>
        <v>0</v>
      </c>
      <c r="AD224" s="1">
        <f t="shared" si="181"/>
        <v>0</v>
      </c>
      <c r="AE224" s="1">
        <f t="shared" si="182"/>
        <v>1</v>
      </c>
      <c r="AF224" s="1">
        <f t="shared" si="167"/>
        <v>0</v>
      </c>
      <c r="AG224" s="1">
        <f t="shared" si="168"/>
        <v>1</v>
      </c>
      <c r="AH224" s="1">
        <f t="shared" si="169"/>
        <v>0</v>
      </c>
      <c r="AI224" s="1">
        <f t="shared" si="170"/>
        <v>1</v>
      </c>
    </row>
    <row r="225" spans="1:4094 4097:8191 8194:12288 12291:16384" ht="14.25" customHeight="1" x14ac:dyDescent="0.25">
      <c r="A225" s="31">
        <v>0</v>
      </c>
      <c r="B225" s="31">
        <v>1</v>
      </c>
      <c r="C225" s="31">
        <v>6</v>
      </c>
      <c r="D225" s="32" t="s">
        <v>1014</v>
      </c>
      <c r="E225" s="32" t="s">
        <v>167</v>
      </c>
      <c r="F225" s="32" t="s">
        <v>1015</v>
      </c>
      <c r="G225" s="32" t="s">
        <v>1103</v>
      </c>
      <c r="H225" s="32" t="s">
        <v>354</v>
      </c>
      <c r="I225" s="31" t="s">
        <v>1016</v>
      </c>
      <c r="J225" s="31">
        <v>99</v>
      </c>
      <c r="K225" s="33" t="s">
        <v>964</v>
      </c>
      <c r="L225" s="33" t="s">
        <v>39</v>
      </c>
      <c r="M225" s="34" t="s">
        <v>39</v>
      </c>
      <c r="N225" s="34" t="s">
        <v>1727</v>
      </c>
      <c r="O225" s="35">
        <v>1</v>
      </c>
      <c r="P225" s="35">
        <v>1</v>
      </c>
      <c r="Q225" s="32"/>
      <c r="S225" s="1">
        <f t="shared" si="171"/>
        <v>0</v>
      </c>
      <c r="T225" s="1">
        <f t="shared" si="172"/>
        <v>0</v>
      </c>
      <c r="U225" s="1">
        <f t="shared" si="173"/>
        <v>0</v>
      </c>
      <c r="V225" s="1">
        <f t="shared" si="174"/>
        <v>0</v>
      </c>
      <c r="W225" s="1">
        <f t="shared" si="175"/>
        <v>0</v>
      </c>
      <c r="X225" s="1">
        <f t="shared" si="176"/>
        <v>0</v>
      </c>
      <c r="Y225" s="1">
        <f t="shared" si="177"/>
        <v>0</v>
      </c>
      <c r="Z225" s="1">
        <f t="shared" si="178"/>
        <v>0</v>
      </c>
      <c r="AA225" s="1">
        <f t="shared" si="179"/>
        <v>0</v>
      </c>
      <c r="AB225" s="1">
        <f t="shared" si="180"/>
        <v>0</v>
      </c>
      <c r="AD225" s="1">
        <f t="shared" si="181"/>
        <v>1</v>
      </c>
      <c r="AE225" s="1">
        <f t="shared" si="182"/>
        <v>0</v>
      </c>
      <c r="AF225" s="1">
        <f t="shared" si="167"/>
        <v>1</v>
      </c>
      <c r="AG225" s="1">
        <f t="shared" si="168"/>
        <v>0</v>
      </c>
      <c r="AH225" s="1">
        <f t="shared" si="169"/>
        <v>1</v>
      </c>
      <c r="AI225" s="1">
        <f t="shared" si="170"/>
        <v>0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94</v>
      </c>
      <c r="E226" s="32" t="s">
        <v>169</v>
      </c>
      <c r="F226" s="32" t="s">
        <v>289</v>
      </c>
      <c r="G226" s="32" t="s">
        <v>194</v>
      </c>
      <c r="H226" s="32" t="s">
        <v>354</v>
      </c>
      <c r="I226" s="31" t="s">
        <v>442</v>
      </c>
      <c r="J226" s="31">
        <v>9</v>
      </c>
      <c r="K226" s="33" t="s">
        <v>702</v>
      </c>
      <c r="L226" s="33" t="s">
        <v>694</v>
      </c>
      <c r="M226" s="34" t="s">
        <v>706</v>
      </c>
      <c r="N226" s="34" t="s">
        <v>1748</v>
      </c>
      <c r="O226" s="35">
        <v>1</v>
      </c>
      <c r="P226" s="35"/>
      <c r="Q226" s="32"/>
      <c r="S226" s="1">
        <f t="shared" si="171"/>
        <v>0</v>
      </c>
      <c r="T226" s="1">
        <f t="shared" si="172"/>
        <v>0</v>
      </c>
      <c r="U226" s="1">
        <f t="shared" si="173"/>
        <v>0</v>
      </c>
      <c r="V226" s="1">
        <f t="shared" si="174"/>
        <v>0</v>
      </c>
      <c r="W226" s="1">
        <f t="shared" si="175"/>
        <v>0</v>
      </c>
      <c r="X226" s="1">
        <f t="shared" si="176"/>
        <v>0</v>
      </c>
      <c r="Y226" s="1">
        <f t="shared" si="177"/>
        <v>0</v>
      </c>
      <c r="Z226" s="1">
        <f t="shared" si="178"/>
        <v>0</v>
      </c>
      <c r="AA226" s="1">
        <f t="shared" si="179"/>
        <v>1</v>
      </c>
      <c r="AB226" s="1">
        <f t="shared" si="180"/>
        <v>0</v>
      </c>
      <c r="AD226" s="1">
        <f t="shared" si="181"/>
        <v>0</v>
      </c>
      <c r="AE226" s="1">
        <f t="shared" si="182"/>
        <v>1</v>
      </c>
      <c r="AF226" s="1">
        <f t="shared" si="167"/>
        <v>0</v>
      </c>
      <c r="AG226" s="1">
        <f t="shared" si="168"/>
        <v>1</v>
      </c>
      <c r="AH226" s="1">
        <f t="shared" si="169"/>
        <v>0</v>
      </c>
      <c r="AI226" s="1">
        <f t="shared" si="170"/>
        <v>1</v>
      </c>
    </row>
    <row r="227" spans="1:4094 4097:8191 8194:12288 12291:16384" ht="14.25" customHeight="1" x14ac:dyDescent="0.25">
      <c r="A227" s="38">
        <v>0</v>
      </c>
      <c r="B227" s="38">
        <v>1</v>
      </c>
      <c r="C227" s="38">
        <v>6</v>
      </c>
      <c r="D227" s="54" t="s">
        <v>1609</v>
      </c>
      <c r="E227" s="39" t="s">
        <v>1610</v>
      </c>
      <c r="F227" s="39" t="s">
        <v>1611</v>
      </c>
      <c r="G227" s="39" t="s">
        <v>192</v>
      </c>
      <c r="H227" s="39" t="s">
        <v>354</v>
      </c>
      <c r="I227" s="38" t="s">
        <v>1612</v>
      </c>
      <c r="J227" s="38">
        <v>10</v>
      </c>
      <c r="K227" s="40" t="s">
        <v>956</v>
      </c>
      <c r="L227" s="40" t="s">
        <v>687</v>
      </c>
      <c r="M227" s="41" t="s">
        <v>1613</v>
      </c>
      <c r="N227" s="42"/>
      <c r="O227" s="43"/>
      <c r="P227" s="43">
        <v>1</v>
      </c>
      <c r="Q227" s="39"/>
      <c r="S227" s="1">
        <f t="shared" si="171"/>
        <v>0</v>
      </c>
      <c r="T227" s="1">
        <f t="shared" si="172"/>
        <v>0</v>
      </c>
      <c r="U227" s="1">
        <f t="shared" si="173"/>
        <v>0</v>
      </c>
      <c r="V227" s="1">
        <f t="shared" si="174"/>
        <v>0</v>
      </c>
      <c r="W227" s="1">
        <f t="shared" si="175"/>
        <v>0</v>
      </c>
      <c r="X227" s="1">
        <f t="shared" si="176"/>
        <v>0</v>
      </c>
      <c r="Y227" s="1">
        <f t="shared" si="177"/>
        <v>0</v>
      </c>
      <c r="Z227" s="1">
        <f t="shared" si="178"/>
        <v>0</v>
      </c>
      <c r="AA227" s="1">
        <f t="shared" si="179"/>
        <v>0</v>
      </c>
      <c r="AB227" s="1">
        <f t="shared" si="180"/>
        <v>1</v>
      </c>
      <c r="AD227" s="1">
        <f t="shared" si="181"/>
        <v>0</v>
      </c>
      <c r="AE227" s="1">
        <f t="shared" si="182"/>
        <v>0</v>
      </c>
      <c r="AF227" s="1">
        <f t="shared" si="167"/>
        <v>0</v>
      </c>
      <c r="AG227" s="1">
        <f t="shared" si="168"/>
        <v>0</v>
      </c>
      <c r="AH227" s="1">
        <f t="shared" si="169"/>
        <v>1</v>
      </c>
      <c r="AI227" s="1">
        <f t="shared" si="170"/>
        <v>0</v>
      </c>
    </row>
    <row r="228" spans="1:4094 4097:8191 8194:12288 12291:16384" ht="14.25" customHeight="1" x14ac:dyDescent="0.25">
      <c r="A228" s="44">
        <v>0</v>
      </c>
      <c r="B228" s="44">
        <v>1</v>
      </c>
      <c r="C228" s="44">
        <v>6</v>
      </c>
      <c r="D228" s="45" t="s">
        <v>95</v>
      </c>
      <c r="E228" s="45" t="s">
        <v>165</v>
      </c>
      <c r="F228" s="45" t="s">
        <v>290</v>
      </c>
      <c r="G228" s="45" t="s">
        <v>291</v>
      </c>
      <c r="H228" s="45" t="s">
        <v>354</v>
      </c>
      <c r="I228" s="44" t="s">
        <v>443</v>
      </c>
      <c r="J228" s="44">
        <v>7</v>
      </c>
      <c r="K228" s="46" t="s">
        <v>702</v>
      </c>
      <c r="L228" s="46" t="s">
        <v>694</v>
      </c>
      <c r="M228" s="47" t="s">
        <v>698</v>
      </c>
      <c r="N228" s="47" t="s">
        <v>1734</v>
      </c>
      <c r="O228" s="48"/>
      <c r="P228" s="48"/>
      <c r="Q228" s="45"/>
      <c r="S228" s="1">
        <f t="shared" si="171"/>
        <v>0</v>
      </c>
      <c r="T228" s="1">
        <f t="shared" si="172"/>
        <v>0</v>
      </c>
      <c r="U228" s="1">
        <f t="shared" si="173"/>
        <v>0</v>
      </c>
      <c r="V228" s="1">
        <f t="shared" si="174"/>
        <v>0</v>
      </c>
      <c r="W228" s="1">
        <f t="shared" si="175"/>
        <v>0</v>
      </c>
      <c r="X228" s="1">
        <f t="shared" si="176"/>
        <v>0</v>
      </c>
      <c r="Y228" s="1">
        <f t="shared" si="177"/>
        <v>1</v>
      </c>
      <c r="Z228" s="1">
        <f t="shared" si="178"/>
        <v>0</v>
      </c>
      <c r="AA228" s="1">
        <f t="shared" si="179"/>
        <v>0</v>
      </c>
      <c r="AB228" s="1">
        <f t="shared" si="180"/>
        <v>0</v>
      </c>
      <c r="AD228" s="1">
        <f t="shared" si="181"/>
        <v>0</v>
      </c>
      <c r="AE228" s="1">
        <f t="shared" si="182"/>
        <v>0</v>
      </c>
      <c r="AF228" s="1">
        <f t="shared" si="167"/>
        <v>0</v>
      </c>
      <c r="AG228" s="1">
        <f t="shared" si="168"/>
        <v>0</v>
      </c>
      <c r="AH228" s="1">
        <f t="shared" si="169"/>
        <v>0</v>
      </c>
      <c r="AI228" s="1">
        <f t="shared" si="170"/>
        <v>1</v>
      </c>
    </row>
    <row r="229" spans="1:4094 4097:8191 8194:12288 12291:16384" ht="14.25" customHeight="1" x14ac:dyDescent="0.25">
      <c r="A229" s="31">
        <v>0</v>
      </c>
      <c r="B229" s="31">
        <v>1</v>
      </c>
      <c r="C229" s="31">
        <v>6</v>
      </c>
      <c r="D229" s="32" t="s">
        <v>1085</v>
      </c>
      <c r="E229" s="32" t="s">
        <v>167</v>
      </c>
      <c r="F229" s="32" t="s">
        <v>660</v>
      </c>
      <c r="G229" s="32" t="s">
        <v>179</v>
      </c>
      <c r="H229" s="32" t="s">
        <v>354</v>
      </c>
      <c r="I229" s="31" t="s">
        <v>381</v>
      </c>
      <c r="J229" s="31">
        <v>10</v>
      </c>
      <c r="K229" s="33" t="s">
        <v>722</v>
      </c>
      <c r="L229" s="33" t="s">
        <v>704</v>
      </c>
      <c r="M229" s="34" t="s">
        <v>707</v>
      </c>
      <c r="N229" s="34" t="s">
        <v>1750</v>
      </c>
      <c r="O229" s="35">
        <v>1</v>
      </c>
      <c r="P229" s="35"/>
      <c r="Q229" s="32"/>
      <c r="S229" s="1">
        <f t="shared" si="171"/>
        <v>0</v>
      </c>
      <c r="T229" s="1">
        <f t="shared" si="172"/>
        <v>0</v>
      </c>
      <c r="U229" s="1">
        <f t="shared" si="173"/>
        <v>0</v>
      </c>
      <c r="V229" s="1">
        <f t="shared" si="174"/>
        <v>0</v>
      </c>
      <c r="W229" s="1">
        <f t="shared" si="175"/>
        <v>0</v>
      </c>
      <c r="X229" s="1">
        <f t="shared" si="176"/>
        <v>0</v>
      </c>
      <c r="Y229" s="1">
        <f t="shared" si="177"/>
        <v>0</v>
      </c>
      <c r="Z229" s="1">
        <f t="shared" si="178"/>
        <v>0</v>
      </c>
      <c r="AA229" s="1">
        <f t="shared" si="179"/>
        <v>0</v>
      </c>
      <c r="AB229" s="1">
        <f t="shared" si="180"/>
        <v>1</v>
      </c>
      <c r="AD229" s="1">
        <f t="shared" si="181"/>
        <v>0</v>
      </c>
      <c r="AE229" s="1">
        <f t="shared" si="182"/>
        <v>1</v>
      </c>
      <c r="AF229" s="1">
        <f t="shared" si="167"/>
        <v>0</v>
      </c>
      <c r="AG229" s="1">
        <f t="shared" si="168"/>
        <v>1</v>
      </c>
      <c r="AH229" s="1">
        <f t="shared" si="169"/>
        <v>0</v>
      </c>
      <c r="AI229" s="1">
        <f t="shared" si="170"/>
        <v>1</v>
      </c>
    </row>
    <row r="230" spans="1:4094 4097:8191 8194:12288 12291:16384" ht="14.25" customHeight="1" x14ac:dyDescent="0.25">
      <c r="A230" s="31">
        <v>0</v>
      </c>
      <c r="B230" s="31">
        <v>1</v>
      </c>
      <c r="C230" s="31">
        <v>6</v>
      </c>
      <c r="D230" s="32" t="s">
        <v>1229</v>
      </c>
      <c r="E230" s="32" t="s">
        <v>165</v>
      </c>
      <c r="F230" s="32" t="s">
        <v>1230</v>
      </c>
      <c r="G230" s="32" t="s">
        <v>1232</v>
      </c>
      <c r="H230" s="32" t="s">
        <v>354</v>
      </c>
      <c r="I230" s="31" t="s">
        <v>1231</v>
      </c>
      <c r="J230" s="31">
        <v>99</v>
      </c>
      <c r="K230" s="33" t="s">
        <v>722</v>
      </c>
      <c r="L230" s="33" t="s">
        <v>693</v>
      </c>
      <c r="M230" s="34" t="s">
        <v>1401</v>
      </c>
      <c r="N230" s="34" t="s">
        <v>1743</v>
      </c>
      <c r="O230" s="35">
        <v>1</v>
      </c>
      <c r="P230" s="35"/>
      <c r="Q230" s="32"/>
      <c r="R230" s="15"/>
      <c r="S230" s="15">
        <f t="shared" si="171"/>
        <v>0</v>
      </c>
      <c r="T230" s="15">
        <f t="shared" si="172"/>
        <v>0</v>
      </c>
      <c r="U230" s="15">
        <f t="shared" si="173"/>
        <v>0</v>
      </c>
      <c r="V230" s="15">
        <f t="shared" si="174"/>
        <v>0</v>
      </c>
      <c r="W230" s="15">
        <f t="shared" si="175"/>
        <v>0</v>
      </c>
      <c r="X230" s="15">
        <f t="shared" si="176"/>
        <v>0</v>
      </c>
      <c r="Y230" s="15">
        <f t="shared" si="177"/>
        <v>0</v>
      </c>
      <c r="Z230" s="15">
        <f t="shared" si="178"/>
        <v>0</v>
      </c>
      <c r="AA230" s="15">
        <f t="shared" si="179"/>
        <v>0</v>
      </c>
      <c r="AB230" s="10">
        <f t="shared" si="180"/>
        <v>0</v>
      </c>
      <c r="AC230" s="10"/>
      <c r="AD230" s="21">
        <f t="shared" si="181"/>
        <v>0</v>
      </c>
      <c r="AE230" s="21">
        <f t="shared" si="182"/>
        <v>1</v>
      </c>
      <c r="AF230" s="1">
        <f t="shared" si="167"/>
        <v>0</v>
      </c>
      <c r="AG230" s="1">
        <f t="shared" si="168"/>
        <v>1</v>
      </c>
      <c r="AH230" s="21">
        <f t="shared" si="169"/>
        <v>0</v>
      </c>
      <c r="AI230" s="15">
        <f t="shared" si="170"/>
        <v>1</v>
      </c>
      <c r="AJ230" s="15"/>
      <c r="AK230" s="15"/>
      <c r="AL230" s="15"/>
      <c r="AM230" s="15"/>
      <c r="AN230" s="15"/>
      <c r="AO230" s="15"/>
      <c r="AP230" s="15"/>
      <c r="AQ230" s="15"/>
      <c r="AR230" s="15"/>
      <c r="AS230" s="10"/>
      <c r="AT230" s="10"/>
      <c r="AU230" s="21"/>
      <c r="AV230" s="21"/>
      <c r="AY230" s="21"/>
      <c r="AZ230" s="15"/>
      <c r="BA230" s="15"/>
      <c r="BB230" s="15"/>
      <c r="BC230" s="15"/>
      <c r="BD230" s="15"/>
      <c r="BE230" s="15"/>
      <c r="BF230" s="15"/>
      <c r="BG230" s="15"/>
      <c r="BH230" s="15"/>
      <c r="BI230" s="15"/>
      <c r="BJ230" s="10"/>
      <c r="BK230" s="10"/>
      <c r="BL230" s="21"/>
      <c r="BM230" s="21"/>
      <c r="BP230" s="21"/>
      <c r="BQ230" s="15"/>
      <c r="BR230" s="15"/>
      <c r="BS230" s="15"/>
      <c r="BT230" s="15"/>
      <c r="BU230" s="15"/>
      <c r="BV230" s="15"/>
      <c r="BW230" s="15"/>
      <c r="BX230" s="15"/>
      <c r="BY230" s="15"/>
      <c r="BZ230" s="15"/>
      <c r="CA230" s="10"/>
      <c r="CB230" s="10"/>
      <c r="CC230" s="21"/>
      <c r="CD230" s="21"/>
      <c r="CG230" s="21"/>
      <c r="CH230" s="15"/>
      <c r="CI230" s="15"/>
      <c r="CJ230" s="15"/>
      <c r="CK230" s="15"/>
      <c r="CL230" s="15"/>
      <c r="CM230" s="15"/>
      <c r="CN230" s="15"/>
      <c r="CO230" s="15"/>
      <c r="CP230" s="15"/>
      <c r="CQ230" s="15"/>
      <c r="CR230" s="10"/>
      <c r="CS230" s="10"/>
      <c r="CT230" s="21"/>
      <c r="CU230" s="21"/>
      <c r="CX230" s="21"/>
      <c r="CY230" s="15"/>
      <c r="CZ230" s="15"/>
      <c r="DA230" s="15"/>
      <c r="DB230" s="15"/>
      <c r="DC230" s="15"/>
      <c r="DD230" s="15"/>
      <c r="DE230" s="15"/>
      <c r="DF230" s="15"/>
      <c r="DG230" s="15"/>
      <c r="DH230" s="15"/>
      <c r="DI230" s="10"/>
      <c r="DJ230" s="10"/>
      <c r="DK230" s="21"/>
      <c r="DL230" s="21"/>
      <c r="DO230" s="21"/>
      <c r="DP230" s="15"/>
      <c r="DQ230" s="15"/>
      <c r="DR230" s="15"/>
      <c r="DS230" s="15"/>
      <c r="DT230" s="15"/>
      <c r="DU230" s="15"/>
      <c r="DV230" s="15"/>
      <c r="DW230" s="15"/>
      <c r="DX230" s="15"/>
      <c r="DY230" s="15"/>
      <c r="DZ230" s="10"/>
      <c r="EA230" s="10"/>
      <c r="EB230" s="21"/>
      <c r="EC230" s="21"/>
      <c r="EF230" s="21"/>
      <c r="EG230" s="15"/>
      <c r="EH230" s="15"/>
      <c r="EI230" s="15"/>
      <c r="EJ230" s="15"/>
      <c r="EK230" s="15"/>
      <c r="EL230" s="15"/>
      <c r="EM230" s="15"/>
      <c r="EN230" s="15"/>
      <c r="EO230" s="15"/>
      <c r="EP230" s="15"/>
      <c r="EQ230" s="10"/>
      <c r="ER230" s="10"/>
      <c r="ES230" s="21"/>
      <c r="ET230" s="21"/>
      <c r="EW230" s="21"/>
      <c r="EX230" s="15"/>
      <c r="EY230" s="15"/>
      <c r="EZ230" s="15"/>
      <c r="FA230" s="15"/>
      <c r="FB230" s="15"/>
      <c r="FC230" s="15"/>
      <c r="FD230" s="15"/>
      <c r="FE230" s="15"/>
      <c r="FF230" s="15"/>
      <c r="FG230" s="15"/>
      <c r="FH230" s="10"/>
      <c r="FI230" s="10"/>
      <c r="FJ230" s="21"/>
      <c r="FK230" s="21"/>
      <c r="FN230" s="21"/>
      <c r="FO230" s="15"/>
      <c r="FP230" s="15"/>
      <c r="FQ230" s="15"/>
      <c r="FR230" s="15"/>
      <c r="FS230" s="15"/>
      <c r="FT230" s="15"/>
      <c r="FU230" s="15"/>
      <c r="FV230" s="15"/>
      <c r="FW230" s="15"/>
      <c r="FX230" s="15"/>
      <c r="FY230" s="10"/>
      <c r="FZ230" s="10"/>
      <c r="GA230" s="21"/>
      <c r="GB230" s="21"/>
      <c r="GE230" s="21"/>
      <c r="GF230" s="15"/>
      <c r="GG230" s="15"/>
      <c r="GH230" s="15"/>
      <c r="GI230" s="15"/>
      <c r="GJ230" s="15"/>
      <c r="GK230" s="15"/>
      <c r="GL230" s="15"/>
      <c r="GM230" s="15"/>
      <c r="GN230" s="15"/>
      <c r="GO230" s="15"/>
      <c r="GP230" s="10"/>
      <c r="GQ230" s="10"/>
      <c r="GR230" s="21"/>
      <c r="GS230" s="21"/>
      <c r="GV230" s="21"/>
      <c r="GW230" s="15"/>
      <c r="GX230" s="15"/>
      <c r="GY230" s="15"/>
      <c r="GZ230" s="15"/>
      <c r="HA230" s="15"/>
      <c r="HB230" s="15"/>
      <c r="HC230" s="15"/>
      <c r="HD230" s="15"/>
      <c r="HE230" s="15"/>
      <c r="HF230" s="15"/>
      <c r="HG230" s="10"/>
      <c r="HH230" s="10"/>
      <c r="HI230" s="21"/>
      <c r="HJ230" s="21"/>
      <c r="HM230" s="21"/>
      <c r="HN230" s="15"/>
      <c r="HO230" s="15"/>
      <c r="HP230" s="15"/>
      <c r="HQ230" s="15"/>
      <c r="HR230" s="15"/>
      <c r="HS230" s="15"/>
      <c r="HT230" s="15"/>
      <c r="HU230" s="15"/>
      <c r="HV230" s="15"/>
      <c r="HW230" s="15"/>
      <c r="HX230" s="10"/>
      <c r="HY230" s="10"/>
      <c r="HZ230" s="21"/>
      <c r="IA230" s="21"/>
      <c r="ID230" s="21"/>
      <c r="IE230" s="15"/>
      <c r="IF230" s="15"/>
      <c r="IG230" s="15"/>
      <c r="IH230" s="15"/>
      <c r="II230" s="15"/>
      <c r="IJ230" s="15"/>
      <c r="IK230" s="15"/>
      <c r="IL230" s="15"/>
      <c r="IM230" s="15"/>
      <c r="IN230" s="15"/>
      <c r="IO230" s="10"/>
      <c r="IP230" s="10"/>
      <c r="IQ230" s="21"/>
      <c r="IR230" s="21"/>
      <c r="IU230" s="21"/>
      <c r="IV230" s="15"/>
      <c r="IW230" s="15"/>
      <c r="IX230" s="15"/>
      <c r="IY230" s="15"/>
      <c r="IZ230" s="15"/>
      <c r="JA230" s="15"/>
      <c r="JB230" s="15"/>
      <c r="JC230" s="15"/>
      <c r="JD230" s="15"/>
      <c r="JE230" s="15"/>
      <c r="JF230" s="10"/>
      <c r="JG230" s="10"/>
      <c r="JH230" s="21"/>
      <c r="JI230" s="21"/>
      <c r="JL230" s="21"/>
      <c r="JM230" s="15"/>
      <c r="JN230" s="15"/>
      <c r="JO230" s="15"/>
      <c r="JP230" s="15"/>
      <c r="JQ230" s="15"/>
      <c r="JR230" s="15"/>
      <c r="JS230" s="15"/>
      <c r="JT230" s="15"/>
      <c r="JU230" s="15"/>
      <c r="JV230" s="15"/>
      <c r="JW230" s="10"/>
      <c r="JX230" s="10"/>
      <c r="JY230" s="21"/>
      <c r="JZ230" s="21"/>
      <c r="KC230" s="21"/>
      <c r="KD230" s="15"/>
      <c r="KE230" s="15"/>
      <c r="KF230" s="15"/>
      <c r="KG230" s="15"/>
      <c r="KH230" s="15"/>
      <c r="KI230" s="15"/>
      <c r="KJ230" s="15"/>
      <c r="KK230" s="15"/>
      <c r="KL230" s="15"/>
      <c r="KM230" s="15"/>
      <c r="KN230" s="10"/>
      <c r="KO230" s="10"/>
      <c r="KP230" s="21"/>
      <c r="KQ230" s="21"/>
      <c r="KT230" s="21"/>
      <c r="KU230" s="15"/>
      <c r="KV230" s="15"/>
      <c r="KW230" s="15"/>
      <c r="KX230" s="15"/>
      <c r="KY230" s="15"/>
      <c r="KZ230" s="15"/>
      <c r="LA230" s="15"/>
      <c r="LB230" s="15"/>
      <c r="LC230" s="15"/>
      <c r="LD230" s="15"/>
      <c r="LE230" s="10"/>
      <c r="LF230" s="10"/>
      <c r="LG230" s="21"/>
      <c r="LH230" s="21"/>
      <c r="LK230" s="21"/>
      <c r="LL230" s="15"/>
      <c r="LM230" s="15"/>
      <c r="LN230" s="15"/>
      <c r="LO230" s="15"/>
      <c r="LP230" s="15"/>
      <c r="LQ230" s="15"/>
      <c r="LR230" s="15"/>
      <c r="LS230" s="15"/>
      <c r="LT230" s="15"/>
      <c r="LU230" s="15"/>
      <c r="LV230" s="10"/>
      <c r="LW230" s="10"/>
      <c r="LX230" s="21"/>
      <c r="LY230" s="21"/>
      <c r="MB230" s="21"/>
      <c r="MC230" s="15"/>
      <c r="MD230" s="15"/>
      <c r="ME230" s="15"/>
      <c r="MF230" s="15"/>
      <c r="MG230" s="15"/>
      <c r="MH230" s="15"/>
      <c r="MI230" s="15"/>
      <c r="MJ230" s="15"/>
      <c r="MK230" s="15"/>
      <c r="ML230" s="15"/>
      <c r="MM230" s="10"/>
      <c r="MN230" s="10"/>
      <c r="MO230" s="21"/>
      <c r="MP230" s="21"/>
      <c r="MS230" s="21"/>
      <c r="MT230" s="15"/>
      <c r="MU230" s="15"/>
      <c r="MV230" s="15"/>
      <c r="MW230" s="15"/>
      <c r="MX230" s="15"/>
      <c r="MY230" s="15"/>
      <c r="MZ230" s="15"/>
      <c r="NA230" s="15"/>
      <c r="NB230" s="15"/>
      <c r="NC230" s="15"/>
      <c r="ND230" s="10"/>
      <c r="NE230" s="10"/>
      <c r="NF230" s="21"/>
      <c r="NG230" s="21"/>
      <c r="NJ230" s="21"/>
      <c r="NK230" s="15"/>
      <c r="NL230" s="15"/>
      <c r="NM230" s="15"/>
      <c r="NN230" s="15"/>
      <c r="NO230" s="15"/>
      <c r="NP230" s="15"/>
      <c r="NQ230" s="15"/>
      <c r="NR230" s="15"/>
      <c r="NS230" s="15"/>
      <c r="NT230" s="15"/>
      <c r="NU230" s="10"/>
      <c r="NV230" s="10"/>
      <c r="NW230" s="21"/>
      <c r="NX230" s="21"/>
      <c r="OA230" s="21"/>
      <c r="OB230" s="15"/>
      <c r="OC230" s="15"/>
      <c r="OD230" s="15"/>
      <c r="OE230" s="15"/>
      <c r="OF230" s="15"/>
      <c r="OG230" s="15"/>
      <c r="OH230" s="15"/>
      <c r="OI230" s="15"/>
      <c r="OJ230" s="15"/>
      <c r="OK230" s="15"/>
      <c r="OL230" s="10"/>
      <c r="OM230" s="10"/>
      <c r="ON230" s="21"/>
      <c r="OO230" s="21"/>
      <c r="OR230" s="21"/>
      <c r="OS230" s="15"/>
      <c r="OT230" s="15"/>
      <c r="OU230" s="15"/>
      <c r="OV230" s="15"/>
      <c r="OW230" s="15"/>
      <c r="OX230" s="15"/>
      <c r="OY230" s="15"/>
      <c r="OZ230" s="15"/>
      <c r="PA230" s="15"/>
      <c r="PB230" s="15"/>
      <c r="PC230" s="10"/>
      <c r="PD230" s="10"/>
      <c r="PE230" s="21"/>
      <c r="PF230" s="21"/>
      <c r="PI230" s="21"/>
      <c r="PJ230" s="15"/>
      <c r="PK230" s="15"/>
      <c r="PL230" s="15"/>
      <c r="PM230" s="15"/>
      <c r="PN230" s="15"/>
      <c r="PO230" s="15"/>
      <c r="PP230" s="15"/>
      <c r="PQ230" s="15"/>
      <c r="PR230" s="15"/>
      <c r="PS230" s="15"/>
      <c r="PT230" s="10"/>
      <c r="PU230" s="10"/>
      <c r="PV230" s="21"/>
      <c r="PW230" s="21"/>
      <c r="PZ230" s="21"/>
      <c r="QA230" s="15"/>
      <c r="QB230" s="15"/>
      <c r="QC230" s="15"/>
      <c r="QD230" s="15"/>
      <c r="QE230" s="15"/>
      <c r="QF230" s="15"/>
      <c r="QG230" s="15"/>
      <c r="QH230" s="15"/>
      <c r="QI230" s="15"/>
      <c r="QJ230" s="15"/>
      <c r="QK230" s="10"/>
      <c r="QL230" s="10"/>
      <c r="QM230" s="21"/>
      <c r="QN230" s="21"/>
      <c r="QQ230" s="21"/>
      <c r="QR230" s="15"/>
      <c r="QS230" s="15"/>
      <c r="QT230" s="15"/>
      <c r="QU230" s="15"/>
      <c r="QV230" s="15"/>
      <c r="QW230" s="15"/>
      <c r="QX230" s="15"/>
      <c r="QY230" s="15"/>
      <c r="QZ230" s="15"/>
      <c r="RA230" s="15"/>
      <c r="RB230" s="10"/>
      <c r="RC230" s="10"/>
      <c r="RD230" s="21"/>
      <c r="RE230" s="21"/>
      <c r="RH230" s="21"/>
      <c r="RI230" s="15"/>
      <c r="RJ230" s="15"/>
      <c r="RK230" s="15"/>
      <c r="RL230" s="15"/>
      <c r="RM230" s="15"/>
      <c r="RN230" s="15"/>
      <c r="RO230" s="15"/>
      <c r="RP230" s="15"/>
      <c r="RQ230" s="15"/>
      <c r="RR230" s="15"/>
      <c r="RS230" s="10"/>
      <c r="RT230" s="10"/>
      <c r="RU230" s="21"/>
      <c r="RV230" s="21"/>
      <c r="RY230" s="21"/>
      <c r="RZ230" s="15"/>
      <c r="SA230" s="15"/>
      <c r="SB230" s="15"/>
      <c r="SC230" s="15"/>
      <c r="SD230" s="15"/>
      <c r="SE230" s="15"/>
      <c r="SF230" s="15"/>
      <c r="SG230" s="15"/>
      <c r="SH230" s="15"/>
      <c r="SI230" s="15"/>
      <c r="SJ230" s="10"/>
      <c r="SK230" s="10"/>
      <c r="SL230" s="21"/>
      <c r="SM230" s="21"/>
      <c r="SP230" s="21"/>
      <c r="SQ230" s="15"/>
      <c r="SR230" s="15"/>
      <c r="SS230" s="15"/>
      <c r="ST230" s="15"/>
      <c r="SU230" s="15"/>
      <c r="SV230" s="15"/>
      <c r="SW230" s="15"/>
      <c r="SX230" s="15"/>
      <c r="SY230" s="15"/>
      <c r="SZ230" s="15"/>
      <c r="TA230" s="10"/>
      <c r="TB230" s="10"/>
      <c r="TC230" s="21"/>
      <c r="TD230" s="21"/>
      <c r="TG230" s="21"/>
      <c r="TH230" s="15"/>
      <c r="TI230" s="15"/>
      <c r="TJ230" s="15"/>
      <c r="TK230" s="15"/>
      <c r="TL230" s="15"/>
      <c r="TM230" s="15"/>
      <c r="TN230" s="15"/>
      <c r="TO230" s="15"/>
      <c r="TP230" s="15"/>
      <c r="TQ230" s="15"/>
      <c r="TR230" s="10"/>
      <c r="TS230" s="10"/>
      <c r="TT230" s="21"/>
      <c r="TU230" s="21"/>
      <c r="TX230" s="21"/>
      <c r="TY230" s="15"/>
      <c r="TZ230" s="15"/>
      <c r="UA230" s="15"/>
      <c r="UB230" s="15"/>
      <c r="UC230" s="15"/>
      <c r="UD230" s="15"/>
      <c r="UE230" s="15"/>
      <c r="UF230" s="15"/>
      <c r="UG230" s="15"/>
      <c r="UH230" s="15"/>
      <c r="UI230" s="10"/>
      <c r="UJ230" s="10"/>
      <c r="UK230" s="21"/>
      <c r="UL230" s="21"/>
      <c r="UO230" s="21"/>
      <c r="UP230" s="15"/>
      <c r="UQ230" s="15"/>
      <c r="UR230" s="15"/>
      <c r="US230" s="15"/>
      <c r="UT230" s="15"/>
      <c r="UU230" s="15"/>
      <c r="UV230" s="15"/>
      <c r="UW230" s="15"/>
      <c r="UX230" s="15"/>
      <c r="UY230" s="15"/>
      <c r="UZ230" s="10"/>
      <c r="VA230" s="10"/>
      <c r="VB230" s="21"/>
      <c r="VC230" s="21"/>
      <c r="VF230" s="21"/>
      <c r="VG230" s="15"/>
      <c r="VH230" s="15"/>
      <c r="VI230" s="15"/>
      <c r="VJ230" s="15"/>
      <c r="VK230" s="15"/>
      <c r="VL230" s="15"/>
      <c r="VM230" s="15"/>
      <c r="VN230" s="15"/>
      <c r="VO230" s="15"/>
      <c r="VP230" s="15"/>
      <c r="VQ230" s="10"/>
      <c r="VR230" s="10"/>
      <c r="VS230" s="21"/>
      <c r="VT230" s="21"/>
      <c r="VW230" s="21"/>
      <c r="VX230" s="15"/>
      <c r="VY230" s="15"/>
      <c r="VZ230" s="15"/>
      <c r="WA230" s="15"/>
      <c r="WB230" s="15"/>
      <c r="WC230" s="15"/>
      <c r="WD230" s="15"/>
      <c r="WE230" s="15"/>
      <c r="WF230" s="15"/>
      <c r="WG230" s="15"/>
      <c r="WH230" s="10"/>
      <c r="WI230" s="10"/>
      <c r="WJ230" s="21"/>
      <c r="WK230" s="21"/>
      <c r="WN230" s="21"/>
      <c r="WO230" s="15"/>
      <c r="WP230" s="15"/>
      <c r="WQ230" s="15"/>
      <c r="WR230" s="15"/>
      <c r="WS230" s="15"/>
      <c r="WT230" s="15"/>
      <c r="WU230" s="15"/>
      <c r="WV230" s="15"/>
      <c r="WW230" s="15"/>
      <c r="WX230" s="15"/>
      <c r="WY230" s="10"/>
      <c r="WZ230" s="10"/>
      <c r="XA230" s="21"/>
      <c r="XB230" s="21"/>
      <c r="XE230" s="21"/>
      <c r="XF230" s="15"/>
      <c r="XG230" s="15"/>
      <c r="XH230" s="15"/>
      <c r="XI230" s="15"/>
      <c r="XJ230" s="15"/>
      <c r="XK230" s="15"/>
      <c r="XL230" s="15"/>
      <c r="XM230" s="15"/>
      <c r="XN230" s="15"/>
      <c r="XO230" s="15"/>
      <c r="XP230" s="10"/>
      <c r="XQ230" s="10"/>
      <c r="XR230" s="21"/>
      <c r="XS230" s="21"/>
      <c r="XV230" s="21"/>
      <c r="XW230" s="15"/>
      <c r="XX230" s="15"/>
      <c r="XY230" s="15"/>
      <c r="XZ230" s="15"/>
      <c r="YA230" s="15"/>
      <c r="YB230" s="15"/>
      <c r="YC230" s="15"/>
      <c r="YD230" s="15"/>
      <c r="YE230" s="15"/>
      <c r="YF230" s="15"/>
      <c r="YG230" s="10"/>
      <c r="YH230" s="10"/>
      <c r="YI230" s="21"/>
      <c r="YJ230" s="21"/>
      <c r="YM230" s="21"/>
      <c r="YN230" s="15"/>
      <c r="YO230" s="15"/>
      <c r="YP230" s="15"/>
      <c r="YQ230" s="15"/>
      <c r="YR230" s="15"/>
      <c r="YS230" s="15"/>
      <c r="YT230" s="15"/>
      <c r="YU230" s="15"/>
      <c r="YV230" s="15"/>
      <c r="YW230" s="15"/>
      <c r="YX230" s="10"/>
      <c r="YY230" s="10"/>
      <c r="YZ230" s="21"/>
      <c r="ZA230" s="21"/>
      <c r="ZD230" s="21"/>
      <c r="ZE230" s="15"/>
      <c r="ZF230" s="15"/>
      <c r="ZG230" s="15"/>
      <c r="ZH230" s="15"/>
      <c r="ZI230" s="15"/>
      <c r="ZJ230" s="15"/>
      <c r="ZK230" s="15"/>
      <c r="ZL230" s="15"/>
      <c r="ZM230" s="15"/>
      <c r="ZN230" s="15"/>
      <c r="ZO230" s="10"/>
      <c r="ZP230" s="10"/>
      <c r="ZQ230" s="21"/>
      <c r="ZR230" s="21"/>
      <c r="ZU230" s="21"/>
      <c r="ZV230" s="15"/>
      <c r="ZW230" s="15"/>
      <c r="ZX230" s="15"/>
      <c r="ZY230" s="15"/>
      <c r="ZZ230" s="15"/>
      <c r="AAA230" s="15"/>
      <c r="AAB230" s="15"/>
      <c r="AAC230" s="15"/>
      <c r="AAD230" s="15"/>
      <c r="AAE230" s="15"/>
      <c r="AAF230" s="10"/>
      <c r="AAG230" s="10"/>
      <c r="AAH230" s="21"/>
      <c r="AAI230" s="21"/>
      <c r="AAL230" s="21"/>
      <c r="AAM230" s="15"/>
      <c r="AAN230" s="15"/>
      <c r="AAO230" s="15"/>
      <c r="AAP230" s="15"/>
      <c r="AAQ230" s="15"/>
      <c r="AAR230" s="15"/>
      <c r="AAS230" s="15"/>
      <c r="AAT230" s="15"/>
      <c r="AAU230" s="15"/>
      <c r="AAV230" s="15"/>
      <c r="AAW230" s="10"/>
      <c r="AAX230" s="10"/>
      <c r="AAY230" s="21"/>
      <c r="AAZ230" s="21"/>
      <c r="ABC230" s="21"/>
      <c r="ABD230" s="15"/>
      <c r="ABE230" s="15"/>
      <c r="ABF230" s="15"/>
      <c r="ABG230" s="15"/>
      <c r="ABH230" s="15"/>
      <c r="ABI230" s="15"/>
      <c r="ABJ230" s="15"/>
      <c r="ABK230" s="15"/>
      <c r="ABL230" s="15"/>
      <c r="ABM230" s="15"/>
      <c r="ABN230" s="10"/>
      <c r="ABO230" s="10"/>
      <c r="ABP230" s="21"/>
      <c r="ABQ230" s="21"/>
      <c r="ABT230" s="21"/>
      <c r="ABU230" s="15"/>
      <c r="ABV230" s="15"/>
      <c r="ABW230" s="15"/>
      <c r="ABX230" s="15"/>
      <c r="ABY230" s="15"/>
      <c r="ABZ230" s="15"/>
      <c r="ACA230" s="15"/>
      <c r="ACB230" s="15"/>
      <c r="ACC230" s="15"/>
      <c r="ACD230" s="15"/>
      <c r="ACE230" s="10"/>
      <c r="ACF230" s="10"/>
      <c r="ACG230" s="21"/>
      <c r="ACH230" s="21"/>
      <c r="ACK230" s="21"/>
      <c r="ACL230" s="15"/>
      <c r="ACM230" s="15"/>
      <c r="ACN230" s="15"/>
      <c r="ACO230" s="15"/>
      <c r="ACP230" s="15"/>
      <c r="ACQ230" s="15"/>
      <c r="ACR230" s="15"/>
      <c r="ACS230" s="15"/>
      <c r="ACT230" s="15"/>
      <c r="ACU230" s="15"/>
      <c r="ACV230" s="10"/>
      <c r="ACW230" s="10"/>
      <c r="ACX230" s="21"/>
      <c r="ACY230" s="21"/>
      <c r="ADB230" s="21"/>
      <c r="ADC230" s="15"/>
      <c r="ADD230" s="15"/>
      <c r="ADE230" s="15"/>
      <c r="ADF230" s="15"/>
      <c r="ADG230" s="15"/>
      <c r="ADH230" s="15"/>
      <c r="ADI230" s="15"/>
      <c r="ADJ230" s="15"/>
      <c r="ADK230" s="15"/>
      <c r="ADL230" s="15"/>
      <c r="ADM230" s="10"/>
      <c r="ADN230" s="10"/>
      <c r="ADO230" s="21"/>
      <c r="ADP230" s="21"/>
      <c r="ADS230" s="21"/>
      <c r="ADT230" s="15"/>
      <c r="ADU230" s="15"/>
      <c r="ADV230" s="15"/>
      <c r="ADW230" s="15"/>
      <c r="ADX230" s="15"/>
      <c r="ADY230" s="15"/>
      <c r="ADZ230" s="15"/>
      <c r="AEA230" s="15"/>
      <c r="AEB230" s="15"/>
      <c r="AEC230" s="15"/>
      <c r="AED230" s="10"/>
      <c r="AEE230" s="10"/>
      <c r="AEF230" s="21"/>
      <c r="AEG230" s="21"/>
      <c r="AEJ230" s="21"/>
      <c r="AEK230" s="15"/>
      <c r="AEL230" s="15"/>
      <c r="AEM230" s="15"/>
      <c r="AEN230" s="15"/>
      <c r="AEO230" s="15"/>
      <c r="AEP230" s="15"/>
      <c r="AEQ230" s="15"/>
      <c r="AER230" s="15"/>
      <c r="AES230" s="15"/>
      <c r="AET230" s="15"/>
      <c r="AEU230" s="10"/>
      <c r="AEV230" s="10"/>
      <c r="AEW230" s="21"/>
      <c r="AEX230" s="21"/>
      <c r="AFA230" s="21"/>
      <c r="AFB230" s="15"/>
      <c r="AFC230" s="15"/>
      <c r="AFD230" s="15"/>
      <c r="AFE230" s="15"/>
      <c r="AFF230" s="15"/>
      <c r="AFG230" s="15"/>
      <c r="AFH230" s="15"/>
      <c r="AFI230" s="15"/>
      <c r="AFJ230" s="15"/>
      <c r="AFK230" s="15"/>
      <c r="AFL230" s="10"/>
      <c r="AFM230" s="10"/>
      <c r="AFN230" s="21"/>
      <c r="AFO230" s="21"/>
      <c r="AFR230" s="21"/>
      <c r="AFS230" s="15"/>
      <c r="AFT230" s="15"/>
      <c r="AFU230" s="15"/>
      <c r="AFV230" s="15"/>
      <c r="AFW230" s="15"/>
      <c r="AFX230" s="15"/>
      <c r="AFY230" s="15"/>
      <c r="AFZ230" s="15"/>
      <c r="AGA230" s="15"/>
      <c r="AGB230" s="15"/>
      <c r="AGC230" s="10"/>
      <c r="AGD230" s="10"/>
      <c r="AGE230" s="21"/>
      <c r="AGF230" s="21"/>
      <c r="AGI230" s="21"/>
      <c r="AGJ230" s="15"/>
      <c r="AGK230" s="15"/>
      <c r="AGL230" s="15"/>
      <c r="AGM230" s="15"/>
      <c r="AGN230" s="15"/>
      <c r="AGO230" s="15"/>
      <c r="AGP230" s="15"/>
      <c r="AGQ230" s="15"/>
      <c r="AGR230" s="15"/>
      <c r="AGS230" s="15"/>
      <c r="AGT230" s="10"/>
      <c r="AGU230" s="10"/>
      <c r="AGV230" s="21"/>
      <c r="AGW230" s="21"/>
      <c r="AGZ230" s="21"/>
      <c r="AHA230" s="15"/>
      <c r="AHB230" s="15"/>
      <c r="AHC230" s="15"/>
      <c r="AHD230" s="15"/>
      <c r="AHE230" s="15"/>
      <c r="AHF230" s="15"/>
      <c r="AHG230" s="15"/>
      <c r="AHH230" s="15"/>
      <c r="AHI230" s="15"/>
      <c r="AHJ230" s="15"/>
      <c r="AHK230" s="10"/>
      <c r="AHL230" s="10"/>
      <c r="AHM230" s="21"/>
      <c r="AHN230" s="21"/>
      <c r="AHQ230" s="21"/>
      <c r="AHR230" s="15"/>
      <c r="AHS230" s="15"/>
      <c r="AHT230" s="15"/>
      <c r="AHU230" s="15"/>
      <c r="AHV230" s="15"/>
      <c r="AHW230" s="15"/>
      <c r="AHX230" s="15"/>
      <c r="AHY230" s="15"/>
      <c r="AHZ230" s="15"/>
      <c r="AIA230" s="15"/>
      <c r="AIB230" s="10"/>
      <c r="AIC230" s="10"/>
      <c r="AID230" s="21"/>
      <c r="AIE230" s="21"/>
      <c r="AIH230" s="21"/>
      <c r="AII230" s="15"/>
      <c r="AIJ230" s="15"/>
      <c r="AIK230" s="15"/>
      <c r="AIL230" s="15"/>
      <c r="AIM230" s="15"/>
      <c r="AIN230" s="15"/>
      <c r="AIO230" s="15"/>
      <c r="AIP230" s="15"/>
      <c r="AIQ230" s="15"/>
      <c r="AIR230" s="15"/>
      <c r="AIS230" s="10"/>
      <c r="AIT230" s="10"/>
      <c r="AIU230" s="21"/>
      <c r="AIV230" s="21"/>
      <c r="AIY230" s="21"/>
      <c r="AIZ230" s="15"/>
      <c r="AJA230" s="15"/>
      <c r="AJB230" s="15"/>
      <c r="AJC230" s="15"/>
      <c r="AJD230" s="15"/>
      <c r="AJE230" s="15"/>
      <c r="AJF230" s="15"/>
      <c r="AJG230" s="15"/>
      <c r="AJH230" s="15"/>
      <c r="AJI230" s="15"/>
      <c r="AJJ230" s="10"/>
      <c r="AJK230" s="10"/>
      <c r="AJL230" s="21"/>
      <c r="AJM230" s="21"/>
      <c r="AJP230" s="21"/>
      <c r="AJQ230" s="15"/>
      <c r="AJR230" s="15"/>
      <c r="AJS230" s="15"/>
      <c r="AJT230" s="15"/>
      <c r="AJU230" s="15"/>
      <c r="AJV230" s="15"/>
      <c r="AJW230" s="15"/>
      <c r="AJX230" s="15"/>
      <c r="AJY230" s="15"/>
      <c r="AJZ230" s="15"/>
      <c r="AKA230" s="10"/>
      <c r="AKB230" s="10"/>
      <c r="AKC230" s="21"/>
      <c r="AKD230" s="21"/>
      <c r="AKG230" s="21"/>
      <c r="AKH230" s="15"/>
      <c r="AKI230" s="15"/>
      <c r="AKJ230" s="15"/>
      <c r="AKK230" s="15"/>
      <c r="AKL230" s="15"/>
      <c r="AKM230" s="15"/>
      <c r="AKN230" s="15"/>
      <c r="AKO230" s="15"/>
      <c r="AKP230" s="15"/>
      <c r="AKQ230" s="15"/>
      <c r="AKR230" s="10"/>
      <c r="AKS230" s="10"/>
      <c r="AKT230" s="21"/>
      <c r="AKU230" s="21"/>
      <c r="AKX230" s="21"/>
      <c r="AKY230" s="15"/>
      <c r="AKZ230" s="15"/>
      <c r="ALA230" s="15"/>
      <c r="ALB230" s="15"/>
      <c r="ALC230" s="15"/>
      <c r="ALD230" s="15"/>
      <c r="ALE230" s="15"/>
      <c r="ALF230" s="15"/>
      <c r="ALG230" s="15"/>
      <c r="ALH230" s="15"/>
      <c r="ALI230" s="10"/>
      <c r="ALJ230" s="10"/>
      <c r="ALK230" s="21"/>
      <c r="ALL230" s="21"/>
      <c r="ALO230" s="21"/>
      <c r="ALP230" s="15"/>
      <c r="ALQ230" s="15"/>
      <c r="ALR230" s="15"/>
      <c r="ALS230" s="15"/>
      <c r="ALT230" s="15"/>
      <c r="ALU230" s="15"/>
      <c r="ALV230" s="15"/>
      <c r="ALW230" s="15"/>
      <c r="ALX230" s="15"/>
      <c r="ALY230" s="15"/>
      <c r="ALZ230" s="10"/>
      <c r="AMA230" s="10"/>
      <c r="AMB230" s="21"/>
      <c r="AMC230" s="21"/>
      <c r="AMF230" s="21"/>
      <c r="AMG230" s="15"/>
      <c r="AMH230" s="15"/>
      <c r="AMI230" s="15"/>
      <c r="AMJ230" s="15"/>
      <c r="AMK230" s="15"/>
      <c r="AML230" s="15"/>
      <c r="AMM230" s="15"/>
      <c r="AMN230" s="15"/>
      <c r="AMO230" s="15"/>
      <c r="AMP230" s="15"/>
      <c r="AMQ230" s="10"/>
      <c r="AMR230" s="10"/>
      <c r="AMS230" s="21"/>
      <c r="AMT230" s="21"/>
      <c r="AMW230" s="21"/>
      <c r="AMX230" s="15"/>
      <c r="AMY230" s="15"/>
      <c r="AMZ230" s="15"/>
      <c r="ANA230" s="15"/>
      <c r="ANB230" s="15"/>
      <c r="ANC230" s="15"/>
      <c r="AND230" s="15"/>
      <c r="ANE230" s="15"/>
      <c r="ANF230" s="15"/>
      <c r="ANG230" s="15"/>
      <c r="ANH230" s="10"/>
      <c r="ANI230" s="10"/>
      <c r="ANJ230" s="21"/>
      <c r="ANK230" s="21"/>
      <c r="ANN230" s="21"/>
      <c r="ANO230" s="15"/>
      <c r="ANP230" s="15"/>
      <c r="ANQ230" s="15"/>
      <c r="ANR230" s="15"/>
      <c r="ANS230" s="15"/>
      <c r="ANT230" s="15"/>
      <c r="ANU230" s="15"/>
      <c r="ANV230" s="15"/>
      <c r="ANW230" s="15"/>
      <c r="ANX230" s="15"/>
      <c r="ANY230" s="10"/>
      <c r="ANZ230" s="10"/>
      <c r="AOA230" s="21"/>
      <c r="AOB230" s="21"/>
      <c r="AOE230" s="21"/>
      <c r="AOF230" s="15"/>
      <c r="AOG230" s="15"/>
      <c r="AOH230" s="15"/>
      <c r="AOI230" s="15"/>
      <c r="AOJ230" s="15"/>
      <c r="AOK230" s="15"/>
      <c r="AOL230" s="15"/>
      <c r="AOM230" s="15"/>
      <c r="AON230" s="15"/>
      <c r="AOO230" s="15"/>
      <c r="AOP230" s="10"/>
      <c r="AOQ230" s="10"/>
      <c r="AOR230" s="21"/>
      <c r="AOS230" s="21"/>
      <c r="AOV230" s="21"/>
      <c r="AOW230" s="15"/>
      <c r="AOX230" s="15"/>
      <c r="AOY230" s="15"/>
      <c r="AOZ230" s="15"/>
      <c r="APA230" s="15"/>
      <c r="APB230" s="15"/>
      <c r="APC230" s="15"/>
      <c r="APD230" s="15"/>
      <c r="APE230" s="15"/>
      <c r="APF230" s="15"/>
      <c r="APG230" s="10"/>
      <c r="APH230" s="10"/>
      <c r="API230" s="21"/>
      <c r="APJ230" s="21"/>
      <c r="APM230" s="21"/>
      <c r="APN230" s="15"/>
      <c r="APO230" s="15"/>
      <c r="APP230" s="15"/>
      <c r="APQ230" s="15"/>
      <c r="APR230" s="15"/>
      <c r="APS230" s="15"/>
      <c r="APT230" s="15"/>
      <c r="APU230" s="15"/>
      <c r="APV230" s="15"/>
      <c r="APW230" s="15"/>
      <c r="APX230" s="10"/>
      <c r="APY230" s="10"/>
      <c r="APZ230" s="21"/>
      <c r="AQA230" s="21"/>
      <c r="AQD230" s="21"/>
      <c r="AQE230" s="15"/>
      <c r="AQF230" s="15"/>
      <c r="AQG230" s="15"/>
      <c r="AQH230" s="15"/>
      <c r="AQI230" s="15"/>
      <c r="AQJ230" s="15"/>
      <c r="AQK230" s="15"/>
      <c r="AQL230" s="15"/>
      <c r="AQM230" s="15"/>
      <c r="AQN230" s="15"/>
      <c r="AQO230" s="10"/>
      <c r="AQP230" s="10"/>
      <c r="AQQ230" s="21"/>
      <c r="AQR230" s="21"/>
      <c r="AQU230" s="21"/>
      <c r="AQV230" s="15"/>
      <c r="AQW230" s="15"/>
      <c r="AQX230" s="15"/>
      <c r="AQY230" s="15"/>
      <c r="AQZ230" s="15"/>
      <c r="ARA230" s="15"/>
      <c r="ARB230" s="15"/>
      <c r="ARC230" s="15"/>
      <c r="ARD230" s="15"/>
      <c r="ARE230" s="15"/>
      <c r="ARF230" s="10"/>
      <c r="ARG230" s="10"/>
      <c r="ARH230" s="21"/>
      <c r="ARI230" s="21"/>
      <c r="ARL230" s="21"/>
      <c r="ARM230" s="15"/>
      <c r="ARN230" s="15"/>
      <c r="ARO230" s="15"/>
      <c r="ARP230" s="15"/>
      <c r="ARQ230" s="15"/>
      <c r="ARR230" s="15"/>
      <c r="ARS230" s="15"/>
      <c r="ART230" s="15"/>
      <c r="ARU230" s="15"/>
      <c r="ARV230" s="15"/>
      <c r="ARW230" s="10"/>
      <c r="ARX230" s="10"/>
      <c r="ARY230" s="21"/>
      <c r="ARZ230" s="21"/>
      <c r="ASC230" s="21"/>
      <c r="ASD230" s="15"/>
      <c r="ASE230" s="15"/>
      <c r="ASF230" s="15"/>
      <c r="ASG230" s="15"/>
      <c r="ASH230" s="15"/>
      <c r="ASI230" s="15"/>
      <c r="ASJ230" s="15"/>
      <c r="ASK230" s="15"/>
      <c r="ASL230" s="15"/>
      <c r="ASM230" s="15"/>
      <c r="ASN230" s="10"/>
      <c r="ASO230" s="10"/>
      <c r="ASP230" s="21"/>
      <c r="ASQ230" s="21"/>
      <c r="AST230" s="21"/>
      <c r="ASU230" s="15"/>
      <c r="ASV230" s="15"/>
      <c r="ASW230" s="15"/>
      <c r="ASX230" s="15"/>
      <c r="ASY230" s="15"/>
      <c r="ASZ230" s="15"/>
      <c r="ATA230" s="15"/>
      <c r="ATB230" s="15"/>
      <c r="ATC230" s="15"/>
      <c r="ATD230" s="15"/>
      <c r="ATE230" s="10"/>
      <c r="ATF230" s="10"/>
      <c r="ATG230" s="21"/>
      <c r="ATH230" s="21"/>
      <c r="ATK230" s="21"/>
      <c r="ATL230" s="15"/>
      <c r="ATM230" s="15"/>
      <c r="ATN230" s="15"/>
      <c r="ATO230" s="15"/>
      <c r="ATP230" s="15"/>
      <c r="ATQ230" s="15"/>
      <c r="ATR230" s="15"/>
      <c r="ATS230" s="15"/>
      <c r="ATT230" s="15"/>
      <c r="ATU230" s="15"/>
      <c r="ATV230" s="10"/>
      <c r="ATW230" s="10"/>
      <c r="ATX230" s="21"/>
      <c r="ATY230" s="21"/>
      <c r="AUB230" s="21"/>
      <c r="AUC230" s="15"/>
      <c r="AUD230" s="15"/>
      <c r="AUE230" s="15"/>
      <c r="AUF230" s="15"/>
      <c r="AUG230" s="15"/>
      <c r="AUH230" s="15"/>
      <c r="AUI230" s="15"/>
      <c r="AUJ230" s="15"/>
      <c r="AUK230" s="15"/>
      <c r="AUL230" s="15"/>
      <c r="AUM230" s="10"/>
      <c r="AUN230" s="10"/>
      <c r="AUO230" s="21"/>
      <c r="AUP230" s="21"/>
      <c r="AUS230" s="21"/>
      <c r="AUT230" s="15"/>
      <c r="AUU230" s="15"/>
      <c r="AUV230" s="15"/>
      <c r="AUW230" s="15"/>
      <c r="AUX230" s="15"/>
      <c r="AUY230" s="15"/>
      <c r="AUZ230" s="15"/>
      <c r="AVA230" s="15"/>
      <c r="AVB230" s="15"/>
      <c r="AVC230" s="15"/>
      <c r="AVD230" s="10"/>
      <c r="AVE230" s="10"/>
      <c r="AVF230" s="21"/>
      <c r="AVG230" s="21"/>
      <c r="AVJ230" s="21"/>
      <c r="AVK230" s="15"/>
      <c r="AVL230" s="15"/>
      <c r="AVM230" s="15"/>
      <c r="AVN230" s="15"/>
      <c r="AVO230" s="15"/>
      <c r="AVP230" s="15"/>
      <c r="AVQ230" s="15"/>
      <c r="AVR230" s="15"/>
      <c r="AVS230" s="15"/>
      <c r="AVT230" s="15"/>
      <c r="AVU230" s="10"/>
      <c r="AVV230" s="10"/>
      <c r="AVW230" s="21"/>
      <c r="AVX230" s="21"/>
      <c r="AWA230" s="21"/>
      <c r="AWB230" s="15"/>
      <c r="AWC230" s="15"/>
      <c r="AWD230" s="15"/>
      <c r="AWE230" s="15"/>
      <c r="AWF230" s="15"/>
      <c r="AWG230" s="15"/>
      <c r="AWH230" s="15"/>
      <c r="AWI230" s="15"/>
      <c r="AWJ230" s="15"/>
      <c r="AWK230" s="15"/>
      <c r="AWL230" s="10"/>
      <c r="AWM230" s="10"/>
      <c r="AWN230" s="21"/>
      <c r="AWO230" s="21"/>
      <c r="AWR230" s="21"/>
      <c r="AWS230" s="15"/>
      <c r="AWT230" s="15"/>
      <c r="AWU230" s="15"/>
      <c r="AWV230" s="15"/>
      <c r="AWW230" s="15"/>
      <c r="AWX230" s="15"/>
      <c r="AWY230" s="15"/>
      <c r="AWZ230" s="15"/>
      <c r="AXA230" s="15"/>
      <c r="AXB230" s="15"/>
      <c r="AXC230" s="10"/>
      <c r="AXD230" s="10"/>
      <c r="AXE230" s="21"/>
      <c r="AXF230" s="21"/>
      <c r="AXI230" s="21"/>
      <c r="AXJ230" s="15"/>
      <c r="AXK230" s="15"/>
      <c r="AXL230" s="15"/>
      <c r="AXM230" s="15"/>
      <c r="AXN230" s="15"/>
      <c r="AXO230" s="15"/>
      <c r="AXP230" s="15"/>
      <c r="AXQ230" s="15"/>
      <c r="AXR230" s="15"/>
      <c r="AXS230" s="15"/>
      <c r="AXT230" s="10"/>
      <c r="AXU230" s="10"/>
      <c r="AXV230" s="21"/>
      <c r="AXW230" s="21"/>
      <c r="AXZ230" s="21"/>
      <c r="AYA230" s="15"/>
      <c r="AYB230" s="15"/>
      <c r="AYC230" s="15"/>
      <c r="AYD230" s="15"/>
      <c r="AYE230" s="15"/>
      <c r="AYF230" s="15"/>
      <c r="AYG230" s="15"/>
      <c r="AYH230" s="15"/>
      <c r="AYI230" s="15"/>
      <c r="AYJ230" s="15"/>
      <c r="AYK230" s="10"/>
      <c r="AYL230" s="10"/>
      <c r="AYM230" s="21"/>
      <c r="AYN230" s="21"/>
      <c r="AYQ230" s="21"/>
      <c r="AYR230" s="15"/>
      <c r="AYS230" s="15"/>
      <c r="AYT230" s="15"/>
      <c r="AYU230" s="15"/>
      <c r="AYV230" s="15"/>
      <c r="AYW230" s="15"/>
      <c r="AYX230" s="15"/>
      <c r="AYY230" s="15"/>
      <c r="AYZ230" s="15"/>
      <c r="AZA230" s="15"/>
      <c r="AZB230" s="10"/>
      <c r="AZC230" s="10"/>
      <c r="AZD230" s="21"/>
      <c r="AZE230" s="21"/>
      <c r="AZH230" s="21"/>
      <c r="AZI230" s="15"/>
      <c r="AZJ230" s="15"/>
      <c r="AZK230" s="15"/>
      <c r="AZL230" s="15"/>
      <c r="AZM230" s="15"/>
      <c r="AZN230" s="15"/>
      <c r="AZO230" s="15"/>
      <c r="AZP230" s="15"/>
      <c r="AZQ230" s="15"/>
      <c r="AZR230" s="15"/>
      <c r="AZS230" s="10"/>
      <c r="AZT230" s="10"/>
      <c r="AZU230" s="21"/>
      <c r="AZV230" s="21"/>
      <c r="AZY230" s="21"/>
      <c r="AZZ230" s="15"/>
      <c r="BAA230" s="15"/>
      <c r="BAB230" s="15"/>
      <c r="BAC230" s="15"/>
      <c r="BAD230" s="15"/>
      <c r="BAE230" s="15"/>
      <c r="BAF230" s="15"/>
      <c r="BAG230" s="15"/>
      <c r="BAH230" s="15"/>
      <c r="BAI230" s="15"/>
      <c r="BAJ230" s="10"/>
      <c r="BAK230" s="10"/>
      <c r="BAL230" s="21"/>
      <c r="BAM230" s="21"/>
      <c r="BAP230" s="21"/>
      <c r="BAQ230" s="15"/>
      <c r="BAR230" s="15"/>
      <c r="BAS230" s="15"/>
      <c r="BAT230" s="15"/>
      <c r="BAU230" s="15"/>
      <c r="BAV230" s="15"/>
      <c r="BAW230" s="15"/>
      <c r="BAX230" s="15"/>
      <c r="BAY230" s="15"/>
      <c r="BAZ230" s="15"/>
      <c r="BBA230" s="10"/>
      <c r="BBB230" s="10"/>
      <c r="BBC230" s="21"/>
      <c r="BBD230" s="21"/>
      <c r="BBG230" s="21"/>
      <c r="BBH230" s="15"/>
      <c r="BBI230" s="15"/>
      <c r="BBJ230" s="15"/>
      <c r="BBK230" s="15"/>
      <c r="BBL230" s="15"/>
      <c r="BBM230" s="15"/>
      <c r="BBN230" s="15"/>
      <c r="BBO230" s="15"/>
      <c r="BBP230" s="15"/>
      <c r="BBQ230" s="15"/>
      <c r="BBR230" s="10"/>
      <c r="BBS230" s="10"/>
      <c r="BBT230" s="21"/>
      <c r="BBU230" s="21"/>
      <c r="BBX230" s="21"/>
      <c r="BBY230" s="15"/>
      <c r="BBZ230" s="15"/>
      <c r="BCA230" s="15"/>
      <c r="BCB230" s="15"/>
      <c r="BCC230" s="15"/>
      <c r="BCD230" s="15"/>
      <c r="BCE230" s="15"/>
      <c r="BCF230" s="15"/>
      <c r="BCG230" s="15"/>
      <c r="BCH230" s="15"/>
      <c r="BCI230" s="10"/>
      <c r="BCJ230" s="10"/>
      <c r="BCK230" s="21"/>
      <c r="BCL230" s="21"/>
      <c r="BCO230" s="21"/>
      <c r="BCP230" s="15"/>
      <c r="BCQ230" s="15"/>
      <c r="BCR230" s="15"/>
      <c r="BCS230" s="15"/>
      <c r="BCT230" s="15"/>
      <c r="BCU230" s="15"/>
      <c r="BCV230" s="15"/>
      <c r="BCW230" s="15"/>
      <c r="BCX230" s="15"/>
      <c r="BCY230" s="15"/>
      <c r="BCZ230" s="10"/>
      <c r="BDA230" s="10"/>
      <c r="BDB230" s="21"/>
      <c r="BDC230" s="21"/>
      <c r="BDF230" s="21"/>
      <c r="BDG230" s="15"/>
      <c r="BDH230" s="15"/>
      <c r="BDI230" s="15"/>
      <c r="BDJ230" s="15"/>
      <c r="BDK230" s="15"/>
      <c r="BDL230" s="15"/>
      <c r="BDM230" s="15"/>
      <c r="BDN230" s="15"/>
      <c r="BDO230" s="15"/>
      <c r="BDP230" s="15"/>
      <c r="BDQ230" s="10"/>
      <c r="BDR230" s="10"/>
      <c r="BDS230" s="21"/>
      <c r="BDT230" s="21"/>
      <c r="BDW230" s="21"/>
      <c r="BDX230" s="15"/>
      <c r="BDY230" s="15"/>
      <c r="BDZ230" s="15"/>
      <c r="BEA230" s="15"/>
      <c r="BEB230" s="15"/>
      <c r="BEC230" s="15"/>
      <c r="BED230" s="15"/>
      <c r="BEE230" s="15"/>
      <c r="BEF230" s="15"/>
      <c r="BEG230" s="15"/>
      <c r="BEH230" s="10"/>
      <c r="BEI230" s="10"/>
      <c r="BEJ230" s="21"/>
      <c r="BEK230" s="21"/>
      <c r="BEN230" s="21"/>
      <c r="BEO230" s="15"/>
      <c r="BEP230" s="15"/>
      <c r="BEQ230" s="15"/>
      <c r="BER230" s="15"/>
      <c r="BES230" s="15"/>
      <c r="BET230" s="15"/>
      <c r="BEU230" s="15"/>
      <c r="BEV230" s="15"/>
      <c r="BEW230" s="15"/>
      <c r="BEX230" s="15"/>
      <c r="BEY230" s="10"/>
      <c r="BEZ230" s="10"/>
      <c r="BFA230" s="21"/>
      <c r="BFB230" s="21"/>
      <c r="BFE230" s="21"/>
      <c r="BFF230" s="15"/>
      <c r="BFG230" s="15"/>
      <c r="BFH230" s="15"/>
      <c r="BFI230" s="15"/>
      <c r="BFJ230" s="15"/>
      <c r="BFK230" s="15"/>
      <c r="BFL230" s="15"/>
      <c r="BFM230" s="15"/>
      <c r="BFN230" s="15"/>
      <c r="BFO230" s="15"/>
      <c r="BFP230" s="10"/>
      <c r="BFQ230" s="10"/>
      <c r="BFR230" s="21"/>
      <c r="BFS230" s="21"/>
      <c r="BFV230" s="21"/>
      <c r="BFW230" s="15"/>
      <c r="BFX230" s="15"/>
      <c r="BFY230" s="15"/>
      <c r="BFZ230" s="15"/>
      <c r="BGA230" s="15"/>
      <c r="BGB230" s="15"/>
      <c r="BGC230" s="15"/>
      <c r="BGD230" s="15"/>
      <c r="BGE230" s="15"/>
      <c r="BGF230" s="15"/>
      <c r="BGG230" s="10"/>
      <c r="BGH230" s="10"/>
      <c r="BGI230" s="21"/>
      <c r="BGJ230" s="21"/>
      <c r="BGM230" s="21"/>
      <c r="BGN230" s="15"/>
      <c r="BGO230" s="15"/>
      <c r="BGP230" s="15"/>
      <c r="BGQ230" s="15"/>
      <c r="BGR230" s="15"/>
      <c r="BGS230" s="15"/>
      <c r="BGT230" s="15"/>
      <c r="BGU230" s="15"/>
      <c r="BGV230" s="15"/>
      <c r="BGW230" s="15"/>
      <c r="BGX230" s="10"/>
      <c r="BGY230" s="10"/>
      <c r="BGZ230" s="21"/>
      <c r="BHA230" s="21"/>
      <c r="BHD230" s="21"/>
      <c r="BHE230" s="15"/>
      <c r="BHF230" s="15"/>
      <c r="BHG230" s="15"/>
      <c r="BHH230" s="15"/>
      <c r="BHI230" s="15"/>
      <c r="BHJ230" s="15"/>
      <c r="BHK230" s="15"/>
      <c r="BHL230" s="15"/>
      <c r="BHM230" s="15"/>
      <c r="BHN230" s="15"/>
      <c r="BHO230" s="10"/>
      <c r="BHP230" s="10"/>
      <c r="BHQ230" s="21"/>
      <c r="BHR230" s="21"/>
      <c r="BHU230" s="21"/>
      <c r="BHV230" s="15"/>
      <c r="BHW230" s="15"/>
      <c r="BHX230" s="15"/>
      <c r="BHY230" s="15"/>
      <c r="BHZ230" s="15"/>
      <c r="BIA230" s="15"/>
      <c r="BIB230" s="15"/>
      <c r="BIC230" s="15"/>
      <c r="BID230" s="15"/>
      <c r="BIE230" s="15"/>
      <c r="BIF230" s="10"/>
      <c r="BIG230" s="10"/>
      <c r="BIH230" s="21"/>
      <c r="BII230" s="21"/>
      <c r="BIL230" s="21"/>
      <c r="BIM230" s="15"/>
      <c r="BIN230" s="15"/>
      <c r="BIO230" s="15"/>
      <c r="BIP230" s="15"/>
      <c r="BIQ230" s="15"/>
      <c r="BIR230" s="15"/>
      <c r="BIS230" s="15"/>
      <c r="BIT230" s="15"/>
      <c r="BIU230" s="15"/>
      <c r="BIV230" s="15"/>
      <c r="BIW230" s="10"/>
      <c r="BIX230" s="10"/>
      <c r="BIY230" s="21"/>
      <c r="BIZ230" s="21"/>
      <c r="BJC230" s="21"/>
      <c r="BJD230" s="15"/>
      <c r="BJE230" s="15"/>
      <c r="BJF230" s="15"/>
      <c r="BJG230" s="15"/>
      <c r="BJH230" s="15"/>
      <c r="BJI230" s="15"/>
      <c r="BJJ230" s="15"/>
      <c r="BJK230" s="15"/>
      <c r="BJL230" s="15"/>
      <c r="BJM230" s="15"/>
      <c r="BJN230" s="10"/>
      <c r="BJO230" s="10"/>
      <c r="BJP230" s="21"/>
      <c r="BJQ230" s="21"/>
      <c r="BJT230" s="21"/>
      <c r="BJU230" s="15"/>
      <c r="BJV230" s="15"/>
      <c r="BJW230" s="15"/>
      <c r="BJX230" s="15"/>
      <c r="BJY230" s="15"/>
      <c r="BJZ230" s="15"/>
      <c r="BKA230" s="15"/>
      <c r="BKB230" s="15"/>
      <c r="BKC230" s="15"/>
      <c r="BKD230" s="15"/>
      <c r="BKE230" s="10"/>
      <c r="BKF230" s="10"/>
      <c r="BKG230" s="21"/>
      <c r="BKH230" s="21"/>
      <c r="BKK230" s="21"/>
      <c r="BKL230" s="15"/>
      <c r="BKM230" s="15"/>
      <c r="BKN230" s="15"/>
      <c r="BKO230" s="15"/>
      <c r="BKP230" s="15"/>
      <c r="BKQ230" s="15"/>
      <c r="BKR230" s="15"/>
      <c r="BKS230" s="15"/>
      <c r="BKT230" s="15"/>
      <c r="BKU230" s="15"/>
      <c r="BKV230" s="10"/>
      <c r="BKW230" s="10"/>
      <c r="BKX230" s="21"/>
      <c r="BKY230" s="21"/>
      <c r="BLB230" s="21"/>
      <c r="BLC230" s="15"/>
      <c r="BLD230" s="15"/>
      <c r="BLE230" s="15"/>
      <c r="BLF230" s="15"/>
      <c r="BLG230" s="15"/>
      <c r="BLH230" s="15"/>
      <c r="BLI230" s="15"/>
      <c r="BLJ230" s="15"/>
      <c r="BLK230" s="15"/>
      <c r="BLL230" s="15"/>
      <c r="BLM230" s="10"/>
      <c r="BLN230" s="10"/>
      <c r="BLO230" s="21"/>
      <c r="BLP230" s="21"/>
      <c r="BLS230" s="21"/>
      <c r="BLT230" s="15"/>
      <c r="BLU230" s="15"/>
      <c r="BLV230" s="15"/>
      <c r="BLW230" s="15"/>
      <c r="BLX230" s="15"/>
      <c r="BLY230" s="15"/>
      <c r="BLZ230" s="15"/>
      <c r="BMA230" s="15"/>
      <c r="BMB230" s="15"/>
      <c r="BMC230" s="15"/>
      <c r="BMD230" s="10"/>
      <c r="BME230" s="10"/>
      <c r="BMF230" s="21"/>
      <c r="BMG230" s="21"/>
      <c r="BMJ230" s="21"/>
      <c r="BMK230" s="15"/>
      <c r="BML230" s="15"/>
      <c r="BMM230" s="15"/>
      <c r="BMN230" s="15"/>
      <c r="BMO230" s="15"/>
      <c r="BMP230" s="15"/>
      <c r="BMQ230" s="15"/>
      <c r="BMR230" s="15"/>
      <c r="BMS230" s="15"/>
      <c r="BMT230" s="15"/>
      <c r="BMU230" s="10"/>
      <c r="BMV230" s="10"/>
      <c r="BMW230" s="21"/>
      <c r="BMX230" s="21"/>
      <c r="BNA230" s="21"/>
      <c r="BNB230" s="15"/>
      <c r="BNC230" s="15"/>
      <c r="BND230" s="15"/>
      <c r="BNE230" s="15"/>
      <c r="BNF230" s="15"/>
      <c r="BNG230" s="15"/>
      <c r="BNH230" s="15"/>
      <c r="BNI230" s="15"/>
      <c r="BNJ230" s="15"/>
      <c r="BNK230" s="15"/>
      <c r="BNL230" s="10"/>
      <c r="BNM230" s="10"/>
      <c r="BNN230" s="21"/>
      <c r="BNO230" s="21"/>
      <c r="BNR230" s="21"/>
      <c r="BNS230" s="15"/>
      <c r="BNT230" s="15"/>
      <c r="BNU230" s="15"/>
      <c r="BNV230" s="15"/>
      <c r="BNW230" s="15"/>
      <c r="BNX230" s="15"/>
      <c r="BNY230" s="15"/>
      <c r="BNZ230" s="15"/>
      <c r="BOA230" s="15"/>
      <c r="BOB230" s="15"/>
      <c r="BOC230" s="10"/>
      <c r="BOD230" s="10"/>
      <c r="BOE230" s="21"/>
      <c r="BOF230" s="21"/>
      <c r="BOI230" s="21"/>
      <c r="BOJ230" s="15"/>
      <c r="BOK230" s="15"/>
      <c r="BOL230" s="15"/>
      <c r="BOM230" s="15"/>
      <c r="BON230" s="15"/>
      <c r="BOO230" s="15"/>
      <c r="BOP230" s="15"/>
      <c r="BOQ230" s="15"/>
      <c r="BOR230" s="15"/>
      <c r="BOS230" s="15"/>
      <c r="BOT230" s="10"/>
      <c r="BOU230" s="10"/>
      <c r="BOV230" s="21"/>
      <c r="BOW230" s="21"/>
      <c r="BOZ230" s="21"/>
      <c r="BPA230" s="15"/>
      <c r="BPB230" s="15"/>
      <c r="BPC230" s="15"/>
      <c r="BPD230" s="15"/>
      <c r="BPE230" s="15"/>
      <c r="BPF230" s="15"/>
      <c r="BPG230" s="15"/>
      <c r="BPH230" s="15"/>
      <c r="BPI230" s="15"/>
      <c r="BPJ230" s="15"/>
      <c r="BPK230" s="10"/>
      <c r="BPL230" s="10"/>
      <c r="BPM230" s="21"/>
      <c r="BPN230" s="21"/>
      <c r="BPQ230" s="21"/>
      <c r="BPR230" s="15"/>
      <c r="BPS230" s="15"/>
      <c r="BPT230" s="15"/>
      <c r="BPU230" s="15"/>
      <c r="BPV230" s="15"/>
      <c r="BPW230" s="15"/>
      <c r="BPX230" s="15"/>
      <c r="BPY230" s="15"/>
      <c r="BPZ230" s="15"/>
      <c r="BQA230" s="15"/>
      <c r="BQB230" s="10"/>
      <c r="BQC230" s="10"/>
      <c r="BQD230" s="21"/>
      <c r="BQE230" s="21"/>
      <c r="BQH230" s="21"/>
      <c r="BQI230" s="15"/>
      <c r="BQJ230" s="15"/>
      <c r="BQK230" s="15"/>
      <c r="BQL230" s="15"/>
      <c r="BQM230" s="15"/>
      <c r="BQN230" s="15"/>
      <c r="BQO230" s="15"/>
      <c r="BQP230" s="15"/>
      <c r="BQQ230" s="15"/>
      <c r="BQR230" s="15"/>
      <c r="BQS230" s="10"/>
      <c r="BQT230" s="10"/>
      <c r="BQU230" s="21"/>
      <c r="BQV230" s="21"/>
      <c r="BQY230" s="21"/>
      <c r="BQZ230" s="15"/>
      <c r="BRA230" s="15"/>
      <c r="BRB230" s="15"/>
      <c r="BRC230" s="15"/>
      <c r="BRD230" s="15"/>
      <c r="BRE230" s="15"/>
      <c r="BRF230" s="15"/>
      <c r="BRG230" s="15"/>
      <c r="BRH230" s="15"/>
      <c r="BRI230" s="15"/>
      <c r="BRJ230" s="10"/>
      <c r="BRK230" s="10"/>
      <c r="BRL230" s="21"/>
      <c r="BRM230" s="21"/>
      <c r="BRP230" s="21"/>
      <c r="BRQ230" s="15"/>
      <c r="BRR230" s="15"/>
      <c r="BRS230" s="15"/>
      <c r="BRT230" s="15"/>
      <c r="BRU230" s="15"/>
      <c r="BRV230" s="15"/>
      <c r="BRW230" s="15"/>
      <c r="BRX230" s="15"/>
      <c r="BRY230" s="15"/>
      <c r="BRZ230" s="15"/>
      <c r="BSA230" s="10"/>
      <c r="BSB230" s="10"/>
      <c r="BSC230" s="21"/>
      <c r="BSD230" s="21"/>
      <c r="BSG230" s="21"/>
      <c r="BSH230" s="15"/>
      <c r="BSI230" s="15"/>
      <c r="BSJ230" s="15"/>
      <c r="BSK230" s="15"/>
      <c r="BSL230" s="15"/>
      <c r="BSM230" s="15"/>
      <c r="BSN230" s="15"/>
      <c r="BSO230" s="15"/>
      <c r="BSP230" s="15"/>
      <c r="BSQ230" s="15"/>
      <c r="BSR230" s="10"/>
      <c r="BSS230" s="10"/>
      <c r="BST230" s="21"/>
      <c r="BSU230" s="21"/>
      <c r="BSX230" s="21"/>
      <c r="BSY230" s="15"/>
      <c r="BSZ230" s="15"/>
      <c r="BTA230" s="15"/>
      <c r="BTB230" s="15"/>
      <c r="BTC230" s="15"/>
      <c r="BTD230" s="15"/>
      <c r="BTE230" s="15"/>
      <c r="BTF230" s="15"/>
      <c r="BTG230" s="15"/>
      <c r="BTH230" s="15"/>
      <c r="BTI230" s="10"/>
      <c r="BTJ230" s="10"/>
      <c r="BTK230" s="21"/>
      <c r="BTL230" s="21"/>
      <c r="BTO230" s="21"/>
      <c r="BTP230" s="15"/>
      <c r="BTQ230" s="15"/>
      <c r="BTR230" s="15"/>
      <c r="BTS230" s="15"/>
      <c r="BTT230" s="15"/>
      <c r="BTU230" s="15"/>
      <c r="BTV230" s="15"/>
      <c r="BTW230" s="15"/>
      <c r="BTX230" s="15"/>
      <c r="BTY230" s="15"/>
      <c r="BTZ230" s="10"/>
      <c r="BUA230" s="10"/>
      <c r="BUB230" s="21"/>
      <c r="BUC230" s="21"/>
      <c r="BUF230" s="21"/>
      <c r="BUG230" s="15"/>
      <c r="BUH230" s="15"/>
      <c r="BUI230" s="15"/>
      <c r="BUJ230" s="15"/>
      <c r="BUK230" s="15"/>
      <c r="BUL230" s="15"/>
      <c r="BUM230" s="15"/>
      <c r="BUN230" s="15"/>
      <c r="BUO230" s="15"/>
      <c r="BUP230" s="15"/>
      <c r="BUQ230" s="10"/>
      <c r="BUR230" s="10"/>
      <c r="BUS230" s="21"/>
      <c r="BUT230" s="21"/>
      <c r="BUW230" s="21"/>
      <c r="BUX230" s="15"/>
      <c r="BUY230" s="15"/>
      <c r="BUZ230" s="15"/>
      <c r="BVA230" s="15"/>
      <c r="BVB230" s="15"/>
      <c r="BVC230" s="15"/>
      <c r="BVD230" s="15"/>
      <c r="BVE230" s="15"/>
      <c r="BVF230" s="15"/>
      <c r="BVG230" s="15"/>
      <c r="BVH230" s="10"/>
      <c r="BVI230" s="10"/>
      <c r="BVJ230" s="21"/>
      <c r="BVK230" s="21"/>
      <c r="BVN230" s="21"/>
      <c r="BVO230" s="15"/>
      <c r="BVP230" s="15"/>
      <c r="BVQ230" s="15"/>
      <c r="BVR230" s="15"/>
      <c r="BVS230" s="15"/>
      <c r="BVT230" s="15"/>
      <c r="BVU230" s="15"/>
      <c r="BVV230" s="15"/>
      <c r="BVW230" s="15"/>
      <c r="BVX230" s="15"/>
      <c r="BVY230" s="10"/>
      <c r="BVZ230" s="10"/>
      <c r="BWA230" s="21"/>
      <c r="BWB230" s="21"/>
      <c r="BWE230" s="21"/>
      <c r="BWF230" s="15"/>
      <c r="BWG230" s="15"/>
      <c r="BWH230" s="15"/>
      <c r="BWI230" s="15"/>
      <c r="BWJ230" s="15"/>
      <c r="BWK230" s="15"/>
      <c r="BWL230" s="15"/>
      <c r="BWM230" s="15"/>
      <c r="BWN230" s="15"/>
      <c r="BWO230" s="15"/>
      <c r="BWP230" s="10"/>
      <c r="BWQ230" s="10"/>
      <c r="BWR230" s="21"/>
      <c r="BWS230" s="21"/>
      <c r="BWV230" s="21"/>
      <c r="BWW230" s="15"/>
      <c r="BWX230" s="15"/>
      <c r="BWY230" s="15"/>
      <c r="BWZ230" s="15"/>
      <c r="BXA230" s="15"/>
      <c r="BXB230" s="15"/>
      <c r="BXC230" s="15"/>
      <c r="BXD230" s="15"/>
      <c r="BXE230" s="15"/>
      <c r="BXF230" s="15"/>
      <c r="BXG230" s="10"/>
      <c r="BXH230" s="10"/>
      <c r="BXI230" s="21"/>
      <c r="BXJ230" s="21"/>
      <c r="BXM230" s="21"/>
      <c r="BXN230" s="15"/>
      <c r="BXO230" s="15"/>
      <c r="BXP230" s="15"/>
      <c r="BXQ230" s="15"/>
      <c r="BXR230" s="15"/>
      <c r="BXS230" s="15"/>
      <c r="BXT230" s="15"/>
      <c r="BXU230" s="15"/>
      <c r="BXV230" s="15"/>
      <c r="BXW230" s="15"/>
      <c r="BXX230" s="10"/>
      <c r="BXY230" s="10"/>
      <c r="BXZ230" s="21"/>
      <c r="BYA230" s="21"/>
      <c r="BYD230" s="21"/>
      <c r="BYE230" s="15"/>
      <c r="BYF230" s="15"/>
      <c r="BYG230" s="15"/>
      <c r="BYH230" s="15"/>
      <c r="BYI230" s="15"/>
      <c r="BYJ230" s="15"/>
      <c r="BYK230" s="15"/>
      <c r="BYL230" s="15"/>
      <c r="BYM230" s="15"/>
      <c r="BYN230" s="15"/>
      <c r="BYO230" s="10"/>
      <c r="BYP230" s="10"/>
      <c r="BYQ230" s="21"/>
      <c r="BYR230" s="21"/>
      <c r="BYU230" s="21"/>
      <c r="BYV230" s="15"/>
      <c r="BYW230" s="15"/>
      <c r="BYX230" s="15"/>
      <c r="BYY230" s="15"/>
      <c r="BYZ230" s="15"/>
      <c r="BZA230" s="15"/>
      <c r="BZB230" s="15"/>
      <c r="BZC230" s="15"/>
      <c r="BZD230" s="15"/>
      <c r="BZE230" s="15"/>
      <c r="BZF230" s="10"/>
      <c r="BZG230" s="10"/>
      <c r="BZH230" s="21"/>
      <c r="BZI230" s="21"/>
      <c r="BZL230" s="21"/>
      <c r="BZM230" s="15"/>
      <c r="BZN230" s="15"/>
      <c r="BZO230" s="15"/>
      <c r="BZP230" s="15"/>
      <c r="BZQ230" s="15"/>
      <c r="BZR230" s="15"/>
      <c r="BZS230" s="15"/>
      <c r="BZT230" s="15"/>
      <c r="BZU230" s="15"/>
      <c r="BZV230" s="15"/>
      <c r="BZW230" s="10"/>
      <c r="BZX230" s="10"/>
      <c r="BZY230" s="21"/>
      <c r="BZZ230" s="21"/>
      <c r="CAC230" s="21"/>
      <c r="CAD230" s="15"/>
      <c r="CAE230" s="15"/>
      <c r="CAF230" s="15"/>
      <c r="CAG230" s="15"/>
      <c r="CAH230" s="15"/>
      <c r="CAI230" s="15"/>
      <c r="CAJ230" s="15"/>
      <c r="CAK230" s="15"/>
      <c r="CAL230" s="15"/>
      <c r="CAM230" s="15"/>
      <c r="CAN230" s="10"/>
      <c r="CAO230" s="10"/>
      <c r="CAP230" s="21"/>
      <c r="CAQ230" s="21"/>
      <c r="CAT230" s="21"/>
      <c r="CAU230" s="15"/>
      <c r="CAV230" s="15"/>
      <c r="CAW230" s="15"/>
      <c r="CAX230" s="15"/>
      <c r="CAY230" s="15"/>
      <c r="CAZ230" s="15"/>
      <c r="CBA230" s="15"/>
      <c r="CBB230" s="15"/>
      <c r="CBC230" s="15"/>
      <c r="CBD230" s="15"/>
      <c r="CBE230" s="10"/>
      <c r="CBF230" s="10"/>
      <c r="CBG230" s="21"/>
      <c r="CBH230" s="21"/>
      <c r="CBK230" s="21"/>
      <c r="CBL230" s="15"/>
      <c r="CBM230" s="15"/>
      <c r="CBN230" s="15"/>
      <c r="CBO230" s="15"/>
      <c r="CBP230" s="15"/>
      <c r="CBQ230" s="15"/>
      <c r="CBR230" s="15"/>
      <c r="CBS230" s="15"/>
      <c r="CBT230" s="15"/>
      <c r="CBU230" s="15"/>
      <c r="CBV230" s="10"/>
      <c r="CBW230" s="10"/>
      <c r="CBX230" s="21"/>
      <c r="CBY230" s="21"/>
      <c r="CCB230" s="21"/>
      <c r="CCC230" s="15"/>
      <c r="CCD230" s="15"/>
      <c r="CCE230" s="15"/>
      <c r="CCF230" s="15"/>
      <c r="CCG230" s="15"/>
      <c r="CCH230" s="15"/>
      <c r="CCI230" s="15"/>
      <c r="CCJ230" s="15"/>
      <c r="CCK230" s="15"/>
      <c r="CCL230" s="15"/>
      <c r="CCM230" s="10"/>
      <c r="CCN230" s="10"/>
      <c r="CCO230" s="21"/>
      <c r="CCP230" s="21"/>
      <c r="CCS230" s="21"/>
      <c r="CCT230" s="15"/>
      <c r="CCU230" s="15"/>
      <c r="CCV230" s="15"/>
      <c r="CCW230" s="15"/>
      <c r="CCX230" s="15"/>
      <c r="CCY230" s="15"/>
      <c r="CCZ230" s="15"/>
      <c r="CDA230" s="15"/>
      <c r="CDB230" s="15"/>
      <c r="CDC230" s="15"/>
      <c r="CDD230" s="10"/>
      <c r="CDE230" s="10"/>
      <c r="CDF230" s="21"/>
      <c r="CDG230" s="21"/>
      <c r="CDJ230" s="21"/>
      <c r="CDK230" s="15"/>
      <c r="CDL230" s="15"/>
      <c r="CDM230" s="15"/>
      <c r="CDN230" s="15"/>
      <c r="CDO230" s="15"/>
      <c r="CDP230" s="15"/>
      <c r="CDQ230" s="15"/>
      <c r="CDR230" s="15"/>
      <c r="CDS230" s="15"/>
      <c r="CDT230" s="15"/>
      <c r="CDU230" s="10"/>
      <c r="CDV230" s="10"/>
      <c r="CDW230" s="21"/>
      <c r="CDX230" s="21"/>
      <c r="CEA230" s="21"/>
      <c r="CEB230" s="15"/>
      <c r="CEC230" s="15"/>
      <c r="CED230" s="15"/>
      <c r="CEE230" s="15"/>
      <c r="CEF230" s="15"/>
      <c r="CEG230" s="15"/>
      <c r="CEH230" s="15"/>
      <c r="CEI230" s="15"/>
      <c r="CEJ230" s="15"/>
      <c r="CEK230" s="15"/>
      <c r="CEL230" s="10"/>
      <c r="CEM230" s="10"/>
      <c r="CEN230" s="21"/>
      <c r="CEO230" s="21"/>
      <c r="CER230" s="21"/>
      <c r="CES230" s="15"/>
      <c r="CET230" s="15"/>
      <c r="CEU230" s="15"/>
      <c r="CEV230" s="15"/>
      <c r="CEW230" s="15"/>
      <c r="CEX230" s="15"/>
      <c r="CEY230" s="15"/>
      <c r="CEZ230" s="15"/>
      <c r="CFA230" s="15"/>
      <c r="CFB230" s="15"/>
      <c r="CFC230" s="10"/>
      <c r="CFD230" s="10"/>
      <c r="CFE230" s="21"/>
      <c r="CFF230" s="21"/>
      <c r="CFI230" s="21"/>
      <c r="CFJ230" s="15"/>
      <c r="CFK230" s="15"/>
      <c r="CFL230" s="15"/>
      <c r="CFM230" s="15"/>
      <c r="CFN230" s="15"/>
      <c r="CFO230" s="15"/>
      <c r="CFP230" s="15"/>
      <c r="CFQ230" s="15"/>
      <c r="CFR230" s="15"/>
      <c r="CFS230" s="15"/>
      <c r="CFT230" s="10"/>
      <c r="CFU230" s="10"/>
      <c r="CFV230" s="21"/>
      <c r="CFW230" s="21"/>
      <c r="CFZ230" s="21"/>
      <c r="CGA230" s="15"/>
      <c r="CGB230" s="15"/>
      <c r="CGC230" s="15"/>
      <c r="CGD230" s="15"/>
      <c r="CGE230" s="15"/>
      <c r="CGF230" s="15"/>
      <c r="CGG230" s="15"/>
      <c r="CGH230" s="15"/>
      <c r="CGI230" s="15"/>
      <c r="CGJ230" s="15"/>
      <c r="CGK230" s="10"/>
      <c r="CGL230" s="10"/>
      <c r="CGM230" s="21"/>
      <c r="CGN230" s="21"/>
      <c r="CGQ230" s="21"/>
      <c r="CGR230" s="15"/>
      <c r="CGS230" s="15"/>
      <c r="CGT230" s="15"/>
      <c r="CGU230" s="15"/>
      <c r="CGV230" s="15"/>
      <c r="CGW230" s="15"/>
      <c r="CGX230" s="15"/>
      <c r="CGY230" s="15"/>
      <c r="CGZ230" s="15"/>
      <c r="CHA230" s="15"/>
      <c r="CHB230" s="10"/>
      <c r="CHC230" s="10"/>
      <c r="CHD230" s="21"/>
      <c r="CHE230" s="21"/>
      <c r="CHH230" s="21"/>
      <c r="CHI230" s="15"/>
      <c r="CHJ230" s="15"/>
      <c r="CHK230" s="15"/>
      <c r="CHL230" s="15"/>
      <c r="CHM230" s="15"/>
      <c r="CHN230" s="15"/>
      <c r="CHO230" s="15"/>
      <c r="CHP230" s="15"/>
      <c r="CHQ230" s="15"/>
      <c r="CHR230" s="15"/>
      <c r="CHS230" s="10"/>
      <c r="CHT230" s="10"/>
      <c r="CHU230" s="21"/>
      <c r="CHV230" s="21"/>
      <c r="CHY230" s="21"/>
      <c r="CHZ230" s="15"/>
      <c r="CIA230" s="15"/>
      <c r="CIB230" s="15"/>
      <c r="CIC230" s="15"/>
      <c r="CID230" s="15"/>
      <c r="CIE230" s="15"/>
      <c r="CIF230" s="15"/>
      <c r="CIG230" s="15"/>
      <c r="CIH230" s="15"/>
      <c r="CII230" s="15"/>
      <c r="CIJ230" s="10"/>
      <c r="CIK230" s="10"/>
      <c r="CIL230" s="21"/>
      <c r="CIM230" s="21"/>
      <c r="CIP230" s="21"/>
      <c r="CIQ230" s="15"/>
      <c r="CIR230" s="15"/>
      <c r="CIS230" s="15"/>
      <c r="CIT230" s="15"/>
      <c r="CIU230" s="15"/>
      <c r="CIV230" s="15"/>
      <c r="CIW230" s="15"/>
      <c r="CIX230" s="15"/>
      <c r="CIY230" s="15"/>
      <c r="CIZ230" s="15"/>
      <c r="CJA230" s="10"/>
      <c r="CJB230" s="10"/>
      <c r="CJC230" s="21"/>
      <c r="CJD230" s="21"/>
      <c r="CJG230" s="21"/>
      <c r="CJH230" s="15"/>
      <c r="CJI230" s="15"/>
      <c r="CJJ230" s="15"/>
      <c r="CJK230" s="15"/>
      <c r="CJL230" s="15"/>
      <c r="CJM230" s="15"/>
      <c r="CJN230" s="15"/>
      <c r="CJO230" s="15"/>
      <c r="CJP230" s="15"/>
      <c r="CJQ230" s="15"/>
      <c r="CJR230" s="10"/>
      <c r="CJS230" s="10"/>
      <c r="CJT230" s="21"/>
      <c r="CJU230" s="21"/>
      <c r="CJX230" s="21"/>
      <c r="CJY230" s="15"/>
      <c r="CJZ230" s="15"/>
      <c r="CKA230" s="15"/>
      <c r="CKB230" s="15"/>
      <c r="CKC230" s="15"/>
      <c r="CKD230" s="15"/>
      <c r="CKE230" s="15"/>
      <c r="CKF230" s="15"/>
      <c r="CKG230" s="15"/>
      <c r="CKH230" s="15"/>
      <c r="CKI230" s="10"/>
      <c r="CKJ230" s="10"/>
      <c r="CKK230" s="21"/>
      <c r="CKL230" s="21"/>
      <c r="CKO230" s="21"/>
      <c r="CKP230" s="15"/>
      <c r="CKQ230" s="15"/>
      <c r="CKR230" s="15"/>
      <c r="CKS230" s="15"/>
      <c r="CKT230" s="15"/>
      <c r="CKU230" s="15"/>
      <c r="CKV230" s="15"/>
      <c r="CKW230" s="15"/>
      <c r="CKX230" s="15"/>
      <c r="CKY230" s="15"/>
      <c r="CKZ230" s="10"/>
      <c r="CLA230" s="10"/>
      <c r="CLB230" s="21"/>
      <c r="CLC230" s="21"/>
      <c r="CLF230" s="21"/>
      <c r="CLG230" s="15"/>
      <c r="CLH230" s="15"/>
      <c r="CLI230" s="15"/>
      <c r="CLJ230" s="15"/>
      <c r="CLK230" s="15"/>
      <c r="CLL230" s="15"/>
      <c r="CLM230" s="15"/>
      <c r="CLN230" s="15"/>
      <c r="CLO230" s="15"/>
      <c r="CLP230" s="15"/>
      <c r="CLQ230" s="10"/>
      <c r="CLR230" s="10"/>
      <c r="CLS230" s="21"/>
      <c r="CLT230" s="21"/>
      <c r="CLW230" s="21"/>
      <c r="CLX230" s="15"/>
      <c r="CLY230" s="15"/>
      <c r="CLZ230" s="15"/>
      <c r="CMA230" s="15"/>
      <c r="CMB230" s="15"/>
      <c r="CMC230" s="15"/>
      <c r="CMD230" s="15"/>
      <c r="CME230" s="15"/>
      <c r="CMF230" s="15"/>
      <c r="CMG230" s="15"/>
      <c r="CMH230" s="10"/>
      <c r="CMI230" s="10"/>
      <c r="CMJ230" s="21"/>
      <c r="CMK230" s="21"/>
      <c r="CMN230" s="21"/>
      <c r="CMO230" s="15"/>
      <c r="CMP230" s="15"/>
      <c r="CMQ230" s="15"/>
      <c r="CMR230" s="15"/>
      <c r="CMS230" s="15"/>
      <c r="CMT230" s="15"/>
      <c r="CMU230" s="15"/>
      <c r="CMV230" s="15"/>
      <c r="CMW230" s="15"/>
      <c r="CMX230" s="15"/>
      <c r="CMY230" s="10"/>
      <c r="CMZ230" s="10"/>
      <c r="CNA230" s="21"/>
      <c r="CNB230" s="21"/>
      <c r="CNE230" s="21"/>
      <c r="CNF230" s="15"/>
      <c r="CNG230" s="15"/>
      <c r="CNH230" s="15"/>
      <c r="CNI230" s="15"/>
      <c r="CNJ230" s="15"/>
      <c r="CNK230" s="15"/>
      <c r="CNL230" s="15"/>
      <c r="CNM230" s="15"/>
      <c r="CNN230" s="15"/>
      <c r="CNO230" s="15"/>
      <c r="CNP230" s="10"/>
      <c r="CNQ230" s="10"/>
      <c r="CNR230" s="21"/>
      <c r="CNS230" s="21"/>
      <c r="CNV230" s="21"/>
      <c r="CNW230" s="15"/>
      <c r="CNX230" s="15"/>
      <c r="CNY230" s="15"/>
      <c r="CNZ230" s="15"/>
      <c r="COA230" s="15"/>
      <c r="COB230" s="15"/>
      <c r="COC230" s="15"/>
      <c r="COD230" s="15"/>
      <c r="COE230" s="15"/>
      <c r="COF230" s="15"/>
      <c r="COG230" s="10"/>
      <c r="COH230" s="10"/>
      <c r="COI230" s="21"/>
      <c r="COJ230" s="21"/>
      <c r="COM230" s="21"/>
      <c r="CON230" s="15"/>
      <c r="COO230" s="15"/>
      <c r="COP230" s="15"/>
      <c r="COQ230" s="15"/>
      <c r="COR230" s="15"/>
      <c r="COS230" s="15"/>
      <c r="COT230" s="15"/>
      <c r="COU230" s="15"/>
      <c r="COV230" s="15"/>
      <c r="COW230" s="15"/>
      <c r="COX230" s="10"/>
      <c r="COY230" s="10"/>
      <c r="COZ230" s="21"/>
      <c r="CPA230" s="21"/>
      <c r="CPD230" s="21"/>
      <c r="CPE230" s="15"/>
      <c r="CPF230" s="15"/>
      <c r="CPG230" s="15"/>
      <c r="CPH230" s="15"/>
      <c r="CPI230" s="15"/>
      <c r="CPJ230" s="15"/>
      <c r="CPK230" s="15"/>
      <c r="CPL230" s="15"/>
      <c r="CPM230" s="15"/>
      <c r="CPN230" s="15"/>
      <c r="CPO230" s="10"/>
      <c r="CPP230" s="10"/>
      <c r="CPQ230" s="21"/>
      <c r="CPR230" s="21"/>
      <c r="CPU230" s="21"/>
      <c r="CPV230" s="15"/>
      <c r="CPW230" s="15"/>
      <c r="CPX230" s="15"/>
      <c r="CPY230" s="15"/>
      <c r="CPZ230" s="15"/>
      <c r="CQA230" s="15"/>
      <c r="CQB230" s="15"/>
      <c r="CQC230" s="15"/>
      <c r="CQD230" s="15"/>
      <c r="CQE230" s="15"/>
      <c r="CQF230" s="10"/>
      <c r="CQG230" s="10"/>
      <c r="CQH230" s="21"/>
      <c r="CQI230" s="21"/>
      <c r="CQL230" s="21"/>
      <c r="CQM230" s="15"/>
      <c r="CQN230" s="15"/>
      <c r="CQO230" s="15"/>
      <c r="CQP230" s="15"/>
      <c r="CQQ230" s="15"/>
      <c r="CQR230" s="15"/>
      <c r="CQS230" s="15"/>
      <c r="CQT230" s="15"/>
      <c r="CQU230" s="15"/>
      <c r="CQV230" s="15"/>
      <c r="CQW230" s="10"/>
      <c r="CQX230" s="10"/>
      <c r="CQY230" s="21"/>
      <c r="CQZ230" s="21"/>
      <c r="CRC230" s="21"/>
      <c r="CRD230" s="15"/>
      <c r="CRE230" s="15"/>
      <c r="CRF230" s="15"/>
      <c r="CRG230" s="15"/>
      <c r="CRH230" s="15"/>
      <c r="CRI230" s="15"/>
      <c r="CRJ230" s="15"/>
      <c r="CRK230" s="15"/>
      <c r="CRL230" s="15"/>
      <c r="CRM230" s="15"/>
      <c r="CRN230" s="10"/>
      <c r="CRO230" s="10"/>
      <c r="CRP230" s="21"/>
      <c r="CRQ230" s="21"/>
      <c r="CRT230" s="21"/>
      <c r="CRU230" s="15"/>
      <c r="CRV230" s="15"/>
      <c r="CRW230" s="15"/>
      <c r="CRX230" s="15"/>
      <c r="CRY230" s="15"/>
      <c r="CRZ230" s="15"/>
      <c r="CSA230" s="15"/>
      <c r="CSB230" s="15"/>
      <c r="CSC230" s="15"/>
      <c r="CSD230" s="15"/>
      <c r="CSE230" s="10"/>
      <c r="CSF230" s="10"/>
      <c r="CSG230" s="21"/>
      <c r="CSH230" s="21"/>
      <c r="CSK230" s="21"/>
      <c r="CSL230" s="15"/>
      <c r="CSM230" s="15"/>
      <c r="CSN230" s="15"/>
      <c r="CSO230" s="15"/>
      <c r="CSP230" s="15"/>
      <c r="CSQ230" s="15"/>
      <c r="CSR230" s="15"/>
      <c r="CSS230" s="15"/>
      <c r="CST230" s="15"/>
      <c r="CSU230" s="15"/>
      <c r="CSV230" s="10"/>
      <c r="CSW230" s="10"/>
      <c r="CSX230" s="21"/>
      <c r="CSY230" s="21"/>
      <c r="CTB230" s="21"/>
      <c r="CTC230" s="15"/>
      <c r="CTD230" s="15"/>
      <c r="CTE230" s="15"/>
      <c r="CTF230" s="15"/>
      <c r="CTG230" s="15"/>
      <c r="CTH230" s="15"/>
      <c r="CTI230" s="15"/>
      <c r="CTJ230" s="15"/>
      <c r="CTK230" s="15"/>
      <c r="CTL230" s="15"/>
      <c r="CTM230" s="10"/>
      <c r="CTN230" s="10"/>
      <c r="CTO230" s="21"/>
      <c r="CTP230" s="21"/>
      <c r="CTS230" s="21"/>
      <c r="CTT230" s="15"/>
      <c r="CTU230" s="15"/>
      <c r="CTV230" s="15"/>
      <c r="CTW230" s="15"/>
      <c r="CTX230" s="15"/>
      <c r="CTY230" s="15"/>
      <c r="CTZ230" s="15"/>
      <c r="CUA230" s="15"/>
      <c r="CUB230" s="15"/>
      <c r="CUC230" s="15"/>
      <c r="CUD230" s="10"/>
      <c r="CUE230" s="10"/>
      <c r="CUF230" s="21"/>
      <c r="CUG230" s="21"/>
      <c r="CUJ230" s="21"/>
      <c r="CUK230" s="15"/>
      <c r="CUL230" s="15"/>
      <c r="CUM230" s="15"/>
      <c r="CUN230" s="15"/>
      <c r="CUO230" s="15"/>
      <c r="CUP230" s="15"/>
      <c r="CUQ230" s="15"/>
      <c r="CUR230" s="15"/>
      <c r="CUS230" s="15"/>
      <c r="CUT230" s="15"/>
      <c r="CUU230" s="10"/>
      <c r="CUV230" s="10"/>
      <c r="CUW230" s="21"/>
      <c r="CUX230" s="21"/>
      <c r="CVA230" s="21"/>
      <c r="CVB230" s="15"/>
      <c r="CVC230" s="15"/>
      <c r="CVD230" s="15"/>
      <c r="CVE230" s="15"/>
      <c r="CVF230" s="15"/>
      <c r="CVG230" s="15"/>
      <c r="CVH230" s="15"/>
      <c r="CVI230" s="15"/>
      <c r="CVJ230" s="15"/>
      <c r="CVK230" s="15"/>
      <c r="CVL230" s="10"/>
      <c r="CVM230" s="10"/>
      <c r="CVN230" s="21"/>
      <c r="CVO230" s="21"/>
      <c r="CVR230" s="21"/>
      <c r="CVS230" s="15"/>
      <c r="CVT230" s="15"/>
      <c r="CVU230" s="15"/>
      <c r="CVV230" s="15"/>
      <c r="CVW230" s="15"/>
      <c r="CVX230" s="15"/>
      <c r="CVY230" s="15"/>
      <c r="CVZ230" s="15"/>
      <c r="CWA230" s="15"/>
      <c r="CWB230" s="15"/>
      <c r="CWC230" s="10"/>
      <c r="CWD230" s="10"/>
      <c r="CWE230" s="21"/>
      <c r="CWF230" s="21"/>
      <c r="CWI230" s="21"/>
      <c r="CWJ230" s="15"/>
      <c r="CWK230" s="15"/>
      <c r="CWL230" s="15"/>
      <c r="CWM230" s="15"/>
      <c r="CWN230" s="15"/>
      <c r="CWO230" s="15"/>
      <c r="CWP230" s="15"/>
      <c r="CWQ230" s="15"/>
      <c r="CWR230" s="15"/>
      <c r="CWS230" s="15"/>
      <c r="CWT230" s="10"/>
      <c r="CWU230" s="10"/>
      <c r="CWV230" s="21"/>
      <c r="CWW230" s="21"/>
      <c r="CWZ230" s="21"/>
      <c r="CXA230" s="15"/>
      <c r="CXB230" s="15"/>
      <c r="CXC230" s="15"/>
      <c r="CXD230" s="15"/>
      <c r="CXE230" s="15"/>
      <c r="CXF230" s="15"/>
      <c r="CXG230" s="15"/>
      <c r="CXH230" s="15"/>
      <c r="CXI230" s="15"/>
      <c r="CXJ230" s="15"/>
      <c r="CXK230" s="10"/>
      <c r="CXL230" s="10"/>
      <c r="CXM230" s="21"/>
      <c r="CXN230" s="21"/>
      <c r="CXQ230" s="21"/>
      <c r="CXR230" s="15"/>
      <c r="CXS230" s="15"/>
      <c r="CXT230" s="15"/>
      <c r="CXU230" s="15"/>
      <c r="CXV230" s="15"/>
      <c r="CXW230" s="15"/>
      <c r="CXX230" s="15"/>
      <c r="CXY230" s="15"/>
      <c r="CXZ230" s="15"/>
      <c r="CYA230" s="15"/>
      <c r="CYB230" s="10"/>
      <c r="CYC230" s="10"/>
      <c r="CYD230" s="21"/>
      <c r="CYE230" s="21"/>
      <c r="CYH230" s="21"/>
      <c r="CYI230" s="15"/>
      <c r="CYJ230" s="15"/>
      <c r="CYK230" s="15"/>
      <c r="CYL230" s="15"/>
      <c r="CYM230" s="15"/>
      <c r="CYN230" s="15"/>
      <c r="CYO230" s="15"/>
      <c r="CYP230" s="15"/>
      <c r="CYQ230" s="15"/>
      <c r="CYR230" s="15"/>
      <c r="CYS230" s="10"/>
      <c r="CYT230" s="10"/>
      <c r="CYU230" s="21"/>
      <c r="CYV230" s="21"/>
      <c r="CYY230" s="21"/>
      <c r="CYZ230" s="15"/>
      <c r="CZA230" s="15"/>
      <c r="CZB230" s="15"/>
      <c r="CZC230" s="15"/>
      <c r="CZD230" s="15"/>
      <c r="CZE230" s="15"/>
      <c r="CZF230" s="15"/>
      <c r="CZG230" s="15"/>
      <c r="CZH230" s="15"/>
      <c r="CZI230" s="15"/>
      <c r="CZJ230" s="10"/>
      <c r="CZK230" s="10"/>
      <c r="CZL230" s="21"/>
      <c r="CZM230" s="21"/>
      <c r="CZP230" s="21"/>
      <c r="CZQ230" s="15"/>
      <c r="CZR230" s="15"/>
      <c r="CZS230" s="15"/>
      <c r="CZT230" s="15"/>
      <c r="CZU230" s="15"/>
      <c r="CZV230" s="15"/>
      <c r="CZW230" s="15"/>
      <c r="CZX230" s="15"/>
      <c r="CZY230" s="15"/>
      <c r="CZZ230" s="15"/>
      <c r="DAA230" s="10"/>
      <c r="DAB230" s="10"/>
      <c r="DAC230" s="21"/>
      <c r="DAD230" s="21"/>
      <c r="DAG230" s="21"/>
      <c r="DAH230" s="15"/>
      <c r="DAI230" s="15"/>
      <c r="DAJ230" s="15"/>
      <c r="DAK230" s="15"/>
      <c r="DAL230" s="15"/>
      <c r="DAM230" s="15"/>
      <c r="DAN230" s="15"/>
      <c r="DAO230" s="15"/>
      <c r="DAP230" s="15"/>
      <c r="DAQ230" s="15"/>
      <c r="DAR230" s="10"/>
      <c r="DAS230" s="10"/>
      <c r="DAT230" s="21"/>
      <c r="DAU230" s="21"/>
      <c r="DAX230" s="21"/>
      <c r="DAY230" s="15"/>
      <c r="DAZ230" s="15"/>
      <c r="DBA230" s="15"/>
      <c r="DBB230" s="15"/>
      <c r="DBC230" s="15"/>
      <c r="DBD230" s="15"/>
      <c r="DBE230" s="15"/>
      <c r="DBF230" s="15"/>
      <c r="DBG230" s="15"/>
      <c r="DBH230" s="15"/>
      <c r="DBI230" s="10"/>
      <c r="DBJ230" s="10"/>
      <c r="DBK230" s="21"/>
      <c r="DBL230" s="21"/>
      <c r="DBO230" s="21"/>
      <c r="DBP230" s="15"/>
      <c r="DBQ230" s="15"/>
      <c r="DBR230" s="15"/>
      <c r="DBS230" s="15"/>
      <c r="DBT230" s="15"/>
      <c r="DBU230" s="15"/>
      <c r="DBV230" s="15"/>
      <c r="DBW230" s="15"/>
      <c r="DBX230" s="15"/>
      <c r="DBY230" s="15"/>
      <c r="DBZ230" s="10"/>
      <c r="DCA230" s="10"/>
      <c r="DCB230" s="21"/>
      <c r="DCC230" s="21"/>
      <c r="DCF230" s="21"/>
      <c r="DCG230" s="15"/>
      <c r="DCH230" s="15"/>
      <c r="DCI230" s="15"/>
      <c r="DCJ230" s="15"/>
      <c r="DCK230" s="15"/>
      <c r="DCL230" s="15"/>
      <c r="DCM230" s="15"/>
      <c r="DCN230" s="15"/>
      <c r="DCO230" s="15"/>
      <c r="DCP230" s="15"/>
      <c r="DCQ230" s="10"/>
      <c r="DCR230" s="10"/>
      <c r="DCS230" s="21"/>
      <c r="DCT230" s="21"/>
      <c r="DCW230" s="21"/>
      <c r="DCX230" s="15"/>
      <c r="DCY230" s="15"/>
      <c r="DCZ230" s="15"/>
      <c r="DDA230" s="15"/>
      <c r="DDB230" s="15"/>
      <c r="DDC230" s="15"/>
      <c r="DDD230" s="15"/>
      <c r="DDE230" s="15"/>
      <c r="DDF230" s="15"/>
      <c r="DDG230" s="15"/>
      <c r="DDH230" s="10"/>
      <c r="DDI230" s="10"/>
      <c r="DDJ230" s="21"/>
      <c r="DDK230" s="21"/>
      <c r="DDN230" s="21"/>
      <c r="DDO230" s="15"/>
      <c r="DDP230" s="15"/>
      <c r="DDQ230" s="15"/>
      <c r="DDR230" s="15"/>
      <c r="DDS230" s="15"/>
      <c r="DDT230" s="15"/>
      <c r="DDU230" s="15"/>
      <c r="DDV230" s="15"/>
      <c r="DDW230" s="15"/>
      <c r="DDX230" s="15"/>
      <c r="DDY230" s="10"/>
      <c r="DDZ230" s="10"/>
      <c r="DEA230" s="21"/>
      <c r="DEB230" s="21"/>
      <c r="DEE230" s="21"/>
      <c r="DEF230" s="15"/>
      <c r="DEG230" s="15"/>
      <c r="DEH230" s="15"/>
      <c r="DEI230" s="15"/>
      <c r="DEJ230" s="15"/>
      <c r="DEK230" s="15"/>
      <c r="DEL230" s="15"/>
      <c r="DEM230" s="15"/>
      <c r="DEN230" s="15"/>
      <c r="DEO230" s="15"/>
      <c r="DEP230" s="10"/>
      <c r="DEQ230" s="10"/>
      <c r="DER230" s="21"/>
      <c r="DES230" s="21"/>
      <c r="DEV230" s="21"/>
      <c r="DEW230" s="15"/>
      <c r="DEX230" s="15"/>
      <c r="DEY230" s="15"/>
      <c r="DEZ230" s="15"/>
      <c r="DFA230" s="15"/>
      <c r="DFB230" s="15"/>
      <c r="DFC230" s="15"/>
      <c r="DFD230" s="15"/>
      <c r="DFE230" s="15"/>
      <c r="DFF230" s="15"/>
      <c r="DFG230" s="10"/>
      <c r="DFH230" s="10"/>
      <c r="DFI230" s="21"/>
      <c r="DFJ230" s="21"/>
      <c r="DFM230" s="21"/>
      <c r="DFN230" s="15"/>
      <c r="DFO230" s="15"/>
      <c r="DFP230" s="15"/>
      <c r="DFQ230" s="15"/>
      <c r="DFR230" s="15"/>
      <c r="DFS230" s="15"/>
      <c r="DFT230" s="15"/>
      <c r="DFU230" s="15"/>
      <c r="DFV230" s="15"/>
      <c r="DFW230" s="15"/>
      <c r="DFX230" s="10"/>
      <c r="DFY230" s="10"/>
      <c r="DFZ230" s="21"/>
      <c r="DGA230" s="21"/>
      <c r="DGD230" s="21"/>
      <c r="DGE230" s="15"/>
      <c r="DGF230" s="15"/>
      <c r="DGG230" s="15"/>
      <c r="DGH230" s="15"/>
      <c r="DGI230" s="15"/>
      <c r="DGJ230" s="15"/>
      <c r="DGK230" s="15"/>
      <c r="DGL230" s="15"/>
      <c r="DGM230" s="15"/>
      <c r="DGN230" s="15"/>
      <c r="DGO230" s="10"/>
      <c r="DGP230" s="10"/>
      <c r="DGQ230" s="21"/>
      <c r="DGR230" s="21"/>
      <c r="DGU230" s="21"/>
      <c r="DGV230" s="15"/>
      <c r="DGW230" s="15"/>
      <c r="DGX230" s="15"/>
      <c r="DGY230" s="15"/>
      <c r="DGZ230" s="15"/>
      <c r="DHA230" s="15"/>
      <c r="DHB230" s="15"/>
      <c r="DHC230" s="15"/>
      <c r="DHD230" s="15"/>
      <c r="DHE230" s="15"/>
      <c r="DHF230" s="10"/>
      <c r="DHG230" s="10"/>
      <c r="DHH230" s="21"/>
      <c r="DHI230" s="21"/>
      <c r="DHL230" s="21"/>
      <c r="DHM230" s="15"/>
      <c r="DHN230" s="15"/>
      <c r="DHO230" s="15"/>
      <c r="DHP230" s="15"/>
      <c r="DHQ230" s="15"/>
      <c r="DHR230" s="15"/>
      <c r="DHS230" s="15"/>
      <c r="DHT230" s="15"/>
      <c r="DHU230" s="15"/>
      <c r="DHV230" s="15"/>
      <c r="DHW230" s="10"/>
      <c r="DHX230" s="10"/>
      <c r="DHY230" s="21"/>
      <c r="DHZ230" s="21"/>
      <c r="DIC230" s="21"/>
      <c r="DID230" s="15"/>
      <c r="DIE230" s="15"/>
      <c r="DIF230" s="15"/>
      <c r="DIG230" s="15"/>
      <c r="DIH230" s="15"/>
      <c r="DII230" s="15"/>
      <c r="DIJ230" s="15"/>
      <c r="DIK230" s="15"/>
      <c r="DIL230" s="15"/>
      <c r="DIM230" s="15"/>
      <c r="DIN230" s="10"/>
      <c r="DIO230" s="10"/>
      <c r="DIP230" s="21"/>
      <c r="DIQ230" s="21"/>
      <c r="DIT230" s="21"/>
      <c r="DIU230" s="15"/>
      <c r="DIV230" s="15"/>
      <c r="DIW230" s="15"/>
      <c r="DIX230" s="15"/>
      <c r="DIY230" s="15"/>
      <c r="DIZ230" s="15"/>
      <c r="DJA230" s="15"/>
      <c r="DJB230" s="15"/>
      <c r="DJC230" s="15"/>
      <c r="DJD230" s="15"/>
      <c r="DJE230" s="10"/>
      <c r="DJF230" s="10"/>
      <c r="DJG230" s="21"/>
      <c r="DJH230" s="21"/>
      <c r="DJK230" s="21"/>
      <c r="DJL230" s="15"/>
      <c r="DJM230" s="15"/>
      <c r="DJN230" s="15"/>
      <c r="DJO230" s="15"/>
      <c r="DJP230" s="15"/>
      <c r="DJQ230" s="15"/>
      <c r="DJR230" s="15"/>
      <c r="DJS230" s="15"/>
      <c r="DJT230" s="15"/>
      <c r="DJU230" s="15"/>
      <c r="DJV230" s="10"/>
      <c r="DJW230" s="10"/>
      <c r="DJX230" s="21"/>
      <c r="DJY230" s="21"/>
      <c r="DKB230" s="21"/>
      <c r="DKC230" s="15"/>
      <c r="DKD230" s="15"/>
      <c r="DKE230" s="15"/>
      <c r="DKF230" s="15"/>
      <c r="DKG230" s="15"/>
      <c r="DKH230" s="15"/>
      <c r="DKI230" s="15"/>
      <c r="DKJ230" s="15"/>
      <c r="DKK230" s="15"/>
      <c r="DKL230" s="15"/>
      <c r="DKM230" s="10"/>
      <c r="DKN230" s="10"/>
      <c r="DKO230" s="21"/>
      <c r="DKP230" s="21"/>
      <c r="DKS230" s="21"/>
      <c r="DKT230" s="15"/>
      <c r="DKU230" s="15"/>
      <c r="DKV230" s="15"/>
      <c r="DKW230" s="15"/>
      <c r="DKX230" s="15"/>
      <c r="DKY230" s="15"/>
      <c r="DKZ230" s="15"/>
      <c r="DLA230" s="15"/>
      <c r="DLB230" s="15"/>
      <c r="DLC230" s="15"/>
      <c r="DLD230" s="10"/>
      <c r="DLE230" s="10"/>
      <c r="DLF230" s="21"/>
      <c r="DLG230" s="21"/>
      <c r="DLJ230" s="21"/>
      <c r="DLK230" s="15"/>
      <c r="DLL230" s="15"/>
      <c r="DLM230" s="15"/>
      <c r="DLN230" s="15"/>
      <c r="DLO230" s="15"/>
      <c r="DLP230" s="15"/>
      <c r="DLQ230" s="15"/>
      <c r="DLR230" s="15"/>
      <c r="DLS230" s="15"/>
      <c r="DLT230" s="15"/>
      <c r="DLU230" s="10"/>
      <c r="DLV230" s="10"/>
      <c r="DLW230" s="21"/>
      <c r="DLX230" s="21"/>
      <c r="DMA230" s="21"/>
      <c r="DMB230" s="15"/>
      <c r="DMC230" s="15"/>
      <c r="DMD230" s="15"/>
      <c r="DME230" s="15"/>
      <c r="DMF230" s="15"/>
      <c r="DMG230" s="15"/>
      <c r="DMH230" s="15"/>
      <c r="DMI230" s="15"/>
      <c r="DMJ230" s="15"/>
      <c r="DMK230" s="15"/>
      <c r="DML230" s="10"/>
      <c r="DMM230" s="10"/>
      <c r="DMN230" s="21"/>
      <c r="DMO230" s="21"/>
      <c r="DMR230" s="21"/>
      <c r="DMS230" s="15"/>
      <c r="DMT230" s="15"/>
      <c r="DMU230" s="15"/>
      <c r="DMV230" s="15"/>
      <c r="DMW230" s="15"/>
      <c r="DMX230" s="15"/>
      <c r="DMY230" s="15"/>
      <c r="DMZ230" s="15"/>
      <c r="DNA230" s="15"/>
      <c r="DNB230" s="15"/>
      <c r="DNC230" s="10"/>
      <c r="DND230" s="10"/>
      <c r="DNE230" s="21"/>
      <c r="DNF230" s="21"/>
      <c r="DNI230" s="21"/>
      <c r="DNJ230" s="15"/>
      <c r="DNK230" s="15"/>
      <c r="DNL230" s="15"/>
      <c r="DNM230" s="15"/>
      <c r="DNN230" s="15"/>
      <c r="DNO230" s="15"/>
      <c r="DNP230" s="15"/>
      <c r="DNQ230" s="15"/>
      <c r="DNR230" s="15"/>
      <c r="DNS230" s="15"/>
      <c r="DNT230" s="10"/>
      <c r="DNU230" s="10"/>
      <c r="DNV230" s="21"/>
      <c r="DNW230" s="21"/>
      <c r="DNZ230" s="21"/>
      <c r="DOA230" s="15"/>
      <c r="DOB230" s="15"/>
      <c r="DOC230" s="15"/>
      <c r="DOD230" s="15"/>
      <c r="DOE230" s="15"/>
      <c r="DOF230" s="15"/>
      <c r="DOG230" s="15"/>
      <c r="DOH230" s="15"/>
      <c r="DOI230" s="15"/>
      <c r="DOJ230" s="15"/>
      <c r="DOK230" s="10"/>
      <c r="DOL230" s="10"/>
      <c r="DOM230" s="21"/>
      <c r="DON230" s="21"/>
      <c r="DOQ230" s="21"/>
      <c r="DOR230" s="15"/>
      <c r="DOS230" s="15"/>
      <c r="DOT230" s="15"/>
      <c r="DOU230" s="15"/>
      <c r="DOV230" s="15"/>
      <c r="DOW230" s="15"/>
      <c r="DOX230" s="15"/>
      <c r="DOY230" s="15"/>
      <c r="DOZ230" s="15"/>
      <c r="DPA230" s="15"/>
      <c r="DPB230" s="10"/>
      <c r="DPC230" s="10"/>
      <c r="DPD230" s="21"/>
      <c r="DPE230" s="21"/>
      <c r="DPH230" s="21"/>
      <c r="DPI230" s="15"/>
      <c r="DPJ230" s="15"/>
      <c r="DPK230" s="15"/>
      <c r="DPL230" s="15"/>
      <c r="DPM230" s="15"/>
      <c r="DPN230" s="15"/>
      <c r="DPO230" s="15"/>
      <c r="DPP230" s="15"/>
      <c r="DPQ230" s="15"/>
      <c r="DPR230" s="15"/>
      <c r="DPS230" s="10"/>
      <c r="DPT230" s="10"/>
      <c r="DPU230" s="21"/>
      <c r="DPV230" s="21"/>
      <c r="DPY230" s="21"/>
      <c r="DPZ230" s="15"/>
      <c r="DQA230" s="15"/>
      <c r="DQB230" s="15"/>
      <c r="DQC230" s="15"/>
      <c r="DQD230" s="15"/>
      <c r="DQE230" s="15"/>
      <c r="DQF230" s="15"/>
      <c r="DQG230" s="15"/>
      <c r="DQH230" s="15"/>
      <c r="DQI230" s="15"/>
      <c r="DQJ230" s="10"/>
      <c r="DQK230" s="10"/>
      <c r="DQL230" s="21"/>
      <c r="DQM230" s="21"/>
      <c r="DQP230" s="21"/>
      <c r="DQQ230" s="15"/>
      <c r="DQR230" s="15"/>
      <c r="DQS230" s="15"/>
      <c r="DQT230" s="15"/>
      <c r="DQU230" s="15"/>
      <c r="DQV230" s="15"/>
      <c r="DQW230" s="15"/>
      <c r="DQX230" s="15"/>
      <c r="DQY230" s="15"/>
      <c r="DQZ230" s="15"/>
      <c r="DRA230" s="10"/>
      <c r="DRB230" s="10"/>
      <c r="DRC230" s="21"/>
      <c r="DRD230" s="21"/>
      <c r="DRG230" s="21"/>
      <c r="DRH230" s="15"/>
      <c r="DRI230" s="15"/>
      <c r="DRJ230" s="15"/>
      <c r="DRK230" s="15"/>
      <c r="DRL230" s="15"/>
      <c r="DRM230" s="15"/>
      <c r="DRN230" s="15"/>
      <c r="DRO230" s="15"/>
      <c r="DRP230" s="15"/>
      <c r="DRQ230" s="15"/>
      <c r="DRR230" s="10"/>
      <c r="DRS230" s="10"/>
      <c r="DRT230" s="21"/>
      <c r="DRU230" s="21"/>
      <c r="DRX230" s="21"/>
      <c r="DRY230" s="15"/>
      <c r="DRZ230" s="15"/>
      <c r="DSA230" s="15"/>
      <c r="DSB230" s="15"/>
      <c r="DSC230" s="15"/>
      <c r="DSD230" s="15"/>
      <c r="DSE230" s="15"/>
      <c r="DSF230" s="15"/>
      <c r="DSG230" s="15"/>
      <c r="DSH230" s="15"/>
      <c r="DSI230" s="10"/>
      <c r="DSJ230" s="10"/>
      <c r="DSK230" s="21"/>
      <c r="DSL230" s="21"/>
      <c r="DSO230" s="21"/>
      <c r="DSP230" s="15"/>
      <c r="DSQ230" s="15"/>
      <c r="DSR230" s="15"/>
      <c r="DSS230" s="15"/>
      <c r="DST230" s="15"/>
      <c r="DSU230" s="15"/>
      <c r="DSV230" s="15"/>
      <c r="DSW230" s="15"/>
      <c r="DSX230" s="15"/>
      <c r="DSY230" s="15"/>
      <c r="DSZ230" s="10"/>
      <c r="DTA230" s="10"/>
      <c r="DTB230" s="21"/>
      <c r="DTC230" s="21"/>
      <c r="DTF230" s="21"/>
      <c r="DTG230" s="15"/>
      <c r="DTH230" s="15"/>
      <c r="DTI230" s="15"/>
      <c r="DTJ230" s="15"/>
      <c r="DTK230" s="15"/>
      <c r="DTL230" s="15"/>
      <c r="DTM230" s="15"/>
      <c r="DTN230" s="15"/>
      <c r="DTO230" s="15"/>
      <c r="DTP230" s="15"/>
      <c r="DTQ230" s="10"/>
      <c r="DTR230" s="10"/>
      <c r="DTS230" s="21"/>
      <c r="DTT230" s="21"/>
      <c r="DTW230" s="21"/>
      <c r="DTX230" s="15"/>
      <c r="DTY230" s="15"/>
      <c r="DTZ230" s="15"/>
      <c r="DUA230" s="15"/>
      <c r="DUB230" s="15"/>
      <c r="DUC230" s="15"/>
      <c r="DUD230" s="15"/>
      <c r="DUE230" s="15"/>
      <c r="DUF230" s="15"/>
      <c r="DUG230" s="15"/>
      <c r="DUH230" s="10"/>
      <c r="DUI230" s="10"/>
      <c r="DUJ230" s="21"/>
      <c r="DUK230" s="21"/>
      <c r="DUN230" s="21"/>
      <c r="DUO230" s="15"/>
      <c r="DUP230" s="15"/>
      <c r="DUQ230" s="15"/>
      <c r="DUR230" s="15"/>
      <c r="DUS230" s="15"/>
      <c r="DUT230" s="15"/>
      <c r="DUU230" s="15"/>
      <c r="DUV230" s="15"/>
      <c r="DUW230" s="15"/>
      <c r="DUX230" s="15"/>
      <c r="DUY230" s="10"/>
      <c r="DUZ230" s="10"/>
      <c r="DVA230" s="21"/>
      <c r="DVB230" s="21"/>
      <c r="DVE230" s="21"/>
      <c r="DVF230" s="15"/>
      <c r="DVG230" s="15"/>
      <c r="DVH230" s="15"/>
      <c r="DVI230" s="15"/>
      <c r="DVJ230" s="15"/>
      <c r="DVK230" s="15"/>
      <c r="DVL230" s="15"/>
      <c r="DVM230" s="15"/>
      <c r="DVN230" s="15"/>
      <c r="DVO230" s="15"/>
      <c r="DVP230" s="10"/>
      <c r="DVQ230" s="10"/>
      <c r="DVR230" s="21"/>
      <c r="DVS230" s="21"/>
      <c r="DVV230" s="21"/>
      <c r="DVW230" s="15"/>
      <c r="DVX230" s="15"/>
      <c r="DVY230" s="15"/>
      <c r="DVZ230" s="15"/>
      <c r="DWA230" s="15"/>
      <c r="DWB230" s="15"/>
      <c r="DWC230" s="15"/>
      <c r="DWD230" s="15"/>
      <c r="DWE230" s="15"/>
      <c r="DWF230" s="15"/>
      <c r="DWG230" s="10"/>
      <c r="DWH230" s="10"/>
      <c r="DWI230" s="21"/>
      <c r="DWJ230" s="21"/>
      <c r="DWM230" s="21"/>
      <c r="DWN230" s="15"/>
      <c r="DWO230" s="15"/>
      <c r="DWP230" s="15"/>
      <c r="DWQ230" s="15"/>
      <c r="DWR230" s="15"/>
      <c r="DWS230" s="15"/>
      <c r="DWT230" s="15"/>
      <c r="DWU230" s="15"/>
      <c r="DWV230" s="15"/>
      <c r="DWW230" s="15"/>
      <c r="DWX230" s="10"/>
      <c r="DWY230" s="10"/>
      <c r="DWZ230" s="21"/>
      <c r="DXA230" s="21"/>
      <c r="DXD230" s="21"/>
      <c r="DXE230" s="15"/>
      <c r="DXF230" s="15"/>
      <c r="DXG230" s="15"/>
      <c r="DXH230" s="15"/>
      <c r="DXI230" s="15"/>
      <c r="DXJ230" s="15"/>
      <c r="DXK230" s="15"/>
      <c r="DXL230" s="15"/>
      <c r="DXM230" s="15"/>
      <c r="DXN230" s="15"/>
      <c r="DXO230" s="10"/>
      <c r="DXP230" s="10"/>
      <c r="DXQ230" s="21"/>
      <c r="DXR230" s="21"/>
      <c r="DXU230" s="21"/>
      <c r="DXV230" s="15"/>
      <c r="DXW230" s="15"/>
      <c r="DXX230" s="15"/>
      <c r="DXY230" s="15"/>
      <c r="DXZ230" s="15"/>
      <c r="DYA230" s="15"/>
      <c r="DYB230" s="15"/>
      <c r="DYC230" s="15"/>
      <c r="DYD230" s="15"/>
      <c r="DYE230" s="15"/>
      <c r="DYF230" s="10"/>
      <c r="DYG230" s="10"/>
      <c r="DYH230" s="21"/>
      <c r="DYI230" s="21"/>
      <c r="DYL230" s="21"/>
      <c r="DYM230" s="15"/>
      <c r="DYN230" s="15"/>
      <c r="DYO230" s="15"/>
      <c r="DYP230" s="15"/>
      <c r="DYQ230" s="15"/>
      <c r="DYR230" s="15"/>
      <c r="DYS230" s="15"/>
      <c r="DYT230" s="15"/>
      <c r="DYU230" s="15"/>
      <c r="DYV230" s="15"/>
      <c r="DYW230" s="10"/>
      <c r="DYX230" s="10"/>
      <c r="DYY230" s="21"/>
      <c r="DYZ230" s="21"/>
      <c r="DZC230" s="21"/>
      <c r="DZD230" s="15"/>
      <c r="DZE230" s="15"/>
      <c r="DZF230" s="15"/>
      <c r="DZG230" s="15"/>
      <c r="DZH230" s="15"/>
      <c r="DZI230" s="15"/>
      <c r="DZJ230" s="15"/>
      <c r="DZK230" s="15"/>
      <c r="DZL230" s="15"/>
      <c r="DZM230" s="15"/>
      <c r="DZN230" s="10"/>
      <c r="DZO230" s="10"/>
      <c r="DZP230" s="21"/>
      <c r="DZQ230" s="21"/>
      <c r="DZT230" s="21"/>
      <c r="DZU230" s="15"/>
      <c r="DZV230" s="15"/>
      <c r="DZW230" s="15"/>
      <c r="DZX230" s="15"/>
      <c r="DZY230" s="15"/>
      <c r="DZZ230" s="15"/>
      <c r="EAA230" s="15"/>
      <c r="EAB230" s="15"/>
      <c r="EAC230" s="15"/>
      <c r="EAD230" s="15"/>
      <c r="EAE230" s="10"/>
      <c r="EAF230" s="10"/>
      <c r="EAG230" s="21"/>
      <c r="EAH230" s="21"/>
      <c r="EAK230" s="21"/>
      <c r="EAL230" s="15"/>
      <c r="EAM230" s="15"/>
      <c r="EAN230" s="15"/>
      <c r="EAO230" s="15"/>
      <c r="EAP230" s="15"/>
      <c r="EAQ230" s="15"/>
      <c r="EAR230" s="15"/>
      <c r="EAS230" s="15"/>
      <c r="EAT230" s="15"/>
      <c r="EAU230" s="15"/>
      <c r="EAV230" s="10"/>
      <c r="EAW230" s="10"/>
      <c r="EAX230" s="21"/>
      <c r="EAY230" s="21"/>
      <c r="EBB230" s="21"/>
      <c r="EBC230" s="15"/>
      <c r="EBD230" s="15"/>
      <c r="EBE230" s="15"/>
      <c r="EBF230" s="15"/>
      <c r="EBG230" s="15"/>
      <c r="EBH230" s="15"/>
      <c r="EBI230" s="15"/>
      <c r="EBJ230" s="15"/>
      <c r="EBK230" s="15"/>
      <c r="EBL230" s="15"/>
      <c r="EBM230" s="10"/>
      <c r="EBN230" s="10"/>
      <c r="EBO230" s="21"/>
      <c r="EBP230" s="21"/>
      <c r="EBS230" s="21"/>
      <c r="EBT230" s="15"/>
      <c r="EBU230" s="15"/>
      <c r="EBV230" s="15"/>
      <c r="EBW230" s="15"/>
      <c r="EBX230" s="15"/>
      <c r="EBY230" s="15"/>
      <c r="EBZ230" s="15"/>
      <c r="ECA230" s="15"/>
      <c r="ECB230" s="15"/>
      <c r="ECC230" s="15"/>
      <c r="ECD230" s="10"/>
      <c r="ECE230" s="10"/>
      <c r="ECF230" s="21"/>
      <c r="ECG230" s="21"/>
      <c r="ECJ230" s="21"/>
      <c r="ECK230" s="15"/>
      <c r="ECL230" s="15"/>
      <c r="ECM230" s="15"/>
      <c r="ECN230" s="15"/>
      <c r="ECO230" s="15"/>
      <c r="ECP230" s="15"/>
      <c r="ECQ230" s="15"/>
      <c r="ECR230" s="15"/>
      <c r="ECS230" s="15"/>
      <c r="ECT230" s="15"/>
      <c r="ECU230" s="10"/>
      <c r="ECV230" s="10"/>
      <c r="ECW230" s="21"/>
      <c r="ECX230" s="21"/>
      <c r="EDA230" s="21"/>
      <c r="EDB230" s="15"/>
      <c r="EDC230" s="15"/>
      <c r="EDD230" s="15"/>
      <c r="EDE230" s="15"/>
      <c r="EDF230" s="15"/>
      <c r="EDG230" s="15"/>
      <c r="EDH230" s="15"/>
      <c r="EDI230" s="15"/>
      <c r="EDJ230" s="15"/>
      <c r="EDK230" s="15"/>
      <c r="EDL230" s="10"/>
      <c r="EDM230" s="10"/>
      <c r="EDN230" s="21"/>
      <c r="EDO230" s="21"/>
      <c r="EDR230" s="21"/>
      <c r="EDS230" s="15"/>
      <c r="EDT230" s="15"/>
      <c r="EDU230" s="15"/>
      <c r="EDV230" s="15"/>
      <c r="EDW230" s="15"/>
      <c r="EDX230" s="15"/>
      <c r="EDY230" s="15"/>
      <c r="EDZ230" s="15"/>
      <c r="EEA230" s="15"/>
      <c r="EEB230" s="15"/>
      <c r="EEC230" s="10"/>
      <c r="EED230" s="10"/>
      <c r="EEE230" s="21"/>
      <c r="EEF230" s="21"/>
      <c r="EEI230" s="21"/>
      <c r="EEJ230" s="15"/>
      <c r="EEK230" s="15"/>
      <c r="EEL230" s="15"/>
      <c r="EEM230" s="15"/>
      <c r="EEN230" s="15"/>
      <c r="EEO230" s="15"/>
      <c r="EEP230" s="15"/>
      <c r="EEQ230" s="15"/>
      <c r="EER230" s="15"/>
      <c r="EES230" s="15"/>
      <c r="EET230" s="10"/>
      <c r="EEU230" s="10"/>
      <c r="EEV230" s="21"/>
      <c r="EEW230" s="21"/>
      <c r="EEZ230" s="21"/>
      <c r="EFA230" s="15"/>
      <c r="EFB230" s="15"/>
      <c r="EFC230" s="15"/>
      <c r="EFD230" s="15"/>
      <c r="EFE230" s="15"/>
      <c r="EFF230" s="15"/>
      <c r="EFG230" s="15"/>
      <c r="EFH230" s="15"/>
      <c r="EFI230" s="15"/>
      <c r="EFJ230" s="15"/>
      <c r="EFK230" s="10"/>
      <c r="EFL230" s="10"/>
      <c r="EFM230" s="21"/>
      <c r="EFN230" s="21"/>
      <c r="EFQ230" s="21"/>
      <c r="EFR230" s="15"/>
      <c r="EFS230" s="15"/>
      <c r="EFT230" s="15"/>
      <c r="EFU230" s="15"/>
      <c r="EFV230" s="15"/>
      <c r="EFW230" s="15"/>
      <c r="EFX230" s="15"/>
      <c r="EFY230" s="15"/>
      <c r="EFZ230" s="15"/>
      <c r="EGA230" s="15"/>
      <c r="EGB230" s="10"/>
      <c r="EGC230" s="10"/>
      <c r="EGD230" s="21"/>
      <c r="EGE230" s="21"/>
      <c r="EGH230" s="21"/>
      <c r="EGI230" s="15"/>
      <c r="EGJ230" s="15"/>
      <c r="EGK230" s="15"/>
      <c r="EGL230" s="15"/>
      <c r="EGM230" s="15"/>
      <c r="EGN230" s="15"/>
      <c r="EGO230" s="15"/>
      <c r="EGP230" s="15"/>
      <c r="EGQ230" s="15"/>
      <c r="EGR230" s="15"/>
      <c r="EGS230" s="10"/>
      <c r="EGT230" s="10"/>
      <c r="EGU230" s="21"/>
      <c r="EGV230" s="21"/>
      <c r="EGY230" s="21"/>
      <c r="EGZ230" s="15"/>
      <c r="EHA230" s="15"/>
      <c r="EHB230" s="15"/>
      <c r="EHC230" s="15"/>
      <c r="EHD230" s="15"/>
      <c r="EHE230" s="15"/>
      <c r="EHF230" s="15"/>
      <c r="EHG230" s="15"/>
      <c r="EHH230" s="15"/>
      <c r="EHI230" s="15"/>
      <c r="EHJ230" s="10"/>
      <c r="EHK230" s="10"/>
      <c r="EHL230" s="21"/>
      <c r="EHM230" s="21"/>
      <c r="EHP230" s="21"/>
      <c r="EHQ230" s="15"/>
      <c r="EHR230" s="15"/>
      <c r="EHS230" s="15"/>
      <c r="EHT230" s="15"/>
      <c r="EHU230" s="15"/>
      <c r="EHV230" s="15"/>
      <c r="EHW230" s="15"/>
      <c r="EHX230" s="15"/>
      <c r="EHY230" s="15"/>
      <c r="EHZ230" s="15"/>
      <c r="EIA230" s="10"/>
      <c r="EIB230" s="10"/>
      <c r="EIC230" s="21"/>
      <c r="EID230" s="21"/>
      <c r="EIG230" s="21"/>
      <c r="EIH230" s="15"/>
      <c r="EII230" s="15"/>
      <c r="EIJ230" s="15"/>
      <c r="EIK230" s="15"/>
      <c r="EIL230" s="15"/>
      <c r="EIM230" s="15"/>
      <c r="EIN230" s="15"/>
      <c r="EIO230" s="15"/>
      <c r="EIP230" s="15"/>
      <c r="EIQ230" s="15"/>
      <c r="EIR230" s="10"/>
      <c r="EIS230" s="10"/>
      <c r="EIT230" s="21"/>
      <c r="EIU230" s="21"/>
      <c r="EIX230" s="21"/>
      <c r="EIY230" s="15"/>
      <c r="EIZ230" s="15"/>
      <c r="EJA230" s="15"/>
      <c r="EJB230" s="15"/>
      <c r="EJC230" s="15"/>
      <c r="EJD230" s="15"/>
      <c r="EJE230" s="15"/>
      <c r="EJF230" s="15"/>
      <c r="EJG230" s="15"/>
      <c r="EJH230" s="15"/>
      <c r="EJI230" s="10"/>
      <c r="EJJ230" s="10"/>
      <c r="EJK230" s="21"/>
      <c r="EJL230" s="21"/>
      <c r="EJO230" s="21"/>
      <c r="EJP230" s="15"/>
      <c r="EJQ230" s="15"/>
      <c r="EJR230" s="15"/>
      <c r="EJS230" s="15"/>
      <c r="EJT230" s="15"/>
      <c r="EJU230" s="15"/>
      <c r="EJV230" s="15"/>
      <c r="EJW230" s="15"/>
      <c r="EJX230" s="15"/>
      <c r="EJY230" s="15"/>
      <c r="EJZ230" s="10"/>
      <c r="EKA230" s="10"/>
      <c r="EKB230" s="21"/>
      <c r="EKC230" s="21"/>
      <c r="EKF230" s="21"/>
      <c r="EKG230" s="15"/>
      <c r="EKH230" s="15"/>
      <c r="EKI230" s="15"/>
      <c r="EKJ230" s="15"/>
      <c r="EKK230" s="15"/>
      <c r="EKL230" s="15"/>
      <c r="EKM230" s="15"/>
      <c r="EKN230" s="15"/>
      <c r="EKO230" s="15"/>
      <c r="EKP230" s="15"/>
      <c r="EKQ230" s="10"/>
      <c r="EKR230" s="10"/>
      <c r="EKS230" s="21"/>
      <c r="EKT230" s="21"/>
      <c r="EKW230" s="21"/>
      <c r="EKX230" s="15"/>
      <c r="EKY230" s="15"/>
      <c r="EKZ230" s="15"/>
      <c r="ELA230" s="15"/>
      <c r="ELB230" s="15"/>
      <c r="ELC230" s="15"/>
      <c r="ELD230" s="15"/>
      <c r="ELE230" s="15"/>
      <c r="ELF230" s="15"/>
      <c r="ELG230" s="15"/>
      <c r="ELH230" s="10"/>
      <c r="ELI230" s="10"/>
      <c r="ELJ230" s="21"/>
      <c r="ELK230" s="21"/>
      <c r="ELN230" s="21"/>
      <c r="ELO230" s="15"/>
      <c r="ELP230" s="15"/>
      <c r="ELQ230" s="15"/>
      <c r="ELR230" s="15"/>
      <c r="ELS230" s="15"/>
      <c r="ELT230" s="15"/>
      <c r="ELU230" s="15"/>
      <c r="ELV230" s="15"/>
      <c r="ELW230" s="15"/>
      <c r="ELX230" s="15"/>
      <c r="ELY230" s="10"/>
      <c r="ELZ230" s="10"/>
      <c r="EMA230" s="21"/>
      <c r="EMB230" s="21"/>
      <c r="EME230" s="21"/>
      <c r="EMF230" s="15"/>
      <c r="EMG230" s="15"/>
      <c r="EMH230" s="15"/>
      <c r="EMI230" s="15"/>
      <c r="EMJ230" s="15"/>
      <c r="EMK230" s="15"/>
      <c r="EML230" s="15"/>
      <c r="EMM230" s="15"/>
      <c r="EMN230" s="15"/>
      <c r="EMO230" s="15"/>
      <c r="EMP230" s="10"/>
      <c r="EMQ230" s="10"/>
      <c r="EMR230" s="21"/>
      <c r="EMS230" s="21"/>
      <c r="EMV230" s="21"/>
      <c r="EMW230" s="15"/>
      <c r="EMX230" s="15"/>
      <c r="EMY230" s="15"/>
      <c r="EMZ230" s="15"/>
      <c r="ENA230" s="15"/>
      <c r="ENB230" s="15"/>
      <c r="ENC230" s="15"/>
      <c r="END230" s="15"/>
      <c r="ENE230" s="15"/>
      <c r="ENF230" s="15"/>
      <c r="ENG230" s="10"/>
      <c r="ENH230" s="10"/>
      <c r="ENI230" s="21"/>
      <c r="ENJ230" s="21"/>
      <c r="ENM230" s="21"/>
      <c r="ENN230" s="15"/>
      <c r="ENO230" s="15"/>
      <c r="ENP230" s="15"/>
      <c r="ENQ230" s="15"/>
      <c r="ENR230" s="15"/>
      <c r="ENS230" s="15"/>
      <c r="ENT230" s="15"/>
      <c r="ENU230" s="15"/>
      <c r="ENV230" s="15"/>
      <c r="ENW230" s="15"/>
      <c r="ENX230" s="10"/>
      <c r="ENY230" s="10"/>
      <c r="ENZ230" s="21"/>
      <c r="EOA230" s="21"/>
      <c r="EOD230" s="21"/>
      <c r="EOE230" s="15"/>
      <c r="EOF230" s="15"/>
      <c r="EOG230" s="15"/>
      <c r="EOH230" s="15"/>
      <c r="EOI230" s="15"/>
      <c r="EOJ230" s="15"/>
      <c r="EOK230" s="15"/>
      <c r="EOL230" s="15"/>
      <c r="EOM230" s="15"/>
      <c r="EON230" s="15"/>
      <c r="EOO230" s="10"/>
      <c r="EOP230" s="10"/>
      <c r="EOQ230" s="21"/>
      <c r="EOR230" s="21"/>
      <c r="EOU230" s="21"/>
      <c r="EOV230" s="15"/>
      <c r="EOW230" s="15"/>
      <c r="EOX230" s="15"/>
      <c r="EOY230" s="15"/>
      <c r="EOZ230" s="15"/>
      <c r="EPA230" s="15"/>
      <c r="EPB230" s="15"/>
      <c r="EPC230" s="15"/>
      <c r="EPD230" s="15"/>
      <c r="EPE230" s="15"/>
      <c r="EPF230" s="10"/>
      <c r="EPG230" s="10"/>
      <c r="EPH230" s="21"/>
      <c r="EPI230" s="21"/>
      <c r="EPL230" s="21"/>
      <c r="EPM230" s="15"/>
      <c r="EPN230" s="15"/>
      <c r="EPO230" s="15"/>
      <c r="EPP230" s="15"/>
      <c r="EPQ230" s="15"/>
      <c r="EPR230" s="15"/>
      <c r="EPS230" s="15"/>
      <c r="EPT230" s="15"/>
      <c r="EPU230" s="15"/>
      <c r="EPV230" s="15"/>
      <c r="EPW230" s="10"/>
      <c r="EPX230" s="10"/>
      <c r="EPY230" s="21"/>
      <c r="EPZ230" s="21"/>
      <c r="EQC230" s="21"/>
      <c r="EQD230" s="15"/>
      <c r="EQE230" s="15"/>
      <c r="EQF230" s="15"/>
      <c r="EQG230" s="15"/>
      <c r="EQH230" s="15"/>
      <c r="EQI230" s="15"/>
      <c r="EQJ230" s="15"/>
      <c r="EQK230" s="15"/>
      <c r="EQL230" s="15"/>
      <c r="EQM230" s="15"/>
      <c r="EQN230" s="10"/>
      <c r="EQO230" s="10"/>
      <c r="EQP230" s="21"/>
      <c r="EQQ230" s="21"/>
      <c r="EQT230" s="21"/>
      <c r="EQU230" s="15"/>
      <c r="EQV230" s="15"/>
      <c r="EQW230" s="15"/>
      <c r="EQX230" s="15"/>
      <c r="EQY230" s="15"/>
      <c r="EQZ230" s="15"/>
      <c r="ERA230" s="15"/>
      <c r="ERB230" s="15"/>
      <c r="ERC230" s="15"/>
      <c r="ERD230" s="15"/>
      <c r="ERE230" s="10"/>
      <c r="ERF230" s="10"/>
      <c r="ERG230" s="21"/>
      <c r="ERH230" s="21"/>
      <c r="ERK230" s="21"/>
      <c r="ERL230" s="15"/>
      <c r="ERM230" s="15"/>
      <c r="ERN230" s="15"/>
      <c r="ERO230" s="15"/>
      <c r="ERP230" s="15"/>
      <c r="ERQ230" s="15"/>
      <c r="ERR230" s="15"/>
      <c r="ERS230" s="15"/>
      <c r="ERT230" s="15"/>
      <c r="ERU230" s="15"/>
      <c r="ERV230" s="10"/>
      <c r="ERW230" s="10"/>
      <c r="ERX230" s="21"/>
      <c r="ERY230" s="21"/>
      <c r="ESB230" s="21"/>
      <c r="ESC230" s="15"/>
      <c r="ESD230" s="15"/>
      <c r="ESE230" s="15"/>
      <c r="ESF230" s="15"/>
      <c r="ESG230" s="15"/>
      <c r="ESH230" s="15"/>
      <c r="ESI230" s="15"/>
      <c r="ESJ230" s="15"/>
      <c r="ESK230" s="15"/>
      <c r="ESL230" s="15"/>
      <c r="ESM230" s="10"/>
      <c r="ESN230" s="10"/>
      <c r="ESO230" s="21"/>
      <c r="ESP230" s="21"/>
      <c r="ESS230" s="21"/>
      <c r="EST230" s="15"/>
      <c r="ESU230" s="15"/>
      <c r="ESV230" s="15"/>
      <c r="ESW230" s="15"/>
      <c r="ESX230" s="15"/>
      <c r="ESY230" s="15"/>
      <c r="ESZ230" s="15"/>
      <c r="ETA230" s="15"/>
      <c r="ETB230" s="15"/>
      <c r="ETC230" s="15"/>
      <c r="ETD230" s="10"/>
      <c r="ETE230" s="10"/>
      <c r="ETF230" s="21"/>
      <c r="ETG230" s="21"/>
      <c r="ETJ230" s="21"/>
      <c r="ETK230" s="15"/>
      <c r="ETL230" s="15"/>
      <c r="ETM230" s="15"/>
      <c r="ETN230" s="15"/>
      <c r="ETO230" s="15"/>
      <c r="ETP230" s="15"/>
      <c r="ETQ230" s="15"/>
      <c r="ETR230" s="15"/>
      <c r="ETS230" s="15"/>
      <c r="ETT230" s="15"/>
      <c r="ETU230" s="10"/>
      <c r="ETV230" s="10"/>
      <c r="ETW230" s="21"/>
      <c r="ETX230" s="21"/>
      <c r="EUA230" s="21"/>
      <c r="EUB230" s="15"/>
      <c r="EUC230" s="15"/>
      <c r="EUD230" s="15"/>
      <c r="EUE230" s="15"/>
      <c r="EUF230" s="15"/>
      <c r="EUG230" s="15"/>
      <c r="EUH230" s="15"/>
      <c r="EUI230" s="15"/>
      <c r="EUJ230" s="15"/>
      <c r="EUK230" s="15"/>
      <c r="EUL230" s="10"/>
      <c r="EUM230" s="10"/>
      <c r="EUN230" s="21"/>
      <c r="EUO230" s="21"/>
      <c r="EUR230" s="21"/>
      <c r="EUS230" s="15"/>
      <c r="EUT230" s="15"/>
      <c r="EUU230" s="15"/>
      <c r="EUV230" s="15"/>
      <c r="EUW230" s="15"/>
      <c r="EUX230" s="15"/>
      <c r="EUY230" s="15"/>
      <c r="EUZ230" s="15"/>
      <c r="EVA230" s="15"/>
      <c r="EVB230" s="15"/>
      <c r="EVC230" s="10"/>
      <c r="EVD230" s="10"/>
      <c r="EVE230" s="21"/>
      <c r="EVF230" s="21"/>
      <c r="EVI230" s="21"/>
      <c r="EVJ230" s="15"/>
      <c r="EVK230" s="15"/>
      <c r="EVL230" s="15"/>
      <c r="EVM230" s="15"/>
      <c r="EVN230" s="15"/>
      <c r="EVO230" s="15"/>
      <c r="EVP230" s="15"/>
      <c r="EVQ230" s="15"/>
      <c r="EVR230" s="15"/>
      <c r="EVS230" s="15"/>
      <c r="EVT230" s="10"/>
      <c r="EVU230" s="10"/>
      <c r="EVV230" s="21"/>
      <c r="EVW230" s="21"/>
      <c r="EVZ230" s="21"/>
      <c r="EWA230" s="15"/>
      <c r="EWB230" s="15"/>
      <c r="EWC230" s="15"/>
      <c r="EWD230" s="15"/>
      <c r="EWE230" s="15"/>
      <c r="EWF230" s="15"/>
      <c r="EWG230" s="15"/>
      <c r="EWH230" s="15"/>
      <c r="EWI230" s="15"/>
      <c r="EWJ230" s="15"/>
      <c r="EWK230" s="10"/>
      <c r="EWL230" s="10"/>
      <c r="EWM230" s="21"/>
      <c r="EWN230" s="21"/>
      <c r="EWQ230" s="21"/>
      <c r="EWR230" s="15"/>
      <c r="EWS230" s="15"/>
      <c r="EWT230" s="15"/>
      <c r="EWU230" s="15"/>
      <c r="EWV230" s="15"/>
      <c r="EWW230" s="15"/>
      <c r="EWX230" s="15"/>
      <c r="EWY230" s="15"/>
      <c r="EWZ230" s="15"/>
      <c r="EXA230" s="15"/>
      <c r="EXB230" s="10"/>
      <c r="EXC230" s="10"/>
      <c r="EXD230" s="21"/>
      <c r="EXE230" s="21"/>
      <c r="EXH230" s="21"/>
      <c r="EXI230" s="15"/>
      <c r="EXJ230" s="15"/>
      <c r="EXK230" s="15"/>
      <c r="EXL230" s="15"/>
      <c r="EXM230" s="15"/>
      <c r="EXN230" s="15"/>
      <c r="EXO230" s="15"/>
      <c r="EXP230" s="15"/>
      <c r="EXQ230" s="15"/>
      <c r="EXR230" s="15"/>
      <c r="EXS230" s="10"/>
      <c r="EXT230" s="10"/>
      <c r="EXU230" s="21"/>
      <c r="EXV230" s="21"/>
      <c r="EXY230" s="21"/>
      <c r="EXZ230" s="15"/>
      <c r="EYA230" s="15"/>
      <c r="EYB230" s="15"/>
      <c r="EYC230" s="15"/>
      <c r="EYD230" s="15"/>
      <c r="EYE230" s="15"/>
      <c r="EYF230" s="15"/>
      <c r="EYG230" s="15"/>
      <c r="EYH230" s="15"/>
      <c r="EYI230" s="15"/>
      <c r="EYJ230" s="10"/>
      <c r="EYK230" s="10"/>
      <c r="EYL230" s="21"/>
      <c r="EYM230" s="21"/>
      <c r="EYP230" s="21"/>
      <c r="EYQ230" s="15"/>
      <c r="EYR230" s="15"/>
      <c r="EYS230" s="15"/>
      <c r="EYT230" s="15"/>
      <c r="EYU230" s="15"/>
      <c r="EYV230" s="15"/>
      <c r="EYW230" s="15"/>
      <c r="EYX230" s="15"/>
      <c r="EYY230" s="15"/>
      <c r="EYZ230" s="15"/>
      <c r="EZA230" s="10"/>
      <c r="EZB230" s="10"/>
      <c r="EZC230" s="21"/>
      <c r="EZD230" s="21"/>
      <c r="EZG230" s="21"/>
      <c r="EZH230" s="15"/>
      <c r="EZI230" s="15"/>
      <c r="EZJ230" s="15"/>
      <c r="EZK230" s="15"/>
      <c r="EZL230" s="15"/>
      <c r="EZM230" s="15"/>
      <c r="EZN230" s="15"/>
      <c r="EZO230" s="15"/>
      <c r="EZP230" s="15"/>
      <c r="EZQ230" s="15"/>
      <c r="EZR230" s="10"/>
      <c r="EZS230" s="10"/>
      <c r="EZT230" s="21"/>
      <c r="EZU230" s="21"/>
      <c r="EZX230" s="21"/>
      <c r="EZY230" s="15"/>
      <c r="EZZ230" s="15"/>
      <c r="FAA230" s="15"/>
      <c r="FAB230" s="15"/>
      <c r="FAC230" s="15"/>
      <c r="FAD230" s="15"/>
      <c r="FAE230" s="15"/>
      <c r="FAF230" s="15"/>
      <c r="FAG230" s="15"/>
      <c r="FAH230" s="15"/>
      <c r="FAI230" s="10"/>
      <c r="FAJ230" s="10"/>
      <c r="FAK230" s="21"/>
      <c r="FAL230" s="21"/>
      <c r="FAO230" s="21"/>
      <c r="FAP230" s="15"/>
      <c r="FAQ230" s="15"/>
      <c r="FAR230" s="15"/>
      <c r="FAS230" s="15"/>
      <c r="FAT230" s="15"/>
      <c r="FAU230" s="15"/>
      <c r="FAV230" s="15"/>
      <c r="FAW230" s="15"/>
      <c r="FAX230" s="15"/>
      <c r="FAY230" s="15"/>
      <c r="FAZ230" s="10"/>
      <c r="FBA230" s="10"/>
      <c r="FBB230" s="21"/>
      <c r="FBC230" s="21"/>
      <c r="FBF230" s="21"/>
      <c r="FBG230" s="15"/>
      <c r="FBH230" s="15"/>
      <c r="FBI230" s="15"/>
      <c r="FBJ230" s="15"/>
      <c r="FBK230" s="15"/>
      <c r="FBL230" s="15"/>
      <c r="FBM230" s="15"/>
      <c r="FBN230" s="15"/>
      <c r="FBO230" s="15"/>
      <c r="FBP230" s="15"/>
      <c r="FBQ230" s="10"/>
      <c r="FBR230" s="10"/>
      <c r="FBS230" s="21"/>
      <c r="FBT230" s="21"/>
      <c r="FBW230" s="21"/>
      <c r="FBX230" s="15"/>
      <c r="FBY230" s="15"/>
      <c r="FBZ230" s="15"/>
      <c r="FCA230" s="15"/>
      <c r="FCB230" s="15"/>
      <c r="FCC230" s="15"/>
      <c r="FCD230" s="15"/>
      <c r="FCE230" s="15"/>
      <c r="FCF230" s="15"/>
      <c r="FCG230" s="15"/>
      <c r="FCH230" s="10"/>
      <c r="FCI230" s="10"/>
      <c r="FCJ230" s="21"/>
      <c r="FCK230" s="21"/>
      <c r="FCN230" s="21"/>
      <c r="FCO230" s="15"/>
      <c r="FCP230" s="15"/>
      <c r="FCQ230" s="15"/>
      <c r="FCR230" s="15"/>
      <c r="FCS230" s="15"/>
      <c r="FCT230" s="15"/>
      <c r="FCU230" s="15"/>
      <c r="FCV230" s="15"/>
      <c r="FCW230" s="15"/>
      <c r="FCX230" s="15"/>
      <c r="FCY230" s="10"/>
      <c r="FCZ230" s="10"/>
      <c r="FDA230" s="21"/>
      <c r="FDB230" s="21"/>
      <c r="FDE230" s="21"/>
      <c r="FDF230" s="15"/>
      <c r="FDG230" s="15"/>
      <c r="FDH230" s="15"/>
      <c r="FDI230" s="15"/>
      <c r="FDJ230" s="15"/>
      <c r="FDK230" s="15"/>
      <c r="FDL230" s="15"/>
      <c r="FDM230" s="15"/>
      <c r="FDN230" s="15"/>
      <c r="FDO230" s="15"/>
      <c r="FDP230" s="10"/>
      <c r="FDQ230" s="10"/>
      <c r="FDR230" s="21"/>
      <c r="FDS230" s="21"/>
      <c r="FDV230" s="21"/>
      <c r="FDW230" s="15"/>
      <c r="FDX230" s="15"/>
      <c r="FDY230" s="15"/>
      <c r="FDZ230" s="15"/>
      <c r="FEA230" s="15"/>
      <c r="FEB230" s="15"/>
      <c r="FEC230" s="15"/>
      <c r="FED230" s="15"/>
      <c r="FEE230" s="15"/>
      <c r="FEF230" s="15"/>
      <c r="FEG230" s="10"/>
      <c r="FEH230" s="10"/>
      <c r="FEI230" s="21"/>
      <c r="FEJ230" s="21"/>
      <c r="FEM230" s="21"/>
      <c r="FEN230" s="15"/>
      <c r="FEO230" s="15"/>
      <c r="FEP230" s="15"/>
      <c r="FEQ230" s="15"/>
      <c r="FER230" s="15"/>
      <c r="FES230" s="15"/>
      <c r="FET230" s="15"/>
      <c r="FEU230" s="15"/>
      <c r="FEV230" s="15"/>
      <c r="FEW230" s="15"/>
      <c r="FEX230" s="10"/>
      <c r="FEY230" s="10"/>
      <c r="FEZ230" s="21"/>
      <c r="FFA230" s="21"/>
      <c r="FFD230" s="21"/>
      <c r="FFE230" s="15"/>
      <c r="FFF230" s="15"/>
      <c r="FFG230" s="15"/>
      <c r="FFH230" s="15"/>
      <c r="FFI230" s="15"/>
      <c r="FFJ230" s="15"/>
      <c r="FFK230" s="15"/>
      <c r="FFL230" s="15"/>
      <c r="FFM230" s="15"/>
      <c r="FFN230" s="15"/>
      <c r="FFO230" s="10"/>
      <c r="FFP230" s="10"/>
      <c r="FFQ230" s="21"/>
      <c r="FFR230" s="21"/>
      <c r="FFU230" s="21"/>
      <c r="FFV230" s="15"/>
      <c r="FFW230" s="15"/>
      <c r="FFX230" s="15"/>
      <c r="FFY230" s="15"/>
      <c r="FFZ230" s="15"/>
      <c r="FGA230" s="15"/>
      <c r="FGB230" s="15"/>
      <c r="FGC230" s="15"/>
      <c r="FGD230" s="15"/>
      <c r="FGE230" s="15"/>
      <c r="FGF230" s="10"/>
      <c r="FGG230" s="10"/>
      <c r="FGH230" s="21"/>
      <c r="FGI230" s="21"/>
      <c r="FGL230" s="21"/>
      <c r="FGM230" s="15"/>
      <c r="FGN230" s="15"/>
      <c r="FGO230" s="15"/>
      <c r="FGP230" s="15"/>
      <c r="FGQ230" s="15"/>
      <c r="FGR230" s="15"/>
      <c r="FGS230" s="15"/>
      <c r="FGT230" s="15"/>
      <c r="FGU230" s="15"/>
      <c r="FGV230" s="15"/>
      <c r="FGW230" s="10"/>
      <c r="FGX230" s="10"/>
      <c r="FGY230" s="21"/>
      <c r="FGZ230" s="21"/>
      <c r="FHC230" s="21"/>
      <c r="FHD230" s="15"/>
      <c r="FHE230" s="15"/>
      <c r="FHF230" s="15"/>
      <c r="FHG230" s="15"/>
      <c r="FHH230" s="15"/>
      <c r="FHI230" s="15"/>
      <c r="FHJ230" s="15"/>
      <c r="FHK230" s="15"/>
      <c r="FHL230" s="15"/>
      <c r="FHM230" s="15"/>
      <c r="FHN230" s="10"/>
      <c r="FHO230" s="10"/>
      <c r="FHP230" s="21"/>
      <c r="FHQ230" s="21"/>
      <c r="FHT230" s="21"/>
      <c r="FHU230" s="15"/>
      <c r="FHV230" s="15"/>
      <c r="FHW230" s="15"/>
      <c r="FHX230" s="15"/>
      <c r="FHY230" s="15"/>
      <c r="FHZ230" s="15"/>
      <c r="FIA230" s="15"/>
      <c r="FIB230" s="15"/>
      <c r="FIC230" s="15"/>
      <c r="FID230" s="15"/>
      <c r="FIE230" s="10"/>
      <c r="FIF230" s="10"/>
      <c r="FIG230" s="21"/>
      <c r="FIH230" s="21"/>
      <c r="FIK230" s="21"/>
      <c r="FIL230" s="15"/>
      <c r="FIM230" s="15"/>
      <c r="FIN230" s="15"/>
      <c r="FIO230" s="15"/>
      <c r="FIP230" s="15"/>
      <c r="FIQ230" s="15"/>
      <c r="FIR230" s="15"/>
      <c r="FIS230" s="15"/>
      <c r="FIT230" s="15"/>
      <c r="FIU230" s="15"/>
      <c r="FIV230" s="10"/>
      <c r="FIW230" s="10"/>
      <c r="FIX230" s="21"/>
      <c r="FIY230" s="21"/>
      <c r="FJB230" s="21"/>
      <c r="FJC230" s="15"/>
      <c r="FJD230" s="15"/>
      <c r="FJE230" s="15"/>
      <c r="FJF230" s="15"/>
      <c r="FJG230" s="15"/>
      <c r="FJH230" s="15"/>
      <c r="FJI230" s="15"/>
      <c r="FJJ230" s="15"/>
      <c r="FJK230" s="15"/>
      <c r="FJL230" s="15"/>
      <c r="FJM230" s="10"/>
      <c r="FJN230" s="10"/>
      <c r="FJO230" s="21"/>
      <c r="FJP230" s="21"/>
      <c r="FJS230" s="21"/>
      <c r="FJT230" s="15"/>
      <c r="FJU230" s="15"/>
      <c r="FJV230" s="15"/>
      <c r="FJW230" s="15"/>
      <c r="FJX230" s="15"/>
      <c r="FJY230" s="15"/>
      <c r="FJZ230" s="15"/>
      <c r="FKA230" s="15"/>
      <c r="FKB230" s="15"/>
      <c r="FKC230" s="15"/>
      <c r="FKD230" s="10"/>
      <c r="FKE230" s="10"/>
      <c r="FKF230" s="21"/>
      <c r="FKG230" s="21"/>
      <c r="FKJ230" s="21"/>
      <c r="FKK230" s="15"/>
      <c r="FKL230" s="15"/>
      <c r="FKM230" s="15"/>
      <c r="FKN230" s="15"/>
      <c r="FKO230" s="15"/>
      <c r="FKP230" s="15"/>
      <c r="FKQ230" s="15"/>
      <c r="FKR230" s="15"/>
      <c r="FKS230" s="15"/>
      <c r="FKT230" s="15"/>
      <c r="FKU230" s="10"/>
      <c r="FKV230" s="10"/>
      <c r="FKW230" s="21"/>
      <c r="FKX230" s="21"/>
      <c r="FLA230" s="21"/>
      <c r="FLB230" s="15"/>
      <c r="FLC230" s="15"/>
      <c r="FLD230" s="15"/>
      <c r="FLE230" s="15"/>
      <c r="FLF230" s="15"/>
      <c r="FLG230" s="15"/>
      <c r="FLH230" s="15"/>
      <c r="FLI230" s="15"/>
      <c r="FLJ230" s="15"/>
      <c r="FLK230" s="15"/>
      <c r="FLL230" s="10"/>
      <c r="FLM230" s="10"/>
      <c r="FLN230" s="21"/>
      <c r="FLO230" s="21"/>
      <c r="FLR230" s="21"/>
      <c r="FLS230" s="15"/>
      <c r="FLT230" s="15"/>
      <c r="FLU230" s="15"/>
      <c r="FLV230" s="15"/>
      <c r="FLW230" s="15"/>
      <c r="FLX230" s="15"/>
      <c r="FLY230" s="15"/>
      <c r="FLZ230" s="15"/>
      <c r="FMA230" s="15"/>
      <c r="FMB230" s="15"/>
      <c r="FMC230" s="10"/>
      <c r="FMD230" s="10"/>
      <c r="FME230" s="21"/>
      <c r="FMF230" s="21"/>
      <c r="FMI230" s="21"/>
      <c r="FMJ230" s="15"/>
      <c r="FMK230" s="15"/>
      <c r="FML230" s="15"/>
      <c r="FMM230" s="15"/>
      <c r="FMN230" s="15"/>
      <c r="FMO230" s="15"/>
      <c r="FMP230" s="15"/>
      <c r="FMQ230" s="15"/>
      <c r="FMR230" s="15"/>
      <c r="FMS230" s="15"/>
      <c r="FMT230" s="10"/>
      <c r="FMU230" s="10"/>
      <c r="FMV230" s="21"/>
      <c r="FMW230" s="21"/>
      <c r="FMZ230" s="21"/>
      <c r="FNA230" s="15"/>
      <c r="FNB230" s="15"/>
      <c r="FNC230" s="15"/>
      <c r="FND230" s="15"/>
      <c r="FNE230" s="15"/>
      <c r="FNF230" s="15"/>
      <c r="FNG230" s="15"/>
      <c r="FNH230" s="15"/>
      <c r="FNI230" s="15"/>
      <c r="FNJ230" s="15"/>
      <c r="FNK230" s="10"/>
      <c r="FNL230" s="10"/>
      <c r="FNM230" s="21"/>
      <c r="FNN230" s="21"/>
      <c r="FNQ230" s="21"/>
      <c r="FNR230" s="15"/>
      <c r="FNS230" s="15"/>
      <c r="FNT230" s="15"/>
      <c r="FNU230" s="15"/>
      <c r="FNV230" s="15"/>
      <c r="FNW230" s="15"/>
      <c r="FNX230" s="15"/>
      <c r="FNY230" s="15"/>
      <c r="FNZ230" s="15"/>
      <c r="FOA230" s="15"/>
      <c r="FOB230" s="10"/>
      <c r="FOC230" s="10"/>
      <c r="FOD230" s="21"/>
      <c r="FOE230" s="21"/>
      <c r="FOH230" s="21"/>
      <c r="FOI230" s="15"/>
      <c r="FOJ230" s="15"/>
      <c r="FOK230" s="15"/>
      <c r="FOL230" s="15"/>
      <c r="FOM230" s="15"/>
      <c r="FON230" s="15"/>
      <c r="FOO230" s="15"/>
      <c r="FOP230" s="15"/>
      <c r="FOQ230" s="15"/>
      <c r="FOR230" s="15"/>
      <c r="FOS230" s="10"/>
      <c r="FOT230" s="10"/>
      <c r="FOU230" s="21"/>
      <c r="FOV230" s="21"/>
      <c r="FOY230" s="21"/>
      <c r="FOZ230" s="15"/>
      <c r="FPA230" s="15"/>
      <c r="FPB230" s="15"/>
      <c r="FPC230" s="15"/>
      <c r="FPD230" s="15"/>
      <c r="FPE230" s="15"/>
      <c r="FPF230" s="15"/>
      <c r="FPG230" s="15"/>
      <c r="FPH230" s="15"/>
      <c r="FPI230" s="15"/>
      <c r="FPJ230" s="10"/>
      <c r="FPK230" s="10"/>
      <c r="FPL230" s="21"/>
      <c r="FPM230" s="21"/>
      <c r="FPP230" s="21"/>
      <c r="FPQ230" s="15"/>
      <c r="FPR230" s="15"/>
      <c r="FPS230" s="15"/>
      <c r="FPT230" s="15"/>
      <c r="FPU230" s="15"/>
      <c r="FPV230" s="15"/>
      <c r="FPW230" s="15"/>
      <c r="FPX230" s="15"/>
      <c r="FPY230" s="15"/>
      <c r="FPZ230" s="15"/>
      <c r="FQA230" s="10"/>
      <c r="FQB230" s="10"/>
      <c r="FQC230" s="21"/>
      <c r="FQD230" s="21"/>
      <c r="FQG230" s="21"/>
      <c r="FQH230" s="15"/>
      <c r="FQI230" s="15"/>
      <c r="FQJ230" s="15"/>
      <c r="FQK230" s="15"/>
      <c r="FQL230" s="15"/>
      <c r="FQM230" s="15"/>
      <c r="FQN230" s="15"/>
      <c r="FQO230" s="15"/>
      <c r="FQP230" s="15"/>
      <c r="FQQ230" s="15"/>
      <c r="FQR230" s="10"/>
      <c r="FQS230" s="10"/>
      <c r="FQT230" s="21"/>
      <c r="FQU230" s="21"/>
      <c r="FQX230" s="21"/>
      <c r="FQY230" s="15"/>
      <c r="FQZ230" s="15"/>
      <c r="FRA230" s="15"/>
      <c r="FRB230" s="15"/>
      <c r="FRC230" s="15"/>
      <c r="FRD230" s="15"/>
      <c r="FRE230" s="15"/>
      <c r="FRF230" s="15"/>
      <c r="FRG230" s="15"/>
      <c r="FRH230" s="15"/>
      <c r="FRI230" s="10"/>
      <c r="FRJ230" s="10"/>
      <c r="FRK230" s="21"/>
      <c r="FRL230" s="21"/>
      <c r="FRO230" s="21"/>
      <c r="FRP230" s="15"/>
      <c r="FRQ230" s="15"/>
      <c r="FRR230" s="15"/>
      <c r="FRS230" s="15"/>
      <c r="FRT230" s="15"/>
      <c r="FRU230" s="15"/>
      <c r="FRV230" s="15"/>
      <c r="FRW230" s="15"/>
      <c r="FRX230" s="15"/>
      <c r="FRY230" s="15"/>
      <c r="FRZ230" s="10"/>
      <c r="FSA230" s="10"/>
      <c r="FSB230" s="21"/>
      <c r="FSC230" s="21"/>
      <c r="FSF230" s="21"/>
      <c r="FSG230" s="15"/>
      <c r="FSH230" s="15"/>
      <c r="FSI230" s="15"/>
      <c r="FSJ230" s="15"/>
      <c r="FSK230" s="15"/>
      <c r="FSL230" s="15"/>
      <c r="FSM230" s="15"/>
      <c r="FSN230" s="15"/>
      <c r="FSO230" s="15"/>
      <c r="FSP230" s="15"/>
      <c r="FSQ230" s="10"/>
      <c r="FSR230" s="10"/>
      <c r="FSS230" s="21"/>
      <c r="FST230" s="21"/>
      <c r="FSW230" s="21"/>
      <c r="FSX230" s="15"/>
      <c r="FSY230" s="15"/>
      <c r="FSZ230" s="15"/>
      <c r="FTA230" s="15"/>
      <c r="FTB230" s="15"/>
      <c r="FTC230" s="15"/>
      <c r="FTD230" s="15"/>
      <c r="FTE230" s="15"/>
      <c r="FTF230" s="15"/>
      <c r="FTG230" s="15"/>
      <c r="FTH230" s="10"/>
      <c r="FTI230" s="10"/>
      <c r="FTJ230" s="21"/>
      <c r="FTK230" s="21"/>
      <c r="FTN230" s="21"/>
      <c r="FTO230" s="15"/>
      <c r="FTP230" s="15"/>
      <c r="FTQ230" s="15"/>
      <c r="FTR230" s="15"/>
      <c r="FTS230" s="15"/>
      <c r="FTT230" s="15"/>
      <c r="FTU230" s="15"/>
      <c r="FTV230" s="15"/>
      <c r="FTW230" s="15"/>
      <c r="FTX230" s="15"/>
      <c r="FTY230" s="10"/>
      <c r="FTZ230" s="10"/>
      <c r="FUA230" s="21"/>
      <c r="FUB230" s="21"/>
      <c r="FUE230" s="21"/>
      <c r="FUF230" s="15"/>
      <c r="FUG230" s="15"/>
      <c r="FUH230" s="15"/>
      <c r="FUI230" s="15"/>
      <c r="FUJ230" s="15"/>
      <c r="FUK230" s="15"/>
      <c r="FUL230" s="15"/>
      <c r="FUM230" s="15"/>
      <c r="FUN230" s="15"/>
      <c r="FUO230" s="15"/>
      <c r="FUP230" s="10"/>
      <c r="FUQ230" s="10"/>
      <c r="FUR230" s="21"/>
      <c r="FUS230" s="21"/>
      <c r="FUV230" s="21"/>
      <c r="FUW230" s="15"/>
      <c r="FUX230" s="15"/>
      <c r="FUY230" s="15"/>
      <c r="FUZ230" s="15"/>
      <c r="FVA230" s="15"/>
      <c r="FVB230" s="15"/>
      <c r="FVC230" s="15"/>
      <c r="FVD230" s="15"/>
      <c r="FVE230" s="15"/>
      <c r="FVF230" s="15"/>
      <c r="FVG230" s="10"/>
      <c r="FVH230" s="10"/>
      <c r="FVI230" s="21"/>
      <c r="FVJ230" s="21"/>
      <c r="FVM230" s="21"/>
      <c r="FVN230" s="15"/>
      <c r="FVO230" s="15"/>
      <c r="FVP230" s="15"/>
      <c r="FVQ230" s="15"/>
      <c r="FVR230" s="15"/>
      <c r="FVS230" s="15"/>
      <c r="FVT230" s="15"/>
      <c r="FVU230" s="15"/>
      <c r="FVV230" s="15"/>
      <c r="FVW230" s="15"/>
      <c r="FVX230" s="10"/>
      <c r="FVY230" s="10"/>
      <c r="FVZ230" s="21"/>
      <c r="FWA230" s="21"/>
      <c r="FWD230" s="21"/>
      <c r="FWE230" s="15"/>
      <c r="FWF230" s="15"/>
      <c r="FWG230" s="15"/>
      <c r="FWH230" s="15"/>
      <c r="FWI230" s="15"/>
      <c r="FWJ230" s="15"/>
      <c r="FWK230" s="15"/>
      <c r="FWL230" s="15"/>
      <c r="FWM230" s="15"/>
      <c r="FWN230" s="15"/>
      <c r="FWO230" s="10"/>
      <c r="FWP230" s="10"/>
      <c r="FWQ230" s="21"/>
      <c r="FWR230" s="21"/>
      <c r="FWU230" s="21"/>
      <c r="FWV230" s="15"/>
      <c r="FWW230" s="15"/>
      <c r="FWX230" s="15"/>
      <c r="FWY230" s="15"/>
      <c r="FWZ230" s="15"/>
      <c r="FXA230" s="15"/>
      <c r="FXB230" s="15"/>
      <c r="FXC230" s="15"/>
      <c r="FXD230" s="15"/>
      <c r="FXE230" s="15"/>
      <c r="FXF230" s="10"/>
      <c r="FXG230" s="10"/>
      <c r="FXH230" s="21"/>
      <c r="FXI230" s="21"/>
      <c r="FXL230" s="21"/>
      <c r="FXM230" s="15"/>
      <c r="FXN230" s="15"/>
      <c r="FXO230" s="15"/>
      <c r="FXP230" s="15"/>
      <c r="FXQ230" s="15"/>
      <c r="FXR230" s="15"/>
      <c r="FXS230" s="15"/>
      <c r="FXT230" s="15"/>
      <c r="FXU230" s="15"/>
      <c r="FXV230" s="15"/>
      <c r="FXW230" s="10"/>
      <c r="FXX230" s="10"/>
      <c r="FXY230" s="21"/>
      <c r="FXZ230" s="21"/>
      <c r="FYC230" s="21"/>
      <c r="FYD230" s="15"/>
      <c r="FYE230" s="15"/>
      <c r="FYF230" s="15"/>
      <c r="FYG230" s="15"/>
      <c r="FYH230" s="15"/>
      <c r="FYI230" s="15"/>
      <c r="FYJ230" s="15"/>
      <c r="FYK230" s="15"/>
      <c r="FYL230" s="15"/>
      <c r="FYM230" s="15"/>
      <c r="FYN230" s="10"/>
      <c r="FYO230" s="10"/>
      <c r="FYP230" s="21"/>
      <c r="FYQ230" s="21"/>
      <c r="FYT230" s="21"/>
      <c r="FYU230" s="15"/>
      <c r="FYV230" s="15"/>
      <c r="FYW230" s="15"/>
      <c r="FYX230" s="15"/>
      <c r="FYY230" s="15"/>
      <c r="FYZ230" s="15"/>
      <c r="FZA230" s="15"/>
      <c r="FZB230" s="15"/>
      <c r="FZC230" s="15"/>
      <c r="FZD230" s="15"/>
      <c r="FZE230" s="10"/>
      <c r="FZF230" s="10"/>
      <c r="FZG230" s="21"/>
      <c r="FZH230" s="21"/>
      <c r="FZK230" s="21"/>
      <c r="FZL230" s="15"/>
      <c r="FZM230" s="15"/>
      <c r="FZN230" s="15"/>
      <c r="FZO230" s="15"/>
      <c r="FZP230" s="15"/>
      <c r="FZQ230" s="15"/>
      <c r="FZR230" s="15"/>
      <c r="FZS230" s="15"/>
      <c r="FZT230" s="15"/>
      <c r="FZU230" s="15"/>
      <c r="FZV230" s="10"/>
      <c r="FZW230" s="10"/>
      <c r="FZX230" s="21"/>
      <c r="FZY230" s="21"/>
      <c r="GAB230" s="21"/>
      <c r="GAC230" s="15"/>
      <c r="GAD230" s="15"/>
      <c r="GAE230" s="15"/>
      <c r="GAF230" s="15"/>
      <c r="GAG230" s="15"/>
      <c r="GAH230" s="15"/>
      <c r="GAI230" s="15"/>
      <c r="GAJ230" s="15"/>
      <c r="GAK230" s="15"/>
      <c r="GAL230" s="15"/>
      <c r="GAM230" s="10"/>
      <c r="GAN230" s="10"/>
      <c r="GAO230" s="21"/>
      <c r="GAP230" s="21"/>
      <c r="GAS230" s="21"/>
      <c r="GAT230" s="15"/>
      <c r="GAU230" s="15"/>
      <c r="GAV230" s="15"/>
      <c r="GAW230" s="15"/>
      <c r="GAX230" s="15"/>
      <c r="GAY230" s="15"/>
      <c r="GAZ230" s="15"/>
      <c r="GBA230" s="15"/>
      <c r="GBB230" s="15"/>
      <c r="GBC230" s="15"/>
      <c r="GBD230" s="10"/>
      <c r="GBE230" s="10"/>
      <c r="GBF230" s="21"/>
      <c r="GBG230" s="21"/>
      <c r="GBJ230" s="21"/>
      <c r="GBK230" s="15"/>
      <c r="GBL230" s="15"/>
      <c r="GBM230" s="15"/>
      <c r="GBN230" s="15"/>
      <c r="GBO230" s="15"/>
      <c r="GBP230" s="15"/>
      <c r="GBQ230" s="15"/>
      <c r="GBR230" s="15"/>
      <c r="GBS230" s="15"/>
      <c r="GBT230" s="15"/>
      <c r="GBU230" s="10"/>
      <c r="GBV230" s="10"/>
      <c r="GBW230" s="21"/>
      <c r="GBX230" s="21"/>
      <c r="GCA230" s="21"/>
      <c r="GCB230" s="15"/>
      <c r="GCC230" s="15"/>
      <c r="GCD230" s="15"/>
      <c r="GCE230" s="15"/>
      <c r="GCF230" s="15"/>
      <c r="GCG230" s="15"/>
      <c r="GCH230" s="15"/>
      <c r="GCI230" s="15"/>
      <c r="GCJ230" s="15"/>
      <c r="GCK230" s="15"/>
      <c r="GCL230" s="10"/>
      <c r="GCM230" s="10"/>
      <c r="GCN230" s="21"/>
      <c r="GCO230" s="21"/>
      <c r="GCR230" s="21"/>
      <c r="GCS230" s="15"/>
      <c r="GCT230" s="15"/>
      <c r="GCU230" s="15"/>
      <c r="GCV230" s="15"/>
      <c r="GCW230" s="15"/>
      <c r="GCX230" s="15"/>
      <c r="GCY230" s="15"/>
      <c r="GCZ230" s="15"/>
      <c r="GDA230" s="15"/>
      <c r="GDB230" s="15"/>
      <c r="GDC230" s="10"/>
      <c r="GDD230" s="10"/>
      <c r="GDE230" s="21"/>
      <c r="GDF230" s="21"/>
      <c r="GDI230" s="21"/>
      <c r="GDJ230" s="15"/>
      <c r="GDK230" s="15"/>
      <c r="GDL230" s="15"/>
      <c r="GDM230" s="15"/>
      <c r="GDN230" s="15"/>
      <c r="GDO230" s="15"/>
      <c r="GDP230" s="15"/>
      <c r="GDQ230" s="15"/>
      <c r="GDR230" s="15"/>
      <c r="GDS230" s="15"/>
      <c r="GDT230" s="10"/>
      <c r="GDU230" s="10"/>
      <c r="GDV230" s="21"/>
      <c r="GDW230" s="21"/>
      <c r="GDZ230" s="21"/>
      <c r="GEA230" s="15"/>
      <c r="GEB230" s="15"/>
      <c r="GEC230" s="15"/>
      <c r="GED230" s="15"/>
      <c r="GEE230" s="15"/>
      <c r="GEF230" s="15"/>
      <c r="GEG230" s="15"/>
      <c r="GEH230" s="15"/>
      <c r="GEI230" s="15"/>
      <c r="GEJ230" s="15"/>
      <c r="GEK230" s="10"/>
      <c r="GEL230" s="10"/>
      <c r="GEM230" s="21"/>
      <c r="GEN230" s="21"/>
      <c r="GEQ230" s="21"/>
      <c r="GER230" s="15"/>
      <c r="GES230" s="15"/>
      <c r="GET230" s="15"/>
      <c r="GEU230" s="15"/>
      <c r="GEV230" s="15"/>
      <c r="GEW230" s="15"/>
      <c r="GEX230" s="15"/>
      <c r="GEY230" s="15"/>
      <c r="GEZ230" s="15"/>
      <c r="GFA230" s="15"/>
      <c r="GFB230" s="10"/>
      <c r="GFC230" s="10"/>
      <c r="GFD230" s="21"/>
      <c r="GFE230" s="21"/>
      <c r="GFH230" s="21"/>
      <c r="GFI230" s="15"/>
      <c r="GFJ230" s="15"/>
      <c r="GFK230" s="15"/>
      <c r="GFL230" s="15"/>
      <c r="GFM230" s="15"/>
      <c r="GFN230" s="15"/>
      <c r="GFO230" s="15"/>
      <c r="GFP230" s="15"/>
      <c r="GFQ230" s="15"/>
      <c r="GFR230" s="15"/>
      <c r="GFS230" s="10"/>
      <c r="GFT230" s="10"/>
      <c r="GFU230" s="21"/>
      <c r="GFV230" s="21"/>
      <c r="GFY230" s="21"/>
      <c r="GFZ230" s="15"/>
      <c r="GGA230" s="15"/>
      <c r="GGB230" s="15"/>
      <c r="GGC230" s="15"/>
      <c r="GGD230" s="15"/>
      <c r="GGE230" s="15"/>
      <c r="GGF230" s="15"/>
      <c r="GGG230" s="15"/>
      <c r="GGH230" s="15"/>
      <c r="GGI230" s="15"/>
      <c r="GGJ230" s="10"/>
      <c r="GGK230" s="10"/>
      <c r="GGL230" s="21"/>
      <c r="GGM230" s="21"/>
      <c r="GGP230" s="21"/>
      <c r="GGQ230" s="15"/>
      <c r="GGR230" s="15"/>
      <c r="GGS230" s="15"/>
      <c r="GGT230" s="15"/>
      <c r="GGU230" s="15"/>
      <c r="GGV230" s="15"/>
      <c r="GGW230" s="15"/>
      <c r="GGX230" s="15"/>
      <c r="GGY230" s="15"/>
      <c r="GGZ230" s="15"/>
      <c r="GHA230" s="10"/>
      <c r="GHB230" s="10"/>
      <c r="GHC230" s="21"/>
      <c r="GHD230" s="21"/>
      <c r="GHG230" s="21"/>
      <c r="GHH230" s="15"/>
      <c r="GHI230" s="15"/>
      <c r="GHJ230" s="15"/>
      <c r="GHK230" s="15"/>
      <c r="GHL230" s="15"/>
      <c r="GHM230" s="15"/>
      <c r="GHN230" s="15"/>
      <c r="GHO230" s="15"/>
      <c r="GHP230" s="15"/>
      <c r="GHQ230" s="15"/>
      <c r="GHR230" s="10"/>
      <c r="GHS230" s="10"/>
      <c r="GHT230" s="21"/>
      <c r="GHU230" s="21"/>
      <c r="GHX230" s="21"/>
      <c r="GHY230" s="15"/>
      <c r="GHZ230" s="15"/>
      <c r="GIA230" s="15"/>
      <c r="GIB230" s="15"/>
      <c r="GIC230" s="15"/>
      <c r="GID230" s="15"/>
      <c r="GIE230" s="15"/>
      <c r="GIF230" s="15"/>
      <c r="GIG230" s="15"/>
      <c r="GIH230" s="15"/>
      <c r="GII230" s="10"/>
      <c r="GIJ230" s="10"/>
      <c r="GIK230" s="21"/>
      <c r="GIL230" s="21"/>
      <c r="GIO230" s="21"/>
      <c r="GIP230" s="15"/>
      <c r="GIQ230" s="15"/>
      <c r="GIR230" s="15"/>
      <c r="GIS230" s="15"/>
      <c r="GIT230" s="15"/>
      <c r="GIU230" s="15"/>
      <c r="GIV230" s="15"/>
      <c r="GIW230" s="15"/>
      <c r="GIX230" s="15"/>
      <c r="GIY230" s="15"/>
      <c r="GIZ230" s="10"/>
      <c r="GJA230" s="10"/>
      <c r="GJB230" s="21"/>
      <c r="GJC230" s="21"/>
      <c r="GJF230" s="21"/>
      <c r="GJG230" s="15"/>
      <c r="GJH230" s="15"/>
      <c r="GJI230" s="15"/>
      <c r="GJJ230" s="15"/>
      <c r="GJK230" s="15"/>
      <c r="GJL230" s="15"/>
      <c r="GJM230" s="15"/>
      <c r="GJN230" s="15"/>
      <c r="GJO230" s="15"/>
      <c r="GJP230" s="15"/>
      <c r="GJQ230" s="10"/>
      <c r="GJR230" s="10"/>
      <c r="GJS230" s="21"/>
      <c r="GJT230" s="21"/>
      <c r="GJW230" s="21"/>
      <c r="GJX230" s="15"/>
      <c r="GJY230" s="15"/>
      <c r="GJZ230" s="15"/>
      <c r="GKA230" s="15"/>
      <c r="GKB230" s="15"/>
      <c r="GKC230" s="15"/>
      <c r="GKD230" s="15"/>
      <c r="GKE230" s="15"/>
      <c r="GKF230" s="15"/>
      <c r="GKG230" s="15"/>
      <c r="GKH230" s="10"/>
      <c r="GKI230" s="10"/>
      <c r="GKJ230" s="21"/>
      <c r="GKK230" s="21"/>
      <c r="GKN230" s="21"/>
      <c r="GKO230" s="15"/>
      <c r="GKP230" s="15"/>
      <c r="GKQ230" s="15"/>
      <c r="GKR230" s="15"/>
      <c r="GKS230" s="15"/>
      <c r="GKT230" s="15"/>
      <c r="GKU230" s="15"/>
      <c r="GKV230" s="15"/>
      <c r="GKW230" s="15"/>
      <c r="GKX230" s="15"/>
      <c r="GKY230" s="10"/>
      <c r="GKZ230" s="10"/>
      <c r="GLA230" s="21"/>
      <c r="GLB230" s="21"/>
      <c r="GLE230" s="21"/>
      <c r="GLF230" s="15"/>
      <c r="GLG230" s="15"/>
      <c r="GLH230" s="15"/>
      <c r="GLI230" s="15"/>
      <c r="GLJ230" s="15"/>
      <c r="GLK230" s="15"/>
      <c r="GLL230" s="15"/>
      <c r="GLM230" s="15"/>
      <c r="GLN230" s="15"/>
      <c r="GLO230" s="15"/>
      <c r="GLP230" s="10"/>
      <c r="GLQ230" s="10"/>
      <c r="GLR230" s="21"/>
      <c r="GLS230" s="21"/>
      <c r="GLV230" s="21"/>
      <c r="GLW230" s="15"/>
      <c r="GLX230" s="15"/>
      <c r="GLY230" s="15"/>
      <c r="GLZ230" s="15"/>
      <c r="GMA230" s="15"/>
      <c r="GMB230" s="15"/>
      <c r="GMC230" s="15"/>
      <c r="GMD230" s="15"/>
      <c r="GME230" s="15"/>
      <c r="GMF230" s="15"/>
      <c r="GMG230" s="10"/>
      <c r="GMH230" s="10"/>
      <c r="GMI230" s="21"/>
      <c r="GMJ230" s="21"/>
      <c r="GMM230" s="21"/>
      <c r="GMN230" s="15"/>
      <c r="GMO230" s="15"/>
      <c r="GMP230" s="15"/>
      <c r="GMQ230" s="15"/>
      <c r="GMR230" s="15"/>
      <c r="GMS230" s="15"/>
      <c r="GMT230" s="15"/>
      <c r="GMU230" s="15"/>
      <c r="GMV230" s="15"/>
      <c r="GMW230" s="15"/>
      <c r="GMX230" s="10"/>
      <c r="GMY230" s="10"/>
      <c r="GMZ230" s="21"/>
      <c r="GNA230" s="21"/>
      <c r="GND230" s="21"/>
      <c r="GNE230" s="15"/>
      <c r="GNF230" s="15"/>
      <c r="GNG230" s="15"/>
      <c r="GNH230" s="15"/>
      <c r="GNI230" s="15"/>
      <c r="GNJ230" s="15"/>
      <c r="GNK230" s="15"/>
      <c r="GNL230" s="15"/>
      <c r="GNM230" s="15"/>
      <c r="GNN230" s="15"/>
      <c r="GNO230" s="10"/>
      <c r="GNP230" s="10"/>
      <c r="GNQ230" s="21"/>
      <c r="GNR230" s="21"/>
      <c r="GNU230" s="21"/>
      <c r="GNV230" s="15"/>
      <c r="GNW230" s="15"/>
      <c r="GNX230" s="15"/>
      <c r="GNY230" s="15"/>
      <c r="GNZ230" s="15"/>
      <c r="GOA230" s="15"/>
      <c r="GOB230" s="15"/>
      <c r="GOC230" s="15"/>
      <c r="GOD230" s="15"/>
      <c r="GOE230" s="15"/>
      <c r="GOF230" s="10"/>
      <c r="GOG230" s="10"/>
      <c r="GOH230" s="21"/>
      <c r="GOI230" s="21"/>
      <c r="GOL230" s="21"/>
      <c r="GOM230" s="15"/>
      <c r="GON230" s="15"/>
      <c r="GOO230" s="15"/>
      <c r="GOP230" s="15"/>
      <c r="GOQ230" s="15"/>
      <c r="GOR230" s="15"/>
      <c r="GOS230" s="15"/>
      <c r="GOT230" s="15"/>
      <c r="GOU230" s="15"/>
      <c r="GOV230" s="15"/>
      <c r="GOW230" s="10"/>
      <c r="GOX230" s="10"/>
      <c r="GOY230" s="21"/>
      <c r="GOZ230" s="21"/>
      <c r="GPC230" s="21"/>
      <c r="GPD230" s="15"/>
      <c r="GPE230" s="15"/>
      <c r="GPF230" s="15"/>
      <c r="GPG230" s="15"/>
      <c r="GPH230" s="15"/>
      <c r="GPI230" s="15"/>
      <c r="GPJ230" s="15"/>
      <c r="GPK230" s="15"/>
      <c r="GPL230" s="15"/>
      <c r="GPM230" s="15"/>
      <c r="GPN230" s="10"/>
      <c r="GPO230" s="10"/>
      <c r="GPP230" s="21"/>
      <c r="GPQ230" s="21"/>
      <c r="GPT230" s="21"/>
      <c r="GPU230" s="15"/>
      <c r="GPV230" s="15"/>
      <c r="GPW230" s="15"/>
      <c r="GPX230" s="15"/>
      <c r="GPY230" s="15"/>
      <c r="GPZ230" s="15"/>
      <c r="GQA230" s="15"/>
      <c r="GQB230" s="15"/>
      <c r="GQC230" s="15"/>
      <c r="GQD230" s="15"/>
      <c r="GQE230" s="10"/>
      <c r="GQF230" s="10"/>
      <c r="GQG230" s="21"/>
      <c r="GQH230" s="21"/>
      <c r="GQK230" s="21"/>
      <c r="GQL230" s="15"/>
      <c r="GQM230" s="15"/>
      <c r="GQN230" s="15"/>
      <c r="GQO230" s="15"/>
      <c r="GQP230" s="15"/>
      <c r="GQQ230" s="15"/>
      <c r="GQR230" s="15"/>
      <c r="GQS230" s="15"/>
      <c r="GQT230" s="15"/>
      <c r="GQU230" s="15"/>
      <c r="GQV230" s="10"/>
      <c r="GQW230" s="10"/>
      <c r="GQX230" s="21"/>
      <c r="GQY230" s="21"/>
      <c r="GRB230" s="21"/>
      <c r="GRC230" s="15"/>
      <c r="GRD230" s="15"/>
      <c r="GRE230" s="15"/>
      <c r="GRF230" s="15"/>
      <c r="GRG230" s="15"/>
      <c r="GRH230" s="15"/>
      <c r="GRI230" s="15"/>
      <c r="GRJ230" s="15"/>
      <c r="GRK230" s="15"/>
      <c r="GRL230" s="15"/>
      <c r="GRM230" s="10"/>
      <c r="GRN230" s="10"/>
      <c r="GRO230" s="21"/>
      <c r="GRP230" s="21"/>
      <c r="GRS230" s="21"/>
      <c r="GRT230" s="15"/>
      <c r="GRU230" s="15"/>
      <c r="GRV230" s="15"/>
      <c r="GRW230" s="15"/>
      <c r="GRX230" s="15"/>
      <c r="GRY230" s="15"/>
      <c r="GRZ230" s="15"/>
      <c r="GSA230" s="15"/>
      <c r="GSB230" s="15"/>
      <c r="GSC230" s="15"/>
      <c r="GSD230" s="10"/>
      <c r="GSE230" s="10"/>
      <c r="GSF230" s="21"/>
      <c r="GSG230" s="21"/>
      <c r="GSJ230" s="21"/>
      <c r="GSK230" s="15"/>
      <c r="GSL230" s="15"/>
      <c r="GSM230" s="15"/>
      <c r="GSN230" s="15"/>
      <c r="GSO230" s="15"/>
      <c r="GSP230" s="15"/>
      <c r="GSQ230" s="15"/>
      <c r="GSR230" s="15"/>
      <c r="GSS230" s="15"/>
      <c r="GST230" s="15"/>
      <c r="GSU230" s="10"/>
      <c r="GSV230" s="10"/>
      <c r="GSW230" s="21"/>
      <c r="GSX230" s="21"/>
      <c r="GTA230" s="21"/>
      <c r="GTB230" s="15"/>
      <c r="GTC230" s="15"/>
      <c r="GTD230" s="15"/>
      <c r="GTE230" s="15"/>
      <c r="GTF230" s="15"/>
      <c r="GTG230" s="15"/>
      <c r="GTH230" s="15"/>
      <c r="GTI230" s="15"/>
      <c r="GTJ230" s="15"/>
      <c r="GTK230" s="15"/>
      <c r="GTL230" s="10"/>
      <c r="GTM230" s="10"/>
      <c r="GTN230" s="21"/>
      <c r="GTO230" s="21"/>
      <c r="GTR230" s="21"/>
      <c r="GTS230" s="15"/>
      <c r="GTT230" s="15"/>
      <c r="GTU230" s="15"/>
      <c r="GTV230" s="15"/>
      <c r="GTW230" s="15"/>
      <c r="GTX230" s="15"/>
      <c r="GTY230" s="15"/>
      <c r="GTZ230" s="15"/>
      <c r="GUA230" s="15"/>
      <c r="GUB230" s="15"/>
      <c r="GUC230" s="10"/>
      <c r="GUD230" s="10"/>
      <c r="GUE230" s="21"/>
      <c r="GUF230" s="21"/>
      <c r="GUI230" s="21"/>
      <c r="GUJ230" s="15"/>
      <c r="GUK230" s="15"/>
      <c r="GUL230" s="15"/>
      <c r="GUM230" s="15"/>
      <c r="GUN230" s="15"/>
      <c r="GUO230" s="15"/>
      <c r="GUP230" s="15"/>
      <c r="GUQ230" s="15"/>
      <c r="GUR230" s="15"/>
      <c r="GUS230" s="15"/>
      <c r="GUT230" s="10"/>
      <c r="GUU230" s="10"/>
      <c r="GUV230" s="21"/>
      <c r="GUW230" s="21"/>
      <c r="GUZ230" s="21"/>
      <c r="GVA230" s="15"/>
      <c r="GVB230" s="15"/>
      <c r="GVC230" s="15"/>
      <c r="GVD230" s="15"/>
      <c r="GVE230" s="15"/>
      <c r="GVF230" s="15"/>
      <c r="GVG230" s="15"/>
      <c r="GVH230" s="15"/>
      <c r="GVI230" s="15"/>
      <c r="GVJ230" s="15"/>
      <c r="GVK230" s="10"/>
      <c r="GVL230" s="10"/>
      <c r="GVM230" s="21"/>
      <c r="GVN230" s="21"/>
      <c r="GVQ230" s="21"/>
      <c r="GVR230" s="15"/>
      <c r="GVS230" s="15"/>
      <c r="GVT230" s="15"/>
      <c r="GVU230" s="15"/>
      <c r="GVV230" s="15"/>
      <c r="GVW230" s="15"/>
      <c r="GVX230" s="15"/>
      <c r="GVY230" s="15"/>
      <c r="GVZ230" s="15"/>
      <c r="GWA230" s="15"/>
      <c r="GWB230" s="10"/>
      <c r="GWC230" s="10"/>
      <c r="GWD230" s="21"/>
      <c r="GWE230" s="21"/>
      <c r="GWH230" s="21"/>
      <c r="GWI230" s="15"/>
      <c r="GWJ230" s="15"/>
      <c r="GWK230" s="15"/>
      <c r="GWL230" s="15"/>
      <c r="GWM230" s="15"/>
      <c r="GWN230" s="15"/>
      <c r="GWO230" s="15"/>
      <c r="GWP230" s="15"/>
      <c r="GWQ230" s="15"/>
      <c r="GWR230" s="15"/>
      <c r="GWS230" s="10"/>
      <c r="GWT230" s="10"/>
      <c r="GWU230" s="21"/>
      <c r="GWV230" s="21"/>
      <c r="GWY230" s="21"/>
      <c r="GWZ230" s="15"/>
      <c r="GXA230" s="15"/>
      <c r="GXB230" s="15"/>
      <c r="GXC230" s="15"/>
      <c r="GXD230" s="15"/>
      <c r="GXE230" s="15"/>
      <c r="GXF230" s="15"/>
      <c r="GXG230" s="15"/>
      <c r="GXH230" s="15"/>
      <c r="GXI230" s="15"/>
      <c r="GXJ230" s="10"/>
      <c r="GXK230" s="10"/>
      <c r="GXL230" s="21"/>
      <c r="GXM230" s="21"/>
      <c r="GXP230" s="21"/>
      <c r="GXQ230" s="15"/>
      <c r="GXR230" s="15"/>
      <c r="GXS230" s="15"/>
      <c r="GXT230" s="15"/>
      <c r="GXU230" s="15"/>
      <c r="GXV230" s="15"/>
      <c r="GXW230" s="15"/>
      <c r="GXX230" s="15"/>
      <c r="GXY230" s="15"/>
      <c r="GXZ230" s="15"/>
      <c r="GYA230" s="10"/>
      <c r="GYB230" s="10"/>
      <c r="GYC230" s="21"/>
      <c r="GYD230" s="21"/>
      <c r="GYG230" s="21"/>
      <c r="GYH230" s="15"/>
      <c r="GYI230" s="15"/>
      <c r="GYJ230" s="15"/>
      <c r="GYK230" s="15"/>
      <c r="GYL230" s="15"/>
      <c r="GYM230" s="15"/>
      <c r="GYN230" s="15"/>
      <c r="GYO230" s="15"/>
      <c r="GYP230" s="15"/>
      <c r="GYQ230" s="15"/>
      <c r="GYR230" s="10"/>
      <c r="GYS230" s="10"/>
      <c r="GYT230" s="21"/>
      <c r="GYU230" s="21"/>
      <c r="GYX230" s="21"/>
      <c r="GYY230" s="15"/>
      <c r="GYZ230" s="15"/>
      <c r="GZA230" s="15"/>
      <c r="GZB230" s="15"/>
      <c r="GZC230" s="15"/>
      <c r="GZD230" s="15"/>
      <c r="GZE230" s="15"/>
      <c r="GZF230" s="15"/>
      <c r="GZG230" s="15"/>
      <c r="GZH230" s="15"/>
      <c r="GZI230" s="10"/>
      <c r="GZJ230" s="10"/>
      <c r="GZK230" s="21"/>
      <c r="GZL230" s="21"/>
      <c r="GZO230" s="21"/>
      <c r="GZP230" s="15"/>
      <c r="GZQ230" s="15"/>
      <c r="GZR230" s="15"/>
      <c r="GZS230" s="15"/>
      <c r="GZT230" s="15"/>
      <c r="GZU230" s="15"/>
      <c r="GZV230" s="15"/>
      <c r="GZW230" s="15"/>
      <c r="GZX230" s="15"/>
      <c r="GZY230" s="15"/>
      <c r="GZZ230" s="10"/>
      <c r="HAA230" s="10"/>
      <c r="HAB230" s="21"/>
      <c r="HAC230" s="21"/>
      <c r="HAF230" s="21"/>
      <c r="HAG230" s="15"/>
      <c r="HAH230" s="15"/>
      <c r="HAI230" s="15"/>
      <c r="HAJ230" s="15"/>
      <c r="HAK230" s="15"/>
      <c r="HAL230" s="15"/>
      <c r="HAM230" s="15"/>
      <c r="HAN230" s="15"/>
      <c r="HAO230" s="15"/>
      <c r="HAP230" s="15"/>
      <c r="HAQ230" s="10"/>
      <c r="HAR230" s="10"/>
      <c r="HAS230" s="21"/>
      <c r="HAT230" s="21"/>
      <c r="HAW230" s="21"/>
      <c r="HAX230" s="15"/>
      <c r="HAY230" s="15"/>
      <c r="HAZ230" s="15"/>
      <c r="HBA230" s="15"/>
      <c r="HBB230" s="15"/>
      <c r="HBC230" s="15"/>
      <c r="HBD230" s="15"/>
      <c r="HBE230" s="15"/>
      <c r="HBF230" s="15"/>
      <c r="HBG230" s="15"/>
      <c r="HBH230" s="10"/>
      <c r="HBI230" s="10"/>
      <c r="HBJ230" s="21"/>
      <c r="HBK230" s="21"/>
      <c r="HBN230" s="21"/>
      <c r="HBO230" s="15"/>
      <c r="HBP230" s="15"/>
      <c r="HBQ230" s="15"/>
      <c r="HBR230" s="15"/>
      <c r="HBS230" s="15"/>
      <c r="HBT230" s="15"/>
      <c r="HBU230" s="15"/>
      <c r="HBV230" s="15"/>
      <c r="HBW230" s="15"/>
      <c r="HBX230" s="15"/>
      <c r="HBY230" s="10"/>
      <c r="HBZ230" s="10"/>
      <c r="HCA230" s="21"/>
      <c r="HCB230" s="21"/>
      <c r="HCE230" s="21"/>
      <c r="HCF230" s="15"/>
      <c r="HCG230" s="15"/>
      <c r="HCH230" s="15"/>
      <c r="HCI230" s="15"/>
      <c r="HCJ230" s="15"/>
      <c r="HCK230" s="15"/>
      <c r="HCL230" s="15"/>
      <c r="HCM230" s="15"/>
      <c r="HCN230" s="15"/>
      <c r="HCO230" s="15"/>
      <c r="HCP230" s="10"/>
      <c r="HCQ230" s="10"/>
      <c r="HCR230" s="21"/>
      <c r="HCS230" s="21"/>
      <c r="HCV230" s="21"/>
      <c r="HCW230" s="15"/>
      <c r="HCX230" s="15"/>
      <c r="HCY230" s="15"/>
      <c r="HCZ230" s="15"/>
      <c r="HDA230" s="15"/>
      <c r="HDB230" s="15"/>
      <c r="HDC230" s="15"/>
      <c r="HDD230" s="15"/>
      <c r="HDE230" s="15"/>
      <c r="HDF230" s="15"/>
      <c r="HDG230" s="10"/>
      <c r="HDH230" s="10"/>
      <c r="HDI230" s="21"/>
      <c r="HDJ230" s="21"/>
      <c r="HDM230" s="21"/>
      <c r="HDN230" s="15"/>
      <c r="HDO230" s="15"/>
      <c r="HDP230" s="15"/>
      <c r="HDQ230" s="15"/>
      <c r="HDR230" s="15"/>
      <c r="HDS230" s="15"/>
      <c r="HDT230" s="15"/>
      <c r="HDU230" s="15"/>
      <c r="HDV230" s="15"/>
      <c r="HDW230" s="15"/>
      <c r="HDX230" s="10"/>
      <c r="HDY230" s="10"/>
      <c r="HDZ230" s="21"/>
      <c r="HEA230" s="21"/>
      <c r="HED230" s="21"/>
      <c r="HEE230" s="15"/>
      <c r="HEF230" s="15"/>
      <c r="HEG230" s="15"/>
      <c r="HEH230" s="15"/>
      <c r="HEI230" s="15"/>
      <c r="HEJ230" s="15"/>
      <c r="HEK230" s="15"/>
      <c r="HEL230" s="15"/>
      <c r="HEM230" s="15"/>
      <c r="HEN230" s="15"/>
      <c r="HEO230" s="10"/>
      <c r="HEP230" s="10"/>
      <c r="HEQ230" s="21"/>
      <c r="HER230" s="21"/>
      <c r="HEU230" s="21"/>
      <c r="HEV230" s="15"/>
      <c r="HEW230" s="15"/>
      <c r="HEX230" s="15"/>
      <c r="HEY230" s="15"/>
      <c r="HEZ230" s="15"/>
      <c r="HFA230" s="15"/>
      <c r="HFB230" s="15"/>
      <c r="HFC230" s="15"/>
      <c r="HFD230" s="15"/>
      <c r="HFE230" s="15"/>
      <c r="HFF230" s="10"/>
      <c r="HFG230" s="10"/>
      <c r="HFH230" s="21"/>
      <c r="HFI230" s="21"/>
      <c r="HFL230" s="21"/>
      <c r="HFM230" s="15"/>
      <c r="HFN230" s="15"/>
      <c r="HFO230" s="15"/>
      <c r="HFP230" s="15"/>
      <c r="HFQ230" s="15"/>
      <c r="HFR230" s="15"/>
      <c r="HFS230" s="15"/>
      <c r="HFT230" s="15"/>
      <c r="HFU230" s="15"/>
      <c r="HFV230" s="15"/>
      <c r="HFW230" s="10"/>
      <c r="HFX230" s="10"/>
      <c r="HFY230" s="21"/>
      <c r="HFZ230" s="21"/>
      <c r="HGC230" s="21"/>
      <c r="HGD230" s="15"/>
      <c r="HGE230" s="15"/>
      <c r="HGF230" s="15"/>
      <c r="HGG230" s="15"/>
      <c r="HGH230" s="15"/>
      <c r="HGI230" s="15"/>
      <c r="HGJ230" s="15"/>
      <c r="HGK230" s="15"/>
      <c r="HGL230" s="15"/>
      <c r="HGM230" s="15"/>
      <c r="HGN230" s="10"/>
      <c r="HGO230" s="10"/>
      <c r="HGP230" s="21"/>
      <c r="HGQ230" s="21"/>
      <c r="HGT230" s="21"/>
      <c r="HGU230" s="15"/>
      <c r="HGV230" s="15"/>
      <c r="HGW230" s="15"/>
      <c r="HGX230" s="15"/>
      <c r="HGY230" s="15"/>
      <c r="HGZ230" s="15"/>
      <c r="HHA230" s="15"/>
      <c r="HHB230" s="15"/>
      <c r="HHC230" s="15"/>
      <c r="HHD230" s="15"/>
      <c r="HHE230" s="10"/>
      <c r="HHF230" s="10"/>
      <c r="HHG230" s="21"/>
      <c r="HHH230" s="21"/>
      <c r="HHK230" s="21"/>
      <c r="HHL230" s="15"/>
      <c r="HHM230" s="15"/>
      <c r="HHN230" s="15"/>
      <c r="HHO230" s="15"/>
      <c r="HHP230" s="15"/>
      <c r="HHQ230" s="15"/>
      <c r="HHR230" s="15"/>
      <c r="HHS230" s="15"/>
      <c r="HHT230" s="15"/>
      <c r="HHU230" s="15"/>
      <c r="HHV230" s="10"/>
      <c r="HHW230" s="10"/>
      <c r="HHX230" s="21"/>
      <c r="HHY230" s="21"/>
      <c r="HIB230" s="21"/>
      <c r="HIC230" s="15"/>
      <c r="HID230" s="15"/>
      <c r="HIE230" s="15"/>
      <c r="HIF230" s="15"/>
      <c r="HIG230" s="15"/>
      <c r="HIH230" s="15"/>
      <c r="HII230" s="15"/>
      <c r="HIJ230" s="15"/>
      <c r="HIK230" s="15"/>
      <c r="HIL230" s="15"/>
      <c r="HIM230" s="10"/>
      <c r="HIN230" s="10"/>
      <c r="HIO230" s="21"/>
      <c r="HIP230" s="21"/>
      <c r="HIS230" s="21"/>
      <c r="HIT230" s="15"/>
      <c r="HIU230" s="15"/>
      <c r="HIV230" s="15"/>
      <c r="HIW230" s="15"/>
      <c r="HIX230" s="15"/>
      <c r="HIY230" s="15"/>
      <c r="HIZ230" s="15"/>
      <c r="HJA230" s="15"/>
      <c r="HJB230" s="15"/>
      <c r="HJC230" s="15"/>
      <c r="HJD230" s="10"/>
      <c r="HJE230" s="10"/>
      <c r="HJF230" s="21"/>
      <c r="HJG230" s="21"/>
      <c r="HJJ230" s="21"/>
      <c r="HJK230" s="15"/>
      <c r="HJL230" s="15"/>
      <c r="HJM230" s="15"/>
      <c r="HJN230" s="15"/>
      <c r="HJO230" s="15"/>
      <c r="HJP230" s="15"/>
      <c r="HJQ230" s="15"/>
      <c r="HJR230" s="15"/>
      <c r="HJS230" s="15"/>
      <c r="HJT230" s="15"/>
      <c r="HJU230" s="10"/>
      <c r="HJV230" s="10"/>
      <c r="HJW230" s="21"/>
      <c r="HJX230" s="21"/>
      <c r="HKA230" s="21"/>
      <c r="HKB230" s="15"/>
      <c r="HKC230" s="15"/>
      <c r="HKD230" s="15"/>
      <c r="HKE230" s="15"/>
      <c r="HKF230" s="15"/>
      <c r="HKG230" s="15"/>
      <c r="HKH230" s="15"/>
      <c r="HKI230" s="15"/>
      <c r="HKJ230" s="15"/>
      <c r="HKK230" s="15"/>
      <c r="HKL230" s="10"/>
      <c r="HKM230" s="10"/>
      <c r="HKN230" s="21"/>
      <c r="HKO230" s="21"/>
      <c r="HKR230" s="21"/>
      <c r="HKS230" s="15"/>
      <c r="HKT230" s="15"/>
      <c r="HKU230" s="15"/>
      <c r="HKV230" s="15"/>
      <c r="HKW230" s="15"/>
      <c r="HKX230" s="15"/>
      <c r="HKY230" s="15"/>
      <c r="HKZ230" s="15"/>
      <c r="HLA230" s="15"/>
      <c r="HLB230" s="15"/>
      <c r="HLC230" s="10"/>
      <c r="HLD230" s="10"/>
      <c r="HLE230" s="21"/>
      <c r="HLF230" s="21"/>
      <c r="HLI230" s="21"/>
      <c r="HLJ230" s="15"/>
      <c r="HLK230" s="15"/>
      <c r="HLL230" s="15"/>
      <c r="HLM230" s="15"/>
      <c r="HLN230" s="15"/>
      <c r="HLO230" s="15"/>
      <c r="HLP230" s="15"/>
      <c r="HLQ230" s="15"/>
      <c r="HLR230" s="15"/>
      <c r="HLS230" s="15"/>
      <c r="HLT230" s="10"/>
      <c r="HLU230" s="10"/>
      <c r="HLV230" s="21"/>
      <c r="HLW230" s="21"/>
      <c r="HLZ230" s="21"/>
      <c r="HMA230" s="15"/>
      <c r="HMB230" s="15"/>
      <c r="HMC230" s="15"/>
      <c r="HMD230" s="15"/>
      <c r="HME230" s="15"/>
      <c r="HMF230" s="15"/>
      <c r="HMG230" s="15"/>
      <c r="HMH230" s="15"/>
      <c r="HMI230" s="15"/>
      <c r="HMJ230" s="15"/>
      <c r="HMK230" s="10"/>
      <c r="HML230" s="10"/>
      <c r="HMM230" s="21"/>
      <c r="HMN230" s="21"/>
      <c r="HMQ230" s="21"/>
      <c r="HMR230" s="15"/>
      <c r="HMS230" s="15"/>
      <c r="HMT230" s="15"/>
      <c r="HMU230" s="15"/>
      <c r="HMV230" s="15"/>
      <c r="HMW230" s="15"/>
      <c r="HMX230" s="15"/>
      <c r="HMY230" s="15"/>
      <c r="HMZ230" s="15"/>
      <c r="HNA230" s="15"/>
      <c r="HNB230" s="10"/>
      <c r="HNC230" s="10"/>
      <c r="HND230" s="21"/>
      <c r="HNE230" s="21"/>
      <c r="HNH230" s="21"/>
      <c r="HNI230" s="15"/>
      <c r="HNJ230" s="15"/>
      <c r="HNK230" s="15"/>
      <c r="HNL230" s="15"/>
      <c r="HNM230" s="15"/>
      <c r="HNN230" s="15"/>
      <c r="HNO230" s="15"/>
      <c r="HNP230" s="15"/>
      <c r="HNQ230" s="15"/>
      <c r="HNR230" s="15"/>
      <c r="HNS230" s="10"/>
      <c r="HNT230" s="10"/>
      <c r="HNU230" s="21"/>
      <c r="HNV230" s="21"/>
      <c r="HNY230" s="21"/>
      <c r="HNZ230" s="15"/>
      <c r="HOA230" s="15"/>
      <c r="HOB230" s="15"/>
      <c r="HOC230" s="15"/>
      <c r="HOD230" s="15"/>
      <c r="HOE230" s="15"/>
      <c r="HOF230" s="15"/>
      <c r="HOG230" s="15"/>
      <c r="HOH230" s="15"/>
      <c r="HOI230" s="15"/>
      <c r="HOJ230" s="10"/>
      <c r="HOK230" s="10"/>
      <c r="HOL230" s="21"/>
      <c r="HOM230" s="21"/>
      <c r="HOP230" s="21"/>
      <c r="HOQ230" s="15"/>
      <c r="HOR230" s="15"/>
      <c r="HOS230" s="15"/>
      <c r="HOT230" s="15"/>
      <c r="HOU230" s="15"/>
      <c r="HOV230" s="15"/>
      <c r="HOW230" s="15"/>
      <c r="HOX230" s="15"/>
      <c r="HOY230" s="15"/>
      <c r="HOZ230" s="15"/>
      <c r="HPA230" s="10"/>
      <c r="HPB230" s="10"/>
      <c r="HPC230" s="21"/>
      <c r="HPD230" s="21"/>
      <c r="HPG230" s="21"/>
      <c r="HPH230" s="15"/>
      <c r="HPI230" s="15"/>
      <c r="HPJ230" s="15"/>
      <c r="HPK230" s="15"/>
      <c r="HPL230" s="15"/>
      <c r="HPM230" s="15"/>
      <c r="HPN230" s="15"/>
      <c r="HPO230" s="15"/>
      <c r="HPP230" s="15"/>
      <c r="HPQ230" s="15"/>
      <c r="HPR230" s="10"/>
      <c r="HPS230" s="10"/>
      <c r="HPT230" s="21"/>
      <c r="HPU230" s="21"/>
      <c r="HPX230" s="21"/>
      <c r="HPY230" s="15"/>
      <c r="HPZ230" s="15"/>
      <c r="HQA230" s="15"/>
      <c r="HQB230" s="15"/>
      <c r="HQC230" s="15"/>
      <c r="HQD230" s="15"/>
      <c r="HQE230" s="15"/>
      <c r="HQF230" s="15"/>
      <c r="HQG230" s="15"/>
      <c r="HQH230" s="15"/>
      <c r="HQI230" s="10"/>
      <c r="HQJ230" s="10"/>
      <c r="HQK230" s="21"/>
      <c r="HQL230" s="21"/>
      <c r="HQO230" s="21"/>
      <c r="HQP230" s="15"/>
      <c r="HQQ230" s="15"/>
      <c r="HQR230" s="15"/>
      <c r="HQS230" s="15"/>
      <c r="HQT230" s="15"/>
      <c r="HQU230" s="15"/>
      <c r="HQV230" s="15"/>
      <c r="HQW230" s="15"/>
      <c r="HQX230" s="15"/>
      <c r="HQY230" s="15"/>
      <c r="HQZ230" s="10"/>
      <c r="HRA230" s="10"/>
      <c r="HRB230" s="21"/>
      <c r="HRC230" s="21"/>
      <c r="HRF230" s="21"/>
      <c r="HRG230" s="15"/>
      <c r="HRH230" s="15"/>
      <c r="HRI230" s="15"/>
      <c r="HRJ230" s="15"/>
      <c r="HRK230" s="15"/>
      <c r="HRL230" s="15"/>
      <c r="HRM230" s="15"/>
      <c r="HRN230" s="15"/>
      <c r="HRO230" s="15"/>
      <c r="HRP230" s="15"/>
      <c r="HRQ230" s="10"/>
      <c r="HRR230" s="10"/>
      <c r="HRS230" s="21"/>
      <c r="HRT230" s="21"/>
      <c r="HRW230" s="21"/>
      <c r="HRX230" s="15"/>
      <c r="HRY230" s="15"/>
      <c r="HRZ230" s="15"/>
      <c r="HSA230" s="15"/>
      <c r="HSB230" s="15"/>
      <c r="HSC230" s="15"/>
      <c r="HSD230" s="15"/>
      <c r="HSE230" s="15"/>
      <c r="HSF230" s="15"/>
      <c r="HSG230" s="15"/>
      <c r="HSH230" s="10"/>
      <c r="HSI230" s="10"/>
      <c r="HSJ230" s="21"/>
      <c r="HSK230" s="21"/>
      <c r="HSN230" s="21"/>
      <c r="HSO230" s="15"/>
      <c r="HSP230" s="15"/>
      <c r="HSQ230" s="15"/>
      <c r="HSR230" s="15"/>
      <c r="HSS230" s="15"/>
      <c r="HST230" s="15"/>
      <c r="HSU230" s="15"/>
      <c r="HSV230" s="15"/>
      <c r="HSW230" s="15"/>
      <c r="HSX230" s="15"/>
      <c r="HSY230" s="10"/>
      <c r="HSZ230" s="10"/>
      <c r="HTA230" s="21"/>
      <c r="HTB230" s="21"/>
      <c r="HTE230" s="21"/>
      <c r="HTF230" s="15"/>
      <c r="HTG230" s="15"/>
      <c r="HTH230" s="15"/>
      <c r="HTI230" s="15"/>
      <c r="HTJ230" s="15"/>
      <c r="HTK230" s="15"/>
      <c r="HTL230" s="15"/>
      <c r="HTM230" s="15"/>
      <c r="HTN230" s="15"/>
      <c r="HTO230" s="15"/>
      <c r="HTP230" s="10"/>
      <c r="HTQ230" s="10"/>
      <c r="HTR230" s="21"/>
      <c r="HTS230" s="21"/>
      <c r="HTV230" s="21"/>
      <c r="HTW230" s="15"/>
      <c r="HTX230" s="15"/>
      <c r="HTY230" s="15"/>
      <c r="HTZ230" s="15"/>
      <c r="HUA230" s="15"/>
      <c r="HUB230" s="15"/>
      <c r="HUC230" s="15"/>
      <c r="HUD230" s="15"/>
      <c r="HUE230" s="15"/>
      <c r="HUF230" s="15"/>
      <c r="HUG230" s="10"/>
      <c r="HUH230" s="10"/>
      <c r="HUI230" s="21"/>
      <c r="HUJ230" s="21"/>
      <c r="HUM230" s="21"/>
      <c r="HUN230" s="15"/>
      <c r="HUO230" s="15"/>
      <c r="HUP230" s="15"/>
      <c r="HUQ230" s="15"/>
      <c r="HUR230" s="15"/>
      <c r="HUS230" s="15"/>
      <c r="HUT230" s="15"/>
      <c r="HUU230" s="15"/>
      <c r="HUV230" s="15"/>
      <c r="HUW230" s="15"/>
      <c r="HUX230" s="10"/>
      <c r="HUY230" s="10"/>
      <c r="HUZ230" s="21"/>
      <c r="HVA230" s="21"/>
      <c r="HVD230" s="21"/>
      <c r="HVE230" s="15"/>
      <c r="HVF230" s="15"/>
      <c r="HVG230" s="15"/>
      <c r="HVH230" s="15"/>
      <c r="HVI230" s="15"/>
      <c r="HVJ230" s="15"/>
      <c r="HVK230" s="15"/>
      <c r="HVL230" s="15"/>
      <c r="HVM230" s="15"/>
      <c r="HVN230" s="15"/>
      <c r="HVO230" s="10"/>
      <c r="HVP230" s="10"/>
      <c r="HVQ230" s="21"/>
      <c r="HVR230" s="21"/>
      <c r="HVU230" s="21"/>
      <c r="HVV230" s="15"/>
      <c r="HVW230" s="15"/>
      <c r="HVX230" s="15"/>
      <c r="HVY230" s="15"/>
      <c r="HVZ230" s="15"/>
      <c r="HWA230" s="15"/>
      <c r="HWB230" s="15"/>
      <c r="HWC230" s="15"/>
      <c r="HWD230" s="15"/>
      <c r="HWE230" s="15"/>
      <c r="HWF230" s="10"/>
      <c r="HWG230" s="10"/>
      <c r="HWH230" s="21"/>
      <c r="HWI230" s="21"/>
      <c r="HWL230" s="21"/>
      <c r="HWM230" s="15"/>
      <c r="HWN230" s="15"/>
      <c r="HWO230" s="15"/>
      <c r="HWP230" s="15"/>
      <c r="HWQ230" s="15"/>
      <c r="HWR230" s="15"/>
      <c r="HWS230" s="15"/>
      <c r="HWT230" s="15"/>
      <c r="HWU230" s="15"/>
      <c r="HWV230" s="15"/>
      <c r="HWW230" s="10"/>
      <c r="HWX230" s="10"/>
      <c r="HWY230" s="21"/>
      <c r="HWZ230" s="21"/>
      <c r="HXC230" s="21"/>
      <c r="HXD230" s="15"/>
      <c r="HXE230" s="15"/>
      <c r="HXF230" s="15"/>
      <c r="HXG230" s="15"/>
      <c r="HXH230" s="15"/>
      <c r="HXI230" s="15"/>
      <c r="HXJ230" s="15"/>
      <c r="HXK230" s="15"/>
      <c r="HXL230" s="15"/>
      <c r="HXM230" s="15"/>
      <c r="HXN230" s="10"/>
      <c r="HXO230" s="10"/>
      <c r="HXP230" s="21"/>
      <c r="HXQ230" s="21"/>
      <c r="HXT230" s="21"/>
      <c r="HXU230" s="15"/>
      <c r="HXV230" s="15"/>
      <c r="HXW230" s="15"/>
      <c r="HXX230" s="15"/>
      <c r="HXY230" s="15"/>
      <c r="HXZ230" s="15"/>
      <c r="HYA230" s="15"/>
      <c r="HYB230" s="15"/>
      <c r="HYC230" s="15"/>
      <c r="HYD230" s="15"/>
      <c r="HYE230" s="10"/>
      <c r="HYF230" s="10"/>
      <c r="HYG230" s="21"/>
      <c r="HYH230" s="21"/>
      <c r="HYK230" s="21"/>
      <c r="HYL230" s="15"/>
      <c r="HYM230" s="15"/>
      <c r="HYN230" s="15"/>
      <c r="HYO230" s="15"/>
      <c r="HYP230" s="15"/>
      <c r="HYQ230" s="15"/>
      <c r="HYR230" s="15"/>
      <c r="HYS230" s="15"/>
      <c r="HYT230" s="15"/>
      <c r="HYU230" s="15"/>
      <c r="HYV230" s="10"/>
      <c r="HYW230" s="10"/>
      <c r="HYX230" s="21"/>
      <c r="HYY230" s="21"/>
      <c r="HZB230" s="21"/>
      <c r="HZC230" s="15"/>
      <c r="HZD230" s="15"/>
      <c r="HZE230" s="15"/>
      <c r="HZF230" s="15"/>
      <c r="HZG230" s="15"/>
      <c r="HZH230" s="15"/>
      <c r="HZI230" s="15"/>
      <c r="HZJ230" s="15"/>
      <c r="HZK230" s="15"/>
      <c r="HZL230" s="15"/>
      <c r="HZM230" s="10"/>
      <c r="HZN230" s="10"/>
      <c r="HZO230" s="21"/>
      <c r="HZP230" s="21"/>
      <c r="HZS230" s="21"/>
      <c r="HZT230" s="15"/>
      <c r="HZU230" s="15"/>
      <c r="HZV230" s="15"/>
      <c r="HZW230" s="15"/>
      <c r="HZX230" s="15"/>
      <c r="HZY230" s="15"/>
      <c r="HZZ230" s="15"/>
      <c r="IAA230" s="15"/>
      <c r="IAB230" s="15"/>
      <c r="IAC230" s="15"/>
      <c r="IAD230" s="10"/>
      <c r="IAE230" s="10"/>
      <c r="IAF230" s="21"/>
      <c r="IAG230" s="21"/>
      <c r="IAJ230" s="21"/>
      <c r="IAK230" s="15"/>
      <c r="IAL230" s="15"/>
      <c r="IAM230" s="15"/>
      <c r="IAN230" s="15"/>
      <c r="IAO230" s="15"/>
      <c r="IAP230" s="15"/>
      <c r="IAQ230" s="15"/>
      <c r="IAR230" s="15"/>
      <c r="IAS230" s="15"/>
      <c r="IAT230" s="15"/>
      <c r="IAU230" s="10"/>
      <c r="IAV230" s="10"/>
      <c r="IAW230" s="21"/>
      <c r="IAX230" s="21"/>
      <c r="IBA230" s="21"/>
      <c r="IBB230" s="15"/>
      <c r="IBC230" s="15"/>
      <c r="IBD230" s="15"/>
      <c r="IBE230" s="15"/>
      <c r="IBF230" s="15"/>
      <c r="IBG230" s="15"/>
      <c r="IBH230" s="15"/>
      <c r="IBI230" s="15"/>
      <c r="IBJ230" s="15"/>
      <c r="IBK230" s="15"/>
      <c r="IBL230" s="10"/>
      <c r="IBM230" s="10"/>
      <c r="IBN230" s="21"/>
      <c r="IBO230" s="21"/>
      <c r="IBR230" s="21"/>
      <c r="IBS230" s="15"/>
      <c r="IBT230" s="15"/>
      <c r="IBU230" s="15"/>
      <c r="IBV230" s="15"/>
      <c r="IBW230" s="15"/>
      <c r="IBX230" s="15"/>
      <c r="IBY230" s="15"/>
      <c r="IBZ230" s="15"/>
      <c r="ICA230" s="15"/>
      <c r="ICB230" s="15"/>
      <c r="ICC230" s="10"/>
      <c r="ICD230" s="10"/>
      <c r="ICE230" s="21"/>
      <c r="ICF230" s="21"/>
      <c r="ICI230" s="21"/>
      <c r="ICJ230" s="15"/>
      <c r="ICK230" s="15"/>
      <c r="ICL230" s="15"/>
      <c r="ICM230" s="15"/>
      <c r="ICN230" s="15"/>
      <c r="ICO230" s="15"/>
      <c r="ICP230" s="15"/>
      <c r="ICQ230" s="15"/>
      <c r="ICR230" s="15"/>
      <c r="ICS230" s="15"/>
      <c r="ICT230" s="10"/>
      <c r="ICU230" s="10"/>
      <c r="ICV230" s="21"/>
      <c r="ICW230" s="21"/>
      <c r="ICZ230" s="21"/>
      <c r="IDA230" s="15"/>
      <c r="IDB230" s="15"/>
      <c r="IDC230" s="15"/>
      <c r="IDD230" s="15"/>
      <c r="IDE230" s="15"/>
      <c r="IDF230" s="15"/>
      <c r="IDG230" s="15"/>
      <c r="IDH230" s="15"/>
      <c r="IDI230" s="15"/>
      <c r="IDJ230" s="15"/>
      <c r="IDK230" s="10"/>
      <c r="IDL230" s="10"/>
      <c r="IDM230" s="21"/>
      <c r="IDN230" s="21"/>
      <c r="IDQ230" s="21"/>
      <c r="IDR230" s="15"/>
      <c r="IDS230" s="15"/>
      <c r="IDT230" s="15"/>
      <c r="IDU230" s="15"/>
      <c r="IDV230" s="15"/>
      <c r="IDW230" s="15"/>
      <c r="IDX230" s="15"/>
      <c r="IDY230" s="15"/>
      <c r="IDZ230" s="15"/>
      <c r="IEA230" s="15"/>
      <c r="IEB230" s="10"/>
      <c r="IEC230" s="10"/>
      <c r="IED230" s="21"/>
      <c r="IEE230" s="21"/>
      <c r="IEH230" s="21"/>
      <c r="IEI230" s="15"/>
      <c r="IEJ230" s="15"/>
      <c r="IEK230" s="15"/>
      <c r="IEL230" s="15"/>
      <c r="IEM230" s="15"/>
      <c r="IEN230" s="15"/>
      <c r="IEO230" s="15"/>
      <c r="IEP230" s="15"/>
      <c r="IEQ230" s="15"/>
      <c r="IER230" s="15"/>
      <c r="IES230" s="10"/>
      <c r="IET230" s="10"/>
      <c r="IEU230" s="21"/>
      <c r="IEV230" s="21"/>
      <c r="IEY230" s="21"/>
      <c r="IEZ230" s="15"/>
      <c r="IFA230" s="15"/>
      <c r="IFB230" s="15"/>
      <c r="IFC230" s="15"/>
      <c r="IFD230" s="15"/>
      <c r="IFE230" s="15"/>
      <c r="IFF230" s="15"/>
      <c r="IFG230" s="15"/>
      <c r="IFH230" s="15"/>
      <c r="IFI230" s="15"/>
      <c r="IFJ230" s="10"/>
      <c r="IFK230" s="10"/>
      <c r="IFL230" s="21"/>
      <c r="IFM230" s="21"/>
      <c r="IFP230" s="21"/>
      <c r="IFQ230" s="15"/>
      <c r="IFR230" s="15"/>
      <c r="IFS230" s="15"/>
      <c r="IFT230" s="15"/>
      <c r="IFU230" s="15"/>
      <c r="IFV230" s="15"/>
      <c r="IFW230" s="15"/>
      <c r="IFX230" s="15"/>
      <c r="IFY230" s="15"/>
      <c r="IFZ230" s="15"/>
      <c r="IGA230" s="10"/>
      <c r="IGB230" s="10"/>
      <c r="IGC230" s="21"/>
      <c r="IGD230" s="21"/>
      <c r="IGG230" s="21"/>
      <c r="IGH230" s="15"/>
      <c r="IGI230" s="15"/>
      <c r="IGJ230" s="15"/>
      <c r="IGK230" s="15"/>
      <c r="IGL230" s="15"/>
      <c r="IGM230" s="15"/>
      <c r="IGN230" s="15"/>
      <c r="IGO230" s="15"/>
      <c r="IGP230" s="15"/>
      <c r="IGQ230" s="15"/>
      <c r="IGR230" s="10"/>
      <c r="IGS230" s="10"/>
      <c r="IGT230" s="21"/>
      <c r="IGU230" s="21"/>
      <c r="IGX230" s="21"/>
      <c r="IGY230" s="15"/>
      <c r="IGZ230" s="15"/>
      <c r="IHA230" s="15"/>
      <c r="IHB230" s="15"/>
      <c r="IHC230" s="15"/>
      <c r="IHD230" s="15"/>
      <c r="IHE230" s="15"/>
      <c r="IHF230" s="15"/>
      <c r="IHG230" s="15"/>
      <c r="IHH230" s="15"/>
      <c r="IHI230" s="10"/>
      <c r="IHJ230" s="10"/>
      <c r="IHK230" s="21"/>
      <c r="IHL230" s="21"/>
      <c r="IHO230" s="21"/>
      <c r="IHP230" s="15"/>
      <c r="IHQ230" s="15"/>
      <c r="IHR230" s="15"/>
      <c r="IHS230" s="15"/>
      <c r="IHT230" s="15"/>
      <c r="IHU230" s="15"/>
      <c r="IHV230" s="15"/>
      <c r="IHW230" s="15"/>
      <c r="IHX230" s="15"/>
      <c r="IHY230" s="15"/>
      <c r="IHZ230" s="10"/>
      <c r="IIA230" s="10"/>
      <c r="IIB230" s="21"/>
      <c r="IIC230" s="21"/>
      <c r="IIF230" s="21"/>
      <c r="IIG230" s="15"/>
      <c r="IIH230" s="15"/>
      <c r="III230" s="15"/>
      <c r="IIJ230" s="15"/>
      <c r="IIK230" s="15"/>
      <c r="IIL230" s="15"/>
      <c r="IIM230" s="15"/>
      <c r="IIN230" s="15"/>
      <c r="IIO230" s="15"/>
      <c r="IIP230" s="15"/>
      <c r="IIQ230" s="10"/>
      <c r="IIR230" s="10"/>
      <c r="IIS230" s="21"/>
      <c r="IIT230" s="21"/>
      <c r="IIW230" s="21"/>
      <c r="IIX230" s="15"/>
      <c r="IIY230" s="15"/>
      <c r="IIZ230" s="15"/>
      <c r="IJA230" s="15"/>
      <c r="IJB230" s="15"/>
      <c r="IJC230" s="15"/>
      <c r="IJD230" s="15"/>
      <c r="IJE230" s="15"/>
      <c r="IJF230" s="15"/>
      <c r="IJG230" s="15"/>
      <c r="IJH230" s="10"/>
      <c r="IJI230" s="10"/>
      <c r="IJJ230" s="21"/>
      <c r="IJK230" s="21"/>
      <c r="IJN230" s="21"/>
      <c r="IJO230" s="15"/>
      <c r="IJP230" s="15"/>
      <c r="IJQ230" s="15"/>
      <c r="IJR230" s="15"/>
      <c r="IJS230" s="15"/>
      <c r="IJT230" s="15"/>
      <c r="IJU230" s="15"/>
      <c r="IJV230" s="15"/>
      <c r="IJW230" s="15"/>
      <c r="IJX230" s="15"/>
      <c r="IJY230" s="10"/>
      <c r="IJZ230" s="10"/>
      <c r="IKA230" s="21"/>
      <c r="IKB230" s="21"/>
      <c r="IKE230" s="21"/>
      <c r="IKF230" s="15"/>
      <c r="IKG230" s="15"/>
      <c r="IKH230" s="15"/>
      <c r="IKI230" s="15"/>
      <c r="IKJ230" s="15"/>
      <c r="IKK230" s="15"/>
      <c r="IKL230" s="15"/>
      <c r="IKM230" s="15"/>
      <c r="IKN230" s="15"/>
      <c r="IKO230" s="15"/>
      <c r="IKP230" s="10"/>
      <c r="IKQ230" s="10"/>
      <c r="IKR230" s="21"/>
      <c r="IKS230" s="21"/>
      <c r="IKV230" s="21"/>
      <c r="IKW230" s="15"/>
      <c r="IKX230" s="15"/>
      <c r="IKY230" s="15"/>
      <c r="IKZ230" s="15"/>
      <c r="ILA230" s="15"/>
      <c r="ILB230" s="15"/>
      <c r="ILC230" s="15"/>
      <c r="ILD230" s="15"/>
      <c r="ILE230" s="15"/>
      <c r="ILF230" s="15"/>
      <c r="ILG230" s="10"/>
      <c r="ILH230" s="10"/>
      <c r="ILI230" s="21"/>
      <c r="ILJ230" s="21"/>
      <c r="ILM230" s="21"/>
      <c r="ILN230" s="15"/>
      <c r="ILO230" s="15"/>
      <c r="ILP230" s="15"/>
      <c r="ILQ230" s="15"/>
      <c r="ILR230" s="15"/>
      <c r="ILS230" s="15"/>
      <c r="ILT230" s="15"/>
      <c r="ILU230" s="15"/>
      <c r="ILV230" s="15"/>
      <c r="ILW230" s="15"/>
      <c r="ILX230" s="10"/>
      <c r="ILY230" s="10"/>
      <c r="ILZ230" s="21"/>
      <c r="IMA230" s="21"/>
      <c r="IMD230" s="21"/>
      <c r="IME230" s="15"/>
      <c r="IMF230" s="15"/>
      <c r="IMG230" s="15"/>
      <c r="IMH230" s="15"/>
      <c r="IMI230" s="15"/>
      <c r="IMJ230" s="15"/>
      <c r="IMK230" s="15"/>
      <c r="IML230" s="15"/>
      <c r="IMM230" s="15"/>
      <c r="IMN230" s="15"/>
      <c r="IMO230" s="10"/>
      <c r="IMP230" s="10"/>
      <c r="IMQ230" s="21"/>
      <c r="IMR230" s="21"/>
      <c r="IMU230" s="21"/>
      <c r="IMV230" s="15"/>
      <c r="IMW230" s="15"/>
      <c r="IMX230" s="15"/>
      <c r="IMY230" s="15"/>
      <c r="IMZ230" s="15"/>
      <c r="INA230" s="15"/>
      <c r="INB230" s="15"/>
      <c r="INC230" s="15"/>
      <c r="IND230" s="15"/>
      <c r="INE230" s="15"/>
      <c r="INF230" s="10"/>
      <c r="ING230" s="10"/>
      <c r="INH230" s="21"/>
      <c r="INI230" s="21"/>
      <c r="INL230" s="21"/>
      <c r="INM230" s="15"/>
      <c r="INN230" s="15"/>
      <c r="INO230" s="15"/>
      <c r="INP230" s="15"/>
      <c r="INQ230" s="15"/>
      <c r="INR230" s="15"/>
      <c r="INS230" s="15"/>
      <c r="INT230" s="15"/>
      <c r="INU230" s="15"/>
      <c r="INV230" s="15"/>
      <c r="INW230" s="10"/>
      <c r="INX230" s="10"/>
      <c r="INY230" s="21"/>
      <c r="INZ230" s="21"/>
      <c r="IOC230" s="21"/>
      <c r="IOD230" s="15"/>
      <c r="IOE230" s="15"/>
      <c r="IOF230" s="15"/>
      <c r="IOG230" s="15"/>
      <c r="IOH230" s="15"/>
      <c r="IOI230" s="15"/>
      <c r="IOJ230" s="15"/>
      <c r="IOK230" s="15"/>
      <c r="IOL230" s="15"/>
      <c r="IOM230" s="15"/>
      <c r="ION230" s="10"/>
      <c r="IOO230" s="10"/>
      <c r="IOP230" s="21"/>
      <c r="IOQ230" s="21"/>
      <c r="IOT230" s="21"/>
      <c r="IOU230" s="15"/>
      <c r="IOV230" s="15"/>
      <c r="IOW230" s="15"/>
      <c r="IOX230" s="15"/>
      <c r="IOY230" s="15"/>
      <c r="IOZ230" s="15"/>
      <c r="IPA230" s="15"/>
      <c r="IPB230" s="15"/>
      <c r="IPC230" s="15"/>
      <c r="IPD230" s="15"/>
      <c r="IPE230" s="10"/>
      <c r="IPF230" s="10"/>
      <c r="IPG230" s="21"/>
      <c r="IPH230" s="21"/>
      <c r="IPK230" s="21"/>
      <c r="IPL230" s="15"/>
      <c r="IPM230" s="15"/>
      <c r="IPN230" s="15"/>
      <c r="IPO230" s="15"/>
      <c r="IPP230" s="15"/>
      <c r="IPQ230" s="15"/>
      <c r="IPR230" s="15"/>
      <c r="IPS230" s="15"/>
      <c r="IPT230" s="15"/>
      <c r="IPU230" s="15"/>
      <c r="IPV230" s="10"/>
      <c r="IPW230" s="10"/>
      <c r="IPX230" s="21"/>
      <c r="IPY230" s="21"/>
      <c r="IQB230" s="21"/>
      <c r="IQC230" s="15"/>
      <c r="IQD230" s="15"/>
      <c r="IQE230" s="15"/>
      <c r="IQF230" s="15"/>
      <c r="IQG230" s="15"/>
      <c r="IQH230" s="15"/>
      <c r="IQI230" s="15"/>
      <c r="IQJ230" s="15"/>
      <c r="IQK230" s="15"/>
      <c r="IQL230" s="15"/>
      <c r="IQM230" s="10"/>
      <c r="IQN230" s="10"/>
      <c r="IQO230" s="21"/>
      <c r="IQP230" s="21"/>
      <c r="IQS230" s="21"/>
      <c r="IQT230" s="15"/>
      <c r="IQU230" s="15"/>
      <c r="IQV230" s="15"/>
      <c r="IQW230" s="15"/>
      <c r="IQX230" s="15"/>
      <c r="IQY230" s="15"/>
      <c r="IQZ230" s="15"/>
      <c r="IRA230" s="15"/>
      <c r="IRB230" s="15"/>
      <c r="IRC230" s="15"/>
      <c r="IRD230" s="10"/>
      <c r="IRE230" s="10"/>
      <c r="IRF230" s="21"/>
      <c r="IRG230" s="21"/>
      <c r="IRJ230" s="21"/>
      <c r="IRK230" s="15"/>
      <c r="IRL230" s="15"/>
      <c r="IRM230" s="15"/>
      <c r="IRN230" s="15"/>
      <c r="IRO230" s="15"/>
      <c r="IRP230" s="15"/>
      <c r="IRQ230" s="15"/>
      <c r="IRR230" s="15"/>
      <c r="IRS230" s="15"/>
      <c r="IRT230" s="15"/>
      <c r="IRU230" s="10"/>
      <c r="IRV230" s="10"/>
      <c r="IRW230" s="21"/>
      <c r="IRX230" s="21"/>
      <c r="ISA230" s="21"/>
      <c r="ISB230" s="15"/>
      <c r="ISC230" s="15"/>
      <c r="ISD230" s="15"/>
      <c r="ISE230" s="15"/>
      <c r="ISF230" s="15"/>
      <c r="ISG230" s="15"/>
      <c r="ISH230" s="15"/>
      <c r="ISI230" s="15"/>
      <c r="ISJ230" s="15"/>
      <c r="ISK230" s="15"/>
      <c r="ISL230" s="10"/>
      <c r="ISM230" s="10"/>
      <c r="ISN230" s="21"/>
      <c r="ISO230" s="21"/>
      <c r="ISR230" s="21"/>
      <c r="ISS230" s="15"/>
      <c r="IST230" s="15"/>
      <c r="ISU230" s="15"/>
      <c r="ISV230" s="15"/>
      <c r="ISW230" s="15"/>
      <c r="ISX230" s="15"/>
      <c r="ISY230" s="15"/>
      <c r="ISZ230" s="15"/>
      <c r="ITA230" s="15"/>
      <c r="ITB230" s="15"/>
      <c r="ITC230" s="10"/>
      <c r="ITD230" s="10"/>
      <c r="ITE230" s="21"/>
      <c r="ITF230" s="21"/>
      <c r="ITI230" s="21"/>
      <c r="ITJ230" s="15"/>
      <c r="ITK230" s="15"/>
      <c r="ITL230" s="15"/>
      <c r="ITM230" s="15"/>
      <c r="ITN230" s="15"/>
      <c r="ITO230" s="15"/>
      <c r="ITP230" s="15"/>
      <c r="ITQ230" s="15"/>
      <c r="ITR230" s="15"/>
      <c r="ITS230" s="15"/>
      <c r="ITT230" s="10"/>
      <c r="ITU230" s="10"/>
      <c r="ITV230" s="21"/>
      <c r="ITW230" s="21"/>
      <c r="ITZ230" s="21"/>
      <c r="IUA230" s="15"/>
      <c r="IUB230" s="15"/>
      <c r="IUC230" s="15"/>
      <c r="IUD230" s="15"/>
      <c r="IUE230" s="15"/>
      <c r="IUF230" s="15"/>
      <c r="IUG230" s="15"/>
      <c r="IUH230" s="15"/>
      <c r="IUI230" s="15"/>
      <c r="IUJ230" s="15"/>
      <c r="IUK230" s="10"/>
      <c r="IUL230" s="10"/>
      <c r="IUM230" s="21"/>
      <c r="IUN230" s="21"/>
      <c r="IUQ230" s="21"/>
      <c r="IUR230" s="15"/>
      <c r="IUS230" s="15"/>
      <c r="IUT230" s="15"/>
      <c r="IUU230" s="15"/>
      <c r="IUV230" s="15"/>
      <c r="IUW230" s="15"/>
      <c r="IUX230" s="15"/>
      <c r="IUY230" s="15"/>
      <c r="IUZ230" s="15"/>
      <c r="IVA230" s="15"/>
      <c r="IVB230" s="10"/>
      <c r="IVC230" s="10"/>
      <c r="IVD230" s="21"/>
      <c r="IVE230" s="21"/>
      <c r="IVH230" s="21"/>
      <c r="IVI230" s="15"/>
      <c r="IVJ230" s="15"/>
      <c r="IVK230" s="15"/>
      <c r="IVL230" s="15"/>
      <c r="IVM230" s="15"/>
      <c r="IVN230" s="15"/>
      <c r="IVO230" s="15"/>
      <c r="IVP230" s="15"/>
      <c r="IVQ230" s="15"/>
      <c r="IVR230" s="15"/>
      <c r="IVS230" s="10"/>
      <c r="IVT230" s="10"/>
      <c r="IVU230" s="21"/>
      <c r="IVV230" s="21"/>
      <c r="IVY230" s="21"/>
      <c r="IVZ230" s="15"/>
      <c r="IWA230" s="15"/>
      <c r="IWB230" s="15"/>
      <c r="IWC230" s="15"/>
      <c r="IWD230" s="15"/>
      <c r="IWE230" s="15"/>
      <c r="IWF230" s="15"/>
      <c r="IWG230" s="15"/>
      <c r="IWH230" s="15"/>
      <c r="IWI230" s="15"/>
      <c r="IWJ230" s="10"/>
      <c r="IWK230" s="10"/>
      <c r="IWL230" s="21"/>
      <c r="IWM230" s="21"/>
      <c r="IWP230" s="21"/>
      <c r="IWQ230" s="15"/>
      <c r="IWR230" s="15"/>
      <c r="IWS230" s="15"/>
      <c r="IWT230" s="15"/>
      <c r="IWU230" s="15"/>
      <c r="IWV230" s="15"/>
      <c r="IWW230" s="15"/>
      <c r="IWX230" s="15"/>
      <c r="IWY230" s="15"/>
      <c r="IWZ230" s="15"/>
      <c r="IXA230" s="10"/>
      <c r="IXB230" s="10"/>
      <c r="IXC230" s="21"/>
      <c r="IXD230" s="21"/>
      <c r="IXG230" s="21"/>
      <c r="IXH230" s="15"/>
      <c r="IXI230" s="15"/>
      <c r="IXJ230" s="15"/>
      <c r="IXK230" s="15"/>
      <c r="IXL230" s="15"/>
      <c r="IXM230" s="15"/>
      <c r="IXN230" s="15"/>
      <c r="IXO230" s="15"/>
      <c r="IXP230" s="15"/>
      <c r="IXQ230" s="15"/>
      <c r="IXR230" s="10"/>
      <c r="IXS230" s="10"/>
      <c r="IXT230" s="21"/>
      <c r="IXU230" s="21"/>
      <c r="IXX230" s="21"/>
      <c r="IXY230" s="15"/>
      <c r="IXZ230" s="15"/>
      <c r="IYA230" s="15"/>
      <c r="IYB230" s="15"/>
      <c r="IYC230" s="15"/>
      <c r="IYD230" s="15"/>
      <c r="IYE230" s="15"/>
      <c r="IYF230" s="15"/>
      <c r="IYG230" s="15"/>
      <c r="IYH230" s="15"/>
      <c r="IYI230" s="10"/>
      <c r="IYJ230" s="10"/>
      <c r="IYK230" s="21"/>
      <c r="IYL230" s="21"/>
      <c r="IYO230" s="21"/>
      <c r="IYP230" s="15"/>
      <c r="IYQ230" s="15"/>
      <c r="IYR230" s="15"/>
      <c r="IYS230" s="15"/>
      <c r="IYT230" s="15"/>
      <c r="IYU230" s="15"/>
      <c r="IYV230" s="15"/>
      <c r="IYW230" s="15"/>
      <c r="IYX230" s="15"/>
      <c r="IYY230" s="15"/>
      <c r="IYZ230" s="10"/>
      <c r="IZA230" s="10"/>
      <c r="IZB230" s="21"/>
      <c r="IZC230" s="21"/>
      <c r="IZF230" s="21"/>
      <c r="IZG230" s="15"/>
      <c r="IZH230" s="15"/>
      <c r="IZI230" s="15"/>
      <c r="IZJ230" s="15"/>
      <c r="IZK230" s="15"/>
      <c r="IZL230" s="15"/>
      <c r="IZM230" s="15"/>
      <c r="IZN230" s="15"/>
      <c r="IZO230" s="15"/>
      <c r="IZP230" s="15"/>
      <c r="IZQ230" s="10"/>
      <c r="IZR230" s="10"/>
      <c r="IZS230" s="21"/>
      <c r="IZT230" s="21"/>
      <c r="IZW230" s="21"/>
      <c r="IZX230" s="15"/>
      <c r="IZY230" s="15"/>
      <c r="IZZ230" s="15"/>
      <c r="JAA230" s="15"/>
      <c r="JAB230" s="15"/>
      <c r="JAC230" s="15"/>
      <c r="JAD230" s="15"/>
      <c r="JAE230" s="15"/>
      <c r="JAF230" s="15"/>
      <c r="JAG230" s="15"/>
      <c r="JAH230" s="10"/>
      <c r="JAI230" s="10"/>
      <c r="JAJ230" s="21"/>
      <c r="JAK230" s="21"/>
      <c r="JAN230" s="21"/>
      <c r="JAO230" s="15"/>
      <c r="JAP230" s="15"/>
      <c r="JAQ230" s="15"/>
      <c r="JAR230" s="15"/>
      <c r="JAS230" s="15"/>
      <c r="JAT230" s="15"/>
      <c r="JAU230" s="15"/>
      <c r="JAV230" s="15"/>
      <c r="JAW230" s="15"/>
      <c r="JAX230" s="15"/>
      <c r="JAY230" s="10"/>
      <c r="JAZ230" s="10"/>
      <c r="JBA230" s="21"/>
      <c r="JBB230" s="21"/>
      <c r="JBE230" s="21"/>
      <c r="JBF230" s="15"/>
      <c r="JBG230" s="15"/>
      <c r="JBH230" s="15"/>
      <c r="JBI230" s="15"/>
      <c r="JBJ230" s="15"/>
      <c r="JBK230" s="15"/>
      <c r="JBL230" s="15"/>
      <c r="JBM230" s="15"/>
      <c r="JBN230" s="15"/>
      <c r="JBO230" s="15"/>
      <c r="JBP230" s="10"/>
      <c r="JBQ230" s="10"/>
      <c r="JBR230" s="21"/>
      <c r="JBS230" s="21"/>
      <c r="JBV230" s="21"/>
      <c r="JBW230" s="15"/>
      <c r="JBX230" s="15"/>
      <c r="JBY230" s="15"/>
      <c r="JBZ230" s="15"/>
      <c r="JCA230" s="15"/>
      <c r="JCB230" s="15"/>
      <c r="JCC230" s="15"/>
      <c r="JCD230" s="15"/>
      <c r="JCE230" s="15"/>
      <c r="JCF230" s="15"/>
      <c r="JCG230" s="10"/>
      <c r="JCH230" s="10"/>
      <c r="JCI230" s="21"/>
      <c r="JCJ230" s="21"/>
      <c r="JCM230" s="21"/>
      <c r="JCN230" s="15"/>
      <c r="JCO230" s="15"/>
      <c r="JCP230" s="15"/>
      <c r="JCQ230" s="15"/>
      <c r="JCR230" s="15"/>
      <c r="JCS230" s="15"/>
      <c r="JCT230" s="15"/>
      <c r="JCU230" s="15"/>
      <c r="JCV230" s="15"/>
      <c r="JCW230" s="15"/>
      <c r="JCX230" s="10"/>
      <c r="JCY230" s="10"/>
      <c r="JCZ230" s="21"/>
      <c r="JDA230" s="21"/>
      <c r="JDD230" s="21"/>
      <c r="JDE230" s="15"/>
      <c r="JDF230" s="15"/>
      <c r="JDG230" s="15"/>
      <c r="JDH230" s="15"/>
      <c r="JDI230" s="15"/>
      <c r="JDJ230" s="15"/>
      <c r="JDK230" s="15"/>
      <c r="JDL230" s="15"/>
      <c r="JDM230" s="15"/>
      <c r="JDN230" s="15"/>
      <c r="JDO230" s="10"/>
      <c r="JDP230" s="10"/>
      <c r="JDQ230" s="21"/>
      <c r="JDR230" s="21"/>
      <c r="JDU230" s="21"/>
      <c r="JDV230" s="15"/>
      <c r="JDW230" s="15"/>
      <c r="JDX230" s="15"/>
      <c r="JDY230" s="15"/>
      <c r="JDZ230" s="15"/>
      <c r="JEA230" s="15"/>
      <c r="JEB230" s="15"/>
      <c r="JEC230" s="15"/>
      <c r="JED230" s="15"/>
      <c r="JEE230" s="15"/>
      <c r="JEF230" s="10"/>
      <c r="JEG230" s="10"/>
      <c r="JEH230" s="21"/>
      <c r="JEI230" s="21"/>
      <c r="JEL230" s="21"/>
      <c r="JEM230" s="15"/>
      <c r="JEN230" s="15"/>
      <c r="JEO230" s="15"/>
      <c r="JEP230" s="15"/>
      <c r="JEQ230" s="15"/>
      <c r="JER230" s="15"/>
      <c r="JES230" s="15"/>
      <c r="JET230" s="15"/>
      <c r="JEU230" s="15"/>
      <c r="JEV230" s="15"/>
      <c r="JEW230" s="10"/>
      <c r="JEX230" s="10"/>
      <c r="JEY230" s="21"/>
      <c r="JEZ230" s="21"/>
      <c r="JFC230" s="21"/>
      <c r="JFD230" s="15"/>
      <c r="JFE230" s="15"/>
      <c r="JFF230" s="15"/>
      <c r="JFG230" s="15"/>
      <c r="JFH230" s="15"/>
      <c r="JFI230" s="15"/>
      <c r="JFJ230" s="15"/>
      <c r="JFK230" s="15"/>
      <c r="JFL230" s="15"/>
      <c r="JFM230" s="15"/>
      <c r="JFN230" s="10"/>
      <c r="JFO230" s="10"/>
      <c r="JFP230" s="21"/>
      <c r="JFQ230" s="21"/>
      <c r="JFT230" s="21"/>
      <c r="JFU230" s="15"/>
      <c r="JFV230" s="15"/>
      <c r="JFW230" s="15"/>
      <c r="JFX230" s="15"/>
      <c r="JFY230" s="15"/>
      <c r="JFZ230" s="15"/>
      <c r="JGA230" s="15"/>
      <c r="JGB230" s="15"/>
      <c r="JGC230" s="15"/>
      <c r="JGD230" s="15"/>
      <c r="JGE230" s="10"/>
      <c r="JGF230" s="10"/>
      <c r="JGG230" s="21"/>
      <c r="JGH230" s="21"/>
      <c r="JGK230" s="21"/>
      <c r="JGL230" s="15"/>
      <c r="JGM230" s="15"/>
      <c r="JGN230" s="15"/>
      <c r="JGO230" s="15"/>
      <c r="JGP230" s="15"/>
      <c r="JGQ230" s="15"/>
      <c r="JGR230" s="15"/>
      <c r="JGS230" s="15"/>
      <c r="JGT230" s="15"/>
      <c r="JGU230" s="15"/>
      <c r="JGV230" s="10"/>
      <c r="JGW230" s="10"/>
      <c r="JGX230" s="21"/>
      <c r="JGY230" s="21"/>
      <c r="JHB230" s="21"/>
      <c r="JHC230" s="15"/>
      <c r="JHD230" s="15"/>
      <c r="JHE230" s="15"/>
      <c r="JHF230" s="15"/>
      <c r="JHG230" s="15"/>
      <c r="JHH230" s="15"/>
      <c r="JHI230" s="15"/>
      <c r="JHJ230" s="15"/>
      <c r="JHK230" s="15"/>
      <c r="JHL230" s="15"/>
      <c r="JHM230" s="10"/>
      <c r="JHN230" s="10"/>
      <c r="JHO230" s="21"/>
      <c r="JHP230" s="21"/>
      <c r="JHS230" s="21"/>
      <c r="JHT230" s="15"/>
      <c r="JHU230" s="15"/>
      <c r="JHV230" s="15"/>
      <c r="JHW230" s="15"/>
      <c r="JHX230" s="15"/>
      <c r="JHY230" s="15"/>
      <c r="JHZ230" s="15"/>
      <c r="JIA230" s="15"/>
      <c r="JIB230" s="15"/>
      <c r="JIC230" s="15"/>
      <c r="JID230" s="10"/>
      <c r="JIE230" s="10"/>
      <c r="JIF230" s="21"/>
      <c r="JIG230" s="21"/>
      <c r="JIJ230" s="21"/>
      <c r="JIK230" s="15"/>
      <c r="JIL230" s="15"/>
      <c r="JIM230" s="15"/>
      <c r="JIN230" s="15"/>
      <c r="JIO230" s="15"/>
      <c r="JIP230" s="15"/>
      <c r="JIQ230" s="15"/>
      <c r="JIR230" s="15"/>
      <c r="JIS230" s="15"/>
      <c r="JIT230" s="15"/>
      <c r="JIU230" s="10"/>
      <c r="JIV230" s="10"/>
      <c r="JIW230" s="21"/>
      <c r="JIX230" s="21"/>
      <c r="JJA230" s="21"/>
      <c r="JJB230" s="15"/>
      <c r="JJC230" s="15"/>
      <c r="JJD230" s="15"/>
      <c r="JJE230" s="15"/>
      <c r="JJF230" s="15"/>
      <c r="JJG230" s="15"/>
      <c r="JJH230" s="15"/>
      <c r="JJI230" s="15"/>
      <c r="JJJ230" s="15"/>
      <c r="JJK230" s="15"/>
      <c r="JJL230" s="10"/>
      <c r="JJM230" s="10"/>
      <c r="JJN230" s="21"/>
      <c r="JJO230" s="21"/>
      <c r="JJR230" s="21"/>
      <c r="JJS230" s="15"/>
      <c r="JJT230" s="15"/>
      <c r="JJU230" s="15"/>
      <c r="JJV230" s="15"/>
      <c r="JJW230" s="15"/>
      <c r="JJX230" s="15"/>
      <c r="JJY230" s="15"/>
      <c r="JJZ230" s="15"/>
      <c r="JKA230" s="15"/>
      <c r="JKB230" s="15"/>
      <c r="JKC230" s="10"/>
      <c r="JKD230" s="10"/>
      <c r="JKE230" s="21"/>
      <c r="JKF230" s="21"/>
      <c r="JKI230" s="21"/>
      <c r="JKJ230" s="15"/>
      <c r="JKK230" s="15"/>
      <c r="JKL230" s="15"/>
      <c r="JKM230" s="15"/>
      <c r="JKN230" s="15"/>
      <c r="JKO230" s="15"/>
      <c r="JKP230" s="15"/>
      <c r="JKQ230" s="15"/>
      <c r="JKR230" s="15"/>
      <c r="JKS230" s="15"/>
      <c r="JKT230" s="10"/>
      <c r="JKU230" s="10"/>
      <c r="JKV230" s="21"/>
      <c r="JKW230" s="21"/>
      <c r="JKZ230" s="21"/>
      <c r="JLA230" s="15"/>
      <c r="JLB230" s="15"/>
      <c r="JLC230" s="15"/>
      <c r="JLD230" s="15"/>
      <c r="JLE230" s="15"/>
      <c r="JLF230" s="15"/>
      <c r="JLG230" s="15"/>
      <c r="JLH230" s="15"/>
      <c r="JLI230" s="15"/>
      <c r="JLJ230" s="15"/>
      <c r="JLK230" s="10"/>
      <c r="JLL230" s="10"/>
      <c r="JLM230" s="21"/>
      <c r="JLN230" s="21"/>
      <c r="JLQ230" s="21"/>
      <c r="JLR230" s="15"/>
      <c r="JLS230" s="15"/>
      <c r="JLT230" s="15"/>
      <c r="JLU230" s="15"/>
      <c r="JLV230" s="15"/>
      <c r="JLW230" s="15"/>
      <c r="JLX230" s="15"/>
      <c r="JLY230" s="15"/>
      <c r="JLZ230" s="15"/>
      <c r="JMA230" s="15"/>
      <c r="JMB230" s="10"/>
      <c r="JMC230" s="10"/>
      <c r="JMD230" s="21"/>
      <c r="JME230" s="21"/>
      <c r="JMH230" s="21"/>
      <c r="JMI230" s="15"/>
      <c r="JMJ230" s="15"/>
      <c r="JMK230" s="15"/>
      <c r="JML230" s="15"/>
      <c r="JMM230" s="15"/>
      <c r="JMN230" s="15"/>
      <c r="JMO230" s="15"/>
      <c r="JMP230" s="15"/>
      <c r="JMQ230" s="15"/>
      <c r="JMR230" s="15"/>
      <c r="JMS230" s="10"/>
      <c r="JMT230" s="10"/>
      <c r="JMU230" s="21"/>
      <c r="JMV230" s="21"/>
      <c r="JMY230" s="21"/>
      <c r="JMZ230" s="15"/>
      <c r="JNA230" s="15"/>
      <c r="JNB230" s="15"/>
      <c r="JNC230" s="15"/>
      <c r="JND230" s="15"/>
      <c r="JNE230" s="15"/>
      <c r="JNF230" s="15"/>
      <c r="JNG230" s="15"/>
      <c r="JNH230" s="15"/>
      <c r="JNI230" s="15"/>
      <c r="JNJ230" s="10"/>
      <c r="JNK230" s="10"/>
      <c r="JNL230" s="21"/>
      <c r="JNM230" s="21"/>
      <c r="JNP230" s="21"/>
      <c r="JNQ230" s="15"/>
      <c r="JNR230" s="15"/>
      <c r="JNS230" s="15"/>
      <c r="JNT230" s="15"/>
      <c r="JNU230" s="15"/>
      <c r="JNV230" s="15"/>
      <c r="JNW230" s="15"/>
      <c r="JNX230" s="15"/>
      <c r="JNY230" s="15"/>
      <c r="JNZ230" s="15"/>
      <c r="JOA230" s="10"/>
      <c r="JOB230" s="10"/>
      <c r="JOC230" s="21"/>
      <c r="JOD230" s="21"/>
      <c r="JOG230" s="21"/>
      <c r="JOH230" s="15"/>
      <c r="JOI230" s="15"/>
      <c r="JOJ230" s="15"/>
      <c r="JOK230" s="15"/>
      <c r="JOL230" s="15"/>
      <c r="JOM230" s="15"/>
      <c r="JON230" s="15"/>
      <c r="JOO230" s="15"/>
      <c r="JOP230" s="15"/>
      <c r="JOQ230" s="15"/>
      <c r="JOR230" s="10"/>
      <c r="JOS230" s="10"/>
      <c r="JOT230" s="21"/>
      <c r="JOU230" s="21"/>
      <c r="JOX230" s="21"/>
      <c r="JOY230" s="15"/>
      <c r="JOZ230" s="15"/>
      <c r="JPA230" s="15"/>
      <c r="JPB230" s="15"/>
      <c r="JPC230" s="15"/>
      <c r="JPD230" s="15"/>
      <c r="JPE230" s="15"/>
      <c r="JPF230" s="15"/>
      <c r="JPG230" s="15"/>
      <c r="JPH230" s="15"/>
      <c r="JPI230" s="10"/>
      <c r="JPJ230" s="10"/>
      <c r="JPK230" s="21"/>
      <c r="JPL230" s="21"/>
      <c r="JPO230" s="21"/>
      <c r="JPP230" s="15"/>
      <c r="JPQ230" s="15"/>
      <c r="JPR230" s="15"/>
      <c r="JPS230" s="15"/>
      <c r="JPT230" s="15"/>
      <c r="JPU230" s="15"/>
      <c r="JPV230" s="15"/>
      <c r="JPW230" s="15"/>
      <c r="JPX230" s="15"/>
      <c r="JPY230" s="15"/>
      <c r="JPZ230" s="10"/>
      <c r="JQA230" s="10"/>
      <c r="JQB230" s="21"/>
      <c r="JQC230" s="21"/>
      <c r="JQF230" s="21"/>
      <c r="JQG230" s="15"/>
      <c r="JQH230" s="15"/>
      <c r="JQI230" s="15"/>
      <c r="JQJ230" s="15"/>
      <c r="JQK230" s="15"/>
      <c r="JQL230" s="15"/>
      <c r="JQM230" s="15"/>
      <c r="JQN230" s="15"/>
      <c r="JQO230" s="15"/>
      <c r="JQP230" s="15"/>
      <c r="JQQ230" s="10"/>
      <c r="JQR230" s="10"/>
      <c r="JQS230" s="21"/>
      <c r="JQT230" s="21"/>
      <c r="JQW230" s="21"/>
      <c r="JQX230" s="15"/>
      <c r="JQY230" s="15"/>
      <c r="JQZ230" s="15"/>
      <c r="JRA230" s="15"/>
      <c r="JRB230" s="15"/>
      <c r="JRC230" s="15"/>
      <c r="JRD230" s="15"/>
      <c r="JRE230" s="15"/>
      <c r="JRF230" s="15"/>
      <c r="JRG230" s="15"/>
      <c r="JRH230" s="10"/>
      <c r="JRI230" s="10"/>
      <c r="JRJ230" s="21"/>
      <c r="JRK230" s="21"/>
      <c r="JRN230" s="21"/>
      <c r="JRO230" s="15"/>
      <c r="JRP230" s="15"/>
      <c r="JRQ230" s="15"/>
      <c r="JRR230" s="15"/>
      <c r="JRS230" s="15"/>
      <c r="JRT230" s="15"/>
      <c r="JRU230" s="15"/>
      <c r="JRV230" s="15"/>
      <c r="JRW230" s="15"/>
      <c r="JRX230" s="15"/>
      <c r="JRY230" s="10"/>
      <c r="JRZ230" s="10"/>
      <c r="JSA230" s="21"/>
      <c r="JSB230" s="21"/>
      <c r="JSE230" s="21"/>
      <c r="JSF230" s="15"/>
      <c r="JSG230" s="15"/>
      <c r="JSH230" s="15"/>
      <c r="JSI230" s="15"/>
      <c r="JSJ230" s="15"/>
      <c r="JSK230" s="15"/>
      <c r="JSL230" s="15"/>
      <c r="JSM230" s="15"/>
      <c r="JSN230" s="15"/>
      <c r="JSO230" s="15"/>
      <c r="JSP230" s="10"/>
      <c r="JSQ230" s="10"/>
      <c r="JSR230" s="21"/>
      <c r="JSS230" s="21"/>
      <c r="JSV230" s="21"/>
      <c r="JSW230" s="15"/>
      <c r="JSX230" s="15"/>
      <c r="JSY230" s="15"/>
      <c r="JSZ230" s="15"/>
      <c r="JTA230" s="15"/>
      <c r="JTB230" s="15"/>
      <c r="JTC230" s="15"/>
      <c r="JTD230" s="15"/>
      <c r="JTE230" s="15"/>
      <c r="JTF230" s="15"/>
      <c r="JTG230" s="10"/>
      <c r="JTH230" s="10"/>
      <c r="JTI230" s="21"/>
      <c r="JTJ230" s="21"/>
      <c r="JTM230" s="21"/>
      <c r="JTN230" s="15"/>
      <c r="JTO230" s="15"/>
      <c r="JTP230" s="15"/>
      <c r="JTQ230" s="15"/>
      <c r="JTR230" s="15"/>
      <c r="JTS230" s="15"/>
      <c r="JTT230" s="15"/>
      <c r="JTU230" s="15"/>
      <c r="JTV230" s="15"/>
      <c r="JTW230" s="15"/>
      <c r="JTX230" s="10"/>
      <c r="JTY230" s="10"/>
      <c r="JTZ230" s="21"/>
      <c r="JUA230" s="21"/>
      <c r="JUD230" s="21"/>
      <c r="JUE230" s="15"/>
      <c r="JUF230" s="15"/>
      <c r="JUG230" s="15"/>
      <c r="JUH230" s="15"/>
      <c r="JUI230" s="15"/>
      <c r="JUJ230" s="15"/>
      <c r="JUK230" s="15"/>
      <c r="JUL230" s="15"/>
      <c r="JUM230" s="15"/>
      <c r="JUN230" s="15"/>
      <c r="JUO230" s="10"/>
      <c r="JUP230" s="10"/>
      <c r="JUQ230" s="21"/>
      <c r="JUR230" s="21"/>
      <c r="JUU230" s="21"/>
      <c r="JUV230" s="15"/>
      <c r="JUW230" s="15"/>
      <c r="JUX230" s="15"/>
      <c r="JUY230" s="15"/>
      <c r="JUZ230" s="15"/>
      <c r="JVA230" s="15"/>
      <c r="JVB230" s="15"/>
      <c r="JVC230" s="15"/>
      <c r="JVD230" s="15"/>
      <c r="JVE230" s="15"/>
      <c r="JVF230" s="10"/>
      <c r="JVG230" s="10"/>
      <c r="JVH230" s="21"/>
      <c r="JVI230" s="21"/>
      <c r="JVL230" s="21"/>
      <c r="JVM230" s="15"/>
      <c r="JVN230" s="15"/>
      <c r="JVO230" s="15"/>
      <c r="JVP230" s="15"/>
      <c r="JVQ230" s="15"/>
      <c r="JVR230" s="15"/>
      <c r="JVS230" s="15"/>
      <c r="JVT230" s="15"/>
      <c r="JVU230" s="15"/>
      <c r="JVV230" s="15"/>
      <c r="JVW230" s="10"/>
      <c r="JVX230" s="10"/>
      <c r="JVY230" s="21"/>
      <c r="JVZ230" s="21"/>
      <c r="JWC230" s="21"/>
      <c r="JWD230" s="15"/>
      <c r="JWE230" s="15"/>
      <c r="JWF230" s="15"/>
      <c r="JWG230" s="15"/>
      <c r="JWH230" s="15"/>
      <c r="JWI230" s="15"/>
      <c r="JWJ230" s="15"/>
      <c r="JWK230" s="15"/>
      <c r="JWL230" s="15"/>
      <c r="JWM230" s="15"/>
      <c r="JWN230" s="10"/>
      <c r="JWO230" s="10"/>
      <c r="JWP230" s="21"/>
      <c r="JWQ230" s="21"/>
      <c r="JWT230" s="21"/>
      <c r="JWU230" s="15"/>
      <c r="JWV230" s="15"/>
      <c r="JWW230" s="15"/>
      <c r="JWX230" s="15"/>
      <c r="JWY230" s="15"/>
      <c r="JWZ230" s="15"/>
      <c r="JXA230" s="15"/>
      <c r="JXB230" s="15"/>
      <c r="JXC230" s="15"/>
      <c r="JXD230" s="15"/>
      <c r="JXE230" s="10"/>
      <c r="JXF230" s="10"/>
      <c r="JXG230" s="21"/>
      <c r="JXH230" s="21"/>
      <c r="JXK230" s="21"/>
      <c r="JXL230" s="15"/>
      <c r="JXM230" s="15"/>
      <c r="JXN230" s="15"/>
      <c r="JXO230" s="15"/>
      <c r="JXP230" s="15"/>
      <c r="JXQ230" s="15"/>
      <c r="JXR230" s="15"/>
      <c r="JXS230" s="15"/>
      <c r="JXT230" s="15"/>
      <c r="JXU230" s="15"/>
      <c r="JXV230" s="10"/>
      <c r="JXW230" s="10"/>
      <c r="JXX230" s="21"/>
      <c r="JXY230" s="21"/>
      <c r="JYB230" s="21"/>
      <c r="JYC230" s="15"/>
      <c r="JYD230" s="15"/>
      <c r="JYE230" s="15"/>
      <c r="JYF230" s="15"/>
      <c r="JYG230" s="15"/>
      <c r="JYH230" s="15"/>
      <c r="JYI230" s="15"/>
      <c r="JYJ230" s="15"/>
      <c r="JYK230" s="15"/>
      <c r="JYL230" s="15"/>
      <c r="JYM230" s="10"/>
      <c r="JYN230" s="10"/>
      <c r="JYO230" s="21"/>
      <c r="JYP230" s="21"/>
      <c r="JYS230" s="21"/>
      <c r="JYT230" s="15"/>
      <c r="JYU230" s="15"/>
      <c r="JYV230" s="15"/>
      <c r="JYW230" s="15"/>
      <c r="JYX230" s="15"/>
      <c r="JYY230" s="15"/>
      <c r="JYZ230" s="15"/>
      <c r="JZA230" s="15"/>
      <c r="JZB230" s="15"/>
      <c r="JZC230" s="15"/>
      <c r="JZD230" s="10"/>
      <c r="JZE230" s="10"/>
      <c r="JZF230" s="21"/>
      <c r="JZG230" s="21"/>
      <c r="JZJ230" s="21"/>
      <c r="JZK230" s="15"/>
      <c r="JZL230" s="15"/>
      <c r="JZM230" s="15"/>
      <c r="JZN230" s="15"/>
      <c r="JZO230" s="15"/>
      <c r="JZP230" s="15"/>
      <c r="JZQ230" s="15"/>
      <c r="JZR230" s="15"/>
      <c r="JZS230" s="15"/>
      <c r="JZT230" s="15"/>
      <c r="JZU230" s="10"/>
      <c r="JZV230" s="10"/>
      <c r="JZW230" s="21"/>
      <c r="JZX230" s="21"/>
      <c r="KAA230" s="21"/>
      <c r="KAB230" s="15"/>
      <c r="KAC230" s="15"/>
      <c r="KAD230" s="15"/>
      <c r="KAE230" s="15"/>
      <c r="KAF230" s="15"/>
      <c r="KAG230" s="15"/>
      <c r="KAH230" s="15"/>
      <c r="KAI230" s="15"/>
      <c r="KAJ230" s="15"/>
      <c r="KAK230" s="15"/>
      <c r="KAL230" s="10"/>
      <c r="KAM230" s="10"/>
      <c r="KAN230" s="21"/>
      <c r="KAO230" s="21"/>
      <c r="KAR230" s="21"/>
      <c r="KAS230" s="15"/>
      <c r="KAT230" s="15"/>
      <c r="KAU230" s="15"/>
      <c r="KAV230" s="15"/>
      <c r="KAW230" s="15"/>
      <c r="KAX230" s="15"/>
      <c r="KAY230" s="15"/>
      <c r="KAZ230" s="15"/>
      <c r="KBA230" s="15"/>
      <c r="KBB230" s="15"/>
      <c r="KBC230" s="10"/>
      <c r="KBD230" s="10"/>
      <c r="KBE230" s="21"/>
      <c r="KBF230" s="21"/>
      <c r="KBI230" s="21"/>
      <c r="KBJ230" s="15"/>
      <c r="KBK230" s="15"/>
      <c r="KBL230" s="15"/>
      <c r="KBM230" s="15"/>
      <c r="KBN230" s="15"/>
      <c r="KBO230" s="15"/>
      <c r="KBP230" s="15"/>
      <c r="KBQ230" s="15"/>
      <c r="KBR230" s="15"/>
      <c r="KBS230" s="15"/>
      <c r="KBT230" s="10"/>
      <c r="KBU230" s="10"/>
      <c r="KBV230" s="21"/>
      <c r="KBW230" s="21"/>
      <c r="KBZ230" s="21"/>
      <c r="KCA230" s="15"/>
      <c r="KCB230" s="15"/>
      <c r="KCC230" s="15"/>
      <c r="KCD230" s="15"/>
      <c r="KCE230" s="15"/>
      <c r="KCF230" s="15"/>
      <c r="KCG230" s="15"/>
      <c r="KCH230" s="15"/>
      <c r="KCI230" s="15"/>
      <c r="KCJ230" s="15"/>
      <c r="KCK230" s="10"/>
      <c r="KCL230" s="10"/>
      <c r="KCM230" s="21"/>
      <c r="KCN230" s="21"/>
      <c r="KCQ230" s="21"/>
      <c r="KCR230" s="15"/>
      <c r="KCS230" s="15"/>
      <c r="KCT230" s="15"/>
      <c r="KCU230" s="15"/>
      <c r="KCV230" s="15"/>
      <c r="KCW230" s="15"/>
      <c r="KCX230" s="15"/>
      <c r="KCY230" s="15"/>
      <c r="KCZ230" s="15"/>
      <c r="KDA230" s="15"/>
      <c r="KDB230" s="10"/>
      <c r="KDC230" s="10"/>
      <c r="KDD230" s="21"/>
      <c r="KDE230" s="21"/>
      <c r="KDH230" s="21"/>
      <c r="KDI230" s="15"/>
      <c r="KDJ230" s="15"/>
      <c r="KDK230" s="15"/>
      <c r="KDL230" s="15"/>
      <c r="KDM230" s="15"/>
      <c r="KDN230" s="15"/>
      <c r="KDO230" s="15"/>
      <c r="KDP230" s="15"/>
      <c r="KDQ230" s="15"/>
      <c r="KDR230" s="15"/>
      <c r="KDS230" s="10"/>
      <c r="KDT230" s="10"/>
      <c r="KDU230" s="21"/>
      <c r="KDV230" s="21"/>
      <c r="KDY230" s="21"/>
      <c r="KDZ230" s="15"/>
      <c r="KEA230" s="15"/>
      <c r="KEB230" s="15"/>
      <c r="KEC230" s="15"/>
      <c r="KED230" s="15"/>
      <c r="KEE230" s="15"/>
      <c r="KEF230" s="15"/>
      <c r="KEG230" s="15"/>
      <c r="KEH230" s="15"/>
      <c r="KEI230" s="15"/>
      <c r="KEJ230" s="10"/>
      <c r="KEK230" s="10"/>
      <c r="KEL230" s="21"/>
      <c r="KEM230" s="21"/>
      <c r="KEP230" s="21"/>
      <c r="KEQ230" s="15"/>
      <c r="KER230" s="15"/>
      <c r="KES230" s="15"/>
      <c r="KET230" s="15"/>
      <c r="KEU230" s="15"/>
      <c r="KEV230" s="15"/>
      <c r="KEW230" s="15"/>
      <c r="KEX230" s="15"/>
      <c r="KEY230" s="15"/>
      <c r="KEZ230" s="15"/>
      <c r="KFA230" s="10"/>
      <c r="KFB230" s="10"/>
      <c r="KFC230" s="21"/>
      <c r="KFD230" s="21"/>
      <c r="KFG230" s="21"/>
      <c r="KFH230" s="15"/>
      <c r="KFI230" s="15"/>
      <c r="KFJ230" s="15"/>
      <c r="KFK230" s="15"/>
      <c r="KFL230" s="15"/>
      <c r="KFM230" s="15"/>
      <c r="KFN230" s="15"/>
      <c r="KFO230" s="15"/>
      <c r="KFP230" s="15"/>
      <c r="KFQ230" s="15"/>
      <c r="KFR230" s="10"/>
      <c r="KFS230" s="10"/>
      <c r="KFT230" s="21"/>
      <c r="KFU230" s="21"/>
      <c r="KFX230" s="21"/>
      <c r="KFY230" s="15"/>
      <c r="KFZ230" s="15"/>
      <c r="KGA230" s="15"/>
      <c r="KGB230" s="15"/>
      <c r="KGC230" s="15"/>
      <c r="KGD230" s="15"/>
      <c r="KGE230" s="15"/>
      <c r="KGF230" s="15"/>
      <c r="KGG230" s="15"/>
      <c r="KGH230" s="15"/>
      <c r="KGI230" s="10"/>
      <c r="KGJ230" s="10"/>
      <c r="KGK230" s="21"/>
      <c r="KGL230" s="21"/>
      <c r="KGO230" s="21"/>
      <c r="KGP230" s="15"/>
      <c r="KGQ230" s="15"/>
      <c r="KGR230" s="15"/>
      <c r="KGS230" s="15"/>
      <c r="KGT230" s="15"/>
      <c r="KGU230" s="15"/>
      <c r="KGV230" s="15"/>
      <c r="KGW230" s="15"/>
      <c r="KGX230" s="15"/>
      <c r="KGY230" s="15"/>
      <c r="KGZ230" s="10"/>
      <c r="KHA230" s="10"/>
      <c r="KHB230" s="21"/>
      <c r="KHC230" s="21"/>
      <c r="KHF230" s="21"/>
      <c r="KHG230" s="15"/>
      <c r="KHH230" s="15"/>
      <c r="KHI230" s="15"/>
      <c r="KHJ230" s="15"/>
      <c r="KHK230" s="15"/>
      <c r="KHL230" s="15"/>
      <c r="KHM230" s="15"/>
      <c r="KHN230" s="15"/>
      <c r="KHO230" s="15"/>
      <c r="KHP230" s="15"/>
      <c r="KHQ230" s="10"/>
      <c r="KHR230" s="10"/>
      <c r="KHS230" s="21"/>
      <c r="KHT230" s="21"/>
      <c r="KHW230" s="21"/>
      <c r="KHX230" s="15"/>
      <c r="KHY230" s="15"/>
      <c r="KHZ230" s="15"/>
      <c r="KIA230" s="15"/>
      <c r="KIB230" s="15"/>
      <c r="KIC230" s="15"/>
      <c r="KID230" s="15"/>
      <c r="KIE230" s="15"/>
      <c r="KIF230" s="15"/>
      <c r="KIG230" s="15"/>
      <c r="KIH230" s="10"/>
      <c r="KII230" s="10"/>
      <c r="KIJ230" s="21"/>
      <c r="KIK230" s="21"/>
      <c r="KIN230" s="21"/>
      <c r="KIO230" s="15"/>
      <c r="KIP230" s="15"/>
      <c r="KIQ230" s="15"/>
      <c r="KIR230" s="15"/>
      <c r="KIS230" s="15"/>
      <c r="KIT230" s="15"/>
      <c r="KIU230" s="15"/>
      <c r="KIV230" s="15"/>
      <c r="KIW230" s="15"/>
      <c r="KIX230" s="15"/>
      <c r="KIY230" s="10"/>
      <c r="KIZ230" s="10"/>
      <c r="KJA230" s="21"/>
      <c r="KJB230" s="21"/>
      <c r="KJE230" s="21"/>
      <c r="KJF230" s="15"/>
      <c r="KJG230" s="15"/>
      <c r="KJH230" s="15"/>
      <c r="KJI230" s="15"/>
      <c r="KJJ230" s="15"/>
      <c r="KJK230" s="15"/>
      <c r="KJL230" s="15"/>
      <c r="KJM230" s="15"/>
      <c r="KJN230" s="15"/>
      <c r="KJO230" s="15"/>
      <c r="KJP230" s="10"/>
      <c r="KJQ230" s="10"/>
      <c r="KJR230" s="21"/>
      <c r="KJS230" s="21"/>
      <c r="KJV230" s="21"/>
      <c r="KJW230" s="15"/>
      <c r="KJX230" s="15"/>
      <c r="KJY230" s="15"/>
      <c r="KJZ230" s="15"/>
      <c r="KKA230" s="15"/>
      <c r="KKB230" s="15"/>
      <c r="KKC230" s="15"/>
      <c r="KKD230" s="15"/>
      <c r="KKE230" s="15"/>
      <c r="KKF230" s="15"/>
      <c r="KKG230" s="10"/>
      <c r="KKH230" s="10"/>
      <c r="KKI230" s="21"/>
      <c r="KKJ230" s="21"/>
      <c r="KKM230" s="21"/>
      <c r="KKN230" s="15"/>
      <c r="KKO230" s="15"/>
      <c r="KKP230" s="15"/>
      <c r="KKQ230" s="15"/>
      <c r="KKR230" s="15"/>
      <c r="KKS230" s="15"/>
      <c r="KKT230" s="15"/>
      <c r="KKU230" s="15"/>
      <c r="KKV230" s="15"/>
      <c r="KKW230" s="15"/>
      <c r="KKX230" s="10"/>
      <c r="KKY230" s="10"/>
      <c r="KKZ230" s="21"/>
      <c r="KLA230" s="21"/>
      <c r="KLD230" s="21"/>
      <c r="KLE230" s="15"/>
      <c r="KLF230" s="15"/>
      <c r="KLG230" s="15"/>
      <c r="KLH230" s="15"/>
      <c r="KLI230" s="15"/>
      <c r="KLJ230" s="15"/>
      <c r="KLK230" s="15"/>
      <c r="KLL230" s="15"/>
      <c r="KLM230" s="15"/>
      <c r="KLN230" s="15"/>
      <c r="KLO230" s="10"/>
      <c r="KLP230" s="10"/>
      <c r="KLQ230" s="21"/>
      <c r="KLR230" s="21"/>
      <c r="KLU230" s="21"/>
      <c r="KLV230" s="15"/>
      <c r="KLW230" s="15"/>
      <c r="KLX230" s="15"/>
      <c r="KLY230" s="15"/>
      <c r="KLZ230" s="15"/>
      <c r="KMA230" s="15"/>
      <c r="KMB230" s="15"/>
      <c r="KMC230" s="15"/>
      <c r="KMD230" s="15"/>
      <c r="KME230" s="15"/>
      <c r="KMF230" s="10"/>
      <c r="KMG230" s="10"/>
      <c r="KMH230" s="21"/>
      <c r="KMI230" s="21"/>
      <c r="KML230" s="21"/>
      <c r="KMM230" s="15"/>
      <c r="KMN230" s="15"/>
      <c r="KMO230" s="15"/>
      <c r="KMP230" s="15"/>
      <c r="KMQ230" s="15"/>
      <c r="KMR230" s="15"/>
      <c r="KMS230" s="15"/>
      <c r="KMT230" s="15"/>
      <c r="KMU230" s="15"/>
      <c r="KMV230" s="15"/>
      <c r="KMW230" s="10"/>
      <c r="KMX230" s="10"/>
      <c r="KMY230" s="21"/>
      <c r="KMZ230" s="21"/>
      <c r="KNC230" s="21"/>
      <c r="KND230" s="15"/>
      <c r="KNE230" s="15"/>
      <c r="KNF230" s="15"/>
      <c r="KNG230" s="15"/>
      <c r="KNH230" s="15"/>
      <c r="KNI230" s="15"/>
      <c r="KNJ230" s="15"/>
      <c r="KNK230" s="15"/>
      <c r="KNL230" s="15"/>
      <c r="KNM230" s="15"/>
      <c r="KNN230" s="10"/>
      <c r="KNO230" s="10"/>
      <c r="KNP230" s="21"/>
      <c r="KNQ230" s="21"/>
      <c r="KNT230" s="21"/>
      <c r="KNU230" s="15"/>
      <c r="KNV230" s="15"/>
      <c r="KNW230" s="15"/>
      <c r="KNX230" s="15"/>
      <c r="KNY230" s="15"/>
      <c r="KNZ230" s="15"/>
      <c r="KOA230" s="15"/>
      <c r="KOB230" s="15"/>
      <c r="KOC230" s="15"/>
      <c r="KOD230" s="15"/>
      <c r="KOE230" s="10"/>
      <c r="KOF230" s="10"/>
      <c r="KOG230" s="21"/>
      <c r="KOH230" s="21"/>
      <c r="KOK230" s="21"/>
      <c r="KOL230" s="15"/>
      <c r="KOM230" s="15"/>
      <c r="KON230" s="15"/>
      <c r="KOO230" s="15"/>
      <c r="KOP230" s="15"/>
      <c r="KOQ230" s="15"/>
      <c r="KOR230" s="15"/>
      <c r="KOS230" s="15"/>
      <c r="KOT230" s="15"/>
      <c r="KOU230" s="15"/>
      <c r="KOV230" s="10"/>
      <c r="KOW230" s="10"/>
      <c r="KOX230" s="21"/>
      <c r="KOY230" s="21"/>
      <c r="KPB230" s="21"/>
      <c r="KPC230" s="15"/>
      <c r="KPD230" s="15"/>
      <c r="KPE230" s="15"/>
      <c r="KPF230" s="15"/>
      <c r="KPG230" s="15"/>
      <c r="KPH230" s="15"/>
      <c r="KPI230" s="15"/>
      <c r="KPJ230" s="15"/>
      <c r="KPK230" s="15"/>
      <c r="KPL230" s="15"/>
      <c r="KPM230" s="10"/>
      <c r="KPN230" s="10"/>
      <c r="KPO230" s="21"/>
      <c r="KPP230" s="21"/>
      <c r="KPS230" s="21"/>
      <c r="KPT230" s="15"/>
      <c r="KPU230" s="15"/>
      <c r="KPV230" s="15"/>
      <c r="KPW230" s="15"/>
      <c r="KPX230" s="15"/>
      <c r="KPY230" s="15"/>
      <c r="KPZ230" s="15"/>
      <c r="KQA230" s="15"/>
      <c r="KQB230" s="15"/>
      <c r="KQC230" s="15"/>
      <c r="KQD230" s="10"/>
      <c r="KQE230" s="10"/>
      <c r="KQF230" s="21"/>
      <c r="KQG230" s="21"/>
      <c r="KQJ230" s="21"/>
      <c r="KQK230" s="15"/>
      <c r="KQL230" s="15"/>
      <c r="KQM230" s="15"/>
      <c r="KQN230" s="15"/>
      <c r="KQO230" s="15"/>
      <c r="KQP230" s="15"/>
      <c r="KQQ230" s="15"/>
      <c r="KQR230" s="15"/>
      <c r="KQS230" s="15"/>
      <c r="KQT230" s="15"/>
      <c r="KQU230" s="10"/>
      <c r="KQV230" s="10"/>
      <c r="KQW230" s="21"/>
      <c r="KQX230" s="21"/>
      <c r="KRA230" s="21"/>
      <c r="KRB230" s="15"/>
      <c r="KRC230" s="15"/>
      <c r="KRD230" s="15"/>
      <c r="KRE230" s="15"/>
      <c r="KRF230" s="15"/>
      <c r="KRG230" s="15"/>
      <c r="KRH230" s="15"/>
      <c r="KRI230" s="15"/>
      <c r="KRJ230" s="15"/>
      <c r="KRK230" s="15"/>
      <c r="KRL230" s="10"/>
      <c r="KRM230" s="10"/>
      <c r="KRN230" s="21"/>
      <c r="KRO230" s="21"/>
      <c r="KRR230" s="21"/>
      <c r="KRS230" s="15"/>
      <c r="KRT230" s="15"/>
      <c r="KRU230" s="15"/>
      <c r="KRV230" s="15"/>
      <c r="KRW230" s="15"/>
      <c r="KRX230" s="15"/>
      <c r="KRY230" s="15"/>
      <c r="KRZ230" s="15"/>
      <c r="KSA230" s="15"/>
      <c r="KSB230" s="15"/>
      <c r="KSC230" s="10"/>
      <c r="KSD230" s="10"/>
      <c r="KSE230" s="21"/>
      <c r="KSF230" s="21"/>
      <c r="KSI230" s="21"/>
      <c r="KSJ230" s="15"/>
      <c r="KSK230" s="15"/>
      <c r="KSL230" s="15"/>
      <c r="KSM230" s="15"/>
      <c r="KSN230" s="15"/>
      <c r="KSO230" s="15"/>
      <c r="KSP230" s="15"/>
      <c r="KSQ230" s="15"/>
      <c r="KSR230" s="15"/>
      <c r="KSS230" s="15"/>
      <c r="KST230" s="10"/>
      <c r="KSU230" s="10"/>
      <c r="KSV230" s="21"/>
      <c r="KSW230" s="21"/>
      <c r="KSZ230" s="21"/>
      <c r="KTA230" s="15"/>
      <c r="KTB230" s="15"/>
      <c r="KTC230" s="15"/>
      <c r="KTD230" s="15"/>
      <c r="KTE230" s="15"/>
      <c r="KTF230" s="15"/>
      <c r="KTG230" s="15"/>
      <c r="KTH230" s="15"/>
      <c r="KTI230" s="15"/>
      <c r="KTJ230" s="15"/>
      <c r="KTK230" s="10"/>
      <c r="KTL230" s="10"/>
      <c r="KTM230" s="21"/>
      <c r="KTN230" s="21"/>
      <c r="KTQ230" s="21"/>
      <c r="KTR230" s="15"/>
      <c r="KTS230" s="15"/>
      <c r="KTT230" s="15"/>
      <c r="KTU230" s="15"/>
      <c r="KTV230" s="15"/>
      <c r="KTW230" s="15"/>
      <c r="KTX230" s="15"/>
      <c r="KTY230" s="15"/>
      <c r="KTZ230" s="15"/>
      <c r="KUA230" s="15"/>
      <c r="KUB230" s="10"/>
      <c r="KUC230" s="10"/>
      <c r="KUD230" s="21"/>
      <c r="KUE230" s="21"/>
      <c r="KUH230" s="21"/>
      <c r="KUI230" s="15"/>
      <c r="KUJ230" s="15"/>
      <c r="KUK230" s="15"/>
      <c r="KUL230" s="15"/>
      <c r="KUM230" s="15"/>
      <c r="KUN230" s="15"/>
      <c r="KUO230" s="15"/>
      <c r="KUP230" s="15"/>
      <c r="KUQ230" s="15"/>
      <c r="KUR230" s="15"/>
      <c r="KUS230" s="10"/>
      <c r="KUT230" s="10"/>
      <c r="KUU230" s="21"/>
      <c r="KUV230" s="21"/>
      <c r="KUY230" s="21"/>
      <c r="KUZ230" s="15"/>
      <c r="KVA230" s="15"/>
      <c r="KVB230" s="15"/>
      <c r="KVC230" s="15"/>
      <c r="KVD230" s="15"/>
      <c r="KVE230" s="15"/>
      <c r="KVF230" s="15"/>
      <c r="KVG230" s="15"/>
      <c r="KVH230" s="15"/>
      <c r="KVI230" s="15"/>
      <c r="KVJ230" s="10"/>
      <c r="KVK230" s="10"/>
      <c r="KVL230" s="21"/>
      <c r="KVM230" s="21"/>
      <c r="KVP230" s="21"/>
      <c r="KVQ230" s="15"/>
      <c r="KVR230" s="15"/>
      <c r="KVS230" s="15"/>
      <c r="KVT230" s="15"/>
      <c r="KVU230" s="15"/>
      <c r="KVV230" s="15"/>
      <c r="KVW230" s="15"/>
      <c r="KVX230" s="15"/>
      <c r="KVY230" s="15"/>
      <c r="KVZ230" s="15"/>
      <c r="KWA230" s="10"/>
      <c r="KWB230" s="10"/>
      <c r="KWC230" s="21"/>
      <c r="KWD230" s="21"/>
      <c r="KWG230" s="21"/>
      <c r="KWH230" s="15"/>
      <c r="KWI230" s="15"/>
      <c r="KWJ230" s="15"/>
      <c r="KWK230" s="15"/>
      <c r="KWL230" s="15"/>
      <c r="KWM230" s="15"/>
      <c r="KWN230" s="15"/>
      <c r="KWO230" s="15"/>
      <c r="KWP230" s="15"/>
      <c r="KWQ230" s="15"/>
      <c r="KWR230" s="10"/>
      <c r="KWS230" s="10"/>
      <c r="KWT230" s="21"/>
      <c r="KWU230" s="21"/>
      <c r="KWX230" s="21"/>
      <c r="KWY230" s="15"/>
      <c r="KWZ230" s="15"/>
      <c r="KXA230" s="15"/>
      <c r="KXB230" s="15"/>
      <c r="KXC230" s="15"/>
      <c r="KXD230" s="15"/>
      <c r="KXE230" s="15"/>
      <c r="KXF230" s="15"/>
      <c r="KXG230" s="15"/>
      <c r="KXH230" s="15"/>
      <c r="KXI230" s="10"/>
      <c r="KXJ230" s="10"/>
      <c r="KXK230" s="21"/>
      <c r="KXL230" s="21"/>
      <c r="KXO230" s="21"/>
      <c r="KXP230" s="15"/>
      <c r="KXQ230" s="15"/>
      <c r="KXR230" s="15"/>
      <c r="KXS230" s="15"/>
      <c r="KXT230" s="15"/>
      <c r="KXU230" s="15"/>
      <c r="KXV230" s="15"/>
      <c r="KXW230" s="15"/>
      <c r="KXX230" s="15"/>
      <c r="KXY230" s="15"/>
      <c r="KXZ230" s="10"/>
      <c r="KYA230" s="10"/>
      <c r="KYB230" s="21"/>
      <c r="KYC230" s="21"/>
      <c r="KYF230" s="21"/>
      <c r="KYG230" s="15"/>
      <c r="KYH230" s="15"/>
      <c r="KYI230" s="15"/>
      <c r="KYJ230" s="15"/>
      <c r="KYK230" s="15"/>
      <c r="KYL230" s="15"/>
      <c r="KYM230" s="15"/>
      <c r="KYN230" s="15"/>
      <c r="KYO230" s="15"/>
      <c r="KYP230" s="15"/>
      <c r="KYQ230" s="10"/>
      <c r="KYR230" s="10"/>
      <c r="KYS230" s="21"/>
      <c r="KYT230" s="21"/>
      <c r="KYW230" s="21"/>
      <c r="KYX230" s="15"/>
      <c r="KYY230" s="15"/>
      <c r="KYZ230" s="15"/>
      <c r="KZA230" s="15"/>
      <c r="KZB230" s="15"/>
      <c r="KZC230" s="15"/>
      <c r="KZD230" s="15"/>
      <c r="KZE230" s="15"/>
      <c r="KZF230" s="15"/>
      <c r="KZG230" s="15"/>
      <c r="KZH230" s="10"/>
      <c r="KZI230" s="10"/>
      <c r="KZJ230" s="21"/>
      <c r="KZK230" s="21"/>
      <c r="KZN230" s="21"/>
      <c r="KZO230" s="15"/>
      <c r="KZP230" s="15"/>
      <c r="KZQ230" s="15"/>
      <c r="KZR230" s="15"/>
      <c r="KZS230" s="15"/>
      <c r="KZT230" s="15"/>
      <c r="KZU230" s="15"/>
      <c r="KZV230" s="15"/>
      <c r="KZW230" s="15"/>
      <c r="KZX230" s="15"/>
      <c r="KZY230" s="10"/>
      <c r="KZZ230" s="10"/>
      <c r="LAA230" s="21"/>
      <c r="LAB230" s="21"/>
      <c r="LAE230" s="21"/>
      <c r="LAF230" s="15"/>
      <c r="LAG230" s="15"/>
      <c r="LAH230" s="15"/>
      <c r="LAI230" s="15"/>
      <c r="LAJ230" s="15"/>
      <c r="LAK230" s="15"/>
      <c r="LAL230" s="15"/>
      <c r="LAM230" s="15"/>
      <c r="LAN230" s="15"/>
      <c r="LAO230" s="15"/>
      <c r="LAP230" s="10"/>
      <c r="LAQ230" s="10"/>
      <c r="LAR230" s="21"/>
      <c r="LAS230" s="21"/>
      <c r="LAV230" s="21"/>
      <c r="LAW230" s="15"/>
      <c r="LAX230" s="15"/>
      <c r="LAY230" s="15"/>
      <c r="LAZ230" s="15"/>
      <c r="LBA230" s="15"/>
      <c r="LBB230" s="15"/>
      <c r="LBC230" s="15"/>
      <c r="LBD230" s="15"/>
      <c r="LBE230" s="15"/>
      <c r="LBF230" s="15"/>
      <c r="LBG230" s="10"/>
      <c r="LBH230" s="10"/>
      <c r="LBI230" s="21"/>
      <c r="LBJ230" s="21"/>
      <c r="LBM230" s="21"/>
      <c r="LBN230" s="15"/>
      <c r="LBO230" s="15"/>
      <c r="LBP230" s="15"/>
      <c r="LBQ230" s="15"/>
      <c r="LBR230" s="15"/>
      <c r="LBS230" s="15"/>
      <c r="LBT230" s="15"/>
      <c r="LBU230" s="15"/>
      <c r="LBV230" s="15"/>
      <c r="LBW230" s="15"/>
      <c r="LBX230" s="10"/>
      <c r="LBY230" s="10"/>
      <c r="LBZ230" s="21"/>
      <c r="LCA230" s="21"/>
      <c r="LCD230" s="21"/>
      <c r="LCE230" s="15"/>
      <c r="LCF230" s="15"/>
      <c r="LCG230" s="15"/>
      <c r="LCH230" s="15"/>
      <c r="LCI230" s="15"/>
      <c r="LCJ230" s="15"/>
      <c r="LCK230" s="15"/>
      <c r="LCL230" s="15"/>
      <c r="LCM230" s="15"/>
      <c r="LCN230" s="15"/>
      <c r="LCO230" s="10"/>
      <c r="LCP230" s="10"/>
      <c r="LCQ230" s="21"/>
      <c r="LCR230" s="21"/>
      <c r="LCU230" s="21"/>
      <c r="LCV230" s="15"/>
      <c r="LCW230" s="15"/>
      <c r="LCX230" s="15"/>
      <c r="LCY230" s="15"/>
      <c r="LCZ230" s="15"/>
      <c r="LDA230" s="15"/>
      <c r="LDB230" s="15"/>
      <c r="LDC230" s="15"/>
      <c r="LDD230" s="15"/>
      <c r="LDE230" s="15"/>
      <c r="LDF230" s="10"/>
      <c r="LDG230" s="10"/>
      <c r="LDH230" s="21"/>
      <c r="LDI230" s="21"/>
      <c r="LDL230" s="21"/>
      <c r="LDM230" s="15"/>
      <c r="LDN230" s="15"/>
      <c r="LDO230" s="15"/>
      <c r="LDP230" s="15"/>
      <c r="LDQ230" s="15"/>
      <c r="LDR230" s="15"/>
      <c r="LDS230" s="15"/>
      <c r="LDT230" s="15"/>
      <c r="LDU230" s="15"/>
      <c r="LDV230" s="15"/>
      <c r="LDW230" s="10"/>
      <c r="LDX230" s="10"/>
      <c r="LDY230" s="21"/>
      <c r="LDZ230" s="21"/>
      <c r="LEC230" s="21"/>
      <c r="LED230" s="15"/>
      <c r="LEE230" s="15"/>
      <c r="LEF230" s="15"/>
      <c r="LEG230" s="15"/>
      <c r="LEH230" s="15"/>
      <c r="LEI230" s="15"/>
      <c r="LEJ230" s="15"/>
      <c r="LEK230" s="15"/>
      <c r="LEL230" s="15"/>
      <c r="LEM230" s="15"/>
      <c r="LEN230" s="10"/>
      <c r="LEO230" s="10"/>
      <c r="LEP230" s="21"/>
      <c r="LEQ230" s="21"/>
      <c r="LET230" s="21"/>
      <c r="LEU230" s="15"/>
      <c r="LEV230" s="15"/>
      <c r="LEW230" s="15"/>
      <c r="LEX230" s="15"/>
      <c r="LEY230" s="15"/>
      <c r="LEZ230" s="15"/>
      <c r="LFA230" s="15"/>
      <c r="LFB230" s="15"/>
      <c r="LFC230" s="15"/>
      <c r="LFD230" s="15"/>
      <c r="LFE230" s="10"/>
      <c r="LFF230" s="10"/>
      <c r="LFG230" s="21"/>
      <c r="LFH230" s="21"/>
      <c r="LFK230" s="21"/>
      <c r="LFL230" s="15"/>
      <c r="LFM230" s="15"/>
      <c r="LFN230" s="15"/>
      <c r="LFO230" s="15"/>
      <c r="LFP230" s="15"/>
      <c r="LFQ230" s="15"/>
      <c r="LFR230" s="15"/>
      <c r="LFS230" s="15"/>
      <c r="LFT230" s="15"/>
      <c r="LFU230" s="15"/>
      <c r="LFV230" s="10"/>
      <c r="LFW230" s="10"/>
      <c r="LFX230" s="21"/>
      <c r="LFY230" s="21"/>
      <c r="LGB230" s="21"/>
      <c r="LGC230" s="15"/>
      <c r="LGD230" s="15"/>
      <c r="LGE230" s="15"/>
      <c r="LGF230" s="15"/>
      <c r="LGG230" s="15"/>
      <c r="LGH230" s="15"/>
      <c r="LGI230" s="15"/>
      <c r="LGJ230" s="15"/>
      <c r="LGK230" s="15"/>
      <c r="LGL230" s="15"/>
      <c r="LGM230" s="10"/>
      <c r="LGN230" s="10"/>
      <c r="LGO230" s="21"/>
      <c r="LGP230" s="21"/>
      <c r="LGS230" s="21"/>
      <c r="LGT230" s="15"/>
      <c r="LGU230" s="15"/>
      <c r="LGV230" s="15"/>
      <c r="LGW230" s="15"/>
      <c r="LGX230" s="15"/>
      <c r="LGY230" s="15"/>
      <c r="LGZ230" s="15"/>
      <c r="LHA230" s="15"/>
      <c r="LHB230" s="15"/>
      <c r="LHC230" s="15"/>
      <c r="LHD230" s="10"/>
      <c r="LHE230" s="10"/>
      <c r="LHF230" s="21"/>
      <c r="LHG230" s="21"/>
      <c r="LHJ230" s="21"/>
      <c r="LHK230" s="15"/>
      <c r="LHL230" s="15"/>
      <c r="LHM230" s="15"/>
      <c r="LHN230" s="15"/>
      <c r="LHO230" s="15"/>
      <c r="LHP230" s="15"/>
      <c r="LHQ230" s="15"/>
      <c r="LHR230" s="15"/>
      <c r="LHS230" s="15"/>
      <c r="LHT230" s="15"/>
      <c r="LHU230" s="10"/>
      <c r="LHV230" s="10"/>
      <c r="LHW230" s="21"/>
      <c r="LHX230" s="21"/>
      <c r="LIA230" s="21"/>
      <c r="LIB230" s="15"/>
      <c r="LIC230" s="15"/>
      <c r="LID230" s="15"/>
      <c r="LIE230" s="15"/>
      <c r="LIF230" s="15"/>
      <c r="LIG230" s="15"/>
      <c r="LIH230" s="15"/>
      <c r="LII230" s="15"/>
      <c r="LIJ230" s="15"/>
      <c r="LIK230" s="15"/>
      <c r="LIL230" s="10"/>
      <c r="LIM230" s="10"/>
      <c r="LIN230" s="21"/>
      <c r="LIO230" s="21"/>
      <c r="LIR230" s="21"/>
      <c r="LIS230" s="15"/>
      <c r="LIT230" s="15"/>
      <c r="LIU230" s="15"/>
      <c r="LIV230" s="15"/>
      <c r="LIW230" s="15"/>
      <c r="LIX230" s="15"/>
      <c r="LIY230" s="15"/>
      <c r="LIZ230" s="15"/>
      <c r="LJA230" s="15"/>
      <c r="LJB230" s="15"/>
      <c r="LJC230" s="10"/>
      <c r="LJD230" s="10"/>
      <c r="LJE230" s="21"/>
      <c r="LJF230" s="21"/>
      <c r="LJI230" s="21"/>
      <c r="LJJ230" s="15"/>
      <c r="LJK230" s="15"/>
      <c r="LJL230" s="15"/>
      <c r="LJM230" s="15"/>
      <c r="LJN230" s="15"/>
      <c r="LJO230" s="15"/>
      <c r="LJP230" s="15"/>
      <c r="LJQ230" s="15"/>
      <c r="LJR230" s="15"/>
      <c r="LJS230" s="15"/>
      <c r="LJT230" s="10"/>
      <c r="LJU230" s="10"/>
      <c r="LJV230" s="21"/>
      <c r="LJW230" s="21"/>
      <c r="LJZ230" s="21"/>
      <c r="LKA230" s="15"/>
      <c r="LKB230" s="15"/>
      <c r="LKC230" s="15"/>
      <c r="LKD230" s="15"/>
      <c r="LKE230" s="15"/>
      <c r="LKF230" s="15"/>
      <c r="LKG230" s="15"/>
      <c r="LKH230" s="15"/>
      <c r="LKI230" s="15"/>
      <c r="LKJ230" s="15"/>
      <c r="LKK230" s="10"/>
      <c r="LKL230" s="10"/>
      <c r="LKM230" s="21"/>
      <c r="LKN230" s="21"/>
      <c r="LKQ230" s="21"/>
      <c r="LKR230" s="15"/>
      <c r="LKS230" s="15"/>
      <c r="LKT230" s="15"/>
      <c r="LKU230" s="15"/>
      <c r="LKV230" s="15"/>
      <c r="LKW230" s="15"/>
      <c r="LKX230" s="15"/>
      <c r="LKY230" s="15"/>
      <c r="LKZ230" s="15"/>
      <c r="LLA230" s="15"/>
      <c r="LLB230" s="10"/>
      <c r="LLC230" s="10"/>
      <c r="LLD230" s="21"/>
      <c r="LLE230" s="21"/>
      <c r="LLH230" s="21"/>
      <c r="LLI230" s="15"/>
      <c r="LLJ230" s="15"/>
      <c r="LLK230" s="15"/>
      <c r="LLL230" s="15"/>
      <c r="LLM230" s="15"/>
      <c r="LLN230" s="15"/>
      <c r="LLO230" s="15"/>
      <c r="LLP230" s="15"/>
      <c r="LLQ230" s="15"/>
      <c r="LLR230" s="15"/>
      <c r="LLS230" s="10"/>
      <c r="LLT230" s="10"/>
      <c r="LLU230" s="21"/>
      <c r="LLV230" s="21"/>
      <c r="LLY230" s="21"/>
      <c r="LLZ230" s="15"/>
      <c r="LMA230" s="15"/>
      <c r="LMB230" s="15"/>
      <c r="LMC230" s="15"/>
      <c r="LMD230" s="15"/>
      <c r="LME230" s="15"/>
      <c r="LMF230" s="15"/>
      <c r="LMG230" s="15"/>
      <c r="LMH230" s="15"/>
      <c r="LMI230" s="15"/>
      <c r="LMJ230" s="10"/>
      <c r="LMK230" s="10"/>
      <c r="LML230" s="21"/>
      <c r="LMM230" s="21"/>
      <c r="LMP230" s="21"/>
      <c r="LMQ230" s="15"/>
      <c r="LMR230" s="15"/>
      <c r="LMS230" s="15"/>
      <c r="LMT230" s="15"/>
      <c r="LMU230" s="15"/>
      <c r="LMV230" s="15"/>
      <c r="LMW230" s="15"/>
      <c r="LMX230" s="15"/>
      <c r="LMY230" s="15"/>
      <c r="LMZ230" s="15"/>
      <c r="LNA230" s="10"/>
      <c r="LNB230" s="10"/>
      <c r="LNC230" s="21"/>
      <c r="LND230" s="21"/>
      <c r="LNG230" s="21"/>
      <c r="LNH230" s="15"/>
      <c r="LNI230" s="15"/>
      <c r="LNJ230" s="15"/>
      <c r="LNK230" s="15"/>
      <c r="LNL230" s="15"/>
      <c r="LNM230" s="15"/>
      <c r="LNN230" s="15"/>
      <c r="LNO230" s="15"/>
      <c r="LNP230" s="15"/>
      <c r="LNQ230" s="15"/>
      <c r="LNR230" s="10"/>
      <c r="LNS230" s="10"/>
      <c r="LNT230" s="21"/>
      <c r="LNU230" s="21"/>
      <c r="LNX230" s="21"/>
      <c r="LNY230" s="15"/>
      <c r="LNZ230" s="15"/>
      <c r="LOA230" s="15"/>
      <c r="LOB230" s="15"/>
      <c r="LOC230" s="15"/>
      <c r="LOD230" s="15"/>
      <c r="LOE230" s="15"/>
      <c r="LOF230" s="15"/>
      <c r="LOG230" s="15"/>
      <c r="LOH230" s="15"/>
      <c r="LOI230" s="10"/>
      <c r="LOJ230" s="10"/>
      <c r="LOK230" s="21"/>
      <c r="LOL230" s="21"/>
      <c r="LOO230" s="21"/>
      <c r="LOP230" s="15"/>
      <c r="LOQ230" s="15"/>
      <c r="LOR230" s="15"/>
      <c r="LOS230" s="15"/>
      <c r="LOT230" s="15"/>
      <c r="LOU230" s="15"/>
      <c r="LOV230" s="15"/>
      <c r="LOW230" s="15"/>
      <c r="LOX230" s="15"/>
      <c r="LOY230" s="15"/>
      <c r="LOZ230" s="10"/>
      <c r="LPA230" s="10"/>
      <c r="LPB230" s="21"/>
      <c r="LPC230" s="21"/>
      <c r="LPF230" s="21"/>
      <c r="LPG230" s="15"/>
      <c r="LPH230" s="15"/>
      <c r="LPI230" s="15"/>
      <c r="LPJ230" s="15"/>
      <c r="LPK230" s="15"/>
      <c r="LPL230" s="15"/>
      <c r="LPM230" s="15"/>
      <c r="LPN230" s="15"/>
      <c r="LPO230" s="15"/>
      <c r="LPP230" s="15"/>
      <c r="LPQ230" s="10"/>
      <c r="LPR230" s="10"/>
      <c r="LPS230" s="21"/>
      <c r="LPT230" s="21"/>
      <c r="LPW230" s="21"/>
      <c r="LPX230" s="15"/>
      <c r="LPY230" s="15"/>
      <c r="LPZ230" s="15"/>
      <c r="LQA230" s="15"/>
      <c r="LQB230" s="15"/>
      <c r="LQC230" s="15"/>
      <c r="LQD230" s="15"/>
      <c r="LQE230" s="15"/>
      <c r="LQF230" s="15"/>
      <c r="LQG230" s="15"/>
      <c r="LQH230" s="10"/>
      <c r="LQI230" s="10"/>
      <c r="LQJ230" s="21"/>
      <c r="LQK230" s="21"/>
      <c r="LQN230" s="21"/>
      <c r="LQO230" s="15"/>
      <c r="LQP230" s="15"/>
      <c r="LQQ230" s="15"/>
      <c r="LQR230" s="15"/>
      <c r="LQS230" s="15"/>
      <c r="LQT230" s="15"/>
      <c r="LQU230" s="15"/>
      <c r="LQV230" s="15"/>
      <c r="LQW230" s="15"/>
      <c r="LQX230" s="15"/>
      <c r="LQY230" s="10"/>
      <c r="LQZ230" s="10"/>
      <c r="LRA230" s="21"/>
      <c r="LRB230" s="21"/>
      <c r="LRE230" s="21"/>
      <c r="LRF230" s="15"/>
      <c r="LRG230" s="15"/>
      <c r="LRH230" s="15"/>
      <c r="LRI230" s="15"/>
      <c r="LRJ230" s="15"/>
      <c r="LRK230" s="15"/>
      <c r="LRL230" s="15"/>
      <c r="LRM230" s="15"/>
      <c r="LRN230" s="15"/>
      <c r="LRO230" s="15"/>
      <c r="LRP230" s="10"/>
      <c r="LRQ230" s="10"/>
      <c r="LRR230" s="21"/>
      <c r="LRS230" s="21"/>
      <c r="LRV230" s="21"/>
      <c r="LRW230" s="15"/>
      <c r="LRX230" s="15"/>
      <c r="LRY230" s="15"/>
      <c r="LRZ230" s="15"/>
      <c r="LSA230" s="15"/>
      <c r="LSB230" s="15"/>
      <c r="LSC230" s="15"/>
      <c r="LSD230" s="15"/>
      <c r="LSE230" s="15"/>
      <c r="LSF230" s="15"/>
      <c r="LSG230" s="10"/>
      <c r="LSH230" s="10"/>
      <c r="LSI230" s="21"/>
      <c r="LSJ230" s="21"/>
      <c r="LSM230" s="21"/>
      <c r="LSN230" s="15"/>
      <c r="LSO230" s="15"/>
      <c r="LSP230" s="15"/>
      <c r="LSQ230" s="15"/>
      <c r="LSR230" s="15"/>
      <c r="LSS230" s="15"/>
      <c r="LST230" s="15"/>
      <c r="LSU230" s="15"/>
      <c r="LSV230" s="15"/>
      <c r="LSW230" s="15"/>
      <c r="LSX230" s="10"/>
      <c r="LSY230" s="10"/>
      <c r="LSZ230" s="21"/>
      <c r="LTA230" s="21"/>
      <c r="LTD230" s="21"/>
      <c r="LTE230" s="15"/>
      <c r="LTF230" s="15"/>
      <c r="LTG230" s="15"/>
      <c r="LTH230" s="15"/>
      <c r="LTI230" s="15"/>
      <c r="LTJ230" s="15"/>
      <c r="LTK230" s="15"/>
      <c r="LTL230" s="15"/>
      <c r="LTM230" s="15"/>
      <c r="LTN230" s="15"/>
      <c r="LTO230" s="10"/>
      <c r="LTP230" s="10"/>
      <c r="LTQ230" s="21"/>
      <c r="LTR230" s="21"/>
      <c r="LTU230" s="21"/>
      <c r="LTV230" s="15"/>
      <c r="LTW230" s="15"/>
      <c r="LTX230" s="15"/>
      <c r="LTY230" s="15"/>
      <c r="LTZ230" s="15"/>
      <c r="LUA230" s="15"/>
      <c r="LUB230" s="15"/>
      <c r="LUC230" s="15"/>
      <c r="LUD230" s="15"/>
      <c r="LUE230" s="15"/>
      <c r="LUF230" s="10"/>
      <c r="LUG230" s="10"/>
      <c r="LUH230" s="21"/>
      <c r="LUI230" s="21"/>
      <c r="LUL230" s="21"/>
      <c r="LUM230" s="15"/>
      <c r="LUN230" s="15"/>
      <c r="LUO230" s="15"/>
      <c r="LUP230" s="15"/>
      <c r="LUQ230" s="15"/>
      <c r="LUR230" s="15"/>
      <c r="LUS230" s="15"/>
      <c r="LUT230" s="15"/>
      <c r="LUU230" s="15"/>
      <c r="LUV230" s="15"/>
      <c r="LUW230" s="10"/>
      <c r="LUX230" s="10"/>
      <c r="LUY230" s="21"/>
      <c r="LUZ230" s="21"/>
      <c r="LVC230" s="21"/>
      <c r="LVD230" s="15"/>
      <c r="LVE230" s="15"/>
      <c r="LVF230" s="15"/>
      <c r="LVG230" s="15"/>
      <c r="LVH230" s="15"/>
      <c r="LVI230" s="15"/>
      <c r="LVJ230" s="15"/>
      <c r="LVK230" s="15"/>
      <c r="LVL230" s="15"/>
      <c r="LVM230" s="15"/>
      <c r="LVN230" s="10"/>
      <c r="LVO230" s="10"/>
      <c r="LVP230" s="21"/>
      <c r="LVQ230" s="21"/>
      <c r="LVT230" s="21"/>
      <c r="LVU230" s="15"/>
      <c r="LVV230" s="15"/>
      <c r="LVW230" s="15"/>
      <c r="LVX230" s="15"/>
      <c r="LVY230" s="15"/>
      <c r="LVZ230" s="15"/>
      <c r="LWA230" s="15"/>
      <c r="LWB230" s="15"/>
      <c r="LWC230" s="15"/>
      <c r="LWD230" s="15"/>
      <c r="LWE230" s="10"/>
      <c r="LWF230" s="10"/>
      <c r="LWG230" s="21"/>
      <c r="LWH230" s="21"/>
      <c r="LWK230" s="21"/>
      <c r="LWL230" s="15"/>
      <c r="LWM230" s="15"/>
      <c r="LWN230" s="15"/>
      <c r="LWO230" s="15"/>
      <c r="LWP230" s="15"/>
      <c r="LWQ230" s="15"/>
      <c r="LWR230" s="15"/>
      <c r="LWS230" s="15"/>
      <c r="LWT230" s="15"/>
      <c r="LWU230" s="15"/>
      <c r="LWV230" s="10"/>
      <c r="LWW230" s="10"/>
      <c r="LWX230" s="21"/>
      <c r="LWY230" s="21"/>
      <c r="LXB230" s="21"/>
      <c r="LXC230" s="15"/>
      <c r="LXD230" s="15"/>
      <c r="LXE230" s="15"/>
      <c r="LXF230" s="15"/>
      <c r="LXG230" s="15"/>
      <c r="LXH230" s="15"/>
      <c r="LXI230" s="15"/>
      <c r="LXJ230" s="15"/>
      <c r="LXK230" s="15"/>
      <c r="LXL230" s="15"/>
      <c r="LXM230" s="10"/>
      <c r="LXN230" s="10"/>
      <c r="LXO230" s="21"/>
      <c r="LXP230" s="21"/>
      <c r="LXS230" s="21"/>
      <c r="LXT230" s="15"/>
      <c r="LXU230" s="15"/>
      <c r="LXV230" s="15"/>
      <c r="LXW230" s="15"/>
      <c r="LXX230" s="15"/>
      <c r="LXY230" s="15"/>
      <c r="LXZ230" s="15"/>
      <c r="LYA230" s="15"/>
      <c r="LYB230" s="15"/>
      <c r="LYC230" s="15"/>
      <c r="LYD230" s="10"/>
      <c r="LYE230" s="10"/>
      <c r="LYF230" s="21"/>
      <c r="LYG230" s="21"/>
      <c r="LYJ230" s="21"/>
      <c r="LYK230" s="15"/>
      <c r="LYL230" s="15"/>
      <c r="LYM230" s="15"/>
      <c r="LYN230" s="15"/>
      <c r="LYO230" s="15"/>
      <c r="LYP230" s="15"/>
      <c r="LYQ230" s="15"/>
      <c r="LYR230" s="15"/>
      <c r="LYS230" s="15"/>
      <c r="LYT230" s="15"/>
      <c r="LYU230" s="10"/>
      <c r="LYV230" s="10"/>
      <c r="LYW230" s="21"/>
      <c r="LYX230" s="21"/>
      <c r="LZA230" s="21"/>
      <c r="LZB230" s="15"/>
      <c r="LZC230" s="15"/>
      <c r="LZD230" s="15"/>
      <c r="LZE230" s="15"/>
      <c r="LZF230" s="15"/>
      <c r="LZG230" s="15"/>
      <c r="LZH230" s="15"/>
      <c r="LZI230" s="15"/>
      <c r="LZJ230" s="15"/>
      <c r="LZK230" s="15"/>
      <c r="LZL230" s="10"/>
      <c r="LZM230" s="10"/>
      <c r="LZN230" s="21"/>
      <c r="LZO230" s="21"/>
      <c r="LZR230" s="21"/>
      <c r="LZS230" s="15"/>
      <c r="LZT230" s="15"/>
      <c r="LZU230" s="15"/>
      <c r="LZV230" s="15"/>
      <c r="LZW230" s="15"/>
      <c r="LZX230" s="15"/>
      <c r="LZY230" s="15"/>
      <c r="LZZ230" s="15"/>
      <c r="MAA230" s="15"/>
      <c r="MAB230" s="15"/>
      <c r="MAC230" s="10"/>
      <c r="MAD230" s="10"/>
      <c r="MAE230" s="21"/>
      <c r="MAF230" s="21"/>
      <c r="MAI230" s="21"/>
      <c r="MAJ230" s="15"/>
      <c r="MAK230" s="15"/>
      <c r="MAL230" s="15"/>
      <c r="MAM230" s="15"/>
      <c r="MAN230" s="15"/>
      <c r="MAO230" s="15"/>
      <c r="MAP230" s="15"/>
      <c r="MAQ230" s="15"/>
      <c r="MAR230" s="15"/>
      <c r="MAS230" s="15"/>
      <c r="MAT230" s="10"/>
      <c r="MAU230" s="10"/>
      <c r="MAV230" s="21"/>
      <c r="MAW230" s="21"/>
      <c r="MAZ230" s="21"/>
      <c r="MBA230" s="15"/>
      <c r="MBB230" s="15"/>
      <c r="MBC230" s="15"/>
      <c r="MBD230" s="15"/>
      <c r="MBE230" s="15"/>
      <c r="MBF230" s="15"/>
      <c r="MBG230" s="15"/>
      <c r="MBH230" s="15"/>
      <c r="MBI230" s="15"/>
      <c r="MBJ230" s="15"/>
      <c r="MBK230" s="10"/>
      <c r="MBL230" s="10"/>
      <c r="MBM230" s="21"/>
      <c r="MBN230" s="21"/>
      <c r="MBQ230" s="21"/>
      <c r="MBR230" s="15"/>
      <c r="MBS230" s="15"/>
      <c r="MBT230" s="15"/>
      <c r="MBU230" s="15"/>
      <c r="MBV230" s="15"/>
      <c r="MBW230" s="15"/>
      <c r="MBX230" s="15"/>
      <c r="MBY230" s="15"/>
      <c r="MBZ230" s="15"/>
      <c r="MCA230" s="15"/>
      <c r="MCB230" s="10"/>
      <c r="MCC230" s="10"/>
      <c r="MCD230" s="21"/>
      <c r="MCE230" s="21"/>
      <c r="MCH230" s="21"/>
      <c r="MCI230" s="15"/>
      <c r="MCJ230" s="15"/>
      <c r="MCK230" s="15"/>
      <c r="MCL230" s="15"/>
      <c r="MCM230" s="15"/>
      <c r="MCN230" s="15"/>
      <c r="MCO230" s="15"/>
      <c r="MCP230" s="15"/>
      <c r="MCQ230" s="15"/>
      <c r="MCR230" s="15"/>
      <c r="MCS230" s="10"/>
      <c r="MCT230" s="10"/>
      <c r="MCU230" s="21"/>
      <c r="MCV230" s="21"/>
      <c r="MCY230" s="21"/>
      <c r="MCZ230" s="15"/>
      <c r="MDA230" s="15"/>
      <c r="MDB230" s="15"/>
      <c r="MDC230" s="15"/>
      <c r="MDD230" s="15"/>
      <c r="MDE230" s="15"/>
      <c r="MDF230" s="15"/>
      <c r="MDG230" s="15"/>
      <c r="MDH230" s="15"/>
      <c r="MDI230" s="15"/>
      <c r="MDJ230" s="10"/>
      <c r="MDK230" s="10"/>
      <c r="MDL230" s="21"/>
      <c r="MDM230" s="21"/>
      <c r="MDP230" s="21"/>
      <c r="MDQ230" s="15"/>
      <c r="MDR230" s="15"/>
      <c r="MDS230" s="15"/>
      <c r="MDT230" s="15"/>
      <c r="MDU230" s="15"/>
      <c r="MDV230" s="15"/>
      <c r="MDW230" s="15"/>
      <c r="MDX230" s="15"/>
      <c r="MDY230" s="15"/>
      <c r="MDZ230" s="15"/>
      <c r="MEA230" s="10"/>
      <c r="MEB230" s="10"/>
      <c r="MEC230" s="21"/>
      <c r="MED230" s="21"/>
      <c r="MEG230" s="21"/>
      <c r="MEH230" s="15"/>
      <c r="MEI230" s="15"/>
      <c r="MEJ230" s="15"/>
      <c r="MEK230" s="15"/>
      <c r="MEL230" s="15"/>
      <c r="MEM230" s="15"/>
      <c r="MEN230" s="15"/>
      <c r="MEO230" s="15"/>
      <c r="MEP230" s="15"/>
      <c r="MEQ230" s="15"/>
      <c r="MER230" s="10"/>
      <c r="MES230" s="10"/>
      <c r="MET230" s="21"/>
      <c r="MEU230" s="21"/>
      <c r="MEX230" s="21"/>
      <c r="MEY230" s="15"/>
      <c r="MEZ230" s="15"/>
      <c r="MFA230" s="15"/>
      <c r="MFB230" s="15"/>
      <c r="MFC230" s="15"/>
      <c r="MFD230" s="15"/>
      <c r="MFE230" s="15"/>
      <c r="MFF230" s="15"/>
      <c r="MFG230" s="15"/>
      <c r="MFH230" s="15"/>
      <c r="MFI230" s="10"/>
      <c r="MFJ230" s="10"/>
      <c r="MFK230" s="21"/>
      <c r="MFL230" s="21"/>
      <c r="MFO230" s="21"/>
      <c r="MFP230" s="15"/>
      <c r="MFQ230" s="15"/>
      <c r="MFR230" s="15"/>
      <c r="MFS230" s="15"/>
      <c r="MFT230" s="15"/>
      <c r="MFU230" s="15"/>
      <c r="MFV230" s="15"/>
      <c r="MFW230" s="15"/>
      <c r="MFX230" s="15"/>
      <c r="MFY230" s="15"/>
      <c r="MFZ230" s="10"/>
      <c r="MGA230" s="10"/>
      <c r="MGB230" s="21"/>
      <c r="MGC230" s="21"/>
      <c r="MGF230" s="21"/>
      <c r="MGG230" s="15"/>
      <c r="MGH230" s="15"/>
      <c r="MGI230" s="15"/>
      <c r="MGJ230" s="15"/>
      <c r="MGK230" s="15"/>
      <c r="MGL230" s="15"/>
      <c r="MGM230" s="15"/>
      <c r="MGN230" s="15"/>
      <c r="MGO230" s="15"/>
      <c r="MGP230" s="15"/>
      <c r="MGQ230" s="10"/>
      <c r="MGR230" s="10"/>
      <c r="MGS230" s="21"/>
      <c r="MGT230" s="21"/>
      <c r="MGW230" s="21"/>
      <c r="MGX230" s="15"/>
      <c r="MGY230" s="15"/>
      <c r="MGZ230" s="15"/>
      <c r="MHA230" s="15"/>
      <c r="MHB230" s="15"/>
      <c r="MHC230" s="15"/>
      <c r="MHD230" s="15"/>
      <c r="MHE230" s="15"/>
      <c r="MHF230" s="15"/>
      <c r="MHG230" s="15"/>
      <c r="MHH230" s="10"/>
      <c r="MHI230" s="10"/>
      <c r="MHJ230" s="21"/>
      <c r="MHK230" s="21"/>
      <c r="MHN230" s="21"/>
      <c r="MHO230" s="15"/>
      <c r="MHP230" s="15"/>
      <c r="MHQ230" s="15"/>
      <c r="MHR230" s="15"/>
      <c r="MHS230" s="15"/>
      <c r="MHT230" s="15"/>
      <c r="MHU230" s="15"/>
      <c r="MHV230" s="15"/>
      <c r="MHW230" s="15"/>
      <c r="MHX230" s="15"/>
      <c r="MHY230" s="10"/>
      <c r="MHZ230" s="10"/>
      <c r="MIA230" s="21"/>
      <c r="MIB230" s="21"/>
      <c r="MIE230" s="21"/>
      <c r="MIF230" s="15"/>
      <c r="MIG230" s="15"/>
      <c r="MIH230" s="15"/>
      <c r="MII230" s="15"/>
      <c r="MIJ230" s="15"/>
      <c r="MIK230" s="15"/>
      <c r="MIL230" s="15"/>
      <c r="MIM230" s="15"/>
      <c r="MIN230" s="15"/>
      <c r="MIO230" s="15"/>
      <c r="MIP230" s="10"/>
      <c r="MIQ230" s="10"/>
      <c r="MIR230" s="21"/>
      <c r="MIS230" s="21"/>
      <c r="MIV230" s="21"/>
      <c r="MIW230" s="15"/>
      <c r="MIX230" s="15"/>
      <c r="MIY230" s="15"/>
      <c r="MIZ230" s="15"/>
      <c r="MJA230" s="15"/>
      <c r="MJB230" s="15"/>
      <c r="MJC230" s="15"/>
      <c r="MJD230" s="15"/>
      <c r="MJE230" s="15"/>
      <c r="MJF230" s="15"/>
      <c r="MJG230" s="10"/>
      <c r="MJH230" s="10"/>
      <c r="MJI230" s="21"/>
      <c r="MJJ230" s="21"/>
      <c r="MJM230" s="21"/>
      <c r="MJN230" s="15"/>
      <c r="MJO230" s="15"/>
      <c r="MJP230" s="15"/>
      <c r="MJQ230" s="15"/>
      <c r="MJR230" s="15"/>
      <c r="MJS230" s="15"/>
      <c r="MJT230" s="15"/>
      <c r="MJU230" s="15"/>
      <c r="MJV230" s="15"/>
      <c r="MJW230" s="15"/>
      <c r="MJX230" s="10"/>
      <c r="MJY230" s="10"/>
      <c r="MJZ230" s="21"/>
      <c r="MKA230" s="21"/>
      <c r="MKD230" s="21"/>
      <c r="MKE230" s="15"/>
      <c r="MKF230" s="15"/>
      <c r="MKG230" s="15"/>
      <c r="MKH230" s="15"/>
      <c r="MKI230" s="15"/>
      <c r="MKJ230" s="15"/>
      <c r="MKK230" s="15"/>
      <c r="MKL230" s="15"/>
      <c r="MKM230" s="15"/>
      <c r="MKN230" s="15"/>
      <c r="MKO230" s="10"/>
      <c r="MKP230" s="10"/>
      <c r="MKQ230" s="21"/>
      <c r="MKR230" s="21"/>
      <c r="MKU230" s="21"/>
      <c r="MKV230" s="15"/>
      <c r="MKW230" s="15"/>
      <c r="MKX230" s="15"/>
      <c r="MKY230" s="15"/>
      <c r="MKZ230" s="15"/>
      <c r="MLA230" s="15"/>
      <c r="MLB230" s="15"/>
      <c r="MLC230" s="15"/>
      <c r="MLD230" s="15"/>
      <c r="MLE230" s="15"/>
      <c r="MLF230" s="10"/>
      <c r="MLG230" s="10"/>
      <c r="MLH230" s="21"/>
      <c r="MLI230" s="21"/>
      <c r="MLL230" s="21"/>
      <c r="MLM230" s="15"/>
      <c r="MLN230" s="15"/>
      <c r="MLO230" s="15"/>
      <c r="MLP230" s="15"/>
      <c r="MLQ230" s="15"/>
      <c r="MLR230" s="15"/>
      <c r="MLS230" s="15"/>
      <c r="MLT230" s="15"/>
      <c r="MLU230" s="15"/>
      <c r="MLV230" s="15"/>
      <c r="MLW230" s="10"/>
      <c r="MLX230" s="10"/>
      <c r="MLY230" s="21"/>
      <c r="MLZ230" s="21"/>
      <c r="MMC230" s="21"/>
      <c r="MMD230" s="15"/>
      <c r="MME230" s="15"/>
      <c r="MMF230" s="15"/>
      <c r="MMG230" s="15"/>
      <c r="MMH230" s="15"/>
      <c r="MMI230" s="15"/>
      <c r="MMJ230" s="15"/>
      <c r="MMK230" s="15"/>
      <c r="MML230" s="15"/>
      <c r="MMM230" s="15"/>
      <c r="MMN230" s="10"/>
      <c r="MMO230" s="10"/>
      <c r="MMP230" s="21"/>
      <c r="MMQ230" s="21"/>
      <c r="MMT230" s="21"/>
      <c r="MMU230" s="15"/>
      <c r="MMV230" s="15"/>
      <c r="MMW230" s="15"/>
      <c r="MMX230" s="15"/>
      <c r="MMY230" s="15"/>
      <c r="MMZ230" s="15"/>
      <c r="MNA230" s="15"/>
      <c r="MNB230" s="15"/>
      <c r="MNC230" s="15"/>
      <c r="MND230" s="15"/>
      <c r="MNE230" s="10"/>
      <c r="MNF230" s="10"/>
      <c r="MNG230" s="21"/>
      <c r="MNH230" s="21"/>
      <c r="MNK230" s="21"/>
      <c r="MNL230" s="15"/>
      <c r="MNM230" s="15"/>
      <c r="MNN230" s="15"/>
      <c r="MNO230" s="15"/>
      <c r="MNP230" s="15"/>
      <c r="MNQ230" s="15"/>
      <c r="MNR230" s="15"/>
      <c r="MNS230" s="15"/>
      <c r="MNT230" s="15"/>
      <c r="MNU230" s="15"/>
      <c r="MNV230" s="10"/>
      <c r="MNW230" s="10"/>
      <c r="MNX230" s="21"/>
      <c r="MNY230" s="21"/>
      <c r="MOB230" s="21"/>
      <c r="MOC230" s="15"/>
      <c r="MOD230" s="15"/>
      <c r="MOE230" s="15"/>
      <c r="MOF230" s="15"/>
      <c r="MOG230" s="15"/>
      <c r="MOH230" s="15"/>
      <c r="MOI230" s="15"/>
      <c r="MOJ230" s="15"/>
      <c r="MOK230" s="15"/>
      <c r="MOL230" s="15"/>
      <c r="MOM230" s="10"/>
      <c r="MON230" s="10"/>
      <c r="MOO230" s="21"/>
      <c r="MOP230" s="21"/>
      <c r="MOS230" s="21"/>
      <c r="MOT230" s="15"/>
      <c r="MOU230" s="15"/>
      <c r="MOV230" s="15"/>
      <c r="MOW230" s="15"/>
      <c r="MOX230" s="15"/>
      <c r="MOY230" s="15"/>
      <c r="MOZ230" s="15"/>
      <c r="MPA230" s="15"/>
      <c r="MPB230" s="15"/>
      <c r="MPC230" s="15"/>
      <c r="MPD230" s="10"/>
      <c r="MPE230" s="10"/>
      <c r="MPF230" s="21"/>
      <c r="MPG230" s="21"/>
      <c r="MPJ230" s="21"/>
      <c r="MPK230" s="15"/>
      <c r="MPL230" s="15"/>
      <c r="MPM230" s="15"/>
      <c r="MPN230" s="15"/>
      <c r="MPO230" s="15"/>
      <c r="MPP230" s="15"/>
      <c r="MPQ230" s="15"/>
      <c r="MPR230" s="15"/>
      <c r="MPS230" s="15"/>
      <c r="MPT230" s="15"/>
      <c r="MPU230" s="10"/>
      <c r="MPV230" s="10"/>
      <c r="MPW230" s="21"/>
      <c r="MPX230" s="21"/>
      <c r="MQA230" s="21"/>
      <c r="MQB230" s="15"/>
      <c r="MQC230" s="15"/>
      <c r="MQD230" s="15"/>
      <c r="MQE230" s="15"/>
      <c r="MQF230" s="15"/>
      <c r="MQG230" s="15"/>
      <c r="MQH230" s="15"/>
      <c r="MQI230" s="15"/>
      <c r="MQJ230" s="15"/>
      <c r="MQK230" s="15"/>
      <c r="MQL230" s="10"/>
      <c r="MQM230" s="10"/>
      <c r="MQN230" s="21"/>
      <c r="MQO230" s="21"/>
      <c r="MQR230" s="21"/>
      <c r="MQS230" s="15"/>
      <c r="MQT230" s="15"/>
      <c r="MQU230" s="15"/>
      <c r="MQV230" s="15"/>
      <c r="MQW230" s="15"/>
      <c r="MQX230" s="15"/>
      <c r="MQY230" s="15"/>
      <c r="MQZ230" s="15"/>
      <c r="MRA230" s="15"/>
      <c r="MRB230" s="15"/>
      <c r="MRC230" s="10"/>
      <c r="MRD230" s="10"/>
      <c r="MRE230" s="21"/>
      <c r="MRF230" s="21"/>
      <c r="MRI230" s="21"/>
      <c r="MRJ230" s="15"/>
      <c r="MRK230" s="15"/>
      <c r="MRL230" s="15"/>
      <c r="MRM230" s="15"/>
      <c r="MRN230" s="15"/>
      <c r="MRO230" s="15"/>
      <c r="MRP230" s="15"/>
      <c r="MRQ230" s="15"/>
      <c r="MRR230" s="15"/>
      <c r="MRS230" s="15"/>
      <c r="MRT230" s="10"/>
      <c r="MRU230" s="10"/>
      <c r="MRV230" s="21"/>
      <c r="MRW230" s="21"/>
      <c r="MRZ230" s="21"/>
      <c r="MSA230" s="15"/>
      <c r="MSB230" s="15"/>
      <c r="MSC230" s="15"/>
      <c r="MSD230" s="15"/>
      <c r="MSE230" s="15"/>
      <c r="MSF230" s="15"/>
      <c r="MSG230" s="15"/>
      <c r="MSH230" s="15"/>
      <c r="MSI230" s="15"/>
      <c r="MSJ230" s="15"/>
      <c r="MSK230" s="10"/>
      <c r="MSL230" s="10"/>
      <c r="MSM230" s="21"/>
      <c r="MSN230" s="21"/>
      <c r="MSQ230" s="21"/>
      <c r="MSR230" s="15"/>
      <c r="MSS230" s="15"/>
      <c r="MST230" s="15"/>
      <c r="MSU230" s="15"/>
      <c r="MSV230" s="15"/>
      <c r="MSW230" s="15"/>
      <c r="MSX230" s="15"/>
      <c r="MSY230" s="15"/>
      <c r="MSZ230" s="15"/>
      <c r="MTA230" s="15"/>
      <c r="MTB230" s="10"/>
      <c r="MTC230" s="10"/>
      <c r="MTD230" s="21"/>
      <c r="MTE230" s="21"/>
      <c r="MTH230" s="21"/>
      <c r="MTI230" s="15"/>
      <c r="MTJ230" s="15"/>
      <c r="MTK230" s="15"/>
      <c r="MTL230" s="15"/>
      <c r="MTM230" s="15"/>
      <c r="MTN230" s="15"/>
      <c r="MTO230" s="15"/>
      <c r="MTP230" s="15"/>
      <c r="MTQ230" s="15"/>
      <c r="MTR230" s="15"/>
      <c r="MTS230" s="10"/>
      <c r="MTT230" s="10"/>
      <c r="MTU230" s="21"/>
      <c r="MTV230" s="21"/>
      <c r="MTY230" s="21"/>
      <c r="MTZ230" s="15"/>
      <c r="MUA230" s="15"/>
      <c r="MUB230" s="15"/>
      <c r="MUC230" s="15"/>
      <c r="MUD230" s="15"/>
      <c r="MUE230" s="15"/>
      <c r="MUF230" s="15"/>
      <c r="MUG230" s="15"/>
      <c r="MUH230" s="15"/>
      <c r="MUI230" s="15"/>
      <c r="MUJ230" s="10"/>
      <c r="MUK230" s="10"/>
      <c r="MUL230" s="21"/>
      <c r="MUM230" s="21"/>
      <c r="MUP230" s="21"/>
      <c r="MUQ230" s="15"/>
      <c r="MUR230" s="15"/>
      <c r="MUS230" s="15"/>
      <c r="MUT230" s="15"/>
      <c r="MUU230" s="15"/>
      <c r="MUV230" s="15"/>
      <c r="MUW230" s="15"/>
      <c r="MUX230" s="15"/>
      <c r="MUY230" s="15"/>
      <c r="MUZ230" s="15"/>
      <c r="MVA230" s="10"/>
      <c r="MVB230" s="10"/>
      <c r="MVC230" s="21"/>
      <c r="MVD230" s="21"/>
      <c r="MVG230" s="21"/>
      <c r="MVH230" s="15"/>
      <c r="MVI230" s="15"/>
      <c r="MVJ230" s="15"/>
      <c r="MVK230" s="15"/>
      <c r="MVL230" s="15"/>
      <c r="MVM230" s="15"/>
      <c r="MVN230" s="15"/>
      <c r="MVO230" s="15"/>
      <c r="MVP230" s="15"/>
      <c r="MVQ230" s="15"/>
      <c r="MVR230" s="10"/>
      <c r="MVS230" s="10"/>
      <c r="MVT230" s="21"/>
      <c r="MVU230" s="21"/>
      <c r="MVX230" s="21"/>
      <c r="MVY230" s="15"/>
      <c r="MVZ230" s="15"/>
      <c r="MWA230" s="15"/>
      <c r="MWB230" s="15"/>
      <c r="MWC230" s="15"/>
      <c r="MWD230" s="15"/>
      <c r="MWE230" s="15"/>
      <c r="MWF230" s="15"/>
      <c r="MWG230" s="15"/>
      <c r="MWH230" s="15"/>
      <c r="MWI230" s="10"/>
      <c r="MWJ230" s="10"/>
      <c r="MWK230" s="21"/>
      <c r="MWL230" s="21"/>
      <c r="MWO230" s="21"/>
      <c r="MWP230" s="15"/>
      <c r="MWQ230" s="15"/>
      <c r="MWR230" s="15"/>
      <c r="MWS230" s="15"/>
      <c r="MWT230" s="15"/>
      <c r="MWU230" s="15"/>
      <c r="MWV230" s="15"/>
      <c r="MWW230" s="15"/>
      <c r="MWX230" s="15"/>
      <c r="MWY230" s="15"/>
      <c r="MWZ230" s="10"/>
      <c r="MXA230" s="10"/>
      <c r="MXB230" s="21"/>
      <c r="MXC230" s="21"/>
      <c r="MXF230" s="21"/>
      <c r="MXG230" s="15"/>
      <c r="MXH230" s="15"/>
      <c r="MXI230" s="15"/>
      <c r="MXJ230" s="15"/>
      <c r="MXK230" s="15"/>
      <c r="MXL230" s="15"/>
      <c r="MXM230" s="15"/>
      <c r="MXN230" s="15"/>
      <c r="MXO230" s="15"/>
      <c r="MXP230" s="15"/>
      <c r="MXQ230" s="10"/>
      <c r="MXR230" s="10"/>
      <c r="MXS230" s="21"/>
      <c r="MXT230" s="21"/>
      <c r="MXW230" s="21"/>
      <c r="MXX230" s="15"/>
      <c r="MXY230" s="15"/>
      <c r="MXZ230" s="15"/>
      <c r="MYA230" s="15"/>
      <c r="MYB230" s="15"/>
      <c r="MYC230" s="15"/>
      <c r="MYD230" s="15"/>
      <c r="MYE230" s="15"/>
      <c r="MYF230" s="15"/>
      <c r="MYG230" s="15"/>
      <c r="MYH230" s="10"/>
      <c r="MYI230" s="10"/>
      <c r="MYJ230" s="21"/>
      <c r="MYK230" s="21"/>
      <c r="MYN230" s="21"/>
      <c r="MYO230" s="15"/>
      <c r="MYP230" s="15"/>
      <c r="MYQ230" s="15"/>
      <c r="MYR230" s="15"/>
      <c r="MYS230" s="15"/>
      <c r="MYT230" s="15"/>
      <c r="MYU230" s="15"/>
      <c r="MYV230" s="15"/>
      <c r="MYW230" s="15"/>
      <c r="MYX230" s="15"/>
      <c r="MYY230" s="10"/>
      <c r="MYZ230" s="10"/>
      <c r="MZA230" s="21"/>
      <c r="MZB230" s="21"/>
      <c r="MZE230" s="21"/>
      <c r="MZF230" s="15"/>
      <c r="MZG230" s="15"/>
      <c r="MZH230" s="15"/>
      <c r="MZI230" s="15"/>
      <c r="MZJ230" s="15"/>
      <c r="MZK230" s="15"/>
      <c r="MZL230" s="15"/>
      <c r="MZM230" s="15"/>
      <c r="MZN230" s="15"/>
      <c r="MZO230" s="15"/>
      <c r="MZP230" s="10"/>
      <c r="MZQ230" s="10"/>
      <c r="MZR230" s="21"/>
      <c r="MZS230" s="21"/>
      <c r="MZV230" s="21"/>
      <c r="MZW230" s="15"/>
      <c r="MZX230" s="15"/>
      <c r="MZY230" s="15"/>
      <c r="MZZ230" s="15"/>
      <c r="NAA230" s="15"/>
      <c r="NAB230" s="15"/>
      <c r="NAC230" s="15"/>
      <c r="NAD230" s="15"/>
      <c r="NAE230" s="15"/>
      <c r="NAF230" s="15"/>
      <c r="NAG230" s="10"/>
      <c r="NAH230" s="10"/>
      <c r="NAI230" s="21"/>
      <c r="NAJ230" s="21"/>
      <c r="NAM230" s="21"/>
      <c r="NAN230" s="15"/>
      <c r="NAO230" s="15"/>
      <c r="NAP230" s="15"/>
      <c r="NAQ230" s="15"/>
      <c r="NAR230" s="15"/>
      <c r="NAS230" s="15"/>
      <c r="NAT230" s="15"/>
      <c r="NAU230" s="15"/>
      <c r="NAV230" s="15"/>
      <c r="NAW230" s="15"/>
      <c r="NAX230" s="10"/>
      <c r="NAY230" s="10"/>
      <c r="NAZ230" s="21"/>
      <c r="NBA230" s="21"/>
      <c r="NBD230" s="21"/>
      <c r="NBE230" s="15"/>
      <c r="NBF230" s="15"/>
      <c r="NBG230" s="15"/>
      <c r="NBH230" s="15"/>
      <c r="NBI230" s="15"/>
      <c r="NBJ230" s="15"/>
      <c r="NBK230" s="15"/>
      <c r="NBL230" s="15"/>
      <c r="NBM230" s="15"/>
      <c r="NBN230" s="15"/>
      <c r="NBO230" s="10"/>
      <c r="NBP230" s="10"/>
      <c r="NBQ230" s="21"/>
      <c r="NBR230" s="21"/>
      <c r="NBU230" s="21"/>
      <c r="NBV230" s="15"/>
      <c r="NBW230" s="15"/>
      <c r="NBX230" s="15"/>
      <c r="NBY230" s="15"/>
      <c r="NBZ230" s="15"/>
      <c r="NCA230" s="15"/>
      <c r="NCB230" s="15"/>
      <c r="NCC230" s="15"/>
      <c r="NCD230" s="15"/>
      <c r="NCE230" s="15"/>
      <c r="NCF230" s="10"/>
      <c r="NCG230" s="10"/>
      <c r="NCH230" s="21"/>
      <c r="NCI230" s="21"/>
      <c r="NCL230" s="21"/>
      <c r="NCM230" s="15"/>
      <c r="NCN230" s="15"/>
      <c r="NCO230" s="15"/>
      <c r="NCP230" s="15"/>
      <c r="NCQ230" s="15"/>
      <c r="NCR230" s="15"/>
      <c r="NCS230" s="15"/>
      <c r="NCT230" s="15"/>
      <c r="NCU230" s="15"/>
      <c r="NCV230" s="15"/>
      <c r="NCW230" s="10"/>
      <c r="NCX230" s="10"/>
      <c r="NCY230" s="21"/>
      <c r="NCZ230" s="21"/>
      <c r="NDC230" s="21"/>
      <c r="NDD230" s="15"/>
      <c r="NDE230" s="15"/>
      <c r="NDF230" s="15"/>
      <c r="NDG230" s="15"/>
      <c r="NDH230" s="15"/>
      <c r="NDI230" s="15"/>
      <c r="NDJ230" s="15"/>
      <c r="NDK230" s="15"/>
      <c r="NDL230" s="15"/>
      <c r="NDM230" s="15"/>
      <c r="NDN230" s="10"/>
      <c r="NDO230" s="10"/>
      <c r="NDP230" s="21"/>
      <c r="NDQ230" s="21"/>
      <c r="NDT230" s="21"/>
      <c r="NDU230" s="15"/>
      <c r="NDV230" s="15"/>
      <c r="NDW230" s="15"/>
      <c r="NDX230" s="15"/>
      <c r="NDY230" s="15"/>
      <c r="NDZ230" s="15"/>
      <c r="NEA230" s="15"/>
      <c r="NEB230" s="15"/>
      <c r="NEC230" s="15"/>
      <c r="NED230" s="15"/>
      <c r="NEE230" s="10"/>
      <c r="NEF230" s="10"/>
      <c r="NEG230" s="21"/>
      <c r="NEH230" s="21"/>
      <c r="NEK230" s="21"/>
      <c r="NEL230" s="15"/>
      <c r="NEM230" s="15"/>
      <c r="NEN230" s="15"/>
      <c r="NEO230" s="15"/>
      <c r="NEP230" s="15"/>
      <c r="NEQ230" s="15"/>
      <c r="NER230" s="15"/>
      <c r="NES230" s="15"/>
      <c r="NET230" s="15"/>
      <c r="NEU230" s="15"/>
      <c r="NEV230" s="10"/>
      <c r="NEW230" s="10"/>
      <c r="NEX230" s="21"/>
      <c r="NEY230" s="21"/>
      <c r="NFB230" s="21"/>
      <c r="NFC230" s="15"/>
      <c r="NFD230" s="15"/>
      <c r="NFE230" s="15"/>
      <c r="NFF230" s="15"/>
      <c r="NFG230" s="15"/>
      <c r="NFH230" s="15"/>
      <c r="NFI230" s="15"/>
      <c r="NFJ230" s="15"/>
      <c r="NFK230" s="15"/>
      <c r="NFL230" s="15"/>
      <c r="NFM230" s="10"/>
      <c r="NFN230" s="10"/>
      <c r="NFO230" s="21"/>
      <c r="NFP230" s="21"/>
      <c r="NFS230" s="21"/>
      <c r="NFT230" s="15"/>
      <c r="NFU230" s="15"/>
      <c r="NFV230" s="15"/>
      <c r="NFW230" s="15"/>
      <c r="NFX230" s="15"/>
      <c r="NFY230" s="15"/>
      <c r="NFZ230" s="15"/>
      <c r="NGA230" s="15"/>
      <c r="NGB230" s="15"/>
      <c r="NGC230" s="15"/>
      <c r="NGD230" s="10"/>
      <c r="NGE230" s="10"/>
      <c r="NGF230" s="21"/>
      <c r="NGG230" s="21"/>
      <c r="NGJ230" s="21"/>
      <c r="NGK230" s="15"/>
      <c r="NGL230" s="15"/>
      <c r="NGM230" s="15"/>
      <c r="NGN230" s="15"/>
      <c r="NGO230" s="15"/>
      <c r="NGP230" s="15"/>
      <c r="NGQ230" s="15"/>
      <c r="NGR230" s="15"/>
      <c r="NGS230" s="15"/>
      <c r="NGT230" s="15"/>
      <c r="NGU230" s="10"/>
      <c r="NGV230" s="10"/>
      <c r="NGW230" s="21"/>
      <c r="NGX230" s="21"/>
      <c r="NHA230" s="21"/>
      <c r="NHB230" s="15"/>
      <c r="NHC230" s="15"/>
      <c r="NHD230" s="15"/>
      <c r="NHE230" s="15"/>
      <c r="NHF230" s="15"/>
      <c r="NHG230" s="15"/>
      <c r="NHH230" s="15"/>
      <c r="NHI230" s="15"/>
      <c r="NHJ230" s="15"/>
      <c r="NHK230" s="15"/>
      <c r="NHL230" s="10"/>
      <c r="NHM230" s="10"/>
      <c r="NHN230" s="21"/>
      <c r="NHO230" s="21"/>
      <c r="NHR230" s="21"/>
      <c r="NHS230" s="15"/>
      <c r="NHT230" s="15"/>
      <c r="NHU230" s="15"/>
      <c r="NHV230" s="15"/>
      <c r="NHW230" s="15"/>
      <c r="NHX230" s="15"/>
      <c r="NHY230" s="15"/>
      <c r="NHZ230" s="15"/>
      <c r="NIA230" s="15"/>
      <c r="NIB230" s="15"/>
      <c r="NIC230" s="10"/>
      <c r="NID230" s="10"/>
      <c r="NIE230" s="21"/>
      <c r="NIF230" s="21"/>
      <c r="NII230" s="21"/>
      <c r="NIJ230" s="15"/>
      <c r="NIK230" s="15"/>
      <c r="NIL230" s="15"/>
      <c r="NIM230" s="15"/>
      <c r="NIN230" s="15"/>
      <c r="NIO230" s="15"/>
      <c r="NIP230" s="15"/>
      <c r="NIQ230" s="15"/>
      <c r="NIR230" s="15"/>
      <c r="NIS230" s="15"/>
      <c r="NIT230" s="10"/>
      <c r="NIU230" s="10"/>
      <c r="NIV230" s="21"/>
      <c r="NIW230" s="21"/>
      <c r="NIZ230" s="21"/>
      <c r="NJA230" s="15"/>
      <c r="NJB230" s="15"/>
      <c r="NJC230" s="15"/>
      <c r="NJD230" s="15"/>
      <c r="NJE230" s="15"/>
      <c r="NJF230" s="15"/>
      <c r="NJG230" s="15"/>
      <c r="NJH230" s="15"/>
      <c r="NJI230" s="15"/>
      <c r="NJJ230" s="15"/>
      <c r="NJK230" s="10"/>
      <c r="NJL230" s="10"/>
      <c r="NJM230" s="21"/>
      <c r="NJN230" s="21"/>
      <c r="NJQ230" s="21"/>
      <c r="NJR230" s="15"/>
      <c r="NJS230" s="15"/>
      <c r="NJT230" s="15"/>
      <c r="NJU230" s="15"/>
      <c r="NJV230" s="15"/>
      <c r="NJW230" s="15"/>
      <c r="NJX230" s="15"/>
      <c r="NJY230" s="15"/>
      <c r="NJZ230" s="15"/>
      <c r="NKA230" s="15"/>
      <c r="NKB230" s="10"/>
      <c r="NKC230" s="10"/>
      <c r="NKD230" s="21"/>
      <c r="NKE230" s="21"/>
      <c r="NKH230" s="21"/>
      <c r="NKI230" s="15"/>
      <c r="NKJ230" s="15"/>
      <c r="NKK230" s="15"/>
      <c r="NKL230" s="15"/>
      <c r="NKM230" s="15"/>
      <c r="NKN230" s="15"/>
      <c r="NKO230" s="15"/>
      <c r="NKP230" s="15"/>
      <c r="NKQ230" s="15"/>
      <c r="NKR230" s="15"/>
      <c r="NKS230" s="10"/>
      <c r="NKT230" s="10"/>
      <c r="NKU230" s="21"/>
      <c r="NKV230" s="21"/>
      <c r="NKY230" s="21"/>
      <c r="NKZ230" s="15"/>
      <c r="NLA230" s="15"/>
      <c r="NLB230" s="15"/>
      <c r="NLC230" s="15"/>
      <c r="NLD230" s="15"/>
      <c r="NLE230" s="15"/>
      <c r="NLF230" s="15"/>
      <c r="NLG230" s="15"/>
      <c r="NLH230" s="15"/>
      <c r="NLI230" s="15"/>
      <c r="NLJ230" s="10"/>
      <c r="NLK230" s="10"/>
      <c r="NLL230" s="21"/>
      <c r="NLM230" s="21"/>
      <c r="NLP230" s="21"/>
      <c r="NLQ230" s="15"/>
      <c r="NLR230" s="15"/>
      <c r="NLS230" s="15"/>
      <c r="NLT230" s="15"/>
      <c r="NLU230" s="15"/>
      <c r="NLV230" s="15"/>
      <c r="NLW230" s="15"/>
      <c r="NLX230" s="15"/>
      <c r="NLY230" s="15"/>
      <c r="NLZ230" s="15"/>
      <c r="NMA230" s="10"/>
      <c r="NMB230" s="10"/>
      <c r="NMC230" s="21"/>
      <c r="NMD230" s="21"/>
      <c r="NMG230" s="21"/>
      <c r="NMH230" s="15"/>
      <c r="NMI230" s="15"/>
      <c r="NMJ230" s="15"/>
      <c r="NMK230" s="15"/>
      <c r="NML230" s="15"/>
      <c r="NMM230" s="15"/>
      <c r="NMN230" s="15"/>
      <c r="NMO230" s="15"/>
      <c r="NMP230" s="15"/>
      <c r="NMQ230" s="15"/>
      <c r="NMR230" s="10"/>
      <c r="NMS230" s="10"/>
      <c r="NMT230" s="21"/>
      <c r="NMU230" s="21"/>
      <c r="NMX230" s="21"/>
      <c r="NMY230" s="15"/>
      <c r="NMZ230" s="15"/>
      <c r="NNA230" s="15"/>
      <c r="NNB230" s="15"/>
      <c r="NNC230" s="15"/>
      <c r="NND230" s="15"/>
      <c r="NNE230" s="15"/>
      <c r="NNF230" s="15"/>
      <c r="NNG230" s="15"/>
      <c r="NNH230" s="15"/>
      <c r="NNI230" s="10"/>
      <c r="NNJ230" s="10"/>
      <c r="NNK230" s="21"/>
      <c r="NNL230" s="21"/>
      <c r="NNO230" s="21"/>
      <c r="NNP230" s="15"/>
      <c r="NNQ230" s="15"/>
      <c r="NNR230" s="15"/>
      <c r="NNS230" s="15"/>
      <c r="NNT230" s="15"/>
      <c r="NNU230" s="15"/>
      <c r="NNV230" s="15"/>
      <c r="NNW230" s="15"/>
      <c r="NNX230" s="15"/>
      <c r="NNY230" s="15"/>
      <c r="NNZ230" s="10"/>
      <c r="NOA230" s="10"/>
      <c r="NOB230" s="21"/>
      <c r="NOC230" s="21"/>
      <c r="NOF230" s="21"/>
      <c r="NOG230" s="15"/>
      <c r="NOH230" s="15"/>
      <c r="NOI230" s="15"/>
      <c r="NOJ230" s="15"/>
      <c r="NOK230" s="15"/>
      <c r="NOL230" s="15"/>
      <c r="NOM230" s="15"/>
      <c r="NON230" s="15"/>
      <c r="NOO230" s="15"/>
      <c r="NOP230" s="15"/>
      <c r="NOQ230" s="10"/>
      <c r="NOR230" s="10"/>
      <c r="NOS230" s="21"/>
      <c r="NOT230" s="21"/>
      <c r="NOW230" s="21"/>
      <c r="NOX230" s="15"/>
      <c r="NOY230" s="15"/>
      <c r="NOZ230" s="15"/>
      <c r="NPA230" s="15"/>
      <c r="NPB230" s="15"/>
      <c r="NPC230" s="15"/>
      <c r="NPD230" s="15"/>
      <c r="NPE230" s="15"/>
      <c r="NPF230" s="15"/>
      <c r="NPG230" s="15"/>
      <c r="NPH230" s="10"/>
      <c r="NPI230" s="10"/>
      <c r="NPJ230" s="21"/>
      <c r="NPK230" s="21"/>
      <c r="NPN230" s="21"/>
      <c r="NPO230" s="15"/>
      <c r="NPP230" s="15"/>
      <c r="NPQ230" s="15"/>
      <c r="NPR230" s="15"/>
      <c r="NPS230" s="15"/>
      <c r="NPT230" s="15"/>
      <c r="NPU230" s="15"/>
      <c r="NPV230" s="15"/>
      <c r="NPW230" s="15"/>
      <c r="NPX230" s="15"/>
      <c r="NPY230" s="10"/>
      <c r="NPZ230" s="10"/>
      <c r="NQA230" s="21"/>
      <c r="NQB230" s="21"/>
      <c r="NQE230" s="21"/>
      <c r="NQF230" s="15"/>
      <c r="NQG230" s="15"/>
      <c r="NQH230" s="15"/>
      <c r="NQI230" s="15"/>
      <c r="NQJ230" s="15"/>
      <c r="NQK230" s="15"/>
      <c r="NQL230" s="15"/>
      <c r="NQM230" s="15"/>
      <c r="NQN230" s="15"/>
      <c r="NQO230" s="15"/>
      <c r="NQP230" s="10"/>
      <c r="NQQ230" s="10"/>
      <c r="NQR230" s="21"/>
      <c r="NQS230" s="21"/>
      <c r="NQV230" s="21"/>
      <c r="NQW230" s="15"/>
      <c r="NQX230" s="15"/>
      <c r="NQY230" s="15"/>
      <c r="NQZ230" s="15"/>
      <c r="NRA230" s="15"/>
      <c r="NRB230" s="15"/>
      <c r="NRC230" s="15"/>
      <c r="NRD230" s="15"/>
      <c r="NRE230" s="15"/>
      <c r="NRF230" s="15"/>
      <c r="NRG230" s="10"/>
      <c r="NRH230" s="10"/>
      <c r="NRI230" s="21"/>
      <c r="NRJ230" s="21"/>
      <c r="NRM230" s="21"/>
      <c r="NRN230" s="15"/>
      <c r="NRO230" s="15"/>
      <c r="NRP230" s="15"/>
      <c r="NRQ230" s="15"/>
      <c r="NRR230" s="15"/>
      <c r="NRS230" s="15"/>
      <c r="NRT230" s="15"/>
      <c r="NRU230" s="15"/>
      <c r="NRV230" s="15"/>
      <c r="NRW230" s="15"/>
      <c r="NRX230" s="10"/>
      <c r="NRY230" s="10"/>
      <c r="NRZ230" s="21"/>
      <c r="NSA230" s="21"/>
      <c r="NSD230" s="21"/>
      <c r="NSE230" s="15"/>
      <c r="NSF230" s="15"/>
      <c r="NSG230" s="15"/>
      <c r="NSH230" s="15"/>
      <c r="NSI230" s="15"/>
      <c r="NSJ230" s="15"/>
      <c r="NSK230" s="15"/>
      <c r="NSL230" s="15"/>
      <c r="NSM230" s="15"/>
      <c r="NSN230" s="15"/>
      <c r="NSO230" s="10"/>
      <c r="NSP230" s="10"/>
      <c r="NSQ230" s="21"/>
      <c r="NSR230" s="21"/>
      <c r="NSU230" s="21"/>
      <c r="NSV230" s="15"/>
      <c r="NSW230" s="15"/>
      <c r="NSX230" s="15"/>
      <c r="NSY230" s="15"/>
      <c r="NSZ230" s="15"/>
      <c r="NTA230" s="15"/>
      <c r="NTB230" s="15"/>
      <c r="NTC230" s="15"/>
      <c r="NTD230" s="15"/>
      <c r="NTE230" s="15"/>
      <c r="NTF230" s="10"/>
      <c r="NTG230" s="10"/>
      <c r="NTH230" s="21"/>
      <c r="NTI230" s="21"/>
      <c r="NTL230" s="21"/>
      <c r="NTM230" s="15"/>
      <c r="NTN230" s="15"/>
      <c r="NTO230" s="15"/>
      <c r="NTP230" s="15"/>
      <c r="NTQ230" s="15"/>
      <c r="NTR230" s="15"/>
      <c r="NTS230" s="15"/>
      <c r="NTT230" s="15"/>
      <c r="NTU230" s="15"/>
      <c r="NTV230" s="15"/>
      <c r="NTW230" s="10"/>
      <c r="NTX230" s="10"/>
      <c r="NTY230" s="21"/>
      <c r="NTZ230" s="21"/>
      <c r="NUC230" s="21"/>
      <c r="NUD230" s="15"/>
      <c r="NUE230" s="15"/>
      <c r="NUF230" s="15"/>
      <c r="NUG230" s="15"/>
      <c r="NUH230" s="15"/>
      <c r="NUI230" s="15"/>
      <c r="NUJ230" s="15"/>
      <c r="NUK230" s="15"/>
      <c r="NUL230" s="15"/>
      <c r="NUM230" s="15"/>
      <c r="NUN230" s="10"/>
      <c r="NUO230" s="10"/>
      <c r="NUP230" s="21"/>
      <c r="NUQ230" s="21"/>
      <c r="NUT230" s="21"/>
      <c r="NUU230" s="15"/>
      <c r="NUV230" s="15"/>
      <c r="NUW230" s="15"/>
      <c r="NUX230" s="15"/>
      <c r="NUY230" s="15"/>
      <c r="NUZ230" s="15"/>
      <c r="NVA230" s="15"/>
      <c r="NVB230" s="15"/>
      <c r="NVC230" s="15"/>
      <c r="NVD230" s="15"/>
      <c r="NVE230" s="10"/>
      <c r="NVF230" s="10"/>
      <c r="NVG230" s="21"/>
      <c r="NVH230" s="21"/>
      <c r="NVK230" s="21"/>
      <c r="NVL230" s="15"/>
      <c r="NVM230" s="15"/>
      <c r="NVN230" s="15"/>
      <c r="NVO230" s="15"/>
      <c r="NVP230" s="15"/>
      <c r="NVQ230" s="15"/>
      <c r="NVR230" s="15"/>
      <c r="NVS230" s="15"/>
      <c r="NVT230" s="15"/>
      <c r="NVU230" s="15"/>
      <c r="NVV230" s="10"/>
      <c r="NVW230" s="10"/>
      <c r="NVX230" s="21"/>
      <c r="NVY230" s="21"/>
      <c r="NWB230" s="21"/>
      <c r="NWC230" s="15"/>
      <c r="NWD230" s="15"/>
      <c r="NWE230" s="15"/>
      <c r="NWF230" s="15"/>
      <c r="NWG230" s="15"/>
      <c r="NWH230" s="15"/>
      <c r="NWI230" s="15"/>
      <c r="NWJ230" s="15"/>
      <c r="NWK230" s="15"/>
      <c r="NWL230" s="15"/>
      <c r="NWM230" s="10"/>
      <c r="NWN230" s="10"/>
      <c r="NWO230" s="21"/>
      <c r="NWP230" s="21"/>
      <c r="NWS230" s="21"/>
      <c r="NWT230" s="15"/>
      <c r="NWU230" s="15"/>
      <c r="NWV230" s="15"/>
      <c r="NWW230" s="15"/>
      <c r="NWX230" s="15"/>
      <c r="NWY230" s="15"/>
      <c r="NWZ230" s="15"/>
      <c r="NXA230" s="15"/>
      <c r="NXB230" s="15"/>
      <c r="NXC230" s="15"/>
      <c r="NXD230" s="10"/>
      <c r="NXE230" s="10"/>
      <c r="NXF230" s="21"/>
      <c r="NXG230" s="21"/>
      <c r="NXJ230" s="21"/>
      <c r="NXK230" s="15"/>
      <c r="NXL230" s="15"/>
      <c r="NXM230" s="15"/>
      <c r="NXN230" s="15"/>
      <c r="NXO230" s="15"/>
      <c r="NXP230" s="15"/>
      <c r="NXQ230" s="15"/>
      <c r="NXR230" s="15"/>
      <c r="NXS230" s="15"/>
      <c r="NXT230" s="15"/>
      <c r="NXU230" s="10"/>
      <c r="NXV230" s="10"/>
      <c r="NXW230" s="21"/>
      <c r="NXX230" s="21"/>
      <c r="NYA230" s="21"/>
      <c r="NYB230" s="15"/>
      <c r="NYC230" s="15"/>
      <c r="NYD230" s="15"/>
      <c r="NYE230" s="15"/>
      <c r="NYF230" s="15"/>
      <c r="NYG230" s="15"/>
      <c r="NYH230" s="15"/>
      <c r="NYI230" s="15"/>
      <c r="NYJ230" s="15"/>
      <c r="NYK230" s="15"/>
      <c r="NYL230" s="10"/>
      <c r="NYM230" s="10"/>
      <c r="NYN230" s="21"/>
      <c r="NYO230" s="21"/>
      <c r="NYR230" s="21"/>
      <c r="NYS230" s="15"/>
      <c r="NYT230" s="15"/>
      <c r="NYU230" s="15"/>
      <c r="NYV230" s="15"/>
      <c r="NYW230" s="15"/>
      <c r="NYX230" s="15"/>
      <c r="NYY230" s="15"/>
      <c r="NYZ230" s="15"/>
      <c r="NZA230" s="15"/>
      <c r="NZB230" s="15"/>
      <c r="NZC230" s="10"/>
      <c r="NZD230" s="10"/>
      <c r="NZE230" s="21"/>
      <c r="NZF230" s="21"/>
      <c r="NZI230" s="21"/>
      <c r="NZJ230" s="15"/>
      <c r="NZK230" s="15"/>
      <c r="NZL230" s="15"/>
      <c r="NZM230" s="15"/>
      <c r="NZN230" s="15"/>
      <c r="NZO230" s="15"/>
      <c r="NZP230" s="15"/>
      <c r="NZQ230" s="15"/>
      <c r="NZR230" s="15"/>
      <c r="NZS230" s="15"/>
      <c r="NZT230" s="10"/>
      <c r="NZU230" s="10"/>
      <c r="NZV230" s="21"/>
      <c r="NZW230" s="21"/>
      <c r="NZZ230" s="21"/>
      <c r="OAA230" s="15"/>
      <c r="OAB230" s="15"/>
      <c r="OAC230" s="15"/>
      <c r="OAD230" s="15"/>
      <c r="OAE230" s="15"/>
      <c r="OAF230" s="15"/>
      <c r="OAG230" s="15"/>
      <c r="OAH230" s="15"/>
      <c r="OAI230" s="15"/>
      <c r="OAJ230" s="15"/>
      <c r="OAK230" s="10"/>
      <c r="OAL230" s="10"/>
      <c r="OAM230" s="21"/>
      <c r="OAN230" s="21"/>
      <c r="OAQ230" s="21"/>
      <c r="OAR230" s="15"/>
      <c r="OAS230" s="15"/>
      <c r="OAT230" s="15"/>
      <c r="OAU230" s="15"/>
      <c r="OAV230" s="15"/>
      <c r="OAW230" s="15"/>
      <c r="OAX230" s="15"/>
      <c r="OAY230" s="15"/>
      <c r="OAZ230" s="15"/>
      <c r="OBA230" s="15"/>
      <c r="OBB230" s="10"/>
      <c r="OBC230" s="10"/>
      <c r="OBD230" s="21"/>
      <c r="OBE230" s="21"/>
      <c r="OBH230" s="21"/>
      <c r="OBI230" s="15"/>
      <c r="OBJ230" s="15"/>
      <c r="OBK230" s="15"/>
      <c r="OBL230" s="15"/>
      <c r="OBM230" s="15"/>
      <c r="OBN230" s="15"/>
      <c r="OBO230" s="15"/>
      <c r="OBP230" s="15"/>
      <c r="OBQ230" s="15"/>
      <c r="OBR230" s="15"/>
      <c r="OBS230" s="10"/>
      <c r="OBT230" s="10"/>
      <c r="OBU230" s="21"/>
      <c r="OBV230" s="21"/>
      <c r="OBY230" s="21"/>
      <c r="OBZ230" s="15"/>
      <c r="OCA230" s="15"/>
      <c r="OCB230" s="15"/>
      <c r="OCC230" s="15"/>
      <c r="OCD230" s="15"/>
      <c r="OCE230" s="15"/>
      <c r="OCF230" s="15"/>
      <c r="OCG230" s="15"/>
      <c r="OCH230" s="15"/>
      <c r="OCI230" s="15"/>
      <c r="OCJ230" s="10"/>
      <c r="OCK230" s="10"/>
      <c r="OCL230" s="21"/>
      <c r="OCM230" s="21"/>
      <c r="OCP230" s="21"/>
      <c r="OCQ230" s="15"/>
      <c r="OCR230" s="15"/>
      <c r="OCS230" s="15"/>
      <c r="OCT230" s="15"/>
      <c r="OCU230" s="15"/>
      <c r="OCV230" s="15"/>
      <c r="OCW230" s="15"/>
      <c r="OCX230" s="15"/>
      <c r="OCY230" s="15"/>
      <c r="OCZ230" s="15"/>
      <c r="ODA230" s="10"/>
      <c r="ODB230" s="10"/>
      <c r="ODC230" s="21"/>
      <c r="ODD230" s="21"/>
      <c r="ODG230" s="21"/>
      <c r="ODH230" s="15"/>
      <c r="ODI230" s="15"/>
      <c r="ODJ230" s="15"/>
      <c r="ODK230" s="15"/>
      <c r="ODL230" s="15"/>
      <c r="ODM230" s="15"/>
      <c r="ODN230" s="15"/>
      <c r="ODO230" s="15"/>
      <c r="ODP230" s="15"/>
      <c r="ODQ230" s="15"/>
      <c r="ODR230" s="10"/>
      <c r="ODS230" s="10"/>
      <c r="ODT230" s="21"/>
      <c r="ODU230" s="21"/>
      <c r="ODX230" s="21"/>
      <c r="ODY230" s="15"/>
      <c r="ODZ230" s="15"/>
      <c r="OEA230" s="15"/>
      <c r="OEB230" s="15"/>
      <c r="OEC230" s="15"/>
      <c r="OED230" s="15"/>
      <c r="OEE230" s="15"/>
      <c r="OEF230" s="15"/>
      <c r="OEG230" s="15"/>
      <c r="OEH230" s="15"/>
      <c r="OEI230" s="10"/>
      <c r="OEJ230" s="10"/>
      <c r="OEK230" s="21"/>
      <c r="OEL230" s="21"/>
      <c r="OEO230" s="21"/>
      <c r="OEP230" s="15"/>
      <c r="OEQ230" s="15"/>
      <c r="OER230" s="15"/>
      <c r="OES230" s="15"/>
      <c r="OET230" s="15"/>
      <c r="OEU230" s="15"/>
      <c r="OEV230" s="15"/>
      <c r="OEW230" s="15"/>
      <c r="OEX230" s="15"/>
      <c r="OEY230" s="15"/>
      <c r="OEZ230" s="10"/>
      <c r="OFA230" s="10"/>
      <c r="OFB230" s="21"/>
      <c r="OFC230" s="21"/>
      <c r="OFF230" s="21"/>
      <c r="OFG230" s="15"/>
      <c r="OFH230" s="15"/>
      <c r="OFI230" s="15"/>
      <c r="OFJ230" s="15"/>
      <c r="OFK230" s="15"/>
      <c r="OFL230" s="15"/>
      <c r="OFM230" s="15"/>
      <c r="OFN230" s="15"/>
      <c r="OFO230" s="15"/>
      <c r="OFP230" s="15"/>
      <c r="OFQ230" s="10"/>
      <c r="OFR230" s="10"/>
      <c r="OFS230" s="21"/>
      <c r="OFT230" s="21"/>
      <c r="OFW230" s="21"/>
      <c r="OFX230" s="15"/>
      <c r="OFY230" s="15"/>
      <c r="OFZ230" s="15"/>
      <c r="OGA230" s="15"/>
      <c r="OGB230" s="15"/>
      <c r="OGC230" s="15"/>
      <c r="OGD230" s="15"/>
      <c r="OGE230" s="15"/>
      <c r="OGF230" s="15"/>
      <c r="OGG230" s="15"/>
      <c r="OGH230" s="10"/>
      <c r="OGI230" s="10"/>
      <c r="OGJ230" s="21"/>
      <c r="OGK230" s="21"/>
      <c r="OGN230" s="21"/>
      <c r="OGO230" s="15"/>
      <c r="OGP230" s="15"/>
      <c r="OGQ230" s="15"/>
      <c r="OGR230" s="15"/>
      <c r="OGS230" s="15"/>
      <c r="OGT230" s="15"/>
      <c r="OGU230" s="15"/>
      <c r="OGV230" s="15"/>
      <c r="OGW230" s="15"/>
      <c r="OGX230" s="15"/>
      <c r="OGY230" s="10"/>
      <c r="OGZ230" s="10"/>
      <c r="OHA230" s="21"/>
      <c r="OHB230" s="21"/>
      <c r="OHE230" s="21"/>
      <c r="OHF230" s="15"/>
      <c r="OHG230" s="15"/>
      <c r="OHH230" s="15"/>
      <c r="OHI230" s="15"/>
      <c r="OHJ230" s="15"/>
      <c r="OHK230" s="15"/>
      <c r="OHL230" s="15"/>
      <c r="OHM230" s="15"/>
      <c r="OHN230" s="15"/>
      <c r="OHO230" s="15"/>
      <c r="OHP230" s="10"/>
      <c r="OHQ230" s="10"/>
      <c r="OHR230" s="21"/>
      <c r="OHS230" s="21"/>
      <c r="OHV230" s="21"/>
      <c r="OHW230" s="15"/>
      <c r="OHX230" s="15"/>
      <c r="OHY230" s="15"/>
      <c r="OHZ230" s="15"/>
      <c r="OIA230" s="15"/>
      <c r="OIB230" s="15"/>
      <c r="OIC230" s="15"/>
      <c r="OID230" s="15"/>
      <c r="OIE230" s="15"/>
      <c r="OIF230" s="15"/>
      <c r="OIG230" s="10"/>
      <c r="OIH230" s="10"/>
      <c r="OII230" s="21"/>
      <c r="OIJ230" s="21"/>
      <c r="OIM230" s="21"/>
      <c r="OIN230" s="15"/>
      <c r="OIO230" s="15"/>
      <c r="OIP230" s="15"/>
      <c r="OIQ230" s="15"/>
      <c r="OIR230" s="15"/>
      <c r="OIS230" s="15"/>
      <c r="OIT230" s="15"/>
      <c r="OIU230" s="15"/>
      <c r="OIV230" s="15"/>
      <c r="OIW230" s="15"/>
      <c r="OIX230" s="10"/>
      <c r="OIY230" s="10"/>
      <c r="OIZ230" s="21"/>
      <c r="OJA230" s="21"/>
      <c r="OJD230" s="21"/>
      <c r="OJE230" s="15"/>
      <c r="OJF230" s="15"/>
      <c r="OJG230" s="15"/>
      <c r="OJH230" s="15"/>
      <c r="OJI230" s="15"/>
      <c r="OJJ230" s="15"/>
      <c r="OJK230" s="15"/>
      <c r="OJL230" s="15"/>
      <c r="OJM230" s="15"/>
      <c r="OJN230" s="15"/>
      <c r="OJO230" s="10"/>
      <c r="OJP230" s="10"/>
      <c r="OJQ230" s="21"/>
      <c r="OJR230" s="21"/>
      <c r="OJU230" s="21"/>
      <c r="OJV230" s="15"/>
      <c r="OJW230" s="15"/>
      <c r="OJX230" s="15"/>
      <c r="OJY230" s="15"/>
      <c r="OJZ230" s="15"/>
      <c r="OKA230" s="15"/>
      <c r="OKB230" s="15"/>
      <c r="OKC230" s="15"/>
      <c r="OKD230" s="15"/>
      <c r="OKE230" s="15"/>
      <c r="OKF230" s="10"/>
      <c r="OKG230" s="10"/>
      <c r="OKH230" s="21"/>
      <c r="OKI230" s="21"/>
      <c r="OKL230" s="21"/>
      <c r="OKM230" s="15"/>
      <c r="OKN230" s="15"/>
      <c r="OKO230" s="15"/>
      <c r="OKP230" s="15"/>
      <c r="OKQ230" s="15"/>
      <c r="OKR230" s="15"/>
      <c r="OKS230" s="15"/>
      <c r="OKT230" s="15"/>
      <c r="OKU230" s="15"/>
      <c r="OKV230" s="15"/>
      <c r="OKW230" s="10"/>
      <c r="OKX230" s="10"/>
      <c r="OKY230" s="21"/>
      <c r="OKZ230" s="21"/>
      <c r="OLC230" s="21"/>
      <c r="OLD230" s="15"/>
      <c r="OLE230" s="15"/>
      <c r="OLF230" s="15"/>
      <c r="OLG230" s="15"/>
      <c r="OLH230" s="15"/>
      <c r="OLI230" s="15"/>
      <c r="OLJ230" s="15"/>
      <c r="OLK230" s="15"/>
      <c r="OLL230" s="15"/>
      <c r="OLM230" s="15"/>
      <c r="OLN230" s="10"/>
      <c r="OLO230" s="10"/>
      <c r="OLP230" s="21"/>
      <c r="OLQ230" s="21"/>
      <c r="OLT230" s="21"/>
      <c r="OLU230" s="15"/>
      <c r="OLV230" s="15"/>
      <c r="OLW230" s="15"/>
      <c r="OLX230" s="15"/>
      <c r="OLY230" s="15"/>
      <c r="OLZ230" s="15"/>
      <c r="OMA230" s="15"/>
      <c r="OMB230" s="15"/>
      <c r="OMC230" s="15"/>
      <c r="OMD230" s="15"/>
      <c r="OME230" s="10"/>
      <c r="OMF230" s="10"/>
      <c r="OMG230" s="21"/>
      <c r="OMH230" s="21"/>
      <c r="OMK230" s="21"/>
      <c r="OML230" s="15"/>
      <c r="OMM230" s="15"/>
      <c r="OMN230" s="15"/>
      <c r="OMO230" s="15"/>
      <c r="OMP230" s="15"/>
      <c r="OMQ230" s="15"/>
      <c r="OMR230" s="15"/>
      <c r="OMS230" s="15"/>
      <c r="OMT230" s="15"/>
      <c r="OMU230" s="15"/>
      <c r="OMV230" s="10"/>
      <c r="OMW230" s="10"/>
      <c r="OMX230" s="21"/>
      <c r="OMY230" s="21"/>
      <c r="ONB230" s="21"/>
      <c r="ONC230" s="15"/>
      <c r="OND230" s="15"/>
      <c r="ONE230" s="15"/>
      <c r="ONF230" s="15"/>
      <c r="ONG230" s="15"/>
      <c r="ONH230" s="15"/>
      <c r="ONI230" s="15"/>
      <c r="ONJ230" s="15"/>
      <c r="ONK230" s="15"/>
      <c r="ONL230" s="15"/>
      <c r="ONM230" s="10"/>
      <c r="ONN230" s="10"/>
      <c r="ONO230" s="21"/>
      <c r="ONP230" s="21"/>
      <c r="ONS230" s="21"/>
      <c r="ONT230" s="15"/>
      <c r="ONU230" s="15"/>
      <c r="ONV230" s="15"/>
      <c r="ONW230" s="15"/>
      <c r="ONX230" s="15"/>
      <c r="ONY230" s="15"/>
      <c r="ONZ230" s="15"/>
      <c r="OOA230" s="15"/>
      <c r="OOB230" s="15"/>
      <c r="OOC230" s="15"/>
      <c r="OOD230" s="10"/>
      <c r="OOE230" s="10"/>
      <c r="OOF230" s="21"/>
      <c r="OOG230" s="21"/>
      <c r="OOJ230" s="21"/>
      <c r="OOK230" s="15"/>
      <c r="OOL230" s="15"/>
      <c r="OOM230" s="15"/>
      <c r="OON230" s="15"/>
      <c r="OOO230" s="15"/>
      <c r="OOP230" s="15"/>
      <c r="OOQ230" s="15"/>
      <c r="OOR230" s="15"/>
      <c r="OOS230" s="15"/>
      <c r="OOT230" s="15"/>
      <c r="OOU230" s="10"/>
      <c r="OOV230" s="10"/>
      <c r="OOW230" s="21"/>
      <c r="OOX230" s="21"/>
      <c r="OPA230" s="21"/>
      <c r="OPB230" s="15"/>
      <c r="OPC230" s="15"/>
      <c r="OPD230" s="15"/>
      <c r="OPE230" s="15"/>
      <c r="OPF230" s="15"/>
      <c r="OPG230" s="15"/>
      <c r="OPH230" s="15"/>
      <c r="OPI230" s="15"/>
      <c r="OPJ230" s="15"/>
      <c r="OPK230" s="15"/>
      <c r="OPL230" s="10"/>
      <c r="OPM230" s="10"/>
      <c r="OPN230" s="21"/>
      <c r="OPO230" s="21"/>
      <c r="OPR230" s="21"/>
      <c r="OPS230" s="15"/>
      <c r="OPT230" s="15"/>
      <c r="OPU230" s="15"/>
      <c r="OPV230" s="15"/>
      <c r="OPW230" s="15"/>
      <c r="OPX230" s="15"/>
      <c r="OPY230" s="15"/>
      <c r="OPZ230" s="15"/>
      <c r="OQA230" s="15"/>
      <c r="OQB230" s="15"/>
      <c r="OQC230" s="10"/>
      <c r="OQD230" s="10"/>
      <c r="OQE230" s="21"/>
      <c r="OQF230" s="21"/>
      <c r="OQI230" s="21"/>
      <c r="OQJ230" s="15"/>
      <c r="OQK230" s="15"/>
      <c r="OQL230" s="15"/>
      <c r="OQM230" s="15"/>
      <c r="OQN230" s="15"/>
      <c r="OQO230" s="15"/>
      <c r="OQP230" s="15"/>
      <c r="OQQ230" s="15"/>
      <c r="OQR230" s="15"/>
      <c r="OQS230" s="15"/>
      <c r="OQT230" s="10"/>
      <c r="OQU230" s="10"/>
      <c r="OQV230" s="21"/>
      <c r="OQW230" s="21"/>
      <c r="OQZ230" s="21"/>
      <c r="ORA230" s="15"/>
      <c r="ORB230" s="15"/>
      <c r="ORC230" s="15"/>
      <c r="ORD230" s="15"/>
      <c r="ORE230" s="15"/>
      <c r="ORF230" s="15"/>
      <c r="ORG230" s="15"/>
      <c r="ORH230" s="15"/>
      <c r="ORI230" s="15"/>
      <c r="ORJ230" s="15"/>
      <c r="ORK230" s="10"/>
      <c r="ORL230" s="10"/>
      <c r="ORM230" s="21"/>
      <c r="ORN230" s="21"/>
      <c r="ORQ230" s="21"/>
      <c r="ORR230" s="15"/>
      <c r="ORS230" s="15"/>
      <c r="ORT230" s="15"/>
      <c r="ORU230" s="15"/>
      <c r="ORV230" s="15"/>
      <c r="ORW230" s="15"/>
      <c r="ORX230" s="15"/>
      <c r="ORY230" s="15"/>
      <c r="ORZ230" s="15"/>
      <c r="OSA230" s="15"/>
      <c r="OSB230" s="10"/>
      <c r="OSC230" s="10"/>
      <c r="OSD230" s="21"/>
      <c r="OSE230" s="21"/>
      <c r="OSH230" s="21"/>
      <c r="OSI230" s="15"/>
      <c r="OSJ230" s="15"/>
      <c r="OSK230" s="15"/>
      <c r="OSL230" s="15"/>
      <c r="OSM230" s="15"/>
      <c r="OSN230" s="15"/>
      <c r="OSO230" s="15"/>
      <c r="OSP230" s="15"/>
      <c r="OSQ230" s="15"/>
      <c r="OSR230" s="15"/>
      <c r="OSS230" s="10"/>
      <c r="OST230" s="10"/>
      <c r="OSU230" s="21"/>
      <c r="OSV230" s="21"/>
      <c r="OSY230" s="21"/>
      <c r="OSZ230" s="15"/>
      <c r="OTA230" s="15"/>
      <c r="OTB230" s="15"/>
      <c r="OTC230" s="15"/>
      <c r="OTD230" s="15"/>
      <c r="OTE230" s="15"/>
      <c r="OTF230" s="15"/>
      <c r="OTG230" s="15"/>
      <c r="OTH230" s="15"/>
      <c r="OTI230" s="15"/>
      <c r="OTJ230" s="10"/>
      <c r="OTK230" s="10"/>
      <c r="OTL230" s="21"/>
      <c r="OTM230" s="21"/>
      <c r="OTP230" s="21"/>
      <c r="OTQ230" s="15"/>
      <c r="OTR230" s="15"/>
      <c r="OTS230" s="15"/>
      <c r="OTT230" s="15"/>
      <c r="OTU230" s="15"/>
      <c r="OTV230" s="15"/>
      <c r="OTW230" s="15"/>
      <c r="OTX230" s="15"/>
      <c r="OTY230" s="15"/>
      <c r="OTZ230" s="15"/>
      <c r="OUA230" s="10"/>
      <c r="OUB230" s="10"/>
      <c r="OUC230" s="21"/>
      <c r="OUD230" s="21"/>
      <c r="OUG230" s="21"/>
      <c r="OUH230" s="15"/>
      <c r="OUI230" s="15"/>
      <c r="OUJ230" s="15"/>
      <c r="OUK230" s="15"/>
      <c r="OUL230" s="15"/>
      <c r="OUM230" s="15"/>
      <c r="OUN230" s="15"/>
      <c r="OUO230" s="15"/>
      <c r="OUP230" s="15"/>
      <c r="OUQ230" s="15"/>
      <c r="OUR230" s="10"/>
      <c r="OUS230" s="10"/>
      <c r="OUT230" s="21"/>
      <c r="OUU230" s="21"/>
      <c r="OUX230" s="21"/>
      <c r="OUY230" s="15"/>
      <c r="OUZ230" s="15"/>
      <c r="OVA230" s="15"/>
      <c r="OVB230" s="15"/>
      <c r="OVC230" s="15"/>
      <c r="OVD230" s="15"/>
      <c r="OVE230" s="15"/>
      <c r="OVF230" s="15"/>
      <c r="OVG230" s="15"/>
      <c r="OVH230" s="15"/>
      <c r="OVI230" s="10"/>
      <c r="OVJ230" s="10"/>
      <c r="OVK230" s="21"/>
      <c r="OVL230" s="21"/>
      <c r="OVO230" s="21"/>
      <c r="OVP230" s="15"/>
      <c r="OVQ230" s="15"/>
      <c r="OVR230" s="15"/>
      <c r="OVS230" s="15"/>
      <c r="OVT230" s="15"/>
      <c r="OVU230" s="15"/>
      <c r="OVV230" s="15"/>
      <c r="OVW230" s="15"/>
      <c r="OVX230" s="15"/>
      <c r="OVY230" s="15"/>
      <c r="OVZ230" s="10"/>
      <c r="OWA230" s="10"/>
      <c r="OWB230" s="21"/>
      <c r="OWC230" s="21"/>
      <c r="OWF230" s="21"/>
      <c r="OWG230" s="15"/>
      <c r="OWH230" s="15"/>
      <c r="OWI230" s="15"/>
      <c r="OWJ230" s="15"/>
      <c r="OWK230" s="15"/>
      <c r="OWL230" s="15"/>
      <c r="OWM230" s="15"/>
      <c r="OWN230" s="15"/>
      <c r="OWO230" s="15"/>
      <c r="OWP230" s="15"/>
      <c r="OWQ230" s="10"/>
      <c r="OWR230" s="10"/>
      <c r="OWS230" s="21"/>
      <c r="OWT230" s="21"/>
      <c r="OWW230" s="21"/>
      <c r="OWX230" s="15"/>
      <c r="OWY230" s="15"/>
      <c r="OWZ230" s="15"/>
      <c r="OXA230" s="15"/>
      <c r="OXB230" s="15"/>
      <c r="OXC230" s="15"/>
      <c r="OXD230" s="15"/>
      <c r="OXE230" s="15"/>
      <c r="OXF230" s="15"/>
      <c r="OXG230" s="15"/>
      <c r="OXH230" s="10"/>
      <c r="OXI230" s="10"/>
      <c r="OXJ230" s="21"/>
      <c r="OXK230" s="21"/>
      <c r="OXN230" s="21"/>
      <c r="OXO230" s="15"/>
      <c r="OXP230" s="15"/>
      <c r="OXQ230" s="15"/>
      <c r="OXR230" s="15"/>
      <c r="OXS230" s="15"/>
      <c r="OXT230" s="15"/>
      <c r="OXU230" s="15"/>
      <c r="OXV230" s="15"/>
      <c r="OXW230" s="15"/>
      <c r="OXX230" s="15"/>
      <c r="OXY230" s="10"/>
      <c r="OXZ230" s="10"/>
      <c r="OYA230" s="21"/>
      <c r="OYB230" s="21"/>
      <c r="OYE230" s="21"/>
      <c r="OYF230" s="15"/>
      <c r="OYG230" s="15"/>
      <c r="OYH230" s="15"/>
      <c r="OYI230" s="15"/>
      <c r="OYJ230" s="15"/>
      <c r="OYK230" s="15"/>
      <c r="OYL230" s="15"/>
      <c r="OYM230" s="15"/>
      <c r="OYN230" s="15"/>
      <c r="OYO230" s="15"/>
      <c r="OYP230" s="10"/>
      <c r="OYQ230" s="10"/>
      <c r="OYR230" s="21"/>
      <c r="OYS230" s="21"/>
      <c r="OYV230" s="21"/>
      <c r="OYW230" s="15"/>
      <c r="OYX230" s="15"/>
      <c r="OYY230" s="15"/>
      <c r="OYZ230" s="15"/>
      <c r="OZA230" s="15"/>
      <c r="OZB230" s="15"/>
      <c r="OZC230" s="15"/>
      <c r="OZD230" s="15"/>
      <c r="OZE230" s="15"/>
      <c r="OZF230" s="15"/>
      <c r="OZG230" s="10"/>
      <c r="OZH230" s="10"/>
      <c r="OZI230" s="21"/>
      <c r="OZJ230" s="21"/>
      <c r="OZM230" s="21"/>
      <c r="OZN230" s="15"/>
      <c r="OZO230" s="15"/>
      <c r="OZP230" s="15"/>
      <c r="OZQ230" s="15"/>
      <c r="OZR230" s="15"/>
      <c r="OZS230" s="15"/>
      <c r="OZT230" s="15"/>
      <c r="OZU230" s="15"/>
      <c r="OZV230" s="15"/>
      <c r="OZW230" s="15"/>
      <c r="OZX230" s="10"/>
      <c r="OZY230" s="10"/>
      <c r="OZZ230" s="21"/>
      <c r="PAA230" s="21"/>
      <c r="PAD230" s="21"/>
      <c r="PAE230" s="15"/>
      <c r="PAF230" s="15"/>
      <c r="PAG230" s="15"/>
      <c r="PAH230" s="15"/>
      <c r="PAI230" s="15"/>
      <c r="PAJ230" s="15"/>
      <c r="PAK230" s="15"/>
      <c r="PAL230" s="15"/>
      <c r="PAM230" s="15"/>
      <c r="PAN230" s="15"/>
      <c r="PAO230" s="10"/>
      <c r="PAP230" s="10"/>
      <c r="PAQ230" s="21"/>
      <c r="PAR230" s="21"/>
      <c r="PAU230" s="21"/>
      <c r="PAV230" s="15"/>
      <c r="PAW230" s="15"/>
      <c r="PAX230" s="15"/>
      <c r="PAY230" s="15"/>
      <c r="PAZ230" s="15"/>
      <c r="PBA230" s="15"/>
      <c r="PBB230" s="15"/>
      <c r="PBC230" s="15"/>
      <c r="PBD230" s="15"/>
      <c r="PBE230" s="15"/>
      <c r="PBF230" s="10"/>
      <c r="PBG230" s="10"/>
      <c r="PBH230" s="21"/>
      <c r="PBI230" s="21"/>
      <c r="PBL230" s="21"/>
      <c r="PBM230" s="15"/>
      <c r="PBN230" s="15"/>
      <c r="PBO230" s="15"/>
      <c r="PBP230" s="15"/>
      <c r="PBQ230" s="15"/>
      <c r="PBR230" s="15"/>
      <c r="PBS230" s="15"/>
      <c r="PBT230" s="15"/>
      <c r="PBU230" s="15"/>
      <c r="PBV230" s="15"/>
      <c r="PBW230" s="10"/>
      <c r="PBX230" s="10"/>
      <c r="PBY230" s="21"/>
      <c r="PBZ230" s="21"/>
      <c r="PCC230" s="21"/>
      <c r="PCD230" s="15"/>
      <c r="PCE230" s="15"/>
      <c r="PCF230" s="15"/>
      <c r="PCG230" s="15"/>
      <c r="PCH230" s="15"/>
      <c r="PCI230" s="15"/>
      <c r="PCJ230" s="15"/>
      <c r="PCK230" s="15"/>
      <c r="PCL230" s="15"/>
      <c r="PCM230" s="15"/>
      <c r="PCN230" s="10"/>
      <c r="PCO230" s="10"/>
      <c r="PCP230" s="21"/>
      <c r="PCQ230" s="21"/>
      <c r="PCT230" s="21"/>
      <c r="PCU230" s="15"/>
      <c r="PCV230" s="15"/>
      <c r="PCW230" s="15"/>
      <c r="PCX230" s="15"/>
      <c r="PCY230" s="15"/>
      <c r="PCZ230" s="15"/>
      <c r="PDA230" s="15"/>
      <c r="PDB230" s="15"/>
      <c r="PDC230" s="15"/>
      <c r="PDD230" s="15"/>
      <c r="PDE230" s="10"/>
      <c r="PDF230" s="10"/>
      <c r="PDG230" s="21"/>
      <c r="PDH230" s="21"/>
      <c r="PDK230" s="21"/>
      <c r="PDL230" s="15"/>
      <c r="PDM230" s="15"/>
      <c r="PDN230" s="15"/>
      <c r="PDO230" s="15"/>
      <c r="PDP230" s="15"/>
      <c r="PDQ230" s="15"/>
      <c r="PDR230" s="15"/>
      <c r="PDS230" s="15"/>
      <c r="PDT230" s="15"/>
      <c r="PDU230" s="15"/>
      <c r="PDV230" s="10"/>
      <c r="PDW230" s="10"/>
      <c r="PDX230" s="21"/>
      <c r="PDY230" s="21"/>
      <c r="PEB230" s="21"/>
      <c r="PEC230" s="15"/>
      <c r="PED230" s="15"/>
      <c r="PEE230" s="15"/>
      <c r="PEF230" s="15"/>
      <c r="PEG230" s="15"/>
      <c r="PEH230" s="15"/>
      <c r="PEI230" s="15"/>
      <c r="PEJ230" s="15"/>
      <c r="PEK230" s="15"/>
      <c r="PEL230" s="15"/>
      <c r="PEM230" s="10"/>
      <c r="PEN230" s="10"/>
      <c r="PEO230" s="21"/>
      <c r="PEP230" s="21"/>
      <c r="PES230" s="21"/>
      <c r="PET230" s="15"/>
      <c r="PEU230" s="15"/>
      <c r="PEV230" s="15"/>
      <c r="PEW230" s="15"/>
      <c r="PEX230" s="15"/>
      <c r="PEY230" s="15"/>
      <c r="PEZ230" s="15"/>
      <c r="PFA230" s="15"/>
      <c r="PFB230" s="15"/>
      <c r="PFC230" s="15"/>
      <c r="PFD230" s="10"/>
      <c r="PFE230" s="10"/>
      <c r="PFF230" s="21"/>
      <c r="PFG230" s="21"/>
      <c r="PFJ230" s="21"/>
      <c r="PFK230" s="15"/>
      <c r="PFL230" s="15"/>
      <c r="PFM230" s="15"/>
      <c r="PFN230" s="15"/>
      <c r="PFO230" s="15"/>
      <c r="PFP230" s="15"/>
      <c r="PFQ230" s="15"/>
      <c r="PFR230" s="15"/>
      <c r="PFS230" s="15"/>
      <c r="PFT230" s="15"/>
      <c r="PFU230" s="10"/>
      <c r="PFV230" s="10"/>
      <c r="PFW230" s="21"/>
      <c r="PFX230" s="21"/>
      <c r="PGA230" s="21"/>
      <c r="PGB230" s="15"/>
      <c r="PGC230" s="15"/>
      <c r="PGD230" s="15"/>
      <c r="PGE230" s="15"/>
      <c r="PGF230" s="15"/>
      <c r="PGG230" s="15"/>
      <c r="PGH230" s="15"/>
      <c r="PGI230" s="15"/>
      <c r="PGJ230" s="15"/>
      <c r="PGK230" s="15"/>
      <c r="PGL230" s="10"/>
      <c r="PGM230" s="10"/>
      <c r="PGN230" s="21"/>
      <c r="PGO230" s="21"/>
      <c r="PGR230" s="21"/>
      <c r="PGS230" s="15"/>
      <c r="PGT230" s="15"/>
      <c r="PGU230" s="15"/>
      <c r="PGV230" s="15"/>
      <c r="PGW230" s="15"/>
      <c r="PGX230" s="15"/>
      <c r="PGY230" s="15"/>
      <c r="PGZ230" s="15"/>
      <c r="PHA230" s="15"/>
      <c r="PHB230" s="15"/>
      <c r="PHC230" s="10"/>
      <c r="PHD230" s="10"/>
      <c r="PHE230" s="21"/>
      <c r="PHF230" s="21"/>
      <c r="PHI230" s="21"/>
      <c r="PHJ230" s="15"/>
      <c r="PHK230" s="15"/>
      <c r="PHL230" s="15"/>
      <c r="PHM230" s="15"/>
      <c r="PHN230" s="15"/>
      <c r="PHO230" s="15"/>
      <c r="PHP230" s="15"/>
      <c r="PHQ230" s="15"/>
      <c r="PHR230" s="15"/>
      <c r="PHS230" s="15"/>
      <c r="PHT230" s="10"/>
      <c r="PHU230" s="10"/>
      <c r="PHV230" s="21"/>
      <c r="PHW230" s="21"/>
      <c r="PHZ230" s="21"/>
      <c r="PIA230" s="15"/>
      <c r="PIB230" s="15"/>
      <c r="PIC230" s="15"/>
      <c r="PID230" s="15"/>
      <c r="PIE230" s="15"/>
      <c r="PIF230" s="15"/>
      <c r="PIG230" s="15"/>
      <c r="PIH230" s="15"/>
      <c r="PII230" s="15"/>
      <c r="PIJ230" s="15"/>
      <c r="PIK230" s="10"/>
      <c r="PIL230" s="10"/>
      <c r="PIM230" s="21"/>
      <c r="PIN230" s="21"/>
      <c r="PIQ230" s="21"/>
      <c r="PIR230" s="15"/>
      <c r="PIS230" s="15"/>
      <c r="PIT230" s="15"/>
      <c r="PIU230" s="15"/>
      <c r="PIV230" s="15"/>
      <c r="PIW230" s="15"/>
      <c r="PIX230" s="15"/>
      <c r="PIY230" s="15"/>
      <c r="PIZ230" s="15"/>
      <c r="PJA230" s="15"/>
      <c r="PJB230" s="10"/>
      <c r="PJC230" s="10"/>
      <c r="PJD230" s="21"/>
      <c r="PJE230" s="21"/>
      <c r="PJH230" s="21"/>
      <c r="PJI230" s="15"/>
      <c r="PJJ230" s="15"/>
      <c r="PJK230" s="15"/>
      <c r="PJL230" s="15"/>
      <c r="PJM230" s="15"/>
      <c r="PJN230" s="15"/>
      <c r="PJO230" s="15"/>
      <c r="PJP230" s="15"/>
      <c r="PJQ230" s="15"/>
      <c r="PJR230" s="15"/>
      <c r="PJS230" s="10"/>
      <c r="PJT230" s="10"/>
      <c r="PJU230" s="21"/>
      <c r="PJV230" s="21"/>
      <c r="PJY230" s="21"/>
      <c r="PJZ230" s="15"/>
      <c r="PKA230" s="15"/>
      <c r="PKB230" s="15"/>
      <c r="PKC230" s="15"/>
      <c r="PKD230" s="15"/>
      <c r="PKE230" s="15"/>
      <c r="PKF230" s="15"/>
      <c r="PKG230" s="15"/>
      <c r="PKH230" s="15"/>
      <c r="PKI230" s="15"/>
      <c r="PKJ230" s="10"/>
      <c r="PKK230" s="10"/>
      <c r="PKL230" s="21"/>
      <c r="PKM230" s="21"/>
      <c r="PKP230" s="21"/>
      <c r="PKQ230" s="15"/>
      <c r="PKR230" s="15"/>
      <c r="PKS230" s="15"/>
      <c r="PKT230" s="15"/>
      <c r="PKU230" s="15"/>
      <c r="PKV230" s="15"/>
      <c r="PKW230" s="15"/>
      <c r="PKX230" s="15"/>
      <c r="PKY230" s="15"/>
      <c r="PKZ230" s="15"/>
      <c r="PLA230" s="10"/>
      <c r="PLB230" s="10"/>
      <c r="PLC230" s="21"/>
      <c r="PLD230" s="21"/>
      <c r="PLG230" s="21"/>
      <c r="PLH230" s="15"/>
      <c r="PLI230" s="15"/>
      <c r="PLJ230" s="15"/>
      <c r="PLK230" s="15"/>
      <c r="PLL230" s="15"/>
      <c r="PLM230" s="15"/>
      <c r="PLN230" s="15"/>
      <c r="PLO230" s="15"/>
      <c r="PLP230" s="15"/>
      <c r="PLQ230" s="15"/>
      <c r="PLR230" s="10"/>
      <c r="PLS230" s="10"/>
      <c r="PLT230" s="21"/>
      <c r="PLU230" s="21"/>
      <c r="PLX230" s="21"/>
      <c r="PLY230" s="15"/>
      <c r="PLZ230" s="15"/>
      <c r="PMA230" s="15"/>
      <c r="PMB230" s="15"/>
      <c r="PMC230" s="15"/>
      <c r="PMD230" s="15"/>
      <c r="PME230" s="15"/>
      <c r="PMF230" s="15"/>
      <c r="PMG230" s="15"/>
      <c r="PMH230" s="15"/>
      <c r="PMI230" s="10"/>
      <c r="PMJ230" s="10"/>
      <c r="PMK230" s="21"/>
      <c r="PML230" s="21"/>
      <c r="PMO230" s="21"/>
      <c r="PMP230" s="15"/>
      <c r="PMQ230" s="15"/>
      <c r="PMR230" s="15"/>
      <c r="PMS230" s="15"/>
      <c r="PMT230" s="15"/>
      <c r="PMU230" s="15"/>
      <c r="PMV230" s="15"/>
      <c r="PMW230" s="15"/>
      <c r="PMX230" s="15"/>
      <c r="PMY230" s="15"/>
      <c r="PMZ230" s="10"/>
      <c r="PNA230" s="10"/>
      <c r="PNB230" s="21"/>
      <c r="PNC230" s="21"/>
      <c r="PNF230" s="21"/>
      <c r="PNG230" s="15"/>
      <c r="PNH230" s="15"/>
      <c r="PNI230" s="15"/>
      <c r="PNJ230" s="15"/>
      <c r="PNK230" s="15"/>
      <c r="PNL230" s="15"/>
      <c r="PNM230" s="15"/>
      <c r="PNN230" s="15"/>
      <c r="PNO230" s="15"/>
      <c r="PNP230" s="15"/>
      <c r="PNQ230" s="10"/>
      <c r="PNR230" s="10"/>
      <c r="PNS230" s="21"/>
      <c r="PNT230" s="21"/>
      <c r="PNW230" s="21"/>
      <c r="PNX230" s="15"/>
      <c r="PNY230" s="15"/>
      <c r="PNZ230" s="15"/>
      <c r="POA230" s="15"/>
      <c r="POB230" s="15"/>
      <c r="POC230" s="15"/>
      <c r="POD230" s="15"/>
      <c r="POE230" s="15"/>
      <c r="POF230" s="15"/>
      <c r="POG230" s="15"/>
      <c r="POH230" s="10"/>
      <c r="POI230" s="10"/>
      <c r="POJ230" s="21"/>
      <c r="POK230" s="21"/>
      <c r="PON230" s="21"/>
      <c r="POO230" s="15"/>
      <c r="POP230" s="15"/>
      <c r="POQ230" s="15"/>
      <c r="POR230" s="15"/>
      <c r="POS230" s="15"/>
      <c r="POT230" s="15"/>
      <c r="POU230" s="15"/>
      <c r="POV230" s="15"/>
      <c r="POW230" s="15"/>
      <c r="POX230" s="15"/>
      <c r="POY230" s="10"/>
      <c r="POZ230" s="10"/>
      <c r="PPA230" s="21"/>
      <c r="PPB230" s="21"/>
      <c r="PPE230" s="21"/>
      <c r="PPF230" s="15"/>
      <c r="PPG230" s="15"/>
      <c r="PPH230" s="15"/>
      <c r="PPI230" s="15"/>
      <c r="PPJ230" s="15"/>
      <c r="PPK230" s="15"/>
      <c r="PPL230" s="15"/>
      <c r="PPM230" s="15"/>
      <c r="PPN230" s="15"/>
      <c r="PPO230" s="15"/>
      <c r="PPP230" s="10"/>
      <c r="PPQ230" s="10"/>
      <c r="PPR230" s="21"/>
      <c r="PPS230" s="21"/>
      <c r="PPV230" s="21"/>
      <c r="PPW230" s="15"/>
      <c r="PPX230" s="15"/>
      <c r="PPY230" s="15"/>
      <c r="PPZ230" s="15"/>
      <c r="PQA230" s="15"/>
      <c r="PQB230" s="15"/>
      <c r="PQC230" s="15"/>
      <c r="PQD230" s="15"/>
      <c r="PQE230" s="15"/>
      <c r="PQF230" s="15"/>
      <c r="PQG230" s="10"/>
      <c r="PQH230" s="10"/>
      <c r="PQI230" s="21"/>
      <c r="PQJ230" s="21"/>
      <c r="PQM230" s="21"/>
      <c r="PQN230" s="15"/>
      <c r="PQO230" s="15"/>
      <c r="PQP230" s="15"/>
      <c r="PQQ230" s="15"/>
      <c r="PQR230" s="15"/>
      <c r="PQS230" s="15"/>
      <c r="PQT230" s="15"/>
      <c r="PQU230" s="15"/>
      <c r="PQV230" s="15"/>
      <c r="PQW230" s="15"/>
      <c r="PQX230" s="10"/>
      <c r="PQY230" s="10"/>
      <c r="PQZ230" s="21"/>
      <c r="PRA230" s="21"/>
      <c r="PRD230" s="21"/>
      <c r="PRE230" s="15"/>
      <c r="PRF230" s="15"/>
      <c r="PRG230" s="15"/>
      <c r="PRH230" s="15"/>
      <c r="PRI230" s="15"/>
      <c r="PRJ230" s="15"/>
      <c r="PRK230" s="15"/>
      <c r="PRL230" s="15"/>
      <c r="PRM230" s="15"/>
      <c r="PRN230" s="15"/>
      <c r="PRO230" s="10"/>
      <c r="PRP230" s="10"/>
      <c r="PRQ230" s="21"/>
      <c r="PRR230" s="21"/>
      <c r="PRU230" s="21"/>
      <c r="PRV230" s="15"/>
      <c r="PRW230" s="15"/>
      <c r="PRX230" s="15"/>
      <c r="PRY230" s="15"/>
      <c r="PRZ230" s="15"/>
      <c r="PSA230" s="15"/>
      <c r="PSB230" s="15"/>
      <c r="PSC230" s="15"/>
      <c r="PSD230" s="15"/>
      <c r="PSE230" s="15"/>
      <c r="PSF230" s="10"/>
      <c r="PSG230" s="10"/>
      <c r="PSH230" s="21"/>
      <c r="PSI230" s="21"/>
      <c r="PSL230" s="21"/>
      <c r="PSM230" s="15"/>
      <c r="PSN230" s="15"/>
      <c r="PSO230" s="15"/>
      <c r="PSP230" s="15"/>
      <c r="PSQ230" s="15"/>
      <c r="PSR230" s="15"/>
      <c r="PSS230" s="15"/>
      <c r="PST230" s="15"/>
      <c r="PSU230" s="15"/>
      <c r="PSV230" s="15"/>
      <c r="PSW230" s="10"/>
      <c r="PSX230" s="10"/>
      <c r="PSY230" s="21"/>
      <c r="PSZ230" s="21"/>
      <c r="PTC230" s="21"/>
      <c r="PTD230" s="15"/>
      <c r="PTE230" s="15"/>
      <c r="PTF230" s="15"/>
      <c r="PTG230" s="15"/>
      <c r="PTH230" s="15"/>
      <c r="PTI230" s="15"/>
      <c r="PTJ230" s="15"/>
      <c r="PTK230" s="15"/>
      <c r="PTL230" s="15"/>
      <c r="PTM230" s="15"/>
      <c r="PTN230" s="10"/>
      <c r="PTO230" s="10"/>
      <c r="PTP230" s="21"/>
      <c r="PTQ230" s="21"/>
      <c r="PTT230" s="21"/>
      <c r="PTU230" s="15"/>
      <c r="PTV230" s="15"/>
      <c r="PTW230" s="15"/>
      <c r="PTX230" s="15"/>
      <c r="PTY230" s="15"/>
      <c r="PTZ230" s="15"/>
      <c r="PUA230" s="15"/>
      <c r="PUB230" s="15"/>
      <c r="PUC230" s="15"/>
      <c r="PUD230" s="15"/>
      <c r="PUE230" s="10"/>
      <c r="PUF230" s="10"/>
      <c r="PUG230" s="21"/>
      <c r="PUH230" s="21"/>
      <c r="PUK230" s="21"/>
      <c r="PUL230" s="15"/>
      <c r="PUM230" s="15"/>
      <c r="PUN230" s="15"/>
      <c r="PUO230" s="15"/>
      <c r="PUP230" s="15"/>
      <c r="PUQ230" s="15"/>
      <c r="PUR230" s="15"/>
      <c r="PUS230" s="15"/>
      <c r="PUT230" s="15"/>
      <c r="PUU230" s="15"/>
      <c r="PUV230" s="10"/>
      <c r="PUW230" s="10"/>
      <c r="PUX230" s="21"/>
      <c r="PUY230" s="21"/>
      <c r="PVB230" s="21"/>
      <c r="PVC230" s="15"/>
      <c r="PVD230" s="15"/>
      <c r="PVE230" s="15"/>
      <c r="PVF230" s="15"/>
      <c r="PVG230" s="15"/>
      <c r="PVH230" s="15"/>
      <c r="PVI230" s="15"/>
      <c r="PVJ230" s="15"/>
      <c r="PVK230" s="15"/>
      <c r="PVL230" s="15"/>
      <c r="PVM230" s="10"/>
      <c r="PVN230" s="10"/>
      <c r="PVO230" s="21"/>
      <c r="PVP230" s="21"/>
      <c r="PVS230" s="21"/>
      <c r="PVT230" s="15"/>
      <c r="PVU230" s="15"/>
      <c r="PVV230" s="15"/>
      <c r="PVW230" s="15"/>
      <c r="PVX230" s="15"/>
      <c r="PVY230" s="15"/>
      <c r="PVZ230" s="15"/>
      <c r="PWA230" s="15"/>
      <c r="PWB230" s="15"/>
      <c r="PWC230" s="15"/>
      <c r="PWD230" s="10"/>
      <c r="PWE230" s="10"/>
      <c r="PWF230" s="21"/>
      <c r="PWG230" s="21"/>
      <c r="PWJ230" s="21"/>
      <c r="PWK230" s="15"/>
      <c r="PWL230" s="15"/>
      <c r="PWM230" s="15"/>
      <c r="PWN230" s="15"/>
      <c r="PWO230" s="15"/>
      <c r="PWP230" s="15"/>
      <c r="PWQ230" s="15"/>
      <c r="PWR230" s="15"/>
      <c r="PWS230" s="15"/>
      <c r="PWT230" s="15"/>
      <c r="PWU230" s="10"/>
      <c r="PWV230" s="10"/>
      <c r="PWW230" s="21"/>
      <c r="PWX230" s="21"/>
      <c r="PXA230" s="21"/>
      <c r="PXB230" s="15"/>
      <c r="PXC230" s="15"/>
      <c r="PXD230" s="15"/>
      <c r="PXE230" s="15"/>
      <c r="PXF230" s="15"/>
      <c r="PXG230" s="15"/>
      <c r="PXH230" s="15"/>
      <c r="PXI230" s="15"/>
      <c r="PXJ230" s="15"/>
      <c r="PXK230" s="15"/>
      <c r="PXL230" s="10"/>
      <c r="PXM230" s="10"/>
      <c r="PXN230" s="21"/>
      <c r="PXO230" s="21"/>
      <c r="PXR230" s="21"/>
      <c r="PXS230" s="15"/>
      <c r="PXT230" s="15"/>
      <c r="PXU230" s="15"/>
      <c r="PXV230" s="15"/>
      <c r="PXW230" s="15"/>
      <c r="PXX230" s="15"/>
      <c r="PXY230" s="15"/>
      <c r="PXZ230" s="15"/>
      <c r="PYA230" s="15"/>
      <c r="PYB230" s="15"/>
      <c r="PYC230" s="10"/>
      <c r="PYD230" s="10"/>
      <c r="PYE230" s="21"/>
      <c r="PYF230" s="21"/>
      <c r="PYI230" s="21"/>
      <c r="PYJ230" s="15"/>
      <c r="PYK230" s="15"/>
      <c r="PYL230" s="15"/>
      <c r="PYM230" s="15"/>
      <c r="PYN230" s="15"/>
      <c r="PYO230" s="15"/>
      <c r="PYP230" s="15"/>
      <c r="PYQ230" s="15"/>
      <c r="PYR230" s="15"/>
      <c r="PYS230" s="15"/>
      <c r="PYT230" s="10"/>
      <c r="PYU230" s="10"/>
      <c r="PYV230" s="21"/>
      <c r="PYW230" s="21"/>
      <c r="PYZ230" s="21"/>
      <c r="PZA230" s="15"/>
      <c r="PZB230" s="15"/>
      <c r="PZC230" s="15"/>
      <c r="PZD230" s="15"/>
      <c r="PZE230" s="15"/>
      <c r="PZF230" s="15"/>
      <c r="PZG230" s="15"/>
      <c r="PZH230" s="15"/>
      <c r="PZI230" s="15"/>
      <c r="PZJ230" s="15"/>
      <c r="PZK230" s="10"/>
      <c r="PZL230" s="10"/>
      <c r="PZM230" s="21"/>
      <c r="PZN230" s="21"/>
      <c r="PZQ230" s="21"/>
      <c r="PZR230" s="15"/>
      <c r="PZS230" s="15"/>
      <c r="PZT230" s="15"/>
      <c r="PZU230" s="15"/>
      <c r="PZV230" s="15"/>
      <c r="PZW230" s="15"/>
      <c r="PZX230" s="15"/>
      <c r="PZY230" s="15"/>
      <c r="PZZ230" s="15"/>
      <c r="QAA230" s="15"/>
      <c r="QAB230" s="10"/>
      <c r="QAC230" s="10"/>
      <c r="QAD230" s="21"/>
      <c r="QAE230" s="21"/>
      <c r="QAH230" s="21"/>
      <c r="QAI230" s="15"/>
      <c r="QAJ230" s="15"/>
      <c r="QAK230" s="15"/>
      <c r="QAL230" s="15"/>
      <c r="QAM230" s="15"/>
      <c r="QAN230" s="15"/>
      <c r="QAO230" s="15"/>
      <c r="QAP230" s="15"/>
      <c r="QAQ230" s="15"/>
      <c r="QAR230" s="15"/>
      <c r="QAS230" s="10"/>
      <c r="QAT230" s="10"/>
      <c r="QAU230" s="21"/>
      <c r="QAV230" s="21"/>
      <c r="QAY230" s="21"/>
      <c r="QAZ230" s="15"/>
      <c r="QBA230" s="15"/>
      <c r="QBB230" s="15"/>
      <c r="QBC230" s="15"/>
      <c r="QBD230" s="15"/>
      <c r="QBE230" s="15"/>
      <c r="QBF230" s="15"/>
      <c r="QBG230" s="15"/>
      <c r="QBH230" s="15"/>
      <c r="QBI230" s="15"/>
      <c r="QBJ230" s="10"/>
      <c r="QBK230" s="10"/>
      <c r="QBL230" s="21"/>
      <c r="QBM230" s="21"/>
      <c r="QBP230" s="21"/>
      <c r="QBQ230" s="15"/>
      <c r="QBR230" s="15"/>
      <c r="QBS230" s="15"/>
      <c r="QBT230" s="15"/>
      <c r="QBU230" s="15"/>
      <c r="QBV230" s="15"/>
      <c r="QBW230" s="15"/>
      <c r="QBX230" s="15"/>
      <c r="QBY230" s="15"/>
      <c r="QBZ230" s="15"/>
      <c r="QCA230" s="10"/>
      <c r="QCB230" s="10"/>
      <c r="QCC230" s="21"/>
      <c r="QCD230" s="21"/>
      <c r="QCG230" s="21"/>
      <c r="QCH230" s="15"/>
      <c r="QCI230" s="15"/>
      <c r="QCJ230" s="15"/>
      <c r="QCK230" s="15"/>
      <c r="QCL230" s="15"/>
      <c r="QCM230" s="15"/>
      <c r="QCN230" s="15"/>
      <c r="QCO230" s="15"/>
      <c r="QCP230" s="15"/>
      <c r="QCQ230" s="15"/>
      <c r="QCR230" s="10"/>
      <c r="QCS230" s="10"/>
      <c r="QCT230" s="21"/>
      <c r="QCU230" s="21"/>
      <c r="QCX230" s="21"/>
      <c r="QCY230" s="15"/>
      <c r="QCZ230" s="15"/>
      <c r="QDA230" s="15"/>
      <c r="QDB230" s="15"/>
      <c r="QDC230" s="15"/>
      <c r="QDD230" s="15"/>
      <c r="QDE230" s="15"/>
      <c r="QDF230" s="15"/>
      <c r="QDG230" s="15"/>
      <c r="QDH230" s="15"/>
      <c r="QDI230" s="10"/>
      <c r="QDJ230" s="10"/>
      <c r="QDK230" s="21"/>
      <c r="QDL230" s="21"/>
      <c r="QDO230" s="21"/>
      <c r="QDP230" s="15"/>
      <c r="QDQ230" s="15"/>
      <c r="QDR230" s="15"/>
      <c r="QDS230" s="15"/>
      <c r="QDT230" s="15"/>
      <c r="QDU230" s="15"/>
      <c r="QDV230" s="15"/>
      <c r="QDW230" s="15"/>
      <c r="QDX230" s="15"/>
      <c r="QDY230" s="15"/>
      <c r="QDZ230" s="10"/>
      <c r="QEA230" s="10"/>
      <c r="QEB230" s="21"/>
      <c r="QEC230" s="21"/>
      <c r="QEF230" s="21"/>
      <c r="QEG230" s="15"/>
      <c r="QEH230" s="15"/>
      <c r="QEI230" s="15"/>
      <c r="QEJ230" s="15"/>
      <c r="QEK230" s="15"/>
      <c r="QEL230" s="15"/>
      <c r="QEM230" s="15"/>
      <c r="QEN230" s="15"/>
      <c r="QEO230" s="15"/>
      <c r="QEP230" s="15"/>
      <c r="QEQ230" s="10"/>
      <c r="QER230" s="10"/>
      <c r="QES230" s="21"/>
      <c r="QET230" s="21"/>
      <c r="QEW230" s="21"/>
      <c r="QEX230" s="15"/>
      <c r="QEY230" s="15"/>
      <c r="QEZ230" s="15"/>
      <c r="QFA230" s="15"/>
      <c r="QFB230" s="15"/>
      <c r="QFC230" s="15"/>
      <c r="QFD230" s="15"/>
      <c r="QFE230" s="15"/>
      <c r="QFF230" s="15"/>
      <c r="QFG230" s="15"/>
      <c r="QFH230" s="10"/>
      <c r="QFI230" s="10"/>
      <c r="QFJ230" s="21"/>
      <c r="QFK230" s="21"/>
      <c r="QFN230" s="21"/>
      <c r="QFO230" s="15"/>
      <c r="QFP230" s="15"/>
      <c r="QFQ230" s="15"/>
      <c r="QFR230" s="15"/>
      <c r="QFS230" s="15"/>
      <c r="QFT230" s="15"/>
      <c r="QFU230" s="15"/>
      <c r="QFV230" s="15"/>
      <c r="QFW230" s="15"/>
      <c r="QFX230" s="15"/>
      <c r="QFY230" s="10"/>
      <c r="QFZ230" s="10"/>
      <c r="QGA230" s="21"/>
      <c r="QGB230" s="21"/>
      <c r="QGE230" s="21"/>
      <c r="QGF230" s="15"/>
      <c r="QGG230" s="15"/>
      <c r="QGH230" s="15"/>
      <c r="QGI230" s="15"/>
      <c r="QGJ230" s="15"/>
      <c r="QGK230" s="15"/>
      <c r="QGL230" s="15"/>
      <c r="QGM230" s="15"/>
      <c r="QGN230" s="15"/>
      <c r="QGO230" s="15"/>
      <c r="QGP230" s="10"/>
      <c r="QGQ230" s="10"/>
      <c r="QGR230" s="21"/>
      <c r="QGS230" s="21"/>
      <c r="QGV230" s="21"/>
      <c r="QGW230" s="15"/>
      <c r="QGX230" s="15"/>
      <c r="QGY230" s="15"/>
      <c r="QGZ230" s="15"/>
      <c r="QHA230" s="15"/>
      <c r="QHB230" s="15"/>
      <c r="QHC230" s="15"/>
      <c r="QHD230" s="15"/>
      <c r="QHE230" s="15"/>
      <c r="QHF230" s="15"/>
      <c r="QHG230" s="10"/>
      <c r="QHH230" s="10"/>
      <c r="QHI230" s="21"/>
      <c r="QHJ230" s="21"/>
      <c r="QHM230" s="21"/>
      <c r="QHN230" s="15"/>
      <c r="QHO230" s="15"/>
      <c r="QHP230" s="15"/>
      <c r="QHQ230" s="15"/>
      <c r="QHR230" s="15"/>
      <c r="QHS230" s="15"/>
      <c r="QHT230" s="15"/>
      <c r="QHU230" s="15"/>
      <c r="QHV230" s="15"/>
      <c r="QHW230" s="15"/>
      <c r="QHX230" s="10"/>
      <c r="QHY230" s="10"/>
      <c r="QHZ230" s="21"/>
      <c r="QIA230" s="21"/>
      <c r="QID230" s="21"/>
      <c r="QIE230" s="15"/>
      <c r="QIF230" s="15"/>
      <c r="QIG230" s="15"/>
      <c r="QIH230" s="15"/>
      <c r="QII230" s="15"/>
      <c r="QIJ230" s="15"/>
      <c r="QIK230" s="15"/>
      <c r="QIL230" s="15"/>
      <c r="QIM230" s="15"/>
      <c r="QIN230" s="15"/>
      <c r="QIO230" s="10"/>
      <c r="QIP230" s="10"/>
      <c r="QIQ230" s="21"/>
      <c r="QIR230" s="21"/>
      <c r="QIU230" s="21"/>
      <c r="QIV230" s="15"/>
      <c r="QIW230" s="15"/>
      <c r="QIX230" s="15"/>
      <c r="QIY230" s="15"/>
      <c r="QIZ230" s="15"/>
      <c r="QJA230" s="15"/>
      <c r="QJB230" s="15"/>
      <c r="QJC230" s="15"/>
      <c r="QJD230" s="15"/>
      <c r="QJE230" s="15"/>
      <c r="QJF230" s="10"/>
      <c r="QJG230" s="10"/>
      <c r="QJH230" s="21"/>
      <c r="QJI230" s="21"/>
      <c r="QJL230" s="21"/>
      <c r="QJM230" s="15"/>
      <c r="QJN230" s="15"/>
      <c r="QJO230" s="15"/>
      <c r="QJP230" s="15"/>
      <c r="QJQ230" s="15"/>
      <c r="QJR230" s="15"/>
      <c r="QJS230" s="15"/>
      <c r="QJT230" s="15"/>
      <c r="QJU230" s="15"/>
      <c r="QJV230" s="15"/>
      <c r="QJW230" s="10"/>
      <c r="QJX230" s="10"/>
      <c r="QJY230" s="21"/>
      <c r="QJZ230" s="21"/>
      <c r="QKC230" s="21"/>
      <c r="QKD230" s="15"/>
      <c r="QKE230" s="15"/>
      <c r="QKF230" s="15"/>
      <c r="QKG230" s="15"/>
      <c r="QKH230" s="15"/>
      <c r="QKI230" s="15"/>
      <c r="QKJ230" s="15"/>
      <c r="QKK230" s="15"/>
      <c r="QKL230" s="15"/>
      <c r="QKM230" s="15"/>
      <c r="QKN230" s="10"/>
      <c r="QKO230" s="10"/>
      <c r="QKP230" s="21"/>
      <c r="QKQ230" s="21"/>
      <c r="QKT230" s="21"/>
      <c r="QKU230" s="15"/>
      <c r="QKV230" s="15"/>
      <c r="QKW230" s="15"/>
      <c r="QKX230" s="15"/>
      <c r="QKY230" s="15"/>
      <c r="QKZ230" s="15"/>
      <c r="QLA230" s="15"/>
      <c r="QLB230" s="15"/>
      <c r="QLC230" s="15"/>
      <c r="QLD230" s="15"/>
      <c r="QLE230" s="10"/>
      <c r="QLF230" s="10"/>
      <c r="QLG230" s="21"/>
      <c r="QLH230" s="21"/>
      <c r="QLK230" s="21"/>
      <c r="QLL230" s="15"/>
      <c r="QLM230" s="15"/>
      <c r="QLN230" s="15"/>
      <c r="QLO230" s="15"/>
      <c r="QLP230" s="15"/>
      <c r="QLQ230" s="15"/>
      <c r="QLR230" s="15"/>
      <c r="QLS230" s="15"/>
      <c r="QLT230" s="15"/>
      <c r="QLU230" s="15"/>
      <c r="QLV230" s="10"/>
      <c r="QLW230" s="10"/>
      <c r="QLX230" s="21"/>
      <c r="QLY230" s="21"/>
      <c r="QMB230" s="21"/>
      <c r="QMC230" s="15"/>
      <c r="QMD230" s="15"/>
      <c r="QME230" s="15"/>
      <c r="QMF230" s="15"/>
      <c r="QMG230" s="15"/>
      <c r="QMH230" s="15"/>
      <c r="QMI230" s="15"/>
      <c r="QMJ230" s="15"/>
      <c r="QMK230" s="15"/>
      <c r="QML230" s="15"/>
      <c r="QMM230" s="10"/>
      <c r="QMN230" s="10"/>
      <c r="QMO230" s="21"/>
      <c r="QMP230" s="21"/>
      <c r="QMS230" s="21"/>
      <c r="QMT230" s="15"/>
      <c r="QMU230" s="15"/>
      <c r="QMV230" s="15"/>
      <c r="QMW230" s="15"/>
      <c r="QMX230" s="15"/>
      <c r="QMY230" s="15"/>
      <c r="QMZ230" s="15"/>
      <c r="QNA230" s="15"/>
      <c r="QNB230" s="15"/>
      <c r="QNC230" s="15"/>
      <c r="QND230" s="10"/>
      <c r="QNE230" s="10"/>
      <c r="QNF230" s="21"/>
      <c r="QNG230" s="21"/>
      <c r="QNJ230" s="21"/>
      <c r="QNK230" s="15"/>
      <c r="QNL230" s="15"/>
      <c r="QNM230" s="15"/>
      <c r="QNN230" s="15"/>
      <c r="QNO230" s="15"/>
      <c r="QNP230" s="15"/>
      <c r="QNQ230" s="15"/>
      <c r="QNR230" s="15"/>
      <c r="QNS230" s="15"/>
      <c r="QNT230" s="15"/>
      <c r="QNU230" s="10"/>
      <c r="QNV230" s="10"/>
      <c r="QNW230" s="21"/>
      <c r="QNX230" s="21"/>
      <c r="QOA230" s="21"/>
      <c r="QOB230" s="15"/>
      <c r="QOC230" s="15"/>
      <c r="QOD230" s="15"/>
      <c r="QOE230" s="15"/>
      <c r="QOF230" s="15"/>
      <c r="QOG230" s="15"/>
      <c r="QOH230" s="15"/>
      <c r="QOI230" s="15"/>
      <c r="QOJ230" s="15"/>
      <c r="QOK230" s="15"/>
      <c r="QOL230" s="10"/>
      <c r="QOM230" s="10"/>
      <c r="QON230" s="21"/>
      <c r="QOO230" s="21"/>
      <c r="QOR230" s="21"/>
      <c r="QOS230" s="15"/>
      <c r="QOT230" s="15"/>
      <c r="QOU230" s="15"/>
      <c r="QOV230" s="15"/>
      <c r="QOW230" s="15"/>
      <c r="QOX230" s="15"/>
      <c r="QOY230" s="15"/>
      <c r="QOZ230" s="15"/>
      <c r="QPA230" s="15"/>
      <c r="QPB230" s="15"/>
      <c r="QPC230" s="10"/>
      <c r="QPD230" s="10"/>
      <c r="QPE230" s="21"/>
      <c r="QPF230" s="21"/>
      <c r="QPI230" s="21"/>
      <c r="QPJ230" s="15"/>
      <c r="QPK230" s="15"/>
      <c r="QPL230" s="15"/>
      <c r="QPM230" s="15"/>
      <c r="QPN230" s="15"/>
      <c r="QPO230" s="15"/>
      <c r="QPP230" s="15"/>
      <c r="QPQ230" s="15"/>
      <c r="QPR230" s="15"/>
      <c r="QPS230" s="15"/>
      <c r="QPT230" s="10"/>
      <c r="QPU230" s="10"/>
      <c r="QPV230" s="21"/>
      <c r="QPW230" s="21"/>
      <c r="QPZ230" s="21"/>
      <c r="QQA230" s="15"/>
      <c r="QQB230" s="15"/>
      <c r="QQC230" s="15"/>
      <c r="QQD230" s="15"/>
      <c r="QQE230" s="15"/>
      <c r="QQF230" s="15"/>
      <c r="QQG230" s="15"/>
      <c r="QQH230" s="15"/>
      <c r="QQI230" s="15"/>
      <c r="QQJ230" s="15"/>
      <c r="QQK230" s="10"/>
      <c r="QQL230" s="10"/>
      <c r="QQM230" s="21"/>
      <c r="QQN230" s="21"/>
      <c r="QQQ230" s="21"/>
      <c r="QQR230" s="15"/>
      <c r="QQS230" s="15"/>
      <c r="QQT230" s="15"/>
      <c r="QQU230" s="15"/>
      <c r="QQV230" s="15"/>
      <c r="QQW230" s="15"/>
      <c r="QQX230" s="15"/>
      <c r="QQY230" s="15"/>
      <c r="QQZ230" s="15"/>
      <c r="QRA230" s="15"/>
      <c r="QRB230" s="10"/>
      <c r="QRC230" s="10"/>
      <c r="QRD230" s="21"/>
      <c r="QRE230" s="21"/>
      <c r="QRH230" s="21"/>
      <c r="QRI230" s="15"/>
      <c r="QRJ230" s="15"/>
      <c r="QRK230" s="15"/>
      <c r="QRL230" s="15"/>
      <c r="QRM230" s="15"/>
      <c r="QRN230" s="15"/>
      <c r="QRO230" s="15"/>
      <c r="QRP230" s="15"/>
      <c r="QRQ230" s="15"/>
      <c r="QRR230" s="15"/>
      <c r="QRS230" s="10"/>
      <c r="QRT230" s="10"/>
      <c r="QRU230" s="21"/>
      <c r="QRV230" s="21"/>
      <c r="QRY230" s="21"/>
      <c r="QRZ230" s="15"/>
      <c r="QSA230" s="15"/>
      <c r="QSB230" s="15"/>
      <c r="QSC230" s="15"/>
      <c r="QSD230" s="15"/>
      <c r="QSE230" s="15"/>
      <c r="QSF230" s="15"/>
      <c r="QSG230" s="15"/>
      <c r="QSH230" s="15"/>
      <c r="QSI230" s="15"/>
      <c r="QSJ230" s="10"/>
      <c r="QSK230" s="10"/>
      <c r="QSL230" s="21"/>
      <c r="QSM230" s="21"/>
      <c r="QSP230" s="21"/>
      <c r="QSQ230" s="15"/>
      <c r="QSR230" s="15"/>
      <c r="QSS230" s="15"/>
      <c r="QST230" s="15"/>
      <c r="QSU230" s="15"/>
      <c r="QSV230" s="15"/>
      <c r="QSW230" s="15"/>
      <c r="QSX230" s="15"/>
      <c r="QSY230" s="15"/>
      <c r="QSZ230" s="15"/>
      <c r="QTA230" s="10"/>
      <c r="QTB230" s="10"/>
      <c r="QTC230" s="21"/>
      <c r="QTD230" s="21"/>
      <c r="QTG230" s="21"/>
      <c r="QTH230" s="15"/>
      <c r="QTI230" s="15"/>
      <c r="QTJ230" s="15"/>
      <c r="QTK230" s="15"/>
      <c r="QTL230" s="15"/>
      <c r="QTM230" s="15"/>
      <c r="QTN230" s="15"/>
      <c r="QTO230" s="15"/>
      <c r="QTP230" s="15"/>
      <c r="QTQ230" s="15"/>
      <c r="QTR230" s="10"/>
      <c r="QTS230" s="10"/>
      <c r="QTT230" s="21"/>
      <c r="QTU230" s="21"/>
      <c r="QTX230" s="21"/>
      <c r="QTY230" s="15"/>
      <c r="QTZ230" s="15"/>
      <c r="QUA230" s="15"/>
      <c r="QUB230" s="15"/>
      <c r="QUC230" s="15"/>
      <c r="QUD230" s="15"/>
      <c r="QUE230" s="15"/>
      <c r="QUF230" s="15"/>
      <c r="QUG230" s="15"/>
      <c r="QUH230" s="15"/>
      <c r="QUI230" s="10"/>
      <c r="QUJ230" s="10"/>
      <c r="QUK230" s="21"/>
      <c r="QUL230" s="21"/>
      <c r="QUO230" s="21"/>
      <c r="QUP230" s="15"/>
      <c r="QUQ230" s="15"/>
      <c r="QUR230" s="15"/>
      <c r="QUS230" s="15"/>
      <c r="QUT230" s="15"/>
      <c r="QUU230" s="15"/>
      <c r="QUV230" s="15"/>
      <c r="QUW230" s="15"/>
      <c r="QUX230" s="15"/>
      <c r="QUY230" s="15"/>
      <c r="QUZ230" s="10"/>
      <c r="QVA230" s="10"/>
      <c r="QVB230" s="21"/>
      <c r="QVC230" s="21"/>
      <c r="QVF230" s="21"/>
      <c r="QVG230" s="15"/>
      <c r="QVH230" s="15"/>
      <c r="QVI230" s="15"/>
      <c r="QVJ230" s="15"/>
      <c r="QVK230" s="15"/>
      <c r="QVL230" s="15"/>
      <c r="QVM230" s="15"/>
      <c r="QVN230" s="15"/>
      <c r="QVO230" s="15"/>
      <c r="QVP230" s="15"/>
      <c r="QVQ230" s="10"/>
      <c r="QVR230" s="10"/>
      <c r="QVS230" s="21"/>
      <c r="QVT230" s="21"/>
      <c r="QVW230" s="21"/>
      <c r="QVX230" s="15"/>
      <c r="QVY230" s="15"/>
      <c r="QVZ230" s="15"/>
      <c r="QWA230" s="15"/>
      <c r="QWB230" s="15"/>
      <c r="QWC230" s="15"/>
      <c r="QWD230" s="15"/>
      <c r="QWE230" s="15"/>
      <c r="QWF230" s="15"/>
      <c r="QWG230" s="15"/>
      <c r="QWH230" s="10"/>
      <c r="QWI230" s="10"/>
      <c r="QWJ230" s="21"/>
      <c r="QWK230" s="21"/>
      <c r="QWN230" s="21"/>
      <c r="QWO230" s="15"/>
      <c r="QWP230" s="15"/>
      <c r="QWQ230" s="15"/>
      <c r="QWR230" s="15"/>
      <c r="QWS230" s="15"/>
      <c r="QWT230" s="15"/>
      <c r="QWU230" s="15"/>
      <c r="QWV230" s="15"/>
      <c r="QWW230" s="15"/>
      <c r="QWX230" s="15"/>
      <c r="QWY230" s="10"/>
      <c r="QWZ230" s="10"/>
      <c r="QXA230" s="21"/>
      <c r="QXB230" s="21"/>
      <c r="QXE230" s="21"/>
      <c r="QXF230" s="15"/>
      <c r="QXG230" s="15"/>
      <c r="QXH230" s="15"/>
      <c r="QXI230" s="15"/>
      <c r="QXJ230" s="15"/>
      <c r="QXK230" s="15"/>
      <c r="QXL230" s="15"/>
      <c r="QXM230" s="15"/>
      <c r="QXN230" s="15"/>
      <c r="QXO230" s="15"/>
      <c r="QXP230" s="10"/>
      <c r="QXQ230" s="10"/>
      <c r="QXR230" s="21"/>
      <c r="QXS230" s="21"/>
      <c r="QXV230" s="21"/>
      <c r="QXW230" s="15"/>
      <c r="QXX230" s="15"/>
      <c r="QXY230" s="15"/>
      <c r="QXZ230" s="15"/>
      <c r="QYA230" s="15"/>
      <c r="QYB230" s="15"/>
      <c r="QYC230" s="15"/>
      <c r="QYD230" s="15"/>
      <c r="QYE230" s="15"/>
      <c r="QYF230" s="15"/>
      <c r="QYG230" s="10"/>
      <c r="QYH230" s="10"/>
      <c r="QYI230" s="21"/>
      <c r="QYJ230" s="21"/>
      <c r="QYM230" s="21"/>
      <c r="QYN230" s="15"/>
      <c r="QYO230" s="15"/>
      <c r="QYP230" s="15"/>
      <c r="QYQ230" s="15"/>
      <c r="QYR230" s="15"/>
      <c r="QYS230" s="15"/>
      <c r="QYT230" s="15"/>
      <c r="QYU230" s="15"/>
      <c r="QYV230" s="15"/>
      <c r="QYW230" s="15"/>
      <c r="QYX230" s="10"/>
      <c r="QYY230" s="10"/>
      <c r="QYZ230" s="21"/>
      <c r="QZA230" s="21"/>
      <c r="QZD230" s="21"/>
      <c r="QZE230" s="15"/>
      <c r="QZF230" s="15"/>
      <c r="QZG230" s="15"/>
      <c r="QZH230" s="15"/>
      <c r="QZI230" s="15"/>
      <c r="QZJ230" s="15"/>
      <c r="QZK230" s="15"/>
      <c r="QZL230" s="15"/>
      <c r="QZM230" s="15"/>
      <c r="QZN230" s="15"/>
      <c r="QZO230" s="10"/>
      <c r="QZP230" s="10"/>
      <c r="QZQ230" s="21"/>
      <c r="QZR230" s="21"/>
      <c r="QZU230" s="21"/>
      <c r="QZV230" s="15"/>
      <c r="QZW230" s="15"/>
      <c r="QZX230" s="15"/>
      <c r="QZY230" s="15"/>
      <c r="QZZ230" s="15"/>
      <c r="RAA230" s="15"/>
      <c r="RAB230" s="15"/>
      <c r="RAC230" s="15"/>
      <c r="RAD230" s="15"/>
      <c r="RAE230" s="15"/>
      <c r="RAF230" s="10"/>
      <c r="RAG230" s="10"/>
      <c r="RAH230" s="21"/>
      <c r="RAI230" s="21"/>
      <c r="RAL230" s="21"/>
      <c r="RAM230" s="15"/>
      <c r="RAN230" s="15"/>
      <c r="RAO230" s="15"/>
      <c r="RAP230" s="15"/>
      <c r="RAQ230" s="15"/>
      <c r="RAR230" s="15"/>
      <c r="RAS230" s="15"/>
      <c r="RAT230" s="15"/>
      <c r="RAU230" s="15"/>
      <c r="RAV230" s="15"/>
      <c r="RAW230" s="10"/>
      <c r="RAX230" s="10"/>
      <c r="RAY230" s="21"/>
      <c r="RAZ230" s="21"/>
      <c r="RBC230" s="21"/>
      <c r="RBD230" s="15"/>
      <c r="RBE230" s="15"/>
      <c r="RBF230" s="15"/>
      <c r="RBG230" s="15"/>
      <c r="RBH230" s="15"/>
      <c r="RBI230" s="15"/>
      <c r="RBJ230" s="15"/>
      <c r="RBK230" s="15"/>
      <c r="RBL230" s="15"/>
      <c r="RBM230" s="15"/>
      <c r="RBN230" s="10"/>
      <c r="RBO230" s="10"/>
      <c r="RBP230" s="21"/>
      <c r="RBQ230" s="21"/>
      <c r="RBT230" s="21"/>
      <c r="RBU230" s="15"/>
      <c r="RBV230" s="15"/>
      <c r="RBW230" s="15"/>
      <c r="RBX230" s="15"/>
      <c r="RBY230" s="15"/>
      <c r="RBZ230" s="15"/>
      <c r="RCA230" s="15"/>
      <c r="RCB230" s="15"/>
      <c r="RCC230" s="15"/>
      <c r="RCD230" s="15"/>
      <c r="RCE230" s="10"/>
      <c r="RCF230" s="10"/>
      <c r="RCG230" s="21"/>
      <c r="RCH230" s="21"/>
      <c r="RCK230" s="21"/>
      <c r="RCL230" s="15"/>
      <c r="RCM230" s="15"/>
      <c r="RCN230" s="15"/>
      <c r="RCO230" s="15"/>
      <c r="RCP230" s="15"/>
      <c r="RCQ230" s="15"/>
      <c r="RCR230" s="15"/>
      <c r="RCS230" s="15"/>
      <c r="RCT230" s="15"/>
      <c r="RCU230" s="15"/>
      <c r="RCV230" s="10"/>
      <c r="RCW230" s="10"/>
      <c r="RCX230" s="21"/>
      <c r="RCY230" s="21"/>
      <c r="RDB230" s="21"/>
      <c r="RDC230" s="15"/>
      <c r="RDD230" s="15"/>
      <c r="RDE230" s="15"/>
      <c r="RDF230" s="15"/>
      <c r="RDG230" s="15"/>
      <c r="RDH230" s="15"/>
      <c r="RDI230" s="15"/>
      <c r="RDJ230" s="15"/>
      <c r="RDK230" s="15"/>
      <c r="RDL230" s="15"/>
      <c r="RDM230" s="10"/>
      <c r="RDN230" s="10"/>
      <c r="RDO230" s="21"/>
      <c r="RDP230" s="21"/>
      <c r="RDS230" s="21"/>
      <c r="RDT230" s="15"/>
      <c r="RDU230" s="15"/>
      <c r="RDV230" s="15"/>
      <c r="RDW230" s="15"/>
      <c r="RDX230" s="15"/>
      <c r="RDY230" s="15"/>
      <c r="RDZ230" s="15"/>
      <c r="REA230" s="15"/>
      <c r="REB230" s="15"/>
      <c r="REC230" s="15"/>
      <c r="RED230" s="10"/>
      <c r="REE230" s="10"/>
      <c r="REF230" s="21"/>
      <c r="REG230" s="21"/>
      <c r="REJ230" s="21"/>
      <c r="REK230" s="15"/>
      <c r="REL230" s="15"/>
      <c r="REM230" s="15"/>
      <c r="REN230" s="15"/>
      <c r="REO230" s="15"/>
      <c r="REP230" s="15"/>
      <c r="REQ230" s="15"/>
      <c r="RER230" s="15"/>
      <c r="RES230" s="15"/>
      <c r="RET230" s="15"/>
      <c r="REU230" s="10"/>
      <c r="REV230" s="10"/>
      <c r="REW230" s="21"/>
      <c r="REX230" s="21"/>
      <c r="RFA230" s="21"/>
      <c r="RFB230" s="15"/>
      <c r="RFC230" s="15"/>
      <c r="RFD230" s="15"/>
      <c r="RFE230" s="15"/>
      <c r="RFF230" s="15"/>
      <c r="RFG230" s="15"/>
      <c r="RFH230" s="15"/>
      <c r="RFI230" s="15"/>
      <c r="RFJ230" s="15"/>
      <c r="RFK230" s="15"/>
      <c r="RFL230" s="10"/>
      <c r="RFM230" s="10"/>
      <c r="RFN230" s="21"/>
      <c r="RFO230" s="21"/>
      <c r="RFR230" s="21"/>
      <c r="RFS230" s="15"/>
      <c r="RFT230" s="15"/>
      <c r="RFU230" s="15"/>
      <c r="RFV230" s="15"/>
      <c r="RFW230" s="15"/>
      <c r="RFX230" s="15"/>
      <c r="RFY230" s="15"/>
      <c r="RFZ230" s="15"/>
      <c r="RGA230" s="15"/>
      <c r="RGB230" s="15"/>
      <c r="RGC230" s="10"/>
      <c r="RGD230" s="10"/>
      <c r="RGE230" s="21"/>
      <c r="RGF230" s="21"/>
      <c r="RGI230" s="21"/>
      <c r="RGJ230" s="15"/>
      <c r="RGK230" s="15"/>
      <c r="RGL230" s="15"/>
      <c r="RGM230" s="15"/>
      <c r="RGN230" s="15"/>
      <c r="RGO230" s="15"/>
      <c r="RGP230" s="15"/>
      <c r="RGQ230" s="15"/>
      <c r="RGR230" s="15"/>
      <c r="RGS230" s="15"/>
      <c r="RGT230" s="10"/>
      <c r="RGU230" s="10"/>
      <c r="RGV230" s="21"/>
      <c r="RGW230" s="21"/>
      <c r="RGZ230" s="21"/>
      <c r="RHA230" s="15"/>
      <c r="RHB230" s="15"/>
      <c r="RHC230" s="15"/>
      <c r="RHD230" s="15"/>
      <c r="RHE230" s="15"/>
      <c r="RHF230" s="15"/>
      <c r="RHG230" s="15"/>
      <c r="RHH230" s="15"/>
      <c r="RHI230" s="15"/>
      <c r="RHJ230" s="15"/>
      <c r="RHK230" s="10"/>
      <c r="RHL230" s="10"/>
      <c r="RHM230" s="21"/>
      <c r="RHN230" s="21"/>
      <c r="RHQ230" s="21"/>
      <c r="RHR230" s="15"/>
      <c r="RHS230" s="15"/>
      <c r="RHT230" s="15"/>
      <c r="RHU230" s="15"/>
      <c r="RHV230" s="15"/>
      <c r="RHW230" s="15"/>
      <c r="RHX230" s="15"/>
      <c r="RHY230" s="15"/>
      <c r="RHZ230" s="15"/>
      <c r="RIA230" s="15"/>
      <c r="RIB230" s="10"/>
      <c r="RIC230" s="10"/>
      <c r="RID230" s="21"/>
      <c r="RIE230" s="21"/>
      <c r="RIH230" s="21"/>
      <c r="RII230" s="15"/>
      <c r="RIJ230" s="15"/>
      <c r="RIK230" s="15"/>
      <c r="RIL230" s="15"/>
      <c r="RIM230" s="15"/>
      <c r="RIN230" s="15"/>
      <c r="RIO230" s="15"/>
      <c r="RIP230" s="15"/>
      <c r="RIQ230" s="15"/>
      <c r="RIR230" s="15"/>
      <c r="RIS230" s="10"/>
      <c r="RIT230" s="10"/>
      <c r="RIU230" s="21"/>
      <c r="RIV230" s="21"/>
      <c r="RIY230" s="21"/>
      <c r="RIZ230" s="15"/>
      <c r="RJA230" s="15"/>
      <c r="RJB230" s="15"/>
      <c r="RJC230" s="15"/>
      <c r="RJD230" s="15"/>
      <c r="RJE230" s="15"/>
      <c r="RJF230" s="15"/>
      <c r="RJG230" s="15"/>
      <c r="RJH230" s="15"/>
      <c r="RJI230" s="15"/>
      <c r="RJJ230" s="10"/>
      <c r="RJK230" s="10"/>
      <c r="RJL230" s="21"/>
      <c r="RJM230" s="21"/>
      <c r="RJP230" s="21"/>
      <c r="RJQ230" s="15"/>
      <c r="RJR230" s="15"/>
      <c r="RJS230" s="15"/>
      <c r="RJT230" s="15"/>
      <c r="RJU230" s="15"/>
      <c r="RJV230" s="15"/>
      <c r="RJW230" s="15"/>
      <c r="RJX230" s="15"/>
      <c r="RJY230" s="15"/>
      <c r="RJZ230" s="15"/>
      <c r="RKA230" s="10"/>
      <c r="RKB230" s="10"/>
      <c r="RKC230" s="21"/>
      <c r="RKD230" s="21"/>
      <c r="RKG230" s="21"/>
      <c r="RKH230" s="15"/>
      <c r="RKI230" s="15"/>
      <c r="RKJ230" s="15"/>
      <c r="RKK230" s="15"/>
      <c r="RKL230" s="15"/>
      <c r="RKM230" s="15"/>
      <c r="RKN230" s="15"/>
      <c r="RKO230" s="15"/>
      <c r="RKP230" s="15"/>
      <c r="RKQ230" s="15"/>
      <c r="RKR230" s="10"/>
      <c r="RKS230" s="10"/>
      <c r="RKT230" s="21"/>
      <c r="RKU230" s="21"/>
      <c r="RKX230" s="21"/>
      <c r="RKY230" s="15"/>
      <c r="RKZ230" s="15"/>
      <c r="RLA230" s="15"/>
      <c r="RLB230" s="15"/>
      <c r="RLC230" s="15"/>
      <c r="RLD230" s="15"/>
      <c r="RLE230" s="15"/>
      <c r="RLF230" s="15"/>
      <c r="RLG230" s="15"/>
      <c r="RLH230" s="15"/>
      <c r="RLI230" s="10"/>
      <c r="RLJ230" s="10"/>
      <c r="RLK230" s="21"/>
      <c r="RLL230" s="21"/>
      <c r="RLO230" s="21"/>
      <c r="RLP230" s="15"/>
      <c r="RLQ230" s="15"/>
      <c r="RLR230" s="15"/>
      <c r="RLS230" s="15"/>
      <c r="RLT230" s="15"/>
      <c r="RLU230" s="15"/>
      <c r="RLV230" s="15"/>
      <c r="RLW230" s="15"/>
      <c r="RLX230" s="15"/>
      <c r="RLY230" s="15"/>
      <c r="RLZ230" s="10"/>
      <c r="RMA230" s="10"/>
      <c r="RMB230" s="21"/>
      <c r="RMC230" s="21"/>
      <c r="RMF230" s="21"/>
      <c r="RMG230" s="15"/>
      <c r="RMH230" s="15"/>
      <c r="RMI230" s="15"/>
      <c r="RMJ230" s="15"/>
      <c r="RMK230" s="15"/>
      <c r="RML230" s="15"/>
      <c r="RMM230" s="15"/>
      <c r="RMN230" s="15"/>
      <c r="RMO230" s="15"/>
      <c r="RMP230" s="15"/>
      <c r="RMQ230" s="10"/>
      <c r="RMR230" s="10"/>
      <c r="RMS230" s="21"/>
      <c r="RMT230" s="21"/>
      <c r="RMW230" s="21"/>
      <c r="RMX230" s="15"/>
      <c r="RMY230" s="15"/>
      <c r="RMZ230" s="15"/>
      <c r="RNA230" s="15"/>
      <c r="RNB230" s="15"/>
      <c r="RNC230" s="15"/>
      <c r="RND230" s="15"/>
      <c r="RNE230" s="15"/>
      <c r="RNF230" s="15"/>
      <c r="RNG230" s="15"/>
      <c r="RNH230" s="10"/>
      <c r="RNI230" s="10"/>
      <c r="RNJ230" s="21"/>
      <c r="RNK230" s="21"/>
      <c r="RNN230" s="21"/>
      <c r="RNO230" s="15"/>
      <c r="RNP230" s="15"/>
      <c r="RNQ230" s="15"/>
      <c r="RNR230" s="15"/>
      <c r="RNS230" s="15"/>
      <c r="RNT230" s="15"/>
      <c r="RNU230" s="15"/>
      <c r="RNV230" s="15"/>
      <c r="RNW230" s="15"/>
      <c r="RNX230" s="15"/>
      <c r="RNY230" s="10"/>
      <c r="RNZ230" s="10"/>
      <c r="ROA230" s="21"/>
      <c r="ROB230" s="21"/>
      <c r="ROE230" s="21"/>
      <c r="ROF230" s="15"/>
      <c r="ROG230" s="15"/>
      <c r="ROH230" s="15"/>
      <c r="ROI230" s="15"/>
      <c r="ROJ230" s="15"/>
      <c r="ROK230" s="15"/>
      <c r="ROL230" s="15"/>
      <c r="ROM230" s="15"/>
      <c r="RON230" s="15"/>
      <c r="ROO230" s="15"/>
      <c r="ROP230" s="10"/>
      <c r="ROQ230" s="10"/>
      <c r="ROR230" s="21"/>
      <c r="ROS230" s="21"/>
      <c r="ROV230" s="21"/>
      <c r="ROW230" s="15"/>
      <c r="ROX230" s="15"/>
      <c r="ROY230" s="15"/>
      <c r="ROZ230" s="15"/>
      <c r="RPA230" s="15"/>
      <c r="RPB230" s="15"/>
      <c r="RPC230" s="15"/>
      <c r="RPD230" s="15"/>
      <c r="RPE230" s="15"/>
      <c r="RPF230" s="15"/>
      <c r="RPG230" s="10"/>
      <c r="RPH230" s="10"/>
      <c r="RPI230" s="21"/>
      <c r="RPJ230" s="21"/>
      <c r="RPM230" s="21"/>
      <c r="RPN230" s="15"/>
      <c r="RPO230" s="15"/>
      <c r="RPP230" s="15"/>
      <c r="RPQ230" s="15"/>
      <c r="RPR230" s="15"/>
      <c r="RPS230" s="15"/>
      <c r="RPT230" s="15"/>
      <c r="RPU230" s="15"/>
      <c r="RPV230" s="15"/>
      <c r="RPW230" s="15"/>
      <c r="RPX230" s="10"/>
      <c r="RPY230" s="10"/>
      <c r="RPZ230" s="21"/>
      <c r="RQA230" s="21"/>
      <c r="RQD230" s="21"/>
      <c r="RQE230" s="15"/>
      <c r="RQF230" s="15"/>
      <c r="RQG230" s="15"/>
      <c r="RQH230" s="15"/>
      <c r="RQI230" s="15"/>
      <c r="RQJ230" s="15"/>
      <c r="RQK230" s="15"/>
      <c r="RQL230" s="15"/>
      <c r="RQM230" s="15"/>
      <c r="RQN230" s="15"/>
      <c r="RQO230" s="10"/>
      <c r="RQP230" s="10"/>
      <c r="RQQ230" s="21"/>
      <c r="RQR230" s="21"/>
      <c r="RQU230" s="21"/>
      <c r="RQV230" s="15"/>
      <c r="RQW230" s="15"/>
      <c r="RQX230" s="15"/>
      <c r="RQY230" s="15"/>
      <c r="RQZ230" s="15"/>
      <c r="RRA230" s="15"/>
      <c r="RRB230" s="15"/>
      <c r="RRC230" s="15"/>
      <c r="RRD230" s="15"/>
      <c r="RRE230" s="15"/>
      <c r="RRF230" s="10"/>
      <c r="RRG230" s="10"/>
      <c r="RRH230" s="21"/>
      <c r="RRI230" s="21"/>
      <c r="RRL230" s="21"/>
      <c r="RRM230" s="15"/>
      <c r="RRN230" s="15"/>
      <c r="RRO230" s="15"/>
      <c r="RRP230" s="15"/>
      <c r="RRQ230" s="15"/>
      <c r="RRR230" s="15"/>
      <c r="RRS230" s="15"/>
      <c r="RRT230" s="15"/>
      <c r="RRU230" s="15"/>
      <c r="RRV230" s="15"/>
      <c r="RRW230" s="10"/>
      <c r="RRX230" s="10"/>
      <c r="RRY230" s="21"/>
      <c r="RRZ230" s="21"/>
      <c r="RSC230" s="21"/>
      <c r="RSD230" s="15"/>
      <c r="RSE230" s="15"/>
      <c r="RSF230" s="15"/>
      <c r="RSG230" s="15"/>
      <c r="RSH230" s="15"/>
      <c r="RSI230" s="15"/>
      <c r="RSJ230" s="15"/>
      <c r="RSK230" s="15"/>
      <c r="RSL230" s="15"/>
      <c r="RSM230" s="15"/>
      <c r="RSN230" s="10"/>
      <c r="RSO230" s="10"/>
      <c r="RSP230" s="21"/>
      <c r="RSQ230" s="21"/>
      <c r="RST230" s="21"/>
      <c r="RSU230" s="15"/>
      <c r="RSV230" s="15"/>
      <c r="RSW230" s="15"/>
      <c r="RSX230" s="15"/>
      <c r="RSY230" s="15"/>
      <c r="RSZ230" s="15"/>
      <c r="RTA230" s="15"/>
      <c r="RTB230" s="15"/>
      <c r="RTC230" s="15"/>
      <c r="RTD230" s="15"/>
      <c r="RTE230" s="10"/>
      <c r="RTF230" s="10"/>
      <c r="RTG230" s="21"/>
      <c r="RTH230" s="21"/>
      <c r="RTK230" s="21"/>
      <c r="RTL230" s="15"/>
      <c r="RTM230" s="15"/>
      <c r="RTN230" s="15"/>
      <c r="RTO230" s="15"/>
      <c r="RTP230" s="15"/>
      <c r="RTQ230" s="15"/>
      <c r="RTR230" s="15"/>
      <c r="RTS230" s="15"/>
      <c r="RTT230" s="15"/>
      <c r="RTU230" s="15"/>
      <c r="RTV230" s="10"/>
      <c r="RTW230" s="10"/>
      <c r="RTX230" s="21"/>
      <c r="RTY230" s="21"/>
      <c r="RUB230" s="21"/>
      <c r="RUC230" s="15"/>
      <c r="RUD230" s="15"/>
      <c r="RUE230" s="15"/>
      <c r="RUF230" s="15"/>
      <c r="RUG230" s="15"/>
      <c r="RUH230" s="15"/>
      <c r="RUI230" s="15"/>
      <c r="RUJ230" s="15"/>
      <c r="RUK230" s="15"/>
      <c r="RUL230" s="15"/>
      <c r="RUM230" s="10"/>
      <c r="RUN230" s="10"/>
      <c r="RUO230" s="21"/>
      <c r="RUP230" s="21"/>
      <c r="RUS230" s="21"/>
      <c r="RUT230" s="15"/>
      <c r="RUU230" s="15"/>
      <c r="RUV230" s="15"/>
      <c r="RUW230" s="15"/>
      <c r="RUX230" s="15"/>
      <c r="RUY230" s="15"/>
      <c r="RUZ230" s="15"/>
      <c r="RVA230" s="15"/>
      <c r="RVB230" s="15"/>
      <c r="RVC230" s="15"/>
      <c r="RVD230" s="10"/>
      <c r="RVE230" s="10"/>
      <c r="RVF230" s="21"/>
      <c r="RVG230" s="21"/>
      <c r="RVJ230" s="21"/>
      <c r="RVK230" s="15"/>
      <c r="RVL230" s="15"/>
      <c r="RVM230" s="15"/>
      <c r="RVN230" s="15"/>
      <c r="RVO230" s="15"/>
      <c r="RVP230" s="15"/>
      <c r="RVQ230" s="15"/>
      <c r="RVR230" s="15"/>
      <c r="RVS230" s="15"/>
      <c r="RVT230" s="15"/>
      <c r="RVU230" s="10"/>
      <c r="RVV230" s="10"/>
      <c r="RVW230" s="21"/>
      <c r="RVX230" s="21"/>
      <c r="RWA230" s="21"/>
      <c r="RWB230" s="15"/>
      <c r="RWC230" s="15"/>
      <c r="RWD230" s="15"/>
      <c r="RWE230" s="15"/>
      <c r="RWF230" s="15"/>
      <c r="RWG230" s="15"/>
      <c r="RWH230" s="15"/>
      <c r="RWI230" s="15"/>
      <c r="RWJ230" s="15"/>
      <c r="RWK230" s="15"/>
      <c r="RWL230" s="10"/>
      <c r="RWM230" s="10"/>
      <c r="RWN230" s="21"/>
      <c r="RWO230" s="21"/>
      <c r="RWR230" s="21"/>
      <c r="RWS230" s="15"/>
      <c r="RWT230" s="15"/>
      <c r="RWU230" s="15"/>
      <c r="RWV230" s="15"/>
      <c r="RWW230" s="15"/>
      <c r="RWX230" s="15"/>
      <c r="RWY230" s="15"/>
      <c r="RWZ230" s="15"/>
      <c r="RXA230" s="15"/>
      <c r="RXB230" s="15"/>
      <c r="RXC230" s="10"/>
      <c r="RXD230" s="10"/>
      <c r="RXE230" s="21"/>
      <c r="RXF230" s="21"/>
      <c r="RXI230" s="21"/>
      <c r="RXJ230" s="15"/>
      <c r="RXK230" s="15"/>
      <c r="RXL230" s="15"/>
      <c r="RXM230" s="15"/>
      <c r="RXN230" s="15"/>
      <c r="RXO230" s="15"/>
      <c r="RXP230" s="15"/>
      <c r="RXQ230" s="15"/>
      <c r="RXR230" s="15"/>
      <c r="RXS230" s="15"/>
      <c r="RXT230" s="10"/>
      <c r="RXU230" s="10"/>
      <c r="RXV230" s="21"/>
      <c r="RXW230" s="21"/>
      <c r="RXZ230" s="21"/>
      <c r="RYA230" s="15"/>
      <c r="RYB230" s="15"/>
      <c r="RYC230" s="15"/>
      <c r="RYD230" s="15"/>
      <c r="RYE230" s="15"/>
      <c r="RYF230" s="15"/>
      <c r="RYG230" s="15"/>
      <c r="RYH230" s="15"/>
      <c r="RYI230" s="15"/>
      <c r="RYJ230" s="15"/>
      <c r="RYK230" s="10"/>
      <c r="RYL230" s="10"/>
      <c r="RYM230" s="21"/>
      <c r="RYN230" s="21"/>
      <c r="RYQ230" s="21"/>
      <c r="RYR230" s="15"/>
      <c r="RYS230" s="15"/>
      <c r="RYT230" s="15"/>
      <c r="RYU230" s="15"/>
      <c r="RYV230" s="15"/>
      <c r="RYW230" s="15"/>
      <c r="RYX230" s="15"/>
      <c r="RYY230" s="15"/>
      <c r="RYZ230" s="15"/>
      <c r="RZA230" s="15"/>
      <c r="RZB230" s="10"/>
      <c r="RZC230" s="10"/>
      <c r="RZD230" s="21"/>
      <c r="RZE230" s="21"/>
      <c r="RZH230" s="21"/>
      <c r="RZI230" s="15"/>
      <c r="RZJ230" s="15"/>
      <c r="RZK230" s="15"/>
      <c r="RZL230" s="15"/>
      <c r="RZM230" s="15"/>
      <c r="RZN230" s="15"/>
      <c r="RZO230" s="15"/>
      <c r="RZP230" s="15"/>
      <c r="RZQ230" s="15"/>
      <c r="RZR230" s="15"/>
      <c r="RZS230" s="10"/>
      <c r="RZT230" s="10"/>
      <c r="RZU230" s="21"/>
      <c r="RZV230" s="21"/>
      <c r="RZY230" s="21"/>
      <c r="RZZ230" s="15"/>
      <c r="SAA230" s="15"/>
      <c r="SAB230" s="15"/>
      <c r="SAC230" s="15"/>
      <c r="SAD230" s="15"/>
      <c r="SAE230" s="15"/>
      <c r="SAF230" s="15"/>
      <c r="SAG230" s="15"/>
      <c r="SAH230" s="15"/>
      <c r="SAI230" s="15"/>
      <c r="SAJ230" s="10"/>
      <c r="SAK230" s="10"/>
      <c r="SAL230" s="21"/>
      <c r="SAM230" s="21"/>
      <c r="SAP230" s="21"/>
      <c r="SAQ230" s="15"/>
      <c r="SAR230" s="15"/>
      <c r="SAS230" s="15"/>
      <c r="SAT230" s="15"/>
      <c r="SAU230" s="15"/>
      <c r="SAV230" s="15"/>
      <c r="SAW230" s="15"/>
      <c r="SAX230" s="15"/>
      <c r="SAY230" s="15"/>
      <c r="SAZ230" s="15"/>
      <c r="SBA230" s="10"/>
      <c r="SBB230" s="10"/>
      <c r="SBC230" s="21"/>
      <c r="SBD230" s="21"/>
      <c r="SBG230" s="21"/>
      <c r="SBH230" s="15"/>
      <c r="SBI230" s="15"/>
      <c r="SBJ230" s="15"/>
      <c r="SBK230" s="15"/>
      <c r="SBL230" s="15"/>
      <c r="SBM230" s="15"/>
      <c r="SBN230" s="15"/>
      <c r="SBO230" s="15"/>
      <c r="SBP230" s="15"/>
      <c r="SBQ230" s="15"/>
      <c r="SBR230" s="10"/>
      <c r="SBS230" s="10"/>
      <c r="SBT230" s="21"/>
      <c r="SBU230" s="21"/>
      <c r="SBX230" s="21"/>
      <c r="SBY230" s="15"/>
      <c r="SBZ230" s="15"/>
      <c r="SCA230" s="15"/>
      <c r="SCB230" s="15"/>
      <c r="SCC230" s="15"/>
      <c r="SCD230" s="15"/>
      <c r="SCE230" s="15"/>
      <c r="SCF230" s="15"/>
      <c r="SCG230" s="15"/>
      <c r="SCH230" s="15"/>
      <c r="SCI230" s="10"/>
      <c r="SCJ230" s="10"/>
      <c r="SCK230" s="21"/>
      <c r="SCL230" s="21"/>
      <c r="SCO230" s="21"/>
      <c r="SCP230" s="15"/>
      <c r="SCQ230" s="15"/>
      <c r="SCR230" s="15"/>
      <c r="SCS230" s="15"/>
      <c r="SCT230" s="15"/>
      <c r="SCU230" s="15"/>
      <c r="SCV230" s="15"/>
      <c r="SCW230" s="15"/>
      <c r="SCX230" s="15"/>
      <c r="SCY230" s="15"/>
      <c r="SCZ230" s="10"/>
      <c r="SDA230" s="10"/>
      <c r="SDB230" s="21"/>
      <c r="SDC230" s="21"/>
      <c r="SDF230" s="21"/>
      <c r="SDG230" s="15"/>
      <c r="SDH230" s="15"/>
      <c r="SDI230" s="15"/>
      <c r="SDJ230" s="15"/>
      <c r="SDK230" s="15"/>
      <c r="SDL230" s="15"/>
      <c r="SDM230" s="15"/>
      <c r="SDN230" s="15"/>
      <c r="SDO230" s="15"/>
      <c r="SDP230" s="15"/>
      <c r="SDQ230" s="10"/>
      <c r="SDR230" s="10"/>
      <c r="SDS230" s="21"/>
      <c r="SDT230" s="21"/>
      <c r="SDW230" s="21"/>
      <c r="SDX230" s="15"/>
      <c r="SDY230" s="15"/>
      <c r="SDZ230" s="15"/>
      <c r="SEA230" s="15"/>
      <c r="SEB230" s="15"/>
      <c r="SEC230" s="15"/>
      <c r="SED230" s="15"/>
      <c r="SEE230" s="15"/>
      <c r="SEF230" s="15"/>
      <c r="SEG230" s="15"/>
      <c r="SEH230" s="10"/>
      <c r="SEI230" s="10"/>
      <c r="SEJ230" s="21"/>
      <c r="SEK230" s="21"/>
      <c r="SEN230" s="21"/>
      <c r="SEO230" s="15"/>
      <c r="SEP230" s="15"/>
      <c r="SEQ230" s="15"/>
      <c r="SER230" s="15"/>
      <c r="SES230" s="15"/>
      <c r="SET230" s="15"/>
      <c r="SEU230" s="15"/>
      <c r="SEV230" s="15"/>
      <c r="SEW230" s="15"/>
      <c r="SEX230" s="15"/>
      <c r="SEY230" s="10"/>
      <c r="SEZ230" s="10"/>
      <c r="SFA230" s="21"/>
      <c r="SFB230" s="21"/>
      <c r="SFE230" s="21"/>
      <c r="SFF230" s="15"/>
      <c r="SFG230" s="15"/>
      <c r="SFH230" s="15"/>
      <c r="SFI230" s="15"/>
      <c r="SFJ230" s="15"/>
      <c r="SFK230" s="15"/>
      <c r="SFL230" s="15"/>
      <c r="SFM230" s="15"/>
      <c r="SFN230" s="15"/>
      <c r="SFO230" s="15"/>
      <c r="SFP230" s="10"/>
      <c r="SFQ230" s="10"/>
      <c r="SFR230" s="21"/>
      <c r="SFS230" s="21"/>
      <c r="SFV230" s="21"/>
      <c r="SFW230" s="15"/>
      <c r="SFX230" s="15"/>
      <c r="SFY230" s="15"/>
      <c r="SFZ230" s="15"/>
      <c r="SGA230" s="15"/>
      <c r="SGB230" s="15"/>
      <c r="SGC230" s="15"/>
      <c r="SGD230" s="15"/>
      <c r="SGE230" s="15"/>
      <c r="SGF230" s="15"/>
      <c r="SGG230" s="10"/>
      <c r="SGH230" s="10"/>
      <c r="SGI230" s="21"/>
      <c r="SGJ230" s="21"/>
      <c r="SGM230" s="21"/>
      <c r="SGN230" s="15"/>
      <c r="SGO230" s="15"/>
      <c r="SGP230" s="15"/>
      <c r="SGQ230" s="15"/>
      <c r="SGR230" s="15"/>
      <c r="SGS230" s="15"/>
      <c r="SGT230" s="15"/>
      <c r="SGU230" s="15"/>
      <c r="SGV230" s="15"/>
      <c r="SGW230" s="15"/>
      <c r="SGX230" s="10"/>
      <c r="SGY230" s="10"/>
      <c r="SGZ230" s="21"/>
      <c r="SHA230" s="21"/>
      <c r="SHD230" s="21"/>
      <c r="SHE230" s="15"/>
      <c r="SHF230" s="15"/>
      <c r="SHG230" s="15"/>
      <c r="SHH230" s="15"/>
      <c r="SHI230" s="15"/>
      <c r="SHJ230" s="15"/>
      <c r="SHK230" s="15"/>
      <c r="SHL230" s="15"/>
      <c r="SHM230" s="15"/>
      <c r="SHN230" s="15"/>
      <c r="SHO230" s="10"/>
      <c r="SHP230" s="10"/>
      <c r="SHQ230" s="21"/>
      <c r="SHR230" s="21"/>
      <c r="SHU230" s="21"/>
      <c r="SHV230" s="15"/>
      <c r="SHW230" s="15"/>
      <c r="SHX230" s="15"/>
      <c r="SHY230" s="15"/>
      <c r="SHZ230" s="15"/>
      <c r="SIA230" s="15"/>
      <c r="SIB230" s="15"/>
      <c r="SIC230" s="15"/>
      <c r="SID230" s="15"/>
      <c r="SIE230" s="15"/>
      <c r="SIF230" s="10"/>
      <c r="SIG230" s="10"/>
      <c r="SIH230" s="21"/>
      <c r="SII230" s="21"/>
      <c r="SIL230" s="21"/>
      <c r="SIM230" s="15"/>
      <c r="SIN230" s="15"/>
      <c r="SIO230" s="15"/>
      <c r="SIP230" s="15"/>
      <c r="SIQ230" s="15"/>
      <c r="SIR230" s="15"/>
      <c r="SIS230" s="15"/>
      <c r="SIT230" s="15"/>
      <c r="SIU230" s="15"/>
      <c r="SIV230" s="15"/>
      <c r="SIW230" s="10"/>
      <c r="SIX230" s="10"/>
      <c r="SIY230" s="21"/>
      <c r="SIZ230" s="21"/>
      <c r="SJC230" s="21"/>
      <c r="SJD230" s="15"/>
      <c r="SJE230" s="15"/>
      <c r="SJF230" s="15"/>
      <c r="SJG230" s="15"/>
      <c r="SJH230" s="15"/>
      <c r="SJI230" s="15"/>
      <c r="SJJ230" s="15"/>
      <c r="SJK230" s="15"/>
      <c r="SJL230" s="15"/>
      <c r="SJM230" s="15"/>
      <c r="SJN230" s="10"/>
      <c r="SJO230" s="10"/>
      <c r="SJP230" s="21"/>
      <c r="SJQ230" s="21"/>
      <c r="SJT230" s="21"/>
      <c r="SJU230" s="15"/>
      <c r="SJV230" s="15"/>
      <c r="SJW230" s="15"/>
      <c r="SJX230" s="15"/>
      <c r="SJY230" s="15"/>
      <c r="SJZ230" s="15"/>
      <c r="SKA230" s="15"/>
      <c r="SKB230" s="15"/>
      <c r="SKC230" s="15"/>
      <c r="SKD230" s="15"/>
      <c r="SKE230" s="10"/>
      <c r="SKF230" s="10"/>
      <c r="SKG230" s="21"/>
      <c r="SKH230" s="21"/>
      <c r="SKK230" s="21"/>
      <c r="SKL230" s="15"/>
      <c r="SKM230" s="15"/>
      <c r="SKN230" s="15"/>
      <c r="SKO230" s="15"/>
      <c r="SKP230" s="15"/>
      <c r="SKQ230" s="15"/>
      <c r="SKR230" s="15"/>
      <c r="SKS230" s="15"/>
      <c r="SKT230" s="15"/>
      <c r="SKU230" s="15"/>
      <c r="SKV230" s="10"/>
      <c r="SKW230" s="10"/>
      <c r="SKX230" s="21"/>
      <c r="SKY230" s="21"/>
      <c r="SLB230" s="21"/>
      <c r="SLC230" s="15"/>
      <c r="SLD230" s="15"/>
      <c r="SLE230" s="15"/>
      <c r="SLF230" s="15"/>
      <c r="SLG230" s="15"/>
      <c r="SLH230" s="15"/>
      <c r="SLI230" s="15"/>
      <c r="SLJ230" s="15"/>
      <c r="SLK230" s="15"/>
      <c r="SLL230" s="15"/>
      <c r="SLM230" s="10"/>
      <c r="SLN230" s="10"/>
      <c r="SLO230" s="21"/>
      <c r="SLP230" s="21"/>
      <c r="SLS230" s="21"/>
      <c r="SLT230" s="15"/>
      <c r="SLU230" s="15"/>
      <c r="SLV230" s="15"/>
      <c r="SLW230" s="15"/>
      <c r="SLX230" s="15"/>
      <c r="SLY230" s="15"/>
      <c r="SLZ230" s="15"/>
      <c r="SMA230" s="15"/>
      <c r="SMB230" s="15"/>
      <c r="SMC230" s="15"/>
      <c r="SMD230" s="10"/>
      <c r="SME230" s="10"/>
      <c r="SMF230" s="21"/>
      <c r="SMG230" s="21"/>
      <c r="SMJ230" s="21"/>
      <c r="SMK230" s="15"/>
      <c r="SML230" s="15"/>
      <c r="SMM230" s="15"/>
      <c r="SMN230" s="15"/>
      <c r="SMO230" s="15"/>
      <c r="SMP230" s="15"/>
      <c r="SMQ230" s="15"/>
      <c r="SMR230" s="15"/>
      <c r="SMS230" s="15"/>
      <c r="SMT230" s="15"/>
      <c r="SMU230" s="10"/>
      <c r="SMV230" s="10"/>
      <c r="SMW230" s="21"/>
      <c r="SMX230" s="21"/>
      <c r="SNA230" s="21"/>
      <c r="SNB230" s="15"/>
      <c r="SNC230" s="15"/>
      <c r="SND230" s="15"/>
      <c r="SNE230" s="15"/>
      <c r="SNF230" s="15"/>
      <c r="SNG230" s="15"/>
      <c r="SNH230" s="15"/>
      <c r="SNI230" s="15"/>
      <c r="SNJ230" s="15"/>
      <c r="SNK230" s="15"/>
      <c r="SNL230" s="10"/>
      <c r="SNM230" s="10"/>
      <c r="SNN230" s="21"/>
      <c r="SNO230" s="21"/>
      <c r="SNR230" s="21"/>
      <c r="SNS230" s="15"/>
      <c r="SNT230" s="15"/>
      <c r="SNU230" s="15"/>
      <c r="SNV230" s="15"/>
      <c r="SNW230" s="15"/>
      <c r="SNX230" s="15"/>
      <c r="SNY230" s="15"/>
      <c r="SNZ230" s="15"/>
      <c r="SOA230" s="15"/>
      <c r="SOB230" s="15"/>
      <c r="SOC230" s="10"/>
      <c r="SOD230" s="10"/>
      <c r="SOE230" s="21"/>
      <c r="SOF230" s="21"/>
      <c r="SOI230" s="21"/>
      <c r="SOJ230" s="15"/>
      <c r="SOK230" s="15"/>
      <c r="SOL230" s="15"/>
      <c r="SOM230" s="15"/>
      <c r="SON230" s="15"/>
      <c r="SOO230" s="15"/>
      <c r="SOP230" s="15"/>
      <c r="SOQ230" s="15"/>
      <c r="SOR230" s="15"/>
      <c r="SOS230" s="15"/>
      <c r="SOT230" s="10"/>
      <c r="SOU230" s="10"/>
      <c r="SOV230" s="21"/>
      <c r="SOW230" s="21"/>
      <c r="SOZ230" s="21"/>
      <c r="SPA230" s="15"/>
      <c r="SPB230" s="15"/>
      <c r="SPC230" s="15"/>
      <c r="SPD230" s="15"/>
      <c r="SPE230" s="15"/>
      <c r="SPF230" s="15"/>
      <c r="SPG230" s="15"/>
      <c r="SPH230" s="15"/>
      <c r="SPI230" s="15"/>
      <c r="SPJ230" s="15"/>
      <c r="SPK230" s="10"/>
      <c r="SPL230" s="10"/>
      <c r="SPM230" s="21"/>
      <c r="SPN230" s="21"/>
      <c r="SPQ230" s="21"/>
      <c r="SPR230" s="15"/>
      <c r="SPS230" s="15"/>
      <c r="SPT230" s="15"/>
      <c r="SPU230" s="15"/>
      <c r="SPV230" s="15"/>
      <c r="SPW230" s="15"/>
      <c r="SPX230" s="15"/>
      <c r="SPY230" s="15"/>
      <c r="SPZ230" s="15"/>
      <c r="SQA230" s="15"/>
      <c r="SQB230" s="10"/>
      <c r="SQC230" s="10"/>
      <c r="SQD230" s="21"/>
      <c r="SQE230" s="21"/>
      <c r="SQH230" s="21"/>
      <c r="SQI230" s="15"/>
      <c r="SQJ230" s="15"/>
      <c r="SQK230" s="15"/>
      <c r="SQL230" s="15"/>
      <c r="SQM230" s="15"/>
      <c r="SQN230" s="15"/>
      <c r="SQO230" s="15"/>
      <c r="SQP230" s="15"/>
      <c r="SQQ230" s="15"/>
      <c r="SQR230" s="15"/>
      <c r="SQS230" s="10"/>
      <c r="SQT230" s="10"/>
      <c r="SQU230" s="21"/>
      <c r="SQV230" s="21"/>
      <c r="SQY230" s="21"/>
      <c r="SQZ230" s="15"/>
      <c r="SRA230" s="15"/>
      <c r="SRB230" s="15"/>
      <c r="SRC230" s="15"/>
      <c r="SRD230" s="15"/>
      <c r="SRE230" s="15"/>
      <c r="SRF230" s="15"/>
      <c r="SRG230" s="15"/>
      <c r="SRH230" s="15"/>
      <c r="SRI230" s="15"/>
      <c r="SRJ230" s="10"/>
      <c r="SRK230" s="10"/>
      <c r="SRL230" s="21"/>
      <c r="SRM230" s="21"/>
      <c r="SRP230" s="21"/>
      <c r="SRQ230" s="15"/>
      <c r="SRR230" s="15"/>
      <c r="SRS230" s="15"/>
      <c r="SRT230" s="15"/>
      <c r="SRU230" s="15"/>
      <c r="SRV230" s="15"/>
      <c r="SRW230" s="15"/>
      <c r="SRX230" s="15"/>
      <c r="SRY230" s="15"/>
      <c r="SRZ230" s="15"/>
      <c r="SSA230" s="10"/>
      <c r="SSB230" s="10"/>
      <c r="SSC230" s="21"/>
      <c r="SSD230" s="21"/>
      <c r="SSG230" s="21"/>
      <c r="SSH230" s="15"/>
      <c r="SSI230" s="15"/>
      <c r="SSJ230" s="15"/>
      <c r="SSK230" s="15"/>
      <c r="SSL230" s="15"/>
      <c r="SSM230" s="15"/>
      <c r="SSN230" s="15"/>
      <c r="SSO230" s="15"/>
      <c r="SSP230" s="15"/>
      <c r="SSQ230" s="15"/>
      <c r="SSR230" s="10"/>
      <c r="SSS230" s="10"/>
      <c r="SST230" s="21"/>
      <c r="SSU230" s="21"/>
      <c r="SSX230" s="21"/>
      <c r="SSY230" s="15"/>
      <c r="SSZ230" s="15"/>
      <c r="STA230" s="15"/>
      <c r="STB230" s="15"/>
      <c r="STC230" s="15"/>
      <c r="STD230" s="15"/>
      <c r="STE230" s="15"/>
      <c r="STF230" s="15"/>
      <c r="STG230" s="15"/>
      <c r="STH230" s="15"/>
      <c r="STI230" s="10"/>
      <c r="STJ230" s="10"/>
      <c r="STK230" s="21"/>
      <c r="STL230" s="21"/>
      <c r="STO230" s="21"/>
      <c r="STP230" s="15"/>
      <c r="STQ230" s="15"/>
      <c r="STR230" s="15"/>
      <c r="STS230" s="15"/>
      <c r="STT230" s="15"/>
      <c r="STU230" s="15"/>
      <c r="STV230" s="15"/>
      <c r="STW230" s="15"/>
      <c r="STX230" s="15"/>
      <c r="STY230" s="15"/>
      <c r="STZ230" s="10"/>
      <c r="SUA230" s="10"/>
      <c r="SUB230" s="21"/>
      <c r="SUC230" s="21"/>
      <c r="SUF230" s="21"/>
      <c r="SUG230" s="15"/>
      <c r="SUH230" s="15"/>
      <c r="SUI230" s="15"/>
      <c r="SUJ230" s="15"/>
      <c r="SUK230" s="15"/>
      <c r="SUL230" s="15"/>
      <c r="SUM230" s="15"/>
      <c r="SUN230" s="15"/>
      <c r="SUO230" s="15"/>
      <c r="SUP230" s="15"/>
      <c r="SUQ230" s="10"/>
      <c r="SUR230" s="10"/>
      <c r="SUS230" s="21"/>
      <c r="SUT230" s="21"/>
      <c r="SUW230" s="21"/>
      <c r="SUX230" s="15"/>
      <c r="SUY230" s="15"/>
      <c r="SUZ230" s="15"/>
      <c r="SVA230" s="15"/>
      <c r="SVB230" s="15"/>
      <c r="SVC230" s="15"/>
      <c r="SVD230" s="15"/>
      <c r="SVE230" s="15"/>
      <c r="SVF230" s="15"/>
      <c r="SVG230" s="15"/>
      <c r="SVH230" s="10"/>
      <c r="SVI230" s="10"/>
      <c r="SVJ230" s="21"/>
      <c r="SVK230" s="21"/>
      <c r="SVN230" s="21"/>
      <c r="SVO230" s="15"/>
      <c r="SVP230" s="15"/>
      <c r="SVQ230" s="15"/>
      <c r="SVR230" s="15"/>
      <c r="SVS230" s="15"/>
      <c r="SVT230" s="15"/>
      <c r="SVU230" s="15"/>
      <c r="SVV230" s="15"/>
      <c r="SVW230" s="15"/>
      <c r="SVX230" s="15"/>
      <c r="SVY230" s="10"/>
      <c r="SVZ230" s="10"/>
      <c r="SWA230" s="21"/>
      <c r="SWB230" s="21"/>
      <c r="SWE230" s="21"/>
      <c r="SWF230" s="15"/>
      <c r="SWG230" s="15"/>
      <c r="SWH230" s="15"/>
      <c r="SWI230" s="15"/>
      <c r="SWJ230" s="15"/>
      <c r="SWK230" s="15"/>
      <c r="SWL230" s="15"/>
      <c r="SWM230" s="15"/>
      <c r="SWN230" s="15"/>
      <c r="SWO230" s="15"/>
      <c r="SWP230" s="10"/>
      <c r="SWQ230" s="10"/>
      <c r="SWR230" s="21"/>
      <c r="SWS230" s="21"/>
      <c r="SWV230" s="21"/>
      <c r="SWW230" s="15"/>
      <c r="SWX230" s="15"/>
      <c r="SWY230" s="15"/>
      <c r="SWZ230" s="15"/>
      <c r="SXA230" s="15"/>
      <c r="SXB230" s="15"/>
      <c r="SXC230" s="15"/>
      <c r="SXD230" s="15"/>
      <c r="SXE230" s="15"/>
      <c r="SXF230" s="15"/>
      <c r="SXG230" s="10"/>
      <c r="SXH230" s="10"/>
      <c r="SXI230" s="21"/>
      <c r="SXJ230" s="21"/>
      <c r="SXM230" s="21"/>
      <c r="SXN230" s="15"/>
      <c r="SXO230" s="15"/>
      <c r="SXP230" s="15"/>
      <c r="SXQ230" s="15"/>
      <c r="SXR230" s="15"/>
      <c r="SXS230" s="15"/>
      <c r="SXT230" s="15"/>
      <c r="SXU230" s="15"/>
      <c r="SXV230" s="15"/>
      <c r="SXW230" s="15"/>
      <c r="SXX230" s="10"/>
      <c r="SXY230" s="10"/>
      <c r="SXZ230" s="21"/>
      <c r="SYA230" s="21"/>
      <c r="SYD230" s="21"/>
      <c r="SYE230" s="15"/>
      <c r="SYF230" s="15"/>
      <c r="SYG230" s="15"/>
      <c r="SYH230" s="15"/>
      <c r="SYI230" s="15"/>
      <c r="SYJ230" s="15"/>
      <c r="SYK230" s="15"/>
      <c r="SYL230" s="15"/>
      <c r="SYM230" s="15"/>
      <c r="SYN230" s="15"/>
      <c r="SYO230" s="10"/>
      <c r="SYP230" s="10"/>
      <c r="SYQ230" s="21"/>
      <c r="SYR230" s="21"/>
      <c r="SYU230" s="21"/>
      <c r="SYV230" s="15"/>
      <c r="SYW230" s="15"/>
      <c r="SYX230" s="15"/>
      <c r="SYY230" s="15"/>
      <c r="SYZ230" s="15"/>
      <c r="SZA230" s="15"/>
      <c r="SZB230" s="15"/>
      <c r="SZC230" s="15"/>
      <c r="SZD230" s="15"/>
      <c r="SZE230" s="15"/>
      <c r="SZF230" s="10"/>
      <c r="SZG230" s="10"/>
      <c r="SZH230" s="21"/>
      <c r="SZI230" s="21"/>
      <c r="SZL230" s="21"/>
      <c r="SZM230" s="15"/>
      <c r="SZN230" s="15"/>
      <c r="SZO230" s="15"/>
      <c r="SZP230" s="15"/>
      <c r="SZQ230" s="15"/>
      <c r="SZR230" s="15"/>
      <c r="SZS230" s="15"/>
      <c r="SZT230" s="15"/>
      <c r="SZU230" s="15"/>
      <c r="SZV230" s="15"/>
      <c r="SZW230" s="10"/>
      <c r="SZX230" s="10"/>
      <c r="SZY230" s="21"/>
      <c r="SZZ230" s="21"/>
      <c r="TAC230" s="21"/>
      <c r="TAD230" s="15"/>
      <c r="TAE230" s="15"/>
      <c r="TAF230" s="15"/>
      <c r="TAG230" s="15"/>
      <c r="TAH230" s="15"/>
      <c r="TAI230" s="15"/>
      <c r="TAJ230" s="15"/>
      <c r="TAK230" s="15"/>
      <c r="TAL230" s="15"/>
      <c r="TAM230" s="15"/>
      <c r="TAN230" s="10"/>
      <c r="TAO230" s="10"/>
      <c r="TAP230" s="21"/>
      <c r="TAQ230" s="21"/>
      <c r="TAT230" s="21"/>
      <c r="TAU230" s="15"/>
      <c r="TAV230" s="15"/>
      <c r="TAW230" s="15"/>
      <c r="TAX230" s="15"/>
      <c r="TAY230" s="15"/>
      <c r="TAZ230" s="15"/>
      <c r="TBA230" s="15"/>
      <c r="TBB230" s="15"/>
      <c r="TBC230" s="15"/>
      <c r="TBD230" s="15"/>
      <c r="TBE230" s="10"/>
      <c r="TBF230" s="10"/>
      <c r="TBG230" s="21"/>
      <c r="TBH230" s="21"/>
      <c r="TBK230" s="21"/>
      <c r="TBL230" s="15"/>
      <c r="TBM230" s="15"/>
      <c r="TBN230" s="15"/>
      <c r="TBO230" s="15"/>
      <c r="TBP230" s="15"/>
      <c r="TBQ230" s="15"/>
      <c r="TBR230" s="15"/>
      <c r="TBS230" s="15"/>
      <c r="TBT230" s="15"/>
      <c r="TBU230" s="15"/>
      <c r="TBV230" s="10"/>
      <c r="TBW230" s="10"/>
      <c r="TBX230" s="21"/>
      <c r="TBY230" s="21"/>
      <c r="TCB230" s="21"/>
      <c r="TCC230" s="15"/>
      <c r="TCD230" s="15"/>
      <c r="TCE230" s="15"/>
      <c r="TCF230" s="15"/>
      <c r="TCG230" s="15"/>
      <c r="TCH230" s="15"/>
      <c r="TCI230" s="15"/>
      <c r="TCJ230" s="15"/>
      <c r="TCK230" s="15"/>
      <c r="TCL230" s="15"/>
      <c r="TCM230" s="10"/>
      <c r="TCN230" s="10"/>
      <c r="TCO230" s="21"/>
      <c r="TCP230" s="21"/>
      <c r="TCS230" s="21"/>
      <c r="TCT230" s="15"/>
      <c r="TCU230" s="15"/>
      <c r="TCV230" s="15"/>
      <c r="TCW230" s="15"/>
      <c r="TCX230" s="15"/>
      <c r="TCY230" s="15"/>
      <c r="TCZ230" s="15"/>
      <c r="TDA230" s="15"/>
      <c r="TDB230" s="15"/>
      <c r="TDC230" s="15"/>
      <c r="TDD230" s="10"/>
      <c r="TDE230" s="10"/>
      <c r="TDF230" s="21"/>
      <c r="TDG230" s="21"/>
      <c r="TDJ230" s="21"/>
      <c r="TDK230" s="15"/>
      <c r="TDL230" s="15"/>
      <c r="TDM230" s="15"/>
      <c r="TDN230" s="15"/>
      <c r="TDO230" s="15"/>
      <c r="TDP230" s="15"/>
      <c r="TDQ230" s="15"/>
      <c r="TDR230" s="15"/>
      <c r="TDS230" s="15"/>
      <c r="TDT230" s="15"/>
      <c r="TDU230" s="10"/>
      <c r="TDV230" s="10"/>
      <c r="TDW230" s="21"/>
      <c r="TDX230" s="21"/>
      <c r="TEA230" s="21"/>
      <c r="TEB230" s="15"/>
      <c r="TEC230" s="15"/>
      <c r="TED230" s="15"/>
      <c r="TEE230" s="15"/>
      <c r="TEF230" s="15"/>
      <c r="TEG230" s="15"/>
      <c r="TEH230" s="15"/>
      <c r="TEI230" s="15"/>
      <c r="TEJ230" s="15"/>
      <c r="TEK230" s="15"/>
      <c r="TEL230" s="10"/>
      <c r="TEM230" s="10"/>
      <c r="TEN230" s="21"/>
      <c r="TEO230" s="21"/>
      <c r="TER230" s="21"/>
      <c r="TES230" s="15"/>
      <c r="TET230" s="15"/>
      <c r="TEU230" s="15"/>
      <c r="TEV230" s="15"/>
      <c r="TEW230" s="15"/>
      <c r="TEX230" s="15"/>
      <c r="TEY230" s="15"/>
      <c r="TEZ230" s="15"/>
      <c r="TFA230" s="15"/>
      <c r="TFB230" s="15"/>
      <c r="TFC230" s="10"/>
      <c r="TFD230" s="10"/>
      <c r="TFE230" s="21"/>
      <c r="TFF230" s="21"/>
      <c r="TFI230" s="21"/>
      <c r="TFJ230" s="15"/>
      <c r="TFK230" s="15"/>
      <c r="TFL230" s="15"/>
      <c r="TFM230" s="15"/>
      <c r="TFN230" s="15"/>
      <c r="TFO230" s="15"/>
      <c r="TFP230" s="15"/>
      <c r="TFQ230" s="15"/>
      <c r="TFR230" s="15"/>
      <c r="TFS230" s="15"/>
      <c r="TFT230" s="10"/>
      <c r="TFU230" s="10"/>
      <c r="TFV230" s="21"/>
      <c r="TFW230" s="21"/>
      <c r="TFZ230" s="21"/>
      <c r="TGA230" s="15"/>
      <c r="TGB230" s="15"/>
      <c r="TGC230" s="15"/>
      <c r="TGD230" s="15"/>
      <c r="TGE230" s="15"/>
      <c r="TGF230" s="15"/>
      <c r="TGG230" s="15"/>
      <c r="TGH230" s="15"/>
      <c r="TGI230" s="15"/>
      <c r="TGJ230" s="15"/>
      <c r="TGK230" s="10"/>
      <c r="TGL230" s="10"/>
      <c r="TGM230" s="21"/>
      <c r="TGN230" s="21"/>
      <c r="TGQ230" s="21"/>
      <c r="TGR230" s="15"/>
      <c r="TGS230" s="15"/>
      <c r="TGT230" s="15"/>
      <c r="TGU230" s="15"/>
      <c r="TGV230" s="15"/>
      <c r="TGW230" s="15"/>
      <c r="TGX230" s="15"/>
      <c r="TGY230" s="15"/>
      <c r="TGZ230" s="15"/>
      <c r="THA230" s="15"/>
      <c r="THB230" s="10"/>
      <c r="THC230" s="10"/>
      <c r="THD230" s="21"/>
      <c r="THE230" s="21"/>
      <c r="THH230" s="21"/>
      <c r="THI230" s="15"/>
      <c r="THJ230" s="15"/>
      <c r="THK230" s="15"/>
      <c r="THL230" s="15"/>
      <c r="THM230" s="15"/>
      <c r="THN230" s="15"/>
      <c r="THO230" s="15"/>
      <c r="THP230" s="15"/>
      <c r="THQ230" s="15"/>
      <c r="THR230" s="15"/>
      <c r="THS230" s="10"/>
      <c r="THT230" s="10"/>
      <c r="THU230" s="21"/>
      <c r="THV230" s="21"/>
      <c r="THY230" s="21"/>
      <c r="THZ230" s="15"/>
      <c r="TIA230" s="15"/>
      <c r="TIB230" s="15"/>
      <c r="TIC230" s="15"/>
      <c r="TID230" s="15"/>
      <c r="TIE230" s="15"/>
      <c r="TIF230" s="15"/>
      <c r="TIG230" s="15"/>
      <c r="TIH230" s="15"/>
      <c r="TII230" s="15"/>
      <c r="TIJ230" s="10"/>
      <c r="TIK230" s="10"/>
      <c r="TIL230" s="21"/>
      <c r="TIM230" s="21"/>
      <c r="TIP230" s="21"/>
      <c r="TIQ230" s="15"/>
      <c r="TIR230" s="15"/>
      <c r="TIS230" s="15"/>
      <c r="TIT230" s="15"/>
      <c r="TIU230" s="15"/>
      <c r="TIV230" s="15"/>
      <c r="TIW230" s="15"/>
      <c r="TIX230" s="15"/>
      <c r="TIY230" s="15"/>
      <c r="TIZ230" s="15"/>
      <c r="TJA230" s="10"/>
      <c r="TJB230" s="10"/>
      <c r="TJC230" s="21"/>
      <c r="TJD230" s="21"/>
      <c r="TJG230" s="21"/>
      <c r="TJH230" s="15"/>
      <c r="TJI230" s="15"/>
      <c r="TJJ230" s="15"/>
      <c r="TJK230" s="15"/>
      <c r="TJL230" s="15"/>
      <c r="TJM230" s="15"/>
      <c r="TJN230" s="15"/>
      <c r="TJO230" s="15"/>
      <c r="TJP230" s="15"/>
      <c r="TJQ230" s="15"/>
      <c r="TJR230" s="10"/>
      <c r="TJS230" s="10"/>
      <c r="TJT230" s="21"/>
      <c r="TJU230" s="21"/>
      <c r="TJX230" s="21"/>
      <c r="TJY230" s="15"/>
      <c r="TJZ230" s="15"/>
      <c r="TKA230" s="15"/>
      <c r="TKB230" s="15"/>
      <c r="TKC230" s="15"/>
      <c r="TKD230" s="15"/>
      <c r="TKE230" s="15"/>
      <c r="TKF230" s="15"/>
      <c r="TKG230" s="15"/>
      <c r="TKH230" s="15"/>
      <c r="TKI230" s="10"/>
      <c r="TKJ230" s="10"/>
      <c r="TKK230" s="21"/>
      <c r="TKL230" s="21"/>
      <c r="TKO230" s="21"/>
      <c r="TKP230" s="15"/>
      <c r="TKQ230" s="15"/>
      <c r="TKR230" s="15"/>
      <c r="TKS230" s="15"/>
      <c r="TKT230" s="15"/>
      <c r="TKU230" s="15"/>
      <c r="TKV230" s="15"/>
      <c r="TKW230" s="15"/>
      <c r="TKX230" s="15"/>
      <c r="TKY230" s="15"/>
      <c r="TKZ230" s="10"/>
      <c r="TLA230" s="10"/>
      <c r="TLB230" s="21"/>
      <c r="TLC230" s="21"/>
      <c r="TLF230" s="21"/>
      <c r="TLG230" s="15"/>
      <c r="TLH230" s="15"/>
      <c r="TLI230" s="15"/>
      <c r="TLJ230" s="15"/>
      <c r="TLK230" s="15"/>
      <c r="TLL230" s="15"/>
      <c r="TLM230" s="15"/>
      <c r="TLN230" s="15"/>
      <c r="TLO230" s="15"/>
      <c r="TLP230" s="15"/>
      <c r="TLQ230" s="10"/>
      <c r="TLR230" s="10"/>
      <c r="TLS230" s="21"/>
      <c r="TLT230" s="21"/>
      <c r="TLW230" s="21"/>
      <c r="TLX230" s="15"/>
      <c r="TLY230" s="15"/>
      <c r="TLZ230" s="15"/>
      <c r="TMA230" s="15"/>
      <c r="TMB230" s="15"/>
      <c r="TMC230" s="15"/>
      <c r="TMD230" s="15"/>
      <c r="TME230" s="15"/>
      <c r="TMF230" s="15"/>
      <c r="TMG230" s="15"/>
      <c r="TMH230" s="10"/>
      <c r="TMI230" s="10"/>
      <c r="TMJ230" s="21"/>
      <c r="TMK230" s="21"/>
      <c r="TMN230" s="21"/>
      <c r="TMO230" s="15"/>
      <c r="TMP230" s="15"/>
      <c r="TMQ230" s="15"/>
      <c r="TMR230" s="15"/>
      <c r="TMS230" s="15"/>
      <c r="TMT230" s="15"/>
      <c r="TMU230" s="15"/>
      <c r="TMV230" s="15"/>
      <c r="TMW230" s="15"/>
      <c r="TMX230" s="15"/>
      <c r="TMY230" s="10"/>
      <c r="TMZ230" s="10"/>
      <c r="TNA230" s="21"/>
      <c r="TNB230" s="21"/>
      <c r="TNE230" s="21"/>
      <c r="TNF230" s="15"/>
      <c r="TNG230" s="15"/>
      <c r="TNH230" s="15"/>
      <c r="TNI230" s="15"/>
      <c r="TNJ230" s="15"/>
      <c r="TNK230" s="15"/>
      <c r="TNL230" s="15"/>
      <c r="TNM230" s="15"/>
      <c r="TNN230" s="15"/>
      <c r="TNO230" s="15"/>
      <c r="TNP230" s="10"/>
      <c r="TNQ230" s="10"/>
      <c r="TNR230" s="21"/>
      <c r="TNS230" s="21"/>
      <c r="TNV230" s="21"/>
      <c r="TNW230" s="15"/>
      <c r="TNX230" s="15"/>
      <c r="TNY230" s="15"/>
      <c r="TNZ230" s="15"/>
      <c r="TOA230" s="15"/>
      <c r="TOB230" s="15"/>
      <c r="TOC230" s="15"/>
      <c r="TOD230" s="15"/>
      <c r="TOE230" s="15"/>
      <c r="TOF230" s="15"/>
      <c r="TOG230" s="10"/>
      <c r="TOH230" s="10"/>
      <c r="TOI230" s="21"/>
      <c r="TOJ230" s="21"/>
      <c r="TOM230" s="21"/>
      <c r="TON230" s="15"/>
      <c r="TOO230" s="15"/>
      <c r="TOP230" s="15"/>
      <c r="TOQ230" s="15"/>
      <c r="TOR230" s="15"/>
      <c r="TOS230" s="15"/>
      <c r="TOT230" s="15"/>
      <c r="TOU230" s="15"/>
      <c r="TOV230" s="15"/>
      <c r="TOW230" s="15"/>
      <c r="TOX230" s="10"/>
      <c r="TOY230" s="10"/>
      <c r="TOZ230" s="21"/>
      <c r="TPA230" s="21"/>
      <c r="TPD230" s="21"/>
      <c r="TPE230" s="15"/>
      <c r="TPF230" s="15"/>
      <c r="TPG230" s="15"/>
      <c r="TPH230" s="15"/>
      <c r="TPI230" s="15"/>
      <c r="TPJ230" s="15"/>
      <c r="TPK230" s="15"/>
      <c r="TPL230" s="15"/>
      <c r="TPM230" s="15"/>
      <c r="TPN230" s="15"/>
      <c r="TPO230" s="10"/>
      <c r="TPP230" s="10"/>
      <c r="TPQ230" s="21"/>
      <c r="TPR230" s="21"/>
      <c r="TPU230" s="21"/>
      <c r="TPV230" s="15"/>
      <c r="TPW230" s="15"/>
      <c r="TPX230" s="15"/>
      <c r="TPY230" s="15"/>
      <c r="TPZ230" s="15"/>
      <c r="TQA230" s="15"/>
      <c r="TQB230" s="15"/>
      <c r="TQC230" s="15"/>
      <c r="TQD230" s="15"/>
      <c r="TQE230" s="15"/>
      <c r="TQF230" s="10"/>
      <c r="TQG230" s="10"/>
      <c r="TQH230" s="21"/>
      <c r="TQI230" s="21"/>
      <c r="TQL230" s="21"/>
      <c r="TQM230" s="15"/>
      <c r="TQN230" s="15"/>
      <c r="TQO230" s="15"/>
      <c r="TQP230" s="15"/>
      <c r="TQQ230" s="15"/>
      <c r="TQR230" s="15"/>
      <c r="TQS230" s="15"/>
      <c r="TQT230" s="15"/>
      <c r="TQU230" s="15"/>
      <c r="TQV230" s="15"/>
      <c r="TQW230" s="10"/>
      <c r="TQX230" s="10"/>
      <c r="TQY230" s="21"/>
      <c r="TQZ230" s="21"/>
      <c r="TRC230" s="21"/>
      <c r="TRD230" s="15"/>
      <c r="TRE230" s="15"/>
      <c r="TRF230" s="15"/>
      <c r="TRG230" s="15"/>
      <c r="TRH230" s="15"/>
      <c r="TRI230" s="15"/>
      <c r="TRJ230" s="15"/>
      <c r="TRK230" s="15"/>
      <c r="TRL230" s="15"/>
      <c r="TRM230" s="15"/>
      <c r="TRN230" s="10"/>
      <c r="TRO230" s="10"/>
      <c r="TRP230" s="21"/>
      <c r="TRQ230" s="21"/>
      <c r="TRT230" s="21"/>
      <c r="TRU230" s="15"/>
      <c r="TRV230" s="15"/>
      <c r="TRW230" s="15"/>
      <c r="TRX230" s="15"/>
      <c r="TRY230" s="15"/>
      <c r="TRZ230" s="15"/>
      <c r="TSA230" s="15"/>
      <c r="TSB230" s="15"/>
      <c r="TSC230" s="15"/>
      <c r="TSD230" s="15"/>
      <c r="TSE230" s="10"/>
      <c r="TSF230" s="10"/>
      <c r="TSG230" s="21"/>
      <c r="TSH230" s="21"/>
      <c r="TSK230" s="21"/>
      <c r="TSL230" s="15"/>
      <c r="TSM230" s="15"/>
      <c r="TSN230" s="15"/>
      <c r="TSO230" s="15"/>
      <c r="TSP230" s="15"/>
      <c r="TSQ230" s="15"/>
      <c r="TSR230" s="15"/>
      <c r="TSS230" s="15"/>
      <c r="TST230" s="15"/>
      <c r="TSU230" s="15"/>
      <c r="TSV230" s="10"/>
      <c r="TSW230" s="10"/>
      <c r="TSX230" s="21"/>
      <c r="TSY230" s="21"/>
      <c r="TTB230" s="21"/>
      <c r="TTC230" s="15"/>
      <c r="TTD230" s="15"/>
      <c r="TTE230" s="15"/>
      <c r="TTF230" s="15"/>
      <c r="TTG230" s="15"/>
      <c r="TTH230" s="15"/>
      <c r="TTI230" s="15"/>
      <c r="TTJ230" s="15"/>
      <c r="TTK230" s="15"/>
      <c r="TTL230" s="15"/>
      <c r="TTM230" s="10"/>
      <c r="TTN230" s="10"/>
      <c r="TTO230" s="21"/>
      <c r="TTP230" s="21"/>
      <c r="TTS230" s="21"/>
      <c r="TTT230" s="15"/>
      <c r="TTU230" s="15"/>
      <c r="TTV230" s="15"/>
      <c r="TTW230" s="15"/>
      <c r="TTX230" s="15"/>
      <c r="TTY230" s="15"/>
      <c r="TTZ230" s="15"/>
      <c r="TUA230" s="15"/>
      <c r="TUB230" s="15"/>
      <c r="TUC230" s="15"/>
      <c r="TUD230" s="10"/>
      <c r="TUE230" s="10"/>
      <c r="TUF230" s="21"/>
      <c r="TUG230" s="21"/>
      <c r="TUJ230" s="21"/>
      <c r="TUK230" s="15"/>
      <c r="TUL230" s="15"/>
      <c r="TUM230" s="15"/>
      <c r="TUN230" s="15"/>
      <c r="TUO230" s="15"/>
      <c r="TUP230" s="15"/>
      <c r="TUQ230" s="15"/>
      <c r="TUR230" s="15"/>
      <c r="TUS230" s="15"/>
      <c r="TUT230" s="15"/>
      <c r="TUU230" s="10"/>
      <c r="TUV230" s="10"/>
      <c r="TUW230" s="21"/>
      <c r="TUX230" s="21"/>
      <c r="TVA230" s="21"/>
      <c r="TVB230" s="15"/>
      <c r="TVC230" s="15"/>
      <c r="TVD230" s="15"/>
      <c r="TVE230" s="15"/>
      <c r="TVF230" s="15"/>
      <c r="TVG230" s="15"/>
      <c r="TVH230" s="15"/>
      <c r="TVI230" s="15"/>
      <c r="TVJ230" s="15"/>
      <c r="TVK230" s="15"/>
      <c r="TVL230" s="10"/>
      <c r="TVM230" s="10"/>
      <c r="TVN230" s="21"/>
      <c r="TVO230" s="21"/>
      <c r="TVR230" s="21"/>
      <c r="TVS230" s="15"/>
      <c r="TVT230" s="15"/>
      <c r="TVU230" s="15"/>
      <c r="TVV230" s="15"/>
      <c r="TVW230" s="15"/>
      <c r="TVX230" s="15"/>
      <c r="TVY230" s="15"/>
      <c r="TVZ230" s="15"/>
      <c r="TWA230" s="15"/>
      <c r="TWB230" s="15"/>
      <c r="TWC230" s="10"/>
      <c r="TWD230" s="10"/>
      <c r="TWE230" s="21"/>
      <c r="TWF230" s="21"/>
      <c r="TWI230" s="21"/>
      <c r="TWJ230" s="15"/>
      <c r="TWK230" s="15"/>
      <c r="TWL230" s="15"/>
      <c r="TWM230" s="15"/>
      <c r="TWN230" s="15"/>
      <c r="TWO230" s="15"/>
      <c r="TWP230" s="15"/>
      <c r="TWQ230" s="15"/>
      <c r="TWR230" s="15"/>
      <c r="TWS230" s="15"/>
      <c r="TWT230" s="10"/>
      <c r="TWU230" s="10"/>
      <c r="TWV230" s="21"/>
      <c r="TWW230" s="21"/>
      <c r="TWZ230" s="21"/>
      <c r="TXA230" s="15"/>
      <c r="TXB230" s="15"/>
      <c r="TXC230" s="15"/>
      <c r="TXD230" s="15"/>
      <c r="TXE230" s="15"/>
      <c r="TXF230" s="15"/>
      <c r="TXG230" s="15"/>
      <c r="TXH230" s="15"/>
      <c r="TXI230" s="15"/>
      <c r="TXJ230" s="15"/>
      <c r="TXK230" s="10"/>
      <c r="TXL230" s="10"/>
      <c r="TXM230" s="21"/>
      <c r="TXN230" s="21"/>
      <c r="TXQ230" s="21"/>
      <c r="TXR230" s="15"/>
      <c r="TXS230" s="15"/>
      <c r="TXT230" s="15"/>
      <c r="TXU230" s="15"/>
      <c r="TXV230" s="15"/>
      <c r="TXW230" s="15"/>
      <c r="TXX230" s="15"/>
      <c r="TXY230" s="15"/>
      <c r="TXZ230" s="15"/>
      <c r="TYA230" s="15"/>
      <c r="TYB230" s="10"/>
      <c r="TYC230" s="10"/>
      <c r="TYD230" s="21"/>
      <c r="TYE230" s="21"/>
      <c r="TYH230" s="21"/>
      <c r="TYI230" s="15"/>
      <c r="TYJ230" s="15"/>
      <c r="TYK230" s="15"/>
      <c r="TYL230" s="15"/>
      <c r="TYM230" s="15"/>
      <c r="TYN230" s="15"/>
      <c r="TYO230" s="15"/>
      <c r="TYP230" s="15"/>
      <c r="TYQ230" s="15"/>
      <c r="TYR230" s="15"/>
      <c r="TYS230" s="10"/>
      <c r="TYT230" s="10"/>
      <c r="TYU230" s="21"/>
      <c r="TYV230" s="21"/>
      <c r="TYY230" s="21"/>
      <c r="TYZ230" s="15"/>
      <c r="TZA230" s="15"/>
      <c r="TZB230" s="15"/>
      <c r="TZC230" s="15"/>
      <c r="TZD230" s="15"/>
      <c r="TZE230" s="15"/>
      <c r="TZF230" s="15"/>
      <c r="TZG230" s="15"/>
      <c r="TZH230" s="15"/>
      <c r="TZI230" s="15"/>
      <c r="TZJ230" s="10"/>
      <c r="TZK230" s="10"/>
      <c r="TZL230" s="21"/>
      <c r="TZM230" s="21"/>
      <c r="TZP230" s="21"/>
      <c r="TZQ230" s="15"/>
      <c r="TZR230" s="15"/>
      <c r="TZS230" s="15"/>
      <c r="TZT230" s="15"/>
      <c r="TZU230" s="15"/>
      <c r="TZV230" s="15"/>
      <c r="TZW230" s="15"/>
      <c r="TZX230" s="15"/>
      <c r="TZY230" s="15"/>
      <c r="TZZ230" s="15"/>
      <c r="UAA230" s="10"/>
      <c r="UAB230" s="10"/>
      <c r="UAC230" s="21"/>
      <c r="UAD230" s="21"/>
      <c r="UAG230" s="21"/>
      <c r="UAH230" s="15"/>
      <c r="UAI230" s="15"/>
      <c r="UAJ230" s="15"/>
      <c r="UAK230" s="15"/>
      <c r="UAL230" s="15"/>
      <c r="UAM230" s="15"/>
      <c r="UAN230" s="15"/>
      <c r="UAO230" s="15"/>
      <c r="UAP230" s="15"/>
      <c r="UAQ230" s="15"/>
      <c r="UAR230" s="10"/>
      <c r="UAS230" s="10"/>
      <c r="UAT230" s="21"/>
      <c r="UAU230" s="21"/>
      <c r="UAX230" s="21"/>
      <c r="UAY230" s="15"/>
      <c r="UAZ230" s="15"/>
      <c r="UBA230" s="15"/>
      <c r="UBB230" s="15"/>
      <c r="UBC230" s="15"/>
      <c r="UBD230" s="15"/>
      <c r="UBE230" s="15"/>
      <c r="UBF230" s="15"/>
      <c r="UBG230" s="15"/>
      <c r="UBH230" s="15"/>
      <c r="UBI230" s="10"/>
      <c r="UBJ230" s="10"/>
      <c r="UBK230" s="21"/>
      <c r="UBL230" s="21"/>
      <c r="UBO230" s="21"/>
      <c r="UBP230" s="15"/>
      <c r="UBQ230" s="15"/>
      <c r="UBR230" s="15"/>
      <c r="UBS230" s="15"/>
      <c r="UBT230" s="15"/>
      <c r="UBU230" s="15"/>
      <c r="UBV230" s="15"/>
      <c r="UBW230" s="15"/>
      <c r="UBX230" s="15"/>
      <c r="UBY230" s="15"/>
      <c r="UBZ230" s="10"/>
      <c r="UCA230" s="10"/>
      <c r="UCB230" s="21"/>
      <c r="UCC230" s="21"/>
      <c r="UCF230" s="21"/>
      <c r="UCG230" s="15"/>
      <c r="UCH230" s="15"/>
      <c r="UCI230" s="15"/>
      <c r="UCJ230" s="15"/>
      <c r="UCK230" s="15"/>
      <c r="UCL230" s="15"/>
      <c r="UCM230" s="15"/>
      <c r="UCN230" s="15"/>
      <c r="UCO230" s="15"/>
      <c r="UCP230" s="15"/>
      <c r="UCQ230" s="10"/>
      <c r="UCR230" s="10"/>
      <c r="UCS230" s="21"/>
      <c r="UCT230" s="21"/>
      <c r="UCW230" s="21"/>
      <c r="UCX230" s="15"/>
      <c r="UCY230" s="15"/>
      <c r="UCZ230" s="15"/>
      <c r="UDA230" s="15"/>
      <c r="UDB230" s="15"/>
      <c r="UDC230" s="15"/>
      <c r="UDD230" s="15"/>
      <c r="UDE230" s="15"/>
      <c r="UDF230" s="15"/>
      <c r="UDG230" s="15"/>
      <c r="UDH230" s="10"/>
      <c r="UDI230" s="10"/>
      <c r="UDJ230" s="21"/>
      <c r="UDK230" s="21"/>
      <c r="UDN230" s="21"/>
      <c r="UDO230" s="15"/>
      <c r="UDP230" s="15"/>
      <c r="UDQ230" s="15"/>
      <c r="UDR230" s="15"/>
      <c r="UDS230" s="15"/>
      <c r="UDT230" s="15"/>
      <c r="UDU230" s="15"/>
      <c r="UDV230" s="15"/>
      <c r="UDW230" s="15"/>
      <c r="UDX230" s="15"/>
      <c r="UDY230" s="10"/>
      <c r="UDZ230" s="10"/>
      <c r="UEA230" s="21"/>
      <c r="UEB230" s="21"/>
      <c r="UEE230" s="21"/>
      <c r="UEF230" s="15"/>
      <c r="UEG230" s="15"/>
      <c r="UEH230" s="15"/>
      <c r="UEI230" s="15"/>
      <c r="UEJ230" s="15"/>
      <c r="UEK230" s="15"/>
      <c r="UEL230" s="15"/>
      <c r="UEM230" s="15"/>
      <c r="UEN230" s="15"/>
      <c r="UEO230" s="15"/>
      <c r="UEP230" s="10"/>
      <c r="UEQ230" s="10"/>
      <c r="UER230" s="21"/>
      <c r="UES230" s="21"/>
      <c r="UEV230" s="21"/>
      <c r="UEW230" s="15"/>
      <c r="UEX230" s="15"/>
      <c r="UEY230" s="15"/>
      <c r="UEZ230" s="15"/>
      <c r="UFA230" s="15"/>
      <c r="UFB230" s="15"/>
      <c r="UFC230" s="15"/>
      <c r="UFD230" s="15"/>
      <c r="UFE230" s="15"/>
      <c r="UFF230" s="15"/>
      <c r="UFG230" s="10"/>
      <c r="UFH230" s="10"/>
      <c r="UFI230" s="21"/>
      <c r="UFJ230" s="21"/>
      <c r="UFM230" s="21"/>
      <c r="UFN230" s="15"/>
      <c r="UFO230" s="15"/>
      <c r="UFP230" s="15"/>
      <c r="UFQ230" s="15"/>
      <c r="UFR230" s="15"/>
      <c r="UFS230" s="15"/>
      <c r="UFT230" s="15"/>
      <c r="UFU230" s="15"/>
      <c r="UFV230" s="15"/>
      <c r="UFW230" s="15"/>
      <c r="UFX230" s="10"/>
      <c r="UFY230" s="10"/>
      <c r="UFZ230" s="21"/>
      <c r="UGA230" s="21"/>
      <c r="UGD230" s="21"/>
      <c r="UGE230" s="15"/>
      <c r="UGF230" s="15"/>
      <c r="UGG230" s="15"/>
      <c r="UGH230" s="15"/>
      <c r="UGI230" s="15"/>
      <c r="UGJ230" s="15"/>
      <c r="UGK230" s="15"/>
      <c r="UGL230" s="15"/>
      <c r="UGM230" s="15"/>
      <c r="UGN230" s="15"/>
      <c r="UGO230" s="10"/>
      <c r="UGP230" s="10"/>
      <c r="UGQ230" s="21"/>
      <c r="UGR230" s="21"/>
      <c r="UGU230" s="21"/>
      <c r="UGV230" s="15"/>
      <c r="UGW230" s="15"/>
      <c r="UGX230" s="15"/>
      <c r="UGY230" s="15"/>
      <c r="UGZ230" s="15"/>
      <c r="UHA230" s="15"/>
      <c r="UHB230" s="15"/>
      <c r="UHC230" s="15"/>
      <c r="UHD230" s="15"/>
      <c r="UHE230" s="15"/>
      <c r="UHF230" s="10"/>
      <c r="UHG230" s="10"/>
      <c r="UHH230" s="21"/>
      <c r="UHI230" s="21"/>
      <c r="UHL230" s="21"/>
      <c r="UHM230" s="15"/>
      <c r="UHN230" s="15"/>
      <c r="UHO230" s="15"/>
      <c r="UHP230" s="15"/>
      <c r="UHQ230" s="15"/>
      <c r="UHR230" s="15"/>
      <c r="UHS230" s="15"/>
      <c r="UHT230" s="15"/>
      <c r="UHU230" s="15"/>
      <c r="UHV230" s="15"/>
      <c r="UHW230" s="10"/>
      <c r="UHX230" s="10"/>
      <c r="UHY230" s="21"/>
      <c r="UHZ230" s="21"/>
      <c r="UIC230" s="21"/>
      <c r="UID230" s="15"/>
      <c r="UIE230" s="15"/>
      <c r="UIF230" s="15"/>
      <c r="UIG230" s="15"/>
      <c r="UIH230" s="15"/>
      <c r="UII230" s="15"/>
      <c r="UIJ230" s="15"/>
      <c r="UIK230" s="15"/>
      <c r="UIL230" s="15"/>
      <c r="UIM230" s="15"/>
      <c r="UIN230" s="10"/>
      <c r="UIO230" s="10"/>
      <c r="UIP230" s="21"/>
      <c r="UIQ230" s="21"/>
      <c r="UIT230" s="21"/>
      <c r="UIU230" s="15"/>
      <c r="UIV230" s="15"/>
      <c r="UIW230" s="15"/>
      <c r="UIX230" s="15"/>
      <c r="UIY230" s="15"/>
      <c r="UIZ230" s="15"/>
      <c r="UJA230" s="15"/>
      <c r="UJB230" s="15"/>
      <c r="UJC230" s="15"/>
      <c r="UJD230" s="15"/>
      <c r="UJE230" s="10"/>
      <c r="UJF230" s="10"/>
      <c r="UJG230" s="21"/>
      <c r="UJH230" s="21"/>
      <c r="UJK230" s="21"/>
      <c r="UJL230" s="15"/>
      <c r="UJM230" s="15"/>
      <c r="UJN230" s="15"/>
      <c r="UJO230" s="15"/>
      <c r="UJP230" s="15"/>
      <c r="UJQ230" s="15"/>
      <c r="UJR230" s="15"/>
      <c r="UJS230" s="15"/>
      <c r="UJT230" s="15"/>
      <c r="UJU230" s="15"/>
      <c r="UJV230" s="10"/>
      <c r="UJW230" s="10"/>
      <c r="UJX230" s="21"/>
      <c r="UJY230" s="21"/>
      <c r="UKB230" s="21"/>
      <c r="UKC230" s="15"/>
      <c r="UKD230" s="15"/>
      <c r="UKE230" s="15"/>
      <c r="UKF230" s="15"/>
      <c r="UKG230" s="15"/>
      <c r="UKH230" s="15"/>
      <c r="UKI230" s="15"/>
      <c r="UKJ230" s="15"/>
      <c r="UKK230" s="15"/>
      <c r="UKL230" s="15"/>
      <c r="UKM230" s="10"/>
      <c r="UKN230" s="10"/>
      <c r="UKO230" s="21"/>
      <c r="UKP230" s="21"/>
      <c r="UKS230" s="21"/>
      <c r="UKT230" s="15"/>
      <c r="UKU230" s="15"/>
      <c r="UKV230" s="15"/>
      <c r="UKW230" s="15"/>
      <c r="UKX230" s="15"/>
      <c r="UKY230" s="15"/>
      <c r="UKZ230" s="15"/>
      <c r="ULA230" s="15"/>
      <c r="ULB230" s="15"/>
      <c r="ULC230" s="15"/>
      <c r="ULD230" s="10"/>
      <c r="ULE230" s="10"/>
      <c r="ULF230" s="21"/>
      <c r="ULG230" s="21"/>
      <c r="ULJ230" s="21"/>
      <c r="ULK230" s="15"/>
      <c r="ULL230" s="15"/>
      <c r="ULM230" s="15"/>
      <c r="ULN230" s="15"/>
      <c r="ULO230" s="15"/>
      <c r="ULP230" s="15"/>
      <c r="ULQ230" s="15"/>
      <c r="ULR230" s="15"/>
      <c r="ULS230" s="15"/>
      <c r="ULT230" s="15"/>
      <c r="ULU230" s="10"/>
      <c r="ULV230" s="10"/>
      <c r="ULW230" s="21"/>
      <c r="ULX230" s="21"/>
      <c r="UMA230" s="21"/>
      <c r="UMB230" s="15"/>
      <c r="UMC230" s="15"/>
      <c r="UMD230" s="15"/>
      <c r="UME230" s="15"/>
      <c r="UMF230" s="15"/>
      <c r="UMG230" s="15"/>
      <c r="UMH230" s="15"/>
      <c r="UMI230" s="15"/>
      <c r="UMJ230" s="15"/>
      <c r="UMK230" s="15"/>
      <c r="UML230" s="10"/>
      <c r="UMM230" s="10"/>
      <c r="UMN230" s="21"/>
      <c r="UMO230" s="21"/>
      <c r="UMR230" s="21"/>
      <c r="UMS230" s="15"/>
      <c r="UMT230" s="15"/>
      <c r="UMU230" s="15"/>
      <c r="UMV230" s="15"/>
      <c r="UMW230" s="15"/>
      <c r="UMX230" s="15"/>
      <c r="UMY230" s="15"/>
      <c r="UMZ230" s="15"/>
      <c r="UNA230" s="15"/>
      <c r="UNB230" s="15"/>
      <c r="UNC230" s="10"/>
      <c r="UND230" s="10"/>
      <c r="UNE230" s="21"/>
      <c r="UNF230" s="21"/>
      <c r="UNI230" s="21"/>
      <c r="UNJ230" s="15"/>
      <c r="UNK230" s="15"/>
      <c r="UNL230" s="15"/>
      <c r="UNM230" s="15"/>
      <c r="UNN230" s="15"/>
      <c r="UNO230" s="15"/>
      <c r="UNP230" s="15"/>
      <c r="UNQ230" s="15"/>
      <c r="UNR230" s="15"/>
      <c r="UNS230" s="15"/>
      <c r="UNT230" s="10"/>
      <c r="UNU230" s="10"/>
      <c r="UNV230" s="21"/>
      <c r="UNW230" s="21"/>
      <c r="UNZ230" s="21"/>
      <c r="UOA230" s="15"/>
      <c r="UOB230" s="15"/>
      <c r="UOC230" s="15"/>
      <c r="UOD230" s="15"/>
      <c r="UOE230" s="15"/>
      <c r="UOF230" s="15"/>
      <c r="UOG230" s="15"/>
      <c r="UOH230" s="15"/>
      <c r="UOI230" s="15"/>
      <c r="UOJ230" s="15"/>
      <c r="UOK230" s="10"/>
      <c r="UOL230" s="10"/>
      <c r="UOM230" s="21"/>
      <c r="UON230" s="21"/>
      <c r="UOQ230" s="21"/>
      <c r="UOR230" s="15"/>
      <c r="UOS230" s="15"/>
      <c r="UOT230" s="15"/>
      <c r="UOU230" s="15"/>
      <c r="UOV230" s="15"/>
      <c r="UOW230" s="15"/>
      <c r="UOX230" s="15"/>
      <c r="UOY230" s="15"/>
      <c r="UOZ230" s="15"/>
      <c r="UPA230" s="15"/>
      <c r="UPB230" s="10"/>
      <c r="UPC230" s="10"/>
      <c r="UPD230" s="21"/>
      <c r="UPE230" s="21"/>
      <c r="UPH230" s="21"/>
      <c r="UPI230" s="15"/>
      <c r="UPJ230" s="15"/>
      <c r="UPK230" s="15"/>
      <c r="UPL230" s="15"/>
      <c r="UPM230" s="15"/>
      <c r="UPN230" s="15"/>
      <c r="UPO230" s="15"/>
      <c r="UPP230" s="15"/>
      <c r="UPQ230" s="15"/>
      <c r="UPR230" s="15"/>
      <c r="UPS230" s="10"/>
      <c r="UPT230" s="10"/>
      <c r="UPU230" s="21"/>
      <c r="UPV230" s="21"/>
      <c r="UPY230" s="21"/>
      <c r="UPZ230" s="15"/>
      <c r="UQA230" s="15"/>
      <c r="UQB230" s="15"/>
      <c r="UQC230" s="15"/>
      <c r="UQD230" s="15"/>
      <c r="UQE230" s="15"/>
      <c r="UQF230" s="15"/>
      <c r="UQG230" s="15"/>
      <c r="UQH230" s="15"/>
      <c r="UQI230" s="15"/>
      <c r="UQJ230" s="10"/>
      <c r="UQK230" s="10"/>
      <c r="UQL230" s="21"/>
      <c r="UQM230" s="21"/>
      <c r="UQP230" s="21"/>
      <c r="UQQ230" s="15"/>
      <c r="UQR230" s="15"/>
      <c r="UQS230" s="15"/>
      <c r="UQT230" s="15"/>
      <c r="UQU230" s="15"/>
      <c r="UQV230" s="15"/>
      <c r="UQW230" s="15"/>
      <c r="UQX230" s="15"/>
      <c r="UQY230" s="15"/>
      <c r="UQZ230" s="15"/>
      <c r="URA230" s="10"/>
      <c r="URB230" s="10"/>
      <c r="URC230" s="21"/>
      <c r="URD230" s="21"/>
      <c r="URG230" s="21"/>
      <c r="URH230" s="15"/>
      <c r="URI230" s="15"/>
      <c r="URJ230" s="15"/>
      <c r="URK230" s="15"/>
      <c r="URL230" s="15"/>
      <c r="URM230" s="15"/>
      <c r="URN230" s="15"/>
      <c r="URO230" s="15"/>
      <c r="URP230" s="15"/>
      <c r="URQ230" s="15"/>
      <c r="URR230" s="10"/>
      <c r="URS230" s="10"/>
      <c r="URT230" s="21"/>
      <c r="URU230" s="21"/>
      <c r="URX230" s="21"/>
      <c r="URY230" s="15"/>
      <c r="URZ230" s="15"/>
      <c r="USA230" s="15"/>
      <c r="USB230" s="15"/>
      <c r="USC230" s="15"/>
      <c r="USD230" s="15"/>
      <c r="USE230" s="15"/>
      <c r="USF230" s="15"/>
      <c r="USG230" s="15"/>
      <c r="USH230" s="15"/>
      <c r="USI230" s="10"/>
      <c r="USJ230" s="10"/>
      <c r="USK230" s="21"/>
      <c r="USL230" s="21"/>
      <c r="USO230" s="21"/>
      <c r="USP230" s="15"/>
      <c r="USQ230" s="15"/>
      <c r="USR230" s="15"/>
      <c r="USS230" s="15"/>
      <c r="UST230" s="15"/>
      <c r="USU230" s="15"/>
      <c r="USV230" s="15"/>
      <c r="USW230" s="15"/>
      <c r="USX230" s="15"/>
      <c r="USY230" s="15"/>
      <c r="USZ230" s="10"/>
      <c r="UTA230" s="10"/>
      <c r="UTB230" s="21"/>
      <c r="UTC230" s="21"/>
      <c r="UTF230" s="21"/>
      <c r="UTG230" s="15"/>
      <c r="UTH230" s="15"/>
      <c r="UTI230" s="15"/>
      <c r="UTJ230" s="15"/>
      <c r="UTK230" s="15"/>
      <c r="UTL230" s="15"/>
      <c r="UTM230" s="15"/>
      <c r="UTN230" s="15"/>
      <c r="UTO230" s="15"/>
      <c r="UTP230" s="15"/>
      <c r="UTQ230" s="10"/>
      <c r="UTR230" s="10"/>
      <c r="UTS230" s="21"/>
      <c r="UTT230" s="21"/>
      <c r="UTW230" s="21"/>
      <c r="UTX230" s="15"/>
      <c r="UTY230" s="15"/>
      <c r="UTZ230" s="15"/>
      <c r="UUA230" s="15"/>
      <c r="UUB230" s="15"/>
      <c r="UUC230" s="15"/>
      <c r="UUD230" s="15"/>
      <c r="UUE230" s="15"/>
      <c r="UUF230" s="15"/>
      <c r="UUG230" s="15"/>
      <c r="UUH230" s="10"/>
      <c r="UUI230" s="10"/>
      <c r="UUJ230" s="21"/>
      <c r="UUK230" s="21"/>
      <c r="UUN230" s="21"/>
      <c r="UUO230" s="15"/>
      <c r="UUP230" s="15"/>
      <c r="UUQ230" s="15"/>
      <c r="UUR230" s="15"/>
      <c r="UUS230" s="15"/>
      <c r="UUT230" s="15"/>
      <c r="UUU230" s="15"/>
      <c r="UUV230" s="15"/>
      <c r="UUW230" s="15"/>
      <c r="UUX230" s="15"/>
      <c r="UUY230" s="10"/>
      <c r="UUZ230" s="10"/>
      <c r="UVA230" s="21"/>
      <c r="UVB230" s="21"/>
      <c r="UVE230" s="21"/>
      <c r="UVF230" s="15"/>
      <c r="UVG230" s="15"/>
      <c r="UVH230" s="15"/>
      <c r="UVI230" s="15"/>
      <c r="UVJ230" s="15"/>
      <c r="UVK230" s="15"/>
      <c r="UVL230" s="15"/>
      <c r="UVM230" s="15"/>
      <c r="UVN230" s="15"/>
      <c r="UVO230" s="15"/>
      <c r="UVP230" s="10"/>
      <c r="UVQ230" s="10"/>
      <c r="UVR230" s="21"/>
      <c r="UVS230" s="21"/>
      <c r="UVV230" s="21"/>
      <c r="UVW230" s="15"/>
      <c r="UVX230" s="15"/>
      <c r="UVY230" s="15"/>
      <c r="UVZ230" s="15"/>
      <c r="UWA230" s="15"/>
      <c r="UWB230" s="15"/>
      <c r="UWC230" s="15"/>
      <c r="UWD230" s="15"/>
      <c r="UWE230" s="15"/>
      <c r="UWF230" s="15"/>
      <c r="UWG230" s="10"/>
      <c r="UWH230" s="10"/>
      <c r="UWI230" s="21"/>
      <c r="UWJ230" s="21"/>
      <c r="UWM230" s="21"/>
      <c r="UWN230" s="15"/>
      <c r="UWO230" s="15"/>
      <c r="UWP230" s="15"/>
      <c r="UWQ230" s="15"/>
      <c r="UWR230" s="15"/>
      <c r="UWS230" s="15"/>
      <c r="UWT230" s="15"/>
      <c r="UWU230" s="15"/>
      <c r="UWV230" s="15"/>
      <c r="UWW230" s="15"/>
      <c r="UWX230" s="10"/>
      <c r="UWY230" s="10"/>
      <c r="UWZ230" s="21"/>
      <c r="UXA230" s="21"/>
      <c r="UXD230" s="21"/>
      <c r="UXE230" s="15"/>
      <c r="UXF230" s="15"/>
      <c r="UXG230" s="15"/>
      <c r="UXH230" s="15"/>
      <c r="UXI230" s="15"/>
      <c r="UXJ230" s="15"/>
      <c r="UXK230" s="15"/>
      <c r="UXL230" s="15"/>
      <c r="UXM230" s="15"/>
      <c r="UXN230" s="15"/>
      <c r="UXO230" s="10"/>
      <c r="UXP230" s="10"/>
      <c r="UXQ230" s="21"/>
      <c r="UXR230" s="21"/>
      <c r="UXU230" s="21"/>
      <c r="UXV230" s="15"/>
      <c r="UXW230" s="15"/>
      <c r="UXX230" s="15"/>
      <c r="UXY230" s="15"/>
      <c r="UXZ230" s="15"/>
      <c r="UYA230" s="15"/>
      <c r="UYB230" s="15"/>
      <c r="UYC230" s="15"/>
      <c r="UYD230" s="15"/>
      <c r="UYE230" s="15"/>
      <c r="UYF230" s="10"/>
      <c r="UYG230" s="10"/>
      <c r="UYH230" s="21"/>
      <c r="UYI230" s="21"/>
      <c r="UYL230" s="21"/>
      <c r="UYM230" s="15"/>
      <c r="UYN230" s="15"/>
      <c r="UYO230" s="15"/>
      <c r="UYP230" s="15"/>
      <c r="UYQ230" s="15"/>
      <c r="UYR230" s="15"/>
      <c r="UYS230" s="15"/>
      <c r="UYT230" s="15"/>
      <c r="UYU230" s="15"/>
      <c r="UYV230" s="15"/>
      <c r="UYW230" s="10"/>
      <c r="UYX230" s="10"/>
      <c r="UYY230" s="21"/>
      <c r="UYZ230" s="21"/>
      <c r="UZC230" s="21"/>
      <c r="UZD230" s="15"/>
      <c r="UZE230" s="15"/>
      <c r="UZF230" s="15"/>
      <c r="UZG230" s="15"/>
      <c r="UZH230" s="15"/>
      <c r="UZI230" s="15"/>
      <c r="UZJ230" s="15"/>
      <c r="UZK230" s="15"/>
      <c r="UZL230" s="15"/>
      <c r="UZM230" s="15"/>
      <c r="UZN230" s="10"/>
      <c r="UZO230" s="10"/>
      <c r="UZP230" s="21"/>
      <c r="UZQ230" s="21"/>
      <c r="UZT230" s="21"/>
      <c r="UZU230" s="15"/>
      <c r="UZV230" s="15"/>
      <c r="UZW230" s="15"/>
      <c r="UZX230" s="15"/>
      <c r="UZY230" s="15"/>
      <c r="UZZ230" s="15"/>
      <c r="VAA230" s="15"/>
      <c r="VAB230" s="15"/>
      <c r="VAC230" s="15"/>
      <c r="VAD230" s="15"/>
      <c r="VAE230" s="10"/>
      <c r="VAF230" s="10"/>
      <c r="VAG230" s="21"/>
      <c r="VAH230" s="21"/>
      <c r="VAK230" s="21"/>
      <c r="VAL230" s="15"/>
      <c r="VAM230" s="15"/>
      <c r="VAN230" s="15"/>
      <c r="VAO230" s="15"/>
      <c r="VAP230" s="15"/>
      <c r="VAQ230" s="15"/>
      <c r="VAR230" s="15"/>
      <c r="VAS230" s="15"/>
      <c r="VAT230" s="15"/>
      <c r="VAU230" s="15"/>
      <c r="VAV230" s="10"/>
      <c r="VAW230" s="10"/>
      <c r="VAX230" s="21"/>
      <c r="VAY230" s="21"/>
      <c r="VBB230" s="21"/>
      <c r="VBC230" s="15"/>
      <c r="VBD230" s="15"/>
      <c r="VBE230" s="15"/>
      <c r="VBF230" s="15"/>
      <c r="VBG230" s="15"/>
      <c r="VBH230" s="15"/>
      <c r="VBI230" s="15"/>
      <c r="VBJ230" s="15"/>
      <c r="VBK230" s="15"/>
      <c r="VBL230" s="15"/>
      <c r="VBM230" s="10"/>
      <c r="VBN230" s="10"/>
      <c r="VBO230" s="21"/>
      <c r="VBP230" s="21"/>
      <c r="VBS230" s="21"/>
      <c r="VBT230" s="15"/>
      <c r="VBU230" s="15"/>
      <c r="VBV230" s="15"/>
      <c r="VBW230" s="15"/>
      <c r="VBX230" s="15"/>
      <c r="VBY230" s="15"/>
      <c r="VBZ230" s="15"/>
      <c r="VCA230" s="15"/>
      <c r="VCB230" s="15"/>
      <c r="VCC230" s="15"/>
      <c r="VCD230" s="10"/>
      <c r="VCE230" s="10"/>
      <c r="VCF230" s="21"/>
      <c r="VCG230" s="21"/>
      <c r="VCJ230" s="21"/>
      <c r="VCK230" s="15"/>
      <c r="VCL230" s="15"/>
      <c r="VCM230" s="15"/>
      <c r="VCN230" s="15"/>
      <c r="VCO230" s="15"/>
      <c r="VCP230" s="15"/>
      <c r="VCQ230" s="15"/>
      <c r="VCR230" s="15"/>
      <c r="VCS230" s="15"/>
      <c r="VCT230" s="15"/>
      <c r="VCU230" s="10"/>
      <c r="VCV230" s="10"/>
      <c r="VCW230" s="21"/>
      <c r="VCX230" s="21"/>
      <c r="VDA230" s="21"/>
      <c r="VDB230" s="15"/>
      <c r="VDC230" s="15"/>
      <c r="VDD230" s="15"/>
      <c r="VDE230" s="15"/>
      <c r="VDF230" s="15"/>
      <c r="VDG230" s="15"/>
      <c r="VDH230" s="15"/>
      <c r="VDI230" s="15"/>
      <c r="VDJ230" s="15"/>
      <c r="VDK230" s="15"/>
      <c r="VDL230" s="10"/>
      <c r="VDM230" s="10"/>
      <c r="VDN230" s="21"/>
      <c r="VDO230" s="21"/>
      <c r="VDR230" s="21"/>
      <c r="VDS230" s="15"/>
      <c r="VDT230" s="15"/>
      <c r="VDU230" s="15"/>
      <c r="VDV230" s="15"/>
      <c r="VDW230" s="15"/>
      <c r="VDX230" s="15"/>
      <c r="VDY230" s="15"/>
      <c r="VDZ230" s="15"/>
      <c r="VEA230" s="15"/>
      <c r="VEB230" s="15"/>
      <c r="VEC230" s="10"/>
      <c r="VED230" s="10"/>
      <c r="VEE230" s="21"/>
      <c r="VEF230" s="21"/>
      <c r="VEI230" s="21"/>
      <c r="VEJ230" s="15"/>
      <c r="VEK230" s="15"/>
      <c r="VEL230" s="15"/>
      <c r="VEM230" s="15"/>
      <c r="VEN230" s="15"/>
      <c r="VEO230" s="15"/>
      <c r="VEP230" s="15"/>
      <c r="VEQ230" s="15"/>
      <c r="VER230" s="15"/>
      <c r="VES230" s="15"/>
      <c r="VET230" s="10"/>
      <c r="VEU230" s="10"/>
      <c r="VEV230" s="21"/>
      <c r="VEW230" s="21"/>
      <c r="VEZ230" s="21"/>
      <c r="VFA230" s="15"/>
      <c r="VFB230" s="15"/>
      <c r="VFC230" s="15"/>
      <c r="VFD230" s="15"/>
      <c r="VFE230" s="15"/>
      <c r="VFF230" s="15"/>
      <c r="VFG230" s="15"/>
      <c r="VFH230" s="15"/>
      <c r="VFI230" s="15"/>
      <c r="VFJ230" s="15"/>
      <c r="VFK230" s="10"/>
      <c r="VFL230" s="10"/>
      <c r="VFM230" s="21"/>
      <c r="VFN230" s="21"/>
      <c r="VFQ230" s="21"/>
      <c r="VFR230" s="15"/>
      <c r="VFS230" s="15"/>
      <c r="VFT230" s="15"/>
      <c r="VFU230" s="15"/>
      <c r="VFV230" s="15"/>
      <c r="VFW230" s="15"/>
      <c r="VFX230" s="15"/>
      <c r="VFY230" s="15"/>
      <c r="VFZ230" s="15"/>
      <c r="VGA230" s="15"/>
      <c r="VGB230" s="10"/>
      <c r="VGC230" s="10"/>
      <c r="VGD230" s="21"/>
      <c r="VGE230" s="21"/>
      <c r="VGH230" s="21"/>
      <c r="VGI230" s="15"/>
      <c r="VGJ230" s="15"/>
      <c r="VGK230" s="15"/>
      <c r="VGL230" s="15"/>
      <c r="VGM230" s="15"/>
      <c r="VGN230" s="15"/>
      <c r="VGO230" s="15"/>
      <c r="VGP230" s="15"/>
      <c r="VGQ230" s="15"/>
      <c r="VGR230" s="15"/>
      <c r="VGS230" s="10"/>
      <c r="VGT230" s="10"/>
      <c r="VGU230" s="21"/>
      <c r="VGV230" s="21"/>
      <c r="VGY230" s="21"/>
      <c r="VGZ230" s="15"/>
      <c r="VHA230" s="15"/>
      <c r="VHB230" s="15"/>
      <c r="VHC230" s="15"/>
      <c r="VHD230" s="15"/>
      <c r="VHE230" s="15"/>
      <c r="VHF230" s="15"/>
      <c r="VHG230" s="15"/>
      <c r="VHH230" s="15"/>
      <c r="VHI230" s="15"/>
      <c r="VHJ230" s="10"/>
      <c r="VHK230" s="10"/>
      <c r="VHL230" s="21"/>
      <c r="VHM230" s="21"/>
      <c r="VHP230" s="21"/>
      <c r="VHQ230" s="15"/>
      <c r="VHR230" s="15"/>
      <c r="VHS230" s="15"/>
      <c r="VHT230" s="15"/>
      <c r="VHU230" s="15"/>
      <c r="VHV230" s="15"/>
      <c r="VHW230" s="15"/>
      <c r="VHX230" s="15"/>
      <c r="VHY230" s="15"/>
      <c r="VHZ230" s="15"/>
      <c r="VIA230" s="10"/>
      <c r="VIB230" s="10"/>
      <c r="VIC230" s="21"/>
      <c r="VID230" s="21"/>
      <c r="VIG230" s="21"/>
      <c r="VIH230" s="15"/>
      <c r="VII230" s="15"/>
      <c r="VIJ230" s="15"/>
      <c r="VIK230" s="15"/>
      <c r="VIL230" s="15"/>
      <c r="VIM230" s="15"/>
      <c r="VIN230" s="15"/>
      <c r="VIO230" s="15"/>
      <c r="VIP230" s="15"/>
      <c r="VIQ230" s="15"/>
      <c r="VIR230" s="10"/>
      <c r="VIS230" s="10"/>
      <c r="VIT230" s="21"/>
      <c r="VIU230" s="21"/>
      <c r="VIX230" s="21"/>
      <c r="VIY230" s="15"/>
      <c r="VIZ230" s="15"/>
      <c r="VJA230" s="15"/>
      <c r="VJB230" s="15"/>
      <c r="VJC230" s="15"/>
      <c r="VJD230" s="15"/>
      <c r="VJE230" s="15"/>
      <c r="VJF230" s="15"/>
      <c r="VJG230" s="15"/>
      <c r="VJH230" s="15"/>
      <c r="VJI230" s="10"/>
      <c r="VJJ230" s="10"/>
      <c r="VJK230" s="21"/>
      <c r="VJL230" s="21"/>
      <c r="VJO230" s="21"/>
      <c r="VJP230" s="15"/>
      <c r="VJQ230" s="15"/>
      <c r="VJR230" s="15"/>
      <c r="VJS230" s="15"/>
      <c r="VJT230" s="15"/>
      <c r="VJU230" s="15"/>
      <c r="VJV230" s="15"/>
      <c r="VJW230" s="15"/>
      <c r="VJX230" s="15"/>
      <c r="VJY230" s="15"/>
      <c r="VJZ230" s="10"/>
      <c r="VKA230" s="10"/>
      <c r="VKB230" s="21"/>
      <c r="VKC230" s="21"/>
      <c r="VKF230" s="21"/>
      <c r="VKG230" s="15"/>
      <c r="VKH230" s="15"/>
      <c r="VKI230" s="15"/>
      <c r="VKJ230" s="15"/>
      <c r="VKK230" s="15"/>
      <c r="VKL230" s="15"/>
      <c r="VKM230" s="15"/>
      <c r="VKN230" s="15"/>
      <c r="VKO230" s="15"/>
      <c r="VKP230" s="15"/>
      <c r="VKQ230" s="10"/>
      <c r="VKR230" s="10"/>
      <c r="VKS230" s="21"/>
      <c r="VKT230" s="21"/>
      <c r="VKW230" s="21"/>
      <c r="VKX230" s="15"/>
      <c r="VKY230" s="15"/>
      <c r="VKZ230" s="15"/>
      <c r="VLA230" s="15"/>
      <c r="VLB230" s="15"/>
      <c r="VLC230" s="15"/>
      <c r="VLD230" s="15"/>
      <c r="VLE230" s="15"/>
      <c r="VLF230" s="15"/>
      <c r="VLG230" s="15"/>
      <c r="VLH230" s="10"/>
      <c r="VLI230" s="10"/>
      <c r="VLJ230" s="21"/>
      <c r="VLK230" s="21"/>
      <c r="VLN230" s="21"/>
      <c r="VLO230" s="15"/>
      <c r="VLP230" s="15"/>
      <c r="VLQ230" s="15"/>
      <c r="VLR230" s="15"/>
      <c r="VLS230" s="15"/>
      <c r="VLT230" s="15"/>
      <c r="VLU230" s="15"/>
      <c r="VLV230" s="15"/>
      <c r="VLW230" s="15"/>
      <c r="VLX230" s="15"/>
      <c r="VLY230" s="10"/>
      <c r="VLZ230" s="10"/>
      <c r="VMA230" s="21"/>
      <c r="VMB230" s="21"/>
      <c r="VME230" s="21"/>
      <c r="VMF230" s="15"/>
      <c r="VMG230" s="15"/>
      <c r="VMH230" s="15"/>
      <c r="VMI230" s="15"/>
      <c r="VMJ230" s="15"/>
      <c r="VMK230" s="15"/>
      <c r="VML230" s="15"/>
      <c r="VMM230" s="15"/>
      <c r="VMN230" s="15"/>
      <c r="VMO230" s="15"/>
      <c r="VMP230" s="10"/>
      <c r="VMQ230" s="10"/>
      <c r="VMR230" s="21"/>
      <c r="VMS230" s="21"/>
      <c r="VMV230" s="21"/>
      <c r="VMW230" s="15"/>
      <c r="VMX230" s="15"/>
      <c r="VMY230" s="15"/>
      <c r="VMZ230" s="15"/>
      <c r="VNA230" s="15"/>
      <c r="VNB230" s="15"/>
      <c r="VNC230" s="15"/>
      <c r="VND230" s="15"/>
      <c r="VNE230" s="15"/>
      <c r="VNF230" s="15"/>
      <c r="VNG230" s="10"/>
      <c r="VNH230" s="10"/>
      <c r="VNI230" s="21"/>
      <c r="VNJ230" s="21"/>
      <c r="VNM230" s="21"/>
      <c r="VNN230" s="15"/>
      <c r="VNO230" s="15"/>
      <c r="VNP230" s="15"/>
      <c r="VNQ230" s="15"/>
      <c r="VNR230" s="15"/>
      <c r="VNS230" s="15"/>
      <c r="VNT230" s="15"/>
      <c r="VNU230" s="15"/>
      <c r="VNV230" s="15"/>
      <c r="VNW230" s="15"/>
      <c r="VNX230" s="10"/>
      <c r="VNY230" s="10"/>
      <c r="VNZ230" s="21"/>
      <c r="VOA230" s="21"/>
      <c r="VOD230" s="21"/>
      <c r="VOE230" s="15"/>
      <c r="VOF230" s="15"/>
      <c r="VOG230" s="15"/>
      <c r="VOH230" s="15"/>
      <c r="VOI230" s="15"/>
      <c r="VOJ230" s="15"/>
      <c r="VOK230" s="15"/>
      <c r="VOL230" s="15"/>
      <c r="VOM230" s="15"/>
      <c r="VON230" s="15"/>
      <c r="VOO230" s="10"/>
      <c r="VOP230" s="10"/>
      <c r="VOQ230" s="21"/>
      <c r="VOR230" s="21"/>
      <c r="VOU230" s="21"/>
      <c r="VOV230" s="15"/>
      <c r="VOW230" s="15"/>
      <c r="VOX230" s="15"/>
      <c r="VOY230" s="15"/>
      <c r="VOZ230" s="15"/>
      <c r="VPA230" s="15"/>
      <c r="VPB230" s="15"/>
      <c r="VPC230" s="15"/>
      <c r="VPD230" s="15"/>
      <c r="VPE230" s="15"/>
      <c r="VPF230" s="10"/>
      <c r="VPG230" s="10"/>
      <c r="VPH230" s="21"/>
      <c r="VPI230" s="21"/>
      <c r="VPL230" s="21"/>
      <c r="VPM230" s="15"/>
      <c r="VPN230" s="15"/>
      <c r="VPO230" s="15"/>
      <c r="VPP230" s="15"/>
      <c r="VPQ230" s="15"/>
      <c r="VPR230" s="15"/>
      <c r="VPS230" s="15"/>
      <c r="VPT230" s="15"/>
      <c r="VPU230" s="15"/>
      <c r="VPV230" s="15"/>
      <c r="VPW230" s="10"/>
      <c r="VPX230" s="10"/>
      <c r="VPY230" s="21"/>
      <c r="VPZ230" s="21"/>
      <c r="VQC230" s="21"/>
      <c r="VQD230" s="15"/>
      <c r="VQE230" s="15"/>
      <c r="VQF230" s="15"/>
      <c r="VQG230" s="15"/>
      <c r="VQH230" s="15"/>
      <c r="VQI230" s="15"/>
      <c r="VQJ230" s="15"/>
      <c r="VQK230" s="15"/>
      <c r="VQL230" s="15"/>
      <c r="VQM230" s="15"/>
      <c r="VQN230" s="10"/>
      <c r="VQO230" s="10"/>
      <c r="VQP230" s="21"/>
      <c r="VQQ230" s="21"/>
      <c r="VQT230" s="21"/>
      <c r="VQU230" s="15"/>
      <c r="VQV230" s="15"/>
      <c r="VQW230" s="15"/>
      <c r="VQX230" s="15"/>
      <c r="VQY230" s="15"/>
      <c r="VQZ230" s="15"/>
      <c r="VRA230" s="15"/>
      <c r="VRB230" s="15"/>
      <c r="VRC230" s="15"/>
      <c r="VRD230" s="15"/>
      <c r="VRE230" s="10"/>
      <c r="VRF230" s="10"/>
      <c r="VRG230" s="21"/>
      <c r="VRH230" s="21"/>
      <c r="VRK230" s="21"/>
      <c r="VRL230" s="15"/>
      <c r="VRM230" s="15"/>
      <c r="VRN230" s="15"/>
      <c r="VRO230" s="15"/>
      <c r="VRP230" s="15"/>
      <c r="VRQ230" s="15"/>
      <c r="VRR230" s="15"/>
      <c r="VRS230" s="15"/>
      <c r="VRT230" s="15"/>
      <c r="VRU230" s="15"/>
      <c r="VRV230" s="10"/>
      <c r="VRW230" s="10"/>
      <c r="VRX230" s="21"/>
      <c r="VRY230" s="21"/>
      <c r="VSB230" s="21"/>
      <c r="VSC230" s="15"/>
      <c r="VSD230" s="15"/>
      <c r="VSE230" s="15"/>
      <c r="VSF230" s="15"/>
      <c r="VSG230" s="15"/>
      <c r="VSH230" s="15"/>
      <c r="VSI230" s="15"/>
      <c r="VSJ230" s="15"/>
      <c r="VSK230" s="15"/>
      <c r="VSL230" s="15"/>
      <c r="VSM230" s="10"/>
      <c r="VSN230" s="10"/>
      <c r="VSO230" s="21"/>
      <c r="VSP230" s="21"/>
      <c r="VSS230" s="21"/>
      <c r="VST230" s="15"/>
      <c r="VSU230" s="15"/>
      <c r="VSV230" s="15"/>
      <c r="VSW230" s="15"/>
      <c r="VSX230" s="15"/>
      <c r="VSY230" s="15"/>
      <c r="VSZ230" s="15"/>
      <c r="VTA230" s="15"/>
      <c r="VTB230" s="15"/>
      <c r="VTC230" s="15"/>
      <c r="VTD230" s="10"/>
      <c r="VTE230" s="10"/>
      <c r="VTF230" s="21"/>
      <c r="VTG230" s="21"/>
      <c r="VTJ230" s="21"/>
      <c r="VTK230" s="15"/>
      <c r="VTL230" s="15"/>
      <c r="VTM230" s="15"/>
      <c r="VTN230" s="15"/>
      <c r="VTO230" s="15"/>
      <c r="VTP230" s="15"/>
      <c r="VTQ230" s="15"/>
      <c r="VTR230" s="15"/>
      <c r="VTS230" s="15"/>
      <c r="VTT230" s="15"/>
      <c r="VTU230" s="10"/>
      <c r="VTV230" s="10"/>
      <c r="VTW230" s="21"/>
      <c r="VTX230" s="21"/>
      <c r="VUA230" s="21"/>
      <c r="VUB230" s="15"/>
      <c r="VUC230" s="15"/>
      <c r="VUD230" s="15"/>
      <c r="VUE230" s="15"/>
      <c r="VUF230" s="15"/>
      <c r="VUG230" s="15"/>
      <c r="VUH230" s="15"/>
      <c r="VUI230" s="15"/>
      <c r="VUJ230" s="15"/>
      <c r="VUK230" s="15"/>
      <c r="VUL230" s="10"/>
      <c r="VUM230" s="10"/>
      <c r="VUN230" s="21"/>
      <c r="VUO230" s="21"/>
      <c r="VUR230" s="21"/>
      <c r="VUS230" s="15"/>
      <c r="VUT230" s="15"/>
      <c r="VUU230" s="15"/>
      <c r="VUV230" s="15"/>
      <c r="VUW230" s="15"/>
      <c r="VUX230" s="15"/>
      <c r="VUY230" s="15"/>
      <c r="VUZ230" s="15"/>
      <c r="VVA230" s="15"/>
      <c r="VVB230" s="15"/>
      <c r="VVC230" s="10"/>
      <c r="VVD230" s="10"/>
      <c r="VVE230" s="21"/>
      <c r="VVF230" s="21"/>
      <c r="VVI230" s="21"/>
      <c r="VVJ230" s="15"/>
      <c r="VVK230" s="15"/>
      <c r="VVL230" s="15"/>
      <c r="VVM230" s="15"/>
      <c r="VVN230" s="15"/>
      <c r="VVO230" s="15"/>
      <c r="VVP230" s="15"/>
      <c r="VVQ230" s="15"/>
      <c r="VVR230" s="15"/>
      <c r="VVS230" s="15"/>
      <c r="VVT230" s="10"/>
      <c r="VVU230" s="10"/>
      <c r="VVV230" s="21"/>
      <c r="VVW230" s="21"/>
      <c r="VVZ230" s="21"/>
      <c r="VWA230" s="15"/>
      <c r="VWB230" s="15"/>
      <c r="VWC230" s="15"/>
      <c r="VWD230" s="15"/>
      <c r="VWE230" s="15"/>
      <c r="VWF230" s="15"/>
      <c r="VWG230" s="15"/>
      <c r="VWH230" s="15"/>
      <c r="VWI230" s="15"/>
      <c r="VWJ230" s="15"/>
      <c r="VWK230" s="10"/>
      <c r="VWL230" s="10"/>
      <c r="VWM230" s="21"/>
      <c r="VWN230" s="21"/>
      <c r="VWQ230" s="21"/>
      <c r="VWR230" s="15"/>
      <c r="VWS230" s="15"/>
      <c r="VWT230" s="15"/>
      <c r="VWU230" s="15"/>
      <c r="VWV230" s="15"/>
      <c r="VWW230" s="15"/>
      <c r="VWX230" s="15"/>
      <c r="VWY230" s="15"/>
      <c r="VWZ230" s="15"/>
      <c r="VXA230" s="15"/>
      <c r="VXB230" s="10"/>
      <c r="VXC230" s="10"/>
      <c r="VXD230" s="21"/>
      <c r="VXE230" s="21"/>
      <c r="VXH230" s="21"/>
      <c r="VXI230" s="15"/>
      <c r="VXJ230" s="15"/>
      <c r="VXK230" s="15"/>
      <c r="VXL230" s="15"/>
      <c r="VXM230" s="15"/>
      <c r="VXN230" s="15"/>
      <c r="VXO230" s="15"/>
      <c r="VXP230" s="15"/>
      <c r="VXQ230" s="15"/>
      <c r="VXR230" s="15"/>
      <c r="VXS230" s="10"/>
      <c r="VXT230" s="10"/>
      <c r="VXU230" s="21"/>
      <c r="VXV230" s="21"/>
      <c r="VXY230" s="21"/>
      <c r="VXZ230" s="15"/>
      <c r="VYA230" s="15"/>
      <c r="VYB230" s="15"/>
      <c r="VYC230" s="15"/>
      <c r="VYD230" s="15"/>
      <c r="VYE230" s="15"/>
      <c r="VYF230" s="15"/>
      <c r="VYG230" s="15"/>
      <c r="VYH230" s="15"/>
      <c r="VYI230" s="15"/>
      <c r="VYJ230" s="10"/>
      <c r="VYK230" s="10"/>
      <c r="VYL230" s="21"/>
      <c r="VYM230" s="21"/>
      <c r="VYP230" s="21"/>
      <c r="VYQ230" s="15"/>
      <c r="VYR230" s="15"/>
      <c r="VYS230" s="15"/>
      <c r="VYT230" s="15"/>
      <c r="VYU230" s="15"/>
      <c r="VYV230" s="15"/>
      <c r="VYW230" s="15"/>
      <c r="VYX230" s="15"/>
      <c r="VYY230" s="15"/>
      <c r="VYZ230" s="15"/>
      <c r="VZA230" s="10"/>
      <c r="VZB230" s="10"/>
      <c r="VZC230" s="21"/>
      <c r="VZD230" s="21"/>
      <c r="VZG230" s="21"/>
      <c r="VZH230" s="15"/>
      <c r="VZI230" s="15"/>
      <c r="VZJ230" s="15"/>
      <c r="VZK230" s="15"/>
      <c r="VZL230" s="15"/>
      <c r="VZM230" s="15"/>
      <c r="VZN230" s="15"/>
      <c r="VZO230" s="15"/>
      <c r="VZP230" s="15"/>
      <c r="VZQ230" s="15"/>
      <c r="VZR230" s="10"/>
      <c r="VZS230" s="10"/>
      <c r="VZT230" s="21"/>
      <c r="VZU230" s="21"/>
      <c r="VZX230" s="21"/>
      <c r="VZY230" s="15"/>
      <c r="VZZ230" s="15"/>
      <c r="WAA230" s="15"/>
      <c r="WAB230" s="15"/>
      <c r="WAC230" s="15"/>
      <c r="WAD230" s="15"/>
      <c r="WAE230" s="15"/>
      <c r="WAF230" s="15"/>
      <c r="WAG230" s="15"/>
      <c r="WAH230" s="15"/>
      <c r="WAI230" s="10"/>
      <c r="WAJ230" s="10"/>
      <c r="WAK230" s="21"/>
      <c r="WAL230" s="21"/>
      <c r="WAO230" s="21"/>
      <c r="WAP230" s="15"/>
      <c r="WAQ230" s="15"/>
      <c r="WAR230" s="15"/>
      <c r="WAS230" s="15"/>
      <c r="WAT230" s="15"/>
      <c r="WAU230" s="15"/>
      <c r="WAV230" s="15"/>
      <c r="WAW230" s="15"/>
      <c r="WAX230" s="15"/>
      <c r="WAY230" s="15"/>
      <c r="WAZ230" s="10"/>
      <c r="WBA230" s="10"/>
      <c r="WBB230" s="21"/>
      <c r="WBC230" s="21"/>
      <c r="WBF230" s="21"/>
      <c r="WBG230" s="15"/>
      <c r="WBH230" s="15"/>
      <c r="WBI230" s="15"/>
      <c r="WBJ230" s="15"/>
      <c r="WBK230" s="15"/>
      <c r="WBL230" s="15"/>
      <c r="WBM230" s="15"/>
      <c r="WBN230" s="15"/>
      <c r="WBO230" s="15"/>
      <c r="WBP230" s="15"/>
      <c r="WBQ230" s="10"/>
      <c r="WBR230" s="10"/>
      <c r="WBS230" s="21"/>
      <c r="WBT230" s="21"/>
      <c r="WBW230" s="21"/>
      <c r="WBX230" s="15"/>
      <c r="WBY230" s="15"/>
      <c r="WBZ230" s="15"/>
      <c r="WCA230" s="15"/>
      <c r="WCB230" s="15"/>
      <c r="WCC230" s="15"/>
      <c r="WCD230" s="15"/>
      <c r="WCE230" s="15"/>
      <c r="WCF230" s="15"/>
      <c r="WCG230" s="15"/>
      <c r="WCH230" s="10"/>
      <c r="WCI230" s="10"/>
      <c r="WCJ230" s="21"/>
      <c r="WCK230" s="21"/>
      <c r="WCN230" s="21"/>
      <c r="WCO230" s="15"/>
      <c r="WCP230" s="15"/>
      <c r="WCQ230" s="15"/>
      <c r="WCR230" s="15"/>
      <c r="WCS230" s="15"/>
      <c r="WCT230" s="15"/>
      <c r="WCU230" s="15"/>
      <c r="WCV230" s="15"/>
      <c r="WCW230" s="15"/>
      <c r="WCX230" s="15"/>
      <c r="WCY230" s="10"/>
      <c r="WCZ230" s="10"/>
      <c r="WDA230" s="21"/>
      <c r="WDB230" s="21"/>
      <c r="WDE230" s="21"/>
      <c r="WDF230" s="15"/>
      <c r="WDG230" s="15"/>
      <c r="WDH230" s="15"/>
      <c r="WDI230" s="15"/>
      <c r="WDJ230" s="15"/>
      <c r="WDK230" s="15"/>
      <c r="WDL230" s="15"/>
      <c r="WDM230" s="15"/>
      <c r="WDN230" s="15"/>
      <c r="WDO230" s="15"/>
      <c r="WDP230" s="10"/>
      <c r="WDQ230" s="10"/>
      <c r="WDR230" s="21"/>
      <c r="WDS230" s="21"/>
      <c r="WDV230" s="21"/>
      <c r="WDW230" s="15"/>
      <c r="WDX230" s="15"/>
      <c r="WDY230" s="15"/>
      <c r="WDZ230" s="15"/>
      <c r="WEA230" s="15"/>
      <c r="WEB230" s="15"/>
      <c r="WEC230" s="15"/>
      <c r="WED230" s="15"/>
      <c r="WEE230" s="15"/>
      <c r="WEF230" s="15"/>
      <c r="WEG230" s="10"/>
      <c r="WEH230" s="10"/>
      <c r="WEI230" s="21"/>
      <c r="WEJ230" s="21"/>
      <c r="WEM230" s="21"/>
      <c r="WEN230" s="15"/>
      <c r="WEO230" s="15"/>
      <c r="WEP230" s="15"/>
      <c r="WEQ230" s="15"/>
      <c r="WER230" s="15"/>
      <c r="WES230" s="15"/>
      <c r="WET230" s="15"/>
      <c r="WEU230" s="15"/>
      <c r="WEV230" s="15"/>
      <c r="WEW230" s="15"/>
      <c r="WEX230" s="10"/>
      <c r="WEY230" s="10"/>
      <c r="WEZ230" s="21"/>
      <c r="WFA230" s="21"/>
      <c r="WFD230" s="21"/>
      <c r="WFE230" s="15"/>
      <c r="WFF230" s="15"/>
      <c r="WFG230" s="15"/>
      <c r="WFH230" s="15"/>
      <c r="WFI230" s="15"/>
      <c r="WFJ230" s="15"/>
      <c r="WFK230" s="15"/>
      <c r="WFL230" s="15"/>
      <c r="WFM230" s="15"/>
      <c r="WFN230" s="15"/>
      <c r="WFO230" s="10"/>
      <c r="WFP230" s="10"/>
      <c r="WFQ230" s="21"/>
      <c r="WFR230" s="21"/>
      <c r="WFU230" s="21"/>
      <c r="WFV230" s="15"/>
      <c r="WFW230" s="15"/>
      <c r="WFX230" s="15"/>
      <c r="WFY230" s="15"/>
      <c r="WFZ230" s="15"/>
      <c r="WGA230" s="15"/>
      <c r="WGB230" s="15"/>
      <c r="WGC230" s="15"/>
      <c r="WGD230" s="15"/>
      <c r="WGE230" s="15"/>
      <c r="WGF230" s="10"/>
      <c r="WGG230" s="10"/>
      <c r="WGH230" s="21"/>
      <c r="WGI230" s="21"/>
      <c r="WGL230" s="21"/>
      <c r="WGM230" s="15"/>
      <c r="WGN230" s="15"/>
      <c r="WGO230" s="15"/>
      <c r="WGP230" s="15"/>
      <c r="WGQ230" s="15"/>
      <c r="WGR230" s="15"/>
      <c r="WGS230" s="15"/>
      <c r="WGT230" s="15"/>
      <c r="WGU230" s="15"/>
      <c r="WGV230" s="15"/>
      <c r="WGW230" s="10"/>
      <c r="WGX230" s="10"/>
      <c r="WGY230" s="21"/>
      <c r="WGZ230" s="21"/>
      <c r="WHC230" s="21"/>
      <c r="WHD230" s="15"/>
      <c r="WHE230" s="15"/>
      <c r="WHF230" s="15"/>
      <c r="WHG230" s="15"/>
      <c r="WHH230" s="15"/>
      <c r="WHI230" s="15"/>
      <c r="WHJ230" s="15"/>
      <c r="WHK230" s="15"/>
      <c r="WHL230" s="15"/>
      <c r="WHM230" s="15"/>
      <c r="WHN230" s="10"/>
      <c r="WHO230" s="10"/>
      <c r="WHP230" s="21"/>
      <c r="WHQ230" s="21"/>
      <c r="WHT230" s="21"/>
      <c r="WHU230" s="15"/>
      <c r="WHV230" s="15"/>
      <c r="WHW230" s="15"/>
      <c r="WHX230" s="15"/>
      <c r="WHY230" s="15"/>
      <c r="WHZ230" s="15"/>
      <c r="WIA230" s="15"/>
      <c r="WIB230" s="15"/>
      <c r="WIC230" s="15"/>
      <c r="WID230" s="15"/>
      <c r="WIE230" s="10"/>
      <c r="WIF230" s="10"/>
      <c r="WIG230" s="21"/>
      <c r="WIH230" s="21"/>
      <c r="WIK230" s="21"/>
      <c r="WIL230" s="15"/>
      <c r="WIM230" s="15"/>
      <c r="WIN230" s="15"/>
      <c r="WIO230" s="15"/>
      <c r="WIP230" s="15"/>
      <c r="WIQ230" s="15"/>
      <c r="WIR230" s="15"/>
      <c r="WIS230" s="15"/>
      <c r="WIT230" s="15"/>
      <c r="WIU230" s="15"/>
      <c r="WIV230" s="10"/>
      <c r="WIW230" s="10"/>
      <c r="WIX230" s="21"/>
      <c r="WIY230" s="21"/>
      <c r="WJB230" s="21"/>
      <c r="WJC230" s="15"/>
      <c r="WJD230" s="15"/>
      <c r="WJE230" s="15"/>
      <c r="WJF230" s="15"/>
      <c r="WJG230" s="15"/>
      <c r="WJH230" s="15"/>
      <c r="WJI230" s="15"/>
      <c r="WJJ230" s="15"/>
      <c r="WJK230" s="15"/>
      <c r="WJL230" s="15"/>
      <c r="WJM230" s="10"/>
      <c r="WJN230" s="10"/>
      <c r="WJO230" s="21"/>
      <c r="WJP230" s="21"/>
      <c r="WJS230" s="21"/>
      <c r="WJT230" s="15"/>
      <c r="WJU230" s="15"/>
      <c r="WJV230" s="15"/>
      <c r="WJW230" s="15"/>
      <c r="WJX230" s="15"/>
      <c r="WJY230" s="15"/>
      <c r="WJZ230" s="15"/>
      <c r="WKA230" s="15"/>
      <c r="WKB230" s="15"/>
      <c r="WKC230" s="15"/>
      <c r="WKD230" s="10"/>
      <c r="WKE230" s="10"/>
      <c r="WKF230" s="21"/>
      <c r="WKG230" s="21"/>
      <c r="WKJ230" s="21"/>
      <c r="WKK230" s="15"/>
      <c r="WKL230" s="15"/>
      <c r="WKM230" s="15"/>
      <c r="WKN230" s="15"/>
      <c r="WKO230" s="15"/>
      <c r="WKP230" s="15"/>
      <c r="WKQ230" s="15"/>
      <c r="WKR230" s="15"/>
      <c r="WKS230" s="15"/>
      <c r="WKT230" s="15"/>
      <c r="WKU230" s="10"/>
      <c r="WKV230" s="10"/>
      <c r="WKW230" s="21"/>
      <c r="WKX230" s="21"/>
      <c r="WLA230" s="21"/>
      <c r="WLB230" s="15"/>
      <c r="WLC230" s="15"/>
      <c r="WLD230" s="15"/>
      <c r="WLE230" s="15"/>
      <c r="WLF230" s="15"/>
      <c r="WLG230" s="15"/>
      <c r="WLH230" s="15"/>
      <c r="WLI230" s="15"/>
      <c r="WLJ230" s="15"/>
      <c r="WLK230" s="15"/>
      <c r="WLL230" s="10"/>
      <c r="WLM230" s="10"/>
      <c r="WLN230" s="21"/>
      <c r="WLO230" s="21"/>
      <c r="WLR230" s="21"/>
      <c r="WLS230" s="15"/>
      <c r="WLT230" s="15"/>
      <c r="WLU230" s="15"/>
      <c r="WLV230" s="15"/>
      <c r="WLW230" s="15"/>
      <c r="WLX230" s="15"/>
      <c r="WLY230" s="15"/>
      <c r="WLZ230" s="15"/>
      <c r="WMA230" s="15"/>
      <c r="WMB230" s="15"/>
      <c r="WMC230" s="10"/>
      <c r="WMD230" s="10"/>
      <c r="WME230" s="21"/>
      <c r="WMF230" s="21"/>
      <c r="WMI230" s="21"/>
      <c r="WMJ230" s="15"/>
      <c r="WMK230" s="15"/>
      <c r="WML230" s="15"/>
      <c r="WMM230" s="15"/>
      <c r="WMN230" s="15"/>
      <c r="WMO230" s="15"/>
      <c r="WMP230" s="15"/>
      <c r="WMQ230" s="15"/>
      <c r="WMR230" s="15"/>
      <c r="WMS230" s="15"/>
      <c r="WMT230" s="10"/>
      <c r="WMU230" s="10"/>
      <c r="WMV230" s="21"/>
      <c r="WMW230" s="21"/>
      <c r="WMZ230" s="21"/>
      <c r="WNA230" s="15"/>
      <c r="WNB230" s="15"/>
      <c r="WNC230" s="15"/>
      <c r="WND230" s="15"/>
      <c r="WNE230" s="15"/>
      <c r="WNF230" s="15"/>
      <c r="WNG230" s="15"/>
      <c r="WNH230" s="15"/>
      <c r="WNI230" s="15"/>
      <c r="WNJ230" s="15"/>
      <c r="WNK230" s="10"/>
      <c r="WNL230" s="10"/>
      <c r="WNM230" s="21"/>
      <c r="WNN230" s="21"/>
      <c r="WNQ230" s="21"/>
      <c r="WNR230" s="15"/>
      <c r="WNS230" s="15"/>
      <c r="WNT230" s="15"/>
      <c r="WNU230" s="15"/>
      <c r="WNV230" s="15"/>
      <c r="WNW230" s="15"/>
      <c r="WNX230" s="15"/>
      <c r="WNY230" s="15"/>
      <c r="WNZ230" s="15"/>
      <c r="WOA230" s="15"/>
      <c r="WOB230" s="10"/>
      <c r="WOC230" s="10"/>
      <c r="WOD230" s="21"/>
      <c r="WOE230" s="21"/>
      <c r="WOH230" s="21"/>
      <c r="WOI230" s="15"/>
      <c r="WOJ230" s="15"/>
      <c r="WOK230" s="15"/>
      <c r="WOL230" s="15"/>
      <c r="WOM230" s="15"/>
      <c r="WON230" s="15"/>
      <c r="WOO230" s="15"/>
      <c r="WOP230" s="15"/>
      <c r="WOQ230" s="15"/>
      <c r="WOR230" s="15"/>
      <c r="WOS230" s="10"/>
      <c r="WOT230" s="10"/>
      <c r="WOU230" s="21"/>
      <c r="WOV230" s="21"/>
      <c r="WOY230" s="21"/>
      <c r="WOZ230" s="15"/>
      <c r="WPA230" s="15"/>
      <c r="WPB230" s="15"/>
      <c r="WPC230" s="15"/>
      <c r="WPD230" s="15"/>
      <c r="WPE230" s="15"/>
      <c r="WPF230" s="15"/>
      <c r="WPG230" s="15"/>
      <c r="WPH230" s="15"/>
      <c r="WPI230" s="15"/>
      <c r="WPJ230" s="10"/>
      <c r="WPK230" s="10"/>
      <c r="WPL230" s="21"/>
      <c r="WPM230" s="21"/>
      <c r="WPP230" s="21"/>
      <c r="WPQ230" s="15"/>
      <c r="WPR230" s="15"/>
      <c r="WPS230" s="15"/>
      <c r="WPT230" s="15"/>
      <c r="WPU230" s="15"/>
      <c r="WPV230" s="15"/>
      <c r="WPW230" s="15"/>
      <c r="WPX230" s="15"/>
      <c r="WPY230" s="15"/>
      <c r="WPZ230" s="15"/>
      <c r="WQA230" s="10"/>
      <c r="WQB230" s="10"/>
      <c r="WQC230" s="21"/>
      <c r="WQD230" s="21"/>
      <c r="WQG230" s="21"/>
      <c r="WQH230" s="15"/>
      <c r="WQI230" s="15"/>
      <c r="WQJ230" s="15"/>
      <c r="WQK230" s="15"/>
      <c r="WQL230" s="15"/>
      <c r="WQM230" s="15"/>
      <c r="WQN230" s="15"/>
      <c r="WQO230" s="15"/>
      <c r="WQP230" s="15"/>
      <c r="WQQ230" s="15"/>
      <c r="WQR230" s="10"/>
      <c r="WQS230" s="10"/>
      <c r="WQT230" s="21"/>
      <c r="WQU230" s="21"/>
      <c r="WQX230" s="21"/>
      <c r="WQY230" s="15"/>
      <c r="WQZ230" s="15"/>
      <c r="WRA230" s="15"/>
      <c r="WRB230" s="15"/>
      <c r="WRC230" s="15"/>
      <c r="WRD230" s="15"/>
      <c r="WRE230" s="15"/>
      <c r="WRF230" s="15"/>
      <c r="WRG230" s="15"/>
      <c r="WRH230" s="15"/>
      <c r="WRI230" s="10"/>
      <c r="WRJ230" s="10"/>
      <c r="WRK230" s="21"/>
      <c r="WRL230" s="21"/>
      <c r="WRO230" s="21"/>
      <c r="WRP230" s="15"/>
      <c r="WRQ230" s="15"/>
      <c r="WRR230" s="15"/>
      <c r="WRS230" s="15"/>
      <c r="WRT230" s="15"/>
      <c r="WRU230" s="15"/>
      <c r="WRV230" s="15"/>
      <c r="WRW230" s="15"/>
      <c r="WRX230" s="15"/>
      <c r="WRY230" s="15"/>
      <c r="WRZ230" s="10"/>
      <c r="WSA230" s="10"/>
      <c r="WSB230" s="21"/>
      <c r="WSC230" s="21"/>
      <c r="WSF230" s="21"/>
      <c r="WSG230" s="15"/>
      <c r="WSH230" s="15"/>
      <c r="WSI230" s="15"/>
      <c r="WSJ230" s="15"/>
      <c r="WSK230" s="15"/>
      <c r="WSL230" s="15"/>
      <c r="WSM230" s="15"/>
      <c r="WSN230" s="15"/>
      <c r="WSO230" s="15"/>
      <c r="WSP230" s="15"/>
      <c r="WSQ230" s="10"/>
      <c r="WSR230" s="10"/>
      <c r="WSS230" s="21"/>
      <c r="WST230" s="21"/>
      <c r="WSW230" s="21"/>
      <c r="WSX230" s="15"/>
      <c r="WSY230" s="15"/>
      <c r="WSZ230" s="15"/>
      <c r="WTA230" s="15"/>
      <c r="WTB230" s="15"/>
      <c r="WTC230" s="15"/>
      <c r="WTD230" s="15"/>
      <c r="WTE230" s="15"/>
      <c r="WTF230" s="15"/>
      <c r="WTG230" s="15"/>
      <c r="WTH230" s="10"/>
      <c r="WTI230" s="10"/>
      <c r="WTJ230" s="21"/>
      <c r="WTK230" s="21"/>
      <c r="WTN230" s="21"/>
      <c r="WTO230" s="15"/>
      <c r="WTP230" s="15"/>
      <c r="WTQ230" s="15"/>
      <c r="WTR230" s="15"/>
      <c r="WTS230" s="15"/>
      <c r="WTT230" s="15"/>
      <c r="WTU230" s="15"/>
      <c r="WTV230" s="15"/>
      <c r="WTW230" s="15"/>
      <c r="WTX230" s="15"/>
      <c r="WTY230" s="10"/>
      <c r="WTZ230" s="10"/>
      <c r="WUA230" s="21"/>
      <c r="WUB230" s="21"/>
      <c r="WUE230" s="21"/>
      <c r="WUF230" s="15"/>
      <c r="WUG230" s="15"/>
      <c r="WUH230" s="15"/>
      <c r="WUI230" s="15"/>
      <c r="WUJ230" s="15"/>
      <c r="WUK230" s="15"/>
      <c r="WUL230" s="15"/>
      <c r="WUM230" s="15"/>
      <c r="WUN230" s="15"/>
      <c r="WUO230" s="15"/>
      <c r="WUP230" s="10"/>
      <c r="WUQ230" s="10"/>
      <c r="WUR230" s="21"/>
      <c r="WUS230" s="21"/>
      <c r="WUV230" s="21"/>
      <c r="WUW230" s="15"/>
      <c r="WUX230" s="15"/>
      <c r="WUY230" s="15"/>
      <c r="WUZ230" s="15"/>
      <c r="WVA230" s="15"/>
      <c r="WVB230" s="15"/>
      <c r="WVC230" s="15"/>
      <c r="WVD230" s="15"/>
      <c r="WVE230" s="15"/>
      <c r="WVF230" s="15"/>
      <c r="WVG230" s="10"/>
      <c r="WVH230" s="10"/>
      <c r="WVI230" s="21"/>
      <c r="WVJ230" s="21"/>
      <c r="WVM230" s="21"/>
      <c r="WVN230" s="15"/>
      <c r="WVO230" s="15"/>
      <c r="WVP230" s="15"/>
      <c r="WVQ230" s="15"/>
      <c r="WVR230" s="15"/>
      <c r="WVS230" s="15"/>
      <c r="WVT230" s="15"/>
      <c r="WVU230" s="15"/>
      <c r="WVV230" s="15"/>
      <c r="WVW230" s="15"/>
      <c r="WVX230" s="10"/>
      <c r="WVY230" s="10"/>
      <c r="WVZ230" s="21"/>
      <c r="WWA230" s="21"/>
      <c r="WWD230" s="21"/>
      <c r="WWE230" s="15"/>
      <c r="WWF230" s="15"/>
      <c r="WWG230" s="15"/>
      <c r="WWH230" s="15"/>
      <c r="WWI230" s="15"/>
      <c r="WWJ230" s="15"/>
      <c r="WWK230" s="15"/>
      <c r="WWL230" s="15"/>
      <c r="WWM230" s="15"/>
      <c r="WWN230" s="15"/>
      <c r="WWO230" s="10"/>
      <c r="WWP230" s="10"/>
      <c r="WWQ230" s="21"/>
      <c r="WWR230" s="21"/>
      <c r="WWU230" s="21"/>
      <c r="WWV230" s="15"/>
      <c r="WWW230" s="15"/>
      <c r="WWX230" s="15"/>
      <c r="WWY230" s="15"/>
      <c r="WWZ230" s="15"/>
      <c r="WXA230" s="15"/>
      <c r="WXB230" s="15"/>
      <c r="WXC230" s="15"/>
      <c r="WXD230" s="15"/>
      <c r="WXE230" s="15"/>
      <c r="WXF230" s="10"/>
      <c r="WXG230" s="10"/>
      <c r="WXH230" s="21"/>
      <c r="WXI230" s="21"/>
      <c r="WXL230" s="21"/>
      <c r="WXM230" s="15"/>
      <c r="WXN230" s="15"/>
      <c r="WXO230" s="15"/>
      <c r="WXP230" s="15"/>
      <c r="WXQ230" s="15"/>
      <c r="WXR230" s="15"/>
      <c r="WXS230" s="15"/>
      <c r="WXT230" s="15"/>
      <c r="WXU230" s="15"/>
      <c r="WXV230" s="15"/>
      <c r="WXW230" s="10"/>
      <c r="WXX230" s="10"/>
      <c r="WXY230" s="21"/>
      <c r="WXZ230" s="21"/>
      <c r="WYC230" s="21"/>
      <c r="WYD230" s="15"/>
      <c r="WYE230" s="15"/>
      <c r="WYF230" s="15"/>
      <c r="WYG230" s="15"/>
      <c r="WYH230" s="15"/>
      <c r="WYI230" s="15"/>
      <c r="WYJ230" s="15"/>
      <c r="WYK230" s="15"/>
      <c r="WYL230" s="15"/>
      <c r="WYM230" s="15"/>
      <c r="WYN230" s="10"/>
      <c r="WYO230" s="10"/>
      <c r="WYP230" s="21"/>
      <c r="WYQ230" s="21"/>
      <c r="WYT230" s="21"/>
      <c r="WYU230" s="15"/>
      <c r="WYV230" s="15"/>
      <c r="WYW230" s="15"/>
      <c r="WYX230" s="15"/>
      <c r="WYY230" s="15"/>
      <c r="WYZ230" s="15"/>
      <c r="WZA230" s="15"/>
      <c r="WZB230" s="15"/>
      <c r="WZC230" s="15"/>
      <c r="WZD230" s="15"/>
      <c r="WZE230" s="10"/>
      <c r="WZF230" s="10"/>
      <c r="WZG230" s="21"/>
      <c r="WZH230" s="21"/>
      <c r="WZK230" s="21"/>
      <c r="WZL230" s="15"/>
      <c r="WZM230" s="15"/>
      <c r="WZN230" s="15"/>
      <c r="WZO230" s="15"/>
      <c r="WZP230" s="15"/>
      <c r="WZQ230" s="15"/>
      <c r="WZR230" s="15"/>
      <c r="WZS230" s="15"/>
      <c r="WZT230" s="15"/>
      <c r="WZU230" s="15"/>
      <c r="WZV230" s="10"/>
      <c r="WZW230" s="10"/>
      <c r="WZX230" s="21"/>
      <c r="WZY230" s="21"/>
      <c r="XAB230" s="21"/>
      <c r="XAC230" s="15"/>
      <c r="XAD230" s="15"/>
      <c r="XAE230" s="15"/>
      <c r="XAF230" s="15"/>
      <c r="XAG230" s="15"/>
      <c r="XAH230" s="15"/>
      <c r="XAI230" s="15"/>
      <c r="XAJ230" s="15"/>
      <c r="XAK230" s="15"/>
      <c r="XAL230" s="15"/>
      <c r="XAM230" s="10"/>
      <c r="XAN230" s="10"/>
      <c r="XAO230" s="21"/>
      <c r="XAP230" s="21"/>
      <c r="XAS230" s="21"/>
      <c r="XAT230" s="15"/>
      <c r="XAU230" s="15"/>
      <c r="XAV230" s="15"/>
      <c r="XAW230" s="15"/>
      <c r="XAX230" s="15"/>
      <c r="XAY230" s="15"/>
      <c r="XAZ230" s="15"/>
      <c r="XBA230" s="15"/>
      <c r="XBB230" s="15"/>
      <c r="XBC230" s="15"/>
      <c r="XBD230" s="10"/>
      <c r="XBE230" s="10"/>
      <c r="XBF230" s="21"/>
      <c r="XBG230" s="21"/>
      <c r="XBJ230" s="21"/>
      <c r="XBK230" s="15"/>
      <c r="XBL230" s="15"/>
      <c r="XBM230" s="15"/>
      <c r="XBN230" s="15"/>
      <c r="XBO230" s="15"/>
      <c r="XBP230" s="15"/>
      <c r="XBQ230" s="15"/>
      <c r="XBR230" s="15"/>
      <c r="XBS230" s="15"/>
      <c r="XBT230" s="15"/>
      <c r="XBU230" s="10"/>
      <c r="XBV230" s="10"/>
      <c r="XBW230" s="21"/>
      <c r="XBX230" s="21"/>
      <c r="XCA230" s="21"/>
      <c r="XCB230" s="15"/>
      <c r="XCC230" s="15"/>
      <c r="XCD230" s="15"/>
      <c r="XCE230" s="15"/>
      <c r="XCF230" s="15"/>
      <c r="XCG230" s="15"/>
      <c r="XCH230" s="15"/>
      <c r="XCI230" s="15"/>
      <c r="XCJ230" s="15"/>
      <c r="XCK230" s="15"/>
      <c r="XCL230" s="10"/>
      <c r="XCM230" s="10"/>
      <c r="XCN230" s="21"/>
      <c r="XCO230" s="21"/>
      <c r="XCR230" s="21"/>
      <c r="XCS230" s="15"/>
      <c r="XCT230" s="15"/>
      <c r="XCU230" s="15"/>
      <c r="XCV230" s="15"/>
      <c r="XCW230" s="15"/>
      <c r="XCX230" s="15"/>
      <c r="XCY230" s="15"/>
      <c r="XCZ230" s="15"/>
      <c r="XDA230" s="15"/>
      <c r="XDB230" s="15"/>
      <c r="XDC230" s="10"/>
      <c r="XDD230" s="10"/>
      <c r="XDE230" s="21"/>
      <c r="XDF230" s="21"/>
      <c r="XDI230" s="21"/>
      <c r="XDJ230" s="15"/>
      <c r="XDK230" s="15"/>
      <c r="XDL230" s="15"/>
      <c r="XDM230" s="15"/>
      <c r="XDN230" s="15"/>
      <c r="XDO230" s="15"/>
      <c r="XDP230" s="15"/>
      <c r="XDQ230" s="15"/>
      <c r="XDR230" s="15"/>
      <c r="XDS230" s="15"/>
      <c r="XDT230" s="10"/>
      <c r="XDU230" s="10"/>
      <c r="XDV230" s="21"/>
      <c r="XDW230" s="21"/>
      <c r="XDZ230" s="21"/>
      <c r="XEA230" s="15"/>
      <c r="XEB230" s="15"/>
      <c r="XEC230" s="15"/>
      <c r="XED230" s="15"/>
      <c r="XEE230" s="15"/>
      <c r="XEF230" s="15"/>
      <c r="XEG230" s="15"/>
      <c r="XEH230" s="15"/>
      <c r="XEI230" s="15"/>
      <c r="XEJ230" s="15"/>
      <c r="XEK230" s="10"/>
      <c r="XEL230" s="10"/>
      <c r="XEM230" s="21"/>
      <c r="XEN230" s="21"/>
      <c r="XEQ230" s="21"/>
      <c r="XER230" s="15"/>
      <c r="XES230" s="15"/>
      <c r="XET230" s="15"/>
      <c r="XEU230" s="15"/>
      <c r="XEV230" s="15"/>
      <c r="XEW230" s="15"/>
      <c r="XEX230" s="15"/>
      <c r="XEY230" s="15"/>
      <c r="XEZ230" s="15"/>
      <c r="XFA230" s="15"/>
      <c r="XFB230" s="10"/>
      <c r="XFC230" s="10"/>
      <c r="XFD230" s="21"/>
    </row>
    <row r="231" spans="1:4094 4097:8191 8194:12288 12291:16384" ht="14.25" customHeight="1" x14ac:dyDescent="0.25">
      <c r="A231" s="31">
        <v>0</v>
      </c>
      <c r="B231" s="31">
        <v>1</v>
      </c>
      <c r="C231" s="31">
        <v>6</v>
      </c>
      <c r="D231" s="32" t="s">
        <v>978</v>
      </c>
      <c r="E231" s="32" t="s">
        <v>165</v>
      </c>
      <c r="F231" s="32" t="s">
        <v>976</v>
      </c>
      <c r="G231" s="32" t="s">
        <v>1105</v>
      </c>
      <c r="H231" s="32" t="s">
        <v>354</v>
      </c>
      <c r="I231" s="31" t="s">
        <v>977</v>
      </c>
      <c r="J231" s="31">
        <v>1</v>
      </c>
      <c r="K231" s="33" t="s">
        <v>956</v>
      </c>
      <c r="L231" s="33" t="s">
        <v>689</v>
      </c>
      <c r="M231" s="34" t="s">
        <v>1402</v>
      </c>
      <c r="N231" s="34" t="s">
        <v>1748</v>
      </c>
      <c r="O231" s="35">
        <v>1</v>
      </c>
      <c r="P231" s="35"/>
      <c r="Q231" s="32"/>
      <c r="S231" s="1">
        <f t="shared" si="171"/>
        <v>1</v>
      </c>
      <c r="T231" s="1">
        <f t="shared" si="172"/>
        <v>0</v>
      </c>
      <c r="U231" s="1">
        <f t="shared" si="173"/>
        <v>0</v>
      </c>
      <c r="V231" s="1">
        <f t="shared" si="174"/>
        <v>0</v>
      </c>
      <c r="W231" s="1">
        <f t="shared" si="175"/>
        <v>0</v>
      </c>
      <c r="X231" s="1">
        <f t="shared" si="176"/>
        <v>0</v>
      </c>
      <c r="Y231" s="1">
        <f t="shared" si="177"/>
        <v>0</v>
      </c>
      <c r="Z231" s="1">
        <f t="shared" si="178"/>
        <v>0</v>
      </c>
      <c r="AA231" s="1">
        <f t="shared" si="179"/>
        <v>0</v>
      </c>
      <c r="AB231" s="1">
        <f t="shared" si="180"/>
        <v>0</v>
      </c>
      <c r="AD231" s="1">
        <f t="shared" si="181"/>
        <v>0</v>
      </c>
      <c r="AE231" s="1">
        <f t="shared" si="182"/>
        <v>1</v>
      </c>
      <c r="AF231" s="1">
        <f t="shared" si="167"/>
        <v>0</v>
      </c>
      <c r="AG231" s="1">
        <f t="shared" si="168"/>
        <v>1</v>
      </c>
      <c r="AH231" s="1">
        <f t="shared" si="169"/>
        <v>0</v>
      </c>
      <c r="AI231" s="1">
        <f t="shared" si="170"/>
        <v>1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521</v>
      </c>
      <c r="E232" s="32" t="s">
        <v>167</v>
      </c>
      <c r="F232" s="32" t="s">
        <v>522</v>
      </c>
      <c r="G232" s="32" t="s">
        <v>523</v>
      </c>
      <c r="H232" s="32" t="s">
        <v>354</v>
      </c>
      <c r="I232" s="31" t="s">
        <v>524</v>
      </c>
      <c r="J232" s="31">
        <v>99</v>
      </c>
      <c r="K232" s="33" t="s">
        <v>702</v>
      </c>
      <c r="L232" s="33">
        <v>40</v>
      </c>
      <c r="M232" s="34" t="s">
        <v>972</v>
      </c>
      <c r="N232" s="34" t="s">
        <v>1849</v>
      </c>
      <c r="O232" s="35">
        <v>1</v>
      </c>
      <c r="P232" s="35"/>
      <c r="Q232" s="32"/>
      <c r="S232" s="1">
        <f t="shared" si="171"/>
        <v>0</v>
      </c>
      <c r="T232" s="1">
        <f t="shared" si="172"/>
        <v>0</v>
      </c>
      <c r="U232" s="1">
        <f t="shared" si="173"/>
        <v>0</v>
      </c>
      <c r="V232" s="1">
        <f t="shared" si="174"/>
        <v>0</v>
      </c>
      <c r="W232" s="1">
        <f t="shared" si="175"/>
        <v>0</v>
      </c>
      <c r="X232" s="1">
        <f t="shared" si="176"/>
        <v>0</v>
      </c>
      <c r="Y232" s="1">
        <f t="shared" si="177"/>
        <v>0</v>
      </c>
      <c r="Z232" s="1">
        <f t="shared" si="178"/>
        <v>0</v>
      </c>
      <c r="AA232" s="1">
        <f t="shared" si="179"/>
        <v>0</v>
      </c>
      <c r="AB232" s="1">
        <f t="shared" si="180"/>
        <v>0</v>
      </c>
      <c r="AD232" s="1">
        <f t="shared" si="181"/>
        <v>0</v>
      </c>
      <c r="AE232" s="1">
        <f t="shared" si="182"/>
        <v>1</v>
      </c>
      <c r="AF232" s="1">
        <f t="shared" si="167"/>
        <v>0</v>
      </c>
      <c r="AG232" s="1">
        <f t="shared" si="168"/>
        <v>1</v>
      </c>
      <c r="AH232" s="1">
        <f t="shared" si="169"/>
        <v>0</v>
      </c>
      <c r="AI232" s="1">
        <f t="shared" si="170"/>
        <v>1</v>
      </c>
    </row>
    <row r="233" spans="1:4094 4097:8191 8194:12288 12291:16384" ht="14.25" customHeight="1" x14ac:dyDescent="0.25">
      <c r="A233" s="38">
        <v>0</v>
      </c>
      <c r="B233" s="38">
        <v>1</v>
      </c>
      <c r="C233" s="38">
        <v>6</v>
      </c>
      <c r="D233" s="39" t="s">
        <v>1837</v>
      </c>
      <c r="E233" s="39" t="s">
        <v>1838</v>
      </c>
      <c r="F233" s="39" t="s">
        <v>1839</v>
      </c>
      <c r="G233" s="39"/>
      <c r="H233" s="39" t="s">
        <v>354</v>
      </c>
      <c r="I233" s="38" t="s">
        <v>1840</v>
      </c>
      <c r="J233" s="38"/>
      <c r="K233" s="40" t="s">
        <v>703</v>
      </c>
      <c r="L233" s="40"/>
      <c r="M233" s="41"/>
      <c r="N233" s="42"/>
      <c r="O233" s="43"/>
      <c r="P233" s="43">
        <v>1</v>
      </c>
      <c r="Q233" s="39"/>
      <c r="S233" s="1">
        <f t="shared" si="171"/>
        <v>0</v>
      </c>
      <c r="T233" s="1">
        <f t="shared" si="172"/>
        <v>0</v>
      </c>
      <c r="U233" s="1">
        <f t="shared" si="173"/>
        <v>0</v>
      </c>
      <c r="V233" s="1">
        <f t="shared" si="174"/>
        <v>0</v>
      </c>
      <c r="W233" s="1">
        <f t="shared" si="175"/>
        <v>0</v>
      </c>
      <c r="X233" s="1">
        <f t="shared" si="176"/>
        <v>0</v>
      </c>
      <c r="Y233" s="1">
        <f t="shared" si="177"/>
        <v>0</v>
      </c>
      <c r="Z233" s="1">
        <f t="shared" si="178"/>
        <v>0</v>
      </c>
      <c r="AA233" s="1">
        <f t="shared" si="179"/>
        <v>0</v>
      </c>
      <c r="AB233" s="1">
        <f t="shared" si="180"/>
        <v>0</v>
      </c>
      <c r="AD233" s="1">
        <f t="shared" si="181"/>
        <v>0</v>
      </c>
      <c r="AE233" s="1">
        <f t="shared" si="182"/>
        <v>0</v>
      </c>
      <c r="AF233" s="1">
        <f t="shared" si="167"/>
        <v>0</v>
      </c>
      <c r="AG233" s="1">
        <f t="shared" si="168"/>
        <v>0</v>
      </c>
      <c r="AH233" s="1">
        <f t="shared" si="169"/>
        <v>1</v>
      </c>
      <c r="AI233" s="1">
        <f t="shared" si="170"/>
        <v>0</v>
      </c>
    </row>
    <row r="234" spans="1:4094 4097:8191 8194:12288 12291:16384" ht="14.25" customHeight="1" x14ac:dyDescent="0.25">
      <c r="A234" s="31">
        <v>0</v>
      </c>
      <c r="B234" s="31">
        <v>1</v>
      </c>
      <c r="C234" s="31">
        <v>6</v>
      </c>
      <c r="D234" s="32" t="s">
        <v>1480</v>
      </c>
      <c r="E234" s="32" t="s">
        <v>167</v>
      </c>
      <c r="F234" s="32" t="s">
        <v>1482</v>
      </c>
      <c r="G234" s="32" t="s">
        <v>1483</v>
      </c>
      <c r="H234" s="32" t="s">
        <v>354</v>
      </c>
      <c r="I234" s="31" t="s">
        <v>1481</v>
      </c>
      <c r="J234" s="31">
        <v>99</v>
      </c>
      <c r="K234" s="33" t="s">
        <v>703</v>
      </c>
      <c r="L234" s="33">
        <v>62</v>
      </c>
      <c r="M234" s="34"/>
      <c r="N234" s="34" t="s">
        <v>1749</v>
      </c>
      <c r="O234" s="35">
        <v>1</v>
      </c>
      <c r="P234" s="35"/>
      <c r="Q234" s="32"/>
      <c r="S234" s="1">
        <f t="shared" si="171"/>
        <v>0</v>
      </c>
      <c r="T234" s="1">
        <f t="shared" si="172"/>
        <v>0</v>
      </c>
      <c r="U234" s="1">
        <f t="shared" si="173"/>
        <v>0</v>
      </c>
      <c r="V234" s="1">
        <f t="shared" si="174"/>
        <v>0</v>
      </c>
      <c r="W234" s="1">
        <f t="shared" si="175"/>
        <v>0</v>
      </c>
      <c r="X234" s="1">
        <f t="shared" si="176"/>
        <v>0</v>
      </c>
      <c r="Y234" s="1">
        <f t="shared" si="177"/>
        <v>0</v>
      </c>
      <c r="Z234" s="1">
        <f t="shared" si="178"/>
        <v>0</v>
      </c>
      <c r="AA234" s="1">
        <f t="shared" si="179"/>
        <v>0</v>
      </c>
      <c r="AB234" s="1">
        <f t="shared" si="180"/>
        <v>0</v>
      </c>
      <c r="AD234" s="1">
        <f t="shared" si="181"/>
        <v>0</v>
      </c>
      <c r="AE234" s="1">
        <f t="shared" si="182"/>
        <v>1</v>
      </c>
      <c r="AF234" s="1">
        <f t="shared" si="167"/>
        <v>0</v>
      </c>
      <c r="AG234" s="1">
        <f t="shared" si="168"/>
        <v>1</v>
      </c>
      <c r="AH234" s="1">
        <f t="shared" si="169"/>
        <v>0</v>
      </c>
      <c r="AI234" s="1">
        <f t="shared" si="170"/>
        <v>1</v>
      </c>
    </row>
    <row r="235" spans="1:4094 4097:8191 8194:12288 12291:16384" ht="14.25" customHeight="1" x14ac:dyDescent="0.25">
      <c r="A235" s="31">
        <v>0</v>
      </c>
      <c r="B235" s="31">
        <v>1</v>
      </c>
      <c r="C235" s="31">
        <v>6</v>
      </c>
      <c r="D235" s="32" t="s">
        <v>1196</v>
      </c>
      <c r="E235" s="32" t="s">
        <v>165</v>
      </c>
      <c r="F235" s="32" t="s">
        <v>1670</v>
      </c>
      <c r="G235" s="32" t="s">
        <v>213</v>
      </c>
      <c r="H235" s="32" t="s">
        <v>354</v>
      </c>
      <c r="I235" s="31" t="s">
        <v>1197</v>
      </c>
      <c r="J235" s="31">
        <v>1</v>
      </c>
      <c r="K235" s="33" t="s">
        <v>962</v>
      </c>
      <c r="L235" s="33" t="s">
        <v>687</v>
      </c>
      <c r="M235" s="34" t="s">
        <v>1572</v>
      </c>
      <c r="N235" s="34" t="s">
        <v>1755</v>
      </c>
      <c r="O235" s="35">
        <v>1</v>
      </c>
      <c r="P235" s="35"/>
      <c r="Q235" s="32"/>
      <c r="S235" s="1">
        <f t="shared" si="171"/>
        <v>1</v>
      </c>
      <c r="T235" s="1">
        <f t="shared" si="172"/>
        <v>0</v>
      </c>
      <c r="U235" s="1">
        <f t="shared" si="173"/>
        <v>0</v>
      </c>
      <c r="V235" s="1">
        <f t="shared" si="174"/>
        <v>0</v>
      </c>
      <c r="W235" s="1">
        <f t="shared" si="175"/>
        <v>0</v>
      </c>
      <c r="X235" s="1">
        <f t="shared" si="176"/>
        <v>0</v>
      </c>
      <c r="Y235" s="1">
        <f t="shared" si="177"/>
        <v>0</v>
      </c>
      <c r="Z235" s="1">
        <f t="shared" si="178"/>
        <v>0</v>
      </c>
      <c r="AA235" s="1">
        <f t="shared" si="179"/>
        <v>0</v>
      </c>
      <c r="AB235" s="1">
        <f t="shared" si="180"/>
        <v>0</v>
      </c>
      <c r="AD235" s="1">
        <f t="shared" si="181"/>
        <v>0</v>
      </c>
      <c r="AE235" s="1">
        <f t="shared" si="182"/>
        <v>1</v>
      </c>
      <c r="AF235" s="1">
        <f t="shared" si="167"/>
        <v>0</v>
      </c>
      <c r="AG235" s="1">
        <f t="shared" si="168"/>
        <v>1</v>
      </c>
      <c r="AH235" s="1">
        <f t="shared" si="169"/>
        <v>0</v>
      </c>
      <c r="AI235" s="1">
        <f t="shared" si="170"/>
        <v>1</v>
      </c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98</v>
      </c>
      <c r="E236" s="32" t="s">
        <v>167</v>
      </c>
      <c r="F236" s="32" t="s">
        <v>296</v>
      </c>
      <c r="G236" s="32" t="s">
        <v>285</v>
      </c>
      <c r="H236" s="32" t="s">
        <v>354</v>
      </c>
      <c r="I236" s="31" t="s">
        <v>1118</v>
      </c>
      <c r="J236" s="31">
        <v>10</v>
      </c>
      <c r="K236" s="33" t="s">
        <v>956</v>
      </c>
      <c r="L236" s="33" t="s">
        <v>694</v>
      </c>
      <c r="M236" s="34" t="s">
        <v>705</v>
      </c>
      <c r="N236" s="34" t="s">
        <v>1749</v>
      </c>
      <c r="O236" s="35">
        <v>1</v>
      </c>
      <c r="P236" s="35"/>
      <c r="Q236" s="32"/>
      <c r="S236" s="1">
        <f t="shared" si="171"/>
        <v>0</v>
      </c>
      <c r="T236" s="1">
        <f t="shared" si="172"/>
        <v>0</v>
      </c>
      <c r="U236" s="1">
        <f t="shared" si="173"/>
        <v>0</v>
      </c>
      <c r="V236" s="1">
        <f t="shared" si="174"/>
        <v>0</v>
      </c>
      <c r="W236" s="1">
        <f t="shared" si="175"/>
        <v>0</v>
      </c>
      <c r="X236" s="1">
        <f t="shared" si="176"/>
        <v>0</v>
      </c>
      <c r="Y236" s="1">
        <f t="shared" si="177"/>
        <v>0</v>
      </c>
      <c r="Z236" s="1">
        <f t="shared" si="178"/>
        <v>0</v>
      </c>
      <c r="AA236" s="1">
        <f t="shared" si="179"/>
        <v>0</v>
      </c>
      <c r="AB236" s="1">
        <f t="shared" si="180"/>
        <v>1</v>
      </c>
      <c r="AD236" s="1">
        <f t="shared" si="181"/>
        <v>0</v>
      </c>
      <c r="AE236" s="1">
        <f t="shared" si="182"/>
        <v>1</v>
      </c>
      <c r="AF236" s="1">
        <f t="shared" si="167"/>
        <v>0</v>
      </c>
      <c r="AG236" s="1">
        <f t="shared" si="168"/>
        <v>1</v>
      </c>
      <c r="AH236" s="1">
        <f t="shared" si="169"/>
        <v>0</v>
      </c>
      <c r="AI236" s="1">
        <f t="shared" si="170"/>
        <v>1</v>
      </c>
    </row>
    <row r="237" spans="1:4094 4097:8191 8194:12288 12291:16384" ht="14.25" customHeight="1" x14ac:dyDescent="0.25">
      <c r="A237" s="31">
        <v>0</v>
      </c>
      <c r="B237" s="31">
        <v>1</v>
      </c>
      <c r="C237" s="31">
        <v>6</v>
      </c>
      <c r="D237" s="32" t="s">
        <v>603</v>
      </c>
      <c r="E237" s="32" t="s">
        <v>165</v>
      </c>
      <c r="F237" s="32" t="s">
        <v>605</v>
      </c>
      <c r="G237" s="32" t="s">
        <v>39</v>
      </c>
      <c r="H237" s="32" t="s">
        <v>354</v>
      </c>
      <c r="I237" s="31" t="s">
        <v>604</v>
      </c>
      <c r="J237" s="31">
        <v>99</v>
      </c>
      <c r="K237" s="33" t="s">
        <v>956</v>
      </c>
      <c r="L237" s="33" t="s">
        <v>693</v>
      </c>
      <c r="M237" s="34" t="s">
        <v>970</v>
      </c>
      <c r="N237" s="34" t="s">
        <v>1749</v>
      </c>
      <c r="O237" s="35">
        <v>1</v>
      </c>
      <c r="P237" s="35"/>
      <c r="Q237" s="32"/>
      <c r="S237" s="1">
        <f t="shared" si="171"/>
        <v>0</v>
      </c>
      <c r="T237" s="1">
        <f t="shared" si="172"/>
        <v>0</v>
      </c>
      <c r="U237" s="1">
        <f t="shared" si="173"/>
        <v>0</v>
      </c>
      <c r="V237" s="1">
        <f t="shared" si="174"/>
        <v>0</v>
      </c>
      <c r="W237" s="1">
        <f t="shared" si="175"/>
        <v>0</v>
      </c>
      <c r="X237" s="1">
        <f t="shared" si="176"/>
        <v>0</v>
      </c>
      <c r="Y237" s="1">
        <f t="shared" si="177"/>
        <v>0</v>
      </c>
      <c r="Z237" s="1">
        <f t="shared" si="178"/>
        <v>0</v>
      </c>
      <c r="AA237" s="1">
        <f t="shared" si="179"/>
        <v>0</v>
      </c>
      <c r="AB237" s="1">
        <f t="shared" si="180"/>
        <v>0</v>
      </c>
      <c r="AD237" s="1">
        <f t="shared" si="181"/>
        <v>0</v>
      </c>
      <c r="AE237" s="1">
        <f t="shared" si="182"/>
        <v>1</v>
      </c>
      <c r="AF237" s="1">
        <f t="shared" si="167"/>
        <v>0</v>
      </c>
      <c r="AG237" s="1">
        <f t="shared" si="168"/>
        <v>1</v>
      </c>
      <c r="AH237" s="1">
        <f t="shared" si="169"/>
        <v>0</v>
      </c>
      <c r="AI237" s="1">
        <f t="shared" si="170"/>
        <v>1</v>
      </c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1162</v>
      </c>
      <c r="E238" s="32" t="s">
        <v>165</v>
      </c>
      <c r="F238" s="32" t="s">
        <v>1164</v>
      </c>
      <c r="G238" s="32" t="s">
        <v>220</v>
      </c>
      <c r="H238" s="32" t="s">
        <v>354</v>
      </c>
      <c r="I238" s="31" t="s">
        <v>1163</v>
      </c>
      <c r="J238" s="31">
        <v>8</v>
      </c>
      <c r="K238" s="33" t="s">
        <v>702</v>
      </c>
      <c r="L238" s="33" t="s">
        <v>1713</v>
      </c>
      <c r="M238" s="34" t="s">
        <v>1403</v>
      </c>
      <c r="N238" s="34" t="s">
        <v>1748</v>
      </c>
      <c r="O238" s="35">
        <v>1</v>
      </c>
      <c r="P238" s="35"/>
      <c r="Q238" s="32"/>
      <c r="S238" s="1">
        <f t="shared" si="171"/>
        <v>0</v>
      </c>
      <c r="T238" s="1">
        <f t="shared" si="172"/>
        <v>0</v>
      </c>
      <c r="U238" s="1">
        <f t="shared" si="173"/>
        <v>0</v>
      </c>
      <c r="V238" s="1">
        <f t="shared" si="174"/>
        <v>0</v>
      </c>
      <c r="W238" s="1">
        <f t="shared" si="175"/>
        <v>0</v>
      </c>
      <c r="X238" s="1">
        <f t="shared" si="176"/>
        <v>0</v>
      </c>
      <c r="Y238" s="1">
        <f t="shared" si="177"/>
        <v>0</v>
      </c>
      <c r="Z238" s="1">
        <f t="shared" si="178"/>
        <v>1</v>
      </c>
      <c r="AA238" s="1">
        <f t="shared" si="179"/>
        <v>0</v>
      </c>
      <c r="AB238" s="1">
        <f t="shared" si="180"/>
        <v>0</v>
      </c>
      <c r="AD238" s="1">
        <f t="shared" si="181"/>
        <v>0</v>
      </c>
      <c r="AE238" s="1">
        <f t="shared" si="182"/>
        <v>1</v>
      </c>
      <c r="AF238" s="1">
        <f t="shared" si="167"/>
        <v>0</v>
      </c>
      <c r="AG238" s="1">
        <f t="shared" si="168"/>
        <v>1</v>
      </c>
      <c r="AH238" s="1">
        <f t="shared" si="169"/>
        <v>0</v>
      </c>
      <c r="AI238" s="1">
        <f t="shared" si="170"/>
        <v>1</v>
      </c>
    </row>
    <row r="239" spans="1:4094 4097:8191 8194:12288 12291:16384" ht="14.25" customHeight="1" x14ac:dyDescent="0.25">
      <c r="A239" s="31">
        <v>0</v>
      </c>
      <c r="B239" s="31">
        <v>1</v>
      </c>
      <c r="C239" s="31">
        <v>6</v>
      </c>
      <c r="D239" s="32" t="s">
        <v>564</v>
      </c>
      <c r="E239" s="32" t="s">
        <v>167</v>
      </c>
      <c r="F239" s="32" t="s">
        <v>661</v>
      </c>
      <c r="G239" s="32" t="s">
        <v>202</v>
      </c>
      <c r="H239" s="32" t="s">
        <v>354</v>
      </c>
      <c r="I239" s="31" t="s">
        <v>583</v>
      </c>
      <c r="J239" s="31">
        <v>10</v>
      </c>
      <c r="K239" s="33" t="s">
        <v>962</v>
      </c>
      <c r="L239" s="33" t="s">
        <v>693</v>
      </c>
      <c r="M239" s="34" t="s">
        <v>705</v>
      </c>
      <c r="N239" s="34" t="s">
        <v>1748</v>
      </c>
      <c r="O239" s="35">
        <v>1</v>
      </c>
      <c r="P239" s="35"/>
      <c r="Q239" s="36"/>
      <c r="S239" s="1">
        <f t="shared" si="171"/>
        <v>0</v>
      </c>
      <c r="T239" s="1">
        <f t="shared" si="172"/>
        <v>0</v>
      </c>
      <c r="U239" s="1">
        <f t="shared" si="173"/>
        <v>0</v>
      </c>
      <c r="V239" s="1">
        <f t="shared" si="174"/>
        <v>0</v>
      </c>
      <c r="W239" s="1">
        <f t="shared" si="175"/>
        <v>0</v>
      </c>
      <c r="X239" s="1">
        <f t="shared" si="176"/>
        <v>0</v>
      </c>
      <c r="Y239" s="1">
        <f t="shared" si="177"/>
        <v>0</v>
      </c>
      <c r="Z239" s="1">
        <f t="shared" si="178"/>
        <v>0</v>
      </c>
      <c r="AA239" s="1">
        <f t="shared" si="179"/>
        <v>0</v>
      </c>
      <c r="AB239" s="1">
        <f t="shared" si="180"/>
        <v>1</v>
      </c>
      <c r="AD239" s="1">
        <f t="shared" si="181"/>
        <v>0</v>
      </c>
      <c r="AE239" s="1">
        <f t="shared" si="182"/>
        <v>1</v>
      </c>
      <c r="AF239" s="1">
        <f t="shared" si="167"/>
        <v>0</v>
      </c>
      <c r="AG239" s="1">
        <f t="shared" si="168"/>
        <v>1</v>
      </c>
      <c r="AH239" s="1">
        <f t="shared" si="169"/>
        <v>0</v>
      </c>
      <c r="AI239" s="1">
        <f t="shared" si="170"/>
        <v>1</v>
      </c>
    </row>
    <row r="240" spans="1:4094 4097:8191 8194:12288 12291:16384" ht="14.25" customHeight="1" x14ac:dyDescent="0.25">
      <c r="A240" s="44">
        <v>0</v>
      </c>
      <c r="B240" s="44">
        <v>1</v>
      </c>
      <c r="C240" s="44">
        <v>6</v>
      </c>
      <c r="D240" s="45" t="s">
        <v>897</v>
      </c>
      <c r="E240" s="45" t="s">
        <v>167</v>
      </c>
      <c r="F240" s="45" t="s">
        <v>938</v>
      </c>
      <c r="G240" s="45" t="s">
        <v>939</v>
      </c>
      <c r="H240" s="45" t="s">
        <v>354</v>
      </c>
      <c r="I240" s="44" t="s">
        <v>953</v>
      </c>
      <c r="J240" s="44">
        <v>99</v>
      </c>
      <c r="K240" s="46" t="s">
        <v>702</v>
      </c>
      <c r="L240" s="46" t="s">
        <v>689</v>
      </c>
      <c r="M240" s="47" t="s">
        <v>1404</v>
      </c>
      <c r="N240" s="47" t="s">
        <v>1738</v>
      </c>
      <c r="O240" s="48"/>
      <c r="P240" s="48"/>
      <c r="Q240" s="45"/>
      <c r="S240" s="1">
        <f t="shared" si="171"/>
        <v>0</v>
      </c>
      <c r="T240" s="1">
        <f t="shared" si="172"/>
        <v>0</v>
      </c>
      <c r="U240" s="1">
        <f t="shared" si="173"/>
        <v>0</v>
      </c>
      <c r="V240" s="1">
        <f t="shared" si="174"/>
        <v>0</v>
      </c>
      <c r="W240" s="1">
        <f t="shared" si="175"/>
        <v>0</v>
      </c>
      <c r="X240" s="1">
        <f t="shared" si="176"/>
        <v>0</v>
      </c>
      <c r="Y240" s="1">
        <f t="shared" si="177"/>
        <v>0</v>
      </c>
      <c r="Z240" s="1">
        <f t="shared" si="178"/>
        <v>0</v>
      </c>
      <c r="AA240" s="1">
        <f t="shared" si="179"/>
        <v>0</v>
      </c>
      <c r="AB240" s="1">
        <f t="shared" si="180"/>
        <v>0</v>
      </c>
      <c r="AD240" s="1">
        <f t="shared" si="181"/>
        <v>0</v>
      </c>
      <c r="AE240" s="1">
        <f t="shared" si="182"/>
        <v>0</v>
      </c>
      <c r="AF240" s="1">
        <f t="shared" si="167"/>
        <v>0</v>
      </c>
      <c r="AG240" s="1">
        <f t="shared" si="168"/>
        <v>0</v>
      </c>
      <c r="AH240" s="1">
        <f t="shared" si="169"/>
        <v>0</v>
      </c>
      <c r="AI240" s="1">
        <f t="shared" si="170"/>
        <v>1</v>
      </c>
    </row>
    <row r="241" spans="1:35" ht="14.25" customHeight="1" x14ac:dyDescent="0.25">
      <c r="A241" s="31">
        <v>0</v>
      </c>
      <c r="B241" s="31">
        <v>1</v>
      </c>
      <c r="C241" s="31">
        <v>6</v>
      </c>
      <c r="D241" s="32" t="s">
        <v>100</v>
      </c>
      <c r="E241" s="32" t="s">
        <v>167</v>
      </c>
      <c r="F241" s="32" t="s">
        <v>662</v>
      </c>
      <c r="G241" s="32" t="s">
        <v>664</v>
      </c>
      <c r="H241" s="32" t="s">
        <v>354</v>
      </c>
      <c r="I241" s="31" t="s">
        <v>447</v>
      </c>
      <c r="J241" s="31">
        <v>99</v>
      </c>
      <c r="K241" s="33" t="s">
        <v>722</v>
      </c>
      <c r="L241" s="33" t="s">
        <v>696</v>
      </c>
      <c r="M241" s="34" t="s">
        <v>707</v>
      </c>
      <c r="N241" s="34" t="s">
        <v>1749</v>
      </c>
      <c r="O241" s="35">
        <v>1</v>
      </c>
      <c r="P241" s="35"/>
      <c r="Q241" s="32"/>
      <c r="S241" s="1">
        <f t="shared" si="171"/>
        <v>0</v>
      </c>
      <c r="T241" s="1">
        <f t="shared" si="172"/>
        <v>0</v>
      </c>
      <c r="U241" s="1">
        <f t="shared" si="173"/>
        <v>0</v>
      </c>
      <c r="V241" s="1">
        <f t="shared" si="174"/>
        <v>0</v>
      </c>
      <c r="W241" s="1">
        <f t="shared" si="175"/>
        <v>0</v>
      </c>
      <c r="X241" s="1">
        <f t="shared" si="176"/>
        <v>0</v>
      </c>
      <c r="Y241" s="1">
        <f t="shared" si="177"/>
        <v>0</v>
      </c>
      <c r="Z241" s="1">
        <f t="shared" si="178"/>
        <v>0</v>
      </c>
      <c r="AA241" s="1">
        <f t="shared" si="179"/>
        <v>0</v>
      </c>
      <c r="AB241" s="1">
        <f t="shared" si="180"/>
        <v>0</v>
      </c>
      <c r="AD241" s="1">
        <f t="shared" si="181"/>
        <v>0</v>
      </c>
      <c r="AE241" s="1">
        <f t="shared" si="182"/>
        <v>1</v>
      </c>
      <c r="AF241" s="1">
        <f t="shared" si="167"/>
        <v>0</v>
      </c>
      <c r="AG241" s="1">
        <f t="shared" si="168"/>
        <v>1</v>
      </c>
      <c r="AH241" s="1">
        <f t="shared" si="169"/>
        <v>0</v>
      </c>
      <c r="AI241" s="1">
        <f t="shared" si="170"/>
        <v>1</v>
      </c>
    </row>
    <row r="242" spans="1:35" ht="14.25" customHeight="1" x14ac:dyDescent="0.25">
      <c r="A242" s="38">
        <v>0</v>
      </c>
      <c r="B242" s="38">
        <v>1</v>
      </c>
      <c r="C242" s="38">
        <v>7</v>
      </c>
      <c r="D242" s="39" t="s">
        <v>86</v>
      </c>
      <c r="E242" s="39" t="s">
        <v>29</v>
      </c>
      <c r="F242" s="39" t="s">
        <v>663</v>
      </c>
      <c r="G242" s="39" t="s">
        <v>664</v>
      </c>
      <c r="H242" s="39" t="s">
        <v>354</v>
      </c>
      <c r="I242" s="38" t="s">
        <v>631</v>
      </c>
      <c r="J242" s="38">
        <v>99</v>
      </c>
      <c r="K242" s="40" t="s">
        <v>954</v>
      </c>
      <c r="L242" s="40" t="s">
        <v>693</v>
      </c>
      <c r="M242" s="41" t="s">
        <v>1405</v>
      </c>
      <c r="N242" s="42"/>
      <c r="O242" s="43"/>
      <c r="P242" s="43">
        <v>1</v>
      </c>
      <c r="Q242" s="39"/>
      <c r="S242" s="1">
        <f t="shared" si="171"/>
        <v>0</v>
      </c>
      <c r="T242" s="1">
        <f t="shared" si="172"/>
        <v>0</v>
      </c>
      <c r="U242" s="1">
        <f t="shared" si="173"/>
        <v>0</v>
      </c>
      <c r="V242" s="1">
        <f t="shared" si="174"/>
        <v>0</v>
      </c>
      <c r="W242" s="1">
        <f t="shared" si="175"/>
        <v>0</v>
      </c>
      <c r="X242" s="1">
        <f t="shared" si="176"/>
        <v>0</v>
      </c>
      <c r="Y242" s="1">
        <f t="shared" si="177"/>
        <v>0</v>
      </c>
      <c r="Z242" s="1">
        <f t="shared" si="178"/>
        <v>0</v>
      </c>
      <c r="AA242" s="1">
        <f t="shared" si="179"/>
        <v>0</v>
      </c>
      <c r="AB242" s="1">
        <f t="shared" si="180"/>
        <v>0</v>
      </c>
      <c r="AD242" s="1">
        <f t="shared" si="181"/>
        <v>0</v>
      </c>
      <c r="AE242" s="1">
        <f t="shared" si="182"/>
        <v>0</v>
      </c>
      <c r="AF242" s="1">
        <f t="shared" si="167"/>
        <v>0</v>
      </c>
      <c r="AG242" s="1">
        <f t="shared" si="168"/>
        <v>0</v>
      </c>
      <c r="AH242" s="1">
        <f t="shared" si="169"/>
        <v>1</v>
      </c>
      <c r="AI242" s="1">
        <f t="shared" si="170"/>
        <v>0</v>
      </c>
    </row>
    <row r="243" spans="1:35" ht="14.25" customHeight="1" x14ac:dyDescent="0.25">
      <c r="A243" s="31">
        <v>0</v>
      </c>
      <c r="B243" s="31">
        <v>1</v>
      </c>
      <c r="C243" s="31">
        <v>7</v>
      </c>
      <c r="D243" s="32" t="s">
        <v>650</v>
      </c>
      <c r="E243" s="32" t="s">
        <v>29</v>
      </c>
      <c r="F243" s="32" t="s">
        <v>626</v>
      </c>
      <c r="G243" s="32" t="s">
        <v>232</v>
      </c>
      <c r="H243" s="32" t="s">
        <v>354</v>
      </c>
      <c r="I243" s="31" t="s">
        <v>627</v>
      </c>
      <c r="J243" s="31">
        <v>99</v>
      </c>
      <c r="K243" s="33" t="s">
        <v>713</v>
      </c>
      <c r="L243" s="33" t="s">
        <v>696</v>
      </c>
      <c r="M243" s="34" t="s">
        <v>973</v>
      </c>
      <c r="N243" s="34" t="s">
        <v>1849</v>
      </c>
      <c r="O243" s="35">
        <v>1</v>
      </c>
      <c r="P243" s="35"/>
      <c r="Q243" s="32"/>
      <c r="S243" s="1">
        <f t="shared" si="171"/>
        <v>0</v>
      </c>
      <c r="T243" s="1">
        <f t="shared" si="172"/>
        <v>0</v>
      </c>
      <c r="U243" s="1">
        <f t="shared" si="173"/>
        <v>0</v>
      </c>
      <c r="V243" s="1">
        <f t="shared" si="174"/>
        <v>0</v>
      </c>
      <c r="W243" s="1">
        <f t="shared" si="175"/>
        <v>0</v>
      </c>
      <c r="X243" s="1">
        <f t="shared" si="176"/>
        <v>0</v>
      </c>
      <c r="Y243" s="1">
        <f t="shared" si="177"/>
        <v>0</v>
      </c>
      <c r="Z243" s="1">
        <f t="shared" si="178"/>
        <v>0</v>
      </c>
      <c r="AA243" s="1">
        <f t="shared" si="179"/>
        <v>0</v>
      </c>
      <c r="AB243" s="1">
        <f t="shared" si="180"/>
        <v>0</v>
      </c>
      <c r="AD243" s="1">
        <f t="shared" si="181"/>
        <v>0</v>
      </c>
      <c r="AE243" s="1">
        <f t="shared" si="182"/>
        <v>1</v>
      </c>
      <c r="AF243" s="1">
        <f t="shared" si="167"/>
        <v>0</v>
      </c>
      <c r="AG243" s="1">
        <f t="shared" si="168"/>
        <v>1</v>
      </c>
      <c r="AH243" s="1">
        <f t="shared" si="169"/>
        <v>0</v>
      </c>
      <c r="AI243" s="1">
        <f t="shared" si="170"/>
        <v>1</v>
      </c>
    </row>
    <row r="244" spans="1:35" ht="14.25" customHeight="1" x14ac:dyDescent="0.25">
      <c r="A244" s="15">
        <v>0</v>
      </c>
      <c r="B244" s="15">
        <v>1</v>
      </c>
      <c r="C244" s="15">
        <v>7</v>
      </c>
      <c r="D244" s="16" t="s">
        <v>983</v>
      </c>
      <c r="E244" s="16" t="s">
        <v>29</v>
      </c>
      <c r="F244" s="16" t="s">
        <v>984</v>
      </c>
      <c r="G244" s="16" t="s">
        <v>985</v>
      </c>
      <c r="H244" s="16" t="s">
        <v>354</v>
      </c>
      <c r="I244" s="15" t="s">
        <v>982</v>
      </c>
      <c r="J244" s="15">
        <v>99</v>
      </c>
      <c r="K244" s="10" t="s">
        <v>703</v>
      </c>
      <c r="L244" s="10">
        <v>20</v>
      </c>
      <c r="M244" s="19" t="s">
        <v>973</v>
      </c>
      <c r="N244" s="19"/>
      <c r="Q244" s="16"/>
      <c r="S244" s="1">
        <f t="shared" si="171"/>
        <v>0</v>
      </c>
      <c r="T244" s="1">
        <f t="shared" si="172"/>
        <v>0</v>
      </c>
      <c r="U244" s="1">
        <f t="shared" si="173"/>
        <v>0</v>
      </c>
      <c r="V244" s="1">
        <f t="shared" si="174"/>
        <v>0</v>
      </c>
      <c r="W244" s="1">
        <f t="shared" si="175"/>
        <v>0</v>
      </c>
      <c r="X244" s="1">
        <f t="shared" si="176"/>
        <v>0</v>
      </c>
      <c r="Y244" s="1">
        <f t="shared" si="177"/>
        <v>0</v>
      </c>
      <c r="Z244" s="1">
        <f t="shared" si="178"/>
        <v>0</v>
      </c>
      <c r="AA244" s="1">
        <f t="shared" si="179"/>
        <v>0</v>
      </c>
      <c r="AB244" s="1">
        <f t="shared" si="180"/>
        <v>0</v>
      </c>
      <c r="AD244" s="1">
        <f t="shared" si="181"/>
        <v>0</v>
      </c>
      <c r="AE244" s="1">
        <f t="shared" si="182"/>
        <v>0</v>
      </c>
      <c r="AF244" s="1">
        <f t="shared" si="167"/>
        <v>0</v>
      </c>
      <c r="AG244" s="1">
        <f t="shared" si="168"/>
        <v>0</v>
      </c>
      <c r="AH244" s="1">
        <f t="shared" si="169"/>
        <v>0</v>
      </c>
      <c r="AI244" s="1">
        <f t="shared" si="170"/>
        <v>1</v>
      </c>
    </row>
    <row r="245" spans="1:35" ht="14.25" customHeight="1" x14ac:dyDescent="0.25">
      <c r="A245" s="38">
        <v>0</v>
      </c>
      <c r="B245" s="38">
        <v>1</v>
      </c>
      <c r="C245" s="38">
        <v>7</v>
      </c>
      <c r="D245" s="39" t="s">
        <v>591</v>
      </c>
      <c r="E245" s="39" t="s">
        <v>29</v>
      </c>
      <c r="F245" s="39" t="s">
        <v>592</v>
      </c>
      <c r="G245" s="39" t="s">
        <v>1073</v>
      </c>
      <c r="H245" s="39" t="s">
        <v>354</v>
      </c>
      <c r="I245" s="38" t="s">
        <v>593</v>
      </c>
      <c r="J245" s="38">
        <v>99</v>
      </c>
      <c r="K245" s="40" t="s">
        <v>703</v>
      </c>
      <c r="L245" s="40">
        <v>35</v>
      </c>
      <c r="M245" s="41" t="s">
        <v>1405</v>
      </c>
      <c r="N245" s="41"/>
      <c r="O245" s="43"/>
      <c r="P245" s="43">
        <v>1</v>
      </c>
      <c r="Q245" s="39"/>
      <c r="S245" s="1">
        <f t="shared" si="171"/>
        <v>0</v>
      </c>
      <c r="T245" s="1">
        <f t="shared" si="172"/>
        <v>0</v>
      </c>
      <c r="U245" s="1">
        <f t="shared" si="173"/>
        <v>0</v>
      </c>
      <c r="V245" s="1">
        <f t="shared" si="174"/>
        <v>0</v>
      </c>
      <c r="W245" s="1">
        <f t="shared" si="175"/>
        <v>0</v>
      </c>
      <c r="X245" s="1">
        <f t="shared" si="176"/>
        <v>0</v>
      </c>
      <c r="Y245" s="1">
        <f t="shared" si="177"/>
        <v>0</v>
      </c>
      <c r="Z245" s="1">
        <f t="shared" si="178"/>
        <v>0</v>
      </c>
      <c r="AA245" s="1">
        <f t="shared" si="179"/>
        <v>0</v>
      </c>
      <c r="AB245" s="1">
        <f t="shared" si="180"/>
        <v>0</v>
      </c>
      <c r="AD245" s="1">
        <f t="shared" si="181"/>
        <v>0</v>
      </c>
      <c r="AE245" s="1">
        <f t="shared" si="182"/>
        <v>0</v>
      </c>
      <c r="AF245" s="1">
        <f t="shared" si="167"/>
        <v>0</v>
      </c>
      <c r="AG245" s="1">
        <f t="shared" si="168"/>
        <v>0</v>
      </c>
      <c r="AH245" s="1">
        <f t="shared" si="169"/>
        <v>1</v>
      </c>
      <c r="AI245" s="1">
        <f t="shared" si="170"/>
        <v>0</v>
      </c>
    </row>
    <row r="246" spans="1:35" ht="14.25" customHeight="1" x14ac:dyDescent="0.25">
      <c r="A246" s="31">
        <v>0</v>
      </c>
      <c r="B246" s="31">
        <v>1</v>
      </c>
      <c r="C246" s="31">
        <v>7</v>
      </c>
      <c r="D246" s="32" t="s">
        <v>1627</v>
      </c>
      <c r="E246" s="32" t="s">
        <v>29</v>
      </c>
      <c r="F246" s="32" t="s">
        <v>1682</v>
      </c>
      <c r="G246" s="32" t="s">
        <v>312</v>
      </c>
      <c r="H246" s="32" t="s">
        <v>354</v>
      </c>
      <c r="I246" s="31" t="s">
        <v>1628</v>
      </c>
      <c r="J246" s="31"/>
      <c r="K246" s="33" t="s">
        <v>713</v>
      </c>
      <c r="L246" s="33">
        <v>45</v>
      </c>
      <c r="M246" s="34" t="s">
        <v>1800</v>
      </c>
      <c r="N246" s="34" t="s">
        <v>1733</v>
      </c>
      <c r="O246" s="35">
        <v>1</v>
      </c>
      <c r="P246" s="35">
        <v>1</v>
      </c>
      <c r="Q246" s="32"/>
      <c r="S246" s="1">
        <f t="shared" si="171"/>
        <v>0</v>
      </c>
      <c r="T246" s="1">
        <f t="shared" si="172"/>
        <v>0</v>
      </c>
      <c r="U246" s="1">
        <f t="shared" si="173"/>
        <v>0</v>
      </c>
      <c r="V246" s="1">
        <f t="shared" si="174"/>
        <v>0</v>
      </c>
      <c r="W246" s="1">
        <f t="shared" si="175"/>
        <v>0</v>
      </c>
      <c r="X246" s="1">
        <f t="shared" si="176"/>
        <v>0</v>
      </c>
      <c r="Y246" s="1">
        <f t="shared" si="177"/>
        <v>0</v>
      </c>
      <c r="Z246" s="1">
        <f t="shared" si="178"/>
        <v>0</v>
      </c>
      <c r="AA246" s="1">
        <f t="shared" si="179"/>
        <v>0</v>
      </c>
      <c r="AB246" s="1">
        <f t="shared" si="180"/>
        <v>0</v>
      </c>
      <c r="AD246" s="1">
        <f t="shared" si="181"/>
        <v>1</v>
      </c>
      <c r="AE246" s="1">
        <f t="shared" si="182"/>
        <v>0</v>
      </c>
      <c r="AF246" s="1">
        <f t="shared" si="167"/>
        <v>1</v>
      </c>
      <c r="AG246" s="1">
        <f t="shared" si="168"/>
        <v>0</v>
      </c>
      <c r="AH246" s="1">
        <f t="shared" si="169"/>
        <v>1</v>
      </c>
      <c r="AI246" s="1">
        <f t="shared" si="170"/>
        <v>0</v>
      </c>
    </row>
    <row r="247" spans="1:35" ht="14.25" customHeight="1" x14ac:dyDescent="0.25">
      <c r="A247" s="31">
        <v>0</v>
      </c>
      <c r="B247" s="31">
        <v>1</v>
      </c>
      <c r="C247" s="31">
        <v>7</v>
      </c>
      <c r="D247" s="32" t="s">
        <v>859</v>
      </c>
      <c r="E247" s="32" t="s">
        <v>29</v>
      </c>
      <c r="F247" s="32" t="s">
        <v>860</v>
      </c>
      <c r="G247" s="32" t="s">
        <v>202</v>
      </c>
      <c r="H247" s="32" t="s">
        <v>354</v>
      </c>
      <c r="I247" s="31" t="s">
        <v>861</v>
      </c>
      <c r="J247" s="31">
        <v>10</v>
      </c>
      <c r="K247" s="33" t="s">
        <v>713</v>
      </c>
      <c r="L247" s="33" t="s">
        <v>693</v>
      </c>
      <c r="M247" s="34" t="s">
        <v>1405</v>
      </c>
      <c r="N247" s="34" t="s">
        <v>1755</v>
      </c>
      <c r="O247" s="35">
        <v>1</v>
      </c>
      <c r="P247" s="35"/>
      <c r="Q247" s="32"/>
      <c r="S247" s="1">
        <f t="shared" si="171"/>
        <v>0</v>
      </c>
      <c r="T247" s="1">
        <f t="shared" si="172"/>
        <v>0</v>
      </c>
      <c r="U247" s="1">
        <f t="shared" si="173"/>
        <v>0</v>
      </c>
      <c r="V247" s="1">
        <f t="shared" si="174"/>
        <v>0</v>
      </c>
      <c r="W247" s="1">
        <f t="shared" si="175"/>
        <v>0</v>
      </c>
      <c r="X247" s="1">
        <f t="shared" si="176"/>
        <v>0</v>
      </c>
      <c r="Y247" s="1">
        <f t="shared" si="177"/>
        <v>0</v>
      </c>
      <c r="Z247" s="1">
        <f t="shared" si="178"/>
        <v>0</v>
      </c>
      <c r="AA247" s="1">
        <f t="shared" si="179"/>
        <v>0</v>
      </c>
      <c r="AB247" s="1">
        <f t="shared" si="180"/>
        <v>1</v>
      </c>
      <c r="AD247" s="1">
        <f t="shared" si="181"/>
        <v>0</v>
      </c>
      <c r="AE247" s="1">
        <f t="shared" si="182"/>
        <v>1</v>
      </c>
      <c r="AF247" s="1">
        <f t="shared" si="167"/>
        <v>0</v>
      </c>
      <c r="AG247" s="1">
        <f t="shared" si="168"/>
        <v>1</v>
      </c>
      <c r="AH247" s="1">
        <f t="shared" si="169"/>
        <v>0</v>
      </c>
      <c r="AI247" s="1">
        <f t="shared" si="170"/>
        <v>1</v>
      </c>
    </row>
    <row r="248" spans="1:35" ht="14.25" customHeight="1" x14ac:dyDescent="0.25">
      <c r="A248" s="31">
        <v>0</v>
      </c>
      <c r="B248" s="31">
        <v>1</v>
      </c>
      <c r="C248" s="31">
        <v>7</v>
      </c>
      <c r="D248" s="32" t="s">
        <v>40</v>
      </c>
      <c r="E248" s="32" t="s">
        <v>29</v>
      </c>
      <c r="F248" s="32" t="s">
        <v>280</v>
      </c>
      <c r="G248" s="32" t="s">
        <v>230</v>
      </c>
      <c r="H248" s="32" t="s">
        <v>354</v>
      </c>
      <c r="I248" s="31" t="s">
        <v>435</v>
      </c>
      <c r="J248" s="31">
        <v>7</v>
      </c>
      <c r="K248" s="33" t="s">
        <v>713</v>
      </c>
      <c r="L248" s="33" t="s">
        <v>696</v>
      </c>
      <c r="M248" s="34" t="s">
        <v>973</v>
      </c>
      <c r="N248" s="34" t="s">
        <v>1727</v>
      </c>
      <c r="O248" s="35">
        <v>1</v>
      </c>
      <c r="P248" s="35">
        <v>1</v>
      </c>
      <c r="Q248" s="32"/>
      <c r="S248" s="1">
        <f t="shared" si="171"/>
        <v>0</v>
      </c>
      <c r="T248" s="1">
        <f t="shared" si="172"/>
        <v>0</v>
      </c>
      <c r="U248" s="1">
        <f t="shared" si="173"/>
        <v>0</v>
      </c>
      <c r="V248" s="1">
        <f t="shared" si="174"/>
        <v>0</v>
      </c>
      <c r="W248" s="1">
        <f t="shared" si="175"/>
        <v>0</v>
      </c>
      <c r="X248" s="1">
        <f t="shared" si="176"/>
        <v>0</v>
      </c>
      <c r="Y248" s="1">
        <f t="shared" si="177"/>
        <v>1</v>
      </c>
      <c r="Z248" s="1">
        <f t="shared" si="178"/>
        <v>0</v>
      </c>
      <c r="AA248" s="1">
        <f t="shared" si="179"/>
        <v>0</v>
      </c>
      <c r="AB248" s="1">
        <f t="shared" si="180"/>
        <v>0</v>
      </c>
      <c r="AD248" s="1">
        <f t="shared" si="181"/>
        <v>1</v>
      </c>
      <c r="AE248" s="1">
        <f t="shared" si="182"/>
        <v>0</v>
      </c>
      <c r="AF248" s="1">
        <f t="shared" si="167"/>
        <v>1</v>
      </c>
      <c r="AG248" s="1">
        <f t="shared" si="168"/>
        <v>0</v>
      </c>
      <c r="AH248" s="1">
        <f t="shared" si="169"/>
        <v>1</v>
      </c>
      <c r="AI248" s="1">
        <f t="shared" si="170"/>
        <v>0</v>
      </c>
    </row>
    <row r="249" spans="1:35" ht="14.25" customHeight="1" x14ac:dyDescent="0.25">
      <c r="A249" s="31">
        <v>1</v>
      </c>
      <c r="B249" s="31">
        <v>1</v>
      </c>
      <c r="C249" s="31">
        <v>7</v>
      </c>
      <c r="D249" s="32" t="s">
        <v>40</v>
      </c>
      <c r="E249" s="32" t="s">
        <v>29</v>
      </c>
      <c r="F249" s="32" t="s">
        <v>1601</v>
      </c>
      <c r="G249" s="32" t="s">
        <v>39</v>
      </c>
      <c r="H249" s="32" t="s">
        <v>354</v>
      </c>
      <c r="I249" s="31" t="s">
        <v>1602</v>
      </c>
      <c r="J249" s="31">
        <v>99</v>
      </c>
      <c r="K249" s="33" t="s">
        <v>713</v>
      </c>
      <c r="L249" s="33" t="s">
        <v>696</v>
      </c>
      <c r="M249" s="34" t="s">
        <v>973</v>
      </c>
      <c r="N249" s="34" t="s">
        <v>1727</v>
      </c>
      <c r="O249" s="35">
        <v>1</v>
      </c>
      <c r="P249" s="35">
        <v>1</v>
      </c>
      <c r="Q249" s="32"/>
      <c r="S249" s="1">
        <f t="shared" si="171"/>
        <v>0</v>
      </c>
      <c r="T249" s="1">
        <f t="shared" si="172"/>
        <v>0</v>
      </c>
      <c r="U249" s="1">
        <f t="shared" si="173"/>
        <v>0</v>
      </c>
      <c r="V249" s="1">
        <f t="shared" si="174"/>
        <v>0</v>
      </c>
      <c r="W249" s="1">
        <f t="shared" si="175"/>
        <v>0</v>
      </c>
      <c r="X249" s="1">
        <f t="shared" si="176"/>
        <v>0</v>
      </c>
      <c r="Y249" s="1">
        <f t="shared" si="177"/>
        <v>0</v>
      </c>
      <c r="Z249" s="1">
        <f t="shared" si="178"/>
        <v>0</v>
      </c>
      <c r="AA249" s="1">
        <f t="shared" si="179"/>
        <v>0</v>
      </c>
      <c r="AB249" s="1">
        <f t="shared" si="180"/>
        <v>0</v>
      </c>
      <c r="AD249" s="1">
        <f t="shared" si="181"/>
        <v>1</v>
      </c>
      <c r="AE249" s="1">
        <f t="shared" si="182"/>
        <v>0</v>
      </c>
      <c r="AF249" s="1">
        <f t="shared" si="167"/>
        <v>0</v>
      </c>
      <c r="AG249" s="1">
        <f t="shared" si="168"/>
        <v>0</v>
      </c>
      <c r="AH249" s="1">
        <f t="shared" si="169"/>
        <v>0</v>
      </c>
      <c r="AI249" s="1">
        <f t="shared" si="170"/>
        <v>0</v>
      </c>
    </row>
    <row r="250" spans="1:35" ht="14.25" customHeight="1" x14ac:dyDescent="0.25">
      <c r="A250" s="49">
        <v>0</v>
      </c>
      <c r="B250" s="49">
        <v>1</v>
      </c>
      <c r="C250" s="49">
        <v>7</v>
      </c>
      <c r="D250" s="55" t="s">
        <v>1484</v>
      </c>
      <c r="E250" s="50" t="s">
        <v>29</v>
      </c>
      <c r="F250" s="55" t="s">
        <v>1004</v>
      </c>
      <c r="G250" s="55" t="s">
        <v>1102</v>
      </c>
      <c r="H250" s="55" t="s">
        <v>354</v>
      </c>
      <c r="I250" s="63" t="s">
        <v>1110</v>
      </c>
      <c r="J250" s="49">
        <v>10</v>
      </c>
      <c r="K250" s="51" t="s">
        <v>713</v>
      </c>
      <c r="L250" s="51" t="s">
        <v>694</v>
      </c>
      <c r="M250" s="52" t="s">
        <v>973</v>
      </c>
      <c r="N250" s="52" t="s">
        <v>1743</v>
      </c>
      <c r="O250" s="53">
        <v>1</v>
      </c>
      <c r="P250" s="53"/>
      <c r="Q250" s="55"/>
      <c r="S250" s="1">
        <f t="shared" si="171"/>
        <v>0</v>
      </c>
      <c r="T250" s="1">
        <f t="shared" si="172"/>
        <v>0</v>
      </c>
      <c r="U250" s="1">
        <f t="shared" si="173"/>
        <v>0</v>
      </c>
      <c r="V250" s="1">
        <f t="shared" si="174"/>
        <v>0</v>
      </c>
      <c r="W250" s="1">
        <f t="shared" si="175"/>
        <v>0</v>
      </c>
      <c r="X250" s="1">
        <f t="shared" si="176"/>
        <v>0</v>
      </c>
      <c r="Y250" s="1">
        <f t="shared" si="177"/>
        <v>0</v>
      </c>
      <c r="Z250" s="1">
        <f t="shared" si="178"/>
        <v>0</v>
      </c>
      <c r="AA250" s="1">
        <f t="shared" si="179"/>
        <v>0</v>
      </c>
      <c r="AB250" s="1">
        <f t="shared" si="180"/>
        <v>1</v>
      </c>
      <c r="AD250" s="1">
        <f t="shared" si="181"/>
        <v>0</v>
      </c>
      <c r="AE250" s="1">
        <f t="shared" si="182"/>
        <v>1</v>
      </c>
      <c r="AF250" s="1">
        <f t="shared" si="167"/>
        <v>0</v>
      </c>
      <c r="AG250" s="1">
        <f t="shared" si="168"/>
        <v>1</v>
      </c>
      <c r="AH250" s="1">
        <f t="shared" si="169"/>
        <v>0</v>
      </c>
      <c r="AI250" s="1">
        <f t="shared" si="170"/>
        <v>1</v>
      </c>
    </row>
    <row r="251" spans="1:35" ht="14.25" customHeight="1" x14ac:dyDescent="0.25">
      <c r="A251" s="31">
        <v>0</v>
      </c>
      <c r="B251" s="31">
        <v>1</v>
      </c>
      <c r="C251" s="31">
        <v>7</v>
      </c>
      <c r="D251" s="36" t="s">
        <v>1485</v>
      </c>
      <c r="E251" s="32" t="s">
        <v>29</v>
      </c>
      <c r="F251" s="36" t="s">
        <v>1002</v>
      </c>
      <c r="G251" s="36" t="s">
        <v>240</v>
      </c>
      <c r="H251" s="36" t="s">
        <v>354</v>
      </c>
      <c r="I251" s="37" t="s">
        <v>1003</v>
      </c>
      <c r="J251" s="31">
        <v>1</v>
      </c>
      <c r="K251" s="33" t="s">
        <v>961</v>
      </c>
      <c r="L251" s="33" t="s">
        <v>694</v>
      </c>
      <c r="M251" s="34" t="s">
        <v>973</v>
      </c>
      <c r="N251" s="34" t="s">
        <v>1801</v>
      </c>
      <c r="O251" s="35">
        <v>1</v>
      </c>
      <c r="P251" s="35"/>
      <c r="Q251" s="36"/>
      <c r="S251" s="1">
        <f t="shared" si="171"/>
        <v>1</v>
      </c>
      <c r="T251" s="1">
        <f t="shared" si="172"/>
        <v>0</v>
      </c>
      <c r="U251" s="1">
        <f t="shared" si="173"/>
        <v>0</v>
      </c>
      <c r="V251" s="1">
        <f t="shared" si="174"/>
        <v>0</v>
      </c>
      <c r="W251" s="1">
        <f t="shared" si="175"/>
        <v>0</v>
      </c>
      <c r="X251" s="1">
        <f t="shared" si="176"/>
        <v>0</v>
      </c>
      <c r="Y251" s="1">
        <f t="shared" si="177"/>
        <v>0</v>
      </c>
      <c r="Z251" s="1">
        <f t="shared" si="178"/>
        <v>0</v>
      </c>
      <c r="AA251" s="1">
        <f t="shared" si="179"/>
        <v>0</v>
      </c>
      <c r="AB251" s="1">
        <f t="shared" si="180"/>
        <v>0</v>
      </c>
      <c r="AD251" s="1">
        <f t="shared" si="181"/>
        <v>0</v>
      </c>
      <c r="AE251" s="1">
        <f t="shared" si="182"/>
        <v>1</v>
      </c>
      <c r="AF251" s="1">
        <f t="shared" si="167"/>
        <v>0</v>
      </c>
      <c r="AG251" s="1">
        <f t="shared" si="168"/>
        <v>1</v>
      </c>
      <c r="AH251" s="1">
        <f t="shared" si="169"/>
        <v>0</v>
      </c>
      <c r="AI251" s="1">
        <f t="shared" si="170"/>
        <v>1</v>
      </c>
    </row>
    <row r="252" spans="1:35" ht="14.25" customHeight="1" x14ac:dyDescent="0.25">
      <c r="A252" s="44">
        <v>0</v>
      </c>
      <c r="B252" s="44">
        <v>1</v>
      </c>
      <c r="C252" s="44">
        <v>7</v>
      </c>
      <c r="D252" s="45" t="s">
        <v>898</v>
      </c>
      <c r="E252" s="45" t="s">
        <v>29</v>
      </c>
      <c r="F252" s="45" t="s">
        <v>899</v>
      </c>
      <c r="G252" s="45" t="s">
        <v>39</v>
      </c>
      <c r="H252" s="45" t="s">
        <v>355</v>
      </c>
      <c r="I252" s="44" t="s">
        <v>900</v>
      </c>
      <c r="J252" s="44">
        <v>11</v>
      </c>
      <c r="K252" s="46" t="s">
        <v>703</v>
      </c>
      <c r="L252" s="46">
        <v>35</v>
      </c>
      <c r="M252" s="47" t="s">
        <v>1405</v>
      </c>
      <c r="N252" s="47" t="s">
        <v>1747</v>
      </c>
      <c r="O252" s="48"/>
      <c r="P252" s="48"/>
      <c r="Q252" s="65" t="s">
        <v>1903</v>
      </c>
      <c r="S252" s="1">
        <f t="shared" si="171"/>
        <v>0</v>
      </c>
      <c r="T252" s="1">
        <f t="shared" si="172"/>
        <v>0</v>
      </c>
      <c r="U252" s="1">
        <f t="shared" si="173"/>
        <v>0</v>
      </c>
      <c r="V252" s="1">
        <f t="shared" si="174"/>
        <v>0</v>
      </c>
      <c r="W252" s="1">
        <f t="shared" si="175"/>
        <v>0</v>
      </c>
      <c r="X252" s="1">
        <f t="shared" si="176"/>
        <v>0</v>
      </c>
      <c r="Y252" s="1">
        <f t="shared" si="177"/>
        <v>0</v>
      </c>
      <c r="Z252" s="1">
        <f t="shared" si="178"/>
        <v>0</v>
      </c>
      <c r="AA252" s="1">
        <f t="shared" si="179"/>
        <v>0</v>
      </c>
      <c r="AB252" s="1">
        <f t="shared" si="180"/>
        <v>0</v>
      </c>
      <c r="AD252" s="1">
        <f t="shared" si="181"/>
        <v>0</v>
      </c>
      <c r="AE252" s="1">
        <f t="shared" si="182"/>
        <v>0</v>
      </c>
      <c r="AF252" s="1">
        <f t="shared" si="167"/>
        <v>0</v>
      </c>
      <c r="AG252" s="1">
        <f t="shared" si="168"/>
        <v>0</v>
      </c>
      <c r="AH252" s="1">
        <f t="shared" si="169"/>
        <v>0</v>
      </c>
      <c r="AI252" s="1">
        <f t="shared" si="170"/>
        <v>1</v>
      </c>
    </row>
    <row r="253" spans="1:35" ht="14.25" customHeight="1" x14ac:dyDescent="0.25">
      <c r="A253" s="31">
        <v>0</v>
      </c>
      <c r="B253" s="31">
        <v>1</v>
      </c>
      <c r="C253" s="31">
        <v>7</v>
      </c>
      <c r="D253" s="36" t="s">
        <v>1084</v>
      </c>
      <c r="E253" s="32" t="s">
        <v>29</v>
      </c>
      <c r="F253" s="36" t="s">
        <v>986</v>
      </c>
      <c r="G253" s="36" t="s">
        <v>203</v>
      </c>
      <c r="H253" s="36" t="s">
        <v>354</v>
      </c>
      <c r="I253" s="37" t="s">
        <v>987</v>
      </c>
      <c r="J253" s="31">
        <v>99</v>
      </c>
      <c r="K253" s="33" t="s">
        <v>713</v>
      </c>
      <c r="L253" s="33" t="s">
        <v>694</v>
      </c>
      <c r="M253" s="34" t="s">
        <v>1442</v>
      </c>
      <c r="N253" s="34" t="s">
        <v>1727</v>
      </c>
      <c r="O253" s="35">
        <v>1</v>
      </c>
      <c r="P253" s="35">
        <v>1</v>
      </c>
      <c r="Q253" s="36"/>
      <c r="S253" s="1">
        <f t="shared" si="171"/>
        <v>0</v>
      </c>
      <c r="T253" s="1">
        <f t="shared" si="172"/>
        <v>0</v>
      </c>
      <c r="U253" s="1">
        <f t="shared" si="173"/>
        <v>0</v>
      </c>
      <c r="V253" s="1">
        <f t="shared" si="174"/>
        <v>0</v>
      </c>
      <c r="W253" s="1">
        <f t="shared" si="175"/>
        <v>0</v>
      </c>
      <c r="X253" s="1">
        <f t="shared" si="176"/>
        <v>0</v>
      </c>
      <c r="Y253" s="1">
        <f t="shared" si="177"/>
        <v>0</v>
      </c>
      <c r="Z253" s="1">
        <f t="shared" si="178"/>
        <v>0</v>
      </c>
      <c r="AA253" s="1">
        <f t="shared" si="179"/>
        <v>0</v>
      </c>
      <c r="AB253" s="1">
        <f t="shared" si="180"/>
        <v>0</v>
      </c>
      <c r="AD253" s="1">
        <f t="shared" si="181"/>
        <v>1</v>
      </c>
      <c r="AE253" s="1">
        <f t="shared" si="182"/>
        <v>0</v>
      </c>
      <c r="AF253" s="1">
        <f t="shared" si="167"/>
        <v>1</v>
      </c>
      <c r="AG253" s="1">
        <f t="shared" si="168"/>
        <v>0</v>
      </c>
      <c r="AH253" s="1">
        <f t="shared" si="169"/>
        <v>1</v>
      </c>
      <c r="AI253" s="1">
        <f t="shared" si="170"/>
        <v>0</v>
      </c>
    </row>
    <row r="254" spans="1:35" ht="14.25" customHeight="1" x14ac:dyDescent="0.25">
      <c r="A254" s="15">
        <v>0</v>
      </c>
      <c r="B254" s="15">
        <v>1</v>
      </c>
      <c r="C254" s="15">
        <v>7</v>
      </c>
      <c r="D254" s="16" t="s">
        <v>751</v>
      </c>
      <c r="E254" s="16" t="s">
        <v>29</v>
      </c>
      <c r="F254" s="16" t="s">
        <v>752</v>
      </c>
      <c r="G254" s="16" t="s">
        <v>753</v>
      </c>
      <c r="H254" s="16" t="s">
        <v>354</v>
      </c>
      <c r="I254" s="15" t="s">
        <v>754</v>
      </c>
      <c r="J254" s="15">
        <v>99</v>
      </c>
      <c r="K254" s="10" t="s">
        <v>703</v>
      </c>
      <c r="L254" s="10">
        <v>20</v>
      </c>
      <c r="M254" s="19" t="s">
        <v>1120</v>
      </c>
      <c r="N254" s="17"/>
      <c r="Q254" s="16"/>
      <c r="S254" s="1">
        <f t="shared" si="171"/>
        <v>0</v>
      </c>
      <c r="T254" s="1">
        <f t="shared" si="172"/>
        <v>0</v>
      </c>
      <c r="U254" s="1">
        <f t="shared" si="173"/>
        <v>0</v>
      </c>
      <c r="V254" s="1">
        <f t="shared" si="174"/>
        <v>0</v>
      </c>
      <c r="W254" s="1">
        <f t="shared" si="175"/>
        <v>0</v>
      </c>
      <c r="X254" s="1">
        <f t="shared" si="176"/>
        <v>0</v>
      </c>
      <c r="Y254" s="1">
        <f t="shared" si="177"/>
        <v>0</v>
      </c>
      <c r="Z254" s="1">
        <f t="shared" si="178"/>
        <v>0</v>
      </c>
      <c r="AA254" s="1">
        <f t="shared" si="179"/>
        <v>0</v>
      </c>
      <c r="AB254" s="1">
        <f t="shared" si="180"/>
        <v>0</v>
      </c>
      <c r="AD254" s="1">
        <f t="shared" si="181"/>
        <v>0</v>
      </c>
      <c r="AE254" s="1">
        <f t="shared" si="182"/>
        <v>0</v>
      </c>
      <c r="AF254" s="1">
        <f t="shared" si="167"/>
        <v>0</v>
      </c>
      <c r="AG254" s="1">
        <f t="shared" si="168"/>
        <v>0</v>
      </c>
      <c r="AH254" s="1">
        <f t="shared" si="169"/>
        <v>0</v>
      </c>
      <c r="AI254" s="1">
        <f t="shared" si="170"/>
        <v>1</v>
      </c>
    </row>
    <row r="255" spans="1:35" ht="14.25" customHeight="1" x14ac:dyDescent="0.25">
      <c r="A255" s="31">
        <v>0</v>
      </c>
      <c r="B255" s="31">
        <v>1</v>
      </c>
      <c r="C255" s="31">
        <v>7</v>
      </c>
      <c r="D255" s="36" t="s">
        <v>828</v>
      </c>
      <c r="E255" s="32" t="s">
        <v>29</v>
      </c>
      <c r="F255" s="36" t="s">
        <v>829</v>
      </c>
      <c r="G255" s="36" t="s">
        <v>928</v>
      </c>
      <c r="H255" s="36" t="s">
        <v>354</v>
      </c>
      <c r="I255" s="37" t="s">
        <v>830</v>
      </c>
      <c r="J255" s="31">
        <v>99</v>
      </c>
      <c r="K255" s="33" t="s">
        <v>955</v>
      </c>
      <c r="L255" s="33" t="s">
        <v>694</v>
      </c>
      <c r="M255" s="34" t="s">
        <v>973</v>
      </c>
      <c r="N255" s="34" t="s">
        <v>1825</v>
      </c>
      <c r="O255" s="35">
        <v>1</v>
      </c>
      <c r="P255" s="35"/>
      <c r="Q255" s="36"/>
      <c r="S255" s="1">
        <f t="shared" si="171"/>
        <v>0</v>
      </c>
      <c r="T255" s="1">
        <f t="shared" si="172"/>
        <v>0</v>
      </c>
      <c r="U255" s="1">
        <f t="shared" si="173"/>
        <v>0</v>
      </c>
      <c r="V255" s="1">
        <f t="shared" si="174"/>
        <v>0</v>
      </c>
      <c r="W255" s="1">
        <f t="shared" si="175"/>
        <v>0</v>
      </c>
      <c r="X255" s="1">
        <f t="shared" si="176"/>
        <v>0</v>
      </c>
      <c r="Y255" s="1">
        <f t="shared" si="177"/>
        <v>0</v>
      </c>
      <c r="Z255" s="1">
        <f t="shared" si="178"/>
        <v>0</v>
      </c>
      <c r="AA255" s="1">
        <f t="shared" si="179"/>
        <v>0</v>
      </c>
      <c r="AB255" s="1">
        <f t="shared" si="180"/>
        <v>0</v>
      </c>
      <c r="AD255" s="1">
        <f t="shared" si="181"/>
        <v>0</v>
      </c>
      <c r="AE255" s="1">
        <f t="shared" si="182"/>
        <v>1</v>
      </c>
      <c r="AF255" s="1">
        <f t="shared" si="167"/>
        <v>0</v>
      </c>
      <c r="AG255" s="1">
        <f t="shared" si="168"/>
        <v>1</v>
      </c>
      <c r="AH255" s="1">
        <f t="shared" si="169"/>
        <v>0</v>
      </c>
      <c r="AI255" s="1">
        <f t="shared" si="170"/>
        <v>1</v>
      </c>
    </row>
    <row r="256" spans="1:35" ht="14.25" customHeight="1" x14ac:dyDescent="0.25">
      <c r="A256" s="31">
        <v>0</v>
      </c>
      <c r="B256" s="31">
        <v>1</v>
      </c>
      <c r="C256" s="31">
        <v>7</v>
      </c>
      <c r="D256" s="36" t="s">
        <v>1720</v>
      </c>
      <c r="E256" s="32" t="s">
        <v>29</v>
      </c>
      <c r="F256" s="36" t="s">
        <v>1721</v>
      </c>
      <c r="G256" s="36" t="s">
        <v>249</v>
      </c>
      <c r="H256" s="36" t="s">
        <v>354</v>
      </c>
      <c r="I256" s="37" t="s">
        <v>1722</v>
      </c>
      <c r="J256" s="31"/>
      <c r="K256" s="33" t="s">
        <v>703</v>
      </c>
      <c r="L256" s="33"/>
      <c r="M256" s="34"/>
      <c r="N256" s="34" t="s">
        <v>1727</v>
      </c>
      <c r="O256" s="35">
        <v>1</v>
      </c>
      <c r="P256" s="35">
        <v>1</v>
      </c>
      <c r="Q256" s="36"/>
      <c r="S256" s="1">
        <f t="shared" si="171"/>
        <v>0</v>
      </c>
      <c r="T256" s="1">
        <f t="shared" si="172"/>
        <v>0</v>
      </c>
      <c r="U256" s="1">
        <f t="shared" si="173"/>
        <v>0</v>
      </c>
      <c r="V256" s="1">
        <f t="shared" si="174"/>
        <v>0</v>
      </c>
      <c r="W256" s="1">
        <f t="shared" si="175"/>
        <v>0</v>
      </c>
      <c r="X256" s="1">
        <f t="shared" si="176"/>
        <v>0</v>
      </c>
      <c r="Y256" s="1">
        <f t="shared" si="177"/>
        <v>0</v>
      </c>
      <c r="Z256" s="1">
        <f t="shared" si="178"/>
        <v>0</v>
      </c>
      <c r="AA256" s="1">
        <f t="shared" si="179"/>
        <v>0</v>
      </c>
      <c r="AB256" s="1">
        <f t="shared" si="180"/>
        <v>0</v>
      </c>
      <c r="AD256" s="1">
        <f t="shared" si="181"/>
        <v>1</v>
      </c>
      <c r="AE256" s="1">
        <f t="shared" si="182"/>
        <v>0</v>
      </c>
      <c r="AF256" s="1">
        <f t="shared" si="167"/>
        <v>1</v>
      </c>
      <c r="AG256" s="1">
        <f t="shared" si="168"/>
        <v>0</v>
      </c>
      <c r="AH256" s="1">
        <f t="shared" si="169"/>
        <v>1</v>
      </c>
      <c r="AI256" s="1">
        <f t="shared" si="170"/>
        <v>0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901</v>
      </c>
      <c r="E257" s="32" t="s">
        <v>29</v>
      </c>
      <c r="F257" s="32" t="s">
        <v>902</v>
      </c>
      <c r="G257" s="32" t="s">
        <v>228</v>
      </c>
      <c r="H257" s="32" t="s">
        <v>354</v>
      </c>
      <c r="I257" s="31" t="s">
        <v>903</v>
      </c>
      <c r="J257" s="31">
        <v>99</v>
      </c>
      <c r="K257" s="33" t="s">
        <v>713</v>
      </c>
      <c r="L257" s="33" t="s">
        <v>694</v>
      </c>
      <c r="M257" s="34" t="s">
        <v>1406</v>
      </c>
      <c r="N257" s="34" t="s">
        <v>1748</v>
      </c>
      <c r="O257" s="35">
        <v>1</v>
      </c>
      <c r="P257" s="35"/>
      <c r="Q257" s="32"/>
      <c r="S257" s="1">
        <f t="shared" si="171"/>
        <v>0</v>
      </c>
      <c r="T257" s="1">
        <f t="shared" si="172"/>
        <v>0</v>
      </c>
      <c r="U257" s="1">
        <f t="shared" si="173"/>
        <v>0</v>
      </c>
      <c r="V257" s="1">
        <f t="shared" si="174"/>
        <v>0</v>
      </c>
      <c r="W257" s="1">
        <f t="shared" si="175"/>
        <v>0</v>
      </c>
      <c r="X257" s="1">
        <f t="shared" si="176"/>
        <v>0</v>
      </c>
      <c r="Y257" s="1">
        <f t="shared" si="177"/>
        <v>0</v>
      </c>
      <c r="Z257" s="1">
        <f t="shared" si="178"/>
        <v>0</v>
      </c>
      <c r="AA257" s="1">
        <f t="shared" si="179"/>
        <v>0</v>
      </c>
      <c r="AB257" s="1">
        <f t="shared" si="180"/>
        <v>0</v>
      </c>
      <c r="AD257" s="1">
        <f t="shared" si="181"/>
        <v>0</v>
      </c>
      <c r="AE257" s="1">
        <f t="shared" si="182"/>
        <v>1</v>
      </c>
      <c r="AF257" s="1">
        <f t="shared" si="167"/>
        <v>0</v>
      </c>
      <c r="AG257" s="1">
        <f t="shared" si="168"/>
        <v>1</v>
      </c>
      <c r="AH257" s="1">
        <f t="shared" si="169"/>
        <v>0</v>
      </c>
      <c r="AI257" s="1">
        <f t="shared" si="170"/>
        <v>1</v>
      </c>
    </row>
    <row r="258" spans="1:35" ht="14.25" customHeight="1" x14ac:dyDescent="0.25">
      <c r="A258" s="31">
        <v>0</v>
      </c>
      <c r="B258" s="31">
        <v>1</v>
      </c>
      <c r="C258" s="31">
        <v>7</v>
      </c>
      <c r="D258" s="32" t="s">
        <v>88</v>
      </c>
      <c r="E258" s="32" t="s">
        <v>29</v>
      </c>
      <c r="F258" s="32" t="s">
        <v>281</v>
      </c>
      <c r="G258" s="32" t="s">
        <v>238</v>
      </c>
      <c r="H258" s="32" t="s">
        <v>354</v>
      </c>
      <c r="I258" s="31" t="s">
        <v>437</v>
      </c>
      <c r="J258" s="31">
        <v>4</v>
      </c>
      <c r="K258" s="33" t="s">
        <v>954</v>
      </c>
      <c r="L258" s="33" t="s">
        <v>39</v>
      </c>
      <c r="M258" s="34" t="s">
        <v>39</v>
      </c>
      <c r="N258" s="34" t="s">
        <v>1727</v>
      </c>
      <c r="O258" s="35">
        <v>1</v>
      </c>
      <c r="P258" s="35">
        <v>1</v>
      </c>
      <c r="Q258" s="32"/>
      <c r="S258" s="1">
        <f t="shared" si="171"/>
        <v>0</v>
      </c>
      <c r="T258" s="1">
        <f t="shared" si="172"/>
        <v>0</v>
      </c>
      <c r="U258" s="1">
        <f t="shared" si="173"/>
        <v>0</v>
      </c>
      <c r="V258" s="1">
        <f t="shared" si="174"/>
        <v>1</v>
      </c>
      <c r="W258" s="1">
        <f t="shared" si="175"/>
        <v>0</v>
      </c>
      <c r="X258" s="1">
        <f t="shared" si="176"/>
        <v>0</v>
      </c>
      <c r="Y258" s="1">
        <f t="shared" si="177"/>
        <v>0</v>
      </c>
      <c r="Z258" s="1">
        <f t="shared" si="178"/>
        <v>0</v>
      </c>
      <c r="AA258" s="1">
        <f t="shared" si="179"/>
        <v>0</v>
      </c>
      <c r="AB258" s="1">
        <f t="shared" si="180"/>
        <v>0</v>
      </c>
      <c r="AD258" s="1">
        <f t="shared" si="181"/>
        <v>1</v>
      </c>
      <c r="AE258" s="1">
        <f t="shared" si="182"/>
        <v>0</v>
      </c>
      <c r="AF258" s="1">
        <f t="shared" si="167"/>
        <v>1</v>
      </c>
      <c r="AG258" s="1">
        <f t="shared" si="168"/>
        <v>0</v>
      </c>
      <c r="AH258" s="1">
        <f t="shared" si="169"/>
        <v>1</v>
      </c>
      <c r="AI258" s="1">
        <f t="shared" si="170"/>
        <v>0</v>
      </c>
    </row>
    <row r="259" spans="1:35" ht="14.25" customHeight="1" x14ac:dyDescent="0.25">
      <c r="A259" s="44">
        <v>0</v>
      </c>
      <c r="B259" s="44">
        <v>1</v>
      </c>
      <c r="C259" s="44">
        <v>7</v>
      </c>
      <c r="D259" s="45" t="s">
        <v>89</v>
      </c>
      <c r="E259" s="45" t="s">
        <v>29</v>
      </c>
      <c r="F259" s="45" t="s">
        <v>282</v>
      </c>
      <c r="G259" s="45" t="s">
        <v>283</v>
      </c>
      <c r="H259" s="45" t="s">
        <v>354</v>
      </c>
      <c r="I259" s="44" t="s">
        <v>943</v>
      </c>
      <c r="J259" s="44">
        <v>99</v>
      </c>
      <c r="K259" s="46" t="s">
        <v>955</v>
      </c>
      <c r="L259" s="46" t="s">
        <v>694</v>
      </c>
      <c r="M259" s="47" t="s">
        <v>973</v>
      </c>
      <c r="N259" s="47" t="s">
        <v>1809</v>
      </c>
      <c r="O259" s="48"/>
      <c r="P259" s="48"/>
      <c r="Q259" s="45"/>
      <c r="S259" s="1">
        <f t="shared" si="171"/>
        <v>0</v>
      </c>
      <c r="T259" s="1">
        <f t="shared" si="172"/>
        <v>0</v>
      </c>
      <c r="U259" s="1">
        <f t="shared" si="173"/>
        <v>0</v>
      </c>
      <c r="V259" s="1">
        <f t="shared" si="174"/>
        <v>0</v>
      </c>
      <c r="W259" s="1">
        <f t="shared" si="175"/>
        <v>0</v>
      </c>
      <c r="X259" s="1">
        <f t="shared" si="176"/>
        <v>0</v>
      </c>
      <c r="Y259" s="1">
        <f t="shared" si="177"/>
        <v>0</v>
      </c>
      <c r="Z259" s="1">
        <f t="shared" si="178"/>
        <v>0</v>
      </c>
      <c r="AA259" s="1">
        <f t="shared" si="179"/>
        <v>0</v>
      </c>
      <c r="AB259" s="1">
        <f t="shared" si="180"/>
        <v>0</v>
      </c>
      <c r="AD259" s="1">
        <f t="shared" si="181"/>
        <v>0</v>
      </c>
      <c r="AE259" s="1">
        <f t="shared" si="182"/>
        <v>0</v>
      </c>
      <c r="AF259" s="1">
        <f t="shared" si="167"/>
        <v>0</v>
      </c>
      <c r="AG259" s="1">
        <f t="shared" si="168"/>
        <v>0</v>
      </c>
      <c r="AH259" s="1">
        <f t="shared" si="169"/>
        <v>0</v>
      </c>
      <c r="AI259" s="1">
        <f t="shared" si="170"/>
        <v>1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6" t="s">
        <v>1636</v>
      </c>
      <c r="E260" s="32" t="s">
        <v>29</v>
      </c>
      <c r="F260" s="36" t="s">
        <v>1535</v>
      </c>
      <c r="G260" s="36" t="s">
        <v>39</v>
      </c>
      <c r="H260" s="36" t="s">
        <v>886</v>
      </c>
      <c r="I260" s="37" t="s">
        <v>1536</v>
      </c>
      <c r="J260" s="31">
        <v>17</v>
      </c>
      <c r="K260" s="33" t="s">
        <v>713</v>
      </c>
      <c r="L260" s="33" t="s">
        <v>697</v>
      </c>
      <c r="M260" s="34" t="s">
        <v>1457</v>
      </c>
      <c r="N260" s="34" t="s">
        <v>1727</v>
      </c>
      <c r="O260" s="35">
        <v>1</v>
      </c>
      <c r="P260" s="35">
        <v>1</v>
      </c>
      <c r="Q260" s="36"/>
      <c r="S260" s="1">
        <f t="shared" si="171"/>
        <v>0</v>
      </c>
      <c r="T260" s="1">
        <f t="shared" si="172"/>
        <v>0</v>
      </c>
      <c r="U260" s="1">
        <f t="shared" si="173"/>
        <v>0</v>
      </c>
      <c r="V260" s="1">
        <f t="shared" si="174"/>
        <v>0</v>
      </c>
      <c r="W260" s="1">
        <f t="shared" si="175"/>
        <v>0</v>
      </c>
      <c r="X260" s="1">
        <f t="shared" si="176"/>
        <v>0</v>
      </c>
      <c r="Y260" s="1">
        <f t="shared" si="177"/>
        <v>0</v>
      </c>
      <c r="Z260" s="1">
        <f t="shared" si="178"/>
        <v>0</v>
      </c>
      <c r="AA260" s="1">
        <f t="shared" si="179"/>
        <v>0</v>
      </c>
      <c r="AB260" s="1">
        <f t="shared" si="180"/>
        <v>0</v>
      </c>
      <c r="AD260" s="1">
        <f t="shared" si="181"/>
        <v>1</v>
      </c>
      <c r="AE260" s="1">
        <f t="shared" si="182"/>
        <v>0</v>
      </c>
      <c r="AF260" s="1">
        <f t="shared" si="167"/>
        <v>1</v>
      </c>
      <c r="AG260" s="1">
        <f t="shared" si="168"/>
        <v>0</v>
      </c>
      <c r="AH260" s="1">
        <f t="shared" si="169"/>
        <v>1</v>
      </c>
      <c r="AI260" s="1">
        <f t="shared" si="170"/>
        <v>0</v>
      </c>
    </row>
    <row r="261" spans="1:35" ht="14.25" customHeight="1" x14ac:dyDescent="0.25">
      <c r="A261" s="44">
        <v>0</v>
      </c>
      <c r="B261" s="44">
        <v>1</v>
      </c>
      <c r="C261" s="44">
        <v>7</v>
      </c>
      <c r="D261" s="45" t="s">
        <v>1454</v>
      </c>
      <c r="E261" s="45" t="s">
        <v>29</v>
      </c>
      <c r="F261" s="45" t="s">
        <v>1455</v>
      </c>
      <c r="G261" s="45" t="s">
        <v>321</v>
      </c>
      <c r="H261" s="45" t="s">
        <v>354</v>
      </c>
      <c r="I261" s="44" t="s">
        <v>1456</v>
      </c>
      <c r="J261" s="44">
        <v>99</v>
      </c>
      <c r="K261" s="46" t="s">
        <v>703</v>
      </c>
      <c r="L261" s="46">
        <v>30</v>
      </c>
      <c r="M261" s="47" t="s">
        <v>1457</v>
      </c>
      <c r="N261" s="47" t="s">
        <v>1802</v>
      </c>
      <c r="O261" s="48"/>
      <c r="P261" s="48"/>
      <c r="Q261" s="45"/>
      <c r="S261" s="1">
        <f t="shared" si="171"/>
        <v>0</v>
      </c>
      <c r="T261" s="1">
        <f t="shared" si="172"/>
        <v>0</v>
      </c>
      <c r="U261" s="1">
        <f t="shared" si="173"/>
        <v>0</v>
      </c>
      <c r="V261" s="1">
        <f t="shared" si="174"/>
        <v>0</v>
      </c>
      <c r="W261" s="1">
        <f t="shared" si="175"/>
        <v>0</v>
      </c>
      <c r="X261" s="1">
        <f t="shared" si="176"/>
        <v>0</v>
      </c>
      <c r="Y261" s="1">
        <f t="shared" si="177"/>
        <v>0</v>
      </c>
      <c r="Z261" s="1">
        <f t="shared" si="178"/>
        <v>0</v>
      </c>
      <c r="AA261" s="1">
        <f t="shared" si="179"/>
        <v>0</v>
      </c>
      <c r="AB261" s="1">
        <f t="shared" si="180"/>
        <v>0</v>
      </c>
      <c r="AD261" s="1">
        <f t="shared" si="181"/>
        <v>0</v>
      </c>
      <c r="AE261" s="1">
        <f t="shared" si="182"/>
        <v>0</v>
      </c>
      <c r="AF261" s="1">
        <f t="shared" si="167"/>
        <v>0</v>
      </c>
      <c r="AG261" s="1">
        <f t="shared" si="168"/>
        <v>0</v>
      </c>
      <c r="AH261" s="1">
        <f t="shared" si="169"/>
        <v>0</v>
      </c>
      <c r="AI261" s="1">
        <f t="shared" si="170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6" t="s">
        <v>846</v>
      </c>
      <c r="E262" s="32" t="s">
        <v>29</v>
      </c>
      <c r="F262" s="36" t="s">
        <v>847</v>
      </c>
      <c r="G262" s="36" t="s">
        <v>222</v>
      </c>
      <c r="H262" s="36" t="s">
        <v>354</v>
      </c>
      <c r="I262" s="37" t="s">
        <v>848</v>
      </c>
      <c r="J262" s="31">
        <v>99</v>
      </c>
      <c r="K262" s="33" t="s">
        <v>955</v>
      </c>
      <c r="L262" s="33" t="s">
        <v>694</v>
      </c>
      <c r="M262" s="34" t="s">
        <v>973</v>
      </c>
      <c r="N262" s="34" t="s">
        <v>1849</v>
      </c>
      <c r="O262" s="35">
        <v>1</v>
      </c>
      <c r="P262" s="35"/>
      <c r="Q262" s="36"/>
      <c r="S262" s="1">
        <f t="shared" si="171"/>
        <v>0</v>
      </c>
      <c r="T262" s="1">
        <f t="shared" si="172"/>
        <v>0</v>
      </c>
      <c r="U262" s="1">
        <f t="shared" si="173"/>
        <v>0</v>
      </c>
      <c r="V262" s="1">
        <f t="shared" si="174"/>
        <v>0</v>
      </c>
      <c r="W262" s="1">
        <f t="shared" si="175"/>
        <v>0</v>
      </c>
      <c r="X262" s="1">
        <f t="shared" si="176"/>
        <v>0</v>
      </c>
      <c r="Y262" s="1">
        <f t="shared" si="177"/>
        <v>0</v>
      </c>
      <c r="Z262" s="1">
        <f t="shared" si="178"/>
        <v>0</v>
      </c>
      <c r="AA262" s="1">
        <f t="shared" si="179"/>
        <v>0</v>
      </c>
      <c r="AB262" s="1">
        <f t="shared" si="180"/>
        <v>0</v>
      </c>
      <c r="AD262" s="1">
        <f t="shared" si="181"/>
        <v>0</v>
      </c>
      <c r="AE262" s="1">
        <f t="shared" si="182"/>
        <v>1</v>
      </c>
      <c r="AF262" s="1">
        <f t="shared" si="167"/>
        <v>0</v>
      </c>
      <c r="AG262" s="1">
        <f t="shared" si="168"/>
        <v>1</v>
      </c>
      <c r="AH262" s="1">
        <f t="shared" si="169"/>
        <v>0</v>
      </c>
      <c r="AI262" s="1">
        <f t="shared" si="170"/>
        <v>1</v>
      </c>
    </row>
    <row r="263" spans="1:35" ht="14.25" customHeight="1" x14ac:dyDescent="0.25">
      <c r="A263" s="31">
        <v>1</v>
      </c>
      <c r="B263" s="31">
        <v>1</v>
      </c>
      <c r="C263" s="31">
        <v>7</v>
      </c>
      <c r="D263" s="36" t="s">
        <v>846</v>
      </c>
      <c r="E263" s="32" t="s">
        <v>29</v>
      </c>
      <c r="F263" s="36" t="s">
        <v>930</v>
      </c>
      <c r="G263" s="36" t="s">
        <v>279</v>
      </c>
      <c r="H263" s="36" t="s">
        <v>354</v>
      </c>
      <c r="I263" s="37" t="s">
        <v>849</v>
      </c>
      <c r="J263" s="31">
        <v>99</v>
      </c>
      <c r="K263" s="33" t="s">
        <v>955</v>
      </c>
      <c r="L263" s="33" t="s">
        <v>694</v>
      </c>
      <c r="M263" s="34" t="s">
        <v>973</v>
      </c>
      <c r="N263" s="34" t="s">
        <v>1849</v>
      </c>
      <c r="O263" s="35">
        <v>1</v>
      </c>
      <c r="P263" s="35"/>
      <c r="Q263" s="36"/>
      <c r="S263" s="1">
        <f t="shared" si="171"/>
        <v>0</v>
      </c>
      <c r="T263" s="1">
        <f t="shared" si="172"/>
        <v>0</v>
      </c>
      <c r="U263" s="1">
        <f t="shared" si="173"/>
        <v>0</v>
      </c>
      <c r="V263" s="1">
        <f t="shared" si="174"/>
        <v>0</v>
      </c>
      <c r="W263" s="1">
        <f t="shared" si="175"/>
        <v>0</v>
      </c>
      <c r="X263" s="1">
        <f t="shared" si="176"/>
        <v>0</v>
      </c>
      <c r="Y263" s="1">
        <f t="shared" si="177"/>
        <v>0</v>
      </c>
      <c r="Z263" s="1">
        <f t="shared" si="178"/>
        <v>0</v>
      </c>
      <c r="AA263" s="1">
        <f t="shared" si="179"/>
        <v>0</v>
      </c>
      <c r="AB263" s="1">
        <f t="shared" si="180"/>
        <v>0</v>
      </c>
      <c r="AD263" s="1">
        <f t="shared" si="181"/>
        <v>0</v>
      </c>
      <c r="AE263" s="1">
        <f t="shared" si="182"/>
        <v>1</v>
      </c>
      <c r="AF263" s="1">
        <f t="shared" si="167"/>
        <v>0</v>
      </c>
      <c r="AG263" s="1">
        <f t="shared" si="168"/>
        <v>0</v>
      </c>
      <c r="AH263" s="1">
        <f t="shared" si="169"/>
        <v>0</v>
      </c>
      <c r="AI263" s="1">
        <f t="shared" si="170"/>
        <v>0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2" t="s">
        <v>1216</v>
      </c>
      <c r="E264" s="32" t="s">
        <v>29</v>
      </c>
      <c r="F264" s="32" t="s">
        <v>1217</v>
      </c>
      <c r="G264" s="32" t="s">
        <v>238</v>
      </c>
      <c r="H264" s="32" t="s">
        <v>354</v>
      </c>
      <c r="I264" s="31" t="s">
        <v>1361</v>
      </c>
      <c r="J264" s="31">
        <v>99</v>
      </c>
      <c r="K264" s="33" t="s">
        <v>713</v>
      </c>
      <c r="L264" s="33" t="s">
        <v>694</v>
      </c>
      <c r="M264" s="34" t="s">
        <v>1407</v>
      </c>
      <c r="N264" s="34" t="s">
        <v>1755</v>
      </c>
      <c r="O264" s="35">
        <v>1</v>
      </c>
      <c r="P264" s="35"/>
      <c r="Q264" s="32"/>
      <c r="S264" s="1">
        <f t="shared" si="171"/>
        <v>0</v>
      </c>
      <c r="T264" s="1">
        <f t="shared" si="172"/>
        <v>0</v>
      </c>
      <c r="U264" s="1">
        <f t="shared" si="173"/>
        <v>0</v>
      </c>
      <c r="V264" s="1">
        <f t="shared" si="174"/>
        <v>0</v>
      </c>
      <c r="W264" s="1">
        <f t="shared" si="175"/>
        <v>0</v>
      </c>
      <c r="X264" s="1">
        <f t="shared" si="176"/>
        <v>0</v>
      </c>
      <c r="Y264" s="1">
        <f t="shared" si="177"/>
        <v>0</v>
      </c>
      <c r="Z264" s="1">
        <f t="shared" si="178"/>
        <v>0</v>
      </c>
      <c r="AA264" s="1">
        <f t="shared" si="179"/>
        <v>0</v>
      </c>
      <c r="AB264" s="1">
        <f t="shared" si="180"/>
        <v>0</v>
      </c>
      <c r="AD264" s="1">
        <f t="shared" ref="AD264:AD265" si="183">+O264*P264</f>
        <v>0</v>
      </c>
      <c r="AE264" s="1">
        <f t="shared" ref="AE264:AE265" si="184">O264*(1-P264)</f>
        <v>1</v>
      </c>
      <c r="AF264" s="1">
        <f t="shared" ref="AF264:AF265" si="185">+O264*P264*(1-A264)</f>
        <v>0</v>
      </c>
      <c r="AG264" s="1">
        <f t="shared" ref="AG264:AG265" si="186">O264*(1-P264)*(1-A264)</f>
        <v>1</v>
      </c>
      <c r="AH264" s="1">
        <f t="shared" ref="AH264:AH265" si="187">+P264*(1-A264)</f>
        <v>0</v>
      </c>
      <c r="AI264" s="1">
        <f t="shared" ref="AI264:AI265" si="188">+(1-A264)*(1-P264)</f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1233</v>
      </c>
      <c r="E265" s="32" t="s">
        <v>29</v>
      </c>
      <c r="F265" s="36" t="s">
        <v>1234</v>
      </c>
      <c r="G265" s="36" t="s">
        <v>238</v>
      </c>
      <c r="H265" s="36" t="s">
        <v>354</v>
      </c>
      <c r="I265" s="37" t="s">
        <v>1235</v>
      </c>
      <c r="J265" s="31">
        <v>99</v>
      </c>
      <c r="K265" s="33" t="s">
        <v>713</v>
      </c>
      <c r="L265" s="33" t="s">
        <v>693</v>
      </c>
      <c r="M265" s="34" t="s">
        <v>1407</v>
      </c>
      <c r="N265" s="34" t="s">
        <v>1825</v>
      </c>
      <c r="O265" s="35">
        <v>1</v>
      </c>
      <c r="P265" s="35"/>
      <c r="Q265" s="36"/>
      <c r="S265" s="1">
        <f t="shared" si="171"/>
        <v>0</v>
      </c>
      <c r="T265" s="1">
        <f t="shared" si="172"/>
        <v>0</v>
      </c>
      <c r="U265" s="1">
        <f t="shared" si="173"/>
        <v>0</v>
      </c>
      <c r="V265" s="1">
        <f t="shared" si="174"/>
        <v>0</v>
      </c>
      <c r="W265" s="1">
        <f t="shared" si="175"/>
        <v>0</v>
      </c>
      <c r="X265" s="1">
        <f t="shared" si="176"/>
        <v>0</v>
      </c>
      <c r="Y265" s="1">
        <f t="shared" si="177"/>
        <v>0</v>
      </c>
      <c r="Z265" s="1">
        <f t="shared" si="178"/>
        <v>0</v>
      </c>
      <c r="AA265" s="1">
        <f t="shared" si="179"/>
        <v>0</v>
      </c>
      <c r="AB265" s="1">
        <f t="shared" si="180"/>
        <v>0</v>
      </c>
      <c r="AD265" s="1">
        <f t="shared" si="183"/>
        <v>0</v>
      </c>
      <c r="AE265" s="1">
        <f t="shared" si="184"/>
        <v>1</v>
      </c>
      <c r="AF265" s="1">
        <f t="shared" si="185"/>
        <v>0</v>
      </c>
      <c r="AG265" s="1">
        <f t="shared" si="186"/>
        <v>1</v>
      </c>
      <c r="AH265" s="1">
        <f t="shared" si="187"/>
        <v>0</v>
      </c>
      <c r="AI265" s="1">
        <f t="shared" si="188"/>
        <v>1</v>
      </c>
    </row>
    <row r="266" spans="1:35" ht="14.25" customHeight="1" x14ac:dyDescent="0.25">
      <c r="A266" s="31">
        <v>0</v>
      </c>
      <c r="B266" s="31">
        <v>1</v>
      </c>
      <c r="C266" s="31">
        <v>7</v>
      </c>
      <c r="D266" s="36" t="s">
        <v>93</v>
      </c>
      <c r="E266" s="32" t="s">
        <v>29</v>
      </c>
      <c r="F266" s="36" t="s">
        <v>288</v>
      </c>
      <c r="G266" s="36" t="s">
        <v>190</v>
      </c>
      <c r="H266" s="36" t="s">
        <v>354</v>
      </c>
      <c r="I266" s="37" t="s">
        <v>441</v>
      </c>
      <c r="J266" s="31">
        <v>99</v>
      </c>
      <c r="K266" s="33" t="s">
        <v>713</v>
      </c>
      <c r="L266" s="33" t="s">
        <v>694</v>
      </c>
      <c r="M266" s="34" t="s">
        <v>1408</v>
      </c>
      <c r="N266" s="34" t="s">
        <v>1750</v>
      </c>
      <c r="O266" s="35">
        <v>1</v>
      </c>
      <c r="P266" s="35"/>
      <c r="Q266" s="36"/>
      <c r="S266" s="1">
        <f t="shared" si="171"/>
        <v>0</v>
      </c>
      <c r="T266" s="1">
        <f t="shared" si="172"/>
        <v>0</v>
      </c>
      <c r="U266" s="1">
        <f t="shared" si="173"/>
        <v>0</v>
      </c>
      <c r="V266" s="1">
        <f t="shared" si="174"/>
        <v>0</v>
      </c>
      <c r="W266" s="1">
        <f t="shared" si="175"/>
        <v>0</v>
      </c>
      <c r="X266" s="1">
        <f t="shared" si="176"/>
        <v>0</v>
      </c>
      <c r="Y266" s="1">
        <f t="shared" si="177"/>
        <v>0</v>
      </c>
      <c r="Z266" s="1">
        <f t="shared" si="178"/>
        <v>0</v>
      </c>
      <c r="AA266" s="1">
        <f t="shared" si="179"/>
        <v>0</v>
      </c>
      <c r="AB266" s="1">
        <f t="shared" si="180"/>
        <v>0</v>
      </c>
      <c r="AD266" s="1">
        <f t="shared" si="181"/>
        <v>0</v>
      </c>
      <c r="AE266" s="1">
        <f t="shared" si="182"/>
        <v>1</v>
      </c>
      <c r="AF266" s="1">
        <f t="shared" si="167"/>
        <v>0</v>
      </c>
      <c r="AG266" s="1">
        <f t="shared" si="168"/>
        <v>1</v>
      </c>
      <c r="AH266" s="1">
        <f t="shared" si="169"/>
        <v>0</v>
      </c>
      <c r="AI266" s="1">
        <f t="shared" si="170"/>
        <v>1</v>
      </c>
    </row>
    <row r="267" spans="1:35" ht="14.25" customHeight="1" x14ac:dyDescent="0.25">
      <c r="A267" s="44">
        <v>0</v>
      </c>
      <c r="B267" s="44">
        <v>1</v>
      </c>
      <c r="C267" s="44">
        <v>7</v>
      </c>
      <c r="D267" s="45" t="s">
        <v>870</v>
      </c>
      <c r="E267" s="45" t="s">
        <v>29</v>
      </c>
      <c r="F267" s="45" t="s">
        <v>871</v>
      </c>
      <c r="G267" s="45" t="s">
        <v>194</v>
      </c>
      <c r="H267" s="45" t="s">
        <v>354</v>
      </c>
      <c r="I267" s="44" t="s">
        <v>872</v>
      </c>
      <c r="J267" s="44">
        <v>9</v>
      </c>
      <c r="K267" s="46" t="s">
        <v>713</v>
      </c>
      <c r="L267" s="46" t="s">
        <v>696</v>
      </c>
      <c r="M267" s="47" t="s">
        <v>708</v>
      </c>
      <c r="N267" s="47" t="s">
        <v>1735</v>
      </c>
      <c r="O267" s="48"/>
      <c r="P267" s="48"/>
      <c r="Q267" s="45"/>
      <c r="S267" s="1">
        <f t="shared" si="171"/>
        <v>0</v>
      </c>
      <c r="T267" s="1">
        <f t="shared" si="172"/>
        <v>0</v>
      </c>
      <c r="U267" s="1">
        <f t="shared" si="173"/>
        <v>0</v>
      </c>
      <c r="V267" s="1">
        <f t="shared" si="174"/>
        <v>0</v>
      </c>
      <c r="W267" s="1">
        <f t="shared" si="175"/>
        <v>0</v>
      </c>
      <c r="X267" s="1">
        <f t="shared" si="176"/>
        <v>0</v>
      </c>
      <c r="Y267" s="1">
        <f t="shared" si="177"/>
        <v>0</v>
      </c>
      <c r="Z267" s="1">
        <f t="shared" si="178"/>
        <v>0</v>
      </c>
      <c r="AA267" s="1">
        <f t="shared" si="179"/>
        <v>1</v>
      </c>
      <c r="AB267" s="1">
        <f t="shared" si="180"/>
        <v>0</v>
      </c>
      <c r="AD267" s="1">
        <f t="shared" si="181"/>
        <v>0</v>
      </c>
      <c r="AE267" s="1">
        <f t="shared" si="182"/>
        <v>0</v>
      </c>
      <c r="AF267" s="1">
        <f t="shared" si="167"/>
        <v>0</v>
      </c>
      <c r="AG267" s="1">
        <f t="shared" si="168"/>
        <v>0</v>
      </c>
      <c r="AH267" s="1">
        <f t="shared" si="169"/>
        <v>0</v>
      </c>
      <c r="AI267" s="1">
        <f t="shared" si="170"/>
        <v>1</v>
      </c>
    </row>
    <row r="268" spans="1:35" ht="14.25" customHeight="1" x14ac:dyDescent="0.25">
      <c r="A268" s="44">
        <v>1</v>
      </c>
      <c r="B268" s="44">
        <v>1</v>
      </c>
      <c r="C268" s="44">
        <v>7</v>
      </c>
      <c r="D268" s="45" t="s">
        <v>870</v>
      </c>
      <c r="E268" s="45" t="s">
        <v>29</v>
      </c>
      <c r="F268" s="45" t="s">
        <v>1068</v>
      </c>
      <c r="G268" s="45" t="s">
        <v>321</v>
      </c>
      <c r="H268" s="45" t="s">
        <v>354</v>
      </c>
      <c r="I268" s="44" t="s">
        <v>1069</v>
      </c>
      <c r="J268" s="44">
        <v>99</v>
      </c>
      <c r="K268" s="46" t="s">
        <v>713</v>
      </c>
      <c r="L268" s="46" t="s">
        <v>696</v>
      </c>
      <c r="M268" s="47" t="s">
        <v>708</v>
      </c>
      <c r="N268" s="47" t="s">
        <v>1735</v>
      </c>
      <c r="O268" s="48"/>
      <c r="P268" s="48"/>
      <c r="Q268" s="45"/>
      <c r="S268" s="1">
        <f t="shared" si="171"/>
        <v>0</v>
      </c>
      <c r="T268" s="1">
        <f t="shared" si="172"/>
        <v>0</v>
      </c>
      <c r="U268" s="1">
        <f t="shared" si="173"/>
        <v>0</v>
      </c>
      <c r="V268" s="1">
        <f t="shared" si="174"/>
        <v>0</v>
      </c>
      <c r="W268" s="1">
        <f t="shared" si="175"/>
        <v>0</v>
      </c>
      <c r="X268" s="1">
        <f t="shared" si="176"/>
        <v>0</v>
      </c>
      <c r="Y268" s="1">
        <f t="shared" si="177"/>
        <v>0</v>
      </c>
      <c r="Z268" s="1">
        <f t="shared" si="178"/>
        <v>0</v>
      </c>
      <c r="AA268" s="1">
        <f t="shared" si="179"/>
        <v>0</v>
      </c>
      <c r="AB268" s="1">
        <f t="shared" si="180"/>
        <v>0</v>
      </c>
      <c r="AD268" s="1">
        <f t="shared" si="181"/>
        <v>0</v>
      </c>
      <c r="AE268" s="1">
        <f t="shared" si="182"/>
        <v>0</v>
      </c>
      <c r="AF268" s="1">
        <f t="shared" si="167"/>
        <v>0</v>
      </c>
      <c r="AG268" s="1">
        <f t="shared" si="168"/>
        <v>0</v>
      </c>
      <c r="AH268" s="1">
        <f t="shared" si="169"/>
        <v>0</v>
      </c>
      <c r="AI268" s="1">
        <f t="shared" si="170"/>
        <v>0</v>
      </c>
    </row>
    <row r="269" spans="1:35" ht="14.25" customHeight="1" x14ac:dyDescent="0.25">
      <c r="A269" s="44">
        <v>1</v>
      </c>
      <c r="B269" s="44">
        <v>1</v>
      </c>
      <c r="C269" s="44">
        <v>7</v>
      </c>
      <c r="D269" s="45" t="s">
        <v>870</v>
      </c>
      <c r="E269" s="45" t="s">
        <v>29</v>
      </c>
      <c r="F269" s="65" t="s">
        <v>2026</v>
      </c>
      <c r="G269" s="65" t="s">
        <v>194</v>
      </c>
      <c r="H269" s="45" t="s">
        <v>354</v>
      </c>
      <c r="I269" s="64" t="s">
        <v>872</v>
      </c>
      <c r="J269" s="44">
        <v>9</v>
      </c>
      <c r="K269" s="46" t="s">
        <v>713</v>
      </c>
      <c r="L269" s="46" t="s">
        <v>696</v>
      </c>
      <c r="M269" s="47" t="s">
        <v>708</v>
      </c>
      <c r="N269" s="47" t="s">
        <v>1735</v>
      </c>
      <c r="O269" s="48"/>
      <c r="P269" s="48"/>
      <c r="Q269" s="45"/>
      <c r="S269" s="1">
        <f t="shared" ref="S269:S270" si="189">IF(J269=$S$7,1,0)</f>
        <v>0</v>
      </c>
      <c r="T269" s="1">
        <f t="shared" ref="T269:T270" si="190">IF(J269=$T$7,1,0)</f>
        <v>0</v>
      </c>
      <c r="U269" s="1">
        <f t="shared" ref="U269:U270" si="191">IF(J269=$U$7,1,0)</f>
        <v>0</v>
      </c>
      <c r="V269" s="1">
        <f t="shared" ref="V269:V270" si="192">IF(J269=$V$7,1,0)</f>
        <v>0</v>
      </c>
      <c r="W269" s="1">
        <f t="shared" ref="W269:W270" si="193">IF(J269=$W$7,1,0)</f>
        <v>0</v>
      </c>
      <c r="X269" s="1">
        <f t="shared" ref="X269:X270" si="194">IF(J269=$X$7,1,0)</f>
        <v>0</v>
      </c>
      <c r="Y269" s="1">
        <f t="shared" ref="Y269:Y270" si="195">IF(J269=$Y$7,1,0)</f>
        <v>0</v>
      </c>
      <c r="Z269" s="1">
        <f t="shared" ref="Z269:Z270" si="196">IF(J269=$Z$7,1,0)</f>
        <v>0</v>
      </c>
      <c r="AA269" s="1">
        <f t="shared" ref="AA269:AA270" si="197">IF(J269=$AA$7,1,0)</f>
        <v>1</v>
      </c>
      <c r="AB269" s="1">
        <f t="shared" ref="AB269:AB270" si="198">IF(J269=$AB$7,1,0)</f>
        <v>0</v>
      </c>
      <c r="AD269" s="1">
        <f t="shared" ref="AD269:AD270" si="199">+O269*P269</f>
        <v>0</v>
      </c>
      <c r="AE269" s="1">
        <f t="shared" ref="AE269:AE270" si="200">O269*(1-P269)</f>
        <v>0</v>
      </c>
      <c r="AF269" s="1">
        <f t="shared" ref="AF269:AF270" si="201">+O269*P269*(1-A269)</f>
        <v>0</v>
      </c>
      <c r="AG269" s="1">
        <f t="shared" ref="AG269:AG270" si="202">O269*(1-P269)*(1-A269)</f>
        <v>0</v>
      </c>
      <c r="AH269" s="1">
        <f t="shared" ref="AH269:AH270" si="203">+P269*(1-A269)</f>
        <v>0</v>
      </c>
      <c r="AI269" s="1">
        <f t="shared" ref="AI269:AI270" si="204">+(1-A269)*(1-P269)</f>
        <v>0</v>
      </c>
    </row>
    <row r="270" spans="1:35" ht="14.25" customHeight="1" x14ac:dyDescent="0.25">
      <c r="A270" s="44">
        <v>1</v>
      </c>
      <c r="B270" s="44">
        <v>1</v>
      </c>
      <c r="C270" s="44">
        <v>7</v>
      </c>
      <c r="D270" s="45" t="s">
        <v>870</v>
      </c>
      <c r="E270" s="45" t="s">
        <v>29</v>
      </c>
      <c r="F270" s="65" t="s">
        <v>2028</v>
      </c>
      <c r="G270" s="65" t="s">
        <v>209</v>
      </c>
      <c r="H270" s="45" t="s">
        <v>354</v>
      </c>
      <c r="I270" s="64" t="s">
        <v>2027</v>
      </c>
      <c r="J270" s="44">
        <v>99</v>
      </c>
      <c r="K270" s="46" t="s">
        <v>713</v>
      </c>
      <c r="L270" s="46" t="s">
        <v>696</v>
      </c>
      <c r="M270" s="47" t="s">
        <v>708</v>
      </c>
      <c r="N270" s="47" t="s">
        <v>1735</v>
      </c>
      <c r="O270" s="48"/>
      <c r="P270" s="48"/>
      <c r="Q270" s="45"/>
      <c r="S270" s="1">
        <f t="shared" si="189"/>
        <v>0</v>
      </c>
      <c r="T270" s="1">
        <f t="shared" si="190"/>
        <v>0</v>
      </c>
      <c r="U270" s="1">
        <f t="shared" si="191"/>
        <v>0</v>
      </c>
      <c r="V270" s="1">
        <f t="shared" si="192"/>
        <v>0</v>
      </c>
      <c r="W270" s="1">
        <f t="shared" si="193"/>
        <v>0</v>
      </c>
      <c r="X270" s="1">
        <f t="shared" si="194"/>
        <v>0</v>
      </c>
      <c r="Y270" s="1">
        <f t="shared" si="195"/>
        <v>0</v>
      </c>
      <c r="Z270" s="1">
        <f t="shared" si="196"/>
        <v>0</v>
      </c>
      <c r="AA270" s="1">
        <f t="shared" si="197"/>
        <v>0</v>
      </c>
      <c r="AB270" s="1">
        <f t="shared" si="198"/>
        <v>0</v>
      </c>
      <c r="AD270" s="1">
        <f t="shared" si="199"/>
        <v>0</v>
      </c>
      <c r="AE270" s="1">
        <f t="shared" si="200"/>
        <v>0</v>
      </c>
      <c r="AF270" s="1">
        <f t="shared" si="201"/>
        <v>0</v>
      </c>
      <c r="AG270" s="1">
        <f t="shared" si="202"/>
        <v>0</v>
      </c>
      <c r="AH270" s="1">
        <f t="shared" si="203"/>
        <v>0</v>
      </c>
      <c r="AI270" s="1">
        <f t="shared" si="204"/>
        <v>0</v>
      </c>
    </row>
    <row r="271" spans="1:35" ht="14.25" customHeight="1" x14ac:dyDescent="0.25">
      <c r="A271" s="31">
        <v>0</v>
      </c>
      <c r="B271" s="31">
        <v>1</v>
      </c>
      <c r="C271" s="31">
        <v>7</v>
      </c>
      <c r="D271" s="36" t="s">
        <v>96</v>
      </c>
      <c r="E271" s="32" t="s">
        <v>29</v>
      </c>
      <c r="F271" s="36" t="s">
        <v>292</v>
      </c>
      <c r="G271" s="36" t="s">
        <v>293</v>
      </c>
      <c r="H271" s="36" t="s">
        <v>354</v>
      </c>
      <c r="I271" s="37" t="s">
        <v>1117</v>
      </c>
      <c r="J271" s="31">
        <v>99</v>
      </c>
      <c r="K271" s="33" t="s">
        <v>713</v>
      </c>
      <c r="L271" s="33" t="s">
        <v>696</v>
      </c>
      <c r="M271" s="34" t="s">
        <v>708</v>
      </c>
      <c r="N271" s="34" t="s">
        <v>1748</v>
      </c>
      <c r="O271" s="35">
        <v>1</v>
      </c>
      <c r="P271" s="35"/>
      <c r="Q271" s="36"/>
      <c r="S271" s="1">
        <f t="shared" si="171"/>
        <v>0</v>
      </c>
      <c r="T271" s="1">
        <f t="shared" si="172"/>
        <v>0</v>
      </c>
      <c r="U271" s="1">
        <f t="shared" si="173"/>
        <v>0</v>
      </c>
      <c r="V271" s="1">
        <f t="shared" si="174"/>
        <v>0</v>
      </c>
      <c r="W271" s="1">
        <f t="shared" si="175"/>
        <v>0</v>
      </c>
      <c r="X271" s="1">
        <f t="shared" si="176"/>
        <v>0</v>
      </c>
      <c r="Y271" s="1">
        <f t="shared" si="177"/>
        <v>0</v>
      </c>
      <c r="Z271" s="1">
        <f t="shared" si="178"/>
        <v>0</v>
      </c>
      <c r="AA271" s="1">
        <f t="shared" si="179"/>
        <v>0</v>
      </c>
      <c r="AB271" s="1">
        <f t="shared" si="180"/>
        <v>0</v>
      </c>
      <c r="AD271" s="1">
        <f t="shared" si="181"/>
        <v>0</v>
      </c>
      <c r="AE271" s="1">
        <f t="shared" si="182"/>
        <v>1</v>
      </c>
      <c r="AF271" s="1">
        <f t="shared" si="167"/>
        <v>0</v>
      </c>
      <c r="AG271" s="1">
        <f t="shared" si="168"/>
        <v>1</v>
      </c>
      <c r="AH271" s="1">
        <f t="shared" si="169"/>
        <v>0</v>
      </c>
      <c r="AI271" s="1">
        <f t="shared" si="170"/>
        <v>1</v>
      </c>
    </row>
    <row r="272" spans="1:35" ht="14.25" customHeight="1" x14ac:dyDescent="0.25">
      <c r="A272" s="44">
        <v>0</v>
      </c>
      <c r="B272" s="44">
        <v>1</v>
      </c>
      <c r="C272" s="44">
        <v>7</v>
      </c>
      <c r="D272" s="45" t="s">
        <v>532</v>
      </c>
      <c r="E272" s="45" t="s">
        <v>29</v>
      </c>
      <c r="F272" s="45" t="s">
        <v>665</v>
      </c>
      <c r="G272" s="45" t="s">
        <v>39</v>
      </c>
      <c r="H272" s="45" t="s">
        <v>533</v>
      </c>
      <c r="I272" s="44" t="s">
        <v>1690</v>
      </c>
      <c r="J272" s="44">
        <v>14</v>
      </c>
      <c r="K272" s="46" t="s">
        <v>954</v>
      </c>
      <c r="L272" s="46">
        <v>40</v>
      </c>
      <c r="M272" s="47" t="s">
        <v>708</v>
      </c>
      <c r="N272" s="47" t="s">
        <v>1735</v>
      </c>
      <c r="O272" s="48"/>
      <c r="P272" s="48"/>
      <c r="Q272" s="45"/>
      <c r="S272" s="1">
        <f t="shared" si="171"/>
        <v>0</v>
      </c>
      <c r="T272" s="1">
        <f t="shared" si="172"/>
        <v>0</v>
      </c>
      <c r="U272" s="1">
        <f t="shared" si="173"/>
        <v>0</v>
      </c>
      <c r="V272" s="1">
        <f t="shared" si="174"/>
        <v>0</v>
      </c>
      <c r="W272" s="1">
        <f t="shared" si="175"/>
        <v>0</v>
      </c>
      <c r="X272" s="1">
        <f t="shared" si="176"/>
        <v>0</v>
      </c>
      <c r="Y272" s="1">
        <f t="shared" si="177"/>
        <v>0</v>
      </c>
      <c r="Z272" s="1">
        <f t="shared" si="178"/>
        <v>0</v>
      </c>
      <c r="AA272" s="1">
        <f t="shared" si="179"/>
        <v>0</v>
      </c>
      <c r="AB272" s="1">
        <f t="shared" si="180"/>
        <v>0</v>
      </c>
      <c r="AD272" s="1">
        <f t="shared" si="181"/>
        <v>0</v>
      </c>
      <c r="AE272" s="1">
        <f t="shared" si="182"/>
        <v>0</v>
      </c>
      <c r="AF272" s="1">
        <f t="shared" si="167"/>
        <v>0</v>
      </c>
      <c r="AG272" s="1">
        <f t="shared" si="168"/>
        <v>0</v>
      </c>
      <c r="AH272" s="1">
        <f t="shared" si="169"/>
        <v>0</v>
      </c>
      <c r="AI272" s="1">
        <f t="shared" si="170"/>
        <v>1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6" t="s">
        <v>1321</v>
      </c>
      <c r="E273" s="32" t="s">
        <v>29</v>
      </c>
      <c r="F273" s="36" t="s">
        <v>1345</v>
      </c>
      <c r="G273" s="36" t="s">
        <v>39</v>
      </c>
      <c r="H273" s="36" t="s">
        <v>354</v>
      </c>
      <c r="I273" s="37" t="s">
        <v>1150</v>
      </c>
      <c r="J273" s="31">
        <v>99</v>
      </c>
      <c r="K273" s="33" t="s">
        <v>713</v>
      </c>
      <c r="L273" s="33" t="s">
        <v>693</v>
      </c>
      <c r="M273" s="34" t="s">
        <v>1409</v>
      </c>
      <c r="N273" s="34" t="s">
        <v>1733</v>
      </c>
      <c r="O273" s="35">
        <v>1</v>
      </c>
      <c r="P273" s="35">
        <v>1</v>
      </c>
      <c r="Q273" s="36"/>
      <c r="S273" s="1">
        <f t="shared" si="171"/>
        <v>0</v>
      </c>
      <c r="T273" s="1">
        <f t="shared" si="172"/>
        <v>0</v>
      </c>
      <c r="U273" s="1">
        <f t="shared" si="173"/>
        <v>0</v>
      </c>
      <c r="V273" s="1">
        <f t="shared" si="174"/>
        <v>0</v>
      </c>
      <c r="W273" s="1">
        <f t="shared" si="175"/>
        <v>0</v>
      </c>
      <c r="X273" s="1">
        <f t="shared" si="176"/>
        <v>0</v>
      </c>
      <c r="Y273" s="1">
        <f t="shared" si="177"/>
        <v>0</v>
      </c>
      <c r="Z273" s="1">
        <f t="shared" si="178"/>
        <v>0</v>
      </c>
      <c r="AA273" s="1">
        <f t="shared" si="179"/>
        <v>0</v>
      </c>
      <c r="AB273" s="1">
        <f t="shared" si="180"/>
        <v>0</v>
      </c>
      <c r="AD273" s="1">
        <f t="shared" si="181"/>
        <v>1</v>
      </c>
      <c r="AE273" s="1">
        <f t="shared" si="182"/>
        <v>0</v>
      </c>
      <c r="AF273" s="1">
        <f t="shared" si="167"/>
        <v>1</v>
      </c>
      <c r="AG273" s="1">
        <f t="shared" si="168"/>
        <v>0</v>
      </c>
      <c r="AH273" s="1">
        <f t="shared" si="169"/>
        <v>1</v>
      </c>
      <c r="AI273" s="1">
        <f t="shared" si="170"/>
        <v>0</v>
      </c>
    </row>
    <row r="274" spans="1:35" ht="14.25" customHeight="1" x14ac:dyDescent="0.25">
      <c r="A274" s="44">
        <v>0</v>
      </c>
      <c r="B274" s="44">
        <v>1</v>
      </c>
      <c r="C274" s="44">
        <v>7</v>
      </c>
      <c r="D274" s="45" t="s">
        <v>97</v>
      </c>
      <c r="E274" s="45" t="s">
        <v>29</v>
      </c>
      <c r="F274" s="45" t="s">
        <v>295</v>
      </c>
      <c r="G274" s="45" t="s">
        <v>263</v>
      </c>
      <c r="H274" s="45" t="s">
        <v>354</v>
      </c>
      <c r="I274" s="44" t="s">
        <v>445</v>
      </c>
      <c r="J274" s="44">
        <v>1</v>
      </c>
      <c r="K274" s="46" t="s">
        <v>713</v>
      </c>
      <c r="L274" s="46" t="s">
        <v>694</v>
      </c>
      <c r="M274" s="47" t="s">
        <v>708</v>
      </c>
      <c r="N274" s="47" t="s">
        <v>1735</v>
      </c>
      <c r="O274" s="48"/>
      <c r="P274" s="48"/>
      <c r="Q274" s="45"/>
      <c r="S274" s="1">
        <f t="shared" si="171"/>
        <v>1</v>
      </c>
      <c r="T274" s="1">
        <f t="shared" si="172"/>
        <v>0</v>
      </c>
      <c r="U274" s="1">
        <f t="shared" si="173"/>
        <v>0</v>
      </c>
      <c r="V274" s="1">
        <f t="shared" si="174"/>
        <v>0</v>
      </c>
      <c r="W274" s="1">
        <f t="shared" si="175"/>
        <v>0</v>
      </c>
      <c r="X274" s="1">
        <f t="shared" si="176"/>
        <v>0</v>
      </c>
      <c r="Y274" s="1">
        <f t="shared" si="177"/>
        <v>0</v>
      </c>
      <c r="Z274" s="1">
        <f t="shared" si="178"/>
        <v>0</v>
      </c>
      <c r="AA274" s="1">
        <f t="shared" si="179"/>
        <v>0</v>
      </c>
      <c r="AB274" s="1">
        <f t="shared" si="180"/>
        <v>0</v>
      </c>
      <c r="AD274" s="1">
        <f t="shared" si="181"/>
        <v>0</v>
      </c>
      <c r="AE274" s="1">
        <f t="shared" si="182"/>
        <v>0</v>
      </c>
      <c r="AF274" s="1">
        <f t="shared" ref="AF274:AF339" si="205">+O274*P274*(1-A274)</f>
        <v>0</v>
      </c>
      <c r="AG274" s="1">
        <f t="shared" ref="AG274:AG339" si="206">O274*(1-P274)*(1-A274)</f>
        <v>0</v>
      </c>
      <c r="AH274" s="1">
        <f t="shared" ref="AH274:AH339" si="207">+P274*(1-A274)</f>
        <v>0</v>
      </c>
      <c r="AI274" s="1">
        <f t="shared" ref="AI274:AI339" si="208">+(1-A274)*(1-P274)</f>
        <v>1</v>
      </c>
    </row>
    <row r="275" spans="1:35" ht="14.25" customHeight="1" x14ac:dyDescent="0.25">
      <c r="A275" s="15">
        <v>0</v>
      </c>
      <c r="B275" s="15">
        <v>1</v>
      </c>
      <c r="C275" s="15">
        <v>7</v>
      </c>
      <c r="D275" s="16" t="s">
        <v>755</v>
      </c>
      <c r="E275" s="16" t="s">
        <v>29</v>
      </c>
      <c r="F275" s="16" t="s">
        <v>756</v>
      </c>
      <c r="G275" s="16" t="s">
        <v>39</v>
      </c>
      <c r="H275" s="16" t="s">
        <v>757</v>
      </c>
      <c r="I275" s="15" t="s">
        <v>758</v>
      </c>
      <c r="J275" s="15">
        <v>18</v>
      </c>
      <c r="K275" s="10" t="s">
        <v>703</v>
      </c>
      <c r="L275" s="10" t="s">
        <v>697</v>
      </c>
      <c r="M275" s="19" t="s">
        <v>708</v>
      </c>
      <c r="N275" s="17"/>
      <c r="Q275" s="16"/>
      <c r="S275" s="1">
        <f t="shared" si="171"/>
        <v>0</v>
      </c>
      <c r="T275" s="1">
        <f t="shared" si="172"/>
        <v>0</v>
      </c>
      <c r="U275" s="1">
        <f t="shared" si="173"/>
        <v>0</v>
      </c>
      <c r="V275" s="1">
        <f t="shared" si="174"/>
        <v>0</v>
      </c>
      <c r="W275" s="1">
        <f t="shared" si="175"/>
        <v>0</v>
      </c>
      <c r="X275" s="1">
        <f t="shared" si="176"/>
        <v>0</v>
      </c>
      <c r="Y275" s="1">
        <f t="shared" si="177"/>
        <v>0</v>
      </c>
      <c r="Z275" s="1">
        <f t="shared" si="178"/>
        <v>0</v>
      </c>
      <c r="AA275" s="1">
        <f t="shared" si="179"/>
        <v>0</v>
      </c>
      <c r="AB275" s="1">
        <f t="shared" si="180"/>
        <v>0</v>
      </c>
      <c r="AD275" s="1">
        <f t="shared" si="181"/>
        <v>0</v>
      </c>
      <c r="AE275" s="1">
        <f t="shared" si="182"/>
        <v>0</v>
      </c>
      <c r="AF275" s="1">
        <f t="shared" si="205"/>
        <v>0</v>
      </c>
      <c r="AG275" s="1">
        <f t="shared" si="206"/>
        <v>0</v>
      </c>
      <c r="AH275" s="1">
        <f t="shared" si="207"/>
        <v>0</v>
      </c>
      <c r="AI275" s="1">
        <f t="shared" si="208"/>
        <v>1</v>
      </c>
    </row>
    <row r="276" spans="1:35" ht="14.25" customHeight="1" x14ac:dyDescent="0.25">
      <c r="A276" s="15">
        <v>1</v>
      </c>
      <c r="B276" s="15">
        <v>1</v>
      </c>
      <c r="C276" s="15">
        <v>7</v>
      </c>
      <c r="D276" s="16" t="s">
        <v>755</v>
      </c>
      <c r="E276" s="16" t="s">
        <v>29</v>
      </c>
      <c r="F276" s="16" t="s">
        <v>759</v>
      </c>
      <c r="G276" s="16" t="s">
        <v>39</v>
      </c>
      <c r="H276" s="16" t="s">
        <v>745</v>
      </c>
      <c r="I276" s="15" t="s">
        <v>760</v>
      </c>
      <c r="J276" s="15">
        <v>17</v>
      </c>
      <c r="K276" s="10" t="s">
        <v>703</v>
      </c>
      <c r="L276" s="10" t="s">
        <v>697</v>
      </c>
      <c r="M276" s="19" t="s">
        <v>708</v>
      </c>
      <c r="N276" s="17"/>
      <c r="Q276" s="16"/>
      <c r="S276" s="1">
        <f t="shared" si="171"/>
        <v>0</v>
      </c>
      <c r="T276" s="1">
        <f t="shared" si="172"/>
        <v>0</v>
      </c>
      <c r="U276" s="1">
        <f t="shared" si="173"/>
        <v>0</v>
      </c>
      <c r="V276" s="1">
        <f t="shared" si="174"/>
        <v>0</v>
      </c>
      <c r="W276" s="1">
        <f t="shared" si="175"/>
        <v>0</v>
      </c>
      <c r="X276" s="1">
        <f t="shared" si="176"/>
        <v>0</v>
      </c>
      <c r="Y276" s="1">
        <f t="shared" si="177"/>
        <v>0</v>
      </c>
      <c r="Z276" s="1">
        <f t="shared" si="178"/>
        <v>0</v>
      </c>
      <c r="AA276" s="1">
        <f t="shared" si="179"/>
        <v>0</v>
      </c>
      <c r="AB276" s="1">
        <f t="shared" si="180"/>
        <v>0</v>
      </c>
      <c r="AD276" s="1">
        <f t="shared" si="181"/>
        <v>0</v>
      </c>
      <c r="AE276" s="1">
        <f t="shared" si="182"/>
        <v>0</v>
      </c>
      <c r="AF276" s="1">
        <f t="shared" si="205"/>
        <v>0</v>
      </c>
      <c r="AG276" s="1">
        <f t="shared" si="206"/>
        <v>0</v>
      </c>
      <c r="AH276" s="1">
        <f t="shared" si="207"/>
        <v>0</v>
      </c>
      <c r="AI276" s="1">
        <f t="shared" si="208"/>
        <v>0</v>
      </c>
    </row>
    <row r="277" spans="1:35" ht="14.25" customHeight="1" x14ac:dyDescent="0.25">
      <c r="A277" s="31">
        <v>0</v>
      </c>
      <c r="B277" s="31">
        <v>1</v>
      </c>
      <c r="C277" s="31">
        <v>7</v>
      </c>
      <c r="D277" s="36" t="s">
        <v>1518</v>
      </c>
      <c r="E277" s="32" t="s">
        <v>29</v>
      </c>
      <c r="F277" s="36" t="s">
        <v>1671</v>
      </c>
      <c r="G277" s="36" t="s">
        <v>1672</v>
      </c>
      <c r="H277" s="36" t="s">
        <v>354</v>
      </c>
      <c r="I277" s="37" t="s">
        <v>1519</v>
      </c>
      <c r="J277" s="31">
        <v>99</v>
      </c>
      <c r="K277" s="33" t="s">
        <v>713</v>
      </c>
      <c r="L277" s="33" t="s">
        <v>39</v>
      </c>
      <c r="M277" s="34" t="s">
        <v>39</v>
      </c>
      <c r="N277" s="34" t="s">
        <v>1727</v>
      </c>
      <c r="O277" s="35">
        <v>1</v>
      </c>
      <c r="P277" s="35">
        <v>1</v>
      </c>
      <c r="Q277" s="36"/>
      <c r="S277" s="1">
        <f t="shared" si="171"/>
        <v>0</v>
      </c>
      <c r="T277" s="1">
        <f t="shared" si="172"/>
        <v>0</v>
      </c>
      <c r="U277" s="1">
        <f t="shared" si="173"/>
        <v>0</v>
      </c>
      <c r="V277" s="1">
        <f t="shared" si="174"/>
        <v>0</v>
      </c>
      <c r="W277" s="1">
        <f t="shared" si="175"/>
        <v>0</v>
      </c>
      <c r="X277" s="1">
        <f t="shared" si="176"/>
        <v>0</v>
      </c>
      <c r="Y277" s="1">
        <f t="shared" si="177"/>
        <v>0</v>
      </c>
      <c r="Z277" s="1">
        <f t="shared" si="178"/>
        <v>0</v>
      </c>
      <c r="AA277" s="1">
        <f t="shared" si="179"/>
        <v>0</v>
      </c>
      <c r="AB277" s="1">
        <f t="shared" si="180"/>
        <v>0</v>
      </c>
      <c r="AD277" s="1">
        <f t="shared" si="181"/>
        <v>1</v>
      </c>
      <c r="AE277" s="1">
        <f t="shared" si="182"/>
        <v>0</v>
      </c>
      <c r="AF277" s="1">
        <f t="shared" si="205"/>
        <v>1</v>
      </c>
      <c r="AG277" s="1">
        <f t="shared" si="206"/>
        <v>0</v>
      </c>
      <c r="AH277" s="1">
        <f t="shared" si="207"/>
        <v>1</v>
      </c>
      <c r="AI277" s="1">
        <f t="shared" si="208"/>
        <v>0</v>
      </c>
    </row>
    <row r="278" spans="1:35" ht="14.25" customHeight="1" x14ac:dyDescent="0.25">
      <c r="A278" s="15">
        <v>0</v>
      </c>
      <c r="B278" s="15">
        <v>1</v>
      </c>
      <c r="C278" s="15">
        <v>7</v>
      </c>
      <c r="D278" s="16" t="s">
        <v>1144</v>
      </c>
      <c r="E278" s="16" t="s">
        <v>29</v>
      </c>
      <c r="F278" s="16" t="s">
        <v>1145</v>
      </c>
      <c r="G278" s="16" t="s">
        <v>1147</v>
      </c>
      <c r="H278" s="16" t="s">
        <v>354</v>
      </c>
      <c r="I278" s="15" t="s">
        <v>1146</v>
      </c>
      <c r="J278" s="15">
        <v>99</v>
      </c>
      <c r="K278" s="10" t="s">
        <v>703</v>
      </c>
      <c r="L278" s="10">
        <v>30</v>
      </c>
      <c r="M278" s="19" t="s">
        <v>1410</v>
      </c>
      <c r="N278" s="19"/>
      <c r="Q278" s="16"/>
      <c r="S278" s="1">
        <f t="shared" ref="S278:S343" si="209">IF(J278=$S$7,1,0)</f>
        <v>0</v>
      </c>
      <c r="T278" s="1">
        <f t="shared" ref="T278:T343" si="210">IF(J278=$T$7,1,0)</f>
        <v>0</v>
      </c>
      <c r="U278" s="1">
        <f t="shared" ref="U278:U343" si="211">IF(J278=$U$7,1,0)</f>
        <v>0</v>
      </c>
      <c r="V278" s="1">
        <f t="shared" ref="V278:V343" si="212">IF(J278=$V$7,1,0)</f>
        <v>0</v>
      </c>
      <c r="W278" s="1">
        <f t="shared" ref="W278:W343" si="213">IF(J278=$W$7,1,0)</f>
        <v>0</v>
      </c>
      <c r="X278" s="1">
        <f t="shared" ref="X278:X343" si="214">IF(J278=$X$7,1,0)</f>
        <v>0</v>
      </c>
      <c r="Y278" s="1">
        <f t="shared" ref="Y278:Y343" si="215">IF(J278=$Y$7,1,0)</f>
        <v>0</v>
      </c>
      <c r="Z278" s="1">
        <f t="shared" ref="Z278:Z343" si="216">IF(J278=$Z$7,1,0)</f>
        <v>0</v>
      </c>
      <c r="AA278" s="1">
        <f t="shared" ref="AA278:AA343" si="217">IF(J278=$AA$7,1,0)</f>
        <v>0</v>
      </c>
      <c r="AB278" s="1">
        <f t="shared" ref="AB278:AB343" si="218">IF(J278=$AB$7,1,0)</f>
        <v>0</v>
      </c>
      <c r="AD278" s="1">
        <f t="shared" ref="AD278:AD343" si="219">+O278*P278</f>
        <v>0</v>
      </c>
      <c r="AE278" s="1">
        <f t="shared" ref="AE278:AE343" si="220">O278*(1-P278)</f>
        <v>0</v>
      </c>
      <c r="AF278" s="1">
        <f t="shared" si="205"/>
        <v>0</v>
      </c>
      <c r="AG278" s="1">
        <f t="shared" si="206"/>
        <v>0</v>
      </c>
      <c r="AH278" s="1">
        <f t="shared" si="207"/>
        <v>0</v>
      </c>
      <c r="AI278" s="1">
        <f t="shared" si="208"/>
        <v>1</v>
      </c>
    </row>
    <row r="279" spans="1:35" ht="14.25" customHeight="1" x14ac:dyDescent="0.25">
      <c r="A279" s="44">
        <v>0</v>
      </c>
      <c r="B279" s="44">
        <v>1</v>
      </c>
      <c r="C279" s="44">
        <v>7</v>
      </c>
      <c r="D279" s="45" t="s">
        <v>99</v>
      </c>
      <c r="E279" s="45" t="s">
        <v>29</v>
      </c>
      <c r="F279" s="45" t="s">
        <v>297</v>
      </c>
      <c r="G279" s="45" t="s">
        <v>197</v>
      </c>
      <c r="H279" s="45" t="s">
        <v>354</v>
      </c>
      <c r="I279" s="44" t="s">
        <v>446</v>
      </c>
      <c r="J279" s="44">
        <v>9</v>
      </c>
      <c r="K279" s="46" t="s">
        <v>703</v>
      </c>
      <c r="L279" s="46">
        <v>30</v>
      </c>
      <c r="M279" s="47" t="s">
        <v>708</v>
      </c>
      <c r="N279" s="47" t="s">
        <v>1735</v>
      </c>
      <c r="O279" s="48"/>
      <c r="P279" s="48"/>
      <c r="Q279" s="45"/>
      <c r="S279" s="1">
        <f t="shared" si="209"/>
        <v>0</v>
      </c>
      <c r="T279" s="1">
        <f t="shared" si="210"/>
        <v>0</v>
      </c>
      <c r="U279" s="1">
        <f t="shared" si="211"/>
        <v>0</v>
      </c>
      <c r="V279" s="1">
        <f t="shared" si="212"/>
        <v>0</v>
      </c>
      <c r="W279" s="1">
        <f t="shared" si="213"/>
        <v>0</v>
      </c>
      <c r="X279" s="1">
        <f t="shared" si="214"/>
        <v>0</v>
      </c>
      <c r="Y279" s="1">
        <f t="shared" si="215"/>
        <v>0</v>
      </c>
      <c r="Z279" s="1">
        <f t="shared" si="216"/>
        <v>0</v>
      </c>
      <c r="AA279" s="1">
        <f t="shared" si="217"/>
        <v>1</v>
      </c>
      <c r="AB279" s="1">
        <f t="shared" si="218"/>
        <v>0</v>
      </c>
      <c r="AD279" s="1">
        <f t="shared" si="219"/>
        <v>0</v>
      </c>
      <c r="AE279" s="1">
        <f t="shared" si="220"/>
        <v>0</v>
      </c>
      <c r="AF279" s="1">
        <f t="shared" si="205"/>
        <v>0</v>
      </c>
      <c r="AG279" s="1">
        <f t="shared" si="206"/>
        <v>0</v>
      </c>
      <c r="AH279" s="1">
        <f t="shared" si="207"/>
        <v>0</v>
      </c>
      <c r="AI279" s="1">
        <f t="shared" si="208"/>
        <v>1</v>
      </c>
    </row>
    <row r="280" spans="1:35" ht="14.25" customHeight="1" x14ac:dyDescent="0.25">
      <c r="A280" s="44">
        <v>0</v>
      </c>
      <c r="B280" s="44">
        <v>1</v>
      </c>
      <c r="C280" s="44">
        <v>7</v>
      </c>
      <c r="D280" s="45" t="s">
        <v>803</v>
      </c>
      <c r="E280" s="45" t="s">
        <v>29</v>
      </c>
      <c r="F280" s="45" t="s">
        <v>782</v>
      </c>
      <c r="G280" s="45" t="s">
        <v>804</v>
      </c>
      <c r="H280" s="45" t="s">
        <v>354</v>
      </c>
      <c r="I280" s="44" t="s">
        <v>952</v>
      </c>
      <c r="J280" s="44">
        <v>99</v>
      </c>
      <c r="K280" s="46" t="s">
        <v>713</v>
      </c>
      <c r="L280" s="46" t="s">
        <v>694</v>
      </c>
      <c r="M280" s="47" t="s">
        <v>708</v>
      </c>
      <c r="N280" s="47" t="s">
        <v>1802</v>
      </c>
      <c r="O280" s="48"/>
      <c r="P280" s="48"/>
      <c r="Q280" s="45"/>
      <c r="S280" s="1">
        <f t="shared" si="209"/>
        <v>0</v>
      </c>
      <c r="T280" s="1">
        <f t="shared" si="210"/>
        <v>0</v>
      </c>
      <c r="U280" s="1">
        <f t="shared" si="211"/>
        <v>0</v>
      </c>
      <c r="V280" s="1">
        <f t="shared" si="212"/>
        <v>0</v>
      </c>
      <c r="W280" s="1">
        <f t="shared" si="213"/>
        <v>0</v>
      </c>
      <c r="X280" s="1">
        <f t="shared" si="214"/>
        <v>0</v>
      </c>
      <c r="Y280" s="1">
        <f t="shared" si="215"/>
        <v>0</v>
      </c>
      <c r="Z280" s="1">
        <f t="shared" si="216"/>
        <v>0</v>
      </c>
      <c r="AA280" s="1">
        <f t="shared" si="217"/>
        <v>0</v>
      </c>
      <c r="AB280" s="1">
        <f t="shared" si="218"/>
        <v>0</v>
      </c>
      <c r="AD280" s="1">
        <f t="shared" si="219"/>
        <v>0</v>
      </c>
      <c r="AE280" s="1">
        <f t="shared" si="220"/>
        <v>0</v>
      </c>
      <c r="AF280" s="1">
        <f t="shared" si="205"/>
        <v>0</v>
      </c>
      <c r="AG280" s="1">
        <f t="shared" si="206"/>
        <v>0</v>
      </c>
      <c r="AH280" s="1">
        <f t="shared" si="207"/>
        <v>0</v>
      </c>
      <c r="AI280" s="1">
        <f t="shared" si="208"/>
        <v>1</v>
      </c>
    </row>
    <row r="281" spans="1:35" ht="14.25" customHeight="1" x14ac:dyDescent="0.25">
      <c r="A281" s="44">
        <v>0</v>
      </c>
      <c r="B281" s="44">
        <v>1</v>
      </c>
      <c r="C281" s="44">
        <v>7</v>
      </c>
      <c r="D281" s="45" t="s">
        <v>1324</v>
      </c>
      <c r="E281" s="45" t="s">
        <v>29</v>
      </c>
      <c r="F281" s="45" t="s">
        <v>1347</v>
      </c>
      <c r="G281" s="45" t="s">
        <v>1181</v>
      </c>
      <c r="H281" s="45" t="s">
        <v>354</v>
      </c>
      <c r="I281" s="44" t="s">
        <v>1692</v>
      </c>
      <c r="J281" s="44">
        <v>99</v>
      </c>
      <c r="K281" s="46" t="s">
        <v>713</v>
      </c>
      <c r="L281" s="46" t="s">
        <v>694</v>
      </c>
      <c r="M281" s="47" t="s">
        <v>1411</v>
      </c>
      <c r="N281" s="47" t="s">
        <v>1738</v>
      </c>
      <c r="O281" s="48"/>
      <c r="P281" s="48"/>
      <c r="Q281" s="45"/>
      <c r="S281" s="1">
        <f t="shared" si="209"/>
        <v>0</v>
      </c>
      <c r="T281" s="1">
        <f t="shared" si="210"/>
        <v>0</v>
      </c>
      <c r="U281" s="1">
        <f t="shared" si="211"/>
        <v>0</v>
      </c>
      <c r="V281" s="1">
        <f t="shared" si="212"/>
        <v>0</v>
      </c>
      <c r="W281" s="1">
        <f t="shared" si="213"/>
        <v>0</v>
      </c>
      <c r="X281" s="1">
        <f t="shared" si="214"/>
        <v>0</v>
      </c>
      <c r="Y281" s="1">
        <f t="shared" si="215"/>
        <v>0</v>
      </c>
      <c r="Z281" s="1">
        <f t="shared" si="216"/>
        <v>0</v>
      </c>
      <c r="AA281" s="1">
        <f t="shared" si="217"/>
        <v>0</v>
      </c>
      <c r="AB281" s="1">
        <f t="shared" si="218"/>
        <v>0</v>
      </c>
      <c r="AD281" s="1">
        <f t="shared" si="219"/>
        <v>0</v>
      </c>
      <c r="AE281" s="1">
        <f t="shared" si="220"/>
        <v>0</v>
      </c>
      <c r="AF281" s="1">
        <f t="shared" si="205"/>
        <v>0</v>
      </c>
      <c r="AG281" s="1">
        <f t="shared" si="206"/>
        <v>0</v>
      </c>
      <c r="AH281" s="1">
        <f t="shared" si="207"/>
        <v>0</v>
      </c>
      <c r="AI281" s="1">
        <f t="shared" si="208"/>
        <v>1</v>
      </c>
    </row>
    <row r="282" spans="1:35" ht="14.25" customHeight="1" x14ac:dyDescent="0.25">
      <c r="A282" s="15">
        <v>0</v>
      </c>
      <c r="B282" s="15">
        <v>1</v>
      </c>
      <c r="C282" s="15">
        <v>7</v>
      </c>
      <c r="D282" s="16" t="s">
        <v>1279</v>
      </c>
      <c r="E282" s="16" t="s">
        <v>29</v>
      </c>
      <c r="F282" s="16" t="s">
        <v>1280</v>
      </c>
      <c r="G282" s="16" t="s">
        <v>1281</v>
      </c>
      <c r="H282" s="16" t="s">
        <v>354</v>
      </c>
      <c r="I282" s="15" t="s">
        <v>1282</v>
      </c>
      <c r="J282" s="15">
        <v>99</v>
      </c>
      <c r="K282" s="10" t="s">
        <v>713</v>
      </c>
      <c r="L282" s="10" t="s">
        <v>694</v>
      </c>
      <c r="M282" s="19" t="s">
        <v>708</v>
      </c>
      <c r="N282" s="17"/>
      <c r="Q282" s="16"/>
      <c r="S282" s="1">
        <f t="shared" si="209"/>
        <v>0</v>
      </c>
      <c r="T282" s="1">
        <f t="shared" si="210"/>
        <v>0</v>
      </c>
      <c r="U282" s="1">
        <f t="shared" si="211"/>
        <v>0</v>
      </c>
      <c r="V282" s="1">
        <f t="shared" si="212"/>
        <v>0</v>
      </c>
      <c r="W282" s="1">
        <f t="shared" si="213"/>
        <v>0</v>
      </c>
      <c r="X282" s="1">
        <f t="shared" si="214"/>
        <v>0</v>
      </c>
      <c r="Y282" s="1">
        <f t="shared" si="215"/>
        <v>0</v>
      </c>
      <c r="Z282" s="1">
        <f t="shared" si="216"/>
        <v>0</v>
      </c>
      <c r="AA282" s="1">
        <f t="shared" si="217"/>
        <v>0</v>
      </c>
      <c r="AB282" s="1">
        <f t="shared" si="218"/>
        <v>0</v>
      </c>
      <c r="AD282" s="1">
        <f t="shared" si="219"/>
        <v>0</v>
      </c>
      <c r="AE282" s="1">
        <f t="shared" si="220"/>
        <v>0</v>
      </c>
      <c r="AF282" s="1">
        <f t="shared" si="205"/>
        <v>0</v>
      </c>
      <c r="AG282" s="1">
        <f t="shared" si="206"/>
        <v>0</v>
      </c>
      <c r="AH282" s="1">
        <f t="shared" si="207"/>
        <v>0</v>
      </c>
      <c r="AI282" s="1">
        <f t="shared" si="208"/>
        <v>1</v>
      </c>
    </row>
    <row r="283" spans="1:35" ht="14.25" customHeight="1" x14ac:dyDescent="0.25">
      <c r="A283" s="31">
        <v>0</v>
      </c>
      <c r="B283" s="31">
        <v>1</v>
      </c>
      <c r="C283" s="31">
        <v>7</v>
      </c>
      <c r="D283" s="32" t="s">
        <v>709</v>
      </c>
      <c r="E283" s="32" t="s">
        <v>29</v>
      </c>
      <c r="F283" s="32" t="s">
        <v>710</v>
      </c>
      <c r="G283" s="32" t="s">
        <v>184</v>
      </c>
      <c r="H283" s="32" t="s">
        <v>354</v>
      </c>
      <c r="I283" s="31" t="s">
        <v>711</v>
      </c>
      <c r="J283" s="31">
        <v>99</v>
      </c>
      <c r="K283" s="33" t="s">
        <v>955</v>
      </c>
      <c r="L283" s="33" t="s">
        <v>39</v>
      </c>
      <c r="M283" s="34" t="s">
        <v>39</v>
      </c>
      <c r="N283" s="34" t="s">
        <v>1733</v>
      </c>
      <c r="O283" s="35">
        <v>1</v>
      </c>
      <c r="P283" s="35">
        <v>1</v>
      </c>
      <c r="Q283" s="32"/>
      <c r="S283" s="1">
        <f t="shared" si="209"/>
        <v>0</v>
      </c>
      <c r="T283" s="1">
        <f t="shared" si="210"/>
        <v>0</v>
      </c>
      <c r="U283" s="1">
        <f t="shared" si="211"/>
        <v>0</v>
      </c>
      <c r="V283" s="1">
        <f t="shared" si="212"/>
        <v>0</v>
      </c>
      <c r="W283" s="1">
        <f t="shared" si="213"/>
        <v>0</v>
      </c>
      <c r="X283" s="1">
        <f t="shared" si="214"/>
        <v>0</v>
      </c>
      <c r="Y283" s="1">
        <f t="shared" si="215"/>
        <v>0</v>
      </c>
      <c r="Z283" s="1">
        <f t="shared" si="216"/>
        <v>0</v>
      </c>
      <c r="AA283" s="1">
        <f t="shared" si="217"/>
        <v>0</v>
      </c>
      <c r="AB283" s="1">
        <f t="shared" si="218"/>
        <v>0</v>
      </c>
      <c r="AD283" s="1">
        <f t="shared" si="219"/>
        <v>1</v>
      </c>
      <c r="AE283" s="1">
        <f t="shared" si="220"/>
        <v>0</v>
      </c>
      <c r="AF283" s="1">
        <f t="shared" si="205"/>
        <v>1</v>
      </c>
      <c r="AG283" s="1">
        <f t="shared" si="206"/>
        <v>0</v>
      </c>
      <c r="AH283" s="1">
        <f t="shared" si="207"/>
        <v>1</v>
      </c>
      <c r="AI283" s="1">
        <f t="shared" si="208"/>
        <v>0</v>
      </c>
    </row>
    <row r="284" spans="1:35" ht="14.25" customHeight="1" x14ac:dyDescent="0.25">
      <c r="A284" s="31">
        <v>0</v>
      </c>
      <c r="B284" s="31">
        <v>2</v>
      </c>
      <c r="C284" s="31">
        <v>1</v>
      </c>
      <c r="D284" s="32" t="s">
        <v>536</v>
      </c>
      <c r="E284" s="32" t="s">
        <v>34</v>
      </c>
      <c r="F284" s="32" t="s">
        <v>537</v>
      </c>
      <c r="G284" s="32" t="s">
        <v>220</v>
      </c>
      <c r="H284" s="32" t="s">
        <v>354</v>
      </c>
      <c r="I284" s="31" t="s">
        <v>538</v>
      </c>
      <c r="J284" s="31">
        <v>8</v>
      </c>
      <c r="K284" s="33" t="s">
        <v>713</v>
      </c>
      <c r="L284" s="33" t="s">
        <v>713</v>
      </c>
      <c r="M284" s="34" t="s">
        <v>714</v>
      </c>
      <c r="N284" s="34" t="s">
        <v>1748</v>
      </c>
      <c r="O284" s="35">
        <v>1</v>
      </c>
      <c r="P284" s="35"/>
      <c r="Q284" s="32"/>
      <c r="S284" s="1">
        <f t="shared" si="209"/>
        <v>0</v>
      </c>
      <c r="T284" s="1">
        <f t="shared" si="210"/>
        <v>0</v>
      </c>
      <c r="U284" s="1">
        <f t="shared" si="211"/>
        <v>0</v>
      </c>
      <c r="V284" s="1">
        <f t="shared" si="212"/>
        <v>0</v>
      </c>
      <c r="W284" s="1">
        <f t="shared" si="213"/>
        <v>0</v>
      </c>
      <c r="X284" s="1">
        <f t="shared" si="214"/>
        <v>0</v>
      </c>
      <c r="Y284" s="1">
        <f t="shared" si="215"/>
        <v>0</v>
      </c>
      <c r="Z284" s="1">
        <f t="shared" si="216"/>
        <v>1</v>
      </c>
      <c r="AA284" s="1">
        <f t="shared" si="217"/>
        <v>0</v>
      </c>
      <c r="AB284" s="1">
        <f t="shared" si="218"/>
        <v>0</v>
      </c>
      <c r="AD284" s="1">
        <f t="shared" si="219"/>
        <v>0</v>
      </c>
      <c r="AE284" s="1">
        <f t="shared" si="220"/>
        <v>1</v>
      </c>
      <c r="AF284" s="1">
        <f t="shared" si="205"/>
        <v>0</v>
      </c>
      <c r="AG284" s="1">
        <f t="shared" si="206"/>
        <v>1</v>
      </c>
      <c r="AH284" s="1">
        <f t="shared" si="207"/>
        <v>0</v>
      </c>
      <c r="AI284" s="1">
        <f t="shared" si="208"/>
        <v>1</v>
      </c>
    </row>
    <row r="285" spans="1:35" ht="14.25" customHeight="1" x14ac:dyDescent="0.25">
      <c r="A285" s="31">
        <v>0</v>
      </c>
      <c r="B285" s="31">
        <v>2</v>
      </c>
      <c r="C285" s="31">
        <v>1</v>
      </c>
      <c r="D285" s="32" t="s">
        <v>1290</v>
      </c>
      <c r="E285" s="32" t="s">
        <v>561</v>
      </c>
      <c r="F285" s="32" t="s">
        <v>1291</v>
      </c>
      <c r="G285" s="32" t="s">
        <v>230</v>
      </c>
      <c r="H285" s="32" t="s">
        <v>354</v>
      </c>
      <c r="I285" s="31" t="s">
        <v>1292</v>
      </c>
      <c r="J285" s="31">
        <v>7</v>
      </c>
      <c r="K285" s="33" t="s">
        <v>713</v>
      </c>
      <c r="L285" s="33" t="s">
        <v>713</v>
      </c>
      <c r="M285" s="34" t="s">
        <v>714</v>
      </c>
      <c r="N285" s="34" t="s">
        <v>1756</v>
      </c>
      <c r="O285" s="35">
        <v>1</v>
      </c>
      <c r="P285" s="35"/>
      <c r="Q285" s="32"/>
      <c r="S285" s="1">
        <f t="shared" si="209"/>
        <v>0</v>
      </c>
      <c r="T285" s="1">
        <f t="shared" si="210"/>
        <v>0</v>
      </c>
      <c r="U285" s="1">
        <f t="shared" si="211"/>
        <v>0</v>
      </c>
      <c r="V285" s="1">
        <f t="shared" si="212"/>
        <v>0</v>
      </c>
      <c r="W285" s="1">
        <f t="shared" si="213"/>
        <v>0</v>
      </c>
      <c r="X285" s="1">
        <f t="shared" si="214"/>
        <v>0</v>
      </c>
      <c r="Y285" s="1">
        <f t="shared" si="215"/>
        <v>1</v>
      </c>
      <c r="Z285" s="1">
        <f t="shared" si="216"/>
        <v>0</v>
      </c>
      <c r="AA285" s="1">
        <f t="shared" si="217"/>
        <v>0</v>
      </c>
      <c r="AB285" s="1">
        <f t="shared" si="218"/>
        <v>0</v>
      </c>
      <c r="AD285" s="1">
        <f t="shared" si="219"/>
        <v>0</v>
      </c>
      <c r="AE285" s="1">
        <f t="shared" si="220"/>
        <v>1</v>
      </c>
      <c r="AF285" s="1">
        <f t="shared" si="205"/>
        <v>0</v>
      </c>
      <c r="AG285" s="1">
        <f t="shared" si="206"/>
        <v>1</v>
      </c>
      <c r="AH285" s="1">
        <f t="shared" si="207"/>
        <v>0</v>
      </c>
      <c r="AI285" s="1">
        <f t="shared" si="208"/>
        <v>1</v>
      </c>
    </row>
    <row r="286" spans="1:35" ht="14.25" customHeight="1" x14ac:dyDescent="0.25">
      <c r="A286" s="31">
        <v>0</v>
      </c>
      <c r="B286" s="31">
        <v>2</v>
      </c>
      <c r="C286" s="31">
        <v>1</v>
      </c>
      <c r="D286" s="32" t="s">
        <v>1326</v>
      </c>
      <c r="E286" s="32" t="s">
        <v>561</v>
      </c>
      <c r="F286" s="32" t="s">
        <v>1988</v>
      </c>
      <c r="G286" s="32" t="s">
        <v>213</v>
      </c>
      <c r="H286" s="32" t="s">
        <v>354</v>
      </c>
      <c r="I286" s="31" t="s">
        <v>1156</v>
      </c>
      <c r="J286" s="31">
        <v>1</v>
      </c>
      <c r="K286" s="33" t="s">
        <v>954</v>
      </c>
      <c r="L286" s="33" t="s">
        <v>713</v>
      </c>
      <c r="M286" s="34" t="s">
        <v>714</v>
      </c>
      <c r="N286" s="34" t="s">
        <v>1761</v>
      </c>
      <c r="O286" s="35">
        <v>1</v>
      </c>
      <c r="P286" s="35"/>
      <c r="Q286" s="32"/>
      <c r="S286" s="1">
        <f t="shared" si="209"/>
        <v>1</v>
      </c>
      <c r="T286" s="1">
        <f t="shared" si="210"/>
        <v>0</v>
      </c>
      <c r="U286" s="1">
        <f t="shared" si="211"/>
        <v>0</v>
      </c>
      <c r="V286" s="1">
        <f t="shared" si="212"/>
        <v>0</v>
      </c>
      <c r="W286" s="1">
        <f t="shared" si="213"/>
        <v>0</v>
      </c>
      <c r="X286" s="1">
        <f t="shared" si="214"/>
        <v>0</v>
      </c>
      <c r="Y286" s="1">
        <f t="shared" si="215"/>
        <v>0</v>
      </c>
      <c r="Z286" s="1">
        <f t="shared" si="216"/>
        <v>0</v>
      </c>
      <c r="AA286" s="1">
        <f t="shared" si="217"/>
        <v>0</v>
      </c>
      <c r="AB286" s="1">
        <f t="shared" si="218"/>
        <v>0</v>
      </c>
      <c r="AD286" s="1">
        <f t="shared" si="219"/>
        <v>0</v>
      </c>
      <c r="AE286" s="1">
        <f t="shared" si="220"/>
        <v>1</v>
      </c>
      <c r="AF286" s="1">
        <f t="shared" si="205"/>
        <v>0</v>
      </c>
      <c r="AG286" s="1">
        <f t="shared" si="206"/>
        <v>1</v>
      </c>
      <c r="AH286" s="1">
        <f t="shared" si="207"/>
        <v>0</v>
      </c>
      <c r="AI286" s="1">
        <f t="shared" si="208"/>
        <v>1</v>
      </c>
    </row>
    <row r="287" spans="1:35" s="1" customFormat="1" ht="14.25" customHeight="1" x14ac:dyDescent="0.25">
      <c r="A287" s="31">
        <v>0</v>
      </c>
      <c r="B287" s="31">
        <v>2</v>
      </c>
      <c r="C287" s="31">
        <v>1</v>
      </c>
      <c r="D287" s="32" t="s">
        <v>1327</v>
      </c>
      <c r="E287" s="32" t="s">
        <v>561</v>
      </c>
      <c r="F287" s="32" t="s">
        <v>1151</v>
      </c>
      <c r="G287" s="32" t="s">
        <v>285</v>
      </c>
      <c r="H287" s="32" t="s">
        <v>354</v>
      </c>
      <c r="I287" s="31" t="s">
        <v>1152</v>
      </c>
      <c r="J287" s="31">
        <v>10</v>
      </c>
      <c r="K287" s="33" t="s">
        <v>954</v>
      </c>
      <c r="L287" s="33" t="s">
        <v>713</v>
      </c>
      <c r="M287" s="34" t="s">
        <v>714</v>
      </c>
      <c r="N287" s="34" t="s">
        <v>1761</v>
      </c>
      <c r="O287" s="35">
        <v>1</v>
      </c>
      <c r="P287" s="35"/>
      <c r="Q287" s="32"/>
      <c r="S287" s="1">
        <f t="shared" si="209"/>
        <v>0</v>
      </c>
      <c r="T287" s="1">
        <f t="shared" si="210"/>
        <v>0</v>
      </c>
      <c r="U287" s="1">
        <f t="shared" si="211"/>
        <v>0</v>
      </c>
      <c r="V287" s="1">
        <f t="shared" si="212"/>
        <v>0</v>
      </c>
      <c r="W287" s="1">
        <f t="shared" si="213"/>
        <v>0</v>
      </c>
      <c r="X287" s="1">
        <f t="shared" si="214"/>
        <v>0</v>
      </c>
      <c r="Y287" s="1">
        <f t="shared" si="215"/>
        <v>0</v>
      </c>
      <c r="Z287" s="1">
        <f t="shared" si="216"/>
        <v>0</v>
      </c>
      <c r="AA287" s="1">
        <f t="shared" si="217"/>
        <v>0</v>
      </c>
      <c r="AB287" s="1">
        <f t="shared" si="218"/>
        <v>1</v>
      </c>
      <c r="AD287" s="1">
        <f t="shared" si="219"/>
        <v>0</v>
      </c>
      <c r="AE287" s="1">
        <f t="shared" si="220"/>
        <v>1</v>
      </c>
      <c r="AF287" s="1">
        <f t="shared" si="205"/>
        <v>0</v>
      </c>
      <c r="AG287" s="1">
        <f t="shared" si="206"/>
        <v>1</v>
      </c>
      <c r="AH287" s="1">
        <f t="shared" si="207"/>
        <v>0</v>
      </c>
      <c r="AI287" s="1">
        <f t="shared" si="208"/>
        <v>1</v>
      </c>
    </row>
    <row r="288" spans="1:35" s="1" customFormat="1" ht="14.25" customHeight="1" x14ac:dyDescent="0.25">
      <c r="A288" s="15">
        <v>0</v>
      </c>
      <c r="B288" s="15">
        <v>2</v>
      </c>
      <c r="C288" s="15">
        <v>1</v>
      </c>
      <c r="D288" s="20" t="s">
        <v>2069</v>
      </c>
      <c r="E288" s="20" t="s">
        <v>36</v>
      </c>
      <c r="F288" s="20" t="s">
        <v>2070</v>
      </c>
      <c r="G288" s="20" t="s">
        <v>1483</v>
      </c>
      <c r="H288" s="20" t="s">
        <v>354</v>
      </c>
      <c r="I288" s="21" t="s">
        <v>2072</v>
      </c>
      <c r="J288" s="15">
        <v>99</v>
      </c>
      <c r="K288" s="10" t="s">
        <v>703</v>
      </c>
      <c r="L288" s="10">
        <v>7</v>
      </c>
      <c r="M288" s="19" t="s">
        <v>2071</v>
      </c>
      <c r="N288" s="19"/>
      <c r="Q288" s="20" t="s">
        <v>2073</v>
      </c>
      <c r="S288" s="1">
        <f t="shared" si="209"/>
        <v>0</v>
      </c>
      <c r="T288" s="1">
        <f t="shared" si="210"/>
        <v>0</v>
      </c>
      <c r="U288" s="1">
        <f t="shared" si="211"/>
        <v>0</v>
      </c>
      <c r="V288" s="1">
        <f t="shared" si="212"/>
        <v>0</v>
      </c>
      <c r="W288" s="1">
        <f t="shared" si="213"/>
        <v>0</v>
      </c>
      <c r="X288" s="1">
        <f t="shared" si="214"/>
        <v>0</v>
      </c>
      <c r="Y288" s="1">
        <f t="shared" si="215"/>
        <v>0</v>
      </c>
      <c r="Z288" s="1">
        <f t="shared" si="216"/>
        <v>0</v>
      </c>
      <c r="AA288" s="1">
        <f t="shared" si="217"/>
        <v>0</v>
      </c>
      <c r="AB288" s="1">
        <f t="shared" si="218"/>
        <v>0</v>
      </c>
      <c r="AD288" s="1">
        <f t="shared" ref="AD288:AD292" si="221">+O288*P288</f>
        <v>0</v>
      </c>
      <c r="AE288" s="1">
        <f t="shared" ref="AE288:AE292" si="222">O288*(1-P288)</f>
        <v>0</v>
      </c>
      <c r="AF288" s="1">
        <f t="shared" ref="AF288:AF292" si="223">+O288*P288*(1-A288)</f>
        <v>0</v>
      </c>
      <c r="AG288" s="1">
        <f t="shared" ref="AG288:AG292" si="224">O288*(1-P288)*(1-A288)</f>
        <v>0</v>
      </c>
      <c r="AH288" s="1">
        <f t="shared" ref="AH288:AH292" si="225">+P288*(1-A288)</f>
        <v>0</v>
      </c>
      <c r="AI288" s="1">
        <f t="shared" ref="AI288:AI292" si="226">+(1-A288)*(1-P288)</f>
        <v>1</v>
      </c>
    </row>
    <row r="289" spans="1:35" s="1" customFormat="1" ht="14.25" customHeight="1" x14ac:dyDescent="0.25">
      <c r="A289" s="15">
        <v>0</v>
      </c>
      <c r="B289" s="15">
        <v>2</v>
      </c>
      <c r="C289" s="15">
        <v>1</v>
      </c>
      <c r="D289" s="16" t="s">
        <v>512</v>
      </c>
      <c r="E289" s="16" t="s">
        <v>34</v>
      </c>
      <c r="F289" s="16" t="s">
        <v>511</v>
      </c>
      <c r="G289" s="16" t="s">
        <v>546</v>
      </c>
      <c r="H289" s="16" t="s">
        <v>354</v>
      </c>
      <c r="I289" s="15" t="s">
        <v>1364</v>
      </c>
      <c r="J289" s="15">
        <v>99</v>
      </c>
      <c r="K289" s="10" t="s">
        <v>955</v>
      </c>
      <c r="L289" s="10" t="s">
        <v>713</v>
      </c>
      <c r="M289" s="19" t="s">
        <v>714</v>
      </c>
      <c r="N289" s="19"/>
      <c r="Q289" s="20" t="s">
        <v>2013</v>
      </c>
      <c r="S289" s="1">
        <f t="shared" si="209"/>
        <v>0</v>
      </c>
      <c r="T289" s="1">
        <f t="shared" si="210"/>
        <v>0</v>
      </c>
      <c r="U289" s="1">
        <f t="shared" si="211"/>
        <v>0</v>
      </c>
      <c r="V289" s="1">
        <f t="shared" si="212"/>
        <v>0</v>
      </c>
      <c r="W289" s="1">
        <f t="shared" si="213"/>
        <v>0</v>
      </c>
      <c r="X289" s="1">
        <f t="shared" si="214"/>
        <v>0</v>
      </c>
      <c r="Y289" s="1">
        <f t="shared" si="215"/>
        <v>0</v>
      </c>
      <c r="Z289" s="1">
        <f t="shared" si="216"/>
        <v>0</v>
      </c>
      <c r="AA289" s="1">
        <f t="shared" si="217"/>
        <v>0</v>
      </c>
      <c r="AB289" s="1">
        <f t="shared" si="218"/>
        <v>0</v>
      </c>
      <c r="AD289" s="1">
        <f t="shared" si="221"/>
        <v>0</v>
      </c>
      <c r="AE289" s="1">
        <f t="shared" si="222"/>
        <v>0</v>
      </c>
      <c r="AF289" s="1">
        <f t="shared" si="223"/>
        <v>0</v>
      </c>
      <c r="AG289" s="1">
        <f t="shared" si="224"/>
        <v>0</v>
      </c>
      <c r="AH289" s="1">
        <f t="shared" si="225"/>
        <v>0</v>
      </c>
      <c r="AI289" s="1">
        <f t="shared" si="226"/>
        <v>1</v>
      </c>
    </row>
    <row r="290" spans="1:35" s="1" customFormat="1" ht="14.25" customHeight="1" x14ac:dyDescent="0.25">
      <c r="A290" s="38">
        <v>0</v>
      </c>
      <c r="B290" s="38">
        <v>2</v>
      </c>
      <c r="C290" s="38">
        <v>1</v>
      </c>
      <c r="D290" s="39" t="s">
        <v>1042</v>
      </c>
      <c r="E290" s="39" t="s">
        <v>36</v>
      </c>
      <c r="F290" s="39" t="s">
        <v>1659</v>
      </c>
      <c r="G290" s="39" t="s">
        <v>628</v>
      </c>
      <c r="H290" s="39" t="s">
        <v>354</v>
      </c>
      <c r="I290" s="38" t="s">
        <v>1043</v>
      </c>
      <c r="J290" s="38">
        <v>99</v>
      </c>
      <c r="K290" s="40" t="s">
        <v>959</v>
      </c>
      <c r="L290" s="40" t="s">
        <v>713</v>
      </c>
      <c r="M290" s="41" t="s">
        <v>714</v>
      </c>
      <c r="N290" s="42"/>
      <c r="O290" s="43"/>
      <c r="P290" s="43">
        <v>1</v>
      </c>
      <c r="Q290" s="54" t="s">
        <v>1899</v>
      </c>
      <c r="S290" s="1">
        <f t="shared" si="209"/>
        <v>0</v>
      </c>
      <c r="T290" s="1">
        <f t="shared" si="210"/>
        <v>0</v>
      </c>
      <c r="U290" s="1">
        <f t="shared" si="211"/>
        <v>0</v>
      </c>
      <c r="V290" s="1">
        <f t="shared" si="212"/>
        <v>0</v>
      </c>
      <c r="W290" s="1">
        <f t="shared" si="213"/>
        <v>0</v>
      </c>
      <c r="X290" s="1">
        <f t="shared" si="214"/>
        <v>0</v>
      </c>
      <c r="Y290" s="1">
        <f t="shared" si="215"/>
        <v>0</v>
      </c>
      <c r="Z290" s="1">
        <f t="shared" si="216"/>
        <v>0</v>
      </c>
      <c r="AA290" s="1">
        <f t="shared" si="217"/>
        <v>0</v>
      </c>
      <c r="AB290" s="1">
        <f t="shared" si="218"/>
        <v>0</v>
      </c>
      <c r="AD290" s="1">
        <f t="shared" si="221"/>
        <v>0</v>
      </c>
      <c r="AE290" s="1">
        <f t="shared" si="222"/>
        <v>0</v>
      </c>
      <c r="AF290" s="1">
        <f t="shared" si="223"/>
        <v>0</v>
      </c>
      <c r="AG290" s="1">
        <f t="shared" si="224"/>
        <v>0</v>
      </c>
      <c r="AH290" s="1">
        <f t="shared" si="225"/>
        <v>1</v>
      </c>
      <c r="AI290" s="1">
        <f t="shared" si="226"/>
        <v>0</v>
      </c>
    </row>
    <row r="291" spans="1:35" s="1" customFormat="1" ht="14.25" customHeight="1" x14ac:dyDescent="0.25">
      <c r="A291" s="31">
        <v>1</v>
      </c>
      <c r="B291" s="31">
        <v>2</v>
      </c>
      <c r="C291" s="31">
        <v>1</v>
      </c>
      <c r="D291" s="32" t="s">
        <v>49</v>
      </c>
      <c r="E291" s="32" t="s">
        <v>1314</v>
      </c>
      <c r="F291" s="32" t="s">
        <v>191</v>
      </c>
      <c r="G291" s="32" t="s">
        <v>192</v>
      </c>
      <c r="H291" s="32" t="s">
        <v>354</v>
      </c>
      <c r="I291" s="31" t="s">
        <v>386</v>
      </c>
      <c r="J291" s="31">
        <v>99</v>
      </c>
      <c r="K291" s="33" t="s">
        <v>712</v>
      </c>
      <c r="L291" s="33" t="s">
        <v>713</v>
      </c>
      <c r="M291" s="34" t="s">
        <v>714</v>
      </c>
      <c r="N291" s="34" t="s">
        <v>1756</v>
      </c>
      <c r="O291" s="35">
        <v>1</v>
      </c>
      <c r="P291" s="35"/>
      <c r="Q291" s="32"/>
      <c r="S291" s="1">
        <f t="shared" si="209"/>
        <v>0</v>
      </c>
      <c r="T291" s="1">
        <f t="shared" si="210"/>
        <v>0</v>
      </c>
      <c r="U291" s="1">
        <f t="shared" si="211"/>
        <v>0</v>
      </c>
      <c r="V291" s="1">
        <f t="shared" si="212"/>
        <v>0</v>
      </c>
      <c r="W291" s="1">
        <f t="shared" si="213"/>
        <v>0</v>
      </c>
      <c r="X291" s="1">
        <f t="shared" si="214"/>
        <v>0</v>
      </c>
      <c r="Y291" s="1">
        <f t="shared" si="215"/>
        <v>0</v>
      </c>
      <c r="Z291" s="1">
        <f t="shared" si="216"/>
        <v>0</v>
      </c>
      <c r="AA291" s="1">
        <f t="shared" si="217"/>
        <v>0</v>
      </c>
      <c r="AB291" s="1">
        <f t="shared" si="218"/>
        <v>0</v>
      </c>
      <c r="AD291" s="1">
        <f t="shared" si="221"/>
        <v>0</v>
      </c>
      <c r="AE291" s="1">
        <f t="shared" si="222"/>
        <v>1</v>
      </c>
      <c r="AF291" s="1">
        <f t="shared" si="223"/>
        <v>0</v>
      </c>
      <c r="AG291" s="1">
        <f t="shared" si="224"/>
        <v>0</v>
      </c>
      <c r="AH291" s="1">
        <f t="shared" si="225"/>
        <v>0</v>
      </c>
      <c r="AI291" s="1">
        <f t="shared" si="226"/>
        <v>0</v>
      </c>
    </row>
    <row r="292" spans="1:35" s="1" customFormat="1" ht="14.25" customHeight="1" x14ac:dyDescent="0.25">
      <c r="A292" s="31">
        <v>0</v>
      </c>
      <c r="B292" s="31">
        <v>2</v>
      </c>
      <c r="C292" s="31">
        <v>1</v>
      </c>
      <c r="D292" s="32" t="s">
        <v>1074</v>
      </c>
      <c r="E292" s="32" t="s">
        <v>1314</v>
      </c>
      <c r="F292" s="32" t="s">
        <v>1089</v>
      </c>
      <c r="G292" s="32" t="s">
        <v>202</v>
      </c>
      <c r="H292" s="32" t="s">
        <v>354</v>
      </c>
      <c r="I292" s="31" t="s">
        <v>386</v>
      </c>
      <c r="J292" s="31">
        <v>10</v>
      </c>
      <c r="K292" s="33" t="s">
        <v>712</v>
      </c>
      <c r="L292" s="33" t="s">
        <v>713</v>
      </c>
      <c r="M292" s="34" t="s">
        <v>714</v>
      </c>
      <c r="N292" s="34" t="s">
        <v>1756</v>
      </c>
      <c r="O292" s="35">
        <v>1</v>
      </c>
      <c r="P292" s="35"/>
      <c r="Q292" s="32"/>
      <c r="S292" s="1">
        <f t="shared" si="209"/>
        <v>0</v>
      </c>
      <c r="T292" s="1">
        <f t="shared" si="210"/>
        <v>0</v>
      </c>
      <c r="U292" s="1">
        <f t="shared" si="211"/>
        <v>0</v>
      </c>
      <c r="V292" s="1">
        <f t="shared" si="212"/>
        <v>0</v>
      </c>
      <c r="W292" s="1">
        <f t="shared" si="213"/>
        <v>0</v>
      </c>
      <c r="X292" s="1">
        <f t="shared" si="214"/>
        <v>0</v>
      </c>
      <c r="Y292" s="1">
        <f t="shared" si="215"/>
        <v>0</v>
      </c>
      <c r="Z292" s="1">
        <f t="shared" si="216"/>
        <v>0</v>
      </c>
      <c r="AA292" s="1">
        <f t="shared" si="217"/>
        <v>0</v>
      </c>
      <c r="AB292" s="1">
        <f t="shared" si="218"/>
        <v>1</v>
      </c>
      <c r="AD292" s="1">
        <f t="shared" si="221"/>
        <v>0</v>
      </c>
      <c r="AE292" s="1">
        <f t="shared" si="222"/>
        <v>1</v>
      </c>
      <c r="AF292" s="1">
        <f t="shared" si="223"/>
        <v>0</v>
      </c>
      <c r="AG292" s="1">
        <f t="shared" si="224"/>
        <v>1</v>
      </c>
      <c r="AH292" s="1">
        <f t="shared" si="225"/>
        <v>0</v>
      </c>
      <c r="AI292" s="1">
        <f t="shared" si="226"/>
        <v>1</v>
      </c>
    </row>
    <row r="293" spans="1:35" s="1" customFormat="1" ht="14.25" customHeight="1" x14ac:dyDescent="0.25">
      <c r="A293" s="31">
        <v>0</v>
      </c>
      <c r="B293" s="31">
        <v>2</v>
      </c>
      <c r="C293" s="31">
        <v>1</v>
      </c>
      <c r="D293" s="32" t="s">
        <v>1273</v>
      </c>
      <c r="E293" s="32" t="s">
        <v>561</v>
      </c>
      <c r="F293" s="32" t="s">
        <v>1274</v>
      </c>
      <c r="G293" s="32" t="s">
        <v>258</v>
      </c>
      <c r="H293" s="32" t="s">
        <v>354</v>
      </c>
      <c r="I293" s="31" t="s">
        <v>1275</v>
      </c>
      <c r="J293" s="31">
        <v>8</v>
      </c>
      <c r="K293" s="33" t="s">
        <v>954</v>
      </c>
      <c r="L293" s="33" t="s">
        <v>713</v>
      </c>
      <c r="M293" s="34" t="s">
        <v>714</v>
      </c>
      <c r="N293" s="34" t="s">
        <v>1748</v>
      </c>
      <c r="O293" s="35">
        <v>1</v>
      </c>
      <c r="P293" s="35"/>
      <c r="Q293" s="32"/>
      <c r="S293" s="1">
        <f t="shared" si="209"/>
        <v>0</v>
      </c>
      <c r="T293" s="1">
        <f t="shared" si="210"/>
        <v>0</v>
      </c>
      <c r="U293" s="1">
        <f t="shared" si="211"/>
        <v>0</v>
      </c>
      <c r="V293" s="1">
        <f t="shared" si="212"/>
        <v>0</v>
      </c>
      <c r="W293" s="1">
        <f t="shared" si="213"/>
        <v>0</v>
      </c>
      <c r="X293" s="1">
        <f t="shared" si="214"/>
        <v>0</v>
      </c>
      <c r="Y293" s="1">
        <f t="shared" si="215"/>
        <v>0</v>
      </c>
      <c r="Z293" s="1">
        <f t="shared" si="216"/>
        <v>1</v>
      </c>
      <c r="AA293" s="1">
        <f t="shared" si="217"/>
        <v>0</v>
      </c>
      <c r="AB293" s="1">
        <f t="shared" si="218"/>
        <v>0</v>
      </c>
      <c r="AD293" s="1">
        <f t="shared" si="219"/>
        <v>0</v>
      </c>
      <c r="AE293" s="1">
        <f t="shared" si="220"/>
        <v>1</v>
      </c>
      <c r="AF293" s="1">
        <f t="shared" si="205"/>
        <v>0</v>
      </c>
      <c r="AG293" s="1">
        <f t="shared" si="206"/>
        <v>1</v>
      </c>
      <c r="AH293" s="1">
        <f t="shared" si="207"/>
        <v>0</v>
      </c>
      <c r="AI293" s="1">
        <f t="shared" si="208"/>
        <v>1</v>
      </c>
    </row>
    <row r="294" spans="1:35" s="1" customFormat="1" ht="14.25" customHeight="1" x14ac:dyDescent="0.25">
      <c r="A294" s="44">
        <v>0</v>
      </c>
      <c r="B294" s="44">
        <v>2</v>
      </c>
      <c r="C294" s="44">
        <v>1</v>
      </c>
      <c r="D294" s="45" t="s">
        <v>48</v>
      </c>
      <c r="E294" s="45" t="s">
        <v>578</v>
      </c>
      <c r="F294" s="45" t="s">
        <v>189</v>
      </c>
      <c r="G294" s="45" t="s">
        <v>300</v>
      </c>
      <c r="H294" s="45" t="s">
        <v>354</v>
      </c>
      <c r="I294" s="44" t="s">
        <v>385</v>
      </c>
      <c r="J294" s="44">
        <v>99</v>
      </c>
      <c r="K294" s="46" t="s">
        <v>713</v>
      </c>
      <c r="L294" s="46" t="s">
        <v>713</v>
      </c>
      <c r="M294" s="47" t="s">
        <v>714</v>
      </c>
      <c r="N294" s="47" t="s">
        <v>1747</v>
      </c>
      <c r="O294" s="48"/>
      <c r="P294" s="48"/>
      <c r="Q294" s="45"/>
      <c r="S294" s="1">
        <f t="shared" si="209"/>
        <v>0</v>
      </c>
      <c r="T294" s="1">
        <f t="shared" si="210"/>
        <v>0</v>
      </c>
      <c r="U294" s="1">
        <f t="shared" si="211"/>
        <v>0</v>
      </c>
      <c r="V294" s="1">
        <f t="shared" si="212"/>
        <v>0</v>
      </c>
      <c r="W294" s="1">
        <f t="shared" si="213"/>
        <v>0</v>
      </c>
      <c r="X294" s="1">
        <f t="shared" si="214"/>
        <v>0</v>
      </c>
      <c r="Y294" s="1">
        <f t="shared" si="215"/>
        <v>0</v>
      </c>
      <c r="Z294" s="1">
        <f t="shared" si="216"/>
        <v>0</v>
      </c>
      <c r="AA294" s="1">
        <f t="shared" si="217"/>
        <v>0</v>
      </c>
      <c r="AB294" s="1">
        <f t="shared" si="218"/>
        <v>0</v>
      </c>
      <c r="AD294" s="1">
        <f t="shared" si="219"/>
        <v>0</v>
      </c>
      <c r="AE294" s="1">
        <f t="shared" si="220"/>
        <v>0</v>
      </c>
      <c r="AF294" s="1">
        <f t="shared" si="205"/>
        <v>0</v>
      </c>
      <c r="AG294" s="1">
        <f t="shared" si="206"/>
        <v>0</v>
      </c>
      <c r="AH294" s="1">
        <f t="shared" si="207"/>
        <v>0</v>
      </c>
      <c r="AI294" s="1">
        <f t="shared" si="208"/>
        <v>1</v>
      </c>
    </row>
    <row r="295" spans="1:35" s="1" customFormat="1" ht="14.25" customHeight="1" x14ac:dyDescent="0.25">
      <c r="A295" s="31">
        <v>0</v>
      </c>
      <c r="B295" s="31">
        <v>2</v>
      </c>
      <c r="C295" s="31">
        <v>1</v>
      </c>
      <c r="D295" s="32" t="s">
        <v>57</v>
      </c>
      <c r="E295" s="32" t="s">
        <v>162</v>
      </c>
      <c r="F295" s="32" t="s">
        <v>666</v>
      </c>
      <c r="G295" s="32" t="s">
        <v>221</v>
      </c>
      <c r="H295" s="32" t="s">
        <v>354</v>
      </c>
      <c r="I295" s="31" t="s">
        <v>396</v>
      </c>
      <c r="J295" s="31">
        <v>99</v>
      </c>
      <c r="K295" s="33" t="s">
        <v>961</v>
      </c>
      <c r="L295" s="33" t="s">
        <v>713</v>
      </c>
      <c r="M295" s="34" t="s">
        <v>714</v>
      </c>
      <c r="N295" s="34" t="s">
        <v>1743</v>
      </c>
      <c r="O295" s="35">
        <v>1</v>
      </c>
      <c r="P295" s="35"/>
      <c r="Q295" s="32"/>
      <c r="S295" s="1">
        <f t="shared" si="209"/>
        <v>0</v>
      </c>
      <c r="T295" s="1">
        <f t="shared" si="210"/>
        <v>0</v>
      </c>
      <c r="U295" s="1">
        <f t="shared" si="211"/>
        <v>0</v>
      </c>
      <c r="V295" s="1">
        <f t="shared" si="212"/>
        <v>0</v>
      </c>
      <c r="W295" s="1">
        <f t="shared" si="213"/>
        <v>0</v>
      </c>
      <c r="X295" s="1">
        <f t="shared" si="214"/>
        <v>0</v>
      </c>
      <c r="Y295" s="1">
        <f t="shared" si="215"/>
        <v>0</v>
      </c>
      <c r="Z295" s="1">
        <f t="shared" si="216"/>
        <v>0</v>
      </c>
      <c r="AA295" s="1">
        <f t="shared" si="217"/>
        <v>0</v>
      </c>
      <c r="AB295" s="1">
        <f t="shared" si="218"/>
        <v>0</v>
      </c>
      <c r="AD295" s="1">
        <f t="shared" si="219"/>
        <v>0</v>
      </c>
      <c r="AE295" s="1">
        <f t="shared" si="220"/>
        <v>1</v>
      </c>
      <c r="AF295" s="1">
        <f t="shared" si="205"/>
        <v>0</v>
      </c>
      <c r="AG295" s="1">
        <f t="shared" si="206"/>
        <v>1</v>
      </c>
      <c r="AH295" s="1">
        <f t="shared" si="207"/>
        <v>0</v>
      </c>
      <c r="AI295" s="1">
        <f t="shared" si="208"/>
        <v>1</v>
      </c>
    </row>
    <row r="296" spans="1:35" s="1" customFormat="1" ht="14.25" customHeight="1" x14ac:dyDescent="0.25">
      <c r="A296" s="31">
        <v>0</v>
      </c>
      <c r="B296" s="31">
        <v>2</v>
      </c>
      <c r="C296" s="31">
        <v>1</v>
      </c>
      <c r="D296" s="32" t="s">
        <v>515</v>
      </c>
      <c r="E296" s="32" t="s">
        <v>561</v>
      </c>
      <c r="F296" s="32" t="s">
        <v>229</v>
      </c>
      <c r="G296" s="32" t="s">
        <v>230</v>
      </c>
      <c r="H296" s="32" t="s">
        <v>354</v>
      </c>
      <c r="I296" s="31" t="s">
        <v>400</v>
      </c>
      <c r="J296" s="31">
        <v>7</v>
      </c>
      <c r="K296" s="33" t="s">
        <v>954</v>
      </c>
      <c r="L296" s="33" t="s">
        <v>713</v>
      </c>
      <c r="M296" s="34" t="s">
        <v>714</v>
      </c>
      <c r="N296" s="34" t="s">
        <v>1749</v>
      </c>
      <c r="O296" s="35">
        <v>1</v>
      </c>
      <c r="P296" s="35"/>
      <c r="Q296" s="32"/>
      <c r="S296" s="1">
        <f t="shared" si="209"/>
        <v>0</v>
      </c>
      <c r="T296" s="1">
        <f t="shared" si="210"/>
        <v>0</v>
      </c>
      <c r="U296" s="1">
        <f t="shared" si="211"/>
        <v>0</v>
      </c>
      <c r="V296" s="1">
        <f t="shared" si="212"/>
        <v>0</v>
      </c>
      <c r="W296" s="1">
        <f t="shared" si="213"/>
        <v>0</v>
      </c>
      <c r="X296" s="1">
        <f t="shared" si="214"/>
        <v>0</v>
      </c>
      <c r="Y296" s="1">
        <f t="shared" si="215"/>
        <v>1</v>
      </c>
      <c r="Z296" s="1">
        <f t="shared" si="216"/>
        <v>0</v>
      </c>
      <c r="AA296" s="1">
        <f t="shared" si="217"/>
        <v>0</v>
      </c>
      <c r="AB296" s="1">
        <f t="shared" si="218"/>
        <v>0</v>
      </c>
      <c r="AD296" s="1">
        <f t="shared" si="219"/>
        <v>0</v>
      </c>
      <c r="AE296" s="1">
        <f t="shared" si="220"/>
        <v>1</v>
      </c>
      <c r="AF296" s="1">
        <f t="shared" si="205"/>
        <v>0</v>
      </c>
      <c r="AG296" s="1">
        <f t="shared" si="206"/>
        <v>1</v>
      </c>
      <c r="AH296" s="1">
        <f t="shared" si="207"/>
        <v>0</v>
      </c>
      <c r="AI296" s="1">
        <f t="shared" si="208"/>
        <v>1</v>
      </c>
    </row>
    <row r="297" spans="1:35" s="1" customFormat="1" ht="14.25" customHeight="1" x14ac:dyDescent="0.25">
      <c r="A297" s="44">
        <v>0</v>
      </c>
      <c r="B297" s="44">
        <v>2</v>
      </c>
      <c r="C297" s="44">
        <v>1</v>
      </c>
      <c r="D297" s="45" t="s">
        <v>560</v>
      </c>
      <c r="E297" s="45" t="s">
        <v>561</v>
      </c>
      <c r="F297" s="45" t="s">
        <v>562</v>
      </c>
      <c r="G297" s="45" t="s">
        <v>208</v>
      </c>
      <c r="H297" s="45" t="s">
        <v>354</v>
      </c>
      <c r="I297" s="44" t="s">
        <v>563</v>
      </c>
      <c r="J297" s="44">
        <v>3</v>
      </c>
      <c r="K297" s="46" t="s">
        <v>712</v>
      </c>
      <c r="L297" s="46" t="s">
        <v>713</v>
      </c>
      <c r="M297" s="47" t="s">
        <v>714</v>
      </c>
      <c r="N297" s="47" t="s">
        <v>1747</v>
      </c>
      <c r="O297" s="48"/>
      <c r="P297" s="48"/>
      <c r="Q297" s="45"/>
      <c r="S297" s="1">
        <f t="shared" si="209"/>
        <v>0</v>
      </c>
      <c r="T297" s="1">
        <f t="shared" si="210"/>
        <v>0</v>
      </c>
      <c r="U297" s="1">
        <f t="shared" si="211"/>
        <v>1</v>
      </c>
      <c r="V297" s="1">
        <f t="shared" si="212"/>
        <v>0</v>
      </c>
      <c r="W297" s="1">
        <f t="shared" si="213"/>
        <v>0</v>
      </c>
      <c r="X297" s="1">
        <f t="shared" si="214"/>
        <v>0</v>
      </c>
      <c r="Y297" s="1">
        <f t="shared" si="215"/>
        <v>0</v>
      </c>
      <c r="Z297" s="1">
        <f t="shared" si="216"/>
        <v>0</v>
      </c>
      <c r="AA297" s="1">
        <f t="shared" si="217"/>
        <v>0</v>
      </c>
      <c r="AB297" s="1">
        <f t="shared" si="218"/>
        <v>0</v>
      </c>
      <c r="AD297" s="1">
        <f t="shared" si="219"/>
        <v>0</v>
      </c>
      <c r="AE297" s="1">
        <f t="shared" si="220"/>
        <v>0</v>
      </c>
      <c r="AF297" s="1">
        <f t="shared" si="205"/>
        <v>0</v>
      </c>
      <c r="AG297" s="1">
        <f t="shared" si="206"/>
        <v>0</v>
      </c>
      <c r="AH297" s="1">
        <f t="shared" si="207"/>
        <v>0</v>
      </c>
      <c r="AI297" s="1">
        <f t="shared" si="208"/>
        <v>1</v>
      </c>
    </row>
    <row r="298" spans="1:35" s="1" customFormat="1" ht="14.25" customHeight="1" x14ac:dyDescent="0.25">
      <c r="A298" s="37">
        <v>0</v>
      </c>
      <c r="B298" s="37">
        <v>2</v>
      </c>
      <c r="C298" s="37">
        <v>1</v>
      </c>
      <c r="D298" s="36" t="s">
        <v>1053</v>
      </c>
      <c r="E298" s="36" t="s">
        <v>32</v>
      </c>
      <c r="F298" s="36" t="s">
        <v>1277</v>
      </c>
      <c r="G298" s="36" t="s">
        <v>535</v>
      </c>
      <c r="H298" s="36" t="s">
        <v>354</v>
      </c>
      <c r="I298" s="37" t="s">
        <v>1278</v>
      </c>
      <c r="J298" s="37">
        <v>6</v>
      </c>
      <c r="K298" s="56" t="s">
        <v>713</v>
      </c>
      <c r="L298" s="33" t="s">
        <v>713</v>
      </c>
      <c r="M298" s="34" t="s">
        <v>714</v>
      </c>
      <c r="N298" s="34" t="s">
        <v>1748</v>
      </c>
      <c r="O298" s="35">
        <v>1</v>
      </c>
      <c r="P298" s="35"/>
      <c r="Q298" s="36"/>
      <c r="S298" s="1">
        <f t="shared" si="209"/>
        <v>0</v>
      </c>
      <c r="T298" s="1">
        <f t="shared" si="210"/>
        <v>0</v>
      </c>
      <c r="U298" s="1">
        <f t="shared" si="211"/>
        <v>0</v>
      </c>
      <c r="V298" s="1">
        <f t="shared" si="212"/>
        <v>0</v>
      </c>
      <c r="W298" s="1">
        <f t="shared" si="213"/>
        <v>0</v>
      </c>
      <c r="X298" s="1">
        <f t="shared" si="214"/>
        <v>1</v>
      </c>
      <c r="Y298" s="1">
        <f t="shared" si="215"/>
        <v>0</v>
      </c>
      <c r="Z298" s="1">
        <f t="shared" si="216"/>
        <v>0</v>
      </c>
      <c r="AA298" s="1">
        <f t="shared" si="217"/>
        <v>0</v>
      </c>
      <c r="AB298" s="1">
        <f t="shared" si="218"/>
        <v>0</v>
      </c>
      <c r="AD298" s="1">
        <f t="shared" si="219"/>
        <v>0</v>
      </c>
      <c r="AE298" s="1">
        <f t="shared" si="220"/>
        <v>1</v>
      </c>
      <c r="AF298" s="1">
        <f t="shared" si="205"/>
        <v>0</v>
      </c>
      <c r="AG298" s="1">
        <f t="shared" si="206"/>
        <v>1</v>
      </c>
      <c r="AH298" s="1">
        <f t="shared" si="207"/>
        <v>0</v>
      </c>
      <c r="AI298" s="1">
        <f t="shared" si="208"/>
        <v>1</v>
      </c>
    </row>
    <row r="299" spans="1:35" s="1" customFormat="1" ht="14.25" customHeight="1" x14ac:dyDescent="0.25">
      <c r="A299" s="44">
        <v>0</v>
      </c>
      <c r="B299" s="44">
        <v>2</v>
      </c>
      <c r="C299" s="44">
        <v>1</v>
      </c>
      <c r="D299" s="45" t="s">
        <v>917</v>
      </c>
      <c r="E299" s="45" t="s">
        <v>1333</v>
      </c>
      <c r="F299" s="45" t="s">
        <v>789</v>
      </c>
      <c r="G299" s="45" t="s">
        <v>257</v>
      </c>
      <c r="H299" s="45" t="s">
        <v>354</v>
      </c>
      <c r="I299" s="44" t="s">
        <v>944</v>
      </c>
      <c r="J299" s="44">
        <v>99</v>
      </c>
      <c r="K299" s="46" t="s">
        <v>712</v>
      </c>
      <c r="L299" s="46" t="s">
        <v>713</v>
      </c>
      <c r="M299" s="47" t="s">
        <v>714</v>
      </c>
      <c r="N299" s="47" t="s">
        <v>1734</v>
      </c>
      <c r="O299" s="48"/>
      <c r="P299" s="48"/>
      <c r="Q299" s="45"/>
      <c r="S299" s="1">
        <f t="shared" si="209"/>
        <v>0</v>
      </c>
      <c r="T299" s="1">
        <f t="shared" si="210"/>
        <v>0</v>
      </c>
      <c r="U299" s="1">
        <f t="shared" si="211"/>
        <v>0</v>
      </c>
      <c r="V299" s="1">
        <f t="shared" si="212"/>
        <v>0</v>
      </c>
      <c r="W299" s="1">
        <f t="shared" si="213"/>
        <v>0</v>
      </c>
      <c r="X299" s="1">
        <f t="shared" si="214"/>
        <v>0</v>
      </c>
      <c r="Y299" s="1">
        <f t="shared" si="215"/>
        <v>0</v>
      </c>
      <c r="Z299" s="1">
        <f t="shared" si="216"/>
        <v>0</v>
      </c>
      <c r="AA299" s="1">
        <f t="shared" si="217"/>
        <v>0</v>
      </c>
      <c r="AB299" s="1">
        <f t="shared" si="218"/>
        <v>0</v>
      </c>
      <c r="AD299" s="1">
        <f t="shared" si="219"/>
        <v>0</v>
      </c>
      <c r="AE299" s="1">
        <f t="shared" si="220"/>
        <v>0</v>
      </c>
      <c r="AF299" s="1">
        <f t="shared" si="205"/>
        <v>0</v>
      </c>
      <c r="AG299" s="1">
        <f t="shared" si="206"/>
        <v>0</v>
      </c>
      <c r="AH299" s="1">
        <f t="shared" si="207"/>
        <v>0</v>
      </c>
      <c r="AI299" s="1">
        <f t="shared" si="208"/>
        <v>1</v>
      </c>
    </row>
    <row r="300" spans="1:35" s="1" customFormat="1" ht="14.25" customHeight="1" x14ac:dyDescent="0.25">
      <c r="A300" s="37">
        <v>0</v>
      </c>
      <c r="B300" s="37">
        <v>2</v>
      </c>
      <c r="C300" s="37">
        <v>1</v>
      </c>
      <c r="D300" s="36" t="s">
        <v>1771</v>
      </c>
      <c r="E300" s="36" t="s">
        <v>1772</v>
      </c>
      <c r="F300" s="36" t="s">
        <v>1773</v>
      </c>
      <c r="G300" s="36" t="s">
        <v>180</v>
      </c>
      <c r="H300" s="36" t="s">
        <v>354</v>
      </c>
      <c r="I300" s="37" t="s">
        <v>1774</v>
      </c>
      <c r="J300" s="37"/>
      <c r="K300" s="56" t="s">
        <v>703</v>
      </c>
      <c r="L300" s="33">
        <v>4</v>
      </c>
      <c r="M300" s="34" t="s">
        <v>714</v>
      </c>
      <c r="N300" s="34" t="s">
        <v>1743</v>
      </c>
      <c r="O300" s="35">
        <v>1</v>
      </c>
      <c r="P300" s="35"/>
      <c r="Q300" s="36"/>
      <c r="S300" s="1">
        <f t="shared" si="209"/>
        <v>0</v>
      </c>
      <c r="T300" s="1">
        <f t="shared" si="210"/>
        <v>0</v>
      </c>
      <c r="U300" s="1">
        <f t="shared" si="211"/>
        <v>0</v>
      </c>
      <c r="V300" s="1">
        <f t="shared" si="212"/>
        <v>0</v>
      </c>
      <c r="W300" s="1">
        <f t="shared" si="213"/>
        <v>0</v>
      </c>
      <c r="X300" s="1">
        <f t="shared" si="214"/>
        <v>0</v>
      </c>
      <c r="Y300" s="1">
        <f t="shared" si="215"/>
        <v>0</v>
      </c>
      <c r="Z300" s="1">
        <f t="shared" si="216"/>
        <v>0</v>
      </c>
      <c r="AA300" s="1">
        <f t="shared" si="217"/>
        <v>0</v>
      </c>
      <c r="AB300" s="1">
        <f t="shared" si="218"/>
        <v>0</v>
      </c>
      <c r="AD300" s="1">
        <f t="shared" si="219"/>
        <v>0</v>
      </c>
      <c r="AE300" s="1">
        <f t="shared" si="220"/>
        <v>1</v>
      </c>
      <c r="AF300" s="1">
        <f t="shared" si="205"/>
        <v>0</v>
      </c>
      <c r="AG300" s="1">
        <f t="shared" si="206"/>
        <v>1</v>
      </c>
      <c r="AH300" s="1">
        <f t="shared" si="207"/>
        <v>0</v>
      </c>
      <c r="AI300" s="1">
        <f t="shared" si="208"/>
        <v>1</v>
      </c>
    </row>
    <row r="301" spans="1:35" s="1" customFormat="1" ht="14.25" customHeight="1" x14ac:dyDescent="0.25">
      <c r="A301" s="31">
        <v>0</v>
      </c>
      <c r="B301" s="31">
        <v>2</v>
      </c>
      <c r="C301" s="31">
        <v>1</v>
      </c>
      <c r="D301" s="32" t="s">
        <v>619</v>
      </c>
      <c r="E301" s="32" t="s">
        <v>620</v>
      </c>
      <c r="F301" s="32" t="s">
        <v>621</v>
      </c>
      <c r="G301" s="32" t="s">
        <v>622</v>
      </c>
      <c r="H301" s="32" t="s">
        <v>354</v>
      </c>
      <c r="I301" s="31" t="s">
        <v>623</v>
      </c>
      <c r="J301" s="31">
        <v>99</v>
      </c>
      <c r="K301" s="33" t="s">
        <v>712</v>
      </c>
      <c r="L301" s="33" t="s">
        <v>713</v>
      </c>
      <c r="M301" s="34" t="s">
        <v>714</v>
      </c>
      <c r="N301" s="34" t="s">
        <v>1756</v>
      </c>
      <c r="O301" s="35">
        <v>1</v>
      </c>
      <c r="P301" s="35"/>
      <c r="Q301" s="32"/>
      <c r="S301" s="1">
        <f t="shared" si="209"/>
        <v>0</v>
      </c>
      <c r="T301" s="1">
        <f t="shared" si="210"/>
        <v>0</v>
      </c>
      <c r="U301" s="1">
        <f t="shared" si="211"/>
        <v>0</v>
      </c>
      <c r="V301" s="1">
        <f t="shared" si="212"/>
        <v>0</v>
      </c>
      <c r="W301" s="1">
        <f t="shared" si="213"/>
        <v>0</v>
      </c>
      <c r="X301" s="1">
        <f t="shared" si="214"/>
        <v>0</v>
      </c>
      <c r="Y301" s="1">
        <f t="shared" si="215"/>
        <v>0</v>
      </c>
      <c r="Z301" s="1">
        <f t="shared" si="216"/>
        <v>0</v>
      </c>
      <c r="AA301" s="1">
        <f t="shared" si="217"/>
        <v>0</v>
      </c>
      <c r="AB301" s="1">
        <f t="shared" si="218"/>
        <v>0</v>
      </c>
      <c r="AD301" s="1">
        <f t="shared" si="219"/>
        <v>0</v>
      </c>
      <c r="AE301" s="1">
        <f t="shared" si="220"/>
        <v>1</v>
      </c>
      <c r="AF301" s="1">
        <f t="shared" si="205"/>
        <v>0</v>
      </c>
      <c r="AG301" s="1">
        <f t="shared" si="206"/>
        <v>1</v>
      </c>
      <c r="AH301" s="1">
        <f t="shared" si="207"/>
        <v>0</v>
      </c>
      <c r="AI301" s="1">
        <f t="shared" si="208"/>
        <v>1</v>
      </c>
    </row>
    <row r="302" spans="1:35" s="1" customFormat="1" ht="14.25" customHeight="1" x14ac:dyDescent="0.25">
      <c r="A302" s="31">
        <v>0</v>
      </c>
      <c r="B302" s="31">
        <v>2</v>
      </c>
      <c r="C302" s="31">
        <v>1</v>
      </c>
      <c r="D302" s="32" t="s">
        <v>1080</v>
      </c>
      <c r="E302" s="32" t="s">
        <v>1334</v>
      </c>
      <c r="F302" s="32" t="s">
        <v>1663</v>
      </c>
      <c r="G302" s="32" t="s">
        <v>190</v>
      </c>
      <c r="H302" s="32" t="s">
        <v>354</v>
      </c>
      <c r="I302" s="31" t="s">
        <v>1861</v>
      </c>
      <c r="J302" s="31">
        <v>99</v>
      </c>
      <c r="K302" s="33" t="s">
        <v>712</v>
      </c>
      <c r="L302" s="33" t="s">
        <v>713</v>
      </c>
      <c r="M302" s="34" t="s">
        <v>714</v>
      </c>
      <c r="N302" s="34" t="s">
        <v>1743</v>
      </c>
      <c r="O302" s="35">
        <v>1</v>
      </c>
      <c r="P302" s="35"/>
      <c r="Q302" s="32"/>
      <c r="S302" s="1">
        <f t="shared" si="209"/>
        <v>0</v>
      </c>
      <c r="T302" s="1">
        <f t="shared" si="210"/>
        <v>0</v>
      </c>
      <c r="U302" s="1">
        <f t="shared" si="211"/>
        <v>0</v>
      </c>
      <c r="V302" s="1">
        <f t="shared" si="212"/>
        <v>0</v>
      </c>
      <c r="W302" s="1">
        <f t="shared" si="213"/>
        <v>0</v>
      </c>
      <c r="X302" s="1">
        <f t="shared" si="214"/>
        <v>0</v>
      </c>
      <c r="Y302" s="1">
        <f t="shared" si="215"/>
        <v>0</v>
      </c>
      <c r="Z302" s="1">
        <f t="shared" si="216"/>
        <v>0</v>
      </c>
      <c r="AA302" s="1">
        <f t="shared" si="217"/>
        <v>0</v>
      </c>
      <c r="AB302" s="1">
        <f t="shared" si="218"/>
        <v>0</v>
      </c>
      <c r="AD302" s="1">
        <f t="shared" si="219"/>
        <v>0</v>
      </c>
      <c r="AE302" s="1">
        <f t="shared" si="220"/>
        <v>1</v>
      </c>
      <c r="AF302" s="1">
        <f t="shared" si="205"/>
        <v>0</v>
      </c>
      <c r="AG302" s="1">
        <f t="shared" si="206"/>
        <v>1</v>
      </c>
      <c r="AH302" s="1">
        <f t="shared" si="207"/>
        <v>0</v>
      </c>
      <c r="AI302" s="1">
        <f t="shared" si="208"/>
        <v>1</v>
      </c>
    </row>
    <row r="303" spans="1:35" s="1" customFormat="1" ht="14.25" customHeight="1" x14ac:dyDescent="0.25">
      <c r="A303" s="15">
        <v>0</v>
      </c>
      <c r="B303" s="15">
        <v>2</v>
      </c>
      <c r="C303" s="15">
        <v>1</v>
      </c>
      <c r="D303" s="16" t="s">
        <v>651</v>
      </c>
      <c r="E303" s="16" t="s">
        <v>36</v>
      </c>
      <c r="F303" s="16" t="s">
        <v>667</v>
      </c>
      <c r="G303" s="16" t="s">
        <v>201</v>
      </c>
      <c r="H303" s="16" t="s">
        <v>354</v>
      </c>
      <c r="I303" s="15" t="s">
        <v>1005</v>
      </c>
      <c r="J303" s="15">
        <v>99</v>
      </c>
      <c r="K303" s="10" t="s">
        <v>703</v>
      </c>
      <c r="L303" s="10">
        <v>4</v>
      </c>
      <c r="M303" s="19" t="s">
        <v>714</v>
      </c>
      <c r="N303" s="17"/>
      <c r="Q303" s="16"/>
      <c r="S303" s="1">
        <f t="shared" si="209"/>
        <v>0</v>
      </c>
      <c r="T303" s="1">
        <f t="shared" si="210"/>
        <v>0</v>
      </c>
      <c r="U303" s="1">
        <f t="shared" si="211"/>
        <v>0</v>
      </c>
      <c r="V303" s="1">
        <f t="shared" si="212"/>
        <v>0</v>
      </c>
      <c r="W303" s="1">
        <f t="shared" si="213"/>
        <v>0</v>
      </c>
      <c r="X303" s="1">
        <f t="shared" si="214"/>
        <v>0</v>
      </c>
      <c r="Y303" s="1">
        <f t="shared" si="215"/>
        <v>0</v>
      </c>
      <c r="Z303" s="1">
        <f t="shared" si="216"/>
        <v>0</v>
      </c>
      <c r="AA303" s="1">
        <f t="shared" si="217"/>
        <v>0</v>
      </c>
      <c r="AB303" s="1">
        <f t="shared" si="218"/>
        <v>0</v>
      </c>
      <c r="AD303" s="1">
        <f t="shared" si="219"/>
        <v>0</v>
      </c>
      <c r="AE303" s="1">
        <f t="shared" si="220"/>
        <v>0</v>
      </c>
      <c r="AF303" s="1">
        <f t="shared" si="205"/>
        <v>0</v>
      </c>
      <c r="AG303" s="1">
        <f t="shared" si="206"/>
        <v>0</v>
      </c>
      <c r="AH303" s="1">
        <f t="shared" si="207"/>
        <v>0</v>
      </c>
      <c r="AI303" s="1">
        <f t="shared" si="208"/>
        <v>1</v>
      </c>
    </row>
    <row r="304" spans="1:35" s="1" customFormat="1" ht="14.25" customHeight="1" x14ac:dyDescent="0.25">
      <c r="A304" s="44">
        <v>0</v>
      </c>
      <c r="B304" s="44">
        <v>2</v>
      </c>
      <c r="C304" s="44">
        <v>1</v>
      </c>
      <c r="D304" s="45" t="s">
        <v>1264</v>
      </c>
      <c r="E304" s="45" t="s">
        <v>1265</v>
      </c>
      <c r="F304" s="45" t="s">
        <v>1266</v>
      </c>
      <c r="G304" s="45" t="s">
        <v>1165</v>
      </c>
      <c r="H304" s="45" t="s">
        <v>354</v>
      </c>
      <c r="I304" s="44" t="s">
        <v>1267</v>
      </c>
      <c r="J304" s="44">
        <v>11</v>
      </c>
      <c r="K304" s="46" t="s">
        <v>703</v>
      </c>
      <c r="L304" s="46">
        <v>6</v>
      </c>
      <c r="M304" s="47" t="s">
        <v>1728</v>
      </c>
      <c r="N304" s="47" t="s">
        <v>1809</v>
      </c>
      <c r="O304" s="48"/>
      <c r="P304" s="48"/>
      <c r="Q304" s="45"/>
      <c r="S304" s="1">
        <f t="shared" si="209"/>
        <v>0</v>
      </c>
      <c r="T304" s="1">
        <f t="shared" si="210"/>
        <v>0</v>
      </c>
      <c r="U304" s="1">
        <f t="shared" si="211"/>
        <v>0</v>
      </c>
      <c r="V304" s="1">
        <f t="shared" si="212"/>
        <v>0</v>
      </c>
      <c r="W304" s="1">
        <f t="shared" si="213"/>
        <v>0</v>
      </c>
      <c r="X304" s="1">
        <f t="shared" si="214"/>
        <v>0</v>
      </c>
      <c r="Y304" s="1">
        <f t="shared" si="215"/>
        <v>0</v>
      </c>
      <c r="Z304" s="1">
        <f t="shared" si="216"/>
        <v>0</v>
      </c>
      <c r="AA304" s="1">
        <f t="shared" si="217"/>
        <v>0</v>
      </c>
      <c r="AB304" s="1">
        <f t="shared" si="218"/>
        <v>0</v>
      </c>
      <c r="AD304" s="1">
        <f t="shared" si="219"/>
        <v>0</v>
      </c>
      <c r="AE304" s="1">
        <f t="shared" si="220"/>
        <v>0</v>
      </c>
      <c r="AF304" s="1">
        <f t="shared" si="205"/>
        <v>0</v>
      </c>
      <c r="AG304" s="1">
        <f t="shared" si="206"/>
        <v>0</v>
      </c>
      <c r="AH304" s="1">
        <f t="shared" si="207"/>
        <v>0</v>
      </c>
      <c r="AI304" s="1">
        <f t="shared" si="208"/>
        <v>1</v>
      </c>
    </row>
    <row r="305" spans="1:35" s="1" customFormat="1" ht="14.25" customHeight="1" x14ac:dyDescent="0.25">
      <c r="A305" s="31">
        <v>0</v>
      </c>
      <c r="B305" s="31">
        <v>2</v>
      </c>
      <c r="C305" s="31">
        <v>1</v>
      </c>
      <c r="D305" s="32" t="s">
        <v>1123</v>
      </c>
      <c r="E305" s="32" t="s">
        <v>1314</v>
      </c>
      <c r="F305" s="32" t="s">
        <v>1121</v>
      </c>
      <c r="G305" s="32" t="s">
        <v>230</v>
      </c>
      <c r="H305" s="32" t="s">
        <v>354</v>
      </c>
      <c r="I305" s="31" t="s">
        <v>1122</v>
      </c>
      <c r="J305" s="31">
        <v>7</v>
      </c>
      <c r="K305" s="33" t="s">
        <v>713</v>
      </c>
      <c r="L305" s="33" t="s">
        <v>1709</v>
      </c>
      <c r="M305" s="34" t="s">
        <v>714</v>
      </c>
      <c r="N305" s="34" t="s">
        <v>1756</v>
      </c>
      <c r="O305" s="35">
        <v>1</v>
      </c>
      <c r="P305" s="35"/>
      <c r="Q305" s="32"/>
      <c r="S305" s="1">
        <f t="shared" si="209"/>
        <v>0</v>
      </c>
      <c r="T305" s="1">
        <f t="shared" si="210"/>
        <v>0</v>
      </c>
      <c r="U305" s="1">
        <f t="shared" si="211"/>
        <v>0</v>
      </c>
      <c r="V305" s="1">
        <f t="shared" si="212"/>
        <v>0</v>
      </c>
      <c r="W305" s="1">
        <f t="shared" si="213"/>
        <v>0</v>
      </c>
      <c r="X305" s="1">
        <f t="shared" si="214"/>
        <v>0</v>
      </c>
      <c r="Y305" s="1">
        <f t="shared" si="215"/>
        <v>1</v>
      </c>
      <c r="Z305" s="1">
        <f t="shared" si="216"/>
        <v>0</v>
      </c>
      <c r="AA305" s="1">
        <f t="shared" si="217"/>
        <v>0</v>
      </c>
      <c r="AB305" s="1">
        <f t="shared" si="218"/>
        <v>0</v>
      </c>
      <c r="AD305" s="1">
        <f t="shared" si="219"/>
        <v>0</v>
      </c>
      <c r="AE305" s="1">
        <f t="shared" si="220"/>
        <v>1</v>
      </c>
      <c r="AF305" s="1">
        <f t="shared" si="205"/>
        <v>0</v>
      </c>
      <c r="AG305" s="1">
        <f t="shared" si="206"/>
        <v>1</v>
      </c>
      <c r="AH305" s="1">
        <f t="shared" si="207"/>
        <v>0</v>
      </c>
      <c r="AI305" s="1">
        <f t="shared" si="208"/>
        <v>1</v>
      </c>
    </row>
    <row r="306" spans="1:35" s="1" customFormat="1" ht="14.25" customHeight="1" x14ac:dyDescent="0.25">
      <c r="A306" s="31">
        <v>0</v>
      </c>
      <c r="B306" s="31">
        <v>2</v>
      </c>
      <c r="C306" s="31">
        <v>1</v>
      </c>
      <c r="D306" s="32" t="s">
        <v>1008</v>
      </c>
      <c r="E306" s="32" t="s">
        <v>1336</v>
      </c>
      <c r="F306" s="32" t="s">
        <v>1009</v>
      </c>
      <c r="G306" s="32" t="s">
        <v>1100</v>
      </c>
      <c r="H306" s="32" t="s">
        <v>354</v>
      </c>
      <c r="I306" s="31" t="s">
        <v>408</v>
      </c>
      <c r="J306" s="31">
        <v>99</v>
      </c>
      <c r="K306" s="33" t="s">
        <v>713</v>
      </c>
      <c r="L306" s="33" t="s">
        <v>713</v>
      </c>
      <c r="M306" s="34" t="s">
        <v>714</v>
      </c>
      <c r="N306" s="34" t="s">
        <v>1743</v>
      </c>
      <c r="O306" s="35">
        <v>1</v>
      </c>
      <c r="P306" s="35"/>
      <c r="Q306" s="32"/>
      <c r="S306" s="1">
        <f t="shared" si="209"/>
        <v>0</v>
      </c>
      <c r="T306" s="1">
        <f t="shared" si="210"/>
        <v>0</v>
      </c>
      <c r="U306" s="1">
        <f t="shared" si="211"/>
        <v>0</v>
      </c>
      <c r="V306" s="1">
        <f t="shared" si="212"/>
        <v>0</v>
      </c>
      <c r="W306" s="1">
        <f t="shared" si="213"/>
        <v>0</v>
      </c>
      <c r="X306" s="1">
        <f t="shared" si="214"/>
        <v>0</v>
      </c>
      <c r="Y306" s="1">
        <f t="shared" si="215"/>
        <v>0</v>
      </c>
      <c r="Z306" s="1">
        <f t="shared" si="216"/>
        <v>0</v>
      </c>
      <c r="AA306" s="1">
        <f t="shared" si="217"/>
        <v>0</v>
      </c>
      <c r="AB306" s="1">
        <f t="shared" si="218"/>
        <v>0</v>
      </c>
      <c r="AD306" s="1">
        <f t="shared" si="219"/>
        <v>0</v>
      </c>
      <c r="AE306" s="1">
        <f t="shared" si="220"/>
        <v>1</v>
      </c>
      <c r="AF306" s="1">
        <f t="shared" si="205"/>
        <v>0</v>
      </c>
      <c r="AG306" s="1">
        <f t="shared" si="206"/>
        <v>1</v>
      </c>
      <c r="AH306" s="1">
        <f t="shared" si="207"/>
        <v>0</v>
      </c>
      <c r="AI306" s="1">
        <f t="shared" si="208"/>
        <v>1</v>
      </c>
    </row>
    <row r="307" spans="1:35" s="1" customFormat="1" ht="14.25" customHeight="1" x14ac:dyDescent="0.25">
      <c r="A307" s="31">
        <v>0</v>
      </c>
      <c r="B307" s="31">
        <v>2</v>
      </c>
      <c r="C307" s="31">
        <v>1</v>
      </c>
      <c r="D307" s="32" t="s">
        <v>1130</v>
      </c>
      <c r="E307" s="32" t="s">
        <v>561</v>
      </c>
      <c r="F307" s="32" t="s">
        <v>1354</v>
      </c>
      <c r="G307" s="32" t="s">
        <v>265</v>
      </c>
      <c r="H307" s="32" t="s">
        <v>354</v>
      </c>
      <c r="I307" s="31" t="s">
        <v>1131</v>
      </c>
      <c r="J307" s="31">
        <v>8</v>
      </c>
      <c r="K307" s="33" t="s">
        <v>712</v>
      </c>
      <c r="L307" s="33" t="s">
        <v>1709</v>
      </c>
      <c r="M307" s="34" t="s">
        <v>714</v>
      </c>
      <c r="N307" s="34" t="s">
        <v>1748</v>
      </c>
      <c r="O307" s="35">
        <v>1</v>
      </c>
      <c r="P307" s="35"/>
      <c r="Q307" s="32"/>
      <c r="S307" s="1">
        <f t="shared" si="209"/>
        <v>0</v>
      </c>
      <c r="T307" s="1">
        <f t="shared" si="210"/>
        <v>0</v>
      </c>
      <c r="U307" s="1">
        <f t="shared" si="211"/>
        <v>0</v>
      </c>
      <c r="V307" s="1">
        <f t="shared" si="212"/>
        <v>0</v>
      </c>
      <c r="W307" s="1">
        <f t="shared" si="213"/>
        <v>0</v>
      </c>
      <c r="X307" s="1">
        <f t="shared" si="214"/>
        <v>0</v>
      </c>
      <c r="Y307" s="1">
        <f t="shared" si="215"/>
        <v>0</v>
      </c>
      <c r="Z307" s="1">
        <f t="shared" si="216"/>
        <v>1</v>
      </c>
      <c r="AA307" s="1">
        <f t="shared" si="217"/>
        <v>0</v>
      </c>
      <c r="AB307" s="1">
        <f t="shared" si="218"/>
        <v>0</v>
      </c>
      <c r="AD307" s="1">
        <f t="shared" si="219"/>
        <v>0</v>
      </c>
      <c r="AE307" s="1">
        <f t="shared" si="220"/>
        <v>1</v>
      </c>
      <c r="AF307" s="1">
        <f t="shared" si="205"/>
        <v>0</v>
      </c>
      <c r="AG307" s="1">
        <f t="shared" si="206"/>
        <v>1</v>
      </c>
      <c r="AH307" s="1">
        <f t="shared" si="207"/>
        <v>0</v>
      </c>
      <c r="AI307" s="1">
        <f t="shared" si="208"/>
        <v>1</v>
      </c>
    </row>
    <row r="308" spans="1:35" s="1" customFormat="1" ht="14.25" customHeight="1" x14ac:dyDescent="0.25">
      <c r="A308" s="31">
        <v>0</v>
      </c>
      <c r="B308" s="31">
        <v>2</v>
      </c>
      <c r="C308" s="31">
        <v>1</v>
      </c>
      <c r="D308" s="32" t="s">
        <v>1286</v>
      </c>
      <c r="E308" s="32" t="s">
        <v>1334</v>
      </c>
      <c r="F308" s="32" t="s">
        <v>1283</v>
      </c>
      <c r="G308" s="32" t="s">
        <v>1284</v>
      </c>
      <c r="H308" s="32" t="s">
        <v>354</v>
      </c>
      <c r="I308" s="31" t="s">
        <v>1285</v>
      </c>
      <c r="J308" s="31">
        <v>1</v>
      </c>
      <c r="K308" s="33" t="s">
        <v>712</v>
      </c>
      <c r="L308" s="33" t="s">
        <v>713</v>
      </c>
      <c r="M308" s="34" t="s">
        <v>714</v>
      </c>
      <c r="N308" s="34" t="s">
        <v>1761</v>
      </c>
      <c r="O308" s="35">
        <v>1</v>
      </c>
      <c r="P308" s="35"/>
      <c r="Q308" s="32" t="s">
        <v>1902</v>
      </c>
      <c r="S308" s="1">
        <f t="shared" si="209"/>
        <v>1</v>
      </c>
      <c r="T308" s="1">
        <f t="shared" si="210"/>
        <v>0</v>
      </c>
      <c r="U308" s="1">
        <f t="shared" si="211"/>
        <v>0</v>
      </c>
      <c r="V308" s="1">
        <f t="shared" si="212"/>
        <v>0</v>
      </c>
      <c r="W308" s="1">
        <f t="shared" si="213"/>
        <v>0</v>
      </c>
      <c r="X308" s="1">
        <f t="shared" si="214"/>
        <v>0</v>
      </c>
      <c r="Y308" s="1">
        <f t="shared" si="215"/>
        <v>0</v>
      </c>
      <c r="Z308" s="1">
        <f t="shared" si="216"/>
        <v>0</v>
      </c>
      <c r="AA308" s="1">
        <f t="shared" si="217"/>
        <v>0</v>
      </c>
      <c r="AB308" s="1">
        <f t="shared" si="218"/>
        <v>0</v>
      </c>
      <c r="AD308" s="1">
        <f t="shared" si="219"/>
        <v>0</v>
      </c>
      <c r="AE308" s="1">
        <f t="shared" si="220"/>
        <v>1</v>
      </c>
      <c r="AF308" s="1">
        <f t="shared" si="205"/>
        <v>0</v>
      </c>
      <c r="AG308" s="1">
        <f t="shared" si="206"/>
        <v>1</v>
      </c>
      <c r="AH308" s="1">
        <f t="shared" si="207"/>
        <v>0</v>
      </c>
      <c r="AI308" s="1">
        <f t="shared" si="208"/>
        <v>1</v>
      </c>
    </row>
    <row r="309" spans="1:35" s="1" customFormat="1" ht="14.25" customHeight="1" x14ac:dyDescent="0.25">
      <c r="A309" s="44">
        <v>0</v>
      </c>
      <c r="B309" s="44">
        <v>2</v>
      </c>
      <c r="C309" s="44">
        <v>1</v>
      </c>
      <c r="D309" s="45" t="s">
        <v>52</v>
      </c>
      <c r="E309" s="45" t="s">
        <v>32</v>
      </c>
      <c r="F309" s="45" t="s">
        <v>206</v>
      </c>
      <c r="G309" s="45" t="s">
        <v>207</v>
      </c>
      <c r="H309" s="45" t="s">
        <v>354</v>
      </c>
      <c r="I309" s="44" t="s">
        <v>391</v>
      </c>
      <c r="J309" s="44">
        <v>99</v>
      </c>
      <c r="K309" s="46" t="s">
        <v>712</v>
      </c>
      <c r="L309" s="46" t="s">
        <v>713</v>
      </c>
      <c r="M309" s="47" t="s">
        <v>714</v>
      </c>
      <c r="N309" s="47" t="s">
        <v>1747</v>
      </c>
      <c r="O309" s="48"/>
      <c r="P309" s="48"/>
      <c r="Q309" s="45"/>
      <c r="S309" s="1">
        <f t="shared" si="209"/>
        <v>0</v>
      </c>
      <c r="T309" s="1">
        <f t="shared" si="210"/>
        <v>0</v>
      </c>
      <c r="U309" s="1">
        <f t="shared" si="211"/>
        <v>0</v>
      </c>
      <c r="V309" s="1">
        <f t="shared" si="212"/>
        <v>0</v>
      </c>
      <c r="W309" s="1">
        <f t="shared" si="213"/>
        <v>0</v>
      </c>
      <c r="X309" s="1">
        <f t="shared" si="214"/>
        <v>0</v>
      </c>
      <c r="Y309" s="1">
        <f t="shared" si="215"/>
        <v>0</v>
      </c>
      <c r="Z309" s="1">
        <f t="shared" si="216"/>
        <v>0</v>
      </c>
      <c r="AA309" s="1">
        <f t="shared" si="217"/>
        <v>0</v>
      </c>
      <c r="AB309" s="1">
        <f t="shared" si="218"/>
        <v>0</v>
      </c>
      <c r="AD309" s="1">
        <f t="shared" si="219"/>
        <v>0</v>
      </c>
      <c r="AE309" s="1">
        <f t="shared" si="220"/>
        <v>0</v>
      </c>
      <c r="AF309" s="1">
        <f t="shared" si="205"/>
        <v>0</v>
      </c>
      <c r="AG309" s="1">
        <f t="shared" si="206"/>
        <v>0</v>
      </c>
      <c r="AH309" s="1">
        <f t="shared" si="207"/>
        <v>0</v>
      </c>
      <c r="AI309" s="1">
        <f t="shared" si="208"/>
        <v>1</v>
      </c>
    </row>
    <row r="310" spans="1:35" s="1" customFormat="1" ht="14.25" customHeight="1" x14ac:dyDescent="0.25">
      <c r="A310" s="31">
        <v>0</v>
      </c>
      <c r="B310" s="31">
        <v>2</v>
      </c>
      <c r="C310" s="31">
        <v>1</v>
      </c>
      <c r="D310" s="32" t="s">
        <v>73</v>
      </c>
      <c r="E310" s="32" t="s">
        <v>561</v>
      </c>
      <c r="F310" s="32" t="s">
        <v>1050</v>
      </c>
      <c r="G310" s="32" t="s">
        <v>190</v>
      </c>
      <c r="H310" s="32" t="s">
        <v>354</v>
      </c>
      <c r="I310" s="31" t="s">
        <v>421</v>
      </c>
      <c r="J310" s="31">
        <v>99</v>
      </c>
      <c r="K310" s="33" t="s">
        <v>954</v>
      </c>
      <c r="L310" s="33" t="s">
        <v>713</v>
      </c>
      <c r="M310" s="34" t="s">
        <v>714</v>
      </c>
      <c r="N310" s="34" t="s">
        <v>1743</v>
      </c>
      <c r="O310" s="35">
        <v>1</v>
      </c>
      <c r="P310" s="35"/>
      <c r="Q310" s="32"/>
      <c r="S310" s="1">
        <f t="shared" si="209"/>
        <v>0</v>
      </c>
      <c r="T310" s="1">
        <f t="shared" si="210"/>
        <v>0</v>
      </c>
      <c r="U310" s="1">
        <f t="shared" si="211"/>
        <v>0</v>
      </c>
      <c r="V310" s="1">
        <f t="shared" si="212"/>
        <v>0</v>
      </c>
      <c r="W310" s="1">
        <f t="shared" si="213"/>
        <v>0</v>
      </c>
      <c r="X310" s="1">
        <f t="shared" si="214"/>
        <v>0</v>
      </c>
      <c r="Y310" s="1">
        <f t="shared" si="215"/>
        <v>0</v>
      </c>
      <c r="Z310" s="1">
        <f t="shared" si="216"/>
        <v>0</v>
      </c>
      <c r="AA310" s="1">
        <f t="shared" si="217"/>
        <v>0</v>
      </c>
      <c r="AB310" s="1">
        <f t="shared" si="218"/>
        <v>0</v>
      </c>
      <c r="AD310" s="1">
        <f t="shared" si="219"/>
        <v>0</v>
      </c>
      <c r="AE310" s="1">
        <f t="shared" si="220"/>
        <v>1</v>
      </c>
      <c r="AF310" s="1">
        <f t="shared" si="205"/>
        <v>0</v>
      </c>
      <c r="AG310" s="1">
        <f t="shared" si="206"/>
        <v>1</v>
      </c>
      <c r="AH310" s="1">
        <f t="shared" si="207"/>
        <v>0</v>
      </c>
      <c r="AI310" s="1">
        <f t="shared" si="208"/>
        <v>1</v>
      </c>
    </row>
    <row r="311" spans="1:35" s="1" customFormat="1" ht="14.25" customHeight="1" x14ac:dyDescent="0.25">
      <c r="A311" s="31">
        <v>0</v>
      </c>
      <c r="B311" s="31">
        <v>2</v>
      </c>
      <c r="C311" s="31">
        <v>1</v>
      </c>
      <c r="D311" s="32" t="s">
        <v>47</v>
      </c>
      <c r="E311" s="32" t="s">
        <v>32</v>
      </c>
      <c r="F311" s="32" t="s">
        <v>187</v>
      </c>
      <c r="G311" s="32" t="s">
        <v>180</v>
      </c>
      <c r="H311" s="32" t="s">
        <v>354</v>
      </c>
      <c r="I311" s="31" t="s">
        <v>383</v>
      </c>
      <c r="J311" s="31">
        <v>10</v>
      </c>
      <c r="K311" s="33" t="s">
        <v>955</v>
      </c>
      <c r="L311" s="33" t="s">
        <v>713</v>
      </c>
      <c r="M311" s="34" t="s">
        <v>714</v>
      </c>
      <c r="N311" s="34" t="s">
        <v>1743</v>
      </c>
      <c r="O311" s="35">
        <v>1</v>
      </c>
      <c r="P311" s="35"/>
      <c r="Q311" s="32"/>
      <c r="S311" s="1">
        <f t="shared" si="209"/>
        <v>0</v>
      </c>
      <c r="T311" s="1">
        <f t="shared" si="210"/>
        <v>0</v>
      </c>
      <c r="U311" s="1">
        <f t="shared" si="211"/>
        <v>0</v>
      </c>
      <c r="V311" s="1">
        <f t="shared" si="212"/>
        <v>0</v>
      </c>
      <c r="W311" s="1">
        <f t="shared" si="213"/>
        <v>0</v>
      </c>
      <c r="X311" s="1">
        <f t="shared" si="214"/>
        <v>0</v>
      </c>
      <c r="Y311" s="1">
        <f t="shared" si="215"/>
        <v>0</v>
      </c>
      <c r="Z311" s="1">
        <f t="shared" si="216"/>
        <v>0</v>
      </c>
      <c r="AA311" s="1">
        <f t="shared" si="217"/>
        <v>0</v>
      </c>
      <c r="AB311" s="1">
        <f t="shared" si="218"/>
        <v>1</v>
      </c>
      <c r="AD311" s="1">
        <f t="shared" si="219"/>
        <v>0</v>
      </c>
      <c r="AE311" s="1">
        <f t="shared" si="220"/>
        <v>1</v>
      </c>
      <c r="AF311" s="1">
        <f t="shared" si="205"/>
        <v>0</v>
      </c>
      <c r="AG311" s="1">
        <f t="shared" si="206"/>
        <v>1</v>
      </c>
      <c r="AH311" s="1">
        <f t="shared" si="207"/>
        <v>0</v>
      </c>
      <c r="AI311" s="1">
        <f t="shared" si="208"/>
        <v>1</v>
      </c>
    </row>
    <row r="312" spans="1:35" s="1" customFormat="1" ht="14.25" customHeight="1" x14ac:dyDescent="0.25">
      <c r="A312" s="44">
        <v>0</v>
      </c>
      <c r="B312" s="44">
        <v>2</v>
      </c>
      <c r="C312" s="44">
        <v>1</v>
      </c>
      <c r="D312" s="45" t="s">
        <v>652</v>
      </c>
      <c r="E312" s="45" t="s">
        <v>160</v>
      </c>
      <c r="F312" s="45" t="s">
        <v>188</v>
      </c>
      <c r="G312" s="45" t="s">
        <v>668</v>
      </c>
      <c r="H312" s="45" t="s">
        <v>354</v>
      </c>
      <c r="I312" s="44" t="s">
        <v>384</v>
      </c>
      <c r="J312" s="44">
        <v>99</v>
      </c>
      <c r="K312" s="46" t="s">
        <v>712</v>
      </c>
      <c r="L312" s="46" t="s">
        <v>713</v>
      </c>
      <c r="M312" s="47" t="s">
        <v>714</v>
      </c>
      <c r="N312" s="47" t="s">
        <v>1737</v>
      </c>
      <c r="O312" s="48"/>
      <c r="P312" s="48"/>
      <c r="Q312" s="45"/>
      <c r="S312" s="1">
        <f t="shared" si="209"/>
        <v>0</v>
      </c>
      <c r="T312" s="1">
        <f t="shared" si="210"/>
        <v>0</v>
      </c>
      <c r="U312" s="1">
        <f t="shared" si="211"/>
        <v>0</v>
      </c>
      <c r="V312" s="1">
        <f t="shared" si="212"/>
        <v>0</v>
      </c>
      <c r="W312" s="1">
        <f t="shared" si="213"/>
        <v>0</v>
      </c>
      <c r="X312" s="1">
        <f t="shared" si="214"/>
        <v>0</v>
      </c>
      <c r="Y312" s="1">
        <f t="shared" si="215"/>
        <v>0</v>
      </c>
      <c r="Z312" s="1">
        <f t="shared" si="216"/>
        <v>0</v>
      </c>
      <c r="AA312" s="1">
        <f t="shared" si="217"/>
        <v>0</v>
      </c>
      <c r="AB312" s="1">
        <f t="shared" si="218"/>
        <v>0</v>
      </c>
      <c r="AD312" s="1">
        <f t="shared" si="219"/>
        <v>0</v>
      </c>
      <c r="AE312" s="1">
        <f t="shared" si="220"/>
        <v>0</v>
      </c>
      <c r="AF312" s="1">
        <f t="shared" si="205"/>
        <v>0</v>
      </c>
      <c r="AG312" s="1">
        <f t="shared" si="206"/>
        <v>0</v>
      </c>
      <c r="AH312" s="1">
        <f t="shared" si="207"/>
        <v>0</v>
      </c>
      <c r="AI312" s="1">
        <f t="shared" si="208"/>
        <v>1</v>
      </c>
    </row>
    <row r="313" spans="1:35" s="1" customFormat="1" ht="14.25" customHeight="1" x14ac:dyDescent="0.25">
      <c r="A313" s="38">
        <v>0</v>
      </c>
      <c r="B313" s="38">
        <v>2</v>
      </c>
      <c r="C313" s="38">
        <v>1</v>
      </c>
      <c r="D313" s="39" t="s">
        <v>1304</v>
      </c>
      <c r="E313" s="39" t="s">
        <v>36</v>
      </c>
      <c r="F313" s="39" t="s">
        <v>1305</v>
      </c>
      <c r="G313" s="39" t="s">
        <v>258</v>
      </c>
      <c r="H313" s="39" t="s">
        <v>354</v>
      </c>
      <c r="I313" s="38" t="s">
        <v>1306</v>
      </c>
      <c r="J313" s="38">
        <v>8</v>
      </c>
      <c r="K313" s="40" t="s">
        <v>959</v>
      </c>
      <c r="L313" s="40" t="s">
        <v>713</v>
      </c>
      <c r="M313" s="41" t="s">
        <v>714</v>
      </c>
      <c r="N313" s="42"/>
      <c r="O313" s="43"/>
      <c r="P313" s="43">
        <v>1</v>
      </c>
      <c r="Q313" s="39"/>
      <c r="S313" s="1">
        <f t="shared" si="209"/>
        <v>0</v>
      </c>
      <c r="T313" s="1">
        <f t="shared" si="210"/>
        <v>0</v>
      </c>
      <c r="U313" s="1">
        <f t="shared" si="211"/>
        <v>0</v>
      </c>
      <c r="V313" s="1">
        <f t="shared" si="212"/>
        <v>0</v>
      </c>
      <c r="W313" s="1">
        <f t="shared" si="213"/>
        <v>0</v>
      </c>
      <c r="X313" s="1">
        <f t="shared" si="214"/>
        <v>0</v>
      </c>
      <c r="Y313" s="1">
        <f t="shared" si="215"/>
        <v>0</v>
      </c>
      <c r="Z313" s="1">
        <f t="shared" si="216"/>
        <v>1</v>
      </c>
      <c r="AA313" s="1">
        <f t="shared" si="217"/>
        <v>0</v>
      </c>
      <c r="AB313" s="1">
        <f t="shared" si="218"/>
        <v>0</v>
      </c>
      <c r="AD313" s="1">
        <f t="shared" si="219"/>
        <v>0</v>
      </c>
      <c r="AE313" s="1">
        <f t="shared" si="220"/>
        <v>0</v>
      </c>
      <c r="AF313" s="1">
        <f t="shared" si="205"/>
        <v>0</v>
      </c>
      <c r="AG313" s="1">
        <f t="shared" si="206"/>
        <v>0</v>
      </c>
      <c r="AH313" s="1">
        <f t="shared" si="207"/>
        <v>1</v>
      </c>
      <c r="AI313" s="1">
        <f t="shared" si="208"/>
        <v>0</v>
      </c>
    </row>
    <row r="314" spans="1:35" s="1" customFormat="1" ht="14.25" customHeight="1" x14ac:dyDescent="0.25">
      <c r="A314" s="31">
        <v>0</v>
      </c>
      <c r="B314" s="31">
        <v>2</v>
      </c>
      <c r="C314" s="31">
        <v>1</v>
      </c>
      <c r="D314" s="32" t="s">
        <v>54</v>
      </c>
      <c r="E314" s="32" t="s">
        <v>561</v>
      </c>
      <c r="F314" s="32" t="s">
        <v>212</v>
      </c>
      <c r="G314" s="32" t="s">
        <v>213</v>
      </c>
      <c r="H314" s="32" t="s">
        <v>354</v>
      </c>
      <c r="I314" s="31" t="s">
        <v>393</v>
      </c>
      <c r="J314" s="31">
        <v>1</v>
      </c>
      <c r="K314" s="33" t="s">
        <v>955</v>
      </c>
      <c r="L314" s="33" t="s">
        <v>713</v>
      </c>
      <c r="M314" s="34" t="s">
        <v>39</v>
      </c>
      <c r="N314" s="34" t="s">
        <v>1743</v>
      </c>
      <c r="O314" s="35">
        <v>1</v>
      </c>
      <c r="P314" s="35"/>
      <c r="Q314" s="32"/>
      <c r="S314" s="1">
        <f t="shared" si="209"/>
        <v>1</v>
      </c>
      <c r="T314" s="1">
        <f t="shared" si="210"/>
        <v>0</v>
      </c>
      <c r="U314" s="1">
        <f t="shared" si="211"/>
        <v>0</v>
      </c>
      <c r="V314" s="1">
        <f t="shared" si="212"/>
        <v>0</v>
      </c>
      <c r="W314" s="1">
        <f t="shared" si="213"/>
        <v>0</v>
      </c>
      <c r="X314" s="1">
        <f t="shared" si="214"/>
        <v>0</v>
      </c>
      <c r="Y314" s="1">
        <f t="shared" si="215"/>
        <v>0</v>
      </c>
      <c r="Z314" s="1">
        <f t="shared" si="216"/>
        <v>0</v>
      </c>
      <c r="AA314" s="1">
        <f t="shared" si="217"/>
        <v>0</v>
      </c>
      <c r="AB314" s="1">
        <f t="shared" si="218"/>
        <v>0</v>
      </c>
      <c r="AD314" s="1">
        <f t="shared" si="219"/>
        <v>0</v>
      </c>
      <c r="AE314" s="1">
        <f t="shared" si="220"/>
        <v>1</v>
      </c>
      <c r="AF314" s="1">
        <f t="shared" si="205"/>
        <v>0</v>
      </c>
      <c r="AG314" s="1">
        <f t="shared" si="206"/>
        <v>1</v>
      </c>
      <c r="AH314" s="1">
        <f t="shared" si="207"/>
        <v>0</v>
      </c>
      <c r="AI314" s="1">
        <f t="shared" si="208"/>
        <v>1</v>
      </c>
    </row>
    <row r="315" spans="1:35" s="1" customFormat="1" ht="14.25" customHeight="1" x14ac:dyDescent="0.25">
      <c r="A315" s="44">
        <v>0</v>
      </c>
      <c r="B315" s="44">
        <v>2</v>
      </c>
      <c r="C315" s="44">
        <v>1</v>
      </c>
      <c r="D315" s="45" t="s">
        <v>61</v>
      </c>
      <c r="E315" s="45" t="s">
        <v>543</v>
      </c>
      <c r="F315" s="45" t="s">
        <v>233</v>
      </c>
      <c r="G315" s="45" t="s">
        <v>204</v>
      </c>
      <c r="H315" s="45" t="s">
        <v>354</v>
      </c>
      <c r="I315" s="44" t="s">
        <v>401</v>
      </c>
      <c r="J315" s="44">
        <v>7</v>
      </c>
      <c r="K315" s="46" t="s">
        <v>712</v>
      </c>
      <c r="L315" s="46" t="s">
        <v>713</v>
      </c>
      <c r="M315" s="47" t="s">
        <v>714</v>
      </c>
      <c r="N315" s="47" t="s">
        <v>1738</v>
      </c>
      <c r="O315" s="48"/>
      <c r="P315" s="48"/>
      <c r="Q315" s="45"/>
      <c r="S315" s="1">
        <f t="shared" si="209"/>
        <v>0</v>
      </c>
      <c r="T315" s="1">
        <f t="shared" si="210"/>
        <v>0</v>
      </c>
      <c r="U315" s="1">
        <f t="shared" si="211"/>
        <v>0</v>
      </c>
      <c r="V315" s="1">
        <f t="shared" si="212"/>
        <v>0</v>
      </c>
      <c r="W315" s="1">
        <f t="shared" si="213"/>
        <v>0</v>
      </c>
      <c r="X315" s="1">
        <f t="shared" si="214"/>
        <v>0</v>
      </c>
      <c r="Y315" s="1">
        <f t="shared" si="215"/>
        <v>1</v>
      </c>
      <c r="Z315" s="1">
        <f t="shared" si="216"/>
        <v>0</v>
      </c>
      <c r="AA315" s="1">
        <f t="shared" si="217"/>
        <v>0</v>
      </c>
      <c r="AB315" s="1">
        <f t="shared" si="218"/>
        <v>0</v>
      </c>
      <c r="AD315" s="1">
        <f t="shared" si="219"/>
        <v>0</v>
      </c>
      <c r="AE315" s="1">
        <f t="shared" si="220"/>
        <v>0</v>
      </c>
      <c r="AF315" s="1">
        <f t="shared" si="205"/>
        <v>0</v>
      </c>
      <c r="AG315" s="1">
        <f t="shared" si="206"/>
        <v>0</v>
      </c>
      <c r="AH315" s="1">
        <f t="shared" si="207"/>
        <v>0</v>
      </c>
      <c r="AI315" s="1">
        <f t="shared" si="208"/>
        <v>1</v>
      </c>
    </row>
    <row r="316" spans="1:35" s="1" customFormat="1" ht="14.25" customHeight="1" x14ac:dyDescent="0.25">
      <c r="A316" s="31">
        <v>0</v>
      </c>
      <c r="B316" s="31">
        <v>2</v>
      </c>
      <c r="C316" s="31">
        <v>1</v>
      </c>
      <c r="D316" s="32" t="s">
        <v>1647</v>
      </c>
      <c r="E316" s="32" t="s">
        <v>561</v>
      </c>
      <c r="F316" s="32" t="s">
        <v>1358</v>
      </c>
      <c r="G316" s="32" t="s">
        <v>1284</v>
      </c>
      <c r="H316" s="32" t="s">
        <v>354</v>
      </c>
      <c r="I316" s="31" t="s">
        <v>1167</v>
      </c>
      <c r="J316" s="31">
        <v>99</v>
      </c>
      <c r="K316" s="33" t="s">
        <v>712</v>
      </c>
      <c r="L316" s="33" t="s">
        <v>713</v>
      </c>
      <c r="M316" s="34" t="s">
        <v>714</v>
      </c>
      <c r="N316" s="34" t="s">
        <v>1748</v>
      </c>
      <c r="O316" s="35">
        <v>1</v>
      </c>
      <c r="P316" s="35"/>
      <c r="Q316" s="32" t="s">
        <v>1901</v>
      </c>
      <c r="S316" s="1">
        <f t="shared" si="209"/>
        <v>0</v>
      </c>
      <c r="T316" s="1">
        <f t="shared" si="210"/>
        <v>0</v>
      </c>
      <c r="U316" s="1">
        <f t="shared" si="211"/>
        <v>0</v>
      </c>
      <c r="V316" s="1">
        <f t="shared" si="212"/>
        <v>0</v>
      </c>
      <c r="W316" s="1">
        <f t="shared" si="213"/>
        <v>0</v>
      </c>
      <c r="X316" s="1">
        <f t="shared" si="214"/>
        <v>0</v>
      </c>
      <c r="Y316" s="1">
        <f t="shared" si="215"/>
        <v>0</v>
      </c>
      <c r="Z316" s="1">
        <f t="shared" si="216"/>
        <v>0</v>
      </c>
      <c r="AA316" s="1">
        <f t="shared" si="217"/>
        <v>0</v>
      </c>
      <c r="AB316" s="1">
        <f t="shared" si="218"/>
        <v>0</v>
      </c>
      <c r="AD316" s="1">
        <f t="shared" si="219"/>
        <v>0</v>
      </c>
      <c r="AE316" s="1">
        <f t="shared" si="220"/>
        <v>1</v>
      </c>
      <c r="AF316" s="1">
        <f t="shared" si="205"/>
        <v>0</v>
      </c>
      <c r="AG316" s="1">
        <f t="shared" si="206"/>
        <v>1</v>
      </c>
      <c r="AH316" s="1">
        <f t="shared" si="207"/>
        <v>0</v>
      </c>
      <c r="AI316" s="1">
        <f t="shared" si="208"/>
        <v>1</v>
      </c>
    </row>
    <row r="317" spans="1:35" s="1" customFormat="1" ht="14.25" customHeight="1" x14ac:dyDescent="0.25">
      <c r="A317" s="49">
        <v>0</v>
      </c>
      <c r="B317" s="49">
        <v>2</v>
      </c>
      <c r="C317" s="49">
        <v>1</v>
      </c>
      <c r="D317" s="50" t="s">
        <v>1782</v>
      </c>
      <c r="E317" s="50" t="s">
        <v>1783</v>
      </c>
      <c r="F317" s="50" t="s">
        <v>1784</v>
      </c>
      <c r="G317" s="50" t="s">
        <v>1785</v>
      </c>
      <c r="H317" s="50" t="s">
        <v>354</v>
      </c>
      <c r="I317" s="49"/>
      <c r="J317" s="49">
        <v>1</v>
      </c>
      <c r="K317" s="51" t="s">
        <v>703</v>
      </c>
      <c r="L317" s="51"/>
      <c r="M317" s="52"/>
      <c r="N317" s="52" t="s">
        <v>1743</v>
      </c>
      <c r="O317" s="53">
        <v>1</v>
      </c>
      <c r="P317" s="53"/>
      <c r="Q317" s="55" t="s">
        <v>1909</v>
      </c>
      <c r="S317" s="1">
        <f t="shared" si="209"/>
        <v>1</v>
      </c>
      <c r="T317" s="1">
        <f t="shared" si="210"/>
        <v>0</v>
      </c>
      <c r="U317" s="1">
        <f t="shared" si="211"/>
        <v>0</v>
      </c>
      <c r="V317" s="1">
        <f t="shared" si="212"/>
        <v>0</v>
      </c>
      <c r="W317" s="1">
        <f t="shared" si="213"/>
        <v>0</v>
      </c>
      <c r="X317" s="1">
        <f t="shared" si="214"/>
        <v>0</v>
      </c>
      <c r="Y317" s="1">
        <f t="shared" si="215"/>
        <v>0</v>
      </c>
      <c r="Z317" s="1">
        <f t="shared" si="216"/>
        <v>0</v>
      </c>
      <c r="AA317" s="1">
        <f t="shared" si="217"/>
        <v>0</v>
      </c>
      <c r="AB317" s="1">
        <f t="shared" si="218"/>
        <v>0</v>
      </c>
      <c r="AD317" s="1">
        <f t="shared" si="219"/>
        <v>0</v>
      </c>
      <c r="AE317" s="1">
        <f t="shared" si="220"/>
        <v>1</v>
      </c>
      <c r="AF317" s="1">
        <f t="shared" si="205"/>
        <v>0</v>
      </c>
      <c r="AG317" s="1">
        <f t="shared" si="206"/>
        <v>1</v>
      </c>
      <c r="AH317" s="1">
        <f t="shared" si="207"/>
        <v>0</v>
      </c>
      <c r="AI317" s="1">
        <f t="shared" si="208"/>
        <v>1</v>
      </c>
    </row>
    <row r="318" spans="1:35" s="1" customFormat="1" ht="14.25" customHeight="1" x14ac:dyDescent="0.25">
      <c r="A318" s="31">
        <v>0</v>
      </c>
      <c r="B318" s="31">
        <v>2</v>
      </c>
      <c r="C318" s="31">
        <v>1</v>
      </c>
      <c r="D318" s="32" t="s">
        <v>1318</v>
      </c>
      <c r="E318" s="32" t="s">
        <v>1338</v>
      </c>
      <c r="F318" s="32" t="s">
        <v>1301</v>
      </c>
      <c r="G318" s="32" t="s">
        <v>1302</v>
      </c>
      <c r="H318" s="32" t="s">
        <v>354</v>
      </c>
      <c r="I318" s="31" t="s">
        <v>1303</v>
      </c>
      <c r="J318" s="31">
        <v>99</v>
      </c>
      <c r="K318" s="33" t="s">
        <v>955</v>
      </c>
      <c r="L318" s="33" t="s">
        <v>713</v>
      </c>
      <c r="M318" s="34" t="s">
        <v>714</v>
      </c>
      <c r="N318" s="34" t="s">
        <v>1919</v>
      </c>
      <c r="O318" s="35">
        <v>1</v>
      </c>
      <c r="P318" s="35"/>
      <c r="Q318" s="32"/>
      <c r="S318" s="1">
        <f t="shared" si="209"/>
        <v>0</v>
      </c>
      <c r="T318" s="1">
        <f t="shared" si="210"/>
        <v>0</v>
      </c>
      <c r="U318" s="1">
        <f t="shared" si="211"/>
        <v>0</v>
      </c>
      <c r="V318" s="1">
        <f t="shared" si="212"/>
        <v>0</v>
      </c>
      <c r="W318" s="1">
        <f t="shared" si="213"/>
        <v>0</v>
      </c>
      <c r="X318" s="1">
        <f t="shared" si="214"/>
        <v>0</v>
      </c>
      <c r="Y318" s="1">
        <f t="shared" si="215"/>
        <v>0</v>
      </c>
      <c r="Z318" s="1">
        <f t="shared" si="216"/>
        <v>0</v>
      </c>
      <c r="AA318" s="1">
        <f t="shared" si="217"/>
        <v>0</v>
      </c>
      <c r="AB318" s="1">
        <f t="shared" si="218"/>
        <v>0</v>
      </c>
      <c r="AD318" s="1">
        <f t="shared" si="219"/>
        <v>0</v>
      </c>
      <c r="AE318" s="1">
        <f t="shared" si="220"/>
        <v>1</v>
      </c>
      <c r="AF318" s="1">
        <f t="shared" si="205"/>
        <v>0</v>
      </c>
      <c r="AG318" s="1">
        <f t="shared" si="206"/>
        <v>1</v>
      </c>
      <c r="AH318" s="1">
        <f t="shared" si="207"/>
        <v>0</v>
      </c>
      <c r="AI318" s="1">
        <f t="shared" si="208"/>
        <v>1</v>
      </c>
    </row>
    <row r="319" spans="1:35" s="1" customFormat="1" ht="14.25" customHeight="1" x14ac:dyDescent="0.25">
      <c r="A319" s="44">
        <v>0</v>
      </c>
      <c r="B319" s="44">
        <v>2</v>
      </c>
      <c r="C319" s="44">
        <v>1</v>
      </c>
      <c r="D319" s="45" t="s">
        <v>1313</v>
      </c>
      <c r="E319" s="45" t="s">
        <v>160</v>
      </c>
      <c r="F319" s="45" t="s">
        <v>1315</v>
      </c>
      <c r="G319" s="45" t="s">
        <v>1316</v>
      </c>
      <c r="H319" s="45" t="s">
        <v>354</v>
      </c>
      <c r="I319" s="44" t="s">
        <v>1317</v>
      </c>
      <c r="J319" s="44">
        <v>8</v>
      </c>
      <c r="K319" s="46" t="s">
        <v>713</v>
      </c>
      <c r="L319" s="46" t="s">
        <v>713</v>
      </c>
      <c r="M319" s="47" t="s">
        <v>714</v>
      </c>
      <c r="N319" s="47" t="s">
        <v>1747</v>
      </c>
      <c r="O319" s="48"/>
      <c r="P319" s="48"/>
      <c r="Q319" s="45"/>
      <c r="S319" s="1">
        <f t="shared" si="209"/>
        <v>0</v>
      </c>
      <c r="T319" s="1">
        <f t="shared" si="210"/>
        <v>0</v>
      </c>
      <c r="U319" s="1">
        <f t="shared" si="211"/>
        <v>0</v>
      </c>
      <c r="V319" s="1">
        <f t="shared" si="212"/>
        <v>0</v>
      </c>
      <c r="W319" s="1">
        <f t="shared" si="213"/>
        <v>0</v>
      </c>
      <c r="X319" s="1">
        <f t="shared" si="214"/>
        <v>0</v>
      </c>
      <c r="Y319" s="1">
        <f t="shared" si="215"/>
        <v>0</v>
      </c>
      <c r="Z319" s="1">
        <f t="shared" si="216"/>
        <v>1</v>
      </c>
      <c r="AA319" s="1">
        <f t="shared" si="217"/>
        <v>0</v>
      </c>
      <c r="AB319" s="1">
        <f t="shared" si="218"/>
        <v>0</v>
      </c>
      <c r="AD319" s="1">
        <f t="shared" si="219"/>
        <v>0</v>
      </c>
      <c r="AE319" s="1">
        <f t="shared" si="220"/>
        <v>0</v>
      </c>
      <c r="AF319" s="1">
        <f t="shared" si="205"/>
        <v>0</v>
      </c>
      <c r="AG319" s="1">
        <f t="shared" si="206"/>
        <v>0</v>
      </c>
      <c r="AH319" s="1">
        <f t="shared" si="207"/>
        <v>0</v>
      </c>
      <c r="AI319" s="1">
        <f t="shared" si="208"/>
        <v>1</v>
      </c>
    </row>
    <row r="320" spans="1:35" s="1" customFormat="1" ht="14.25" customHeight="1" x14ac:dyDescent="0.25">
      <c r="A320" s="44">
        <v>0</v>
      </c>
      <c r="B320" s="44">
        <v>2</v>
      </c>
      <c r="C320" s="44">
        <v>2</v>
      </c>
      <c r="D320" s="45" t="s">
        <v>1646</v>
      </c>
      <c r="E320" s="45" t="s">
        <v>1168</v>
      </c>
      <c r="F320" s="45" t="s">
        <v>1680</v>
      </c>
      <c r="G320" s="45" t="s">
        <v>190</v>
      </c>
      <c r="H320" s="45" t="s">
        <v>354</v>
      </c>
      <c r="I320" s="44" t="s">
        <v>1607</v>
      </c>
      <c r="J320" s="44">
        <v>99</v>
      </c>
      <c r="K320" s="46" t="s">
        <v>713</v>
      </c>
      <c r="L320" s="46" t="s">
        <v>696</v>
      </c>
      <c r="M320" s="47" t="s">
        <v>1608</v>
      </c>
      <c r="N320" s="47" t="s">
        <v>1738</v>
      </c>
      <c r="O320" s="48"/>
      <c r="P320" s="48"/>
      <c r="Q320" s="45"/>
      <c r="S320" s="1">
        <f t="shared" si="209"/>
        <v>0</v>
      </c>
      <c r="T320" s="1">
        <f t="shared" si="210"/>
        <v>0</v>
      </c>
      <c r="U320" s="1">
        <f t="shared" si="211"/>
        <v>0</v>
      </c>
      <c r="V320" s="1">
        <f t="shared" si="212"/>
        <v>0</v>
      </c>
      <c r="W320" s="1">
        <f t="shared" si="213"/>
        <v>0</v>
      </c>
      <c r="X320" s="1">
        <f t="shared" si="214"/>
        <v>0</v>
      </c>
      <c r="Y320" s="1">
        <f t="shared" si="215"/>
        <v>0</v>
      </c>
      <c r="Z320" s="1">
        <f t="shared" si="216"/>
        <v>0</v>
      </c>
      <c r="AA320" s="1">
        <f t="shared" si="217"/>
        <v>0</v>
      </c>
      <c r="AB320" s="1">
        <f t="shared" si="218"/>
        <v>0</v>
      </c>
      <c r="AD320" s="1">
        <f t="shared" si="219"/>
        <v>0</v>
      </c>
      <c r="AE320" s="1">
        <f t="shared" si="220"/>
        <v>0</v>
      </c>
      <c r="AF320" s="1">
        <f t="shared" si="205"/>
        <v>0</v>
      </c>
      <c r="AG320" s="1">
        <f t="shared" si="206"/>
        <v>0</v>
      </c>
      <c r="AH320" s="1">
        <f t="shared" si="207"/>
        <v>0</v>
      </c>
      <c r="AI320" s="1">
        <f t="shared" si="208"/>
        <v>1</v>
      </c>
    </row>
    <row r="321" spans="1:35" s="1" customFormat="1" ht="14.25" customHeight="1" x14ac:dyDescent="0.25">
      <c r="A321" s="49">
        <v>0</v>
      </c>
      <c r="B321" s="49">
        <v>2</v>
      </c>
      <c r="C321" s="49">
        <v>2</v>
      </c>
      <c r="D321" s="50" t="s">
        <v>65</v>
      </c>
      <c r="E321" s="50" t="s">
        <v>164</v>
      </c>
      <c r="F321" s="50" t="s">
        <v>243</v>
      </c>
      <c r="G321" s="50" t="s">
        <v>200</v>
      </c>
      <c r="H321" s="50" t="s">
        <v>354</v>
      </c>
      <c r="I321" s="49" t="s">
        <v>407</v>
      </c>
      <c r="J321" s="49">
        <v>2</v>
      </c>
      <c r="K321" s="51" t="s">
        <v>955</v>
      </c>
      <c r="L321" s="51" t="s">
        <v>696</v>
      </c>
      <c r="M321" s="52" t="s">
        <v>715</v>
      </c>
      <c r="N321" s="52" t="s">
        <v>1743</v>
      </c>
      <c r="O321" s="53">
        <v>1</v>
      </c>
      <c r="P321" s="53"/>
      <c r="Q321" s="50"/>
      <c r="S321" s="1">
        <f t="shared" si="209"/>
        <v>0</v>
      </c>
      <c r="T321" s="1">
        <f t="shared" si="210"/>
        <v>1</v>
      </c>
      <c r="U321" s="1">
        <f t="shared" si="211"/>
        <v>0</v>
      </c>
      <c r="V321" s="1">
        <f t="shared" si="212"/>
        <v>0</v>
      </c>
      <c r="W321" s="1">
        <f t="shared" si="213"/>
        <v>0</v>
      </c>
      <c r="X321" s="1">
        <f t="shared" si="214"/>
        <v>0</v>
      </c>
      <c r="Y321" s="1">
        <f t="shared" si="215"/>
        <v>0</v>
      </c>
      <c r="Z321" s="1">
        <f t="shared" si="216"/>
        <v>0</v>
      </c>
      <c r="AA321" s="1">
        <f t="shared" si="217"/>
        <v>0</v>
      </c>
      <c r="AB321" s="1">
        <f t="shared" si="218"/>
        <v>0</v>
      </c>
      <c r="AD321" s="1">
        <f t="shared" si="219"/>
        <v>0</v>
      </c>
      <c r="AE321" s="1">
        <f t="shared" si="220"/>
        <v>1</v>
      </c>
      <c r="AF321" s="1">
        <f t="shared" si="205"/>
        <v>0</v>
      </c>
      <c r="AG321" s="1">
        <f t="shared" si="206"/>
        <v>1</v>
      </c>
      <c r="AH321" s="1">
        <f t="shared" si="207"/>
        <v>0</v>
      </c>
      <c r="AI321" s="1">
        <f t="shared" si="208"/>
        <v>1</v>
      </c>
    </row>
    <row r="322" spans="1:35" s="1" customFormat="1" ht="14.25" customHeight="1" x14ac:dyDescent="0.25">
      <c r="A322" s="44">
        <v>0</v>
      </c>
      <c r="B322" s="44">
        <v>2</v>
      </c>
      <c r="C322" s="44">
        <v>2</v>
      </c>
      <c r="D322" s="45" t="s">
        <v>1182</v>
      </c>
      <c r="E322" s="45" t="s">
        <v>1183</v>
      </c>
      <c r="F322" s="45" t="s">
        <v>1348</v>
      </c>
      <c r="G322" s="45" t="s">
        <v>1056</v>
      </c>
      <c r="H322" s="45" t="s">
        <v>354</v>
      </c>
      <c r="I322" s="44" t="s">
        <v>1184</v>
      </c>
      <c r="J322" s="44">
        <v>1</v>
      </c>
      <c r="K322" s="46" t="s">
        <v>712</v>
      </c>
      <c r="L322" s="46" t="s">
        <v>704</v>
      </c>
      <c r="M322" s="47" t="s">
        <v>1412</v>
      </c>
      <c r="N322" s="47" t="s">
        <v>1735</v>
      </c>
      <c r="O322" s="48"/>
      <c r="P322" s="48"/>
      <c r="Q322" s="45"/>
      <c r="S322" s="1">
        <f t="shared" si="209"/>
        <v>1</v>
      </c>
      <c r="T322" s="1">
        <f t="shared" si="210"/>
        <v>0</v>
      </c>
      <c r="U322" s="1">
        <f t="shared" si="211"/>
        <v>0</v>
      </c>
      <c r="V322" s="1">
        <f t="shared" si="212"/>
        <v>0</v>
      </c>
      <c r="W322" s="1">
        <f t="shared" si="213"/>
        <v>0</v>
      </c>
      <c r="X322" s="1">
        <f t="shared" si="214"/>
        <v>0</v>
      </c>
      <c r="Y322" s="1">
        <f t="shared" si="215"/>
        <v>0</v>
      </c>
      <c r="Z322" s="1">
        <f t="shared" si="216"/>
        <v>0</v>
      </c>
      <c r="AA322" s="1">
        <f t="shared" si="217"/>
        <v>0</v>
      </c>
      <c r="AB322" s="1">
        <f t="shared" si="218"/>
        <v>0</v>
      </c>
      <c r="AD322" s="1">
        <f t="shared" si="219"/>
        <v>0</v>
      </c>
      <c r="AE322" s="1">
        <f t="shared" si="220"/>
        <v>0</v>
      </c>
      <c r="AF322" s="1">
        <f t="shared" si="205"/>
        <v>0</v>
      </c>
      <c r="AG322" s="1">
        <f t="shared" si="206"/>
        <v>0</v>
      </c>
      <c r="AH322" s="1">
        <f t="shared" si="207"/>
        <v>0</v>
      </c>
      <c r="AI322" s="1">
        <f t="shared" si="208"/>
        <v>1</v>
      </c>
    </row>
    <row r="323" spans="1:35" s="1" customFormat="1" ht="14.25" customHeight="1" x14ac:dyDescent="0.25">
      <c r="A323" s="31">
        <v>0</v>
      </c>
      <c r="B323" s="31">
        <v>2</v>
      </c>
      <c r="C323" s="31">
        <v>2</v>
      </c>
      <c r="D323" s="32" t="s">
        <v>1828</v>
      </c>
      <c r="E323" s="32" t="s">
        <v>1829</v>
      </c>
      <c r="F323" s="32" t="s">
        <v>1830</v>
      </c>
      <c r="G323" s="32" t="s">
        <v>196</v>
      </c>
      <c r="H323" s="32" t="s">
        <v>354</v>
      </c>
      <c r="I323" s="31" t="s">
        <v>1831</v>
      </c>
      <c r="J323" s="31"/>
      <c r="K323" s="33" t="s">
        <v>703</v>
      </c>
      <c r="L323" s="33">
        <v>20</v>
      </c>
      <c r="M323" s="34" t="s">
        <v>1832</v>
      </c>
      <c r="N323" s="34" t="s">
        <v>1748</v>
      </c>
      <c r="O323" s="35">
        <v>1</v>
      </c>
      <c r="P323" s="35"/>
      <c r="Q323" s="32"/>
      <c r="S323" s="1">
        <f t="shared" si="209"/>
        <v>0</v>
      </c>
      <c r="T323" s="1">
        <f t="shared" si="210"/>
        <v>0</v>
      </c>
      <c r="U323" s="1">
        <f t="shared" si="211"/>
        <v>0</v>
      </c>
      <c r="V323" s="1">
        <f t="shared" si="212"/>
        <v>0</v>
      </c>
      <c r="W323" s="1">
        <f t="shared" si="213"/>
        <v>0</v>
      </c>
      <c r="X323" s="1">
        <f t="shared" si="214"/>
        <v>0</v>
      </c>
      <c r="Y323" s="1">
        <f t="shared" si="215"/>
        <v>0</v>
      </c>
      <c r="Z323" s="1">
        <f t="shared" si="216"/>
        <v>0</v>
      </c>
      <c r="AA323" s="1">
        <f t="shared" si="217"/>
        <v>0</v>
      </c>
      <c r="AB323" s="1">
        <f t="shared" si="218"/>
        <v>0</v>
      </c>
      <c r="AD323" s="1">
        <f t="shared" si="219"/>
        <v>0</v>
      </c>
      <c r="AE323" s="1">
        <f t="shared" si="220"/>
        <v>1</v>
      </c>
      <c r="AF323" s="1">
        <f t="shared" si="205"/>
        <v>0</v>
      </c>
      <c r="AG323" s="1">
        <f t="shared" si="206"/>
        <v>1</v>
      </c>
      <c r="AH323" s="1">
        <f t="shared" si="207"/>
        <v>0</v>
      </c>
      <c r="AI323" s="1">
        <f t="shared" si="208"/>
        <v>1</v>
      </c>
    </row>
    <row r="324" spans="1:35" s="1" customFormat="1" ht="14.25" customHeight="1" x14ac:dyDescent="0.25">
      <c r="A324" s="15">
        <v>0</v>
      </c>
      <c r="B324" s="15">
        <v>2</v>
      </c>
      <c r="C324" s="15">
        <v>2</v>
      </c>
      <c r="D324" s="16" t="s">
        <v>1576</v>
      </c>
      <c r="E324" s="16" t="s">
        <v>1577</v>
      </c>
      <c r="F324" s="16" t="s">
        <v>1579</v>
      </c>
      <c r="G324" s="16" t="s">
        <v>1580</v>
      </c>
      <c r="H324" s="16" t="s">
        <v>354</v>
      </c>
      <c r="I324" s="15" t="s">
        <v>1578</v>
      </c>
      <c r="J324" s="15">
        <v>99</v>
      </c>
      <c r="K324" s="10" t="s">
        <v>703</v>
      </c>
      <c r="L324" s="10">
        <v>18</v>
      </c>
      <c r="M324" s="19" t="s">
        <v>1581</v>
      </c>
      <c r="N324" s="17"/>
      <c r="Q324" s="16"/>
      <c r="S324" s="1">
        <f t="shared" si="209"/>
        <v>0</v>
      </c>
      <c r="T324" s="1">
        <f t="shared" si="210"/>
        <v>0</v>
      </c>
      <c r="U324" s="1">
        <f t="shared" si="211"/>
        <v>0</v>
      </c>
      <c r="V324" s="1">
        <f t="shared" si="212"/>
        <v>0</v>
      </c>
      <c r="W324" s="1">
        <f t="shared" si="213"/>
        <v>0</v>
      </c>
      <c r="X324" s="1">
        <f t="shared" si="214"/>
        <v>0</v>
      </c>
      <c r="Y324" s="1">
        <f t="shared" si="215"/>
        <v>0</v>
      </c>
      <c r="Z324" s="1">
        <f t="shared" si="216"/>
        <v>0</v>
      </c>
      <c r="AA324" s="1">
        <f t="shared" si="217"/>
        <v>0</v>
      </c>
      <c r="AB324" s="1">
        <f t="shared" si="218"/>
        <v>0</v>
      </c>
      <c r="AD324" s="1">
        <f t="shared" si="219"/>
        <v>0</v>
      </c>
      <c r="AE324" s="1">
        <f t="shared" si="220"/>
        <v>0</v>
      </c>
      <c r="AF324" s="1">
        <f t="shared" si="205"/>
        <v>0</v>
      </c>
      <c r="AG324" s="1">
        <f t="shared" si="206"/>
        <v>0</v>
      </c>
      <c r="AH324" s="1">
        <f t="shared" si="207"/>
        <v>0</v>
      </c>
      <c r="AI324" s="1">
        <f t="shared" si="208"/>
        <v>1</v>
      </c>
    </row>
    <row r="325" spans="1:35" s="1" customFormat="1" ht="14.25" customHeight="1" x14ac:dyDescent="0.25">
      <c r="A325" s="49">
        <v>0</v>
      </c>
      <c r="B325" s="49">
        <v>2</v>
      </c>
      <c r="C325" s="49">
        <v>2</v>
      </c>
      <c r="D325" s="50" t="s">
        <v>64</v>
      </c>
      <c r="E325" s="50" t="s">
        <v>33</v>
      </c>
      <c r="F325" s="50" t="s">
        <v>241</v>
      </c>
      <c r="G325" s="50" t="s">
        <v>242</v>
      </c>
      <c r="H325" s="50" t="s">
        <v>354</v>
      </c>
      <c r="I325" s="49" t="s">
        <v>406</v>
      </c>
      <c r="J325" s="49">
        <v>1</v>
      </c>
      <c r="K325" s="51" t="s">
        <v>961</v>
      </c>
      <c r="L325" s="51" t="s">
        <v>716</v>
      </c>
      <c r="M325" s="52" t="s">
        <v>717</v>
      </c>
      <c r="N325" s="52" t="s">
        <v>1743</v>
      </c>
      <c r="O325" s="53">
        <v>1</v>
      </c>
      <c r="P325" s="53"/>
      <c r="Q325" s="50"/>
      <c r="S325" s="1">
        <f t="shared" si="209"/>
        <v>1</v>
      </c>
      <c r="T325" s="1">
        <f t="shared" si="210"/>
        <v>0</v>
      </c>
      <c r="U325" s="1">
        <f t="shared" si="211"/>
        <v>0</v>
      </c>
      <c r="V325" s="1">
        <f t="shared" si="212"/>
        <v>0</v>
      </c>
      <c r="W325" s="1">
        <f t="shared" si="213"/>
        <v>0</v>
      </c>
      <c r="X325" s="1">
        <f t="shared" si="214"/>
        <v>0</v>
      </c>
      <c r="Y325" s="1">
        <f t="shared" si="215"/>
        <v>0</v>
      </c>
      <c r="Z325" s="1">
        <f t="shared" si="216"/>
        <v>0</v>
      </c>
      <c r="AA325" s="1">
        <f t="shared" si="217"/>
        <v>0</v>
      </c>
      <c r="AB325" s="1">
        <f t="shared" si="218"/>
        <v>0</v>
      </c>
      <c r="AD325" s="1">
        <f t="shared" si="219"/>
        <v>0</v>
      </c>
      <c r="AE325" s="1">
        <f t="shared" si="220"/>
        <v>1</v>
      </c>
      <c r="AF325" s="1">
        <f t="shared" si="205"/>
        <v>0</v>
      </c>
      <c r="AG325" s="1">
        <f t="shared" si="206"/>
        <v>1</v>
      </c>
      <c r="AH325" s="1">
        <f t="shared" si="207"/>
        <v>0</v>
      </c>
      <c r="AI325" s="1">
        <f t="shared" si="208"/>
        <v>1</v>
      </c>
    </row>
    <row r="326" spans="1:35" s="1" customFormat="1" ht="14.25" customHeight="1" x14ac:dyDescent="0.25">
      <c r="A326" s="49">
        <v>0</v>
      </c>
      <c r="B326" s="49">
        <v>2</v>
      </c>
      <c r="C326" s="49">
        <v>2</v>
      </c>
      <c r="D326" s="50" t="s">
        <v>62</v>
      </c>
      <c r="E326" s="50" t="s">
        <v>1086</v>
      </c>
      <c r="F326" s="50" t="s">
        <v>234</v>
      </c>
      <c r="G326" s="50" t="s">
        <v>235</v>
      </c>
      <c r="H326" s="50" t="s">
        <v>354</v>
      </c>
      <c r="I326" s="49" t="s">
        <v>1365</v>
      </c>
      <c r="J326" s="49">
        <v>99</v>
      </c>
      <c r="K326" s="51" t="s">
        <v>955</v>
      </c>
      <c r="L326" s="51" t="s">
        <v>716</v>
      </c>
      <c r="M326" s="52" t="s">
        <v>718</v>
      </c>
      <c r="N326" s="52" t="s">
        <v>1743</v>
      </c>
      <c r="O326" s="53">
        <v>1</v>
      </c>
      <c r="P326" s="53"/>
      <c r="Q326" s="50"/>
      <c r="S326" s="1">
        <f t="shared" si="209"/>
        <v>0</v>
      </c>
      <c r="T326" s="1">
        <f t="shared" si="210"/>
        <v>0</v>
      </c>
      <c r="U326" s="1">
        <f t="shared" si="211"/>
        <v>0</v>
      </c>
      <c r="V326" s="1">
        <f t="shared" si="212"/>
        <v>0</v>
      </c>
      <c r="W326" s="1">
        <f t="shared" si="213"/>
        <v>0</v>
      </c>
      <c r="X326" s="1">
        <f t="shared" si="214"/>
        <v>0</v>
      </c>
      <c r="Y326" s="1">
        <f t="shared" si="215"/>
        <v>0</v>
      </c>
      <c r="Z326" s="1">
        <f t="shared" si="216"/>
        <v>0</v>
      </c>
      <c r="AA326" s="1">
        <f t="shared" si="217"/>
        <v>0</v>
      </c>
      <c r="AB326" s="1">
        <f t="shared" si="218"/>
        <v>0</v>
      </c>
      <c r="AD326" s="1">
        <f t="shared" si="219"/>
        <v>0</v>
      </c>
      <c r="AE326" s="1">
        <f t="shared" si="220"/>
        <v>1</v>
      </c>
      <c r="AF326" s="1">
        <f t="shared" si="205"/>
        <v>0</v>
      </c>
      <c r="AG326" s="1">
        <f t="shared" si="206"/>
        <v>1</v>
      </c>
      <c r="AH326" s="1">
        <f t="shared" si="207"/>
        <v>0</v>
      </c>
      <c r="AI326" s="1">
        <f t="shared" si="208"/>
        <v>1</v>
      </c>
    </row>
    <row r="327" spans="1:35" s="1" customFormat="1" ht="14.25" customHeight="1" x14ac:dyDescent="0.25">
      <c r="A327" s="31">
        <v>0</v>
      </c>
      <c r="B327" s="31">
        <v>2</v>
      </c>
      <c r="C327" s="31">
        <v>2</v>
      </c>
      <c r="D327" s="32" t="s">
        <v>1716</v>
      </c>
      <c r="E327" s="32" t="s">
        <v>1718</v>
      </c>
      <c r="F327" s="32" t="s">
        <v>1717</v>
      </c>
      <c r="G327" s="32"/>
      <c r="H327" s="32" t="s">
        <v>354</v>
      </c>
      <c r="I327" s="31" t="s">
        <v>1719</v>
      </c>
      <c r="J327" s="31"/>
      <c r="K327" s="33" t="s">
        <v>703</v>
      </c>
      <c r="L327" s="33"/>
      <c r="M327" s="34"/>
      <c r="N327" s="34" t="s">
        <v>1727</v>
      </c>
      <c r="O327" s="35">
        <v>1</v>
      </c>
      <c r="P327" s="35">
        <v>1</v>
      </c>
      <c r="Q327" s="32"/>
      <c r="S327" s="1">
        <f t="shared" si="209"/>
        <v>0</v>
      </c>
      <c r="T327" s="1">
        <f t="shared" si="210"/>
        <v>0</v>
      </c>
      <c r="U327" s="1">
        <f t="shared" si="211"/>
        <v>0</v>
      </c>
      <c r="V327" s="1">
        <f t="shared" si="212"/>
        <v>0</v>
      </c>
      <c r="W327" s="1">
        <f t="shared" si="213"/>
        <v>0</v>
      </c>
      <c r="X327" s="1">
        <f t="shared" si="214"/>
        <v>0</v>
      </c>
      <c r="Y327" s="1">
        <f t="shared" si="215"/>
        <v>0</v>
      </c>
      <c r="Z327" s="1">
        <f t="shared" si="216"/>
        <v>0</v>
      </c>
      <c r="AA327" s="1">
        <f t="shared" si="217"/>
        <v>0</v>
      </c>
      <c r="AB327" s="1">
        <f t="shared" si="218"/>
        <v>0</v>
      </c>
      <c r="AD327" s="1">
        <f t="shared" si="219"/>
        <v>1</v>
      </c>
      <c r="AE327" s="1">
        <f t="shared" si="220"/>
        <v>0</v>
      </c>
      <c r="AF327" s="1">
        <f t="shared" si="205"/>
        <v>1</v>
      </c>
      <c r="AG327" s="1">
        <f t="shared" si="206"/>
        <v>0</v>
      </c>
      <c r="AH327" s="1">
        <f t="shared" si="207"/>
        <v>1</v>
      </c>
      <c r="AI327" s="1">
        <f t="shared" si="208"/>
        <v>0</v>
      </c>
    </row>
    <row r="328" spans="1:35" s="1" customFormat="1" ht="14.25" customHeight="1" x14ac:dyDescent="0.25">
      <c r="A328" s="44">
        <v>0</v>
      </c>
      <c r="B328" s="44">
        <v>2</v>
      </c>
      <c r="C328" s="44">
        <v>2</v>
      </c>
      <c r="D328" s="45" t="s">
        <v>787</v>
      </c>
      <c r="E328" s="45" t="s">
        <v>909</v>
      </c>
      <c r="F328" s="45" t="s">
        <v>1571</v>
      </c>
      <c r="G328" s="45" t="s">
        <v>230</v>
      </c>
      <c r="H328" s="45" t="s">
        <v>354</v>
      </c>
      <c r="I328" s="44" t="s">
        <v>1694</v>
      </c>
      <c r="J328" s="44">
        <v>7</v>
      </c>
      <c r="K328" s="46" t="s">
        <v>713</v>
      </c>
      <c r="L328" s="46">
        <v>20</v>
      </c>
      <c r="M328" s="47" t="s">
        <v>39</v>
      </c>
      <c r="N328" s="47" t="s">
        <v>1734</v>
      </c>
      <c r="O328" s="48"/>
      <c r="P328" s="48"/>
      <c r="Q328" s="45"/>
      <c r="S328" s="1">
        <f t="shared" si="209"/>
        <v>0</v>
      </c>
      <c r="T328" s="1">
        <f t="shared" si="210"/>
        <v>0</v>
      </c>
      <c r="U328" s="1">
        <f t="shared" si="211"/>
        <v>0</v>
      </c>
      <c r="V328" s="1">
        <f t="shared" si="212"/>
        <v>0</v>
      </c>
      <c r="W328" s="1">
        <f t="shared" si="213"/>
        <v>0</v>
      </c>
      <c r="X328" s="1">
        <f t="shared" si="214"/>
        <v>0</v>
      </c>
      <c r="Y328" s="1">
        <f t="shared" si="215"/>
        <v>1</v>
      </c>
      <c r="Z328" s="1">
        <f t="shared" si="216"/>
        <v>0</v>
      </c>
      <c r="AA328" s="1">
        <f t="shared" si="217"/>
        <v>0</v>
      </c>
      <c r="AB328" s="1">
        <f t="shared" si="218"/>
        <v>0</v>
      </c>
      <c r="AD328" s="1">
        <f t="shared" si="219"/>
        <v>0</v>
      </c>
      <c r="AE328" s="1">
        <f t="shared" si="220"/>
        <v>0</v>
      </c>
      <c r="AF328" s="1">
        <f t="shared" si="205"/>
        <v>0</v>
      </c>
      <c r="AG328" s="1">
        <f t="shared" si="206"/>
        <v>0</v>
      </c>
      <c r="AH328" s="1">
        <f t="shared" si="207"/>
        <v>0</v>
      </c>
      <c r="AI328" s="1">
        <f t="shared" si="208"/>
        <v>1</v>
      </c>
    </row>
    <row r="329" spans="1:35" s="1" customFormat="1" ht="14.25" customHeight="1" x14ac:dyDescent="0.25">
      <c r="A329" s="31">
        <v>0</v>
      </c>
      <c r="B329" s="31">
        <v>2</v>
      </c>
      <c r="C329" s="31">
        <v>2</v>
      </c>
      <c r="D329" s="32" t="s">
        <v>852</v>
      </c>
      <c r="E329" s="32" t="s">
        <v>541</v>
      </c>
      <c r="F329" s="32" t="s">
        <v>854</v>
      </c>
      <c r="G329" s="32" t="s">
        <v>220</v>
      </c>
      <c r="H329" s="32" t="s">
        <v>354</v>
      </c>
      <c r="I329" s="31" t="s">
        <v>855</v>
      </c>
      <c r="J329" s="31">
        <v>8</v>
      </c>
      <c r="K329" s="33" t="s">
        <v>713</v>
      </c>
      <c r="L329" s="33" t="s">
        <v>716</v>
      </c>
      <c r="M329" s="34" t="s">
        <v>1413</v>
      </c>
      <c r="N329" s="34" t="s">
        <v>1743</v>
      </c>
      <c r="O329" s="35">
        <v>1</v>
      </c>
      <c r="P329" s="35"/>
      <c r="Q329" s="32"/>
      <c r="S329" s="1">
        <f t="shared" si="209"/>
        <v>0</v>
      </c>
      <c r="T329" s="1">
        <f t="shared" si="210"/>
        <v>0</v>
      </c>
      <c r="U329" s="1">
        <f t="shared" si="211"/>
        <v>0</v>
      </c>
      <c r="V329" s="1">
        <f t="shared" si="212"/>
        <v>0</v>
      </c>
      <c r="W329" s="1">
        <f t="shared" si="213"/>
        <v>0</v>
      </c>
      <c r="X329" s="1">
        <f t="shared" si="214"/>
        <v>0</v>
      </c>
      <c r="Y329" s="1">
        <f t="shared" si="215"/>
        <v>0</v>
      </c>
      <c r="Z329" s="1">
        <f t="shared" si="216"/>
        <v>1</v>
      </c>
      <c r="AA329" s="1">
        <f t="shared" si="217"/>
        <v>0</v>
      </c>
      <c r="AB329" s="1">
        <f t="shared" si="218"/>
        <v>0</v>
      </c>
      <c r="AD329" s="1">
        <f t="shared" si="219"/>
        <v>0</v>
      </c>
      <c r="AE329" s="1">
        <f t="shared" si="220"/>
        <v>1</v>
      </c>
      <c r="AF329" s="1">
        <f t="shared" si="205"/>
        <v>0</v>
      </c>
      <c r="AG329" s="1">
        <f t="shared" si="206"/>
        <v>1</v>
      </c>
      <c r="AH329" s="1">
        <f t="shared" si="207"/>
        <v>0</v>
      </c>
      <c r="AI329" s="1">
        <f t="shared" si="208"/>
        <v>1</v>
      </c>
    </row>
    <row r="330" spans="1:35" s="1" customFormat="1" ht="14.25" customHeight="1" x14ac:dyDescent="0.25">
      <c r="A330" s="31">
        <v>1</v>
      </c>
      <c r="B330" s="31">
        <v>2</v>
      </c>
      <c r="C330" s="31">
        <v>2</v>
      </c>
      <c r="D330" s="32" t="s">
        <v>852</v>
      </c>
      <c r="E330" s="32" t="s">
        <v>541</v>
      </c>
      <c r="F330" s="32" t="s">
        <v>1353</v>
      </c>
      <c r="G330" s="32" t="s">
        <v>194</v>
      </c>
      <c r="H330" s="32" t="s">
        <v>354</v>
      </c>
      <c r="I330" s="31" t="s">
        <v>853</v>
      </c>
      <c r="J330" s="31">
        <v>9</v>
      </c>
      <c r="K330" s="33" t="s">
        <v>713</v>
      </c>
      <c r="L330" s="33" t="s">
        <v>716</v>
      </c>
      <c r="M330" s="34" t="s">
        <v>1413</v>
      </c>
      <c r="N330" s="34" t="s">
        <v>1743</v>
      </c>
      <c r="O330" s="35">
        <v>1</v>
      </c>
      <c r="P330" s="35"/>
      <c r="Q330" s="32"/>
      <c r="S330" s="1">
        <f t="shared" si="209"/>
        <v>0</v>
      </c>
      <c r="T330" s="1">
        <f t="shared" si="210"/>
        <v>0</v>
      </c>
      <c r="U330" s="1">
        <f t="shared" si="211"/>
        <v>0</v>
      </c>
      <c r="V330" s="1">
        <f t="shared" si="212"/>
        <v>0</v>
      </c>
      <c r="W330" s="1">
        <f t="shared" si="213"/>
        <v>0</v>
      </c>
      <c r="X330" s="1">
        <f t="shared" si="214"/>
        <v>0</v>
      </c>
      <c r="Y330" s="1">
        <f t="shared" si="215"/>
        <v>0</v>
      </c>
      <c r="Z330" s="1">
        <f t="shared" si="216"/>
        <v>0</v>
      </c>
      <c r="AA330" s="1">
        <f t="shared" si="217"/>
        <v>1</v>
      </c>
      <c r="AB330" s="1">
        <f t="shared" si="218"/>
        <v>0</v>
      </c>
      <c r="AD330" s="1">
        <f t="shared" si="219"/>
        <v>0</v>
      </c>
      <c r="AE330" s="1">
        <f t="shared" si="220"/>
        <v>1</v>
      </c>
      <c r="AF330" s="1">
        <f t="shared" si="205"/>
        <v>0</v>
      </c>
      <c r="AG330" s="1">
        <f t="shared" si="206"/>
        <v>0</v>
      </c>
      <c r="AH330" s="1">
        <f t="shared" si="207"/>
        <v>0</v>
      </c>
      <c r="AI330" s="1">
        <f t="shared" si="208"/>
        <v>0</v>
      </c>
    </row>
    <row r="331" spans="1:35" s="1" customFormat="1" ht="14.25" customHeight="1" x14ac:dyDescent="0.25">
      <c r="A331" s="44">
        <v>0</v>
      </c>
      <c r="B331" s="44">
        <v>2</v>
      </c>
      <c r="C331" s="44">
        <v>2</v>
      </c>
      <c r="D331" s="45" t="s">
        <v>918</v>
      </c>
      <c r="E331" s="45" t="s">
        <v>785</v>
      </c>
      <c r="F331" s="45" t="s">
        <v>786</v>
      </c>
      <c r="G331" s="45" t="s">
        <v>230</v>
      </c>
      <c r="H331" s="45" t="s">
        <v>354</v>
      </c>
      <c r="I331" s="44" t="s">
        <v>788</v>
      </c>
      <c r="J331" s="44">
        <v>7</v>
      </c>
      <c r="K331" s="46" t="s">
        <v>712</v>
      </c>
      <c r="L331" s="46">
        <v>15</v>
      </c>
      <c r="M331" s="47" t="s">
        <v>39</v>
      </c>
      <c r="N331" s="47" t="s">
        <v>1735</v>
      </c>
      <c r="O331" s="48"/>
      <c r="P331" s="48"/>
      <c r="Q331" s="45"/>
      <c r="S331" s="1">
        <f t="shared" si="209"/>
        <v>0</v>
      </c>
      <c r="T331" s="1">
        <f t="shared" si="210"/>
        <v>0</v>
      </c>
      <c r="U331" s="1">
        <f t="shared" si="211"/>
        <v>0</v>
      </c>
      <c r="V331" s="1">
        <f t="shared" si="212"/>
        <v>0</v>
      </c>
      <c r="W331" s="1">
        <f t="shared" si="213"/>
        <v>0</v>
      </c>
      <c r="X331" s="1">
        <f t="shared" si="214"/>
        <v>0</v>
      </c>
      <c r="Y331" s="1">
        <f t="shared" si="215"/>
        <v>1</v>
      </c>
      <c r="Z331" s="1">
        <f t="shared" si="216"/>
        <v>0</v>
      </c>
      <c r="AA331" s="1">
        <f t="shared" si="217"/>
        <v>0</v>
      </c>
      <c r="AB331" s="1">
        <f t="shared" si="218"/>
        <v>0</v>
      </c>
      <c r="AD331" s="1">
        <f t="shared" si="219"/>
        <v>0</v>
      </c>
      <c r="AE331" s="1">
        <f t="shared" si="220"/>
        <v>0</v>
      </c>
      <c r="AF331" s="1">
        <f t="shared" si="205"/>
        <v>0</v>
      </c>
      <c r="AG331" s="1">
        <f t="shared" si="206"/>
        <v>0</v>
      </c>
      <c r="AH331" s="1">
        <f t="shared" si="207"/>
        <v>0</v>
      </c>
      <c r="AI331" s="1">
        <f t="shared" si="208"/>
        <v>1</v>
      </c>
    </row>
    <row r="332" spans="1:35" s="1" customFormat="1" ht="14.25" customHeight="1" x14ac:dyDescent="0.25">
      <c r="A332" s="44">
        <v>0</v>
      </c>
      <c r="B332" s="44">
        <v>2</v>
      </c>
      <c r="C332" s="44">
        <v>2</v>
      </c>
      <c r="D332" s="45" t="s">
        <v>83</v>
      </c>
      <c r="E332" s="45" t="s">
        <v>157</v>
      </c>
      <c r="F332" s="65" t="s">
        <v>1872</v>
      </c>
      <c r="G332" s="45" t="s">
        <v>209</v>
      </c>
      <c r="H332" s="45" t="s">
        <v>354</v>
      </c>
      <c r="I332" s="44" t="s">
        <v>432</v>
      </c>
      <c r="J332" s="44">
        <v>99</v>
      </c>
      <c r="K332" s="46" t="s">
        <v>954</v>
      </c>
      <c r="L332" s="46" t="s">
        <v>704</v>
      </c>
      <c r="M332" s="47" t="s">
        <v>719</v>
      </c>
      <c r="N332" s="47" t="s">
        <v>1735</v>
      </c>
      <c r="O332" s="48"/>
      <c r="P332" s="48"/>
      <c r="Q332" s="45"/>
      <c r="S332" s="1">
        <f t="shared" si="209"/>
        <v>0</v>
      </c>
      <c r="T332" s="1">
        <f t="shared" si="210"/>
        <v>0</v>
      </c>
      <c r="U332" s="1">
        <f t="shared" si="211"/>
        <v>0</v>
      </c>
      <c r="V332" s="1">
        <f t="shared" si="212"/>
        <v>0</v>
      </c>
      <c r="W332" s="1">
        <f t="shared" si="213"/>
        <v>0</v>
      </c>
      <c r="X332" s="1">
        <f t="shared" si="214"/>
        <v>0</v>
      </c>
      <c r="Y332" s="1">
        <f t="shared" si="215"/>
        <v>0</v>
      </c>
      <c r="Z332" s="1">
        <f t="shared" si="216"/>
        <v>0</v>
      </c>
      <c r="AA332" s="1">
        <f t="shared" si="217"/>
        <v>0</v>
      </c>
      <c r="AB332" s="1">
        <f t="shared" si="218"/>
        <v>0</v>
      </c>
      <c r="AD332" s="1">
        <f t="shared" si="219"/>
        <v>0</v>
      </c>
      <c r="AE332" s="1">
        <f t="shared" si="220"/>
        <v>0</v>
      </c>
      <c r="AF332" s="1">
        <f t="shared" si="205"/>
        <v>0</v>
      </c>
      <c r="AG332" s="1">
        <f t="shared" si="206"/>
        <v>0</v>
      </c>
      <c r="AH332" s="1">
        <f t="shared" si="207"/>
        <v>0</v>
      </c>
      <c r="AI332" s="1">
        <f t="shared" si="208"/>
        <v>1</v>
      </c>
    </row>
    <row r="333" spans="1:35" s="1" customFormat="1" ht="14.25" customHeight="1" x14ac:dyDescent="0.25">
      <c r="A333" s="31">
        <v>0</v>
      </c>
      <c r="B333" s="31">
        <v>2</v>
      </c>
      <c r="C333" s="31">
        <v>2</v>
      </c>
      <c r="D333" s="32" t="s">
        <v>1564</v>
      </c>
      <c r="E333" s="32" t="s">
        <v>1334</v>
      </c>
      <c r="F333" s="32" t="s">
        <v>1565</v>
      </c>
      <c r="G333" s="32" t="s">
        <v>1166</v>
      </c>
      <c r="H333" s="32" t="s">
        <v>354</v>
      </c>
      <c r="I333" s="31" t="s">
        <v>1566</v>
      </c>
      <c r="J333" s="31">
        <v>1</v>
      </c>
      <c r="K333" s="33" t="s">
        <v>713</v>
      </c>
      <c r="L333" s="33" t="s">
        <v>39</v>
      </c>
      <c r="M333" s="34" t="s">
        <v>39</v>
      </c>
      <c r="N333" s="34" t="s">
        <v>1727</v>
      </c>
      <c r="O333" s="35">
        <v>1</v>
      </c>
      <c r="P333" s="35">
        <v>1</v>
      </c>
      <c r="Q333" s="32"/>
      <c r="S333" s="1">
        <f t="shared" si="209"/>
        <v>1</v>
      </c>
      <c r="T333" s="1">
        <f t="shared" si="210"/>
        <v>0</v>
      </c>
      <c r="U333" s="1">
        <f t="shared" si="211"/>
        <v>0</v>
      </c>
      <c r="V333" s="1">
        <f t="shared" si="212"/>
        <v>0</v>
      </c>
      <c r="W333" s="1">
        <f t="shared" si="213"/>
        <v>0</v>
      </c>
      <c r="X333" s="1">
        <f t="shared" si="214"/>
        <v>0</v>
      </c>
      <c r="Y333" s="1">
        <f t="shared" si="215"/>
        <v>0</v>
      </c>
      <c r="Z333" s="1">
        <f t="shared" si="216"/>
        <v>0</v>
      </c>
      <c r="AA333" s="1">
        <f t="shared" si="217"/>
        <v>0</v>
      </c>
      <c r="AB333" s="1">
        <f t="shared" si="218"/>
        <v>0</v>
      </c>
      <c r="AD333" s="1">
        <f t="shared" si="219"/>
        <v>1</v>
      </c>
      <c r="AE333" s="1">
        <f t="shared" si="220"/>
        <v>0</v>
      </c>
      <c r="AF333" s="1">
        <f t="shared" si="205"/>
        <v>1</v>
      </c>
      <c r="AG333" s="1">
        <f t="shared" si="206"/>
        <v>0</v>
      </c>
      <c r="AH333" s="1">
        <f t="shared" si="207"/>
        <v>1</v>
      </c>
      <c r="AI333" s="1">
        <f t="shared" si="208"/>
        <v>0</v>
      </c>
    </row>
    <row r="334" spans="1:35" s="1" customFormat="1" ht="14.25" customHeight="1" x14ac:dyDescent="0.25">
      <c r="A334" s="31">
        <v>0</v>
      </c>
      <c r="B334" s="31">
        <v>2</v>
      </c>
      <c r="C334" s="31">
        <v>2</v>
      </c>
      <c r="D334" s="32" t="s">
        <v>1744</v>
      </c>
      <c r="E334" s="32" t="s">
        <v>27</v>
      </c>
      <c r="F334" s="32" t="s">
        <v>1044</v>
      </c>
      <c r="G334" s="32" t="s">
        <v>220</v>
      </c>
      <c r="H334" s="32" t="s">
        <v>354</v>
      </c>
      <c r="I334" s="31" t="s">
        <v>1045</v>
      </c>
      <c r="J334" s="31">
        <v>8</v>
      </c>
      <c r="K334" s="33" t="s">
        <v>713</v>
      </c>
      <c r="L334" s="33">
        <v>25</v>
      </c>
      <c r="M334" s="34" t="s">
        <v>1745</v>
      </c>
      <c r="N334" s="34" t="s">
        <v>1727</v>
      </c>
      <c r="O334" s="35">
        <v>1</v>
      </c>
      <c r="P334" s="35">
        <v>1</v>
      </c>
      <c r="Q334" s="32"/>
      <c r="S334" s="1">
        <f t="shared" si="209"/>
        <v>0</v>
      </c>
      <c r="T334" s="1">
        <f t="shared" si="210"/>
        <v>0</v>
      </c>
      <c r="U334" s="1">
        <f t="shared" si="211"/>
        <v>0</v>
      </c>
      <c r="V334" s="1">
        <f t="shared" si="212"/>
        <v>0</v>
      </c>
      <c r="W334" s="1">
        <f t="shared" si="213"/>
        <v>0</v>
      </c>
      <c r="X334" s="1">
        <f t="shared" si="214"/>
        <v>0</v>
      </c>
      <c r="Y334" s="1">
        <f t="shared" si="215"/>
        <v>0</v>
      </c>
      <c r="Z334" s="1">
        <f t="shared" si="216"/>
        <v>1</v>
      </c>
      <c r="AA334" s="1">
        <f t="shared" si="217"/>
        <v>0</v>
      </c>
      <c r="AB334" s="1">
        <f t="shared" si="218"/>
        <v>0</v>
      </c>
      <c r="AD334" s="1">
        <f t="shared" si="219"/>
        <v>1</v>
      </c>
      <c r="AE334" s="1">
        <f t="shared" si="220"/>
        <v>0</v>
      </c>
      <c r="AF334" s="1">
        <f t="shared" si="205"/>
        <v>1</v>
      </c>
      <c r="AG334" s="1">
        <f t="shared" si="206"/>
        <v>0</v>
      </c>
      <c r="AH334" s="1">
        <f t="shared" si="207"/>
        <v>1</v>
      </c>
      <c r="AI334" s="1">
        <f t="shared" si="208"/>
        <v>0</v>
      </c>
    </row>
    <row r="335" spans="1:35" s="1" customFormat="1" ht="14.25" customHeight="1" x14ac:dyDescent="0.25">
      <c r="A335" s="31">
        <v>0</v>
      </c>
      <c r="B335" s="31">
        <v>2</v>
      </c>
      <c r="C335" s="31">
        <v>2</v>
      </c>
      <c r="D335" s="32" t="s">
        <v>45</v>
      </c>
      <c r="E335" s="32" t="s">
        <v>44</v>
      </c>
      <c r="F335" s="32" t="s">
        <v>669</v>
      </c>
      <c r="G335" s="32" t="s">
        <v>180</v>
      </c>
      <c r="H335" s="32" t="s">
        <v>354</v>
      </c>
      <c r="I335" s="31" t="s">
        <v>949</v>
      </c>
      <c r="J335" s="31">
        <v>10</v>
      </c>
      <c r="K335" s="33" t="s">
        <v>713</v>
      </c>
      <c r="L335" s="33" t="s">
        <v>720</v>
      </c>
      <c r="M335" s="34" t="s">
        <v>721</v>
      </c>
      <c r="N335" s="34" t="s">
        <v>1727</v>
      </c>
      <c r="O335" s="35">
        <v>1</v>
      </c>
      <c r="P335" s="35">
        <v>1</v>
      </c>
      <c r="Q335" s="32"/>
      <c r="S335" s="1">
        <f t="shared" si="209"/>
        <v>0</v>
      </c>
      <c r="T335" s="1">
        <f t="shared" si="210"/>
        <v>0</v>
      </c>
      <c r="U335" s="1">
        <f t="shared" si="211"/>
        <v>0</v>
      </c>
      <c r="V335" s="1">
        <f t="shared" si="212"/>
        <v>0</v>
      </c>
      <c r="W335" s="1">
        <f t="shared" si="213"/>
        <v>0</v>
      </c>
      <c r="X335" s="1">
        <f t="shared" si="214"/>
        <v>0</v>
      </c>
      <c r="Y335" s="1">
        <f t="shared" si="215"/>
        <v>0</v>
      </c>
      <c r="Z335" s="1">
        <f t="shared" si="216"/>
        <v>0</v>
      </c>
      <c r="AA335" s="1">
        <f t="shared" si="217"/>
        <v>0</v>
      </c>
      <c r="AB335" s="1">
        <f t="shared" si="218"/>
        <v>1</v>
      </c>
      <c r="AD335" s="1">
        <f t="shared" si="219"/>
        <v>1</v>
      </c>
      <c r="AE335" s="1">
        <f t="shared" si="220"/>
        <v>0</v>
      </c>
      <c r="AF335" s="1">
        <f t="shared" si="205"/>
        <v>1</v>
      </c>
      <c r="AG335" s="1">
        <f t="shared" si="206"/>
        <v>0</v>
      </c>
      <c r="AH335" s="1">
        <f t="shared" si="207"/>
        <v>1</v>
      </c>
      <c r="AI335" s="1">
        <f t="shared" si="208"/>
        <v>0</v>
      </c>
    </row>
    <row r="336" spans="1:35" s="1" customFormat="1" ht="14.25" customHeight="1" x14ac:dyDescent="0.25">
      <c r="A336" s="31">
        <v>0</v>
      </c>
      <c r="B336" s="31">
        <v>2</v>
      </c>
      <c r="C336" s="31">
        <v>2</v>
      </c>
      <c r="D336" s="32" t="s">
        <v>1448</v>
      </c>
      <c r="E336" s="32" t="s">
        <v>1653</v>
      </c>
      <c r="F336" s="32" t="s">
        <v>1668</v>
      </c>
      <c r="G336" s="32" t="s">
        <v>230</v>
      </c>
      <c r="H336" s="32" t="s">
        <v>354</v>
      </c>
      <c r="I336" s="31" t="s">
        <v>1449</v>
      </c>
      <c r="J336" s="31">
        <v>99</v>
      </c>
      <c r="K336" s="33" t="s">
        <v>955</v>
      </c>
      <c r="L336" s="33">
        <v>20</v>
      </c>
      <c r="M336" s="34" t="s">
        <v>39</v>
      </c>
      <c r="N336" s="34" t="s">
        <v>1727</v>
      </c>
      <c r="O336" s="35">
        <v>1</v>
      </c>
      <c r="P336" s="35">
        <v>1</v>
      </c>
      <c r="Q336" s="32"/>
      <c r="S336" s="1">
        <f t="shared" si="209"/>
        <v>0</v>
      </c>
      <c r="T336" s="1">
        <f t="shared" si="210"/>
        <v>0</v>
      </c>
      <c r="U336" s="1">
        <f t="shared" si="211"/>
        <v>0</v>
      </c>
      <c r="V336" s="1">
        <f t="shared" si="212"/>
        <v>0</v>
      </c>
      <c r="W336" s="1">
        <f t="shared" si="213"/>
        <v>0</v>
      </c>
      <c r="X336" s="1">
        <f t="shared" si="214"/>
        <v>0</v>
      </c>
      <c r="Y336" s="1">
        <f t="shared" si="215"/>
        <v>0</v>
      </c>
      <c r="Z336" s="1">
        <f t="shared" si="216"/>
        <v>0</v>
      </c>
      <c r="AA336" s="1">
        <f t="shared" si="217"/>
        <v>0</v>
      </c>
      <c r="AB336" s="1">
        <f t="shared" si="218"/>
        <v>0</v>
      </c>
      <c r="AD336" s="1">
        <f t="shared" si="219"/>
        <v>1</v>
      </c>
      <c r="AE336" s="1">
        <f t="shared" si="220"/>
        <v>0</v>
      </c>
      <c r="AF336" s="1">
        <f t="shared" si="205"/>
        <v>1</v>
      </c>
      <c r="AG336" s="1">
        <f t="shared" si="206"/>
        <v>0</v>
      </c>
      <c r="AH336" s="1">
        <f t="shared" si="207"/>
        <v>1</v>
      </c>
      <c r="AI336" s="1">
        <f t="shared" si="208"/>
        <v>0</v>
      </c>
    </row>
    <row r="337" spans="1:35" s="1" customFormat="1" ht="14.25" customHeight="1" x14ac:dyDescent="0.25">
      <c r="A337" s="67">
        <v>0</v>
      </c>
      <c r="B337" s="67">
        <v>2</v>
      </c>
      <c r="C337" s="67">
        <v>2</v>
      </c>
      <c r="D337" s="54" t="s">
        <v>1993</v>
      </c>
      <c r="E337" s="54" t="s">
        <v>1994</v>
      </c>
      <c r="F337" s="54" t="s">
        <v>1995</v>
      </c>
      <c r="G337" s="54" t="s">
        <v>179</v>
      </c>
      <c r="H337" s="54" t="s">
        <v>354</v>
      </c>
      <c r="I337" s="67" t="s">
        <v>1996</v>
      </c>
      <c r="J337" s="67"/>
      <c r="K337" s="67" t="s">
        <v>703</v>
      </c>
      <c r="L337" s="67"/>
      <c r="M337" s="54"/>
      <c r="N337" s="54"/>
      <c r="O337" s="68"/>
      <c r="P337" s="68">
        <v>1</v>
      </c>
      <c r="Q337" s="54"/>
      <c r="S337" s="1">
        <f t="shared" si="209"/>
        <v>0</v>
      </c>
      <c r="T337" s="1">
        <f t="shared" si="210"/>
        <v>0</v>
      </c>
      <c r="U337" s="1">
        <f t="shared" si="211"/>
        <v>0</v>
      </c>
      <c r="V337" s="1">
        <f t="shared" si="212"/>
        <v>0</v>
      </c>
      <c r="W337" s="1">
        <f t="shared" si="213"/>
        <v>0</v>
      </c>
      <c r="X337" s="1">
        <f t="shared" si="214"/>
        <v>0</v>
      </c>
      <c r="Y337" s="1">
        <f t="shared" si="215"/>
        <v>0</v>
      </c>
      <c r="Z337" s="1">
        <f t="shared" si="216"/>
        <v>0</v>
      </c>
      <c r="AA337" s="1">
        <f t="shared" si="217"/>
        <v>0</v>
      </c>
      <c r="AB337" s="1">
        <f t="shared" si="218"/>
        <v>0</v>
      </c>
      <c r="AD337" s="1">
        <f t="shared" si="219"/>
        <v>0</v>
      </c>
      <c r="AE337" s="1">
        <f t="shared" si="220"/>
        <v>0</v>
      </c>
      <c r="AF337" s="1">
        <f t="shared" si="205"/>
        <v>0</v>
      </c>
      <c r="AG337" s="1">
        <f t="shared" si="206"/>
        <v>0</v>
      </c>
      <c r="AH337" s="1">
        <f t="shared" si="207"/>
        <v>1</v>
      </c>
      <c r="AI337" s="1">
        <f t="shared" si="208"/>
        <v>0</v>
      </c>
    </row>
    <row r="338" spans="1:35" s="1" customFormat="1" ht="14.25" customHeight="1" x14ac:dyDescent="0.25">
      <c r="A338" s="49">
        <v>0</v>
      </c>
      <c r="B338" s="49">
        <v>2</v>
      </c>
      <c r="C338" s="49">
        <v>2</v>
      </c>
      <c r="D338" s="50" t="s">
        <v>606</v>
      </c>
      <c r="E338" s="50" t="s">
        <v>607</v>
      </c>
      <c r="F338" s="50" t="s">
        <v>608</v>
      </c>
      <c r="G338" s="50" t="s">
        <v>257</v>
      </c>
      <c r="H338" s="50" t="s">
        <v>354</v>
      </c>
      <c r="I338" s="49" t="s">
        <v>609</v>
      </c>
      <c r="J338" s="49">
        <v>99</v>
      </c>
      <c r="K338" s="51" t="s">
        <v>955</v>
      </c>
      <c r="L338" s="51" t="s">
        <v>704</v>
      </c>
      <c r="M338" s="52" t="s">
        <v>1414</v>
      </c>
      <c r="N338" s="52" t="s">
        <v>1743</v>
      </c>
      <c r="O338" s="53">
        <v>1</v>
      </c>
      <c r="P338" s="53"/>
      <c r="Q338" s="50"/>
      <c r="S338" s="1">
        <f t="shared" si="209"/>
        <v>0</v>
      </c>
      <c r="T338" s="1">
        <f t="shared" si="210"/>
        <v>0</v>
      </c>
      <c r="U338" s="1">
        <f t="shared" si="211"/>
        <v>0</v>
      </c>
      <c r="V338" s="1">
        <f t="shared" si="212"/>
        <v>0</v>
      </c>
      <c r="W338" s="1">
        <f t="shared" si="213"/>
        <v>0</v>
      </c>
      <c r="X338" s="1">
        <f t="shared" si="214"/>
        <v>0</v>
      </c>
      <c r="Y338" s="1">
        <f t="shared" si="215"/>
        <v>0</v>
      </c>
      <c r="Z338" s="1">
        <f t="shared" si="216"/>
        <v>0</v>
      </c>
      <c r="AA338" s="1">
        <f t="shared" si="217"/>
        <v>0</v>
      </c>
      <c r="AB338" s="1">
        <f t="shared" si="218"/>
        <v>0</v>
      </c>
      <c r="AD338" s="1">
        <f t="shared" si="219"/>
        <v>0</v>
      </c>
      <c r="AE338" s="1">
        <f t="shared" si="220"/>
        <v>1</v>
      </c>
      <c r="AF338" s="1">
        <f t="shared" si="205"/>
        <v>0</v>
      </c>
      <c r="AG338" s="1">
        <f t="shared" si="206"/>
        <v>1</v>
      </c>
      <c r="AH338" s="1">
        <f t="shared" si="207"/>
        <v>0</v>
      </c>
      <c r="AI338" s="1">
        <f t="shared" si="208"/>
        <v>1</v>
      </c>
    </row>
    <row r="339" spans="1:35" s="1" customFormat="1" ht="14.25" customHeight="1" x14ac:dyDescent="0.25">
      <c r="A339" s="31">
        <v>0</v>
      </c>
      <c r="B339" s="31">
        <v>2</v>
      </c>
      <c r="C339" s="31">
        <v>2</v>
      </c>
      <c r="D339" s="32" t="s">
        <v>1925</v>
      </c>
      <c r="E339" s="32" t="s">
        <v>1926</v>
      </c>
      <c r="F339" s="32" t="s">
        <v>1927</v>
      </c>
      <c r="G339" s="32" t="s">
        <v>184</v>
      </c>
      <c r="H339" s="32" t="s">
        <v>354</v>
      </c>
      <c r="I339" s="31" t="s">
        <v>1929</v>
      </c>
      <c r="J339" s="31">
        <v>99</v>
      </c>
      <c r="K339" s="33" t="s">
        <v>703</v>
      </c>
      <c r="L339" s="33"/>
      <c r="M339" s="34"/>
      <c r="N339" s="34" t="s">
        <v>1727</v>
      </c>
      <c r="O339" s="35">
        <v>1</v>
      </c>
      <c r="P339" s="35">
        <v>1</v>
      </c>
      <c r="Q339" s="32" t="s">
        <v>1928</v>
      </c>
      <c r="S339" s="1">
        <f t="shared" si="209"/>
        <v>0</v>
      </c>
      <c r="T339" s="1">
        <f t="shared" si="210"/>
        <v>0</v>
      </c>
      <c r="U339" s="1">
        <f t="shared" si="211"/>
        <v>0</v>
      </c>
      <c r="V339" s="1">
        <f t="shared" si="212"/>
        <v>0</v>
      </c>
      <c r="W339" s="1">
        <f t="shared" si="213"/>
        <v>0</v>
      </c>
      <c r="X339" s="1">
        <f t="shared" si="214"/>
        <v>0</v>
      </c>
      <c r="Y339" s="1">
        <f t="shared" si="215"/>
        <v>0</v>
      </c>
      <c r="Z339" s="1">
        <f t="shared" si="216"/>
        <v>0</v>
      </c>
      <c r="AA339" s="1">
        <f t="shared" si="217"/>
        <v>0</v>
      </c>
      <c r="AB339" s="1">
        <f t="shared" si="218"/>
        <v>0</v>
      </c>
      <c r="AD339" s="1">
        <f t="shared" si="219"/>
        <v>1</v>
      </c>
      <c r="AE339" s="1">
        <f t="shared" si="220"/>
        <v>0</v>
      </c>
      <c r="AF339" s="1">
        <f t="shared" si="205"/>
        <v>1</v>
      </c>
      <c r="AG339" s="1">
        <f t="shared" si="206"/>
        <v>0</v>
      </c>
      <c r="AH339" s="1">
        <f t="shared" si="207"/>
        <v>1</v>
      </c>
      <c r="AI339" s="1">
        <f t="shared" si="208"/>
        <v>0</v>
      </c>
    </row>
    <row r="340" spans="1:35" s="1" customFormat="1" ht="14.25" customHeight="1" x14ac:dyDescent="0.25">
      <c r="A340" s="44">
        <v>0</v>
      </c>
      <c r="B340" s="44">
        <v>2</v>
      </c>
      <c r="C340" s="44">
        <v>2</v>
      </c>
      <c r="D340" s="45" t="s">
        <v>1643</v>
      </c>
      <c r="E340" s="45" t="s">
        <v>1168</v>
      </c>
      <c r="F340" s="45" t="s">
        <v>1674</v>
      </c>
      <c r="G340" s="45" t="s">
        <v>180</v>
      </c>
      <c r="H340" s="45" t="s">
        <v>354</v>
      </c>
      <c r="I340" s="44" t="s">
        <v>1494</v>
      </c>
      <c r="J340" s="44">
        <v>10</v>
      </c>
      <c r="K340" s="46" t="s">
        <v>712</v>
      </c>
      <c r="L340" s="46">
        <v>15</v>
      </c>
      <c r="M340" s="47" t="s">
        <v>39</v>
      </c>
      <c r="N340" s="47" t="s">
        <v>1740</v>
      </c>
      <c r="O340" s="48"/>
      <c r="P340" s="48"/>
      <c r="Q340" s="45"/>
      <c r="S340" s="1">
        <f t="shared" si="209"/>
        <v>0</v>
      </c>
      <c r="T340" s="1">
        <f t="shared" si="210"/>
        <v>0</v>
      </c>
      <c r="U340" s="1">
        <f t="shared" si="211"/>
        <v>0</v>
      </c>
      <c r="V340" s="1">
        <f t="shared" si="212"/>
        <v>0</v>
      </c>
      <c r="W340" s="1">
        <f t="shared" si="213"/>
        <v>0</v>
      </c>
      <c r="X340" s="1">
        <f t="shared" si="214"/>
        <v>0</v>
      </c>
      <c r="Y340" s="1">
        <f t="shared" si="215"/>
        <v>0</v>
      </c>
      <c r="Z340" s="1">
        <f t="shared" si="216"/>
        <v>0</v>
      </c>
      <c r="AA340" s="1">
        <f t="shared" si="217"/>
        <v>0</v>
      </c>
      <c r="AB340" s="1">
        <f t="shared" si="218"/>
        <v>1</v>
      </c>
      <c r="AD340" s="1">
        <f t="shared" si="219"/>
        <v>0</v>
      </c>
      <c r="AE340" s="1">
        <f t="shared" si="220"/>
        <v>0</v>
      </c>
      <c r="AF340" s="1">
        <f t="shared" ref="AF340:AF404" si="227">+O340*P340*(1-A340)</f>
        <v>0</v>
      </c>
      <c r="AG340" s="1">
        <f t="shared" ref="AG340:AG404" si="228">O340*(1-P340)*(1-A340)</f>
        <v>0</v>
      </c>
      <c r="AH340" s="1">
        <f t="shared" ref="AH340:AH404" si="229">+P340*(1-A340)</f>
        <v>0</v>
      </c>
      <c r="AI340" s="1">
        <f t="shared" ref="AI340:AI404" si="230">+(1-A340)*(1-P340)</f>
        <v>1</v>
      </c>
    </row>
    <row r="341" spans="1:35" s="1" customFormat="1" ht="14.25" customHeight="1" x14ac:dyDescent="0.25">
      <c r="A341" s="44">
        <v>0</v>
      </c>
      <c r="B341" s="44">
        <v>2</v>
      </c>
      <c r="C341" s="44">
        <v>2</v>
      </c>
      <c r="D341" s="45" t="s">
        <v>862</v>
      </c>
      <c r="E341" s="45" t="s">
        <v>544</v>
      </c>
      <c r="F341" s="45" t="s">
        <v>863</v>
      </c>
      <c r="G341" s="45" t="s">
        <v>314</v>
      </c>
      <c r="H341" s="45" t="s">
        <v>354</v>
      </c>
      <c r="I341" s="44" t="s">
        <v>864</v>
      </c>
      <c r="J341" s="44">
        <v>1</v>
      </c>
      <c r="K341" s="46" t="s">
        <v>712</v>
      </c>
      <c r="L341" s="46">
        <v>25</v>
      </c>
      <c r="M341" s="47" t="s">
        <v>39</v>
      </c>
      <c r="N341" s="47" t="s">
        <v>1735</v>
      </c>
      <c r="O341" s="48"/>
      <c r="P341" s="48"/>
      <c r="Q341" s="45"/>
      <c r="S341" s="1">
        <f t="shared" si="209"/>
        <v>1</v>
      </c>
      <c r="T341" s="1">
        <f t="shared" si="210"/>
        <v>0</v>
      </c>
      <c r="U341" s="1">
        <f t="shared" si="211"/>
        <v>0</v>
      </c>
      <c r="V341" s="1">
        <f t="shared" si="212"/>
        <v>0</v>
      </c>
      <c r="W341" s="1">
        <f t="shared" si="213"/>
        <v>0</v>
      </c>
      <c r="X341" s="1">
        <f t="shared" si="214"/>
        <v>0</v>
      </c>
      <c r="Y341" s="1">
        <f t="shared" si="215"/>
        <v>0</v>
      </c>
      <c r="Z341" s="1">
        <f t="shared" si="216"/>
        <v>0</v>
      </c>
      <c r="AA341" s="1">
        <f t="shared" si="217"/>
        <v>0</v>
      </c>
      <c r="AB341" s="1">
        <f t="shared" si="218"/>
        <v>0</v>
      </c>
      <c r="AD341" s="1">
        <f t="shared" si="219"/>
        <v>0</v>
      </c>
      <c r="AE341" s="1">
        <f t="shared" si="220"/>
        <v>0</v>
      </c>
      <c r="AF341" s="1">
        <f t="shared" si="227"/>
        <v>0</v>
      </c>
      <c r="AG341" s="1">
        <f t="shared" si="228"/>
        <v>0</v>
      </c>
      <c r="AH341" s="1">
        <f t="shared" si="229"/>
        <v>0</v>
      </c>
      <c r="AI341" s="1">
        <f t="shared" si="230"/>
        <v>1</v>
      </c>
    </row>
    <row r="342" spans="1:35" s="1" customFormat="1" ht="14.25" customHeight="1" x14ac:dyDescent="0.25">
      <c r="A342" s="31">
        <v>0</v>
      </c>
      <c r="B342" s="31">
        <v>2</v>
      </c>
      <c r="C342" s="31">
        <v>3</v>
      </c>
      <c r="D342" s="32" t="s">
        <v>568</v>
      </c>
      <c r="E342" s="32" t="s">
        <v>38</v>
      </c>
      <c r="F342" s="32" t="s">
        <v>237</v>
      </c>
      <c r="G342" s="32" t="s">
        <v>539</v>
      </c>
      <c r="H342" s="32" t="s">
        <v>354</v>
      </c>
      <c r="I342" s="31" t="s">
        <v>403</v>
      </c>
      <c r="J342" s="31">
        <v>1</v>
      </c>
      <c r="K342" s="33" t="s">
        <v>712</v>
      </c>
      <c r="L342" s="33" t="s">
        <v>724</v>
      </c>
      <c r="M342" s="34" t="s">
        <v>725</v>
      </c>
      <c r="N342" s="34" t="s">
        <v>1727</v>
      </c>
      <c r="O342" s="35">
        <v>1</v>
      </c>
      <c r="P342" s="35">
        <v>1</v>
      </c>
      <c r="Q342" s="32"/>
      <c r="S342" s="1">
        <f t="shared" si="209"/>
        <v>1</v>
      </c>
      <c r="T342" s="1">
        <f t="shared" si="210"/>
        <v>0</v>
      </c>
      <c r="U342" s="1">
        <f t="shared" si="211"/>
        <v>0</v>
      </c>
      <c r="V342" s="1">
        <f t="shared" si="212"/>
        <v>0</v>
      </c>
      <c r="W342" s="1">
        <f t="shared" si="213"/>
        <v>0</v>
      </c>
      <c r="X342" s="1">
        <f t="shared" si="214"/>
        <v>0</v>
      </c>
      <c r="Y342" s="1">
        <f t="shared" si="215"/>
        <v>0</v>
      </c>
      <c r="Z342" s="1">
        <f t="shared" si="216"/>
        <v>0</v>
      </c>
      <c r="AA342" s="1">
        <f t="shared" si="217"/>
        <v>0</v>
      </c>
      <c r="AB342" s="1">
        <f t="shared" si="218"/>
        <v>0</v>
      </c>
      <c r="AD342" s="1">
        <f t="shared" si="219"/>
        <v>1</v>
      </c>
      <c r="AE342" s="1">
        <f t="shared" si="220"/>
        <v>0</v>
      </c>
      <c r="AF342" s="1">
        <f t="shared" si="227"/>
        <v>1</v>
      </c>
      <c r="AG342" s="1">
        <f t="shared" si="228"/>
        <v>0</v>
      </c>
      <c r="AH342" s="1">
        <f t="shared" si="229"/>
        <v>1</v>
      </c>
      <c r="AI342" s="1">
        <f t="shared" si="230"/>
        <v>0</v>
      </c>
    </row>
    <row r="343" spans="1:35" s="1" customFormat="1" ht="14.25" customHeight="1" x14ac:dyDescent="0.25">
      <c r="A343" s="44">
        <v>0</v>
      </c>
      <c r="B343" s="44">
        <v>2</v>
      </c>
      <c r="C343" s="44">
        <v>3</v>
      </c>
      <c r="D343" s="45" t="s">
        <v>850</v>
      </c>
      <c r="E343" s="45" t="s">
        <v>34</v>
      </c>
      <c r="F343" s="45" t="s">
        <v>926</v>
      </c>
      <c r="G343" s="45" t="s">
        <v>638</v>
      </c>
      <c r="H343" s="45" t="s">
        <v>354</v>
      </c>
      <c r="I343" s="44" t="s">
        <v>851</v>
      </c>
      <c r="J343" s="44">
        <v>1</v>
      </c>
      <c r="K343" s="46" t="s">
        <v>954</v>
      </c>
      <c r="L343" s="46" t="s">
        <v>729</v>
      </c>
      <c r="M343" s="47" t="s">
        <v>723</v>
      </c>
      <c r="N343" s="47" t="s">
        <v>1735</v>
      </c>
      <c r="O343" s="48"/>
      <c r="P343" s="48"/>
      <c r="Q343" s="45"/>
      <c r="S343" s="1">
        <f t="shared" si="209"/>
        <v>1</v>
      </c>
      <c r="T343" s="1">
        <f t="shared" si="210"/>
        <v>0</v>
      </c>
      <c r="U343" s="1">
        <f t="shared" si="211"/>
        <v>0</v>
      </c>
      <c r="V343" s="1">
        <f t="shared" si="212"/>
        <v>0</v>
      </c>
      <c r="W343" s="1">
        <f t="shared" si="213"/>
        <v>0</v>
      </c>
      <c r="X343" s="1">
        <f t="shared" si="214"/>
        <v>0</v>
      </c>
      <c r="Y343" s="1">
        <f t="shared" si="215"/>
        <v>0</v>
      </c>
      <c r="Z343" s="1">
        <f t="shared" si="216"/>
        <v>0</v>
      </c>
      <c r="AA343" s="1">
        <f t="shared" si="217"/>
        <v>0</v>
      </c>
      <c r="AB343" s="1">
        <f t="shared" si="218"/>
        <v>0</v>
      </c>
      <c r="AD343" s="1">
        <f t="shared" si="219"/>
        <v>0</v>
      </c>
      <c r="AE343" s="1">
        <f t="shared" si="220"/>
        <v>0</v>
      </c>
      <c r="AF343" s="1">
        <f t="shared" si="227"/>
        <v>0</v>
      </c>
      <c r="AG343" s="1">
        <f t="shared" si="228"/>
        <v>0</v>
      </c>
      <c r="AH343" s="1">
        <f t="shared" si="229"/>
        <v>0</v>
      </c>
      <c r="AI343" s="1">
        <f t="shared" si="230"/>
        <v>1</v>
      </c>
    </row>
    <row r="344" spans="1:35" s="1" customFormat="1" ht="14.25" customHeight="1" x14ac:dyDescent="0.25">
      <c r="A344" s="15">
        <v>0</v>
      </c>
      <c r="B344" s="15">
        <v>2</v>
      </c>
      <c r="C344" s="15">
        <v>3</v>
      </c>
      <c r="D344" s="16" t="s">
        <v>793</v>
      </c>
      <c r="E344" s="16" t="s">
        <v>32</v>
      </c>
      <c r="F344" s="16" t="s">
        <v>794</v>
      </c>
      <c r="G344" s="16" t="s">
        <v>251</v>
      </c>
      <c r="H344" s="16" t="s">
        <v>354</v>
      </c>
      <c r="I344" s="15" t="s">
        <v>795</v>
      </c>
      <c r="J344" s="15">
        <v>99</v>
      </c>
      <c r="K344" s="10" t="s">
        <v>713</v>
      </c>
      <c r="L344" s="10" t="s">
        <v>722</v>
      </c>
      <c r="M344" s="19" t="s">
        <v>723</v>
      </c>
      <c r="N344" s="19"/>
      <c r="Q344" s="16"/>
      <c r="S344" s="1">
        <f t="shared" ref="S344:S408" si="231">IF(J344=$S$7,1,0)</f>
        <v>0</v>
      </c>
      <c r="T344" s="1">
        <f t="shared" ref="T344:T408" si="232">IF(J344=$T$7,1,0)</f>
        <v>0</v>
      </c>
      <c r="U344" s="1">
        <f t="shared" ref="U344:U408" si="233">IF(J344=$U$7,1,0)</f>
        <v>0</v>
      </c>
      <c r="V344" s="1">
        <f t="shared" ref="V344:V408" si="234">IF(J344=$V$7,1,0)</f>
        <v>0</v>
      </c>
      <c r="W344" s="1">
        <f t="shared" ref="W344:W408" si="235">IF(J344=$W$7,1,0)</f>
        <v>0</v>
      </c>
      <c r="X344" s="1">
        <f t="shared" ref="X344:X408" si="236">IF(J344=$X$7,1,0)</f>
        <v>0</v>
      </c>
      <c r="Y344" s="1">
        <f t="shared" ref="Y344:Y408" si="237">IF(J344=$Y$7,1,0)</f>
        <v>0</v>
      </c>
      <c r="Z344" s="1">
        <f t="shared" ref="Z344:Z408" si="238">IF(J344=$Z$7,1,0)</f>
        <v>0</v>
      </c>
      <c r="AA344" s="1">
        <f t="shared" ref="AA344:AA408" si="239">IF(J344=$AA$7,1,0)</f>
        <v>0</v>
      </c>
      <c r="AB344" s="1">
        <f t="shared" ref="AB344:AB408" si="240">IF(J344=$AB$7,1,0)</f>
        <v>0</v>
      </c>
      <c r="AD344" s="1">
        <f t="shared" ref="AD344:AD408" si="241">+O344*P344</f>
        <v>0</v>
      </c>
      <c r="AE344" s="1">
        <f t="shared" ref="AE344:AE408" si="242">O344*(1-P344)</f>
        <v>0</v>
      </c>
      <c r="AF344" s="1">
        <f t="shared" si="227"/>
        <v>0</v>
      </c>
      <c r="AG344" s="1">
        <f t="shared" si="228"/>
        <v>0</v>
      </c>
      <c r="AH344" s="1">
        <f t="shared" si="229"/>
        <v>0</v>
      </c>
      <c r="AI344" s="1">
        <f t="shared" si="230"/>
        <v>1</v>
      </c>
    </row>
    <row r="345" spans="1:35" s="1" customFormat="1" ht="14.25" customHeight="1" x14ac:dyDescent="0.25">
      <c r="A345" s="44">
        <v>0</v>
      </c>
      <c r="B345" s="44">
        <v>2</v>
      </c>
      <c r="C345" s="44">
        <v>3</v>
      </c>
      <c r="D345" s="45" t="s">
        <v>56</v>
      </c>
      <c r="E345" s="45" t="s">
        <v>161</v>
      </c>
      <c r="F345" s="45" t="s">
        <v>219</v>
      </c>
      <c r="G345" s="45" t="s">
        <v>196</v>
      </c>
      <c r="H345" s="45" t="s">
        <v>354</v>
      </c>
      <c r="I345" s="44" t="s">
        <v>551</v>
      </c>
      <c r="J345" s="44">
        <v>99</v>
      </c>
      <c r="K345" s="46" t="s">
        <v>713</v>
      </c>
      <c r="L345" s="46" t="s">
        <v>722</v>
      </c>
      <c r="M345" s="47" t="s">
        <v>723</v>
      </c>
      <c r="N345" s="47" t="s">
        <v>1802</v>
      </c>
      <c r="O345" s="48"/>
      <c r="P345" s="48"/>
      <c r="Q345" s="45"/>
      <c r="S345" s="1">
        <f t="shared" si="231"/>
        <v>0</v>
      </c>
      <c r="T345" s="1">
        <f t="shared" si="232"/>
        <v>0</v>
      </c>
      <c r="U345" s="1">
        <f t="shared" si="233"/>
        <v>0</v>
      </c>
      <c r="V345" s="1">
        <f t="shared" si="234"/>
        <v>0</v>
      </c>
      <c r="W345" s="1">
        <f t="shared" si="235"/>
        <v>0</v>
      </c>
      <c r="X345" s="1">
        <f t="shared" si="236"/>
        <v>0</v>
      </c>
      <c r="Y345" s="1">
        <f t="shared" si="237"/>
        <v>0</v>
      </c>
      <c r="Z345" s="1">
        <f t="shared" si="238"/>
        <v>0</v>
      </c>
      <c r="AA345" s="1">
        <f t="shared" si="239"/>
        <v>0</v>
      </c>
      <c r="AB345" s="1">
        <f t="shared" si="240"/>
        <v>0</v>
      </c>
      <c r="AD345" s="1">
        <f t="shared" si="241"/>
        <v>0</v>
      </c>
      <c r="AE345" s="1">
        <f t="shared" si="242"/>
        <v>0</v>
      </c>
      <c r="AF345" s="1">
        <f t="shared" si="227"/>
        <v>0</v>
      </c>
      <c r="AG345" s="1">
        <f t="shared" si="228"/>
        <v>0</v>
      </c>
      <c r="AH345" s="1">
        <f t="shared" si="229"/>
        <v>0</v>
      </c>
      <c r="AI345" s="1">
        <f t="shared" si="230"/>
        <v>1</v>
      </c>
    </row>
    <row r="346" spans="1:35" s="1" customFormat="1" ht="14.25" customHeight="1" x14ac:dyDescent="0.25">
      <c r="A346" s="44">
        <v>0</v>
      </c>
      <c r="B346" s="44">
        <v>2</v>
      </c>
      <c r="C346" s="44">
        <v>3</v>
      </c>
      <c r="D346" s="45" t="s">
        <v>1175</v>
      </c>
      <c r="E346" s="45" t="s">
        <v>1335</v>
      </c>
      <c r="F346" s="45" t="s">
        <v>1176</v>
      </c>
      <c r="G346" s="45" t="s">
        <v>302</v>
      </c>
      <c r="H346" s="45" t="s">
        <v>354</v>
      </c>
      <c r="I346" s="44" t="s">
        <v>1177</v>
      </c>
      <c r="J346" s="44">
        <v>1</v>
      </c>
      <c r="K346" s="46" t="s">
        <v>955</v>
      </c>
      <c r="L346" s="46" t="s">
        <v>693</v>
      </c>
      <c r="M346" s="47" t="s">
        <v>1415</v>
      </c>
      <c r="N346" s="47" t="s">
        <v>1735</v>
      </c>
      <c r="O346" s="48"/>
      <c r="P346" s="48"/>
      <c r="Q346" s="45"/>
      <c r="S346" s="1">
        <f t="shared" si="231"/>
        <v>1</v>
      </c>
      <c r="T346" s="1">
        <f t="shared" si="232"/>
        <v>0</v>
      </c>
      <c r="U346" s="1">
        <f t="shared" si="233"/>
        <v>0</v>
      </c>
      <c r="V346" s="1">
        <f t="shared" si="234"/>
        <v>0</v>
      </c>
      <c r="W346" s="1">
        <f t="shared" si="235"/>
        <v>0</v>
      </c>
      <c r="X346" s="1">
        <f t="shared" si="236"/>
        <v>0</v>
      </c>
      <c r="Y346" s="1">
        <f t="shared" si="237"/>
        <v>0</v>
      </c>
      <c r="Z346" s="1">
        <f t="shared" si="238"/>
        <v>0</v>
      </c>
      <c r="AA346" s="1">
        <f t="shared" si="239"/>
        <v>0</v>
      </c>
      <c r="AB346" s="1">
        <f t="shared" si="240"/>
        <v>0</v>
      </c>
      <c r="AD346" s="1">
        <f t="shared" si="241"/>
        <v>0</v>
      </c>
      <c r="AE346" s="1">
        <f t="shared" si="242"/>
        <v>0</v>
      </c>
      <c r="AF346" s="1">
        <f t="shared" si="227"/>
        <v>0</v>
      </c>
      <c r="AG346" s="1">
        <f t="shared" si="228"/>
        <v>0</v>
      </c>
      <c r="AH346" s="1">
        <f t="shared" si="229"/>
        <v>0</v>
      </c>
      <c r="AI346" s="1">
        <f t="shared" si="230"/>
        <v>1</v>
      </c>
    </row>
    <row r="347" spans="1:35" s="1" customFormat="1" ht="14.25" customHeight="1" x14ac:dyDescent="0.25">
      <c r="A347" s="44">
        <v>0</v>
      </c>
      <c r="B347" s="44">
        <v>2</v>
      </c>
      <c r="C347" s="44">
        <v>3</v>
      </c>
      <c r="D347" s="45" t="s">
        <v>1172</v>
      </c>
      <c r="E347" s="45" t="s">
        <v>1335</v>
      </c>
      <c r="F347" s="45" t="s">
        <v>1173</v>
      </c>
      <c r="G347" s="45" t="s">
        <v>1056</v>
      </c>
      <c r="H347" s="45" t="s">
        <v>354</v>
      </c>
      <c r="I347" s="44" t="s">
        <v>1174</v>
      </c>
      <c r="J347" s="44">
        <v>1</v>
      </c>
      <c r="K347" s="46" t="s">
        <v>713</v>
      </c>
      <c r="L347" s="46" t="s">
        <v>693</v>
      </c>
      <c r="M347" s="47" t="s">
        <v>1415</v>
      </c>
      <c r="N347" s="47" t="s">
        <v>1735</v>
      </c>
      <c r="O347" s="48"/>
      <c r="P347" s="48"/>
      <c r="Q347" s="45"/>
      <c r="S347" s="1">
        <f t="shared" si="231"/>
        <v>1</v>
      </c>
      <c r="T347" s="1">
        <f t="shared" si="232"/>
        <v>0</v>
      </c>
      <c r="U347" s="1">
        <f t="shared" si="233"/>
        <v>0</v>
      </c>
      <c r="V347" s="1">
        <f t="shared" si="234"/>
        <v>0</v>
      </c>
      <c r="W347" s="1">
        <f t="shared" si="235"/>
        <v>0</v>
      </c>
      <c r="X347" s="1">
        <f t="shared" si="236"/>
        <v>0</v>
      </c>
      <c r="Y347" s="1">
        <f t="shared" si="237"/>
        <v>0</v>
      </c>
      <c r="Z347" s="1">
        <f t="shared" si="238"/>
        <v>0</v>
      </c>
      <c r="AA347" s="1">
        <f t="shared" si="239"/>
        <v>0</v>
      </c>
      <c r="AB347" s="1">
        <f t="shared" si="240"/>
        <v>0</v>
      </c>
      <c r="AD347" s="1">
        <f t="shared" si="241"/>
        <v>0</v>
      </c>
      <c r="AE347" s="1">
        <f t="shared" si="242"/>
        <v>0</v>
      </c>
      <c r="AF347" s="1">
        <f t="shared" si="227"/>
        <v>0</v>
      </c>
      <c r="AG347" s="1">
        <f t="shared" si="228"/>
        <v>0</v>
      </c>
      <c r="AH347" s="1">
        <f t="shared" si="229"/>
        <v>0</v>
      </c>
      <c r="AI347" s="1">
        <f t="shared" si="230"/>
        <v>1</v>
      </c>
    </row>
    <row r="348" spans="1:35" s="1" customFormat="1" ht="14.25" customHeight="1" x14ac:dyDescent="0.25">
      <c r="A348" s="31">
        <v>0</v>
      </c>
      <c r="B348" s="31">
        <v>2</v>
      </c>
      <c r="C348" s="31">
        <v>3</v>
      </c>
      <c r="D348" s="32" t="s">
        <v>1294</v>
      </c>
      <c r="E348" s="32" t="s">
        <v>32</v>
      </c>
      <c r="F348" s="32" t="s">
        <v>1295</v>
      </c>
      <c r="G348" s="32" t="s">
        <v>222</v>
      </c>
      <c r="H348" s="32" t="s">
        <v>354</v>
      </c>
      <c r="I348" s="31" t="s">
        <v>1689</v>
      </c>
      <c r="J348" s="31">
        <v>99</v>
      </c>
      <c r="K348" s="33" t="s">
        <v>713</v>
      </c>
      <c r="L348" s="33" t="s">
        <v>716</v>
      </c>
      <c r="M348" s="34" t="s">
        <v>1296</v>
      </c>
      <c r="N348" s="34" t="s">
        <v>1727</v>
      </c>
      <c r="O348" s="35">
        <v>1</v>
      </c>
      <c r="P348" s="35">
        <v>1</v>
      </c>
      <c r="Q348" s="32"/>
      <c r="S348" s="1">
        <f t="shared" si="231"/>
        <v>0</v>
      </c>
      <c r="T348" s="1">
        <f t="shared" si="232"/>
        <v>0</v>
      </c>
      <c r="U348" s="1">
        <f t="shared" si="233"/>
        <v>0</v>
      </c>
      <c r="V348" s="1">
        <f t="shared" si="234"/>
        <v>0</v>
      </c>
      <c r="W348" s="1">
        <f t="shared" si="235"/>
        <v>0</v>
      </c>
      <c r="X348" s="1">
        <f t="shared" si="236"/>
        <v>0</v>
      </c>
      <c r="Y348" s="1">
        <f t="shared" si="237"/>
        <v>0</v>
      </c>
      <c r="Z348" s="1">
        <f t="shared" si="238"/>
        <v>0</v>
      </c>
      <c r="AA348" s="1">
        <f t="shared" si="239"/>
        <v>0</v>
      </c>
      <c r="AB348" s="1">
        <f t="shared" si="240"/>
        <v>0</v>
      </c>
      <c r="AD348" s="1">
        <f t="shared" si="241"/>
        <v>1</v>
      </c>
      <c r="AE348" s="1">
        <f t="shared" si="242"/>
        <v>0</v>
      </c>
      <c r="AF348" s="1">
        <f t="shared" si="227"/>
        <v>1</v>
      </c>
      <c r="AG348" s="1">
        <f t="shared" si="228"/>
        <v>0</v>
      </c>
      <c r="AH348" s="1">
        <f t="shared" si="229"/>
        <v>1</v>
      </c>
      <c r="AI348" s="1">
        <f t="shared" si="230"/>
        <v>0</v>
      </c>
    </row>
    <row r="349" spans="1:35" s="1" customFormat="1" ht="14.25" customHeight="1" x14ac:dyDescent="0.25">
      <c r="A349" s="31">
        <v>0</v>
      </c>
      <c r="B349" s="31">
        <v>2</v>
      </c>
      <c r="C349" s="31">
        <v>3</v>
      </c>
      <c r="D349" s="32" t="s">
        <v>761</v>
      </c>
      <c r="E349" s="32" t="s">
        <v>913</v>
      </c>
      <c r="F349" s="32" t="s">
        <v>762</v>
      </c>
      <c r="G349" s="32" t="s">
        <v>220</v>
      </c>
      <c r="H349" s="32" t="s">
        <v>354</v>
      </c>
      <c r="I349" s="31" t="s">
        <v>763</v>
      </c>
      <c r="J349" s="31">
        <v>8</v>
      </c>
      <c r="K349" s="33" t="s">
        <v>955</v>
      </c>
      <c r="L349" s="33" t="s">
        <v>729</v>
      </c>
      <c r="M349" s="34" t="s">
        <v>723</v>
      </c>
      <c r="N349" s="34" t="s">
        <v>1748</v>
      </c>
      <c r="O349" s="35">
        <v>1</v>
      </c>
      <c r="P349" s="35"/>
      <c r="Q349" s="32"/>
      <c r="S349" s="1">
        <f t="shared" si="231"/>
        <v>0</v>
      </c>
      <c r="T349" s="1">
        <f t="shared" si="232"/>
        <v>0</v>
      </c>
      <c r="U349" s="1">
        <f t="shared" si="233"/>
        <v>0</v>
      </c>
      <c r="V349" s="1">
        <f t="shared" si="234"/>
        <v>0</v>
      </c>
      <c r="W349" s="1">
        <f t="shared" si="235"/>
        <v>0</v>
      </c>
      <c r="X349" s="1">
        <f t="shared" si="236"/>
        <v>0</v>
      </c>
      <c r="Y349" s="1">
        <f t="shared" si="237"/>
        <v>0</v>
      </c>
      <c r="Z349" s="1">
        <f t="shared" si="238"/>
        <v>1</v>
      </c>
      <c r="AA349" s="1">
        <f t="shared" si="239"/>
        <v>0</v>
      </c>
      <c r="AB349" s="1">
        <f t="shared" si="240"/>
        <v>0</v>
      </c>
      <c r="AD349" s="1">
        <f t="shared" si="241"/>
        <v>0</v>
      </c>
      <c r="AE349" s="1">
        <f t="shared" si="242"/>
        <v>1</v>
      </c>
      <c r="AF349" s="1">
        <f t="shared" si="227"/>
        <v>0</v>
      </c>
      <c r="AG349" s="1">
        <f t="shared" si="228"/>
        <v>1</v>
      </c>
      <c r="AH349" s="1">
        <f t="shared" si="229"/>
        <v>0</v>
      </c>
      <c r="AI349" s="1">
        <f t="shared" si="230"/>
        <v>1</v>
      </c>
    </row>
    <row r="350" spans="1:35" s="1" customFormat="1" ht="14.25" customHeight="1" x14ac:dyDescent="0.25">
      <c r="A350" s="44">
        <v>0</v>
      </c>
      <c r="B350" s="44">
        <v>2</v>
      </c>
      <c r="C350" s="44">
        <v>3</v>
      </c>
      <c r="D350" s="45" t="s">
        <v>1495</v>
      </c>
      <c r="E350" s="45" t="s">
        <v>1496</v>
      </c>
      <c r="F350" s="45" t="s">
        <v>1497</v>
      </c>
      <c r="G350" s="45" t="s">
        <v>238</v>
      </c>
      <c r="H350" s="45" t="s">
        <v>354</v>
      </c>
      <c r="I350" s="44" t="s">
        <v>1498</v>
      </c>
      <c r="J350" s="44">
        <v>4</v>
      </c>
      <c r="K350" s="46" t="s">
        <v>712</v>
      </c>
      <c r="L350" s="46">
        <v>15</v>
      </c>
      <c r="M350" s="47" t="s">
        <v>39</v>
      </c>
      <c r="N350" s="47" t="s">
        <v>1802</v>
      </c>
      <c r="O350" s="48"/>
      <c r="P350" s="48"/>
      <c r="Q350" s="45"/>
      <c r="S350" s="1">
        <f t="shared" si="231"/>
        <v>0</v>
      </c>
      <c r="T350" s="1">
        <f t="shared" si="232"/>
        <v>0</v>
      </c>
      <c r="U350" s="1">
        <f t="shared" si="233"/>
        <v>0</v>
      </c>
      <c r="V350" s="1">
        <f t="shared" si="234"/>
        <v>1</v>
      </c>
      <c r="W350" s="1">
        <f t="shared" si="235"/>
        <v>0</v>
      </c>
      <c r="X350" s="1">
        <f t="shared" si="236"/>
        <v>0</v>
      </c>
      <c r="Y350" s="1">
        <f t="shared" si="237"/>
        <v>0</v>
      </c>
      <c r="Z350" s="1">
        <f t="shared" si="238"/>
        <v>0</v>
      </c>
      <c r="AA350" s="1">
        <f t="shared" si="239"/>
        <v>0</v>
      </c>
      <c r="AB350" s="1">
        <f t="shared" si="240"/>
        <v>0</v>
      </c>
      <c r="AD350" s="1">
        <f t="shared" si="241"/>
        <v>0</v>
      </c>
      <c r="AE350" s="1">
        <f t="shared" si="242"/>
        <v>0</v>
      </c>
      <c r="AF350" s="1">
        <f t="shared" si="227"/>
        <v>0</v>
      </c>
      <c r="AG350" s="1">
        <f t="shared" si="228"/>
        <v>0</v>
      </c>
      <c r="AH350" s="1">
        <f t="shared" si="229"/>
        <v>0</v>
      </c>
      <c r="AI350" s="1">
        <f t="shared" si="230"/>
        <v>1</v>
      </c>
    </row>
    <row r="351" spans="1:35" s="1" customFormat="1" ht="14.25" customHeight="1" x14ac:dyDescent="0.25">
      <c r="A351" s="31">
        <v>0</v>
      </c>
      <c r="B351" s="31">
        <v>2</v>
      </c>
      <c r="C351" s="31">
        <v>3</v>
      </c>
      <c r="D351" s="32" t="s">
        <v>1553</v>
      </c>
      <c r="E351" s="32" t="s">
        <v>1554</v>
      </c>
      <c r="F351" s="32" t="s">
        <v>1555</v>
      </c>
      <c r="G351" s="32" t="s">
        <v>1556</v>
      </c>
      <c r="H351" s="32" t="s">
        <v>354</v>
      </c>
      <c r="I351" s="31" t="s">
        <v>1557</v>
      </c>
      <c r="J351" s="31">
        <v>7</v>
      </c>
      <c r="K351" s="33" t="s">
        <v>955</v>
      </c>
      <c r="L351" s="33">
        <v>10</v>
      </c>
      <c r="M351" s="34" t="s">
        <v>39</v>
      </c>
      <c r="N351" s="34" t="s">
        <v>1743</v>
      </c>
      <c r="O351" s="35">
        <v>1</v>
      </c>
      <c r="P351" s="35"/>
      <c r="Q351" s="32"/>
      <c r="S351" s="1">
        <f t="shared" si="231"/>
        <v>0</v>
      </c>
      <c r="T351" s="1">
        <f t="shared" si="232"/>
        <v>0</v>
      </c>
      <c r="U351" s="1">
        <f t="shared" si="233"/>
        <v>0</v>
      </c>
      <c r="V351" s="1">
        <f t="shared" si="234"/>
        <v>0</v>
      </c>
      <c r="W351" s="1">
        <f t="shared" si="235"/>
        <v>0</v>
      </c>
      <c r="X351" s="1">
        <f t="shared" si="236"/>
        <v>0</v>
      </c>
      <c r="Y351" s="1">
        <f t="shared" si="237"/>
        <v>1</v>
      </c>
      <c r="Z351" s="1">
        <f t="shared" si="238"/>
        <v>0</v>
      </c>
      <c r="AA351" s="1">
        <f t="shared" si="239"/>
        <v>0</v>
      </c>
      <c r="AB351" s="1">
        <f t="shared" si="240"/>
        <v>0</v>
      </c>
      <c r="AD351" s="1">
        <f t="shared" si="241"/>
        <v>0</v>
      </c>
      <c r="AE351" s="1">
        <f t="shared" si="242"/>
        <v>1</v>
      </c>
      <c r="AF351" s="1">
        <f t="shared" si="227"/>
        <v>0</v>
      </c>
      <c r="AG351" s="1">
        <f t="shared" si="228"/>
        <v>1</v>
      </c>
      <c r="AH351" s="1">
        <f t="shared" si="229"/>
        <v>0</v>
      </c>
      <c r="AI351" s="1">
        <f t="shared" si="230"/>
        <v>1</v>
      </c>
    </row>
    <row r="352" spans="1:35" s="1" customFormat="1" ht="14.25" customHeight="1" x14ac:dyDescent="0.25">
      <c r="A352" s="44">
        <v>0</v>
      </c>
      <c r="B352" s="44">
        <v>2</v>
      </c>
      <c r="C352" s="44">
        <v>3</v>
      </c>
      <c r="D352" s="45" t="s">
        <v>841</v>
      </c>
      <c r="E352" s="45" t="s">
        <v>32</v>
      </c>
      <c r="F352" s="45" t="s">
        <v>843</v>
      </c>
      <c r="G352" s="45" t="s">
        <v>39</v>
      </c>
      <c r="H352" s="45" t="s">
        <v>354</v>
      </c>
      <c r="I352" s="44" t="s">
        <v>842</v>
      </c>
      <c r="J352" s="44">
        <v>1</v>
      </c>
      <c r="K352" s="46" t="s">
        <v>713</v>
      </c>
      <c r="L352" s="46" t="s">
        <v>694</v>
      </c>
      <c r="M352" s="47" t="s">
        <v>1415</v>
      </c>
      <c r="N352" s="47" t="s">
        <v>1735</v>
      </c>
      <c r="O352" s="48"/>
      <c r="P352" s="48"/>
      <c r="Q352" s="45"/>
      <c r="S352" s="1">
        <f t="shared" si="231"/>
        <v>1</v>
      </c>
      <c r="T352" s="1">
        <f t="shared" si="232"/>
        <v>0</v>
      </c>
      <c r="U352" s="1">
        <f t="shared" si="233"/>
        <v>0</v>
      </c>
      <c r="V352" s="1">
        <f t="shared" si="234"/>
        <v>0</v>
      </c>
      <c r="W352" s="1">
        <f t="shared" si="235"/>
        <v>0</v>
      </c>
      <c r="X352" s="1">
        <f t="shared" si="236"/>
        <v>0</v>
      </c>
      <c r="Y352" s="1">
        <f t="shared" si="237"/>
        <v>0</v>
      </c>
      <c r="Z352" s="1">
        <f t="shared" si="238"/>
        <v>0</v>
      </c>
      <c r="AA352" s="1">
        <f t="shared" si="239"/>
        <v>0</v>
      </c>
      <c r="AB352" s="1">
        <f t="shared" si="240"/>
        <v>0</v>
      </c>
      <c r="AD352" s="1">
        <f t="shared" si="241"/>
        <v>0</v>
      </c>
      <c r="AE352" s="1">
        <f t="shared" si="242"/>
        <v>0</v>
      </c>
      <c r="AF352" s="1">
        <f t="shared" si="227"/>
        <v>0</v>
      </c>
      <c r="AG352" s="1">
        <f t="shared" si="228"/>
        <v>0</v>
      </c>
      <c r="AH352" s="1">
        <f t="shared" si="229"/>
        <v>0</v>
      </c>
      <c r="AI352" s="1">
        <f t="shared" si="230"/>
        <v>1</v>
      </c>
    </row>
    <row r="353" spans="1:35" s="1" customFormat="1" ht="14.25" customHeight="1" x14ac:dyDescent="0.25">
      <c r="A353" s="15">
        <v>0</v>
      </c>
      <c r="B353" s="15">
        <v>2</v>
      </c>
      <c r="C353" s="15">
        <v>4</v>
      </c>
      <c r="D353" s="16" t="s">
        <v>764</v>
      </c>
      <c r="E353" s="16" t="s">
        <v>765</v>
      </c>
      <c r="F353" s="16" t="s">
        <v>766</v>
      </c>
      <c r="G353" s="16" t="s">
        <v>767</v>
      </c>
      <c r="H353" s="16" t="s">
        <v>354</v>
      </c>
      <c r="I353" s="15" t="s">
        <v>768</v>
      </c>
      <c r="J353" s="15">
        <v>99</v>
      </c>
      <c r="K353" s="10" t="s">
        <v>703</v>
      </c>
      <c r="L353" s="10">
        <v>15</v>
      </c>
      <c r="M353" s="19" t="s">
        <v>769</v>
      </c>
      <c r="N353" s="19"/>
      <c r="Q353" s="16"/>
      <c r="S353" s="1">
        <f t="shared" si="231"/>
        <v>0</v>
      </c>
      <c r="T353" s="1">
        <f t="shared" si="232"/>
        <v>0</v>
      </c>
      <c r="U353" s="1">
        <f t="shared" si="233"/>
        <v>0</v>
      </c>
      <c r="V353" s="1">
        <f t="shared" si="234"/>
        <v>0</v>
      </c>
      <c r="W353" s="1">
        <f t="shared" si="235"/>
        <v>0</v>
      </c>
      <c r="X353" s="1">
        <f t="shared" si="236"/>
        <v>0</v>
      </c>
      <c r="Y353" s="1">
        <f t="shared" si="237"/>
        <v>0</v>
      </c>
      <c r="Z353" s="1">
        <f t="shared" si="238"/>
        <v>0</v>
      </c>
      <c r="AA353" s="1">
        <f t="shared" si="239"/>
        <v>0</v>
      </c>
      <c r="AB353" s="1">
        <f t="shared" si="240"/>
        <v>0</v>
      </c>
      <c r="AD353" s="1">
        <f t="shared" si="241"/>
        <v>0</v>
      </c>
      <c r="AE353" s="1">
        <f t="shared" si="242"/>
        <v>0</v>
      </c>
      <c r="AF353" s="1">
        <f t="shared" si="227"/>
        <v>0</v>
      </c>
      <c r="AG353" s="1">
        <f t="shared" si="228"/>
        <v>0</v>
      </c>
      <c r="AH353" s="1">
        <f t="shared" si="229"/>
        <v>0</v>
      </c>
      <c r="AI353" s="1">
        <f t="shared" si="230"/>
        <v>1</v>
      </c>
    </row>
    <row r="354" spans="1:35" s="1" customFormat="1" ht="14.25" customHeight="1" x14ac:dyDescent="0.25">
      <c r="A354" s="31">
        <v>0</v>
      </c>
      <c r="B354" s="31">
        <v>2</v>
      </c>
      <c r="C354" s="31">
        <v>4</v>
      </c>
      <c r="D354" s="32" t="s">
        <v>798</v>
      </c>
      <c r="E354" s="32" t="s">
        <v>908</v>
      </c>
      <c r="F354" s="32" t="s">
        <v>925</v>
      </c>
      <c r="G354" s="32" t="s">
        <v>208</v>
      </c>
      <c r="H354" s="32" t="s">
        <v>354</v>
      </c>
      <c r="I354" s="31" t="s">
        <v>1363</v>
      </c>
      <c r="J354" s="31">
        <v>3</v>
      </c>
      <c r="K354" s="33" t="s">
        <v>703</v>
      </c>
      <c r="L354" s="33">
        <v>20</v>
      </c>
      <c r="M354" s="34" t="s">
        <v>1417</v>
      </c>
      <c r="N354" s="34" t="s">
        <v>1825</v>
      </c>
      <c r="O354" s="35">
        <v>1</v>
      </c>
      <c r="P354" s="35"/>
      <c r="Q354" s="32"/>
      <c r="S354" s="1">
        <f t="shared" si="231"/>
        <v>0</v>
      </c>
      <c r="T354" s="1">
        <f t="shared" si="232"/>
        <v>0</v>
      </c>
      <c r="U354" s="1">
        <f t="shared" si="233"/>
        <v>1</v>
      </c>
      <c r="V354" s="1">
        <f t="shared" si="234"/>
        <v>0</v>
      </c>
      <c r="W354" s="1">
        <f t="shared" si="235"/>
        <v>0</v>
      </c>
      <c r="X354" s="1">
        <f t="shared" si="236"/>
        <v>0</v>
      </c>
      <c r="Y354" s="1">
        <f t="shared" si="237"/>
        <v>0</v>
      </c>
      <c r="Z354" s="1">
        <f t="shared" si="238"/>
        <v>0</v>
      </c>
      <c r="AA354" s="1">
        <f t="shared" si="239"/>
        <v>0</v>
      </c>
      <c r="AB354" s="1">
        <f t="shared" si="240"/>
        <v>0</v>
      </c>
      <c r="AD354" s="1">
        <f t="shared" si="241"/>
        <v>0</v>
      </c>
      <c r="AE354" s="1">
        <f t="shared" si="242"/>
        <v>1</v>
      </c>
      <c r="AF354" s="1">
        <f t="shared" si="227"/>
        <v>0</v>
      </c>
      <c r="AG354" s="1">
        <f t="shared" si="228"/>
        <v>1</v>
      </c>
      <c r="AH354" s="1">
        <f t="shared" si="229"/>
        <v>0</v>
      </c>
      <c r="AI354" s="1">
        <f t="shared" si="230"/>
        <v>1</v>
      </c>
    </row>
    <row r="355" spans="1:35" s="1" customFormat="1" ht="14.25" customHeight="1" x14ac:dyDescent="0.25">
      <c r="A355" s="57">
        <v>0</v>
      </c>
      <c r="B355" s="57">
        <v>2</v>
      </c>
      <c r="C355" s="57">
        <v>4</v>
      </c>
      <c r="D355" s="58" t="s">
        <v>567</v>
      </c>
      <c r="E355" s="58" t="s">
        <v>37</v>
      </c>
      <c r="F355" s="58" t="s">
        <v>205</v>
      </c>
      <c r="G355" s="58" t="s">
        <v>39</v>
      </c>
      <c r="H355" s="58" t="s">
        <v>354</v>
      </c>
      <c r="I355" s="57" t="s">
        <v>389</v>
      </c>
      <c r="J355" s="57">
        <v>6</v>
      </c>
      <c r="K355" s="59" t="s">
        <v>703</v>
      </c>
      <c r="L355" s="59" t="s">
        <v>39</v>
      </c>
      <c r="M355" s="60" t="s">
        <v>39</v>
      </c>
      <c r="N355" s="61"/>
      <c r="O355" s="62"/>
      <c r="P355" s="62"/>
      <c r="Q355" s="58"/>
      <c r="S355" s="1">
        <f t="shared" si="231"/>
        <v>0</v>
      </c>
      <c r="T355" s="1">
        <f t="shared" si="232"/>
        <v>0</v>
      </c>
      <c r="U355" s="1">
        <f t="shared" si="233"/>
        <v>0</v>
      </c>
      <c r="V355" s="1">
        <f t="shared" si="234"/>
        <v>0</v>
      </c>
      <c r="W355" s="1">
        <f t="shared" si="235"/>
        <v>0</v>
      </c>
      <c r="X355" s="1">
        <f t="shared" si="236"/>
        <v>1</v>
      </c>
      <c r="Y355" s="1">
        <f t="shared" si="237"/>
        <v>0</v>
      </c>
      <c r="Z355" s="1">
        <f t="shared" si="238"/>
        <v>0</v>
      </c>
      <c r="AA355" s="1">
        <f t="shared" si="239"/>
        <v>0</v>
      </c>
      <c r="AB355" s="1">
        <f t="shared" si="240"/>
        <v>0</v>
      </c>
      <c r="AD355" s="1">
        <f t="shared" si="241"/>
        <v>0</v>
      </c>
      <c r="AE355" s="1">
        <f t="shared" si="242"/>
        <v>0</v>
      </c>
      <c r="AF355" s="1">
        <f t="shared" si="227"/>
        <v>0</v>
      </c>
      <c r="AG355" s="1">
        <f t="shared" si="228"/>
        <v>0</v>
      </c>
      <c r="AH355" s="1">
        <f t="shared" si="229"/>
        <v>0</v>
      </c>
      <c r="AI355" s="1">
        <f t="shared" si="230"/>
        <v>1</v>
      </c>
    </row>
    <row r="356" spans="1:35" s="1" customFormat="1" ht="14.25" customHeight="1" x14ac:dyDescent="0.25">
      <c r="A356" s="44">
        <v>0</v>
      </c>
      <c r="B356" s="44">
        <v>2</v>
      </c>
      <c r="C356" s="44">
        <v>4</v>
      </c>
      <c r="D356" s="45" t="s">
        <v>653</v>
      </c>
      <c r="E356" s="45" t="s">
        <v>910</v>
      </c>
      <c r="F356" s="45" t="s">
        <v>624</v>
      </c>
      <c r="G356" s="45" t="s">
        <v>341</v>
      </c>
      <c r="H356" s="45" t="s">
        <v>354</v>
      </c>
      <c r="I356" s="44" t="s">
        <v>625</v>
      </c>
      <c r="J356" s="44">
        <v>10</v>
      </c>
      <c r="K356" s="46" t="s">
        <v>954</v>
      </c>
      <c r="L356" s="46" t="s">
        <v>704</v>
      </c>
      <c r="M356" s="47" t="s">
        <v>1418</v>
      </c>
      <c r="N356" s="47" t="s">
        <v>1734</v>
      </c>
      <c r="O356" s="48"/>
      <c r="P356" s="48"/>
      <c r="Q356" s="45"/>
      <c r="S356" s="1">
        <f t="shared" si="231"/>
        <v>0</v>
      </c>
      <c r="T356" s="1">
        <f t="shared" si="232"/>
        <v>0</v>
      </c>
      <c r="U356" s="1">
        <f t="shared" si="233"/>
        <v>0</v>
      </c>
      <c r="V356" s="1">
        <f t="shared" si="234"/>
        <v>0</v>
      </c>
      <c r="W356" s="1">
        <f t="shared" si="235"/>
        <v>0</v>
      </c>
      <c r="X356" s="1">
        <f t="shared" si="236"/>
        <v>0</v>
      </c>
      <c r="Y356" s="1">
        <f t="shared" si="237"/>
        <v>0</v>
      </c>
      <c r="Z356" s="1">
        <f t="shared" si="238"/>
        <v>0</v>
      </c>
      <c r="AA356" s="1">
        <f t="shared" si="239"/>
        <v>0</v>
      </c>
      <c r="AB356" s="1">
        <f t="shared" si="240"/>
        <v>1</v>
      </c>
      <c r="AD356" s="1">
        <f t="shared" si="241"/>
        <v>0</v>
      </c>
      <c r="AE356" s="1">
        <f t="shared" si="242"/>
        <v>0</v>
      </c>
      <c r="AF356" s="1">
        <f t="shared" si="227"/>
        <v>0</v>
      </c>
      <c r="AG356" s="1">
        <f t="shared" si="228"/>
        <v>0</v>
      </c>
      <c r="AH356" s="1">
        <f t="shared" si="229"/>
        <v>0</v>
      </c>
      <c r="AI356" s="1">
        <f t="shared" si="230"/>
        <v>1</v>
      </c>
    </row>
    <row r="357" spans="1:35" s="1" customFormat="1" ht="14.25" customHeight="1" x14ac:dyDescent="0.25">
      <c r="A357" s="31">
        <v>0</v>
      </c>
      <c r="B357" s="31">
        <v>2</v>
      </c>
      <c r="C357" s="31">
        <v>4</v>
      </c>
      <c r="D357" s="32" t="s">
        <v>75</v>
      </c>
      <c r="E357" s="32" t="s">
        <v>35</v>
      </c>
      <c r="F357" s="32" t="s">
        <v>266</v>
      </c>
      <c r="G357" s="32" t="s">
        <v>213</v>
      </c>
      <c r="H357" s="32" t="s">
        <v>354</v>
      </c>
      <c r="I357" s="31" t="s">
        <v>945</v>
      </c>
      <c r="J357" s="31">
        <v>1</v>
      </c>
      <c r="K357" s="33" t="s">
        <v>713</v>
      </c>
      <c r="L357" s="33" t="s">
        <v>704</v>
      </c>
      <c r="M357" s="34" t="s">
        <v>1419</v>
      </c>
      <c r="N357" s="34" t="s">
        <v>1743</v>
      </c>
      <c r="O357" s="35">
        <v>1</v>
      </c>
      <c r="P357" s="35"/>
      <c r="Q357" s="32"/>
      <c r="S357" s="1">
        <f t="shared" si="231"/>
        <v>1</v>
      </c>
      <c r="T357" s="1">
        <f t="shared" si="232"/>
        <v>0</v>
      </c>
      <c r="U357" s="1">
        <f t="shared" si="233"/>
        <v>0</v>
      </c>
      <c r="V357" s="1">
        <f t="shared" si="234"/>
        <v>0</v>
      </c>
      <c r="W357" s="1">
        <f t="shared" si="235"/>
        <v>0</v>
      </c>
      <c r="X357" s="1">
        <f t="shared" si="236"/>
        <v>0</v>
      </c>
      <c r="Y357" s="1">
        <f t="shared" si="237"/>
        <v>0</v>
      </c>
      <c r="Z357" s="1">
        <f t="shared" si="238"/>
        <v>0</v>
      </c>
      <c r="AA357" s="1">
        <f t="shared" si="239"/>
        <v>0</v>
      </c>
      <c r="AB357" s="1">
        <f t="shared" si="240"/>
        <v>0</v>
      </c>
      <c r="AD357" s="1">
        <f t="shared" si="241"/>
        <v>0</v>
      </c>
      <c r="AE357" s="1">
        <f t="shared" si="242"/>
        <v>1</v>
      </c>
      <c r="AF357" s="1">
        <f t="shared" si="227"/>
        <v>0</v>
      </c>
      <c r="AG357" s="1">
        <f t="shared" si="228"/>
        <v>1</v>
      </c>
      <c r="AH357" s="1">
        <f t="shared" si="229"/>
        <v>0</v>
      </c>
      <c r="AI357" s="1">
        <f t="shared" si="230"/>
        <v>1</v>
      </c>
    </row>
    <row r="358" spans="1:35" s="1" customFormat="1" ht="14.25" customHeight="1" x14ac:dyDescent="0.25">
      <c r="A358" s="31">
        <v>0</v>
      </c>
      <c r="B358" s="31">
        <v>2</v>
      </c>
      <c r="C358" s="31">
        <v>4</v>
      </c>
      <c r="D358" s="32" t="s">
        <v>919</v>
      </c>
      <c r="E358" s="32" t="s">
        <v>912</v>
      </c>
      <c r="F358" s="32" t="s">
        <v>782</v>
      </c>
      <c r="G358" s="32" t="s">
        <v>285</v>
      </c>
      <c r="H358" s="32" t="s">
        <v>354</v>
      </c>
      <c r="I358" s="31" t="s">
        <v>946</v>
      </c>
      <c r="J358" s="31">
        <v>4</v>
      </c>
      <c r="K358" s="33" t="s">
        <v>713</v>
      </c>
      <c r="L358" s="33" t="s">
        <v>696</v>
      </c>
      <c r="M358" s="34" t="s">
        <v>1420</v>
      </c>
      <c r="N358" s="34" t="s">
        <v>1749</v>
      </c>
      <c r="O358" s="35">
        <v>1</v>
      </c>
      <c r="P358" s="35"/>
      <c r="Q358" s="32"/>
      <c r="S358" s="1">
        <f t="shared" si="231"/>
        <v>0</v>
      </c>
      <c r="T358" s="1">
        <f t="shared" si="232"/>
        <v>0</v>
      </c>
      <c r="U358" s="1">
        <f t="shared" si="233"/>
        <v>0</v>
      </c>
      <c r="V358" s="1">
        <f t="shared" si="234"/>
        <v>1</v>
      </c>
      <c r="W358" s="1">
        <f t="shared" si="235"/>
        <v>0</v>
      </c>
      <c r="X358" s="1">
        <f t="shared" si="236"/>
        <v>0</v>
      </c>
      <c r="Y358" s="1">
        <f t="shared" si="237"/>
        <v>0</v>
      </c>
      <c r="Z358" s="1">
        <f t="shared" si="238"/>
        <v>0</v>
      </c>
      <c r="AA358" s="1">
        <f t="shared" si="239"/>
        <v>0</v>
      </c>
      <c r="AB358" s="1">
        <f t="shared" si="240"/>
        <v>0</v>
      </c>
      <c r="AD358" s="1">
        <f t="shared" si="241"/>
        <v>0</v>
      </c>
      <c r="AE358" s="1">
        <f t="shared" si="242"/>
        <v>1</v>
      </c>
      <c r="AF358" s="1">
        <f t="shared" si="227"/>
        <v>0</v>
      </c>
      <c r="AG358" s="1">
        <f t="shared" si="228"/>
        <v>1</v>
      </c>
      <c r="AH358" s="1">
        <f t="shared" si="229"/>
        <v>0</v>
      </c>
      <c r="AI358" s="1">
        <f t="shared" si="230"/>
        <v>1</v>
      </c>
    </row>
    <row r="359" spans="1:35" s="1" customFormat="1" ht="14.25" customHeight="1" x14ac:dyDescent="0.25">
      <c r="A359" s="15">
        <v>0</v>
      </c>
      <c r="B359" s="15">
        <v>2</v>
      </c>
      <c r="C359" s="15">
        <v>4</v>
      </c>
      <c r="D359" s="16" t="s">
        <v>629</v>
      </c>
      <c r="E359" s="16" t="s">
        <v>685</v>
      </c>
      <c r="F359" s="16" t="s">
        <v>670</v>
      </c>
      <c r="G359" s="16" t="s">
        <v>628</v>
      </c>
      <c r="H359" s="16" t="s">
        <v>354</v>
      </c>
      <c r="I359" s="15" t="s">
        <v>630</v>
      </c>
      <c r="J359" s="15">
        <v>99</v>
      </c>
      <c r="K359" s="10" t="s">
        <v>955</v>
      </c>
      <c r="L359" s="10" t="s">
        <v>39</v>
      </c>
      <c r="M359" s="19" t="s">
        <v>39</v>
      </c>
      <c r="N359" s="17"/>
      <c r="Q359" s="20" t="s">
        <v>1897</v>
      </c>
      <c r="S359" s="1">
        <f t="shared" si="231"/>
        <v>0</v>
      </c>
      <c r="T359" s="1">
        <f t="shared" si="232"/>
        <v>0</v>
      </c>
      <c r="U359" s="1">
        <f t="shared" si="233"/>
        <v>0</v>
      </c>
      <c r="V359" s="1">
        <f t="shared" si="234"/>
        <v>0</v>
      </c>
      <c r="W359" s="1">
        <f t="shared" si="235"/>
        <v>0</v>
      </c>
      <c r="X359" s="1">
        <f t="shared" si="236"/>
        <v>0</v>
      </c>
      <c r="Y359" s="1">
        <f t="shared" si="237"/>
        <v>0</v>
      </c>
      <c r="Z359" s="1">
        <f t="shared" si="238"/>
        <v>0</v>
      </c>
      <c r="AA359" s="1">
        <f t="shared" si="239"/>
        <v>0</v>
      </c>
      <c r="AB359" s="1">
        <f t="shared" si="240"/>
        <v>0</v>
      </c>
      <c r="AD359" s="1">
        <f t="shared" si="241"/>
        <v>0</v>
      </c>
      <c r="AE359" s="1">
        <f t="shared" si="242"/>
        <v>0</v>
      </c>
      <c r="AF359" s="1">
        <f t="shared" si="227"/>
        <v>0</v>
      </c>
      <c r="AG359" s="1">
        <f t="shared" si="228"/>
        <v>0</v>
      </c>
      <c r="AH359" s="1">
        <f t="shared" si="229"/>
        <v>0</v>
      </c>
      <c r="AI359" s="1">
        <f t="shared" si="230"/>
        <v>1</v>
      </c>
    </row>
    <row r="360" spans="1:35" s="1" customFormat="1" ht="14.25" customHeight="1" x14ac:dyDescent="0.25">
      <c r="A360" s="31">
        <v>0</v>
      </c>
      <c r="B360" s="31">
        <v>2</v>
      </c>
      <c r="C360" s="31">
        <v>4</v>
      </c>
      <c r="D360" s="32" t="s">
        <v>84</v>
      </c>
      <c r="E360" s="32" t="s">
        <v>35</v>
      </c>
      <c r="F360" s="32" t="s">
        <v>277</v>
      </c>
      <c r="G360" s="32" t="s">
        <v>224</v>
      </c>
      <c r="H360" s="32" t="s">
        <v>354</v>
      </c>
      <c r="I360" s="31" t="s">
        <v>433</v>
      </c>
      <c r="J360" s="31">
        <v>99</v>
      </c>
      <c r="K360" s="33" t="s">
        <v>954</v>
      </c>
      <c r="L360" s="33" t="s">
        <v>704</v>
      </c>
      <c r="M360" s="34" t="s">
        <v>726</v>
      </c>
      <c r="N360" s="34" t="s">
        <v>1761</v>
      </c>
      <c r="O360" s="35">
        <v>1</v>
      </c>
      <c r="P360" s="35"/>
      <c r="Q360" s="32"/>
      <c r="S360" s="1">
        <f t="shared" si="231"/>
        <v>0</v>
      </c>
      <c r="T360" s="1">
        <f t="shared" si="232"/>
        <v>0</v>
      </c>
      <c r="U360" s="1">
        <f t="shared" si="233"/>
        <v>0</v>
      </c>
      <c r="V360" s="1">
        <f t="shared" si="234"/>
        <v>0</v>
      </c>
      <c r="W360" s="1">
        <f t="shared" si="235"/>
        <v>0</v>
      </c>
      <c r="X360" s="1">
        <f t="shared" si="236"/>
        <v>0</v>
      </c>
      <c r="Y360" s="1">
        <f t="shared" si="237"/>
        <v>0</v>
      </c>
      <c r="Z360" s="1">
        <f t="shared" si="238"/>
        <v>0</v>
      </c>
      <c r="AA360" s="1">
        <f t="shared" si="239"/>
        <v>0</v>
      </c>
      <c r="AB360" s="1">
        <f t="shared" si="240"/>
        <v>0</v>
      </c>
      <c r="AD360" s="1">
        <f t="shared" si="241"/>
        <v>0</v>
      </c>
      <c r="AE360" s="1">
        <f t="shared" si="242"/>
        <v>1</v>
      </c>
      <c r="AF360" s="1">
        <f t="shared" si="227"/>
        <v>0</v>
      </c>
      <c r="AG360" s="1">
        <f t="shared" si="228"/>
        <v>1</v>
      </c>
      <c r="AH360" s="1">
        <f t="shared" si="229"/>
        <v>0</v>
      </c>
      <c r="AI360" s="1">
        <f t="shared" si="230"/>
        <v>1</v>
      </c>
    </row>
    <row r="361" spans="1:35" s="1" customFormat="1" ht="14.25" customHeight="1" x14ac:dyDescent="0.25">
      <c r="A361" s="15">
        <v>0</v>
      </c>
      <c r="B361" s="15">
        <v>2</v>
      </c>
      <c r="C361" s="15">
        <v>4</v>
      </c>
      <c r="D361" s="16" t="s">
        <v>879</v>
      </c>
      <c r="E361" s="16" t="s">
        <v>772</v>
      </c>
      <c r="F361" s="16" t="s">
        <v>877</v>
      </c>
      <c r="G361" s="16" t="s">
        <v>279</v>
      </c>
      <c r="H361" s="16" t="s">
        <v>354</v>
      </c>
      <c r="I361" s="15" t="s">
        <v>878</v>
      </c>
      <c r="J361" s="15">
        <v>99</v>
      </c>
      <c r="K361" s="10" t="s">
        <v>703</v>
      </c>
      <c r="L361" s="10">
        <v>25</v>
      </c>
      <c r="M361" s="19" t="s">
        <v>1421</v>
      </c>
      <c r="N361" s="19"/>
      <c r="Q361" s="16"/>
      <c r="S361" s="1">
        <f t="shared" si="231"/>
        <v>0</v>
      </c>
      <c r="T361" s="1">
        <f t="shared" si="232"/>
        <v>0</v>
      </c>
      <c r="U361" s="1">
        <f t="shared" si="233"/>
        <v>0</v>
      </c>
      <c r="V361" s="1">
        <f t="shared" si="234"/>
        <v>0</v>
      </c>
      <c r="W361" s="1">
        <f t="shared" si="235"/>
        <v>0</v>
      </c>
      <c r="X361" s="1">
        <f t="shared" si="236"/>
        <v>0</v>
      </c>
      <c r="Y361" s="1">
        <f t="shared" si="237"/>
        <v>0</v>
      </c>
      <c r="Z361" s="1">
        <f t="shared" si="238"/>
        <v>0</v>
      </c>
      <c r="AA361" s="1">
        <f t="shared" si="239"/>
        <v>0</v>
      </c>
      <c r="AB361" s="1">
        <f t="shared" si="240"/>
        <v>0</v>
      </c>
      <c r="AD361" s="1">
        <f t="shared" si="241"/>
        <v>0</v>
      </c>
      <c r="AE361" s="1">
        <f t="shared" si="242"/>
        <v>0</v>
      </c>
      <c r="AF361" s="1">
        <f t="shared" si="227"/>
        <v>0</v>
      </c>
      <c r="AG361" s="1">
        <f t="shared" si="228"/>
        <v>0</v>
      </c>
      <c r="AH361" s="1">
        <f t="shared" si="229"/>
        <v>0</v>
      </c>
      <c r="AI361" s="1">
        <f t="shared" si="230"/>
        <v>1</v>
      </c>
    </row>
    <row r="362" spans="1:35" s="1" customFormat="1" ht="14.25" customHeight="1" x14ac:dyDescent="0.25">
      <c r="A362" s="31">
        <v>0</v>
      </c>
      <c r="B362" s="31">
        <v>2</v>
      </c>
      <c r="C362" s="31">
        <v>4</v>
      </c>
      <c r="D362" s="32" t="s">
        <v>922</v>
      </c>
      <c r="E362" s="32" t="s">
        <v>772</v>
      </c>
      <c r="F362" s="32" t="s">
        <v>844</v>
      </c>
      <c r="G362" s="32" t="s">
        <v>209</v>
      </c>
      <c r="H362" s="32" t="s">
        <v>354</v>
      </c>
      <c r="I362" s="31" t="s">
        <v>845</v>
      </c>
      <c r="J362" s="31">
        <v>99</v>
      </c>
      <c r="K362" s="33" t="s">
        <v>712</v>
      </c>
      <c r="L362" s="33" t="s">
        <v>704</v>
      </c>
      <c r="M362" s="34" t="s">
        <v>726</v>
      </c>
      <c r="N362" s="34" t="s">
        <v>1756</v>
      </c>
      <c r="O362" s="35">
        <v>1</v>
      </c>
      <c r="P362" s="35"/>
      <c r="Q362" s="32"/>
      <c r="S362" s="1">
        <f t="shared" si="231"/>
        <v>0</v>
      </c>
      <c r="T362" s="1">
        <f t="shared" si="232"/>
        <v>0</v>
      </c>
      <c r="U362" s="1">
        <f t="shared" si="233"/>
        <v>0</v>
      </c>
      <c r="V362" s="1">
        <f t="shared" si="234"/>
        <v>0</v>
      </c>
      <c r="W362" s="1">
        <f t="shared" si="235"/>
        <v>0</v>
      </c>
      <c r="X362" s="1">
        <f t="shared" si="236"/>
        <v>0</v>
      </c>
      <c r="Y362" s="1">
        <f t="shared" si="237"/>
        <v>0</v>
      </c>
      <c r="Z362" s="1">
        <f t="shared" si="238"/>
        <v>0</v>
      </c>
      <c r="AA362" s="1">
        <f t="shared" si="239"/>
        <v>0</v>
      </c>
      <c r="AB362" s="1">
        <f t="shared" si="240"/>
        <v>0</v>
      </c>
      <c r="AD362" s="1">
        <f t="shared" ref="AD362:AD364" si="243">+O362*P362</f>
        <v>0</v>
      </c>
      <c r="AE362" s="1">
        <f t="shared" ref="AE362:AE364" si="244">O362*(1-P362)</f>
        <v>1</v>
      </c>
      <c r="AF362" s="1">
        <f t="shared" ref="AF362:AF364" si="245">+O362*P362*(1-A362)</f>
        <v>0</v>
      </c>
      <c r="AG362" s="1">
        <f t="shared" ref="AG362:AG364" si="246">O362*(1-P362)*(1-A362)</f>
        <v>1</v>
      </c>
      <c r="AH362" s="1">
        <f t="shared" ref="AH362:AH364" si="247">+P362*(1-A362)</f>
        <v>0</v>
      </c>
      <c r="AI362" s="1">
        <f t="shared" ref="AI362:AI364" si="248">+(1-A362)*(1-P362)</f>
        <v>1</v>
      </c>
    </row>
    <row r="363" spans="1:35" s="1" customFormat="1" ht="14.25" customHeight="1" x14ac:dyDescent="0.25">
      <c r="A363" s="15">
        <v>0</v>
      </c>
      <c r="B363" s="15">
        <v>2</v>
      </c>
      <c r="C363" s="15">
        <v>4</v>
      </c>
      <c r="D363" s="16" t="s">
        <v>2029</v>
      </c>
      <c r="E363" s="16" t="s">
        <v>35</v>
      </c>
      <c r="F363" s="16" t="s">
        <v>2030</v>
      </c>
      <c r="G363" s="20" t="s">
        <v>209</v>
      </c>
      <c r="H363" s="20" t="s">
        <v>354</v>
      </c>
      <c r="I363" s="21" t="s">
        <v>2031</v>
      </c>
      <c r="J363" s="15">
        <v>99</v>
      </c>
      <c r="K363" s="10" t="s">
        <v>703</v>
      </c>
      <c r="L363" s="10">
        <v>25</v>
      </c>
      <c r="M363" s="19" t="s">
        <v>2033</v>
      </c>
      <c r="N363" s="19"/>
      <c r="Q363" s="16" t="s">
        <v>2032</v>
      </c>
      <c r="S363" s="1">
        <f t="shared" si="231"/>
        <v>0</v>
      </c>
      <c r="T363" s="1">
        <f t="shared" si="232"/>
        <v>0</v>
      </c>
      <c r="U363" s="1">
        <f t="shared" si="233"/>
        <v>0</v>
      </c>
      <c r="V363" s="1">
        <f t="shared" si="234"/>
        <v>0</v>
      </c>
      <c r="W363" s="1">
        <f t="shared" si="235"/>
        <v>0</v>
      </c>
      <c r="X363" s="1">
        <f t="shared" si="236"/>
        <v>0</v>
      </c>
      <c r="Y363" s="1">
        <f t="shared" si="237"/>
        <v>0</v>
      </c>
      <c r="Z363" s="1">
        <f t="shared" si="238"/>
        <v>0</v>
      </c>
      <c r="AA363" s="1">
        <f t="shared" si="239"/>
        <v>0</v>
      </c>
      <c r="AB363" s="1">
        <f t="shared" si="240"/>
        <v>0</v>
      </c>
      <c r="AD363" s="1">
        <f t="shared" si="243"/>
        <v>0</v>
      </c>
      <c r="AE363" s="1">
        <f t="shared" si="244"/>
        <v>0</v>
      </c>
      <c r="AF363" s="1">
        <f t="shared" si="245"/>
        <v>0</v>
      </c>
      <c r="AG363" s="1">
        <f t="shared" si="246"/>
        <v>0</v>
      </c>
      <c r="AH363" s="1">
        <f t="shared" si="247"/>
        <v>0</v>
      </c>
      <c r="AI363" s="1">
        <f t="shared" si="248"/>
        <v>1</v>
      </c>
    </row>
    <row r="364" spans="1:35" s="1" customFormat="1" ht="14.25" customHeight="1" x14ac:dyDescent="0.25">
      <c r="A364" s="44">
        <v>0</v>
      </c>
      <c r="B364" s="44">
        <v>2</v>
      </c>
      <c r="C364" s="44">
        <v>4</v>
      </c>
      <c r="D364" s="45" t="s">
        <v>1223</v>
      </c>
      <c r="E364" s="45" t="s">
        <v>1222</v>
      </c>
      <c r="F364" s="45" t="s">
        <v>1224</v>
      </c>
      <c r="G364" s="45" t="s">
        <v>535</v>
      </c>
      <c r="H364" s="45" t="s">
        <v>354</v>
      </c>
      <c r="I364" s="44" t="s">
        <v>1225</v>
      </c>
      <c r="J364" s="44">
        <v>99</v>
      </c>
      <c r="K364" s="46" t="s">
        <v>713</v>
      </c>
      <c r="L364" s="46" t="s">
        <v>694</v>
      </c>
      <c r="M364" s="47" t="s">
        <v>1422</v>
      </c>
      <c r="N364" s="47" t="s">
        <v>1747</v>
      </c>
      <c r="O364" s="48"/>
      <c r="P364" s="48"/>
      <c r="Q364" s="45"/>
      <c r="S364" s="1">
        <f t="shared" si="231"/>
        <v>0</v>
      </c>
      <c r="T364" s="1">
        <f t="shared" si="232"/>
        <v>0</v>
      </c>
      <c r="U364" s="1">
        <f t="shared" si="233"/>
        <v>0</v>
      </c>
      <c r="V364" s="1">
        <f t="shared" si="234"/>
        <v>0</v>
      </c>
      <c r="W364" s="1">
        <f t="shared" si="235"/>
        <v>0</v>
      </c>
      <c r="X364" s="1">
        <f t="shared" si="236"/>
        <v>0</v>
      </c>
      <c r="Y364" s="1">
        <f t="shared" si="237"/>
        <v>0</v>
      </c>
      <c r="Z364" s="1">
        <f t="shared" si="238"/>
        <v>0</v>
      </c>
      <c r="AA364" s="1">
        <f t="shared" si="239"/>
        <v>0</v>
      </c>
      <c r="AB364" s="1">
        <f t="shared" si="240"/>
        <v>0</v>
      </c>
      <c r="AD364" s="1">
        <f t="shared" si="243"/>
        <v>0</v>
      </c>
      <c r="AE364" s="1">
        <f t="shared" si="244"/>
        <v>0</v>
      </c>
      <c r="AF364" s="1">
        <f t="shared" si="245"/>
        <v>0</v>
      </c>
      <c r="AG364" s="1">
        <f t="shared" si="246"/>
        <v>0</v>
      </c>
      <c r="AH364" s="1">
        <f t="shared" si="247"/>
        <v>0</v>
      </c>
      <c r="AI364" s="1">
        <f t="shared" si="248"/>
        <v>1</v>
      </c>
    </row>
    <row r="365" spans="1:35" s="1" customFormat="1" ht="14.25" customHeight="1" x14ac:dyDescent="0.25">
      <c r="A365" s="31">
        <v>0</v>
      </c>
      <c r="B365" s="31">
        <v>2</v>
      </c>
      <c r="C365" s="31">
        <v>4</v>
      </c>
      <c r="D365" s="32" t="s">
        <v>823</v>
      </c>
      <c r="E365" s="32" t="s">
        <v>590</v>
      </c>
      <c r="F365" s="32" t="s">
        <v>824</v>
      </c>
      <c r="G365" s="32" t="s">
        <v>937</v>
      </c>
      <c r="H365" s="32" t="s">
        <v>354</v>
      </c>
      <c r="I365" s="31" t="s">
        <v>951</v>
      </c>
      <c r="J365" s="31">
        <v>7</v>
      </c>
      <c r="K365" s="33" t="s">
        <v>712</v>
      </c>
      <c r="L365" s="33" t="s">
        <v>39</v>
      </c>
      <c r="M365" s="34" t="s">
        <v>39</v>
      </c>
      <c r="N365" s="34" t="s">
        <v>1727</v>
      </c>
      <c r="O365" s="35">
        <v>1</v>
      </c>
      <c r="P365" s="35">
        <v>1</v>
      </c>
      <c r="Q365" s="32"/>
      <c r="S365" s="1">
        <f t="shared" si="231"/>
        <v>0</v>
      </c>
      <c r="T365" s="1">
        <f t="shared" si="232"/>
        <v>0</v>
      </c>
      <c r="U365" s="1">
        <f t="shared" si="233"/>
        <v>0</v>
      </c>
      <c r="V365" s="1">
        <f t="shared" si="234"/>
        <v>0</v>
      </c>
      <c r="W365" s="1">
        <f t="shared" si="235"/>
        <v>0</v>
      </c>
      <c r="X365" s="1">
        <f t="shared" si="236"/>
        <v>0</v>
      </c>
      <c r="Y365" s="1">
        <f t="shared" si="237"/>
        <v>1</v>
      </c>
      <c r="Z365" s="1">
        <f t="shared" si="238"/>
        <v>0</v>
      </c>
      <c r="AA365" s="1">
        <f t="shared" si="239"/>
        <v>0</v>
      </c>
      <c r="AB365" s="1">
        <f t="shared" si="240"/>
        <v>0</v>
      </c>
      <c r="AD365" s="1">
        <f t="shared" si="241"/>
        <v>1</v>
      </c>
      <c r="AE365" s="1">
        <f t="shared" si="242"/>
        <v>0</v>
      </c>
      <c r="AF365" s="1">
        <f t="shared" si="227"/>
        <v>1</v>
      </c>
      <c r="AG365" s="1">
        <f t="shared" si="228"/>
        <v>0</v>
      </c>
      <c r="AH365" s="1">
        <f t="shared" si="229"/>
        <v>1</v>
      </c>
      <c r="AI365" s="1">
        <f t="shared" si="230"/>
        <v>0</v>
      </c>
    </row>
    <row r="366" spans="1:35" s="1" customFormat="1" ht="14.25" customHeight="1" x14ac:dyDescent="0.25">
      <c r="A366" s="44">
        <v>0</v>
      </c>
      <c r="B366" s="44">
        <v>2</v>
      </c>
      <c r="C366" s="44">
        <v>4</v>
      </c>
      <c r="D366" s="45" t="s">
        <v>1605</v>
      </c>
      <c r="E366" s="45" t="s">
        <v>1655</v>
      </c>
      <c r="F366" s="45" t="s">
        <v>1606</v>
      </c>
      <c r="G366" s="45" t="s">
        <v>333</v>
      </c>
      <c r="H366" s="45" t="s">
        <v>354</v>
      </c>
      <c r="I366" s="44" t="s">
        <v>30</v>
      </c>
      <c r="J366" s="44">
        <v>99</v>
      </c>
      <c r="K366" s="46" t="s">
        <v>713</v>
      </c>
      <c r="L366" s="46">
        <v>20</v>
      </c>
      <c r="M366" s="47" t="s">
        <v>39</v>
      </c>
      <c r="N366" s="47" t="s">
        <v>1741</v>
      </c>
      <c r="O366" s="48"/>
      <c r="P366" s="48"/>
      <c r="Q366" s="45"/>
      <c r="S366" s="1">
        <f t="shared" si="231"/>
        <v>0</v>
      </c>
      <c r="T366" s="1">
        <f t="shared" si="232"/>
        <v>0</v>
      </c>
      <c r="U366" s="1">
        <f t="shared" si="233"/>
        <v>0</v>
      </c>
      <c r="V366" s="1">
        <f t="shared" si="234"/>
        <v>0</v>
      </c>
      <c r="W366" s="1">
        <f t="shared" si="235"/>
        <v>0</v>
      </c>
      <c r="X366" s="1">
        <f t="shared" si="236"/>
        <v>0</v>
      </c>
      <c r="Y366" s="1">
        <f t="shared" si="237"/>
        <v>0</v>
      </c>
      <c r="Z366" s="1">
        <f t="shared" si="238"/>
        <v>0</v>
      </c>
      <c r="AA366" s="1">
        <f t="shared" si="239"/>
        <v>0</v>
      </c>
      <c r="AB366" s="1">
        <f t="shared" si="240"/>
        <v>0</v>
      </c>
      <c r="AD366" s="1">
        <f t="shared" ref="AD366:AD369" si="249">+O366*P366</f>
        <v>0</v>
      </c>
      <c r="AE366" s="1">
        <f t="shared" ref="AE366:AE369" si="250">O366*(1-P366)</f>
        <v>0</v>
      </c>
      <c r="AF366" s="1">
        <f t="shared" ref="AF366:AF369" si="251">+O366*P366*(1-A366)</f>
        <v>0</v>
      </c>
      <c r="AG366" s="1">
        <f t="shared" ref="AG366:AG369" si="252">O366*(1-P366)*(1-A366)</f>
        <v>0</v>
      </c>
      <c r="AH366" s="1">
        <f t="shared" ref="AH366:AH369" si="253">+P366*(1-A366)</f>
        <v>0</v>
      </c>
      <c r="AI366" s="1">
        <f t="shared" ref="AI366:AI369" si="254">+(1-A366)*(1-P366)</f>
        <v>1</v>
      </c>
    </row>
    <row r="367" spans="1:35" s="1" customFormat="1" ht="14.25" customHeight="1" x14ac:dyDescent="0.25">
      <c r="A367" s="31">
        <v>0</v>
      </c>
      <c r="B367" s="31">
        <v>2</v>
      </c>
      <c r="C367" s="31">
        <v>5</v>
      </c>
      <c r="D367" s="32" t="s">
        <v>58</v>
      </c>
      <c r="E367" s="32" t="s">
        <v>44</v>
      </c>
      <c r="F367" s="32" t="s">
        <v>671</v>
      </c>
      <c r="G367" s="32" t="s">
        <v>223</v>
      </c>
      <c r="H367" s="32" t="s">
        <v>354</v>
      </c>
      <c r="I367" s="31" t="s">
        <v>397</v>
      </c>
      <c r="J367" s="31">
        <v>8</v>
      </c>
      <c r="K367" s="33" t="s">
        <v>713</v>
      </c>
      <c r="L367" s="33" t="s">
        <v>716</v>
      </c>
      <c r="M367" s="34" t="s">
        <v>1423</v>
      </c>
      <c r="N367" s="34" t="s">
        <v>1748</v>
      </c>
      <c r="O367" s="35">
        <v>1</v>
      </c>
      <c r="P367" s="35"/>
      <c r="Q367" s="32"/>
      <c r="S367" s="1">
        <f t="shared" si="231"/>
        <v>0</v>
      </c>
      <c r="T367" s="1">
        <f t="shared" si="232"/>
        <v>0</v>
      </c>
      <c r="U367" s="1">
        <f t="shared" si="233"/>
        <v>0</v>
      </c>
      <c r="V367" s="1">
        <f t="shared" si="234"/>
        <v>0</v>
      </c>
      <c r="W367" s="1">
        <f t="shared" si="235"/>
        <v>0</v>
      </c>
      <c r="X367" s="1">
        <f t="shared" si="236"/>
        <v>0</v>
      </c>
      <c r="Y367" s="1">
        <f t="shared" si="237"/>
        <v>0</v>
      </c>
      <c r="Z367" s="1">
        <f t="shared" si="238"/>
        <v>1</v>
      </c>
      <c r="AA367" s="1">
        <f t="shared" si="239"/>
        <v>0</v>
      </c>
      <c r="AB367" s="1">
        <f t="shared" si="240"/>
        <v>0</v>
      </c>
      <c r="AD367" s="1">
        <f t="shared" si="249"/>
        <v>0</v>
      </c>
      <c r="AE367" s="1">
        <f t="shared" si="250"/>
        <v>1</v>
      </c>
      <c r="AF367" s="1">
        <f t="shared" si="251"/>
        <v>0</v>
      </c>
      <c r="AG367" s="1">
        <f t="shared" si="252"/>
        <v>1</v>
      </c>
      <c r="AH367" s="1">
        <f t="shared" si="253"/>
        <v>0</v>
      </c>
      <c r="AI367" s="1">
        <f t="shared" si="254"/>
        <v>1</v>
      </c>
    </row>
    <row r="368" spans="1:35" s="1" customFormat="1" ht="14.25" customHeight="1" x14ac:dyDescent="0.25">
      <c r="A368" s="44">
        <v>0</v>
      </c>
      <c r="B368" s="44">
        <v>2</v>
      </c>
      <c r="C368" s="44">
        <v>5</v>
      </c>
      <c r="D368" s="45" t="s">
        <v>832</v>
      </c>
      <c r="E368" s="45" t="s">
        <v>831</v>
      </c>
      <c r="F368" s="45" t="s">
        <v>924</v>
      </c>
      <c r="G368" s="45" t="s">
        <v>213</v>
      </c>
      <c r="H368" s="45" t="s">
        <v>354</v>
      </c>
      <c r="I368" s="44" t="s">
        <v>833</v>
      </c>
      <c r="J368" s="44">
        <v>1</v>
      </c>
      <c r="K368" s="46" t="s">
        <v>712</v>
      </c>
      <c r="L368" s="46" t="s">
        <v>693</v>
      </c>
      <c r="M368" s="47" t="s">
        <v>1424</v>
      </c>
      <c r="N368" s="47" t="s">
        <v>1735</v>
      </c>
      <c r="O368" s="48"/>
      <c r="P368" s="48"/>
      <c r="Q368" s="45"/>
      <c r="S368" s="1">
        <f t="shared" si="231"/>
        <v>1</v>
      </c>
      <c r="T368" s="1">
        <f t="shared" si="232"/>
        <v>0</v>
      </c>
      <c r="U368" s="1">
        <f t="shared" si="233"/>
        <v>0</v>
      </c>
      <c r="V368" s="1">
        <f t="shared" si="234"/>
        <v>0</v>
      </c>
      <c r="W368" s="1">
        <f t="shared" si="235"/>
        <v>0</v>
      </c>
      <c r="X368" s="1">
        <f t="shared" si="236"/>
        <v>0</v>
      </c>
      <c r="Y368" s="1">
        <f t="shared" si="237"/>
        <v>0</v>
      </c>
      <c r="Z368" s="1">
        <f t="shared" si="238"/>
        <v>0</v>
      </c>
      <c r="AA368" s="1">
        <f t="shared" si="239"/>
        <v>0</v>
      </c>
      <c r="AB368" s="1">
        <f t="shared" si="240"/>
        <v>0</v>
      </c>
      <c r="AD368" s="1">
        <f t="shared" si="249"/>
        <v>0</v>
      </c>
      <c r="AE368" s="1">
        <f t="shared" si="250"/>
        <v>0</v>
      </c>
      <c r="AF368" s="1">
        <f t="shared" si="251"/>
        <v>0</v>
      </c>
      <c r="AG368" s="1">
        <f t="shared" si="252"/>
        <v>0</v>
      </c>
      <c r="AH368" s="1">
        <f t="shared" si="253"/>
        <v>0</v>
      </c>
      <c r="AI368" s="1">
        <f t="shared" si="254"/>
        <v>1</v>
      </c>
    </row>
    <row r="369" spans="1:4094 4097:8191 8194:12288 12291:16384" s="1" customFormat="1" ht="14.25" customHeight="1" x14ac:dyDescent="0.25">
      <c r="A369" s="31">
        <v>0</v>
      </c>
      <c r="B369" s="31">
        <v>2</v>
      </c>
      <c r="C369" s="31">
        <v>5</v>
      </c>
      <c r="D369" s="36" t="s">
        <v>2062</v>
      </c>
      <c r="E369" s="36" t="s">
        <v>170</v>
      </c>
      <c r="F369" s="36" t="s">
        <v>2063</v>
      </c>
      <c r="G369" s="36" t="s">
        <v>1534</v>
      </c>
      <c r="H369" s="36" t="s">
        <v>354</v>
      </c>
      <c r="I369" s="37" t="s">
        <v>2064</v>
      </c>
      <c r="J369" s="31">
        <v>5</v>
      </c>
      <c r="K369" s="33" t="s">
        <v>703</v>
      </c>
      <c r="L369" s="33"/>
      <c r="M369" s="34"/>
      <c r="N369" s="34" t="s">
        <v>1727</v>
      </c>
      <c r="O369" s="35">
        <v>1</v>
      </c>
      <c r="P369" s="35">
        <v>1</v>
      </c>
      <c r="Q369" s="36" t="s">
        <v>2065</v>
      </c>
      <c r="S369" s="1">
        <f t="shared" si="231"/>
        <v>0</v>
      </c>
      <c r="T369" s="1">
        <f t="shared" si="232"/>
        <v>0</v>
      </c>
      <c r="U369" s="1">
        <f t="shared" si="233"/>
        <v>0</v>
      </c>
      <c r="V369" s="1">
        <f t="shared" si="234"/>
        <v>0</v>
      </c>
      <c r="W369" s="1">
        <f t="shared" si="235"/>
        <v>1</v>
      </c>
      <c r="X369" s="1">
        <f t="shared" si="236"/>
        <v>0</v>
      </c>
      <c r="Y369" s="1">
        <f t="shared" si="237"/>
        <v>0</v>
      </c>
      <c r="Z369" s="1">
        <f t="shared" si="238"/>
        <v>0</v>
      </c>
      <c r="AA369" s="1">
        <f t="shared" si="239"/>
        <v>0</v>
      </c>
      <c r="AB369" s="1">
        <f t="shared" si="240"/>
        <v>0</v>
      </c>
      <c r="AD369" s="1">
        <f t="shared" si="249"/>
        <v>1</v>
      </c>
      <c r="AE369" s="1">
        <f t="shared" si="250"/>
        <v>0</v>
      </c>
      <c r="AF369" s="1">
        <f t="shared" si="251"/>
        <v>1</v>
      </c>
      <c r="AG369" s="1">
        <f t="shared" si="252"/>
        <v>0</v>
      </c>
      <c r="AH369" s="1">
        <f t="shared" si="253"/>
        <v>1</v>
      </c>
      <c r="AI369" s="1">
        <f t="shared" si="254"/>
        <v>0</v>
      </c>
    </row>
    <row r="370" spans="1:4094 4097:8191 8194:12288 12291:16384" s="1" customFormat="1" ht="14.25" customHeight="1" x14ac:dyDescent="0.25">
      <c r="A370" s="31">
        <v>0</v>
      </c>
      <c r="B370" s="31">
        <v>2</v>
      </c>
      <c r="C370" s="31">
        <v>5</v>
      </c>
      <c r="D370" s="32" t="s">
        <v>65</v>
      </c>
      <c r="E370" s="32" t="s">
        <v>164</v>
      </c>
      <c r="F370" s="32" t="s">
        <v>547</v>
      </c>
      <c r="G370" s="32" t="s">
        <v>194</v>
      </c>
      <c r="H370" s="32" t="s">
        <v>354</v>
      </c>
      <c r="I370" s="31" t="s">
        <v>552</v>
      </c>
      <c r="J370" s="31">
        <v>9</v>
      </c>
      <c r="K370" s="33" t="s">
        <v>713</v>
      </c>
      <c r="L370" s="33" t="s">
        <v>687</v>
      </c>
      <c r="M370" s="34" t="s">
        <v>1443</v>
      </c>
      <c r="N370" s="34" t="s">
        <v>1761</v>
      </c>
      <c r="O370" s="35">
        <v>1</v>
      </c>
      <c r="P370" s="35"/>
      <c r="Q370" s="32"/>
      <c r="S370" s="1">
        <f t="shared" si="231"/>
        <v>0</v>
      </c>
      <c r="T370" s="1">
        <f t="shared" si="232"/>
        <v>0</v>
      </c>
      <c r="U370" s="1">
        <f t="shared" si="233"/>
        <v>0</v>
      </c>
      <c r="V370" s="1">
        <f t="shared" si="234"/>
        <v>0</v>
      </c>
      <c r="W370" s="1">
        <f t="shared" si="235"/>
        <v>0</v>
      </c>
      <c r="X370" s="1">
        <f t="shared" si="236"/>
        <v>0</v>
      </c>
      <c r="Y370" s="1">
        <f t="shared" si="237"/>
        <v>0</v>
      </c>
      <c r="Z370" s="1">
        <f t="shared" si="238"/>
        <v>0</v>
      </c>
      <c r="AA370" s="1">
        <f t="shared" si="239"/>
        <v>1</v>
      </c>
      <c r="AB370" s="1">
        <f t="shared" si="240"/>
        <v>0</v>
      </c>
      <c r="AD370" s="1">
        <f t="shared" si="241"/>
        <v>0</v>
      </c>
      <c r="AE370" s="1">
        <f t="shared" si="242"/>
        <v>1</v>
      </c>
      <c r="AF370" s="1">
        <f t="shared" si="227"/>
        <v>0</v>
      </c>
      <c r="AG370" s="1">
        <f t="shared" si="228"/>
        <v>1</v>
      </c>
      <c r="AH370" s="1">
        <f t="shared" si="229"/>
        <v>0</v>
      </c>
      <c r="AI370" s="1">
        <f t="shared" si="230"/>
        <v>1</v>
      </c>
    </row>
    <row r="371" spans="1:4094 4097:8191 8194:12288 12291:16384" s="1" customFormat="1" ht="14.25" customHeight="1" x14ac:dyDescent="0.25">
      <c r="A371" s="44">
        <v>0</v>
      </c>
      <c r="B371" s="44">
        <v>2</v>
      </c>
      <c r="C371" s="44">
        <v>5</v>
      </c>
      <c r="D371" s="45" t="s">
        <v>1486</v>
      </c>
      <c r="E371" s="45" t="s">
        <v>35</v>
      </c>
      <c r="F371" s="65" t="s">
        <v>1873</v>
      </c>
      <c r="G371" s="45" t="s">
        <v>222</v>
      </c>
      <c r="H371" s="45" t="s">
        <v>354</v>
      </c>
      <c r="I371" s="44" t="s">
        <v>1686</v>
      </c>
      <c r="J371" s="44">
        <v>99</v>
      </c>
      <c r="K371" s="46" t="s">
        <v>713</v>
      </c>
      <c r="L371" s="46">
        <v>25</v>
      </c>
      <c r="M371" s="47" t="s">
        <v>39</v>
      </c>
      <c r="N371" s="47" t="s">
        <v>1737</v>
      </c>
      <c r="O371" s="48"/>
      <c r="P371" s="48"/>
      <c r="Q371" s="45"/>
      <c r="S371" s="1">
        <f t="shared" si="231"/>
        <v>0</v>
      </c>
      <c r="T371" s="1">
        <f t="shared" si="232"/>
        <v>0</v>
      </c>
      <c r="U371" s="1">
        <f t="shared" si="233"/>
        <v>0</v>
      </c>
      <c r="V371" s="1">
        <f t="shared" si="234"/>
        <v>0</v>
      </c>
      <c r="W371" s="1">
        <f t="shared" si="235"/>
        <v>0</v>
      </c>
      <c r="X371" s="1">
        <f t="shared" si="236"/>
        <v>0</v>
      </c>
      <c r="Y371" s="1">
        <f t="shared" si="237"/>
        <v>0</v>
      </c>
      <c r="Z371" s="1">
        <f t="shared" si="238"/>
        <v>0</v>
      </c>
      <c r="AA371" s="1">
        <f t="shared" si="239"/>
        <v>0</v>
      </c>
      <c r="AB371" s="1">
        <f t="shared" si="240"/>
        <v>0</v>
      </c>
      <c r="AD371" s="1">
        <f t="shared" si="241"/>
        <v>0</v>
      </c>
      <c r="AE371" s="1">
        <f t="shared" si="242"/>
        <v>0</v>
      </c>
      <c r="AF371" s="1">
        <f t="shared" si="227"/>
        <v>0</v>
      </c>
      <c r="AG371" s="1">
        <f t="shared" si="228"/>
        <v>0</v>
      </c>
      <c r="AH371" s="1">
        <f t="shared" si="229"/>
        <v>0</v>
      </c>
      <c r="AI371" s="1">
        <f t="shared" si="230"/>
        <v>1</v>
      </c>
    </row>
    <row r="372" spans="1:4094 4097:8191 8194:12288 12291:16384" s="1" customFormat="1" ht="14.25" customHeight="1" x14ac:dyDescent="0.25">
      <c r="A372" s="44">
        <v>0</v>
      </c>
      <c r="B372" s="44">
        <v>2</v>
      </c>
      <c r="C372" s="44">
        <v>5</v>
      </c>
      <c r="D372" s="45" t="s">
        <v>1819</v>
      </c>
      <c r="E372" s="45" t="s">
        <v>772</v>
      </c>
      <c r="F372" s="45" t="s">
        <v>1820</v>
      </c>
      <c r="G372" s="45" t="s">
        <v>224</v>
      </c>
      <c r="H372" s="45" t="s">
        <v>354</v>
      </c>
      <c r="I372" s="44" t="s">
        <v>1821</v>
      </c>
      <c r="J372" s="44">
        <v>99</v>
      </c>
      <c r="K372" s="46" t="s">
        <v>1822</v>
      </c>
      <c r="L372" s="46">
        <v>40</v>
      </c>
      <c r="M372" s="47" t="s">
        <v>1823</v>
      </c>
      <c r="N372" s="47" t="s">
        <v>1809</v>
      </c>
      <c r="O372" s="48"/>
      <c r="P372" s="48"/>
      <c r="Q372" s="45"/>
      <c r="S372" s="1">
        <f t="shared" si="231"/>
        <v>0</v>
      </c>
      <c r="T372" s="1">
        <f t="shared" si="232"/>
        <v>0</v>
      </c>
      <c r="U372" s="1">
        <f t="shared" si="233"/>
        <v>0</v>
      </c>
      <c r="V372" s="1">
        <f t="shared" si="234"/>
        <v>0</v>
      </c>
      <c r="W372" s="1">
        <f t="shared" si="235"/>
        <v>0</v>
      </c>
      <c r="X372" s="1">
        <f t="shared" si="236"/>
        <v>0</v>
      </c>
      <c r="Y372" s="1">
        <f t="shared" si="237"/>
        <v>0</v>
      </c>
      <c r="Z372" s="1">
        <f t="shared" si="238"/>
        <v>0</v>
      </c>
      <c r="AA372" s="1">
        <f t="shared" si="239"/>
        <v>0</v>
      </c>
      <c r="AB372" s="1">
        <f t="shared" si="240"/>
        <v>0</v>
      </c>
      <c r="AD372" s="1">
        <f t="shared" si="241"/>
        <v>0</v>
      </c>
      <c r="AE372" s="1">
        <f t="shared" si="242"/>
        <v>0</v>
      </c>
      <c r="AF372" s="1">
        <f t="shared" si="227"/>
        <v>0</v>
      </c>
      <c r="AG372" s="1">
        <f t="shared" si="228"/>
        <v>0</v>
      </c>
      <c r="AH372" s="1">
        <f t="shared" si="229"/>
        <v>0</v>
      </c>
      <c r="AI372" s="1">
        <f t="shared" si="230"/>
        <v>1</v>
      </c>
    </row>
    <row r="373" spans="1:4094 4097:8191 8194:12288 12291:16384" s="1" customFormat="1" ht="14.25" customHeight="1" x14ac:dyDescent="0.25">
      <c r="A373" s="31">
        <v>0</v>
      </c>
      <c r="B373" s="31">
        <v>2</v>
      </c>
      <c r="C373" s="31">
        <v>5</v>
      </c>
      <c r="D373" s="32" t="s">
        <v>616</v>
      </c>
      <c r="E373" s="32" t="s">
        <v>686</v>
      </c>
      <c r="F373" s="32" t="s">
        <v>617</v>
      </c>
      <c r="G373" s="32" t="s">
        <v>287</v>
      </c>
      <c r="H373" s="32" t="s">
        <v>354</v>
      </c>
      <c r="I373" s="31" t="s">
        <v>618</v>
      </c>
      <c r="J373" s="31">
        <v>99</v>
      </c>
      <c r="K373" s="33" t="s">
        <v>712</v>
      </c>
      <c r="L373" s="33" t="s">
        <v>704</v>
      </c>
      <c r="M373" s="34" t="s">
        <v>1425</v>
      </c>
      <c r="N373" s="34" t="s">
        <v>1743</v>
      </c>
      <c r="O373" s="35">
        <v>1</v>
      </c>
      <c r="P373" s="35"/>
      <c r="Q373" s="32"/>
      <c r="S373" s="1">
        <f t="shared" si="231"/>
        <v>0</v>
      </c>
      <c r="T373" s="1">
        <f t="shared" si="232"/>
        <v>0</v>
      </c>
      <c r="U373" s="1">
        <f t="shared" si="233"/>
        <v>0</v>
      </c>
      <c r="V373" s="1">
        <f t="shared" si="234"/>
        <v>0</v>
      </c>
      <c r="W373" s="1">
        <f t="shared" si="235"/>
        <v>0</v>
      </c>
      <c r="X373" s="1">
        <f t="shared" si="236"/>
        <v>0</v>
      </c>
      <c r="Y373" s="1">
        <f t="shared" si="237"/>
        <v>0</v>
      </c>
      <c r="Z373" s="1">
        <f t="shared" si="238"/>
        <v>0</v>
      </c>
      <c r="AA373" s="1">
        <f t="shared" si="239"/>
        <v>0</v>
      </c>
      <c r="AB373" s="1">
        <f t="shared" si="240"/>
        <v>0</v>
      </c>
      <c r="AD373" s="1">
        <f t="shared" si="241"/>
        <v>0</v>
      </c>
      <c r="AE373" s="1">
        <f t="shared" si="242"/>
        <v>1</v>
      </c>
      <c r="AF373" s="1">
        <f t="shared" si="227"/>
        <v>0</v>
      </c>
      <c r="AG373" s="1">
        <f t="shared" si="228"/>
        <v>1</v>
      </c>
      <c r="AH373" s="1">
        <f t="shared" si="229"/>
        <v>0</v>
      </c>
      <c r="AI373" s="1">
        <f t="shared" si="230"/>
        <v>1</v>
      </c>
    </row>
    <row r="374" spans="1:4094 4097:8191 8194:12288 12291:16384" s="1" customFormat="1" ht="14.25" customHeight="1" x14ac:dyDescent="0.25">
      <c r="A374" s="44">
        <v>0</v>
      </c>
      <c r="B374" s="44">
        <v>2</v>
      </c>
      <c r="C374" s="44">
        <v>5</v>
      </c>
      <c r="D374" s="45" t="s">
        <v>1488</v>
      </c>
      <c r="E374" s="45" t="s">
        <v>772</v>
      </c>
      <c r="F374" s="45" t="s">
        <v>1489</v>
      </c>
      <c r="G374" s="45" t="s">
        <v>196</v>
      </c>
      <c r="H374" s="45" t="s">
        <v>354</v>
      </c>
      <c r="I374" s="44" t="s">
        <v>1490</v>
      </c>
      <c r="J374" s="44">
        <v>99</v>
      </c>
      <c r="K374" s="46" t="s">
        <v>954</v>
      </c>
      <c r="L374" s="46" t="s">
        <v>693</v>
      </c>
      <c r="M374" s="47" t="s">
        <v>1416</v>
      </c>
      <c r="N374" s="47" t="s">
        <v>1735</v>
      </c>
      <c r="O374" s="48"/>
      <c r="P374" s="48"/>
      <c r="Q374" s="45"/>
      <c r="R374" s="15"/>
      <c r="S374" s="15">
        <f t="shared" si="231"/>
        <v>0</v>
      </c>
      <c r="T374" s="15">
        <f t="shared" si="232"/>
        <v>0</v>
      </c>
      <c r="U374" s="15">
        <f t="shared" si="233"/>
        <v>0</v>
      </c>
      <c r="V374" s="15">
        <f t="shared" si="234"/>
        <v>0</v>
      </c>
      <c r="W374" s="15">
        <f t="shared" si="235"/>
        <v>0</v>
      </c>
      <c r="X374" s="15">
        <f t="shared" si="236"/>
        <v>0</v>
      </c>
      <c r="Y374" s="15">
        <f t="shared" si="237"/>
        <v>0</v>
      </c>
      <c r="Z374" s="15">
        <f t="shared" si="238"/>
        <v>0</v>
      </c>
      <c r="AA374" s="15">
        <f t="shared" si="239"/>
        <v>0</v>
      </c>
      <c r="AB374" s="10">
        <f t="shared" si="240"/>
        <v>0</v>
      </c>
      <c r="AC374" s="10"/>
      <c r="AD374" s="21">
        <f t="shared" si="241"/>
        <v>0</v>
      </c>
      <c r="AE374" s="21">
        <f t="shared" si="242"/>
        <v>0</v>
      </c>
      <c r="AF374" s="1">
        <f t="shared" si="227"/>
        <v>0</v>
      </c>
      <c r="AG374" s="1">
        <f t="shared" si="228"/>
        <v>0</v>
      </c>
      <c r="AH374" s="21">
        <f t="shared" si="229"/>
        <v>0</v>
      </c>
      <c r="AI374" s="15">
        <f t="shared" si="230"/>
        <v>1</v>
      </c>
      <c r="AJ374" s="15"/>
      <c r="AK374" s="15"/>
      <c r="AL374" s="15"/>
      <c r="AM374" s="15"/>
      <c r="AN374" s="15"/>
      <c r="AO374" s="15"/>
      <c r="AP374" s="15"/>
      <c r="AQ374" s="15"/>
      <c r="AR374" s="15"/>
      <c r="AS374" s="10"/>
      <c r="AT374" s="10"/>
      <c r="AU374" s="21"/>
      <c r="AV374" s="21"/>
      <c r="AY374" s="21"/>
      <c r="AZ374" s="15"/>
      <c r="BA374" s="15"/>
      <c r="BB374" s="15"/>
      <c r="BC374" s="15"/>
      <c r="BD374" s="15"/>
      <c r="BE374" s="15"/>
      <c r="BF374" s="15"/>
      <c r="BG374" s="15"/>
      <c r="BH374" s="15"/>
      <c r="BI374" s="15"/>
      <c r="BJ374" s="10"/>
      <c r="BK374" s="10"/>
      <c r="BL374" s="21"/>
      <c r="BM374" s="21"/>
      <c r="BP374" s="21"/>
      <c r="BQ374" s="15"/>
      <c r="BR374" s="15"/>
      <c r="BS374" s="15"/>
      <c r="BT374" s="15"/>
      <c r="BU374" s="15"/>
      <c r="BV374" s="15"/>
      <c r="BW374" s="15"/>
      <c r="BX374" s="15"/>
      <c r="BY374" s="15"/>
      <c r="BZ374" s="15"/>
      <c r="CA374" s="10"/>
      <c r="CB374" s="10"/>
      <c r="CC374" s="21"/>
      <c r="CD374" s="21"/>
      <c r="CG374" s="21"/>
      <c r="CH374" s="15"/>
      <c r="CI374" s="15"/>
      <c r="CJ374" s="15"/>
      <c r="CK374" s="15"/>
      <c r="CL374" s="15"/>
      <c r="CM374" s="15"/>
      <c r="CN374" s="15"/>
      <c r="CO374" s="15"/>
      <c r="CP374" s="15"/>
      <c r="CQ374" s="15"/>
      <c r="CR374" s="10"/>
      <c r="CS374" s="10"/>
      <c r="CT374" s="21"/>
      <c r="CU374" s="21"/>
      <c r="CX374" s="21"/>
      <c r="CY374" s="15"/>
      <c r="CZ374" s="15"/>
      <c r="DA374" s="15"/>
      <c r="DB374" s="15"/>
      <c r="DC374" s="15"/>
      <c r="DD374" s="15"/>
      <c r="DE374" s="15"/>
      <c r="DF374" s="15"/>
      <c r="DG374" s="15"/>
      <c r="DH374" s="15"/>
      <c r="DI374" s="10"/>
      <c r="DJ374" s="10"/>
      <c r="DK374" s="21"/>
      <c r="DL374" s="21"/>
      <c r="DO374" s="21"/>
      <c r="DP374" s="15"/>
      <c r="DQ374" s="15"/>
      <c r="DR374" s="15"/>
      <c r="DS374" s="15"/>
      <c r="DT374" s="15"/>
      <c r="DU374" s="15"/>
      <c r="DV374" s="15"/>
      <c r="DW374" s="15"/>
      <c r="DX374" s="15"/>
      <c r="DY374" s="15"/>
      <c r="DZ374" s="10"/>
      <c r="EA374" s="10"/>
      <c r="EB374" s="21"/>
      <c r="EC374" s="21"/>
      <c r="EF374" s="21"/>
      <c r="EG374" s="15"/>
      <c r="EH374" s="15"/>
      <c r="EI374" s="15"/>
      <c r="EJ374" s="15"/>
      <c r="EK374" s="15"/>
      <c r="EL374" s="15"/>
      <c r="EM374" s="15"/>
      <c r="EN374" s="15"/>
      <c r="EO374" s="15"/>
      <c r="EP374" s="15"/>
      <c r="EQ374" s="10"/>
      <c r="ER374" s="10"/>
      <c r="ES374" s="21"/>
      <c r="ET374" s="21"/>
      <c r="EW374" s="21"/>
      <c r="EX374" s="15"/>
      <c r="EY374" s="15"/>
      <c r="EZ374" s="15"/>
      <c r="FA374" s="15"/>
      <c r="FB374" s="15"/>
      <c r="FC374" s="15"/>
      <c r="FD374" s="15"/>
      <c r="FE374" s="15"/>
      <c r="FF374" s="15"/>
      <c r="FG374" s="15"/>
      <c r="FH374" s="10"/>
      <c r="FI374" s="10"/>
      <c r="FJ374" s="21"/>
      <c r="FK374" s="21"/>
      <c r="FN374" s="21"/>
      <c r="FO374" s="15"/>
      <c r="FP374" s="15"/>
      <c r="FQ374" s="15"/>
      <c r="FR374" s="15"/>
      <c r="FS374" s="15"/>
      <c r="FT374" s="15"/>
      <c r="FU374" s="15"/>
      <c r="FV374" s="15"/>
      <c r="FW374" s="15"/>
      <c r="FX374" s="15"/>
      <c r="FY374" s="10"/>
      <c r="FZ374" s="10"/>
      <c r="GA374" s="21"/>
      <c r="GB374" s="21"/>
      <c r="GE374" s="21"/>
      <c r="GF374" s="15"/>
      <c r="GG374" s="15"/>
      <c r="GH374" s="15"/>
      <c r="GI374" s="15"/>
      <c r="GJ374" s="15"/>
      <c r="GK374" s="15"/>
      <c r="GL374" s="15"/>
      <c r="GM374" s="15"/>
      <c r="GN374" s="15"/>
      <c r="GO374" s="15"/>
      <c r="GP374" s="10"/>
      <c r="GQ374" s="10"/>
      <c r="GR374" s="21"/>
      <c r="GS374" s="21"/>
      <c r="GV374" s="21"/>
      <c r="GW374" s="15"/>
      <c r="GX374" s="15"/>
      <c r="GY374" s="15"/>
      <c r="GZ374" s="15"/>
      <c r="HA374" s="15"/>
      <c r="HB374" s="15"/>
      <c r="HC374" s="15"/>
      <c r="HD374" s="15"/>
      <c r="HE374" s="15"/>
      <c r="HF374" s="15"/>
      <c r="HG374" s="10"/>
      <c r="HH374" s="10"/>
      <c r="HI374" s="21"/>
      <c r="HJ374" s="21"/>
      <c r="HM374" s="21"/>
      <c r="HN374" s="15"/>
      <c r="HO374" s="15"/>
      <c r="HP374" s="15"/>
      <c r="HQ374" s="15"/>
      <c r="HR374" s="15"/>
      <c r="HS374" s="15"/>
      <c r="HT374" s="15"/>
      <c r="HU374" s="15"/>
      <c r="HV374" s="15"/>
      <c r="HW374" s="15"/>
      <c r="HX374" s="10"/>
      <c r="HY374" s="10"/>
      <c r="HZ374" s="21"/>
      <c r="IA374" s="21"/>
      <c r="ID374" s="21"/>
      <c r="IE374" s="15"/>
      <c r="IF374" s="15"/>
      <c r="IG374" s="15"/>
      <c r="IH374" s="15"/>
      <c r="II374" s="15"/>
      <c r="IJ374" s="15"/>
      <c r="IK374" s="15"/>
      <c r="IL374" s="15"/>
      <c r="IM374" s="15"/>
      <c r="IN374" s="15"/>
      <c r="IO374" s="10"/>
      <c r="IP374" s="10"/>
      <c r="IQ374" s="21"/>
      <c r="IR374" s="21"/>
      <c r="IU374" s="21"/>
      <c r="IV374" s="15"/>
      <c r="IW374" s="15"/>
      <c r="IX374" s="15"/>
      <c r="IY374" s="15"/>
      <c r="IZ374" s="15"/>
      <c r="JA374" s="15"/>
      <c r="JB374" s="15"/>
      <c r="JC374" s="15"/>
      <c r="JD374" s="15"/>
      <c r="JE374" s="15"/>
      <c r="JF374" s="10"/>
      <c r="JG374" s="10"/>
      <c r="JH374" s="21"/>
      <c r="JI374" s="21"/>
      <c r="JL374" s="21"/>
      <c r="JM374" s="15"/>
      <c r="JN374" s="15"/>
      <c r="JO374" s="15"/>
      <c r="JP374" s="15"/>
      <c r="JQ374" s="15"/>
      <c r="JR374" s="15"/>
      <c r="JS374" s="15"/>
      <c r="JT374" s="15"/>
      <c r="JU374" s="15"/>
      <c r="JV374" s="15"/>
      <c r="JW374" s="10"/>
      <c r="JX374" s="10"/>
      <c r="JY374" s="21"/>
      <c r="JZ374" s="21"/>
      <c r="KC374" s="21"/>
      <c r="KD374" s="15"/>
      <c r="KE374" s="15"/>
      <c r="KF374" s="15"/>
      <c r="KG374" s="15"/>
      <c r="KH374" s="15"/>
      <c r="KI374" s="15"/>
      <c r="KJ374" s="15"/>
      <c r="KK374" s="15"/>
      <c r="KL374" s="15"/>
      <c r="KM374" s="15"/>
      <c r="KN374" s="10"/>
      <c r="KO374" s="10"/>
      <c r="KP374" s="21"/>
      <c r="KQ374" s="21"/>
      <c r="KT374" s="21"/>
      <c r="KU374" s="15"/>
      <c r="KV374" s="15"/>
      <c r="KW374" s="15"/>
      <c r="KX374" s="15"/>
      <c r="KY374" s="15"/>
      <c r="KZ374" s="15"/>
      <c r="LA374" s="15"/>
      <c r="LB374" s="15"/>
      <c r="LC374" s="15"/>
      <c r="LD374" s="15"/>
      <c r="LE374" s="10"/>
      <c r="LF374" s="10"/>
      <c r="LG374" s="21"/>
      <c r="LH374" s="21"/>
      <c r="LK374" s="21"/>
      <c r="LL374" s="15"/>
      <c r="LM374" s="15"/>
      <c r="LN374" s="15"/>
      <c r="LO374" s="15"/>
      <c r="LP374" s="15"/>
      <c r="LQ374" s="15"/>
      <c r="LR374" s="15"/>
      <c r="LS374" s="15"/>
      <c r="LT374" s="15"/>
      <c r="LU374" s="15"/>
      <c r="LV374" s="10"/>
      <c r="LW374" s="10"/>
      <c r="LX374" s="21"/>
      <c r="LY374" s="21"/>
      <c r="MB374" s="21"/>
      <c r="MC374" s="15"/>
      <c r="MD374" s="15"/>
      <c r="ME374" s="15"/>
      <c r="MF374" s="15"/>
      <c r="MG374" s="15"/>
      <c r="MH374" s="15"/>
      <c r="MI374" s="15"/>
      <c r="MJ374" s="15"/>
      <c r="MK374" s="15"/>
      <c r="ML374" s="15"/>
      <c r="MM374" s="10"/>
      <c r="MN374" s="10"/>
      <c r="MO374" s="21"/>
      <c r="MP374" s="21"/>
      <c r="MS374" s="21"/>
      <c r="MT374" s="15"/>
      <c r="MU374" s="15"/>
      <c r="MV374" s="15"/>
      <c r="MW374" s="15"/>
      <c r="MX374" s="15"/>
      <c r="MY374" s="15"/>
      <c r="MZ374" s="15"/>
      <c r="NA374" s="15"/>
      <c r="NB374" s="15"/>
      <c r="NC374" s="15"/>
      <c r="ND374" s="10"/>
      <c r="NE374" s="10"/>
      <c r="NF374" s="21"/>
      <c r="NG374" s="21"/>
      <c r="NJ374" s="21"/>
      <c r="NK374" s="15"/>
      <c r="NL374" s="15"/>
      <c r="NM374" s="15"/>
      <c r="NN374" s="15"/>
      <c r="NO374" s="15"/>
      <c r="NP374" s="15"/>
      <c r="NQ374" s="15"/>
      <c r="NR374" s="15"/>
      <c r="NS374" s="15"/>
      <c r="NT374" s="15"/>
      <c r="NU374" s="10"/>
      <c r="NV374" s="10"/>
      <c r="NW374" s="21"/>
      <c r="NX374" s="21"/>
      <c r="OA374" s="21"/>
      <c r="OB374" s="15"/>
      <c r="OC374" s="15"/>
      <c r="OD374" s="15"/>
      <c r="OE374" s="15"/>
      <c r="OF374" s="15"/>
      <c r="OG374" s="15"/>
      <c r="OH374" s="15"/>
      <c r="OI374" s="15"/>
      <c r="OJ374" s="15"/>
      <c r="OK374" s="15"/>
      <c r="OL374" s="10"/>
      <c r="OM374" s="10"/>
      <c r="ON374" s="21"/>
      <c r="OO374" s="21"/>
      <c r="OR374" s="21"/>
      <c r="OS374" s="15"/>
      <c r="OT374" s="15"/>
      <c r="OU374" s="15"/>
      <c r="OV374" s="15"/>
      <c r="OW374" s="15"/>
      <c r="OX374" s="15"/>
      <c r="OY374" s="15"/>
      <c r="OZ374" s="15"/>
      <c r="PA374" s="15"/>
      <c r="PB374" s="15"/>
      <c r="PC374" s="10"/>
      <c r="PD374" s="10"/>
      <c r="PE374" s="21"/>
      <c r="PF374" s="21"/>
      <c r="PI374" s="21"/>
      <c r="PJ374" s="15"/>
      <c r="PK374" s="15"/>
      <c r="PL374" s="15"/>
      <c r="PM374" s="15"/>
      <c r="PN374" s="15"/>
      <c r="PO374" s="15"/>
      <c r="PP374" s="15"/>
      <c r="PQ374" s="15"/>
      <c r="PR374" s="15"/>
      <c r="PS374" s="15"/>
      <c r="PT374" s="10"/>
      <c r="PU374" s="10"/>
      <c r="PV374" s="21"/>
      <c r="PW374" s="21"/>
      <c r="PZ374" s="21"/>
      <c r="QA374" s="15"/>
      <c r="QB374" s="15"/>
      <c r="QC374" s="15"/>
      <c r="QD374" s="15"/>
      <c r="QE374" s="15"/>
      <c r="QF374" s="15"/>
      <c r="QG374" s="15"/>
      <c r="QH374" s="15"/>
      <c r="QI374" s="15"/>
      <c r="QJ374" s="15"/>
      <c r="QK374" s="10"/>
      <c r="QL374" s="10"/>
      <c r="QM374" s="21"/>
      <c r="QN374" s="21"/>
      <c r="QQ374" s="21"/>
      <c r="QR374" s="15"/>
      <c r="QS374" s="15"/>
      <c r="QT374" s="15"/>
      <c r="QU374" s="15"/>
      <c r="QV374" s="15"/>
      <c r="QW374" s="15"/>
      <c r="QX374" s="15"/>
      <c r="QY374" s="15"/>
      <c r="QZ374" s="15"/>
      <c r="RA374" s="15"/>
      <c r="RB374" s="10"/>
      <c r="RC374" s="10"/>
      <c r="RD374" s="21"/>
      <c r="RE374" s="21"/>
      <c r="RH374" s="21"/>
      <c r="RI374" s="15"/>
      <c r="RJ374" s="15"/>
      <c r="RK374" s="15"/>
      <c r="RL374" s="15"/>
      <c r="RM374" s="15"/>
      <c r="RN374" s="15"/>
      <c r="RO374" s="15"/>
      <c r="RP374" s="15"/>
      <c r="RQ374" s="15"/>
      <c r="RR374" s="15"/>
      <c r="RS374" s="10"/>
      <c r="RT374" s="10"/>
      <c r="RU374" s="21"/>
      <c r="RV374" s="21"/>
      <c r="RY374" s="21"/>
      <c r="RZ374" s="15"/>
      <c r="SA374" s="15"/>
      <c r="SB374" s="15"/>
      <c r="SC374" s="15"/>
      <c r="SD374" s="15"/>
      <c r="SE374" s="15"/>
      <c r="SF374" s="15"/>
      <c r="SG374" s="15"/>
      <c r="SH374" s="15"/>
      <c r="SI374" s="15"/>
      <c r="SJ374" s="10"/>
      <c r="SK374" s="10"/>
      <c r="SL374" s="21"/>
      <c r="SM374" s="21"/>
      <c r="SP374" s="21"/>
      <c r="SQ374" s="15"/>
      <c r="SR374" s="15"/>
      <c r="SS374" s="15"/>
      <c r="ST374" s="15"/>
      <c r="SU374" s="15"/>
      <c r="SV374" s="15"/>
      <c r="SW374" s="15"/>
      <c r="SX374" s="15"/>
      <c r="SY374" s="15"/>
      <c r="SZ374" s="15"/>
      <c r="TA374" s="10"/>
      <c r="TB374" s="10"/>
      <c r="TC374" s="21"/>
      <c r="TD374" s="21"/>
      <c r="TG374" s="21"/>
      <c r="TH374" s="15"/>
      <c r="TI374" s="15"/>
      <c r="TJ374" s="15"/>
      <c r="TK374" s="15"/>
      <c r="TL374" s="15"/>
      <c r="TM374" s="15"/>
      <c r="TN374" s="15"/>
      <c r="TO374" s="15"/>
      <c r="TP374" s="15"/>
      <c r="TQ374" s="15"/>
      <c r="TR374" s="10"/>
      <c r="TS374" s="10"/>
      <c r="TT374" s="21"/>
      <c r="TU374" s="21"/>
      <c r="TX374" s="21"/>
      <c r="TY374" s="15"/>
      <c r="TZ374" s="15"/>
      <c r="UA374" s="15"/>
      <c r="UB374" s="15"/>
      <c r="UC374" s="15"/>
      <c r="UD374" s="15"/>
      <c r="UE374" s="15"/>
      <c r="UF374" s="15"/>
      <c r="UG374" s="15"/>
      <c r="UH374" s="15"/>
      <c r="UI374" s="10"/>
      <c r="UJ374" s="10"/>
      <c r="UK374" s="21"/>
      <c r="UL374" s="21"/>
      <c r="UO374" s="21"/>
      <c r="UP374" s="15"/>
      <c r="UQ374" s="15"/>
      <c r="UR374" s="15"/>
      <c r="US374" s="15"/>
      <c r="UT374" s="15"/>
      <c r="UU374" s="15"/>
      <c r="UV374" s="15"/>
      <c r="UW374" s="15"/>
      <c r="UX374" s="15"/>
      <c r="UY374" s="15"/>
      <c r="UZ374" s="10"/>
      <c r="VA374" s="10"/>
      <c r="VB374" s="21"/>
      <c r="VC374" s="21"/>
      <c r="VF374" s="21"/>
      <c r="VG374" s="15"/>
      <c r="VH374" s="15"/>
      <c r="VI374" s="15"/>
      <c r="VJ374" s="15"/>
      <c r="VK374" s="15"/>
      <c r="VL374" s="15"/>
      <c r="VM374" s="15"/>
      <c r="VN374" s="15"/>
      <c r="VO374" s="15"/>
      <c r="VP374" s="15"/>
      <c r="VQ374" s="10"/>
      <c r="VR374" s="10"/>
      <c r="VS374" s="21"/>
      <c r="VT374" s="21"/>
      <c r="VW374" s="21"/>
      <c r="VX374" s="15"/>
      <c r="VY374" s="15"/>
      <c r="VZ374" s="15"/>
      <c r="WA374" s="15"/>
      <c r="WB374" s="15"/>
      <c r="WC374" s="15"/>
      <c r="WD374" s="15"/>
      <c r="WE374" s="15"/>
      <c r="WF374" s="15"/>
      <c r="WG374" s="15"/>
      <c r="WH374" s="10"/>
      <c r="WI374" s="10"/>
      <c r="WJ374" s="21"/>
      <c r="WK374" s="21"/>
      <c r="WN374" s="21"/>
      <c r="WO374" s="15"/>
      <c r="WP374" s="15"/>
      <c r="WQ374" s="15"/>
      <c r="WR374" s="15"/>
      <c r="WS374" s="15"/>
      <c r="WT374" s="15"/>
      <c r="WU374" s="15"/>
      <c r="WV374" s="15"/>
      <c r="WW374" s="15"/>
      <c r="WX374" s="15"/>
      <c r="WY374" s="10"/>
      <c r="WZ374" s="10"/>
      <c r="XA374" s="21"/>
      <c r="XB374" s="21"/>
      <c r="XE374" s="21"/>
      <c r="XF374" s="15"/>
      <c r="XG374" s="15"/>
      <c r="XH374" s="15"/>
      <c r="XI374" s="15"/>
      <c r="XJ374" s="15"/>
      <c r="XK374" s="15"/>
      <c r="XL374" s="15"/>
      <c r="XM374" s="15"/>
      <c r="XN374" s="15"/>
      <c r="XO374" s="15"/>
      <c r="XP374" s="10"/>
      <c r="XQ374" s="10"/>
      <c r="XR374" s="21"/>
      <c r="XS374" s="21"/>
      <c r="XV374" s="21"/>
      <c r="XW374" s="15"/>
      <c r="XX374" s="15"/>
      <c r="XY374" s="15"/>
      <c r="XZ374" s="15"/>
      <c r="YA374" s="15"/>
      <c r="YB374" s="15"/>
      <c r="YC374" s="15"/>
      <c r="YD374" s="15"/>
      <c r="YE374" s="15"/>
      <c r="YF374" s="15"/>
      <c r="YG374" s="10"/>
      <c r="YH374" s="10"/>
      <c r="YI374" s="21"/>
      <c r="YJ374" s="21"/>
      <c r="YM374" s="21"/>
      <c r="YN374" s="15"/>
      <c r="YO374" s="15"/>
      <c r="YP374" s="15"/>
      <c r="YQ374" s="15"/>
      <c r="YR374" s="15"/>
      <c r="YS374" s="15"/>
      <c r="YT374" s="15"/>
      <c r="YU374" s="15"/>
      <c r="YV374" s="15"/>
      <c r="YW374" s="15"/>
      <c r="YX374" s="10"/>
      <c r="YY374" s="10"/>
      <c r="YZ374" s="21"/>
      <c r="ZA374" s="21"/>
      <c r="ZD374" s="21"/>
      <c r="ZE374" s="15"/>
      <c r="ZF374" s="15"/>
      <c r="ZG374" s="15"/>
      <c r="ZH374" s="15"/>
      <c r="ZI374" s="15"/>
      <c r="ZJ374" s="15"/>
      <c r="ZK374" s="15"/>
      <c r="ZL374" s="15"/>
      <c r="ZM374" s="15"/>
      <c r="ZN374" s="15"/>
      <c r="ZO374" s="10"/>
      <c r="ZP374" s="10"/>
      <c r="ZQ374" s="21"/>
      <c r="ZR374" s="21"/>
      <c r="ZU374" s="21"/>
      <c r="ZV374" s="15"/>
      <c r="ZW374" s="15"/>
      <c r="ZX374" s="15"/>
      <c r="ZY374" s="15"/>
      <c r="ZZ374" s="15"/>
      <c r="AAA374" s="15"/>
      <c r="AAB374" s="15"/>
      <c r="AAC374" s="15"/>
      <c r="AAD374" s="15"/>
      <c r="AAE374" s="15"/>
      <c r="AAF374" s="10"/>
      <c r="AAG374" s="10"/>
      <c r="AAH374" s="21"/>
      <c r="AAI374" s="21"/>
      <c r="AAL374" s="21"/>
      <c r="AAM374" s="15"/>
      <c r="AAN374" s="15"/>
      <c r="AAO374" s="15"/>
      <c r="AAP374" s="15"/>
      <c r="AAQ374" s="15"/>
      <c r="AAR374" s="15"/>
      <c r="AAS374" s="15"/>
      <c r="AAT374" s="15"/>
      <c r="AAU374" s="15"/>
      <c r="AAV374" s="15"/>
      <c r="AAW374" s="10"/>
      <c r="AAX374" s="10"/>
      <c r="AAY374" s="21"/>
      <c r="AAZ374" s="21"/>
      <c r="ABC374" s="21"/>
      <c r="ABD374" s="15"/>
      <c r="ABE374" s="15"/>
      <c r="ABF374" s="15"/>
      <c r="ABG374" s="15"/>
      <c r="ABH374" s="15"/>
      <c r="ABI374" s="15"/>
      <c r="ABJ374" s="15"/>
      <c r="ABK374" s="15"/>
      <c r="ABL374" s="15"/>
      <c r="ABM374" s="15"/>
      <c r="ABN374" s="10"/>
      <c r="ABO374" s="10"/>
      <c r="ABP374" s="21"/>
      <c r="ABQ374" s="21"/>
      <c r="ABT374" s="21"/>
      <c r="ABU374" s="15"/>
      <c r="ABV374" s="15"/>
      <c r="ABW374" s="15"/>
      <c r="ABX374" s="15"/>
      <c r="ABY374" s="15"/>
      <c r="ABZ374" s="15"/>
      <c r="ACA374" s="15"/>
      <c r="ACB374" s="15"/>
      <c r="ACC374" s="15"/>
      <c r="ACD374" s="15"/>
      <c r="ACE374" s="10"/>
      <c r="ACF374" s="10"/>
      <c r="ACG374" s="21"/>
      <c r="ACH374" s="21"/>
      <c r="ACK374" s="21"/>
      <c r="ACL374" s="15"/>
      <c r="ACM374" s="15"/>
      <c r="ACN374" s="15"/>
      <c r="ACO374" s="15"/>
      <c r="ACP374" s="15"/>
      <c r="ACQ374" s="15"/>
      <c r="ACR374" s="15"/>
      <c r="ACS374" s="15"/>
      <c r="ACT374" s="15"/>
      <c r="ACU374" s="15"/>
      <c r="ACV374" s="10"/>
      <c r="ACW374" s="10"/>
      <c r="ACX374" s="21"/>
      <c r="ACY374" s="21"/>
      <c r="ADB374" s="21"/>
      <c r="ADC374" s="15"/>
      <c r="ADD374" s="15"/>
      <c r="ADE374" s="15"/>
      <c r="ADF374" s="15"/>
      <c r="ADG374" s="15"/>
      <c r="ADH374" s="15"/>
      <c r="ADI374" s="15"/>
      <c r="ADJ374" s="15"/>
      <c r="ADK374" s="15"/>
      <c r="ADL374" s="15"/>
      <c r="ADM374" s="10"/>
      <c r="ADN374" s="10"/>
      <c r="ADO374" s="21"/>
      <c r="ADP374" s="21"/>
      <c r="ADS374" s="21"/>
      <c r="ADT374" s="15"/>
      <c r="ADU374" s="15"/>
      <c r="ADV374" s="15"/>
      <c r="ADW374" s="15"/>
      <c r="ADX374" s="15"/>
      <c r="ADY374" s="15"/>
      <c r="ADZ374" s="15"/>
      <c r="AEA374" s="15"/>
      <c r="AEB374" s="15"/>
      <c r="AEC374" s="15"/>
      <c r="AED374" s="10"/>
      <c r="AEE374" s="10"/>
      <c r="AEF374" s="21"/>
      <c r="AEG374" s="21"/>
      <c r="AEJ374" s="21"/>
      <c r="AEK374" s="15"/>
      <c r="AEL374" s="15"/>
      <c r="AEM374" s="15"/>
      <c r="AEN374" s="15"/>
      <c r="AEO374" s="15"/>
      <c r="AEP374" s="15"/>
      <c r="AEQ374" s="15"/>
      <c r="AER374" s="15"/>
      <c r="AES374" s="15"/>
      <c r="AET374" s="15"/>
      <c r="AEU374" s="10"/>
      <c r="AEV374" s="10"/>
      <c r="AEW374" s="21"/>
      <c r="AEX374" s="21"/>
      <c r="AFA374" s="21"/>
      <c r="AFB374" s="15"/>
      <c r="AFC374" s="15"/>
      <c r="AFD374" s="15"/>
      <c r="AFE374" s="15"/>
      <c r="AFF374" s="15"/>
      <c r="AFG374" s="15"/>
      <c r="AFH374" s="15"/>
      <c r="AFI374" s="15"/>
      <c r="AFJ374" s="15"/>
      <c r="AFK374" s="15"/>
      <c r="AFL374" s="10"/>
      <c r="AFM374" s="10"/>
      <c r="AFN374" s="21"/>
      <c r="AFO374" s="21"/>
      <c r="AFR374" s="21"/>
      <c r="AFS374" s="15"/>
      <c r="AFT374" s="15"/>
      <c r="AFU374" s="15"/>
      <c r="AFV374" s="15"/>
      <c r="AFW374" s="15"/>
      <c r="AFX374" s="15"/>
      <c r="AFY374" s="15"/>
      <c r="AFZ374" s="15"/>
      <c r="AGA374" s="15"/>
      <c r="AGB374" s="15"/>
      <c r="AGC374" s="10"/>
      <c r="AGD374" s="10"/>
      <c r="AGE374" s="21"/>
      <c r="AGF374" s="21"/>
      <c r="AGI374" s="21"/>
      <c r="AGJ374" s="15"/>
      <c r="AGK374" s="15"/>
      <c r="AGL374" s="15"/>
      <c r="AGM374" s="15"/>
      <c r="AGN374" s="15"/>
      <c r="AGO374" s="15"/>
      <c r="AGP374" s="15"/>
      <c r="AGQ374" s="15"/>
      <c r="AGR374" s="15"/>
      <c r="AGS374" s="15"/>
      <c r="AGT374" s="10"/>
      <c r="AGU374" s="10"/>
      <c r="AGV374" s="21"/>
      <c r="AGW374" s="21"/>
      <c r="AGZ374" s="21"/>
      <c r="AHA374" s="15"/>
      <c r="AHB374" s="15"/>
      <c r="AHC374" s="15"/>
      <c r="AHD374" s="15"/>
      <c r="AHE374" s="15"/>
      <c r="AHF374" s="15"/>
      <c r="AHG374" s="15"/>
      <c r="AHH374" s="15"/>
      <c r="AHI374" s="15"/>
      <c r="AHJ374" s="15"/>
      <c r="AHK374" s="10"/>
      <c r="AHL374" s="10"/>
      <c r="AHM374" s="21"/>
      <c r="AHN374" s="21"/>
      <c r="AHQ374" s="21"/>
      <c r="AHR374" s="15"/>
      <c r="AHS374" s="15"/>
      <c r="AHT374" s="15"/>
      <c r="AHU374" s="15"/>
      <c r="AHV374" s="15"/>
      <c r="AHW374" s="15"/>
      <c r="AHX374" s="15"/>
      <c r="AHY374" s="15"/>
      <c r="AHZ374" s="15"/>
      <c r="AIA374" s="15"/>
      <c r="AIB374" s="10"/>
      <c r="AIC374" s="10"/>
      <c r="AID374" s="21"/>
      <c r="AIE374" s="21"/>
      <c r="AIH374" s="21"/>
      <c r="AII374" s="15"/>
      <c r="AIJ374" s="15"/>
      <c r="AIK374" s="15"/>
      <c r="AIL374" s="15"/>
      <c r="AIM374" s="15"/>
      <c r="AIN374" s="15"/>
      <c r="AIO374" s="15"/>
      <c r="AIP374" s="15"/>
      <c r="AIQ374" s="15"/>
      <c r="AIR374" s="15"/>
      <c r="AIS374" s="10"/>
      <c r="AIT374" s="10"/>
      <c r="AIU374" s="21"/>
      <c r="AIV374" s="21"/>
      <c r="AIY374" s="21"/>
      <c r="AIZ374" s="15"/>
      <c r="AJA374" s="15"/>
      <c r="AJB374" s="15"/>
      <c r="AJC374" s="15"/>
      <c r="AJD374" s="15"/>
      <c r="AJE374" s="15"/>
      <c r="AJF374" s="15"/>
      <c r="AJG374" s="15"/>
      <c r="AJH374" s="15"/>
      <c r="AJI374" s="15"/>
      <c r="AJJ374" s="10"/>
      <c r="AJK374" s="10"/>
      <c r="AJL374" s="21"/>
      <c r="AJM374" s="21"/>
      <c r="AJP374" s="21"/>
      <c r="AJQ374" s="15"/>
      <c r="AJR374" s="15"/>
      <c r="AJS374" s="15"/>
      <c r="AJT374" s="15"/>
      <c r="AJU374" s="15"/>
      <c r="AJV374" s="15"/>
      <c r="AJW374" s="15"/>
      <c r="AJX374" s="15"/>
      <c r="AJY374" s="15"/>
      <c r="AJZ374" s="15"/>
      <c r="AKA374" s="10"/>
      <c r="AKB374" s="10"/>
      <c r="AKC374" s="21"/>
      <c r="AKD374" s="21"/>
      <c r="AKG374" s="21"/>
      <c r="AKH374" s="15"/>
      <c r="AKI374" s="15"/>
      <c r="AKJ374" s="15"/>
      <c r="AKK374" s="15"/>
      <c r="AKL374" s="15"/>
      <c r="AKM374" s="15"/>
      <c r="AKN374" s="15"/>
      <c r="AKO374" s="15"/>
      <c r="AKP374" s="15"/>
      <c r="AKQ374" s="15"/>
      <c r="AKR374" s="10"/>
      <c r="AKS374" s="10"/>
      <c r="AKT374" s="21"/>
      <c r="AKU374" s="21"/>
      <c r="AKX374" s="21"/>
      <c r="AKY374" s="15"/>
      <c r="AKZ374" s="15"/>
      <c r="ALA374" s="15"/>
      <c r="ALB374" s="15"/>
      <c r="ALC374" s="15"/>
      <c r="ALD374" s="15"/>
      <c r="ALE374" s="15"/>
      <c r="ALF374" s="15"/>
      <c r="ALG374" s="15"/>
      <c r="ALH374" s="15"/>
      <c r="ALI374" s="10"/>
      <c r="ALJ374" s="10"/>
      <c r="ALK374" s="21"/>
      <c r="ALL374" s="21"/>
      <c r="ALO374" s="21"/>
      <c r="ALP374" s="15"/>
      <c r="ALQ374" s="15"/>
      <c r="ALR374" s="15"/>
      <c r="ALS374" s="15"/>
      <c r="ALT374" s="15"/>
      <c r="ALU374" s="15"/>
      <c r="ALV374" s="15"/>
      <c r="ALW374" s="15"/>
      <c r="ALX374" s="15"/>
      <c r="ALY374" s="15"/>
      <c r="ALZ374" s="10"/>
      <c r="AMA374" s="10"/>
      <c r="AMB374" s="21"/>
      <c r="AMC374" s="21"/>
      <c r="AMF374" s="21"/>
      <c r="AMG374" s="15"/>
      <c r="AMH374" s="15"/>
      <c r="AMI374" s="15"/>
      <c r="AMJ374" s="15"/>
      <c r="AMK374" s="15"/>
      <c r="AML374" s="15"/>
      <c r="AMM374" s="15"/>
      <c r="AMN374" s="15"/>
      <c r="AMO374" s="15"/>
      <c r="AMP374" s="15"/>
      <c r="AMQ374" s="10"/>
      <c r="AMR374" s="10"/>
      <c r="AMS374" s="21"/>
      <c r="AMT374" s="21"/>
      <c r="AMW374" s="21"/>
      <c r="AMX374" s="15"/>
      <c r="AMY374" s="15"/>
      <c r="AMZ374" s="15"/>
      <c r="ANA374" s="15"/>
      <c r="ANB374" s="15"/>
      <c r="ANC374" s="15"/>
      <c r="AND374" s="15"/>
      <c r="ANE374" s="15"/>
      <c r="ANF374" s="15"/>
      <c r="ANG374" s="15"/>
      <c r="ANH374" s="10"/>
      <c r="ANI374" s="10"/>
      <c r="ANJ374" s="21"/>
      <c r="ANK374" s="21"/>
      <c r="ANN374" s="21"/>
      <c r="ANO374" s="15"/>
      <c r="ANP374" s="15"/>
      <c r="ANQ374" s="15"/>
      <c r="ANR374" s="15"/>
      <c r="ANS374" s="15"/>
      <c r="ANT374" s="15"/>
      <c r="ANU374" s="15"/>
      <c r="ANV374" s="15"/>
      <c r="ANW374" s="15"/>
      <c r="ANX374" s="15"/>
      <c r="ANY374" s="10"/>
      <c r="ANZ374" s="10"/>
      <c r="AOA374" s="21"/>
      <c r="AOB374" s="21"/>
      <c r="AOE374" s="21"/>
      <c r="AOF374" s="15"/>
      <c r="AOG374" s="15"/>
      <c r="AOH374" s="15"/>
      <c r="AOI374" s="15"/>
      <c r="AOJ374" s="15"/>
      <c r="AOK374" s="15"/>
      <c r="AOL374" s="15"/>
      <c r="AOM374" s="15"/>
      <c r="AON374" s="15"/>
      <c r="AOO374" s="15"/>
      <c r="AOP374" s="10"/>
      <c r="AOQ374" s="10"/>
      <c r="AOR374" s="21"/>
      <c r="AOS374" s="21"/>
      <c r="AOV374" s="21"/>
      <c r="AOW374" s="15"/>
      <c r="AOX374" s="15"/>
      <c r="AOY374" s="15"/>
      <c r="AOZ374" s="15"/>
      <c r="APA374" s="15"/>
      <c r="APB374" s="15"/>
      <c r="APC374" s="15"/>
      <c r="APD374" s="15"/>
      <c r="APE374" s="15"/>
      <c r="APF374" s="15"/>
      <c r="APG374" s="10"/>
      <c r="APH374" s="10"/>
      <c r="API374" s="21"/>
      <c r="APJ374" s="21"/>
      <c r="APM374" s="21"/>
      <c r="APN374" s="15"/>
      <c r="APO374" s="15"/>
      <c r="APP374" s="15"/>
      <c r="APQ374" s="15"/>
      <c r="APR374" s="15"/>
      <c r="APS374" s="15"/>
      <c r="APT374" s="15"/>
      <c r="APU374" s="15"/>
      <c r="APV374" s="15"/>
      <c r="APW374" s="15"/>
      <c r="APX374" s="10"/>
      <c r="APY374" s="10"/>
      <c r="APZ374" s="21"/>
      <c r="AQA374" s="21"/>
      <c r="AQD374" s="21"/>
      <c r="AQE374" s="15"/>
      <c r="AQF374" s="15"/>
      <c r="AQG374" s="15"/>
      <c r="AQH374" s="15"/>
      <c r="AQI374" s="15"/>
      <c r="AQJ374" s="15"/>
      <c r="AQK374" s="15"/>
      <c r="AQL374" s="15"/>
      <c r="AQM374" s="15"/>
      <c r="AQN374" s="15"/>
      <c r="AQO374" s="10"/>
      <c r="AQP374" s="10"/>
      <c r="AQQ374" s="21"/>
      <c r="AQR374" s="21"/>
      <c r="AQU374" s="21"/>
      <c r="AQV374" s="15"/>
      <c r="AQW374" s="15"/>
      <c r="AQX374" s="15"/>
      <c r="AQY374" s="15"/>
      <c r="AQZ374" s="15"/>
      <c r="ARA374" s="15"/>
      <c r="ARB374" s="15"/>
      <c r="ARC374" s="15"/>
      <c r="ARD374" s="15"/>
      <c r="ARE374" s="15"/>
      <c r="ARF374" s="10"/>
      <c r="ARG374" s="10"/>
      <c r="ARH374" s="21"/>
      <c r="ARI374" s="21"/>
      <c r="ARL374" s="21"/>
      <c r="ARM374" s="15"/>
      <c r="ARN374" s="15"/>
      <c r="ARO374" s="15"/>
      <c r="ARP374" s="15"/>
      <c r="ARQ374" s="15"/>
      <c r="ARR374" s="15"/>
      <c r="ARS374" s="15"/>
      <c r="ART374" s="15"/>
      <c r="ARU374" s="15"/>
      <c r="ARV374" s="15"/>
      <c r="ARW374" s="10"/>
      <c r="ARX374" s="10"/>
      <c r="ARY374" s="21"/>
      <c r="ARZ374" s="21"/>
      <c r="ASC374" s="21"/>
      <c r="ASD374" s="15"/>
      <c r="ASE374" s="15"/>
      <c r="ASF374" s="15"/>
      <c r="ASG374" s="15"/>
      <c r="ASH374" s="15"/>
      <c r="ASI374" s="15"/>
      <c r="ASJ374" s="15"/>
      <c r="ASK374" s="15"/>
      <c r="ASL374" s="15"/>
      <c r="ASM374" s="15"/>
      <c r="ASN374" s="10"/>
      <c r="ASO374" s="10"/>
      <c r="ASP374" s="21"/>
      <c r="ASQ374" s="21"/>
      <c r="AST374" s="21"/>
      <c r="ASU374" s="15"/>
      <c r="ASV374" s="15"/>
      <c r="ASW374" s="15"/>
      <c r="ASX374" s="15"/>
      <c r="ASY374" s="15"/>
      <c r="ASZ374" s="15"/>
      <c r="ATA374" s="15"/>
      <c r="ATB374" s="15"/>
      <c r="ATC374" s="15"/>
      <c r="ATD374" s="15"/>
      <c r="ATE374" s="10"/>
      <c r="ATF374" s="10"/>
      <c r="ATG374" s="21"/>
      <c r="ATH374" s="21"/>
      <c r="ATK374" s="21"/>
      <c r="ATL374" s="15"/>
      <c r="ATM374" s="15"/>
      <c r="ATN374" s="15"/>
      <c r="ATO374" s="15"/>
      <c r="ATP374" s="15"/>
      <c r="ATQ374" s="15"/>
      <c r="ATR374" s="15"/>
      <c r="ATS374" s="15"/>
      <c r="ATT374" s="15"/>
      <c r="ATU374" s="15"/>
      <c r="ATV374" s="10"/>
      <c r="ATW374" s="10"/>
      <c r="ATX374" s="21"/>
      <c r="ATY374" s="21"/>
      <c r="AUB374" s="21"/>
      <c r="AUC374" s="15"/>
      <c r="AUD374" s="15"/>
      <c r="AUE374" s="15"/>
      <c r="AUF374" s="15"/>
      <c r="AUG374" s="15"/>
      <c r="AUH374" s="15"/>
      <c r="AUI374" s="15"/>
      <c r="AUJ374" s="15"/>
      <c r="AUK374" s="15"/>
      <c r="AUL374" s="15"/>
      <c r="AUM374" s="10"/>
      <c r="AUN374" s="10"/>
      <c r="AUO374" s="21"/>
      <c r="AUP374" s="21"/>
      <c r="AUS374" s="21"/>
      <c r="AUT374" s="15"/>
      <c r="AUU374" s="15"/>
      <c r="AUV374" s="15"/>
      <c r="AUW374" s="15"/>
      <c r="AUX374" s="15"/>
      <c r="AUY374" s="15"/>
      <c r="AUZ374" s="15"/>
      <c r="AVA374" s="15"/>
      <c r="AVB374" s="15"/>
      <c r="AVC374" s="15"/>
      <c r="AVD374" s="10"/>
      <c r="AVE374" s="10"/>
      <c r="AVF374" s="21"/>
      <c r="AVG374" s="21"/>
      <c r="AVJ374" s="21"/>
      <c r="AVK374" s="15"/>
      <c r="AVL374" s="15"/>
      <c r="AVM374" s="15"/>
      <c r="AVN374" s="15"/>
      <c r="AVO374" s="15"/>
      <c r="AVP374" s="15"/>
      <c r="AVQ374" s="15"/>
      <c r="AVR374" s="15"/>
      <c r="AVS374" s="15"/>
      <c r="AVT374" s="15"/>
      <c r="AVU374" s="10"/>
      <c r="AVV374" s="10"/>
      <c r="AVW374" s="21"/>
      <c r="AVX374" s="21"/>
      <c r="AWA374" s="21"/>
      <c r="AWB374" s="15"/>
      <c r="AWC374" s="15"/>
      <c r="AWD374" s="15"/>
      <c r="AWE374" s="15"/>
      <c r="AWF374" s="15"/>
      <c r="AWG374" s="15"/>
      <c r="AWH374" s="15"/>
      <c r="AWI374" s="15"/>
      <c r="AWJ374" s="15"/>
      <c r="AWK374" s="15"/>
      <c r="AWL374" s="10"/>
      <c r="AWM374" s="10"/>
      <c r="AWN374" s="21"/>
      <c r="AWO374" s="21"/>
      <c r="AWR374" s="21"/>
      <c r="AWS374" s="15"/>
      <c r="AWT374" s="15"/>
      <c r="AWU374" s="15"/>
      <c r="AWV374" s="15"/>
      <c r="AWW374" s="15"/>
      <c r="AWX374" s="15"/>
      <c r="AWY374" s="15"/>
      <c r="AWZ374" s="15"/>
      <c r="AXA374" s="15"/>
      <c r="AXB374" s="15"/>
      <c r="AXC374" s="10"/>
      <c r="AXD374" s="10"/>
      <c r="AXE374" s="21"/>
      <c r="AXF374" s="21"/>
      <c r="AXI374" s="21"/>
      <c r="AXJ374" s="15"/>
      <c r="AXK374" s="15"/>
      <c r="AXL374" s="15"/>
      <c r="AXM374" s="15"/>
      <c r="AXN374" s="15"/>
      <c r="AXO374" s="15"/>
      <c r="AXP374" s="15"/>
      <c r="AXQ374" s="15"/>
      <c r="AXR374" s="15"/>
      <c r="AXS374" s="15"/>
      <c r="AXT374" s="10"/>
      <c r="AXU374" s="10"/>
      <c r="AXV374" s="21"/>
      <c r="AXW374" s="21"/>
      <c r="AXZ374" s="21"/>
      <c r="AYA374" s="15"/>
      <c r="AYB374" s="15"/>
      <c r="AYC374" s="15"/>
      <c r="AYD374" s="15"/>
      <c r="AYE374" s="15"/>
      <c r="AYF374" s="15"/>
      <c r="AYG374" s="15"/>
      <c r="AYH374" s="15"/>
      <c r="AYI374" s="15"/>
      <c r="AYJ374" s="15"/>
      <c r="AYK374" s="10"/>
      <c r="AYL374" s="10"/>
      <c r="AYM374" s="21"/>
      <c r="AYN374" s="21"/>
      <c r="AYQ374" s="21"/>
      <c r="AYR374" s="15"/>
      <c r="AYS374" s="15"/>
      <c r="AYT374" s="15"/>
      <c r="AYU374" s="15"/>
      <c r="AYV374" s="15"/>
      <c r="AYW374" s="15"/>
      <c r="AYX374" s="15"/>
      <c r="AYY374" s="15"/>
      <c r="AYZ374" s="15"/>
      <c r="AZA374" s="15"/>
      <c r="AZB374" s="10"/>
      <c r="AZC374" s="10"/>
      <c r="AZD374" s="21"/>
      <c r="AZE374" s="21"/>
      <c r="AZH374" s="21"/>
      <c r="AZI374" s="15"/>
      <c r="AZJ374" s="15"/>
      <c r="AZK374" s="15"/>
      <c r="AZL374" s="15"/>
      <c r="AZM374" s="15"/>
      <c r="AZN374" s="15"/>
      <c r="AZO374" s="15"/>
      <c r="AZP374" s="15"/>
      <c r="AZQ374" s="15"/>
      <c r="AZR374" s="15"/>
      <c r="AZS374" s="10"/>
      <c r="AZT374" s="10"/>
      <c r="AZU374" s="21"/>
      <c r="AZV374" s="21"/>
      <c r="AZY374" s="21"/>
      <c r="AZZ374" s="15"/>
      <c r="BAA374" s="15"/>
      <c r="BAB374" s="15"/>
      <c r="BAC374" s="15"/>
      <c r="BAD374" s="15"/>
      <c r="BAE374" s="15"/>
      <c r="BAF374" s="15"/>
      <c r="BAG374" s="15"/>
      <c r="BAH374" s="15"/>
      <c r="BAI374" s="15"/>
      <c r="BAJ374" s="10"/>
      <c r="BAK374" s="10"/>
      <c r="BAL374" s="21"/>
      <c r="BAM374" s="21"/>
      <c r="BAP374" s="21"/>
      <c r="BAQ374" s="15"/>
      <c r="BAR374" s="15"/>
      <c r="BAS374" s="15"/>
      <c r="BAT374" s="15"/>
      <c r="BAU374" s="15"/>
      <c r="BAV374" s="15"/>
      <c r="BAW374" s="15"/>
      <c r="BAX374" s="15"/>
      <c r="BAY374" s="15"/>
      <c r="BAZ374" s="15"/>
      <c r="BBA374" s="10"/>
      <c r="BBB374" s="10"/>
      <c r="BBC374" s="21"/>
      <c r="BBD374" s="21"/>
      <c r="BBG374" s="21"/>
      <c r="BBH374" s="15"/>
      <c r="BBI374" s="15"/>
      <c r="BBJ374" s="15"/>
      <c r="BBK374" s="15"/>
      <c r="BBL374" s="15"/>
      <c r="BBM374" s="15"/>
      <c r="BBN374" s="15"/>
      <c r="BBO374" s="15"/>
      <c r="BBP374" s="15"/>
      <c r="BBQ374" s="15"/>
      <c r="BBR374" s="10"/>
      <c r="BBS374" s="10"/>
      <c r="BBT374" s="21"/>
      <c r="BBU374" s="21"/>
      <c r="BBX374" s="21"/>
      <c r="BBY374" s="15"/>
      <c r="BBZ374" s="15"/>
      <c r="BCA374" s="15"/>
      <c r="BCB374" s="15"/>
      <c r="BCC374" s="15"/>
      <c r="BCD374" s="15"/>
      <c r="BCE374" s="15"/>
      <c r="BCF374" s="15"/>
      <c r="BCG374" s="15"/>
      <c r="BCH374" s="15"/>
      <c r="BCI374" s="10"/>
      <c r="BCJ374" s="10"/>
      <c r="BCK374" s="21"/>
      <c r="BCL374" s="21"/>
      <c r="BCO374" s="21"/>
      <c r="BCP374" s="15"/>
      <c r="BCQ374" s="15"/>
      <c r="BCR374" s="15"/>
      <c r="BCS374" s="15"/>
      <c r="BCT374" s="15"/>
      <c r="BCU374" s="15"/>
      <c r="BCV374" s="15"/>
      <c r="BCW374" s="15"/>
      <c r="BCX374" s="15"/>
      <c r="BCY374" s="15"/>
      <c r="BCZ374" s="10"/>
      <c r="BDA374" s="10"/>
      <c r="BDB374" s="21"/>
      <c r="BDC374" s="21"/>
      <c r="BDF374" s="21"/>
      <c r="BDG374" s="15"/>
      <c r="BDH374" s="15"/>
      <c r="BDI374" s="15"/>
      <c r="BDJ374" s="15"/>
      <c r="BDK374" s="15"/>
      <c r="BDL374" s="15"/>
      <c r="BDM374" s="15"/>
      <c r="BDN374" s="15"/>
      <c r="BDO374" s="15"/>
      <c r="BDP374" s="15"/>
      <c r="BDQ374" s="10"/>
      <c r="BDR374" s="10"/>
      <c r="BDS374" s="21"/>
      <c r="BDT374" s="21"/>
      <c r="BDW374" s="21"/>
      <c r="BDX374" s="15"/>
      <c r="BDY374" s="15"/>
      <c r="BDZ374" s="15"/>
      <c r="BEA374" s="15"/>
      <c r="BEB374" s="15"/>
      <c r="BEC374" s="15"/>
      <c r="BED374" s="15"/>
      <c r="BEE374" s="15"/>
      <c r="BEF374" s="15"/>
      <c r="BEG374" s="15"/>
      <c r="BEH374" s="10"/>
      <c r="BEI374" s="10"/>
      <c r="BEJ374" s="21"/>
      <c r="BEK374" s="21"/>
      <c r="BEN374" s="21"/>
      <c r="BEO374" s="15"/>
      <c r="BEP374" s="15"/>
      <c r="BEQ374" s="15"/>
      <c r="BER374" s="15"/>
      <c r="BES374" s="15"/>
      <c r="BET374" s="15"/>
      <c r="BEU374" s="15"/>
      <c r="BEV374" s="15"/>
      <c r="BEW374" s="15"/>
      <c r="BEX374" s="15"/>
      <c r="BEY374" s="10"/>
      <c r="BEZ374" s="10"/>
      <c r="BFA374" s="21"/>
      <c r="BFB374" s="21"/>
      <c r="BFE374" s="21"/>
      <c r="BFF374" s="15"/>
      <c r="BFG374" s="15"/>
      <c r="BFH374" s="15"/>
      <c r="BFI374" s="15"/>
      <c r="BFJ374" s="15"/>
      <c r="BFK374" s="15"/>
      <c r="BFL374" s="15"/>
      <c r="BFM374" s="15"/>
      <c r="BFN374" s="15"/>
      <c r="BFO374" s="15"/>
      <c r="BFP374" s="10"/>
      <c r="BFQ374" s="10"/>
      <c r="BFR374" s="21"/>
      <c r="BFS374" s="21"/>
      <c r="BFV374" s="21"/>
      <c r="BFW374" s="15"/>
      <c r="BFX374" s="15"/>
      <c r="BFY374" s="15"/>
      <c r="BFZ374" s="15"/>
      <c r="BGA374" s="15"/>
      <c r="BGB374" s="15"/>
      <c r="BGC374" s="15"/>
      <c r="BGD374" s="15"/>
      <c r="BGE374" s="15"/>
      <c r="BGF374" s="15"/>
      <c r="BGG374" s="10"/>
      <c r="BGH374" s="10"/>
      <c r="BGI374" s="21"/>
      <c r="BGJ374" s="21"/>
      <c r="BGM374" s="21"/>
      <c r="BGN374" s="15"/>
      <c r="BGO374" s="15"/>
      <c r="BGP374" s="15"/>
      <c r="BGQ374" s="15"/>
      <c r="BGR374" s="15"/>
      <c r="BGS374" s="15"/>
      <c r="BGT374" s="15"/>
      <c r="BGU374" s="15"/>
      <c r="BGV374" s="15"/>
      <c r="BGW374" s="15"/>
      <c r="BGX374" s="10"/>
      <c r="BGY374" s="10"/>
      <c r="BGZ374" s="21"/>
      <c r="BHA374" s="21"/>
      <c r="BHD374" s="21"/>
      <c r="BHE374" s="15"/>
      <c r="BHF374" s="15"/>
      <c r="BHG374" s="15"/>
      <c r="BHH374" s="15"/>
      <c r="BHI374" s="15"/>
      <c r="BHJ374" s="15"/>
      <c r="BHK374" s="15"/>
      <c r="BHL374" s="15"/>
      <c r="BHM374" s="15"/>
      <c r="BHN374" s="15"/>
      <c r="BHO374" s="10"/>
      <c r="BHP374" s="10"/>
      <c r="BHQ374" s="21"/>
      <c r="BHR374" s="21"/>
      <c r="BHU374" s="21"/>
      <c r="BHV374" s="15"/>
      <c r="BHW374" s="15"/>
      <c r="BHX374" s="15"/>
      <c r="BHY374" s="15"/>
      <c r="BHZ374" s="15"/>
      <c r="BIA374" s="15"/>
      <c r="BIB374" s="15"/>
      <c r="BIC374" s="15"/>
      <c r="BID374" s="15"/>
      <c r="BIE374" s="15"/>
      <c r="BIF374" s="10"/>
      <c r="BIG374" s="10"/>
      <c r="BIH374" s="21"/>
      <c r="BII374" s="21"/>
      <c r="BIL374" s="21"/>
      <c r="BIM374" s="15"/>
      <c r="BIN374" s="15"/>
      <c r="BIO374" s="15"/>
      <c r="BIP374" s="15"/>
      <c r="BIQ374" s="15"/>
      <c r="BIR374" s="15"/>
      <c r="BIS374" s="15"/>
      <c r="BIT374" s="15"/>
      <c r="BIU374" s="15"/>
      <c r="BIV374" s="15"/>
      <c r="BIW374" s="10"/>
      <c r="BIX374" s="10"/>
      <c r="BIY374" s="21"/>
      <c r="BIZ374" s="21"/>
      <c r="BJC374" s="21"/>
      <c r="BJD374" s="15"/>
      <c r="BJE374" s="15"/>
      <c r="BJF374" s="15"/>
      <c r="BJG374" s="15"/>
      <c r="BJH374" s="15"/>
      <c r="BJI374" s="15"/>
      <c r="BJJ374" s="15"/>
      <c r="BJK374" s="15"/>
      <c r="BJL374" s="15"/>
      <c r="BJM374" s="15"/>
      <c r="BJN374" s="10"/>
      <c r="BJO374" s="10"/>
      <c r="BJP374" s="21"/>
      <c r="BJQ374" s="21"/>
      <c r="BJT374" s="21"/>
      <c r="BJU374" s="15"/>
      <c r="BJV374" s="15"/>
      <c r="BJW374" s="15"/>
      <c r="BJX374" s="15"/>
      <c r="BJY374" s="15"/>
      <c r="BJZ374" s="15"/>
      <c r="BKA374" s="15"/>
      <c r="BKB374" s="15"/>
      <c r="BKC374" s="15"/>
      <c r="BKD374" s="15"/>
      <c r="BKE374" s="10"/>
      <c r="BKF374" s="10"/>
      <c r="BKG374" s="21"/>
      <c r="BKH374" s="21"/>
      <c r="BKK374" s="21"/>
      <c r="BKL374" s="15"/>
      <c r="BKM374" s="15"/>
      <c r="BKN374" s="15"/>
      <c r="BKO374" s="15"/>
      <c r="BKP374" s="15"/>
      <c r="BKQ374" s="15"/>
      <c r="BKR374" s="15"/>
      <c r="BKS374" s="15"/>
      <c r="BKT374" s="15"/>
      <c r="BKU374" s="15"/>
      <c r="BKV374" s="10"/>
      <c r="BKW374" s="10"/>
      <c r="BKX374" s="21"/>
      <c r="BKY374" s="21"/>
      <c r="BLB374" s="21"/>
      <c r="BLC374" s="15"/>
      <c r="BLD374" s="15"/>
      <c r="BLE374" s="15"/>
      <c r="BLF374" s="15"/>
      <c r="BLG374" s="15"/>
      <c r="BLH374" s="15"/>
      <c r="BLI374" s="15"/>
      <c r="BLJ374" s="15"/>
      <c r="BLK374" s="15"/>
      <c r="BLL374" s="15"/>
      <c r="BLM374" s="10"/>
      <c r="BLN374" s="10"/>
      <c r="BLO374" s="21"/>
      <c r="BLP374" s="21"/>
      <c r="BLS374" s="21"/>
      <c r="BLT374" s="15"/>
      <c r="BLU374" s="15"/>
      <c r="BLV374" s="15"/>
      <c r="BLW374" s="15"/>
      <c r="BLX374" s="15"/>
      <c r="BLY374" s="15"/>
      <c r="BLZ374" s="15"/>
      <c r="BMA374" s="15"/>
      <c r="BMB374" s="15"/>
      <c r="BMC374" s="15"/>
      <c r="BMD374" s="10"/>
      <c r="BME374" s="10"/>
      <c r="BMF374" s="21"/>
      <c r="BMG374" s="21"/>
      <c r="BMJ374" s="21"/>
      <c r="BMK374" s="15"/>
      <c r="BML374" s="15"/>
      <c r="BMM374" s="15"/>
      <c r="BMN374" s="15"/>
      <c r="BMO374" s="15"/>
      <c r="BMP374" s="15"/>
      <c r="BMQ374" s="15"/>
      <c r="BMR374" s="15"/>
      <c r="BMS374" s="15"/>
      <c r="BMT374" s="15"/>
      <c r="BMU374" s="10"/>
      <c r="BMV374" s="10"/>
      <c r="BMW374" s="21"/>
      <c r="BMX374" s="21"/>
      <c r="BNA374" s="21"/>
      <c r="BNB374" s="15"/>
      <c r="BNC374" s="15"/>
      <c r="BND374" s="15"/>
      <c r="BNE374" s="15"/>
      <c r="BNF374" s="15"/>
      <c r="BNG374" s="15"/>
      <c r="BNH374" s="15"/>
      <c r="BNI374" s="15"/>
      <c r="BNJ374" s="15"/>
      <c r="BNK374" s="15"/>
      <c r="BNL374" s="10"/>
      <c r="BNM374" s="10"/>
      <c r="BNN374" s="21"/>
      <c r="BNO374" s="21"/>
      <c r="BNR374" s="21"/>
      <c r="BNS374" s="15"/>
      <c r="BNT374" s="15"/>
      <c r="BNU374" s="15"/>
      <c r="BNV374" s="15"/>
      <c r="BNW374" s="15"/>
      <c r="BNX374" s="15"/>
      <c r="BNY374" s="15"/>
      <c r="BNZ374" s="15"/>
      <c r="BOA374" s="15"/>
      <c r="BOB374" s="15"/>
      <c r="BOC374" s="10"/>
      <c r="BOD374" s="10"/>
      <c r="BOE374" s="21"/>
      <c r="BOF374" s="21"/>
      <c r="BOI374" s="21"/>
      <c r="BOJ374" s="15"/>
      <c r="BOK374" s="15"/>
      <c r="BOL374" s="15"/>
      <c r="BOM374" s="15"/>
      <c r="BON374" s="15"/>
      <c r="BOO374" s="15"/>
      <c r="BOP374" s="15"/>
      <c r="BOQ374" s="15"/>
      <c r="BOR374" s="15"/>
      <c r="BOS374" s="15"/>
      <c r="BOT374" s="10"/>
      <c r="BOU374" s="10"/>
      <c r="BOV374" s="21"/>
      <c r="BOW374" s="21"/>
      <c r="BOZ374" s="21"/>
      <c r="BPA374" s="15"/>
      <c r="BPB374" s="15"/>
      <c r="BPC374" s="15"/>
      <c r="BPD374" s="15"/>
      <c r="BPE374" s="15"/>
      <c r="BPF374" s="15"/>
      <c r="BPG374" s="15"/>
      <c r="BPH374" s="15"/>
      <c r="BPI374" s="15"/>
      <c r="BPJ374" s="15"/>
      <c r="BPK374" s="10"/>
      <c r="BPL374" s="10"/>
      <c r="BPM374" s="21"/>
      <c r="BPN374" s="21"/>
      <c r="BPQ374" s="21"/>
      <c r="BPR374" s="15"/>
      <c r="BPS374" s="15"/>
      <c r="BPT374" s="15"/>
      <c r="BPU374" s="15"/>
      <c r="BPV374" s="15"/>
      <c r="BPW374" s="15"/>
      <c r="BPX374" s="15"/>
      <c r="BPY374" s="15"/>
      <c r="BPZ374" s="15"/>
      <c r="BQA374" s="15"/>
      <c r="BQB374" s="10"/>
      <c r="BQC374" s="10"/>
      <c r="BQD374" s="21"/>
      <c r="BQE374" s="21"/>
      <c r="BQH374" s="21"/>
      <c r="BQI374" s="15"/>
      <c r="BQJ374" s="15"/>
      <c r="BQK374" s="15"/>
      <c r="BQL374" s="15"/>
      <c r="BQM374" s="15"/>
      <c r="BQN374" s="15"/>
      <c r="BQO374" s="15"/>
      <c r="BQP374" s="15"/>
      <c r="BQQ374" s="15"/>
      <c r="BQR374" s="15"/>
      <c r="BQS374" s="10"/>
      <c r="BQT374" s="10"/>
      <c r="BQU374" s="21"/>
      <c r="BQV374" s="21"/>
      <c r="BQY374" s="21"/>
      <c r="BQZ374" s="15"/>
      <c r="BRA374" s="15"/>
      <c r="BRB374" s="15"/>
      <c r="BRC374" s="15"/>
      <c r="BRD374" s="15"/>
      <c r="BRE374" s="15"/>
      <c r="BRF374" s="15"/>
      <c r="BRG374" s="15"/>
      <c r="BRH374" s="15"/>
      <c r="BRI374" s="15"/>
      <c r="BRJ374" s="10"/>
      <c r="BRK374" s="10"/>
      <c r="BRL374" s="21"/>
      <c r="BRM374" s="21"/>
      <c r="BRP374" s="21"/>
      <c r="BRQ374" s="15"/>
      <c r="BRR374" s="15"/>
      <c r="BRS374" s="15"/>
      <c r="BRT374" s="15"/>
      <c r="BRU374" s="15"/>
      <c r="BRV374" s="15"/>
      <c r="BRW374" s="15"/>
      <c r="BRX374" s="15"/>
      <c r="BRY374" s="15"/>
      <c r="BRZ374" s="15"/>
      <c r="BSA374" s="10"/>
      <c r="BSB374" s="10"/>
      <c r="BSC374" s="21"/>
      <c r="BSD374" s="21"/>
      <c r="BSG374" s="21"/>
      <c r="BSH374" s="15"/>
      <c r="BSI374" s="15"/>
      <c r="BSJ374" s="15"/>
      <c r="BSK374" s="15"/>
      <c r="BSL374" s="15"/>
      <c r="BSM374" s="15"/>
      <c r="BSN374" s="15"/>
      <c r="BSO374" s="15"/>
      <c r="BSP374" s="15"/>
      <c r="BSQ374" s="15"/>
      <c r="BSR374" s="10"/>
      <c r="BSS374" s="10"/>
      <c r="BST374" s="21"/>
      <c r="BSU374" s="21"/>
      <c r="BSX374" s="21"/>
      <c r="BSY374" s="15"/>
      <c r="BSZ374" s="15"/>
      <c r="BTA374" s="15"/>
      <c r="BTB374" s="15"/>
      <c r="BTC374" s="15"/>
      <c r="BTD374" s="15"/>
      <c r="BTE374" s="15"/>
      <c r="BTF374" s="15"/>
      <c r="BTG374" s="15"/>
      <c r="BTH374" s="15"/>
      <c r="BTI374" s="10"/>
      <c r="BTJ374" s="10"/>
      <c r="BTK374" s="21"/>
      <c r="BTL374" s="21"/>
      <c r="BTO374" s="21"/>
      <c r="BTP374" s="15"/>
      <c r="BTQ374" s="15"/>
      <c r="BTR374" s="15"/>
      <c r="BTS374" s="15"/>
      <c r="BTT374" s="15"/>
      <c r="BTU374" s="15"/>
      <c r="BTV374" s="15"/>
      <c r="BTW374" s="15"/>
      <c r="BTX374" s="15"/>
      <c r="BTY374" s="15"/>
      <c r="BTZ374" s="10"/>
      <c r="BUA374" s="10"/>
      <c r="BUB374" s="21"/>
      <c r="BUC374" s="21"/>
      <c r="BUF374" s="21"/>
      <c r="BUG374" s="15"/>
      <c r="BUH374" s="15"/>
      <c r="BUI374" s="15"/>
      <c r="BUJ374" s="15"/>
      <c r="BUK374" s="15"/>
      <c r="BUL374" s="15"/>
      <c r="BUM374" s="15"/>
      <c r="BUN374" s="15"/>
      <c r="BUO374" s="15"/>
      <c r="BUP374" s="15"/>
      <c r="BUQ374" s="10"/>
      <c r="BUR374" s="10"/>
      <c r="BUS374" s="21"/>
      <c r="BUT374" s="21"/>
      <c r="BUW374" s="21"/>
      <c r="BUX374" s="15"/>
      <c r="BUY374" s="15"/>
      <c r="BUZ374" s="15"/>
      <c r="BVA374" s="15"/>
      <c r="BVB374" s="15"/>
      <c r="BVC374" s="15"/>
      <c r="BVD374" s="15"/>
      <c r="BVE374" s="15"/>
      <c r="BVF374" s="15"/>
      <c r="BVG374" s="15"/>
      <c r="BVH374" s="10"/>
      <c r="BVI374" s="10"/>
      <c r="BVJ374" s="21"/>
      <c r="BVK374" s="21"/>
      <c r="BVN374" s="21"/>
      <c r="BVO374" s="15"/>
      <c r="BVP374" s="15"/>
      <c r="BVQ374" s="15"/>
      <c r="BVR374" s="15"/>
      <c r="BVS374" s="15"/>
      <c r="BVT374" s="15"/>
      <c r="BVU374" s="15"/>
      <c r="BVV374" s="15"/>
      <c r="BVW374" s="15"/>
      <c r="BVX374" s="15"/>
      <c r="BVY374" s="10"/>
      <c r="BVZ374" s="10"/>
      <c r="BWA374" s="21"/>
      <c r="BWB374" s="21"/>
      <c r="BWE374" s="21"/>
      <c r="BWF374" s="15"/>
      <c r="BWG374" s="15"/>
      <c r="BWH374" s="15"/>
      <c r="BWI374" s="15"/>
      <c r="BWJ374" s="15"/>
      <c r="BWK374" s="15"/>
      <c r="BWL374" s="15"/>
      <c r="BWM374" s="15"/>
      <c r="BWN374" s="15"/>
      <c r="BWO374" s="15"/>
      <c r="BWP374" s="10"/>
      <c r="BWQ374" s="10"/>
      <c r="BWR374" s="21"/>
      <c r="BWS374" s="21"/>
      <c r="BWV374" s="21"/>
      <c r="BWW374" s="15"/>
      <c r="BWX374" s="15"/>
      <c r="BWY374" s="15"/>
      <c r="BWZ374" s="15"/>
      <c r="BXA374" s="15"/>
      <c r="BXB374" s="15"/>
      <c r="BXC374" s="15"/>
      <c r="BXD374" s="15"/>
      <c r="BXE374" s="15"/>
      <c r="BXF374" s="15"/>
      <c r="BXG374" s="10"/>
      <c r="BXH374" s="10"/>
      <c r="BXI374" s="21"/>
      <c r="BXJ374" s="21"/>
      <c r="BXM374" s="21"/>
      <c r="BXN374" s="15"/>
      <c r="BXO374" s="15"/>
      <c r="BXP374" s="15"/>
      <c r="BXQ374" s="15"/>
      <c r="BXR374" s="15"/>
      <c r="BXS374" s="15"/>
      <c r="BXT374" s="15"/>
      <c r="BXU374" s="15"/>
      <c r="BXV374" s="15"/>
      <c r="BXW374" s="15"/>
      <c r="BXX374" s="10"/>
      <c r="BXY374" s="10"/>
      <c r="BXZ374" s="21"/>
      <c r="BYA374" s="21"/>
      <c r="BYD374" s="21"/>
      <c r="BYE374" s="15"/>
      <c r="BYF374" s="15"/>
      <c r="BYG374" s="15"/>
      <c r="BYH374" s="15"/>
      <c r="BYI374" s="15"/>
      <c r="BYJ374" s="15"/>
      <c r="BYK374" s="15"/>
      <c r="BYL374" s="15"/>
      <c r="BYM374" s="15"/>
      <c r="BYN374" s="15"/>
      <c r="BYO374" s="10"/>
      <c r="BYP374" s="10"/>
      <c r="BYQ374" s="21"/>
      <c r="BYR374" s="21"/>
      <c r="BYU374" s="21"/>
      <c r="BYV374" s="15"/>
      <c r="BYW374" s="15"/>
      <c r="BYX374" s="15"/>
      <c r="BYY374" s="15"/>
      <c r="BYZ374" s="15"/>
      <c r="BZA374" s="15"/>
      <c r="BZB374" s="15"/>
      <c r="BZC374" s="15"/>
      <c r="BZD374" s="15"/>
      <c r="BZE374" s="15"/>
      <c r="BZF374" s="10"/>
      <c r="BZG374" s="10"/>
      <c r="BZH374" s="21"/>
      <c r="BZI374" s="21"/>
      <c r="BZL374" s="21"/>
      <c r="BZM374" s="15"/>
      <c r="BZN374" s="15"/>
      <c r="BZO374" s="15"/>
      <c r="BZP374" s="15"/>
      <c r="BZQ374" s="15"/>
      <c r="BZR374" s="15"/>
      <c r="BZS374" s="15"/>
      <c r="BZT374" s="15"/>
      <c r="BZU374" s="15"/>
      <c r="BZV374" s="15"/>
      <c r="BZW374" s="10"/>
      <c r="BZX374" s="10"/>
      <c r="BZY374" s="21"/>
      <c r="BZZ374" s="21"/>
      <c r="CAC374" s="21"/>
      <c r="CAD374" s="15"/>
      <c r="CAE374" s="15"/>
      <c r="CAF374" s="15"/>
      <c r="CAG374" s="15"/>
      <c r="CAH374" s="15"/>
      <c r="CAI374" s="15"/>
      <c r="CAJ374" s="15"/>
      <c r="CAK374" s="15"/>
      <c r="CAL374" s="15"/>
      <c r="CAM374" s="15"/>
      <c r="CAN374" s="10"/>
      <c r="CAO374" s="10"/>
      <c r="CAP374" s="21"/>
      <c r="CAQ374" s="21"/>
      <c r="CAT374" s="21"/>
      <c r="CAU374" s="15"/>
      <c r="CAV374" s="15"/>
      <c r="CAW374" s="15"/>
      <c r="CAX374" s="15"/>
      <c r="CAY374" s="15"/>
      <c r="CAZ374" s="15"/>
      <c r="CBA374" s="15"/>
      <c r="CBB374" s="15"/>
      <c r="CBC374" s="15"/>
      <c r="CBD374" s="15"/>
      <c r="CBE374" s="10"/>
      <c r="CBF374" s="10"/>
      <c r="CBG374" s="21"/>
      <c r="CBH374" s="21"/>
      <c r="CBK374" s="21"/>
      <c r="CBL374" s="15"/>
      <c r="CBM374" s="15"/>
      <c r="CBN374" s="15"/>
      <c r="CBO374" s="15"/>
      <c r="CBP374" s="15"/>
      <c r="CBQ374" s="15"/>
      <c r="CBR374" s="15"/>
      <c r="CBS374" s="15"/>
      <c r="CBT374" s="15"/>
      <c r="CBU374" s="15"/>
      <c r="CBV374" s="10"/>
      <c r="CBW374" s="10"/>
      <c r="CBX374" s="21"/>
      <c r="CBY374" s="21"/>
      <c r="CCB374" s="21"/>
      <c r="CCC374" s="15"/>
      <c r="CCD374" s="15"/>
      <c r="CCE374" s="15"/>
      <c r="CCF374" s="15"/>
      <c r="CCG374" s="15"/>
      <c r="CCH374" s="15"/>
      <c r="CCI374" s="15"/>
      <c r="CCJ374" s="15"/>
      <c r="CCK374" s="15"/>
      <c r="CCL374" s="15"/>
      <c r="CCM374" s="10"/>
      <c r="CCN374" s="10"/>
      <c r="CCO374" s="21"/>
      <c r="CCP374" s="21"/>
      <c r="CCS374" s="21"/>
      <c r="CCT374" s="15"/>
      <c r="CCU374" s="15"/>
      <c r="CCV374" s="15"/>
      <c r="CCW374" s="15"/>
      <c r="CCX374" s="15"/>
      <c r="CCY374" s="15"/>
      <c r="CCZ374" s="15"/>
      <c r="CDA374" s="15"/>
      <c r="CDB374" s="15"/>
      <c r="CDC374" s="15"/>
      <c r="CDD374" s="10"/>
      <c r="CDE374" s="10"/>
      <c r="CDF374" s="21"/>
      <c r="CDG374" s="21"/>
      <c r="CDJ374" s="21"/>
      <c r="CDK374" s="15"/>
      <c r="CDL374" s="15"/>
      <c r="CDM374" s="15"/>
      <c r="CDN374" s="15"/>
      <c r="CDO374" s="15"/>
      <c r="CDP374" s="15"/>
      <c r="CDQ374" s="15"/>
      <c r="CDR374" s="15"/>
      <c r="CDS374" s="15"/>
      <c r="CDT374" s="15"/>
      <c r="CDU374" s="10"/>
      <c r="CDV374" s="10"/>
      <c r="CDW374" s="21"/>
      <c r="CDX374" s="21"/>
      <c r="CEA374" s="21"/>
      <c r="CEB374" s="15"/>
      <c r="CEC374" s="15"/>
      <c r="CED374" s="15"/>
      <c r="CEE374" s="15"/>
      <c r="CEF374" s="15"/>
      <c r="CEG374" s="15"/>
      <c r="CEH374" s="15"/>
      <c r="CEI374" s="15"/>
      <c r="CEJ374" s="15"/>
      <c r="CEK374" s="15"/>
      <c r="CEL374" s="10"/>
      <c r="CEM374" s="10"/>
      <c r="CEN374" s="21"/>
      <c r="CEO374" s="21"/>
      <c r="CER374" s="21"/>
      <c r="CES374" s="15"/>
      <c r="CET374" s="15"/>
      <c r="CEU374" s="15"/>
      <c r="CEV374" s="15"/>
      <c r="CEW374" s="15"/>
      <c r="CEX374" s="15"/>
      <c r="CEY374" s="15"/>
      <c r="CEZ374" s="15"/>
      <c r="CFA374" s="15"/>
      <c r="CFB374" s="15"/>
      <c r="CFC374" s="10"/>
      <c r="CFD374" s="10"/>
      <c r="CFE374" s="21"/>
      <c r="CFF374" s="21"/>
      <c r="CFI374" s="21"/>
      <c r="CFJ374" s="15"/>
      <c r="CFK374" s="15"/>
      <c r="CFL374" s="15"/>
      <c r="CFM374" s="15"/>
      <c r="CFN374" s="15"/>
      <c r="CFO374" s="15"/>
      <c r="CFP374" s="15"/>
      <c r="CFQ374" s="15"/>
      <c r="CFR374" s="15"/>
      <c r="CFS374" s="15"/>
      <c r="CFT374" s="10"/>
      <c r="CFU374" s="10"/>
      <c r="CFV374" s="21"/>
      <c r="CFW374" s="21"/>
      <c r="CFZ374" s="21"/>
      <c r="CGA374" s="15"/>
      <c r="CGB374" s="15"/>
      <c r="CGC374" s="15"/>
      <c r="CGD374" s="15"/>
      <c r="CGE374" s="15"/>
      <c r="CGF374" s="15"/>
      <c r="CGG374" s="15"/>
      <c r="CGH374" s="15"/>
      <c r="CGI374" s="15"/>
      <c r="CGJ374" s="15"/>
      <c r="CGK374" s="10"/>
      <c r="CGL374" s="10"/>
      <c r="CGM374" s="21"/>
      <c r="CGN374" s="21"/>
      <c r="CGQ374" s="21"/>
      <c r="CGR374" s="15"/>
      <c r="CGS374" s="15"/>
      <c r="CGT374" s="15"/>
      <c r="CGU374" s="15"/>
      <c r="CGV374" s="15"/>
      <c r="CGW374" s="15"/>
      <c r="CGX374" s="15"/>
      <c r="CGY374" s="15"/>
      <c r="CGZ374" s="15"/>
      <c r="CHA374" s="15"/>
      <c r="CHB374" s="10"/>
      <c r="CHC374" s="10"/>
      <c r="CHD374" s="21"/>
      <c r="CHE374" s="21"/>
      <c r="CHH374" s="21"/>
      <c r="CHI374" s="15"/>
      <c r="CHJ374" s="15"/>
      <c r="CHK374" s="15"/>
      <c r="CHL374" s="15"/>
      <c r="CHM374" s="15"/>
      <c r="CHN374" s="15"/>
      <c r="CHO374" s="15"/>
      <c r="CHP374" s="15"/>
      <c r="CHQ374" s="15"/>
      <c r="CHR374" s="15"/>
      <c r="CHS374" s="10"/>
      <c r="CHT374" s="10"/>
      <c r="CHU374" s="21"/>
      <c r="CHV374" s="21"/>
      <c r="CHY374" s="21"/>
      <c r="CHZ374" s="15"/>
      <c r="CIA374" s="15"/>
      <c r="CIB374" s="15"/>
      <c r="CIC374" s="15"/>
      <c r="CID374" s="15"/>
      <c r="CIE374" s="15"/>
      <c r="CIF374" s="15"/>
      <c r="CIG374" s="15"/>
      <c r="CIH374" s="15"/>
      <c r="CII374" s="15"/>
      <c r="CIJ374" s="10"/>
      <c r="CIK374" s="10"/>
      <c r="CIL374" s="21"/>
      <c r="CIM374" s="21"/>
      <c r="CIP374" s="21"/>
      <c r="CIQ374" s="15"/>
      <c r="CIR374" s="15"/>
      <c r="CIS374" s="15"/>
      <c r="CIT374" s="15"/>
      <c r="CIU374" s="15"/>
      <c r="CIV374" s="15"/>
      <c r="CIW374" s="15"/>
      <c r="CIX374" s="15"/>
      <c r="CIY374" s="15"/>
      <c r="CIZ374" s="15"/>
      <c r="CJA374" s="10"/>
      <c r="CJB374" s="10"/>
      <c r="CJC374" s="21"/>
      <c r="CJD374" s="21"/>
      <c r="CJG374" s="21"/>
      <c r="CJH374" s="15"/>
      <c r="CJI374" s="15"/>
      <c r="CJJ374" s="15"/>
      <c r="CJK374" s="15"/>
      <c r="CJL374" s="15"/>
      <c r="CJM374" s="15"/>
      <c r="CJN374" s="15"/>
      <c r="CJO374" s="15"/>
      <c r="CJP374" s="15"/>
      <c r="CJQ374" s="15"/>
      <c r="CJR374" s="10"/>
      <c r="CJS374" s="10"/>
      <c r="CJT374" s="21"/>
      <c r="CJU374" s="21"/>
      <c r="CJX374" s="21"/>
      <c r="CJY374" s="15"/>
      <c r="CJZ374" s="15"/>
      <c r="CKA374" s="15"/>
      <c r="CKB374" s="15"/>
      <c r="CKC374" s="15"/>
      <c r="CKD374" s="15"/>
      <c r="CKE374" s="15"/>
      <c r="CKF374" s="15"/>
      <c r="CKG374" s="15"/>
      <c r="CKH374" s="15"/>
      <c r="CKI374" s="10"/>
      <c r="CKJ374" s="10"/>
      <c r="CKK374" s="21"/>
      <c r="CKL374" s="21"/>
      <c r="CKO374" s="21"/>
      <c r="CKP374" s="15"/>
      <c r="CKQ374" s="15"/>
      <c r="CKR374" s="15"/>
      <c r="CKS374" s="15"/>
      <c r="CKT374" s="15"/>
      <c r="CKU374" s="15"/>
      <c r="CKV374" s="15"/>
      <c r="CKW374" s="15"/>
      <c r="CKX374" s="15"/>
      <c r="CKY374" s="15"/>
      <c r="CKZ374" s="10"/>
      <c r="CLA374" s="10"/>
      <c r="CLB374" s="21"/>
      <c r="CLC374" s="21"/>
      <c r="CLF374" s="21"/>
      <c r="CLG374" s="15"/>
      <c r="CLH374" s="15"/>
      <c r="CLI374" s="15"/>
      <c r="CLJ374" s="15"/>
      <c r="CLK374" s="15"/>
      <c r="CLL374" s="15"/>
      <c r="CLM374" s="15"/>
      <c r="CLN374" s="15"/>
      <c r="CLO374" s="15"/>
      <c r="CLP374" s="15"/>
      <c r="CLQ374" s="10"/>
      <c r="CLR374" s="10"/>
      <c r="CLS374" s="21"/>
      <c r="CLT374" s="21"/>
      <c r="CLW374" s="21"/>
      <c r="CLX374" s="15"/>
      <c r="CLY374" s="15"/>
      <c r="CLZ374" s="15"/>
      <c r="CMA374" s="15"/>
      <c r="CMB374" s="15"/>
      <c r="CMC374" s="15"/>
      <c r="CMD374" s="15"/>
      <c r="CME374" s="15"/>
      <c r="CMF374" s="15"/>
      <c r="CMG374" s="15"/>
      <c r="CMH374" s="10"/>
      <c r="CMI374" s="10"/>
      <c r="CMJ374" s="21"/>
      <c r="CMK374" s="21"/>
      <c r="CMN374" s="21"/>
      <c r="CMO374" s="15"/>
      <c r="CMP374" s="15"/>
      <c r="CMQ374" s="15"/>
      <c r="CMR374" s="15"/>
      <c r="CMS374" s="15"/>
      <c r="CMT374" s="15"/>
      <c r="CMU374" s="15"/>
      <c r="CMV374" s="15"/>
      <c r="CMW374" s="15"/>
      <c r="CMX374" s="15"/>
      <c r="CMY374" s="10"/>
      <c r="CMZ374" s="10"/>
      <c r="CNA374" s="21"/>
      <c r="CNB374" s="21"/>
      <c r="CNE374" s="21"/>
      <c r="CNF374" s="15"/>
      <c r="CNG374" s="15"/>
      <c r="CNH374" s="15"/>
      <c r="CNI374" s="15"/>
      <c r="CNJ374" s="15"/>
      <c r="CNK374" s="15"/>
      <c r="CNL374" s="15"/>
      <c r="CNM374" s="15"/>
      <c r="CNN374" s="15"/>
      <c r="CNO374" s="15"/>
      <c r="CNP374" s="10"/>
      <c r="CNQ374" s="10"/>
      <c r="CNR374" s="21"/>
      <c r="CNS374" s="21"/>
      <c r="CNV374" s="21"/>
      <c r="CNW374" s="15"/>
      <c r="CNX374" s="15"/>
      <c r="CNY374" s="15"/>
      <c r="CNZ374" s="15"/>
      <c r="COA374" s="15"/>
      <c r="COB374" s="15"/>
      <c r="COC374" s="15"/>
      <c r="COD374" s="15"/>
      <c r="COE374" s="15"/>
      <c r="COF374" s="15"/>
      <c r="COG374" s="10"/>
      <c r="COH374" s="10"/>
      <c r="COI374" s="21"/>
      <c r="COJ374" s="21"/>
      <c r="COM374" s="21"/>
      <c r="CON374" s="15"/>
      <c r="COO374" s="15"/>
      <c r="COP374" s="15"/>
      <c r="COQ374" s="15"/>
      <c r="COR374" s="15"/>
      <c r="COS374" s="15"/>
      <c r="COT374" s="15"/>
      <c r="COU374" s="15"/>
      <c r="COV374" s="15"/>
      <c r="COW374" s="15"/>
      <c r="COX374" s="10"/>
      <c r="COY374" s="10"/>
      <c r="COZ374" s="21"/>
      <c r="CPA374" s="21"/>
      <c r="CPD374" s="21"/>
      <c r="CPE374" s="15"/>
      <c r="CPF374" s="15"/>
      <c r="CPG374" s="15"/>
      <c r="CPH374" s="15"/>
      <c r="CPI374" s="15"/>
      <c r="CPJ374" s="15"/>
      <c r="CPK374" s="15"/>
      <c r="CPL374" s="15"/>
      <c r="CPM374" s="15"/>
      <c r="CPN374" s="15"/>
      <c r="CPO374" s="10"/>
      <c r="CPP374" s="10"/>
      <c r="CPQ374" s="21"/>
      <c r="CPR374" s="21"/>
      <c r="CPU374" s="21"/>
      <c r="CPV374" s="15"/>
      <c r="CPW374" s="15"/>
      <c r="CPX374" s="15"/>
      <c r="CPY374" s="15"/>
      <c r="CPZ374" s="15"/>
      <c r="CQA374" s="15"/>
      <c r="CQB374" s="15"/>
      <c r="CQC374" s="15"/>
      <c r="CQD374" s="15"/>
      <c r="CQE374" s="15"/>
      <c r="CQF374" s="10"/>
      <c r="CQG374" s="10"/>
      <c r="CQH374" s="21"/>
      <c r="CQI374" s="21"/>
      <c r="CQL374" s="21"/>
      <c r="CQM374" s="15"/>
      <c r="CQN374" s="15"/>
      <c r="CQO374" s="15"/>
      <c r="CQP374" s="15"/>
      <c r="CQQ374" s="15"/>
      <c r="CQR374" s="15"/>
      <c r="CQS374" s="15"/>
      <c r="CQT374" s="15"/>
      <c r="CQU374" s="15"/>
      <c r="CQV374" s="15"/>
      <c r="CQW374" s="10"/>
      <c r="CQX374" s="10"/>
      <c r="CQY374" s="21"/>
      <c r="CQZ374" s="21"/>
      <c r="CRC374" s="21"/>
      <c r="CRD374" s="15"/>
      <c r="CRE374" s="15"/>
      <c r="CRF374" s="15"/>
      <c r="CRG374" s="15"/>
      <c r="CRH374" s="15"/>
      <c r="CRI374" s="15"/>
      <c r="CRJ374" s="15"/>
      <c r="CRK374" s="15"/>
      <c r="CRL374" s="15"/>
      <c r="CRM374" s="15"/>
      <c r="CRN374" s="10"/>
      <c r="CRO374" s="10"/>
      <c r="CRP374" s="21"/>
      <c r="CRQ374" s="21"/>
      <c r="CRT374" s="21"/>
      <c r="CRU374" s="15"/>
      <c r="CRV374" s="15"/>
      <c r="CRW374" s="15"/>
      <c r="CRX374" s="15"/>
      <c r="CRY374" s="15"/>
      <c r="CRZ374" s="15"/>
      <c r="CSA374" s="15"/>
      <c r="CSB374" s="15"/>
      <c r="CSC374" s="15"/>
      <c r="CSD374" s="15"/>
      <c r="CSE374" s="10"/>
      <c r="CSF374" s="10"/>
      <c r="CSG374" s="21"/>
      <c r="CSH374" s="21"/>
      <c r="CSK374" s="21"/>
      <c r="CSL374" s="15"/>
      <c r="CSM374" s="15"/>
      <c r="CSN374" s="15"/>
      <c r="CSO374" s="15"/>
      <c r="CSP374" s="15"/>
      <c r="CSQ374" s="15"/>
      <c r="CSR374" s="15"/>
      <c r="CSS374" s="15"/>
      <c r="CST374" s="15"/>
      <c r="CSU374" s="15"/>
      <c r="CSV374" s="10"/>
      <c r="CSW374" s="10"/>
      <c r="CSX374" s="21"/>
      <c r="CSY374" s="21"/>
      <c r="CTB374" s="21"/>
      <c r="CTC374" s="15"/>
      <c r="CTD374" s="15"/>
      <c r="CTE374" s="15"/>
      <c r="CTF374" s="15"/>
      <c r="CTG374" s="15"/>
      <c r="CTH374" s="15"/>
      <c r="CTI374" s="15"/>
      <c r="CTJ374" s="15"/>
      <c r="CTK374" s="15"/>
      <c r="CTL374" s="15"/>
      <c r="CTM374" s="10"/>
      <c r="CTN374" s="10"/>
      <c r="CTO374" s="21"/>
      <c r="CTP374" s="21"/>
      <c r="CTS374" s="21"/>
      <c r="CTT374" s="15"/>
      <c r="CTU374" s="15"/>
      <c r="CTV374" s="15"/>
      <c r="CTW374" s="15"/>
      <c r="CTX374" s="15"/>
      <c r="CTY374" s="15"/>
      <c r="CTZ374" s="15"/>
      <c r="CUA374" s="15"/>
      <c r="CUB374" s="15"/>
      <c r="CUC374" s="15"/>
      <c r="CUD374" s="10"/>
      <c r="CUE374" s="10"/>
      <c r="CUF374" s="21"/>
      <c r="CUG374" s="21"/>
      <c r="CUJ374" s="21"/>
      <c r="CUK374" s="15"/>
      <c r="CUL374" s="15"/>
      <c r="CUM374" s="15"/>
      <c r="CUN374" s="15"/>
      <c r="CUO374" s="15"/>
      <c r="CUP374" s="15"/>
      <c r="CUQ374" s="15"/>
      <c r="CUR374" s="15"/>
      <c r="CUS374" s="15"/>
      <c r="CUT374" s="15"/>
      <c r="CUU374" s="10"/>
      <c r="CUV374" s="10"/>
      <c r="CUW374" s="21"/>
      <c r="CUX374" s="21"/>
      <c r="CVA374" s="21"/>
      <c r="CVB374" s="15"/>
      <c r="CVC374" s="15"/>
      <c r="CVD374" s="15"/>
      <c r="CVE374" s="15"/>
      <c r="CVF374" s="15"/>
      <c r="CVG374" s="15"/>
      <c r="CVH374" s="15"/>
      <c r="CVI374" s="15"/>
      <c r="CVJ374" s="15"/>
      <c r="CVK374" s="15"/>
      <c r="CVL374" s="10"/>
      <c r="CVM374" s="10"/>
      <c r="CVN374" s="21"/>
      <c r="CVO374" s="21"/>
      <c r="CVR374" s="21"/>
      <c r="CVS374" s="15"/>
      <c r="CVT374" s="15"/>
      <c r="CVU374" s="15"/>
      <c r="CVV374" s="15"/>
      <c r="CVW374" s="15"/>
      <c r="CVX374" s="15"/>
      <c r="CVY374" s="15"/>
      <c r="CVZ374" s="15"/>
      <c r="CWA374" s="15"/>
      <c r="CWB374" s="15"/>
      <c r="CWC374" s="10"/>
      <c r="CWD374" s="10"/>
      <c r="CWE374" s="21"/>
      <c r="CWF374" s="21"/>
      <c r="CWI374" s="21"/>
      <c r="CWJ374" s="15"/>
      <c r="CWK374" s="15"/>
      <c r="CWL374" s="15"/>
      <c r="CWM374" s="15"/>
      <c r="CWN374" s="15"/>
      <c r="CWO374" s="15"/>
      <c r="CWP374" s="15"/>
      <c r="CWQ374" s="15"/>
      <c r="CWR374" s="15"/>
      <c r="CWS374" s="15"/>
      <c r="CWT374" s="10"/>
      <c r="CWU374" s="10"/>
      <c r="CWV374" s="21"/>
      <c r="CWW374" s="21"/>
      <c r="CWZ374" s="21"/>
      <c r="CXA374" s="15"/>
      <c r="CXB374" s="15"/>
      <c r="CXC374" s="15"/>
      <c r="CXD374" s="15"/>
      <c r="CXE374" s="15"/>
      <c r="CXF374" s="15"/>
      <c r="CXG374" s="15"/>
      <c r="CXH374" s="15"/>
      <c r="CXI374" s="15"/>
      <c r="CXJ374" s="15"/>
      <c r="CXK374" s="10"/>
      <c r="CXL374" s="10"/>
      <c r="CXM374" s="21"/>
      <c r="CXN374" s="21"/>
      <c r="CXQ374" s="21"/>
      <c r="CXR374" s="15"/>
      <c r="CXS374" s="15"/>
      <c r="CXT374" s="15"/>
      <c r="CXU374" s="15"/>
      <c r="CXV374" s="15"/>
      <c r="CXW374" s="15"/>
      <c r="CXX374" s="15"/>
      <c r="CXY374" s="15"/>
      <c r="CXZ374" s="15"/>
      <c r="CYA374" s="15"/>
      <c r="CYB374" s="10"/>
      <c r="CYC374" s="10"/>
      <c r="CYD374" s="21"/>
      <c r="CYE374" s="21"/>
      <c r="CYH374" s="21"/>
      <c r="CYI374" s="15"/>
      <c r="CYJ374" s="15"/>
      <c r="CYK374" s="15"/>
      <c r="CYL374" s="15"/>
      <c r="CYM374" s="15"/>
      <c r="CYN374" s="15"/>
      <c r="CYO374" s="15"/>
      <c r="CYP374" s="15"/>
      <c r="CYQ374" s="15"/>
      <c r="CYR374" s="15"/>
      <c r="CYS374" s="10"/>
      <c r="CYT374" s="10"/>
      <c r="CYU374" s="21"/>
      <c r="CYV374" s="21"/>
      <c r="CYY374" s="21"/>
      <c r="CYZ374" s="15"/>
      <c r="CZA374" s="15"/>
      <c r="CZB374" s="15"/>
      <c r="CZC374" s="15"/>
      <c r="CZD374" s="15"/>
      <c r="CZE374" s="15"/>
      <c r="CZF374" s="15"/>
      <c r="CZG374" s="15"/>
      <c r="CZH374" s="15"/>
      <c r="CZI374" s="15"/>
      <c r="CZJ374" s="10"/>
      <c r="CZK374" s="10"/>
      <c r="CZL374" s="21"/>
      <c r="CZM374" s="21"/>
      <c r="CZP374" s="21"/>
      <c r="CZQ374" s="15"/>
      <c r="CZR374" s="15"/>
      <c r="CZS374" s="15"/>
      <c r="CZT374" s="15"/>
      <c r="CZU374" s="15"/>
      <c r="CZV374" s="15"/>
      <c r="CZW374" s="15"/>
      <c r="CZX374" s="15"/>
      <c r="CZY374" s="15"/>
      <c r="CZZ374" s="15"/>
      <c r="DAA374" s="10"/>
      <c r="DAB374" s="10"/>
      <c r="DAC374" s="21"/>
      <c r="DAD374" s="21"/>
      <c r="DAG374" s="21"/>
      <c r="DAH374" s="15"/>
      <c r="DAI374" s="15"/>
      <c r="DAJ374" s="15"/>
      <c r="DAK374" s="15"/>
      <c r="DAL374" s="15"/>
      <c r="DAM374" s="15"/>
      <c r="DAN374" s="15"/>
      <c r="DAO374" s="15"/>
      <c r="DAP374" s="15"/>
      <c r="DAQ374" s="15"/>
      <c r="DAR374" s="10"/>
      <c r="DAS374" s="10"/>
      <c r="DAT374" s="21"/>
      <c r="DAU374" s="21"/>
      <c r="DAX374" s="21"/>
      <c r="DAY374" s="15"/>
      <c r="DAZ374" s="15"/>
      <c r="DBA374" s="15"/>
      <c r="DBB374" s="15"/>
      <c r="DBC374" s="15"/>
      <c r="DBD374" s="15"/>
      <c r="DBE374" s="15"/>
      <c r="DBF374" s="15"/>
      <c r="DBG374" s="15"/>
      <c r="DBH374" s="15"/>
      <c r="DBI374" s="10"/>
      <c r="DBJ374" s="10"/>
      <c r="DBK374" s="21"/>
      <c r="DBL374" s="21"/>
      <c r="DBO374" s="21"/>
      <c r="DBP374" s="15"/>
      <c r="DBQ374" s="15"/>
      <c r="DBR374" s="15"/>
      <c r="DBS374" s="15"/>
      <c r="DBT374" s="15"/>
      <c r="DBU374" s="15"/>
      <c r="DBV374" s="15"/>
      <c r="DBW374" s="15"/>
      <c r="DBX374" s="15"/>
      <c r="DBY374" s="15"/>
      <c r="DBZ374" s="10"/>
      <c r="DCA374" s="10"/>
      <c r="DCB374" s="21"/>
      <c r="DCC374" s="21"/>
      <c r="DCF374" s="21"/>
      <c r="DCG374" s="15"/>
      <c r="DCH374" s="15"/>
      <c r="DCI374" s="15"/>
      <c r="DCJ374" s="15"/>
      <c r="DCK374" s="15"/>
      <c r="DCL374" s="15"/>
      <c r="DCM374" s="15"/>
      <c r="DCN374" s="15"/>
      <c r="DCO374" s="15"/>
      <c r="DCP374" s="15"/>
      <c r="DCQ374" s="10"/>
      <c r="DCR374" s="10"/>
      <c r="DCS374" s="21"/>
      <c r="DCT374" s="21"/>
      <c r="DCW374" s="21"/>
      <c r="DCX374" s="15"/>
      <c r="DCY374" s="15"/>
      <c r="DCZ374" s="15"/>
      <c r="DDA374" s="15"/>
      <c r="DDB374" s="15"/>
      <c r="DDC374" s="15"/>
      <c r="DDD374" s="15"/>
      <c r="DDE374" s="15"/>
      <c r="DDF374" s="15"/>
      <c r="DDG374" s="15"/>
      <c r="DDH374" s="10"/>
      <c r="DDI374" s="10"/>
      <c r="DDJ374" s="21"/>
      <c r="DDK374" s="21"/>
      <c r="DDN374" s="21"/>
      <c r="DDO374" s="15"/>
      <c r="DDP374" s="15"/>
      <c r="DDQ374" s="15"/>
      <c r="DDR374" s="15"/>
      <c r="DDS374" s="15"/>
      <c r="DDT374" s="15"/>
      <c r="DDU374" s="15"/>
      <c r="DDV374" s="15"/>
      <c r="DDW374" s="15"/>
      <c r="DDX374" s="15"/>
      <c r="DDY374" s="10"/>
      <c r="DDZ374" s="10"/>
      <c r="DEA374" s="21"/>
      <c r="DEB374" s="21"/>
      <c r="DEE374" s="21"/>
      <c r="DEF374" s="15"/>
      <c r="DEG374" s="15"/>
      <c r="DEH374" s="15"/>
      <c r="DEI374" s="15"/>
      <c r="DEJ374" s="15"/>
      <c r="DEK374" s="15"/>
      <c r="DEL374" s="15"/>
      <c r="DEM374" s="15"/>
      <c r="DEN374" s="15"/>
      <c r="DEO374" s="15"/>
      <c r="DEP374" s="10"/>
      <c r="DEQ374" s="10"/>
      <c r="DER374" s="21"/>
      <c r="DES374" s="21"/>
      <c r="DEV374" s="21"/>
      <c r="DEW374" s="15"/>
      <c r="DEX374" s="15"/>
      <c r="DEY374" s="15"/>
      <c r="DEZ374" s="15"/>
      <c r="DFA374" s="15"/>
      <c r="DFB374" s="15"/>
      <c r="DFC374" s="15"/>
      <c r="DFD374" s="15"/>
      <c r="DFE374" s="15"/>
      <c r="DFF374" s="15"/>
      <c r="DFG374" s="10"/>
      <c r="DFH374" s="10"/>
      <c r="DFI374" s="21"/>
      <c r="DFJ374" s="21"/>
      <c r="DFM374" s="21"/>
      <c r="DFN374" s="15"/>
      <c r="DFO374" s="15"/>
      <c r="DFP374" s="15"/>
      <c r="DFQ374" s="15"/>
      <c r="DFR374" s="15"/>
      <c r="DFS374" s="15"/>
      <c r="DFT374" s="15"/>
      <c r="DFU374" s="15"/>
      <c r="DFV374" s="15"/>
      <c r="DFW374" s="15"/>
      <c r="DFX374" s="10"/>
      <c r="DFY374" s="10"/>
      <c r="DFZ374" s="21"/>
      <c r="DGA374" s="21"/>
      <c r="DGD374" s="21"/>
      <c r="DGE374" s="15"/>
      <c r="DGF374" s="15"/>
      <c r="DGG374" s="15"/>
      <c r="DGH374" s="15"/>
      <c r="DGI374" s="15"/>
      <c r="DGJ374" s="15"/>
      <c r="DGK374" s="15"/>
      <c r="DGL374" s="15"/>
      <c r="DGM374" s="15"/>
      <c r="DGN374" s="15"/>
      <c r="DGO374" s="10"/>
      <c r="DGP374" s="10"/>
      <c r="DGQ374" s="21"/>
      <c r="DGR374" s="21"/>
      <c r="DGU374" s="21"/>
      <c r="DGV374" s="15"/>
      <c r="DGW374" s="15"/>
      <c r="DGX374" s="15"/>
      <c r="DGY374" s="15"/>
      <c r="DGZ374" s="15"/>
      <c r="DHA374" s="15"/>
      <c r="DHB374" s="15"/>
      <c r="DHC374" s="15"/>
      <c r="DHD374" s="15"/>
      <c r="DHE374" s="15"/>
      <c r="DHF374" s="10"/>
      <c r="DHG374" s="10"/>
      <c r="DHH374" s="21"/>
      <c r="DHI374" s="21"/>
      <c r="DHL374" s="21"/>
      <c r="DHM374" s="15"/>
      <c r="DHN374" s="15"/>
      <c r="DHO374" s="15"/>
      <c r="DHP374" s="15"/>
      <c r="DHQ374" s="15"/>
      <c r="DHR374" s="15"/>
      <c r="DHS374" s="15"/>
      <c r="DHT374" s="15"/>
      <c r="DHU374" s="15"/>
      <c r="DHV374" s="15"/>
      <c r="DHW374" s="10"/>
      <c r="DHX374" s="10"/>
      <c r="DHY374" s="21"/>
      <c r="DHZ374" s="21"/>
      <c r="DIC374" s="21"/>
      <c r="DID374" s="15"/>
      <c r="DIE374" s="15"/>
      <c r="DIF374" s="15"/>
      <c r="DIG374" s="15"/>
      <c r="DIH374" s="15"/>
      <c r="DII374" s="15"/>
      <c r="DIJ374" s="15"/>
      <c r="DIK374" s="15"/>
      <c r="DIL374" s="15"/>
      <c r="DIM374" s="15"/>
      <c r="DIN374" s="10"/>
      <c r="DIO374" s="10"/>
      <c r="DIP374" s="21"/>
      <c r="DIQ374" s="21"/>
      <c r="DIT374" s="21"/>
      <c r="DIU374" s="15"/>
      <c r="DIV374" s="15"/>
      <c r="DIW374" s="15"/>
      <c r="DIX374" s="15"/>
      <c r="DIY374" s="15"/>
      <c r="DIZ374" s="15"/>
      <c r="DJA374" s="15"/>
      <c r="DJB374" s="15"/>
      <c r="DJC374" s="15"/>
      <c r="DJD374" s="15"/>
      <c r="DJE374" s="10"/>
      <c r="DJF374" s="10"/>
      <c r="DJG374" s="21"/>
      <c r="DJH374" s="21"/>
      <c r="DJK374" s="21"/>
      <c r="DJL374" s="15"/>
      <c r="DJM374" s="15"/>
      <c r="DJN374" s="15"/>
      <c r="DJO374" s="15"/>
      <c r="DJP374" s="15"/>
      <c r="DJQ374" s="15"/>
      <c r="DJR374" s="15"/>
      <c r="DJS374" s="15"/>
      <c r="DJT374" s="15"/>
      <c r="DJU374" s="15"/>
      <c r="DJV374" s="10"/>
      <c r="DJW374" s="10"/>
      <c r="DJX374" s="21"/>
      <c r="DJY374" s="21"/>
      <c r="DKB374" s="21"/>
      <c r="DKC374" s="15"/>
      <c r="DKD374" s="15"/>
      <c r="DKE374" s="15"/>
      <c r="DKF374" s="15"/>
      <c r="DKG374" s="15"/>
      <c r="DKH374" s="15"/>
      <c r="DKI374" s="15"/>
      <c r="DKJ374" s="15"/>
      <c r="DKK374" s="15"/>
      <c r="DKL374" s="15"/>
      <c r="DKM374" s="10"/>
      <c r="DKN374" s="10"/>
      <c r="DKO374" s="21"/>
      <c r="DKP374" s="21"/>
      <c r="DKS374" s="21"/>
      <c r="DKT374" s="15"/>
      <c r="DKU374" s="15"/>
      <c r="DKV374" s="15"/>
      <c r="DKW374" s="15"/>
      <c r="DKX374" s="15"/>
      <c r="DKY374" s="15"/>
      <c r="DKZ374" s="15"/>
      <c r="DLA374" s="15"/>
      <c r="DLB374" s="15"/>
      <c r="DLC374" s="15"/>
      <c r="DLD374" s="10"/>
      <c r="DLE374" s="10"/>
      <c r="DLF374" s="21"/>
      <c r="DLG374" s="21"/>
      <c r="DLJ374" s="21"/>
      <c r="DLK374" s="15"/>
      <c r="DLL374" s="15"/>
      <c r="DLM374" s="15"/>
      <c r="DLN374" s="15"/>
      <c r="DLO374" s="15"/>
      <c r="DLP374" s="15"/>
      <c r="DLQ374" s="15"/>
      <c r="DLR374" s="15"/>
      <c r="DLS374" s="15"/>
      <c r="DLT374" s="15"/>
      <c r="DLU374" s="10"/>
      <c r="DLV374" s="10"/>
      <c r="DLW374" s="21"/>
      <c r="DLX374" s="21"/>
      <c r="DMA374" s="21"/>
      <c r="DMB374" s="15"/>
      <c r="DMC374" s="15"/>
      <c r="DMD374" s="15"/>
      <c r="DME374" s="15"/>
      <c r="DMF374" s="15"/>
      <c r="DMG374" s="15"/>
      <c r="DMH374" s="15"/>
      <c r="DMI374" s="15"/>
      <c r="DMJ374" s="15"/>
      <c r="DMK374" s="15"/>
      <c r="DML374" s="10"/>
      <c r="DMM374" s="10"/>
      <c r="DMN374" s="21"/>
      <c r="DMO374" s="21"/>
      <c r="DMR374" s="21"/>
      <c r="DMS374" s="15"/>
      <c r="DMT374" s="15"/>
      <c r="DMU374" s="15"/>
      <c r="DMV374" s="15"/>
      <c r="DMW374" s="15"/>
      <c r="DMX374" s="15"/>
      <c r="DMY374" s="15"/>
      <c r="DMZ374" s="15"/>
      <c r="DNA374" s="15"/>
      <c r="DNB374" s="15"/>
      <c r="DNC374" s="10"/>
      <c r="DND374" s="10"/>
      <c r="DNE374" s="21"/>
      <c r="DNF374" s="21"/>
      <c r="DNI374" s="21"/>
      <c r="DNJ374" s="15"/>
      <c r="DNK374" s="15"/>
      <c r="DNL374" s="15"/>
      <c r="DNM374" s="15"/>
      <c r="DNN374" s="15"/>
      <c r="DNO374" s="15"/>
      <c r="DNP374" s="15"/>
      <c r="DNQ374" s="15"/>
      <c r="DNR374" s="15"/>
      <c r="DNS374" s="15"/>
      <c r="DNT374" s="10"/>
      <c r="DNU374" s="10"/>
      <c r="DNV374" s="21"/>
      <c r="DNW374" s="21"/>
      <c r="DNZ374" s="21"/>
      <c r="DOA374" s="15"/>
      <c r="DOB374" s="15"/>
      <c r="DOC374" s="15"/>
      <c r="DOD374" s="15"/>
      <c r="DOE374" s="15"/>
      <c r="DOF374" s="15"/>
      <c r="DOG374" s="15"/>
      <c r="DOH374" s="15"/>
      <c r="DOI374" s="15"/>
      <c r="DOJ374" s="15"/>
      <c r="DOK374" s="10"/>
      <c r="DOL374" s="10"/>
      <c r="DOM374" s="21"/>
      <c r="DON374" s="21"/>
      <c r="DOQ374" s="21"/>
      <c r="DOR374" s="15"/>
      <c r="DOS374" s="15"/>
      <c r="DOT374" s="15"/>
      <c r="DOU374" s="15"/>
      <c r="DOV374" s="15"/>
      <c r="DOW374" s="15"/>
      <c r="DOX374" s="15"/>
      <c r="DOY374" s="15"/>
      <c r="DOZ374" s="15"/>
      <c r="DPA374" s="15"/>
      <c r="DPB374" s="10"/>
      <c r="DPC374" s="10"/>
      <c r="DPD374" s="21"/>
      <c r="DPE374" s="21"/>
      <c r="DPH374" s="21"/>
      <c r="DPI374" s="15"/>
      <c r="DPJ374" s="15"/>
      <c r="DPK374" s="15"/>
      <c r="DPL374" s="15"/>
      <c r="DPM374" s="15"/>
      <c r="DPN374" s="15"/>
      <c r="DPO374" s="15"/>
      <c r="DPP374" s="15"/>
      <c r="DPQ374" s="15"/>
      <c r="DPR374" s="15"/>
      <c r="DPS374" s="10"/>
      <c r="DPT374" s="10"/>
      <c r="DPU374" s="21"/>
      <c r="DPV374" s="21"/>
      <c r="DPY374" s="21"/>
      <c r="DPZ374" s="15"/>
      <c r="DQA374" s="15"/>
      <c r="DQB374" s="15"/>
      <c r="DQC374" s="15"/>
      <c r="DQD374" s="15"/>
      <c r="DQE374" s="15"/>
      <c r="DQF374" s="15"/>
      <c r="DQG374" s="15"/>
      <c r="DQH374" s="15"/>
      <c r="DQI374" s="15"/>
      <c r="DQJ374" s="10"/>
      <c r="DQK374" s="10"/>
      <c r="DQL374" s="21"/>
      <c r="DQM374" s="21"/>
      <c r="DQP374" s="21"/>
      <c r="DQQ374" s="15"/>
      <c r="DQR374" s="15"/>
      <c r="DQS374" s="15"/>
      <c r="DQT374" s="15"/>
      <c r="DQU374" s="15"/>
      <c r="DQV374" s="15"/>
      <c r="DQW374" s="15"/>
      <c r="DQX374" s="15"/>
      <c r="DQY374" s="15"/>
      <c r="DQZ374" s="15"/>
      <c r="DRA374" s="10"/>
      <c r="DRB374" s="10"/>
      <c r="DRC374" s="21"/>
      <c r="DRD374" s="21"/>
      <c r="DRG374" s="21"/>
      <c r="DRH374" s="15"/>
      <c r="DRI374" s="15"/>
      <c r="DRJ374" s="15"/>
      <c r="DRK374" s="15"/>
      <c r="DRL374" s="15"/>
      <c r="DRM374" s="15"/>
      <c r="DRN374" s="15"/>
      <c r="DRO374" s="15"/>
      <c r="DRP374" s="15"/>
      <c r="DRQ374" s="15"/>
      <c r="DRR374" s="10"/>
      <c r="DRS374" s="10"/>
      <c r="DRT374" s="21"/>
      <c r="DRU374" s="21"/>
      <c r="DRX374" s="21"/>
      <c r="DRY374" s="15"/>
      <c r="DRZ374" s="15"/>
      <c r="DSA374" s="15"/>
      <c r="DSB374" s="15"/>
      <c r="DSC374" s="15"/>
      <c r="DSD374" s="15"/>
      <c r="DSE374" s="15"/>
      <c r="DSF374" s="15"/>
      <c r="DSG374" s="15"/>
      <c r="DSH374" s="15"/>
      <c r="DSI374" s="10"/>
      <c r="DSJ374" s="10"/>
      <c r="DSK374" s="21"/>
      <c r="DSL374" s="21"/>
      <c r="DSO374" s="21"/>
      <c r="DSP374" s="15"/>
      <c r="DSQ374" s="15"/>
      <c r="DSR374" s="15"/>
      <c r="DSS374" s="15"/>
      <c r="DST374" s="15"/>
      <c r="DSU374" s="15"/>
      <c r="DSV374" s="15"/>
      <c r="DSW374" s="15"/>
      <c r="DSX374" s="15"/>
      <c r="DSY374" s="15"/>
      <c r="DSZ374" s="10"/>
      <c r="DTA374" s="10"/>
      <c r="DTB374" s="21"/>
      <c r="DTC374" s="21"/>
      <c r="DTF374" s="21"/>
      <c r="DTG374" s="15"/>
      <c r="DTH374" s="15"/>
      <c r="DTI374" s="15"/>
      <c r="DTJ374" s="15"/>
      <c r="DTK374" s="15"/>
      <c r="DTL374" s="15"/>
      <c r="DTM374" s="15"/>
      <c r="DTN374" s="15"/>
      <c r="DTO374" s="15"/>
      <c r="DTP374" s="15"/>
      <c r="DTQ374" s="10"/>
      <c r="DTR374" s="10"/>
      <c r="DTS374" s="21"/>
      <c r="DTT374" s="21"/>
      <c r="DTW374" s="21"/>
      <c r="DTX374" s="15"/>
      <c r="DTY374" s="15"/>
      <c r="DTZ374" s="15"/>
      <c r="DUA374" s="15"/>
      <c r="DUB374" s="15"/>
      <c r="DUC374" s="15"/>
      <c r="DUD374" s="15"/>
      <c r="DUE374" s="15"/>
      <c r="DUF374" s="15"/>
      <c r="DUG374" s="15"/>
      <c r="DUH374" s="10"/>
      <c r="DUI374" s="10"/>
      <c r="DUJ374" s="21"/>
      <c r="DUK374" s="21"/>
      <c r="DUN374" s="21"/>
      <c r="DUO374" s="15"/>
      <c r="DUP374" s="15"/>
      <c r="DUQ374" s="15"/>
      <c r="DUR374" s="15"/>
      <c r="DUS374" s="15"/>
      <c r="DUT374" s="15"/>
      <c r="DUU374" s="15"/>
      <c r="DUV374" s="15"/>
      <c r="DUW374" s="15"/>
      <c r="DUX374" s="15"/>
      <c r="DUY374" s="10"/>
      <c r="DUZ374" s="10"/>
      <c r="DVA374" s="21"/>
      <c r="DVB374" s="21"/>
      <c r="DVE374" s="21"/>
      <c r="DVF374" s="15"/>
      <c r="DVG374" s="15"/>
      <c r="DVH374" s="15"/>
      <c r="DVI374" s="15"/>
      <c r="DVJ374" s="15"/>
      <c r="DVK374" s="15"/>
      <c r="DVL374" s="15"/>
      <c r="DVM374" s="15"/>
      <c r="DVN374" s="15"/>
      <c r="DVO374" s="15"/>
      <c r="DVP374" s="10"/>
      <c r="DVQ374" s="10"/>
      <c r="DVR374" s="21"/>
      <c r="DVS374" s="21"/>
      <c r="DVV374" s="21"/>
      <c r="DVW374" s="15"/>
      <c r="DVX374" s="15"/>
      <c r="DVY374" s="15"/>
      <c r="DVZ374" s="15"/>
      <c r="DWA374" s="15"/>
      <c r="DWB374" s="15"/>
      <c r="DWC374" s="15"/>
      <c r="DWD374" s="15"/>
      <c r="DWE374" s="15"/>
      <c r="DWF374" s="15"/>
      <c r="DWG374" s="10"/>
      <c r="DWH374" s="10"/>
      <c r="DWI374" s="21"/>
      <c r="DWJ374" s="21"/>
      <c r="DWM374" s="21"/>
      <c r="DWN374" s="15"/>
      <c r="DWO374" s="15"/>
      <c r="DWP374" s="15"/>
      <c r="DWQ374" s="15"/>
      <c r="DWR374" s="15"/>
      <c r="DWS374" s="15"/>
      <c r="DWT374" s="15"/>
      <c r="DWU374" s="15"/>
      <c r="DWV374" s="15"/>
      <c r="DWW374" s="15"/>
      <c r="DWX374" s="10"/>
      <c r="DWY374" s="10"/>
      <c r="DWZ374" s="21"/>
      <c r="DXA374" s="21"/>
      <c r="DXD374" s="21"/>
      <c r="DXE374" s="15"/>
      <c r="DXF374" s="15"/>
      <c r="DXG374" s="15"/>
      <c r="DXH374" s="15"/>
      <c r="DXI374" s="15"/>
      <c r="DXJ374" s="15"/>
      <c r="DXK374" s="15"/>
      <c r="DXL374" s="15"/>
      <c r="DXM374" s="15"/>
      <c r="DXN374" s="15"/>
      <c r="DXO374" s="10"/>
      <c r="DXP374" s="10"/>
      <c r="DXQ374" s="21"/>
      <c r="DXR374" s="21"/>
      <c r="DXU374" s="21"/>
      <c r="DXV374" s="15"/>
      <c r="DXW374" s="15"/>
      <c r="DXX374" s="15"/>
      <c r="DXY374" s="15"/>
      <c r="DXZ374" s="15"/>
      <c r="DYA374" s="15"/>
      <c r="DYB374" s="15"/>
      <c r="DYC374" s="15"/>
      <c r="DYD374" s="15"/>
      <c r="DYE374" s="15"/>
      <c r="DYF374" s="10"/>
      <c r="DYG374" s="10"/>
      <c r="DYH374" s="21"/>
      <c r="DYI374" s="21"/>
      <c r="DYL374" s="21"/>
      <c r="DYM374" s="15"/>
      <c r="DYN374" s="15"/>
      <c r="DYO374" s="15"/>
      <c r="DYP374" s="15"/>
      <c r="DYQ374" s="15"/>
      <c r="DYR374" s="15"/>
      <c r="DYS374" s="15"/>
      <c r="DYT374" s="15"/>
      <c r="DYU374" s="15"/>
      <c r="DYV374" s="15"/>
      <c r="DYW374" s="10"/>
      <c r="DYX374" s="10"/>
      <c r="DYY374" s="21"/>
      <c r="DYZ374" s="21"/>
      <c r="DZC374" s="21"/>
      <c r="DZD374" s="15"/>
      <c r="DZE374" s="15"/>
      <c r="DZF374" s="15"/>
      <c r="DZG374" s="15"/>
      <c r="DZH374" s="15"/>
      <c r="DZI374" s="15"/>
      <c r="DZJ374" s="15"/>
      <c r="DZK374" s="15"/>
      <c r="DZL374" s="15"/>
      <c r="DZM374" s="15"/>
      <c r="DZN374" s="10"/>
      <c r="DZO374" s="10"/>
      <c r="DZP374" s="21"/>
      <c r="DZQ374" s="21"/>
      <c r="DZT374" s="21"/>
      <c r="DZU374" s="15"/>
      <c r="DZV374" s="15"/>
      <c r="DZW374" s="15"/>
      <c r="DZX374" s="15"/>
      <c r="DZY374" s="15"/>
      <c r="DZZ374" s="15"/>
      <c r="EAA374" s="15"/>
      <c r="EAB374" s="15"/>
      <c r="EAC374" s="15"/>
      <c r="EAD374" s="15"/>
      <c r="EAE374" s="10"/>
      <c r="EAF374" s="10"/>
      <c r="EAG374" s="21"/>
      <c r="EAH374" s="21"/>
      <c r="EAK374" s="21"/>
      <c r="EAL374" s="15"/>
      <c r="EAM374" s="15"/>
      <c r="EAN374" s="15"/>
      <c r="EAO374" s="15"/>
      <c r="EAP374" s="15"/>
      <c r="EAQ374" s="15"/>
      <c r="EAR374" s="15"/>
      <c r="EAS374" s="15"/>
      <c r="EAT374" s="15"/>
      <c r="EAU374" s="15"/>
      <c r="EAV374" s="10"/>
      <c r="EAW374" s="10"/>
      <c r="EAX374" s="21"/>
      <c r="EAY374" s="21"/>
      <c r="EBB374" s="21"/>
      <c r="EBC374" s="15"/>
      <c r="EBD374" s="15"/>
      <c r="EBE374" s="15"/>
      <c r="EBF374" s="15"/>
      <c r="EBG374" s="15"/>
      <c r="EBH374" s="15"/>
      <c r="EBI374" s="15"/>
      <c r="EBJ374" s="15"/>
      <c r="EBK374" s="15"/>
      <c r="EBL374" s="15"/>
      <c r="EBM374" s="10"/>
      <c r="EBN374" s="10"/>
      <c r="EBO374" s="21"/>
      <c r="EBP374" s="21"/>
      <c r="EBS374" s="21"/>
      <c r="EBT374" s="15"/>
      <c r="EBU374" s="15"/>
      <c r="EBV374" s="15"/>
      <c r="EBW374" s="15"/>
      <c r="EBX374" s="15"/>
      <c r="EBY374" s="15"/>
      <c r="EBZ374" s="15"/>
      <c r="ECA374" s="15"/>
      <c r="ECB374" s="15"/>
      <c r="ECC374" s="15"/>
      <c r="ECD374" s="10"/>
      <c r="ECE374" s="10"/>
      <c r="ECF374" s="21"/>
      <c r="ECG374" s="21"/>
      <c r="ECJ374" s="21"/>
      <c r="ECK374" s="15"/>
      <c r="ECL374" s="15"/>
      <c r="ECM374" s="15"/>
      <c r="ECN374" s="15"/>
      <c r="ECO374" s="15"/>
      <c r="ECP374" s="15"/>
      <c r="ECQ374" s="15"/>
      <c r="ECR374" s="15"/>
      <c r="ECS374" s="15"/>
      <c r="ECT374" s="15"/>
      <c r="ECU374" s="10"/>
      <c r="ECV374" s="10"/>
      <c r="ECW374" s="21"/>
      <c r="ECX374" s="21"/>
      <c r="EDA374" s="21"/>
      <c r="EDB374" s="15"/>
      <c r="EDC374" s="15"/>
      <c r="EDD374" s="15"/>
      <c r="EDE374" s="15"/>
      <c r="EDF374" s="15"/>
      <c r="EDG374" s="15"/>
      <c r="EDH374" s="15"/>
      <c r="EDI374" s="15"/>
      <c r="EDJ374" s="15"/>
      <c r="EDK374" s="15"/>
      <c r="EDL374" s="10"/>
      <c r="EDM374" s="10"/>
      <c r="EDN374" s="21"/>
      <c r="EDO374" s="21"/>
      <c r="EDR374" s="21"/>
      <c r="EDS374" s="15"/>
      <c r="EDT374" s="15"/>
      <c r="EDU374" s="15"/>
      <c r="EDV374" s="15"/>
      <c r="EDW374" s="15"/>
      <c r="EDX374" s="15"/>
      <c r="EDY374" s="15"/>
      <c r="EDZ374" s="15"/>
      <c r="EEA374" s="15"/>
      <c r="EEB374" s="15"/>
      <c r="EEC374" s="10"/>
      <c r="EED374" s="10"/>
      <c r="EEE374" s="21"/>
      <c r="EEF374" s="21"/>
      <c r="EEI374" s="21"/>
      <c r="EEJ374" s="15"/>
      <c r="EEK374" s="15"/>
      <c r="EEL374" s="15"/>
      <c r="EEM374" s="15"/>
      <c r="EEN374" s="15"/>
      <c r="EEO374" s="15"/>
      <c r="EEP374" s="15"/>
      <c r="EEQ374" s="15"/>
      <c r="EER374" s="15"/>
      <c r="EES374" s="15"/>
      <c r="EET374" s="10"/>
      <c r="EEU374" s="10"/>
      <c r="EEV374" s="21"/>
      <c r="EEW374" s="21"/>
      <c r="EEZ374" s="21"/>
      <c r="EFA374" s="15"/>
      <c r="EFB374" s="15"/>
      <c r="EFC374" s="15"/>
      <c r="EFD374" s="15"/>
      <c r="EFE374" s="15"/>
      <c r="EFF374" s="15"/>
      <c r="EFG374" s="15"/>
      <c r="EFH374" s="15"/>
      <c r="EFI374" s="15"/>
      <c r="EFJ374" s="15"/>
      <c r="EFK374" s="10"/>
      <c r="EFL374" s="10"/>
      <c r="EFM374" s="21"/>
      <c r="EFN374" s="21"/>
      <c r="EFQ374" s="21"/>
      <c r="EFR374" s="15"/>
      <c r="EFS374" s="15"/>
      <c r="EFT374" s="15"/>
      <c r="EFU374" s="15"/>
      <c r="EFV374" s="15"/>
      <c r="EFW374" s="15"/>
      <c r="EFX374" s="15"/>
      <c r="EFY374" s="15"/>
      <c r="EFZ374" s="15"/>
      <c r="EGA374" s="15"/>
      <c r="EGB374" s="10"/>
      <c r="EGC374" s="10"/>
      <c r="EGD374" s="21"/>
      <c r="EGE374" s="21"/>
      <c r="EGH374" s="21"/>
      <c r="EGI374" s="15"/>
      <c r="EGJ374" s="15"/>
      <c r="EGK374" s="15"/>
      <c r="EGL374" s="15"/>
      <c r="EGM374" s="15"/>
      <c r="EGN374" s="15"/>
      <c r="EGO374" s="15"/>
      <c r="EGP374" s="15"/>
      <c r="EGQ374" s="15"/>
      <c r="EGR374" s="15"/>
      <c r="EGS374" s="10"/>
      <c r="EGT374" s="10"/>
      <c r="EGU374" s="21"/>
      <c r="EGV374" s="21"/>
      <c r="EGY374" s="21"/>
      <c r="EGZ374" s="15"/>
      <c r="EHA374" s="15"/>
      <c r="EHB374" s="15"/>
      <c r="EHC374" s="15"/>
      <c r="EHD374" s="15"/>
      <c r="EHE374" s="15"/>
      <c r="EHF374" s="15"/>
      <c r="EHG374" s="15"/>
      <c r="EHH374" s="15"/>
      <c r="EHI374" s="15"/>
      <c r="EHJ374" s="10"/>
      <c r="EHK374" s="10"/>
      <c r="EHL374" s="21"/>
      <c r="EHM374" s="21"/>
      <c r="EHP374" s="21"/>
      <c r="EHQ374" s="15"/>
      <c r="EHR374" s="15"/>
      <c r="EHS374" s="15"/>
      <c r="EHT374" s="15"/>
      <c r="EHU374" s="15"/>
      <c r="EHV374" s="15"/>
      <c r="EHW374" s="15"/>
      <c r="EHX374" s="15"/>
      <c r="EHY374" s="15"/>
      <c r="EHZ374" s="15"/>
      <c r="EIA374" s="10"/>
      <c r="EIB374" s="10"/>
      <c r="EIC374" s="21"/>
      <c r="EID374" s="21"/>
      <c r="EIG374" s="21"/>
      <c r="EIH374" s="15"/>
      <c r="EII374" s="15"/>
      <c r="EIJ374" s="15"/>
      <c r="EIK374" s="15"/>
      <c r="EIL374" s="15"/>
      <c r="EIM374" s="15"/>
      <c r="EIN374" s="15"/>
      <c r="EIO374" s="15"/>
      <c r="EIP374" s="15"/>
      <c r="EIQ374" s="15"/>
      <c r="EIR374" s="10"/>
      <c r="EIS374" s="10"/>
      <c r="EIT374" s="21"/>
      <c r="EIU374" s="21"/>
      <c r="EIX374" s="21"/>
      <c r="EIY374" s="15"/>
      <c r="EIZ374" s="15"/>
      <c r="EJA374" s="15"/>
      <c r="EJB374" s="15"/>
      <c r="EJC374" s="15"/>
      <c r="EJD374" s="15"/>
      <c r="EJE374" s="15"/>
      <c r="EJF374" s="15"/>
      <c r="EJG374" s="15"/>
      <c r="EJH374" s="15"/>
      <c r="EJI374" s="10"/>
      <c r="EJJ374" s="10"/>
      <c r="EJK374" s="21"/>
      <c r="EJL374" s="21"/>
      <c r="EJO374" s="21"/>
      <c r="EJP374" s="15"/>
      <c r="EJQ374" s="15"/>
      <c r="EJR374" s="15"/>
      <c r="EJS374" s="15"/>
      <c r="EJT374" s="15"/>
      <c r="EJU374" s="15"/>
      <c r="EJV374" s="15"/>
      <c r="EJW374" s="15"/>
      <c r="EJX374" s="15"/>
      <c r="EJY374" s="15"/>
      <c r="EJZ374" s="10"/>
      <c r="EKA374" s="10"/>
      <c r="EKB374" s="21"/>
      <c r="EKC374" s="21"/>
      <c r="EKF374" s="21"/>
      <c r="EKG374" s="15"/>
      <c r="EKH374" s="15"/>
      <c r="EKI374" s="15"/>
      <c r="EKJ374" s="15"/>
      <c r="EKK374" s="15"/>
      <c r="EKL374" s="15"/>
      <c r="EKM374" s="15"/>
      <c r="EKN374" s="15"/>
      <c r="EKO374" s="15"/>
      <c r="EKP374" s="15"/>
      <c r="EKQ374" s="10"/>
      <c r="EKR374" s="10"/>
      <c r="EKS374" s="21"/>
      <c r="EKT374" s="21"/>
      <c r="EKW374" s="21"/>
      <c r="EKX374" s="15"/>
      <c r="EKY374" s="15"/>
      <c r="EKZ374" s="15"/>
      <c r="ELA374" s="15"/>
      <c r="ELB374" s="15"/>
      <c r="ELC374" s="15"/>
      <c r="ELD374" s="15"/>
      <c r="ELE374" s="15"/>
      <c r="ELF374" s="15"/>
      <c r="ELG374" s="15"/>
      <c r="ELH374" s="10"/>
      <c r="ELI374" s="10"/>
      <c r="ELJ374" s="21"/>
      <c r="ELK374" s="21"/>
      <c r="ELN374" s="21"/>
      <c r="ELO374" s="15"/>
      <c r="ELP374" s="15"/>
      <c r="ELQ374" s="15"/>
      <c r="ELR374" s="15"/>
      <c r="ELS374" s="15"/>
      <c r="ELT374" s="15"/>
      <c r="ELU374" s="15"/>
      <c r="ELV374" s="15"/>
      <c r="ELW374" s="15"/>
      <c r="ELX374" s="15"/>
      <c r="ELY374" s="10"/>
      <c r="ELZ374" s="10"/>
      <c r="EMA374" s="21"/>
      <c r="EMB374" s="21"/>
      <c r="EME374" s="21"/>
      <c r="EMF374" s="15"/>
      <c r="EMG374" s="15"/>
      <c r="EMH374" s="15"/>
      <c r="EMI374" s="15"/>
      <c r="EMJ374" s="15"/>
      <c r="EMK374" s="15"/>
      <c r="EML374" s="15"/>
      <c r="EMM374" s="15"/>
      <c r="EMN374" s="15"/>
      <c r="EMO374" s="15"/>
      <c r="EMP374" s="10"/>
      <c r="EMQ374" s="10"/>
      <c r="EMR374" s="21"/>
      <c r="EMS374" s="21"/>
      <c r="EMV374" s="21"/>
      <c r="EMW374" s="15"/>
      <c r="EMX374" s="15"/>
      <c r="EMY374" s="15"/>
      <c r="EMZ374" s="15"/>
      <c r="ENA374" s="15"/>
      <c r="ENB374" s="15"/>
      <c r="ENC374" s="15"/>
      <c r="END374" s="15"/>
      <c r="ENE374" s="15"/>
      <c r="ENF374" s="15"/>
      <c r="ENG374" s="10"/>
      <c r="ENH374" s="10"/>
      <c r="ENI374" s="21"/>
      <c r="ENJ374" s="21"/>
      <c r="ENM374" s="21"/>
      <c r="ENN374" s="15"/>
      <c r="ENO374" s="15"/>
      <c r="ENP374" s="15"/>
      <c r="ENQ374" s="15"/>
      <c r="ENR374" s="15"/>
      <c r="ENS374" s="15"/>
      <c r="ENT374" s="15"/>
      <c r="ENU374" s="15"/>
      <c r="ENV374" s="15"/>
      <c r="ENW374" s="15"/>
      <c r="ENX374" s="10"/>
      <c r="ENY374" s="10"/>
      <c r="ENZ374" s="21"/>
      <c r="EOA374" s="21"/>
      <c r="EOD374" s="21"/>
      <c r="EOE374" s="15"/>
      <c r="EOF374" s="15"/>
      <c r="EOG374" s="15"/>
      <c r="EOH374" s="15"/>
      <c r="EOI374" s="15"/>
      <c r="EOJ374" s="15"/>
      <c r="EOK374" s="15"/>
      <c r="EOL374" s="15"/>
      <c r="EOM374" s="15"/>
      <c r="EON374" s="15"/>
      <c r="EOO374" s="10"/>
      <c r="EOP374" s="10"/>
      <c r="EOQ374" s="21"/>
      <c r="EOR374" s="21"/>
      <c r="EOU374" s="21"/>
      <c r="EOV374" s="15"/>
      <c r="EOW374" s="15"/>
      <c r="EOX374" s="15"/>
      <c r="EOY374" s="15"/>
      <c r="EOZ374" s="15"/>
      <c r="EPA374" s="15"/>
      <c r="EPB374" s="15"/>
      <c r="EPC374" s="15"/>
      <c r="EPD374" s="15"/>
      <c r="EPE374" s="15"/>
      <c r="EPF374" s="10"/>
      <c r="EPG374" s="10"/>
      <c r="EPH374" s="21"/>
      <c r="EPI374" s="21"/>
      <c r="EPL374" s="21"/>
      <c r="EPM374" s="15"/>
      <c r="EPN374" s="15"/>
      <c r="EPO374" s="15"/>
      <c r="EPP374" s="15"/>
      <c r="EPQ374" s="15"/>
      <c r="EPR374" s="15"/>
      <c r="EPS374" s="15"/>
      <c r="EPT374" s="15"/>
      <c r="EPU374" s="15"/>
      <c r="EPV374" s="15"/>
      <c r="EPW374" s="10"/>
      <c r="EPX374" s="10"/>
      <c r="EPY374" s="21"/>
      <c r="EPZ374" s="21"/>
      <c r="EQC374" s="21"/>
      <c r="EQD374" s="15"/>
      <c r="EQE374" s="15"/>
      <c r="EQF374" s="15"/>
      <c r="EQG374" s="15"/>
      <c r="EQH374" s="15"/>
      <c r="EQI374" s="15"/>
      <c r="EQJ374" s="15"/>
      <c r="EQK374" s="15"/>
      <c r="EQL374" s="15"/>
      <c r="EQM374" s="15"/>
      <c r="EQN374" s="10"/>
      <c r="EQO374" s="10"/>
      <c r="EQP374" s="21"/>
      <c r="EQQ374" s="21"/>
      <c r="EQT374" s="21"/>
      <c r="EQU374" s="15"/>
      <c r="EQV374" s="15"/>
      <c r="EQW374" s="15"/>
      <c r="EQX374" s="15"/>
      <c r="EQY374" s="15"/>
      <c r="EQZ374" s="15"/>
      <c r="ERA374" s="15"/>
      <c r="ERB374" s="15"/>
      <c r="ERC374" s="15"/>
      <c r="ERD374" s="15"/>
      <c r="ERE374" s="10"/>
      <c r="ERF374" s="10"/>
      <c r="ERG374" s="21"/>
      <c r="ERH374" s="21"/>
      <c r="ERK374" s="21"/>
      <c r="ERL374" s="15"/>
      <c r="ERM374" s="15"/>
      <c r="ERN374" s="15"/>
      <c r="ERO374" s="15"/>
      <c r="ERP374" s="15"/>
      <c r="ERQ374" s="15"/>
      <c r="ERR374" s="15"/>
      <c r="ERS374" s="15"/>
      <c r="ERT374" s="15"/>
      <c r="ERU374" s="15"/>
      <c r="ERV374" s="10"/>
      <c r="ERW374" s="10"/>
      <c r="ERX374" s="21"/>
      <c r="ERY374" s="21"/>
      <c r="ESB374" s="21"/>
      <c r="ESC374" s="15"/>
      <c r="ESD374" s="15"/>
      <c r="ESE374" s="15"/>
      <c r="ESF374" s="15"/>
      <c r="ESG374" s="15"/>
      <c r="ESH374" s="15"/>
      <c r="ESI374" s="15"/>
      <c r="ESJ374" s="15"/>
      <c r="ESK374" s="15"/>
      <c r="ESL374" s="15"/>
      <c r="ESM374" s="10"/>
      <c r="ESN374" s="10"/>
      <c r="ESO374" s="21"/>
      <c r="ESP374" s="21"/>
      <c r="ESS374" s="21"/>
      <c r="EST374" s="15"/>
      <c r="ESU374" s="15"/>
      <c r="ESV374" s="15"/>
      <c r="ESW374" s="15"/>
      <c r="ESX374" s="15"/>
      <c r="ESY374" s="15"/>
      <c r="ESZ374" s="15"/>
      <c r="ETA374" s="15"/>
      <c r="ETB374" s="15"/>
      <c r="ETC374" s="15"/>
      <c r="ETD374" s="10"/>
      <c r="ETE374" s="10"/>
      <c r="ETF374" s="21"/>
      <c r="ETG374" s="21"/>
      <c r="ETJ374" s="21"/>
      <c r="ETK374" s="15"/>
      <c r="ETL374" s="15"/>
      <c r="ETM374" s="15"/>
      <c r="ETN374" s="15"/>
      <c r="ETO374" s="15"/>
      <c r="ETP374" s="15"/>
      <c r="ETQ374" s="15"/>
      <c r="ETR374" s="15"/>
      <c r="ETS374" s="15"/>
      <c r="ETT374" s="15"/>
      <c r="ETU374" s="10"/>
      <c r="ETV374" s="10"/>
      <c r="ETW374" s="21"/>
      <c r="ETX374" s="21"/>
      <c r="EUA374" s="21"/>
      <c r="EUB374" s="15"/>
      <c r="EUC374" s="15"/>
      <c r="EUD374" s="15"/>
      <c r="EUE374" s="15"/>
      <c r="EUF374" s="15"/>
      <c r="EUG374" s="15"/>
      <c r="EUH374" s="15"/>
      <c r="EUI374" s="15"/>
      <c r="EUJ374" s="15"/>
      <c r="EUK374" s="15"/>
      <c r="EUL374" s="10"/>
      <c r="EUM374" s="10"/>
      <c r="EUN374" s="21"/>
      <c r="EUO374" s="21"/>
      <c r="EUR374" s="21"/>
      <c r="EUS374" s="15"/>
      <c r="EUT374" s="15"/>
      <c r="EUU374" s="15"/>
      <c r="EUV374" s="15"/>
      <c r="EUW374" s="15"/>
      <c r="EUX374" s="15"/>
      <c r="EUY374" s="15"/>
      <c r="EUZ374" s="15"/>
      <c r="EVA374" s="15"/>
      <c r="EVB374" s="15"/>
      <c r="EVC374" s="10"/>
      <c r="EVD374" s="10"/>
      <c r="EVE374" s="21"/>
      <c r="EVF374" s="21"/>
      <c r="EVI374" s="21"/>
      <c r="EVJ374" s="15"/>
      <c r="EVK374" s="15"/>
      <c r="EVL374" s="15"/>
      <c r="EVM374" s="15"/>
      <c r="EVN374" s="15"/>
      <c r="EVO374" s="15"/>
      <c r="EVP374" s="15"/>
      <c r="EVQ374" s="15"/>
      <c r="EVR374" s="15"/>
      <c r="EVS374" s="15"/>
      <c r="EVT374" s="10"/>
      <c r="EVU374" s="10"/>
      <c r="EVV374" s="21"/>
      <c r="EVW374" s="21"/>
      <c r="EVZ374" s="21"/>
      <c r="EWA374" s="15"/>
      <c r="EWB374" s="15"/>
      <c r="EWC374" s="15"/>
      <c r="EWD374" s="15"/>
      <c r="EWE374" s="15"/>
      <c r="EWF374" s="15"/>
      <c r="EWG374" s="15"/>
      <c r="EWH374" s="15"/>
      <c r="EWI374" s="15"/>
      <c r="EWJ374" s="15"/>
      <c r="EWK374" s="10"/>
      <c r="EWL374" s="10"/>
      <c r="EWM374" s="21"/>
      <c r="EWN374" s="21"/>
      <c r="EWQ374" s="21"/>
      <c r="EWR374" s="15"/>
      <c r="EWS374" s="15"/>
      <c r="EWT374" s="15"/>
      <c r="EWU374" s="15"/>
      <c r="EWV374" s="15"/>
      <c r="EWW374" s="15"/>
      <c r="EWX374" s="15"/>
      <c r="EWY374" s="15"/>
      <c r="EWZ374" s="15"/>
      <c r="EXA374" s="15"/>
      <c r="EXB374" s="10"/>
      <c r="EXC374" s="10"/>
      <c r="EXD374" s="21"/>
      <c r="EXE374" s="21"/>
      <c r="EXH374" s="21"/>
      <c r="EXI374" s="15"/>
      <c r="EXJ374" s="15"/>
      <c r="EXK374" s="15"/>
      <c r="EXL374" s="15"/>
      <c r="EXM374" s="15"/>
      <c r="EXN374" s="15"/>
      <c r="EXO374" s="15"/>
      <c r="EXP374" s="15"/>
      <c r="EXQ374" s="15"/>
      <c r="EXR374" s="15"/>
      <c r="EXS374" s="10"/>
      <c r="EXT374" s="10"/>
      <c r="EXU374" s="21"/>
      <c r="EXV374" s="21"/>
      <c r="EXY374" s="21"/>
      <c r="EXZ374" s="15"/>
      <c r="EYA374" s="15"/>
      <c r="EYB374" s="15"/>
      <c r="EYC374" s="15"/>
      <c r="EYD374" s="15"/>
      <c r="EYE374" s="15"/>
      <c r="EYF374" s="15"/>
      <c r="EYG374" s="15"/>
      <c r="EYH374" s="15"/>
      <c r="EYI374" s="15"/>
      <c r="EYJ374" s="10"/>
      <c r="EYK374" s="10"/>
      <c r="EYL374" s="21"/>
      <c r="EYM374" s="21"/>
      <c r="EYP374" s="21"/>
      <c r="EYQ374" s="15"/>
      <c r="EYR374" s="15"/>
      <c r="EYS374" s="15"/>
      <c r="EYT374" s="15"/>
      <c r="EYU374" s="15"/>
      <c r="EYV374" s="15"/>
      <c r="EYW374" s="15"/>
      <c r="EYX374" s="15"/>
      <c r="EYY374" s="15"/>
      <c r="EYZ374" s="15"/>
      <c r="EZA374" s="10"/>
      <c r="EZB374" s="10"/>
      <c r="EZC374" s="21"/>
      <c r="EZD374" s="21"/>
      <c r="EZG374" s="21"/>
      <c r="EZH374" s="15"/>
      <c r="EZI374" s="15"/>
      <c r="EZJ374" s="15"/>
      <c r="EZK374" s="15"/>
      <c r="EZL374" s="15"/>
      <c r="EZM374" s="15"/>
      <c r="EZN374" s="15"/>
      <c r="EZO374" s="15"/>
      <c r="EZP374" s="15"/>
      <c r="EZQ374" s="15"/>
      <c r="EZR374" s="10"/>
      <c r="EZS374" s="10"/>
      <c r="EZT374" s="21"/>
      <c r="EZU374" s="21"/>
      <c r="EZX374" s="21"/>
      <c r="EZY374" s="15"/>
      <c r="EZZ374" s="15"/>
      <c r="FAA374" s="15"/>
      <c r="FAB374" s="15"/>
      <c r="FAC374" s="15"/>
      <c r="FAD374" s="15"/>
      <c r="FAE374" s="15"/>
      <c r="FAF374" s="15"/>
      <c r="FAG374" s="15"/>
      <c r="FAH374" s="15"/>
      <c r="FAI374" s="10"/>
      <c r="FAJ374" s="10"/>
      <c r="FAK374" s="21"/>
      <c r="FAL374" s="21"/>
      <c r="FAO374" s="21"/>
      <c r="FAP374" s="15"/>
      <c r="FAQ374" s="15"/>
      <c r="FAR374" s="15"/>
      <c r="FAS374" s="15"/>
      <c r="FAT374" s="15"/>
      <c r="FAU374" s="15"/>
      <c r="FAV374" s="15"/>
      <c r="FAW374" s="15"/>
      <c r="FAX374" s="15"/>
      <c r="FAY374" s="15"/>
      <c r="FAZ374" s="10"/>
      <c r="FBA374" s="10"/>
      <c r="FBB374" s="21"/>
      <c r="FBC374" s="21"/>
      <c r="FBF374" s="21"/>
      <c r="FBG374" s="15"/>
      <c r="FBH374" s="15"/>
      <c r="FBI374" s="15"/>
      <c r="FBJ374" s="15"/>
      <c r="FBK374" s="15"/>
      <c r="FBL374" s="15"/>
      <c r="FBM374" s="15"/>
      <c r="FBN374" s="15"/>
      <c r="FBO374" s="15"/>
      <c r="FBP374" s="15"/>
      <c r="FBQ374" s="10"/>
      <c r="FBR374" s="10"/>
      <c r="FBS374" s="21"/>
      <c r="FBT374" s="21"/>
      <c r="FBW374" s="21"/>
      <c r="FBX374" s="15"/>
      <c r="FBY374" s="15"/>
      <c r="FBZ374" s="15"/>
      <c r="FCA374" s="15"/>
      <c r="FCB374" s="15"/>
      <c r="FCC374" s="15"/>
      <c r="FCD374" s="15"/>
      <c r="FCE374" s="15"/>
      <c r="FCF374" s="15"/>
      <c r="FCG374" s="15"/>
      <c r="FCH374" s="10"/>
      <c r="FCI374" s="10"/>
      <c r="FCJ374" s="21"/>
      <c r="FCK374" s="21"/>
      <c r="FCN374" s="21"/>
      <c r="FCO374" s="15"/>
      <c r="FCP374" s="15"/>
      <c r="FCQ374" s="15"/>
      <c r="FCR374" s="15"/>
      <c r="FCS374" s="15"/>
      <c r="FCT374" s="15"/>
      <c r="FCU374" s="15"/>
      <c r="FCV374" s="15"/>
      <c r="FCW374" s="15"/>
      <c r="FCX374" s="15"/>
      <c r="FCY374" s="10"/>
      <c r="FCZ374" s="10"/>
      <c r="FDA374" s="21"/>
      <c r="FDB374" s="21"/>
      <c r="FDE374" s="21"/>
      <c r="FDF374" s="15"/>
      <c r="FDG374" s="15"/>
      <c r="FDH374" s="15"/>
      <c r="FDI374" s="15"/>
      <c r="FDJ374" s="15"/>
      <c r="FDK374" s="15"/>
      <c r="FDL374" s="15"/>
      <c r="FDM374" s="15"/>
      <c r="FDN374" s="15"/>
      <c r="FDO374" s="15"/>
      <c r="FDP374" s="10"/>
      <c r="FDQ374" s="10"/>
      <c r="FDR374" s="21"/>
      <c r="FDS374" s="21"/>
      <c r="FDV374" s="21"/>
      <c r="FDW374" s="15"/>
      <c r="FDX374" s="15"/>
      <c r="FDY374" s="15"/>
      <c r="FDZ374" s="15"/>
      <c r="FEA374" s="15"/>
      <c r="FEB374" s="15"/>
      <c r="FEC374" s="15"/>
      <c r="FED374" s="15"/>
      <c r="FEE374" s="15"/>
      <c r="FEF374" s="15"/>
      <c r="FEG374" s="10"/>
      <c r="FEH374" s="10"/>
      <c r="FEI374" s="21"/>
      <c r="FEJ374" s="21"/>
      <c r="FEM374" s="21"/>
      <c r="FEN374" s="15"/>
      <c r="FEO374" s="15"/>
      <c r="FEP374" s="15"/>
      <c r="FEQ374" s="15"/>
      <c r="FER374" s="15"/>
      <c r="FES374" s="15"/>
      <c r="FET374" s="15"/>
      <c r="FEU374" s="15"/>
      <c r="FEV374" s="15"/>
      <c r="FEW374" s="15"/>
      <c r="FEX374" s="10"/>
      <c r="FEY374" s="10"/>
      <c r="FEZ374" s="21"/>
      <c r="FFA374" s="21"/>
      <c r="FFD374" s="21"/>
      <c r="FFE374" s="15"/>
      <c r="FFF374" s="15"/>
      <c r="FFG374" s="15"/>
      <c r="FFH374" s="15"/>
      <c r="FFI374" s="15"/>
      <c r="FFJ374" s="15"/>
      <c r="FFK374" s="15"/>
      <c r="FFL374" s="15"/>
      <c r="FFM374" s="15"/>
      <c r="FFN374" s="15"/>
      <c r="FFO374" s="10"/>
      <c r="FFP374" s="10"/>
      <c r="FFQ374" s="21"/>
      <c r="FFR374" s="21"/>
      <c r="FFU374" s="21"/>
      <c r="FFV374" s="15"/>
      <c r="FFW374" s="15"/>
      <c r="FFX374" s="15"/>
      <c r="FFY374" s="15"/>
      <c r="FFZ374" s="15"/>
      <c r="FGA374" s="15"/>
      <c r="FGB374" s="15"/>
      <c r="FGC374" s="15"/>
      <c r="FGD374" s="15"/>
      <c r="FGE374" s="15"/>
      <c r="FGF374" s="10"/>
      <c r="FGG374" s="10"/>
      <c r="FGH374" s="21"/>
      <c r="FGI374" s="21"/>
      <c r="FGL374" s="21"/>
      <c r="FGM374" s="15"/>
      <c r="FGN374" s="15"/>
      <c r="FGO374" s="15"/>
      <c r="FGP374" s="15"/>
      <c r="FGQ374" s="15"/>
      <c r="FGR374" s="15"/>
      <c r="FGS374" s="15"/>
      <c r="FGT374" s="15"/>
      <c r="FGU374" s="15"/>
      <c r="FGV374" s="15"/>
      <c r="FGW374" s="10"/>
      <c r="FGX374" s="10"/>
      <c r="FGY374" s="21"/>
      <c r="FGZ374" s="21"/>
      <c r="FHC374" s="21"/>
      <c r="FHD374" s="15"/>
      <c r="FHE374" s="15"/>
      <c r="FHF374" s="15"/>
      <c r="FHG374" s="15"/>
      <c r="FHH374" s="15"/>
      <c r="FHI374" s="15"/>
      <c r="FHJ374" s="15"/>
      <c r="FHK374" s="15"/>
      <c r="FHL374" s="15"/>
      <c r="FHM374" s="15"/>
      <c r="FHN374" s="10"/>
      <c r="FHO374" s="10"/>
      <c r="FHP374" s="21"/>
      <c r="FHQ374" s="21"/>
      <c r="FHT374" s="21"/>
      <c r="FHU374" s="15"/>
      <c r="FHV374" s="15"/>
      <c r="FHW374" s="15"/>
      <c r="FHX374" s="15"/>
      <c r="FHY374" s="15"/>
      <c r="FHZ374" s="15"/>
      <c r="FIA374" s="15"/>
      <c r="FIB374" s="15"/>
      <c r="FIC374" s="15"/>
      <c r="FID374" s="15"/>
      <c r="FIE374" s="10"/>
      <c r="FIF374" s="10"/>
      <c r="FIG374" s="21"/>
      <c r="FIH374" s="21"/>
      <c r="FIK374" s="21"/>
      <c r="FIL374" s="15"/>
      <c r="FIM374" s="15"/>
      <c r="FIN374" s="15"/>
      <c r="FIO374" s="15"/>
      <c r="FIP374" s="15"/>
      <c r="FIQ374" s="15"/>
      <c r="FIR374" s="15"/>
      <c r="FIS374" s="15"/>
      <c r="FIT374" s="15"/>
      <c r="FIU374" s="15"/>
      <c r="FIV374" s="10"/>
      <c r="FIW374" s="10"/>
      <c r="FIX374" s="21"/>
      <c r="FIY374" s="21"/>
      <c r="FJB374" s="21"/>
      <c r="FJC374" s="15"/>
      <c r="FJD374" s="15"/>
      <c r="FJE374" s="15"/>
      <c r="FJF374" s="15"/>
      <c r="FJG374" s="15"/>
      <c r="FJH374" s="15"/>
      <c r="FJI374" s="15"/>
      <c r="FJJ374" s="15"/>
      <c r="FJK374" s="15"/>
      <c r="FJL374" s="15"/>
      <c r="FJM374" s="10"/>
      <c r="FJN374" s="10"/>
      <c r="FJO374" s="21"/>
      <c r="FJP374" s="21"/>
      <c r="FJS374" s="21"/>
      <c r="FJT374" s="15"/>
      <c r="FJU374" s="15"/>
      <c r="FJV374" s="15"/>
      <c r="FJW374" s="15"/>
      <c r="FJX374" s="15"/>
      <c r="FJY374" s="15"/>
      <c r="FJZ374" s="15"/>
      <c r="FKA374" s="15"/>
      <c r="FKB374" s="15"/>
      <c r="FKC374" s="15"/>
      <c r="FKD374" s="10"/>
      <c r="FKE374" s="10"/>
      <c r="FKF374" s="21"/>
      <c r="FKG374" s="21"/>
      <c r="FKJ374" s="21"/>
      <c r="FKK374" s="15"/>
      <c r="FKL374" s="15"/>
      <c r="FKM374" s="15"/>
      <c r="FKN374" s="15"/>
      <c r="FKO374" s="15"/>
      <c r="FKP374" s="15"/>
      <c r="FKQ374" s="15"/>
      <c r="FKR374" s="15"/>
      <c r="FKS374" s="15"/>
      <c r="FKT374" s="15"/>
      <c r="FKU374" s="10"/>
      <c r="FKV374" s="10"/>
      <c r="FKW374" s="21"/>
      <c r="FKX374" s="21"/>
      <c r="FLA374" s="21"/>
      <c r="FLB374" s="15"/>
      <c r="FLC374" s="15"/>
      <c r="FLD374" s="15"/>
      <c r="FLE374" s="15"/>
      <c r="FLF374" s="15"/>
      <c r="FLG374" s="15"/>
      <c r="FLH374" s="15"/>
      <c r="FLI374" s="15"/>
      <c r="FLJ374" s="15"/>
      <c r="FLK374" s="15"/>
      <c r="FLL374" s="10"/>
      <c r="FLM374" s="10"/>
      <c r="FLN374" s="21"/>
      <c r="FLO374" s="21"/>
      <c r="FLR374" s="21"/>
      <c r="FLS374" s="15"/>
      <c r="FLT374" s="15"/>
      <c r="FLU374" s="15"/>
      <c r="FLV374" s="15"/>
      <c r="FLW374" s="15"/>
      <c r="FLX374" s="15"/>
      <c r="FLY374" s="15"/>
      <c r="FLZ374" s="15"/>
      <c r="FMA374" s="15"/>
      <c r="FMB374" s="15"/>
      <c r="FMC374" s="10"/>
      <c r="FMD374" s="10"/>
      <c r="FME374" s="21"/>
      <c r="FMF374" s="21"/>
      <c r="FMI374" s="21"/>
      <c r="FMJ374" s="15"/>
      <c r="FMK374" s="15"/>
      <c r="FML374" s="15"/>
      <c r="FMM374" s="15"/>
      <c r="FMN374" s="15"/>
      <c r="FMO374" s="15"/>
      <c r="FMP374" s="15"/>
      <c r="FMQ374" s="15"/>
      <c r="FMR374" s="15"/>
      <c r="FMS374" s="15"/>
      <c r="FMT374" s="10"/>
      <c r="FMU374" s="10"/>
      <c r="FMV374" s="21"/>
      <c r="FMW374" s="21"/>
      <c r="FMZ374" s="21"/>
      <c r="FNA374" s="15"/>
      <c r="FNB374" s="15"/>
      <c r="FNC374" s="15"/>
      <c r="FND374" s="15"/>
      <c r="FNE374" s="15"/>
      <c r="FNF374" s="15"/>
      <c r="FNG374" s="15"/>
      <c r="FNH374" s="15"/>
      <c r="FNI374" s="15"/>
      <c r="FNJ374" s="15"/>
      <c r="FNK374" s="10"/>
      <c r="FNL374" s="10"/>
      <c r="FNM374" s="21"/>
      <c r="FNN374" s="21"/>
      <c r="FNQ374" s="21"/>
      <c r="FNR374" s="15"/>
      <c r="FNS374" s="15"/>
      <c r="FNT374" s="15"/>
      <c r="FNU374" s="15"/>
      <c r="FNV374" s="15"/>
      <c r="FNW374" s="15"/>
      <c r="FNX374" s="15"/>
      <c r="FNY374" s="15"/>
      <c r="FNZ374" s="15"/>
      <c r="FOA374" s="15"/>
      <c r="FOB374" s="10"/>
      <c r="FOC374" s="10"/>
      <c r="FOD374" s="21"/>
      <c r="FOE374" s="21"/>
      <c r="FOH374" s="21"/>
      <c r="FOI374" s="15"/>
      <c r="FOJ374" s="15"/>
      <c r="FOK374" s="15"/>
      <c r="FOL374" s="15"/>
      <c r="FOM374" s="15"/>
      <c r="FON374" s="15"/>
      <c r="FOO374" s="15"/>
      <c r="FOP374" s="15"/>
      <c r="FOQ374" s="15"/>
      <c r="FOR374" s="15"/>
      <c r="FOS374" s="10"/>
      <c r="FOT374" s="10"/>
      <c r="FOU374" s="21"/>
      <c r="FOV374" s="21"/>
      <c r="FOY374" s="21"/>
      <c r="FOZ374" s="15"/>
      <c r="FPA374" s="15"/>
      <c r="FPB374" s="15"/>
      <c r="FPC374" s="15"/>
      <c r="FPD374" s="15"/>
      <c r="FPE374" s="15"/>
      <c r="FPF374" s="15"/>
      <c r="FPG374" s="15"/>
      <c r="FPH374" s="15"/>
      <c r="FPI374" s="15"/>
      <c r="FPJ374" s="10"/>
      <c r="FPK374" s="10"/>
      <c r="FPL374" s="21"/>
      <c r="FPM374" s="21"/>
      <c r="FPP374" s="21"/>
      <c r="FPQ374" s="15"/>
      <c r="FPR374" s="15"/>
      <c r="FPS374" s="15"/>
      <c r="FPT374" s="15"/>
      <c r="FPU374" s="15"/>
      <c r="FPV374" s="15"/>
      <c r="FPW374" s="15"/>
      <c r="FPX374" s="15"/>
      <c r="FPY374" s="15"/>
      <c r="FPZ374" s="15"/>
      <c r="FQA374" s="10"/>
      <c r="FQB374" s="10"/>
      <c r="FQC374" s="21"/>
      <c r="FQD374" s="21"/>
      <c r="FQG374" s="21"/>
      <c r="FQH374" s="15"/>
      <c r="FQI374" s="15"/>
      <c r="FQJ374" s="15"/>
      <c r="FQK374" s="15"/>
      <c r="FQL374" s="15"/>
      <c r="FQM374" s="15"/>
      <c r="FQN374" s="15"/>
      <c r="FQO374" s="15"/>
      <c r="FQP374" s="15"/>
      <c r="FQQ374" s="15"/>
      <c r="FQR374" s="10"/>
      <c r="FQS374" s="10"/>
      <c r="FQT374" s="21"/>
      <c r="FQU374" s="21"/>
      <c r="FQX374" s="21"/>
      <c r="FQY374" s="15"/>
      <c r="FQZ374" s="15"/>
      <c r="FRA374" s="15"/>
      <c r="FRB374" s="15"/>
      <c r="FRC374" s="15"/>
      <c r="FRD374" s="15"/>
      <c r="FRE374" s="15"/>
      <c r="FRF374" s="15"/>
      <c r="FRG374" s="15"/>
      <c r="FRH374" s="15"/>
      <c r="FRI374" s="10"/>
      <c r="FRJ374" s="10"/>
      <c r="FRK374" s="21"/>
      <c r="FRL374" s="21"/>
      <c r="FRO374" s="21"/>
      <c r="FRP374" s="15"/>
      <c r="FRQ374" s="15"/>
      <c r="FRR374" s="15"/>
      <c r="FRS374" s="15"/>
      <c r="FRT374" s="15"/>
      <c r="FRU374" s="15"/>
      <c r="FRV374" s="15"/>
      <c r="FRW374" s="15"/>
      <c r="FRX374" s="15"/>
      <c r="FRY374" s="15"/>
      <c r="FRZ374" s="10"/>
      <c r="FSA374" s="10"/>
      <c r="FSB374" s="21"/>
      <c r="FSC374" s="21"/>
      <c r="FSF374" s="21"/>
      <c r="FSG374" s="15"/>
      <c r="FSH374" s="15"/>
      <c r="FSI374" s="15"/>
      <c r="FSJ374" s="15"/>
      <c r="FSK374" s="15"/>
      <c r="FSL374" s="15"/>
      <c r="FSM374" s="15"/>
      <c r="FSN374" s="15"/>
      <c r="FSO374" s="15"/>
      <c r="FSP374" s="15"/>
      <c r="FSQ374" s="10"/>
      <c r="FSR374" s="10"/>
      <c r="FSS374" s="21"/>
      <c r="FST374" s="21"/>
      <c r="FSW374" s="21"/>
      <c r="FSX374" s="15"/>
      <c r="FSY374" s="15"/>
      <c r="FSZ374" s="15"/>
      <c r="FTA374" s="15"/>
      <c r="FTB374" s="15"/>
      <c r="FTC374" s="15"/>
      <c r="FTD374" s="15"/>
      <c r="FTE374" s="15"/>
      <c r="FTF374" s="15"/>
      <c r="FTG374" s="15"/>
      <c r="FTH374" s="10"/>
      <c r="FTI374" s="10"/>
      <c r="FTJ374" s="21"/>
      <c r="FTK374" s="21"/>
      <c r="FTN374" s="21"/>
      <c r="FTO374" s="15"/>
      <c r="FTP374" s="15"/>
      <c r="FTQ374" s="15"/>
      <c r="FTR374" s="15"/>
      <c r="FTS374" s="15"/>
      <c r="FTT374" s="15"/>
      <c r="FTU374" s="15"/>
      <c r="FTV374" s="15"/>
      <c r="FTW374" s="15"/>
      <c r="FTX374" s="15"/>
      <c r="FTY374" s="10"/>
      <c r="FTZ374" s="10"/>
      <c r="FUA374" s="21"/>
      <c r="FUB374" s="21"/>
      <c r="FUE374" s="21"/>
      <c r="FUF374" s="15"/>
      <c r="FUG374" s="15"/>
      <c r="FUH374" s="15"/>
      <c r="FUI374" s="15"/>
      <c r="FUJ374" s="15"/>
      <c r="FUK374" s="15"/>
      <c r="FUL374" s="15"/>
      <c r="FUM374" s="15"/>
      <c r="FUN374" s="15"/>
      <c r="FUO374" s="15"/>
      <c r="FUP374" s="10"/>
      <c r="FUQ374" s="10"/>
      <c r="FUR374" s="21"/>
      <c r="FUS374" s="21"/>
      <c r="FUV374" s="21"/>
      <c r="FUW374" s="15"/>
      <c r="FUX374" s="15"/>
      <c r="FUY374" s="15"/>
      <c r="FUZ374" s="15"/>
      <c r="FVA374" s="15"/>
      <c r="FVB374" s="15"/>
      <c r="FVC374" s="15"/>
      <c r="FVD374" s="15"/>
      <c r="FVE374" s="15"/>
      <c r="FVF374" s="15"/>
      <c r="FVG374" s="10"/>
      <c r="FVH374" s="10"/>
      <c r="FVI374" s="21"/>
      <c r="FVJ374" s="21"/>
      <c r="FVM374" s="21"/>
      <c r="FVN374" s="15"/>
      <c r="FVO374" s="15"/>
      <c r="FVP374" s="15"/>
      <c r="FVQ374" s="15"/>
      <c r="FVR374" s="15"/>
      <c r="FVS374" s="15"/>
      <c r="FVT374" s="15"/>
      <c r="FVU374" s="15"/>
      <c r="FVV374" s="15"/>
      <c r="FVW374" s="15"/>
      <c r="FVX374" s="10"/>
      <c r="FVY374" s="10"/>
      <c r="FVZ374" s="21"/>
      <c r="FWA374" s="21"/>
      <c r="FWD374" s="21"/>
      <c r="FWE374" s="15"/>
      <c r="FWF374" s="15"/>
      <c r="FWG374" s="15"/>
      <c r="FWH374" s="15"/>
      <c r="FWI374" s="15"/>
      <c r="FWJ374" s="15"/>
      <c r="FWK374" s="15"/>
      <c r="FWL374" s="15"/>
      <c r="FWM374" s="15"/>
      <c r="FWN374" s="15"/>
      <c r="FWO374" s="10"/>
      <c r="FWP374" s="10"/>
      <c r="FWQ374" s="21"/>
      <c r="FWR374" s="21"/>
      <c r="FWU374" s="21"/>
      <c r="FWV374" s="15"/>
      <c r="FWW374" s="15"/>
      <c r="FWX374" s="15"/>
      <c r="FWY374" s="15"/>
      <c r="FWZ374" s="15"/>
      <c r="FXA374" s="15"/>
      <c r="FXB374" s="15"/>
      <c r="FXC374" s="15"/>
      <c r="FXD374" s="15"/>
      <c r="FXE374" s="15"/>
      <c r="FXF374" s="10"/>
      <c r="FXG374" s="10"/>
      <c r="FXH374" s="21"/>
      <c r="FXI374" s="21"/>
      <c r="FXL374" s="21"/>
      <c r="FXM374" s="15"/>
      <c r="FXN374" s="15"/>
      <c r="FXO374" s="15"/>
      <c r="FXP374" s="15"/>
      <c r="FXQ374" s="15"/>
      <c r="FXR374" s="15"/>
      <c r="FXS374" s="15"/>
      <c r="FXT374" s="15"/>
      <c r="FXU374" s="15"/>
      <c r="FXV374" s="15"/>
      <c r="FXW374" s="10"/>
      <c r="FXX374" s="10"/>
      <c r="FXY374" s="21"/>
      <c r="FXZ374" s="21"/>
      <c r="FYC374" s="21"/>
      <c r="FYD374" s="15"/>
      <c r="FYE374" s="15"/>
      <c r="FYF374" s="15"/>
      <c r="FYG374" s="15"/>
      <c r="FYH374" s="15"/>
      <c r="FYI374" s="15"/>
      <c r="FYJ374" s="15"/>
      <c r="FYK374" s="15"/>
      <c r="FYL374" s="15"/>
      <c r="FYM374" s="15"/>
      <c r="FYN374" s="10"/>
      <c r="FYO374" s="10"/>
      <c r="FYP374" s="21"/>
      <c r="FYQ374" s="21"/>
      <c r="FYT374" s="21"/>
      <c r="FYU374" s="15"/>
      <c r="FYV374" s="15"/>
      <c r="FYW374" s="15"/>
      <c r="FYX374" s="15"/>
      <c r="FYY374" s="15"/>
      <c r="FYZ374" s="15"/>
      <c r="FZA374" s="15"/>
      <c r="FZB374" s="15"/>
      <c r="FZC374" s="15"/>
      <c r="FZD374" s="15"/>
      <c r="FZE374" s="10"/>
      <c r="FZF374" s="10"/>
      <c r="FZG374" s="21"/>
      <c r="FZH374" s="21"/>
      <c r="FZK374" s="21"/>
      <c r="FZL374" s="15"/>
      <c r="FZM374" s="15"/>
      <c r="FZN374" s="15"/>
      <c r="FZO374" s="15"/>
      <c r="FZP374" s="15"/>
      <c r="FZQ374" s="15"/>
      <c r="FZR374" s="15"/>
      <c r="FZS374" s="15"/>
      <c r="FZT374" s="15"/>
      <c r="FZU374" s="15"/>
      <c r="FZV374" s="10"/>
      <c r="FZW374" s="10"/>
      <c r="FZX374" s="21"/>
      <c r="FZY374" s="21"/>
      <c r="GAB374" s="21"/>
      <c r="GAC374" s="15"/>
      <c r="GAD374" s="15"/>
      <c r="GAE374" s="15"/>
      <c r="GAF374" s="15"/>
      <c r="GAG374" s="15"/>
      <c r="GAH374" s="15"/>
      <c r="GAI374" s="15"/>
      <c r="GAJ374" s="15"/>
      <c r="GAK374" s="15"/>
      <c r="GAL374" s="15"/>
      <c r="GAM374" s="10"/>
      <c r="GAN374" s="10"/>
      <c r="GAO374" s="21"/>
      <c r="GAP374" s="21"/>
      <c r="GAS374" s="21"/>
      <c r="GAT374" s="15"/>
      <c r="GAU374" s="15"/>
      <c r="GAV374" s="15"/>
      <c r="GAW374" s="15"/>
      <c r="GAX374" s="15"/>
      <c r="GAY374" s="15"/>
      <c r="GAZ374" s="15"/>
      <c r="GBA374" s="15"/>
      <c r="GBB374" s="15"/>
      <c r="GBC374" s="15"/>
      <c r="GBD374" s="10"/>
      <c r="GBE374" s="10"/>
      <c r="GBF374" s="21"/>
      <c r="GBG374" s="21"/>
      <c r="GBJ374" s="21"/>
      <c r="GBK374" s="15"/>
      <c r="GBL374" s="15"/>
      <c r="GBM374" s="15"/>
      <c r="GBN374" s="15"/>
      <c r="GBO374" s="15"/>
      <c r="GBP374" s="15"/>
      <c r="GBQ374" s="15"/>
      <c r="GBR374" s="15"/>
      <c r="GBS374" s="15"/>
      <c r="GBT374" s="15"/>
      <c r="GBU374" s="10"/>
      <c r="GBV374" s="10"/>
      <c r="GBW374" s="21"/>
      <c r="GBX374" s="21"/>
      <c r="GCA374" s="21"/>
      <c r="GCB374" s="15"/>
      <c r="GCC374" s="15"/>
      <c r="GCD374" s="15"/>
      <c r="GCE374" s="15"/>
      <c r="GCF374" s="15"/>
      <c r="GCG374" s="15"/>
      <c r="GCH374" s="15"/>
      <c r="GCI374" s="15"/>
      <c r="GCJ374" s="15"/>
      <c r="GCK374" s="15"/>
      <c r="GCL374" s="10"/>
      <c r="GCM374" s="10"/>
      <c r="GCN374" s="21"/>
      <c r="GCO374" s="21"/>
      <c r="GCR374" s="21"/>
      <c r="GCS374" s="15"/>
      <c r="GCT374" s="15"/>
      <c r="GCU374" s="15"/>
      <c r="GCV374" s="15"/>
      <c r="GCW374" s="15"/>
      <c r="GCX374" s="15"/>
      <c r="GCY374" s="15"/>
      <c r="GCZ374" s="15"/>
      <c r="GDA374" s="15"/>
      <c r="GDB374" s="15"/>
      <c r="GDC374" s="10"/>
      <c r="GDD374" s="10"/>
      <c r="GDE374" s="21"/>
      <c r="GDF374" s="21"/>
      <c r="GDI374" s="21"/>
      <c r="GDJ374" s="15"/>
      <c r="GDK374" s="15"/>
      <c r="GDL374" s="15"/>
      <c r="GDM374" s="15"/>
      <c r="GDN374" s="15"/>
      <c r="GDO374" s="15"/>
      <c r="GDP374" s="15"/>
      <c r="GDQ374" s="15"/>
      <c r="GDR374" s="15"/>
      <c r="GDS374" s="15"/>
      <c r="GDT374" s="10"/>
      <c r="GDU374" s="10"/>
      <c r="GDV374" s="21"/>
      <c r="GDW374" s="21"/>
      <c r="GDZ374" s="21"/>
      <c r="GEA374" s="15"/>
      <c r="GEB374" s="15"/>
      <c r="GEC374" s="15"/>
      <c r="GED374" s="15"/>
      <c r="GEE374" s="15"/>
      <c r="GEF374" s="15"/>
      <c r="GEG374" s="15"/>
      <c r="GEH374" s="15"/>
      <c r="GEI374" s="15"/>
      <c r="GEJ374" s="15"/>
      <c r="GEK374" s="10"/>
      <c r="GEL374" s="10"/>
      <c r="GEM374" s="21"/>
      <c r="GEN374" s="21"/>
      <c r="GEQ374" s="21"/>
      <c r="GER374" s="15"/>
      <c r="GES374" s="15"/>
      <c r="GET374" s="15"/>
      <c r="GEU374" s="15"/>
      <c r="GEV374" s="15"/>
      <c r="GEW374" s="15"/>
      <c r="GEX374" s="15"/>
      <c r="GEY374" s="15"/>
      <c r="GEZ374" s="15"/>
      <c r="GFA374" s="15"/>
      <c r="GFB374" s="10"/>
      <c r="GFC374" s="10"/>
      <c r="GFD374" s="21"/>
      <c r="GFE374" s="21"/>
      <c r="GFH374" s="21"/>
      <c r="GFI374" s="15"/>
      <c r="GFJ374" s="15"/>
      <c r="GFK374" s="15"/>
      <c r="GFL374" s="15"/>
      <c r="GFM374" s="15"/>
      <c r="GFN374" s="15"/>
      <c r="GFO374" s="15"/>
      <c r="GFP374" s="15"/>
      <c r="GFQ374" s="15"/>
      <c r="GFR374" s="15"/>
      <c r="GFS374" s="10"/>
      <c r="GFT374" s="10"/>
      <c r="GFU374" s="21"/>
      <c r="GFV374" s="21"/>
      <c r="GFY374" s="21"/>
      <c r="GFZ374" s="15"/>
      <c r="GGA374" s="15"/>
      <c r="GGB374" s="15"/>
      <c r="GGC374" s="15"/>
      <c r="GGD374" s="15"/>
      <c r="GGE374" s="15"/>
      <c r="GGF374" s="15"/>
      <c r="GGG374" s="15"/>
      <c r="GGH374" s="15"/>
      <c r="GGI374" s="15"/>
      <c r="GGJ374" s="10"/>
      <c r="GGK374" s="10"/>
      <c r="GGL374" s="21"/>
      <c r="GGM374" s="21"/>
      <c r="GGP374" s="21"/>
      <c r="GGQ374" s="15"/>
      <c r="GGR374" s="15"/>
      <c r="GGS374" s="15"/>
      <c r="GGT374" s="15"/>
      <c r="GGU374" s="15"/>
      <c r="GGV374" s="15"/>
      <c r="GGW374" s="15"/>
      <c r="GGX374" s="15"/>
      <c r="GGY374" s="15"/>
      <c r="GGZ374" s="15"/>
      <c r="GHA374" s="10"/>
      <c r="GHB374" s="10"/>
      <c r="GHC374" s="21"/>
      <c r="GHD374" s="21"/>
      <c r="GHG374" s="21"/>
      <c r="GHH374" s="15"/>
      <c r="GHI374" s="15"/>
      <c r="GHJ374" s="15"/>
      <c r="GHK374" s="15"/>
      <c r="GHL374" s="15"/>
      <c r="GHM374" s="15"/>
      <c r="GHN374" s="15"/>
      <c r="GHO374" s="15"/>
      <c r="GHP374" s="15"/>
      <c r="GHQ374" s="15"/>
      <c r="GHR374" s="10"/>
      <c r="GHS374" s="10"/>
      <c r="GHT374" s="21"/>
      <c r="GHU374" s="21"/>
      <c r="GHX374" s="21"/>
      <c r="GHY374" s="15"/>
      <c r="GHZ374" s="15"/>
      <c r="GIA374" s="15"/>
      <c r="GIB374" s="15"/>
      <c r="GIC374" s="15"/>
      <c r="GID374" s="15"/>
      <c r="GIE374" s="15"/>
      <c r="GIF374" s="15"/>
      <c r="GIG374" s="15"/>
      <c r="GIH374" s="15"/>
      <c r="GII374" s="10"/>
      <c r="GIJ374" s="10"/>
      <c r="GIK374" s="21"/>
      <c r="GIL374" s="21"/>
      <c r="GIO374" s="21"/>
      <c r="GIP374" s="15"/>
      <c r="GIQ374" s="15"/>
      <c r="GIR374" s="15"/>
      <c r="GIS374" s="15"/>
      <c r="GIT374" s="15"/>
      <c r="GIU374" s="15"/>
      <c r="GIV374" s="15"/>
      <c r="GIW374" s="15"/>
      <c r="GIX374" s="15"/>
      <c r="GIY374" s="15"/>
      <c r="GIZ374" s="10"/>
      <c r="GJA374" s="10"/>
      <c r="GJB374" s="21"/>
      <c r="GJC374" s="21"/>
      <c r="GJF374" s="21"/>
      <c r="GJG374" s="15"/>
      <c r="GJH374" s="15"/>
      <c r="GJI374" s="15"/>
      <c r="GJJ374" s="15"/>
      <c r="GJK374" s="15"/>
      <c r="GJL374" s="15"/>
      <c r="GJM374" s="15"/>
      <c r="GJN374" s="15"/>
      <c r="GJO374" s="15"/>
      <c r="GJP374" s="15"/>
      <c r="GJQ374" s="10"/>
      <c r="GJR374" s="10"/>
      <c r="GJS374" s="21"/>
      <c r="GJT374" s="21"/>
      <c r="GJW374" s="21"/>
      <c r="GJX374" s="15"/>
      <c r="GJY374" s="15"/>
      <c r="GJZ374" s="15"/>
      <c r="GKA374" s="15"/>
      <c r="GKB374" s="15"/>
      <c r="GKC374" s="15"/>
      <c r="GKD374" s="15"/>
      <c r="GKE374" s="15"/>
      <c r="GKF374" s="15"/>
      <c r="GKG374" s="15"/>
      <c r="GKH374" s="10"/>
      <c r="GKI374" s="10"/>
      <c r="GKJ374" s="21"/>
      <c r="GKK374" s="21"/>
      <c r="GKN374" s="21"/>
      <c r="GKO374" s="15"/>
      <c r="GKP374" s="15"/>
      <c r="GKQ374" s="15"/>
      <c r="GKR374" s="15"/>
      <c r="GKS374" s="15"/>
      <c r="GKT374" s="15"/>
      <c r="GKU374" s="15"/>
      <c r="GKV374" s="15"/>
      <c r="GKW374" s="15"/>
      <c r="GKX374" s="15"/>
      <c r="GKY374" s="10"/>
      <c r="GKZ374" s="10"/>
      <c r="GLA374" s="21"/>
      <c r="GLB374" s="21"/>
      <c r="GLE374" s="21"/>
      <c r="GLF374" s="15"/>
      <c r="GLG374" s="15"/>
      <c r="GLH374" s="15"/>
      <c r="GLI374" s="15"/>
      <c r="GLJ374" s="15"/>
      <c r="GLK374" s="15"/>
      <c r="GLL374" s="15"/>
      <c r="GLM374" s="15"/>
      <c r="GLN374" s="15"/>
      <c r="GLO374" s="15"/>
      <c r="GLP374" s="10"/>
      <c r="GLQ374" s="10"/>
      <c r="GLR374" s="21"/>
      <c r="GLS374" s="21"/>
      <c r="GLV374" s="21"/>
      <c r="GLW374" s="15"/>
      <c r="GLX374" s="15"/>
      <c r="GLY374" s="15"/>
      <c r="GLZ374" s="15"/>
      <c r="GMA374" s="15"/>
      <c r="GMB374" s="15"/>
      <c r="GMC374" s="15"/>
      <c r="GMD374" s="15"/>
      <c r="GME374" s="15"/>
      <c r="GMF374" s="15"/>
      <c r="GMG374" s="10"/>
      <c r="GMH374" s="10"/>
      <c r="GMI374" s="21"/>
      <c r="GMJ374" s="21"/>
      <c r="GMM374" s="21"/>
      <c r="GMN374" s="15"/>
      <c r="GMO374" s="15"/>
      <c r="GMP374" s="15"/>
      <c r="GMQ374" s="15"/>
      <c r="GMR374" s="15"/>
      <c r="GMS374" s="15"/>
      <c r="GMT374" s="15"/>
      <c r="GMU374" s="15"/>
      <c r="GMV374" s="15"/>
      <c r="GMW374" s="15"/>
      <c r="GMX374" s="10"/>
      <c r="GMY374" s="10"/>
      <c r="GMZ374" s="21"/>
      <c r="GNA374" s="21"/>
      <c r="GND374" s="21"/>
      <c r="GNE374" s="15"/>
      <c r="GNF374" s="15"/>
      <c r="GNG374" s="15"/>
      <c r="GNH374" s="15"/>
      <c r="GNI374" s="15"/>
      <c r="GNJ374" s="15"/>
      <c r="GNK374" s="15"/>
      <c r="GNL374" s="15"/>
      <c r="GNM374" s="15"/>
      <c r="GNN374" s="15"/>
      <c r="GNO374" s="10"/>
      <c r="GNP374" s="10"/>
      <c r="GNQ374" s="21"/>
      <c r="GNR374" s="21"/>
      <c r="GNU374" s="21"/>
      <c r="GNV374" s="15"/>
      <c r="GNW374" s="15"/>
      <c r="GNX374" s="15"/>
      <c r="GNY374" s="15"/>
      <c r="GNZ374" s="15"/>
      <c r="GOA374" s="15"/>
      <c r="GOB374" s="15"/>
      <c r="GOC374" s="15"/>
      <c r="GOD374" s="15"/>
      <c r="GOE374" s="15"/>
      <c r="GOF374" s="10"/>
      <c r="GOG374" s="10"/>
      <c r="GOH374" s="21"/>
      <c r="GOI374" s="21"/>
      <c r="GOL374" s="21"/>
      <c r="GOM374" s="15"/>
      <c r="GON374" s="15"/>
      <c r="GOO374" s="15"/>
      <c r="GOP374" s="15"/>
      <c r="GOQ374" s="15"/>
      <c r="GOR374" s="15"/>
      <c r="GOS374" s="15"/>
      <c r="GOT374" s="15"/>
      <c r="GOU374" s="15"/>
      <c r="GOV374" s="15"/>
      <c r="GOW374" s="10"/>
      <c r="GOX374" s="10"/>
      <c r="GOY374" s="21"/>
      <c r="GOZ374" s="21"/>
      <c r="GPC374" s="21"/>
      <c r="GPD374" s="15"/>
      <c r="GPE374" s="15"/>
      <c r="GPF374" s="15"/>
      <c r="GPG374" s="15"/>
      <c r="GPH374" s="15"/>
      <c r="GPI374" s="15"/>
      <c r="GPJ374" s="15"/>
      <c r="GPK374" s="15"/>
      <c r="GPL374" s="15"/>
      <c r="GPM374" s="15"/>
      <c r="GPN374" s="10"/>
      <c r="GPO374" s="10"/>
      <c r="GPP374" s="21"/>
      <c r="GPQ374" s="21"/>
      <c r="GPT374" s="21"/>
      <c r="GPU374" s="15"/>
      <c r="GPV374" s="15"/>
      <c r="GPW374" s="15"/>
      <c r="GPX374" s="15"/>
      <c r="GPY374" s="15"/>
      <c r="GPZ374" s="15"/>
      <c r="GQA374" s="15"/>
      <c r="GQB374" s="15"/>
      <c r="GQC374" s="15"/>
      <c r="GQD374" s="15"/>
      <c r="GQE374" s="10"/>
      <c r="GQF374" s="10"/>
      <c r="GQG374" s="21"/>
      <c r="GQH374" s="21"/>
      <c r="GQK374" s="21"/>
      <c r="GQL374" s="15"/>
      <c r="GQM374" s="15"/>
      <c r="GQN374" s="15"/>
      <c r="GQO374" s="15"/>
      <c r="GQP374" s="15"/>
      <c r="GQQ374" s="15"/>
      <c r="GQR374" s="15"/>
      <c r="GQS374" s="15"/>
      <c r="GQT374" s="15"/>
      <c r="GQU374" s="15"/>
      <c r="GQV374" s="10"/>
      <c r="GQW374" s="10"/>
      <c r="GQX374" s="21"/>
      <c r="GQY374" s="21"/>
      <c r="GRB374" s="21"/>
      <c r="GRC374" s="15"/>
      <c r="GRD374" s="15"/>
      <c r="GRE374" s="15"/>
      <c r="GRF374" s="15"/>
      <c r="GRG374" s="15"/>
      <c r="GRH374" s="15"/>
      <c r="GRI374" s="15"/>
      <c r="GRJ374" s="15"/>
      <c r="GRK374" s="15"/>
      <c r="GRL374" s="15"/>
      <c r="GRM374" s="10"/>
      <c r="GRN374" s="10"/>
      <c r="GRO374" s="21"/>
      <c r="GRP374" s="21"/>
      <c r="GRS374" s="21"/>
      <c r="GRT374" s="15"/>
      <c r="GRU374" s="15"/>
      <c r="GRV374" s="15"/>
      <c r="GRW374" s="15"/>
      <c r="GRX374" s="15"/>
      <c r="GRY374" s="15"/>
      <c r="GRZ374" s="15"/>
      <c r="GSA374" s="15"/>
      <c r="GSB374" s="15"/>
      <c r="GSC374" s="15"/>
      <c r="GSD374" s="10"/>
      <c r="GSE374" s="10"/>
      <c r="GSF374" s="21"/>
      <c r="GSG374" s="21"/>
      <c r="GSJ374" s="21"/>
      <c r="GSK374" s="15"/>
      <c r="GSL374" s="15"/>
      <c r="GSM374" s="15"/>
      <c r="GSN374" s="15"/>
      <c r="GSO374" s="15"/>
      <c r="GSP374" s="15"/>
      <c r="GSQ374" s="15"/>
      <c r="GSR374" s="15"/>
      <c r="GSS374" s="15"/>
      <c r="GST374" s="15"/>
      <c r="GSU374" s="10"/>
      <c r="GSV374" s="10"/>
      <c r="GSW374" s="21"/>
      <c r="GSX374" s="21"/>
      <c r="GTA374" s="21"/>
      <c r="GTB374" s="15"/>
      <c r="GTC374" s="15"/>
      <c r="GTD374" s="15"/>
      <c r="GTE374" s="15"/>
      <c r="GTF374" s="15"/>
      <c r="GTG374" s="15"/>
      <c r="GTH374" s="15"/>
      <c r="GTI374" s="15"/>
      <c r="GTJ374" s="15"/>
      <c r="GTK374" s="15"/>
      <c r="GTL374" s="10"/>
      <c r="GTM374" s="10"/>
      <c r="GTN374" s="21"/>
      <c r="GTO374" s="21"/>
      <c r="GTR374" s="21"/>
      <c r="GTS374" s="15"/>
      <c r="GTT374" s="15"/>
      <c r="GTU374" s="15"/>
      <c r="GTV374" s="15"/>
      <c r="GTW374" s="15"/>
      <c r="GTX374" s="15"/>
      <c r="GTY374" s="15"/>
      <c r="GTZ374" s="15"/>
      <c r="GUA374" s="15"/>
      <c r="GUB374" s="15"/>
      <c r="GUC374" s="10"/>
      <c r="GUD374" s="10"/>
      <c r="GUE374" s="21"/>
      <c r="GUF374" s="21"/>
      <c r="GUI374" s="21"/>
      <c r="GUJ374" s="15"/>
      <c r="GUK374" s="15"/>
      <c r="GUL374" s="15"/>
      <c r="GUM374" s="15"/>
      <c r="GUN374" s="15"/>
      <c r="GUO374" s="15"/>
      <c r="GUP374" s="15"/>
      <c r="GUQ374" s="15"/>
      <c r="GUR374" s="15"/>
      <c r="GUS374" s="15"/>
      <c r="GUT374" s="10"/>
      <c r="GUU374" s="10"/>
      <c r="GUV374" s="21"/>
      <c r="GUW374" s="21"/>
      <c r="GUZ374" s="21"/>
      <c r="GVA374" s="15"/>
      <c r="GVB374" s="15"/>
      <c r="GVC374" s="15"/>
      <c r="GVD374" s="15"/>
      <c r="GVE374" s="15"/>
      <c r="GVF374" s="15"/>
      <c r="GVG374" s="15"/>
      <c r="GVH374" s="15"/>
      <c r="GVI374" s="15"/>
      <c r="GVJ374" s="15"/>
      <c r="GVK374" s="10"/>
      <c r="GVL374" s="10"/>
      <c r="GVM374" s="21"/>
      <c r="GVN374" s="21"/>
      <c r="GVQ374" s="21"/>
      <c r="GVR374" s="15"/>
      <c r="GVS374" s="15"/>
      <c r="GVT374" s="15"/>
      <c r="GVU374" s="15"/>
      <c r="GVV374" s="15"/>
      <c r="GVW374" s="15"/>
      <c r="GVX374" s="15"/>
      <c r="GVY374" s="15"/>
      <c r="GVZ374" s="15"/>
      <c r="GWA374" s="15"/>
      <c r="GWB374" s="10"/>
      <c r="GWC374" s="10"/>
      <c r="GWD374" s="21"/>
      <c r="GWE374" s="21"/>
      <c r="GWH374" s="21"/>
      <c r="GWI374" s="15"/>
      <c r="GWJ374" s="15"/>
      <c r="GWK374" s="15"/>
      <c r="GWL374" s="15"/>
      <c r="GWM374" s="15"/>
      <c r="GWN374" s="15"/>
      <c r="GWO374" s="15"/>
      <c r="GWP374" s="15"/>
      <c r="GWQ374" s="15"/>
      <c r="GWR374" s="15"/>
      <c r="GWS374" s="10"/>
      <c r="GWT374" s="10"/>
      <c r="GWU374" s="21"/>
      <c r="GWV374" s="21"/>
      <c r="GWY374" s="21"/>
      <c r="GWZ374" s="15"/>
      <c r="GXA374" s="15"/>
      <c r="GXB374" s="15"/>
      <c r="GXC374" s="15"/>
      <c r="GXD374" s="15"/>
      <c r="GXE374" s="15"/>
      <c r="GXF374" s="15"/>
      <c r="GXG374" s="15"/>
      <c r="GXH374" s="15"/>
      <c r="GXI374" s="15"/>
      <c r="GXJ374" s="10"/>
      <c r="GXK374" s="10"/>
      <c r="GXL374" s="21"/>
      <c r="GXM374" s="21"/>
      <c r="GXP374" s="21"/>
      <c r="GXQ374" s="15"/>
      <c r="GXR374" s="15"/>
      <c r="GXS374" s="15"/>
      <c r="GXT374" s="15"/>
      <c r="GXU374" s="15"/>
      <c r="GXV374" s="15"/>
      <c r="GXW374" s="15"/>
      <c r="GXX374" s="15"/>
      <c r="GXY374" s="15"/>
      <c r="GXZ374" s="15"/>
      <c r="GYA374" s="10"/>
      <c r="GYB374" s="10"/>
      <c r="GYC374" s="21"/>
      <c r="GYD374" s="21"/>
      <c r="GYG374" s="21"/>
      <c r="GYH374" s="15"/>
      <c r="GYI374" s="15"/>
      <c r="GYJ374" s="15"/>
      <c r="GYK374" s="15"/>
      <c r="GYL374" s="15"/>
      <c r="GYM374" s="15"/>
      <c r="GYN374" s="15"/>
      <c r="GYO374" s="15"/>
      <c r="GYP374" s="15"/>
      <c r="GYQ374" s="15"/>
      <c r="GYR374" s="10"/>
      <c r="GYS374" s="10"/>
      <c r="GYT374" s="21"/>
      <c r="GYU374" s="21"/>
      <c r="GYX374" s="21"/>
      <c r="GYY374" s="15"/>
      <c r="GYZ374" s="15"/>
      <c r="GZA374" s="15"/>
      <c r="GZB374" s="15"/>
      <c r="GZC374" s="15"/>
      <c r="GZD374" s="15"/>
      <c r="GZE374" s="15"/>
      <c r="GZF374" s="15"/>
      <c r="GZG374" s="15"/>
      <c r="GZH374" s="15"/>
      <c r="GZI374" s="10"/>
      <c r="GZJ374" s="10"/>
      <c r="GZK374" s="21"/>
      <c r="GZL374" s="21"/>
      <c r="GZO374" s="21"/>
      <c r="GZP374" s="15"/>
      <c r="GZQ374" s="15"/>
      <c r="GZR374" s="15"/>
      <c r="GZS374" s="15"/>
      <c r="GZT374" s="15"/>
      <c r="GZU374" s="15"/>
      <c r="GZV374" s="15"/>
      <c r="GZW374" s="15"/>
      <c r="GZX374" s="15"/>
      <c r="GZY374" s="15"/>
      <c r="GZZ374" s="10"/>
      <c r="HAA374" s="10"/>
      <c r="HAB374" s="21"/>
      <c r="HAC374" s="21"/>
      <c r="HAF374" s="21"/>
      <c r="HAG374" s="15"/>
      <c r="HAH374" s="15"/>
      <c r="HAI374" s="15"/>
      <c r="HAJ374" s="15"/>
      <c r="HAK374" s="15"/>
      <c r="HAL374" s="15"/>
      <c r="HAM374" s="15"/>
      <c r="HAN374" s="15"/>
      <c r="HAO374" s="15"/>
      <c r="HAP374" s="15"/>
      <c r="HAQ374" s="10"/>
      <c r="HAR374" s="10"/>
      <c r="HAS374" s="21"/>
      <c r="HAT374" s="21"/>
      <c r="HAW374" s="21"/>
      <c r="HAX374" s="15"/>
      <c r="HAY374" s="15"/>
      <c r="HAZ374" s="15"/>
      <c r="HBA374" s="15"/>
      <c r="HBB374" s="15"/>
      <c r="HBC374" s="15"/>
      <c r="HBD374" s="15"/>
      <c r="HBE374" s="15"/>
      <c r="HBF374" s="15"/>
      <c r="HBG374" s="15"/>
      <c r="HBH374" s="10"/>
      <c r="HBI374" s="10"/>
      <c r="HBJ374" s="21"/>
      <c r="HBK374" s="21"/>
      <c r="HBN374" s="21"/>
      <c r="HBO374" s="15"/>
      <c r="HBP374" s="15"/>
      <c r="HBQ374" s="15"/>
      <c r="HBR374" s="15"/>
      <c r="HBS374" s="15"/>
      <c r="HBT374" s="15"/>
      <c r="HBU374" s="15"/>
      <c r="HBV374" s="15"/>
      <c r="HBW374" s="15"/>
      <c r="HBX374" s="15"/>
      <c r="HBY374" s="10"/>
      <c r="HBZ374" s="10"/>
      <c r="HCA374" s="21"/>
      <c r="HCB374" s="21"/>
      <c r="HCE374" s="21"/>
      <c r="HCF374" s="15"/>
      <c r="HCG374" s="15"/>
      <c r="HCH374" s="15"/>
      <c r="HCI374" s="15"/>
      <c r="HCJ374" s="15"/>
      <c r="HCK374" s="15"/>
      <c r="HCL374" s="15"/>
      <c r="HCM374" s="15"/>
      <c r="HCN374" s="15"/>
      <c r="HCO374" s="15"/>
      <c r="HCP374" s="10"/>
      <c r="HCQ374" s="10"/>
      <c r="HCR374" s="21"/>
      <c r="HCS374" s="21"/>
      <c r="HCV374" s="21"/>
      <c r="HCW374" s="15"/>
      <c r="HCX374" s="15"/>
      <c r="HCY374" s="15"/>
      <c r="HCZ374" s="15"/>
      <c r="HDA374" s="15"/>
      <c r="HDB374" s="15"/>
      <c r="HDC374" s="15"/>
      <c r="HDD374" s="15"/>
      <c r="HDE374" s="15"/>
      <c r="HDF374" s="15"/>
      <c r="HDG374" s="10"/>
      <c r="HDH374" s="10"/>
      <c r="HDI374" s="21"/>
      <c r="HDJ374" s="21"/>
      <c r="HDM374" s="21"/>
      <c r="HDN374" s="15"/>
      <c r="HDO374" s="15"/>
      <c r="HDP374" s="15"/>
      <c r="HDQ374" s="15"/>
      <c r="HDR374" s="15"/>
      <c r="HDS374" s="15"/>
      <c r="HDT374" s="15"/>
      <c r="HDU374" s="15"/>
      <c r="HDV374" s="15"/>
      <c r="HDW374" s="15"/>
      <c r="HDX374" s="10"/>
      <c r="HDY374" s="10"/>
      <c r="HDZ374" s="21"/>
      <c r="HEA374" s="21"/>
      <c r="HED374" s="21"/>
      <c r="HEE374" s="15"/>
      <c r="HEF374" s="15"/>
      <c r="HEG374" s="15"/>
      <c r="HEH374" s="15"/>
      <c r="HEI374" s="15"/>
      <c r="HEJ374" s="15"/>
      <c r="HEK374" s="15"/>
      <c r="HEL374" s="15"/>
      <c r="HEM374" s="15"/>
      <c r="HEN374" s="15"/>
      <c r="HEO374" s="10"/>
      <c r="HEP374" s="10"/>
      <c r="HEQ374" s="21"/>
      <c r="HER374" s="21"/>
      <c r="HEU374" s="21"/>
      <c r="HEV374" s="15"/>
      <c r="HEW374" s="15"/>
      <c r="HEX374" s="15"/>
      <c r="HEY374" s="15"/>
      <c r="HEZ374" s="15"/>
      <c r="HFA374" s="15"/>
      <c r="HFB374" s="15"/>
      <c r="HFC374" s="15"/>
      <c r="HFD374" s="15"/>
      <c r="HFE374" s="15"/>
      <c r="HFF374" s="10"/>
      <c r="HFG374" s="10"/>
      <c r="HFH374" s="21"/>
      <c r="HFI374" s="21"/>
      <c r="HFL374" s="21"/>
      <c r="HFM374" s="15"/>
      <c r="HFN374" s="15"/>
      <c r="HFO374" s="15"/>
      <c r="HFP374" s="15"/>
      <c r="HFQ374" s="15"/>
      <c r="HFR374" s="15"/>
      <c r="HFS374" s="15"/>
      <c r="HFT374" s="15"/>
      <c r="HFU374" s="15"/>
      <c r="HFV374" s="15"/>
      <c r="HFW374" s="10"/>
      <c r="HFX374" s="10"/>
      <c r="HFY374" s="21"/>
      <c r="HFZ374" s="21"/>
      <c r="HGC374" s="21"/>
      <c r="HGD374" s="15"/>
      <c r="HGE374" s="15"/>
      <c r="HGF374" s="15"/>
      <c r="HGG374" s="15"/>
      <c r="HGH374" s="15"/>
      <c r="HGI374" s="15"/>
      <c r="HGJ374" s="15"/>
      <c r="HGK374" s="15"/>
      <c r="HGL374" s="15"/>
      <c r="HGM374" s="15"/>
      <c r="HGN374" s="10"/>
      <c r="HGO374" s="10"/>
      <c r="HGP374" s="21"/>
      <c r="HGQ374" s="21"/>
      <c r="HGT374" s="21"/>
      <c r="HGU374" s="15"/>
      <c r="HGV374" s="15"/>
      <c r="HGW374" s="15"/>
      <c r="HGX374" s="15"/>
      <c r="HGY374" s="15"/>
      <c r="HGZ374" s="15"/>
      <c r="HHA374" s="15"/>
      <c r="HHB374" s="15"/>
      <c r="HHC374" s="15"/>
      <c r="HHD374" s="15"/>
      <c r="HHE374" s="10"/>
      <c r="HHF374" s="10"/>
      <c r="HHG374" s="21"/>
      <c r="HHH374" s="21"/>
      <c r="HHK374" s="21"/>
      <c r="HHL374" s="15"/>
      <c r="HHM374" s="15"/>
      <c r="HHN374" s="15"/>
      <c r="HHO374" s="15"/>
      <c r="HHP374" s="15"/>
      <c r="HHQ374" s="15"/>
      <c r="HHR374" s="15"/>
      <c r="HHS374" s="15"/>
      <c r="HHT374" s="15"/>
      <c r="HHU374" s="15"/>
      <c r="HHV374" s="10"/>
      <c r="HHW374" s="10"/>
      <c r="HHX374" s="21"/>
      <c r="HHY374" s="21"/>
      <c r="HIB374" s="21"/>
      <c r="HIC374" s="15"/>
      <c r="HID374" s="15"/>
      <c r="HIE374" s="15"/>
      <c r="HIF374" s="15"/>
      <c r="HIG374" s="15"/>
      <c r="HIH374" s="15"/>
      <c r="HII374" s="15"/>
      <c r="HIJ374" s="15"/>
      <c r="HIK374" s="15"/>
      <c r="HIL374" s="15"/>
      <c r="HIM374" s="10"/>
      <c r="HIN374" s="10"/>
      <c r="HIO374" s="21"/>
      <c r="HIP374" s="21"/>
      <c r="HIS374" s="21"/>
      <c r="HIT374" s="15"/>
      <c r="HIU374" s="15"/>
      <c r="HIV374" s="15"/>
      <c r="HIW374" s="15"/>
      <c r="HIX374" s="15"/>
      <c r="HIY374" s="15"/>
      <c r="HIZ374" s="15"/>
      <c r="HJA374" s="15"/>
      <c r="HJB374" s="15"/>
      <c r="HJC374" s="15"/>
      <c r="HJD374" s="10"/>
      <c r="HJE374" s="10"/>
      <c r="HJF374" s="21"/>
      <c r="HJG374" s="21"/>
      <c r="HJJ374" s="21"/>
      <c r="HJK374" s="15"/>
      <c r="HJL374" s="15"/>
      <c r="HJM374" s="15"/>
      <c r="HJN374" s="15"/>
      <c r="HJO374" s="15"/>
      <c r="HJP374" s="15"/>
      <c r="HJQ374" s="15"/>
      <c r="HJR374" s="15"/>
      <c r="HJS374" s="15"/>
      <c r="HJT374" s="15"/>
      <c r="HJU374" s="10"/>
      <c r="HJV374" s="10"/>
      <c r="HJW374" s="21"/>
      <c r="HJX374" s="21"/>
      <c r="HKA374" s="21"/>
      <c r="HKB374" s="15"/>
      <c r="HKC374" s="15"/>
      <c r="HKD374" s="15"/>
      <c r="HKE374" s="15"/>
      <c r="HKF374" s="15"/>
      <c r="HKG374" s="15"/>
      <c r="HKH374" s="15"/>
      <c r="HKI374" s="15"/>
      <c r="HKJ374" s="15"/>
      <c r="HKK374" s="15"/>
      <c r="HKL374" s="10"/>
      <c r="HKM374" s="10"/>
      <c r="HKN374" s="21"/>
      <c r="HKO374" s="21"/>
      <c r="HKR374" s="21"/>
      <c r="HKS374" s="15"/>
      <c r="HKT374" s="15"/>
      <c r="HKU374" s="15"/>
      <c r="HKV374" s="15"/>
      <c r="HKW374" s="15"/>
      <c r="HKX374" s="15"/>
      <c r="HKY374" s="15"/>
      <c r="HKZ374" s="15"/>
      <c r="HLA374" s="15"/>
      <c r="HLB374" s="15"/>
      <c r="HLC374" s="10"/>
      <c r="HLD374" s="10"/>
      <c r="HLE374" s="21"/>
      <c r="HLF374" s="21"/>
      <c r="HLI374" s="21"/>
      <c r="HLJ374" s="15"/>
      <c r="HLK374" s="15"/>
      <c r="HLL374" s="15"/>
      <c r="HLM374" s="15"/>
      <c r="HLN374" s="15"/>
      <c r="HLO374" s="15"/>
      <c r="HLP374" s="15"/>
      <c r="HLQ374" s="15"/>
      <c r="HLR374" s="15"/>
      <c r="HLS374" s="15"/>
      <c r="HLT374" s="10"/>
      <c r="HLU374" s="10"/>
      <c r="HLV374" s="21"/>
      <c r="HLW374" s="21"/>
      <c r="HLZ374" s="21"/>
      <c r="HMA374" s="15"/>
      <c r="HMB374" s="15"/>
      <c r="HMC374" s="15"/>
      <c r="HMD374" s="15"/>
      <c r="HME374" s="15"/>
      <c r="HMF374" s="15"/>
      <c r="HMG374" s="15"/>
      <c r="HMH374" s="15"/>
      <c r="HMI374" s="15"/>
      <c r="HMJ374" s="15"/>
      <c r="HMK374" s="10"/>
      <c r="HML374" s="10"/>
      <c r="HMM374" s="21"/>
      <c r="HMN374" s="21"/>
      <c r="HMQ374" s="21"/>
      <c r="HMR374" s="15"/>
      <c r="HMS374" s="15"/>
      <c r="HMT374" s="15"/>
      <c r="HMU374" s="15"/>
      <c r="HMV374" s="15"/>
      <c r="HMW374" s="15"/>
      <c r="HMX374" s="15"/>
      <c r="HMY374" s="15"/>
      <c r="HMZ374" s="15"/>
      <c r="HNA374" s="15"/>
      <c r="HNB374" s="10"/>
      <c r="HNC374" s="10"/>
      <c r="HND374" s="21"/>
      <c r="HNE374" s="21"/>
      <c r="HNH374" s="21"/>
      <c r="HNI374" s="15"/>
      <c r="HNJ374" s="15"/>
      <c r="HNK374" s="15"/>
      <c r="HNL374" s="15"/>
      <c r="HNM374" s="15"/>
      <c r="HNN374" s="15"/>
      <c r="HNO374" s="15"/>
      <c r="HNP374" s="15"/>
      <c r="HNQ374" s="15"/>
      <c r="HNR374" s="15"/>
      <c r="HNS374" s="10"/>
      <c r="HNT374" s="10"/>
      <c r="HNU374" s="21"/>
      <c r="HNV374" s="21"/>
      <c r="HNY374" s="21"/>
      <c r="HNZ374" s="15"/>
      <c r="HOA374" s="15"/>
      <c r="HOB374" s="15"/>
      <c r="HOC374" s="15"/>
      <c r="HOD374" s="15"/>
      <c r="HOE374" s="15"/>
      <c r="HOF374" s="15"/>
      <c r="HOG374" s="15"/>
      <c r="HOH374" s="15"/>
      <c r="HOI374" s="15"/>
      <c r="HOJ374" s="10"/>
      <c r="HOK374" s="10"/>
      <c r="HOL374" s="21"/>
      <c r="HOM374" s="21"/>
      <c r="HOP374" s="21"/>
      <c r="HOQ374" s="15"/>
      <c r="HOR374" s="15"/>
      <c r="HOS374" s="15"/>
      <c r="HOT374" s="15"/>
      <c r="HOU374" s="15"/>
      <c r="HOV374" s="15"/>
      <c r="HOW374" s="15"/>
      <c r="HOX374" s="15"/>
      <c r="HOY374" s="15"/>
      <c r="HOZ374" s="15"/>
      <c r="HPA374" s="10"/>
      <c r="HPB374" s="10"/>
      <c r="HPC374" s="21"/>
      <c r="HPD374" s="21"/>
      <c r="HPG374" s="21"/>
      <c r="HPH374" s="15"/>
      <c r="HPI374" s="15"/>
      <c r="HPJ374" s="15"/>
      <c r="HPK374" s="15"/>
      <c r="HPL374" s="15"/>
      <c r="HPM374" s="15"/>
      <c r="HPN374" s="15"/>
      <c r="HPO374" s="15"/>
      <c r="HPP374" s="15"/>
      <c r="HPQ374" s="15"/>
      <c r="HPR374" s="10"/>
      <c r="HPS374" s="10"/>
      <c r="HPT374" s="21"/>
      <c r="HPU374" s="21"/>
      <c r="HPX374" s="21"/>
      <c r="HPY374" s="15"/>
      <c r="HPZ374" s="15"/>
      <c r="HQA374" s="15"/>
      <c r="HQB374" s="15"/>
      <c r="HQC374" s="15"/>
      <c r="HQD374" s="15"/>
      <c r="HQE374" s="15"/>
      <c r="HQF374" s="15"/>
      <c r="HQG374" s="15"/>
      <c r="HQH374" s="15"/>
      <c r="HQI374" s="10"/>
      <c r="HQJ374" s="10"/>
      <c r="HQK374" s="21"/>
      <c r="HQL374" s="21"/>
      <c r="HQO374" s="21"/>
      <c r="HQP374" s="15"/>
      <c r="HQQ374" s="15"/>
      <c r="HQR374" s="15"/>
      <c r="HQS374" s="15"/>
      <c r="HQT374" s="15"/>
      <c r="HQU374" s="15"/>
      <c r="HQV374" s="15"/>
      <c r="HQW374" s="15"/>
      <c r="HQX374" s="15"/>
      <c r="HQY374" s="15"/>
      <c r="HQZ374" s="10"/>
      <c r="HRA374" s="10"/>
      <c r="HRB374" s="21"/>
      <c r="HRC374" s="21"/>
      <c r="HRF374" s="21"/>
      <c r="HRG374" s="15"/>
      <c r="HRH374" s="15"/>
      <c r="HRI374" s="15"/>
      <c r="HRJ374" s="15"/>
      <c r="HRK374" s="15"/>
      <c r="HRL374" s="15"/>
      <c r="HRM374" s="15"/>
      <c r="HRN374" s="15"/>
      <c r="HRO374" s="15"/>
      <c r="HRP374" s="15"/>
      <c r="HRQ374" s="10"/>
      <c r="HRR374" s="10"/>
      <c r="HRS374" s="21"/>
      <c r="HRT374" s="21"/>
      <c r="HRW374" s="21"/>
      <c r="HRX374" s="15"/>
      <c r="HRY374" s="15"/>
      <c r="HRZ374" s="15"/>
      <c r="HSA374" s="15"/>
      <c r="HSB374" s="15"/>
      <c r="HSC374" s="15"/>
      <c r="HSD374" s="15"/>
      <c r="HSE374" s="15"/>
      <c r="HSF374" s="15"/>
      <c r="HSG374" s="15"/>
      <c r="HSH374" s="10"/>
      <c r="HSI374" s="10"/>
      <c r="HSJ374" s="21"/>
      <c r="HSK374" s="21"/>
      <c r="HSN374" s="21"/>
      <c r="HSO374" s="15"/>
      <c r="HSP374" s="15"/>
      <c r="HSQ374" s="15"/>
      <c r="HSR374" s="15"/>
      <c r="HSS374" s="15"/>
      <c r="HST374" s="15"/>
      <c r="HSU374" s="15"/>
      <c r="HSV374" s="15"/>
      <c r="HSW374" s="15"/>
      <c r="HSX374" s="15"/>
      <c r="HSY374" s="10"/>
      <c r="HSZ374" s="10"/>
      <c r="HTA374" s="21"/>
      <c r="HTB374" s="21"/>
      <c r="HTE374" s="21"/>
      <c r="HTF374" s="15"/>
      <c r="HTG374" s="15"/>
      <c r="HTH374" s="15"/>
      <c r="HTI374" s="15"/>
      <c r="HTJ374" s="15"/>
      <c r="HTK374" s="15"/>
      <c r="HTL374" s="15"/>
      <c r="HTM374" s="15"/>
      <c r="HTN374" s="15"/>
      <c r="HTO374" s="15"/>
      <c r="HTP374" s="10"/>
      <c r="HTQ374" s="10"/>
      <c r="HTR374" s="21"/>
      <c r="HTS374" s="21"/>
      <c r="HTV374" s="21"/>
      <c r="HTW374" s="15"/>
      <c r="HTX374" s="15"/>
      <c r="HTY374" s="15"/>
      <c r="HTZ374" s="15"/>
      <c r="HUA374" s="15"/>
      <c r="HUB374" s="15"/>
      <c r="HUC374" s="15"/>
      <c r="HUD374" s="15"/>
      <c r="HUE374" s="15"/>
      <c r="HUF374" s="15"/>
      <c r="HUG374" s="10"/>
      <c r="HUH374" s="10"/>
      <c r="HUI374" s="21"/>
      <c r="HUJ374" s="21"/>
      <c r="HUM374" s="21"/>
      <c r="HUN374" s="15"/>
      <c r="HUO374" s="15"/>
      <c r="HUP374" s="15"/>
      <c r="HUQ374" s="15"/>
      <c r="HUR374" s="15"/>
      <c r="HUS374" s="15"/>
      <c r="HUT374" s="15"/>
      <c r="HUU374" s="15"/>
      <c r="HUV374" s="15"/>
      <c r="HUW374" s="15"/>
      <c r="HUX374" s="10"/>
      <c r="HUY374" s="10"/>
      <c r="HUZ374" s="21"/>
      <c r="HVA374" s="21"/>
      <c r="HVD374" s="21"/>
      <c r="HVE374" s="15"/>
      <c r="HVF374" s="15"/>
      <c r="HVG374" s="15"/>
      <c r="HVH374" s="15"/>
      <c r="HVI374" s="15"/>
      <c r="HVJ374" s="15"/>
      <c r="HVK374" s="15"/>
      <c r="HVL374" s="15"/>
      <c r="HVM374" s="15"/>
      <c r="HVN374" s="15"/>
      <c r="HVO374" s="10"/>
      <c r="HVP374" s="10"/>
      <c r="HVQ374" s="21"/>
      <c r="HVR374" s="21"/>
      <c r="HVU374" s="21"/>
      <c r="HVV374" s="15"/>
      <c r="HVW374" s="15"/>
      <c r="HVX374" s="15"/>
      <c r="HVY374" s="15"/>
      <c r="HVZ374" s="15"/>
      <c r="HWA374" s="15"/>
      <c r="HWB374" s="15"/>
      <c r="HWC374" s="15"/>
      <c r="HWD374" s="15"/>
      <c r="HWE374" s="15"/>
      <c r="HWF374" s="10"/>
      <c r="HWG374" s="10"/>
      <c r="HWH374" s="21"/>
      <c r="HWI374" s="21"/>
      <c r="HWL374" s="21"/>
      <c r="HWM374" s="15"/>
      <c r="HWN374" s="15"/>
      <c r="HWO374" s="15"/>
      <c r="HWP374" s="15"/>
      <c r="HWQ374" s="15"/>
      <c r="HWR374" s="15"/>
      <c r="HWS374" s="15"/>
      <c r="HWT374" s="15"/>
      <c r="HWU374" s="15"/>
      <c r="HWV374" s="15"/>
      <c r="HWW374" s="10"/>
      <c r="HWX374" s="10"/>
      <c r="HWY374" s="21"/>
      <c r="HWZ374" s="21"/>
      <c r="HXC374" s="21"/>
      <c r="HXD374" s="15"/>
      <c r="HXE374" s="15"/>
      <c r="HXF374" s="15"/>
      <c r="HXG374" s="15"/>
      <c r="HXH374" s="15"/>
      <c r="HXI374" s="15"/>
      <c r="HXJ374" s="15"/>
      <c r="HXK374" s="15"/>
      <c r="HXL374" s="15"/>
      <c r="HXM374" s="15"/>
      <c r="HXN374" s="10"/>
      <c r="HXO374" s="10"/>
      <c r="HXP374" s="21"/>
      <c r="HXQ374" s="21"/>
      <c r="HXT374" s="21"/>
      <c r="HXU374" s="15"/>
      <c r="HXV374" s="15"/>
      <c r="HXW374" s="15"/>
      <c r="HXX374" s="15"/>
      <c r="HXY374" s="15"/>
      <c r="HXZ374" s="15"/>
      <c r="HYA374" s="15"/>
      <c r="HYB374" s="15"/>
      <c r="HYC374" s="15"/>
      <c r="HYD374" s="15"/>
      <c r="HYE374" s="10"/>
      <c r="HYF374" s="10"/>
      <c r="HYG374" s="21"/>
      <c r="HYH374" s="21"/>
      <c r="HYK374" s="21"/>
      <c r="HYL374" s="15"/>
      <c r="HYM374" s="15"/>
      <c r="HYN374" s="15"/>
      <c r="HYO374" s="15"/>
      <c r="HYP374" s="15"/>
      <c r="HYQ374" s="15"/>
      <c r="HYR374" s="15"/>
      <c r="HYS374" s="15"/>
      <c r="HYT374" s="15"/>
      <c r="HYU374" s="15"/>
      <c r="HYV374" s="10"/>
      <c r="HYW374" s="10"/>
      <c r="HYX374" s="21"/>
      <c r="HYY374" s="21"/>
      <c r="HZB374" s="21"/>
      <c r="HZC374" s="15"/>
      <c r="HZD374" s="15"/>
      <c r="HZE374" s="15"/>
      <c r="HZF374" s="15"/>
      <c r="HZG374" s="15"/>
      <c r="HZH374" s="15"/>
      <c r="HZI374" s="15"/>
      <c r="HZJ374" s="15"/>
      <c r="HZK374" s="15"/>
      <c r="HZL374" s="15"/>
      <c r="HZM374" s="10"/>
      <c r="HZN374" s="10"/>
      <c r="HZO374" s="21"/>
      <c r="HZP374" s="21"/>
      <c r="HZS374" s="21"/>
      <c r="HZT374" s="15"/>
      <c r="HZU374" s="15"/>
      <c r="HZV374" s="15"/>
      <c r="HZW374" s="15"/>
      <c r="HZX374" s="15"/>
      <c r="HZY374" s="15"/>
      <c r="HZZ374" s="15"/>
      <c r="IAA374" s="15"/>
      <c r="IAB374" s="15"/>
      <c r="IAC374" s="15"/>
      <c r="IAD374" s="10"/>
      <c r="IAE374" s="10"/>
      <c r="IAF374" s="21"/>
      <c r="IAG374" s="21"/>
      <c r="IAJ374" s="21"/>
      <c r="IAK374" s="15"/>
      <c r="IAL374" s="15"/>
      <c r="IAM374" s="15"/>
      <c r="IAN374" s="15"/>
      <c r="IAO374" s="15"/>
      <c r="IAP374" s="15"/>
      <c r="IAQ374" s="15"/>
      <c r="IAR374" s="15"/>
      <c r="IAS374" s="15"/>
      <c r="IAT374" s="15"/>
      <c r="IAU374" s="10"/>
      <c r="IAV374" s="10"/>
      <c r="IAW374" s="21"/>
      <c r="IAX374" s="21"/>
      <c r="IBA374" s="21"/>
      <c r="IBB374" s="15"/>
      <c r="IBC374" s="15"/>
      <c r="IBD374" s="15"/>
      <c r="IBE374" s="15"/>
      <c r="IBF374" s="15"/>
      <c r="IBG374" s="15"/>
      <c r="IBH374" s="15"/>
      <c r="IBI374" s="15"/>
      <c r="IBJ374" s="15"/>
      <c r="IBK374" s="15"/>
      <c r="IBL374" s="10"/>
      <c r="IBM374" s="10"/>
      <c r="IBN374" s="21"/>
      <c r="IBO374" s="21"/>
      <c r="IBR374" s="21"/>
      <c r="IBS374" s="15"/>
      <c r="IBT374" s="15"/>
      <c r="IBU374" s="15"/>
      <c r="IBV374" s="15"/>
      <c r="IBW374" s="15"/>
      <c r="IBX374" s="15"/>
      <c r="IBY374" s="15"/>
      <c r="IBZ374" s="15"/>
      <c r="ICA374" s="15"/>
      <c r="ICB374" s="15"/>
      <c r="ICC374" s="10"/>
      <c r="ICD374" s="10"/>
      <c r="ICE374" s="21"/>
      <c r="ICF374" s="21"/>
      <c r="ICI374" s="21"/>
      <c r="ICJ374" s="15"/>
      <c r="ICK374" s="15"/>
      <c r="ICL374" s="15"/>
      <c r="ICM374" s="15"/>
      <c r="ICN374" s="15"/>
      <c r="ICO374" s="15"/>
      <c r="ICP374" s="15"/>
      <c r="ICQ374" s="15"/>
      <c r="ICR374" s="15"/>
      <c r="ICS374" s="15"/>
      <c r="ICT374" s="10"/>
      <c r="ICU374" s="10"/>
      <c r="ICV374" s="21"/>
      <c r="ICW374" s="21"/>
      <c r="ICZ374" s="21"/>
      <c r="IDA374" s="15"/>
      <c r="IDB374" s="15"/>
      <c r="IDC374" s="15"/>
      <c r="IDD374" s="15"/>
      <c r="IDE374" s="15"/>
      <c r="IDF374" s="15"/>
      <c r="IDG374" s="15"/>
      <c r="IDH374" s="15"/>
      <c r="IDI374" s="15"/>
      <c r="IDJ374" s="15"/>
      <c r="IDK374" s="10"/>
      <c r="IDL374" s="10"/>
      <c r="IDM374" s="21"/>
      <c r="IDN374" s="21"/>
      <c r="IDQ374" s="21"/>
      <c r="IDR374" s="15"/>
      <c r="IDS374" s="15"/>
      <c r="IDT374" s="15"/>
      <c r="IDU374" s="15"/>
      <c r="IDV374" s="15"/>
      <c r="IDW374" s="15"/>
      <c r="IDX374" s="15"/>
      <c r="IDY374" s="15"/>
      <c r="IDZ374" s="15"/>
      <c r="IEA374" s="15"/>
      <c r="IEB374" s="10"/>
      <c r="IEC374" s="10"/>
      <c r="IED374" s="21"/>
      <c r="IEE374" s="21"/>
      <c r="IEH374" s="21"/>
      <c r="IEI374" s="15"/>
      <c r="IEJ374" s="15"/>
      <c r="IEK374" s="15"/>
      <c r="IEL374" s="15"/>
      <c r="IEM374" s="15"/>
      <c r="IEN374" s="15"/>
      <c r="IEO374" s="15"/>
      <c r="IEP374" s="15"/>
      <c r="IEQ374" s="15"/>
      <c r="IER374" s="15"/>
      <c r="IES374" s="10"/>
      <c r="IET374" s="10"/>
      <c r="IEU374" s="21"/>
      <c r="IEV374" s="21"/>
      <c r="IEY374" s="21"/>
      <c r="IEZ374" s="15"/>
      <c r="IFA374" s="15"/>
      <c r="IFB374" s="15"/>
      <c r="IFC374" s="15"/>
      <c r="IFD374" s="15"/>
      <c r="IFE374" s="15"/>
      <c r="IFF374" s="15"/>
      <c r="IFG374" s="15"/>
      <c r="IFH374" s="15"/>
      <c r="IFI374" s="15"/>
      <c r="IFJ374" s="10"/>
      <c r="IFK374" s="10"/>
      <c r="IFL374" s="21"/>
      <c r="IFM374" s="21"/>
      <c r="IFP374" s="21"/>
      <c r="IFQ374" s="15"/>
      <c r="IFR374" s="15"/>
      <c r="IFS374" s="15"/>
      <c r="IFT374" s="15"/>
      <c r="IFU374" s="15"/>
      <c r="IFV374" s="15"/>
      <c r="IFW374" s="15"/>
      <c r="IFX374" s="15"/>
      <c r="IFY374" s="15"/>
      <c r="IFZ374" s="15"/>
      <c r="IGA374" s="10"/>
      <c r="IGB374" s="10"/>
      <c r="IGC374" s="21"/>
      <c r="IGD374" s="21"/>
      <c r="IGG374" s="21"/>
      <c r="IGH374" s="15"/>
      <c r="IGI374" s="15"/>
      <c r="IGJ374" s="15"/>
      <c r="IGK374" s="15"/>
      <c r="IGL374" s="15"/>
      <c r="IGM374" s="15"/>
      <c r="IGN374" s="15"/>
      <c r="IGO374" s="15"/>
      <c r="IGP374" s="15"/>
      <c r="IGQ374" s="15"/>
      <c r="IGR374" s="10"/>
      <c r="IGS374" s="10"/>
      <c r="IGT374" s="21"/>
      <c r="IGU374" s="21"/>
      <c r="IGX374" s="21"/>
      <c r="IGY374" s="15"/>
      <c r="IGZ374" s="15"/>
      <c r="IHA374" s="15"/>
      <c r="IHB374" s="15"/>
      <c r="IHC374" s="15"/>
      <c r="IHD374" s="15"/>
      <c r="IHE374" s="15"/>
      <c r="IHF374" s="15"/>
      <c r="IHG374" s="15"/>
      <c r="IHH374" s="15"/>
      <c r="IHI374" s="10"/>
      <c r="IHJ374" s="10"/>
      <c r="IHK374" s="21"/>
      <c r="IHL374" s="21"/>
      <c r="IHO374" s="21"/>
      <c r="IHP374" s="15"/>
      <c r="IHQ374" s="15"/>
      <c r="IHR374" s="15"/>
      <c r="IHS374" s="15"/>
      <c r="IHT374" s="15"/>
      <c r="IHU374" s="15"/>
      <c r="IHV374" s="15"/>
      <c r="IHW374" s="15"/>
      <c r="IHX374" s="15"/>
      <c r="IHY374" s="15"/>
      <c r="IHZ374" s="10"/>
      <c r="IIA374" s="10"/>
      <c r="IIB374" s="21"/>
      <c r="IIC374" s="21"/>
      <c r="IIF374" s="21"/>
      <c r="IIG374" s="15"/>
      <c r="IIH374" s="15"/>
      <c r="III374" s="15"/>
      <c r="IIJ374" s="15"/>
      <c r="IIK374" s="15"/>
      <c r="IIL374" s="15"/>
      <c r="IIM374" s="15"/>
      <c r="IIN374" s="15"/>
      <c r="IIO374" s="15"/>
      <c r="IIP374" s="15"/>
      <c r="IIQ374" s="10"/>
      <c r="IIR374" s="10"/>
      <c r="IIS374" s="21"/>
      <c r="IIT374" s="21"/>
      <c r="IIW374" s="21"/>
      <c r="IIX374" s="15"/>
      <c r="IIY374" s="15"/>
      <c r="IIZ374" s="15"/>
      <c r="IJA374" s="15"/>
      <c r="IJB374" s="15"/>
      <c r="IJC374" s="15"/>
      <c r="IJD374" s="15"/>
      <c r="IJE374" s="15"/>
      <c r="IJF374" s="15"/>
      <c r="IJG374" s="15"/>
      <c r="IJH374" s="10"/>
      <c r="IJI374" s="10"/>
      <c r="IJJ374" s="21"/>
      <c r="IJK374" s="21"/>
      <c r="IJN374" s="21"/>
      <c r="IJO374" s="15"/>
      <c r="IJP374" s="15"/>
      <c r="IJQ374" s="15"/>
      <c r="IJR374" s="15"/>
      <c r="IJS374" s="15"/>
      <c r="IJT374" s="15"/>
      <c r="IJU374" s="15"/>
      <c r="IJV374" s="15"/>
      <c r="IJW374" s="15"/>
      <c r="IJX374" s="15"/>
      <c r="IJY374" s="10"/>
      <c r="IJZ374" s="10"/>
      <c r="IKA374" s="21"/>
      <c r="IKB374" s="21"/>
      <c r="IKE374" s="21"/>
      <c r="IKF374" s="15"/>
      <c r="IKG374" s="15"/>
      <c r="IKH374" s="15"/>
      <c r="IKI374" s="15"/>
      <c r="IKJ374" s="15"/>
      <c r="IKK374" s="15"/>
      <c r="IKL374" s="15"/>
      <c r="IKM374" s="15"/>
      <c r="IKN374" s="15"/>
      <c r="IKO374" s="15"/>
      <c r="IKP374" s="10"/>
      <c r="IKQ374" s="10"/>
      <c r="IKR374" s="21"/>
      <c r="IKS374" s="21"/>
      <c r="IKV374" s="21"/>
      <c r="IKW374" s="15"/>
      <c r="IKX374" s="15"/>
      <c r="IKY374" s="15"/>
      <c r="IKZ374" s="15"/>
      <c r="ILA374" s="15"/>
      <c r="ILB374" s="15"/>
      <c r="ILC374" s="15"/>
      <c r="ILD374" s="15"/>
      <c r="ILE374" s="15"/>
      <c r="ILF374" s="15"/>
      <c r="ILG374" s="10"/>
      <c r="ILH374" s="10"/>
      <c r="ILI374" s="21"/>
      <c r="ILJ374" s="21"/>
      <c r="ILM374" s="21"/>
      <c r="ILN374" s="15"/>
      <c r="ILO374" s="15"/>
      <c r="ILP374" s="15"/>
      <c r="ILQ374" s="15"/>
      <c r="ILR374" s="15"/>
      <c r="ILS374" s="15"/>
      <c r="ILT374" s="15"/>
      <c r="ILU374" s="15"/>
      <c r="ILV374" s="15"/>
      <c r="ILW374" s="15"/>
      <c r="ILX374" s="10"/>
      <c r="ILY374" s="10"/>
      <c r="ILZ374" s="21"/>
      <c r="IMA374" s="21"/>
      <c r="IMD374" s="21"/>
      <c r="IME374" s="15"/>
      <c r="IMF374" s="15"/>
      <c r="IMG374" s="15"/>
      <c r="IMH374" s="15"/>
      <c r="IMI374" s="15"/>
      <c r="IMJ374" s="15"/>
      <c r="IMK374" s="15"/>
      <c r="IML374" s="15"/>
      <c r="IMM374" s="15"/>
      <c r="IMN374" s="15"/>
      <c r="IMO374" s="10"/>
      <c r="IMP374" s="10"/>
      <c r="IMQ374" s="21"/>
      <c r="IMR374" s="21"/>
      <c r="IMU374" s="21"/>
      <c r="IMV374" s="15"/>
      <c r="IMW374" s="15"/>
      <c r="IMX374" s="15"/>
      <c r="IMY374" s="15"/>
      <c r="IMZ374" s="15"/>
      <c r="INA374" s="15"/>
      <c r="INB374" s="15"/>
      <c r="INC374" s="15"/>
      <c r="IND374" s="15"/>
      <c r="INE374" s="15"/>
      <c r="INF374" s="10"/>
      <c r="ING374" s="10"/>
      <c r="INH374" s="21"/>
      <c r="INI374" s="21"/>
      <c r="INL374" s="21"/>
      <c r="INM374" s="15"/>
      <c r="INN374" s="15"/>
      <c r="INO374" s="15"/>
      <c r="INP374" s="15"/>
      <c r="INQ374" s="15"/>
      <c r="INR374" s="15"/>
      <c r="INS374" s="15"/>
      <c r="INT374" s="15"/>
      <c r="INU374" s="15"/>
      <c r="INV374" s="15"/>
      <c r="INW374" s="10"/>
      <c r="INX374" s="10"/>
      <c r="INY374" s="21"/>
      <c r="INZ374" s="21"/>
      <c r="IOC374" s="21"/>
      <c r="IOD374" s="15"/>
      <c r="IOE374" s="15"/>
      <c r="IOF374" s="15"/>
      <c r="IOG374" s="15"/>
      <c r="IOH374" s="15"/>
      <c r="IOI374" s="15"/>
      <c r="IOJ374" s="15"/>
      <c r="IOK374" s="15"/>
      <c r="IOL374" s="15"/>
      <c r="IOM374" s="15"/>
      <c r="ION374" s="10"/>
      <c r="IOO374" s="10"/>
      <c r="IOP374" s="21"/>
      <c r="IOQ374" s="21"/>
      <c r="IOT374" s="21"/>
      <c r="IOU374" s="15"/>
      <c r="IOV374" s="15"/>
      <c r="IOW374" s="15"/>
      <c r="IOX374" s="15"/>
      <c r="IOY374" s="15"/>
      <c r="IOZ374" s="15"/>
      <c r="IPA374" s="15"/>
      <c r="IPB374" s="15"/>
      <c r="IPC374" s="15"/>
      <c r="IPD374" s="15"/>
      <c r="IPE374" s="10"/>
      <c r="IPF374" s="10"/>
      <c r="IPG374" s="21"/>
      <c r="IPH374" s="21"/>
      <c r="IPK374" s="21"/>
      <c r="IPL374" s="15"/>
      <c r="IPM374" s="15"/>
      <c r="IPN374" s="15"/>
      <c r="IPO374" s="15"/>
      <c r="IPP374" s="15"/>
      <c r="IPQ374" s="15"/>
      <c r="IPR374" s="15"/>
      <c r="IPS374" s="15"/>
      <c r="IPT374" s="15"/>
      <c r="IPU374" s="15"/>
      <c r="IPV374" s="10"/>
      <c r="IPW374" s="10"/>
      <c r="IPX374" s="21"/>
      <c r="IPY374" s="21"/>
      <c r="IQB374" s="21"/>
      <c r="IQC374" s="15"/>
      <c r="IQD374" s="15"/>
      <c r="IQE374" s="15"/>
      <c r="IQF374" s="15"/>
      <c r="IQG374" s="15"/>
      <c r="IQH374" s="15"/>
      <c r="IQI374" s="15"/>
      <c r="IQJ374" s="15"/>
      <c r="IQK374" s="15"/>
      <c r="IQL374" s="15"/>
      <c r="IQM374" s="10"/>
      <c r="IQN374" s="10"/>
      <c r="IQO374" s="21"/>
      <c r="IQP374" s="21"/>
      <c r="IQS374" s="21"/>
      <c r="IQT374" s="15"/>
      <c r="IQU374" s="15"/>
      <c r="IQV374" s="15"/>
      <c r="IQW374" s="15"/>
      <c r="IQX374" s="15"/>
      <c r="IQY374" s="15"/>
      <c r="IQZ374" s="15"/>
      <c r="IRA374" s="15"/>
      <c r="IRB374" s="15"/>
      <c r="IRC374" s="15"/>
      <c r="IRD374" s="10"/>
      <c r="IRE374" s="10"/>
      <c r="IRF374" s="21"/>
      <c r="IRG374" s="21"/>
      <c r="IRJ374" s="21"/>
      <c r="IRK374" s="15"/>
      <c r="IRL374" s="15"/>
      <c r="IRM374" s="15"/>
      <c r="IRN374" s="15"/>
      <c r="IRO374" s="15"/>
      <c r="IRP374" s="15"/>
      <c r="IRQ374" s="15"/>
      <c r="IRR374" s="15"/>
      <c r="IRS374" s="15"/>
      <c r="IRT374" s="15"/>
      <c r="IRU374" s="10"/>
      <c r="IRV374" s="10"/>
      <c r="IRW374" s="21"/>
      <c r="IRX374" s="21"/>
      <c r="ISA374" s="21"/>
      <c r="ISB374" s="15"/>
      <c r="ISC374" s="15"/>
      <c r="ISD374" s="15"/>
      <c r="ISE374" s="15"/>
      <c r="ISF374" s="15"/>
      <c r="ISG374" s="15"/>
      <c r="ISH374" s="15"/>
      <c r="ISI374" s="15"/>
      <c r="ISJ374" s="15"/>
      <c r="ISK374" s="15"/>
      <c r="ISL374" s="10"/>
      <c r="ISM374" s="10"/>
      <c r="ISN374" s="21"/>
      <c r="ISO374" s="21"/>
      <c r="ISR374" s="21"/>
      <c r="ISS374" s="15"/>
      <c r="IST374" s="15"/>
      <c r="ISU374" s="15"/>
      <c r="ISV374" s="15"/>
      <c r="ISW374" s="15"/>
      <c r="ISX374" s="15"/>
      <c r="ISY374" s="15"/>
      <c r="ISZ374" s="15"/>
      <c r="ITA374" s="15"/>
      <c r="ITB374" s="15"/>
      <c r="ITC374" s="10"/>
      <c r="ITD374" s="10"/>
      <c r="ITE374" s="21"/>
      <c r="ITF374" s="21"/>
      <c r="ITI374" s="21"/>
      <c r="ITJ374" s="15"/>
      <c r="ITK374" s="15"/>
      <c r="ITL374" s="15"/>
      <c r="ITM374" s="15"/>
      <c r="ITN374" s="15"/>
      <c r="ITO374" s="15"/>
      <c r="ITP374" s="15"/>
      <c r="ITQ374" s="15"/>
      <c r="ITR374" s="15"/>
      <c r="ITS374" s="15"/>
      <c r="ITT374" s="10"/>
      <c r="ITU374" s="10"/>
      <c r="ITV374" s="21"/>
      <c r="ITW374" s="21"/>
      <c r="ITZ374" s="21"/>
      <c r="IUA374" s="15"/>
      <c r="IUB374" s="15"/>
      <c r="IUC374" s="15"/>
      <c r="IUD374" s="15"/>
      <c r="IUE374" s="15"/>
      <c r="IUF374" s="15"/>
      <c r="IUG374" s="15"/>
      <c r="IUH374" s="15"/>
      <c r="IUI374" s="15"/>
      <c r="IUJ374" s="15"/>
      <c r="IUK374" s="10"/>
      <c r="IUL374" s="10"/>
      <c r="IUM374" s="21"/>
      <c r="IUN374" s="21"/>
      <c r="IUQ374" s="21"/>
      <c r="IUR374" s="15"/>
      <c r="IUS374" s="15"/>
      <c r="IUT374" s="15"/>
      <c r="IUU374" s="15"/>
      <c r="IUV374" s="15"/>
      <c r="IUW374" s="15"/>
      <c r="IUX374" s="15"/>
      <c r="IUY374" s="15"/>
      <c r="IUZ374" s="15"/>
      <c r="IVA374" s="15"/>
      <c r="IVB374" s="10"/>
      <c r="IVC374" s="10"/>
      <c r="IVD374" s="21"/>
      <c r="IVE374" s="21"/>
      <c r="IVH374" s="21"/>
      <c r="IVI374" s="15"/>
      <c r="IVJ374" s="15"/>
      <c r="IVK374" s="15"/>
      <c r="IVL374" s="15"/>
      <c r="IVM374" s="15"/>
      <c r="IVN374" s="15"/>
      <c r="IVO374" s="15"/>
      <c r="IVP374" s="15"/>
      <c r="IVQ374" s="15"/>
      <c r="IVR374" s="15"/>
      <c r="IVS374" s="10"/>
      <c r="IVT374" s="10"/>
      <c r="IVU374" s="21"/>
      <c r="IVV374" s="21"/>
      <c r="IVY374" s="21"/>
      <c r="IVZ374" s="15"/>
      <c r="IWA374" s="15"/>
      <c r="IWB374" s="15"/>
      <c r="IWC374" s="15"/>
      <c r="IWD374" s="15"/>
      <c r="IWE374" s="15"/>
      <c r="IWF374" s="15"/>
      <c r="IWG374" s="15"/>
      <c r="IWH374" s="15"/>
      <c r="IWI374" s="15"/>
      <c r="IWJ374" s="10"/>
      <c r="IWK374" s="10"/>
      <c r="IWL374" s="21"/>
      <c r="IWM374" s="21"/>
      <c r="IWP374" s="21"/>
      <c r="IWQ374" s="15"/>
      <c r="IWR374" s="15"/>
      <c r="IWS374" s="15"/>
      <c r="IWT374" s="15"/>
      <c r="IWU374" s="15"/>
      <c r="IWV374" s="15"/>
      <c r="IWW374" s="15"/>
      <c r="IWX374" s="15"/>
      <c r="IWY374" s="15"/>
      <c r="IWZ374" s="15"/>
      <c r="IXA374" s="10"/>
      <c r="IXB374" s="10"/>
      <c r="IXC374" s="21"/>
      <c r="IXD374" s="21"/>
      <c r="IXG374" s="21"/>
      <c r="IXH374" s="15"/>
      <c r="IXI374" s="15"/>
      <c r="IXJ374" s="15"/>
      <c r="IXK374" s="15"/>
      <c r="IXL374" s="15"/>
      <c r="IXM374" s="15"/>
      <c r="IXN374" s="15"/>
      <c r="IXO374" s="15"/>
      <c r="IXP374" s="15"/>
      <c r="IXQ374" s="15"/>
      <c r="IXR374" s="10"/>
      <c r="IXS374" s="10"/>
      <c r="IXT374" s="21"/>
      <c r="IXU374" s="21"/>
      <c r="IXX374" s="21"/>
      <c r="IXY374" s="15"/>
      <c r="IXZ374" s="15"/>
      <c r="IYA374" s="15"/>
      <c r="IYB374" s="15"/>
      <c r="IYC374" s="15"/>
      <c r="IYD374" s="15"/>
      <c r="IYE374" s="15"/>
      <c r="IYF374" s="15"/>
      <c r="IYG374" s="15"/>
      <c r="IYH374" s="15"/>
      <c r="IYI374" s="10"/>
      <c r="IYJ374" s="10"/>
      <c r="IYK374" s="21"/>
      <c r="IYL374" s="21"/>
      <c r="IYO374" s="21"/>
      <c r="IYP374" s="15"/>
      <c r="IYQ374" s="15"/>
      <c r="IYR374" s="15"/>
      <c r="IYS374" s="15"/>
      <c r="IYT374" s="15"/>
      <c r="IYU374" s="15"/>
      <c r="IYV374" s="15"/>
      <c r="IYW374" s="15"/>
      <c r="IYX374" s="15"/>
      <c r="IYY374" s="15"/>
      <c r="IYZ374" s="10"/>
      <c r="IZA374" s="10"/>
      <c r="IZB374" s="21"/>
      <c r="IZC374" s="21"/>
      <c r="IZF374" s="21"/>
      <c r="IZG374" s="15"/>
      <c r="IZH374" s="15"/>
      <c r="IZI374" s="15"/>
      <c r="IZJ374" s="15"/>
      <c r="IZK374" s="15"/>
      <c r="IZL374" s="15"/>
      <c r="IZM374" s="15"/>
      <c r="IZN374" s="15"/>
      <c r="IZO374" s="15"/>
      <c r="IZP374" s="15"/>
      <c r="IZQ374" s="10"/>
      <c r="IZR374" s="10"/>
      <c r="IZS374" s="21"/>
      <c r="IZT374" s="21"/>
      <c r="IZW374" s="21"/>
      <c r="IZX374" s="15"/>
      <c r="IZY374" s="15"/>
      <c r="IZZ374" s="15"/>
      <c r="JAA374" s="15"/>
      <c r="JAB374" s="15"/>
      <c r="JAC374" s="15"/>
      <c r="JAD374" s="15"/>
      <c r="JAE374" s="15"/>
      <c r="JAF374" s="15"/>
      <c r="JAG374" s="15"/>
      <c r="JAH374" s="10"/>
      <c r="JAI374" s="10"/>
      <c r="JAJ374" s="21"/>
      <c r="JAK374" s="21"/>
      <c r="JAN374" s="21"/>
      <c r="JAO374" s="15"/>
      <c r="JAP374" s="15"/>
      <c r="JAQ374" s="15"/>
      <c r="JAR374" s="15"/>
      <c r="JAS374" s="15"/>
      <c r="JAT374" s="15"/>
      <c r="JAU374" s="15"/>
      <c r="JAV374" s="15"/>
      <c r="JAW374" s="15"/>
      <c r="JAX374" s="15"/>
      <c r="JAY374" s="10"/>
      <c r="JAZ374" s="10"/>
      <c r="JBA374" s="21"/>
      <c r="JBB374" s="21"/>
      <c r="JBE374" s="21"/>
      <c r="JBF374" s="15"/>
      <c r="JBG374" s="15"/>
      <c r="JBH374" s="15"/>
      <c r="JBI374" s="15"/>
      <c r="JBJ374" s="15"/>
      <c r="JBK374" s="15"/>
      <c r="JBL374" s="15"/>
      <c r="JBM374" s="15"/>
      <c r="JBN374" s="15"/>
      <c r="JBO374" s="15"/>
      <c r="JBP374" s="10"/>
      <c r="JBQ374" s="10"/>
      <c r="JBR374" s="21"/>
      <c r="JBS374" s="21"/>
      <c r="JBV374" s="21"/>
      <c r="JBW374" s="15"/>
      <c r="JBX374" s="15"/>
      <c r="JBY374" s="15"/>
      <c r="JBZ374" s="15"/>
      <c r="JCA374" s="15"/>
      <c r="JCB374" s="15"/>
      <c r="JCC374" s="15"/>
      <c r="JCD374" s="15"/>
      <c r="JCE374" s="15"/>
      <c r="JCF374" s="15"/>
      <c r="JCG374" s="10"/>
      <c r="JCH374" s="10"/>
      <c r="JCI374" s="21"/>
      <c r="JCJ374" s="21"/>
      <c r="JCM374" s="21"/>
      <c r="JCN374" s="15"/>
      <c r="JCO374" s="15"/>
      <c r="JCP374" s="15"/>
      <c r="JCQ374" s="15"/>
      <c r="JCR374" s="15"/>
      <c r="JCS374" s="15"/>
      <c r="JCT374" s="15"/>
      <c r="JCU374" s="15"/>
      <c r="JCV374" s="15"/>
      <c r="JCW374" s="15"/>
      <c r="JCX374" s="10"/>
      <c r="JCY374" s="10"/>
      <c r="JCZ374" s="21"/>
      <c r="JDA374" s="21"/>
      <c r="JDD374" s="21"/>
      <c r="JDE374" s="15"/>
      <c r="JDF374" s="15"/>
      <c r="JDG374" s="15"/>
      <c r="JDH374" s="15"/>
      <c r="JDI374" s="15"/>
      <c r="JDJ374" s="15"/>
      <c r="JDK374" s="15"/>
      <c r="JDL374" s="15"/>
      <c r="JDM374" s="15"/>
      <c r="JDN374" s="15"/>
      <c r="JDO374" s="10"/>
      <c r="JDP374" s="10"/>
      <c r="JDQ374" s="21"/>
      <c r="JDR374" s="21"/>
      <c r="JDU374" s="21"/>
      <c r="JDV374" s="15"/>
      <c r="JDW374" s="15"/>
      <c r="JDX374" s="15"/>
      <c r="JDY374" s="15"/>
      <c r="JDZ374" s="15"/>
      <c r="JEA374" s="15"/>
      <c r="JEB374" s="15"/>
      <c r="JEC374" s="15"/>
      <c r="JED374" s="15"/>
      <c r="JEE374" s="15"/>
      <c r="JEF374" s="10"/>
      <c r="JEG374" s="10"/>
      <c r="JEH374" s="21"/>
      <c r="JEI374" s="21"/>
      <c r="JEL374" s="21"/>
      <c r="JEM374" s="15"/>
      <c r="JEN374" s="15"/>
      <c r="JEO374" s="15"/>
      <c r="JEP374" s="15"/>
      <c r="JEQ374" s="15"/>
      <c r="JER374" s="15"/>
      <c r="JES374" s="15"/>
      <c r="JET374" s="15"/>
      <c r="JEU374" s="15"/>
      <c r="JEV374" s="15"/>
      <c r="JEW374" s="10"/>
      <c r="JEX374" s="10"/>
      <c r="JEY374" s="21"/>
      <c r="JEZ374" s="21"/>
      <c r="JFC374" s="21"/>
      <c r="JFD374" s="15"/>
      <c r="JFE374" s="15"/>
      <c r="JFF374" s="15"/>
      <c r="JFG374" s="15"/>
      <c r="JFH374" s="15"/>
      <c r="JFI374" s="15"/>
      <c r="JFJ374" s="15"/>
      <c r="JFK374" s="15"/>
      <c r="JFL374" s="15"/>
      <c r="JFM374" s="15"/>
      <c r="JFN374" s="10"/>
      <c r="JFO374" s="10"/>
      <c r="JFP374" s="21"/>
      <c r="JFQ374" s="21"/>
      <c r="JFT374" s="21"/>
      <c r="JFU374" s="15"/>
      <c r="JFV374" s="15"/>
      <c r="JFW374" s="15"/>
      <c r="JFX374" s="15"/>
      <c r="JFY374" s="15"/>
      <c r="JFZ374" s="15"/>
      <c r="JGA374" s="15"/>
      <c r="JGB374" s="15"/>
      <c r="JGC374" s="15"/>
      <c r="JGD374" s="15"/>
      <c r="JGE374" s="10"/>
      <c r="JGF374" s="10"/>
      <c r="JGG374" s="21"/>
      <c r="JGH374" s="21"/>
      <c r="JGK374" s="21"/>
      <c r="JGL374" s="15"/>
      <c r="JGM374" s="15"/>
      <c r="JGN374" s="15"/>
      <c r="JGO374" s="15"/>
      <c r="JGP374" s="15"/>
      <c r="JGQ374" s="15"/>
      <c r="JGR374" s="15"/>
      <c r="JGS374" s="15"/>
      <c r="JGT374" s="15"/>
      <c r="JGU374" s="15"/>
      <c r="JGV374" s="10"/>
      <c r="JGW374" s="10"/>
      <c r="JGX374" s="21"/>
      <c r="JGY374" s="21"/>
      <c r="JHB374" s="21"/>
      <c r="JHC374" s="15"/>
      <c r="JHD374" s="15"/>
      <c r="JHE374" s="15"/>
      <c r="JHF374" s="15"/>
      <c r="JHG374" s="15"/>
      <c r="JHH374" s="15"/>
      <c r="JHI374" s="15"/>
      <c r="JHJ374" s="15"/>
      <c r="JHK374" s="15"/>
      <c r="JHL374" s="15"/>
      <c r="JHM374" s="10"/>
      <c r="JHN374" s="10"/>
      <c r="JHO374" s="21"/>
      <c r="JHP374" s="21"/>
      <c r="JHS374" s="21"/>
      <c r="JHT374" s="15"/>
      <c r="JHU374" s="15"/>
      <c r="JHV374" s="15"/>
      <c r="JHW374" s="15"/>
      <c r="JHX374" s="15"/>
      <c r="JHY374" s="15"/>
      <c r="JHZ374" s="15"/>
      <c r="JIA374" s="15"/>
      <c r="JIB374" s="15"/>
      <c r="JIC374" s="15"/>
      <c r="JID374" s="10"/>
      <c r="JIE374" s="10"/>
      <c r="JIF374" s="21"/>
      <c r="JIG374" s="21"/>
      <c r="JIJ374" s="21"/>
      <c r="JIK374" s="15"/>
      <c r="JIL374" s="15"/>
      <c r="JIM374" s="15"/>
      <c r="JIN374" s="15"/>
      <c r="JIO374" s="15"/>
      <c r="JIP374" s="15"/>
      <c r="JIQ374" s="15"/>
      <c r="JIR374" s="15"/>
      <c r="JIS374" s="15"/>
      <c r="JIT374" s="15"/>
      <c r="JIU374" s="10"/>
      <c r="JIV374" s="10"/>
      <c r="JIW374" s="21"/>
      <c r="JIX374" s="21"/>
      <c r="JJA374" s="21"/>
      <c r="JJB374" s="15"/>
      <c r="JJC374" s="15"/>
      <c r="JJD374" s="15"/>
      <c r="JJE374" s="15"/>
      <c r="JJF374" s="15"/>
      <c r="JJG374" s="15"/>
      <c r="JJH374" s="15"/>
      <c r="JJI374" s="15"/>
      <c r="JJJ374" s="15"/>
      <c r="JJK374" s="15"/>
      <c r="JJL374" s="10"/>
      <c r="JJM374" s="10"/>
      <c r="JJN374" s="21"/>
      <c r="JJO374" s="21"/>
      <c r="JJR374" s="21"/>
      <c r="JJS374" s="15"/>
      <c r="JJT374" s="15"/>
      <c r="JJU374" s="15"/>
      <c r="JJV374" s="15"/>
      <c r="JJW374" s="15"/>
      <c r="JJX374" s="15"/>
      <c r="JJY374" s="15"/>
      <c r="JJZ374" s="15"/>
      <c r="JKA374" s="15"/>
      <c r="JKB374" s="15"/>
      <c r="JKC374" s="10"/>
      <c r="JKD374" s="10"/>
      <c r="JKE374" s="21"/>
      <c r="JKF374" s="21"/>
      <c r="JKI374" s="21"/>
      <c r="JKJ374" s="15"/>
      <c r="JKK374" s="15"/>
      <c r="JKL374" s="15"/>
      <c r="JKM374" s="15"/>
      <c r="JKN374" s="15"/>
      <c r="JKO374" s="15"/>
      <c r="JKP374" s="15"/>
      <c r="JKQ374" s="15"/>
      <c r="JKR374" s="15"/>
      <c r="JKS374" s="15"/>
      <c r="JKT374" s="10"/>
      <c r="JKU374" s="10"/>
      <c r="JKV374" s="21"/>
      <c r="JKW374" s="21"/>
      <c r="JKZ374" s="21"/>
      <c r="JLA374" s="15"/>
      <c r="JLB374" s="15"/>
      <c r="JLC374" s="15"/>
      <c r="JLD374" s="15"/>
      <c r="JLE374" s="15"/>
      <c r="JLF374" s="15"/>
      <c r="JLG374" s="15"/>
      <c r="JLH374" s="15"/>
      <c r="JLI374" s="15"/>
      <c r="JLJ374" s="15"/>
      <c r="JLK374" s="10"/>
      <c r="JLL374" s="10"/>
      <c r="JLM374" s="21"/>
      <c r="JLN374" s="21"/>
      <c r="JLQ374" s="21"/>
      <c r="JLR374" s="15"/>
      <c r="JLS374" s="15"/>
      <c r="JLT374" s="15"/>
      <c r="JLU374" s="15"/>
      <c r="JLV374" s="15"/>
      <c r="JLW374" s="15"/>
      <c r="JLX374" s="15"/>
      <c r="JLY374" s="15"/>
      <c r="JLZ374" s="15"/>
      <c r="JMA374" s="15"/>
      <c r="JMB374" s="10"/>
      <c r="JMC374" s="10"/>
      <c r="JMD374" s="21"/>
      <c r="JME374" s="21"/>
      <c r="JMH374" s="21"/>
      <c r="JMI374" s="15"/>
      <c r="JMJ374" s="15"/>
      <c r="JMK374" s="15"/>
      <c r="JML374" s="15"/>
      <c r="JMM374" s="15"/>
      <c r="JMN374" s="15"/>
      <c r="JMO374" s="15"/>
      <c r="JMP374" s="15"/>
      <c r="JMQ374" s="15"/>
      <c r="JMR374" s="15"/>
      <c r="JMS374" s="10"/>
      <c r="JMT374" s="10"/>
      <c r="JMU374" s="21"/>
      <c r="JMV374" s="21"/>
      <c r="JMY374" s="21"/>
      <c r="JMZ374" s="15"/>
      <c r="JNA374" s="15"/>
      <c r="JNB374" s="15"/>
      <c r="JNC374" s="15"/>
      <c r="JND374" s="15"/>
      <c r="JNE374" s="15"/>
      <c r="JNF374" s="15"/>
      <c r="JNG374" s="15"/>
      <c r="JNH374" s="15"/>
      <c r="JNI374" s="15"/>
      <c r="JNJ374" s="10"/>
      <c r="JNK374" s="10"/>
      <c r="JNL374" s="21"/>
      <c r="JNM374" s="21"/>
      <c r="JNP374" s="21"/>
      <c r="JNQ374" s="15"/>
      <c r="JNR374" s="15"/>
      <c r="JNS374" s="15"/>
      <c r="JNT374" s="15"/>
      <c r="JNU374" s="15"/>
      <c r="JNV374" s="15"/>
      <c r="JNW374" s="15"/>
      <c r="JNX374" s="15"/>
      <c r="JNY374" s="15"/>
      <c r="JNZ374" s="15"/>
      <c r="JOA374" s="10"/>
      <c r="JOB374" s="10"/>
      <c r="JOC374" s="21"/>
      <c r="JOD374" s="21"/>
      <c r="JOG374" s="21"/>
      <c r="JOH374" s="15"/>
      <c r="JOI374" s="15"/>
      <c r="JOJ374" s="15"/>
      <c r="JOK374" s="15"/>
      <c r="JOL374" s="15"/>
      <c r="JOM374" s="15"/>
      <c r="JON374" s="15"/>
      <c r="JOO374" s="15"/>
      <c r="JOP374" s="15"/>
      <c r="JOQ374" s="15"/>
      <c r="JOR374" s="10"/>
      <c r="JOS374" s="10"/>
      <c r="JOT374" s="21"/>
      <c r="JOU374" s="21"/>
      <c r="JOX374" s="21"/>
      <c r="JOY374" s="15"/>
      <c r="JOZ374" s="15"/>
      <c r="JPA374" s="15"/>
      <c r="JPB374" s="15"/>
      <c r="JPC374" s="15"/>
      <c r="JPD374" s="15"/>
      <c r="JPE374" s="15"/>
      <c r="JPF374" s="15"/>
      <c r="JPG374" s="15"/>
      <c r="JPH374" s="15"/>
      <c r="JPI374" s="10"/>
      <c r="JPJ374" s="10"/>
      <c r="JPK374" s="21"/>
      <c r="JPL374" s="21"/>
      <c r="JPO374" s="21"/>
      <c r="JPP374" s="15"/>
      <c r="JPQ374" s="15"/>
      <c r="JPR374" s="15"/>
      <c r="JPS374" s="15"/>
      <c r="JPT374" s="15"/>
      <c r="JPU374" s="15"/>
      <c r="JPV374" s="15"/>
      <c r="JPW374" s="15"/>
      <c r="JPX374" s="15"/>
      <c r="JPY374" s="15"/>
      <c r="JPZ374" s="10"/>
      <c r="JQA374" s="10"/>
      <c r="JQB374" s="21"/>
      <c r="JQC374" s="21"/>
      <c r="JQF374" s="21"/>
      <c r="JQG374" s="15"/>
      <c r="JQH374" s="15"/>
      <c r="JQI374" s="15"/>
      <c r="JQJ374" s="15"/>
      <c r="JQK374" s="15"/>
      <c r="JQL374" s="15"/>
      <c r="JQM374" s="15"/>
      <c r="JQN374" s="15"/>
      <c r="JQO374" s="15"/>
      <c r="JQP374" s="15"/>
      <c r="JQQ374" s="10"/>
      <c r="JQR374" s="10"/>
      <c r="JQS374" s="21"/>
      <c r="JQT374" s="21"/>
      <c r="JQW374" s="21"/>
      <c r="JQX374" s="15"/>
      <c r="JQY374" s="15"/>
      <c r="JQZ374" s="15"/>
      <c r="JRA374" s="15"/>
      <c r="JRB374" s="15"/>
      <c r="JRC374" s="15"/>
      <c r="JRD374" s="15"/>
      <c r="JRE374" s="15"/>
      <c r="JRF374" s="15"/>
      <c r="JRG374" s="15"/>
      <c r="JRH374" s="10"/>
      <c r="JRI374" s="10"/>
      <c r="JRJ374" s="21"/>
      <c r="JRK374" s="21"/>
      <c r="JRN374" s="21"/>
      <c r="JRO374" s="15"/>
      <c r="JRP374" s="15"/>
      <c r="JRQ374" s="15"/>
      <c r="JRR374" s="15"/>
      <c r="JRS374" s="15"/>
      <c r="JRT374" s="15"/>
      <c r="JRU374" s="15"/>
      <c r="JRV374" s="15"/>
      <c r="JRW374" s="15"/>
      <c r="JRX374" s="15"/>
      <c r="JRY374" s="10"/>
      <c r="JRZ374" s="10"/>
      <c r="JSA374" s="21"/>
      <c r="JSB374" s="21"/>
      <c r="JSE374" s="21"/>
      <c r="JSF374" s="15"/>
      <c r="JSG374" s="15"/>
      <c r="JSH374" s="15"/>
      <c r="JSI374" s="15"/>
      <c r="JSJ374" s="15"/>
      <c r="JSK374" s="15"/>
      <c r="JSL374" s="15"/>
      <c r="JSM374" s="15"/>
      <c r="JSN374" s="15"/>
      <c r="JSO374" s="15"/>
      <c r="JSP374" s="10"/>
      <c r="JSQ374" s="10"/>
      <c r="JSR374" s="21"/>
      <c r="JSS374" s="21"/>
      <c r="JSV374" s="21"/>
      <c r="JSW374" s="15"/>
      <c r="JSX374" s="15"/>
      <c r="JSY374" s="15"/>
      <c r="JSZ374" s="15"/>
      <c r="JTA374" s="15"/>
      <c r="JTB374" s="15"/>
      <c r="JTC374" s="15"/>
      <c r="JTD374" s="15"/>
      <c r="JTE374" s="15"/>
      <c r="JTF374" s="15"/>
      <c r="JTG374" s="10"/>
      <c r="JTH374" s="10"/>
      <c r="JTI374" s="21"/>
      <c r="JTJ374" s="21"/>
      <c r="JTM374" s="21"/>
      <c r="JTN374" s="15"/>
      <c r="JTO374" s="15"/>
      <c r="JTP374" s="15"/>
      <c r="JTQ374" s="15"/>
      <c r="JTR374" s="15"/>
      <c r="JTS374" s="15"/>
      <c r="JTT374" s="15"/>
      <c r="JTU374" s="15"/>
      <c r="JTV374" s="15"/>
      <c r="JTW374" s="15"/>
      <c r="JTX374" s="10"/>
      <c r="JTY374" s="10"/>
      <c r="JTZ374" s="21"/>
      <c r="JUA374" s="21"/>
      <c r="JUD374" s="21"/>
      <c r="JUE374" s="15"/>
      <c r="JUF374" s="15"/>
      <c r="JUG374" s="15"/>
      <c r="JUH374" s="15"/>
      <c r="JUI374" s="15"/>
      <c r="JUJ374" s="15"/>
      <c r="JUK374" s="15"/>
      <c r="JUL374" s="15"/>
      <c r="JUM374" s="15"/>
      <c r="JUN374" s="15"/>
      <c r="JUO374" s="10"/>
      <c r="JUP374" s="10"/>
      <c r="JUQ374" s="21"/>
      <c r="JUR374" s="21"/>
      <c r="JUU374" s="21"/>
      <c r="JUV374" s="15"/>
      <c r="JUW374" s="15"/>
      <c r="JUX374" s="15"/>
      <c r="JUY374" s="15"/>
      <c r="JUZ374" s="15"/>
      <c r="JVA374" s="15"/>
      <c r="JVB374" s="15"/>
      <c r="JVC374" s="15"/>
      <c r="JVD374" s="15"/>
      <c r="JVE374" s="15"/>
      <c r="JVF374" s="10"/>
      <c r="JVG374" s="10"/>
      <c r="JVH374" s="21"/>
      <c r="JVI374" s="21"/>
      <c r="JVL374" s="21"/>
      <c r="JVM374" s="15"/>
      <c r="JVN374" s="15"/>
      <c r="JVO374" s="15"/>
      <c r="JVP374" s="15"/>
      <c r="JVQ374" s="15"/>
      <c r="JVR374" s="15"/>
      <c r="JVS374" s="15"/>
      <c r="JVT374" s="15"/>
      <c r="JVU374" s="15"/>
      <c r="JVV374" s="15"/>
      <c r="JVW374" s="10"/>
      <c r="JVX374" s="10"/>
      <c r="JVY374" s="21"/>
      <c r="JVZ374" s="21"/>
      <c r="JWC374" s="21"/>
      <c r="JWD374" s="15"/>
      <c r="JWE374" s="15"/>
      <c r="JWF374" s="15"/>
      <c r="JWG374" s="15"/>
      <c r="JWH374" s="15"/>
      <c r="JWI374" s="15"/>
      <c r="JWJ374" s="15"/>
      <c r="JWK374" s="15"/>
      <c r="JWL374" s="15"/>
      <c r="JWM374" s="15"/>
      <c r="JWN374" s="10"/>
      <c r="JWO374" s="10"/>
      <c r="JWP374" s="21"/>
      <c r="JWQ374" s="21"/>
      <c r="JWT374" s="21"/>
      <c r="JWU374" s="15"/>
      <c r="JWV374" s="15"/>
      <c r="JWW374" s="15"/>
      <c r="JWX374" s="15"/>
      <c r="JWY374" s="15"/>
      <c r="JWZ374" s="15"/>
      <c r="JXA374" s="15"/>
      <c r="JXB374" s="15"/>
      <c r="JXC374" s="15"/>
      <c r="JXD374" s="15"/>
      <c r="JXE374" s="10"/>
      <c r="JXF374" s="10"/>
      <c r="JXG374" s="21"/>
      <c r="JXH374" s="21"/>
      <c r="JXK374" s="21"/>
      <c r="JXL374" s="15"/>
      <c r="JXM374" s="15"/>
      <c r="JXN374" s="15"/>
      <c r="JXO374" s="15"/>
      <c r="JXP374" s="15"/>
      <c r="JXQ374" s="15"/>
      <c r="JXR374" s="15"/>
      <c r="JXS374" s="15"/>
      <c r="JXT374" s="15"/>
      <c r="JXU374" s="15"/>
      <c r="JXV374" s="10"/>
      <c r="JXW374" s="10"/>
      <c r="JXX374" s="21"/>
      <c r="JXY374" s="21"/>
      <c r="JYB374" s="21"/>
      <c r="JYC374" s="15"/>
      <c r="JYD374" s="15"/>
      <c r="JYE374" s="15"/>
      <c r="JYF374" s="15"/>
      <c r="JYG374" s="15"/>
      <c r="JYH374" s="15"/>
      <c r="JYI374" s="15"/>
      <c r="JYJ374" s="15"/>
      <c r="JYK374" s="15"/>
      <c r="JYL374" s="15"/>
      <c r="JYM374" s="10"/>
      <c r="JYN374" s="10"/>
      <c r="JYO374" s="21"/>
      <c r="JYP374" s="21"/>
      <c r="JYS374" s="21"/>
      <c r="JYT374" s="15"/>
      <c r="JYU374" s="15"/>
      <c r="JYV374" s="15"/>
      <c r="JYW374" s="15"/>
      <c r="JYX374" s="15"/>
      <c r="JYY374" s="15"/>
      <c r="JYZ374" s="15"/>
      <c r="JZA374" s="15"/>
      <c r="JZB374" s="15"/>
      <c r="JZC374" s="15"/>
      <c r="JZD374" s="10"/>
      <c r="JZE374" s="10"/>
      <c r="JZF374" s="21"/>
      <c r="JZG374" s="21"/>
      <c r="JZJ374" s="21"/>
      <c r="JZK374" s="15"/>
      <c r="JZL374" s="15"/>
      <c r="JZM374" s="15"/>
      <c r="JZN374" s="15"/>
      <c r="JZO374" s="15"/>
      <c r="JZP374" s="15"/>
      <c r="JZQ374" s="15"/>
      <c r="JZR374" s="15"/>
      <c r="JZS374" s="15"/>
      <c r="JZT374" s="15"/>
      <c r="JZU374" s="10"/>
      <c r="JZV374" s="10"/>
      <c r="JZW374" s="21"/>
      <c r="JZX374" s="21"/>
      <c r="KAA374" s="21"/>
      <c r="KAB374" s="15"/>
      <c r="KAC374" s="15"/>
      <c r="KAD374" s="15"/>
      <c r="KAE374" s="15"/>
      <c r="KAF374" s="15"/>
      <c r="KAG374" s="15"/>
      <c r="KAH374" s="15"/>
      <c r="KAI374" s="15"/>
      <c r="KAJ374" s="15"/>
      <c r="KAK374" s="15"/>
      <c r="KAL374" s="10"/>
      <c r="KAM374" s="10"/>
      <c r="KAN374" s="21"/>
      <c r="KAO374" s="21"/>
      <c r="KAR374" s="21"/>
      <c r="KAS374" s="15"/>
      <c r="KAT374" s="15"/>
      <c r="KAU374" s="15"/>
      <c r="KAV374" s="15"/>
      <c r="KAW374" s="15"/>
      <c r="KAX374" s="15"/>
      <c r="KAY374" s="15"/>
      <c r="KAZ374" s="15"/>
      <c r="KBA374" s="15"/>
      <c r="KBB374" s="15"/>
      <c r="KBC374" s="10"/>
      <c r="KBD374" s="10"/>
      <c r="KBE374" s="21"/>
      <c r="KBF374" s="21"/>
      <c r="KBI374" s="21"/>
      <c r="KBJ374" s="15"/>
      <c r="KBK374" s="15"/>
      <c r="KBL374" s="15"/>
      <c r="KBM374" s="15"/>
      <c r="KBN374" s="15"/>
      <c r="KBO374" s="15"/>
      <c r="KBP374" s="15"/>
      <c r="KBQ374" s="15"/>
      <c r="KBR374" s="15"/>
      <c r="KBS374" s="15"/>
      <c r="KBT374" s="10"/>
      <c r="KBU374" s="10"/>
      <c r="KBV374" s="21"/>
      <c r="KBW374" s="21"/>
      <c r="KBZ374" s="21"/>
      <c r="KCA374" s="15"/>
      <c r="KCB374" s="15"/>
      <c r="KCC374" s="15"/>
      <c r="KCD374" s="15"/>
      <c r="KCE374" s="15"/>
      <c r="KCF374" s="15"/>
      <c r="KCG374" s="15"/>
      <c r="KCH374" s="15"/>
      <c r="KCI374" s="15"/>
      <c r="KCJ374" s="15"/>
      <c r="KCK374" s="10"/>
      <c r="KCL374" s="10"/>
      <c r="KCM374" s="21"/>
      <c r="KCN374" s="21"/>
      <c r="KCQ374" s="21"/>
      <c r="KCR374" s="15"/>
      <c r="KCS374" s="15"/>
      <c r="KCT374" s="15"/>
      <c r="KCU374" s="15"/>
      <c r="KCV374" s="15"/>
      <c r="KCW374" s="15"/>
      <c r="KCX374" s="15"/>
      <c r="KCY374" s="15"/>
      <c r="KCZ374" s="15"/>
      <c r="KDA374" s="15"/>
      <c r="KDB374" s="10"/>
      <c r="KDC374" s="10"/>
      <c r="KDD374" s="21"/>
      <c r="KDE374" s="21"/>
      <c r="KDH374" s="21"/>
      <c r="KDI374" s="15"/>
      <c r="KDJ374" s="15"/>
      <c r="KDK374" s="15"/>
      <c r="KDL374" s="15"/>
      <c r="KDM374" s="15"/>
      <c r="KDN374" s="15"/>
      <c r="KDO374" s="15"/>
      <c r="KDP374" s="15"/>
      <c r="KDQ374" s="15"/>
      <c r="KDR374" s="15"/>
      <c r="KDS374" s="10"/>
      <c r="KDT374" s="10"/>
      <c r="KDU374" s="21"/>
      <c r="KDV374" s="21"/>
      <c r="KDY374" s="21"/>
      <c r="KDZ374" s="15"/>
      <c r="KEA374" s="15"/>
      <c r="KEB374" s="15"/>
      <c r="KEC374" s="15"/>
      <c r="KED374" s="15"/>
      <c r="KEE374" s="15"/>
      <c r="KEF374" s="15"/>
      <c r="KEG374" s="15"/>
      <c r="KEH374" s="15"/>
      <c r="KEI374" s="15"/>
      <c r="KEJ374" s="10"/>
      <c r="KEK374" s="10"/>
      <c r="KEL374" s="21"/>
      <c r="KEM374" s="21"/>
      <c r="KEP374" s="21"/>
      <c r="KEQ374" s="15"/>
      <c r="KER374" s="15"/>
      <c r="KES374" s="15"/>
      <c r="KET374" s="15"/>
      <c r="KEU374" s="15"/>
      <c r="KEV374" s="15"/>
      <c r="KEW374" s="15"/>
      <c r="KEX374" s="15"/>
      <c r="KEY374" s="15"/>
      <c r="KEZ374" s="15"/>
      <c r="KFA374" s="10"/>
      <c r="KFB374" s="10"/>
      <c r="KFC374" s="21"/>
      <c r="KFD374" s="21"/>
      <c r="KFG374" s="21"/>
      <c r="KFH374" s="15"/>
      <c r="KFI374" s="15"/>
      <c r="KFJ374" s="15"/>
      <c r="KFK374" s="15"/>
      <c r="KFL374" s="15"/>
      <c r="KFM374" s="15"/>
      <c r="KFN374" s="15"/>
      <c r="KFO374" s="15"/>
      <c r="KFP374" s="15"/>
      <c r="KFQ374" s="15"/>
      <c r="KFR374" s="10"/>
      <c r="KFS374" s="10"/>
      <c r="KFT374" s="21"/>
      <c r="KFU374" s="21"/>
      <c r="KFX374" s="21"/>
      <c r="KFY374" s="15"/>
      <c r="KFZ374" s="15"/>
      <c r="KGA374" s="15"/>
      <c r="KGB374" s="15"/>
      <c r="KGC374" s="15"/>
      <c r="KGD374" s="15"/>
      <c r="KGE374" s="15"/>
      <c r="KGF374" s="15"/>
      <c r="KGG374" s="15"/>
      <c r="KGH374" s="15"/>
      <c r="KGI374" s="10"/>
      <c r="KGJ374" s="10"/>
      <c r="KGK374" s="21"/>
      <c r="KGL374" s="21"/>
      <c r="KGO374" s="21"/>
      <c r="KGP374" s="15"/>
      <c r="KGQ374" s="15"/>
      <c r="KGR374" s="15"/>
      <c r="KGS374" s="15"/>
      <c r="KGT374" s="15"/>
      <c r="KGU374" s="15"/>
      <c r="KGV374" s="15"/>
      <c r="KGW374" s="15"/>
      <c r="KGX374" s="15"/>
      <c r="KGY374" s="15"/>
      <c r="KGZ374" s="10"/>
      <c r="KHA374" s="10"/>
      <c r="KHB374" s="21"/>
      <c r="KHC374" s="21"/>
      <c r="KHF374" s="21"/>
      <c r="KHG374" s="15"/>
      <c r="KHH374" s="15"/>
      <c r="KHI374" s="15"/>
      <c r="KHJ374" s="15"/>
      <c r="KHK374" s="15"/>
      <c r="KHL374" s="15"/>
      <c r="KHM374" s="15"/>
      <c r="KHN374" s="15"/>
      <c r="KHO374" s="15"/>
      <c r="KHP374" s="15"/>
      <c r="KHQ374" s="10"/>
      <c r="KHR374" s="10"/>
      <c r="KHS374" s="21"/>
      <c r="KHT374" s="21"/>
      <c r="KHW374" s="21"/>
      <c r="KHX374" s="15"/>
      <c r="KHY374" s="15"/>
      <c r="KHZ374" s="15"/>
      <c r="KIA374" s="15"/>
      <c r="KIB374" s="15"/>
      <c r="KIC374" s="15"/>
      <c r="KID374" s="15"/>
      <c r="KIE374" s="15"/>
      <c r="KIF374" s="15"/>
      <c r="KIG374" s="15"/>
      <c r="KIH374" s="10"/>
      <c r="KII374" s="10"/>
      <c r="KIJ374" s="21"/>
      <c r="KIK374" s="21"/>
      <c r="KIN374" s="21"/>
      <c r="KIO374" s="15"/>
      <c r="KIP374" s="15"/>
      <c r="KIQ374" s="15"/>
      <c r="KIR374" s="15"/>
      <c r="KIS374" s="15"/>
      <c r="KIT374" s="15"/>
      <c r="KIU374" s="15"/>
      <c r="KIV374" s="15"/>
      <c r="KIW374" s="15"/>
      <c r="KIX374" s="15"/>
      <c r="KIY374" s="10"/>
      <c r="KIZ374" s="10"/>
      <c r="KJA374" s="21"/>
      <c r="KJB374" s="21"/>
      <c r="KJE374" s="21"/>
      <c r="KJF374" s="15"/>
      <c r="KJG374" s="15"/>
      <c r="KJH374" s="15"/>
      <c r="KJI374" s="15"/>
      <c r="KJJ374" s="15"/>
      <c r="KJK374" s="15"/>
      <c r="KJL374" s="15"/>
      <c r="KJM374" s="15"/>
      <c r="KJN374" s="15"/>
      <c r="KJO374" s="15"/>
      <c r="KJP374" s="10"/>
      <c r="KJQ374" s="10"/>
      <c r="KJR374" s="21"/>
      <c r="KJS374" s="21"/>
      <c r="KJV374" s="21"/>
      <c r="KJW374" s="15"/>
      <c r="KJX374" s="15"/>
      <c r="KJY374" s="15"/>
      <c r="KJZ374" s="15"/>
      <c r="KKA374" s="15"/>
      <c r="KKB374" s="15"/>
      <c r="KKC374" s="15"/>
      <c r="KKD374" s="15"/>
      <c r="KKE374" s="15"/>
      <c r="KKF374" s="15"/>
      <c r="KKG374" s="10"/>
      <c r="KKH374" s="10"/>
      <c r="KKI374" s="21"/>
      <c r="KKJ374" s="21"/>
      <c r="KKM374" s="21"/>
      <c r="KKN374" s="15"/>
      <c r="KKO374" s="15"/>
      <c r="KKP374" s="15"/>
      <c r="KKQ374" s="15"/>
      <c r="KKR374" s="15"/>
      <c r="KKS374" s="15"/>
      <c r="KKT374" s="15"/>
      <c r="KKU374" s="15"/>
      <c r="KKV374" s="15"/>
      <c r="KKW374" s="15"/>
      <c r="KKX374" s="10"/>
      <c r="KKY374" s="10"/>
      <c r="KKZ374" s="21"/>
      <c r="KLA374" s="21"/>
      <c r="KLD374" s="21"/>
      <c r="KLE374" s="15"/>
      <c r="KLF374" s="15"/>
      <c r="KLG374" s="15"/>
      <c r="KLH374" s="15"/>
      <c r="KLI374" s="15"/>
      <c r="KLJ374" s="15"/>
      <c r="KLK374" s="15"/>
      <c r="KLL374" s="15"/>
      <c r="KLM374" s="15"/>
      <c r="KLN374" s="15"/>
      <c r="KLO374" s="10"/>
      <c r="KLP374" s="10"/>
      <c r="KLQ374" s="21"/>
      <c r="KLR374" s="21"/>
      <c r="KLU374" s="21"/>
      <c r="KLV374" s="15"/>
      <c r="KLW374" s="15"/>
      <c r="KLX374" s="15"/>
      <c r="KLY374" s="15"/>
      <c r="KLZ374" s="15"/>
      <c r="KMA374" s="15"/>
      <c r="KMB374" s="15"/>
      <c r="KMC374" s="15"/>
      <c r="KMD374" s="15"/>
      <c r="KME374" s="15"/>
      <c r="KMF374" s="10"/>
      <c r="KMG374" s="10"/>
      <c r="KMH374" s="21"/>
      <c r="KMI374" s="21"/>
      <c r="KML374" s="21"/>
      <c r="KMM374" s="15"/>
      <c r="KMN374" s="15"/>
      <c r="KMO374" s="15"/>
      <c r="KMP374" s="15"/>
      <c r="KMQ374" s="15"/>
      <c r="KMR374" s="15"/>
      <c r="KMS374" s="15"/>
      <c r="KMT374" s="15"/>
      <c r="KMU374" s="15"/>
      <c r="KMV374" s="15"/>
      <c r="KMW374" s="10"/>
      <c r="KMX374" s="10"/>
      <c r="KMY374" s="21"/>
      <c r="KMZ374" s="21"/>
      <c r="KNC374" s="21"/>
      <c r="KND374" s="15"/>
      <c r="KNE374" s="15"/>
      <c r="KNF374" s="15"/>
      <c r="KNG374" s="15"/>
      <c r="KNH374" s="15"/>
      <c r="KNI374" s="15"/>
      <c r="KNJ374" s="15"/>
      <c r="KNK374" s="15"/>
      <c r="KNL374" s="15"/>
      <c r="KNM374" s="15"/>
      <c r="KNN374" s="10"/>
      <c r="KNO374" s="10"/>
      <c r="KNP374" s="21"/>
      <c r="KNQ374" s="21"/>
      <c r="KNT374" s="21"/>
      <c r="KNU374" s="15"/>
      <c r="KNV374" s="15"/>
      <c r="KNW374" s="15"/>
      <c r="KNX374" s="15"/>
      <c r="KNY374" s="15"/>
      <c r="KNZ374" s="15"/>
      <c r="KOA374" s="15"/>
      <c r="KOB374" s="15"/>
      <c r="KOC374" s="15"/>
      <c r="KOD374" s="15"/>
      <c r="KOE374" s="10"/>
      <c r="KOF374" s="10"/>
      <c r="KOG374" s="21"/>
      <c r="KOH374" s="21"/>
      <c r="KOK374" s="21"/>
      <c r="KOL374" s="15"/>
      <c r="KOM374" s="15"/>
      <c r="KON374" s="15"/>
      <c r="KOO374" s="15"/>
      <c r="KOP374" s="15"/>
      <c r="KOQ374" s="15"/>
      <c r="KOR374" s="15"/>
      <c r="KOS374" s="15"/>
      <c r="KOT374" s="15"/>
      <c r="KOU374" s="15"/>
      <c r="KOV374" s="10"/>
      <c r="KOW374" s="10"/>
      <c r="KOX374" s="21"/>
      <c r="KOY374" s="21"/>
      <c r="KPB374" s="21"/>
      <c r="KPC374" s="15"/>
      <c r="KPD374" s="15"/>
      <c r="KPE374" s="15"/>
      <c r="KPF374" s="15"/>
      <c r="KPG374" s="15"/>
      <c r="KPH374" s="15"/>
      <c r="KPI374" s="15"/>
      <c r="KPJ374" s="15"/>
      <c r="KPK374" s="15"/>
      <c r="KPL374" s="15"/>
      <c r="KPM374" s="10"/>
      <c r="KPN374" s="10"/>
      <c r="KPO374" s="21"/>
      <c r="KPP374" s="21"/>
      <c r="KPS374" s="21"/>
      <c r="KPT374" s="15"/>
      <c r="KPU374" s="15"/>
      <c r="KPV374" s="15"/>
      <c r="KPW374" s="15"/>
      <c r="KPX374" s="15"/>
      <c r="KPY374" s="15"/>
      <c r="KPZ374" s="15"/>
      <c r="KQA374" s="15"/>
      <c r="KQB374" s="15"/>
      <c r="KQC374" s="15"/>
      <c r="KQD374" s="10"/>
      <c r="KQE374" s="10"/>
      <c r="KQF374" s="21"/>
      <c r="KQG374" s="21"/>
      <c r="KQJ374" s="21"/>
      <c r="KQK374" s="15"/>
      <c r="KQL374" s="15"/>
      <c r="KQM374" s="15"/>
      <c r="KQN374" s="15"/>
      <c r="KQO374" s="15"/>
      <c r="KQP374" s="15"/>
      <c r="KQQ374" s="15"/>
      <c r="KQR374" s="15"/>
      <c r="KQS374" s="15"/>
      <c r="KQT374" s="15"/>
      <c r="KQU374" s="10"/>
      <c r="KQV374" s="10"/>
      <c r="KQW374" s="21"/>
      <c r="KQX374" s="21"/>
      <c r="KRA374" s="21"/>
      <c r="KRB374" s="15"/>
      <c r="KRC374" s="15"/>
      <c r="KRD374" s="15"/>
      <c r="KRE374" s="15"/>
      <c r="KRF374" s="15"/>
      <c r="KRG374" s="15"/>
      <c r="KRH374" s="15"/>
      <c r="KRI374" s="15"/>
      <c r="KRJ374" s="15"/>
      <c r="KRK374" s="15"/>
      <c r="KRL374" s="10"/>
      <c r="KRM374" s="10"/>
      <c r="KRN374" s="21"/>
      <c r="KRO374" s="21"/>
      <c r="KRR374" s="21"/>
      <c r="KRS374" s="15"/>
      <c r="KRT374" s="15"/>
      <c r="KRU374" s="15"/>
      <c r="KRV374" s="15"/>
      <c r="KRW374" s="15"/>
      <c r="KRX374" s="15"/>
      <c r="KRY374" s="15"/>
      <c r="KRZ374" s="15"/>
      <c r="KSA374" s="15"/>
      <c r="KSB374" s="15"/>
      <c r="KSC374" s="10"/>
      <c r="KSD374" s="10"/>
      <c r="KSE374" s="21"/>
      <c r="KSF374" s="21"/>
      <c r="KSI374" s="21"/>
      <c r="KSJ374" s="15"/>
      <c r="KSK374" s="15"/>
      <c r="KSL374" s="15"/>
      <c r="KSM374" s="15"/>
      <c r="KSN374" s="15"/>
      <c r="KSO374" s="15"/>
      <c r="KSP374" s="15"/>
      <c r="KSQ374" s="15"/>
      <c r="KSR374" s="15"/>
      <c r="KSS374" s="15"/>
      <c r="KST374" s="10"/>
      <c r="KSU374" s="10"/>
      <c r="KSV374" s="21"/>
      <c r="KSW374" s="21"/>
      <c r="KSZ374" s="21"/>
      <c r="KTA374" s="15"/>
      <c r="KTB374" s="15"/>
      <c r="KTC374" s="15"/>
      <c r="KTD374" s="15"/>
      <c r="KTE374" s="15"/>
      <c r="KTF374" s="15"/>
      <c r="KTG374" s="15"/>
      <c r="KTH374" s="15"/>
      <c r="KTI374" s="15"/>
      <c r="KTJ374" s="15"/>
      <c r="KTK374" s="10"/>
      <c r="KTL374" s="10"/>
      <c r="KTM374" s="21"/>
      <c r="KTN374" s="21"/>
      <c r="KTQ374" s="21"/>
      <c r="KTR374" s="15"/>
      <c r="KTS374" s="15"/>
      <c r="KTT374" s="15"/>
      <c r="KTU374" s="15"/>
      <c r="KTV374" s="15"/>
      <c r="KTW374" s="15"/>
      <c r="KTX374" s="15"/>
      <c r="KTY374" s="15"/>
      <c r="KTZ374" s="15"/>
      <c r="KUA374" s="15"/>
      <c r="KUB374" s="10"/>
      <c r="KUC374" s="10"/>
      <c r="KUD374" s="21"/>
      <c r="KUE374" s="21"/>
      <c r="KUH374" s="21"/>
      <c r="KUI374" s="15"/>
      <c r="KUJ374" s="15"/>
      <c r="KUK374" s="15"/>
      <c r="KUL374" s="15"/>
      <c r="KUM374" s="15"/>
      <c r="KUN374" s="15"/>
      <c r="KUO374" s="15"/>
      <c r="KUP374" s="15"/>
      <c r="KUQ374" s="15"/>
      <c r="KUR374" s="15"/>
      <c r="KUS374" s="10"/>
      <c r="KUT374" s="10"/>
      <c r="KUU374" s="21"/>
      <c r="KUV374" s="21"/>
      <c r="KUY374" s="21"/>
      <c r="KUZ374" s="15"/>
      <c r="KVA374" s="15"/>
      <c r="KVB374" s="15"/>
      <c r="KVC374" s="15"/>
      <c r="KVD374" s="15"/>
      <c r="KVE374" s="15"/>
      <c r="KVF374" s="15"/>
      <c r="KVG374" s="15"/>
      <c r="KVH374" s="15"/>
      <c r="KVI374" s="15"/>
      <c r="KVJ374" s="10"/>
      <c r="KVK374" s="10"/>
      <c r="KVL374" s="21"/>
      <c r="KVM374" s="21"/>
      <c r="KVP374" s="21"/>
      <c r="KVQ374" s="15"/>
      <c r="KVR374" s="15"/>
      <c r="KVS374" s="15"/>
      <c r="KVT374" s="15"/>
      <c r="KVU374" s="15"/>
      <c r="KVV374" s="15"/>
      <c r="KVW374" s="15"/>
      <c r="KVX374" s="15"/>
      <c r="KVY374" s="15"/>
      <c r="KVZ374" s="15"/>
      <c r="KWA374" s="10"/>
      <c r="KWB374" s="10"/>
      <c r="KWC374" s="21"/>
      <c r="KWD374" s="21"/>
      <c r="KWG374" s="21"/>
      <c r="KWH374" s="15"/>
      <c r="KWI374" s="15"/>
      <c r="KWJ374" s="15"/>
      <c r="KWK374" s="15"/>
      <c r="KWL374" s="15"/>
      <c r="KWM374" s="15"/>
      <c r="KWN374" s="15"/>
      <c r="KWO374" s="15"/>
      <c r="KWP374" s="15"/>
      <c r="KWQ374" s="15"/>
      <c r="KWR374" s="10"/>
      <c r="KWS374" s="10"/>
      <c r="KWT374" s="21"/>
      <c r="KWU374" s="21"/>
      <c r="KWX374" s="21"/>
      <c r="KWY374" s="15"/>
      <c r="KWZ374" s="15"/>
      <c r="KXA374" s="15"/>
      <c r="KXB374" s="15"/>
      <c r="KXC374" s="15"/>
      <c r="KXD374" s="15"/>
      <c r="KXE374" s="15"/>
      <c r="KXF374" s="15"/>
      <c r="KXG374" s="15"/>
      <c r="KXH374" s="15"/>
      <c r="KXI374" s="10"/>
      <c r="KXJ374" s="10"/>
      <c r="KXK374" s="21"/>
      <c r="KXL374" s="21"/>
      <c r="KXO374" s="21"/>
      <c r="KXP374" s="15"/>
      <c r="KXQ374" s="15"/>
      <c r="KXR374" s="15"/>
      <c r="KXS374" s="15"/>
      <c r="KXT374" s="15"/>
      <c r="KXU374" s="15"/>
      <c r="KXV374" s="15"/>
      <c r="KXW374" s="15"/>
      <c r="KXX374" s="15"/>
      <c r="KXY374" s="15"/>
      <c r="KXZ374" s="10"/>
      <c r="KYA374" s="10"/>
      <c r="KYB374" s="21"/>
      <c r="KYC374" s="21"/>
      <c r="KYF374" s="21"/>
      <c r="KYG374" s="15"/>
      <c r="KYH374" s="15"/>
      <c r="KYI374" s="15"/>
      <c r="KYJ374" s="15"/>
      <c r="KYK374" s="15"/>
      <c r="KYL374" s="15"/>
      <c r="KYM374" s="15"/>
      <c r="KYN374" s="15"/>
      <c r="KYO374" s="15"/>
      <c r="KYP374" s="15"/>
      <c r="KYQ374" s="10"/>
      <c r="KYR374" s="10"/>
      <c r="KYS374" s="21"/>
      <c r="KYT374" s="21"/>
      <c r="KYW374" s="21"/>
      <c r="KYX374" s="15"/>
      <c r="KYY374" s="15"/>
      <c r="KYZ374" s="15"/>
      <c r="KZA374" s="15"/>
      <c r="KZB374" s="15"/>
      <c r="KZC374" s="15"/>
      <c r="KZD374" s="15"/>
      <c r="KZE374" s="15"/>
      <c r="KZF374" s="15"/>
      <c r="KZG374" s="15"/>
      <c r="KZH374" s="10"/>
      <c r="KZI374" s="10"/>
      <c r="KZJ374" s="21"/>
      <c r="KZK374" s="21"/>
      <c r="KZN374" s="21"/>
      <c r="KZO374" s="15"/>
      <c r="KZP374" s="15"/>
      <c r="KZQ374" s="15"/>
      <c r="KZR374" s="15"/>
      <c r="KZS374" s="15"/>
      <c r="KZT374" s="15"/>
      <c r="KZU374" s="15"/>
      <c r="KZV374" s="15"/>
      <c r="KZW374" s="15"/>
      <c r="KZX374" s="15"/>
      <c r="KZY374" s="10"/>
      <c r="KZZ374" s="10"/>
      <c r="LAA374" s="21"/>
      <c r="LAB374" s="21"/>
      <c r="LAE374" s="21"/>
      <c r="LAF374" s="15"/>
      <c r="LAG374" s="15"/>
      <c r="LAH374" s="15"/>
      <c r="LAI374" s="15"/>
      <c r="LAJ374" s="15"/>
      <c r="LAK374" s="15"/>
      <c r="LAL374" s="15"/>
      <c r="LAM374" s="15"/>
      <c r="LAN374" s="15"/>
      <c r="LAO374" s="15"/>
      <c r="LAP374" s="10"/>
      <c r="LAQ374" s="10"/>
      <c r="LAR374" s="21"/>
      <c r="LAS374" s="21"/>
      <c r="LAV374" s="21"/>
      <c r="LAW374" s="15"/>
      <c r="LAX374" s="15"/>
      <c r="LAY374" s="15"/>
      <c r="LAZ374" s="15"/>
      <c r="LBA374" s="15"/>
      <c r="LBB374" s="15"/>
      <c r="LBC374" s="15"/>
      <c r="LBD374" s="15"/>
      <c r="LBE374" s="15"/>
      <c r="LBF374" s="15"/>
      <c r="LBG374" s="10"/>
      <c r="LBH374" s="10"/>
      <c r="LBI374" s="21"/>
      <c r="LBJ374" s="21"/>
      <c r="LBM374" s="21"/>
      <c r="LBN374" s="15"/>
      <c r="LBO374" s="15"/>
      <c r="LBP374" s="15"/>
      <c r="LBQ374" s="15"/>
      <c r="LBR374" s="15"/>
      <c r="LBS374" s="15"/>
      <c r="LBT374" s="15"/>
      <c r="LBU374" s="15"/>
      <c r="LBV374" s="15"/>
      <c r="LBW374" s="15"/>
      <c r="LBX374" s="10"/>
      <c r="LBY374" s="10"/>
      <c r="LBZ374" s="21"/>
      <c r="LCA374" s="21"/>
      <c r="LCD374" s="21"/>
      <c r="LCE374" s="15"/>
      <c r="LCF374" s="15"/>
      <c r="LCG374" s="15"/>
      <c r="LCH374" s="15"/>
      <c r="LCI374" s="15"/>
      <c r="LCJ374" s="15"/>
      <c r="LCK374" s="15"/>
      <c r="LCL374" s="15"/>
      <c r="LCM374" s="15"/>
      <c r="LCN374" s="15"/>
      <c r="LCO374" s="10"/>
      <c r="LCP374" s="10"/>
      <c r="LCQ374" s="21"/>
      <c r="LCR374" s="21"/>
      <c r="LCU374" s="21"/>
      <c r="LCV374" s="15"/>
      <c r="LCW374" s="15"/>
      <c r="LCX374" s="15"/>
      <c r="LCY374" s="15"/>
      <c r="LCZ374" s="15"/>
      <c r="LDA374" s="15"/>
      <c r="LDB374" s="15"/>
      <c r="LDC374" s="15"/>
      <c r="LDD374" s="15"/>
      <c r="LDE374" s="15"/>
      <c r="LDF374" s="10"/>
      <c r="LDG374" s="10"/>
      <c r="LDH374" s="21"/>
      <c r="LDI374" s="21"/>
      <c r="LDL374" s="21"/>
      <c r="LDM374" s="15"/>
      <c r="LDN374" s="15"/>
      <c r="LDO374" s="15"/>
      <c r="LDP374" s="15"/>
      <c r="LDQ374" s="15"/>
      <c r="LDR374" s="15"/>
      <c r="LDS374" s="15"/>
      <c r="LDT374" s="15"/>
      <c r="LDU374" s="15"/>
      <c r="LDV374" s="15"/>
      <c r="LDW374" s="10"/>
      <c r="LDX374" s="10"/>
      <c r="LDY374" s="21"/>
      <c r="LDZ374" s="21"/>
      <c r="LEC374" s="21"/>
      <c r="LED374" s="15"/>
      <c r="LEE374" s="15"/>
      <c r="LEF374" s="15"/>
      <c r="LEG374" s="15"/>
      <c r="LEH374" s="15"/>
      <c r="LEI374" s="15"/>
      <c r="LEJ374" s="15"/>
      <c r="LEK374" s="15"/>
      <c r="LEL374" s="15"/>
      <c r="LEM374" s="15"/>
      <c r="LEN374" s="10"/>
      <c r="LEO374" s="10"/>
      <c r="LEP374" s="21"/>
      <c r="LEQ374" s="21"/>
      <c r="LET374" s="21"/>
      <c r="LEU374" s="15"/>
      <c r="LEV374" s="15"/>
      <c r="LEW374" s="15"/>
      <c r="LEX374" s="15"/>
      <c r="LEY374" s="15"/>
      <c r="LEZ374" s="15"/>
      <c r="LFA374" s="15"/>
      <c r="LFB374" s="15"/>
      <c r="LFC374" s="15"/>
      <c r="LFD374" s="15"/>
      <c r="LFE374" s="10"/>
      <c r="LFF374" s="10"/>
      <c r="LFG374" s="21"/>
      <c r="LFH374" s="21"/>
      <c r="LFK374" s="21"/>
      <c r="LFL374" s="15"/>
      <c r="LFM374" s="15"/>
      <c r="LFN374" s="15"/>
      <c r="LFO374" s="15"/>
      <c r="LFP374" s="15"/>
      <c r="LFQ374" s="15"/>
      <c r="LFR374" s="15"/>
      <c r="LFS374" s="15"/>
      <c r="LFT374" s="15"/>
      <c r="LFU374" s="15"/>
      <c r="LFV374" s="10"/>
      <c r="LFW374" s="10"/>
      <c r="LFX374" s="21"/>
      <c r="LFY374" s="21"/>
      <c r="LGB374" s="21"/>
      <c r="LGC374" s="15"/>
      <c r="LGD374" s="15"/>
      <c r="LGE374" s="15"/>
      <c r="LGF374" s="15"/>
      <c r="LGG374" s="15"/>
      <c r="LGH374" s="15"/>
      <c r="LGI374" s="15"/>
      <c r="LGJ374" s="15"/>
      <c r="LGK374" s="15"/>
      <c r="LGL374" s="15"/>
      <c r="LGM374" s="10"/>
      <c r="LGN374" s="10"/>
      <c r="LGO374" s="21"/>
      <c r="LGP374" s="21"/>
      <c r="LGS374" s="21"/>
      <c r="LGT374" s="15"/>
      <c r="LGU374" s="15"/>
      <c r="LGV374" s="15"/>
      <c r="LGW374" s="15"/>
      <c r="LGX374" s="15"/>
      <c r="LGY374" s="15"/>
      <c r="LGZ374" s="15"/>
      <c r="LHA374" s="15"/>
      <c r="LHB374" s="15"/>
      <c r="LHC374" s="15"/>
      <c r="LHD374" s="10"/>
      <c r="LHE374" s="10"/>
      <c r="LHF374" s="21"/>
      <c r="LHG374" s="21"/>
      <c r="LHJ374" s="21"/>
      <c r="LHK374" s="15"/>
      <c r="LHL374" s="15"/>
      <c r="LHM374" s="15"/>
      <c r="LHN374" s="15"/>
      <c r="LHO374" s="15"/>
      <c r="LHP374" s="15"/>
      <c r="LHQ374" s="15"/>
      <c r="LHR374" s="15"/>
      <c r="LHS374" s="15"/>
      <c r="LHT374" s="15"/>
      <c r="LHU374" s="10"/>
      <c r="LHV374" s="10"/>
      <c r="LHW374" s="21"/>
      <c r="LHX374" s="21"/>
      <c r="LIA374" s="21"/>
      <c r="LIB374" s="15"/>
      <c r="LIC374" s="15"/>
      <c r="LID374" s="15"/>
      <c r="LIE374" s="15"/>
      <c r="LIF374" s="15"/>
      <c r="LIG374" s="15"/>
      <c r="LIH374" s="15"/>
      <c r="LII374" s="15"/>
      <c r="LIJ374" s="15"/>
      <c r="LIK374" s="15"/>
      <c r="LIL374" s="10"/>
      <c r="LIM374" s="10"/>
      <c r="LIN374" s="21"/>
      <c r="LIO374" s="21"/>
      <c r="LIR374" s="21"/>
      <c r="LIS374" s="15"/>
      <c r="LIT374" s="15"/>
      <c r="LIU374" s="15"/>
      <c r="LIV374" s="15"/>
      <c r="LIW374" s="15"/>
      <c r="LIX374" s="15"/>
      <c r="LIY374" s="15"/>
      <c r="LIZ374" s="15"/>
      <c r="LJA374" s="15"/>
      <c r="LJB374" s="15"/>
      <c r="LJC374" s="10"/>
      <c r="LJD374" s="10"/>
      <c r="LJE374" s="21"/>
      <c r="LJF374" s="21"/>
      <c r="LJI374" s="21"/>
      <c r="LJJ374" s="15"/>
      <c r="LJK374" s="15"/>
      <c r="LJL374" s="15"/>
      <c r="LJM374" s="15"/>
      <c r="LJN374" s="15"/>
      <c r="LJO374" s="15"/>
      <c r="LJP374" s="15"/>
      <c r="LJQ374" s="15"/>
      <c r="LJR374" s="15"/>
      <c r="LJS374" s="15"/>
      <c r="LJT374" s="10"/>
      <c r="LJU374" s="10"/>
      <c r="LJV374" s="21"/>
      <c r="LJW374" s="21"/>
      <c r="LJZ374" s="21"/>
      <c r="LKA374" s="15"/>
      <c r="LKB374" s="15"/>
      <c r="LKC374" s="15"/>
      <c r="LKD374" s="15"/>
      <c r="LKE374" s="15"/>
      <c r="LKF374" s="15"/>
      <c r="LKG374" s="15"/>
      <c r="LKH374" s="15"/>
      <c r="LKI374" s="15"/>
      <c r="LKJ374" s="15"/>
      <c r="LKK374" s="10"/>
      <c r="LKL374" s="10"/>
      <c r="LKM374" s="21"/>
      <c r="LKN374" s="21"/>
      <c r="LKQ374" s="21"/>
      <c r="LKR374" s="15"/>
      <c r="LKS374" s="15"/>
      <c r="LKT374" s="15"/>
      <c r="LKU374" s="15"/>
      <c r="LKV374" s="15"/>
      <c r="LKW374" s="15"/>
      <c r="LKX374" s="15"/>
      <c r="LKY374" s="15"/>
      <c r="LKZ374" s="15"/>
      <c r="LLA374" s="15"/>
      <c r="LLB374" s="10"/>
      <c r="LLC374" s="10"/>
      <c r="LLD374" s="21"/>
      <c r="LLE374" s="21"/>
      <c r="LLH374" s="21"/>
      <c r="LLI374" s="15"/>
      <c r="LLJ374" s="15"/>
      <c r="LLK374" s="15"/>
      <c r="LLL374" s="15"/>
      <c r="LLM374" s="15"/>
      <c r="LLN374" s="15"/>
      <c r="LLO374" s="15"/>
      <c r="LLP374" s="15"/>
      <c r="LLQ374" s="15"/>
      <c r="LLR374" s="15"/>
      <c r="LLS374" s="10"/>
      <c r="LLT374" s="10"/>
      <c r="LLU374" s="21"/>
      <c r="LLV374" s="21"/>
      <c r="LLY374" s="21"/>
      <c r="LLZ374" s="15"/>
      <c r="LMA374" s="15"/>
      <c r="LMB374" s="15"/>
      <c r="LMC374" s="15"/>
      <c r="LMD374" s="15"/>
      <c r="LME374" s="15"/>
      <c r="LMF374" s="15"/>
      <c r="LMG374" s="15"/>
      <c r="LMH374" s="15"/>
      <c r="LMI374" s="15"/>
      <c r="LMJ374" s="10"/>
      <c r="LMK374" s="10"/>
      <c r="LML374" s="21"/>
      <c r="LMM374" s="21"/>
      <c r="LMP374" s="21"/>
      <c r="LMQ374" s="15"/>
      <c r="LMR374" s="15"/>
      <c r="LMS374" s="15"/>
      <c r="LMT374" s="15"/>
      <c r="LMU374" s="15"/>
      <c r="LMV374" s="15"/>
      <c r="LMW374" s="15"/>
      <c r="LMX374" s="15"/>
      <c r="LMY374" s="15"/>
      <c r="LMZ374" s="15"/>
      <c r="LNA374" s="10"/>
      <c r="LNB374" s="10"/>
      <c r="LNC374" s="21"/>
      <c r="LND374" s="21"/>
      <c r="LNG374" s="21"/>
      <c r="LNH374" s="15"/>
      <c r="LNI374" s="15"/>
      <c r="LNJ374" s="15"/>
      <c r="LNK374" s="15"/>
      <c r="LNL374" s="15"/>
      <c r="LNM374" s="15"/>
      <c r="LNN374" s="15"/>
      <c r="LNO374" s="15"/>
      <c r="LNP374" s="15"/>
      <c r="LNQ374" s="15"/>
      <c r="LNR374" s="10"/>
      <c r="LNS374" s="10"/>
      <c r="LNT374" s="21"/>
      <c r="LNU374" s="21"/>
      <c r="LNX374" s="21"/>
      <c r="LNY374" s="15"/>
      <c r="LNZ374" s="15"/>
      <c r="LOA374" s="15"/>
      <c r="LOB374" s="15"/>
      <c r="LOC374" s="15"/>
      <c r="LOD374" s="15"/>
      <c r="LOE374" s="15"/>
      <c r="LOF374" s="15"/>
      <c r="LOG374" s="15"/>
      <c r="LOH374" s="15"/>
      <c r="LOI374" s="10"/>
      <c r="LOJ374" s="10"/>
      <c r="LOK374" s="21"/>
      <c r="LOL374" s="21"/>
      <c r="LOO374" s="21"/>
      <c r="LOP374" s="15"/>
      <c r="LOQ374" s="15"/>
      <c r="LOR374" s="15"/>
      <c r="LOS374" s="15"/>
      <c r="LOT374" s="15"/>
      <c r="LOU374" s="15"/>
      <c r="LOV374" s="15"/>
      <c r="LOW374" s="15"/>
      <c r="LOX374" s="15"/>
      <c r="LOY374" s="15"/>
      <c r="LOZ374" s="10"/>
      <c r="LPA374" s="10"/>
      <c r="LPB374" s="21"/>
      <c r="LPC374" s="21"/>
      <c r="LPF374" s="21"/>
      <c r="LPG374" s="15"/>
      <c r="LPH374" s="15"/>
      <c r="LPI374" s="15"/>
      <c r="LPJ374" s="15"/>
      <c r="LPK374" s="15"/>
      <c r="LPL374" s="15"/>
      <c r="LPM374" s="15"/>
      <c r="LPN374" s="15"/>
      <c r="LPO374" s="15"/>
      <c r="LPP374" s="15"/>
      <c r="LPQ374" s="10"/>
      <c r="LPR374" s="10"/>
      <c r="LPS374" s="21"/>
      <c r="LPT374" s="21"/>
      <c r="LPW374" s="21"/>
      <c r="LPX374" s="15"/>
      <c r="LPY374" s="15"/>
      <c r="LPZ374" s="15"/>
      <c r="LQA374" s="15"/>
      <c r="LQB374" s="15"/>
      <c r="LQC374" s="15"/>
      <c r="LQD374" s="15"/>
      <c r="LQE374" s="15"/>
      <c r="LQF374" s="15"/>
      <c r="LQG374" s="15"/>
      <c r="LQH374" s="10"/>
      <c r="LQI374" s="10"/>
      <c r="LQJ374" s="21"/>
      <c r="LQK374" s="21"/>
      <c r="LQN374" s="21"/>
      <c r="LQO374" s="15"/>
      <c r="LQP374" s="15"/>
      <c r="LQQ374" s="15"/>
      <c r="LQR374" s="15"/>
      <c r="LQS374" s="15"/>
      <c r="LQT374" s="15"/>
      <c r="LQU374" s="15"/>
      <c r="LQV374" s="15"/>
      <c r="LQW374" s="15"/>
      <c r="LQX374" s="15"/>
      <c r="LQY374" s="10"/>
      <c r="LQZ374" s="10"/>
      <c r="LRA374" s="21"/>
      <c r="LRB374" s="21"/>
      <c r="LRE374" s="21"/>
      <c r="LRF374" s="15"/>
      <c r="LRG374" s="15"/>
      <c r="LRH374" s="15"/>
      <c r="LRI374" s="15"/>
      <c r="LRJ374" s="15"/>
      <c r="LRK374" s="15"/>
      <c r="LRL374" s="15"/>
      <c r="LRM374" s="15"/>
      <c r="LRN374" s="15"/>
      <c r="LRO374" s="15"/>
      <c r="LRP374" s="10"/>
      <c r="LRQ374" s="10"/>
      <c r="LRR374" s="21"/>
      <c r="LRS374" s="21"/>
      <c r="LRV374" s="21"/>
      <c r="LRW374" s="15"/>
      <c r="LRX374" s="15"/>
      <c r="LRY374" s="15"/>
      <c r="LRZ374" s="15"/>
      <c r="LSA374" s="15"/>
      <c r="LSB374" s="15"/>
      <c r="LSC374" s="15"/>
      <c r="LSD374" s="15"/>
      <c r="LSE374" s="15"/>
      <c r="LSF374" s="15"/>
      <c r="LSG374" s="10"/>
      <c r="LSH374" s="10"/>
      <c r="LSI374" s="21"/>
      <c r="LSJ374" s="21"/>
      <c r="LSM374" s="21"/>
      <c r="LSN374" s="15"/>
      <c r="LSO374" s="15"/>
      <c r="LSP374" s="15"/>
      <c r="LSQ374" s="15"/>
      <c r="LSR374" s="15"/>
      <c r="LSS374" s="15"/>
      <c r="LST374" s="15"/>
      <c r="LSU374" s="15"/>
      <c r="LSV374" s="15"/>
      <c r="LSW374" s="15"/>
      <c r="LSX374" s="10"/>
      <c r="LSY374" s="10"/>
      <c r="LSZ374" s="21"/>
      <c r="LTA374" s="21"/>
      <c r="LTD374" s="21"/>
      <c r="LTE374" s="15"/>
      <c r="LTF374" s="15"/>
      <c r="LTG374" s="15"/>
      <c r="LTH374" s="15"/>
      <c r="LTI374" s="15"/>
      <c r="LTJ374" s="15"/>
      <c r="LTK374" s="15"/>
      <c r="LTL374" s="15"/>
      <c r="LTM374" s="15"/>
      <c r="LTN374" s="15"/>
      <c r="LTO374" s="10"/>
      <c r="LTP374" s="10"/>
      <c r="LTQ374" s="21"/>
      <c r="LTR374" s="21"/>
      <c r="LTU374" s="21"/>
      <c r="LTV374" s="15"/>
      <c r="LTW374" s="15"/>
      <c r="LTX374" s="15"/>
      <c r="LTY374" s="15"/>
      <c r="LTZ374" s="15"/>
      <c r="LUA374" s="15"/>
      <c r="LUB374" s="15"/>
      <c r="LUC374" s="15"/>
      <c r="LUD374" s="15"/>
      <c r="LUE374" s="15"/>
      <c r="LUF374" s="10"/>
      <c r="LUG374" s="10"/>
      <c r="LUH374" s="21"/>
      <c r="LUI374" s="21"/>
      <c r="LUL374" s="21"/>
      <c r="LUM374" s="15"/>
      <c r="LUN374" s="15"/>
      <c r="LUO374" s="15"/>
      <c r="LUP374" s="15"/>
      <c r="LUQ374" s="15"/>
      <c r="LUR374" s="15"/>
      <c r="LUS374" s="15"/>
      <c r="LUT374" s="15"/>
      <c r="LUU374" s="15"/>
      <c r="LUV374" s="15"/>
      <c r="LUW374" s="10"/>
      <c r="LUX374" s="10"/>
      <c r="LUY374" s="21"/>
      <c r="LUZ374" s="21"/>
      <c r="LVC374" s="21"/>
      <c r="LVD374" s="15"/>
      <c r="LVE374" s="15"/>
      <c r="LVF374" s="15"/>
      <c r="LVG374" s="15"/>
      <c r="LVH374" s="15"/>
      <c r="LVI374" s="15"/>
      <c r="LVJ374" s="15"/>
      <c r="LVK374" s="15"/>
      <c r="LVL374" s="15"/>
      <c r="LVM374" s="15"/>
      <c r="LVN374" s="10"/>
      <c r="LVO374" s="10"/>
      <c r="LVP374" s="21"/>
      <c r="LVQ374" s="21"/>
      <c r="LVT374" s="21"/>
      <c r="LVU374" s="15"/>
      <c r="LVV374" s="15"/>
      <c r="LVW374" s="15"/>
      <c r="LVX374" s="15"/>
      <c r="LVY374" s="15"/>
      <c r="LVZ374" s="15"/>
      <c r="LWA374" s="15"/>
      <c r="LWB374" s="15"/>
      <c r="LWC374" s="15"/>
      <c r="LWD374" s="15"/>
      <c r="LWE374" s="10"/>
      <c r="LWF374" s="10"/>
      <c r="LWG374" s="21"/>
      <c r="LWH374" s="21"/>
      <c r="LWK374" s="21"/>
      <c r="LWL374" s="15"/>
      <c r="LWM374" s="15"/>
      <c r="LWN374" s="15"/>
      <c r="LWO374" s="15"/>
      <c r="LWP374" s="15"/>
      <c r="LWQ374" s="15"/>
      <c r="LWR374" s="15"/>
      <c r="LWS374" s="15"/>
      <c r="LWT374" s="15"/>
      <c r="LWU374" s="15"/>
      <c r="LWV374" s="10"/>
      <c r="LWW374" s="10"/>
      <c r="LWX374" s="21"/>
      <c r="LWY374" s="21"/>
      <c r="LXB374" s="21"/>
      <c r="LXC374" s="15"/>
      <c r="LXD374" s="15"/>
      <c r="LXE374" s="15"/>
      <c r="LXF374" s="15"/>
      <c r="LXG374" s="15"/>
      <c r="LXH374" s="15"/>
      <c r="LXI374" s="15"/>
      <c r="LXJ374" s="15"/>
      <c r="LXK374" s="15"/>
      <c r="LXL374" s="15"/>
      <c r="LXM374" s="10"/>
      <c r="LXN374" s="10"/>
      <c r="LXO374" s="21"/>
      <c r="LXP374" s="21"/>
      <c r="LXS374" s="21"/>
      <c r="LXT374" s="15"/>
      <c r="LXU374" s="15"/>
      <c r="LXV374" s="15"/>
      <c r="LXW374" s="15"/>
      <c r="LXX374" s="15"/>
      <c r="LXY374" s="15"/>
      <c r="LXZ374" s="15"/>
      <c r="LYA374" s="15"/>
      <c r="LYB374" s="15"/>
      <c r="LYC374" s="15"/>
      <c r="LYD374" s="10"/>
      <c r="LYE374" s="10"/>
      <c r="LYF374" s="21"/>
      <c r="LYG374" s="21"/>
      <c r="LYJ374" s="21"/>
      <c r="LYK374" s="15"/>
      <c r="LYL374" s="15"/>
      <c r="LYM374" s="15"/>
      <c r="LYN374" s="15"/>
      <c r="LYO374" s="15"/>
      <c r="LYP374" s="15"/>
      <c r="LYQ374" s="15"/>
      <c r="LYR374" s="15"/>
      <c r="LYS374" s="15"/>
      <c r="LYT374" s="15"/>
      <c r="LYU374" s="10"/>
      <c r="LYV374" s="10"/>
      <c r="LYW374" s="21"/>
      <c r="LYX374" s="21"/>
      <c r="LZA374" s="21"/>
      <c r="LZB374" s="15"/>
      <c r="LZC374" s="15"/>
      <c r="LZD374" s="15"/>
      <c r="LZE374" s="15"/>
      <c r="LZF374" s="15"/>
      <c r="LZG374" s="15"/>
      <c r="LZH374" s="15"/>
      <c r="LZI374" s="15"/>
      <c r="LZJ374" s="15"/>
      <c r="LZK374" s="15"/>
      <c r="LZL374" s="10"/>
      <c r="LZM374" s="10"/>
      <c r="LZN374" s="21"/>
      <c r="LZO374" s="21"/>
      <c r="LZR374" s="21"/>
      <c r="LZS374" s="15"/>
      <c r="LZT374" s="15"/>
      <c r="LZU374" s="15"/>
      <c r="LZV374" s="15"/>
      <c r="LZW374" s="15"/>
      <c r="LZX374" s="15"/>
      <c r="LZY374" s="15"/>
      <c r="LZZ374" s="15"/>
      <c r="MAA374" s="15"/>
      <c r="MAB374" s="15"/>
      <c r="MAC374" s="10"/>
      <c r="MAD374" s="10"/>
      <c r="MAE374" s="21"/>
      <c r="MAF374" s="21"/>
      <c r="MAI374" s="21"/>
      <c r="MAJ374" s="15"/>
      <c r="MAK374" s="15"/>
      <c r="MAL374" s="15"/>
      <c r="MAM374" s="15"/>
      <c r="MAN374" s="15"/>
      <c r="MAO374" s="15"/>
      <c r="MAP374" s="15"/>
      <c r="MAQ374" s="15"/>
      <c r="MAR374" s="15"/>
      <c r="MAS374" s="15"/>
      <c r="MAT374" s="10"/>
      <c r="MAU374" s="10"/>
      <c r="MAV374" s="21"/>
      <c r="MAW374" s="21"/>
      <c r="MAZ374" s="21"/>
      <c r="MBA374" s="15"/>
      <c r="MBB374" s="15"/>
      <c r="MBC374" s="15"/>
      <c r="MBD374" s="15"/>
      <c r="MBE374" s="15"/>
      <c r="MBF374" s="15"/>
      <c r="MBG374" s="15"/>
      <c r="MBH374" s="15"/>
      <c r="MBI374" s="15"/>
      <c r="MBJ374" s="15"/>
      <c r="MBK374" s="10"/>
      <c r="MBL374" s="10"/>
      <c r="MBM374" s="21"/>
      <c r="MBN374" s="21"/>
      <c r="MBQ374" s="21"/>
      <c r="MBR374" s="15"/>
      <c r="MBS374" s="15"/>
      <c r="MBT374" s="15"/>
      <c r="MBU374" s="15"/>
      <c r="MBV374" s="15"/>
      <c r="MBW374" s="15"/>
      <c r="MBX374" s="15"/>
      <c r="MBY374" s="15"/>
      <c r="MBZ374" s="15"/>
      <c r="MCA374" s="15"/>
      <c r="MCB374" s="10"/>
      <c r="MCC374" s="10"/>
      <c r="MCD374" s="21"/>
      <c r="MCE374" s="21"/>
      <c r="MCH374" s="21"/>
      <c r="MCI374" s="15"/>
      <c r="MCJ374" s="15"/>
      <c r="MCK374" s="15"/>
      <c r="MCL374" s="15"/>
      <c r="MCM374" s="15"/>
      <c r="MCN374" s="15"/>
      <c r="MCO374" s="15"/>
      <c r="MCP374" s="15"/>
      <c r="MCQ374" s="15"/>
      <c r="MCR374" s="15"/>
      <c r="MCS374" s="10"/>
      <c r="MCT374" s="10"/>
      <c r="MCU374" s="21"/>
      <c r="MCV374" s="21"/>
      <c r="MCY374" s="21"/>
      <c r="MCZ374" s="15"/>
      <c r="MDA374" s="15"/>
      <c r="MDB374" s="15"/>
      <c r="MDC374" s="15"/>
      <c r="MDD374" s="15"/>
      <c r="MDE374" s="15"/>
      <c r="MDF374" s="15"/>
      <c r="MDG374" s="15"/>
      <c r="MDH374" s="15"/>
      <c r="MDI374" s="15"/>
      <c r="MDJ374" s="10"/>
      <c r="MDK374" s="10"/>
      <c r="MDL374" s="21"/>
      <c r="MDM374" s="21"/>
      <c r="MDP374" s="21"/>
      <c r="MDQ374" s="15"/>
      <c r="MDR374" s="15"/>
      <c r="MDS374" s="15"/>
      <c r="MDT374" s="15"/>
      <c r="MDU374" s="15"/>
      <c r="MDV374" s="15"/>
      <c r="MDW374" s="15"/>
      <c r="MDX374" s="15"/>
      <c r="MDY374" s="15"/>
      <c r="MDZ374" s="15"/>
      <c r="MEA374" s="10"/>
      <c r="MEB374" s="10"/>
      <c r="MEC374" s="21"/>
      <c r="MED374" s="21"/>
      <c r="MEG374" s="21"/>
      <c r="MEH374" s="15"/>
      <c r="MEI374" s="15"/>
      <c r="MEJ374" s="15"/>
      <c r="MEK374" s="15"/>
      <c r="MEL374" s="15"/>
      <c r="MEM374" s="15"/>
      <c r="MEN374" s="15"/>
      <c r="MEO374" s="15"/>
      <c r="MEP374" s="15"/>
      <c r="MEQ374" s="15"/>
      <c r="MER374" s="10"/>
      <c r="MES374" s="10"/>
      <c r="MET374" s="21"/>
      <c r="MEU374" s="21"/>
      <c r="MEX374" s="21"/>
      <c r="MEY374" s="15"/>
      <c r="MEZ374" s="15"/>
      <c r="MFA374" s="15"/>
      <c r="MFB374" s="15"/>
      <c r="MFC374" s="15"/>
      <c r="MFD374" s="15"/>
      <c r="MFE374" s="15"/>
      <c r="MFF374" s="15"/>
      <c r="MFG374" s="15"/>
      <c r="MFH374" s="15"/>
      <c r="MFI374" s="10"/>
      <c r="MFJ374" s="10"/>
      <c r="MFK374" s="21"/>
      <c r="MFL374" s="21"/>
      <c r="MFO374" s="21"/>
      <c r="MFP374" s="15"/>
      <c r="MFQ374" s="15"/>
      <c r="MFR374" s="15"/>
      <c r="MFS374" s="15"/>
      <c r="MFT374" s="15"/>
      <c r="MFU374" s="15"/>
      <c r="MFV374" s="15"/>
      <c r="MFW374" s="15"/>
      <c r="MFX374" s="15"/>
      <c r="MFY374" s="15"/>
      <c r="MFZ374" s="10"/>
      <c r="MGA374" s="10"/>
      <c r="MGB374" s="21"/>
      <c r="MGC374" s="21"/>
      <c r="MGF374" s="21"/>
      <c r="MGG374" s="15"/>
      <c r="MGH374" s="15"/>
      <c r="MGI374" s="15"/>
      <c r="MGJ374" s="15"/>
      <c r="MGK374" s="15"/>
      <c r="MGL374" s="15"/>
      <c r="MGM374" s="15"/>
      <c r="MGN374" s="15"/>
      <c r="MGO374" s="15"/>
      <c r="MGP374" s="15"/>
      <c r="MGQ374" s="10"/>
      <c r="MGR374" s="10"/>
      <c r="MGS374" s="21"/>
      <c r="MGT374" s="21"/>
      <c r="MGW374" s="21"/>
      <c r="MGX374" s="15"/>
      <c r="MGY374" s="15"/>
      <c r="MGZ374" s="15"/>
      <c r="MHA374" s="15"/>
      <c r="MHB374" s="15"/>
      <c r="MHC374" s="15"/>
      <c r="MHD374" s="15"/>
      <c r="MHE374" s="15"/>
      <c r="MHF374" s="15"/>
      <c r="MHG374" s="15"/>
      <c r="MHH374" s="10"/>
      <c r="MHI374" s="10"/>
      <c r="MHJ374" s="21"/>
      <c r="MHK374" s="21"/>
      <c r="MHN374" s="21"/>
      <c r="MHO374" s="15"/>
      <c r="MHP374" s="15"/>
      <c r="MHQ374" s="15"/>
      <c r="MHR374" s="15"/>
      <c r="MHS374" s="15"/>
      <c r="MHT374" s="15"/>
      <c r="MHU374" s="15"/>
      <c r="MHV374" s="15"/>
      <c r="MHW374" s="15"/>
      <c r="MHX374" s="15"/>
      <c r="MHY374" s="10"/>
      <c r="MHZ374" s="10"/>
      <c r="MIA374" s="21"/>
      <c r="MIB374" s="21"/>
      <c r="MIE374" s="21"/>
      <c r="MIF374" s="15"/>
      <c r="MIG374" s="15"/>
      <c r="MIH374" s="15"/>
      <c r="MII374" s="15"/>
      <c r="MIJ374" s="15"/>
      <c r="MIK374" s="15"/>
      <c r="MIL374" s="15"/>
      <c r="MIM374" s="15"/>
      <c r="MIN374" s="15"/>
      <c r="MIO374" s="15"/>
      <c r="MIP374" s="10"/>
      <c r="MIQ374" s="10"/>
      <c r="MIR374" s="21"/>
      <c r="MIS374" s="21"/>
      <c r="MIV374" s="21"/>
      <c r="MIW374" s="15"/>
      <c r="MIX374" s="15"/>
      <c r="MIY374" s="15"/>
      <c r="MIZ374" s="15"/>
      <c r="MJA374" s="15"/>
      <c r="MJB374" s="15"/>
      <c r="MJC374" s="15"/>
      <c r="MJD374" s="15"/>
      <c r="MJE374" s="15"/>
      <c r="MJF374" s="15"/>
      <c r="MJG374" s="10"/>
      <c r="MJH374" s="10"/>
      <c r="MJI374" s="21"/>
      <c r="MJJ374" s="21"/>
      <c r="MJM374" s="21"/>
      <c r="MJN374" s="15"/>
      <c r="MJO374" s="15"/>
      <c r="MJP374" s="15"/>
      <c r="MJQ374" s="15"/>
      <c r="MJR374" s="15"/>
      <c r="MJS374" s="15"/>
      <c r="MJT374" s="15"/>
      <c r="MJU374" s="15"/>
      <c r="MJV374" s="15"/>
      <c r="MJW374" s="15"/>
      <c r="MJX374" s="10"/>
      <c r="MJY374" s="10"/>
      <c r="MJZ374" s="21"/>
      <c r="MKA374" s="21"/>
      <c r="MKD374" s="21"/>
      <c r="MKE374" s="15"/>
      <c r="MKF374" s="15"/>
      <c r="MKG374" s="15"/>
      <c r="MKH374" s="15"/>
      <c r="MKI374" s="15"/>
      <c r="MKJ374" s="15"/>
      <c r="MKK374" s="15"/>
      <c r="MKL374" s="15"/>
      <c r="MKM374" s="15"/>
      <c r="MKN374" s="15"/>
      <c r="MKO374" s="10"/>
      <c r="MKP374" s="10"/>
      <c r="MKQ374" s="21"/>
      <c r="MKR374" s="21"/>
      <c r="MKU374" s="21"/>
      <c r="MKV374" s="15"/>
      <c r="MKW374" s="15"/>
      <c r="MKX374" s="15"/>
      <c r="MKY374" s="15"/>
      <c r="MKZ374" s="15"/>
      <c r="MLA374" s="15"/>
      <c r="MLB374" s="15"/>
      <c r="MLC374" s="15"/>
      <c r="MLD374" s="15"/>
      <c r="MLE374" s="15"/>
      <c r="MLF374" s="10"/>
      <c r="MLG374" s="10"/>
      <c r="MLH374" s="21"/>
      <c r="MLI374" s="21"/>
      <c r="MLL374" s="21"/>
      <c r="MLM374" s="15"/>
      <c r="MLN374" s="15"/>
      <c r="MLO374" s="15"/>
      <c r="MLP374" s="15"/>
      <c r="MLQ374" s="15"/>
      <c r="MLR374" s="15"/>
      <c r="MLS374" s="15"/>
      <c r="MLT374" s="15"/>
      <c r="MLU374" s="15"/>
      <c r="MLV374" s="15"/>
      <c r="MLW374" s="10"/>
      <c r="MLX374" s="10"/>
      <c r="MLY374" s="21"/>
      <c r="MLZ374" s="21"/>
      <c r="MMC374" s="21"/>
      <c r="MMD374" s="15"/>
      <c r="MME374" s="15"/>
      <c r="MMF374" s="15"/>
      <c r="MMG374" s="15"/>
      <c r="MMH374" s="15"/>
      <c r="MMI374" s="15"/>
      <c r="MMJ374" s="15"/>
      <c r="MMK374" s="15"/>
      <c r="MML374" s="15"/>
      <c r="MMM374" s="15"/>
      <c r="MMN374" s="10"/>
      <c r="MMO374" s="10"/>
      <c r="MMP374" s="21"/>
      <c r="MMQ374" s="21"/>
      <c r="MMT374" s="21"/>
      <c r="MMU374" s="15"/>
      <c r="MMV374" s="15"/>
      <c r="MMW374" s="15"/>
      <c r="MMX374" s="15"/>
      <c r="MMY374" s="15"/>
      <c r="MMZ374" s="15"/>
      <c r="MNA374" s="15"/>
      <c r="MNB374" s="15"/>
      <c r="MNC374" s="15"/>
      <c r="MND374" s="15"/>
      <c r="MNE374" s="10"/>
      <c r="MNF374" s="10"/>
      <c r="MNG374" s="21"/>
      <c r="MNH374" s="21"/>
      <c r="MNK374" s="21"/>
      <c r="MNL374" s="15"/>
      <c r="MNM374" s="15"/>
      <c r="MNN374" s="15"/>
      <c r="MNO374" s="15"/>
      <c r="MNP374" s="15"/>
      <c r="MNQ374" s="15"/>
      <c r="MNR374" s="15"/>
      <c r="MNS374" s="15"/>
      <c r="MNT374" s="15"/>
      <c r="MNU374" s="15"/>
      <c r="MNV374" s="10"/>
      <c r="MNW374" s="10"/>
      <c r="MNX374" s="21"/>
      <c r="MNY374" s="21"/>
      <c r="MOB374" s="21"/>
      <c r="MOC374" s="15"/>
      <c r="MOD374" s="15"/>
      <c r="MOE374" s="15"/>
      <c r="MOF374" s="15"/>
      <c r="MOG374" s="15"/>
      <c r="MOH374" s="15"/>
      <c r="MOI374" s="15"/>
      <c r="MOJ374" s="15"/>
      <c r="MOK374" s="15"/>
      <c r="MOL374" s="15"/>
      <c r="MOM374" s="10"/>
      <c r="MON374" s="10"/>
      <c r="MOO374" s="21"/>
      <c r="MOP374" s="21"/>
      <c r="MOS374" s="21"/>
      <c r="MOT374" s="15"/>
      <c r="MOU374" s="15"/>
      <c r="MOV374" s="15"/>
      <c r="MOW374" s="15"/>
      <c r="MOX374" s="15"/>
      <c r="MOY374" s="15"/>
      <c r="MOZ374" s="15"/>
      <c r="MPA374" s="15"/>
      <c r="MPB374" s="15"/>
      <c r="MPC374" s="15"/>
      <c r="MPD374" s="10"/>
      <c r="MPE374" s="10"/>
      <c r="MPF374" s="21"/>
      <c r="MPG374" s="21"/>
      <c r="MPJ374" s="21"/>
      <c r="MPK374" s="15"/>
      <c r="MPL374" s="15"/>
      <c r="MPM374" s="15"/>
      <c r="MPN374" s="15"/>
      <c r="MPO374" s="15"/>
      <c r="MPP374" s="15"/>
      <c r="MPQ374" s="15"/>
      <c r="MPR374" s="15"/>
      <c r="MPS374" s="15"/>
      <c r="MPT374" s="15"/>
      <c r="MPU374" s="10"/>
      <c r="MPV374" s="10"/>
      <c r="MPW374" s="21"/>
      <c r="MPX374" s="21"/>
      <c r="MQA374" s="21"/>
      <c r="MQB374" s="15"/>
      <c r="MQC374" s="15"/>
      <c r="MQD374" s="15"/>
      <c r="MQE374" s="15"/>
      <c r="MQF374" s="15"/>
      <c r="MQG374" s="15"/>
      <c r="MQH374" s="15"/>
      <c r="MQI374" s="15"/>
      <c r="MQJ374" s="15"/>
      <c r="MQK374" s="15"/>
      <c r="MQL374" s="10"/>
      <c r="MQM374" s="10"/>
      <c r="MQN374" s="21"/>
      <c r="MQO374" s="21"/>
      <c r="MQR374" s="21"/>
      <c r="MQS374" s="15"/>
      <c r="MQT374" s="15"/>
      <c r="MQU374" s="15"/>
      <c r="MQV374" s="15"/>
      <c r="MQW374" s="15"/>
      <c r="MQX374" s="15"/>
      <c r="MQY374" s="15"/>
      <c r="MQZ374" s="15"/>
      <c r="MRA374" s="15"/>
      <c r="MRB374" s="15"/>
      <c r="MRC374" s="10"/>
      <c r="MRD374" s="10"/>
      <c r="MRE374" s="21"/>
      <c r="MRF374" s="21"/>
      <c r="MRI374" s="21"/>
      <c r="MRJ374" s="15"/>
      <c r="MRK374" s="15"/>
      <c r="MRL374" s="15"/>
      <c r="MRM374" s="15"/>
      <c r="MRN374" s="15"/>
      <c r="MRO374" s="15"/>
      <c r="MRP374" s="15"/>
      <c r="MRQ374" s="15"/>
      <c r="MRR374" s="15"/>
      <c r="MRS374" s="15"/>
      <c r="MRT374" s="10"/>
      <c r="MRU374" s="10"/>
      <c r="MRV374" s="21"/>
      <c r="MRW374" s="21"/>
      <c r="MRZ374" s="21"/>
      <c r="MSA374" s="15"/>
      <c r="MSB374" s="15"/>
      <c r="MSC374" s="15"/>
      <c r="MSD374" s="15"/>
      <c r="MSE374" s="15"/>
      <c r="MSF374" s="15"/>
      <c r="MSG374" s="15"/>
      <c r="MSH374" s="15"/>
      <c r="MSI374" s="15"/>
      <c r="MSJ374" s="15"/>
      <c r="MSK374" s="10"/>
      <c r="MSL374" s="10"/>
      <c r="MSM374" s="21"/>
      <c r="MSN374" s="21"/>
      <c r="MSQ374" s="21"/>
      <c r="MSR374" s="15"/>
      <c r="MSS374" s="15"/>
      <c r="MST374" s="15"/>
      <c r="MSU374" s="15"/>
      <c r="MSV374" s="15"/>
      <c r="MSW374" s="15"/>
      <c r="MSX374" s="15"/>
      <c r="MSY374" s="15"/>
      <c r="MSZ374" s="15"/>
      <c r="MTA374" s="15"/>
      <c r="MTB374" s="10"/>
      <c r="MTC374" s="10"/>
      <c r="MTD374" s="21"/>
      <c r="MTE374" s="21"/>
      <c r="MTH374" s="21"/>
      <c r="MTI374" s="15"/>
      <c r="MTJ374" s="15"/>
      <c r="MTK374" s="15"/>
      <c r="MTL374" s="15"/>
      <c r="MTM374" s="15"/>
      <c r="MTN374" s="15"/>
      <c r="MTO374" s="15"/>
      <c r="MTP374" s="15"/>
      <c r="MTQ374" s="15"/>
      <c r="MTR374" s="15"/>
      <c r="MTS374" s="10"/>
      <c r="MTT374" s="10"/>
      <c r="MTU374" s="21"/>
      <c r="MTV374" s="21"/>
      <c r="MTY374" s="21"/>
      <c r="MTZ374" s="15"/>
      <c r="MUA374" s="15"/>
      <c r="MUB374" s="15"/>
      <c r="MUC374" s="15"/>
      <c r="MUD374" s="15"/>
      <c r="MUE374" s="15"/>
      <c r="MUF374" s="15"/>
      <c r="MUG374" s="15"/>
      <c r="MUH374" s="15"/>
      <c r="MUI374" s="15"/>
      <c r="MUJ374" s="10"/>
      <c r="MUK374" s="10"/>
      <c r="MUL374" s="21"/>
      <c r="MUM374" s="21"/>
      <c r="MUP374" s="21"/>
      <c r="MUQ374" s="15"/>
      <c r="MUR374" s="15"/>
      <c r="MUS374" s="15"/>
      <c r="MUT374" s="15"/>
      <c r="MUU374" s="15"/>
      <c r="MUV374" s="15"/>
      <c r="MUW374" s="15"/>
      <c r="MUX374" s="15"/>
      <c r="MUY374" s="15"/>
      <c r="MUZ374" s="15"/>
      <c r="MVA374" s="10"/>
      <c r="MVB374" s="10"/>
      <c r="MVC374" s="21"/>
      <c r="MVD374" s="21"/>
      <c r="MVG374" s="21"/>
      <c r="MVH374" s="15"/>
      <c r="MVI374" s="15"/>
      <c r="MVJ374" s="15"/>
      <c r="MVK374" s="15"/>
      <c r="MVL374" s="15"/>
      <c r="MVM374" s="15"/>
      <c r="MVN374" s="15"/>
      <c r="MVO374" s="15"/>
      <c r="MVP374" s="15"/>
      <c r="MVQ374" s="15"/>
      <c r="MVR374" s="10"/>
      <c r="MVS374" s="10"/>
      <c r="MVT374" s="21"/>
      <c r="MVU374" s="21"/>
      <c r="MVX374" s="21"/>
      <c r="MVY374" s="15"/>
      <c r="MVZ374" s="15"/>
      <c r="MWA374" s="15"/>
      <c r="MWB374" s="15"/>
      <c r="MWC374" s="15"/>
      <c r="MWD374" s="15"/>
      <c r="MWE374" s="15"/>
      <c r="MWF374" s="15"/>
      <c r="MWG374" s="15"/>
      <c r="MWH374" s="15"/>
      <c r="MWI374" s="10"/>
      <c r="MWJ374" s="10"/>
      <c r="MWK374" s="21"/>
      <c r="MWL374" s="21"/>
      <c r="MWO374" s="21"/>
      <c r="MWP374" s="15"/>
      <c r="MWQ374" s="15"/>
      <c r="MWR374" s="15"/>
      <c r="MWS374" s="15"/>
      <c r="MWT374" s="15"/>
      <c r="MWU374" s="15"/>
      <c r="MWV374" s="15"/>
      <c r="MWW374" s="15"/>
      <c r="MWX374" s="15"/>
      <c r="MWY374" s="15"/>
      <c r="MWZ374" s="10"/>
      <c r="MXA374" s="10"/>
      <c r="MXB374" s="21"/>
      <c r="MXC374" s="21"/>
      <c r="MXF374" s="21"/>
      <c r="MXG374" s="15"/>
      <c r="MXH374" s="15"/>
      <c r="MXI374" s="15"/>
      <c r="MXJ374" s="15"/>
      <c r="MXK374" s="15"/>
      <c r="MXL374" s="15"/>
      <c r="MXM374" s="15"/>
      <c r="MXN374" s="15"/>
      <c r="MXO374" s="15"/>
      <c r="MXP374" s="15"/>
      <c r="MXQ374" s="10"/>
      <c r="MXR374" s="10"/>
      <c r="MXS374" s="21"/>
      <c r="MXT374" s="21"/>
      <c r="MXW374" s="21"/>
      <c r="MXX374" s="15"/>
      <c r="MXY374" s="15"/>
      <c r="MXZ374" s="15"/>
      <c r="MYA374" s="15"/>
      <c r="MYB374" s="15"/>
      <c r="MYC374" s="15"/>
      <c r="MYD374" s="15"/>
      <c r="MYE374" s="15"/>
      <c r="MYF374" s="15"/>
      <c r="MYG374" s="15"/>
      <c r="MYH374" s="10"/>
      <c r="MYI374" s="10"/>
      <c r="MYJ374" s="21"/>
      <c r="MYK374" s="21"/>
      <c r="MYN374" s="21"/>
      <c r="MYO374" s="15"/>
      <c r="MYP374" s="15"/>
      <c r="MYQ374" s="15"/>
      <c r="MYR374" s="15"/>
      <c r="MYS374" s="15"/>
      <c r="MYT374" s="15"/>
      <c r="MYU374" s="15"/>
      <c r="MYV374" s="15"/>
      <c r="MYW374" s="15"/>
      <c r="MYX374" s="15"/>
      <c r="MYY374" s="10"/>
      <c r="MYZ374" s="10"/>
      <c r="MZA374" s="21"/>
      <c r="MZB374" s="21"/>
      <c r="MZE374" s="21"/>
      <c r="MZF374" s="15"/>
      <c r="MZG374" s="15"/>
      <c r="MZH374" s="15"/>
      <c r="MZI374" s="15"/>
      <c r="MZJ374" s="15"/>
      <c r="MZK374" s="15"/>
      <c r="MZL374" s="15"/>
      <c r="MZM374" s="15"/>
      <c r="MZN374" s="15"/>
      <c r="MZO374" s="15"/>
      <c r="MZP374" s="10"/>
      <c r="MZQ374" s="10"/>
      <c r="MZR374" s="21"/>
      <c r="MZS374" s="21"/>
      <c r="MZV374" s="21"/>
      <c r="MZW374" s="15"/>
      <c r="MZX374" s="15"/>
      <c r="MZY374" s="15"/>
      <c r="MZZ374" s="15"/>
      <c r="NAA374" s="15"/>
      <c r="NAB374" s="15"/>
      <c r="NAC374" s="15"/>
      <c r="NAD374" s="15"/>
      <c r="NAE374" s="15"/>
      <c r="NAF374" s="15"/>
      <c r="NAG374" s="10"/>
      <c r="NAH374" s="10"/>
      <c r="NAI374" s="21"/>
      <c r="NAJ374" s="21"/>
      <c r="NAM374" s="21"/>
      <c r="NAN374" s="15"/>
      <c r="NAO374" s="15"/>
      <c r="NAP374" s="15"/>
      <c r="NAQ374" s="15"/>
      <c r="NAR374" s="15"/>
      <c r="NAS374" s="15"/>
      <c r="NAT374" s="15"/>
      <c r="NAU374" s="15"/>
      <c r="NAV374" s="15"/>
      <c r="NAW374" s="15"/>
      <c r="NAX374" s="10"/>
      <c r="NAY374" s="10"/>
      <c r="NAZ374" s="21"/>
      <c r="NBA374" s="21"/>
      <c r="NBD374" s="21"/>
      <c r="NBE374" s="15"/>
      <c r="NBF374" s="15"/>
      <c r="NBG374" s="15"/>
      <c r="NBH374" s="15"/>
      <c r="NBI374" s="15"/>
      <c r="NBJ374" s="15"/>
      <c r="NBK374" s="15"/>
      <c r="NBL374" s="15"/>
      <c r="NBM374" s="15"/>
      <c r="NBN374" s="15"/>
      <c r="NBO374" s="10"/>
      <c r="NBP374" s="10"/>
      <c r="NBQ374" s="21"/>
      <c r="NBR374" s="21"/>
      <c r="NBU374" s="21"/>
      <c r="NBV374" s="15"/>
      <c r="NBW374" s="15"/>
      <c r="NBX374" s="15"/>
      <c r="NBY374" s="15"/>
      <c r="NBZ374" s="15"/>
      <c r="NCA374" s="15"/>
      <c r="NCB374" s="15"/>
      <c r="NCC374" s="15"/>
      <c r="NCD374" s="15"/>
      <c r="NCE374" s="15"/>
      <c r="NCF374" s="10"/>
      <c r="NCG374" s="10"/>
      <c r="NCH374" s="21"/>
      <c r="NCI374" s="21"/>
      <c r="NCL374" s="21"/>
      <c r="NCM374" s="15"/>
      <c r="NCN374" s="15"/>
      <c r="NCO374" s="15"/>
      <c r="NCP374" s="15"/>
      <c r="NCQ374" s="15"/>
      <c r="NCR374" s="15"/>
      <c r="NCS374" s="15"/>
      <c r="NCT374" s="15"/>
      <c r="NCU374" s="15"/>
      <c r="NCV374" s="15"/>
      <c r="NCW374" s="10"/>
      <c r="NCX374" s="10"/>
      <c r="NCY374" s="21"/>
      <c r="NCZ374" s="21"/>
      <c r="NDC374" s="21"/>
      <c r="NDD374" s="15"/>
      <c r="NDE374" s="15"/>
      <c r="NDF374" s="15"/>
      <c r="NDG374" s="15"/>
      <c r="NDH374" s="15"/>
      <c r="NDI374" s="15"/>
      <c r="NDJ374" s="15"/>
      <c r="NDK374" s="15"/>
      <c r="NDL374" s="15"/>
      <c r="NDM374" s="15"/>
      <c r="NDN374" s="10"/>
      <c r="NDO374" s="10"/>
      <c r="NDP374" s="21"/>
      <c r="NDQ374" s="21"/>
      <c r="NDT374" s="21"/>
      <c r="NDU374" s="15"/>
      <c r="NDV374" s="15"/>
      <c r="NDW374" s="15"/>
      <c r="NDX374" s="15"/>
      <c r="NDY374" s="15"/>
      <c r="NDZ374" s="15"/>
      <c r="NEA374" s="15"/>
      <c r="NEB374" s="15"/>
      <c r="NEC374" s="15"/>
      <c r="NED374" s="15"/>
      <c r="NEE374" s="10"/>
      <c r="NEF374" s="10"/>
      <c r="NEG374" s="21"/>
      <c r="NEH374" s="21"/>
      <c r="NEK374" s="21"/>
      <c r="NEL374" s="15"/>
      <c r="NEM374" s="15"/>
      <c r="NEN374" s="15"/>
      <c r="NEO374" s="15"/>
      <c r="NEP374" s="15"/>
      <c r="NEQ374" s="15"/>
      <c r="NER374" s="15"/>
      <c r="NES374" s="15"/>
      <c r="NET374" s="15"/>
      <c r="NEU374" s="15"/>
      <c r="NEV374" s="10"/>
      <c r="NEW374" s="10"/>
      <c r="NEX374" s="21"/>
      <c r="NEY374" s="21"/>
      <c r="NFB374" s="21"/>
      <c r="NFC374" s="15"/>
      <c r="NFD374" s="15"/>
      <c r="NFE374" s="15"/>
      <c r="NFF374" s="15"/>
      <c r="NFG374" s="15"/>
      <c r="NFH374" s="15"/>
      <c r="NFI374" s="15"/>
      <c r="NFJ374" s="15"/>
      <c r="NFK374" s="15"/>
      <c r="NFL374" s="15"/>
      <c r="NFM374" s="10"/>
      <c r="NFN374" s="10"/>
      <c r="NFO374" s="21"/>
      <c r="NFP374" s="21"/>
      <c r="NFS374" s="21"/>
      <c r="NFT374" s="15"/>
      <c r="NFU374" s="15"/>
      <c r="NFV374" s="15"/>
      <c r="NFW374" s="15"/>
      <c r="NFX374" s="15"/>
      <c r="NFY374" s="15"/>
      <c r="NFZ374" s="15"/>
      <c r="NGA374" s="15"/>
      <c r="NGB374" s="15"/>
      <c r="NGC374" s="15"/>
      <c r="NGD374" s="10"/>
      <c r="NGE374" s="10"/>
      <c r="NGF374" s="21"/>
      <c r="NGG374" s="21"/>
      <c r="NGJ374" s="21"/>
      <c r="NGK374" s="15"/>
      <c r="NGL374" s="15"/>
      <c r="NGM374" s="15"/>
      <c r="NGN374" s="15"/>
      <c r="NGO374" s="15"/>
      <c r="NGP374" s="15"/>
      <c r="NGQ374" s="15"/>
      <c r="NGR374" s="15"/>
      <c r="NGS374" s="15"/>
      <c r="NGT374" s="15"/>
      <c r="NGU374" s="10"/>
      <c r="NGV374" s="10"/>
      <c r="NGW374" s="21"/>
      <c r="NGX374" s="21"/>
      <c r="NHA374" s="21"/>
      <c r="NHB374" s="15"/>
      <c r="NHC374" s="15"/>
      <c r="NHD374" s="15"/>
      <c r="NHE374" s="15"/>
      <c r="NHF374" s="15"/>
      <c r="NHG374" s="15"/>
      <c r="NHH374" s="15"/>
      <c r="NHI374" s="15"/>
      <c r="NHJ374" s="15"/>
      <c r="NHK374" s="15"/>
      <c r="NHL374" s="10"/>
      <c r="NHM374" s="10"/>
      <c r="NHN374" s="21"/>
      <c r="NHO374" s="21"/>
      <c r="NHR374" s="21"/>
      <c r="NHS374" s="15"/>
      <c r="NHT374" s="15"/>
      <c r="NHU374" s="15"/>
      <c r="NHV374" s="15"/>
      <c r="NHW374" s="15"/>
      <c r="NHX374" s="15"/>
      <c r="NHY374" s="15"/>
      <c r="NHZ374" s="15"/>
      <c r="NIA374" s="15"/>
      <c r="NIB374" s="15"/>
      <c r="NIC374" s="10"/>
      <c r="NID374" s="10"/>
      <c r="NIE374" s="21"/>
      <c r="NIF374" s="21"/>
      <c r="NII374" s="21"/>
      <c r="NIJ374" s="15"/>
      <c r="NIK374" s="15"/>
      <c r="NIL374" s="15"/>
      <c r="NIM374" s="15"/>
      <c r="NIN374" s="15"/>
      <c r="NIO374" s="15"/>
      <c r="NIP374" s="15"/>
      <c r="NIQ374" s="15"/>
      <c r="NIR374" s="15"/>
      <c r="NIS374" s="15"/>
      <c r="NIT374" s="10"/>
      <c r="NIU374" s="10"/>
      <c r="NIV374" s="21"/>
      <c r="NIW374" s="21"/>
      <c r="NIZ374" s="21"/>
      <c r="NJA374" s="15"/>
      <c r="NJB374" s="15"/>
      <c r="NJC374" s="15"/>
      <c r="NJD374" s="15"/>
      <c r="NJE374" s="15"/>
      <c r="NJF374" s="15"/>
      <c r="NJG374" s="15"/>
      <c r="NJH374" s="15"/>
      <c r="NJI374" s="15"/>
      <c r="NJJ374" s="15"/>
      <c r="NJK374" s="10"/>
      <c r="NJL374" s="10"/>
      <c r="NJM374" s="21"/>
      <c r="NJN374" s="21"/>
      <c r="NJQ374" s="21"/>
      <c r="NJR374" s="15"/>
      <c r="NJS374" s="15"/>
      <c r="NJT374" s="15"/>
      <c r="NJU374" s="15"/>
      <c r="NJV374" s="15"/>
      <c r="NJW374" s="15"/>
      <c r="NJX374" s="15"/>
      <c r="NJY374" s="15"/>
      <c r="NJZ374" s="15"/>
      <c r="NKA374" s="15"/>
      <c r="NKB374" s="10"/>
      <c r="NKC374" s="10"/>
      <c r="NKD374" s="21"/>
      <c r="NKE374" s="21"/>
      <c r="NKH374" s="21"/>
      <c r="NKI374" s="15"/>
      <c r="NKJ374" s="15"/>
      <c r="NKK374" s="15"/>
      <c r="NKL374" s="15"/>
      <c r="NKM374" s="15"/>
      <c r="NKN374" s="15"/>
      <c r="NKO374" s="15"/>
      <c r="NKP374" s="15"/>
      <c r="NKQ374" s="15"/>
      <c r="NKR374" s="15"/>
      <c r="NKS374" s="10"/>
      <c r="NKT374" s="10"/>
      <c r="NKU374" s="21"/>
      <c r="NKV374" s="21"/>
      <c r="NKY374" s="21"/>
      <c r="NKZ374" s="15"/>
      <c r="NLA374" s="15"/>
      <c r="NLB374" s="15"/>
      <c r="NLC374" s="15"/>
      <c r="NLD374" s="15"/>
      <c r="NLE374" s="15"/>
      <c r="NLF374" s="15"/>
      <c r="NLG374" s="15"/>
      <c r="NLH374" s="15"/>
      <c r="NLI374" s="15"/>
      <c r="NLJ374" s="10"/>
      <c r="NLK374" s="10"/>
      <c r="NLL374" s="21"/>
      <c r="NLM374" s="21"/>
      <c r="NLP374" s="21"/>
      <c r="NLQ374" s="15"/>
      <c r="NLR374" s="15"/>
      <c r="NLS374" s="15"/>
      <c r="NLT374" s="15"/>
      <c r="NLU374" s="15"/>
      <c r="NLV374" s="15"/>
      <c r="NLW374" s="15"/>
      <c r="NLX374" s="15"/>
      <c r="NLY374" s="15"/>
      <c r="NLZ374" s="15"/>
      <c r="NMA374" s="10"/>
      <c r="NMB374" s="10"/>
      <c r="NMC374" s="21"/>
      <c r="NMD374" s="21"/>
      <c r="NMG374" s="21"/>
      <c r="NMH374" s="15"/>
      <c r="NMI374" s="15"/>
      <c r="NMJ374" s="15"/>
      <c r="NMK374" s="15"/>
      <c r="NML374" s="15"/>
      <c r="NMM374" s="15"/>
      <c r="NMN374" s="15"/>
      <c r="NMO374" s="15"/>
      <c r="NMP374" s="15"/>
      <c r="NMQ374" s="15"/>
      <c r="NMR374" s="10"/>
      <c r="NMS374" s="10"/>
      <c r="NMT374" s="21"/>
      <c r="NMU374" s="21"/>
      <c r="NMX374" s="21"/>
      <c r="NMY374" s="15"/>
      <c r="NMZ374" s="15"/>
      <c r="NNA374" s="15"/>
      <c r="NNB374" s="15"/>
      <c r="NNC374" s="15"/>
      <c r="NND374" s="15"/>
      <c r="NNE374" s="15"/>
      <c r="NNF374" s="15"/>
      <c r="NNG374" s="15"/>
      <c r="NNH374" s="15"/>
      <c r="NNI374" s="10"/>
      <c r="NNJ374" s="10"/>
      <c r="NNK374" s="21"/>
      <c r="NNL374" s="21"/>
      <c r="NNO374" s="21"/>
      <c r="NNP374" s="15"/>
      <c r="NNQ374" s="15"/>
      <c r="NNR374" s="15"/>
      <c r="NNS374" s="15"/>
      <c r="NNT374" s="15"/>
      <c r="NNU374" s="15"/>
      <c r="NNV374" s="15"/>
      <c r="NNW374" s="15"/>
      <c r="NNX374" s="15"/>
      <c r="NNY374" s="15"/>
      <c r="NNZ374" s="10"/>
      <c r="NOA374" s="10"/>
      <c r="NOB374" s="21"/>
      <c r="NOC374" s="21"/>
      <c r="NOF374" s="21"/>
      <c r="NOG374" s="15"/>
      <c r="NOH374" s="15"/>
      <c r="NOI374" s="15"/>
      <c r="NOJ374" s="15"/>
      <c r="NOK374" s="15"/>
      <c r="NOL374" s="15"/>
      <c r="NOM374" s="15"/>
      <c r="NON374" s="15"/>
      <c r="NOO374" s="15"/>
      <c r="NOP374" s="15"/>
      <c r="NOQ374" s="10"/>
      <c r="NOR374" s="10"/>
      <c r="NOS374" s="21"/>
      <c r="NOT374" s="21"/>
      <c r="NOW374" s="21"/>
      <c r="NOX374" s="15"/>
      <c r="NOY374" s="15"/>
      <c r="NOZ374" s="15"/>
      <c r="NPA374" s="15"/>
      <c r="NPB374" s="15"/>
      <c r="NPC374" s="15"/>
      <c r="NPD374" s="15"/>
      <c r="NPE374" s="15"/>
      <c r="NPF374" s="15"/>
      <c r="NPG374" s="15"/>
      <c r="NPH374" s="10"/>
      <c r="NPI374" s="10"/>
      <c r="NPJ374" s="21"/>
      <c r="NPK374" s="21"/>
      <c r="NPN374" s="21"/>
      <c r="NPO374" s="15"/>
      <c r="NPP374" s="15"/>
      <c r="NPQ374" s="15"/>
      <c r="NPR374" s="15"/>
      <c r="NPS374" s="15"/>
      <c r="NPT374" s="15"/>
      <c r="NPU374" s="15"/>
      <c r="NPV374" s="15"/>
      <c r="NPW374" s="15"/>
      <c r="NPX374" s="15"/>
      <c r="NPY374" s="10"/>
      <c r="NPZ374" s="10"/>
      <c r="NQA374" s="21"/>
      <c r="NQB374" s="21"/>
      <c r="NQE374" s="21"/>
      <c r="NQF374" s="15"/>
      <c r="NQG374" s="15"/>
      <c r="NQH374" s="15"/>
      <c r="NQI374" s="15"/>
      <c r="NQJ374" s="15"/>
      <c r="NQK374" s="15"/>
      <c r="NQL374" s="15"/>
      <c r="NQM374" s="15"/>
      <c r="NQN374" s="15"/>
      <c r="NQO374" s="15"/>
      <c r="NQP374" s="10"/>
      <c r="NQQ374" s="10"/>
      <c r="NQR374" s="21"/>
      <c r="NQS374" s="21"/>
      <c r="NQV374" s="21"/>
      <c r="NQW374" s="15"/>
      <c r="NQX374" s="15"/>
      <c r="NQY374" s="15"/>
      <c r="NQZ374" s="15"/>
      <c r="NRA374" s="15"/>
      <c r="NRB374" s="15"/>
      <c r="NRC374" s="15"/>
      <c r="NRD374" s="15"/>
      <c r="NRE374" s="15"/>
      <c r="NRF374" s="15"/>
      <c r="NRG374" s="10"/>
      <c r="NRH374" s="10"/>
      <c r="NRI374" s="21"/>
      <c r="NRJ374" s="21"/>
      <c r="NRM374" s="21"/>
      <c r="NRN374" s="15"/>
      <c r="NRO374" s="15"/>
      <c r="NRP374" s="15"/>
      <c r="NRQ374" s="15"/>
      <c r="NRR374" s="15"/>
      <c r="NRS374" s="15"/>
      <c r="NRT374" s="15"/>
      <c r="NRU374" s="15"/>
      <c r="NRV374" s="15"/>
      <c r="NRW374" s="15"/>
      <c r="NRX374" s="10"/>
      <c r="NRY374" s="10"/>
      <c r="NRZ374" s="21"/>
      <c r="NSA374" s="21"/>
      <c r="NSD374" s="21"/>
      <c r="NSE374" s="15"/>
      <c r="NSF374" s="15"/>
      <c r="NSG374" s="15"/>
      <c r="NSH374" s="15"/>
      <c r="NSI374" s="15"/>
      <c r="NSJ374" s="15"/>
      <c r="NSK374" s="15"/>
      <c r="NSL374" s="15"/>
      <c r="NSM374" s="15"/>
      <c r="NSN374" s="15"/>
      <c r="NSO374" s="10"/>
      <c r="NSP374" s="10"/>
      <c r="NSQ374" s="21"/>
      <c r="NSR374" s="21"/>
      <c r="NSU374" s="21"/>
      <c r="NSV374" s="15"/>
      <c r="NSW374" s="15"/>
      <c r="NSX374" s="15"/>
      <c r="NSY374" s="15"/>
      <c r="NSZ374" s="15"/>
      <c r="NTA374" s="15"/>
      <c r="NTB374" s="15"/>
      <c r="NTC374" s="15"/>
      <c r="NTD374" s="15"/>
      <c r="NTE374" s="15"/>
      <c r="NTF374" s="10"/>
      <c r="NTG374" s="10"/>
      <c r="NTH374" s="21"/>
      <c r="NTI374" s="21"/>
      <c r="NTL374" s="21"/>
      <c r="NTM374" s="15"/>
      <c r="NTN374" s="15"/>
      <c r="NTO374" s="15"/>
      <c r="NTP374" s="15"/>
      <c r="NTQ374" s="15"/>
      <c r="NTR374" s="15"/>
      <c r="NTS374" s="15"/>
      <c r="NTT374" s="15"/>
      <c r="NTU374" s="15"/>
      <c r="NTV374" s="15"/>
      <c r="NTW374" s="10"/>
      <c r="NTX374" s="10"/>
      <c r="NTY374" s="21"/>
      <c r="NTZ374" s="21"/>
      <c r="NUC374" s="21"/>
      <c r="NUD374" s="15"/>
      <c r="NUE374" s="15"/>
      <c r="NUF374" s="15"/>
      <c r="NUG374" s="15"/>
      <c r="NUH374" s="15"/>
      <c r="NUI374" s="15"/>
      <c r="NUJ374" s="15"/>
      <c r="NUK374" s="15"/>
      <c r="NUL374" s="15"/>
      <c r="NUM374" s="15"/>
      <c r="NUN374" s="10"/>
      <c r="NUO374" s="10"/>
      <c r="NUP374" s="21"/>
      <c r="NUQ374" s="21"/>
      <c r="NUT374" s="21"/>
      <c r="NUU374" s="15"/>
      <c r="NUV374" s="15"/>
      <c r="NUW374" s="15"/>
      <c r="NUX374" s="15"/>
      <c r="NUY374" s="15"/>
      <c r="NUZ374" s="15"/>
      <c r="NVA374" s="15"/>
      <c r="NVB374" s="15"/>
      <c r="NVC374" s="15"/>
      <c r="NVD374" s="15"/>
      <c r="NVE374" s="10"/>
      <c r="NVF374" s="10"/>
      <c r="NVG374" s="21"/>
      <c r="NVH374" s="21"/>
      <c r="NVK374" s="21"/>
      <c r="NVL374" s="15"/>
      <c r="NVM374" s="15"/>
      <c r="NVN374" s="15"/>
      <c r="NVO374" s="15"/>
      <c r="NVP374" s="15"/>
      <c r="NVQ374" s="15"/>
      <c r="NVR374" s="15"/>
      <c r="NVS374" s="15"/>
      <c r="NVT374" s="15"/>
      <c r="NVU374" s="15"/>
      <c r="NVV374" s="10"/>
      <c r="NVW374" s="10"/>
      <c r="NVX374" s="21"/>
      <c r="NVY374" s="21"/>
      <c r="NWB374" s="21"/>
      <c r="NWC374" s="15"/>
      <c r="NWD374" s="15"/>
      <c r="NWE374" s="15"/>
      <c r="NWF374" s="15"/>
      <c r="NWG374" s="15"/>
      <c r="NWH374" s="15"/>
      <c r="NWI374" s="15"/>
      <c r="NWJ374" s="15"/>
      <c r="NWK374" s="15"/>
      <c r="NWL374" s="15"/>
      <c r="NWM374" s="10"/>
      <c r="NWN374" s="10"/>
      <c r="NWO374" s="21"/>
      <c r="NWP374" s="21"/>
      <c r="NWS374" s="21"/>
      <c r="NWT374" s="15"/>
      <c r="NWU374" s="15"/>
      <c r="NWV374" s="15"/>
      <c r="NWW374" s="15"/>
      <c r="NWX374" s="15"/>
      <c r="NWY374" s="15"/>
      <c r="NWZ374" s="15"/>
      <c r="NXA374" s="15"/>
      <c r="NXB374" s="15"/>
      <c r="NXC374" s="15"/>
      <c r="NXD374" s="10"/>
      <c r="NXE374" s="10"/>
      <c r="NXF374" s="21"/>
      <c r="NXG374" s="21"/>
      <c r="NXJ374" s="21"/>
      <c r="NXK374" s="15"/>
      <c r="NXL374" s="15"/>
      <c r="NXM374" s="15"/>
      <c r="NXN374" s="15"/>
      <c r="NXO374" s="15"/>
      <c r="NXP374" s="15"/>
      <c r="NXQ374" s="15"/>
      <c r="NXR374" s="15"/>
      <c r="NXS374" s="15"/>
      <c r="NXT374" s="15"/>
      <c r="NXU374" s="10"/>
      <c r="NXV374" s="10"/>
      <c r="NXW374" s="21"/>
      <c r="NXX374" s="21"/>
      <c r="NYA374" s="21"/>
      <c r="NYB374" s="15"/>
      <c r="NYC374" s="15"/>
      <c r="NYD374" s="15"/>
      <c r="NYE374" s="15"/>
      <c r="NYF374" s="15"/>
      <c r="NYG374" s="15"/>
      <c r="NYH374" s="15"/>
      <c r="NYI374" s="15"/>
      <c r="NYJ374" s="15"/>
      <c r="NYK374" s="15"/>
      <c r="NYL374" s="10"/>
      <c r="NYM374" s="10"/>
      <c r="NYN374" s="21"/>
      <c r="NYO374" s="21"/>
      <c r="NYR374" s="21"/>
      <c r="NYS374" s="15"/>
      <c r="NYT374" s="15"/>
      <c r="NYU374" s="15"/>
      <c r="NYV374" s="15"/>
      <c r="NYW374" s="15"/>
      <c r="NYX374" s="15"/>
      <c r="NYY374" s="15"/>
      <c r="NYZ374" s="15"/>
      <c r="NZA374" s="15"/>
      <c r="NZB374" s="15"/>
      <c r="NZC374" s="10"/>
      <c r="NZD374" s="10"/>
      <c r="NZE374" s="21"/>
      <c r="NZF374" s="21"/>
      <c r="NZI374" s="21"/>
      <c r="NZJ374" s="15"/>
      <c r="NZK374" s="15"/>
      <c r="NZL374" s="15"/>
      <c r="NZM374" s="15"/>
      <c r="NZN374" s="15"/>
      <c r="NZO374" s="15"/>
      <c r="NZP374" s="15"/>
      <c r="NZQ374" s="15"/>
      <c r="NZR374" s="15"/>
      <c r="NZS374" s="15"/>
      <c r="NZT374" s="10"/>
      <c r="NZU374" s="10"/>
      <c r="NZV374" s="21"/>
      <c r="NZW374" s="21"/>
      <c r="NZZ374" s="21"/>
      <c r="OAA374" s="15"/>
      <c r="OAB374" s="15"/>
      <c r="OAC374" s="15"/>
      <c r="OAD374" s="15"/>
      <c r="OAE374" s="15"/>
      <c r="OAF374" s="15"/>
      <c r="OAG374" s="15"/>
      <c r="OAH374" s="15"/>
      <c r="OAI374" s="15"/>
      <c r="OAJ374" s="15"/>
      <c r="OAK374" s="10"/>
      <c r="OAL374" s="10"/>
      <c r="OAM374" s="21"/>
      <c r="OAN374" s="21"/>
      <c r="OAQ374" s="21"/>
      <c r="OAR374" s="15"/>
      <c r="OAS374" s="15"/>
      <c r="OAT374" s="15"/>
      <c r="OAU374" s="15"/>
      <c r="OAV374" s="15"/>
      <c r="OAW374" s="15"/>
      <c r="OAX374" s="15"/>
      <c r="OAY374" s="15"/>
      <c r="OAZ374" s="15"/>
      <c r="OBA374" s="15"/>
      <c r="OBB374" s="10"/>
      <c r="OBC374" s="10"/>
      <c r="OBD374" s="21"/>
      <c r="OBE374" s="21"/>
      <c r="OBH374" s="21"/>
      <c r="OBI374" s="15"/>
      <c r="OBJ374" s="15"/>
      <c r="OBK374" s="15"/>
      <c r="OBL374" s="15"/>
      <c r="OBM374" s="15"/>
      <c r="OBN374" s="15"/>
      <c r="OBO374" s="15"/>
      <c r="OBP374" s="15"/>
      <c r="OBQ374" s="15"/>
      <c r="OBR374" s="15"/>
      <c r="OBS374" s="10"/>
      <c r="OBT374" s="10"/>
      <c r="OBU374" s="21"/>
      <c r="OBV374" s="21"/>
      <c r="OBY374" s="21"/>
      <c r="OBZ374" s="15"/>
      <c r="OCA374" s="15"/>
      <c r="OCB374" s="15"/>
      <c r="OCC374" s="15"/>
      <c r="OCD374" s="15"/>
      <c r="OCE374" s="15"/>
      <c r="OCF374" s="15"/>
      <c r="OCG374" s="15"/>
      <c r="OCH374" s="15"/>
      <c r="OCI374" s="15"/>
      <c r="OCJ374" s="10"/>
      <c r="OCK374" s="10"/>
      <c r="OCL374" s="21"/>
      <c r="OCM374" s="21"/>
      <c r="OCP374" s="21"/>
      <c r="OCQ374" s="15"/>
      <c r="OCR374" s="15"/>
      <c r="OCS374" s="15"/>
      <c r="OCT374" s="15"/>
      <c r="OCU374" s="15"/>
      <c r="OCV374" s="15"/>
      <c r="OCW374" s="15"/>
      <c r="OCX374" s="15"/>
      <c r="OCY374" s="15"/>
      <c r="OCZ374" s="15"/>
      <c r="ODA374" s="10"/>
      <c r="ODB374" s="10"/>
      <c r="ODC374" s="21"/>
      <c r="ODD374" s="21"/>
      <c r="ODG374" s="21"/>
      <c r="ODH374" s="15"/>
      <c r="ODI374" s="15"/>
      <c r="ODJ374" s="15"/>
      <c r="ODK374" s="15"/>
      <c r="ODL374" s="15"/>
      <c r="ODM374" s="15"/>
      <c r="ODN374" s="15"/>
      <c r="ODO374" s="15"/>
      <c r="ODP374" s="15"/>
      <c r="ODQ374" s="15"/>
      <c r="ODR374" s="10"/>
      <c r="ODS374" s="10"/>
      <c r="ODT374" s="21"/>
      <c r="ODU374" s="21"/>
      <c r="ODX374" s="21"/>
      <c r="ODY374" s="15"/>
      <c r="ODZ374" s="15"/>
      <c r="OEA374" s="15"/>
      <c r="OEB374" s="15"/>
      <c r="OEC374" s="15"/>
      <c r="OED374" s="15"/>
      <c r="OEE374" s="15"/>
      <c r="OEF374" s="15"/>
      <c r="OEG374" s="15"/>
      <c r="OEH374" s="15"/>
      <c r="OEI374" s="10"/>
      <c r="OEJ374" s="10"/>
      <c r="OEK374" s="21"/>
      <c r="OEL374" s="21"/>
      <c r="OEO374" s="21"/>
      <c r="OEP374" s="15"/>
      <c r="OEQ374" s="15"/>
      <c r="OER374" s="15"/>
      <c r="OES374" s="15"/>
      <c r="OET374" s="15"/>
      <c r="OEU374" s="15"/>
      <c r="OEV374" s="15"/>
      <c r="OEW374" s="15"/>
      <c r="OEX374" s="15"/>
      <c r="OEY374" s="15"/>
      <c r="OEZ374" s="10"/>
      <c r="OFA374" s="10"/>
      <c r="OFB374" s="21"/>
      <c r="OFC374" s="21"/>
      <c r="OFF374" s="21"/>
      <c r="OFG374" s="15"/>
      <c r="OFH374" s="15"/>
      <c r="OFI374" s="15"/>
      <c r="OFJ374" s="15"/>
      <c r="OFK374" s="15"/>
      <c r="OFL374" s="15"/>
      <c r="OFM374" s="15"/>
      <c r="OFN374" s="15"/>
      <c r="OFO374" s="15"/>
      <c r="OFP374" s="15"/>
      <c r="OFQ374" s="10"/>
      <c r="OFR374" s="10"/>
      <c r="OFS374" s="21"/>
      <c r="OFT374" s="21"/>
      <c r="OFW374" s="21"/>
      <c r="OFX374" s="15"/>
      <c r="OFY374" s="15"/>
      <c r="OFZ374" s="15"/>
      <c r="OGA374" s="15"/>
      <c r="OGB374" s="15"/>
      <c r="OGC374" s="15"/>
      <c r="OGD374" s="15"/>
      <c r="OGE374" s="15"/>
      <c r="OGF374" s="15"/>
      <c r="OGG374" s="15"/>
      <c r="OGH374" s="10"/>
      <c r="OGI374" s="10"/>
      <c r="OGJ374" s="21"/>
      <c r="OGK374" s="21"/>
      <c r="OGN374" s="21"/>
      <c r="OGO374" s="15"/>
      <c r="OGP374" s="15"/>
      <c r="OGQ374" s="15"/>
      <c r="OGR374" s="15"/>
      <c r="OGS374" s="15"/>
      <c r="OGT374" s="15"/>
      <c r="OGU374" s="15"/>
      <c r="OGV374" s="15"/>
      <c r="OGW374" s="15"/>
      <c r="OGX374" s="15"/>
      <c r="OGY374" s="10"/>
      <c r="OGZ374" s="10"/>
      <c r="OHA374" s="21"/>
      <c r="OHB374" s="21"/>
      <c r="OHE374" s="21"/>
      <c r="OHF374" s="15"/>
      <c r="OHG374" s="15"/>
      <c r="OHH374" s="15"/>
      <c r="OHI374" s="15"/>
      <c r="OHJ374" s="15"/>
      <c r="OHK374" s="15"/>
      <c r="OHL374" s="15"/>
      <c r="OHM374" s="15"/>
      <c r="OHN374" s="15"/>
      <c r="OHO374" s="15"/>
      <c r="OHP374" s="10"/>
      <c r="OHQ374" s="10"/>
      <c r="OHR374" s="21"/>
      <c r="OHS374" s="21"/>
      <c r="OHV374" s="21"/>
      <c r="OHW374" s="15"/>
      <c r="OHX374" s="15"/>
      <c r="OHY374" s="15"/>
      <c r="OHZ374" s="15"/>
      <c r="OIA374" s="15"/>
      <c r="OIB374" s="15"/>
      <c r="OIC374" s="15"/>
      <c r="OID374" s="15"/>
      <c r="OIE374" s="15"/>
      <c r="OIF374" s="15"/>
      <c r="OIG374" s="10"/>
      <c r="OIH374" s="10"/>
      <c r="OII374" s="21"/>
      <c r="OIJ374" s="21"/>
      <c r="OIM374" s="21"/>
      <c r="OIN374" s="15"/>
      <c r="OIO374" s="15"/>
      <c r="OIP374" s="15"/>
      <c r="OIQ374" s="15"/>
      <c r="OIR374" s="15"/>
      <c r="OIS374" s="15"/>
      <c r="OIT374" s="15"/>
      <c r="OIU374" s="15"/>
      <c r="OIV374" s="15"/>
      <c r="OIW374" s="15"/>
      <c r="OIX374" s="10"/>
      <c r="OIY374" s="10"/>
      <c r="OIZ374" s="21"/>
      <c r="OJA374" s="21"/>
      <c r="OJD374" s="21"/>
      <c r="OJE374" s="15"/>
      <c r="OJF374" s="15"/>
      <c r="OJG374" s="15"/>
      <c r="OJH374" s="15"/>
      <c r="OJI374" s="15"/>
      <c r="OJJ374" s="15"/>
      <c r="OJK374" s="15"/>
      <c r="OJL374" s="15"/>
      <c r="OJM374" s="15"/>
      <c r="OJN374" s="15"/>
      <c r="OJO374" s="10"/>
      <c r="OJP374" s="10"/>
      <c r="OJQ374" s="21"/>
      <c r="OJR374" s="21"/>
      <c r="OJU374" s="21"/>
      <c r="OJV374" s="15"/>
      <c r="OJW374" s="15"/>
      <c r="OJX374" s="15"/>
      <c r="OJY374" s="15"/>
      <c r="OJZ374" s="15"/>
      <c r="OKA374" s="15"/>
      <c r="OKB374" s="15"/>
      <c r="OKC374" s="15"/>
      <c r="OKD374" s="15"/>
      <c r="OKE374" s="15"/>
      <c r="OKF374" s="10"/>
      <c r="OKG374" s="10"/>
      <c r="OKH374" s="21"/>
      <c r="OKI374" s="21"/>
      <c r="OKL374" s="21"/>
      <c r="OKM374" s="15"/>
      <c r="OKN374" s="15"/>
      <c r="OKO374" s="15"/>
      <c r="OKP374" s="15"/>
      <c r="OKQ374" s="15"/>
      <c r="OKR374" s="15"/>
      <c r="OKS374" s="15"/>
      <c r="OKT374" s="15"/>
      <c r="OKU374" s="15"/>
      <c r="OKV374" s="15"/>
      <c r="OKW374" s="10"/>
      <c r="OKX374" s="10"/>
      <c r="OKY374" s="21"/>
      <c r="OKZ374" s="21"/>
      <c r="OLC374" s="21"/>
      <c r="OLD374" s="15"/>
      <c r="OLE374" s="15"/>
      <c r="OLF374" s="15"/>
      <c r="OLG374" s="15"/>
      <c r="OLH374" s="15"/>
      <c r="OLI374" s="15"/>
      <c r="OLJ374" s="15"/>
      <c r="OLK374" s="15"/>
      <c r="OLL374" s="15"/>
      <c r="OLM374" s="15"/>
      <c r="OLN374" s="10"/>
      <c r="OLO374" s="10"/>
      <c r="OLP374" s="21"/>
      <c r="OLQ374" s="21"/>
      <c r="OLT374" s="21"/>
      <c r="OLU374" s="15"/>
      <c r="OLV374" s="15"/>
      <c r="OLW374" s="15"/>
      <c r="OLX374" s="15"/>
      <c r="OLY374" s="15"/>
      <c r="OLZ374" s="15"/>
      <c r="OMA374" s="15"/>
      <c r="OMB374" s="15"/>
      <c r="OMC374" s="15"/>
      <c r="OMD374" s="15"/>
      <c r="OME374" s="10"/>
      <c r="OMF374" s="10"/>
      <c r="OMG374" s="21"/>
      <c r="OMH374" s="21"/>
      <c r="OMK374" s="21"/>
      <c r="OML374" s="15"/>
      <c r="OMM374" s="15"/>
      <c r="OMN374" s="15"/>
      <c r="OMO374" s="15"/>
      <c r="OMP374" s="15"/>
      <c r="OMQ374" s="15"/>
      <c r="OMR374" s="15"/>
      <c r="OMS374" s="15"/>
      <c r="OMT374" s="15"/>
      <c r="OMU374" s="15"/>
      <c r="OMV374" s="10"/>
      <c r="OMW374" s="10"/>
      <c r="OMX374" s="21"/>
      <c r="OMY374" s="21"/>
      <c r="ONB374" s="21"/>
      <c r="ONC374" s="15"/>
      <c r="OND374" s="15"/>
      <c r="ONE374" s="15"/>
      <c r="ONF374" s="15"/>
      <c r="ONG374" s="15"/>
      <c r="ONH374" s="15"/>
      <c r="ONI374" s="15"/>
      <c r="ONJ374" s="15"/>
      <c r="ONK374" s="15"/>
      <c r="ONL374" s="15"/>
      <c r="ONM374" s="10"/>
      <c r="ONN374" s="10"/>
      <c r="ONO374" s="21"/>
      <c r="ONP374" s="21"/>
      <c r="ONS374" s="21"/>
      <c r="ONT374" s="15"/>
      <c r="ONU374" s="15"/>
      <c r="ONV374" s="15"/>
      <c r="ONW374" s="15"/>
      <c r="ONX374" s="15"/>
      <c r="ONY374" s="15"/>
      <c r="ONZ374" s="15"/>
      <c r="OOA374" s="15"/>
      <c r="OOB374" s="15"/>
      <c r="OOC374" s="15"/>
      <c r="OOD374" s="10"/>
      <c r="OOE374" s="10"/>
      <c r="OOF374" s="21"/>
      <c r="OOG374" s="21"/>
      <c r="OOJ374" s="21"/>
      <c r="OOK374" s="15"/>
      <c r="OOL374" s="15"/>
      <c r="OOM374" s="15"/>
      <c r="OON374" s="15"/>
      <c r="OOO374" s="15"/>
      <c r="OOP374" s="15"/>
      <c r="OOQ374" s="15"/>
      <c r="OOR374" s="15"/>
      <c r="OOS374" s="15"/>
      <c r="OOT374" s="15"/>
      <c r="OOU374" s="10"/>
      <c r="OOV374" s="10"/>
      <c r="OOW374" s="21"/>
      <c r="OOX374" s="21"/>
      <c r="OPA374" s="21"/>
      <c r="OPB374" s="15"/>
      <c r="OPC374" s="15"/>
      <c r="OPD374" s="15"/>
      <c r="OPE374" s="15"/>
      <c r="OPF374" s="15"/>
      <c r="OPG374" s="15"/>
      <c r="OPH374" s="15"/>
      <c r="OPI374" s="15"/>
      <c r="OPJ374" s="15"/>
      <c r="OPK374" s="15"/>
      <c r="OPL374" s="10"/>
      <c r="OPM374" s="10"/>
      <c r="OPN374" s="21"/>
      <c r="OPO374" s="21"/>
      <c r="OPR374" s="21"/>
      <c r="OPS374" s="15"/>
      <c r="OPT374" s="15"/>
      <c r="OPU374" s="15"/>
      <c r="OPV374" s="15"/>
      <c r="OPW374" s="15"/>
      <c r="OPX374" s="15"/>
      <c r="OPY374" s="15"/>
      <c r="OPZ374" s="15"/>
      <c r="OQA374" s="15"/>
      <c r="OQB374" s="15"/>
      <c r="OQC374" s="10"/>
      <c r="OQD374" s="10"/>
      <c r="OQE374" s="21"/>
      <c r="OQF374" s="21"/>
      <c r="OQI374" s="21"/>
      <c r="OQJ374" s="15"/>
      <c r="OQK374" s="15"/>
      <c r="OQL374" s="15"/>
      <c r="OQM374" s="15"/>
      <c r="OQN374" s="15"/>
      <c r="OQO374" s="15"/>
      <c r="OQP374" s="15"/>
      <c r="OQQ374" s="15"/>
      <c r="OQR374" s="15"/>
      <c r="OQS374" s="15"/>
      <c r="OQT374" s="10"/>
      <c r="OQU374" s="10"/>
      <c r="OQV374" s="21"/>
      <c r="OQW374" s="21"/>
      <c r="OQZ374" s="21"/>
      <c r="ORA374" s="15"/>
      <c r="ORB374" s="15"/>
      <c r="ORC374" s="15"/>
      <c r="ORD374" s="15"/>
      <c r="ORE374" s="15"/>
      <c r="ORF374" s="15"/>
      <c r="ORG374" s="15"/>
      <c r="ORH374" s="15"/>
      <c r="ORI374" s="15"/>
      <c r="ORJ374" s="15"/>
      <c r="ORK374" s="10"/>
      <c r="ORL374" s="10"/>
      <c r="ORM374" s="21"/>
      <c r="ORN374" s="21"/>
      <c r="ORQ374" s="21"/>
      <c r="ORR374" s="15"/>
      <c r="ORS374" s="15"/>
      <c r="ORT374" s="15"/>
      <c r="ORU374" s="15"/>
      <c r="ORV374" s="15"/>
      <c r="ORW374" s="15"/>
      <c r="ORX374" s="15"/>
      <c r="ORY374" s="15"/>
      <c r="ORZ374" s="15"/>
      <c r="OSA374" s="15"/>
      <c r="OSB374" s="10"/>
      <c r="OSC374" s="10"/>
      <c r="OSD374" s="21"/>
      <c r="OSE374" s="21"/>
      <c r="OSH374" s="21"/>
      <c r="OSI374" s="15"/>
      <c r="OSJ374" s="15"/>
      <c r="OSK374" s="15"/>
      <c r="OSL374" s="15"/>
      <c r="OSM374" s="15"/>
      <c r="OSN374" s="15"/>
      <c r="OSO374" s="15"/>
      <c r="OSP374" s="15"/>
      <c r="OSQ374" s="15"/>
      <c r="OSR374" s="15"/>
      <c r="OSS374" s="10"/>
      <c r="OST374" s="10"/>
      <c r="OSU374" s="21"/>
      <c r="OSV374" s="21"/>
      <c r="OSY374" s="21"/>
      <c r="OSZ374" s="15"/>
      <c r="OTA374" s="15"/>
      <c r="OTB374" s="15"/>
      <c r="OTC374" s="15"/>
      <c r="OTD374" s="15"/>
      <c r="OTE374" s="15"/>
      <c r="OTF374" s="15"/>
      <c r="OTG374" s="15"/>
      <c r="OTH374" s="15"/>
      <c r="OTI374" s="15"/>
      <c r="OTJ374" s="10"/>
      <c r="OTK374" s="10"/>
      <c r="OTL374" s="21"/>
      <c r="OTM374" s="21"/>
      <c r="OTP374" s="21"/>
      <c r="OTQ374" s="15"/>
      <c r="OTR374" s="15"/>
      <c r="OTS374" s="15"/>
      <c r="OTT374" s="15"/>
      <c r="OTU374" s="15"/>
      <c r="OTV374" s="15"/>
      <c r="OTW374" s="15"/>
      <c r="OTX374" s="15"/>
      <c r="OTY374" s="15"/>
      <c r="OTZ374" s="15"/>
      <c r="OUA374" s="10"/>
      <c r="OUB374" s="10"/>
      <c r="OUC374" s="21"/>
      <c r="OUD374" s="21"/>
      <c r="OUG374" s="21"/>
      <c r="OUH374" s="15"/>
      <c r="OUI374" s="15"/>
      <c r="OUJ374" s="15"/>
      <c r="OUK374" s="15"/>
      <c r="OUL374" s="15"/>
      <c r="OUM374" s="15"/>
      <c r="OUN374" s="15"/>
      <c r="OUO374" s="15"/>
      <c r="OUP374" s="15"/>
      <c r="OUQ374" s="15"/>
      <c r="OUR374" s="10"/>
      <c r="OUS374" s="10"/>
      <c r="OUT374" s="21"/>
      <c r="OUU374" s="21"/>
      <c r="OUX374" s="21"/>
      <c r="OUY374" s="15"/>
      <c r="OUZ374" s="15"/>
      <c r="OVA374" s="15"/>
      <c r="OVB374" s="15"/>
      <c r="OVC374" s="15"/>
      <c r="OVD374" s="15"/>
      <c r="OVE374" s="15"/>
      <c r="OVF374" s="15"/>
      <c r="OVG374" s="15"/>
      <c r="OVH374" s="15"/>
      <c r="OVI374" s="10"/>
      <c r="OVJ374" s="10"/>
      <c r="OVK374" s="21"/>
      <c r="OVL374" s="21"/>
      <c r="OVO374" s="21"/>
      <c r="OVP374" s="15"/>
      <c r="OVQ374" s="15"/>
      <c r="OVR374" s="15"/>
      <c r="OVS374" s="15"/>
      <c r="OVT374" s="15"/>
      <c r="OVU374" s="15"/>
      <c r="OVV374" s="15"/>
      <c r="OVW374" s="15"/>
      <c r="OVX374" s="15"/>
      <c r="OVY374" s="15"/>
      <c r="OVZ374" s="10"/>
      <c r="OWA374" s="10"/>
      <c r="OWB374" s="21"/>
      <c r="OWC374" s="21"/>
      <c r="OWF374" s="21"/>
      <c r="OWG374" s="15"/>
      <c r="OWH374" s="15"/>
      <c r="OWI374" s="15"/>
      <c r="OWJ374" s="15"/>
      <c r="OWK374" s="15"/>
      <c r="OWL374" s="15"/>
      <c r="OWM374" s="15"/>
      <c r="OWN374" s="15"/>
      <c r="OWO374" s="15"/>
      <c r="OWP374" s="15"/>
      <c r="OWQ374" s="10"/>
      <c r="OWR374" s="10"/>
      <c r="OWS374" s="21"/>
      <c r="OWT374" s="21"/>
      <c r="OWW374" s="21"/>
      <c r="OWX374" s="15"/>
      <c r="OWY374" s="15"/>
      <c r="OWZ374" s="15"/>
      <c r="OXA374" s="15"/>
      <c r="OXB374" s="15"/>
      <c r="OXC374" s="15"/>
      <c r="OXD374" s="15"/>
      <c r="OXE374" s="15"/>
      <c r="OXF374" s="15"/>
      <c r="OXG374" s="15"/>
      <c r="OXH374" s="10"/>
      <c r="OXI374" s="10"/>
      <c r="OXJ374" s="21"/>
      <c r="OXK374" s="21"/>
      <c r="OXN374" s="21"/>
      <c r="OXO374" s="15"/>
      <c r="OXP374" s="15"/>
      <c r="OXQ374" s="15"/>
      <c r="OXR374" s="15"/>
      <c r="OXS374" s="15"/>
      <c r="OXT374" s="15"/>
      <c r="OXU374" s="15"/>
      <c r="OXV374" s="15"/>
      <c r="OXW374" s="15"/>
      <c r="OXX374" s="15"/>
      <c r="OXY374" s="10"/>
      <c r="OXZ374" s="10"/>
      <c r="OYA374" s="21"/>
      <c r="OYB374" s="21"/>
      <c r="OYE374" s="21"/>
      <c r="OYF374" s="15"/>
      <c r="OYG374" s="15"/>
      <c r="OYH374" s="15"/>
      <c r="OYI374" s="15"/>
      <c r="OYJ374" s="15"/>
      <c r="OYK374" s="15"/>
      <c r="OYL374" s="15"/>
      <c r="OYM374" s="15"/>
      <c r="OYN374" s="15"/>
      <c r="OYO374" s="15"/>
      <c r="OYP374" s="10"/>
      <c r="OYQ374" s="10"/>
      <c r="OYR374" s="21"/>
      <c r="OYS374" s="21"/>
      <c r="OYV374" s="21"/>
      <c r="OYW374" s="15"/>
      <c r="OYX374" s="15"/>
      <c r="OYY374" s="15"/>
      <c r="OYZ374" s="15"/>
      <c r="OZA374" s="15"/>
      <c r="OZB374" s="15"/>
      <c r="OZC374" s="15"/>
      <c r="OZD374" s="15"/>
      <c r="OZE374" s="15"/>
      <c r="OZF374" s="15"/>
      <c r="OZG374" s="10"/>
      <c r="OZH374" s="10"/>
      <c r="OZI374" s="21"/>
      <c r="OZJ374" s="21"/>
      <c r="OZM374" s="21"/>
      <c r="OZN374" s="15"/>
      <c r="OZO374" s="15"/>
      <c r="OZP374" s="15"/>
      <c r="OZQ374" s="15"/>
      <c r="OZR374" s="15"/>
      <c r="OZS374" s="15"/>
      <c r="OZT374" s="15"/>
      <c r="OZU374" s="15"/>
      <c r="OZV374" s="15"/>
      <c r="OZW374" s="15"/>
      <c r="OZX374" s="10"/>
      <c r="OZY374" s="10"/>
      <c r="OZZ374" s="21"/>
      <c r="PAA374" s="21"/>
      <c r="PAD374" s="21"/>
      <c r="PAE374" s="15"/>
      <c r="PAF374" s="15"/>
      <c r="PAG374" s="15"/>
      <c r="PAH374" s="15"/>
      <c r="PAI374" s="15"/>
      <c r="PAJ374" s="15"/>
      <c r="PAK374" s="15"/>
      <c r="PAL374" s="15"/>
      <c r="PAM374" s="15"/>
      <c r="PAN374" s="15"/>
      <c r="PAO374" s="10"/>
      <c r="PAP374" s="10"/>
      <c r="PAQ374" s="21"/>
      <c r="PAR374" s="21"/>
      <c r="PAU374" s="21"/>
      <c r="PAV374" s="15"/>
      <c r="PAW374" s="15"/>
      <c r="PAX374" s="15"/>
      <c r="PAY374" s="15"/>
      <c r="PAZ374" s="15"/>
      <c r="PBA374" s="15"/>
      <c r="PBB374" s="15"/>
      <c r="PBC374" s="15"/>
      <c r="PBD374" s="15"/>
      <c r="PBE374" s="15"/>
      <c r="PBF374" s="10"/>
      <c r="PBG374" s="10"/>
      <c r="PBH374" s="21"/>
      <c r="PBI374" s="21"/>
      <c r="PBL374" s="21"/>
      <c r="PBM374" s="15"/>
      <c r="PBN374" s="15"/>
      <c r="PBO374" s="15"/>
      <c r="PBP374" s="15"/>
      <c r="PBQ374" s="15"/>
      <c r="PBR374" s="15"/>
      <c r="PBS374" s="15"/>
      <c r="PBT374" s="15"/>
      <c r="PBU374" s="15"/>
      <c r="PBV374" s="15"/>
      <c r="PBW374" s="10"/>
      <c r="PBX374" s="10"/>
      <c r="PBY374" s="21"/>
      <c r="PBZ374" s="21"/>
      <c r="PCC374" s="21"/>
      <c r="PCD374" s="15"/>
      <c r="PCE374" s="15"/>
      <c r="PCF374" s="15"/>
      <c r="PCG374" s="15"/>
      <c r="PCH374" s="15"/>
      <c r="PCI374" s="15"/>
      <c r="PCJ374" s="15"/>
      <c r="PCK374" s="15"/>
      <c r="PCL374" s="15"/>
      <c r="PCM374" s="15"/>
      <c r="PCN374" s="10"/>
      <c r="PCO374" s="10"/>
      <c r="PCP374" s="21"/>
      <c r="PCQ374" s="21"/>
      <c r="PCT374" s="21"/>
      <c r="PCU374" s="15"/>
      <c r="PCV374" s="15"/>
      <c r="PCW374" s="15"/>
      <c r="PCX374" s="15"/>
      <c r="PCY374" s="15"/>
      <c r="PCZ374" s="15"/>
      <c r="PDA374" s="15"/>
      <c r="PDB374" s="15"/>
      <c r="PDC374" s="15"/>
      <c r="PDD374" s="15"/>
      <c r="PDE374" s="10"/>
      <c r="PDF374" s="10"/>
      <c r="PDG374" s="21"/>
      <c r="PDH374" s="21"/>
      <c r="PDK374" s="21"/>
      <c r="PDL374" s="15"/>
      <c r="PDM374" s="15"/>
      <c r="PDN374" s="15"/>
      <c r="PDO374" s="15"/>
      <c r="PDP374" s="15"/>
      <c r="PDQ374" s="15"/>
      <c r="PDR374" s="15"/>
      <c r="PDS374" s="15"/>
      <c r="PDT374" s="15"/>
      <c r="PDU374" s="15"/>
      <c r="PDV374" s="10"/>
      <c r="PDW374" s="10"/>
      <c r="PDX374" s="21"/>
      <c r="PDY374" s="21"/>
      <c r="PEB374" s="21"/>
      <c r="PEC374" s="15"/>
      <c r="PED374" s="15"/>
      <c r="PEE374" s="15"/>
      <c r="PEF374" s="15"/>
      <c r="PEG374" s="15"/>
      <c r="PEH374" s="15"/>
      <c r="PEI374" s="15"/>
      <c r="PEJ374" s="15"/>
      <c r="PEK374" s="15"/>
      <c r="PEL374" s="15"/>
      <c r="PEM374" s="10"/>
      <c r="PEN374" s="10"/>
      <c r="PEO374" s="21"/>
      <c r="PEP374" s="21"/>
      <c r="PES374" s="21"/>
      <c r="PET374" s="15"/>
      <c r="PEU374" s="15"/>
      <c r="PEV374" s="15"/>
      <c r="PEW374" s="15"/>
      <c r="PEX374" s="15"/>
      <c r="PEY374" s="15"/>
      <c r="PEZ374" s="15"/>
      <c r="PFA374" s="15"/>
      <c r="PFB374" s="15"/>
      <c r="PFC374" s="15"/>
      <c r="PFD374" s="10"/>
      <c r="PFE374" s="10"/>
      <c r="PFF374" s="21"/>
      <c r="PFG374" s="21"/>
      <c r="PFJ374" s="21"/>
      <c r="PFK374" s="15"/>
      <c r="PFL374" s="15"/>
      <c r="PFM374" s="15"/>
      <c r="PFN374" s="15"/>
      <c r="PFO374" s="15"/>
      <c r="PFP374" s="15"/>
      <c r="PFQ374" s="15"/>
      <c r="PFR374" s="15"/>
      <c r="PFS374" s="15"/>
      <c r="PFT374" s="15"/>
      <c r="PFU374" s="10"/>
      <c r="PFV374" s="10"/>
      <c r="PFW374" s="21"/>
      <c r="PFX374" s="21"/>
      <c r="PGA374" s="21"/>
      <c r="PGB374" s="15"/>
      <c r="PGC374" s="15"/>
      <c r="PGD374" s="15"/>
      <c r="PGE374" s="15"/>
      <c r="PGF374" s="15"/>
      <c r="PGG374" s="15"/>
      <c r="PGH374" s="15"/>
      <c r="PGI374" s="15"/>
      <c r="PGJ374" s="15"/>
      <c r="PGK374" s="15"/>
      <c r="PGL374" s="10"/>
      <c r="PGM374" s="10"/>
      <c r="PGN374" s="21"/>
      <c r="PGO374" s="21"/>
      <c r="PGR374" s="21"/>
      <c r="PGS374" s="15"/>
      <c r="PGT374" s="15"/>
      <c r="PGU374" s="15"/>
      <c r="PGV374" s="15"/>
      <c r="PGW374" s="15"/>
      <c r="PGX374" s="15"/>
      <c r="PGY374" s="15"/>
      <c r="PGZ374" s="15"/>
      <c r="PHA374" s="15"/>
      <c r="PHB374" s="15"/>
      <c r="PHC374" s="10"/>
      <c r="PHD374" s="10"/>
      <c r="PHE374" s="21"/>
      <c r="PHF374" s="21"/>
      <c r="PHI374" s="21"/>
      <c r="PHJ374" s="15"/>
      <c r="PHK374" s="15"/>
      <c r="PHL374" s="15"/>
      <c r="PHM374" s="15"/>
      <c r="PHN374" s="15"/>
      <c r="PHO374" s="15"/>
      <c r="PHP374" s="15"/>
      <c r="PHQ374" s="15"/>
      <c r="PHR374" s="15"/>
      <c r="PHS374" s="15"/>
      <c r="PHT374" s="10"/>
      <c r="PHU374" s="10"/>
      <c r="PHV374" s="21"/>
      <c r="PHW374" s="21"/>
      <c r="PHZ374" s="21"/>
      <c r="PIA374" s="15"/>
      <c r="PIB374" s="15"/>
      <c r="PIC374" s="15"/>
      <c r="PID374" s="15"/>
      <c r="PIE374" s="15"/>
      <c r="PIF374" s="15"/>
      <c r="PIG374" s="15"/>
      <c r="PIH374" s="15"/>
      <c r="PII374" s="15"/>
      <c r="PIJ374" s="15"/>
      <c r="PIK374" s="10"/>
      <c r="PIL374" s="10"/>
      <c r="PIM374" s="21"/>
      <c r="PIN374" s="21"/>
      <c r="PIQ374" s="21"/>
      <c r="PIR374" s="15"/>
      <c r="PIS374" s="15"/>
      <c r="PIT374" s="15"/>
      <c r="PIU374" s="15"/>
      <c r="PIV374" s="15"/>
      <c r="PIW374" s="15"/>
      <c r="PIX374" s="15"/>
      <c r="PIY374" s="15"/>
      <c r="PIZ374" s="15"/>
      <c r="PJA374" s="15"/>
      <c r="PJB374" s="10"/>
      <c r="PJC374" s="10"/>
      <c r="PJD374" s="21"/>
      <c r="PJE374" s="21"/>
      <c r="PJH374" s="21"/>
      <c r="PJI374" s="15"/>
      <c r="PJJ374" s="15"/>
      <c r="PJK374" s="15"/>
      <c r="PJL374" s="15"/>
      <c r="PJM374" s="15"/>
      <c r="PJN374" s="15"/>
      <c r="PJO374" s="15"/>
      <c r="PJP374" s="15"/>
      <c r="PJQ374" s="15"/>
      <c r="PJR374" s="15"/>
      <c r="PJS374" s="10"/>
      <c r="PJT374" s="10"/>
      <c r="PJU374" s="21"/>
      <c r="PJV374" s="21"/>
      <c r="PJY374" s="21"/>
      <c r="PJZ374" s="15"/>
      <c r="PKA374" s="15"/>
      <c r="PKB374" s="15"/>
      <c r="PKC374" s="15"/>
      <c r="PKD374" s="15"/>
      <c r="PKE374" s="15"/>
      <c r="PKF374" s="15"/>
      <c r="PKG374" s="15"/>
      <c r="PKH374" s="15"/>
      <c r="PKI374" s="15"/>
      <c r="PKJ374" s="10"/>
      <c r="PKK374" s="10"/>
      <c r="PKL374" s="21"/>
      <c r="PKM374" s="21"/>
      <c r="PKP374" s="21"/>
      <c r="PKQ374" s="15"/>
      <c r="PKR374" s="15"/>
      <c r="PKS374" s="15"/>
      <c r="PKT374" s="15"/>
      <c r="PKU374" s="15"/>
      <c r="PKV374" s="15"/>
      <c r="PKW374" s="15"/>
      <c r="PKX374" s="15"/>
      <c r="PKY374" s="15"/>
      <c r="PKZ374" s="15"/>
      <c r="PLA374" s="10"/>
      <c r="PLB374" s="10"/>
      <c r="PLC374" s="21"/>
      <c r="PLD374" s="21"/>
      <c r="PLG374" s="21"/>
      <c r="PLH374" s="15"/>
      <c r="PLI374" s="15"/>
      <c r="PLJ374" s="15"/>
      <c r="PLK374" s="15"/>
      <c r="PLL374" s="15"/>
      <c r="PLM374" s="15"/>
      <c r="PLN374" s="15"/>
      <c r="PLO374" s="15"/>
      <c r="PLP374" s="15"/>
      <c r="PLQ374" s="15"/>
      <c r="PLR374" s="10"/>
      <c r="PLS374" s="10"/>
      <c r="PLT374" s="21"/>
      <c r="PLU374" s="21"/>
      <c r="PLX374" s="21"/>
      <c r="PLY374" s="15"/>
      <c r="PLZ374" s="15"/>
      <c r="PMA374" s="15"/>
      <c r="PMB374" s="15"/>
      <c r="PMC374" s="15"/>
      <c r="PMD374" s="15"/>
      <c r="PME374" s="15"/>
      <c r="PMF374" s="15"/>
      <c r="PMG374" s="15"/>
      <c r="PMH374" s="15"/>
      <c r="PMI374" s="10"/>
      <c r="PMJ374" s="10"/>
      <c r="PMK374" s="21"/>
      <c r="PML374" s="21"/>
      <c r="PMO374" s="21"/>
      <c r="PMP374" s="15"/>
      <c r="PMQ374" s="15"/>
      <c r="PMR374" s="15"/>
      <c r="PMS374" s="15"/>
      <c r="PMT374" s="15"/>
      <c r="PMU374" s="15"/>
      <c r="PMV374" s="15"/>
      <c r="PMW374" s="15"/>
      <c r="PMX374" s="15"/>
      <c r="PMY374" s="15"/>
      <c r="PMZ374" s="10"/>
      <c r="PNA374" s="10"/>
      <c r="PNB374" s="21"/>
      <c r="PNC374" s="21"/>
      <c r="PNF374" s="21"/>
      <c r="PNG374" s="15"/>
      <c r="PNH374" s="15"/>
      <c r="PNI374" s="15"/>
      <c r="PNJ374" s="15"/>
      <c r="PNK374" s="15"/>
      <c r="PNL374" s="15"/>
      <c r="PNM374" s="15"/>
      <c r="PNN374" s="15"/>
      <c r="PNO374" s="15"/>
      <c r="PNP374" s="15"/>
      <c r="PNQ374" s="10"/>
      <c r="PNR374" s="10"/>
      <c r="PNS374" s="21"/>
      <c r="PNT374" s="21"/>
      <c r="PNW374" s="21"/>
      <c r="PNX374" s="15"/>
      <c r="PNY374" s="15"/>
      <c r="PNZ374" s="15"/>
      <c r="POA374" s="15"/>
      <c r="POB374" s="15"/>
      <c r="POC374" s="15"/>
      <c r="POD374" s="15"/>
      <c r="POE374" s="15"/>
      <c r="POF374" s="15"/>
      <c r="POG374" s="15"/>
      <c r="POH374" s="10"/>
      <c r="POI374" s="10"/>
      <c r="POJ374" s="21"/>
      <c r="POK374" s="21"/>
      <c r="PON374" s="21"/>
      <c r="POO374" s="15"/>
      <c r="POP374" s="15"/>
      <c r="POQ374" s="15"/>
      <c r="POR374" s="15"/>
      <c r="POS374" s="15"/>
      <c r="POT374" s="15"/>
      <c r="POU374" s="15"/>
      <c r="POV374" s="15"/>
      <c r="POW374" s="15"/>
      <c r="POX374" s="15"/>
      <c r="POY374" s="10"/>
      <c r="POZ374" s="10"/>
      <c r="PPA374" s="21"/>
      <c r="PPB374" s="21"/>
      <c r="PPE374" s="21"/>
      <c r="PPF374" s="15"/>
      <c r="PPG374" s="15"/>
      <c r="PPH374" s="15"/>
      <c r="PPI374" s="15"/>
      <c r="PPJ374" s="15"/>
      <c r="PPK374" s="15"/>
      <c r="PPL374" s="15"/>
      <c r="PPM374" s="15"/>
      <c r="PPN374" s="15"/>
      <c r="PPO374" s="15"/>
      <c r="PPP374" s="10"/>
      <c r="PPQ374" s="10"/>
      <c r="PPR374" s="21"/>
      <c r="PPS374" s="21"/>
      <c r="PPV374" s="21"/>
      <c r="PPW374" s="15"/>
      <c r="PPX374" s="15"/>
      <c r="PPY374" s="15"/>
      <c r="PPZ374" s="15"/>
      <c r="PQA374" s="15"/>
      <c r="PQB374" s="15"/>
      <c r="PQC374" s="15"/>
      <c r="PQD374" s="15"/>
      <c r="PQE374" s="15"/>
      <c r="PQF374" s="15"/>
      <c r="PQG374" s="10"/>
      <c r="PQH374" s="10"/>
      <c r="PQI374" s="21"/>
      <c r="PQJ374" s="21"/>
      <c r="PQM374" s="21"/>
      <c r="PQN374" s="15"/>
      <c r="PQO374" s="15"/>
      <c r="PQP374" s="15"/>
      <c r="PQQ374" s="15"/>
      <c r="PQR374" s="15"/>
      <c r="PQS374" s="15"/>
      <c r="PQT374" s="15"/>
      <c r="PQU374" s="15"/>
      <c r="PQV374" s="15"/>
      <c r="PQW374" s="15"/>
      <c r="PQX374" s="10"/>
      <c r="PQY374" s="10"/>
      <c r="PQZ374" s="21"/>
      <c r="PRA374" s="21"/>
      <c r="PRD374" s="21"/>
      <c r="PRE374" s="15"/>
      <c r="PRF374" s="15"/>
      <c r="PRG374" s="15"/>
      <c r="PRH374" s="15"/>
      <c r="PRI374" s="15"/>
      <c r="PRJ374" s="15"/>
      <c r="PRK374" s="15"/>
      <c r="PRL374" s="15"/>
      <c r="PRM374" s="15"/>
      <c r="PRN374" s="15"/>
      <c r="PRO374" s="10"/>
      <c r="PRP374" s="10"/>
      <c r="PRQ374" s="21"/>
      <c r="PRR374" s="21"/>
      <c r="PRU374" s="21"/>
      <c r="PRV374" s="15"/>
      <c r="PRW374" s="15"/>
      <c r="PRX374" s="15"/>
      <c r="PRY374" s="15"/>
      <c r="PRZ374" s="15"/>
      <c r="PSA374" s="15"/>
      <c r="PSB374" s="15"/>
      <c r="PSC374" s="15"/>
      <c r="PSD374" s="15"/>
      <c r="PSE374" s="15"/>
      <c r="PSF374" s="10"/>
      <c r="PSG374" s="10"/>
      <c r="PSH374" s="21"/>
      <c r="PSI374" s="21"/>
      <c r="PSL374" s="21"/>
      <c r="PSM374" s="15"/>
      <c r="PSN374" s="15"/>
      <c r="PSO374" s="15"/>
      <c r="PSP374" s="15"/>
      <c r="PSQ374" s="15"/>
      <c r="PSR374" s="15"/>
      <c r="PSS374" s="15"/>
      <c r="PST374" s="15"/>
      <c r="PSU374" s="15"/>
      <c r="PSV374" s="15"/>
      <c r="PSW374" s="10"/>
      <c r="PSX374" s="10"/>
      <c r="PSY374" s="21"/>
      <c r="PSZ374" s="21"/>
      <c r="PTC374" s="21"/>
      <c r="PTD374" s="15"/>
      <c r="PTE374" s="15"/>
      <c r="PTF374" s="15"/>
      <c r="PTG374" s="15"/>
      <c r="PTH374" s="15"/>
      <c r="PTI374" s="15"/>
      <c r="PTJ374" s="15"/>
      <c r="PTK374" s="15"/>
      <c r="PTL374" s="15"/>
      <c r="PTM374" s="15"/>
      <c r="PTN374" s="10"/>
      <c r="PTO374" s="10"/>
      <c r="PTP374" s="21"/>
      <c r="PTQ374" s="21"/>
      <c r="PTT374" s="21"/>
      <c r="PTU374" s="15"/>
      <c r="PTV374" s="15"/>
      <c r="PTW374" s="15"/>
      <c r="PTX374" s="15"/>
      <c r="PTY374" s="15"/>
      <c r="PTZ374" s="15"/>
      <c r="PUA374" s="15"/>
      <c r="PUB374" s="15"/>
      <c r="PUC374" s="15"/>
      <c r="PUD374" s="15"/>
      <c r="PUE374" s="10"/>
      <c r="PUF374" s="10"/>
      <c r="PUG374" s="21"/>
      <c r="PUH374" s="21"/>
      <c r="PUK374" s="21"/>
      <c r="PUL374" s="15"/>
      <c r="PUM374" s="15"/>
      <c r="PUN374" s="15"/>
      <c r="PUO374" s="15"/>
      <c r="PUP374" s="15"/>
      <c r="PUQ374" s="15"/>
      <c r="PUR374" s="15"/>
      <c r="PUS374" s="15"/>
      <c r="PUT374" s="15"/>
      <c r="PUU374" s="15"/>
      <c r="PUV374" s="10"/>
      <c r="PUW374" s="10"/>
      <c r="PUX374" s="21"/>
      <c r="PUY374" s="21"/>
      <c r="PVB374" s="21"/>
      <c r="PVC374" s="15"/>
      <c r="PVD374" s="15"/>
      <c r="PVE374" s="15"/>
      <c r="PVF374" s="15"/>
      <c r="PVG374" s="15"/>
      <c r="PVH374" s="15"/>
      <c r="PVI374" s="15"/>
      <c r="PVJ374" s="15"/>
      <c r="PVK374" s="15"/>
      <c r="PVL374" s="15"/>
      <c r="PVM374" s="10"/>
      <c r="PVN374" s="10"/>
      <c r="PVO374" s="21"/>
      <c r="PVP374" s="21"/>
      <c r="PVS374" s="21"/>
      <c r="PVT374" s="15"/>
      <c r="PVU374" s="15"/>
      <c r="PVV374" s="15"/>
      <c r="PVW374" s="15"/>
      <c r="PVX374" s="15"/>
      <c r="PVY374" s="15"/>
      <c r="PVZ374" s="15"/>
      <c r="PWA374" s="15"/>
      <c r="PWB374" s="15"/>
      <c r="PWC374" s="15"/>
      <c r="PWD374" s="10"/>
      <c r="PWE374" s="10"/>
      <c r="PWF374" s="21"/>
      <c r="PWG374" s="21"/>
      <c r="PWJ374" s="21"/>
      <c r="PWK374" s="15"/>
      <c r="PWL374" s="15"/>
      <c r="PWM374" s="15"/>
      <c r="PWN374" s="15"/>
      <c r="PWO374" s="15"/>
      <c r="PWP374" s="15"/>
      <c r="PWQ374" s="15"/>
      <c r="PWR374" s="15"/>
      <c r="PWS374" s="15"/>
      <c r="PWT374" s="15"/>
      <c r="PWU374" s="10"/>
      <c r="PWV374" s="10"/>
      <c r="PWW374" s="21"/>
      <c r="PWX374" s="21"/>
      <c r="PXA374" s="21"/>
      <c r="PXB374" s="15"/>
      <c r="PXC374" s="15"/>
      <c r="PXD374" s="15"/>
      <c r="PXE374" s="15"/>
      <c r="PXF374" s="15"/>
      <c r="PXG374" s="15"/>
      <c r="PXH374" s="15"/>
      <c r="PXI374" s="15"/>
      <c r="PXJ374" s="15"/>
      <c r="PXK374" s="15"/>
      <c r="PXL374" s="10"/>
      <c r="PXM374" s="10"/>
      <c r="PXN374" s="21"/>
      <c r="PXO374" s="21"/>
      <c r="PXR374" s="21"/>
      <c r="PXS374" s="15"/>
      <c r="PXT374" s="15"/>
      <c r="PXU374" s="15"/>
      <c r="PXV374" s="15"/>
      <c r="PXW374" s="15"/>
      <c r="PXX374" s="15"/>
      <c r="PXY374" s="15"/>
      <c r="PXZ374" s="15"/>
      <c r="PYA374" s="15"/>
      <c r="PYB374" s="15"/>
      <c r="PYC374" s="10"/>
      <c r="PYD374" s="10"/>
      <c r="PYE374" s="21"/>
      <c r="PYF374" s="21"/>
      <c r="PYI374" s="21"/>
      <c r="PYJ374" s="15"/>
      <c r="PYK374" s="15"/>
      <c r="PYL374" s="15"/>
      <c r="PYM374" s="15"/>
      <c r="PYN374" s="15"/>
      <c r="PYO374" s="15"/>
      <c r="PYP374" s="15"/>
      <c r="PYQ374" s="15"/>
      <c r="PYR374" s="15"/>
      <c r="PYS374" s="15"/>
      <c r="PYT374" s="10"/>
      <c r="PYU374" s="10"/>
      <c r="PYV374" s="21"/>
      <c r="PYW374" s="21"/>
      <c r="PYZ374" s="21"/>
      <c r="PZA374" s="15"/>
      <c r="PZB374" s="15"/>
      <c r="PZC374" s="15"/>
      <c r="PZD374" s="15"/>
      <c r="PZE374" s="15"/>
      <c r="PZF374" s="15"/>
      <c r="PZG374" s="15"/>
      <c r="PZH374" s="15"/>
      <c r="PZI374" s="15"/>
      <c r="PZJ374" s="15"/>
      <c r="PZK374" s="10"/>
      <c r="PZL374" s="10"/>
      <c r="PZM374" s="21"/>
      <c r="PZN374" s="21"/>
      <c r="PZQ374" s="21"/>
      <c r="PZR374" s="15"/>
      <c r="PZS374" s="15"/>
      <c r="PZT374" s="15"/>
      <c r="PZU374" s="15"/>
      <c r="PZV374" s="15"/>
      <c r="PZW374" s="15"/>
      <c r="PZX374" s="15"/>
      <c r="PZY374" s="15"/>
      <c r="PZZ374" s="15"/>
      <c r="QAA374" s="15"/>
      <c r="QAB374" s="10"/>
      <c r="QAC374" s="10"/>
      <c r="QAD374" s="21"/>
      <c r="QAE374" s="21"/>
      <c r="QAH374" s="21"/>
      <c r="QAI374" s="15"/>
      <c r="QAJ374" s="15"/>
      <c r="QAK374" s="15"/>
      <c r="QAL374" s="15"/>
      <c r="QAM374" s="15"/>
      <c r="QAN374" s="15"/>
      <c r="QAO374" s="15"/>
      <c r="QAP374" s="15"/>
      <c r="QAQ374" s="15"/>
      <c r="QAR374" s="15"/>
      <c r="QAS374" s="10"/>
      <c r="QAT374" s="10"/>
      <c r="QAU374" s="21"/>
      <c r="QAV374" s="21"/>
      <c r="QAY374" s="21"/>
      <c r="QAZ374" s="15"/>
      <c r="QBA374" s="15"/>
      <c r="QBB374" s="15"/>
      <c r="QBC374" s="15"/>
      <c r="QBD374" s="15"/>
      <c r="QBE374" s="15"/>
      <c r="QBF374" s="15"/>
      <c r="QBG374" s="15"/>
      <c r="QBH374" s="15"/>
      <c r="QBI374" s="15"/>
      <c r="QBJ374" s="10"/>
      <c r="QBK374" s="10"/>
      <c r="QBL374" s="21"/>
      <c r="QBM374" s="21"/>
      <c r="QBP374" s="21"/>
      <c r="QBQ374" s="15"/>
      <c r="QBR374" s="15"/>
      <c r="QBS374" s="15"/>
      <c r="QBT374" s="15"/>
      <c r="QBU374" s="15"/>
      <c r="QBV374" s="15"/>
      <c r="QBW374" s="15"/>
      <c r="QBX374" s="15"/>
      <c r="QBY374" s="15"/>
      <c r="QBZ374" s="15"/>
      <c r="QCA374" s="10"/>
      <c r="QCB374" s="10"/>
      <c r="QCC374" s="21"/>
      <c r="QCD374" s="21"/>
      <c r="QCG374" s="21"/>
      <c r="QCH374" s="15"/>
      <c r="QCI374" s="15"/>
      <c r="QCJ374" s="15"/>
      <c r="QCK374" s="15"/>
      <c r="QCL374" s="15"/>
      <c r="QCM374" s="15"/>
      <c r="QCN374" s="15"/>
      <c r="QCO374" s="15"/>
      <c r="QCP374" s="15"/>
      <c r="QCQ374" s="15"/>
      <c r="QCR374" s="10"/>
      <c r="QCS374" s="10"/>
      <c r="QCT374" s="21"/>
      <c r="QCU374" s="21"/>
      <c r="QCX374" s="21"/>
      <c r="QCY374" s="15"/>
      <c r="QCZ374" s="15"/>
      <c r="QDA374" s="15"/>
      <c r="QDB374" s="15"/>
      <c r="QDC374" s="15"/>
      <c r="QDD374" s="15"/>
      <c r="QDE374" s="15"/>
      <c r="QDF374" s="15"/>
      <c r="QDG374" s="15"/>
      <c r="QDH374" s="15"/>
      <c r="QDI374" s="10"/>
      <c r="QDJ374" s="10"/>
      <c r="QDK374" s="21"/>
      <c r="QDL374" s="21"/>
      <c r="QDO374" s="21"/>
      <c r="QDP374" s="15"/>
      <c r="QDQ374" s="15"/>
      <c r="QDR374" s="15"/>
      <c r="QDS374" s="15"/>
      <c r="QDT374" s="15"/>
      <c r="QDU374" s="15"/>
      <c r="QDV374" s="15"/>
      <c r="QDW374" s="15"/>
      <c r="QDX374" s="15"/>
      <c r="QDY374" s="15"/>
      <c r="QDZ374" s="10"/>
      <c r="QEA374" s="10"/>
      <c r="QEB374" s="21"/>
      <c r="QEC374" s="21"/>
      <c r="QEF374" s="21"/>
      <c r="QEG374" s="15"/>
      <c r="QEH374" s="15"/>
      <c r="QEI374" s="15"/>
      <c r="QEJ374" s="15"/>
      <c r="QEK374" s="15"/>
      <c r="QEL374" s="15"/>
      <c r="QEM374" s="15"/>
      <c r="QEN374" s="15"/>
      <c r="QEO374" s="15"/>
      <c r="QEP374" s="15"/>
      <c r="QEQ374" s="10"/>
      <c r="QER374" s="10"/>
      <c r="QES374" s="21"/>
      <c r="QET374" s="21"/>
      <c r="QEW374" s="21"/>
      <c r="QEX374" s="15"/>
      <c r="QEY374" s="15"/>
      <c r="QEZ374" s="15"/>
      <c r="QFA374" s="15"/>
      <c r="QFB374" s="15"/>
      <c r="QFC374" s="15"/>
      <c r="QFD374" s="15"/>
      <c r="QFE374" s="15"/>
      <c r="QFF374" s="15"/>
      <c r="QFG374" s="15"/>
      <c r="QFH374" s="10"/>
      <c r="QFI374" s="10"/>
      <c r="QFJ374" s="21"/>
      <c r="QFK374" s="21"/>
      <c r="QFN374" s="21"/>
      <c r="QFO374" s="15"/>
      <c r="QFP374" s="15"/>
      <c r="QFQ374" s="15"/>
      <c r="QFR374" s="15"/>
      <c r="QFS374" s="15"/>
      <c r="QFT374" s="15"/>
      <c r="QFU374" s="15"/>
      <c r="QFV374" s="15"/>
      <c r="QFW374" s="15"/>
      <c r="QFX374" s="15"/>
      <c r="QFY374" s="10"/>
      <c r="QFZ374" s="10"/>
      <c r="QGA374" s="21"/>
      <c r="QGB374" s="21"/>
      <c r="QGE374" s="21"/>
      <c r="QGF374" s="15"/>
      <c r="QGG374" s="15"/>
      <c r="QGH374" s="15"/>
      <c r="QGI374" s="15"/>
      <c r="QGJ374" s="15"/>
      <c r="QGK374" s="15"/>
      <c r="QGL374" s="15"/>
      <c r="QGM374" s="15"/>
      <c r="QGN374" s="15"/>
      <c r="QGO374" s="15"/>
      <c r="QGP374" s="10"/>
      <c r="QGQ374" s="10"/>
      <c r="QGR374" s="21"/>
      <c r="QGS374" s="21"/>
      <c r="QGV374" s="21"/>
      <c r="QGW374" s="15"/>
      <c r="QGX374" s="15"/>
      <c r="QGY374" s="15"/>
      <c r="QGZ374" s="15"/>
      <c r="QHA374" s="15"/>
      <c r="QHB374" s="15"/>
      <c r="QHC374" s="15"/>
      <c r="QHD374" s="15"/>
      <c r="QHE374" s="15"/>
      <c r="QHF374" s="15"/>
      <c r="QHG374" s="10"/>
      <c r="QHH374" s="10"/>
      <c r="QHI374" s="21"/>
      <c r="QHJ374" s="21"/>
      <c r="QHM374" s="21"/>
      <c r="QHN374" s="15"/>
      <c r="QHO374" s="15"/>
      <c r="QHP374" s="15"/>
      <c r="QHQ374" s="15"/>
      <c r="QHR374" s="15"/>
      <c r="QHS374" s="15"/>
      <c r="QHT374" s="15"/>
      <c r="QHU374" s="15"/>
      <c r="QHV374" s="15"/>
      <c r="QHW374" s="15"/>
      <c r="QHX374" s="10"/>
      <c r="QHY374" s="10"/>
      <c r="QHZ374" s="21"/>
      <c r="QIA374" s="21"/>
      <c r="QID374" s="21"/>
      <c r="QIE374" s="15"/>
      <c r="QIF374" s="15"/>
      <c r="QIG374" s="15"/>
      <c r="QIH374" s="15"/>
      <c r="QII374" s="15"/>
      <c r="QIJ374" s="15"/>
      <c r="QIK374" s="15"/>
      <c r="QIL374" s="15"/>
      <c r="QIM374" s="15"/>
      <c r="QIN374" s="15"/>
      <c r="QIO374" s="10"/>
      <c r="QIP374" s="10"/>
      <c r="QIQ374" s="21"/>
      <c r="QIR374" s="21"/>
      <c r="QIU374" s="21"/>
      <c r="QIV374" s="15"/>
      <c r="QIW374" s="15"/>
      <c r="QIX374" s="15"/>
      <c r="QIY374" s="15"/>
      <c r="QIZ374" s="15"/>
      <c r="QJA374" s="15"/>
      <c r="QJB374" s="15"/>
      <c r="QJC374" s="15"/>
      <c r="QJD374" s="15"/>
      <c r="QJE374" s="15"/>
      <c r="QJF374" s="10"/>
      <c r="QJG374" s="10"/>
      <c r="QJH374" s="21"/>
      <c r="QJI374" s="21"/>
      <c r="QJL374" s="21"/>
      <c r="QJM374" s="15"/>
      <c r="QJN374" s="15"/>
      <c r="QJO374" s="15"/>
      <c r="QJP374" s="15"/>
      <c r="QJQ374" s="15"/>
      <c r="QJR374" s="15"/>
      <c r="QJS374" s="15"/>
      <c r="QJT374" s="15"/>
      <c r="QJU374" s="15"/>
      <c r="QJV374" s="15"/>
      <c r="QJW374" s="10"/>
      <c r="QJX374" s="10"/>
      <c r="QJY374" s="21"/>
      <c r="QJZ374" s="21"/>
      <c r="QKC374" s="21"/>
      <c r="QKD374" s="15"/>
      <c r="QKE374" s="15"/>
      <c r="QKF374" s="15"/>
      <c r="QKG374" s="15"/>
      <c r="QKH374" s="15"/>
      <c r="QKI374" s="15"/>
      <c r="QKJ374" s="15"/>
      <c r="QKK374" s="15"/>
      <c r="QKL374" s="15"/>
      <c r="QKM374" s="15"/>
      <c r="QKN374" s="10"/>
      <c r="QKO374" s="10"/>
      <c r="QKP374" s="21"/>
      <c r="QKQ374" s="21"/>
      <c r="QKT374" s="21"/>
      <c r="QKU374" s="15"/>
      <c r="QKV374" s="15"/>
      <c r="QKW374" s="15"/>
      <c r="QKX374" s="15"/>
      <c r="QKY374" s="15"/>
      <c r="QKZ374" s="15"/>
      <c r="QLA374" s="15"/>
      <c r="QLB374" s="15"/>
      <c r="QLC374" s="15"/>
      <c r="QLD374" s="15"/>
      <c r="QLE374" s="10"/>
      <c r="QLF374" s="10"/>
      <c r="QLG374" s="21"/>
      <c r="QLH374" s="21"/>
      <c r="QLK374" s="21"/>
      <c r="QLL374" s="15"/>
      <c r="QLM374" s="15"/>
      <c r="QLN374" s="15"/>
      <c r="QLO374" s="15"/>
      <c r="QLP374" s="15"/>
      <c r="QLQ374" s="15"/>
      <c r="QLR374" s="15"/>
      <c r="QLS374" s="15"/>
      <c r="QLT374" s="15"/>
      <c r="QLU374" s="15"/>
      <c r="QLV374" s="10"/>
      <c r="QLW374" s="10"/>
      <c r="QLX374" s="21"/>
      <c r="QLY374" s="21"/>
      <c r="QMB374" s="21"/>
      <c r="QMC374" s="15"/>
      <c r="QMD374" s="15"/>
      <c r="QME374" s="15"/>
      <c r="QMF374" s="15"/>
      <c r="QMG374" s="15"/>
      <c r="QMH374" s="15"/>
      <c r="QMI374" s="15"/>
      <c r="QMJ374" s="15"/>
      <c r="QMK374" s="15"/>
      <c r="QML374" s="15"/>
      <c r="QMM374" s="10"/>
      <c r="QMN374" s="10"/>
      <c r="QMO374" s="21"/>
      <c r="QMP374" s="21"/>
      <c r="QMS374" s="21"/>
      <c r="QMT374" s="15"/>
      <c r="QMU374" s="15"/>
      <c r="QMV374" s="15"/>
      <c r="QMW374" s="15"/>
      <c r="QMX374" s="15"/>
      <c r="QMY374" s="15"/>
      <c r="QMZ374" s="15"/>
      <c r="QNA374" s="15"/>
      <c r="QNB374" s="15"/>
      <c r="QNC374" s="15"/>
      <c r="QND374" s="10"/>
      <c r="QNE374" s="10"/>
      <c r="QNF374" s="21"/>
      <c r="QNG374" s="21"/>
      <c r="QNJ374" s="21"/>
      <c r="QNK374" s="15"/>
      <c r="QNL374" s="15"/>
      <c r="QNM374" s="15"/>
      <c r="QNN374" s="15"/>
      <c r="QNO374" s="15"/>
      <c r="QNP374" s="15"/>
      <c r="QNQ374" s="15"/>
      <c r="QNR374" s="15"/>
      <c r="QNS374" s="15"/>
      <c r="QNT374" s="15"/>
      <c r="QNU374" s="10"/>
      <c r="QNV374" s="10"/>
      <c r="QNW374" s="21"/>
      <c r="QNX374" s="21"/>
      <c r="QOA374" s="21"/>
      <c r="QOB374" s="15"/>
      <c r="QOC374" s="15"/>
      <c r="QOD374" s="15"/>
      <c r="QOE374" s="15"/>
      <c r="QOF374" s="15"/>
      <c r="QOG374" s="15"/>
      <c r="QOH374" s="15"/>
      <c r="QOI374" s="15"/>
      <c r="QOJ374" s="15"/>
      <c r="QOK374" s="15"/>
      <c r="QOL374" s="10"/>
      <c r="QOM374" s="10"/>
      <c r="QON374" s="21"/>
      <c r="QOO374" s="21"/>
      <c r="QOR374" s="21"/>
      <c r="QOS374" s="15"/>
      <c r="QOT374" s="15"/>
      <c r="QOU374" s="15"/>
      <c r="QOV374" s="15"/>
      <c r="QOW374" s="15"/>
      <c r="QOX374" s="15"/>
      <c r="QOY374" s="15"/>
      <c r="QOZ374" s="15"/>
      <c r="QPA374" s="15"/>
      <c r="QPB374" s="15"/>
      <c r="QPC374" s="10"/>
      <c r="QPD374" s="10"/>
      <c r="QPE374" s="21"/>
      <c r="QPF374" s="21"/>
      <c r="QPI374" s="21"/>
      <c r="QPJ374" s="15"/>
      <c r="QPK374" s="15"/>
      <c r="QPL374" s="15"/>
      <c r="QPM374" s="15"/>
      <c r="QPN374" s="15"/>
      <c r="QPO374" s="15"/>
      <c r="QPP374" s="15"/>
      <c r="QPQ374" s="15"/>
      <c r="QPR374" s="15"/>
      <c r="QPS374" s="15"/>
      <c r="QPT374" s="10"/>
      <c r="QPU374" s="10"/>
      <c r="QPV374" s="21"/>
      <c r="QPW374" s="21"/>
      <c r="QPZ374" s="21"/>
      <c r="QQA374" s="15"/>
      <c r="QQB374" s="15"/>
      <c r="QQC374" s="15"/>
      <c r="QQD374" s="15"/>
      <c r="QQE374" s="15"/>
      <c r="QQF374" s="15"/>
      <c r="QQG374" s="15"/>
      <c r="QQH374" s="15"/>
      <c r="QQI374" s="15"/>
      <c r="QQJ374" s="15"/>
      <c r="QQK374" s="10"/>
      <c r="QQL374" s="10"/>
      <c r="QQM374" s="21"/>
      <c r="QQN374" s="21"/>
      <c r="QQQ374" s="21"/>
      <c r="QQR374" s="15"/>
      <c r="QQS374" s="15"/>
      <c r="QQT374" s="15"/>
      <c r="QQU374" s="15"/>
      <c r="QQV374" s="15"/>
      <c r="QQW374" s="15"/>
      <c r="QQX374" s="15"/>
      <c r="QQY374" s="15"/>
      <c r="QQZ374" s="15"/>
      <c r="QRA374" s="15"/>
      <c r="QRB374" s="10"/>
      <c r="QRC374" s="10"/>
      <c r="QRD374" s="21"/>
      <c r="QRE374" s="21"/>
      <c r="QRH374" s="21"/>
      <c r="QRI374" s="15"/>
      <c r="QRJ374" s="15"/>
      <c r="QRK374" s="15"/>
      <c r="QRL374" s="15"/>
      <c r="QRM374" s="15"/>
      <c r="QRN374" s="15"/>
      <c r="QRO374" s="15"/>
      <c r="QRP374" s="15"/>
      <c r="QRQ374" s="15"/>
      <c r="QRR374" s="15"/>
      <c r="QRS374" s="10"/>
      <c r="QRT374" s="10"/>
      <c r="QRU374" s="21"/>
      <c r="QRV374" s="21"/>
      <c r="QRY374" s="21"/>
      <c r="QRZ374" s="15"/>
      <c r="QSA374" s="15"/>
      <c r="QSB374" s="15"/>
      <c r="QSC374" s="15"/>
      <c r="QSD374" s="15"/>
      <c r="QSE374" s="15"/>
      <c r="QSF374" s="15"/>
      <c r="QSG374" s="15"/>
      <c r="QSH374" s="15"/>
      <c r="QSI374" s="15"/>
      <c r="QSJ374" s="10"/>
      <c r="QSK374" s="10"/>
      <c r="QSL374" s="21"/>
      <c r="QSM374" s="21"/>
      <c r="QSP374" s="21"/>
      <c r="QSQ374" s="15"/>
      <c r="QSR374" s="15"/>
      <c r="QSS374" s="15"/>
      <c r="QST374" s="15"/>
      <c r="QSU374" s="15"/>
      <c r="QSV374" s="15"/>
      <c r="QSW374" s="15"/>
      <c r="QSX374" s="15"/>
      <c r="QSY374" s="15"/>
      <c r="QSZ374" s="15"/>
      <c r="QTA374" s="10"/>
      <c r="QTB374" s="10"/>
      <c r="QTC374" s="21"/>
      <c r="QTD374" s="21"/>
      <c r="QTG374" s="21"/>
      <c r="QTH374" s="15"/>
      <c r="QTI374" s="15"/>
      <c r="QTJ374" s="15"/>
      <c r="QTK374" s="15"/>
      <c r="QTL374" s="15"/>
      <c r="QTM374" s="15"/>
      <c r="QTN374" s="15"/>
      <c r="QTO374" s="15"/>
      <c r="QTP374" s="15"/>
      <c r="QTQ374" s="15"/>
      <c r="QTR374" s="10"/>
      <c r="QTS374" s="10"/>
      <c r="QTT374" s="21"/>
      <c r="QTU374" s="21"/>
      <c r="QTX374" s="21"/>
      <c r="QTY374" s="15"/>
      <c r="QTZ374" s="15"/>
      <c r="QUA374" s="15"/>
      <c r="QUB374" s="15"/>
      <c r="QUC374" s="15"/>
      <c r="QUD374" s="15"/>
      <c r="QUE374" s="15"/>
      <c r="QUF374" s="15"/>
      <c r="QUG374" s="15"/>
      <c r="QUH374" s="15"/>
      <c r="QUI374" s="10"/>
      <c r="QUJ374" s="10"/>
      <c r="QUK374" s="21"/>
      <c r="QUL374" s="21"/>
      <c r="QUO374" s="21"/>
      <c r="QUP374" s="15"/>
      <c r="QUQ374" s="15"/>
      <c r="QUR374" s="15"/>
      <c r="QUS374" s="15"/>
      <c r="QUT374" s="15"/>
      <c r="QUU374" s="15"/>
      <c r="QUV374" s="15"/>
      <c r="QUW374" s="15"/>
      <c r="QUX374" s="15"/>
      <c r="QUY374" s="15"/>
      <c r="QUZ374" s="10"/>
      <c r="QVA374" s="10"/>
      <c r="QVB374" s="21"/>
      <c r="QVC374" s="21"/>
      <c r="QVF374" s="21"/>
      <c r="QVG374" s="15"/>
      <c r="QVH374" s="15"/>
      <c r="QVI374" s="15"/>
      <c r="QVJ374" s="15"/>
      <c r="QVK374" s="15"/>
      <c r="QVL374" s="15"/>
      <c r="QVM374" s="15"/>
      <c r="QVN374" s="15"/>
      <c r="QVO374" s="15"/>
      <c r="QVP374" s="15"/>
      <c r="QVQ374" s="10"/>
      <c r="QVR374" s="10"/>
      <c r="QVS374" s="21"/>
      <c r="QVT374" s="21"/>
      <c r="QVW374" s="21"/>
      <c r="QVX374" s="15"/>
      <c r="QVY374" s="15"/>
      <c r="QVZ374" s="15"/>
      <c r="QWA374" s="15"/>
      <c r="QWB374" s="15"/>
      <c r="QWC374" s="15"/>
      <c r="QWD374" s="15"/>
      <c r="QWE374" s="15"/>
      <c r="QWF374" s="15"/>
      <c r="QWG374" s="15"/>
      <c r="QWH374" s="10"/>
      <c r="QWI374" s="10"/>
      <c r="QWJ374" s="21"/>
      <c r="QWK374" s="21"/>
      <c r="QWN374" s="21"/>
      <c r="QWO374" s="15"/>
      <c r="QWP374" s="15"/>
      <c r="QWQ374" s="15"/>
      <c r="QWR374" s="15"/>
      <c r="QWS374" s="15"/>
      <c r="QWT374" s="15"/>
      <c r="QWU374" s="15"/>
      <c r="QWV374" s="15"/>
      <c r="QWW374" s="15"/>
      <c r="QWX374" s="15"/>
      <c r="QWY374" s="10"/>
      <c r="QWZ374" s="10"/>
      <c r="QXA374" s="21"/>
      <c r="QXB374" s="21"/>
      <c r="QXE374" s="21"/>
      <c r="QXF374" s="15"/>
      <c r="QXG374" s="15"/>
      <c r="QXH374" s="15"/>
      <c r="QXI374" s="15"/>
      <c r="QXJ374" s="15"/>
      <c r="QXK374" s="15"/>
      <c r="QXL374" s="15"/>
      <c r="QXM374" s="15"/>
      <c r="QXN374" s="15"/>
      <c r="QXO374" s="15"/>
      <c r="QXP374" s="10"/>
      <c r="QXQ374" s="10"/>
      <c r="QXR374" s="21"/>
      <c r="QXS374" s="21"/>
      <c r="QXV374" s="21"/>
      <c r="QXW374" s="15"/>
      <c r="QXX374" s="15"/>
      <c r="QXY374" s="15"/>
      <c r="QXZ374" s="15"/>
      <c r="QYA374" s="15"/>
      <c r="QYB374" s="15"/>
      <c r="QYC374" s="15"/>
      <c r="QYD374" s="15"/>
      <c r="QYE374" s="15"/>
      <c r="QYF374" s="15"/>
      <c r="QYG374" s="10"/>
      <c r="QYH374" s="10"/>
      <c r="QYI374" s="21"/>
      <c r="QYJ374" s="21"/>
      <c r="QYM374" s="21"/>
      <c r="QYN374" s="15"/>
      <c r="QYO374" s="15"/>
      <c r="QYP374" s="15"/>
      <c r="QYQ374" s="15"/>
      <c r="QYR374" s="15"/>
      <c r="QYS374" s="15"/>
      <c r="QYT374" s="15"/>
      <c r="QYU374" s="15"/>
      <c r="QYV374" s="15"/>
      <c r="QYW374" s="15"/>
      <c r="QYX374" s="10"/>
      <c r="QYY374" s="10"/>
      <c r="QYZ374" s="21"/>
      <c r="QZA374" s="21"/>
      <c r="QZD374" s="21"/>
      <c r="QZE374" s="15"/>
      <c r="QZF374" s="15"/>
      <c r="QZG374" s="15"/>
      <c r="QZH374" s="15"/>
      <c r="QZI374" s="15"/>
      <c r="QZJ374" s="15"/>
      <c r="QZK374" s="15"/>
      <c r="QZL374" s="15"/>
      <c r="QZM374" s="15"/>
      <c r="QZN374" s="15"/>
      <c r="QZO374" s="10"/>
      <c r="QZP374" s="10"/>
      <c r="QZQ374" s="21"/>
      <c r="QZR374" s="21"/>
      <c r="QZU374" s="21"/>
      <c r="QZV374" s="15"/>
      <c r="QZW374" s="15"/>
      <c r="QZX374" s="15"/>
      <c r="QZY374" s="15"/>
      <c r="QZZ374" s="15"/>
      <c r="RAA374" s="15"/>
      <c r="RAB374" s="15"/>
      <c r="RAC374" s="15"/>
      <c r="RAD374" s="15"/>
      <c r="RAE374" s="15"/>
      <c r="RAF374" s="10"/>
      <c r="RAG374" s="10"/>
      <c r="RAH374" s="21"/>
      <c r="RAI374" s="21"/>
      <c r="RAL374" s="21"/>
      <c r="RAM374" s="15"/>
      <c r="RAN374" s="15"/>
      <c r="RAO374" s="15"/>
      <c r="RAP374" s="15"/>
      <c r="RAQ374" s="15"/>
      <c r="RAR374" s="15"/>
      <c r="RAS374" s="15"/>
      <c r="RAT374" s="15"/>
      <c r="RAU374" s="15"/>
      <c r="RAV374" s="15"/>
      <c r="RAW374" s="10"/>
      <c r="RAX374" s="10"/>
      <c r="RAY374" s="21"/>
      <c r="RAZ374" s="21"/>
      <c r="RBC374" s="21"/>
      <c r="RBD374" s="15"/>
      <c r="RBE374" s="15"/>
      <c r="RBF374" s="15"/>
      <c r="RBG374" s="15"/>
      <c r="RBH374" s="15"/>
      <c r="RBI374" s="15"/>
      <c r="RBJ374" s="15"/>
      <c r="RBK374" s="15"/>
      <c r="RBL374" s="15"/>
      <c r="RBM374" s="15"/>
      <c r="RBN374" s="10"/>
      <c r="RBO374" s="10"/>
      <c r="RBP374" s="21"/>
      <c r="RBQ374" s="21"/>
      <c r="RBT374" s="21"/>
      <c r="RBU374" s="15"/>
      <c r="RBV374" s="15"/>
      <c r="RBW374" s="15"/>
      <c r="RBX374" s="15"/>
      <c r="RBY374" s="15"/>
      <c r="RBZ374" s="15"/>
      <c r="RCA374" s="15"/>
      <c r="RCB374" s="15"/>
      <c r="RCC374" s="15"/>
      <c r="RCD374" s="15"/>
      <c r="RCE374" s="10"/>
      <c r="RCF374" s="10"/>
      <c r="RCG374" s="21"/>
      <c r="RCH374" s="21"/>
      <c r="RCK374" s="21"/>
      <c r="RCL374" s="15"/>
      <c r="RCM374" s="15"/>
      <c r="RCN374" s="15"/>
      <c r="RCO374" s="15"/>
      <c r="RCP374" s="15"/>
      <c r="RCQ374" s="15"/>
      <c r="RCR374" s="15"/>
      <c r="RCS374" s="15"/>
      <c r="RCT374" s="15"/>
      <c r="RCU374" s="15"/>
      <c r="RCV374" s="10"/>
      <c r="RCW374" s="10"/>
      <c r="RCX374" s="21"/>
      <c r="RCY374" s="21"/>
      <c r="RDB374" s="21"/>
      <c r="RDC374" s="15"/>
      <c r="RDD374" s="15"/>
      <c r="RDE374" s="15"/>
      <c r="RDF374" s="15"/>
      <c r="RDG374" s="15"/>
      <c r="RDH374" s="15"/>
      <c r="RDI374" s="15"/>
      <c r="RDJ374" s="15"/>
      <c r="RDK374" s="15"/>
      <c r="RDL374" s="15"/>
      <c r="RDM374" s="10"/>
      <c r="RDN374" s="10"/>
      <c r="RDO374" s="21"/>
      <c r="RDP374" s="21"/>
      <c r="RDS374" s="21"/>
      <c r="RDT374" s="15"/>
      <c r="RDU374" s="15"/>
      <c r="RDV374" s="15"/>
      <c r="RDW374" s="15"/>
      <c r="RDX374" s="15"/>
      <c r="RDY374" s="15"/>
      <c r="RDZ374" s="15"/>
      <c r="REA374" s="15"/>
      <c r="REB374" s="15"/>
      <c r="REC374" s="15"/>
      <c r="RED374" s="10"/>
      <c r="REE374" s="10"/>
      <c r="REF374" s="21"/>
      <c r="REG374" s="21"/>
      <c r="REJ374" s="21"/>
      <c r="REK374" s="15"/>
      <c r="REL374" s="15"/>
      <c r="REM374" s="15"/>
      <c r="REN374" s="15"/>
      <c r="REO374" s="15"/>
      <c r="REP374" s="15"/>
      <c r="REQ374" s="15"/>
      <c r="RER374" s="15"/>
      <c r="RES374" s="15"/>
      <c r="RET374" s="15"/>
      <c r="REU374" s="10"/>
      <c r="REV374" s="10"/>
      <c r="REW374" s="21"/>
      <c r="REX374" s="21"/>
      <c r="RFA374" s="21"/>
      <c r="RFB374" s="15"/>
      <c r="RFC374" s="15"/>
      <c r="RFD374" s="15"/>
      <c r="RFE374" s="15"/>
      <c r="RFF374" s="15"/>
      <c r="RFG374" s="15"/>
      <c r="RFH374" s="15"/>
      <c r="RFI374" s="15"/>
      <c r="RFJ374" s="15"/>
      <c r="RFK374" s="15"/>
      <c r="RFL374" s="10"/>
      <c r="RFM374" s="10"/>
      <c r="RFN374" s="21"/>
      <c r="RFO374" s="21"/>
      <c r="RFR374" s="21"/>
      <c r="RFS374" s="15"/>
      <c r="RFT374" s="15"/>
      <c r="RFU374" s="15"/>
      <c r="RFV374" s="15"/>
      <c r="RFW374" s="15"/>
      <c r="RFX374" s="15"/>
      <c r="RFY374" s="15"/>
      <c r="RFZ374" s="15"/>
      <c r="RGA374" s="15"/>
      <c r="RGB374" s="15"/>
      <c r="RGC374" s="10"/>
      <c r="RGD374" s="10"/>
      <c r="RGE374" s="21"/>
      <c r="RGF374" s="21"/>
      <c r="RGI374" s="21"/>
      <c r="RGJ374" s="15"/>
      <c r="RGK374" s="15"/>
      <c r="RGL374" s="15"/>
      <c r="RGM374" s="15"/>
      <c r="RGN374" s="15"/>
      <c r="RGO374" s="15"/>
      <c r="RGP374" s="15"/>
      <c r="RGQ374" s="15"/>
      <c r="RGR374" s="15"/>
      <c r="RGS374" s="15"/>
      <c r="RGT374" s="10"/>
      <c r="RGU374" s="10"/>
      <c r="RGV374" s="21"/>
      <c r="RGW374" s="21"/>
      <c r="RGZ374" s="21"/>
      <c r="RHA374" s="15"/>
      <c r="RHB374" s="15"/>
      <c r="RHC374" s="15"/>
      <c r="RHD374" s="15"/>
      <c r="RHE374" s="15"/>
      <c r="RHF374" s="15"/>
      <c r="RHG374" s="15"/>
      <c r="RHH374" s="15"/>
      <c r="RHI374" s="15"/>
      <c r="RHJ374" s="15"/>
      <c r="RHK374" s="10"/>
      <c r="RHL374" s="10"/>
      <c r="RHM374" s="21"/>
      <c r="RHN374" s="21"/>
      <c r="RHQ374" s="21"/>
      <c r="RHR374" s="15"/>
      <c r="RHS374" s="15"/>
      <c r="RHT374" s="15"/>
      <c r="RHU374" s="15"/>
      <c r="RHV374" s="15"/>
      <c r="RHW374" s="15"/>
      <c r="RHX374" s="15"/>
      <c r="RHY374" s="15"/>
      <c r="RHZ374" s="15"/>
      <c r="RIA374" s="15"/>
      <c r="RIB374" s="10"/>
      <c r="RIC374" s="10"/>
      <c r="RID374" s="21"/>
      <c r="RIE374" s="21"/>
      <c r="RIH374" s="21"/>
      <c r="RII374" s="15"/>
      <c r="RIJ374" s="15"/>
      <c r="RIK374" s="15"/>
      <c r="RIL374" s="15"/>
      <c r="RIM374" s="15"/>
      <c r="RIN374" s="15"/>
      <c r="RIO374" s="15"/>
      <c r="RIP374" s="15"/>
      <c r="RIQ374" s="15"/>
      <c r="RIR374" s="15"/>
      <c r="RIS374" s="10"/>
      <c r="RIT374" s="10"/>
      <c r="RIU374" s="21"/>
      <c r="RIV374" s="21"/>
      <c r="RIY374" s="21"/>
      <c r="RIZ374" s="15"/>
      <c r="RJA374" s="15"/>
      <c r="RJB374" s="15"/>
      <c r="RJC374" s="15"/>
      <c r="RJD374" s="15"/>
      <c r="RJE374" s="15"/>
      <c r="RJF374" s="15"/>
      <c r="RJG374" s="15"/>
      <c r="RJH374" s="15"/>
      <c r="RJI374" s="15"/>
      <c r="RJJ374" s="10"/>
      <c r="RJK374" s="10"/>
      <c r="RJL374" s="21"/>
      <c r="RJM374" s="21"/>
      <c r="RJP374" s="21"/>
      <c r="RJQ374" s="15"/>
      <c r="RJR374" s="15"/>
      <c r="RJS374" s="15"/>
      <c r="RJT374" s="15"/>
      <c r="RJU374" s="15"/>
      <c r="RJV374" s="15"/>
      <c r="RJW374" s="15"/>
      <c r="RJX374" s="15"/>
      <c r="RJY374" s="15"/>
      <c r="RJZ374" s="15"/>
      <c r="RKA374" s="10"/>
      <c r="RKB374" s="10"/>
      <c r="RKC374" s="21"/>
      <c r="RKD374" s="21"/>
      <c r="RKG374" s="21"/>
      <c r="RKH374" s="15"/>
      <c r="RKI374" s="15"/>
      <c r="RKJ374" s="15"/>
      <c r="RKK374" s="15"/>
      <c r="RKL374" s="15"/>
      <c r="RKM374" s="15"/>
      <c r="RKN374" s="15"/>
      <c r="RKO374" s="15"/>
      <c r="RKP374" s="15"/>
      <c r="RKQ374" s="15"/>
      <c r="RKR374" s="10"/>
      <c r="RKS374" s="10"/>
      <c r="RKT374" s="21"/>
      <c r="RKU374" s="21"/>
      <c r="RKX374" s="21"/>
      <c r="RKY374" s="15"/>
      <c r="RKZ374" s="15"/>
      <c r="RLA374" s="15"/>
      <c r="RLB374" s="15"/>
      <c r="RLC374" s="15"/>
      <c r="RLD374" s="15"/>
      <c r="RLE374" s="15"/>
      <c r="RLF374" s="15"/>
      <c r="RLG374" s="15"/>
      <c r="RLH374" s="15"/>
      <c r="RLI374" s="10"/>
      <c r="RLJ374" s="10"/>
      <c r="RLK374" s="21"/>
      <c r="RLL374" s="21"/>
      <c r="RLO374" s="21"/>
      <c r="RLP374" s="15"/>
      <c r="RLQ374" s="15"/>
      <c r="RLR374" s="15"/>
      <c r="RLS374" s="15"/>
      <c r="RLT374" s="15"/>
      <c r="RLU374" s="15"/>
      <c r="RLV374" s="15"/>
      <c r="RLW374" s="15"/>
      <c r="RLX374" s="15"/>
      <c r="RLY374" s="15"/>
      <c r="RLZ374" s="10"/>
      <c r="RMA374" s="10"/>
      <c r="RMB374" s="21"/>
      <c r="RMC374" s="21"/>
      <c r="RMF374" s="21"/>
      <c r="RMG374" s="15"/>
      <c r="RMH374" s="15"/>
      <c r="RMI374" s="15"/>
      <c r="RMJ374" s="15"/>
      <c r="RMK374" s="15"/>
      <c r="RML374" s="15"/>
      <c r="RMM374" s="15"/>
      <c r="RMN374" s="15"/>
      <c r="RMO374" s="15"/>
      <c r="RMP374" s="15"/>
      <c r="RMQ374" s="10"/>
      <c r="RMR374" s="10"/>
      <c r="RMS374" s="21"/>
      <c r="RMT374" s="21"/>
      <c r="RMW374" s="21"/>
      <c r="RMX374" s="15"/>
      <c r="RMY374" s="15"/>
      <c r="RMZ374" s="15"/>
      <c r="RNA374" s="15"/>
      <c r="RNB374" s="15"/>
      <c r="RNC374" s="15"/>
      <c r="RND374" s="15"/>
      <c r="RNE374" s="15"/>
      <c r="RNF374" s="15"/>
      <c r="RNG374" s="15"/>
      <c r="RNH374" s="10"/>
      <c r="RNI374" s="10"/>
      <c r="RNJ374" s="21"/>
      <c r="RNK374" s="21"/>
      <c r="RNN374" s="21"/>
      <c r="RNO374" s="15"/>
      <c r="RNP374" s="15"/>
      <c r="RNQ374" s="15"/>
      <c r="RNR374" s="15"/>
      <c r="RNS374" s="15"/>
      <c r="RNT374" s="15"/>
      <c r="RNU374" s="15"/>
      <c r="RNV374" s="15"/>
      <c r="RNW374" s="15"/>
      <c r="RNX374" s="15"/>
      <c r="RNY374" s="10"/>
      <c r="RNZ374" s="10"/>
      <c r="ROA374" s="21"/>
      <c r="ROB374" s="21"/>
      <c r="ROE374" s="21"/>
      <c r="ROF374" s="15"/>
      <c r="ROG374" s="15"/>
      <c r="ROH374" s="15"/>
      <c r="ROI374" s="15"/>
      <c r="ROJ374" s="15"/>
      <c r="ROK374" s="15"/>
      <c r="ROL374" s="15"/>
      <c r="ROM374" s="15"/>
      <c r="RON374" s="15"/>
      <c r="ROO374" s="15"/>
      <c r="ROP374" s="10"/>
      <c r="ROQ374" s="10"/>
      <c r="ROR374" s="21"/>
      <c r="ROS374" s="21"/>
      <c r="ROV374" s="21"/>
      <c r="ROW374" s="15"/>
      <c r="ROX374" s="15"/>
      <c r="ROY374" s="15"/>
      <c r="ROZ374" s="15"/>
      <c r="RPA374" s="15"/>
      <c r="RPB374" s="15"/>
      <c r="RPC374" s="15"/>
      <c r="RPD374" s="15"/>
      <c r="RPE374" s="15"/>
      <c r="RPF374" s="15"/>
      <c r="RPG374" s="10"/>
      <c r="RPH374" s="10"/>
      <c r="RPI374" s="21"/>
      <c r="RPJ374" s="21"/>
      <c r="RPM374" s="21"/>
      <c r="RPN374" s="15"/>
      <c r="RPO374" s="15"/>
      <c r="RPP374" s="15"/>
      <c r="RPQ374" s="15"/>
      <c r="RPR374" s="15"/>
      <c r="RPS374" s="15"/>
      <c r="RPT374" s="15"/>
      <c r="RPU374" s="15"/>
      <c r="RPV374" s="15"/>
      <c r="RPW374" s="15"/>
      <c r="RPX374" s="10"/>
      <c r="RPY374" s="10"/>
      <c r="RPZ374" s="21"/>
      <c r="RQA374" s="21"/>
      <c r="RQD374" s="21"/>
      <c r="RQE374" s="15"/>
      <c r="RQF374" s="15"/>
      <c r="RQG374" s="15"/>
      <c r="RQH374" s="15"/>
      <c r="RQI374" s="15"/>
      <c r="RQJ374" s="15"/>
      <c r="RQK374" s="15"/>
      <c r="RQL374" s="15"/>
      <c r="RQM374" s="15"/>
      <c r="RQN374" s="15"/>
      <c r="RQO374" s="10"/>
      <c r="RQP374" s="10"/>
      <c r="RQQ374" s="21"/>
      <c r="RQR374" s="21"/>
      <c r="RQU374" s="21"/>
      <c r="RQV374" s="15"/>
      <c r="RQW374" s="15"/>
      <c r="RQX374" s="15"/>
      <c r="RQY374" s="15"/>
      <c r="RQZ374" s="15"/>
      <c r="RRA374" s="15"/>
      <c r="RRB374" s="15"/>
      <c r="RRC374" s="15"/>
      <c r="RRD374" s="15"/>
      <c r="RRE374" s="15"/>
      <c r="RRF374" s="10"/>
      <c r="RRG374" s="10"/>
      <c r="RRH374" s="21"/>
      <c r="RRI374" s="21"/>
      <c r="RRL374" s="21"/>
      <c r="RRM374" s="15"/>
      <c r="RRN374" s="15"/>
      <c r="RRO374" s="15"/>
      <c r="RRP374" s="15"/>
      <c r="RRQ374" s="15"/>
      <c r="RRR374" s="15"/>
      <c r="RRS374" s="15"/>
      <c r="RRT374" s="15"/>
      <c r="RRU374" s="15"/>
      <c r="RRV374" s="15"/>
      <c r="RRW374" s="10"/>
      <c r="RRX374" s="10"/>
      <c r="RRY374" s="21"/>
      <c r="RRZ374" s="21"/>
      <c r="RSC374" s="21"/>
      <c r="RSD374" s="15"/>
      <c r="RSE374" s="15"/>
      <c r="RSF374" s="15"/>
      <c r="RSG374" s="15"/>
      <c r="RSH374" s="15"/>
      <c r="RSI374" s="15"/>
      <c r="RSJ374" s="15"/>
      <c r="RSK374" s="15"/>
      <c r="RSL374" s="15"/>
      <c r="RSM374" s="15"/>
      <c r="RSN374" s="10"/>
      <c r="RSO374" s="10"/>
      <c r="RSP374" s="21"/>
      <c r="RSQ374" s="21"/>
      <c r="RST374" s="21"/>
      <c r="RSU374" s="15"/>
      <c r="RSV374" s="15"/>
      <c r="RSW374" s="15"/>
      <c r="RSX374" s="15"/>
      <c r="RSY374" s="15"/>
      <c r="RSZ374" s="15"/>
      <c r="RTA374" s="15"/>
      <c r="RTB374" s="15"/>
      <c r="RTC374" s="15"/>
      <c r="RTD374" s="15"/>
      <c r="RTE374" s="10"/>
      <c r="RTF374" s="10"/>
      <c r="RTG374" s="21"/>
      <c r="RTH374" s="21"/>
      <c r="RTK374" s="21"/>
      <c r="RTL374" s="15"/>
      <c r="RTM374" s="15"/>
      <c r="RTN374" s="15"/>
      <c r="RTO374" s="15"/>
      <c r="RTP374" s="15"/>
      <c r="RTQ374" s="15"/>
      <c r="RTR374" s="15"/>
      <c r="RTS374" s="15"/>
      <c r="RTT374" s="15"/>
      <c r="RTU374" s="15"/>
      <c r="RTV374" s="10"/>
      <c r="RTW374" s="10"/>
      <c r="RTX374" s="21"/>
      <c r="RTY374" s="21"/>
      <c r="RUB374" s="21"/>
      <c r="RUC374" s="15"/>
      <c r="RUD374" s="15"/>
      <c r="RUE374" s="15"/>
      <c r="RUF374" s="15"/>
      <c r="RUG374" s="15"/>
      <c r="RUH374" s="15"/>
      <c r="RUI374" s="15"/>
      <c r="RUJ374" s="15"/>
      <c r="RUK374" s="15"/>
      <c r="RUL374" s="15"/>
      <c r="RUM374" s="10"/>
      <c r="RUN374" s="10"/>
      <c r="RUO374" s="21"/>
      <c r="RUP374" s="21"/>
      <c r="RUS374" s="21"/>
      <c r="RUT374" s="15"/>
      <c r="RUU374" s="15"/>
      <c r="RUV374" s="15"/>
      <c r="RUW374" s="15"/>
      <c r="RUX374" s="15"/>
      <c r="RUY374" s="15"/>
      <c r="RUZ374" s="15"/>
      <c r="RVA374" s="15"/>
      <c r="RVB374" s="15"/>
      <c r="RVC374" s="15"/>
      <c r="RVD374" s="10"/>
      <c r="RVE374" s="10"/>
      <c r="RVF374" s="21"/>
      <c r="RVG374" s="21"/>
      <c r="RVJ374" s="21"/>
      <c r="RVK374" s="15"/>
      <c r="RVL374" s="15"/>
      <c r="RVM374" s="15"/>
      <c r="RVN374" s="15"/>
      <c r="RVO374" s="15"/>
      <c r="RVP374" s="15"/>
      <c r="RVQ374" s="15"/>
      <c r="RVR374" s="15"/>
      <c r="RVS374" s="15"/>
      <c r="RVT374" s="15"/>
      <c r="RVU374" s="10"/>
      <c r="RVV374" s="10"/>
      <c r="RVW374" s="21"/>
      <c r="RVX374" s="21"/>
      <c r="RWA374" s="21"/>
      <c r="RWB374" s="15"/>
      <c r="RWC374" s="15"/>
      <c r="RWD374" s="15"/>
      <c r="RWE374" s="15"/>
      <c r="RWF374" s="15"/>
      <c r="RWG374" s="15"/>
      <c r="RWH374" s="15"/>
      <c r="RWI374" s="15"/>
      <c r="RWJ374" s="15"/>
      <c r="RWK374" s="15"/>
      <c r="RWL374" s="10"/>
      <c r="RWM374" s="10"/>
      <c r="RWN374" s="21"/>
      <c r="RWO374" s="21"/>
      <c r="RWR374" s="21"/>
      <c r="RWS374" s="15"/>
      <c r="RWT374" s="15"/>
      <c r="RWU374" s="15"/>
      <c r="RWV374" s="15"/>
      <c r="RWW374" s="15"/>
      <c r="RWX374" s="15"/>
      <c r="RWY374" s="15"/>
      <c r="RWZ374" s="15"/>
      <c r="RXA374" s="15"/>
      <c r="RXB374" s="15"/>
      <c r="RXC374" s="10"/>
      <c r="RXD374" s="10"/>
      <c r="RXE374" s="21"/>
      <c r="RXF374" s="21"/>
      <c r="RXI374" s="21"/>
      <c r="RXJ374" s="15"/>
      <c r="RXK374" s="15"/>
      <c r="RXL374" s="15"/>
      <c r="RXM374" s="15"/>
      <c r="RXN374" s="15"/>
      <c r="RXO374" s="15"/>
      <c r="RXP374" s="15"/>
      <c r="RXQ374" s="15"/>
      <c r="RXR374" s="15"/>
      <c r="RXS374" s="15"/>
      <c r="RXT374" s="10"/>
      <c r="RXU374" s="10"/>
      <c r="RXV374" s="21"/>
      <c r="RXW374" s="21"/>
      <c r="RXZ374" s="21"/>
      <c r="RYA374" s="15"/>
      <c r="RYB374" s="15"/>
      <c r="RYC374" s="15"/>
      <c r="RYD374" s="15"/>
      <c r="RYE374" s="15"/>
      <c r="RYF374" s="15"/>
      <c r="RYG374" s="15"/>
      <c r="RYH374" s="15"/>
      <c r="RYI374" s="15"/>
      <c r="RYJ374" s="15"/>
      <c r="RYK374" s="10"/>
      <c r="RYL374" s="10"/>
      <c r="RYM374" s="21"/>
      <c r="RYN374" s="21"/>
      <c r="RYQ374" s="21"/>
      <c r="RYR374" s="15"/>
      <c r="RYS374" s="15"/>
      <c r="RYT374" s="15"/>
      <c r="RYU374" s="15"/>
      <c r="RYV374" s="15"/>
      <c r="RYW374" s="15"/>
      <c r="RYX374" s="15"/>
      <c r="RYY374" s="15"/>
      <c r="RYZ374" s="15"/>
      <c r="RZA374" s="15"/>
      <c r="RZB374" s="10"/>
      <c r="RZC374" s="10"/>
      <c r="RZD374" s="21"/>
      <c r="RZE374" s="21"/>
      <c r="RZH374" s="21"/>
      <c r="RZI374" s="15"/>
      <c r="RZJ374" s="15"/>
      <c r="RZK374" s="15"/>
      <c r="RZL374" s="15"/>
      <c r="RZM374" s="15"/>
      <c r="RZN374" s="15"/>
      <c r="RZO374" s="15"/>
      <c r="RZP374" s="15"/>
      <c r="RZQ374" s="15"/>
      <c r="RZR374" s="15"/>
      <c r="RZS374" s="10"/>
      <c r="RZT374" s="10"/>
      <c r="RZU374" s="21"/>
      <c r="RZV374" s="21"/>
      <c r="RZY374" s="21"/>
      <c r="RZZ374" s="15"/>
      <c r="SAA374" s="15"/>
      <c r="SAB374" s="15"/>
      <c r="SAC374" s="15"/>
      <c r="SAD374" s="15"/>
      <c r="SAE374" s="15"/>
      <c r="SAF374" s="15"/>
      <c r="SAG374" s="15"/>
      <c r="SAH374" s="15"/>
      <c r="SAI374" s="15"/>
      <c r="SAJ374" s="10"/>
      <c r="SAK374" s="10"/>
      <c r="SAL374" s="21"/>
      <c r="SAM374" s="21"/>
      <c r="SAP374" s="21"/>
      <c r="SAQ374" s="15"/>
      <c r="SAR374" s="15"/>
      <c r="SAS374" s="15"/>
      <c r="SAT374" s="15"/>
      <c r="SAU374" s="15"/>
      <c r="SAV374" s="15"/>
      <c r="SAW374" s="15"/>
      <c r="SAX374" s="15"/>
      <c r="SAY374" s="15"/>
      <c r="SAZ374" s="15"/>
      <c r="SBA374" s="10"/>
      <c r="SBB374" s="10"/>
      <c r="SBC374" s="21"/>
      <c r="SBD374" s="21"/>
      <c r="SBG374" s="21"/>
      <c r="SBH374" s="15"/>
      <c r="SBI374" s="15"/>
      <c r="SBJ374" s="15"/>
      <c r="SBK374" s="15"/>
      <c r="SBL374" s="15"/>
      <c r="SBM374" s="15"/>
      <c r="SBN374" s="15"/>
      <c r="SBO374" s="15"/>
      <c r="SBP374" s="15"/>
      <c r="SBQ374" s="15"/>
      <c r="SBR374" s="10"/>
      <c r="SBS374" s="10"/>
      <c r="SBT374" s="21"/>
      <c r="SBU374" s="21"/>
      <c r="SBX374" s="21"/>
      <c r="SBY374" s="15"/>
      <c r="SBZ374" s="15"/>
      <c r="SCA374" s="15"/>
      <c r="SCB374" s="15"/>
      <c r="SCC374" s="15"/>
      <c r="SCD374" s="15"/>
      <c r="SCE374" s="15"/>
      <c r="SCF374" s="15"/>
      <c r="SCG374" s="15"/>
      <c r="SCH374" s="15"/>
      <c r="SCI374" s="10"/>
      <c r="SCJ374" s="10"/>
      <c r="SCK374" s="21"/>
      <c r="SCL374" s="21"/>
      <c r="SCO374" s="21"/>
      <c r="SCP374" s="15"/>
      <c r="SCQ374" s="15"/>
      <c r="SCR374" s="15"/>
      <c r="SCS374" s="15"/>
      <c r="SCT374" s="15"/>
      <c r="SCU374" s="15"/>
      <c r="SCV374" s="15"/>
      <c r="SCW374" s="15"/>
      <c r="SCX374" s="15"/>
      <c r="SCY374" s="15"/>
      <c r="SCZ374" s="10"/>
      <c r="SDA374" s="10"/>
      <c r="SDB374" s="21"/>
      <c r="SDC374" s="21"/>
      <c r="SDF374" s="21"/>
      <c r="SDG374" s="15"/>
      <c r="SDH374" s="15"/>
      <c r="SDI374" s="15"/>
      <c r="SDJ374" s="15"/>
      <c r="SDK374" s="15"/>
      <c r="SDL374" s="15"/>
      <c r="SDM374" s="15"/>
      <c r="SDN374" s="15"/>
      <c r="SDO374" s="15"/>
      <c r="SDP374" s="15"/>
      <c r="SDQ374" s="10"/>
      <c r="SDR374" s="10"/>
      <c r="SDS374" s="21"/>
      <c r="SDT374" s="21"/>
      <c r="SDW374" s="21"/>
      <c r="SDX374" s="15"/>
      <c r="SDY374" s="15"/>
      <c r="SDZ374" s="15"/>
      <c r="SEA374" s="15"/>
      <c r="SEB374" s="15"/>
      <c r="SEC374" s="15"/>
      <c r="SED374" s="15"/>
      <c r="SEE374" s="15"/>
      <c r="SEF374" s="15"/>
      <c r="SEG374" s="15"/>
      <c r="SEH374" s="10"/>
      <c r="SEI374" s="10"/>
      <c r="SEJ374" s="21"/>
      <c r="SEK374" s="21"/>
      <c r="SEN374" s="21"/>
      <c r="SEO374" s="15"/>
      <c r="SEP374" s="15"/>
      <c r="SEQ374" s="15"/>
      <c r="SER374" s="15"/>
      <c r="SES374" s="15"/>
      <c r="SET374" s="15"/>
      <c r="SEU374" s="15"/>
      <c r="SEV374" s="15"/>
      <c r="SEW374" s="15"/>
      <c r="SEX374" s="15"/>
      <c r="SEY374" s="10"/>
      <c r="SEZ374" s="10"/>
      <c r="SFA374" s="21"/>
      <c r="SFB374" s="21"/>
      <c r="SFE374" s="21"/>
      <c r="SFF374" s="15"/>
      <c r="SFG374" s="15"/>
      <c r="SFH374" s="15"/>
      <c r="SFI374" s="15"/>
      <c r="SFJ374" s="15"/>
      <c r="SFK374" s="15"/>
      <c r="SFL374" s="15"/>
      <c r="SFM374" s="15"/>
      <c r="SFN374" s="15"/>
      <c r="SFO374" s="15"/>
      <c r="SFP374" s="10"/>
      <c r="SFQ374" s="10"/>
      <c r="SFR374" s="21"/>
      <c r="SFS374" s="21"/>
      <c r="SFV374" s="21"/>
      <c r="SFW374" s="15"/>
      <c r="SFX374" s="15"/>
      <c r="SFY374" s="15"/>
      <c r="SFZ374" s="15"/>
      <c r="SGA374" s="15"/>
      <c r="SGB374" s="15"/>
      <c r="SGC374" s="15"/>
      <c r="SGD374" s="15"/>
      <c r="SGE374" s="15"/>
      <c r="SGF374" s="15"/>
      <c r="SGG374" s="10"/>
      <c r="SGH374" s="10"/>
      <c r="SGI374" s="21"/>
      <c r="SGJ374" s="21"/>
      <c r="SGM374" s="21"/>
      <c r="SGN374" s="15"/>
      <c r="SGO374" s="15"/>
      <c r="SGP374" s="15"/>
      <c r="SGQ374" s="15"/>
      <c r="SGR374" s="15"/>
      <c r="SGS374" s="15"/>
      <c r="SGT374" s="15"/>
      <c r="SGU374" s="15"/>
      <c r="SGV374" s="15"/>
      <c r="SGW374" s="15"/>
      <c r="SGX374" s="10"/>
      <c r="SGY374" s="10"/>
      <c r="SGZ374" s="21"/>
      <c r="SHA374" s="21"/>
      <c r="SHD374" s="21"/>
      <c r="SHE374" s="15"/>
      <c r="SHF374" s="15"/>
      <c r="SHG374" s="15"/>
      <c r="SHH374" s="15"/>
      <c r="SHI374" s="15"/>
      <c r="SHJ374" s="15"/>
      <c r="SHK374" s="15"/>
      <c r="SHL374" s="15"/>
      <c r="SHM374" s="15"/>
      <c r="SHN374" s="15"/>
      <c r="SHO374" s="10"/>
      <c r="SHP374" s="10"/>
      <c r="SHQ374" s="21"/>
      <c r="SHR374" s="21"/>
      <c r="SHU374" s="21"/>
      <c r="SHV374" s="15"/>
      <c r="SHW374" s="15"/>
      <c r="SHX374" s="15"/>
      <c r="SHY374" s="15"/>
      <c r="SHZ374" s="15"/>
      <c r="SIA374" s="15"/>
      <c r="SIB374" s="15"/>
      <c r="SIC374" s="15"/>
      <c r="SID374" s="15"/>
      <c r="SIE374" s="15"/>
      <c r="SIF374" s="10"/>
      <c r="SIG374" s="10"/>
      <c r="SIH374" s="21"/>
      <c r="SII374" s="21"/>
      <c r="SIL374" s="21"/>
      <c r="SIM374" s="15"/>
      <c r="SIN374" s="15"/>
      <c r="SIO374" s="15"/>
      <c r="SIP374" s="15"/>
      <c r="SIQ374" s="15"/>
      <c r="SIR374" s="15"/>
      <c r="SIS374" s="15"/>
      <c r="SIT374" s="15"/>
      <c r="SIU374" s="15"/>
      <c r="SIV374" s="15"/>
      <c r="SIW374" s="10"/>
      <c r="SIX374" s="10"/>
      <c r="SIY374" s="21"/>
      <c r="SIZ374" s="21"/>
      <c r="SJC374" s="21"/>
      <c r="SJD374" s="15"/>
      <c r="SJE374" s="15"/>
      <c r="SJF374" s="15"/>
      <c r="SJG374" s="15"/>
      <c r="SJH374" s="15"/>
      <c r="SJI374" s="15"/>
      <c r="SJJ374" s="15"/>
      <c r="SJK374" s="15"/>
      <c r="SJL374" s="15"/>
      <c r="SJM374" s="15"/>
      <c r="SJN374" s="10"/>
      <c r="SJO374" s="10"/>
      <c r="SJP374" s="21"/>
      <c r="SJQ374" s="21"/>
      <c r="SJT374" s="21"/>
      <c r="SJU374" s="15"/>
      <c r="SJV374" s="15"/>
      <c r="SJW374" s="15"/>
      <c r="SJX374" s="15"/>
      <c r="SJY374" s="15"/>
      <c r="SJZ374" s="15"/>
      <c r="SKA374" s="15"/>
      <c r="SKB374" s="15"/>
      <c r="SKC374" s="15"/>
      <c r="SKD374" s="15"/>
      <c r="SKE374" s="10"/>
      <c r="SKF374" s="10"/>
      <c r="SKG374" s="21"/>
      <c r="SKH374" s="21"/>
      <c r="SKK374" s="21"/>
      <c r="SKL374" s="15"/>
      <c r="SKM374" s="15"/>
      <c r="SKN374" s="15"/>
      <c r="SKO374" s="15"/>
      <c r="SKP374" s="15"/>
      <c r="SKQ374" s="15"/>
      <c r="SKR374" s="15"/>
      <c r="SKS374" s="15"/>
      <c r="SKT374" s="15"/>
      <c r="SKU374" s="15"/>
      <c r="SKV374" s="10"/>
      <c r="SKW374" s="10"/>
      <c r="SKX374" s="21"/>
      <c r="SKY374" s="21"/>
      <c r="SLB374" s="21"/>
      <c r="SLC374" s="15"/>
      <c r="SLD374" s="15"/>
      <c r="SLE374" s="15"/>
      <c r="SLF374" s="15"/>
      <c r="SLG374" s="15"/>
      <c r="SLH374" s="15"/>
      <c r="SLI374" s="15"/>
      <c r="SLJ374" s="15"/>
      <c r="SLK374" s="15"/>
      <c r="SLL374" s="15"/>
      <c r="SLM374" s="10"/>
      <c r="SLN374" s="10"/>
      <c r="SLO374" s="21"/>
      <c r="SLP374" s="21"/>
      <c r="SLS374" s="21"/>
      <c r="SLT374" s="15"/>
      <c r="SLU374" s="15"/>
      <c r="SLV374" s="15"/>
      <c r="SLW374" s="15"/>
      <c r="SLX374" s="15"/>
      <c r="SLY374" s="15"/>
      <c r="SLZ374" s="15"/>
      <c r="SMA374" s="15"/>
      <c r="SMB374" s="15"/>
      <c r="SMC374" s="15"/>
      <c r="SMD374" s="10"/>
      <c r="SME374" s="10"/>
      <c r="SMF374" s="21"/>
      <c r="SMG374" s="21"/>
      <c r="SMJ374" s="21"/>
      <c r="SMK374" s="15"/>
      <c r="SML374" s="15"/>
      <c r="SMM374" s="15"/>
      <c r="SMN374" s="15"/>
      <c r="SMO374" s="15"/>
      <c r="SMP374" s="15"/>
      <c r="SMQ374" s="15"/>
      <c r="SMR374" s="15"/>
      <c r="SMS374" s="15"/>
      <c r="SMT374" s="15"/>
      <c r="SMU374" s="10"/>
      <c r="SMV374" s="10"/>
      <c r="SMW374" s="21"/>
      <c r="SMX374" s="21"/>
      <c r="SNA374" s="21"/>
      <c r="SNB374" s="15"/>
      <c r="SNC374" s="15"/>
      <c r="SND374" s="15"/>
      <c r="SNE374" s="15"/>
      <c r="SNF374" s="15"/>
      <c r="SNG374" s="15"/>
      <c r="SNH374" s="15"/>
      <c r="SNI374" s="15"/>
      <c r="SNJ374" s="15"/>
      <c r="SNK374" s="15"/>
      <c r="SNL374" s="10"/>
      <c r="SNM374" s="10"/>
      <c r="SNN374" s="21"/>
      <c r="SNO374" s="21"/>
      <c r="SNR374" s="21"/>
      <c r="SNS374" s="15"/>
      <c r="SNT374" s="15"/>
      <c r="SNU374" s="15"/>
      <c r="SNV374" s="15"/>
      <c r="SNW374" s="15"/>
      <c r="SNX374" s="15"/>
      <c r="SNY374" s="15"/>
      <c r="SNZ374" s="15"/>
      <c r="SOA374" s="15"/>
      <c r="SOB374" s="15"/>
      <c r="SOC374" s="10"/>
      <c r="SOD374" s="10"/>
      <c r="SOE374" s="21"/>
      <c r="SOF374" s="21"/>
      <c r="SOI374" s="21"/>
      <c r="SOJ374" s="15"/>
      <c r="SOK374" s="15"/>
      <c r="SOL374" s="15"/>
      <c r="SOM374" s="15"/>
      <c r="SON374" s="15"/>
      <c r="SOO374" s="15"/>
      <c r="SOP374" s="15"/>
      <c r="SOQ374" s="15"/>
      <c r="SOR374" s="15"/>
      <c r="SOS374" s="15"/>
      <c r="SOT374" s="10"/>
      <c r="SOU374" s="10"/>
      <c r="SOV374" s="21"/>
      <c r="SOW374" s="21"/>
      <c r="SOZ374" s="21"/>
      <c r="SPA374" s="15"/>
      <c r="SPB374" s="15"/>
      <c r="SPC374" s="15"/>
      <c r="SPD374" s="15"/>
      <c r="SPE374" s="15"/>
      <c r="SPF374" s="15"/>
      <c r="SPG374" s="15"/>
      <c r="SPH374" s="15"/>
      <c r="SPI374" s="15"/>
      <c r="SPJ374" s="15"/>
      <c r="SPK374" s="10"/>
      <c r="SPL374" s="10"/>
      <c r="SPM374" s="21"/>
      <c r="SPN374" s="21"/>
      <c r="SPQ374" s="21"/>
      <c r="SPR374" s="15"/>
      <c r="SPS374" s="15"/>
      <c r="SPT374" s="15"/>
      <c r="SPU374" s="15"/>
      <c r="SPV374" s="15"/>
      <c r="SPW374" s="15"/>
      <c r="SPX374" s="15"/>
      <c r="SPY374" s="15"/>
      <c r="SPZ374" s="15"/>
      <c r="SQA374" s="15"/>
      <c r="SQB374" s="10"/>
      <c r="SQC374" s="10"/>
      <c r="SQD374" s="21"/>
      <c r="SQE374" s="21"/>
      <c r="SQH374" s="21"/>
      <c r="SQI374" s="15"/>
      <c r="SQJ374" s="15"/>
      <c r="SQK374" s="15"/>
      <c r="SQL374" s="15"/>
      <c r="SQM374" s="15"/>
      <c r="SQN374" s="15"/>
      <c r="SQO374" s="15"/>
      <c r="SQP374" s="15"/>
      <c r="SQQ374" s="15"/>
      <c r="SQR374" s="15"/>
      <c r="SQS374" s="10"/>
      <c r="SQT374" s="10"/>
      <c r="SQU374" s="21"/>
      <c r="SQV374" s="21"/>
      <c r="SQY374" s="21"/>
      <c r="SQZ374" s="15"/>
      <c r="SRA374" s="15"/>
      <c r="SRB374" s="15"/>
      <c r="SRC374" s="15"/>
      <c r="SRD374" s="15"/>
      <c r="SRE374" s="15"/>
      <c r="SRF374" s="15"/>
      <c r="SRG374" s="15"/>
      <c r="SRH374" s="15"/>
      <c r="SRI374" s="15"/>
      <c r="SRJ374" s="10"/>
      <c r="SRK374" s="10"/>
      <c r="SRL374" s="21"/>
      <c r="SRM374" s="21"/>
      <c r="SRP374" s="21"/>
      <c r="SRQ374" s="15"/>
      <c r="SRR374" s="15"/>
      <c r="SRS374" s="15"/>
      <c r="SRT374" s="15"/>
      <c r="SRU374" s="15"/>
      <c r="SRV374" s="15"/>
      <c r="SRW374" s="15"/>
      <c r="SRX374" s="15"/>
      <c r="SRY374" s="15"/>
      <c r="SRZ374" s="15"/>
      <c r="SSA374" s="10"/>
      <c r="SSB374" s="10"/>
      <c r="SSC374" s="21"/>
      <c r="SSD374" s="21"/>
      <c r="SSG374" s="21"/>
      <c r="SSH374" s="15"/>
      <c r="SSI374" s="15"/>
      <c r="SSJ374" s="15"/>
      <c r="SSK374" s="15"/>
      <c r="SSL374" s="15"/>
      <c r="SSM374" s="15"/>
      <c r="SSN374" s="15"/>
      <c r="SSO374" s="15"/>
      <c r="SSP374" s="15"/>
      <c r="SSQ374" s="15"/>
      <c r="SSR374" s="10"/>
      <c r="SSS374" s="10"/>
      <c r="SST374" s="21"/>
      <c r="SSU374" s="21"/>
      <c r="SSX374" s="21"/>
      <c r="SSY374" s="15"/>
      <c r="SSZ374" s="15"/>
      <c r="STA374" s="15"/>
      <c r="STB374" s="15"/>
      <c r="STC374" s="15"/>
      <c r="STD374" s="15"/>
      <c r="STE374" s="15"/>
      <c r="STF374" s="15"/>
      <c r="STG374" s="15"/>
      <c r="STH374" s="15"/>
      <c r="STI374" s="10"/>
      <c r="STJ374" s="10"/>
      <c r="STK374" s="21"/>
      <c r="STL374" s="21"/>
      <c r="STO374" s="21"/>
      <c r="STP374" s="15"/>
      <c r="STQ374" s="15"/>
      <c r="STR374" s="15"/>
      <c r="STS374" s="15"/>
      <c r="STT374" s="15"/>
      <c r="STU374" s="15"/>
      <c r="STV374" s="15"/>
      <c r="STW374" s="15"/>
      <c r="STX374" s="15"/>
      <c r="STY374" s="15"/>
      <c r="STZ374" s="10"/>
      <c r="SUA374" s="10"/>
      <c r="SUB374" s="21"/>
      <c r="SUC374" s="21"/>
      <c r="SUF374" s="21"/>
      <c r="SUG374" s="15"/>
      <c r="SUH374" s="15"/>
      <c r="SUI374" s="15"/>
      <c r="SUJ374" s="15"/>
      <c r="SUK374" s="15"/>
      <c r="SUL374" s="15"/>
      <c r="SUM374" s="15"/>
      <c r="SUN374" s="15"/>
      <c r="SUO374" s="15"/>
      <c r="SUP374" s="15"/>
      <c r="SUQ374" s="10"/>
      <c r="SUR374" s="10"/>
      <c r="SUS374" s="21"/>
      <c r="SUT374" s="21"/>
      <c r="SUW374" s="21"/>
      <c r="SUX374" s="15"/>
      <c r="SUY374" s="15"/>
      <c r="SUZ374" s="15"/>
      <c r="SVA374" s="15"/>
      <c r="SVB374" s="15"/>
      <c r="SVC374" s="15"/>
      <c r="SVD374" s="15"/>
      <c r="SVE374" s="15"/>
      <c r="SVF374" s="15"/>
      <c r="SVG374" s="15"/>
      <c r="SVH374" s="10"/>
      <c r="SVI374" s="10"/>
      <c r="SVJ374" s="21"/>
      <c r="SVK374" s="21"/>
      <c r="SVN374" s="21"/>
      <c r="SVO374" s="15"/>
      <c r="SVP374" s="15"/>
      <c r="SVQ374" s="15"/>
      <c r="SVR374" s="15"/>
      <c r="SVS374" s="15"/>
      <c r="SVT374" s="15"/>
      <c r="SVU374" s="15"/>
      <c r="SVV374" s="15"/>
      <c r="SVW374" s="15"/>
      <c r="SVX374" s="15"/>
      <c r="SVY374" s="10"/>
      <c r="SVZ374" s="10"/>
      <c r="SWA374" s="21"/>
      <c r="SWB374" s="21"/>
      <c r="SWE374" s="21"/>
      <c r="SWF374" s="15"/>
      <c r="SWG374" s="15"/>
      <c r="SWH374" s="15"/>
      <c r="SWI374" s="15"/>
      <c r="SWJ374" s="15"/>
      <c r="SWK374" s="15"/>
      <c r="SWL374" s="15"/>
      <c r="SWM374" s="15"/>
      <c r="SWN374" s="15"/>
      <c r="SWO374" s="15"/>
      <c r="SWP374" s="10"/>
      <c r="SWQ374" s="10"/>
      <c r="SWR374" s="21"/>
      <c r="SWS374" s="21"/>
      <c r="SWV374" s="21"/>
      <c r="SWW374" s="15"/>
      <c r="SWX374" s="15"/>
      <c r="SWY374" s="15"/>
      <c r="SWZ374" s="15"/>
      <c r="SXA374" s="15"/>
      <c r="SXB374" s="15"/>
      <c r="SXC374" s="15"/>
      <c r="SXD374" s="15"/>
      <c r="SXE374" s="15"/>
      <c r="SXF374" s="15"/>
      <c r="SXG374" s="10"/>
      <c r="SXH374" s="10"/>
      <c r="SXI374" s="21"/>
      <c r="SXJ374" s="21"/>
      <c r="SXM374" s="21"/>
      <c r="SXN374" s="15"/>
      <c r="SXO374" s="15"/>
      <c r="SXP374" s="15"/>
      <c r="SXQ374" s="15"/>
      <c r="SXR374" s="15"/>
      <c r="SXS374" s="15"/>
      <c r="SXT374" s="15"/>
      <c r="SXU374" s="15"/>
      <c r="SXV374" s="15"/>
      <c r="SXW374" s="15"/>
      <c r="SXX374" s="10"/>
      <c r="SXY374" s="10"/>
      <c r="SXZ374" s="21"/>
      <c r="SYA374" s="21"/>
      <c r="SYD374" s="21"/>
      <c r="SYE374" s="15"/>
      <c r="SYF374" s="15"/>
      <c r="SYG374" s="15"/>
      <c r="SYH374" s="15"/>
      <c r="SYI374" s="15"/>
      <c r="SYJ374" s="15"/>
      <c r="SYK374" s="15"/>
      <c r="SYL374" s="15"/>
      <c r="SYM374" s="15"/>
      <c r="SYN374" s="15"/>
      <c r="SYO374" s="10"/>
      <c r="SYP374" s="10"/>
      <c r="SYQ374" s="21"/>
      <c r="SYR374" s="21"/>
      <c r="SYU374" s="21"/>
      <c r="SYV374" s="15"/>
      <c r="SYW374" s="15"/>
      <c r="SYX374" s="15"/>
      <c r="SYY374" s="15"/>
      <c r="SYZ374" s="15"/>
      <c r="SZA374" s="15"/>
      <c r="SZB374" s="15"/>
      <c r="SZC374" s="15"/>
      <c r="SZD374" s="15"/>
      <c r="SZE374" s="15"/>
      <c r="SZF374" s="10"/>
      <c r="SZG374" s="10"/>
      <c r="SZH374" s="21"/>
      <c r="SZI374" s="21"/>
      <c r="SZL374" s="21"/>
      <c r="SZM374" s="15"/>
      <c r="SZN374" s="15"/>
      <c r="SZO374" s="15"/>
      <c r="SZP374" s="15"/>
      <c r="SZQ374" s="15"/>
      <c r="SZR374" s="15"/>
      <c r="SZS374" s="15"/>
      <c r="SZT374" s="15"/>
      <c r="SZU374" s="15"/>
      <c r="SZV374" s="15"/>
      <c r="SZW374" s="10"/>
      <c r="SZX374" s="10"/>
      <c r="SZY374" s="21"/>
      <c r="SZZ374" s="21"/>
      <c r="TAC374" s="21"/>
      <c r="TAD374" s="15"/>
      <c r="TAE374" s="15"/>
      <c r="TAF374" s="15"/>
      <c r="TAG374" s="15"/>
      <c r="TAH374" s="15"/>
      <c r="TAI374" s="15"/>
      <c r="TAJ374" s="15"/>
      <c r="TAK374" s="15"/>
      <c r="TAL374" s="15"/>
      <c r="TAM374" s="15"/>
      <c r="TAN374" s="10"/>
      <c r="TAO374" s="10"/>
      <c r="TAP374" s="21"/>
      <c r="TAQ374" s="21"/>
      <c r="TAT374" s="21"/>
      <c r="TAU374" s="15"/>
      <c r="TAV374" s="15"/>
      <c r="TAW374" s="15"/>
      <c r="TAX374" s="15"/>
      <c r="TAY374" s="15"/>
      <c r="TAZ374" s="15"/>
      <c r="TBA374" s="15"/>
      <c r="TBB374" s="15"/>
      <c r="TBC374" s="15"/>
      <c r="TBD374" s="15"/>
      <c r="TBE374" s="10"/>
      <c r="TBF374" s="10"/>
      <c r="TBG374" s="21"/>
      <c r="TBH374" s="21"/>
      <c r="TBK374" s="21"/>
      <c r="TBL374" s="15"/>
      <c r="TBM374" s="15"/>
      <c r="TBN374" s="15"/>
      <c r="TBO374" s="15"/>
      <c r="TBP374" s="15"/>
      <c r="TBQ374" s="15"/>
      <c r="TBR374" s="15"/>
      <c r="TBS374" s="15"/>
      <c r="TBT374" s="15"/>
      <c r="TBU374" s="15"/>
      <c r="TBV374" s="10"/>
      <c r="TBW374" s="10"/>
      <c r="TBX374" s="21"/>
      <c r="TBY374" s="21"/>
      <c r="TCB374" s="21"/>
      <c r="TCC374" s="15"/>
      <c r="TCD374" s="15"/>
      <c r="TCE374" s="15"/>
      <c r="TCF374" s="15"/>
      <c r="TCG374" s="15"/>
      <c r="TCH374" s="15"/>
      <c r="TCI374" s="15"/>
      <c r="TCJ374" s="15"/>
      <c r="TCK374" s="15"/>
      <c r="TCL374" s="15"/>
      <c r="TCM374" s="10"/>
      <c r="TCN374" s="10"/>
      <c r="TCO374" s="21"/>
      <c r="TCP374" s="21"/>
      <c r="TCS374" s="21"/>
      <c r="TCT374" s="15"/>
      <c r="TCU374" s="15"/>
      <c r="TCV374" s="15"/>
      <c r="TCW374" s="15"/>
      <c r="TCX374" s="15"/>
      <c r="TCY374" s="15"/>
      <c r="TCZ374" s="15"/>
      <c r="TDA374" s="15"/>
      <c r="TDB374" s="15"/>
      <c r="TDC374" s="15"/>
      <c r="TDD374" s="10"/>
      <c r="TDE374" s="10"/>
      <c r="TDF374" s="21"/>
      <c r="TDG374" s="21"/>
      <c r="TDJ374" s="21"/>
      <c r="TDK374" s="15"/>
      <c r="TDL374" s="15"/>
      <c r="TDM374" s="15"/>
      <c r="TDN374" s="15"/>
      <c r="TDO374" s="15"/>
      <c r="TDP374" s="15"/>
      <c r="TDQ374" s="15"/>
      <c r="TDR374" s="15"/>
      <c r="TDS374" s="15"/>
      <c r="TDT374" s="15"/>
      <c r="TDU374" s="10"/>
      <c r="TDV374" s="10"/>
      <c r="TDW374" s="21"/>
      <c r="TDX374" s="21"/>
      <c r="TEA374" s="21"/>
      <c r="TEB374" s="15"/>
      <c r="TEC374" s="15"/>
      <c r="TED374" s="15"/>
      <c r="TEE374" s="15"/>
      <c r="TEF374" s="15"/>
      <c r="TEG374" s="15"/>
      <c r="TEH374" s="15"/>
      <c r="TEI374" s="15"/>
      <c r="TEJ374" s="15"/>
      <c r="TEK374" s="15"/>
      <c r="TEL374" s="10"/>
      <c r="TEM374" s="10"/>
      <c r="TEN374" s="21"/>
      <c r="TEO374" s="21"/>
      <c r="TER374" s="21"/>
      <c r="TES374" s="15"/>
      <c r="TET374" s="15"/>
      <c r="TEU374" s="15"/>
      <c r="TEV374" s="15"/>
      <c r="TEW374" s="15"/>
      <c r="TEX374" s="15"/>
      <c r="TEY374" s="15"/>
      <c r="TEZ374" s="15"/>
      <c r="TFA374" s="15"/>
      <c r="TFB374" s="15"/>
      <c r="TFC374" s="10"/>
      <c r="TFD374" s="10"/>
      <c r="TFE374" s="21"/>
      <c r="TFF374" s="21"/>
      <c r="TFI374" s="21"/>
      <c r="TFJ374" s="15"/>
      <c r="TFK374" s="15"/>
      <c r="TFL374" s="15"/>
      <c r="TFM374" s="15"/>
      <c r="TFN374" s="15"/>
      <c r="TFO374" s="15"/>
      <c r="TFP374" s="15"/>
      <c r="TFQ374" s="15"/>
      <c r="TFR374" s="15"/>
      <c r="TFS374" s="15"/>
      <c r="TFT374" s="10"/>
      <c r="TFU374" s="10"/>
      <c r="TFV374" s="21"/>
      <c r="TFW374" s="21"/>
      <c r="TFZ374" s="21"/>
      <c r="TGA374" s="15"/>
      <c r="TGB374" s="15"/>
      <c r="TGC374" s="15"/>
      <c r="TGD374" s="15"/>
      <c r="TGE374" s="15"/>
      <c r="TGF374" s="15"/>
      <c r="TGG374" s="15"/>
      <c r="TGH374" s="15"/>
      <c r="TGI374" s="15"/>
      <c r="TGJ374" s="15"/>
      <c r="TGK374" s="10"/>
      <c r="TGL374" s="10"/>
      <c r="TGM374" s="21"/>
      <c r="TGN374" s="21"/>
      <c r="TGQ374" s="21"/>
      <c r="TGR374" s="15"/>
      <c r="TGS374" s="15"/>
      <c r="TGT374" s="15"/>
      <c r="TGU374" s="15"/>
      <c r="TGV374" s="15"/>
      <c r="TGW374" s="15"/>
      <c r="TGX374" s="15"/>
      <c r="TGY374" s="15"/>
      <c r="TGZ374" s="15"/>
      <c r="THA374" s="15"/>
      <c r="THB374" s="10"/>
      <c r="THC374" s="10"/>
      <c r="THD374" s="21"/>
      <c r="THE374" s="21"/>
      <c r="THH374" s="21"/>
      <c r="THI374" s="15"/>
      <c r="THJ374" s="15"/>
      <c r="THK374" s="15"/>
      <c r="THL374" s="15"/>
      <c r="THM374" s="15"/>
      <c r="THN374" s="15"/>
      <c r="THO374" s="15"/>
      <c r="THP374" s="15"/>
      <c r="THQ374" s="15"/>
      <c r="THR374" s="15"/>
      <c r="THS374" s="10"/>
      <c r="THT374" s="10"/>
      <c r="THU374" s="21"/>
      <c r="THV374" s="21"/>
      <c r="THY374" s="21"/>
      <c r="THZ374" s="15"/>
      <c r="TIA374" s="15"/>
      <c r="TIB374" s="15"/>
      <c r="TIC374" s="15"/>
      <c r="TID374" s="15"/>
      <c r="TIE374" s="15"/>
      <c r="TIF374" s="15"/>
      <c r="TIG374" s="15"/>
      <c r="TIH374" s="15"/>
      <c r="TII374" s="15"/>
      <c r="TIJ374" s="10"/>
      <c r="TIK374" s="10"/>
      <c r="TIL374" s="21"/>
      <c r="TIM374" s="21"/>
      <c r="TIP374" s="21"/>
      <c r="TIQ374" s="15"/>
      <c r="TIR374" s="15"/>
      <c r="TIS374" s="15"/>
      <c r="TIT374" s="15"/>
      <c r="TIU374" s="15"/>
      <c r="TIV374" s="15"/>
      <c r="TIW374" s="15"/>
      <c r="TIX374" s="15"/>
      <c r="TIY374" s="15"/>
      <c r="TIZ374" s="15"/>
      <c r="TJA374" s="10"/>
      <c r="TJB374" s="10"/>
      <c r="TJC374" s="21"/>
      <c r="TJD374" s="21"/>
      <c r="TJG374" s="21"/>
      <c r="TJH374" s="15"/>
      <c r="TJI374" s="15"/>
      <c r="TJJ374" s="15"/>
      <c r="TJK374" s="15"/>
      <c r="TJL374" s="15"/>
      <c r="TJM374" s="15"/>
      <c r="TJN374" s="15"/>
      <c r="TJO374" s="15"/>
      <c r="TJP374" s="15"/>
      <c r="TJQ374" s="15"/>
      <c r="TJR374" s="10"/>
      <c r="TJS374" s="10"/>
      <c r="TJT374" s="21"/>
      <c r="TJU374" s="21"/>
      <c r="TJX374" s="21"/>
      <c r="TJY374" s="15"/>
      <c r="TJZ374" s="15"/>
      <c r="TKA374" s="15"/>
      <c r="TKB374" s="15"/>
      <c r="TKC374" s="15"/>
      <c r="TKD374" s="15"/>
      <c r="TKE374" s="15"/>
      <c r="TKF374" s="15"/>
      <c r="TKG374" s="15"/>
      <c r="TKH374" s="15"/>
      <c r="TKI374" s="10"/>
      <c r="TKJ374" s="10"/>
      <c r="TKK374" s="21"/>
      <c r="TKL374" s="21"/>
      <c r="TKO374" s="21"/>
      <c r="TKP374" s="15"/>
      <c r="TKQ374" s="15"/>
      <c r="TKR374" s="15"/>
      <c r="TKS374" s="15"/>
      <c r="TKT374" s="15"/>
      <c r="TKU374" s="15"/>
      <c r="TKV374" s="15"/>
      <c r="TKW374" s="15"/>
      <c r="TKX374" s="15"/>
      <c r="TKY374" s="15"/>
      <c r="TKZ374" s="10"/>
      <c r="TLA374" s="10"/>
      <c r="TLB374" s="21"/>
      <c r="TLC374" s="21"/>
      <c r="TLF374" s="21"/>
      <c r="TLG374" s="15"/>
      <c r="TLH374" s="15"/>
      <c r="TLI374" s="15"/>
      <c r="TLJ374" s="15"/>
      <c r="TLK374" s="15"/>
      <c r="TLL374" s="15"/>
      <c r="TLM374" s="15"/>
      <c r="TLN374" s="15"/>
      <c r="TLO374" s="15"/>
      <c r="TLP374" s="15"/>
      <c r="TLQ374" s="10"/>
      <c r="TLR374" s="10"/>
      <c r="TLS374" s="21"/>
      <c r="TLT374" s="21"/>
      <c r="TLW374" s="21"/>
      <c r="TLX374" s="15"/>
      <c r="TLY374" s="15"/>
      <c r="TLZ374" s="15"/>
      <c r="TMA374" s="15"/>
      <c r="TMB374" s="15"/>
      <c r="TMC374" s="15"/>
      <c r="TMD374" s="15"/>
      <c r="TME374" s="15"/>
      <c r="TMF374" s="15"/>
      <c r="TMG374" s="15"/>
      <c r="TMH374" s="10"/>
      <c r="TMI374" s="10"/>
      <c r="TMJ374" s="21"/>
      <c r="TMK374" s="21"/>
      <c r="TMN374" s="21"/>
      <c r="TMO374" s="15"/>
      <c r="TMP374" s="15"/>
      <c r="TMQ374" s="15"/>
      <c r="TMR374" s="15"/>
      <c r="TMS374" s="15"/>
      <c r="TMT374" s="15"/>
      <c r="TMU374" s="15"/>
      <c r="TMV374" s="15"/>
      <c r="TMW374" s="15"/>
      <c r="TMX374" s="15"/>
      <c r="TMY374" s="10"/>
      <c r="TMZ374" s="10"/>
      <c r="TNA374" s="21"/>
      <c r="TNB374" s="21"/>
      <c r="TNE374" s="21"/>
      <c r="TNF374" s="15"/>
      <c r="TNG374" s="15"/>
      <c r="TNH374" s="15"/>
      <c r="TNI374" s="15"/>
      <c r="TNJ374" s="15"/>
      <c r="TNK374" s="15"/>
      <c r="TNL374" s="15"/>
      <c r="TNM374" s="15"/>
      <c r="TNN374" s="15"/>
      <c r="TNO374" s="15"/>
      <c r="TNP374" s="10"/>
      <c r="TNQ374" s="10"/>
      <c r="TNR374" s="21"/>
      <c r="TNS374" s="21"/>
      <c r="TNV374" s="21"/>
      <c r="TNW374" s="15"/>
      <c r="TNX374" s="15"/>
      <c r="TNY374" s="15"/>
      <c r="TNZ374" s="15"/>
      <c r="TOA374" s="15"/>
      <c r="TOB374" s="15"/>
      <c r="TOC374" s="15"/>
      <c r="TOD374" s="15"/>
      <c r="TOE374" s="15"/>
      <c r="TOF374" s="15"/>
      <c r="TOG374" s="10"/>
      <c r="TOH374" s="10"/>
      <c r="TOI374" s="21"/>
      <c r="TOJ374" s="21"/>
      <c r="TOM374" s="21"/>
      <c r="TON374" s="15"/>
      <c r="TOO374" s="15"/>
      <c r="TOP374" s="15"/>
      <c r="TOQ374" s="15"/>
      <c r="TOR374" s="15"/>
      <c r="TOS374" s="15"/>
      <c r="TOT374" s="15"/>
      <c r="TOU374" s="15"/>
      <c r="TOV374" s="15"/>
      <c r="TOW374" s="15"/>
      <c r="TOX374" s="10"/>
      <c r="TOY374" s="10"/>
      <c r="TOZ374" s="21"/>
      <c r="TPA374" s="21"/>
      <c r="TPD374" s="21"/>
      <c r="TPE374" s="15"/>
      <c r="TPF374" s="15"/>
      <c r="TPG374" s="15"/>
      <c r="TPH374" s="15"/>
      <c r="TPI374" s="15"/>
      <c r="TPJ374" s="15"/>
      <c r="TPK374" s="15"/>
      <c r="TPL374" s="15"/>
      <c r="TPM374" s="15"/>
      <c r="TPN374" s="15"/>
      <c r="TPO374" s="10"/>
      <c r="TPP374" s="10"/>
      <c r="TPQ374" s="21"/>
      <c r="TPR374" s="21"/>
      <c r="TPU374" s="21"/>
      <c r="TPV374" s="15"/>
      <c r="TPW374" s="15"/>
      <c r="TPX374" s="15"/>
      <c r="TPY374" s="15"/>
      <c r="TPZ374" s="15"/>
      <c r="TQA374" s="15"/>
      <c r="TQB374" s="15"/>
      <c r="TQC374" s="15"/>
      <c r="TQD374" s="15"/>
      <c r="TQE374" s="15"/>
      <c r="TQF374" s="10"/>
      <c r="TQG374" s="10"/>
      <c r="TQH374" s="21"/>
      <c r="TQI374" s="21"/>
      <c r="TQL374" s="21"/>
      <c r="TQM374" s="15"/>
      <c r="TQN374" s="15"/>
      <c r="TQO374" s="15"/>
      <c r="TQP374" s="15"/>
      <c r="TQQ374" s="15"/>
      <c r="TQR374" s="15"/>
      <c r="TQS374" s="15"/>
      <c r="TQT374" s="15"/>
      <c r="TQU374" s="15"/>
      <c r="TQV374" s="15"/>
      <c r="TQW374" s="10"/>
      <c r="TQX374" s="10"/>
      <c r="TQY374" s="21"/>
      <c r="TQZ374" s="21"/>
      <c r="TRC374" s="21"/>
      <c r="TRD374" s="15"/>
      <c r="TRE374" s="15"/>
      <c r="TRF374" s="15"/>
      <c r="TRG374" s="15"/>
      <c r="TRH374" s="15"/>
      <c r="TRI374" s="15"/>
      <c r="TRJ374" s="15"/>
      <c r="TRK374" s="15"/>
      <c r="TRL374" s="15"/>
      <c r="TRM374" s="15"/>
      <c r="TRN374" s="10"/>
      <c r="TRO374" s="10"/>
      <c r="TRP374" s="21"/>
      <c r="TRQ374" s="21"/>
      <c r="TRT374" s="21"/>
      <c r="TRU374" s="15"/>
      <c r="TRV374" s="15"/>
      <c r="TRW374" s="15"/>
      <c r="TRX374" s="15"/>
      <c r="TRY374" s="15"/>
      <c r="TRZ374" s="15"/>
      <c r="TSA374" s="15"/>
      <c r="TSB374" s="15"/>
      <c r="TSC374" s="15"/>
      <c r="TSD374" s="15"/>
      <c r="TSE374" s="10"/>
      <c r="TSF374" s="10"/>
      <c r="TSG374" s="21"/>
      <c r="TSH374" s="21"/>
      <c r="TSK374" s="21"/>
      <c r="TSL374" s="15"/>
      <c r="TSM374" s="15"/>
      <c r="TSN374" s="15"/>
      <c r="TSO374" s="15"/>
      <c r="TSP374" s="15"/>
      <c r="TSQ374" s="15"/>
      <c r="TSR374" s="15"/>
      <c r="TSS374" s="15"/>
      <c r="TST374" s="15"/>
      <c r="TSU374" s="15"/>
      <c r="TSV374" s="10"/>
      <c r="TSW374" s="10"/>
      <c r="TSX374" s="21"/>
      <c r="TSY374" s="21"/>
      <c r="TTB374" s="21"/>
      <c r="TTC374" s="15"/>
      <c r="TTD374" s="15"/>
      <c r="TTE374" s="15"/>
      <c r="TTF374" s="15"/>
      <c r="TTG374" s="15"/>
      <c r="TTH374" s="15"/>
      <c r="TTI374" s="15"/>
      <c r="TTJ374" s="15"/>
      <c r="TTK374" s="15"/>
      <c r="TTL374" s="15"/>
      <c r="TTM374" s="10"/>
      <c r="TTN374" s="10"/>
      <c r="TTO374" s="21"/>
      <c r="TTP374" s="21"/>
      <c r="TTS374" s="21"/>
      <c r="TTT374" s="15"/>
      <c r="TTU374" s="15"/>
      <c r="TTV374" s="15"/>
      <c r="TTW374" s="15"/>
      <c r="TTX374" s="15"/>
      <c r="TTY374" s="15"/>
      <c r="TTZ374" s="15"/>
      <c r="TUA374" s="15"/>
      <c r="TUB374" s="15"/>
      <c r="TUC374" s="15"/>
      <c r="TUD374" s="10"/>
      <c r="TUE374" s="10"/>
      <c r="TUF374" s="21"/>
      <c r="TUG374" s="21"/>
      <c r="TUJ374" s="21"/>
      <c r="TUK374" s="15"/>
      <c r="TUL374" s="15"/>
      <c r="TUM374" s="15"/>
      <c r="TUN374" s="15"/>
      <c r="TUO374" s="15"/>
      <c r="TUP374" s="15"/>
      <c r="TUQ374" s="15"/>
      <c r="TUR374" s="15"/>
      <c r="TUS374" s="15"/>
      <c r="TUT374" s="15"/>
      <c r="TUU374" s="10"/>
      <c r="TUV374" s="10"/>
      <c r="TUW374" s="21"/>
      <c r="TUX374" s="21"/>
      <c r="TVA374" s="21"/>
      <c r="TVB374" s="15"/>
      <c r="TVC374" s="15"/>
      <c r="TVD374" s="15"/>
      <c r="TVE374" s="15"/>
      <c r="TVF374" s="15"/>
      <c r="TVG374" s="15"/>
      <c r="TVH374" s="15"/>
      <c r="TVI374" s="15"/>
      <c r="TVJ374" s="15"/>
      <c r="TVK374" s="15"/>
      <c r="TVL374" s="10"/>
      <c r="TVM374" s="10"/>
      <c r="TVN374" s="21"/>
      <c r="TVO374" s="21"/>
      <c r="TVR374" s="21"/>
      <c r="TVS374" s="15"/>
      <c r="TVT374" s="15"/>
      <c r="TVU374" s="15"/>
      <c r="TVV374" s="15"/>
      <c r="TVW374" s="15"/>
      <c r="TVX374" s="15"/>
      <c r="TVY374" s="15"/>
      <c r="TVZ374" s="15"/>
      <c r="TWA374" s="15"/>
      <c r="TWB374" s="15"/>
      <c r="TWC374" s="10"/>
      <c r="TWD374" s="10"/>
      <c r="TWE374" s="21"/>
      <c r="TWF374" s="21"/>
      <c r="TWI374" s="21"/>
      <c r="TWJ374" s="15"/>
      <c r="TWK374" s="15"/>
      <c r="TWL374" s="15"/>
      <c r="TWM374" s="15"/>
      <c r="TWN374" s="15"/>
      <c r="TWO374" s="15"/>
      <c r="TWP374" s="15"/>
      <c r="TWQ374" s="15"/>
      <c r="TWR374" s="15"/>
      <c r="TWS374" s="15"/>
      <c r="TWT374" s="10"/>
      <c r="TWU374" s="10"/>
      <c r="TWV374" s="21"/>
      <c r="TWW374" s="21"/>
      <c r="TWZ374" s="21"/>
      <c r="TXA374" s="15"/>
      <c r="TXB374" s="15"/>
      <c r="TXC374" s="15"/>
      <c r="TXD374" s="15"/>
      <c r="TXE374" s="15"/>
      <c r="TXF374" s="15"/>
      <c r="TXG374" s="15"/>
      <c r="TXH374" s="15"/>
      <c r="TXI374" s="15"/>
      <c r="TXJ374" s="15"/>
      <c r="TXK374" s="10"/>
      <c r="TXL374" s="10"/>
      <c r="TXM374" s="21"/>
      <c r="TXN374" s="21"/>
      <c r="TXQ374" s="21"/>
      <c r="TXR374" s="15"/>
      <c r="TXS374" s="15"/>
      <c r="TXT374" s="15"/>
      <c r="TXU374" s="15"/>
      <c r="TXV374" s="15"/>
      <c r="TXW374" s="15"/>
      <c r="TXX374" s="15"/>
      <c r="TXY374" s="15"/>
      <c r="TXZ374" s="15"/>
      <c r="TYA374" s="15"/>
      <c r="TYB374" s="10"/>
      <c r="TYC374" s="10"/>
      <c r="TYD374" s="21"/>
      <c r="TYE374" s="21"/>
      <c r="TYH374" s="21"/>
      <c r="TYI374" s="15"/>
      <c r="TYJ374" s="15"/>
      <c r="TYK374" s="15"/>
      <c r="TYL374" s="15"/>
      <c r="TYM374" s="15"/>
      <c r="TYN374" s="15"/>
      <c r="TYO374" s="15"/>
      <c r="TYP374" s="15"/>
      <c r="TYQ374" s="15"/>
      <c r="TYR374" s="15"/>
      <c r="TYS374" s="10"/>
      <c r="TYT374" s="10"/>
      <c r="TYU374" s="21"/>
      <c r="TYV374" s="21"/>
      <c r="TYY374" s="21"/>
      <c r="TYZ374" s="15"/>
      <c r="TZA374" s="15"/>
      <c r="TZB374" s="15"/>
      <c r="TZC374" s="15"/>
      <c r="TZD374" s="15"/>
      <c r="TZE374" s="15"/>
      <c r="TZF374" s="15"/>
      <c r="TZG374" s="15"/>
      <c r="TZH374" s="15"/>
      <c r="TZI374" s="15"/>
      <c r="TZJ374" s="10"/>
      <c r="TZK374" s="10"/>
      <c r="TZL374" s="21"/>
      <c r="TZM374" s="21"/>
      <c r="TZP374" s="21"/>
      <c r="TZQ374" s="15"/>
      <c r="TZR374" s="15"/>
      <c r="TZS374" s="15"/>
      <c r="TZT374" s="15"/>
      <c r="TZU374" s="15"/>
      <c r="TZV374" s="15"/>
      <c r="TZW374" s="15"/>
      <c r="TZX374" s="15"/>
      <c r="TZY374" s="15"/>
      <c r="TZZ374" s="15"/>
      <c r="UAA374" s="10"/>
      <c r="UAB374" s="10"/>
      <c r="UAC374" s="21"/>
      <c r="UAD374" s="21"/>
      <c r="UAG374" s="21"/>
      <c r="UAH374" s="15"/>
      <c r="UAI374" s="15"/>
      <c r="UAJ374" s="15"/>
      <c r="UAK374" s="15"/>
      <c r="UAL374" s="15"/>
      <c r="UAM374" s="15"/>
      <c r="UAN374" s="15"/>
      <c r="UAO374" s="15"/>
      <c r="UAP374" s="15"/>
      <c r="UAQ374" s="15"/>
      <c r="UAR374" s="10"/>
      <c r="UAS374" s="10"/>
      <c r="UAT374" s="21"/>
      <c r="UAU374" s="21"/>
      <c r="UAX374" s="21"/>
      <c r="UAY374" s="15"/>
      <c r="UAZ374" s="15"/>
      <c r="UBA374" s="15"/>
      <c r="UBB374" s="15"/>
      <c r="UBC374" s="15"/>
      <c r="UBD374" s="15"/>
      <c r="UBE374" s="15"/>
      <c r="UBF374" s="15"/>
      <c r="UBG374" s="15"/>
      <c r="UBH374" s="15"/>
      <c r="UBI374" s="10"/>
      <c r="UBJ374" s="10"/>
      <c r="UBK374" s="21"/>
      <c r="UBL374" s="21"/>
      <c r="UBO374" s="21"/>
      <c r="UBP374" s="15"/>
      <c r="UBQ374" s="15"/>
      <c r="UBR374" s="15"/>
      <c r="UBS374" s="15"/>
      <c r="UBT374" s="15"/>
      <c r="UBU374" s="15"/>
      <c r="UBV374" s="15"/>
      <c r="UBW374" s="15"/>
      <c r="UBX374" s="15"/>
      <c r="UBY374" s="15"/>
      <c r="UBZ374" s="10"/>
      <c r="UCA374" s="10"/>
      <c r="UCB374" s="21"/>
      <c r="UCC374" s="21"/>
      <c r="UCF374" s="21"/>
      <c r="UCG374" s="15"/>
      <c r="UCH374" s="15"/>
      <c r="UCI374" s="15"/>
      <c r="UCJ374" s="15"/>
      <c r="UCK374" s="15"/>
      <c r="UCL374" s="15"/>
      <c r="UCM374" s="15"/>
      <c r="UCN374" s="15"/>
      <c r="UCO374" s="15"/>
      <c r="UCP374" s="15"/>
      <c r="UCQ374" s="10"/>
      <c r="UCR374" s="10"/>
      <c r="UCS374" s="21"/>
      <c r="UCT374" s="21"/>
      <c r="UCW374" s="21"/>
      <c r="UCX374" s="15"/>
      <c r="UCY374" s="15"/>
      <c r="UCZ374" s="15"/>
      <c r="UDA374" s="15"/>
      <c r="UDB374" s="15"/>
      <c r="UDC374" s="15"/>
      <c r="UDD374" s="15"/>
      <c r="UDE374" s="15"/>
      <c r="UDF374" s="15"/>
      <c r="UDG374" s="15"/>
      <c r="UDH374" s="10"/>
      <c r="UDI374" s="10"/>
      <c r="UDJ374" s="21"/>
      <c r="UDK374" s="21"/>
      <c r="UDN374" s="21"/>
      <c r="UDO374" s="15"/>
      <c r="UDP374" s="15"/>
      <c r="UDQ374" s="15"/>
      <c r="UDR374" s="15"/>
      <c r="UDS374" s="15"/>
      <c r="UDT374" s="15"/>
      <c r="UDU374" s="15"/>
      <c r="UDV374" s="15"/>
      <c r="UDW374" s="15"/>
      <c r="UDX374" s="15"/>
      <c r="UDY374" s="10"/>
      <c r="UDZ374" s="10"/>
      <c r="UEA374" s="21"/>
      <c r="UEB374" s="21"/>
      <c r="UEE374" s="21"/>
      <c r="UEF374" s="15"/>
      <c r="UEG374" s="15"/>
      <c r="UEH374" s="15"/>
      <c r="UEI374" s="15"/>
      <c r="UEJ374" s="15"/>
      <c r="UEK374" s="15"/>
      <c r="UEL374" s="15"/>
      <c r="UEM374" s="15"/>
      <c r="UEN374" s="15"/>
      <c r="UEO374" s="15"/>
      <c r="UEP374" s="10"/>
      <c r="UEQ374" s="10"/>
      <c r="UER374" s="21"/>
      <c r="UES374" s="21"/>
      <c r="UEV374" s="21"/>
      <c r="UEW374" s="15"/>
      <c r="UEX374" s="15"/>
      <c r="UEY374" s="15"/>
      <c r="UEZ374" s="15"/>
      <c r="UFA374" s="15"/>
      <c r="UFB374" s="15"/>
      <c r="UFC374" s="15"/>
      <c r="UFD374" s="15"/>
      <c r="UFE374" s="15"/>
      <c r="UFF374" s="15"/>
      <c r="UFG374" s="10"/>
      <c r="UFH374" s="10"/>
      <c r="UFI374" s="21"/>
      <c r="UFJ374" s="21"/>
      <c r="UFM374" s="21"/>
      <c r="UFN374" s="15"/>
      <c r="UFO374" s="15"/>
      <c r="UFP374" s="15"/>
      <c r="UFQ374" s="15"/>
      <c r="UFR374" s="15"/>
      <c r="UFS374" s="15"/>
      <c r="UFT374" s="15"/>
      <c r="UFU374" s="15"/>
      <c r="UFV374" s="15"/>
      <c r="UFW374" s="15"/>
      <c r="UFX374" s="10"/>
      <c r="UFY374" s="10"/>
      <c r="UFZ374" s="21"/>
      <c r="UGA374" s="21"/>
      <c r="UGD374" s="21"/>
      <c r="UGE374" s="15"/>
      <c r="UGF374" s="15"/>
      <c r="UGG374" s="15"/>
      <c r="UGH374" s="15"/>
      <c r="UGI374" s="15"/>
      <c r="UGJ374" s="15"/>
      <c r="UGK374" s="15"/>
      <c r="UGL374" s="15"/>
      <c r="UGM374" s="15"/>
      <c r="UGN374" s="15"/>
      <c r="UGO374" s="10"/>
      <c r="UGP374" s="10"/>
      <c r="UGQ374" s="21"/>
      <c r="UGR374" s="21"/>
      <c r="UGU374" s="21"/>
      <c r="UGV374" s="15"/>
      <c r="UGW374" s="15"/>
      <c r="UGX374" s="15"/>
      <c r="UGY374" s="15"/>
      <c r="UGZ374" s="15"/>
      <c r="UHA374" s="15"/>
      <c r="UHB374" s="15"/>
      <c r="UHC374" s="15"/>
      <c r="UHD374" s="15"/>
      <c r="UHE374" s="15"/>
      <c r="UHF374" s="10"/>
      <c r="UHG374" s="10"/>
      <c r="UHH374" s="21"/>
      <c r="UHI374" s="21"/>
      <c r="UHL374" s="21"/>
      <c r="UHM374" s="15"/>
      <c r="UHN374" s="15"/>
      <c r="UHO374" s="15"/>
      <c r="UHP374" s="15"/>
      <c r="UHQ374" s="15"/>
      <c r="UHR374" s="15"/>
      <c r="UHS374" s="15"/>
      <c r="UHT374" s="15"/>
      <c r="UHU374" s="15"/>
      <c r="UHV374" s="15"/>
      <c r="UHW374" s="10"/>
      <c r="UHX374" s="10"/>
      <c r="UHY374" s="21"/>
      <c r="UHZ374" s="21"/>
      <c r="UIC374" s="21"/>
      <c r="UID374" s="15"/>
      <c r="UIE374" s="15"/>
      <c r="UIF374" s="15"/>
      <c r="UIG374" s="15"/>
      <c r="UIH374" s="15"/>
      <c r="UII374" s="15"/>
      <c r="UIJ374" s="15"/>
      <c r="UIK374" s="15"/>
      <c r="UIL374" s="15"/>
      <c r="UIM374" s="15"/>
      <c r="UIN374" s="10"/>
      <c r="UIO374" s="10"/>
      <c r="UIP374" s="21"/>
      <c r="UIQ374" s="21"/>
      <c r="UIT374" s="21"/>
      <c r="UIU374" s="15"/>
      <c r="UIV374" s="15"/>
      <c r="UIW374" s="15"/>
      <c r="UIX374" s="15"/>
      <c r="UIY374" s="15"/>
      <c r="UIZ374" s="15"/>
      <c r="UJA374" s="15"/>
      <c r="UJB374" s="15"/>
      <c r="UJC374" s="15"/>
      <c r="UJD374" s="15"/>
      <c r="UJE374" s="10"/>
      <c r="UJF374" s="10"/>
      <c r="UJG374" s="21"/>
      <c r="UJH374" s="21"/>
      <c r="UJK374" s="21"/>
      <c r="UJL374" s="15"/>
      <c r="UJM374" s="15"/>
      <c r="UJN374" s="15"/>
      <c r="UJO374" s="15"/>
      <c r="UJP374" s="15"/>
      <c r="UJQ374" s="15"/>
      <c r="UJR374" s="15"/>
      <c r="UJS374" s="15"/>
      <c r="UJT374" s="15"/>
      <c r="UJU374" s="15"/>
      <c r="UJV374" s="10"/>
      <c r="UJW374" s="10"/>
      <c r="UJX374" s="21"/>
      <c r="UJY374" s="21"/>
      <c r="UKB374" s="21"/>
      <c r="UKC374" s="15"/>
      <c r="UKD374" s="15"/>
      <c r="UKE374" s="15"/>
      <c r="UKF374" s="15"/>
      <c r="UKG374" s="15"/>
      <c r="UKH374" s="15"/>
      <c r="UKI374" s="15"/>
      <c r="UKJ374" s="15"/>
      <c r="UKK374" s="15"/>
      <c r="UKL374" s="15"/>
      <c r="UKM374" s="10"/>
      <c r="UKN374" s="10"/>
      <c r="UKO374" s="21"/>
      <c r="UKP374" s="21"/>
      <c r="UKS374" s="21"/>
      <c r="UKT374" s="15"/>
      <c r="UKU374" s="15"/>
      <c r="UKV374" s="15"/>
      <c r="UKW374" s="15"/>
      <c r="UKX374" s="15"/>
      <c r="UKY374" s="15"/>
      <c r="UKZ374" s="15"/>
      <c r="ULA374" s="15"/>
      <c r="ULB374" s="15"/>
      <c r="ULC374" s="15"/>
      <c r="ULD374" s="10"/>
      <c r="ULE374" s="10"/>
      <c r="ULF374" s="21"/>
      <c r="ULG374" s="21"/>
      <c r="ULJ374" s="21"/>
      <c r="ULK374" s="15"/>
      <c r="ULL374" s="15"/>
      <c r="ULM374" s="15"/>
      <c r="ULN374" s="15"/>
      <c r="ULO374" s="15"/>
      <c r="ULP374" s="15"/>
      <c r="ULQ374" s="15"/>
      <c r="ULR374" s="15"/>
      <c r="ULS374" s="15"/>
      <c r="ULT374" s="15"/>
      <c r="ULU374" s="10"/>
      <c r="ULV374" s="10"/>
      <c r="ULW374" s="21"/>
      <c r="ULX374" s="21"/>
      <c r="UMA374" s="21"/>
      <c r="UMB374" s="15"/>
      <c r="UMC374" s="15"/>
      <c r="UMD374" s="15"/>
      <c r="UME374" s="15"/>
      <c r="UMF374" s="15"/>
      <c r="UMG374" s="15"/>
      <c r="UMH374" s="15"/>
      <c r="UMI374" s="15"/>
      <c r="UMJ374" s="15"/>
      <c r="UMK374" s="15"/>
      <c r="UML374" s="10"/>
      <c r="UMM374" s="10"/>
      <c r="UMN374" s="21"/>
      <c r="UMO374" s="21"/>
      <c r="UMR374" s="21"/>
      <c r="UMS374" s="15"/>
      <c r="UMT374" s="15"/>
      <c r="UMU374" s="15"/>
      <c r="UMV374" s="15"/>
      <c r="UMW374" s="15"/>
      <c r="UMX374" s="15"/>
      <c r="UMY374" s="15"/>
      <c r="UMZ374" s="15"/>
      <c r="UNA374" s="15"/>
      <c r="UNB374" s="15"/>
      <c r="UNC374" s="10"/>
      <c r="UND374" s="10"/>
      <c r="UNE374" s="21"/>
      <c r="UNF374" s="21"/>
      <c r="UNI374" s="21"/>
      <c r="UNJ374" s="15"/>
      <c r="UNK374" s="15"/>
      <c r="UNL374" s="15"/>
      <c r="UNM374" s="15"/>
      <c r="UNN374" s="15"/>
      <c r="UNO374" s="15"/>
      <c r="UNP374" s="15"/>
      <c r="UNQ374" s="15"/>
      <c r="UNR374" s="15"/>
      <c r="UNS374" s="15"/>
      <c r="UNT374" s="10"/>
      <c r="UNU374" s="10"/>
      <c r="UNV374" s="21"/>
      <c r="UNW374" s="21"/>
      <c r="UNZ374" s="21"/>
      <c r="UOA374" s="15"/>
      <c r="UOB374" s="15"/>
      <c r="UOC374" s="15"/>
      <c r="UOD374" s="15"/>
      <c r="UOE374" s="15"/>
      <c r="UOF374" s="15"/>
      <c r="UOG374" s="15"/>
      <c r="UOH374" s="15"/>
      <c r="UOI374" s="15"/>
      <c r="UOJ374" s="15"/>
      <c r="UOK374" s="10"/>
      <c r="UOL374" s="10"/>
      <c r="UOM374" s="21"/>
      <c r="UON374" s="21"/>
      <c r="UOQ374" s="21"/>
      <c r="UOR374" s="15"/>
      <c r="UOS374" s="15"/>
      <c r="UOT374" s="15"/>
      <c r="UOU374" s="15"/>
      <c r="UOV374" s="15"/>
      <c r="UOW374" s="15"/>
      <c r="UOX374" s="15"/>
      <c r="UOY374" s="15"/>
      <c r="UOZ374" s="15"/>
      <c r="UPA374" s="15"/>
      <c r="UPB374" s="10"/>
      <c r="UPC374" s="10"/>
      <c r="UPD374" s="21"/>
      <c r="UPE374" s="21"/>
      <c r="UPH374" s="21"/>
      <c r="UPI374" s="15"/>
      <c r="UPJ374" s="15"/>
      <c r="UPK374" s="15"/>
      <c r="UPL374" s="15"/>
      <c r="UPM374" s="15"/>
      <c r="UPN374" s="15"/>
      <c r="UPO374" s="15"/>
      <c r="UPP374" s="15"/>
      <c r="UPQ374" s="15"/>
      <c r="UPR374" s="15"/>
      <c r="UPS374" s="10"/>
      <c r="UPT374" s="10"/>
      <c r="UPU374" s="21"/>
      <c r="UPV374" s="21"/>
      <c r="UPY374" s="21"/>
      <c r="UPZ374" s="15"/>
      <c r="UQA374" s="15"/>
      <c r="UQB374" s="15"/>
      <c r="UQC374" s="15"/>
      <c r="UQD374" s="15"/>
      <c r="UQE374" s="15"/>
      <c r="UQF374" s="15"/>
      <c r="UQG374" s="15"/>
      <c r="UQH374" s="15"/>
      <c r="UQI374" s="15"/>
      <c r="UQJ374" s="10"/>
      <c r="UQK374" s="10"/>
      <c r="UQL374" s="21"/>
      <c r="UQM374" s="21"/>
      <c r="UQP374" s="21"/>
      <c r="UQQ374" s="15"/>
      <c r="UQR374" s="15"/>
      <c r="UQS374" s="15"/>
      <c r="UQT374" s="15"/>
      <c r="UQU374" s="15"/>
      <c r="UQV374" s="15"/>
      <c r="UQW374" s="15"/>
      <c r="UQX374" s="15"/>
      <c r="UQY374" s="15"/>
      <c r="UQZ374" s="15"/>
      <c r="URA374" s="10"/>
      <c r="URB374" s="10"/>
      <c r="URC374" s="21"/>
      <c r="URD374" s="21"/>
      <c r="URG374" s="21"/>
      <c r="URH374" s="15"/>
      <c r="URI374" s="15"/>
      <c r="URJ374" s="15"/>
      <c r="URK374" s="15"/>
      <c r="URL374" s="15"/>
      <c r="URM374" s="15"/>
      <c r="URN374" s="15"/>
      <c r="URO374" s="15"/>
      <c r="URP374" s="15"/>
      <c r="URQ374" s="15"/>
      <c r="URR374" s="10"/>
      <c r="URS374" s="10"/>
      <c r="URT374" s="21"/>
      <c r="URU374" s="21"/>
      <c r="URX374" s="21"/>
      <c r="URY374" s="15"/>
      <c r="URZ374" s="15"/>
      <c r="USA374" s="15"/>
      <c r="USB374" s="15"/>
      <c r="USC374" s="15"/>
      <c r="USD374" s="15"/>
      <c r="USE374" s="15"/>
      <c r="USF374" s="15"/>
      <c r="USG374" s="15"/>
      <c r="USH374" s="15"/>
      <c r="USI374" s="10"/>
      <c r="USJ374" s="10"/>
      <c r="USK374" s="21"/>
      <c r="USL374" s="21"/>
      <c r="USO374" s="21"/>
      <c r="USP374" s="15"/>
      <c r="USQ374" s="15"/>
      <c r="USR374" s="15"/>
      <c r="USS374" s="15"/>
      <c r="UST374" s="15"/>
      <c r="USU374" s="15"/>
      <c r="USV374" s="15"/>
      <c r="USW374" s="15"/>
      <c r="USX374" s="15"/>
      <c r="USY374" s="15"/>
      <c r="USZ374" s="10"/>
      <c r="UTA374" s="10"/>
      <c r="UTB374" s="21"/>
      <c r="UTC374" s="21"/>
      <c r="UTF374" s="21"/>
      <c r="UTG374" s="15"/>
      <c r="UTH374" s="15"/>
      <c r="UTI374" s="15"/>
      <c r="UTJ374" s="15"/>
      <c r="UTK374" s="15"/>
      <c r="UTL374" s="15"/>
      <c r="UTM374" s="15"/>
      <c r="UTN374" s="15"/>
      <c r="UTO374" s="15"/>
      <c r="UTP374" s="15"/>
      <c r="UTQ374" s="10"/>
      <c r="UTR374" s="10"/>
      <c r="UTS374" s="21"/>
      <c r="UTT374" s="21"/>
      <c r="UTW374" s="21"/>
      <c r="UTX374" s="15"/>
      <c r="UTY374" s="15"/>
      <c r="UTZ374" s="15"/>
      <c r="UUA374" s="15"/>
      <c r="UUB374" s="15"/>
      <c r="UUC374" s="15"/>
      <c r="UUD374" s="15"/>
      <c r="UUE374" s="15"/>
      <c r="UUF374" s="15"/>
      <c r="UUG374" s="15"/>
      <c r="UUH374" s="10"/>
      <c r="UUI374" s="10"/>
      <c r="UUJ374" s="21"/>
      <c r="UUK374" s="21"/>
      <c r="UUN374" s="21"/>
      <c r="UUO374" s="15"/>
      <c r="UUP374" s="15"/>
      <c r="UUQ374" s="15"/>
      <c r="UUR374" s="15"/>
      <c r="UUS374" s="15"/>
      <c r="UUT374" s="15"/>
      <c r="UUU374" s="15"/>
      <c r="UUV374" s="15"/>
      <c r="UUW374" s="15"/>
      <c r="UUX374" s="15"/>
      <c r="UUY374" s="10"/>
      <c r="UUZ374" s="10"/>
      <c r="UVA374" s="21"/>
      <c r="UVB374" s="21"/>
      <c r="UVE374" s="21"/>
      <c r="UVF374" s="15"/>
      <c r="UVG374" s="15"/>
      <c r="UVH374" s="15"/>
      <c r="UVI374" s="15"/>
      <c r="UVJ374" s="15"/>
      <c r="UVK374" s="15"/>
      <c r="UVL374" s="15"/>
      <c r="UVM374" s="15"/>
      <c r="UVN374" s="15"/>
      <c r="UVO374" s="15"/>
      <c r="UVP374" s="10"/>
      <c r="UVQ374" s="10"/>
      <c r="UVR374" s="21"/>
      <c r="UVS374" s="21"/>
      <c r="UVV374" s="21"/>
      <c r="UVW374" s="15"/>
      <c r="UVX374" s="15"/>
      <c r="UVY374" s="15"/>
      <c r="UVZ374" s="15"/>
      <c r="UWA374" s="15"/>
      <c r="UWB374" s="15"/>
      <c r="UWC374" s="15"/>
      <c r="UWD374" s="15"/>
      <c r="UWE374" s="15"/>
      <c r="UWF374" s="15"/>
      <c r="UWG374" s="10"/>
      <c r="UWH374" s="10"/>
      <c r="UWI374" s="21"/>
      <c r="UWJ374" s="21"/>
      <c r="UWM374" s="21"/>
      <c r="UWN374" s="15"/>
      <c r="UWO374" s="15"/>
      <c r="UWP374" s="15"/>
      <c r="UWQ374" s="15"/>
      <c r="UWR374" s="15"/>
      <c r="UWS374" s="15"/>
      <c r="UWT374" s="15"/>
      <c r="UWU374" s="15"/>
      <c r="UWV374" s="15"/>
      <c r="UWW374" s="15"/>
      <c r="UWX374" s="10"/>
      <c r="UWY374" s="10"/>
      <c r="UWZ374" s="21"/>
      <c r="UXA374" s="21"/>
      <c r="UXD374" s="21"/>
      <c r="UXE374" s="15"/>
      <c r="UXF374" s="15"/>
      <c r="UXG374" s="15"/>
      <c r="UXH374" s="15"/>
      <c r="UXI374" s="15"/>
      <c r="UXJ374" s="15"/>
      <c r="UXK374" s="15"/>
      <c r="UXL374" s="15"/>
      <c r="UXM374" s="15"/>
      <c r="UXN374" s="15"/>
      <c r="UXO374" s="10"/>
      <c r="UXP374" s="10"/>
      <c r="UXQ374" s="21"/>
      <c r="UXR374" s="21"/>
      <c r="UXU374" s="21"/>
      <c r="UXV374" s="15"/>
      <c r="UXW374" s="15"/>
      <c r="UXX374" s="15"/>
      <c r="UXY374" s="15"/>
      <c r="UXZ374" s="15"/>
      <c r="UYA374" s="15"/>
      <c r="UYB374" s="15"/>
      <c r="UYC374" s="15"/>
      <c r="UYD374" s="15"/>
      <c r="UYE374" s="15"/>
      <c r="UYF374" s="10"/>
      <c r="UYG374" s="10"/>
      <c r="UYH374" s="21"/>
      <c r="UYI374" s="21"/>
      <c r="UYL374" s="21"/>
      <c r="UYM374" s="15"/>
      <c r="UYN374" s="15"/>
      <c r="UYO374" s="15"/>
      <c r="UYP374" s="15"/>
      <c r="UYQ374" s="15"/>
      <c r="UYR374" s="15"/>
      <c r="UYS374" s="15"/>
      <c r="UYT374" s="15"/>
      <c r="UYU374" s="15"/>
      <c r="UYV374" s="15"/>
      <c r="UYW374" s="10"/>
      <c r="UYX374" s="10"/>
      <c r="UYY374" s="21"/>
      <c r="UYZ374" s="21"/>
      <c r="UZC374" s="21"/>
      <c r="UZD374" s="15"/>
      <c r="UZE374" s="15"/>
      <c r="UZF374" s="15"/>
      <c r="UZG374" s="15"/>
      <c r="UZH374" s="15"/>
      <c r="UZI374" s="15"/>
      <c r="UZJ374" s="15"/>
      <c r="UZK374" s="15"/>
      <c r="UZL374" s="15"/>
      <c r="UZM374" s="15"/>
      <c r="UZN374" s="10"/>
      <c r="UZO374" s="10"/>
      <c r="UZP374" s="21"/>
      <c r="UZQ374" s="21"/>
      <c r="UZT374" s="21"/>
      <c r="UZU374" s="15"/>
      <c r="UZV374" s="15"/>
      <c r="UZW374" s="15"/>
      <c r="UZX374" s="15"/>
      <c r="UZY374" s="15"/>
      <c r="UZZ374" s="15"/>
      <c r="VAA374" s="15"/>
      <c r="VAB374" s="15"/>
      <c r="VAC374" s="15"/>
      <c r="VAD374" s="15"/>
      <c r="VAE374" s="10"/>
      <c r="VAF374" s="10"/>
      <c r="VAG374" s="21"/>
      <c r="VAH374" s="21"/>
      <c r="VAK374" s="21"/>
      <c r="VAL374" s="15"/>
      <c r="VAM374" s="15"/>
      <c r="VAN374" s="15"/>
      <c r="VAO374" s="15"/>
      <c r="VAP374" s="15"/>
      <c r="VAQ374" s="15"/>
      <c r="VAR374" s="15"/>
      <c r="VAS374" s="15"/>
      <c r="VAT374" s="15"/>
      <c r="VAU374" s="15"/>
      <c r="VAV374" s="10"/>
      <c r="VAW374" s="10"/>
      <c r="VAX374" s="21"/>
      <c r="VAY374" s="21"/>
      <c r="VBB374" s="21"/>
      <c r="VBC374" s="15"/>
      <c r="VBD374" s="15"/>
      <c r="VBE374" s="15"/>
      <c r="VBF374" s="15"/>
      <c r="VBG374" s="15"/>
      <c r="VBH374" s="15"/>
      <c r="VBI374" s="15"/>
      <c r="VBJ374" s="15"/>
      <c r="VBK374" s="15"/>
      <c r="VBL374" s="15"/>
      <c r="VBM374" s="10"/>
      <c r="VBN374" s="10"/>
      <c r="VBO374" s="21"/>
      <c r="VBP374" s="21"/>
      <c r="VBS374" s="21"/>
      <c r="VBT374" s="15"/>
      <c r="VBU374" s="15"/>
      <c r="VBV374" s="15"/>
      <c r="VBW374" s="15"/>
      <c r="VBX374" s="15"/>
      <c r="VBY374" s="15"/>
      <c r="VBZ374" s="15"/>
      <c r="VCA374" s="15"/>
      <c r="VCB374" s="15"/>
      <c r="VCC374" s="15"/>
      <c r="VCD374" s="10"/>
      <c r="VCE374" s="10"/>
      <c r="VCF374" s="21"/>
      <c r="VCG374" s="21"/>
      <c r="VCJ374" s="21"/>
      <c r="VCK374" s="15"/>
      <c r="VCL374" s="15"/>
      <c r="VCM374" s="15"/>
      <c r="VCN374" s="15"/>
      <c r="VCO374" s="15"/>
      <c r="VCP374" s="15"/>
      <c r="VCQ374" s="15"/>
      <c r="VCR374" s="15"/>
      <c r="VCS374" s="15"/>
      <c r="VCT374" s="15"/>
      <c r="VCU374" s="10"/>
      <c r="VCV374" s="10"/>
      <c r="VCW374" s="21"/>
      <c r="VCX374" s="21"/>
      <c r="VDA374" s="21"/>
      <c r="VDB374" s="15"/>
      <c r="VDC374" s="15"/>
      <c r="VDD374" s="15"/>
      <c r="VDE374" s="15"/>
      <c r="VDF374" s="15"/>
      <c r="VDG374" s="15"/>
      <c r="VDH374" s="15"/>
      <c r="VDI374" s="15"/>
      <c r="VDJ374" s="15"/>
      <c r="VDK374" s="15"/>
      <c r="VDL374" s="10"/>
      <c r="VDM374" s="10"/>
      <c r="VDN374" s="21"/>
      <c r="VDO374" s="21"/>
      <c r="VDR374" s="21"/>
      <c r="VDS374" s="15"/>
      <c r="VDT374" s="15"/>
      <c r="VDU374" s="15"/>
      <c r="VDV374" s="15"/>
      <c r="VDW374" s="15"/>
      <c r="VDX374" s="15"/>
      <c r="VDY374" s="15"/>
      <c r="VDZ374" s="15"/>
      <c r="VEA374" s="15"/>
      <c r="VEB374" s="15"/>
      <c r="VEC374" s="10"/>
      <c r="VED374" s="10"/>
      <c r="VEE374" s="21"/>
      <c r="VEF374" s="21"/>
      <c r="VEI374" s="21"/>
      <c r="VEJ374" s="15"/>
      <c r="VEK374" s="15"/>
      <c r="VEL374" s="15"/>
      <c r="VEM374" s="15"/>
      <c r="VEN374" s="15"/>
      <c r="VEO374" s="15"/>
      <c r="VEP374" s="15"/>
      <c r="VEQ374" s="15"/>
      <c r="VER374" s="15"/>
      <c r="VES374" s="15"/>
      <c r="VET374" s="10"/>
      <c r="VEU374" s="10"/>
      <c r="VEV374" s="21"/>
      <c r="VEW374" s="21"/>
      <c r="VEZ374" s="21"/>
      <c r="VFA374" s="15"/>
      <c r="VFB374" s="15"/>
      <c r="VFC374" s="15"/>
      <c r="VFD374" s="15"/>
      <c r="VFE374" s="15"/>
      <c r="VFF374" s="15"/>
      <c r="VFG374" s="15"/>
      <c r="VFH374" s="15"/>
      <c r="VFI374" s="15"/>
      <c r="VFJ374" s="15"/>
      <c r="VFK374" s="10"/>
      <c r="VFL374" s="10"/>
      <c r="VFM374" s="21"/>
      <c r="VFN374" s="21"/>
      <c r="VFQ374" s="21"/>
      <c r="VFR374" s="15"/>
      <c r="VFS374" s="15"/>
      <c r="VFT374" s="15"/>
      <c r="VFU374" s="15"/>
      <c r="VFV374" s="15"/>
      <c r="VFW374" s="15"/>
      <c r="VFX374" s="15"/>
      <c r="VFY374" s="15"/>
      <c r="VFZ374" s="15"/>
      <c r="VGA374" s="15"/>
      <c r="VGB374" s="10"/>
      <c r="VGC374" s="10"/>
      <c r="VGD374" s="21"/>
      <c r="VGE374" s="21"/>
      <c r="VGH374" s="21"/>
      <c r="VGI374" s="15"/>
      <c r="VGJ374" s="15"/>
      <c r="VGK374" s="15"/>
      <c r="VGL374" s="15"/>
      <c r="VGM374" s="15"/>
      <c r="VGN374" s="15"/>
      <c r="VGO374" s="15"/>
      <c r="VGP374" s="15"/>
      <c r="VGQ374" s="15"/>
      <c r="VGR374" s="15"/>
      <c r="VGS374" s="10"/>
      <c r="VGT374" s="10"/>
      <c r="VGU374" s="21"/>
      <c r="VGV374" s="21"/>
      <c r="VGY374" s="21"/>
      <c r="VGZ374" s="15"/>
      <c r="VHA374" s="15"/>
      <c r="VHB374" s="15"/>
      <c r="VHC374" s="15"/>
      <c r="VHD374" s="15"/>
      <c r="VHE374" s="15"/>
      <c r="VHF374" s="15"/>
      <c r="VHG374" s="15"/>
      <c r="VHH374" s="15"/>
      <c r="VHI374" s="15"/>
      <c r="VHJ374" s="10"/>
      <c r="VHK374" s="10"/>
      <c r="VHL374" s="21"/>
      <c r="VHM374" s="21"/>
      <c r="VHP374" s="21"/>
      <c r="VHQ374" s="15"/>
      <c r="VHR374" s="15"/>
      <c r="VHS374" s="15"/>
      <c r="VHT374" s="15"/>
      <c r="VHU374" s="15"/>
      <c r="VHV374" s="15"/>
      <c r="VHW374" s="15"/>
      <c r="VHX374" s="15"/>
      <c r="VHY374" s="15"/>
      <c r="VHZ374" s="15"/>
      <c r="VIA374" s="10"/>
      <c r="VIB374" s="10"/>
      <c r="VIC374" s="21"/>
      <c r="VID374" s="21"/>
      <c r="VIG374" s="21"/>
      <c r="VIH374" s="15"/>
      <c r="VII374" s="15"/>
      <c r="VIJ374" s="15"/>
      <c r="VIK374" s="15"/>
      <c r="VIL374" s="15"/>
      <c r="VIM374" s="15"/>
      <c r="VIN374" s="15"/>
      <c r="VIO374" s="15"/>
      <c r="VIP374" s="15"/>
      <c r="VIQ374" s="15"/>
      <c r="VIR374" s="10"/>
      <c r="VIS374" s="10"/>
      <c r="VIT374" s="21"/>
      <c r="VIU374" s="21"/>
      <c r="VIX374" s="21"/>
      <c r="VIY374" s="15"/>
      <c r="VIZ374" s="15"/>
      <c r="VJA374" s="15"/>
      <c r="VJB374" s="15"/>
      <c r="VJC374" s="15"/>
      <c r="VJD374" s="15"/>
      <c r="VJE374" s="15"/>
      <c r="VJF374" s="15"/>
      <c r="VJG374" s="15"/>
      <c r="VJH374" s="15"/>
      <c r="VJI374" s="10"/>
      <c r="VJJ374" s="10"/>
      <c r="VJK374" s="21"/>
      <c r="VJL374" s="21"/>
      <c r="VJO374" s="21"/>
      <c r="VJP374" s="15"/>
      <c r="VJQ374" s="15"/>
      <c r="VJR374" s="15"/>
      <c r="VJS374" s="15"/>
      <c r="VJT374" s="15"/>
      <c r="VJU374" s="15"/>
      <c r="VJV374" s="15"/>
      <c r="VJW374" s="15"/>
      <c r="VJX374" s="15"/>
      <c r="VJY374" s="15"/>
      <c r="VJZ374" s="10"/>
      <c r="VKA374" s="10"/>
      <c r="VKB374" s="21"/>
      <c r="VKC374" s="21"/>
      <c r="VKF374" s="21"/>
      <c r="VKG374" s="15"/>
      <c r="VKH374" s="15"/>
      <c r="VKI374" s="15"/>
      <c r="VKJ374" s="15"/>
      <c r="VKK374" s="15"/>
      <c r="VKL374" s="15"/>
      <c r="VKM374" s="15"/>
      <c r="VKN374" s="15"/>
      <c r="VKO374" s="15"/>
      <c r="VKP374" s="15"/>
      <c r="VKQ374" s="10"/>
      <c r="VKR374" s="10"/>
      <c r="VKS374" s="21"/>
      <c r="VKT374" s="21"/>
      <c r="VKW374" s="21"/>
      <c r="VKX374" s="15"/>
      <c r="VKY374" s="15"/>
      <c r="VKZ374" s="15"/>
      <c r="VLA374" s="15"/>
      <c r="VLB374" s="15"/>
      <c r="VLC374" s="15"/>
      <c r="VLD374" s="15"/>
      <c r="VLE374" s="15"/>
      <c r="VLF374" s="15"/>
      <c r="VLG374" s="15"/>
      <c r="VLH374" s="10"/>
      <c r="VLI374" s="10"/>
      <c r="VLJ374" s="21"/>
      <c r="VLK374" s="21"/>
      <c r="VLN374" s="21"/>
      <c r="VLO374" s="15"/>
      <c r="VLP374" s="15"/>
      <c r="VLQ374" s="15"/>
      <c r="VLR374" s="15"/>
      <c r="VLS374" s="15"/>
      <c r="VLT374" s="15"/>
      <c r="VLU374" s="15"/>
      <c r="VLV374" s="15"/>
      <c r="VLW374" s="15"/>
      <c r="VLX374" s="15"/>
      <c r="VLY374" s="10"/>
      <c r="VLZ374" s="10"/>
      <c r="VMA374" s="21"/>
      <c r="VMB374" s="21"/>
      <c r="VME374" s="21"/>
      <c r="VMF374" s="15"/>
      <c r="VMG374" s="15"/>
      <c r="VMH374" s="15"/>
      <c r="VMI374" s="15"/>
      <c r="VMJ374" s="15"/>
      <c r="VMK374" s="15"/>
      <c r="VML374" s="15"/>
      <c r="VMM374" s="15"/>
      <c r="VMN374" s="15"/>
      <c r="VMO374" s="15"/>
      <c r="VMP374" s="10"/>
      <c r="VMQ374" s="10"/>
      <c r="VMR374" s="21"/>
      <c r="VMS374" s="21"/>
      <c r="VMV374" s="21"/>
      <c r="VMW374" s="15"/>
      <c r="VMX374" s="15"/>
      <c r="VMY374" s="15"/>
      <c r="VMZ374" s="15"/>
      <c r="VNA374" s="15"/>
      <c r="VNB374" s="15"/>
      <c r="VNC374" s="15"/>
      <c r="VND374" s="15"/>
      <c r="VNE374" s="15"/>
      <c r="VNF374" s="15"/>
      <c r="VNG374" s="10"/>
      <c r="VNH374" s="10"/>
      <c r="VNI374" s="21"/>
      <c r="VNJ374" s="21"/>
      <c r="VNM374" s="21"/>
      <c r="VNN374" s="15"/>
      <c r="VNO374" s="15"/>
      <c r="VNP374" s="15"/>
      <c r="VNQ374" s="15"/>
      <c r="VNR374" s="15"/>
      <c r="VNS374" s="15"/>
      <c r="VNT374" s="15"/>
      <c r="VNU374" s="15"/>
      <c r="VNV374" s="15"/>
      <c r="VNW374" s="15"/>
      <c r="VNX374" s="10"/>
      <c r="VNY374" s="10"/>
      <c r="VNZ374" s="21"/>
      <c r="VOA374" s="21"/>
      <c r="VOD374" s="21"/>
      <c r="VOE374" s="15"/>
      <c r="VOF374" s="15"/>
      <c r="VOG374" s="15"/>
      <c r="VOH374" s="15"/>
      <c r="VOI374" s="15"/>
      <c r="VOJ374" s="15"/>
      <c r="VOK374" s="15"/>
      <c r="VOL374" s="15"/>
      <c r="VOM374" s="15"/>
      <c r="VON374" s="15"/>
      <c r="VOO374" s="10"/>
      <c r="VOP374" s="10"/>
      <c r="VOQ374" s="21"/>
      <c r="VOR374" s="21"/>
      <c r="VOU374" s="21"/>
      <c r="VOV374" s="15"/>
      <c r="VOW374" s="15"/>
      <c r="VOX374" s="15"/>
      <c r="VOY374" s="15"/>
      <c r="VOZ374" s="15"/>
      <c r="VPA374" s="15"/>
      <c r="VPB374" s="15"/>
      <c r="VPC374" s="15"/>
      <c r="VPD374" s="15"/>
      <c r="VPE374" s="15"/>
      <c r="VPF374" s="10"/>
      <c r="VPG374" s="10"/>
      <c r="VPH374" s="21"/>
      <c r="VPI374" s="21"/>
      <c r="VPL374" s="21"/>
      <c r="VPM374" s="15"/>
      <c r="VPN374" s="15"/>
      <c r="VPO374" s="15"/>
      <c r="VPP374" s="15"/>
      <c r="VPQ374" s="15"/>
      <c r="VPR374" s="15"/>
      <c r="VPS374" s="15"/>
      <c r="VPT374" s="15"/>
      <c r="VPU374" s="15"/>
      <c r="VPV374" s="15"/>
      <c r="VPW374" s="10"/>
      <c r="VPX374" s="10"/>
      <c r="VPY374" s="21"/>
      <c r="VPZ374" s="21"/>
      <c r="VQC374" s="21"/>
      <c r="VQD374" s="15"/>
      <c r="VQE374" s="15"/>
      <c r="VQF374" s="15"/>
      <c r="VQG374" s="15"/>
      <c r="VQH374" s="15"/>
      <c r="VQI374" s="15"/>
      <c r="VQJ374" s="15"/>
      <c r="VQK374" s="15"/>
      <c r="VQL374" s="15"/>
      <c r="VQM374" s="15"/>
      <c r="VQN374" s="10"/>
      <c r="VQO374" s="10"/>
      <c r="VQP374" s="21"/>
      <c r="VQQ374" s="21"/>
      <c r="VQT374" s="21"/>
      <c r="VQU374" s="15"/>
      <c r="VQV374" s="15"/>
      <c r="VQW374" s="15"/>
      <c r="VQX374" s="15"/>
      <c r="VQY374" s="15"/>
      <c r="VQZ374" s="15"/>
      <c r="VRA374" s="15"/>
      <c r="VRB374" s="15"/>
      <c r="VRC374" s="15"/>
      <c r="VRD374" s="15"/>
      <c r="VRE374" s="10"/>
      <c r="VRF374" s="10"/>
      <c r="VRG374" s="21"/>
      <c r="VRH374" s="21"/>
      <c r="VRK374" s="21"/>
      <c r="VRL374" s="15"/>
      <c r="VRM374" s="15"/>
      <c r="VRN374" s="15"/>
      <c r="VRO374" s="15"/>
      <c r="VRP374" s="15"/>
      <c r="VRQ374" s="15"/>
      <c r="VRR374" s="15"/>
      <c r="VRS374" s="15"/>
      <c r="VRT374" s="15"/>
      <c r="VRU374" s="15"/>
      <c r="VRV374" s="10"/>
      <c r="VRW374" s="10"/>
      <c r="VRX374" s="21"/>
      <c r="VRY374" s="21"/>
      <c r="VSB374" s="21"/>
      <c r="VSC374" s="15"/>
      <c r="VSD374" s="15"/>
      <c r="VSE374" s="15"/>
      <c r="VSF374" s="15"/>
      <c r="VSG374" s="15"/>
      <c r="VSH374" s="15"/>
      <c r="VSI374" s="15"/>
      <c r="VSJ374" s="15"/>
      <c r="VSK374" s="15"/>
      <c r="VSL374" s="15"/>
      <c r="VSM374" s="10"/>
      <c r="VSN374" s="10"/>
      <c r="VSO374" s="21"/>
      <c r="VSP374" s="21"/>
      <c r="VSS374" s="21"/>
      <c r="VST374" s="15"/>
      <c r="VSU374" s="15"/>
      <c r="VSV374" s="15"/>
      <c r="VSW374" s="15"/>
      <c r="VSX374" s="15"/>
      <c r="VSY374" s="15"/>
      <c r="VSZ374" s="15"/>
      <c r="VTA374" s="15"/>
      <c r="VTB374" s="15"/>
      <c r="VTC374" s="15"/>
      <c r="VTD374" s="10"/>
      <c r="VTE374" s="10"/>
      <c r="VTF374" s="21"/>
      <c r="VTG374" s="21"/>
      <c r="VTJ374" s="21"/>
      <c r="VTK374" s="15"/>
      <c r="VTL374" s="15"/>
      <c r="VTM374" s="15"/>
      <c r="VTN374" s="15"/>
      <c r="VTO374" s="15"/>
      <c r="VTP374" s="15"/>
      <c r="VTQ374" s="15"/>
      <c r="VTR374" s="15"/>
      <c r="VTS374" s="15"/>
      <c r="VTT374" s="15"/>
      <c r="VTU374" s="10"/>
      <c r="VTV374" s="10"/>
      <c r="VTW374" s="21"/>
      <c r="VTX374" s="21"/>
      <c r="VUA374" s="21"/>
      <c r="VUB374" s="15"/>
      <c r="VUC374" s="15"/>
      <c r="VUD374" s="15"/>
      <c r="VUE374" s="15"/>
      <c r="VUF374" s="15"/>
      <c r="VUG374" s="15"/>
      <c r="VUH374" s="15"/>
      <c r="VUI374" s="15"/>
      <c r="VUJ374" s="15"/>
      <c r="VUK374" s="15"/>
      <c r="VUL374" s="10"/>
      <c r="VUM374" s="10"/>
      <c r="VUN374" s="21"/>
      <c r="VUO374" s="21"/>
      <c r="VUR374" s="21"/>
      <c r="VUS374" s="15"/>
      <c r="VUT374" s="15"/>
      <c r="VUU374" s="15"/>
      <c r="VUV374" s="15"/>
      <c r="VUW374" s="15"/>
      <c r="VUX374" s="15"/>
      <c r="VUY374" s="15"/>
      <c r="VUZ374" s="15"/>
      <c r="VVA374" s="15"/>
      <c r="VVB374" s="15"/>
      <c r="VVC374" s="10"/>
      <c r="VVD374" s="10"/>
      <c r="VVE374" s="21"/>
      <c r="VVF374" s="21"/>
      <c r="VVI374" s="21"/>
      <c r="VVJ374" s="15"/>
      <c r="VVK374" s="15"/>
      <c r="VVL374" s="15"/>
      <c r="VVM374" s="15"/>
      <c r="VVN374" s="15"/>
      <c r="VVO374" s="15"/>
      <c r="VVP374" s="15"/>
      <c r="VVQ374" s="15"/>
      <c r="VVR374" s="15"/>
      <c r="VVS374" s="15"/>
      <c r="VVT374" s="10"/>
      <c r="VVU374" s="10"/>
      <c r="VVV374" s="21"/>
      <c r="VVW374" s="21"/>
      <c r="VVZ374" s="21"/>
      <c r="VWA374" s="15"/>
      <c r="VWB374" s="15"/>
      <c r="VWC374" s="15"/>
      <c r="VWD374" s="15"/>
      <c r="VWE374" s="15"/>
      <c r="VWF374" s="15"/>
      <c r="VWG374" s="15"/>
      <c r="VWH374" s="15"/>
      <c r="VWI374" s="15"/>
      <c r="VWJ374" s="15"/>
      <c r="VWK374" s="10"/>
      <c r="VWL374" s="10"/>
      <c r="VWM374" s="21"/>
      <c r="VWN374" s="21"/>
      <c r="VWQ374" s="21"/>
      <c r="VWR374" s="15"/>
      <c r="VWS374" s="15"/>
      <c r="VWT374" s="15"/>
      <c r="VWU374" s="15"/>
      <c r="VWV374" s="15"/>
      <c r="VWW374" s="15"/>
      <c r="VWX374" s="15"/>
      <c r="VWY374" s="15"/>
      <c r="VWZ374" s="15"/>
      <c r="VXA374" s="15"/>
      <c r="VXB374" s="10"/>
      <c r="VXC374" s="10"/>
      <c r="VXD374" s="21"/>
      <c r="VXE374" s="21"/>
      <c r="VXH374" s="21"/>
      <c r="VXI374" s="15"/>
      <c r="VXJ374" s="15"/>
      <c r="VXK374" s="15"/>
      <c r="VXL374" s="15"/>
      <c r="VXM374" s="15"/>
      <c r="VXN374" s="15"/>
      <c r="VXO374" s="15"/>
      <c r="VXP374" s="15"/>
      <c r="VXQ374" s="15"/>
      <c r="VXR374" s="15"/>
      <c r="VXS374" s="10"/>
      <c r="VXT374" s="10"/>
      <c r="VXU374" s="21"/>
      <c r="VXV374" s="21"/>
      <c r="VXY374" s="21"/>
      <c r="VXZ374" s="15"/>
      <c r="VYA374" s="15"/>
      <c r="VYB374" s="15"/>
      <c r="VYC374" s="15"/>
      <c r="VYD374" s="15"/>
      <c r="VYE374" s="15"/>
      <c r="VYF374" s="15"/>
      <c r="VYG374" s="15"/>
      <c r="VYH374" s="15"/>
      <c r="VYI374" s="15"/>
      <c r="VYJ374" s="10"/>
      <c r="VYK374" s="10"/>
      <c r="VYL374" s="21"/>
      <c r="VYM374" s="21"/>
      <c r="VYP374" s="21"/>
      <c r="VYQ374" s="15"/>
      <c r="VYR374" s="15"/>
      <c r="VYS374" s="15"/>
      <c r="VYT374" s="15"/>
      <c r="VYU374" s="15"/>
      <c r="VYV374" s="15"/>
      <c r="VYW374" s="15"/>
      <c r="VYX374" s="15"/>
      <c r="VYY374" s="15"/>
      <c r="VYZ374" s="15"/>
      <c r="VZA374" s="10"/>
      <c r="VZB374" s="10"/>
      <c r="VZC374" s="21"/>
      <c r="VZD374" s="21"/>
      <c r="VZG374" s="21"/>
      <c r="VZH374" s="15"/>
      <c r="VZI374" s="15"/>
      <c r="VZJ374" s="15"/>
      <c r="VZK374" s="15"/>
      <c r="VZL374" s="15"/>
      <c r="VZM374" s="15"/>
      <c r="VZN374" s="15"/>
      <c r="VZO374" s="15"/>
      <c r="VZP374" s="15"/>
      <c r="VZQ374" s="15"/>
      <c r="VZR374" s="10"/>
      <c r="VZS374" s="10"/>
      <c r="VZT374" s="21"/>
      <c r="VZU374" s="21"/>
      <c r="VZX374" s="21"/>
      <c r="VZY374" s="15"/>
      <c r="VZZ374" s="15"/>
      <c r="WAA374" s="15"/>
      <c r="WAB374" s="15"/>
      <c r="WAC374" s="15"/>
      <c r="WAD374" s="15"/>
      <c r="WAE374" s="15"/>
      <c r="WAF374" s="15"/>
      <c r="WAG374" s="15"/>
      <c r="WAH374" s="15"/>
      <c r="WAI374" s="10"/>
      <c r="WAJ374" s="10"/>
      <c r="WAK374" s="21"/>
      <c r="WAL374" s="21"/>
      <c r="WAO374" s="21"/>
      <c r="WAP374" s="15"/>
      <c r="WAQ374" s="15"/>
      <c r="WAR374" s="15"/>
      <c r="WAS374" s="15"/>
      <c r="WAT374" s="15"/>
      <c r="WAU374" s="15"/>
      <c r="WAV374" s="15"/>
      <c r="WAW374" s="15"/>
      <c r="WAX374" s="15"/>
      <c r="WAY374" s="15"/>
      <c r="WAZ374" s="10"/>
      <c r="WBA374" s="10"/>
      <c r="WBB374" s="21"/>
      <c r="WBC374" s="21"/>
      <c r="WBF374" s="21"/>
      <c r="WBG374" s="15"/>
      <c r="WBH374" s="15"/>
      <c r="WBI374" s="15"/>
      <c r="WBJ374" s="15"/>
      <c r="WBK374" s="15"/>
      <c r="WBL374" s="15"/>
      <c r="WBM374" s="15"/>
      <c r="WBN374" s="15"/>
      <c r="WBO374" s="15"/>
      <c r="WBP374" s="15"/>
      <c r="WBQ374" s="10"/>
      <c r="WBR374" s="10"/>
      <c r="WBS374" s="21"/>
      <c r="WBT374" s="21"/>
      <c r="WBW374" s="21"/>
      <c r="WBX374" s="15"/>
      <c r="WBY374" s="15"/>
      <c r="WBZ374" s="15"/>
      <c r="WCA374" s="15"/>
      <c r="WCB374" s="15"/>
      <c r="WCC374" s="15"/>
      <c r="WCD374" s="15"/>
      <c r="WCE374" s="15"/>
      <c r="WCF374" s="15"/>
      <c r="WCG374" s="15"/>
      <c r="WCH374" s="10"/>
      <c r="WCI374" s="10"/>
      <c r="WCJ374" s="21"/>
      <c r="WCK374" s="21"/>
      <c r="WCN374" s="21"/>
      <c r="WCO374" s="15"/>
      <c r="WCP374" s="15"/>
      <c r="WCQ374" s="15"/>
      <c r="WCR374" s="15"/>
      <c r="WCS374" s="15"/>
      <c r="WCT374" s="15"/>
      <c r="WCU374" s="15"/>
      <c r="WCV374" s="15"/>
      <c r="WCW374" s="15"/>
      <c r="WCX374" s="15"/>
      <c r="WCY374" s="10"/>
      <c r="WCZ374" s="10"/>
      <c r="WDA374" s="21"/>
      <c r="WDB374" s="21"/>
      <c r="WDE374" s="21"/>
      <c r="WDF374" s="15"/>
      <c r="WDG374" s="15"/>
      <c r="WDH374" s="15"/>
      <c r="WDI374" s="15"/>
      <c r="WDJ374" s="15"/>
      <c r="WDK374" s="15"/>
      <c r="WDL374" s="15"/>
      <c r="WDM374" s="15"/>
      <c r="WDN374" s="15"/>
      <c r="WDO374" s="15"/>
      <c r="WDP374" s="10"/>
      <c r="WDQ374" s="10"/>
      <c r="WDR374" s="21"/>
      <c r="WDS374" s="21"/>
      <c r="WDV374" s="21"/>
      <c r="WDW374" s="15"/>
      <c r="WDX374" s="15"/>
      <c r="WDY374" s="15"/>
      <c r="WDZ374" s="15"/>
      <c r="WEA374" s="15"/>
      <c r="WEB374" s="15"/>
      <c r="WEC374" s="15"/>
      <c r="WED374" s="15"/>
      <c r="WEE374" s="15"/>
      <c r="WEF374" s="15"/>
      <c r="WEG374" s="10"/>
      <c r="WEH374" s="10"/>
      <c r="WEI374" s="21"/>
      <c r="WEJ374" s="21"/>
      <c r="WEM374" s="21"/>
      <c r="WEN374" s="15"/>
      <c r="WEO374" s="15"/>
      <c r="WEP374" s="15"/>
      <c r="WEQ374" s="15"/>
      <c r="WER374" s="15"/>
      <c r="WES374" s="15"/>
      <c r="WET374" s="15"/>
      <c r="WEU374" s="15"/>
      <c r="WEV374" s="15"/>
      <c r="WEW374" s="15"/>
      <c r="WEX374" s="10"/>
      <c r="WEY374" s="10"/>
      <c r="WEZ374" s="21"/>
      <c r="WFA374" s="21"/>
      <c r="WFD374" s="21"/>
      <c r="WFE374" s="15"/>
      <c r="WFF374" s="15"/>
      <c r="WFG374" s="15"/>
      <c r="WFH374" s="15"/>
      <c r="WFI374" s="15"/>
      <c r="WFJ374" s="15"/>
      <c r="WFK374" s="15"/>
      <c r="WFL374" s="15"/>
      <c r="WFM374" s="15"/>
      <c r="WFN374" s="15"/>
      <c r="WFO374" s="10"/>
      <c r="WFP374" s="10"/>
      <c r="WFQ374" s="21"/>
      <c r="WFR374" s="21"/>
      <c r="WFU374" s="21"/>
      <c r="WFV374" s="15"/>
      <c r="WFW374" s="15"/>
      <c r="WFX374" s="15"/>
      <c r="WFY374" s="15"/>
      <c r="WFZ374" s="15"/>
      <c r="WGA374" s="15"/>
      <c r="WGB374" s="15"/>
      <c r="WGC374" s="15"/>
      <c r="WGD374" s="15"/>
      <c r="WGE374" s="15"/>
      <c r="WGF374" s="10"/>
      <c r="WGG374" s="10"/>
      <c r="WGH374" s="21"/>
      <c r="WGI374" s="21"/>
      <c r="WGL374" s="21"/>
      <c r="WGM374" s="15"/>
      <c r="WGN374" s="15"/>
      <c r="WGO374" s="15"/>
      <c r="WGP374" s="15"/>
      <c r="WGQ374" s="15"/>
      <c r="WGR374" s="15"/>
      <c r="WGS374" s="15"/>
      <c r="WGT374" s="15"/>
      <c r="WGU374" s="15"/>
      <c r="WGV374" s="15"/>
      <c r="WGW374" s="10"/>
      <c r="WGX374" s="10"/>
      <c r="WGY374" s="21"/>
      <c r="WGZ374" s="21"/>
      <c r="WHC374" s="21"/>
      <c r="WHD374" s="15"/>
      <c r="WHE374" s="15"/>
      <c r="WHF374" s="15"/>
      <c r="WHG374" s="15"/>
      <c r="WHH374" s="15"/>
      <c r="WHI374" s="15"/>
      <c r="WHJ374" s="15"/>
      <c r="WHK374" s="15"/>
      <c r="WHL374" s="15"/>
      <c r="WHM374" s="15"/>
      <c r="WHN374" s="10"/>
      <c r="WHO374" s="10"/>
      <c r="WHP374" s="21"/>
      <c r="WHQ374" s="21"/>
      <c r="WHT374" s="21"/>
      <c r="WHU374" s="15"/>
      <c r="WHV374" s="15"/>
      <c r="WHW374" s="15"/>
      <c r="WHX374" s="15"/>
      <c r="WHY374" s="15"/>
      <c r="WHZ374" s="15"/>
      <c r="WIA374" s="15"/>
      <c r="WIB374" s="15"/>
      <c r="WIC374" s="15"/>
      <c r="WID374" s="15"/>
      <c r="WIE374" s="10"/>
      <c r="WIF374" s="10"/>
      <c r="WIG374" s="21"/>
      <c r="WIH374" s="21"/>
      <c r="WIK374" s="21"/>
      <c r="WIL374" s="15"/>
      <c r="WIM374" s="15"/>
      <c r="WIN374" s="15"/>
      <c r="WIO374" s="15"/>
      <c r="WIP374" s="15"/>
      <c r="WIQ374" s="15"/>
      <c r="WIR374" s="15"/>
      <c r="WIS374" s="15"/>
      <c r="WIT374" s="15"/>
      <c r="WIU374" s="15"/>
      <c r="WIV374" s="10"/>
      <c r="WIW374" s="10"/>
      <c r="WIX374" s="21"/>
      <c r="WIY374" s="21"/>
      <c r="WJB374" s="21"/>
      <c r="WJC374" s="15"/>
      <c r="WJD374" s="15"/>
      <c r="WJE374" s="15"/>
      <c r="WJF374" s="15"/>
      <c r="WJG374" s="15"/>
      <c r="WJH374" s="15"/>
      <c r="WJI374" s="15"/>
      <c r="WJJ374" s="15"/>
      <c r="WJK374" s="15"/>
      <c r="WJL374" s="15"/>
      <c r="WJM374" s="10"/>
      <c r="WJN374" s="10"/>
      <c r="WJO374" s="21"/>
      <c r="WJP374" s="21"/>
      <c r="WJS374" s="21"/>
      <c r="WJT374" s="15"/>
      <c r="WJU374" s="15"/>
      <c r="WJV374" s="15"/>
      <c r="WJW374" s="15"/>
      <c r="WJX374" s="15"/>
      <c r="WJY374" s="15"/>
      <c r="WJZ374" s="15"/>
      <c r="WKA374" s="15"/>
      <c r="WKB374" s="15"/>
      <c r="WKC374" s="15"/>
      <c r="WKD374" s="10"/>
      <c r="WKE374" s="10"/>
      <c r="WKF374" s="21"/>
      <c r="WKG374" s="21"/>
      <c r="WKJ374" s="21"/>
      <c r="WKK374" s="15"/>
      <c r="WKL374" s="15"/>
      <c r="WKM374" s="15"/>
      <c r="WKN374" s="15"/>
      <c r="WKO374" s="15"/>
      <c r="WKP374" s="15"/>
      <c r="WKQ374" s="15"/>
      <c r="WKR374" s="15"/>
      <c r="WKS374" s="15"/>
      <c r="WKT374" s="15"/>
      <c r="WKU374" s="10"/>
      <c r="WKV374" s="10"/>
      <c r="WKW374" s="21"/>
      <c r="WKX374" s="21"/>
      <c r="WLA374" s="21"/>
      <c r="WLB374" s="15"/>
      <c r="WLC374" s="15"/>
      <c r="WLD374" s="15"/>
      <c r="WLE374" s="15"/>
      <c r="WLF374" s="15"/>
      <c r="WLG374" s="15"/>
      <c r="WLH374" s="15"/>
      <c r="WLI374" s="15"/>
      <c r="WLJ374" s="15"/>
      <c r="WLK374" s="15"/>
      <c r="WLL374" s="10"/>
      <c r="WLM374" s="10"/>
      <c r="WLN374" s="21"/>
      <c r="WLO374" s="21"/>
      <c r="WLR374" s="21"/>
      <c r="WLS374" s="15"/>
      <c r="WLT374" s="15"/>
      <c r="WLU374" s="15"/>
      <c r="WLV374" s="15"/>
      <c r="WLW374" s="15"/>
      <c r="WLX374" s="15"/>
      <c r="WLY374" s="15"/>
      <c r="WLZ374" s="15"/>
      <c r="WMA374" s="15"/>
      <c r="WMB374" s="15"/>
      <c r="WMC374" s="10"/>
      <c r="WMD374" s="10"/>
      <c r="WME374" s="21"/>
      <c r="WMF374" s="21"/>
      <c r="WMI374" s="21"/>
      <c r="WMJ374" s="15"/>
      <c r="WMK374" s="15"/>
      <c r="WML374" s="15"/>
      <c r="WMM374" s="15"/>
      <c r="WMN374" s="15"/>
      <c r="WMO374" s="15"/>
      <c r="WMP374" s="15"/>
      <c r="WMQ374" s="15"/>
      <c r="WMR374" s="15"/>
      <c r="WMS374" s="15"/>
      <c r="WMT374" s="10"/>
      <c r="WMU374" s="10"/>
      <c r="WMV374" s="21"/>
      <c r="WMW374" s="21"/>
      <c r="WMZ374" s="21"/>
      <c r="WNA374" s="15"/>
      <c r="WNB374" s="15"/>
      <c r="WNC374" s="15"/>
      <c r="WND374" s="15"/>
      <c r="WNE374" s="15"/>
      <c r="WNF374" s="15"/>
      <c r="WNG374" s="15"/>
      <c r="WNH374" s="15"/>
      <c r="WNI374" s="15"/>
      <c r="WNJ374" s="15"/>
      <c r="WNK374" s="10"/>
      <c r="WNL374" s="10"/>
      <c r="WNM374" s="21"/>
      <c r="WNN374" s="21"/>
      <c r="WNQ374" s="21"/>
      <c r="WNR374" s="15"/>
      <c r="WNS374" s="15"/>
      <c r="WNT374" s="15"/>
      <c r="WNU374" s="15"/>
      <c r="WNV374" s="15"/>
      <c r="WNW374" s="15"/>
      <c r="WNX374" s="15"/>
      <c r="WNY374" s="15"/>
      <c r="WNZ374" s="15"/>
      <c r="WOA374" s="15"/>
      <c r="WOB374" s="10"/>
      <c r="WOC374" s="10"/>
      <c r="WOD374" s="21"/>
      <c r="WOE374" s="21"/>
      <c r="WOH374" s="21"/>
      <c r="WOI374" s="15"/>
      <c r="WOJ374" s="15"/>
      <c r="WOK374" s="15"/>
      <c r="WOL374" s="15"/>
      <c r="WOM374" s="15"/>
      <c r="WON374" s="15"/>
      <c r="WOO374" s="15"/>
      <c r="WOP374" s="15"/>
      <c r="WOQ374" s="15"/>
      <c r="WOR374" s="15"/>
      <c r="WOS374" s="10"/>
      <c r="WOT374" s="10"/>
      <c r="WOU374" s="21"/>
      <c r="WOV374" s="21"/>
      <c r="WOY374" s="21"/>
      <c r="WOZ374" s="15"/>
      <c r="WPA374" s="15"/>
      <c r="WPB374" s="15"/>
      <c r="WPC374" s="15"/>
      <c r="WPD374" s="15"/>
      <c r="WPE374" s="15"/>
      <c r="WPF374" s="15"/>
      <c r="WPG374" s="15"/>
      <c r="WPH374" s="15"/>
      <c r="WPI374" s="15"/>
      <c r="WPJ374" s="10"/>
      <c r="WPK374" s="10"/>
      <c r="WPL374" s="21"/>
      <c r="WPM374" s="21"/>
      <c r="WPP374" s="21"/>
      <c r="WPQ374" s="15"/>
      <c r="WPR374" s="15"/>
      <c r="WPS374" s="15"/>
      <c r="WPT374" s="15"/>
      <c r="WPU374" s="15"/>
      <c r="WPV374" s="15"/>
      <c r="WPW374" s="15"/>
      <c r="WPX374" s="15"/>
      <c r="WPY374" s="15"/>
      <c r="WPZ374" s="15"/>
      <c r="WQA374" s="10"/>
      <c r="WQB374" s="10"/>
      <c r="WQC374" s="21"/>
      <c r="WQD374" s="21"/>
      <c r="WQG374" s="21"/>
      <c r="WQH374" s="15"/>
      <c r="WQI374" s="15"/>
      <c r="WQJ374" s="15"/>
      <c r="WQK374" s="15"/>
      <c r="WQL374" s="15"/>
      <c r="WQM374" s="15"/>
      <c r="WQN374" s="15"/>
      <c r="WQO374" s="15"/>
      <c r="WQP374" s="15"/>
      <c r="WQQ374" s="15"/>
      <c r="WQR374" s="10"/>
      <c r="WQS374" s="10"/>
      <c r="WQT374" s="21"/>
      <c r="WQU374" s="21"/>
      <c r="WQX374" s="21"/>
      <c r="WQY374" s="15"/>
      <c r="WQZ374" s="15"/>
      <c r="WRA374" s="15"/>
      <c r="WRB374" s="15"/>
      <c r="WRC374" s="15"/>
      <c r="WRD374" s="15"/>
      <c r="WRE374" s="15"/>
      <c r="WRF374" s="15"/>
      <c r="WRG374" s="15"/>
      <c r="WRH374" s="15"/>
      <c r="WRI374" s="10"/>
      <c r="WRJ374" s="10"/>
      <c r="WRK374" s="21"/>
      <c r="WRL374" s="21"/>
      <c r="WRO374" s="21"/>
      <c r="WRP374" s="15"/>
      <c r="WRQ374" s="15"/>
      <c r="WRR374" s="15"/>
      <c r="WRS374" s="15"/>
      <c r="WRT374" s="15"/>
      <c r="WRU374" s="15"/>
      <c r="WRV374" s="15"/>
      <c r="WRW374" s="15"/>
      <c r="WRX374" s="15"/>
      <c r="WRY374" s="15"/>
      <c r="WRZ374" s="10"/>
      <c r="WSA374" s="10"/>
      <c r="WSB374" s="21"/>
      <c r="WSC374" s="21"/>
      <c r="WSF374" s="21"/>
      <c r="WSG374" s="15"/>
      <c r="WSH374" s="15"/>
      <c r="WSI374" s="15"/>
      <c r="WSJ374" s="15"/>
      <c r="WSK374" s="15"/>
      <c r="WSL374" s="15"/>
      <c r="WSM374" s="15"/>
      <c r="WSN374" s="15"/>
      <c r="WSO374" s="15"/>
      <c r="WSP374" s="15"/>
      <c r="WSQ374" s="10"/>
      <c r="WSR374" s="10"/>
      <c r="WSS374" s="21"/>
      <c r="WST374" s="21"/>
      <c r="WSW374" s="21"/>
      <c r="WSX374" s="15"/>
      <c r="WSY374" s="15"/>
      <c r="WSZ374" s="15"/>
      <c r="WTA374" s="15"/>
      <c r="WTB374" s="15"/>
      <c r="WTC374" s="15"/>
      <c r="WTD374" s="15"/>
      <c r="WTE374" s="15"/>
      <c r="WTF374" s="15"/>
      <c r="WTG374" s="15"/>
      <c r="WTH374" s="10"/>
      <c r="WTI374" s="10"/>
      <c r="WTJ374" s="21"/>
      <c r="WTK374" s="21"/>
      <c r="WTN374" s="21"/>
      <c r="WTO374" s="15"/>
      <c r="WTP374" s="15"/>
      <c r="WTQ374" s="15"/>
      <c r="WTR374" s="15"/>
      <c r="WTS374" s="15"/>
      <c r="WTT374" s="15"/>
      <c r="WTU374" s="15"/>
      <c r="WTV374" s="15"/>
      <c r="WTW374" s="15"/>
      <c r="WTX374" s="15"/>
      <c r="WTY374" s="10"/>
      <c r="WTZ374" s="10"/>
      <c r="WUA374" s="21"/>
      <c r="WUB374" s="21"/>
      <c r="WUE374" s="21"/>
      <c r="WUF374" s="15"/>
      <c r="WUG374" s="15"/>
      <c r="WUH374" s="15"/>
      <c r="WUI374" s="15"/>
      <c r="WUJ374" s="15"/>
      <c r="WUK374" s="15"/>
      <c r="WUL374" s="15"/>
      <c r="WUM374" s="15"/>
      <c r="WUN374" s="15"/>
      <c r="WUO374" s="15"/>
      <c r="WUP374" s="10"/>
      <c r="WUQ374" s="10"/>
      <c r="WUR374" s="21"/>
      <c r="WUS374" s="21"/>
      <c r="WUV374" s="21"/>
      <c r="WUW374" s="15"/>
      <c r="WUX374" s="15"/>
      <c r="WUY374" s="15"/>
      <c r="WUZ374" s="15"/>
      <c r="WVA374" s="15"/>
      <c r="WVB374" s="15"/>
      <c r="WVC374" s="15"/>
      <c r="WVD374" s="15"/>
      <c r="WVE374" s="15"/>
      <c r="WVF374" s="15"/>
      <c r="WVG374" s="10"/>
      <c r="WVH374" s="10"/>
      <c r="WVI374" s="21"/>
      <c r="WVJ374" s="21"/>
      <c r="WVM374" s="21"/>
      <c r="WVN374" s="15"/>
      <c r="WVO374" s="15"/>
      <c r="WVP374" s="15"/>
      <c r="WVQ374" s="15"/>
      <c r="WVR374" s="15"/>
      <c r="WVS374" s="15"/>
      <c r="WVT374" s="15"/>
      <c r="WVU374" s="15"/>
      <c r="WVV374" s="15"/>
      <c r="WVW374" s="15"/>
      <c r="WVX374" s="10"/>
      <c r="WVY374" s="10"/>
      <c r="WVZ374" s="21"/>
      <c r="WWA374" s="21"/>
      <c r="WWD374" s="21"/>
      <c r="WWE374" s="15"/>
      <c r="WWF374" s="15"/>
      <c r="WWG374" s="15"/>
      <c r="WWH374" s="15"/>
      <c r="WWI374" s="15"/>
      <c r="WWJ374" s="15"/>
      <c r="WWK374" s="15"/>
      <c r="WWL374" s="15"/>
      <c r="WWM374" s="15"/>
      <c r="WWN374" s="15"/>
      <c r="WWO374" s="10"/>
      <c r="WWP374" s="10"/>
      <c r="WWQ374" s="21"/>
      <c r="WWR374" s="21"/>
      <c r="WWU374" s="21"/>
      <c r="WWV374" s="15"/>
      <c r="WWW374" s="15"/>
      <c r="WWX374" s="15"/>
      <c r="WWY374" s="15"/>
      <c r="WWZ374" s="15"/>
      <c r="WXA374" s="15"/>
      <c r="WXB374" s="15"/>
      <c r="WXC374" s="15"/>
      <c r="WXD374" s="15"/>
      <c r="WXE374" s="15"/>
      <c r="WXF374" s="10"/>
      <c r="WXG374" s="10"/>
      <c r="WXH374" s="21"/>
      <c r="WXI374" s="21"/>
      <c r="WXL374" s="21"/>
      <c r="WXM374" s="15"/>
      <c r="WXN374" s="15"/>
      <c r="WXO374" s="15"/>
      <c r="WXP374" s="15"/>
      <c r="WXQ374" s="15"/>
      <c r="WXR374" s="15"/>
      <c r="WXS374" s="15"/>
      <c r="WXT374" s="15"/>
      <c r="WXU374" s="15"/>
      <c r="WXV374" s="15"/>
      <c r="WXW374" s="10"/>
      <c r="WXX374" s="10"/>
      <c r="WXY374" s="21"/>
      <c r="WXZ374" s="21"/>
      <c r="WYC374" s="21"/>
      <c r="WYD374" s="15"/>
      <c r="WYE374" s="15"/>
      <c r="WYF374" s="15"/>
      <c r="WYG374" s="15"/>
      <c r="WYH374" s="15"/>
      <c r="WYI374" s="15"/>
      <c r="WYJ374" s="15"/>
      <c r="WYK374" s="15"/>
      <c r="WYL374" s="15"/>
      <c r="WYM374" s="15"/>
      <c r="WYN374" s="10"/>
      <c r="WYO374" s="10"/>
      <c r="WYP374" s="21"/>
      <c r="WYQ374" s="21"/>
      <c r="WYT374" s="21"/>
      <c r="WYU374" s="15"/>
      <c r="WYV374" s="15"/>
      <c r="WYW374" s="15"/>
      <c r="WYX374" s="15"/>
      <c r="WYY374" s="15"/>
      <c r="WYZ374" s="15"/>
      <c r="WZA374" s="15"/>
      <c r="WZB374" s="15"/>
      <c r="WZC374" s="15"/>
      <c r="WZD374" s="15"/>
      <c r="WZE374" s="10"/>
      <c r="WZF374" s="10"/>
      <c r="WZG374" s="21"/>
      <c r="WZH374" s="21"/>
      <c r="WZK374" s="21"/>
      <c r="WZL374" s="15"/>
      <c r="WZM374" s="15"/>
      <c r="WZN374" s="15"/>
      <c r="WZO374" s="15"/>
      <c r="WZP374" s="15"/>
      <c r="WZQ374" s="15"/>
      <c r="WZR374" s="15"/>
      <c r="WZS374" s="15"/>
      <c r="WZT374" s="15"/>
      <c r="WZU374" s="15"/>
      <c r="WZV374" s="10"/>
      <c r="WZW374" s="10"/>
      <c r="WZX374" s="21"/>
      <c r="WZY374" s="21"/>
      <c r="XAB374" s="21"/>
      <c r="XAC374" s="15"/>
      <c r="XAD374" s="15"/>
      <c r="XAE374" s="15"/>
      <c r="XAF374" s="15"/>
      <c r="XAG374" s="15"/>
      <c r="XAH374" s="15"/>
      <c r="XAI374" s="15"/>
      <c r="XAJ374" s="15"/>
      <c r="XAK374" s="15"/>
      <c r="XAL374" s="15"/>
      <c r="XAM374" s="10"/>
      <c r="XAN374" s="10"/>
      <c r="XAO374" s="21"/>
      <c r="XAP374" s="21"/>
      <c r="XAS374" s="21"/>
      <c r="XAT374" s="15"/>
      <c r="XAU374" s="15"/>
      <c r="XAV374" s="15"/>
      <c r="XAW374" s="15"/>
      <c r="XAX374" s="15"/>
      <c r="XAY374" s="15"/>
      <c r="XAZ374" s="15"/>
      <c r="XBA374" s="15"/>
      <c r="XBB374" s="15"/>
      <c r="XBC374" s="15"/>
      <c r="XBD374" s="10"/>
      <c r="XBE374" s="10"/>
      <c r="XBF374" s="21"/>
      <c r="XBG374" s="21"/>
      <c r="XBJ374" s="21"/>
      <c r="XBK374" s="15"/>
      <c r="XBL374" s="15"/>
      <c r="XBM374" s="15"/>
      <c r="XBN374" s="15"/>
      <c r="XBO374" s="15"/>
      <c r="XBP374" s="15"/>
      <c r="XBQ374" s="15"/>
      <c r="XBR374" s="15"/>
      <c r="XBS374" s="15"/>
      <c r="XBT374" s="15"/>
      <c r="XBU374" s="10"/>
      <c r="XBV374" s="10"/>
      <c r="XBW374" s="21"/>
      <c r="XBX374" s="21"/>
      <c r="XCA374" s="21"/>
      <c r="XCB374" s="15"/>
      <c r="XCC374" s="15"/>
      <c r="XCD374" s="15"/>
      <c r="XCE374" s="15"/>
      <c r="XCF374" s="15"/>
      <c r="XCG374" s="15"/>
      <c r="XCH374" s="15"/>
      <c r="XCI374" s="15"/>
      <c r="XCJ374" s="15"/>
      <c r="XCK374" s="15"/>
      <c r="XCL374" s="10"/>
      <c r="XCM374" s="10"/>
      <c r="XCN374" s="21"/>
      <c r="XCO374" s="21"/>
      <c r="XCR374" s="21"/>
      <c r="XCS374" s="15"/>
      <c r="XCT374" s="15"/>
      <c r="XCU374" s="15"/>
      <c r="XCV374" s="15"/>
      <c r="XCW374" s="15"/>
      <c r="XCX374" s="15"/>
      <c r="XCY374" s="15"/>
      <c r="XCZ374" s="15"/>
      <c r="XDA374" s="15"/>
      <c r="XDB374" s="15"/>
      <c r="XDC374" s="10"/>
      <c r="XDD374" s="10"/>
      <c r="XDE374" s="21"/>
      <c r="XDF374" s="21"/>
      <c r="XDI374" s="21"/>
      <c r="XDJ374" s="15"/>
      <c r="XDK374" s="15"/>
      <c r="XDL374" s="15"/>
      <c r="XDM374" s="15"/>
      <c r="XDN374" s="15"/>
      <c r="XDO374" s="15"/>
      <c r="XDP374" s="15"/>
      <c r="XDQ374" s="15"/>
      <c r="XDR374" s="15"/>
      <c r="XDS374" s="15"/>
      <c r="XDT374" s="10"/>
      <c r="XDU374" s="10"/>
      <c r="XDV374" s="21"/>
      <c r="XDW374" s="21"/>
      <c r="XDZ374" s="21"/>
      <c r="XEA374" s="15"/>
      <c r="XEB374" s="15"/>
      <c r="XEC374" s="15"/>
      <c r="XED374" s="15"/>
      <c r="XEE374" s="15"/>
      <c r="XEF374" s="15"/>
      <c r="XEG374" s="15"/>
      <c r="XEH374" s="15"/>
      <c r="XEI374" s="15"/>
      <c r="XEJ374" s="15"/>
      <c r="XEK374" s="10"/>
      <c r="XEL374" s="10"/>
      <c r="XEM374" s="21"/>
      <c r="XEN374" s="21"/>
      <c r="XEQ374" s="21"/>
      <c r="XER374" s="15"/>
      <c r="XES374" s="15"/>
      <c r="XET374" s="15"/>
      <c r="XEU374" s="15"/>
      <c r="XEV374" s="15"/>
      <c r="XEW374" s="15"/>
      <c r="XEX374" s="15"/>
      <c r="XEY374" s="15"/>
      <c r="XEZ374" s="15"/>
      <c r="XFA374" s="15"/>
      <c r="XFB374" s="10"/>
      <c r="XFC374" s="10"/>
      <c r="XFD374" s="21"/>
    </row>
    <row r="375" spans="1:4094 4097:8191 8194:12288 12291:16384" s="1" customFormat="1" ht="14.25" customHeight="1" x14ac:dyDescent="0.25">
      <c r="A375" s="44">
        <v>0</v>
      </c>
      <c r="B375" s="44">
        <v>2</v>
      </c>
      <c r="C375" s="44">
        <v>5</v>
      </c>
      <c r="D375" s="45" t="s">
        <v>775</v>
      </c>
      <c r="E375" s="45" t="s">
        <v>772</v>
      </c>
      <c r="F375" s="45" t="s">
        <v>777</v>
      </c>
      <c r="G375" s="45" t="s">
        <v>207</v>
      </c>
      <c r="H375" s="45" t="s">
        <v>354</v>
      </c>
      <c r="I375" s="44" t="s">
        <v>776</v>
      </c>
      <c r="J375" s="44">
        <v>99</v>
      </c>
      <c r="K375" s="46" t="s">
        <v>712</v>
      </c>
      <c r="L375" s="46" t="s">
        <v>694</v>
      </c>
      <c r="M375" s="47" t="s">
        <v>1426</v>
      </c>
      <c r="N375" s="47" t="s">
        <v>1735</v>
      </c>
      <c r="O375" s="48"/>
      <c r="P375" s="48"/>
      <c r="Q375" s="45"/>
      <c r="S375" s="1">
        <f t="shared" si="231"/>
        <v>0</v>
      </c>
      <c r="T375" s="1">
        <f t="shared" si="232"/>
        <v>0</v>
      </c>
      <c r="U375" s="1">
        <f t="shared" si="233"/>
        <v>0</v>
      </c>
      <c r="V375" s="1">
        <f t="shared" si="234"/>
        <v>0</v>
      </c>
      <c r="W375" s="1">
        <f t="shared" si="235"/>
        <v>0</v>
      </c>
      <c r="X375" s="1">
        <f t="shared" si="236"/>
        <v>0</v>
      </c>
      <c r="Y375" s="1">
        <f t="shared" si="237"/>
        <v>0</v>
      </c>
      <c r="Z375" s="1">
        <f t="shared" si="238"/>
        <v>0</v>
      </c>
      <c r="AA375" s="1">
        <f t="shared" si="239"/>
        <v>0</v>
      </c>
      <c r="AB375" s="1">
        <f t="shared" si="240"/>
        <v>0</v>
      </c>
      <c r="AD375" s="1">
        <f t="shared" si="241"/>
        <v>0</v>
      </c>
      <c r="AE375" s="1">
        <f t="shared" si="242"/>
        <v>0</v>
      </c>
      <c r="AF375" s="1">
        <f t="shared" si="227"/>
        <v>0</v>
      </c>
      <c r="AG375" s="1">
        <f t="shared" si="228"/>
        <v>0</v>
      </c>
      <c r="AH375" s="1">
        <f t="shared" si="229"/>
        <v>0</v>
      </c>
      <c r="AI375" s="1">
        <f t="shared" si="230"/>
        <v>1</v>
      </c>
    </row>
    <row r="376" spans="1:4094 4097:8191 8194:12288 12291:16384" s="1" customFormat="1" ht="14.25" customHeight="1" x14ac:dyDescent="0.25">
      <c r="A376" s="44">
        <v>1</v>
      </c>
      <c r="B376" s="44">
        <v>2</v>
      </c>
      <c r="C376" s="44">
        <v>5</v>
      </c>
      <c r="D376" s="45" t="s">
        <v>775</v>
      </c>
      <c r="E376" s="45" t="s">
        <v>772</v>
      </c>
      <c r="F376" s="45" t="s">
        <v>1006</v>
      </c>
      <c r="G376" s="45" t="s">
        <v>190</v>
      </c>
      <c r="H376" s="45" t="s">
        <v>354</v>
      </c>
      <c r="I376" s="44" t="s">
        <v>1007</v>
      </c>
      <c r="J376" s="44">
        <v>99</v>
      </c>
      <c r="K376" s="46" t="s">
        <v>712</v>
      </c>
      <c r="L376" s="46" t="s">
        <v>694</v>
      </c>
      <c r="M376" s="47" t="s">
        <v>1426</v>
      </c>
      <c r="N376" s="47" t="s">
        <v>1735</v>
      </c>
      <c r="O376" s="48"/>
      <c r="P376" s="48"/>
      <c r="Q376" s="45"/>
      <c r="S376" s="1">
        <f t="shared" si="231"/>
        <v>0</v>
      </c>
      <c r="T376" s="1">
        <f t="shared" si="232"/>
        <v>0</v>
      </c>
      <c r="U376" s="1">
        <f t="shared" si="233"/>
        <v>0</v>
      </c>
      <c r="V376" s="1">
        <f t="shared" si="234"/>
        <v>0</v>
      </c>
      <c r="W376" s="1">
        <f t="shared" si="235"/>
        <v>0</v>
      </c>
      <c r="X376" s="1">
        <f t="shared" si="236"/>
        <v>0</v>
      </c>
      <c r="Y376" s="1">
        <f t="shared" si="237"/>
        <v>0</v>
      </c>
      <c r="Z376" s="1">
        <f t="shared" si="238"/>
        <v>0</v>
      </c>
      <c r="AA376" s="1">
        <f t="shared" si="239"/>
        <v>0</v>
      </c>
      <c r="AB376" s="1">
        <f t="shared" si="240"/>
        <v>0</v>
      </c>
      <c r="AD376" s="1">
        <f t="shared" si="241"/>
        <v>0</v>
      </c>
      <c r="AE376" s="1">
        <f t="shared" si="242"/>
        <v>0</v>
      </c>
      <c r="AF376" s="1">
        <f t="shared" si="227"/>
        <v>0</v>
      </c>
      <c r="AG376" s="1">
        <f t="shared" si="228"/>
        <v>0</v>
      </c>
      <c r="AH376" s="1">
        <f t="shared" si="229"/>
        <v>0</v>
      </c>
      <c r="AI376" s="1">
        <f t="shared" si="230"/>
        <v>0</v>
      </c>
    </row>
    <row r="377" spans="1:4094 4097:8191 8194:12288 12291:16384" s="1" customFormat="1" ht="14.25" customHeight="1" x14ac:dyDescent="0.25">
      <c r="A377" s="15">
        <v>0</v>
      </c>
      <c r="B377" s="15">
        <v>2</v>
      </c>
      <c r="C377" s="15">
        <v>5</v>
      </c>
      <c r="D377" s="16" t="s">
        <v>916</v>
      </c>
      <c r="E377" s="16" t="s">
        <v>911</v>
      </c>
      <c r="F377" s="16" t="s">
        <v>929</v>
      </c>
      <c r="G377" s="16" t="s">
        <v>1350</v>
      </c>
      <c r="H377" s="16" t="s">
        <v>354</v>
      </c>
      <c r="I377" s="15" t="s">
        <v>770</v>
      </c>
      <c r="J377" s="15">
        <v>99</v>
      </c>
      <c r="K377" s="10" t="s">
        <v>703</v>
      </c>
      <c r="L377" s="10">
        <v>20</v>
      </c>
      <c r="M377" s="19" t="s">
        <v>1427</v>
      </c>
      <c r="N377" s="19"/>
      <c r="Q377" s="16"/>
      <c r="S377" s="1">
        <f t="shared" si="231"/>
        <v>0</v>
      </c>
      <c r="T377" s="1">
        <f t="shared" si="232"/>
        <v>0</v>
      </c>
      <c r="U377" s="1">
        <f t="shared" si="233"/>
        <v>0</v>
      </c>
      <c r="V377" s="1">
        <f t="shared" si="234"/>
        <v>0</v>
      </c>
      <c r="W377" s="1">
        <f t="shared" si="235"/>
        <v>0</v>
      </c>
      <c r="X377" s="1">
        <f t="shared" si="236"/>
        <v>0</v>
      </c>
      <c r="Y377" s="1">
        <f t="shared" si="237"/>
        <v>0</v>
      </c>
      <c r="Z377" s="1">
        <f t="shared" si="238"/>
        <v>0</v>
      </c>
      <c r="AA377" s="1">
        <f t="shared" si="239"/>
        <v>0</v>
      </c>
      <c r="AB377" s="1">
        <f t="shared" si="240"/>
        <v>0</v>
      </c>
      <c r="AD377" s="1">
        <f t="shared" si="241"/>
        <v>0</v>
      </c>
      <c r="AE377" s="1">
        <f t="shared" si="242"/>
        <v>0</v>
      </c>
      <c r="AF377" s="1">
        <f t="shared" si="227"/>
        <v>0</v>
      </c>
      <c r="AG377" s="1">
        <f t="shared" si="228"/>
        <v>0</v>
      </c>
      <c r="AH377" s="1">
        <f t="shared" si="229"/>
        <v>0</v>
      </c>
      <c r="AI377" s="1">
        <f t="shared" si="230"/>
        <v>1</v>
      </c>
    </row>
    <row r="378" spans="1:4094 4097:8191 8194:12288 12291:16384" s="1" customFormat="1" ht="14.25" customHeight="1" x14ac:dyDescent="0.25">
      <c r="A378" s="31">
        <v>0</v>
      </c>
      <c r="B378" s="31">
        <v>2</v>
      </c>
      <c r="C378" s="31">
        <v>5</v>
      </c>
      <c r="D378" s="32" t="s">
        <v>1921</v>
      </c>
      <c r="E378" s="32"/>
      <c r="F378" s="32" t="s">
        <v>1922</v>
      </c>
      <c r="G378" s="32" t="s">
        <v>208</v>
      </c>
      <c r="H378" s="32" t="s">
        <v>354</v>
      </c>
      <c r="I378" s="31" t="s">
        <v>1923</v>
      </c>
      <c r="J378" s="31">
        <v>3</v>
      </c>
      <c r="K378" s="33" t="s">
        <v>703</v>
      </c>
      <c r="L378" s="33"/>
      <c r="M378" s="34"/>
      <c r="N378" s="34" t="s">
        <v>1727</v>
      </c>
      <c r="O378" s="35">
        <v>1</v>
      </c>
      <c r="P378" s="35">
        <v>1</v>
      </c>
      <c r="Q378" s="32" t="s">
        <v>1924</v>
      </c>
      <c r="S378" s="1">
        <f t="shared" si="231"/>
        <v>0</v>
      </c>
      <c r="T378" s="1">
        <f t="shared" si="232"/>
        <v>0</v>
      </c>
      <c r="U378" s="1">
        <f t="shared" si="233"/>
        <v>1</v>
      </c>
      <c r="V378" s="1">
        <f t="shared" si="234"/>
        <v>0</v>
      </c>
      <c r="W378" s="1">
        <f t="shared" si="235"/>
        <v>0</v>
      </c>
      <c r="X378" s="1">
        <f t="shared" si="236"/>
        <v>0</v>
      </c>
      <c r="Y378" s="1">
        <f t="shared" si="237"/>
        <v>0</v>
      </c>
      <c r="Z378" s="1">
        <f t="shared" si="238"/>
        <v>0</v>
      </c>
      <c r="AA378" s="1">
        <f t="shared" si="239"/>
        <v>0</v>
      </c>
      <c r="AB378" s="1">
        <f t="shared" si="240"/>
        <v>0</v>
      </c>
      <c r="AD378" s="1">
        <f t="shared" si="241"/>
        <v>1</v>
      </c>
      <c r="AE378" s="1">
        <f t="shared" si="242"/>
        <v>0</v>
      </c>
      <c r="AF378" s="1">
        <f t="shared" si="227"/>
        <v>1</v>
      </c>
      <c r="AG378" s="1">
        <f t="shared" si="228"/>
        <v>0</v>
      </c>
      <c r="AH378" s="1">
        <f t="shared" si="229"/>
        <v>1</v>
      </c>
      <c r="AI378" s="1">
        <f t="shared" si="230"/>
        <v>0</v>
      </c>
    </row>
    <row r="379" spans="1:4094 4097:8191 8194:12288 12291:16384" s="1" customFormat="1" ht="14.25" customHeight="1" x14ac:dyDescent="0.25">
      <c r="A379" s="31">
        <v>0</v>
      </c>
      <c r="B379" s="31">
        <v>2</v>
      </c>
      <c r="C379" s="31">
        <v>5</v>
      </c>
      <c r="D379" s="32" t="s">
        <v>1270</v>
      </c>
      <c r="E379" s="32" t="s">
        <v>1271</v>
      </c>
      <c r="F379" s="32" t="s">
        <v>1272</v>
      </c>
      <c r="G379" s="32" t="s">
        <v>220</v>
      </c>
      <c r="H379" s="32" t="s">
        <v>354</v>
      </c>
      <c r="I379" s="31" t="s">
        <v>1723</v>
      </c>
      <c r="J379" s="31">
        <v>8</v>
      </c>
      <c r="K379" s="33" t="s">
        <v>713</v>
      </c>
      <c r="L379" s="33" t="s">
        <v>39</v>
      </c>
      <c r="M379" s="34" t="s">
        <v>39</v>
      </c>
      <c r="N379" s="34" t="s">
        <v>1727</v>
      </c>
      <c r="O379" s="35">
        <v>1</v>
      </c>
      <c r="P379" s="35">
        <v>1</v>
      </c>
      <c r="Q379" s="32"/>
      <c r="S379" s="1">
        <f t="shared" si="231"/>
        <v>0</v>
      </c>
      <c r="T379" s="1">
        <f t="shared" si="232"/>
        <v>0</v>
      </c>
      <c r="U379" s="1">
        <f t="shared" si="233"/>
        <v>0</v>
      </c>
      <c r="V379" s="1">
        <f t="shared" si="234"/>
        <v>0</v>
      </c>
      <c r="W379" s="1">
        <f t="shared" si="235"/>
        <v>0</v>
      </c>
      <c r="X379" s="1">
        <f t="shared" si="236"/>
        <v>0</v>
      </c>
      <c r="Y379" s="1">
        <f t="shared" si="237"/>
        <v>0</v>
      </c>
      <c r="Z379" s="1">
        <f t="shared" si="238"/>
        <v>1</v>
      </c>
      <c r="AA379" s="1">
        <f t="shared" si="239"/>
        <v>0</v>
      </c>
      <c r="AB379" s="1">
        <f t="shared" si="240"/>
        <v>0</v>
      </c>
      <c r="AD379" s="1">
        <f t="shared" si="241"/>
        <v>1</v>
      </c>
      <c r="AE379" s="1">
        <f t="shared" si="242"/>
        <v>0</v>
      </c>
      <c r="AF379" s="1">
        <f t="shared" si="227"/>
        <v>1</v>
      </c>
      <c r="AG379" s="1">
        <f t="shared" si="228"/>
        <v>0</v>
      </c>
      <c r="AH379" s="1">
        <f t="shared" si="229"/>
        <v>1</v>
      </c>
      <c r="AI379" s="1">
        <f t="shared" si="230"/>
        <v>0</v>
      </c>
    </row>
    <row r="380" spans="1:4094 4097:8191 8194:12288 12291:16384" s="1" customFormat="1" ht="14.25" customHeight="1" x14ac:dyDescent="0.25">
      <c r="A380" s="31">
        <v>0</v>
      </c>
      <c r="B380" s="31">
        <v>2</v>
      </c>
      <c r="C380" s="31">
        <v>5</v>
      </c>
      <c r="D380" s="32" t="s">
        <v>1082</v>
      </c>
      <c r="E380" s="32" t="s">
        <v>155</v>
      </c>
      <c r="F380" s="32" t="s">
        <v>1066</v>
      </c>
      <c r="G380" s="32" t="s">
        <v>321</v>
      </c>
      <c r="H380" s="32" t="s">
        <v>354</v>
      </c>
      <c r="I380" s="31" t="s">
        <v>1067</v>
      </c>
      <c r="J380" s="31">
        <v>99</v>
      </c>
      <c r="K380" s="33" t="s">
        <v>713</v>
      </c>
      <c r="L380" s="33" t="s">
        <v>694</v>
      </c>
      <c r="M380" s="34" t="s">
        <v>1428</v>
      </c>
      <c r="N380" s="34" t="s">
        <v>1756</v>
      </c>
      <c r="O380" s="35">
        <v>1</v>
      </c>
      <c r="P380" s="35"/>
      <c r="Q380" s="32"/>
      <c r="S380" s="1">
        <f t="shared" si="231"/>
        <v>0</v>
      </c>
      <c r="T380" s="1">
        <f t="shared" si="232"/>
        <v>0</v>
      </c>
      <c r="U380" s="1">
        <f t="shared" si="233"/>
        <v>0</v>
      </c>
      <c r="V380" s="1">
        <f t="shared" si="234"/>
        <v>0</v>
      </c>
      <c r="W380" s="1">
        <f t="shared" si="235"/>
        <v>0</v>
      </c>
      <c r="X380" s="1">
        <f t="shared" si="236"/>
        <v>0</v>
      </c>
      <c r="Y380" s="1">
        <f t="shared" si="237"/>
        <v>0</v>
      </c>
      <c r="Z380" s="1">
        <f t="shared" si="238"/>
        <v>0</v>
      </c>
      <c r="AA380" s="1">
        <f t="shared" si="239"/>
        <v>0</v>
      </c>
      <c r="AB380" s="1">
        <f t="shared" si="240"/>
        <v>0</v>
      </c>
      <c r="AD380" s="1">
        <f t="shared" si="241"/>
        <v>0</v>
      </c>
      <c r="AE380" s="1">
        <f t="shared" si="242"/>
        <v>1</v>
      </c>
      <c r="AF380" s="1">
        <f t="shared" si="227"/>
        <v>0</v>
      </c>
      <c r="AG380" s="1">
        <f t="shared" si="228"/>
        <v>1</v>
      </c>
      <c r="AH380" s="1">
        <f t="shared" si="229"/>
        <v>0</v>
      </c>
      <c r="AI380" s="1">
        <f t="shared" si="230"/>
        <v>1</v>
      </c>
    </row>
    <row r="381" spans="1:4094 4097:8191 8194:12288 12291:16384" s="1" customFormat="1" ht="14.25" customHeight="1" x14ac:dyDescent="0.25">
      <c r="A381" s="31">
        <v>0</v>
      </c>
      <c r="B381" s="31">
        <v>2</v>
      </c>
      <c r="C381" s="31">
        <v>5</v>
      </c>
      <c r="D381" s="32" t="s">
        <v>796</v>
      </c>
      <c r="E381" s="32" t="s">
        <v>772</v>
      </c>
      <c r="F381" s="32" t="s">
        <v>932</v>
      </c>
      <c r="G381" s="32" t="s">
        <v>220</v>
      </c>
      <c r="H381" s="32" t="s">
        <v>354</v>
      </c>
      <c r="I381" s="31" t="s">
        <v>797</v>
      </c>
      <c r="J381" s="31">
        <v>8</v>
      </c>
      <c r="K381" s="33" t="s">
        <v>703</v>
      </c>
      <c r="L381" s="33">
        <v>20</v>
      </c>
      <c r="M381" s="34" t="s">
        <v>1419</v>
      </c>
      <c r="N381" s="34" t="s">
        <v>1825</v>
      </c>
      <c r="O381" s="35">
        <v>1</v>
      </c>
      <c r="P381" s="35"/>
      <c r="Q381" s="32"/>
      <c r="S381" s="1">
        <f t="shared" ref="S381:S383" si="255">IF(J381=$S$7,1,0)</f>
        <v>0</v>
      </c>
      <c r="T381" s="1">
        <f t="shared" ref="T381:T383" si="256">IF(J381=$T$7,1,0)</f>
        <v>0</v>
      </c>
      <c r="U381" s="1">
        <f t="shared" ref="U381:U383" si="257">IF(J381=$U$7,1,0)</f>
        <v>0</v>
      </c>
      <c r="V381" s="1">
        <f t="shared" ref="V381:V383" si="258">IF(J381=$V$7,1,0)</f>
        <v>0</v>
      </c>
      <c r="W381" s="1">
        <f t="shared" ref="W381:W383" si="259">IF(J381=$W$7,1,0)</f>
        <v>0</v>
      </c>
      <c r="X381" s="1">
        <f t="shared" ref="X381:X383" si="260">IF(J381=$X$7,1,0)</f>
        <v>0</v>
      </c>
      <c r="Y381" s="1">
        <f t="shared" ref="Y381:Y383" si="261">IF(J381=$Y$7,1,0)</f>
        <v>0</v>
      </c>
      <c r="Z381" s="1">
        <f t="shared" ref="Z381:Z383" si="262">IF(J381=$Z$7,1,0)</f>
        <v>1</v>
      </c>
      <c r="AA381" s="1">
        <f t="shared" ref="AA381:AA383" si="263">IF(J381=$AA$7,1,0)</f>
        <v>0</v>
      </c>
      <c r="AB381" s="1">
        <f t="shared" ref="AB381:AB383" si="264">IF(J381=$AB$7,1,0)</f>
        <v>0</v>
      </c>
      <c r="AD381" s="1">
        <f t="shared" ref="AD381:AD383" si="265">+O381*P381</f>
        <v>0</v>
      </c>
      <c r="AE381" s="1">
        <f t="shared" ref="AE381:AE383" si="266">O381*(1-P381)</f>
        <v>1</v>
      </c>
      <c r="AF381" s="1">
        <f t="shared" si="227"/>
        <v>0</v>
      </c>
      <c r="AG381" s="1">
        <f t="shared" si="228"/>
        <v>1</v>
      </c>
      <c r="AH381" s="1">
        <f t="shared" si="229"/>
        <v>0</v>
      </c>
      <c r="AI381" s="1">
        <f t="shared" si="230"/>
        <v>1</v>
      </c>
    </row>
    <row r="382" spans="1:4094 4097:8191 8194:12288 12291:16384" s="1" customFormat="1" ht="14.25" customHeight="1" x14ac:dyDescent="0.25">
      <c r="A382" s="49">
        <v>0</v>
      </c>
      <c r="B382" s="49">
        <v>2</v>
      </c>
      <c r="C382" s="49">
        <v>5</v>
      </c>
      <c r="D382" s="50" t="s">
        <v>79</v>
      </c>
      <c r="E382" s="50" t="s">
        <v>159</v>
      </c>
      <c r="F382" s="50" t="s">
        <v>268</v>
      </c>
      <c r="G382" s="50" t="s">
        <v>213</v>
      </c>
      <c r="H382" s="50" t="s">
        <v>354</v>
      </c>
      <c r="I382" s="49" t="s">
        <v>425</v>
      </c>
      <c r="J382" s="49">
        <v>1</v>
      </c>
      <c r="K382" s="51" t="s">
        <v>955</v>
      </c>
      <c r="L382" s="51" t="s">
        <v>704</v>
      </c>
      <c r="M382" s="52" t="s">
        <v>727</v>
      </c>
      <c r="N382" s="52" t="s">
        <v>1743</v>
      </c>
      <c r="O382" s="53">
        <v>1</v>
      </c>
      <c r="P382" s="53"/>
      <c r="Q382" s="50"/>
      <c r="S382" s="1">
        <f t="shared" si="255"/>
        <v>1</v>
      </c>
      <c r="T382" s="1">
        <f t="shared" si="256"/>
        <v>0</v>
      </c>
      <c r="U382" s="1">
        <f t="shared" si="257"/>
        <v>0</v>
      </c>
      <c r="V382" s="1">
        <f t="shared" si="258"/>
        <v>0</v>
      </c>
      <c r="W382" s="1">
        <f t="shared" si="259"/>
        <v>0</v>
      </c>
      <c r="X382" s="1">
        <f t="shared" si="260"/>
        <v>0</v>
      </c>
      <c r="Y382" s="1">
        <f t="shared" si="261"/>
        <v>0</v>
      </c>
      <c r="Z382" s="1">
        <f t="shared" si="262"/>
        <v>0</v>
      </c>
      <c r="AA382" s="1">
        <f t="shared" si="263"/>
        <v>0</v>
      </c>
      <c r="AB382" s="1">
        <f t="shared" si="264"/>
        <v>0</v>
      </c>
      <c r="AD382" s="1">
        <f t="shared" si="265"/>
        <v>0</v>
      </c>
      <c r="AE382" s="1">
        <f t="shared" si="266"/>
        <v>1</v>
      </c>
      <c r="AF382" s="1">
        <f t="shared" si="227"/>
        <v>0</v>
      </c>
      <c r="AG382" s="1">
        <f t="shared" si="228"/>
        <v>1</v>
      </c>
      <c r="AH382" s="1">
        <f t="shared" si="229"/>
        <v>0</v>
      </c>
      <c r="AI382" s="1">
        <f t="shared" si="230"/>
        <v>1</v>
      </c>
    </row>
    <row r="383" spans="1:4094 4097:8191 8194:12288 12291:16384" s="1" customFormat="1" ht="14.25" customHeight="1" x14ac:dyDescent="0.25">
      <c r="A383" s="31">
        <v>0</v>
      </c>
      <c r="B383" s="31">
        <v>2</v>
      </c>
      <c r="C383" s="31">
        <v>5</v>
      </c>
      <c r="D383" s="32" t="s">
        <v>1642</v>
      </c>
      <c r="E383" s="32" t="s">
        <v>1654</v>
      </c>
      <c r="F383" s="32" t="s">
        <v>1551</v>
      </c>
      <c r="G383" s="32" t="s">
        <v>262</v>
      </c>
      <c r="H383" s="32" t="s">
        <v>354</v>
      </c>
      <c r="I383" s="31" t="s">
        <v>1552</v>
      </c>
      <c r="J383" s="31">
        <v>99</v>
      </c>
      <c r="K383" s="33" t="s">
        <v>955</v>
      </c>
      <c r="L383" s="33">
        <v>40</v>
      </c>
      <c r="M383" s="34" t="s">
        <v>39</v>
      </c>
      <c r="N383" s="34" t="s">
        <v>1825</v>
      </c>
      <c r="O383" s="35">
        <v>1</v>
      </c>
      <c r="P383" s="35"/>
      <c r="Q383" s="32"/>
      <c r="S383" s="1">
        <f t="shared" si="255"/>
        <v>0</v>
      </c>
      <c r="T383" s="1">
        <f t="shared" si="256"/>
        <v>0</v>
      </c>
      <c r="U383" s="1">
        <f t="shared" si="257"/>
        <v>0</v>
      </c>
      <c r="V383" s="1">
        <f t="shared" si="258"/>
        <v>0</v>
      </c>
      <c r="W383" s="1">
        <f t="shared" si="259"/>
        <v>0</v>
      </c>
      <c r="X383" s="1">
        <f t="shared" si="260"/>
        <v>0</v>
      </c>
      <c r="Y383" s="1">
        <f t="shared" si="261"/>
        <v>0</v>
      </c>
      <c r="Z383" s="1">
        <f t="shared" si="262"/>
        <v>0</v>
      </c>
      <c r="AA383" s="1">
        <f t="shared" si="263"/>
        <v>0</v>
      </c>
      <c r="AB383" s="1">
        <f t="shared" si="264"/>
        <v>0</v>
      </c>
      <c r="AD383" s="1">
        <f t="shared" si="265"/>
        <v>0</v>
      </c>
      <c r="AE383" s="1">
        <f t="shared" si="266"/>
        <v>1</v>
      </c>
      <c r="AF383" s="1">
        <f t="shared" si="227"/>
        <v>0</v>
      </c>
      <c r="AG383" s="1">
        <f t="shared" si="228"/>
        <v>1</v>
      </c>
      <c r="AH383" s="1">
        <f t="shared" si="229"/>
        <v>0</v>
      </c>
      <c r="AI383" s="1">
        <f t="shared" si="230"/>
        <v>1</v>
      </c>
    </row>
    <row r="384" spans="1:4094 4097:8191 8194:12288 12291:16384" s="1" customFormat="1" ht="14.25" customHeight="1" x14ac:dyDescent="0.25">
      <c r="A384" s="31">
        <v>0</v>
      </c>
      <c r="B384" s="31">
        <v>2</v>
      </c>
      <c r="C384" s="31">
        <v>5</v>
      </c>
      <c r="D384" s="32" t="s">
        <v>1297</v>
      </c>
      <c r="E384" s="32" t="s">
        <v>27</v>
      </c>
      <c r="F384" s="32" t="s">
        <v>1298</v>
      </c>
      <c r="G384" s="32" t="s">
        <v>1299</v>
      </c>
      <c r="H384" s="32" t="s">
        <v>354</v>
      </c>
      <c r="I384" s="31" t="s">
        <v>1300</v>
      </c>
      <c r="J384" s="31">
        <v>99</v>
      </c>
      <c r="K384" s="33" t="s">
        <v>955</v>
      </c>
      <c r="L384" s="33" t="s">
        <v>39</v>
      </c>
      <c r="M384" s="34" t="s">
        <v>39</v>
      </c>
      <c r="N384" s="34" t="s">
        <v>1727</v>
      </c>
      <c r="O384" s="35">
        <v>1</v>
      </c>
      <c r="P384" s="35">
        <v>1</v>
      </c>
      <c r="Q384" s="36"/>
      <c r="S384" s="1">
        <f t="shared" si="231"/>
        <v>0</v>
      </c>
      <c r="T384" s="1">
        <f t="shared" si="232"/>
        <v>0</v>
      </c>
      <c r="U384" s="1">
        <f t="shared" si="233"/>
        <v>0</v>
      </c>
      <c r="V384" s="1">
        <f t="shared" si="234"/>
        <v>0</v>
      </c>
      <c r="W384" s="1">
        <f t="shared" si="235"/>
        <v>0</v>
      </c>
      <c r="X384" s="1">
        <f t="shared" si="236"/>
        <v>0</v>
      </c>
      <c r="Y384" s="1">
        <f t="shared" si="237"/>
        <v>0</v>
      </c>
      <c r="Z384" s="1">
        <f t="shared" si="238"/>
        <v>0</v>
      </c>
      <c r="AA384" s="1">
        <f t="shared" si="239"/>
        <v>0</v>
      </c>
      <c r="AB384" s="1">
        <f t="shared" si="240"/>
        <v>0</v>
      </c>
      <c r="AD384" s="1">
        <f t="shared" si="241"/>
        <v>1</v>
      </c>
      <c r="AE384" s="1">
        <f t="shared" si="242"/>
        <v>0</v>
      </c>
      <c r="AF384" s="1">
        <f t="shared" si="227"/>
        <v>1</v>
      </c>
      <c r="AG384" s="1">
        <f t="shared" si="228"/>
        <v>0</v>
      </c>
      <c r="AH384" s="1">
        <f t="shared" si="229"/>
        <v>1</v>
      </c>
      <c r="AI384" s="1">
        <f t="shared" si="230"/>
        <v>0</v>
      </c>
    </row>
    <row r="385" spans="1:35" s="1" customFormat="1" ht="14.25" customHeight="1" x14ac:dyDescent="0.25">
      <c r="A385" s="44">
        <v>0</v>
      </c>
      <c r="B385" s="44">
        <v>2</v>
      </c>
      <c r="C385" s="44">
        <v>5</v>
      </c>
      <c r="D385" s="45" t="s">
        <v>1603</v>
      </c>
      <c r="E385" s="45" t="s">
        <v>159</v>
      </c>
      <c r="F385" s="45" t="s">
        <v>1675</v>
      </c>
      <c r="G385" s="45" t="s">
        <v>1468</v>
      </c>
      <c r="H385" s="45" t="s">
        <v>354</v>
      </c>
      <c r="I385" s="44" t="s">
        <v>1469</v>
      </c>
      <c r="J385" s="44">
        <v>99</v>
      </c>
      <c r="K385" s="46" t="s">
        <v>713</v>
      </c>
      <c r="L385" s="46" t="s">
        <v>696</v>
      </c>
      <c r="M385" s="47" t="s">
        <v>1470</v>
      </c>
      <c r="N385" s="47" t="s">
        <v>1747</v>
      </c>
      <c r="O385" s="48"/>
      <c r="P385" s="48"/>
      <c r="Q385" s="45"/>
      <c r="S385" s="1">
        <f t="shared" si="231"/>
        <v>0</v>
      </c>
      <c r="T385" s="1">
        <f t="shared" si="232"/>
        <v>0</v>
      </c>
      <c r="U385" s="1">
        <f t="shared" si="233"/>
        <v>0</v>
      </c>
      <c r="V385" s="1">
        <f t="shared" si="234"/>
        <v>0</v>
      </c>
      <c r="W385" s="1">
        <f t="shared" si="235"/>
        <v>0</v>
      </c>
      <c r="X385" s="1">
        <f t="shared" si="236"/>
        <v>0</v>
      </c>
      <c r="Y385" s="1">
        <f t="shared" si="237"/>
        <v>0</v>
      </c>
      <c r="Z385" s="1">
        <f t="shared" si="238"/>
        <v>0</v>
      </c>
      <c r="AA385" s="1">
        <f t="shared" si="239"/>
        <v>0</v>
      </c>
      <c r="AB385" s="1">
        <f t="shared" si="240"/>
        <v>0</v>
      </c>
      <c r="AD385" s="1">
        <f t="shared" si="241"/>
        <v>0</v>
      </c>
      <c r="AE385" s="1">
        <f t="shared" si="242"/>
        <v>0</v>
      </c>
      <c r="AF385" s="1">
        <f t="shared" ref="AF385:AF388" si="267">+O385*P385*(1-A385)</f>
        <v>0</v>
      </c>
      <c r="AG385" s="1">
        <f t="shared" ref="AG385:AG388" si="268">O385*(1-P385)*(1-A385)</f>
        <v>0</v>
      </c>
      <c r="AH385" s="1">
        <f t="shared" ref="AH385:AH388" si="269">+P385*(1-A385)</f>
        <v>0</v>
      </c>
      <c r="AI385" s="1">
        <f t="shared" ref="AI385:AI388" si="270">+(1-A385)*(1-P385)</f>
        <v>1</v>
      </c>
    </row>
    <row r="386" spans="1:35" s="1" customFormat="1" ht="14.25" customHeight="1" x14ac:dyDescent="0.25">
      <c r="A386" s="31">
        <v>0</v>
      </c>
      <c r="B386" s="31">
        <v>2</v>
      </c>
      <c r="C386" s="31">
        <v>5</v>
      </c>
      <c r="D386" s="32" t="s">
        <v>2046</v>
      </c>
      <c r="E386" s="32" t="s">
        <v>2047</v>
      </c>
      <c r="F386" s="32" t="s">
        <v>2048</v>
      </c>
      <c r="G386" s="32" t="s">
        <v>2051</v>
      </c>
      <c r="H386" s="32" t="s">
        <v>354</v>
      </c>
      <c r="I386" s="31" t="s">
        <v>2049</v>
      </c>
      <c r="J386" s="31"/>
      <c r="K386" s="33" t="s">
        <v>1822</v>
      </c>
      <c r="L386" s="33"/>
      <c r="M386" s="34"/>
      <c r="N386" s="34" t="s">
        <v>1727</v>
      </c>
      <c r="O386" s="35">
        <v>1</v>
      </c>
      <c r="P386" s="35">
        <v>1</v>
      </c>
      <c r="Q386" s="32" t="s">
        <v>2050</v>
      </c>
      <c r="S386" s="1">
        <f t="shared" si="231"/>
        <v>0</v>
      </c>
      <c r="T386" s="1">
        <f t="shared" si="232"/>
        <v>0</v>
      </c>
      <c r="U386" s="1">
        <f t="shared" si="233"/>
        <v>0</v>
      </c>
      <c r="V386" s="1">
        <f t="shared" si="234"/>
        <v>0</v>
      </c>
      <c r="W386" s="1">
        <f t="shared" si="235"/>
        <v>0</v>
      </c>
      <c r="X386" s="1">
        <f t="shared" si="236"/>
        <v>0</v>
      </c>
      <c r="Y386" s="1">
        <f t="shared" si="237"/>
        <v>0</v>
      </c>
      <c r="Z386" s="1">
        <f t="shared" si="238"/>
        <v>0</v>
      </c>
      <c r="AA386" s="1">
        <f t="shared" si="239"/>
        <v>0</v>
      </c>
      <c r="AB386" s="1">
        <f t="shared" si="240"/>
        <v>0</v>
      </c>
      <c r="AD386" s="1">
        <f t="shared" si="241"/>
        <v>1</v>
      </c>
      <c r="AE386" s="1">
        <f t="shared" si="242"/>
        <v>0</v>
      </c>
      <c r="AF386" s="1">
        <f t="shared" si="267"/>
        <v>1</v>
      </c>
      <c r="AG386" s="1">
        <f t="shared" si="268"/>
        <v>0</v>
      </c>
      <c r="AH386" s="1">
        <f t="shared" si="269"/>
        <v>1</v>
      </c>
      <c r="AI386" s="1">
        <f t="shared" si="270"/>
        <v>0</v>
      </c>
    </row>
    <row r="387" spans="1:35" s="1" customFormat="1" ht="14.25" customHeight="1" x14ac:dyDescent="0.25">
      <c r="A387" s="31">
        <v>0</v>
      </c>
      <c r="B387" s="31">
        <v>2</v>
      </c>
      <c r="C387" s="31">
        <v>5</v>
      </c>
      <c r="D387" s="32" t="s">
        <v>1778</v>
      </c>
      <c r="E387" s="32" t="s">
        <v>155</v>
      </c>
      <c r="F387" s="32" t="s">
        <v>1779</v>
      </c>
      <c r="G387" s="32" t="s">
        <v>656</v>
      </c>
      <c r="H387" s="32" t="s">
        <v>354</v>
      </c>
      <c r="I387" s="31" t="s">
        <v>1780</v>
      </c>
      <c r="J387" s="31"/>
      <c r="K387" s="33" t="s">
        <v>703</v>
      </c>
      <c r="L387" s="33">
        <v>40</v>
      </c>
      <c r="M387" s="34" t="s">
        <v>1781</v>
      </c>
      <c r="N387" s="34" t="s">
        <v>1743</v>
      </c>
      <c r="O387" s="35">
        <v>1</v>
      </c>
      <c r="P387" s="35"/>
      <c r="Q387" s="32"/>
      <c r="S387" s="1">
        <f t="shared" si="231"/>
        <v>0</v>
      </c>
      <c r="T387" s="1">
        <f t="shared" si="232"/>
        <v>0</v>
      </c>
      <c r="U387" s="1">
        <f t="shared" si="233"/>
        <v>0</v>
      </c>
      <c r="V387" s="1">
        <f t="shared" si="234"/>
        <v>0</v>
      </c>
      <c r="W387" s="1">
        <f t="shared" si="235"/>
        <v>0</v>
      </c>
      <c r="X387" s="1">
        <f t="shared" si="236"/>
        <v>0</v>
      </c>
      <c r="Y387" s="1">
        <f t="shared" si="237"/>
        <v>0</v>
      </c>
      <c r="Z387" s="1">
        <f t="shared" si="238"/>
        <v>0</v>
      </c>
      <c r="AA387" s="1">
        <f t="shared" si="239"/>
        <v>0</v>
      </c>
      <c r="AB387" s="1">
        <f t="shared" si="240"/>
        <v>0</v>
      </c>
      <c r="AD387" s="1">
        <f t="shared" si="241"/>
        <v>0</v>
      </c>
      <c r="AE387" s="1">
        <f t="shared" si="242"/>
        <v>1</v>
      </c>
      <c r="AF387" s="1">
        <f t="shared" si="267"/>
        <v>0</v>
      </c>
      <c r="AG387" s="1">
        <f t="shared" si="268"/>
        <v>1</v>
      </c>
      <c r="AH387" s="1">
        <f t="shared" si="269"/>
        <v>0</v>
      </c>
      <c r="AI387" s="1">
        <f t="shared" si="270"/>
        <v>1</v>
      </c>
    </row>
    <row r="388" spans="1:35" s="1" customFormat="1" ht="14.25" customHeight="1" x14ac:dyDescent="0.25">
      <c r="A388" s="44">
        <v>0</v>
      </c>
      <c r="B388" s="44">
        <v>2</v>
      </c>
      <c r="C388" s="44">
        <v>5</v>
      </c>
      <c r="D388" s="45" t="s">
        <v>837</v>
      </c>
      <c r="E388" s="45" t="s">
        <v>831</v>
      </c>
      <c r="F388" s="45" t="s">
        <v>941</v>
      </c>
      <c r="G388" s="45" t="s">
        <v>180</v>
      </c>
      <c r="H388" s="45" t="s">
        <v>354</v>
      </c>
      <c r="I388" s="44" t="s">
        <v>1109</v>
      </c>
      <c r="J388" s="44">
        <v>10</v>
      </c>
      <c r="K388" s="46" t="s">
        <v>712</v>
      </c>
      <c r="L388" s="46" t="s">
        <v>693</v>
      </c>
      <c r="M388" s="47" t="s">
        <v>1429</v>
      </c>
      <c r="N388" s="47" t="s">
        <v>1741</v>
      </c>
      <c r="O388" s="48"/>
      <c r="P388" s="48"/>
      <c r="Q388" s="45"/>
      <c r="S388" s="1">
        <f t="shared" ref="S388" si="271">IF(J388=$S$7,1,0)</f>
        <v>0</v>
      </c>
      <c r="T388" s="1">
        <f t="shared" ref="T388" si="272">IF(J388=$T$7,1,0)</f>
        <v>0</v>
      </c>
      <c r="U388" s="1">
        <f t="shared" ref="U388" si="273">IF(J388=$U$7,1,0)</f>
        <v>0</v>
      </c>
      <c r="V388" s="1">
        <f t="shared" ref="V388" si="274">IF(J388=$V$7,1,0)</f>
        <v>0</v>
      </c>
      <c r="W388" s="1">
        <f t="shared" ref="W388" si="275">IF(J388=$W$7,1,0)</f>
        <v>0</v>
      </c>
      <c r="X388" s="1">
        <f t="shared" ref="X388" si="276">IF(J388=$X$7,1,0)</f>
        <v>0</v>
      </c>
      <c r="Y388" s="1">
        <f t="shared" ref="Y388" si="277">IF(J388=$Y$7,1,0)</f>
        <v>0</v>
      </c>
      <c r="Z388" s="1">
        <f t="shared" ref="Z388" si="278">IF(J388=$Z$7,1,0)</f>
        <v>0</v>
      </c>
      <c r="AA388" s="1">
        <f t="shared" ref="AA388" si="279">IF(J388=$AA$7,1,0)</f>
        <v>0</v>
      </c>
      <c r="AB388" s="1">
        <f t="shared" ref="AB388" si="280">IF(J388=$AB$7,1,0)</f>
        <v>1</v>
      </c>
      <c r="AD388" s="1">
        <f t="shared" ref="AD388" si="281">+O388*P388</f>
        <v>0</v>
      </c>
      <c r="AE388" s="1">
        <f t="shared" ref="AE388" si="282">O388*(1-P388)</f>
        <v>0</v>
      </c>
      <c r="AF388" s="1">
        <f t="shared" si="267"/>
        <v>0</v>
      </c>
      <c r="AG388" s="1">
        <f t="shared" si="268"/>
        <v>0</v>
      </c>
      <c r="AH388" s="1">
        <f t="shared" si="269"/>
        <v>0</v>
      </c>
      <c r="AI388" s="1">
        <f t="shared" si="270"/>
        <v>1</v>
      </c>
    </row>
    <row r="389" spans="1:35" s="1" customFormat="1" ht="14.25" customHeight="1" x14ac:dyDescent="0.25">
      <c r="A389" s="57">
        <v>0</v>
      </c>
      <c r="B389" s="57">
        <v>2</v>
      </c>
      <c r="C389" s="57">
        <v>6</v>
      </c>
      <c r="D389" s="58" t="s">
        <v>1543</v>
      </c>
      <c r="E389" s="58" t="s">
        <v>27</v>
      </c>
      <c r="F389" s="58" t="s">
        <v>1545</v>
      </c>
      <c r="G389" s="58" t="s">
        <v>1534</v>
      </c>
      <c r="H389" s="58" t="s">
        <v>354</v>
      </c>
      <c r="I389" s="57" t="s">
        <v>1544</v>
      </c>
      <c r="J389" s="57">
        <v>5</v>
      </c>
      <c r="K389" s="59" t="s">
        <v>955</v>
      </c>
      <c r="L389" s="59" t="s">
        <v>39</v>
      </c>
      <c r="M389" s="60" t="s">
        <v>39</v>
      </c>
      <c r="N389" s="61"/>
      <c r="O389" s="62"/>
      <c r="P389" s="62"/>
      <c r="Q389" s="66" t="s">
        <v>1900</v>
      </c>
      <c r="S389" s="1">
        <f t="shared" si="231"/>
        <v>0</v>
      </c>
      <c r="T389" s="1">
        <f t="shared" si="232"/>
        <v>0</v>
      </c>
      <c r="U389" s="1">
        <f t="shared" si="233"/>
        <v>0</v>
      </c>
      <c r="V389" s="1">
        <f t="shared" si="234"/>
        <v>0</v>
      </c>
      <c r="W389" s="1">
        <f t="shared" si="235"/>
        <v>1</v>
      </c>
      <c r="X389" s="1">
        <f t="shared" si="236"/>
        <v>0</v>
      </c>
      <c r="Y389" s="1">
        <f t="shared" si="237"/>
        <v>0</v>
      </c>
      <c r="Z389" s="1">
        <f t="shared" si="238"/>
        <v>0</v>
      </c>
      <c r="AA389" s="1">
        <f t="shared" si="239"/>
        <v>0</v>
      </c>
      <c r="AB389" s="1">
        <f t="shared" si="240"/>
        <v>0</v>
      </c>
      <c r="AD389" s="1">
        <f t="shared" si="241"/>
        <v>0</v>
      </c>
      <c r="AE389" s="1">
        <f t="shared" si="242"/>
        <v>0</v>
      </c>
      <c r="AF389" s="1">
        <f t="shared" si="227"/>
        <v>0</v>
      </c>
      <c r="AG389" s="1">
        <f t="shared" si="228"/>
        <v>0</v>
      </c>
      <c r="AH389" s="1">
        <f t="shared" si="229"/>
        <v>0</v>
      </c>
      <c r="AI389" s="1">
        <f t="shared" si="230"/>
        <v>1</v>
      </c>
    </row>
    <row r="390" spans="1:35" s="1" customFormat="1" ht="14.25" customHeight="1" x14ac:dyDescent="0.25">
      <c r="A390" s="44">
        <v>0</v>
      </c>
      <c r="B390" s="44">
        <v>2</v>
      </c>
      <c r="C390" s="44">
        <v>6</v>
      </c>
      <c r="D390" s="45" t="s">
        <v>519</v>
      </c>
      <c r="E390" s="45" t="s">
        <v>31</v>
      </c>
      <c r="F390" s="45" t="s">
        <v>672</v>
      </c>
      <c r="G390" s="45" t="s">
        <v>200</v>
      </c>
      <c r="H390" s="45" t="s">
        <v>354</v>
      </c>
      <c r="I390" s="44" t="s">
        <v>520</v>
      </c>
      <c r="J390" s="44">
        <v>2</v>
      </c>
      <c r="K390" s="46" t="s">
        <v>954</v>
      </c>
      <c r="L390" s="46" t="s">
        <v>694</v>
      </c>
      <c r="M390" s="47" t="s">
        <v>1430</v>
      </c>
      <c r="N390" s="47" t="s">
        <v>1735</v>
      </c>
      <c r="O390" s="48"/>
      <c r="P390" s="48"/>
      <c r="Q390" s="45"/>
      <c r="S390" s="1">
        <f t="shared" si="231"/>
        <v>0</v>
      </c>
      <c r="T390" s="1">
        <f t="shared" si="232"/>
        <v>1</v>
      </c>
      <c r="U390" s="1">
        <f t="shared" si="233"/>
        <v>0</v>
      </c>
      <c r="V390" s="1">
        <f t="shared" si="234"/>
        <v>0</v>
      </c>
      <c r="W390" s="1">
        <f t="shared" si="235"/>
        <v>0</v>
      </c>
      <c r="X390" s="1">
        <f t="shared" si="236"/>
        <v>0</v>
      </c>
      <c r="Y390" s="1">
        <f t="shared" si="237"/>
        <v>0</v>
      </c>
      <c r="Z390" s="1">
        <f t="shared" si="238"/>
        <v>0</v>
      </c>
      <c r="AA390" s="1">
        <f t="shared" si="239"/>
        <v>0</v>
      </c>
      <c r="AB390" s="1">
        <f t="shared" si="240"/>
        <v>0</v>
      </c>
      <c r="AD390" s="1">
        <f t="shared" si="241"/>
        <v>0</v>
      </c>
      <c r="AE390" s="1">
        <f t="shared" si="242"/>
        <v>0</v>
      </c>
      <c r="AF390" s="1">
        <f t="shared" si="227"/>
        <v>0</v>
      </c>
      <c r="AG390" s="1">
        <f t="shared" si="228"/>
        <v>0</v>
      </c>
      <c r="AH390" s="1">
        <f t="shared" si="229"/>
        <v>0</v>
      </c>
      <c r="AI390" s="1">
        <f t="shared" si="230"/>
        <v>1</v>
      </c>
    </row>
    <row r="391" spans="1:35" s="1" customFormat="1" ht="14.25" customHeight="1" x14ac:dyDescent="0.25">
      <c r="A391" s="31">
        <v>0</v>
      </c>
      <c r="B391" s="31">
        <v>2</v>
      </c>
      <c r="C391" s="31">
        <v>6</v>
      </c>
      <c r="D391" s="32" t="s">
        <v>53</v>
      </c>
      <c r="E391" s="32" t="s">
        <v>31</v>
      </c>
      <c r="F391" s="32" t="s">
        <v>210</v>
      </c>
      <c r="G391" s="32" t="s">
        <v>211</v>
      </c>
      <c r="H391" s="32" t="s">
        <v>354</v>
      </c>
      <c r="I391" s="31" t="s">
        <v>392</v>
      </c>
      <c r="J391" s="31">
        <v>1</v>
      </c>
      <c r="K391" s="33" t="s">
        <v>712</v>
      </c>
      <c r="L391" s="33" t="s">
        <v>704</v>
      </c>
      <c r="M391" s="34" t="s">
        <v>728</v>
      </c>
      <c r="N391" s="34" t="s">
        <v>1743</v>
      </c>
      <c r="O391" s="35">
        <v>1</v>
      </c>
      <c r="P391" s="35"/>
      <c r="Q391" s="32"/>
      <c r="S391" s="1">
        <f t="shared" si="231"/>
        <v>1</v>
      </c>
      <c r="T391" s="1">
        <f t="shared" si="232"/>
        <v>0</v>
      </c>
      <c r="U391" s="1">
        <f t="shared" si="233"/>
        <v>0</v>
      </c>
      <c r="V391" s="1">
        <f t="shared" si="234"/>
        <v>0</v>
      </c>
      <c r="W391" s="1">
        <f t="shared" si="235"/>
        <v>0</v>
      </c>
      <c r="X391" s="1">
        <f t="shared" si="236"/>
        <v>0</v>
      </c>
      <c r="Y391" s="1">
        <f t="shared" si="237"/>
        <v>0</v>
      </c>
      <c r="Z391" s="1">
        <f t="shared" si="238"/>
        <v>0</v>
      </c>
      <c r="AA391" s="1">
        <f t="shared" si="239"/>
        <v>0</v>
      </c>
      <c r="AB391" s="1">
        <f t="shared" si="240"/>
        <v>0</v>
      </c>
      <c r="AD391" s="1">
        <f t="shared" si="241"/>
        <v>0</v>
      </c>
      <c r="AE391" s="1">
        <f t="shared" si="242"/>
        <v>1</v>
      </c>
      <c r="AF391" s="1">
        <f t="shared" si="227"/>
        <v>0</v>
      </c>
      <c r="AG391" s="1">
        <f t="shared" si="228"/>
        <v>1</v>
      </c>
      <c r="AH391" s="1">
        <f t="shared" si="229"/>
        <v>0</v>
      </c>
      <c r="AI391" s="1">
        <f t="shared" si="230"/>
        <v>1</v>
      </c>
    </row>
    <row r="392" spans="1:35" s="1" customFormat="1" ht="14.25" customHeight="1" x14ac:dyDescent="0.25">
      <c r="A392" s="31">
        <v>0</v>
      </c>
      <c r="B392" s="31">
        <v>2</v>
      </c>
      <c r="C392" s="31">
        <v>6</v>
      </c>
      <c r="D392" s="32" t="s">
        <v>1862</v>
      </c>
      <c r="E392" s="32" t="s">
        <v>1863</v>
      </c>
      <c r="F392" s="32" t="s">
        <v>1864</v>
      </c>
      <c r="G392" s="32"/>
      <c r="H392" s="32" t="s">
        <v>354</v>
      </c>
      <c r="I392" s="31" t="s">
        <v>1865</v>
      </c>
      <c r="J392" s="31">
        <v>99</v>
      </c>
      <c r="K392" s="33" t="s">
        <v>703</v>
      </c>
      <c r="L392" s="33">
        <v>25</v>
      </c>
      <c r="M392" s="34" t="s">
        <v>1866</v>
      </c>
      <c r="N392" s="34" t="s">
        <v>1743</v>
      </c>
      <c r="O392" s="35">
        <v>1</v>
      </c>
      <c r="P392" s="35"/>
      <c r="Q392" s="32" t="s">
        <v>2052</v>
      </c>
      <c r="S392" s="1">
        <f t="shared" si="231"/>
        <v>0</v>
      </c>
      <c r="T392" s="1">
        <f t="shared" si="232"/>
        <v>0</v>
      </c>
      <c r="U392" s="1">
        <f t="shared" si="233"/>
        <v>0</v>
      </c>
      <c r="V392" s="1">
        <f t="shared" si="234"/>
        <v>0</v>
      </c>
      <c r="W392" s="1">
        <f t="shared" si="235"/>
        <v>0</v>
      </c>
      <c r="X392" s="1">
        <f t="shared" si="236"/>
        <v>0</v>
      </c>
      <c r="Y392" s="1">
        <f t="shared" si="237"/>
        <v>0</v>
      </c>
      <c r="Z392" s="1">
        <f t="shared" si="238"/>
        <v>0</v>
      </c>
      <c r="AA392" s="1">
        <f t="shared" si="239"/>
        <v>0</v>
      </c>
      <c r="AB392" s="1">
        <f t="shared" si="240"/>
        <v>0</v>
      </c>
      <c r="AD392" s="1">
        <f t="shared" si="241"/>
        <v>0</v>
      </c>
      <c r="AE392" s="1">
        <f t="shared" si="242"/>
        <v>1</v>
      </c>
      <c r="AF392" s="1">
        <f t="shared" si="227"/>
        <v>0</v>
      </c>
      <c r="AG392" s="1">
        <f t="shared" si="228"/>
        <v>1</v>
      </c>
      <c r="AH392" s="1">
        <f t="shared" si="229"/>
        <v>0</v>
      </c>
      <c r="AI392" s="1">
        <f t="shared" si="230"/>
        <v>1</v>
      </c>
    </row>
    <row r="393" spans="1:35" s="1" customFormat="1" ht="14.25" customHeight="1" x14ac:dyDescent="0.25">
      <c r="A393" s="15">
        <v>0</v>
      </c>
      <c r="B393" s="15">
        <v>2</v>
      </c>
      <c r="C393" s="15">
        <v>6</v>
      </c>
      <c r="D393" s="16" t="s">
        <v>80</v>
      </c>
      <c r="E393" s="16" t="s">
        <v>31</v>
      </c>
      <c r="F393" s="16" t="s">
        <v>270</v>
      </c>
      <c r="G393" s="16" t="s">
        <v>224</v>
      </c>
      <c r="H393" s="16" t="s">
        <v>354</v>
      </c>
      <c r="I393" s="15" t="s">
        <v>678</v>
      </c>
      <c r="J393" s="15">
        <v>99</v>
      </c>
      <c r="K393" s="10" t="s">
        <v>955</v>
      </c>
      <c r="L393" s="10" t="s">
        <v>694</v>
      </c>
      <c r="M393" s="19" t="s">
        <v>1431</v>
      </c>
      <c r="N393" s="19"/>
      <c r="Q393" s="16"/>
      <c r="S393" s="1">
        <f t="shared" si="231"/>
        <v>0</v>
      </c>
      <c r="T393" s="1">
        <f t="shared" si="232"/>
        <v>0</v>
      </c>
      <c r="U393" s="1">
        <f t="shared" si="233"/>
        <v>0</v>
      </c>
      <c r="V393" s="1">
        <f t="shared" si="234"/>
        <v>0</v>
      </c>
      <c r="W393" s="1">
        <f t="shared" si="235"/>
        <v>0</v>
      </c>
      <c r="X393" s="1">
        <f t="shared" si="236"/>
        <v>0</v>
      </c>
      <c r="Y393" s="1">
        <f t="shared" si="237"/>
        <v>0</v>
      </c>
      <c r="Z393" s="1">
        <f t="shared" si="238"/>
        <v>0</v>
      </c>
      <c r="AA393" s="1">
        <f t="shared" si="239"/>
        <v>0</v>
      </c>
      <c r="AB393" s="1">
        <f t="shared" si="240"/>
        <v>0</v>
      </c>
      <c r="AD393" s="1">
        <f t="shared" si="241"/>
        <v>0</v>
      </c>
      <c r="AE393" s="1">
        <f t="shared" si="242"/>
        <v>0</v>
      </c>
      <c r="AF393" s="1">
        <f t="shared" si="227"/>
        <v>0</v>
      </c>
      <c r="AG393" s="1">
        <f t="shared" si="228"/>
        <v>0</v>
      </c>
      <c r="AH393" s="1">
        <f t="shared" si="229"/>
        <v>0</v>
      </c>
      <c r="AI393" s="1">
        <f t="shared" si="230"/>
        <v>1</v>
      </c>
    </row>
    <row r="394" spans="1:35" s="1" customFormat="1" ht="14.25" customHeight="1" x14ac:dyDescent="0.25">
      <c r="A394" s="44">
        <v>0</v>
      </c>
      <c r="B394" s="44">
        <v>2</v>
      </c>
      <c r="C394" s="44">
        <v>6</v>
      </c>
      <c r="D394" s="45" t="s">
        <v>639</v>
      </c>
      <c r="E394" s="45" t="s">
        <v>31</v>
      </c>
      <c r="F394" s="45" t="s">
        <v>640</v>
      </c>
      <c r="G394" s="45" t="s">
        <v>240</v>
      </c>
      <c r="H394" s="45" t="s">
        <v>354</v>
      </c>
      <c r="I394" s="44" t="s">
        <v>641</v>
      </c>
      <c r="J394" s="44">
        <v>1</v>
      </c>
      <c r="K394" s="46" t="s">
        <v>713</v>
      </c>
      <c r="L394" s="46" t="s">
        <v>694</v>
      </c>
      <c r="M394" s="47" t="s">
        <v>1432</v>
      </c>
      <c r="N394" s="47" t="s">
        <v>1735</v>
      </c>
      <c r="O394" s="48"/>
      <c r="P394" s="48"/>
      <c r="Q394" s="45"/>
      <c r="S394" s="1">
        <f t="shared" si="231"/>
        <v>1</v>
      </c>
      <c r="T394" s="1">
        <f t="shared" si="232"/>
        <v>0</v>
      </c>
      <c r="U394" s="1">
        <f t="shared" si="233"/>
        <v>0</v>
      </c>
      <c r="V394" s="1">
        <f t="shared" si="234"/>
        <v>0</v>
      </c>
      <c r="W394" s="1">
        <f t="shared" si="235"/>
        <v>0</v>
      </c>
      <c r="X394" s="1">
        <f t="shared" si="236"/>
        <v>0</v>
      </c>
      <c r="Y394" s="1">
        <f t="shared" si="237"/>
        <v>0</v>
      </c>
      <c r="Z394" s="1">
        <f t="shared" si="238"/>
        <v>0</v>
      </c>
      <c r="AA394" s="1">
        <f t="shared" si="239"/>
        <v>0</v>
      </c>
      <c r="AB394" s="1">
        <f t="shared" si="240"/>
        <v>0</v>
      </c>
      <c r="AD394" s="1">
        <f t="shared" si="241"/>
        <v>0</v>
      </c>
      <c r="AE394" s="1">
        <f t="shared" si="242"/>
        <v>0</v>
      </c>
      <c r="AF394" s="1">
        <f t="shared" si="227"/>
        <v>0</v>
      </c>
      <c r="AG394" s="1">
        <f t="shared" si="228"/>
        <v>0</v>
      </c>
      <c r="AH394" s="1">
        <f t="shared" si="229"/>
        <v>0</v>
      </c>
      <c r="AI394" s="1">
        <f t="shared" si="230"/>
        <v>1</v>
      </c>
    </row>
    <row r="395" spans="1:35" s="1" customFormat="1" ht="14.25" customHeight="1" x14ac:dyDescent="0.25">
      <c r="A395" s="44">
        <v>0</v>
      </c>
      <c r="B395" s="44">
        <v>2</v>
      </c>
      <c r="C395" s="44">
        <v>6</v>
      </c>
      <c r="D395" s="45" t="s">
        <v>1135</v>
      </c>
      <c r="E395" s="45" t="s">
        <v>31</v>
      </c>
      <c r="F395" s="45" t="s">
        <v>672</v>
      </c>
      <c r="G395" s="45" t="s">
        <v>200</v>
      </c>
      <c r="H395" s="45" t="s">
        <v>354</v>
      </c>
      <c r="I395" s="44" t="s">
        <v>520</v>
      </c>
      <c r="J395" s="44">
        <v>2</v>
      </c>
      <c r="K395" s="46" t="s">
        <v>712</v>
      </c>
      <c r="L395" s="46" t="s">
        <v>694</v>
      </c>
      <c r="M395" s="47" t="s">
        <v>728</v>
      </c>
      <c r="N395" s="47" t="s">
        <v>1735</v>
      </c>
      <c r="O395" s="48"/>
      <c r="P395" s="48"/>
      <c r="Q395" s="45"/>
      <c r="S395" s="1">
        <f t="shared" si="231"/>
        <v>0</v>
      </c>
      <c r="T395" s="1">
        <f t="shared" si="232"/>
        <v>1</v>
      </c>
      <c r="U395" s="1">
        <f t="shared" si="233"/>
        <v>0</v>
      </c>
      <c r="V395" s="1">
        <f t="shared" si="234"/>
        <v>0</v>
      </c>
      <c r="W395" s="1">
        <f t="shared" si="235"/>
        <v>0</v>
      </c>
      <c r="X395" s="1">
        <f t="shared" si="236"/>
        <v>0</v>
      </c>
      <c r="Y395" s="1">
        <f t="shared" si="237"/>
        <v>0</v>
      </c>
      <c r="Z395" s="1">
        <f t="shared" si="238"/>
        <v>0</v>
      </c>
      <c r="AA395" s="1">
        <f t="shared" si="239"/>
        <v>0</v>
      </c>
      <c r="AB395" s="1">
        <f t="shared" si="240"/>
        <v>0</v>
      </c>
      <c r="AD395" s="1">
        <f t="shared" si="241"/>
        <v>0</v>
      </c>
      <c r="AE395" s="1">
        <f t="shared" si="242"/>
        <v>0</v>
      </c>
      <c r="AF395" s="1">
        <f t="shared" si="227"/>
        <v>0</v>
      </c>
      <c r="AG395" s="1">
        <f t="shared" si="228"/>
        <v>0</v>
      </c>
      <c r="AH395" s="1">
        <f t="shared" si="229"/>
        <v>0</v>
      </c>
      <c r="AI395" s="1">
        <f t="shared" si="230"/>
        <v>1</v>
      </c>
    </row>
    <row r="396" spans="1:35" s="1" customFormat="1" ht="14.25" customHeight="1" x14ac:dyDescent="0.25">
      <c r="A396" s="44">
        <v>0</v>
      </c>
      <c r="B396" s="44">
        <v>2</v>
      </c>
      <c r="C396" s="44">
        <v>6</v>
      </c>
      <c r="D396" s="45" t="s">
        <v>1083</v>
      </c>
      <c r="E396" s="45" t="s">
        <v>159</v>
      </c>
      <c r="F396" s="45" t="s">
        <v>198</v>
      </c>
      <c r="G396" s="45" t="s">
        <v>199</v>
      </c>
      <c r="H396" s="45" t="s">
        <v>354</v>
      </c>
      <c r="I396" s="44" t="s">
        <v>388</v>
      </c>
      <c r="J396" s="44">
        <v>99</v>
      </c>
      <c r="K396" s="46" t="s">
        <v>712</v>
      </c>
      <c r="L396" s="46" t="s">
        <v>716</v>
      </c>
      <c r="M396" s="47" t="s">
        <v>730</v>
      </c>
      <c r="N396" s="47" t="s">
        <v>1734</v>
      </c>
      <c r="O396" s="48"/>
      <c r="P396" s="48"/>
      <c r="Q396" s="45"/>
      <c r="S396" s="1">
        <f t="shared" si="231"/>
        <v>0</v>
      </c>
      <c r="T396" s="1">
        <f t="shared" si="232"/>
        <v>0</v>
      </c>
      <c r="U396" s="1">
        <f t="shared" si="233"/>
        <v>0</v>
      </c>
      <c r="V396" s="1">
        <f t="shared" si="234"/>
        <v>0</v>
      </c>
      <c r="W396" s="1">
        <f t="shared" si="235"/>
        <v>0</v>
      </c>
      <c r="X396" s="1">
        <f t="shared" si="236"/>
        <v>0</v>
      </c>
      <c r="Y396" s="1">
        <f t="shared" si="237"/>
        <v>0</v>
      </c>
      <c r="Z396" s="1">
        <f t="shared" si="238"/>
        <v>0</v>
      </c>
      <c r="AA396" s="1">
        <f t="shared" si="239"/>
        <v>0</v>
      </c>
      <c r="AB396" s="1">
        <f t="shared" si="240"/>
        <v>0</v>
      </c>
      <c r="AD396" s="1">
        <f t="shared" si="241"/>
        <v>0</v>
      </c>
      <c r="AE396" s="1">
        <f t="shared" si="242"/>
        <v>0</v>
      </c>
      <c r="AF396" s="1">
        <f t="shared" si="227"/>
        <v>0</v>
      </c>
      <c r="AG396" s="1">
        <f t="shared" si="228"/>
        <v>0</v>
      </c>
      <c r="AH396" s="1">
        <f t="shared" si="229"/>
        <v>0</v>
      </c>
      <c r="AI396" s="1">
        <f t="shared" si="230"/>
        <v>1</v>
      </c>
    </row>
    <row r="397" spans="1:35" s="1" customFormat="1" ht="14.25" customHeight="1" x14ac:dyDescent="0.25">
      <c r="A397" s="31">
        <v>0</v>
      </c>
      <c r="B397" s="31">
        <v>2</v>
      </c>
      <c r="C397" s="31">
        <v>7</v>
      </c>
      <c r="D397" s="32" t="s">
        <v>509</v>
      </c>
      <c r="E397" s="32" t="s">
        <v>156</v>
      </c>
      <c r="F397" s="32" t="s">
        <v>510</v>
      </c>
      <c r="G397" s="32" t="s">
        <v>39</v>
      </c>
      <c r="H397" s="32" t="s">
        <v>354</v>
      </c>
      <c r="I397" s="31" t="s">
        <v>942</v>
      </c>
      <c r="J397" s="31">
        <v>7</v>
      </c>
      <c r="K397" s="33" t="s">
        <v>955</v>
      </c>
      <c r="L397" s="33" t="s">
        <v>39</v>
      </c>
      <c r="M397" s="34" t="s">
        <v>39</v>
      </c>
      <c r="N397" s="34" t="s">
        <v>1727</v>
      </c>
      <c r="O397" s="35">
        <v>1</v>
      </c>
      <c r="P397" s="35">
        <v>1</v>
      </c>
      <c r="Q397" s="32"/>
      <c r="S397" s="1">
        <f t="shared" si="231"/>
        <v>0</v>
      </c>
      <c r="T397" s="1">
        <f t="shared" si="232"/>
        <v>0</v>
      </c>
      <c r="U397" s="1">
        <f t="shared" si="233"/>
        <v>0</v>
      </c>
      <c r="V397" s="1">
        <f t="shared" si="234"/>
        <v>0</v>
      </c>
      <c r="W397" s="1">
        <f t="shared" si="235"/>
        <v>0</v>
      </c>
      <c r="X397" s="1">
        <f t="shared" si="236"/>
        <v>0</v>
      </c>
      <c r="Y397" s="1">
        <f t="shared" si="237"/>
        <v>1</v>
      </c>
      <c r="Z397" s="1">
        <f t="shared" si="238"/>
        <v>0</v>
      </c>
      <c r="AA397" s="1">
        <f t="shared" si="239"/>
        <v>0</v>
      </c>
      <c r="AB397" s="1">
        <f t="shared" si="240"/>
        <v>0</v>
      </c>
      <c r="AD397" s="1">
        <f t="shared" si="241"/>
        <v>1</v>
      </c>
      <c r="AE397" s="1">
        <f t="shared" si="242"/>
        <v>0</v>
      </c>
      <c r="AF397" s="1">
        <f t="shared" si="227"/>
        <v>1</v>
      </c>
      <c r="AG397" s="1">
        <f t="shared" si="228"/>
        <v>0</v>
      </c>
      <c r="AH397" s="1">
        <f t="shared" si="229"/>
        <v>1</v>
      </c>
      <c r="AI397" s="1">
        <f t="shared" si="230"/>
        <v>0</v>
      </c>
    </row>
    <row r="398" spans="1:35" s="1" customFormat="1" ht="14.25" customHeight="1" x14ac:dyDescent="0.25">
      <c r="A398" s="31">
        <v>0</v>
      </c>
      <c r="B398" s="31">
        <v>2</v>
      </c>
      <c r="C398" s="31">
        <v>7</v>
      </c>
      <c r="D398" s="32" t="s">
        <v>70</v>
      </c>
      <c r="E398" s="32" t="s">
        <v>28</v>
      </c>
      <c r="F398" s="32" t="s">
        <v>673</v>
      </c>
      <c r="G398" s="32" t="s">
        <v>258</v>
      </c>
      <c r="H398" s="32" t="s">
        <v>354</v>
      </c>
      <c r="I398" s="31" t="s">
        <v>417</v>
      </c>
      <c r="J398" s="31">
        <v>8</v>
      </c>
      <c r="K398" s="33" t="s">
        <v>713</v>
      </c>
      <c r="L398" s="33" t="s">
        <v>713</v>
      </c>
      <c r="M398" s="34" t="s">
        <v>731</v>
      </c>
      <c r="N398" s="34" t="s">
        <v>1743</v>
      </c>
      <c r="O398" s="35">
        <v>1</v>
      </c>
      <c r="P398" s="35"/>
      <c r="Q398" s="32"/>
      <c r="S398" s="1">
        <f t="shared" si="231"/>
        <v>0</v>
      </c>
      <c r="T398" s="1">
        <f t="shared" si="232"/>
        <v>0</v>
      </c>
      <c r="U398" s="1">
        <f t="shared" si="233"/>
        <v>0</v>
      </c>
      <c r="V398" s="1">
        <f t="shared" si="234"/>
        <v>0</v>
      </c>
      <c r="W398" s="1">
        <f t="shared" si="235"/>
        <v>0</v>
      </c>
      <c r="X398" s="1">
        <f t="shared" si="236"/>
        <v>0</v>
      </c>
      <c r="Y398" s="1">
        <f t="shared" si="237"/>
        <v>0</v>
      </c>
      <c r="Z398" s="1">
        <f t="shared" si="238"/>
        <v>1</v>
      </c>
      <c r="AA398" s="1">
        <f t="shared" si="239"/>
        <v>0</v>
      </c>
      <c r="AB398" s="1">
        <f t="shared" si="240"/>
        <v>0</v>
      </c>
      <c r="AD398" s="1">
        <f t="shared" si="241"/>
        <v>0</v>
      </c>
      <c r="AE398" s="1">
        <f t="shared" si="242"/>
        <v>1</v>
      </c>
      <c r="AF398" s="1">
        <f t="shared" si="227"/>
        <v>0</v>
      </c>
      <c r="AG398" s="1">
        <f t="shared" si="228"/>
        <v>1</v>
      </c>
      <c r="AH398" s="1">
        <f t="shared" si="229"/>
        <v>0</v>
      </c>
      <c r="AI398" s="1">
        <f t="shared" si="230"/>
        <v>1</v>
      </c>
    </row>
    <row r="399" spans="1:35" s="1" customFormat="1" ht="14.25" customHeight="1" x14ac:dyDescent="0.25">
      <c r="A399" s="31">
        <v>0</v>
      </c>
      <c r="B399" s="31">
        <v>2</v>
      </c>
      <c r="C399" s="31">
        <v>7</v>
      </c>
      <c r="D399" s="32" t="s">
        <v>654</v>
      </c>
      <c r="E399" s="32" t="s">
        <v>156</v>
      </c>
      <c r="F399" s="32" t="s">
        <v>585</v>
      </c>
      <c r="G399" s="32" t="s">
        <v>249</v>
      </c>
      <c r="H399" s="32" t="s">
        <v>354</v>
      </c>
      <c r="I399" s="31" t="s">
        <v>679</v>
      </c>
      <c r="J399" s="31">
        <v>7</v>
      </c>
      <c r="K399" s="33" t="s">
        <v>955</v>
      </c>
      <c r="L399" s="33" t="s">
        <v>39</v>
      </c>
      <c r="M399" s="34" t="s">
        <v>39</v>
      </c>
      <c r="N399" s="34" t="s">
        <v>1727</v>
      </c>
      <c r="O399" s="35">
        <v>1</v>
      </c>
      <c r="P399" s="35">
        <v>1</v>
      </c>
      <c r="Q399" s="32"/>
      <c r="S399" s="1">
        <f t="shared" si="231"/>
        <v>0</v>
      </c>
      <c r="T399" s="1">
        <f t="shared" si="232"/>
        <v>0</v>
      </c>
      <c r="U399" s="1">
        <f t="shared" si="233"/>
        <v>0</v>
      </c>
      <c r="V399" s="1">
        <f t="shared" si="234"/>
        <v>0</v>
      </c>
      <c r="W399" s="1">
        <f t="shared" si="235"/>
        <v>0</v>
      </c>
      <c r="X399" s="1">
        <f t="shared" si="236"/>
        <v>0</v>
      </c>
      <c r="Y399" s="1">
        <f t="shared" si="237"/>
        <v>1</v>
      </c>
      <c r="Z399" s="1">
        <f t="shared" si="238"/>
        <v>0</v>
      </c>
      <c r="AA399" s="1">
        <f t="shared" si="239"/>
        <v>0</v>
      </c>
      <c r="AB399" s="1">
        <f t="shared" si="240"/>
        <v>0</v>
      </c>
      <c r="AD399" s="1">
        <f t="shared" si="241"/>
        <v>1</v>
      </c>
      <c r="AE399" s="1">
        <f t="shared" si="242"/>
        <v>0</v>
      </c>
      <c r="AF399" s="1">
        <f t="shared" si="227"/>
        <v>1</v>
      </c>
      <c r="AG399" s="1">
        <f t="shared" si="228"/>
        <v>0</v>
      </c>
      <c r="AH399" s="1">
        <f t="shared" si="229"/>
        <v>1</v>
      </c>
      <c r="AI399" s="1">
        <f t="shared" si="230"/>
        <v>0</v>
      </c>
    </row>
    <row r="400" spans="1:35" s="1" customFormat="1" ht="14.25" customHeight="1" x14ac:dyDescent="0.25">
      <c r="A400" s="44">
        <v>0</v>
      </c>
      <c r="B400" s="44">
        <v>2</v>
      </c>
      <c r="C400" s="44">
        <v>7</v>
      </c>
      <c r="D400" s="45" t="s">
        <v>1634</v>
      </c>
      <c r="E400" s="45" t="s">
        <v>156</v>
      </c>
      <c r="F400" s="45" t="s">
        <v>1657</v>
      </c>
      <c r="G400" s="45" t="s">
        <v>213</v>
      </c>
      <c r="H400" s="45" t="s">
        <v>354</v>
      </c>
      <c r="I400" s="44" t="s">
        <v>594</v>
      </c>
      <c r="J400" s="44">
        <v>1</v>
      </c>
      <c r="K400" s="46" t="s">
        <v>712</v>
      </c>
      <c r="L400" s="46" t="s">
        <v>722</v>
      </c>
      <c r="M400" s="47" t="s">
        <v>1433</v>
      </c>
      <c r="N400" s="47" t="s">
        <v>1735</v>
      </c>
      <c r="O400" s="48"/>
      <c r="P400" s="48"/>
      <c r="Q400" s="45"/>
      <c r="S400" s="1">
        <f t="shared" si="231"/>
        <v>1</v>
      </c>
      <c r="T400" s="1">
        <f t="shared" si="232"/>
        <v>0</v>
      </c>
      <c r="U400" s="1">
        <f t="shared" si="233"/>
        <v>0</v>
      </c>
      <c r="V400" s="1">
        <f t="shared" si="234"/>
        <v>0</v>
      </c>
      <c r="W400" s="1">
        <f t="shared" si="235"/>
        <v>0</v>
      </c>
      <c r="X400" s="1">
        <f t="shared" si="236"/>
        <v>0</v>
      </c>
      <c r="Y400" s="1">
        <f t="shared" si="237"/>
        <v>0</v>
      </c>
      <c r="Z400" s="1">
        <f t="shared" si="238"/>
        <v>0</v>
      </c>
      <c r="AA400" s="1">
        <f t="shared" si="239"/>
        <v>0</v>
      </c>
      <c r="AB400" s="1">
        <f t="shared" si="240"/>
        <v>0</v>
      </c>
      <c r="AD400" s="1">
        <f t="shared" si="241"/>
        <v>0</v>
      </c>
      <c r="AE400" s="1">
        <f t="shared" si="242"/>
        <v>0</v>
      </c>
      <c r="AF400" s="1">
        <f t="shared" si="227"/>
        <v>0</v>
      </c>
      <c r="AG400" s="1">
        <f t="shared" si="228"/>
        <v>0</v>
      </c>
      <c r="AH400" s="1">
        <f t="shared" si="229"/>
        <v>0</v>
      </c>
      <c r="AI400" s="1">
        <f t="shared" si="230"/>
        <v>1</v>
      </c>
    </row>
    <row r="401" spans="1:35" s="1" customFormat="1" ht="14.25" customHeight="1" x14ac:dyDescent="0.25">
      <c r="A401" s="44">
        <v>0</v>
      </c>
      <c r="B401" s="44">
        <v>2</v>
      </c>
      <c r="C401" s="44">
        <v>7</v>
      </c>
      <c r="D401" s="45" t="s">
        <v>1070</v>
      </c>
      <c r="E401" s="45" t="s">
        <v>1046</v>
      </c>
      <c r="F401" s="45" t="s">
        <v>1071</v>
      </c>
      <c r="G401" s="45" t="s">
        <v>213</v>
      </c>
      <c r="H401" s="45" t="s">
        <v>354</v>
      </c>
      <c r="I401" s="44" t="s">
        <v>1072</v>
      </c>
      <c r="J401" s="44">
        <v>1</v>
      </c>
      <c r="K401" s="46" t="s">
        <v>955</v>
      </c>
      <c r="L401" s="46" t="s">
        <v>722</v>
      </c>
      <c r="M401" s="47" t="s">
        <v>1434</v>
      </c>
      <c r="N401" s="47" t="s">
        <v>1735</v>
      </c>
      <c r="O401" s="48"/>
      <c r="P401" s="48"/>
      <c r="Q401" s="45" t="s">
        <v>1918</v>
      </c>
      <c r="S401" s="1">
        <f t="shared" si="231"/>
        <v>1</v>
      </c>
      <c r="T401" s="1">
        <f t="shared" si="232"/>
        <v>0</v>
      </c>
      <c r="U401" s="1">
        <f t="shared" si="233"/>
        <v>0</v>
      </c>
      <c r="V401" s="1">
        <f t="shared" si="234"/>
        <v>0</v>
      </c>
      <c r="W401" s="1">
        <f t="shared" si="235"/>
        <v>0</v>
      </c>
      <c r="X401" s="1">
        <f t="shared" si="236"/>
        <v>0</v>
      </c>
      <c r="Y401" s="1">
        <f t="shared" si="237"/>
        <v>0</v>
      </c>
      <c r="Z401" s="1">
        <f t="shared" si="238"/>
        <v>0</v>
      </c>
      <c r="AA401" s="1">
        <f t="shared" si="239"/>
        <v>0</v>
      </c>
      <c r="AB401" s="1">
        <f t="shared" si="240"/>
        <v>0</v>
      </c>
      <c r="AD401" s="1">
        <f t="shared" si="241"/>
        <v>0</v>
      </c>
      <c r="AE401" s="1">
        <f t="shared" si="242"/>
        <v>0</v>
      </c>
      <c r="AF401" s="1">
        <f t="shared" si="227"/>
        <v>0</v>
      </c>
      <c r="AG401" s="1">
        <f t="shared" si="228"/>
        <v>0</v>
      </c>
      <c r="AH401" s="1">
        <f t="shared" si="229"/>
        <v>0</v>
      </c>
      <c r="AI401" s="1">
        <f t="shared" si="230"/>
        <v>1</v>
      </c>
    </row>
    <row r="402" spans="1:35" s="1" customFormat="1" ht="14.25" customHeight="1" x14ac:dyDescent="0.25">
      <c r="A402" s="31">
        <v>0</v>
      </c>
      <c r="B402" s="31">
        <v>2</v>
      </c>
      <c r="C402" s="31">
        <v>7</v>
      </c>
      <c r="D402" s="32" t="s">
        <v>1017</v>
      </c>
      <c r="E402" s="32" t="s">
        <v>156</v>
      </c>
      <c r="F402" s="32" t="s">
        <v>1088</v>
      </c>
      <c r="G402" s="32" t="s">
        <v>1098</v>
      </c>
      <c r="H402" s="32" t="s">
        <v>354</v>
      </c>
      <c r="I402" s="31" t="s">
        <v>1018</v>
      </c>
      <c r="J402" s="31">
        <v>99</v>
      </c>
      <c r="K402" s="33" t="s">
        <v>713</v>
      </c>
      <c r="L402" s="33" t="s">
        <v>722</v>
      </c>
      <c r="M402" s="34" t="s">
        <v>1434</v>
      </c>
      <c r="N402" s="34" t="s">
        <v>1748</v>
      </c>
      <c r="O402" s="35">
        <v>1</v>
      </c>
      <c r="P402" s="35"/>
      <c r="Q402" s="32"/>
      <c r="S402" s="1">
        <f t="shared" si="231"/>
        <v>0</v>
      </c>
      <c r="T402" s="1">
        <f t="shared" si="232"/>
        <v>0</v>
      </c>
      <c r="U402" s="1">
        <f t="shared" si="233"/>
        <v>0</v>
      </c>
      <c r="V402" s="1">
        <f t="shared" si="234"/>
        <v>0</v>
      </c>
      <c r="W402" s="1">
        <f t="shared" si="235"/>
        <v>0</v>
      </c>
      <c r="X402" s="1">
        <f t="shared" si="236"/>
        <v>0</v>
      </c>
      <c r="Y402" s="1">
        <f t="shared" si="237"/>
        <v>0</v>
      </c>
      <c r="Z402" s="1">
        <f t="shared" si="238"/>
        <v>0</v>
      </c>
      <c r="AA402" s="1">
        <f t="shared" si="239"/>
        <v>0</v>
      </c>
      <c r="AB402" s="1">
        <f t="shared" si="240"/>
        <v>0</v>
      </c>
      <c r="AD402" s="1">
        <f t="shared" si="241"/>
        <v>0</v>
      </c>
      <c r="AE402" s="1">
        <f t="shared" si="242"/>
        <v>1</v>
      </c>
      <c r="AF402" s="1">
        <f t="shared" si="227"/>
        <v>0</v>
      </c>
      <c r="AG402" s="1">
        <f t="shared" si="228"/>
        <v>1</v>
      </c>
      <c r="AH402" s="1">
        <f t="shared" si="229"/>
        <v>0</v>
      </c>
      <c r="AI402" s="1">
        <f t="shared" si="230"/>
        <v>1</v>
      </c>
    </row>
    <row r="403" spans="1:35" s="1" customFormat="1" ht="14.25" customHeight="1" x14ac:dyDescent="0.25">
      <c r="A403" s="31">
        <v>0</v>
      </c>
      <c r="B403" s="31">
        <v>2</v>
      </c>
      <c r="C403" s="31">
        <v>7</v>
      </c>
      <c r="D403" s="32" t="s">
        <v>1205</v>
      </c>
      <c r="E403" s="32" t="s">
        <v>1332</v>
      </c>
      <c r="F403" s="32" t="s">
        <v>1206</v>
      </c>
      <c r="G403" s="32" t="s">
        <v>39</v>
      </c>
      <c r="H403" s="32" t="s">
        <v>354</v>
      </c>
      <c r="I403" s="31" t="s">
        <v>1685</v>
      </c>
      <c r="J403" s="31">
        <v>99</v>
      </c>
      <c r="K403" s="33" t="s">
        <v>955</v>
      </c>
      <c r="L403" s="33" t="s">
        <v>729</v>
      </c>
      <c r="M403" s="34" t="s">
        <v>1435</v>
      </c>
      <c r="N403" s="34" t="s">
        <v>1748</v>
      </c>
      <c r="O403" s="35">
        <v>1</v>
      </c>
      <c r="P403" s="35"/>
      <c r="Q403" s="32"/>
      <c r="S403" s="1">
        <f t="shared" si="231"/>
        <v>0</v>
      </c>
      <c r="T403" s="1">
        <f t="shared" si="232"/>
        <v>0</v>
      </c>
      <c r="U403" s="1">
        <f t="shared" si="233"/>
        <v>0</v>
      </c>
      <c r="V403" s="1">
        <f t="shared" si="234"/>
        <v>0</v>
      </c>
      <c r="W403" s="1">
        <f t="shared" si="235"/>
        <v>0</v>
      </c>
      <c r="X403" s="1">
        <f t="shared" si="236"/>
        <v>0</v>
      </c>
      <c r="Y403" s="1">
        <f t="shared" si="237"/>
        <v>0</v>
      </c>
      <c r="Z403" s="1">
        <f t="shared" si="238"/>
        <v>0</v>
      </c>
      <c r="AA403" s="1">
        <f t="shared" si="239"/>
        <v>0</v>
      </c>
      <c r="AB403" s="1">
        <f t="shared" si="240"/>
        <v>0</v>
      </c>
      <c r="AD403" s="1">
        <f t="shared" si="241"/>
        <v>0</v>
      </c>
      <c r="AE403" s="1">
        <f t="shared" si="242"/>
        <v>1</v>
      </c>
      <c r="AF403" s="1">
        <f t="shared" si="227"/>
        <v>0</v>
      </c>
      <c r="AG403" s="1">
        <f t="shared" si="228"/>
        <v>1</v>
      </c>
      <c r="AH403" s="1">
        <f t="shared" si="229"/>
        <v>0</v>
      </c>
      <c r="AI403" s="1">
        <f t="shared" si="230"/>
        <v>1</v>
      </c>
    </row>
    <row r="404" spans="1:35" s="1" customFormat="1" ht="14.25" customHeight="1" x14ac:dyDescent="0.25">
      <c r="A404" s="31">
        <v>0</v>
      </c>
      <c r="B404" s="31">
        <v>2</v>
      </c>
      <c r="C404" s="31">
        <v>7</v>
      </c>
      <c r="D404" s="32" t="s">
        <v>55</v>
      </c>
      <c r="E404" s="32" t="s">
        <v>28</v>
      </c>
      <c r="F404" s="32" t="s">
        <v>644</v>
      </c>
      <c r="G404" s="32" t="s">
        <v>535</v>
      </c>
      <c r="H404" s="32" t="s">
        <v>354</v>
      </c>
      <c r="I404" s="31" t="s">
        <v>394</v>
      </c>
      <c r="J404" s="31">
        <v>6</v>
      </c>
      <c r="K404" s="33" t="s">
        <v>712</v>
      </c>
      <c r="L404" s="33" t="s">
        <v>713</v>
      </c>
      <c r="M404" s="34" t="s">
        <v>731</v>
      </c>
      <c r="N404" s="34" t="s">
        <v>1761</v>
      </c>
      <c r="O404" s="35">
        <v>1</v>
      </c>
      <c r="P404" s="35"/>
      <c r="Q404" s="32"/>
      <c r="S404" s="1">
        <f t="shared" si="231"/>
        <v>0</v>
      </c>
      <c r="T404" s="1">
        <f t="shared" si="232"/>
        <v>0</v>
      </c>
      <c r="U404" s="1">
        <f t="shared" si="233"/>
        <v>0</v>
      </c>
      <c r="V404" s="1">
        <f t="shared" si="234"/>
        <v>0</v>
      </c>
      <c r="W404" s="1">
        <f t="shared" si="235"/>
        <v>0</v>
      </c>
      <c r="X404" s="1">
        <f t="shared" si="236"/>
        <v>1</v>
      </c>
      <c r="Y404" s="1">
        <f t="shared" si="237"/>
        <v>0</v>
      </c>
      <c r="Z404" s="1">
        <f t="shared" si="238"/>
        <v>0</v>
      </c>
      <c r="AA404" s="1">
        <f t="shared" si="239"/>
        <v>0</v>
      </c>
      <c r="AB404" s="1">
        <f t="shared" si="240"/>
        <v>0</v>
      </c>
      <c r="AD404" s="1">
        <f t="shared" si="241"/>
        <v>0</v>
      </c>
      <c r="AE404" s="1">
        <f t="shared" si="242"/>
        <v>1</v>
      </c>
      <c r="AF404" s="1">
        <f t="shared" si="227"/>
        <v>0</v>
      </c>
      <c r="AG404" s="1">
        <f t="shared" si="228"/>
        <v>1</v>
      </c>
      <c r="AH404" s="1">
        <f t="shared" si="229"/>
        <v>0</v>
      </c>
      <c r="AI404" s="1">
        <f t="shared" si="230"/>
        <v>1</v>
      </c>
    </row>
    <row r="405" spans="1:35" s="1" customFormat="1" ht="14.25" customHeight="1" x14ac:dyDescent="0.25">
      <c r="A405" s="31">
        <v>1</v>
      </c>
      <c r="B405" s="31">
        <v>2</v>
      </c>
      <c r="C405" s="31">
        <v>7</v>
      </c>
      <c r="D405" s="32" t="s">
        <v>55</v>
      </c>
      <c r="E405" s="32" t="s">
        <v>28</v>
      </c>
      <c r="F405" s="32" t="s">
        <v>216</v>
      </c>
      <c r="G405" s="32" t="s">
        <v>39</v>
      </c>
      <c r="H405" s="32" t="s">
        <v>354</v>
      </c>
      <c r="I405" s="31" t="s">
        <v>30</v>
      </c>
      <c r="J405" s="31">
        <v>99</v>
      </c>
      <c r="K405" s="33" t="s">
        <v>712</v>
      </c>
      <c r="L405" s="33" t="s">
        <v>713</v>
      </c>
      <c r="M405" s="34" t="s">
        <v>731</v>
      </c>
      <c r="N405" s="34" t="s">
        <v>1761</v>
      </c>
      <c r="O405" s="35">
        <v>1</v>
      </c>
      <c r="P405" s="35"/>
      <c r="Q405" s="32"/>
      <c r="S405" s="1">
        <f t="shared" si="231"/>
        <v>0</v>
      </c>
      <c r="T405" s="1">
        <f t="shared" si="232"/>
        <v>0</v>
      </c>
      <c r="U405" s="1">
        <f t="shared" si="233"/>
        <v>0</v>
      </c>
      <c r="V405" s="1">
        <f t="shared" si="234"/>
        <v>0</v>
      </c>
      <c r="W405" s="1">
        <f t="shared" si="235"/>
        <v>0</v>
      </c>
      <c r="X405" s="1">
        <f t="shared" si="236"/>
        <v>0</v>
      </c>
      <c r="Y405" s="1">
        <f t="shared" si="237"/>
        <v>0</v>
      </c>
      <c r="Z405" s="1">
        <f t="shared" si="238"/>
        <v>0</v>
      </c>
      <c r="AA405" s="1">
        <f t="shared" si="239"/>
        <v>0</v>
      </c>
      <c r="AB405" s="1">
        <f t="shared" si="240"/>
        <v>0</v>
      </c>
      <c r="AD405" s="1">
        <f t="shared" si="241"/>
        <v>0</v>
      </c>
      <c r="AE405" s="1">
        <f t="shared" si="242"/>
        <v>1</v>
      </c>
      <c r="AF405" s="1">
        <f t="shared" ref="AF405:AF470" si="283">+O405*P405*(1-A405)</f>
        <v>0</v>
      </c>
      <c r="AG405" s="1">
        <f t="shared" ref="AG405:AG470" si="284">O405*(1-P405)*(1-A405)</f>
        <v>0</v>
      </c>
      <c r="AH405" s="1">
        <f t="shared" ref="AH405:AH470" si="285">+P405*(1-A405)</f>
        <v>0</v>
      </c>
      <c r="AI405" s="1">
        <f t="shared" ref="AI405:AI470" si="286">+(1-A405)*(1-P405)</f>
        <v>0</v>
      </c>
    </row>
    <row r="406" spans="1:35" s="1" customFormat="1" ht="14.25" customHeight="1" x14ac:dyDescent="0.25">
      <c r="A406" s="31">
        <v>1</v>
      </c>
      <c r="B406" s="31">
        <v>2</v>
      </c>
      <c r="C406" s="31">
        <v>7</v>
      </c>
      <c r="D406" s="32" t="s">
        <v>55</v>
      </c>
      <c r="E406" s="32" t="s">
        <v>28</v>
      </c>
      <c r="F406" s="32" t="s">
        <v>215</v>
      </c>
      <c r="G406" s="32" t="s">
        <v>39</v>
      </c>
      <c r="H406" s="32" t="s">
        <v>354</v>
      </c>
      <c r="I406" s="31" t="s">
        <v>394</v>
      </c>
      <c r="J406" s="31">
        <v>99</v>
      </c>
      <c r="K406" s="33" t="s">
        <v>712</v>
      </c>
      <c r="L406" s="33" t="s">
        <v>713</v>
      </c>
      <c r="M406" s="34" t="s">
        <v>731</v>
      </c>
      <c r="N406" s="34" t="s">
        <v>1761</v>
      </c>
      <c r="O406" s="35">
        <v>1</v>
      </c>
      <c r="P406" s="35"/>
      <c r="Q406" s="32"/>
      <c r="S406" s="1">
        <f t="shared" si="231"/>
        <v>0</v>
      </c>
      <c r="T406" s="1">
        <f t="shared" si="232"/>
        <v>0</v>
      </c>
      <c r="U406" s="1">
        <f t="shared" si="233"/>
        <v>0</v>
      </c>
      <c r="V406" s="1">
        <f t="shared" si="234"/>
        <v>0</v>
      </c>
      <c r="W406" s="1">
        <f t="shared" si="235"/>
        <v>0</v>
      </c>
      <c r="X406" s="1">
        <f t="shared" si="236"/>
        <v>0</v>
      </c>
      <c r="Y406" s="1">
        <f t="shared" si="237"/>
        <v>0</v>
      </c>
      <c r="Z406" s="1">
        <f t="shared" si="238"/>
        <v>0</v>
      </c>
      <c r="AA406" s="1">
        <f t="shared" si="239"/>
        <v>0</v>
      </c>
      <c r="AB406" s="1">
        <f t="shared" si="240"/>
        <v>0</v>
      </c>
      <c r="AD406" s="1">
        <f t="shared" si="241"/>
        <v>0</v>
      </c>
      <c r="AE406" s="1">
        <f t="shared" si="242"/>
        <v>1</v>
      </c>
      <c r="AF406" s="1">
        <f t="shared" si="283"/>
        <v>0</v>
      </c>
      <c r="AG406" s="1">
        <f t="shared" si="284"/>
        <v>0</v>
      </c>
      <c r="AH406" s="1">
        <f t="shared" si="285"/>
        <v>0</v>
      </c>
      <c r="AI406" s="1">
        <f t="shared" si="286"/>
        <v>0</v>
      </c>
    </row>
    <row r="407" spans="1:35" s="1" customFormat="1" ht="14.25" customHeight="1" x14ac:dyDescent="0.25">
      <c r="A407" s="31">
        <v>1</v>
      </c>
      <c r="B407" s="31">
        <v>2</v>
      </c>
      <c r="C407" s="31">
        <v>7</v>
      </c>
      <c r="D407" s="32" t="s">
        <v>55</v>
      </c>
      <c r="E407" s="32" t="s">
        <v>28</v>
      </c>
      <c r="F407" s="32" t="s">
        <v>217</v>
      </c>
      <c r="G407" s="32" t="s">
        <v>218</v>
      </c>
      <c r="H407" s="32" t="s">
        <v>354</v>
      </c>
      <c r="I407" s="31" t="s">
        <v>395</v>
      </c>
      <c r="J407" s="31">
        <v>99</v>
      </c>
      <c r="K407" s="33" t="s">
        <v>712</v>
      </c>
      <c r="L407" s="33" t="s">
        <v>713</v>
      </c>
      <c r="M407" s="34" t="s">
        <v>731</v>
      </c>
      <c r="N407" s="34" t="s">
        <v>1761</v>
      </c>
      <c r="O407" s="35">
        <v>1</v>
      </c>
      <c r="P407" s="35"/>
      <c r="Q407" s="32"/>
      <c r="S407" s="1">
        <f t="shared" si="231"/>
        <v>0</v>
      </c>
      <c r="T407" s="1">
        <f t="shared" si="232"/>
        <v>0</v>
      </c>
      <c r="U407" s="1">
        <f t="shared" si="233"/>
        <v>0</v>
      </c>
      <c r="V407" s="1">
        <f t="shared" si="234"/>
        <v>0</v>
      </c>
      <c r="W407" s="1">
        <f t="shared" si="235"/>
        <v>0</v>
      </c>
      <c r="X407" s="1">
        <f t="shared" si="236"/>
        <v>0</v>
      </c>
      <c r="Y407" s="1">
        <f t="shared" si="237"/>
        <v>0</v>
      </c>
      <c r="Z407" s="1">
        <f t="shared" si="238"/>
        <v>0</v>
      </c>
      <c r="AA407" s="1">
        <f t="shared" si="239"/>
        <v>0</v>
      </c>
      <c r="AB407" s="1">
        <f t="shared" si="240"/>
        <v>0</v>
      </c>
      <c r="AD407" s="1">
        <f t="shared" si="241"/>
        <v>0</v>
      </c>
      <c r="AE407" s="1">
        <f t="shared" si="242"/>
        <v>1</v>
      </c>
      <c r="AF407" s="1">
        <f t="shared" si="283"/>
        <v>0</v>
      </c>
      <c r="AG407" s="1">
        <f t="shared" si="284"/>
        <v>0</v>
      </c>
      <c r="AH407" s="1">
        <f t="shared" si="285"/>
        <v>0</v>
      </c>
      <c r="AI407" s="1">
        <f t="shared" si="286"/>
        <v>0</v>
      </c>
    </row>
    <row r="408" spans="1:35" s="1" customFormat="1" ht="14.25" customHeight="1" x14ac:dyDescent="0.25">
      <c r="A408" s="31">
        <v>0</v>
      </c>
      <c r="B408" s="31">
        <v>2</v>
      </c>
      <c r="C408" s="31">
        <v>7</v>
      </c>
      <c r="D408" s="36" t="s">
        <v>2054</v>
      </c>
      <c r="E408" s="36" t="s">
        <v>156</v>
      </c>
      <c r="F408" s="36" t="s">
        <v>2055</v>
      </c>
      <c r="G408" s="36" t="s">
        <v>220</v>
      </c>
      <c r="H408" s="36" t="s">
        <v>354</v>
      </c>
      <c r="I408" s="37" t="s">
        <v>2056</v>
      </c>
      <c r="J408" s="31">
        <v>99</v>
      </c>
      <c r="K408" s="33" t="s">
        <v>703</v>
      </c>
      <c r="L408" s="33">
        <v>10</v>
      </c>
      <c r="M408" s="34" t="s">
        <v>2057</v>
      </c>
      <c r="N408" s="34" t="s">
        <v>1748</v>
      </c>
      <c r="O408" s="35">
        <v>1</v>
      </c>
      <c r="P408" s="35"/>
      <c r="Q408" s="32"/>
      <c r="S408" s="1">
        <f t="shared" si="231"/>
        <v>0</v>
      </c>
      <c r="T408" s="1">
        <f t="shared" si="232"/>
        <v>0</v>
      </c>
      <c r="U408" s="1">
        <f t="shared" si="233"/>
        <v>0</v>
      </c>
      <c r="V408" s="1">
        <f t="shared" si="234"/>
        <v>0</v>
      </c>
      <c r="W408" s="1">
        <f t="shared" si="235"/>
        <v>0</v>
      </c>
      <c r="X408" s="1">
        <f t="shared" si="236"/>
        <v>0</v>
      </c>
      <c r="Y408" s="1">
        <f t="shared" si="237"/>
        <v>0</v>
      </c>
      <c r="Z408" s="1">
        <f t="shared" si="238"/>
        <v>0</v>
      </c>
      <c r="AA408" s="1">
        <f t="shared" si="239"/>
        <v>0</v>
      </c>
      <c r="AB408" s="1">
        <f t="shared" si="240"/>
        <v>0</v>
      </c>
      <c r="AD408" s="1">
        <f t="shared" si="241"/>
        <v>0</v>
      </c>
      <c r="AE408" s="1">
        <f t="shared" si="242"/>
        <v>1</v>
      </c>
      <c r="AF408" s="1">
        <f t="shared" si="283"/>
        <v>0</v>
      </c>
      <c r="AG408" s="1">
        <f t="shared" si="284"/>
        <v>1</v>
      </c>
      <c r="AH408" s="1">
        <f t="shared" si="285"/>
        <v>0</v>
      </c>
      <c r="AI408" s="1">
        <f t="shared" si="286"/>
        <v>1</v>
      </c>
    </row>
    <row r="409" spans="1:35" s="1" customFormat="1" ht="14.25" customHeight="1" x14ac:dyDescent="0.25">
      <c r="A409" s="44">
        <v>0</v>
      </c>
      <c r="B409" s="44">
        <v>2</v>
      </c>
      <c r="C409" s="44">
        <v>7</v>
      </c>
      <c r="D409" s="45" t="s">
        <v>68</v>
      </c>
      <c r="E409" s="45" t="s">
        <v>28</v>
      </c>
      <c r="F409" s="45" t="s">
        <v>253</v>
      </c>
      <c r="G409" s="45" t="s">
        <v>254</v>
      </c>
      <c r="H409" s="45" t="s">
        <v>354</v>
      </c>
      <c r="I409" s="44" t="s">
        <v>414</v>
      </c>
      <c r="J409" s="44">
        <v>99</v>
      </c>
      <c r="K409" s="46" t="s">
        <v>713</v>
      </c>
      <c r="L409" s="46" t="s">
        <v>713</v>
      </c>
      <c r="M409" s="47" t="s">
        <v>731</v>
      </c>
      <c r="N409" s="47" t="s">
        <v>1802</v>
      </c>
      <c r="O409" s="48"/>
      <c r="P409" s="48"/>
      <c r="Q409" s="45"/>
      <c r="S409" s="1">
        <f t="shared" ref="S409:S415" si="287">IF(J409=$S$7,1,0)</f>
        <v>0</v>
      </c>
      <c r="T409" s="1">
        <f t="shared" ref="T409:T415" si="288">IF(J409=$T$7,1,0)</f>
        <v>0</v>
      </c>
      <c r="U409" s="1">
        <f t="shared" ref="U409:U415" si="289">IF(J409=$U$7,1,0)</f>
        <v>0</v>
      </c>
      <c r="V409" s="1">
        <f t="shared" ref="V409:V415" si="290">IF(J409=$V$7,1,0)</f>
        <v>0</v>
      </c>
      <c r="W409" s="1">
        <f t="shared" ref="W409:W415" si="291">IF(J409=$W$7,1,0)</f>
        <v>0</v>
      </c>
      <c r="X409" s="1">
        <f t="shared" ref="X409:X415" si="292">IF(J409=$X$7,1,0)</f>
        <v>0</v>
      </c>
      <c r="Y409" s="1">
        <f t="shared" ref="Y409:Y415" si="293">IF(J409=$Y$7,1,0)</f>
        <v>0</v>
      </c>
      <c r="Z409" s="1">
        <f t="shared" ref="Z409:Z415" si="294">IF(J409=$Z$7,1,0)</f>
        <v>0</v>
      </c>
      <c r="AA409" s="1">
        <f t="shared" ref="AA409:AA415" si="295">IF(J409=$AA$7,1,0)</f>
        <v>0</v>
      </c>
      <c r="AB409" s="1">
        <f t="shared" ref="AB409:AB415" si="296">IF(J409=$AB$7,1,0)</f>
        <v>0</v>
      </c>
      <c r="AD409" s="1">
        <f t="shared" ref="AD409:AD415" si="297">+O409*P409</f>
        <v>0</v>
      </c>
      <c r="AE409" s="1">
        <f t="shared" ref="AE409:AE415" si="298">O409*(1-P409)</f>
        <v>0</v>
      </c>
      <c r="AF409" s="1">
        <f t="shared" ref="AF409:AF415" si="299">+O409*P409*(1-A409)</f>
        <v>0</v>
      </c>
      <c r="AG409" s="1">
        <f t="shared" ref="AG409:AG415" si="300">O409*(1-P409)*(1-A409)</f>
        <v>0</v>
      </c>
      <c r="AH409" s="1">
        <f t="shared" ref="AH409:AH415" si="301">+P409*(1-A409)</f>
        <v>0</v>
      </c>
      <c r="AI409" s="1">
        <f t="shared" ref="AI409:AI415" si="302">+(1-A409)*(1-P409)</f>
        <v>1</v>
      </c>
    </row>
    <row r="410" spans="1:35" s="1" customFormat="1" ht="14.25" customHeight="1" x14ac:dyDescent="0.25">
      <c r="A410" s="31">
        <v>0</v>
      </c>
      <c r="B410" s="31">
        <v>2</v>
      </c>
      <c r="C410" s="31">
        <v>7</v>
      </c>
      <c r="D410" s="32" t="s">
        <v>2018</v>
      </c>
      <c r="E410" s="32" t="s">
        <v>28</v>
      </c>
      <c r="F410" s="32" t="s">
        <v>2020</v>
      </c>
      <c r="G410" s="32" t="s">
        <v>1104</v>
      </c>
      <c r="H410" s="32" t="s">
        <v>354</v>
      </c>
      <c r="I410" s="31" t="s">
        <v>2021</v>
      </c>
      <c r="J410" s="31">
        <v>1</v>
      </c>
      <c r="K410" s="33" t="s">
        <v>703</v>
      </c>
      <c r="L410" s="33"/>
      <c r="M410" s="34"/>
      <c r="N410" s="34" t="s">
        <v>1727</v>
      </c>
      <c r="O410" s="35">
        <v>1</v>
      </c>
      <c r="P410" s="35">
        <v>1</v>
      </c>
      <c r="Q410" s="32" t="s">
        <v>2023</v>
      </c>
      <c r="S410" s="1">
        <f t="shared" si="287"/>
        <v>1</v>
      </c>
      <c r="T410" s="1">
        <f t="shared" si="288"/>
        <v>0</v>
      </c>
      <c r="U410" s="1">
        <f t="shared" si="289"/>
        <v>0</v>
      </c>
      <c r="V410" s="1">
        <f t="shared" si="290"/>
        <v>0</v>
      </c>
      <c r="W410" s="1">
        <f t="shared" si="291"/>
        <v>0</v>
      </c>
      <c r="X410" s="1">
        <f t="shared" si="292"/>
        <v>0</v>
      </c>
      <c r="Y410" s="1">
        <f t="shared" si="293"/>
        <v>0</v>
      </c>
      <c r="Z410" s="1">
        <f t="shared" si="294"/>
        <v>0</v>
      </c>
      <c r="AA410" s="1">
        <f t="shared" si="295"/>
        <v>0</v>
      </c>
      <c r="AB410" s="1">
        <f t="shared" si="296"/>
        <v>0</v>
      </c>
      <c r="AD410" s="1">
        <f t="shared" si="297"/>
        <v>1</v>
      </c>
      <c r="AE410" s="1">
        <f t="shared" si="298"/>
        <v>0</v>
      </c>
      <c r="AF410" s="1">
        <f t="shared" si="299"/>
        <v>1</v>
      </c>
      <c r="AG410" s="1">
        <f t="shared" si="300"/>
        <v>0</v>
      </c>
      <c r="AH410" s="1">
        <f t="shared" si="301"/>
        <v>1</v>
      </c>
      <c r="AI410" s="1">
        <f t="shared" si="302"/>
        <v>0</v>
      </c>
    </row>
    <row r="411" spans="1:35" s="1" customFormat="1" ht="14.25" customHeight="1" x14ac:dyDescent="0.25">
      <c r="A411" s="31">
        <v>1</v>
      </c>
      <c r="B411" s="31">
        <v>2</v>
      </c>
      <c r="C411" s="31">
        <v>7</v>
      </c>
      <c r="D411" s="32" t="s">
        <v>2018</v>
      </c>
      <c r="E411" s="32" t="s">
        <v>28</v>
      </c>
      <c r="F411" s="32" t="s">
        <v>2019</v>
      </c>
      <c r="G411" s="36" t="s">
        <v>2025</v>
      </c>
      <c r="H411" s="32" t="s">
        <v>354</v>
      </c>
      <c r="I411" s="31" t="s">
        <v>2022</v>
      </c>
      <c r="J411" s="31">
        <v>8</v>
      </c>
      <c r="K411" s="33" t="s">
        <v>703</v>
      </c>
      <c r="L411" s="33"/>
      <c r="M411" s="34"/>
      <c r="N411" s="34" t="s">
        <v>1727</v>
      </c>
      <c r="O411" s="35">
        <v>1</v>
      </c>
      <c r="P411" s="35">
        <v>1</v>
      </c>
      <c r="Q411" s="32" t="s">
        <v>2024</v>
      </c>
      <c r="S411" s="1">
        <f t="shared" si="287"/>
        <v>0</v>
      </c>
      <c r="T411" s="1">
        <f t="shared" si="288"/>
        <v>0</v>
      </c>
      <c r="U411" s="1">
        <f t="shared" si="289"/>
        <v>0</v>
      </c>
      <c r="V411" s="1">
        <f t="shared" si="290"/>
        <v>0</v>
      </c>
      <c r="W411" s="1">
        <f t="shared" si="291"/>
        <v>0</v>
      </c>
      <c r="X411" s="1">
        <f t="shared" si="292"/>
        <v>0</v>
      </c>
      <c r="Y411" s="1">
        <f t="shared" si="293"/>
        <v>0</v>
      </c>
      <c r="Z411" s="1">
        <f t="shared" si="294"/>
        <v>1</v>
      </c>
      <c r="AA411" s="1">
        <f t="shared" si="295"/>
        <v>0</v>
      </c>
      <c r="AB411" s="1">
        <f t="shared" si="296"/>
        <v>0</v>
      </c>
      <c r="AD411" s="1">
        <f t="shared" si="297"/>
        <v>1</v>
      </c>
      <c r="AE411" s="1">
        <f t="shared" si="298"/>
        <v>0</v>
      </c>
      <c r="AF411" s="1">
        <f t="shared" si="299"/>
        <v>0</v>
      </c>
      <c r="AG411" s="1">
        <f t="shared" si="300"/>
        <v>0</v>
      </c>
      <c r="AH411" s="1">
        <f t="shared" si="301"/>
        <v>0</v>
      </c>
      <c r="AI411" s="1">
        <f t="shared" si="302"/>
        <v>0</v>
      </c>
    </row>
    <row r="412" spans="1:35" s="1" customFormat="1" ht="14.25" customHeight="1" x14ac:dyDescent="0.25">
      <c r="A412" s="31">
        <v>0</v>
      </c>
      <c r="B412" s="31">
        <v>2</v>
      </c>
      <c r="C412" s="31">
        <v>7</v>
      </c>
      <c r="D412" s="32" t="s">
        <v>69</v>
      </c>
      <c r="E412" s="32" t="s">
        <v>28</v>
      </c>
      <c r="F412" s="32" t="s">
        <v>255</v>
      </c>
      <c r="G412" s="36" t="s">
        <v>207</v>
      </c>
      <c r="H412" s="32" t="s">
        <v>354</v>
      </c>
      <c r="I412" s="31" t="s">
        <v>415</v>
      </c>
      <c r="J412" s="31">
        <v>99</v>
      </c>
      <c r="K412" s="33" t="s">
        <v>955</v>
      </c>
      <c r="L412" s="33" t="s">
        <v>713</v>
      </c>
      <c r="M412" s="34" t="s">
        <v>731</v>
      </c>
      <c r="N412" s="34" t="s">
        <v>1733</v>
      </c>
      <c r="O412" s="35">
        <v>1</v>
      </c>
      <c r="P412" s="35">
        <v>1</v>
      </c>
      <c r="Q412" s="32"/>
      <c r="S412" s="1">
        <f t="shared" si="287"/>
        <v>0</v>
      </c>
      <c r="T412" s="1">
        <f t="shared" si="288"/>
        <v>0</v>
      </c>
      <c r="U412" s="1">
        <f t="shared" si="289"/>
        <v>0</v>
      </c>
      <c r="V412" s="1">
        <f t="shared" si="290"/>
        <v>0</v>
      </c>
      <c r="W412" s="1">
        <f t="shared" si="291"/>
        <v>0</v>
      </c>
      <c r="X412" s="1">
        <f t="shared" si="292"/>
        <v>0</v>
      </c>
      <c r="Y412" s="1">
        <f t="shared" si="293"/>
        <v>0</v>
      </c>
      <c r="Z412" s="1">
        <f t="shared" si="294"/>
        <v>0</v>
      </c>
      <c r="AA412" s="1">
        <f t="shared" si="295"/>
        <v>0</v>
      </c>
      <c r="AB412" s="1">
        <f t="shared" si="296"/>
        <v>0</v>
      </c>
      <c r="AD412" s="1">
        <f t="shared" si="297"/>
        <v>1</v>
      </c>
      <c r="AE412" s="1">
        <f t="shared" si="298"/>
        <v>0</v>
      </c>
      <c r="AF412" s="1">
        <f t="shared" si="299"/>
        <v>1</v>
      </c>
      <c r="AG412" s="1">
        <f t="shared" si="300"/>
        <v>0</v>
      </c>
      <c r="AH412" s="1">
        <f t="shared" si="301"/>
        <v>1</v>
      </c>
      <c r="AI412" s="1">
        <f t="shared" si="302"/>
        <v>0</v>
      </c>
    </row>
    <row r="413" spans="1:35" s="1" customFormat="1" ht="14.25" customHeight="1" x14ac:dyDescent="0.25">
      <c r="A413" s="31">
        <v>1</v>
      </c>
      <c r="B413" s="31">
        <v>2</v>
      </c>
      <c r="C413" s="31">
        <v>7</v>
      </c>
      <c r="D413" s="32" t="s">
        <v>69</v>
      </c>
      <c r="E413" s="32" t="s">
        <v>28</v>
      </c>
      <c r="F413" s="32" t="s">
        <v>1874</v>
      </c>
      <c r="G413" s="36" t="s">
        <v>256</v>
      </c>
      <c r="H413" s="32" t="s">
        <v>354</v>
      </c>
      <c r="I413" s="31" t="s">
        <v>416</v>
      </c>
      <c r="J413" s="31">
        <v>99</v>
      </c>
      <c r="K413" s="33" t="s">
        <v>955</v>
      </c>
      <c r="L413" s="33" t="s">
        <v>713</v>
      </c>
      <c r="M413" s="34" t="s">
        <v>731</v>
      </c>
      <c r="N413" s="34" t="s">
        <v>1733</v>
      </c>
      <c r="O413" s="35">
        <v>1</v>
      </c>
      <c r="P413" s="35">
        <v>1</v>
      </c>
      <c r="Q413" s="32"/>
      <c r="S413" s="1">
        <f t="shared" si="287"/>
        <v>0</v>
      </c>
      <c r="T413" s="1">
        <f t="shared" si="288"/>
        <v>0</v>
      </c>
      <c r="U413" s="1">
        <f t="shared" si="289"/>
        <v>0</v>
      </c>
      <c r="V413" s="1">
        <f t="shared" si="290"/>
        <v>0</v>
      </c>
      <c r="W413" s="1">
        <f t="shared" si="291"/>
        <v>0</v>
      </c>
      <c r="X413" s="1">
        <f t="shared" si="292"/>
        <v>0</v>
      </c>
      <c r="Y413" s="1">
        <f t="shared" si="293"/>
        <v>0</v>
      </c>
      <c r="Z413" s="1">
        <f t="shared" si="294"/>
        <v>0</v>
      </c>
      <c r="AA413" s="1">
        <f t="shared" si="295"/>
        <v>0</v>
      </c>
      <c r="AB413" s="1">
        <f t="shared" si="296"/>
        <v>0</v>
      </c>
      <c r="AD413" s="1">
        <f t="shared" si="297"/>
        <v>1</v>
      </c>
      <c r="AE413" s="1">
        <f t="shared" si="298"/>
        <v>0</v>
      </c>
      <c r="AF413" s="1">
        <f t="shared" si="299"/>
        <v>0</v>
      </c>
      <c r="AG413" s="1">
        <f t="shared" si="300"/>
        <v>0</v>
      </c>
      <c r="AH413" s="1">
        <f t="shared" si="301"/>
        <v>0</v>
      </c>
      <c r="AI413" s="1">
        <f t="shared" si="302"/>
        <v>0</v>
      </c>
    </row>
    <row r="414" spans="1:35" s="1" customFormat="1" ht="14.25" customHeight="1" x14ac:dyDescent="0.25">
      <c r="A414" s="31">
        <v>1</v>
      </c>
      <c r="B414" s="31">
        <v>2</v>
      </c>
      <c r="C414" s="31">
        <v>7</v>
      </c>
      <c r="D414" s="32" t="s">
        <v>69</v>
      </c>
      <c r="E414" s="32" t="s">
        <v>28</v>
      </c>
      <c r="F414" s="32" t="s">
        <v>570</v>
      </c>
      <c r="G414" s="36" t="s">
        <v>571</v>
      </c>
      <c r="H414" s="32" t="s">
        <v>354</v>
      </c>
      <c r="I414" s="31" t="s">
        <v>580</v>
      </c>
      <c r="J414" s="31">
        <v>99</v>
      </c>
      <c r="K414" s="33" t="s">
        <v>955</v>
      </c>
      <c r="L414" s="33" t="s">
        <v>713</v>
      </c>
      <c r="M414" s="34" t="s">
        <v>731</v>
      </c>
      <c r="N414" s="34" t="s">
        <v>1733</v>
      </c>
      <c r="O414" s="35">
        <v>1</v>
      </c>
      <c r="P414" s="35">
        <v>1</v>
      </c>
      <c r="Q414" s="32"/>
      <c r="S414" s="1">
        <f t="shared" si="287"/>
        <v>0</v>
      </c>
      <c r="T414" s="1">
        <f t="shared" si="288"/>
        <v>0</v>
      </c>
      <c r="U414" s="1">
        <f t="shared" si="289"/>
        <v>0</v>
      </c>
      <c r="V414" s="1">
        <f t="shared" si="290"/>
        <v>0</v>
      </c>
      <c r="W414" s="1">
        <f t="shared" si="291"/>
        <v>0</v>
      </c>
      <c r="X414" s="1">
        <f t="shared" si="292"/>
        <v>0</v>
      </c>
      <c r="Y414" s="1">
        <f t="shared" si="293"/>
        <v>0</v>
      </c>
      <c r="Z414" s="1">
        <f t="shared" si="294"/>
        <v>0</v>
      </c>
      <c r="AA414" s="1">
        <f t="shared" si="295"/>
        <v>0</v>
      </c>
      <c r="AB414" s="1">
        <f t="shared" si="296"/>
        <v>0</v>
      </c>
      <c r="AD414" s="1">
        <f t="shared" si="297"/>
        <v>1</v>
      </c>
      <c r="AE414" s="1">
        <f t="shared" si="298"/>
        <v>0</v>
      </c>
      <c r="AF414" s="1">
        <f t="shared" si="299"/>
        <v>0</v>
      </c>
      <c r="AG414" s="1">
        <f t="shared" si="300"/>
        <v>0</v>
      </c>
      <c r="AH414" s="1">
        <f t="shared" si="301"/>
        <v>0</v>
      </c>
      <c r="AI414" s="1">
        <f t="shared" si="302"/>
        <v>0</v>
      </c>
    </row>
    <row r="415" spans="1:35" s="1" customFormat="1" ht="14.25" customHeight="1" x14ac:dyDescent="0.25">
      <c r="A415" s="44">
        <v>0</v>
      </c>
      <c r="B415" s="44">
        <v>2</v>
      </c>
      <c r="C415" s="44">
        <v>7</v>
      </c>
      <c r="D415" s="45" t="s">
        <v>71</v>
      </c>
      <c r="E415" s="45" t="s">
        <v>28</v>
      </c>
      <c r="F415" s="45" t="s">
        <v>1349</v>
      </c>
      <c r="G415" s="45" t="s">
        <v>259</v>
      </c>
      <c r="H415" s="45" t="s">
        <v>354</v>
      </c>
      <c r="I415" s="44" t="s">
        <v>418</v>
      </c>
      <c r="J415" s="44">
        <v>99</v>
      </c>
      <c r="K415" s="46" t="s">
        <v>713</v>
      </c>
      <c r="L415" s="46" t="s">
        <v>713</v>
      </c>
      <c r="M415" s="47" t="s">
        <v>731</v>
      </c>
      <c r="N415" s="47" t="s">
        <v>1802</v>
      </c>
      <c r="O415" s="48"/>
      <c r="P415" s="48"/>
      <c r="Q415" s="45"/>
      <c r="S415" s="1">
        <f t="shared" si="287"/>
        <v>0</v>
      </c>
      <c r="T415" s="1">
        <f t="shared" si="288"/>
        <v>0</v>
      </c>
      <c r="U415" s="1">
        <f t="shared" si="289"/>
        <v>0</v>
      </c>
      <c r="V415" s="1">
        <f t="shared" si="290"/>
        <v>0</v>
      </c>
      <c r="W415" s="1">
        <f t="shared" si="291"/>
        <v>0</v>
      </c>
      <c r="X415" s="1">
        <f t="shared" si="292"/>
        <v>0</v>
      </c>
      <c r="Y415" s="1">
        <f t="shared" si="293"/>
        <v>0</v>
      </c>
      <c r="Z415" s="1">
        <f t="shared" si="294"/>
        <v>0</v>
      </c>
      <c r="AA415" s="1">
        <f t="shared" si="295"/>
        <v>0</v>
      </c>
      <c r="AB415" s="1">
        <f t="shared" si="296"/>
        <v>0</v>
      </c>
      <c r="AD415" s="1">
        <f t="shared" si="297"/>
        <v>0</v>
      </c>
      <c r="AE415" s="1">
        <f t="shared" si="298"/>
        <v>0</v>
      </c>
      <c r="AF415" s="1">
        <f t="shared" si="299"/>
        <v>0</v>
      </c>
      <c r="AG415" s="1">
        <f t="shared" si="300"/>
        <v>0</v>
      </c>
      <c r="AH415" s="1">
        <f t="shared" si="301"/>
        <v>0</v>
      </c>
      <c r="AI415" s="1">
        <f t="shared" si="302"/>
        <v>1</v>
      </c>
    </row>
    <row r="416" spans="1:35" s="1" customFormat="1" ht="14.25" customHeight="1" x14ac:dyDescent="0.25">
      <c r="A416" s="44">
        <v>0</v>
      </c>
      <c r="B416" s="44">
        <v>2</v>
      </c>
      <c r="C416" s="44">
        <v>7</v>
      </c>
      <c r="D416" s="45" t="s">
        <v>1062</v>
      </c>
      <c r="E416" s="45" t="s">
        <v>28</v>
      </c>
      <c r="F416" s="45" t="s">
        <v>1063</v>
      </c>
      <c r="G416" s="45" t="s">
        <v>1064</v>
      </c>
      <c r="H416" s="45" t="s">
        <v>354</v>
      </c>
      <c r="I416" s="44" t="s">
        <v>1065</v>
      </c>
      <c r="J416" s="44">
        <v>99</v>
      </c>
      <c r="K416" s="46" t="s">
        <v>713</v>
      </c>
      <c r="L416" s="46" t="s">
        <v>713</v>
      </c>
      <c r="M416" s="47" t="s">
        <v>731</v>
      </c>
      <c r="N416" s="47" t="s">
        <v>1802</v>
      </c>
      <c r="O416" s="48"/>
      <c r="P416" s="48"/>
      <c r="Q416" s="45"/>
      <c r="S416" s="1">
        <f t="shared" ref="S416:S481" si="303">IF(J416=$S$7,1,0)</f>
        <v>0</v>
      </c>
      <c r="T416" s="1">
        <f t="shared" ref="T416:T481" si="304">IF(J416=$T$7,1,0)</f>
        <v>0</v>
      </c>
      <c r="U416" s="1">
        <f t="shared" ref="U416:U481" si="305">IF(J416=$U$7,1,0)</f>
        <v>0</v>
      </c>
      <c r="V416" s="1">
        <f t="shared" ref="V416:V481" si="306">IF(J416=$V$7,1,0)</f>
        <v>0</v>
      </c>
      <c r="W416" s="1">
        <f t="shared" ref="W416:W481" si="307">IF(J416=$W$7,1,0)</f>
        <v>0</v>
      </c>
      <c r="X416" s="1">
        <f t="shared" ref="X416:X481" si="308">IF(J416=$X$7,1,0)</f>
        <v>0</v>
      </c>
      <c r="Y416" s="1">
        <f t="shared" ref="Y416:Y481" si="309">IF(J416=$Y$7,1,0)</f>
        <v>0</v>
      </c>
      <c r="Z416" s="1">
        <f t="shared" ref="Z416:Z481" si="310">IF(J416=$Z$7,1,0)</f>
        <v>0</v>
      </c>
      <c r="AA416" s="1">
        <f t="shared" ref="AA416:AA481" si="311">IF(J416=$AA$7,1,0)</f>
        <v>0</v>
      </c>
      <c r="AB416" s="1">
        <f t="shared" ref="AB416:AB481" si="312">IF(J416=$AB$7,1,0)</f>
        <v>0</v>
      </c>
      <c r="AD416" s="1">
        <f t="shared" ref="AD416:AD481" si="313">+O416*P416</f>
        <v>0</v>
      </c>
      <c r="AE416" s="1">
        <f t="shared" ref="AE416:AE481" si="314">O416*(1-P416)</f>
        <v>0</v>
      </c>
      <c r="AF416" s="1">
        <f t="shared" si="283"/>
        <v>0</v>
      </c>
      <c r="AG416" s="1">
        <f t="shared" si="284"/>
        <v>0</v>
      </c>
      <c r="AH416" s="1">
        <f t="shared" si="285"/>
        <v>0</v>
      </c>
      <c r="AI416" s="1">
        <f t="shared" si="286"/>
        <v>1</v>
      </c>
    </row>
    <row r="417" spans="1:35" s="1" customFormat="1" ht="14.25" customHeight="1" x14ac:dyDescent="0.25">
      <c r="A417" s="31">
        <v>0</v>
      </c>
      <c r="B417" s="31">
        <v>2</v>
      </c>
      <c r="C417" s="31">
        <v>7</v>
      </c>
      <c r="D417" s="32" t="s">
        <v>1806</v>
      </c>
      <c r="E417" s="32" t="s">
        <v>156</v>
      </c>
      <c r="F417" s="32" t="s">
        <v>1807</v>
      </c>
      <c r="G417" s="32"/>
      <c r="H417" s="32" t="s">
        <v>354</v>
      </c>
      <c r="I417" s="31" t="s">
        <v>1808</v>
      </c>
      <c r="J417" s="31">
        <v>99</v>
      </c>
      <c r="K417" s="33" t="s">
        <v>703</v>
      </c>
      <c r="L417" s="33"/>
      <c r="M417" s="34"/>
      <c r="N417" s="34" t="s">
        <v>1727</v>
      </c>
      <c r="O417" s="35">
        <v>1</v>
      </c>
      <c r="P417" s="35">
        <v>1</v>
      </c>
      <c r="Q417" s="32"/>
      <c r="S417" s="1">
        <f t="shared" si="303"/>
        <v>0</v>
      </c>
      <c r="T417" s="1">
        <f t="shared" si="304"/>
        <v>0</v>
      </c>
      <c r="U417" s="1">
        <f t="shared" si="305"/>
        <v>0</v>
      </c>
      <c r="V417" s="1">
        <f t="shared" si="306"/>
        <v>0</v>
      </c>
      <c r="W417" s="1">
        <f t="shared" si="307"/>
        <v>0</v>
      </c>
      <c r="X417" s="1">
        <f t="shared" si="308"/>
        <v>0</v>
      </c>
      <c r="Y417" s="1">
        <f t="shared" si="309"/>
        <v>0</v>
      </c>
      <c r="Z417" s="1">
        <f t="shared" si="310"/>
        <v>0</v>
      </c>
      <c r="AA417" s="1">
        <f t="shared" si="311"/>
        <v>0</v>
      </c>
      <c r="AB417" s="1">
        <f t="shared" si="312"/>
        <v>0</v>
      </c>
      <c r="AD417" s="1">
        <f t="shared" si="313"/>
        <v>1</v>
      </c>
      <c r="AE417" s="1">
        <f t="shared" si="314"/>
        <v>0</v>
      </c>
      <c r="AF417" s="1">
        <f t="shared" si="283"/>
        <v>1</v>
      </c>
      <c r="AG417" s="1">
        <f t="shared" si="284"/>
        <v>0</v>
      </c>
      <c r="AH417" s="1">
        <f t="shared" si="285"/>
        <v>1</v>
      </c>
      <c r="AI417" s="1">
        <f t="shared" si="286"/>
        <v>0</v>
      </c>
    </row>
    <row r="418" spans="1:35" s="1" customFormat="1" ht="14.25" customHeight="1" x14ac:dyDescent="0.25">
      <c r="A418" s="31">
        <v>0</v>
      </c>
      <c r="B418" s="31">
        <v>2</v>
      </c>
      <c r="C418" s="31">
        <v>7</v>
      </c>
      <c r="D418" s="32" t="s">
        <v>1178</v>
      </c>
      <c r="E418" s="32" t="s">
        <v>156</v>
      </c>
      <c r="F418" s="32" t="s">
        <v>1179</v>
      </c>
      <c r="G418" s="32" t="s">
        <v>293</v>
      </c>
      <c r="H418" s="32" t="s">
        <v>354</v>
      </c>
      <c r="I418" s="31" t="s">
        <v>1180</v>
      </c>
      <c r="J418" s="31">
        <v>99</v>
      </c>
      <c r="K418" s="33" t="s">
        <v>713</v>
      </c>
      <c r="L418" s="33" t="s">
        <v>722</v>
      </c>
      <c r="M418" s="34" t="s">
        <v>1434</v>
      </c>
      <c r="N418" s="34" t="s">
        <v>1748</v>
      </c>
      <c r="O418" s="35">
        <v>1</v>
      </c>
      <c r="P418" s="35"/>
      <c r="Q418" s="32"/>
      <c r="S418" s="1">
        <f t="shared" si="303"/>
        <v>0</v>
      </c>
      <c r="T418" s="1">
        <f t="shared" si="304"/>
        <v>0</v>
      </c>
      <c r="U418" s="1">
        <f t="shared" si="305"/>
        <v>0</v>
      </c>
      <c r="V418" s="1">
        <f t="shared" si="306"/>
        <v>0</v>
      </c>
      <c r="W418" s="1">
        <f t="shared" si="307"/>
        <v>0</v>
      </c>
      <c r="X418" s="1">
        <f t="shared" si="308"/>
        <v>0</v>
      </c>
      <c r="Y418" s="1">
        <f t="shared" si="309"/>
        <v>0</v>
      </c>
      <c r="Z418" s="1">
        <f t="shared" si="310"/>
        <v>0</v>
      </c>
      <c r="AA418" s="1">
        <f t="shared" si="311"/>
        <v>0</v>
      </c>
      <c r="AB418" s="1">
        <f t="shared" si="312"/>
        <v>0</v>
      </c>
      <c r="AD418" s="1">
        <f t="shared" si="313"/>
        <v>0</v>
      </c>
      <c r="AE418" s="1">
        <f t="shared" si="314"/>
        <v>1</v>
      </c>
      <c r="AF418" s="1">
        <f t="shared" si="283"/>
        <v>0</v>
      </c>
      <c r="AG418" s="1">
        <f t="shared" si="284"/>
        <v>1</v>
      </c>
      <c r="AH418" s="1">
        <f t="shared" si="285"/>
        <v>0</v>
      </c>
      <c r="AI418" s="1">
        <f t="shared" si="286"/>
        <v>1</v>
      </c>
    </row>
    <row r="419" spans="1:35" s="1" customFormat="1" ht="14.25" customHeight="1" x14ac:dyDescent="0.25">
      <c r="A419" s="31">
        <v>0</v>
      </c>
      <c r="B419" s="31">
        <v>2</v>
      </c>
      <c r="C419" s="31">
        <v>7</v>
      </c>
      <c r="D419" s="32" t="s">
        <v>1153</v>
      </c>
      <c r="E419" s="32" t="s">
        <v>1154</v>
      </c>
      <c r="F419" s="36" t="s">
        <v>1878</v>
      </c>
      <c r="G419" s="32" t="s">
        <v>628</v>
      </c>
      <c r="H419" s="32" t="s">
        <v>354</v>
      </c>
      <c r="I419" s="31" t="s">
        <v>1155</v>
      </c>
      <c r="J419" s="31">
        <v>99</v>
      </c>
      <c r="K419" s="33" t="s">
        <v>713</v>
      </c>
      <c r="L419" s="33" t="s">
        <v>713</v>
      </c>
      <c r="M419" s="34" t="s">
        <v>731</v>
      </c>
      <c r="N419" s="34" t="s">
        <v>1743</v>
      </c>
      <c r="O419" s="35">
        <v>1</v>
      </c>
      <c r="P419" s="35"/>
      <c r="Q419" s="36" t="s">
        <v>1898</v>
      </c>
      <c r="S419" s="1">
        <f t="shared" si="303"/>
        <v>0</v>
      </c>
      <c r="T419" s="1">
        <f t="shared" si="304"/>
        <v>0</v>
      </c>
      <c r="U419" s="1">
        <f t="shared" si="305"/>
        <v>0</v>
      </c>
      <c r="V419" s="1">
        <f t="shared" si="306"/>
        <v>0</v>
      </c>
      <c r="W419" s="1">
        <f t="shared" si="307"/>
        <v>0</v>
      </c>
      <c r="X419" s="1">
        <f t="shared" si="308"/>
        <v>0</v>
      </c>
      <c r="Y419" s="1">
        <f t="shared" si="309"/>
        <v>0</v>
      </c>
      <c r="Z419" s="1">
        <f t="shared" si="310"/>
        <v>0</v>
      </c>
      <c r="AA419" s="1">
        <f t="shared" si="311"/>
        <v>0</v>
      </c>
      <c r="AB419" s="1">
        <f t="shared" si="312"/>
        <v>0</v>
      </c>
      <c r="AD419" s="1">
        <f t="shared" si="313"/>
        <v>0</v>
      </c>
      <c r="AE419" s="1">
        <f t="shared" si="314"/>
        <v>1</v>
      </c>
      <c r="AF419" s="1">
        <f t="shared" si="283"/>
        <v>0</v>
      </c>
      <c r="AG419" s="1">
        <f t="shared" si="284"/>
        <v>1</v>
      </c>
      <c r="AH419" s="1">
        <f t="shared" si="285"/>
        <v>0</v>
      </c>
      <c r="AI419" s="1">
        <f t="shared" si="286"/>
        <v>1</v>
      </c>
    </row>
    <row r="420" spans="1:35" s="1" customFormat="1" ht="14.25" customHeight="1" x14ac:dyDescent="0.25">
      <c r="A420" s="31">
        <v>0</v>
      </c>
      <c r="B420" s="31">
        <v>2</v>
      </c>
      <c r="C420" s="31">
        <v>7</v>
      </c>
      <c r="D420" s="32" t="s">
        <v>542</v>
      </c>
      <c r="E420" s="32" t="s">
        <v>158</v>
      </c>
      <c r="F420" s="32" t="s">
        <v>195</v>
      </c>
      <c r="G420" s="32" t="s">
        <v>196</v>
      </c>
      <c r="H420" s="32" t="s">
        <v>354</v>
      </c>
      <c r="I420" s="31" t="s">
        <v>550</v>
      </c>
      <c r="J420" s="31">
        <v>99</v>
      </c>
      <c r="K420" s="33" t="s">
        <v>955</v>
      </c>
      <c r="L420" s="33" t="s">
        <v>696</v>
      </c>
      <c r="M420" s="34" t="s">
        <v>1436</v>
      </c>
      <c r="N420" s="34" t="s">
        <v>1748</v>
      </c>
      <c r="O420" s="35">
        <v>1</v>
      </c>
      <c r="P420" s="35"/>
      <c r="Q420" s="32"/>
      <c r="S420" s="1">
        <f t="shared" si="303"/>
        <v>0</v>
      </c>
      <c r="T420" s="1">
        <f t="shared" si="304"/>
        <v>0</v>
      </c>
      <c r="U420" s="1">
        <f t="shared" si="305"/>
        <v>0</v>
      </c>
      <c r="V420" s="1">
        <f t="shared" si="306"/>
        <v>0</v>
      </c>
      <c r="W420" s="1">
        <f t="shared" si="307"/>
        <v>0</v>
      </c>
      <c r="X420" s="1">
        <f t="shared" si="308"/>
        <v>0</v>
      </c>
      <c r="Y420" s="1">
        <f t="shared" si="309"/>
        <v>0</v>
      </c>
      <c r="Z420" s="1">
        <f t="shared" si="310"/>
        <v>0</v>
      </c>
      <c r="AA420" s="1">
        <f t="shared" si="311"/>
        <v>0</v>
      </c>
      <c r="AB420" s="1">
        <f t="shared" si="312"/>
        <v>0</v>
      </c>
      <c r="AD420" s="1">
        <f t="shared" si="313"/>
        <v>0</v>
      </c>
      <c r="AE420" s="1">
        <f t="shared" si="314"/>
        <v>1</v>
      </c>
      <c r="AF420" s="1">
        <f t="shared" si="283"/>
        <v>0</v>
      </c>
      <c r="AG420" s="1">
        <f t="shared" si="284"/>
        <v>1</v>
      </c>
      <c r="AH420" s="1">
        <f t="shared" si="285"/>
        <v>0</v>
      </c>
      <c r="AI420" s="1">
        <f t="shared" si="286"/>
        <v>1</v>
      </c>
    </row>
    <row r="421" spans="1:35" s="1" customFormat="1" ht="14.25" customHeight="1" x14ac:dyDescent="0.25">
      <c r="A421" s="15">
        <v>0</v>
      </c>
      <c r="B421" s="15">
        <v>2</v>
      </c>
      <c r="C421" s="15">
        <v>7</v>
      </c>
      <c r="D421" s="16" t="s">
        <v>46</v>
      </c>
      <c r="E421" s="16" t="s">
        <v>156</v>
      </c>
      <c r="F421" s="16" t="s">
        <v>183</v>
      </c>
      <c r="G421" s="16" t="s">
        <v>179</v>
      </c>
      <c r="H421" s="16" t="s">
        <v>354</v>
      </c>
      <c r="I421" s="15" t="s">
        <v>382</v>
      </c>
      <c r="J421" s="15">
        <v>10</v>
      </c>
      <c r="K421" s="10" t="s">
        <v>955</v>
      </c>
      <c r="L421" s="10" t="s">
        <v>722</v>
      </c>
      <c r="M421" s="19" t="s">
        <v>1434</v>
      </c>
      <c r="N421" s="19"/>
      <c r="Q421" s="16"/>
      <c r="S421" s="1">
        <f t="shared" si="303"/>
        <v>0</v>
      </c>
      <c r="T421" s="1">
        <f t="shared" si="304"/>
        <v>0</v>
      </c>
      <c r="U421" s="1">
        <f t="shared" si="305"/>
        <v>0</v>
      </c>
      <c r="V421" s="1">
        <f t="shared" si="306"/>
        <v>0</v>
      </c>
      <c r="W421" s="1">
        <f t="shared" si="307"/>
        <v>0</v>
      </c>
      <c r="X421" s="1">
        <f t="shared" si="308"/>
        <v>0</v>
      </c>
      <c r="Y421" s="1">
        <f t="shared" si="309"/>
        <v>0</v>
      </c>
      <c r="Z421" s="1">
        <f t="shared" si="310"/>
        <v>0</v>
      </c>
      <c r="AA421" s="1">
        <f t="shared" si="311"/>
        <v>0</v>
      </c>
      <c r="AB421" s="1">
        <f t="shared" si="312"/>
        <v>1</v>
      </c>
      <c r="AD421" s="1">
        <f t="shared" si="313"/>
        <v>0</v>
      </c>
      <c r="AE421" s="1">
        <f t="shared" si="314"/>
        <v>0</v>
      </c>
      <c r="AF421" s="1">
        <f t="shared" si="283"/>
        <v>0</v>
      </c>
      <c r="AG421" s="1">
        <f t="shared" si="284"/>
        <v>0</v>
      </c>
      <c r="AH421" s="1">
        <f t="shared" si="285"/>
        <v>0</v>
      </c>
      <c r="AI421" s="1">
        <f t="shared" si="286"/>
        <v>1</v>
      </c>
    </row>
    <row r="422" spans="1:35" s="1" customFormat="1" ht="14.25" customHeight="1" x14ac:dyDescent="0.25">
      <c r="A422" s="44">
        <v>0</v>
      </c>
      <c r="B422" s="44">
        <v>2</v>
      </c>
      <c r="C422" s="44">
        <v>7</v>
      </c>
      <c r="D422" s="45" t="s">
        <v>67</v>
      </c>
      <c r="E422" s="45" t="s">
        <v>28</v>
      </c>
      <c r="F422" s="45" t="s">
        <v>248</v>
      </c>
      <c r="G422" s="45" t="s">
        <v>249</v>
      </c>
      <c r="H422" s="45" t="s">
        <v>354</v>
      </c>
      <c r="I422" s="44" t="s">
        <v>411</v>
      </c>
      <c r="J422" s="44">
        <v>7</v>
      </c>
      <c r="K422" s="46" t="s">
        <v>713</v>
      </c>
      <c r="L422" s="46" t="s">
        <v>713</v>
      </c>
      <c r="M422" s="47" t="s">
        <v>731</v>
      </c>
      <c r="N422" s="47" t="s">
        <v>1734</v>
      </c>
      <c r="O422" s="48"/>
      <c r="P422" s="48"/>
      <c r="Q422" s="45"/>
      <c r="S422" s="1">
        <f t="shared" si="303"/>
        <v>0</v>
      </c>
      <c r="T422" s="1">
        <f t="shared" si="304"/>
        <v>0</v>
      </c>
      <c r="U422" s="1">
        <f t="shared" si="305"/>
        <v>0</v>
      </c>
      <c r="V422" s="1">
        <f t="shared" si="306"/>
        <v>0</v>
      </c>
      <c r="W422" s="1">
        <f t="shared" si="307"/>
        <v>0</v>
      </c>
      <c r="X422" s="1">
        <f t="shared" si="308"/>
        <v>0</v>
      </c>
      <c r="Y422" s="1">
        <f t="shared" si="309"/>
        <v>1</v>
      </c>
      <c r="Z422" s="1">
        <f t="shared" si="310"/>
        <v>0</v>
      </c>
      <c r="AA422" s="1">
        <f t="shared" si="311"/>
        <v>0</v>
      </c>
      <c r="AB422" s="1">
        <f t="shared" si="312"/>
        <v>0</v>
      </c>
      <c r="AD422" s="1">
        <f t="shared" si="313"/>
        <v>0</v>
      </c>
      <c r="AE422" s="1">
        <f t="shared" si="314"/>
        <v>0</v>
      </c>
      <c r="AF422" s="1">
        <f t="shared" si="283"/>
        <v>0</v>
      </c>
      <c r="AG422" s="1">
        <f t="shared" si="284"/>
        <v>0</v>
      </c>
      <c r="AH422" s="1">
        <f t="shared" si="285"/>
        <v>0</v>
      </c>
      <c r="AI422" s="1">
        <f t="shared" si="286"/>
        <v>1</v>
      </c>
    </row>
    <row r="423" spans="1:35" s="1" customFormat="1" ht="14.25" customHeight="1" x14ac:dyDescent="0.25">
      <c r="A423" s="44">
        <v>1</v>
      </c>
      <c r="B423" s="44">
        <v>2</v>
      </c>
      <c r="C423" s="44">
        <v>7</v>
      </c>
      <c r="D423" s="45" t="s">
        <v>67</v>
      </c>
      <c r="E423" s="45" t="s">
        <v>28</v>
      </c>
      <c r="F423" s="45" t="s">
        <v>1039</v>
      </c>
      <c r="G423" s="45" t="s">
        <v>539</v>
      </c>
      <c r="H423" s="45" t="s">
        <v>354</v>
      </c>
      <c r="I423" s="44" t="s">
        <v>30</v>
      </c>
      <c r="J423" s="44">
        <v>1</v>
      </c>
      <c r="K423" s="46" t="s">
        <v>713</v>
      </c>
      <c r="L423" s="46" t="s">
        <v>713</v>
      </c>
      <c r="M423" s="47" t="s">
        <v>731</v>
      </c>
      <c r="N423" s="47" t="s">
        <v>1734</v>
      </c>
      <c r="O423" s="48"/>
      <c r="P423" s="48"/>
      <c r="Q423" s="45"/>
      <c r="S423" s="1">
        <f t="shared" si="303"/>
        <v>1</v>
      </c>
      <c r="T423" s="1">
        <f t="shared" si="304"/>
        <v>0</v>
      </c>
      <c r="U423" s="1">
        <f t="shared" si="305"/>
        <v>0</v>
      </c>
      <c r="V423" s="1">
        <f t="shared" si="306"/>
        <v>0</v>
      </c>
      <c r="W423" s="1">
        <f t="shared" si="307"/>
        <v>0</v>
      </c>
      <c r="X423" s="1">
        <f t="shared" si="308"/>
        <v>0</v>
      </c>
      <c r="Y423" s="1">
        <f t="shared" si="309"/>
        <v>0</v>
      </c>
      <c r="Z423" s="1">
        <f t="shared" si="310"/>
        <v>0</v>
      </c>
      <c r="AA423" s="1">
        <f t="shared" si="311"/>
        <v>0</v>
      </c>
      <c r="AB423" s="1">
        <f t="shared" si="312"/>
        <v>0</v>
      </c>
      <c r="AD423" s="1">
        <f t="shared" si="313"/>
        <v>0</v>
      </c>
      <c r="AE423" s="1">
        <f t="shared" si="314"/>
        <v>0</v>
      </c>
      <c r="AF423" s="1">
        <f t="shared" si="283"/>
        <v>0</v>
      </c>
      <c r="AG423" s="1">
        <f t="shared" si="284"/>
        <v>0</v>
      </c>
      <c r="AH423" s="1">
        <f t="shared" si="285"/>
        <v>0</v>
      </c>
      <c r="AI423" s="1">
        <f t="shared" si="286"/>
        <v>0</v>
      </c>
    </row>
    <row r="424" spans="1:35" s="1" customFormat="1" ht="14.25" customHeight="1" x14ac:dyDescent="0.25">
      <c r="A424" s="44">
        <v>1</v>
      </c>
      <c r="B424" s="44">
        <v>2</v>
      </c>
      <c r="C424" s="44">
        <v>7</v>
      </c>
      <c r="D424" s="45" t="s">
        <v>67</v>
      </c>
      <c r="E424" s="45" t="s">
        <v>28</v>
      </c>
      <c r="F424" s="45" t="s">
        <v>250</v>
      </c>
      <c r="G424" s="45" t="s">
        <v>200</v>
      </c>
      <c r="H424" s="45" t="s">
        <v>354</v>
      </c>
      <c r="I424" s="44" t="s">
        <v>412</v>
      </c>
      <c r="J424" s="44">
        <v>2</v>
      </c>
      <c r="K424" s="46" t="s">
        <v>713</v>
      </c>
      <c r="L424" s="46" t="s">
        <v>713</v>
      </c>
      <c r="M424" s="47" t="s">
        <v>731</v>
      </c>
      <c r="N424" s="47" t="s">
        <v>1734</v>
      </c>
      <c r="O424" s="48"/>
      <c r="P424" s="48"/>
      <c r="Q424" s="45"/>
      <c r="S424" s="1">
        <f t="shared" si="303"/>
        <v>0</v>
      </c>
      <c r="T424" s="1">
        <f t="shared" si="304"/>
        <v>1</v>
      </c>
      <c r="U424" s="1">
        <f t="shared" si="305"/>
        <v>0</v>
      </c>
      <c r="V424" s="1">
        <f t="shared" si="306"/>
        <v>0</v>
      </c>
      <c r="W424" s="1">
        <f t="shared" si="307"/>
        <v>0</v>
      </c>
      <c r="X424" s="1">
        <f t="shared" si="308"/>
        <v>0</v>
      </c>
      <c r="Y424" s="1">
        <f t="shared" si="309"/>
        <v>0</v>
      </c>
      <c r="Z424" s="1">
        <f t="shared" si="310"/>
        <v>0</v>
      </c>
      <c r="AA424" s="1">
        <f t="shared" si="311"/>
        <v>0</v>
      </c>
      <c r="AB424" s="1">
        <f t="shared" si="312"/>
        <v>0</v>
      </c>
      <c r="AD424" s="1">
        <f t="shared" si="313"/>
        <v>0</v>
      </c>
      <c r="AE424" s="1">
        <f t="shared" si="314"/>
        <v>0</v>
      </c>
      <c r="AF424" s="1">
        <f t="shared" si="283"/>
        <v>0</v>
      </c>
      <c r="AG424" s="1">
        <f t="shared" si="284"/>
        <v>0</v>
      </c>
      <c r="AH424" s="1">
        <f t="shared" si="285"/>
        <v>0</v>
      </c>
      <c r="AI424" s="1">
        <f t="shared" si="286"/>
        <v>0</v>
      </c>
    </row>
    <row r="425" spans="1:35" s="1" customFormat="1" ht="14.25" customHeight="1" x14ac:dyDescent="0.25">
      <c r="A425" s="44">
        <v>1</v>
      </c>
      <c r="B425" s="44">
        <v>2</v>
      </c>
      <c r="C425" s="44">
        <v>7</v>
      </c>
      <c r="D425" s="45" t="s">
        <v>67</v>
      </c>
      <c r="E425" s="45" t="s">
        <v>28</v>
      </c>
      <c r="F425" s="45" t="s">
        <v>247</v>
      </c>
      <c r="G425" s="45" t="s">
        <v>1351</v>
      </c>
      <c r="H425" s="45" t="s">
        <v>354</v>
      </c>
      <c r="I425" s="44" t="s">
        <v>30</v>
      </c>
      <c r="J425" s="44">
        <v>1</v>
      </c>
      <c r="K425" s="46" t="s">
        <v>713</v>
      </c>
      <c r="L425" s="46" t="s">
        <v>713</v>
      </c>
      <c r="M425" s="47" t="s">
        <v>731</v>
      </c>
      <c r="N425" s="47" t="s">
        <v>1734</v>
      </c>
      <c r="O425" s="48"/>
      <c r="P425" s="48"/>
      <c r="Q425" s="45" t="s">
        <v>1917</v>
      </c>
      <c r="S425" s="1">
        <f t="shared" si="303"/>
        <v>1</v>
      </c>
      <c r="T425" s="1">
        <f t="shared" si="304"/>
        <v>0</v>
      </c>
      <c r="U425" s="1">
        <f t="shared" si="305"/>
        <v>0</v>
      </c>
      <c r="V425" s="1">
        <f t="shared" si="306"/>
        <v>0</v>
      </c>
      <c r="W425" s="1">
        <f t="shared" si="307"/>
        <v>0</v>
      </c>
      <c r="X425" s="1">
        <f t="shared" si="308"/>
        <v>0</v>
      </c>
      <c r="Y425" s="1">
        <f t="shared" si="309"/>
        <v>0</v>
      </c>
      <c r="Z425" s="1">
        <f t="shared" si="310"/>
        <v>0</v>
      </c>
      <c r="AA425" s="1">
        <f t="shared" si="311"/>
        <v>0</v>
      </c>
      <c r="AB425" s="1">
        <f t="shared" si="312"/>
        <v>0</v>
      </c>
      <c r="AD425" s="1">
        <f t="shared" si="313"/>
        <v>0</v>
      </c>
      <c r="AE425" s="1">
        <f t="shared" si="314"/>
        <v>0</v>
      </c>
      <c r="AF425" s="1">
        <f t="shared" si="283"/>
        <v>0</v>
      </c>
      <c r="AG425" s="1">
        <f t="shared" si="284"/>
        <v>0</v>
      </c>
      <c r="AH425" s="1">
        <f t="shared" si="285"/>
        <v>0</v>
      </c>
      <c r="AI425" s="1">
        <f t="shared" si="286"/>
        <v>0</v>
      </c>
    </row>
    <row r="426" spans="1:35" s="1" customFormat="1" ht="14.25" customHeight="1" x14ac:dyDescent="0.25">
      <c r="A426" s="44">
        <v>1</v>
      </c>
      <c r="B426" s="44">
        <v>2</v>
      </c>
      <c r="C426" s="44">
        <v>7</v>
      </c>
      <c r="D426" s="45" t="s">
        <v>67</v>
      </c>
      <c r="E426" s="45" t="s">
        <v>28</v>
      </c>
      <c r="F426" s="45" t="s">
        <v>252</v>
      </c>
      <c r="G426" s="45" t="s">
        <v>194</v>
      </c>
      <c r="H426" s="45" t="s">
        <v>354</v>
      </c>
      <c r="I426" s="44" t="s">
        <v>413</v>
      </c>
      <c r="J426" s="44">
        <v>9</v>
      </c>
      <c r="K426" s="46" t="s">
        <v>713</v>
      </c>
      <c r="L426" s="46" t="s">
        <v>713</v>
      </c>
      <c r="M426" s="47" t="s">
        <v>731</v>
      </c>
      <c r="N426" s="47" t="s">
        <v>1734</v>
      </c>
      <c r="O426" s="48"/>
      <c r="P426" s="48"/>
      <c r="Q426" s="45"/>
      <c r="S426" s="1">
        <f t="shared" si="303"/>
        <v>0</v>
      </c>
      <c r="T426" s="1">
        <f t="shared" si="304"/>
        <v>0</v>
      </c>
      <c r="U426" s="1">
        <f t="shared" si="305"/>
        <v>0</v>
      </c>
      <c r="V426" s="1">
        <f t="shared" si="306"/>
        <v>0</v>
      </c>
      <c r="W426" s="1">
        <f t="shared" si="307"/>
        <v>0</v>
      </c>
      <c r="X426" s="1">
        <f t="shared" si="308"/>
        <v>0</v>
      </c>
      <c r="Y426" s="1">
        <f t="shared" si="309"/>
        <v>0</v>
      </c>
      <c r="Z426" s="1">
        <f t="shared" si="310"/>
        <v>0</v>
      </c>
      <c r="AA426" s="1">
        <f t="shared" si="311"/>
        <v>1</v>
      </c>
      <c r="AB426" s="1">
        <f t="shared" si="312"/>
        <v>0</v>
      </c>
      <c r="AD426" s="1">
        <f t="shared" si="313"/>
        <v>0</v>
      </c>
      <c r="AE426" s="1">
        <f t="shared" si="314"/>
        <v>0</v>
      </c>
      <c r="AF426" s="1">
        <f t="shared" si="283"/>
        <v>0</v>
      </c>
      <c r="AG426" s="1">
        <f t="shared" si="284"/>
        <v>0</v>
      </c>
      <c r="AH426" s="1">
        <f t="shared" si="285"/>
        <v>0</v>
      </c>
      <c r="AI426" s="1">
        <f t="shared" si="286"/>
        <v>0</v>
      </c>
    </row>
    <row r="427" spans="1:35" s="1" customFormat="1" ht="14.25" customHeight="1" x14ac:dyDescent="0.25">
      <c r="A427" s="44">
        <v>0</v>
      </c>
      <c r="B427" s="44">
        <v>2</v>
      </c>
      <c r="C427" s="44">
        <v>7</v>
      </c>
      <c r="D427" s="45" t="s">
        <v>1023</v>
      </c>
      <c r="E427" s="45" t="s">
        <v>28</v>
      </c>
      <c r="F427" s="45" t="s">
        <v>1024</v>
      </c>
      <c r="G427" s="45" t="s">
        <v>194</v>
      </c>
      <c r="H427" s="45" t="s">
        <v>354</v>
      </c>
      <c r="I427" s="44" t="s">
        <v>1025</v>
      </c>
      <c r="J427" s="44">
        <v>9</v>
      </c>
      <c r="K427" s="46" t="s">
        <v>712</v>
      </c>
      <c r="L427" s="46" t="s">
        <v>713</v>
      </c>
      <c r="M427" s="47" t="s">
        <v>731</v>
      </c>
      <c r="N427" s="47" t="s">
        <v>1735</v>
      </c>
      <c r="O427" s="48"/>
      <c r="P427" s="48"/>
      <c r="Q427" s="45"/>
      <c r="S427" s="1">
        <f t="shared" si="303"/>
        <v>0</v>
      </c>
      <c r="T427" s="1">
        <f t="shared" si="304"/>
        <v>0</v>
      </c>
      <c r="U427" s="1">
        <f t="shared" si="305"/>
        <v>0</v>
      </c>
      <c r="V427" s="1">
        <f t="shared" si="306"/>
        <v>0</v>
      </c>
      <c r="W427" s="1">
        <f t="shared" si="307"/>
        <v>0</v>
      </c>
      <c r="X427" s="1">
        <f t="shared" si="308"/>
        <v>0</v>
      </c>
      <c r="Y427" s="1">
        <f t="shared" si="309"/>
        <v>0</v>
      </c>
      <c r="Z427" s="1">
        <f t="shared" si="310"/>
        <v>0</v>
      </c>
      <c r="AA427" s="1">
        <f t="shared" si="311"/>
        <v>1</v>
      </c>
      <c r="AB427" s="1">
        <f t="shared" si="312"/>
        <v>0</v>
      </c>
      <c r="AD427" s="1">
        <f t="shared" si="313"/>
        <v>0</v>
      </c>
      <c r="AE427" s="1">
        <f t="shared" si="314"/>
        <v>0</v>
      </c>
      <c r="AF427" s="1">
        <f t="shared" si="283"/>
        <v>0</v>
      </c>
      <c r="AG427" s="1">
        <f t="shared" si="284"/>
        <v>0</v>
      </c>
      <c r="AH427" s="1">
        <f t="shared" si="285"/>
        <v>0</v>
      </c>
      <c r="AI427" s="1">
        <f t="shared" si="286"/>
        <v>1</v>
      </c>
    </row>
    <row r="428" spans="1:35" s="1" customFormat="1" ht="14.25" customHeight="1" x14ac:dyDescent="0.25">
      <c r="A428" s="31">
        <v>0</v>
      </c>
      <c r="B428" s="31">
        <v>2</v>
      </c>
      <c r="C428" s="31">
        <v>7</v>
      </c>
      <c r="D428" s="32" t="s">
        <v>1833</v>
      </c>
      <c r="E428" s="32" t="s">
        <v>1834</v>
      </c>
      <c r="F428" s="32" t="s">
        <v>1835</v>
      </c>
      <c r="G428" s="32" t="s">
        <v>207</v>
      </c>
      <c r="H428" s="32" t="s">
        <v>354</v>
      </c>
      <c r="I428" s="31" t="s">
        <v>30</v>
      </c>
      <c r="J428" s="31"/>
      <c r="K428" s="33" t="s">
        <v>703</v>
      </c>
      <c r="L428" s="33">
        <v>20</v>
      </c>
      <c r="M428" s="34" t="s">
        <v>1836</v>
      </c>
      <c r="N428" s="34" t="s">
        <v>1743</v>
      </c>
      <c r="O428" s="35">
        <v>1</v>
      </c>
      <c r="P428" s="35"/>
      <c r="Q428" s="32"/>
      <c r="S428" s="1">
        <f t="shared" si="303"/>
        <v>0</v>
      </c>
      <c r="T428" s="1">
        <f t="shared" si="304"/>
        <v>0</v>
      </c>
      <c r="U428" s="1">
        <f t="shared" si="305"/>
        <v>0</v>
      </c>
      <c r="V428" s="1">
        <f t="shared" si="306"/>
        <v>0</v>
      </c>
      <c r="W428" s="1">
        <f t="shared" si="307"/>
        <v>0</v>
      </c>
      <c r="X428" s="1">
        <f t="shared" si="308"/>
        <v>0</v>
      </c>
      <c r="Y428" s="1">
        <f t="shared" si="309"/>
        <v>0</v>
      </c>
      <c r="Z428" s="1">
        <f t="shared" si="310"/>
        <v>0</v>
      </c>
      <c r="AA428" s="1">
        <f t="shared" si="311"/>
        <v>0</v>
      </c>
      <c r="AB428" s="1">
        <f t="shared" si="312"/>
        <v>0</v>
      </c>
      <c r="AD428" s="1">
        <f t="shared" si="313"/>
        <v>0</v>
      </c>
      <c r="AE428" s="1">
        <f t="shared" si="314"/>
        <v>1</v>
      </c>
      <c r="AF428" s="1">
        <f t="shared" si="283"/>
        <v>0</v>
      </c>
      <c r="AG428" s="1">
        <f t="shared" si="284"/>
        <v>1</v>
      </c>
      <c r="AH428" s="1">
        <f t="shared" si="285"/>
        <v>0</v>
      </c>
      <c r="AI428" s="1">
        <f t="shared" si="286"/>
        <v>1</v>
      </c>
    </row>
    <row r="429" spans="1:35" s="1" customFormat="1" ht="14.25" customHeight="1" x14ac:dyDescent="0.25">
      <c r="A429" s="49">
        <v>0</v>
      </c>
      <c r="B429" s="49">
        <v>2</v>
      </c>
      <c r="C429" s="49">
        <v>7</v>
      </c>
      <c r="D429" s="50" t="s">
        <v>1079</v>
      </c>
      <c r="E429" s="50" t="s">
        <v>544</v>
      </c>
      <c r="F429" s="50" t="s">
        <v>1060</v>
      </c>
      <c r="G429" s="50" t="s">
        <v>238</v>
      </c>
      <c r="H429" s="50" t="s">
        <v>354</v>
      </c>
      <c r="I429" s="49" t="s">
        <v>1061</v>
      </c>
      <c r="J429" s="49">
        <v>99</v>
      </c>
      <c r="K429" s="51" t="s">
        <v>955</v>
      </c>
      <c r="L429" s="51" t="s">
        <v>722</v>
      </c>
      <c r="M429" s="52" t="s">
        <v>1437</v>
      </c>
      <c r="N429" s="52" t="s">
        <v>1743</v>
      </c>
      <c r="O429" s="53">
        <v>1</v>
      </c>
      <c r="P429" s="53"/>
      <c r="Q429" s="50"/>
      <c r="S429" s="1">
        <f t="shared" ref="S429:S433" si="315">IF(J429=$S$7,1,0)</f>
        <v>0</v>
      </c>
      <c r="T429" s="1">
        <f t="shared" ref="T429:T433" si="316">IF(J429=$T$7,1,0)</f>
        <v>0</v>
      </c>
      <c r="U429" s="1">
        <f t="shared" ref="U429:U433" si="317">IF(J429=$U$7,1,0)</f>
        <v>0</v>
      </c>
      <c r="V429" s="1">
        <f t="shared" ref="V429:V433" si="318">IF(J429=$V$7,1,0)</f>
        <v>0</v>
      </c>
      <c r="W429" s="1">
        <f t="shared" ref="W429:W433" si="319">IF(J429=$W$7,1,0)</f>
        <v>0</v>
      </c>
      <c r="X429" s="1">
        <f t="shared" ref="X429:X433" si="320">IF(J429=$X$7,1,0)</f>
        <v>0</v>
      </c>
      <c r="Y429" s="1">
        <f t="shared" ref="Y429:Y433" si="321">IF(J429=$Y$7,1,0)</f>
        <v>0</v>
      </c>
      <c r="Z429" s="1">
        <f t="shared" ref="Z429:Z433" si="322">IF(J429=$Z$7,1,0)</f>
        <v>0</v>
      </c>
      <c r="AA429" s="1">
        <f t="shared" ref="AA429:AA433" si="323">IF(J429=$AA$7,1,0)</f>
        <v>0</v>
      </c>
      <c r="AB429" s="1">
        <f t="shared" ref="AB429:AB433" si="324">IF(J429=$AB$7,1,0)</f>
        <v>0</v>
      </c>
      <c r="AD429" s="1">
        <f t="shared" ref="AD429:AD433" si="325">+O429*P429</f>
        <v>0</v>
      </c>
      <c r="AE429" s="1">
        <f t="shared" ref="AE429:AE433" si="326">O429*(1-P429)</f>
        <v>1</v>
      </c>
      <c r="AF429" s="1">
        <f t="shared" ref="AF429:AF433" si="327">+O429*P429*(1-A429)</f>
        <v>0</v>
      </c>
      <c r="AG429" s="1">
        <f t="shared" ref="AG429:AG433" si="328">O429*(1-P429)*(1-A429)</f>
        <v>1</v>
      </c>
      <c r="AH429" s="1">
        <f t="shared" ref="AH429:AH433" si="329">+P429*(1-A429)</f>
        <v>0</v>
      </c>
      <c r="AI429" s="1">
        <f t="shared" ref="AI429:AI433" si="330">+(1-A429)*(1-P429)</f>
        <v>1</v>
      </c>
    </row>
    <row r="430" spans="1:35" s="1" customFormat="1" ht="14.25" customHeight="1" x14ac:dyDescent="0.25">
      <c r="A430" s="31">
        <v>0</v>
      </c>
      <c r="B430" s="31">
        <v>2</v>
      </c>
      <c r="C430" s="31">
        <v>7</v>
      </c>
      <c r="D430" s="32" t="s">
        <v>1226</v>
      </c>
      <c r="E430" s="32" t="s">
        <v>156</v>
      </c>
      <c r="F430" s="32" t="s">
        <v>1227</v>
      </c>
      <c r="G430" s="32" t="s">
        <v>251</v>
      </c>
      <c r="H430" s="32" t="s">
        <v>354</v>
      </c>
      <c r="I430" s="31" t="s">
        <v>1228</v>
      </c>
      <c r="J430" s="31">
        <v>99</v>
      </c>
      <c r="K430" s="33" t="s">
        <v>713</v>
      </c>
      <c r="L430" s="33">
        <v>10</v>
      </c>
      <c r="M430" s="34" t="s">
        <v>1746</v>
      </c>
      <c r="N430" s="34" t="s">
        <v>1727</v>
      </c>
      <c r="O430" s="35">
        <v>1</v>
      </c>
      <c r="P430" s="35">
        <v>1</v>
      </c>
      <c r="Q430" s="32"/>
      <c r="S430" s="1">
        <f t="shared" si="315"/>
        <v>0</v>
      </c>
      <c r="T430" s="1">
        <f t="shared" si="316"/>
        <v>0</v>
      </c>
      <c r="U430" s="1">
        <f t="shared" si="317"/>
        <v>0</v>
      </c>
      <c r="V430" s="1">
        <f t="shared" si="318"/>
        <v>0</v>
      </c>
      <c r="W430" s="1">
        <f t="shared" si="319"/>
        <v>0</v>
      </c>
      <c r="X430" s="1">
        <f t="shared" si="320"/>
        <v>0</v>
      </c>
      <c r="Y430" s="1">
        <f t="shared" si="321"/>
        <v>0</v>
      </c>
      <c r="Z430" s="1">
        <f t="shared" si="322"/>
        <v>0</v>
      </c>
      <c r="AA430" s="1">
        <f t="shared" si="323"/>
        <v>0</v>
      </c>
      <c r="AB430" s="1">
        <f t="shared" si="324"/>
        <v>0</v>
      </c>
      <c r="AD430" s="1">
        <f t="shared" si="325"/>
        <v>1</v>
      </c>
      <c r="AE430" s="1">
        <f t="shared" si="326"/>
        <v>0</v>
      </c>
      <c r="AF430" s="1">
        <f t="shared" si="327"/>
        <v>1</v>
      </c>
      <c r="AG430" s="1">
        <f t="shared" si="328"/>
        <v>0</v>
      </c>
      <c r="AH430" s="1">
        <f t="shared" si="329"/>
        <v>1</v>
      </c>
      <c r="AI430" s="1">
        <f t="shared" si="330"/>
        <v>0</v>
      </c>
    </row>
    <row r="431" spans="1:35" s="1" customFormat="1" ht="14.25" customHeight="1" x14ac:dyDescent="0.25">
      <c r="A431" s="31">
        <v>0</v>
      </c>
      <c r="B431" s="31">
        <v>2</v>
      </c>
      <c r="C431" s="31">
        <v>7</v>
      </c>
      <c r="D431" s="36" t="s">
        <v>1803</v>
      </c>
      <c r="E431" s="36" t="s">
        <v>28</v>
      </c>
      <c r="F431" s="36" t="s">
        <v>1804</v>
      </c>
      <c r="G431" s="36" t="s">
        <v>180</v>
      </c>
      <c r="H431" s="36" t="s">
        <v>354</v>
      </c>
      <c r="I431" s="37" t="s">
        <v>1805</v>
      </c>
      <c r="J431" s="31">
        <v>10</v>
      </c>
      <c r="K431" s="33" t="s">
        <v>703</v>
      </c>
      <c r="L431" s="33">
        <v>10</v>
      </c>
      <c r="M431" s="34"/>
      <c r="N431" s="34" t="s">
        <v>1727</v>
      </c>
      <c r="O431" s="35">
        <v>1</v>
      </c>
      <c r="P431" s="35">
        <v>1</v>
      </c>
      <c r="Q431" s="36"/>
      <c r="S431" s="1">
        <f t="shared" si="315"/>
        <v>0</v>
      </c>
      <c r="T431" s="1">
        <f t="shared" si="316"/>
        <v>0</v>
      </c>
      <c r="U431" s="1">
        <f t="shared" si="317"/>
        <v>0</v>
      </c>
      <c r="V431" s="1">
        <f t="shared" si="318"/>
        <v>0</v>
      </c>
      <c r="W431" s="1">
        <f t="shared" si="319"/>
        <v>0</v>
      </c>
      <c r="X431" s="1">
        <f t="shared" si="320"/>
        <v>0</v>
      </c>
      <c r="Y431" s="1">
        <f t="shared" si="321"/>
        <v>0</v>
      </c>
      <c r="Z431" s="1">
        <f t="shared" si="322"/>
        <v>0</v>
      </c>
      <c r="AA431" s="1">
        <f t="shared" si="323"/>
        <v>0</v>
      </c>
      <c r="AB431" s="1">
        <f t="shared" si="324"/>
        <v>1</v>
      </c>
      <c r="AD431" s="1">
        <f t="shared" si="325"/>
        <v>1</v>
      </c>
      <c r="AE431" s="1">
        <f t="shared" si="326"/>
        <v>0</v>
      </c>
      <c r="AF431" s="1">
        <f t="shared" si="327"/>
        <v>1</v>
      </c>
      <c r="AG431" s="1">
        <f t="shared" si="328"/>
        <v>0</v>
      </c>
      <c r="AH431" s="1">
        <f t="shared" si="329"/>
        <v>1</v>
      </c>
      <c r="AI431" s="1">
        <f t="shared" si="330"/>
        <v>0</v>
      </c>
    </row>
    <row r="432" spans="1:35" s="1" customFormat="1" ht="14.25" customHeight="1" x14ac:dyDescent="0.25">
      <c r="A432" s="37">
        <v>0</v>
      </c>
      <c r="B432" s="37">
        <v>2</v>
      </c>
      <c r="C432" s="37">
        <v>7</v>
      </c>
      <c r="D432" s="36" t="s">
        <v>1585</v>
      </c>
      <c r="E432" s="36" t="s">
        <v>1651</v>
      </c>
      <c r="F432" s="36" t="s">
        <v>1586</v>
      </c>
      <c r="G432" s="36" t="s">
        <v>656</v>
      </c>
      <c r="H432" s="36" t="s">
        <v>354</v>
      </c>
      <c r="I432" s="37" t="s">
        <v>1587</v>
      </c>
      <c r="J432" s="37">
        <v>99</v>
      </c>
      <c r="K432" s="33" t="s">
        <v>713</v>
      </c>
      <c r="L432" s="33" t="s">
        <v>39</v>
      </c>
      <c r="M432" s="34" t="s">
        <v>39</v>
      </c>
      <c r="N432" s="34" t="s">
        <v>1727</v>
      </c>
      <c r="O432" s="35">
        <v>1</v>
      </c>
      <c r="P432" s="35">
        <v>1</v>
      </c>
      <c r="Q432" s="36"/>
      <c r="S432" s="1">
        <f t="shared" si="315"/>
        <v>0</v>
      </c>
      <c r="T432" s="1">
        <f t="shared" si="316"/>
        <v>0</v>
      </c>
      <c r="U432" s="1">
        <f t="shared" si="317"/>
        <v>0</v>
      </c>
      <c r="V432" s="1">
        <f t="shared" si="318"/>
        <v>0</v>
      </c>
      <c r="W432" s="1">
        <f t="shared" si="319"/>
        <v>0</v>
      </c>
      <c r="X432" s="1">
        <f t="shared" si="320"/>
        <v>0</v>
      </c>
      <c r="Y432" s="1">
        <f t="shared" si="321"/>
        <v>0</v>
      </c>
      <c r="Z432" s="1">
        <f t="shared" si="322"/>
        <v>0</v>
      </c>
      <c r="AA432" s="1">
        <f t="shared" si="323"/>
        <v>0</v>
      </c>
      <c r="AB432" s="1">
        <f t="shared" si="324"/>
        <v>0</v>
      </c>
      <c r="AD432" s="1">
        <f t="shared" si="325"/>
        <v>1</v>
      </c>
      <c r="AE432" s="1">
        <f t="shared" si="326"/>
        <v>0</v>
      </c>
      <c r="AF432" s="1">
        <f t="shared" si="327"/>
        <v>1</v>
      </c>
      <c r="AG432" s="1">
        <f t="shared" si="328"/>
        <v>0</v>
      </c>
      <c r="AH432" s="1">
        <f t="shared" si="329"/>
        <v>1</v>
      </c>
      <c r="AI432" s="1">
        <f t="shared" si="330"/>
        <v>0</v>
      </c>
    </row>
    <row r="433" spans="1:35" s="1" customFormat="1" ht="14.25" customHeight="1" x14ac:dyDescent="0.25">
      <c r="A433" s="44">
        <v>0</v>
      </c>
      <c r="B433" s="44">
        <v>2</v>
      </c>
      <c r="C433" s="44">
        <v>7</v>
      </c>
      <c r="D433" s="45" t="s">
        <v>1537</v>
      </c>
      <c r="E433" s="45" t="s">
        <v>28</v>
      </c>
      <c r="F433" s="45" t="s">
        <v>1662</v>
      </c>
      <c r="G433" s="45" t="s">
        <v>287</v>
      </c>
      <c r="H433" s="45" t="s">
        <v>354</v>
      </c>
      <c r="I433" s="44" t="s">
        <v>1688</v>
      </c>
      <c r="J433" s="44">
        <v>99</v>
      </c>
      <c r="K433" s="46" t="s">
        <v>713</v>
      </c>
      <c r="L433" s="46" t="s">
        <v>713</v>
      </c>
      <c r="M433" s="47" t="s">
        <v>731</v>
      </c>
      <c r="N433" s="47" t="s">
        <v>1735</v>
      </c>
      <c r="O433" s="48"/>
      <c r="P433" s="48"/>
      <c r="Q433" s="45"/>
      <c r="S433" s="1">
        <f t="shared" si="315"/>
        <v>0</v>
      </c>
      <c r="T433" s="1">
        <f t="shared" si="316"/>
        <v>0</v>
      </c>
      <c r="U433" s="1">
        <f t="shared" si="317"/>
        <v>0</v>
      </c>
      <c r="V433" s="1">
        <f t="shared" si="318"/>
        <v>0</v>
      </c>
      <c r="W433" s="1">
        <f t="shared" si="319"/>
        <v>0</v>
      </c>
      <c r="X433" s="1">
        <f t="shared" si="320"/>
        <v>0</v>
      </c>
      <c r="Y433" s="1">
        <f t="shared" si="321"/>
        <v>0</v>
      </c>
      <c r="Z433" s="1">
        <f t="shared" si="322"/>
        <v>0</v>
      </c>
      <c r="AA433" s="1">
        <f t="shared" si="323"/>
        <v>0</v>
      </c>
      <c r="AB433" s="1">
        <f t="shared" si="324"/>
        <v>0</v>
      </c>
      <c r="AD433" s="1">
        <f t="shared" si="325"/>
        <v>0</v>
      </c>
      <c r="AE433" s="1">
        <f t="shared" si="326"/>
        <v>0</v>
      </c>
      <c r="AF433" s="1">
        <f t="shared" si="327"/>
        <v>0</v>
      </c>
      <c r="AG433" s="1">
        <f t="shared" si="328"/>
        <v>0</v>
      </c>
      <c r="AH433" s="1">
        <f t="shared" si="329"/>
        <v>0</v>
      </c>
      <c r="AI433" s="1">
        <f t="shared" si="330"/>
        <v>1</v>
      </c>
    </row>
    <row r="434" spans="1:35" s="1" customFormat="1" ht="14.25" customHeight="1" x14ac:dyDescent="0.25">
      <c r="A434" s="44">
        <v>0</v>
      </c>
      <c r="B434" s="44">
        <v>2</v>
      </c>
      <c r="C434" s="44">
        <v>7</v>
      </c>
      <c r="D434" s="45" t="s">
        <v>1328</v>
      </c>
      <c r="E434" s="45" t="s">
        <v>28</v>
      </c>
      <c r="F434" s="45" t="s">
        <v>572</v>
      </c>
      <c r="G434" s="45" t="s">
        <v>181</v>
      </c>
      <c r="H434" s="45" t="s">
        <v>354</v>
      </c>
      <c r="I434" s="44" t="s">
        <v>430</v>
      </c>
      <c r="J434" s="44">
        <v>7</v>
      </c>
      <c r="K434" s="46" t="s">
        <v>712</v>
      </c>
      <c r="L434" s="46" t="s">
        <v>713</v>
      </c>
      <c r="M434" s="47" t="s">
        <v>731</v>
      </c>
      <c r="N434" s="47" t="s">
        <v>1735</v>
      </c>
      <c r="O434" s="48"/>
      <c r="P434" s="48"/>
      <c r="Q434" s="45"/>
      <c r="S434" s="1">
        <f t="shared" si="303"/>
        <v>0</v>
      </c>
      <c r="T434" s="1">
        <f t="shared" si="304"/>
        <v>0</v>
      </c>
      <c r="U434" s="1">
        <f t="shared" si="305"/>
        <v>0</v>
      </c>
      <c r="V434" s="1">
        <f t="shared" si="306"/>
        <v>0</v>
      </c>
      <c r="W434" s="1">
        <f t="shared" si="307"/>
        <v>0</v>
      </c>
      <c r="X434" s="1">
        <f t="shared" si="308"/>
        <v>0</v>
      </c>
      <c r="Y434" s="1">
        <f t="shared" si="309"/>
        <v>1</v>
      </c>
      <c r="Z434" s="1">
        <f t="shared" si="310"/>
        <v>0</v>
      </c>
      <c r="AA434" s="1">
        <f t="shared" si="311"/>
        <v>0</v>
      </c>
      <c r="AB434" s="1">
        <f t="shared" si="312"/>
        <v>0</v>
      </c>
      <c r="AD434" s="1">
        <f t="shared" si="313"/>
        <v>0</v>
      </c>
      <c r="AE434" s="1">
        <f t="shared" si="314"/>
        <v>0</v>
      </c>
      <c r="AF434" s="1">
        <f t="shared" si="283"/>
        <v>0</v>
      </c>
      <c r="AG434" s="1">
        <f t="shared" si="284"/>
        <v>0</v>
      </c>
      <c r="AH434" s="1">
        <f t="shared" si="285"/>
        <v>0</v>
      </c>
      <c r="AI434" s="1">
        <f t="shared" si="286"/>
        <v>1</v>
      </c>
    </row>
    <row r="435" spans="1:35" s="1" customFormat="1" ht="14.25" customHeight="1" x14ac:dyDescent="0.25">
      <c r="A435" s="44">
        <v>0</v>
      </c>
      <c r="B435" s="44">
        <v>2</v>
      </c>
      <c r="C435" s="44">
        <v>7</v>
      </c>
      <c r="D435" s="45" t="s">
        <v>72</v>
      </c>
      <c r="E435" s="45" t="s">
        <v>28</v>
      </c>
      <c r="F435" s="65" t="s">
        <v>1875</v>
      </c>
      <c r="G435" s="45" t="s">
        <v>235</v>
      </c>
      <c r="H435" s="45" t="s">
        <v>354</v>
      </c>
      <c r="I435" s="44" t="s">
        <v>680</v>
      </c>
      <c r="J435" s="44">
        <v>99</v>
      </c>
      <c r="K435" s="46" t="s">
        <v>713</v>
      </c>
      <c r="L435" s="46" t="s">
        <v>713</v>
      </c>
      <c r="M435" s="47" t="s">
        <v>731</v>
      </c>
      <c r="N435" s="47" t="s">
        <v>1735</v>
      </c>
      <c r="O435" s="48"/>
      <c r="P435" s="48"/>
      <c r="Q435" s="45"/>
      <c r="S435" s="1">
        <f t="shared" si="303"/>
        <v>0</v>
      </c>
      <c r="T435" s="1">
        <f t="shared" si="304"/>
        <v>0</v>
      </c>
      <c r="U435" s="1">
        <f t="shared" si="305"/>
        <v>0</v>
      </c>
      <c r="V435" s="1">
        <f t="shared" si="306"/>
        <v>0</v>
      </c>
      <c r="W435" s="1">
        <f t="shared" si="307"/>
        <v>0</v>
      </c>
      <c r="X435" s="1">
        <f t="shared" si="308"/>
        <v>0</v>
      </c>
      <c r="Y435" s="1">
        <f t="shared" si="309"/>
        <v>0</v>
      </c>
      <c r="Z435" s="1">
        <f t="shared" si="310"/>
        <v>0</v>
      </c>
      <c r="AA435" s="1">
        <f t="shared" si="311"/>
        <v>0</v>
      </c>
      <c r="AB435" s="1">
        <f t="shared" si="312"/>
        <v>0</v>
      </c>
      <c r="AD435" s="1">
        <f t="shared" si="313"/>
        <v>0</v>
      </c>
      <c r="AE435" s="1">
        <f t="shared" si="314"/>
        <v>0</v>
      </c>
      <c r="AF435" s="1">
        <f t="shared" si="283"/>
        <v>0</v>
      </c>
      <c r="AG435" s="1">
        <f t="shared" si="284"/>
        <v>0</v>
      </c>
      <c r="AH435" s="1">
        <f t="shared" si="285"/>
        <v>0</v>
      </c>
      <c r="AI435" s="1">
        <f t="shared" si="286"/>
        <v>1</v>
      </c>
    </row>
    <row r="436" spans="1:35" s="1" customFormat="1" ht="14.25" customHeight="1" x14ac:dyDescent="0.25">
      <c r="A436" s="44">
        <v>1</v>
      </c>
      <c r="B436" s="44">
        <v>2</v>
      </c>
      <c r="C436" s="44">
        <v>7</v>
      </c>
      <c r="D436" s="45" t="s">
        <v>72</v>
      </c>
      <c r="E436" s="45" t="s">
        <v>28</v>
      </c>
      <c r="F436" s="45" t="s">
        <v>261</v>
      </c>
      <c r="G436" s="45" t="s">
        <v>220</v>
      </c>
      <c r="H436" s="45" t="s">
        <v>354</v>
      </c>
      <c r="I436" s="44" t="s">
        <v>420</v>
      </c>
      <c r="J436" s="44">
        <v>8</v>
      </c>
      <c r="K436" s="46" t="s">
        <v>713</v>
      </c>
      <c r="L436" s="46" t="s">
        <v>713</v>
      </c>
      <c r="M436" s="47" t="s">
        <v>731</v>
      </c>
      <c r="N436" s="47" t="s">
        <v>1735</v>
      </c>
      <c r="O436" s="48"/>
      <c r="P436" s="48"/>
      <c r="Q436" s="45"/>
      <c r="S436" s="1">
        <f t="shared" si="303"/>
        <v>0</v>
      </c>
      <c r="T436" s="1">
        <f t="shared" si="304"/>
        <v>0</v>
      </c>
      <c r="U436" s="1">
        <f t="shared" si="305"/>
        <v>0</v>
      </c>
      <c r="V436" s="1">
        <f t="shared" si="306"/>
        <v>0</v>
      </c>
      <c r="W436" s="1">
        <f t="shared" si="307"/>
        <v>0</v>
      </c>
      <c r="X436" s="1">
        <f t="shared" si="308"/>
        <v>0</v>
      </c>
      <c r="Y436" s="1">
        <f t="shared" si="309"/>
        <v>0</v>
      </c>
      <c r="Z436" s="1">
        <f t="shared" si="310"/>
        <v>1</v>
      </c>
      <c r="AA436" s="1">
        <f t="shared" si="311"/>
        <v>0</v>
      </c>
      <c r="AB436" s="1">
        <f t="shared" si="312"/>
        <v>0</v>
      </c>
      <c r="AD436" s="1">
        <f t="shared" si="313"/>
        <v>0</v>
      </c>
      <c r="AE436" s="1">
        <f t="shared" si="314"/>
        <v>0</v>
      </c>
      <c r="AF436" s="1">
        <f t="shared" si="283"/>
        <v>0</v>
      </c>
      <c r="AG436" s="1">
        <f t="shared" si="284"/>
        <v>0</v>
      </c>
      <c r="AH436" s="1">
        <f t="shared" si="285"/>
        <v>0</v>
      </c>
      <c r="AI436" s="1">
        <f t="shared" si="286"/>
        <v>0</v>
      </c>
    </row>
    <row r="437" spans="1:35" s="1" customFormat="1" ht="14.25" customHeight="1" x14ac:dyDescent="0.25">
      <c r="A437" s="44">
        <v>1</v>
      </c>
      <c r="B437" s="44">
        <v>2</v>
      </c>
      <c r="C437" s="44">
        <v>7</v>
      </c>
      <c r="D437" s="45" t="s">
        <v>72</v>
      </c>
      <c r="E437" s="45" t="s">
        <v>28</v>
      </c>
      <c r="F437" s="45" t="s">
        <v>260</v>
      </c>
      <c r="G437" s="45" t="s">
        <v>178</v>
      </c>
      <c r="H437" s="45" t="s">
        <v>354</v>
      </c>
      <c r="I437" s="44" t="s">
        <v>419</v>
      </c>
      <c r="J437" s="44">
        <v>1</v>
      </c>
      <c r="K437" s="46" t="s">
        <v>713</v>
      </c>
      <c r="L437" s="46" t="s">
        <v>713</v>
      </c>
      <c r="M437" s="47" t="s">
        <v>731</v>
      </c>
      <c r="N437" s="47" t="s">
        <v>1735</v>
      </c>
      <c r="O437" s="48"/>
      <c r="P437" s="48"/>
      <c r="Q437" s="45"/>
      <c r="S437" s="1">
        <f t="shared" si="303"/>
        <v>1</v>
      </c>
      <c r="T437" s="1">
        <f t="shared" si="304"/>
        <v>0</v>
      </c>
      <c r="U437" s="1">
        <f t="shared" si="305"/>
        <v>0</v>
      </c>
      <c r="V437" s="1">
        <f t="shared" si="306"/>
        <v>0</v>
      </c>
      <c r="W437" s="1">
        <f t="shared" si="307"/>
        <v>0</v>
      </c>
      <c r="X437" s="1">
        <f t="shared" si="308"/>
        <v>0</v>
      </c>
      <c r="Y437" s="1">
        <f t="shared" si="309"/>
        <v>0</v>
      </c>
      <c r="Z437" s="1">
        <f t="shared" si="310"/>
        <v>0</v>
      </c>
      <c r="AA437" s="1">
        <f t="shared" si="311"/>
        <v>0</v>
      </c>
      <c r="AB437" s="1">
        <f t="shared" si="312"/>
        <v>0</v>
      </c>
      <c r="AD437" s="1">
        <f t="shared" si="313"/>
        <v>0</v>
      </c>
      <c r="AE437" s="1">
        <f t="shared" si="314"/>
        <v>0</v>
      </c>
      <c r="AF437" s="1">
        <f t="shared" si="283"/>
        <v>0</v>
      </c>
      <c r="AG437" s="1">
        <f t="shared" si="284"/>
        <v>0</v>
      </c>
      <c r="AH437" s="1">
        <f t="shared" si="285"/>
        <v>0</v>
      </c>
      <c r="AI437" s="1">
        <f t="shared" si="286"/>
        <v>0</v>
      </c>
    </row>
    <row r="438" spans="1:35" s="1" customFormat="1" ht="14.25" customHeight="1" x14ac:dyDescent="0.25">
      <c r="A438" s="15">
        <v>0</v>
      </c>
      <c r="B438" s="15">
        <v>2</v>
      </c>
      <c r="C438" s="15">
        <v>7</v>
      </c>
      <c r="D438" s="16" t="s">
        <v>778</v>
      </c>
      <c r="E438" s="16" t="s">
        <v>28</v>
      </c>
      <c r="F438" s="16" t="s">
        <v>779</v>
      </c>
      <c r="G438" s="16" t="s">
        <v>279</v>
      </c>
      <c r="H438" s="16" t="s">
        <v>354</v>
      </c>
      <c r="I438" s="15" t="s">
        <v>780</v>
      </c>
      <c r="J438" s="15">
        <v>99</v>
      </c>
      <c r="K438" s="10" t="s">
        <v>713</v>
      </c>
      <c r="L438" s="10" t="s">
        <v>713</v>
      </c>
      <c r="M438" s="19" t="s">
        <v>731</v>
      </c>
      <c r="N438" s="17"/>
      <c r="Q438" s="16"/>
      <c r="S438" s="1">
        <f t="shared" si="303"/>
        <v>0</v>
      </c>
      <c r="T438" s="1">
        <f t="shared" si="304"/>
        <v>0</v>
      </c>
      <c r="U438" s="1">
        <f t="shared" si="305"/>
        <v>0</v>
      </c>
      <c r="V438" s="1">
        <f t="shared" si="306"/>
        <v>0</v>
      </c>
      <c r="W438" s="1">
        <f t="shared" si="307"/>
        <v>0</v>
      </c>
      <c r="X438" s="1">
        <f t="shared" si="308"/>
        <v>0</v>
      </c>
      <c r="Y438" s="1">
        <f t="shared" si="309"/>
        <v>0</v>
      </c>
      <c r="Z438" s="1">
        <f t="shared" si="310"/>
        <v>0</v>
      </c>
      <c r="AA438" s="1">
        <f t="shared" si="311"/>
        <v>0</v>
      </c>
      <c r="AB438" s="1">
        <f t="shared" si="312"/>
        <v>0</v>
      </c>
      <c r="AD438" s="1">
        <f t="shared" si="313"/>
        <v>0</v>
      </c>
      <c r="AE438" s="1">
        <f t="shared" si="314"/>
        <v>0</v>
      </c>
      <c r="AF438" s="1">
        <f t="shared" si="283"/>
        <v>0</v>
      </c>
      <c r="AG438" s="1">
        <f t="shared" si="284"/>
        <v>0</v>
      </c>
      <c r="AH438" s="1">
        <f t="shared" si="285"/>
        <v>0</v>
      </c>
      <c r="AI438" s="1">
        <f t="shared" si="286"/>
        <v>1</v>
      </c>
    </row>
    <row r="439" spans="1:35" s="1" customFormat="1" ht="14.25" customHeight="1" x14ac:dyDescent="0.25">
      <c r="A439" s="15">
        <v>0</v>
      </c>
      <c r="B439" s="15">
        <v>2</v>
      </c>
      <c r="C439" s="15">
        <v>7</v>
      </c>
      <c r="D439" s="16" t="s">
        <v>85</v>
      </c>
      <c r="E439" s="16" t="s">
        <v>28</v>
      </c>
      <c r="F439" s="16" t="s">
        <v>278</v>
      </c>
      <c r="G439" s="16" t="s">
        <v>279</v>
      </c>
      <c r="H439" s="16" t="s">
        <v>354</v>
      </c>
      <c r="I439" s="15" t="s">
        <v>434</v>
      </c>
      <c r="J439" s="15">
        <v>99</v>
      </c>
      <c r="K439" s="10" t="s">
        <v>713</v>
      </c>
      <c r="L439" s="10" t="s">
        <v>713</v>
      </c>
      <c r="M439" s="19" t="s">
        <v>731</v>
      </c>
      <c r="N439" s="17"/>
      <c r="Q439" s="16"/>
      <c r="S439" s="1">
        <f t="shared" si="303"/>
        <v>0</v>
      </c>
      <c r="T439" s="1">
        <f t="shared" si="304"/>
        <v>0</v>
      </c>
      <c r="U439" s="1">
        <f t="shared" si="305"/>
        <v>0</v>
      </c>
      <c r="V439" s="1">
        <f t="shared" si="306"/>
        <v>0</v>
      </c>
      <c r="W439" s="1">
        <f t="shared" si="307"/>
        <v>0</v>
      </c>
      <c r="X439" s="1">
        <f t="shared" si="308"/>
        <v>0</v>
      </c>
      <c r="Y439" s="1">
        <f t="shared" si="309"/>
        <v>0</v>
      </c>
      <c r="Z439" s="1">
        <f t="shared" si="310"/>
        <v>0</v>
      </c>
      <c r="AA439" s="1">
        <f t="shared" si="311"/>
        <v>0</v>
      </c>
      <c r="AB439" s="1">
        <f t="shared" si="312"/>
        <v>0</v>
      </c>
      <c r="AD439" s="1">
        <f t="shared" si="313"/>
        <v>0</v>
      </c>
      <c r="AE439" s="1">
        <f t="shared" si="314"/>
        <v>0</v>
      </c>
      <c r="AF439" s="1">
        <f t="shared" si="283"/>
        <v>0</v>
      </c>
      <c r="AG439" s="1">
        <f t="shared" si="284"/>
        <v>0</v>
      </c>
      <c r="AH439" s="1">
        <f t="shared" si="285"/>
        <v>0</v>
      </c>
      <c r="AI439" s="1">
        <f t="shared" si="286"/>
        <v>1</v>
      </c>
    </row>
    <row r="440" spans="1:35" s="1" customFormat="1" ht="14.25" customHeight="1" x14ac:dyDescent="0.25">
      <c r="A440" s="37">
        <v>0</v>
      </c>
      <c r="B440" s="37">
        <v>2</v>
      </c>
      <c r="C440" s="37">
        <v>7</v>
      </c>
      <c r="D440" s="36" t="s">
        <v>1937</v>
      </c>
      <c r="E440" s="36" t="s">
        <v>28</v>
      </c>
      <c r="F440" s="36" t="s">
        <v>1938</v>
      </c>
      <c r="G440" s="36" t="s">
        <v>185</v>
      </c>
      <c r="H440" s="36" t="s">
        <v>354</v>
      </c>
      <c r="I440" s="37" t="s">
        <v>1939</v>
      </c>
      <c r="J440" s="37">
        <v>99</v>
      </c>
      <c r="K440" s="33" t="s">
        <v>703</v>
      </c>
      <c r="L440" s="33">
        <v>4</v>
      </c>
      <c r="M440" s="34" t="s">
        <v>731</v>
      </c>
      <c r="N440" s="34" t="s">
        <v>1743</v>
      </c>
      <c r="O440" s="35">
        <v>1</v>
      </c>
      <c r="P440" s="35"/>
      <c r="Q440" s="36" t="s">
        <v>1940</v>
      </c>
      <c r="S440" s="1">
        <f t="shared" si="303"/>
        <v>0</v>
      </c>
      <c r="T440" s="1">
        <f t="shared" si="304"/>
        <v>0</v>
      </c>
      <c r="U440" s="1">
        <f t="shared" si="305"/>
        <v>0</v>
      </c>
      <c r="V440" s="1">
        <f t="shared" si="306"/>
        <v>0</v>
      </c>
      <c r="W440" s="1">
        <f t="shared" si="307"/>
        <v>0</v>
      </c>
      <c r="X440" s="1">
        <f t="shared" si="308"/>
        <v>0</v>
      </c>
      <c r="Y440" s="1">
        <f t="shared" si="309"/>
        <v>0</v>
      </c>
      <c r="Z440" s="1">
        <f t="shared" si="310"/>
        <v>0</v>
      </c>
      <c r="AA440" s="1">
        <f t="shared" si="311"/>
        <v>0</v>
      </c>
      <c r="AB440" s="1">
        <f t="shared" si="312"/>
        <v>0</v>
      </c>
      <c r="AD440" s="1">
        <f t="shared" si="313"/>
        <v>0</v>
      </c>
      <c r="AE440" s="1">
        <f t="shared" si="314"/>
        <v>1</v>
      </c>
      <c r="AF440" s="1">
        <f t="shared" si="283"/>
        <v>0</v>
      </c>
      <c r="AG440" s="1">
        <f t="shared" si="284"/>
        <v>1</v>
      </c>
      <c r="AH440" s="1">
        <f t="shared" si="285"/>
        <v>0</v>
      </c>
      <c r="AI440" s="1">
        <f t="shared" si="286"/>
        <v>1</v>
      </c>
    </row>
    <row r="441" spans="1:35" s="1" customFormat="1" ht="14.25" customHeight="1" x14ac:dyDescent="0.25">
      <c r="A441" s="44">
        <v>0</v>
      </c>
      <c r="B441" s="44">
        <v>2</v>
      </c>
      <c r="C441" s="44">
        <v>7</v>
      </c>
      <c r="D441" s="45" t="s">
        <v>553</v>
      </c>
      <c r="E441" s="45" t="s">
        <v>28</v>
      </c>
      <c r="F441" s="65" t="s">
        <v>1876</v>
      </c>
      <c r="G441" s="45" t="s">
        <v>556</v>
      </c>
      <c r="H441" s="45" t="s">
        <v>354</v>
      </c>
      <c r="I441" s="44" t="s">
        <v>557</v>
      </c>
      <c r="J441" s="44">
        <v>99</v>
      </c>
      <c r="K441" s="46" t="s">
        <v>713</v>
      </c>
      <c r="L441" s="46" t="s">
        <v>713</v>
      </c>
      <c r="M441" s="47" t="s">
        <v>731</v>
      </c>
      <c r="N441" s="47" t="s">
        <v>1802</v>
      </c>
      <c r="O441" s="48"/>
      <c r="P441" s="48"/>
      <c r="Q441" s="45"/>
      <c r="S441" s="1">
        <f t="shared" si="303"/>
        <v>0</v>
      </c>
      <c r="T441" s="1">
        <f t="shared" si="304"/>
        <v>0</v>
      </c>
      <c r="U441" s="1">
        <f t="shared" si="305"/>
        <v>0</v>
      </c>
      <c r="V441" s="1">
        <f t="shared" si="306"/>
        <v>0</v>
      </c>
      <c r="W441" s="1">
        <f t="shared" si="307"/>
        <v>0</v>
      </c>
      <c r="X441" s="1">
        <f t="shared" si="308"/>
        <v>0</v>
      </c>
      <c r="Y441" s="1">
        <f t="shared" si="309"/>
        <v>0</v>
      </c>
      <c r="Z441" s="1">
        <f t="shared" si="310"/>
        <v>0</v>
      </c>
      <c r="AA441" s="1">
        <f t="shared" si="311"/>
        <v>0</v>
      </c>
      <c r="AB441" s="1">
        <f t="shared" si="312"/>
        <v>0</v>
      </c>
      <c r="AD441" s="1">
        <f t="shared" si="313"/>
        <v>0</v>
      </c>
      <c r="AE441" s="1">
        <f t="shared" si="314"/>
        <v>0</v>
      </c>
      <c r="AF441" s="1">
        <f t="shared" si="283"/>
        <v>0</v>
      </c>
      <c r="AG441" s="1">
        <f t="shared" si="284"/>
        <v>0</v>
      </c>
      <c r="AH441" s="1">
        <f t="shared" si="285"/>
        <v>0</v>
      </c>
      <c r="AI441" s="1">
        <f t="shared" si="286"/>
        <v>1</v>
      </c>
    </row>
    <row r="442" spans="1:35" s="1" customFormat="1" ht="14.25" customHeight="1" x14ac:dyDescent="0.25">
      <c r="A442" s="44">
        <v>1</v>
      </c>
      <c r="B442" s="44">
        <v>2</v>
      </c>
      <c r="C442" s="44">
        <v>7</v>
      </c>
      <c r="D442" s="45" t="s">
        <v>553</v>
      </c>
      <c r="E442" s="45" t="s">
        <v>28</v>
      </c>
      <c r="F442" s="65" t="s">
        <v>1877</v>
      </c>
      <c r="G442" s="45" t="s">
        <v>554</v>
      </c>
      <c r="H442" s="45" t="s">
        <v>354</v>
      </c>
      <c r="I442" s="44" t="s">
        <v>555</v>
      </c>
      <c r="J442" s="44">
        <v>99</v>
      </c>
      <c r="K442" s="46" t="s">
        <v>713</v>
      </c>
      <c r="L442" s="46" t="s">
        <v>713</v>
      </c>
      <c r="M442" s="47" t="s">
        <v>731</v>
      </c>
      <c r="N442" s="47" t="s">
        <v>1802</v>
      </c>
      <c r="O442" s="48"/>
      <c r="P442" s="48"/>
      <c r="Q442" s="45"/>
      <c r="S442" s="1">
        <f t="shared" si="303"/>
        <v>0</v>
      </c>
      <c r="T442" s="1">
        <f t="shared" si="304"/>
        <v>0</v>
      </c>
      <c r="U442" s="1">
        <f t="shared" si="305"/>
        <v>0</v>
      </c>
      <c r="V442" s="1">
        <f t="shared" si="306"/>
        <v>0</v>
      </c>
      <c r="W442" s="1">
        <f t="shared" si="307"/>
        <v>0</v>
      </c>
      <c r="X442" s="1">
        <f t="shared" si="308"/>
        <v>0</v>
      </c>
      <c r="Y442" s="1">
        <f t="shared" si="309"/>
        <v>0</v>
      </c>
      <c r="Z442" s="1">
        <f t="shared" si="310"/>
        <v>0</v>
      </c>
      <c r="AA442" s="1">
        <f t="shared" si="311"/>
        <v>0</v>
      </c>
      <c r="AB442" s="1">
        <f t="shared" si="312"/>
        <v>0</v>
      </c>
      <c r="AD442" s="1">
        <f t="shared" si="313"/>
        <v>0</v>
      </c>
      <c r="AE442" s="1">
        <f t="shared" si="314"/>
        <v>0</v>
      </c>
      <c r="AF442" s="1">
        <f t="shared" si="283"/>
        <v>0</v>
      </c>
      <c r="AG442" s="1">
        <f t="shared" si="284"/>
        <v>0</v>
      </c>
      <c r="AH442" s="1">
        <f t="shared" si="285"/>
        <v>0</v>
      </c>
      <c r="AI442" s="1">
        <f t="shared" si="286"/>
        <v>0</v>
      </c>
    </row>
    <row r="443" spans="1:35" s="1" customFormat="1" ht="14.25" customHeight="1" x14ac:dyDescent="0.25">
      <c r="A443" s="44">
        <v>0</v>
      </c>
      <c r="B443" s="44">
        <v>2</v>
      </c>
      <c r="C443" s="44">
        <v>7</v>
      </c>
      <c r="D443" s="45" t="s">
        <v>1185</v>
      </c>
      <c r="E443" s="45" t="s">
        <v>28</v>
      </c>
      <c r="F443" s="45" t="s">
        <v>1678</v>
      </c>
      <c r="G443" s="45" t="s">
        <v>235</v>
      </c>
      <c r="H443" s="45" t="s">
        <v>354</v>
      </c>
      <c r="I443" s="44" t="s">
        <v>1366</v>
      </c>
      <c r="J443" s="44">
        <v>99</v>
      </c>
      <c r="K443" s="46" t="s">
        <v>712</v>
      </c>
      <c r="L443" s="46" t="s">
        <v>713</v>
      </c>
      <c r="M443" s="47" t="s">
        <v>731</v>
      </c>
      <c r="N443" s="47" t="s">
        <v>1735</v>
      </c>
      <c r="O443" s="48"/>
      <c r="P443" s="48"/>
      <c r="Q443" s="45"/>
      <c r="S443" s="1">
        <f t="shared" si="303"/>
        <v>0</v>
      </c>
      <c r="T443" s="1">
        <f t="shared" si="304"/>
        <v>0</v>
      </c>
      <c r="U443" s="1">
        <f t="shared" si="305"/>
        <v>0</v>
      </c>
      <c r="V443" s="1">
        <f t="shared" si="306"/>
        <v>0</v>
      </c>
      <c r="W443" s="1">
        <f t="shared" si="307"/>
        <v>0</v>
      </c>
      <c r="X443" s="1">
        <f t="shared" si="308"/>
        <v>0</v>
      </c>
      <c r="Y443" s="1">
        <f t="shared" si="309"/>
        <v>0</v>
      </c>
      <c r="Z443" s="1">
        <f t="shared" si="310"/>
        <v>0</v>
      </c>
      <c r="AA443" s="1">
        <f t="shared" si="311"/>
        <v>0</v>
      </c>
      <c r="AB443" s="1">
        <f t="shared" si="312"/>
        <v>0</v>
      </c>
      <c r="AD443" s="1">
        <f t="shared" si="313"/>
        <v>0</v>
      </c>
      <c r="AE443" s="1">
        <f t="shared" si="314"/>
        <v>0</v>
      </c>
      <c r="AF443" s="1">
        <f t="shared" si="283"/>
        <v>0</v>
      </c>
      <c r="AG443" s="1">
        <f t="shared" si="284"/>
        <v>0</v>
      </c>
      <c r="AH443" s="1">
        <f t="shared" si="285"/>
        <v>0</v>
      </c>
      <c r="AI443" s="1">
        <f t="shared" si="286"/>
        <v>1</v>
      </c>
    </row>
    <row r="444" spans="1:35" s="1" customFormat="1" ht="14.25" customHeight="1" x14ac:dyDescent="0.25">
      <c r="A444" s="44">
        <v>1</v>
      </c>
      <c r="B444" s="44">
        <v>2</v>
      </c>
      <c r="C444" s="44">
        <v>7</v>
      </c>
      <c r="D444" s="45" t="s">
        <v>1185</v>
      </c>
      <c r="E444" s="45" t="s">
        <v>28</v>
      </c>
      <c r="F444" s="45" t="s">
        <v>1679</v>
      </c>
      <c r="G444" s="45" t="s">
        <v>1352</v>
      </c>
      <c r="H444" s="45" t="s">
        <v>354</v>
      </c>
      <c r="I444" s="44" t="s">
        <v>1367</v>
      </c>
      <c r="J444" s="44">
        <v>99</v>
      </c>
      <c r="K444" s="46" t="s">
        <v>712</v>
      </c>
      <c r="L444" s="46" t="s">
        <v>713</v>
      </c>
      <c r="M444" s="47" t="s">
        <v>731</v>
      </c>
      <c r="N444" s="47" t="s">
        <v>1735</v>
      </c>
      <c r="O444" s="48"/>
      <c r="P444" s="48"/>
      <c r="Q444" s="45"/>
      <c r="S444" s="1">
        <f t="shared" si="303"/>
        <v>0</v>
      </c>
      <c r="T444" s="1">
        <f t="shared" si="304"/>
        <v>0</v>
      </c>
      <c r="U444" s="1">
        <f t="shared" si="305"/>
        <v>0</v>
      </c>
      <c r="V444" s="1">
        <f t="shared" si="306"/>
        <v>0</v>
      </c>
      <c r="W444" s="1">
        <f t="shared" si="307"/>
        <v>0</v>
      </c>
      <c r="X444" s="1">
        <f t="shared" si="308"/>
        <v>0</v>
      </c>
      <c r="Y444" s="1">
        <f t="shared" si="309"/>
        <v>0</v>
      </c>
      <c r="Z444" s="1">
        <f t="shared" si="310"/>
        <v>0</v>
      </c>
      <c r="AA444" s="1">
        <f t="shared" si="311"/>
        <v>0</v>
      </c>
      <c r="AB444" s="1">
        <f t="shared" si="312"/>
        <v>0</v>
      </c>
      <c r="AD444" s="1">
        <f t="shared" si="313"/>
        <v>0</v>
      </c>
      <c r="AE444" s="1">
        <f t="shared" si="314"/>
        <v>0</v>
      </c>
      <c r="AF444" s="1">
        <f t="shared" si="283"/>
        <v>0</v>
      </c>
      <c r="AG444" s="1">
        <f t="shared" si="284"/>
        <v>0</v>
      </c>
      <c r="AH444" s="1">
        <f t="shared" si="285"/>
        <v>0</v>
      </c>
      <c r="AI444" s="1">
        <f t="shared" si="286"/>
        <v>0</v>
      </c>
    </row>
    <row r="445" spans="1:35" s="1" customFormat="1" ht="14.25" customHeight="1" x14ac:dyDescent="0.25">
      <c r="A445" s="31">
        <v>0</v>
      </c>
      <c r="B445" s="31">
        <v>2</v>
      </c>
      <c r="C445" s="31">
        <v>7</v>
      </c>
      <c r="D445" s="32" t="s">
        <v>1253</v>
      </c>
      <c r="E445" s="32" t="s">
        <v>28</v>
      </c>
      <c r="F445" s="32" t="s">
        <v>1252</v>
      </c>
      <c r="G445" s="32" t="s">
        <v>1237</v>
      </c>
      <c r="H445" s="32" t="s">
        <v>354</v>
      </c>
      <c r="I445" s="31" t="s">
        <v>1254</v>
      </c>
      <c r="J445" s="31">
        <v>99</v>
      </c>
      <c r="K445" s="33" t="s">
        <v>703</v>
      </c>
      <c r="L445" s="33" t="s">
        <v>713</v>
      </c>
      <c r="M445" s="34" t="s">
        <v>731</v>
      </c>
      <c r="N445" s="34" t="s">
        <v>1743</v>
      </c>
      <c r="O445" s="35">
        <v>1</v>
      </c>
      <c r="P445" s="35"/>
      <c r="Q445" s="32"/>
      <c r="S445" s="1">
        <f t="shared" si="303"/>
        <v>0</v>
      </c>
      <c r="T445" s="1">
        <f t="shared" si="304"/>
        <v>0</v>
      </c>
      <c r="U445" s="1">
        <f t="shared" si="305"/>
        <v>0</v>
      </c>
      <c r="V445" s="1">
        <f t="shared" si="306"/>
        <v>0</v>
      </c>
      <c r="W445" s="1">
        <f t="shared" si="307"/>
        <v>0</v>
      </c>
      <c r="X445" s="1">
        <f t="shared" si="308"/>
        <v>0</v>
      </c>
      <c r="Y445" s="1">
        <f t="shared" si="309"/>
        <v>0</v>
      </c>
      <c r="Z445" s="1">
        <f t="shared" si="310"/>
        <v>0</v>
      </c>
      <c r="AA445" s="1">
        <f t="shared" si="311"/>
        <v>0</v>
      </c>
      <c r="AB445" s="1">
        <f t="shared" si="312"/>
        <v>0</v>
      </c>
      <c r="AD445" s="1">
        <f t="shared" si="313"/>
        <v>0</v>
      </c>
      <c r="AE445" s="1">
        <f t="shared" si="314"/>
        <v>1</v>
      </c>
      <c r="AF445" s="1">
        <f t="shared" si="283"/>
        <v>0</v>
      </c>
      <c r="AG445" s="1">
        <f t="shared" si="284"/>
        <v>1</v>
      </c>
      <c r="AH445" s="1">
        <f t="shared" si="285"/>
        <v>0</v>
      </c>
      <c r="AI445" s="1">
        <f t="shared" si="286"/>
        <v>1</v>
      </c>
    </row>
    <row r="446" spans="1:35" s="1" customFormat="1" ht="14.25" customHeight="1" x14ac:dyDescent="0.25">
      <c r="A446" s="31">
        <v>1</v>
      </c>
      <c r="B446" s="31">
        <v>2</v>
      </c>
      <c r="C446" s="31">
        <v>7</v>
      </c>
      <c r="D446" s="32" t="s">
        <v>1253</v>
      </c>
      <c r="E446" s="32" t="s">
        <v>28</v>
      </c>
      <c r="F446" s="32" t="s">
        <v>1251</v>
      </c>
      <c r="G446" s="32" t="s">
        <v>39</v>
      </c>
      <c r="H446" s="32" t="s">
        <v>354</v>
      </c>
      <c r="I446" s="31" t="s">
        <v>1255</v>
      </c>
      <c r="J446" s="31">
        <v>9</v>
      </c>
      <c r="K446" s="33" t="s">
        <v>703</v>
      </c>
      <c r="L446" s="33" t="s">
        <v>713</v>
      </c>
      <c r="M446" s="34" t="s">
        <v>731</v>
      </c>
      <c r="N446" s="34" t="s">
        <v>1743</v>
      </c>
      <c r="O446" s="35">
        <v>1</v>
      </c>
      <c r="P446" s="35"/>
      <c r="Q446" s="32"/>
      <c r="S446" s="1">
        <f t="shared" si="303"/>
        <v>0</v>
      </c>
      <c r="T446" s="1">
        <f t="shared" si="304"/>
        <v>0</v>
      </c>
      <c r="U446" s="1">
        <f t="shared" si="305"/>
        <v>0</v>
      </c>
      <c r="V446" s="1">
        <f t="shared" si="306"/>
        <v>0</v>
      </c>
      <c r="W446" s="1">
        <f t="shared" si="307"/>
        <v>0</v>
      </c>
      <c r="X446" s="1">
        <f t="shared" si="308"/>
        <v>0</v>
      </c>
      <c r="Y446" s="1">
        <f t="shared" si="309"/>
        <v>0</v>
      </c>
      <c r="Z446" s="1">
        <f t="shared" si="310"/>
        <v>0</v>
      </c>
      <c r="AA446" s="1">
        <f t="shared" si="311"/>
        <v>1</v>
      </c>
      <c r="AB446" s="1">
        <f t="shared" si="312"/>
        <v>0</v>
      </c>
      <c r="AD446" s="1">
        <f t="shared" si="313"/>
        <v>0</v>
      </c>
      <c r="AE446" s="1">
        <f t="shared" si="314"/>
        <v>1</v>
      </c>
      <c r="AF446" s="1">
        <f t="shared" si="283"/>
        <v>0</v>
      </c>
      <c r="AG446" s="1">
        <f t="shared" si="284"/>
        <v>0</v>
      </c>
      <c r="AH446" s="1">
        <f t="shared" si="285"/>
        <v>0</v>
      </c>
      <c r="AI446" s="1">
        <f t="shared" si="286"/>
        <v>0</v>
      </c>
    </row>
    <row r="447" spans="1:35" s="1" customFormat="1" ht="14.25" customHeight="1" x14ac:dyDescent="0.25">
      <c r="A447" s="31">
        <v>1</v>
      </c>
      <c r="B447" s="31">
        <v>2</v>
      </c>
      <c r="C447" s="31">
        <v>7</v>
      </c>
      <c r="D447" s="32" t="s">
        <v>1253</v>
      </c>
      <c r="E447" s="32" t="s">
        <v>28</v>
      </c>
      <c r="F447" s="36" t="s">
        <v>1824</v>
      </c>
      <c r="G447" s="36" t="s">
        <v>258</v>
      </c>
      <c r="H447" s="32" t="s">
        <v>354</v>
      </c>
      <c r="I447" s="37" t="s">
        <v>30</v>
      </c>
      <c r="J447" s="31">
        <v>8</v>
      </c>
      <c r="K447" s="33" t="s">
        <v>703</v>
      </c>
      <c r="L447" s="33" t="s">
        <v>713</v>
      </c>
      <c r="M447" s="34" t="s">
        <v>731</v>
      </c>
      <c r="N447" s="34" t="s">
        <v>1743</v>
      </c>
      <c r="O447" s="35">
        <v>1</v>
      </c>
      <c r="P447" s="35"/>
      <c r="Q447" s="32"/>
      <c r="S447" s="1">
        <f t="shared" si="303"/>
        <v>0</v>
      </c>
      <c r="T447" s="1">
        <f t="shared" si="304"/>
        <v>0</v>
      </c>
      <c r="U447" s="1">
        <f t="shared" si="305"/>
        <v>0</v>
      </c>
      <c r="V447" s="1">
        <f t="shared" si="306"/>
        <v>0</v>
      </c>
      <c r="W447" s="1">
        <f t="shared" si="307"/>
        <v>0</v>
      </c>
      <c r="X447" s="1">
        <f t="shared" si="308"/>
        <v>0</v>
      </c>
      <c r="Y447" s="1">
        <f t="shared" si="309"/>
        <v>0</v>
      </c>
      <c r="Z447" s="1">
        <f t="shared" si="310"/>
        <v>1</v>
      </c>
      <c r="AA447" s="1">
        <f t="shared" si="311"/>
        <v>0</v>
      </c>
      <c r="AB447" s="1">
        <f t="shared" si="312"/>
        <v>0</v>
      </c>
      <c r="AD447" s="1">
        <f t="shared" si="313"/>
        <v>0</v>
      </c>
      <c r="AE447" s="1">
        <f t="shared" si="314"/>
        <v>1</v>
      </c>
      <c r="AF447" s="1">
        <f t="shared" si="283"/>
        <v>0</v>
      </c>
      <c r="AG447" s="1">
        <f t="shared" si="284"/>
        <v>0</v>
      </c>
      <c r="AH447" s="1">
        <f t="shared" si="285"/>
        <v>0</v>
      </c>
      <c r="AI447" s="1">
        <f t="shared" si="286"/>
        <v>0</v>
      </c>
    </row>
    <row r="448" spans="1:35" s="1" customFormat="1" ht="14.25" customHeight="1" x14ac:dyDescent="0.25">
      <c r="A448" s="31">
        <v>0</v>
      </c>
      <c r="B448" s="31">
        <v>2</v>
      </c>
      <c r="C448" s="31">
        <v>7</v>
      </c>
      <c r="D448" s="32" t="s">
        <v>51</v>
      </c>
      <c r="E448" s="32" t="s">
        <v>28</v>
      </c>
      <c r="F448" s="32" t="s">
        <v>674</v>
      </c>
      <c r="G448" s="32" t="s">
        <v>185</v>
      </c>
      <c r="H448" s="32" t="s">
        <v>354</v>
      </c>
      <c r="I448" s="31" t="s">
        <v>390</v>
      </c>
      <c r="J448" s="31">
        <v>99</v>
      </c>
      <c r="K448" s="33" t="s">
        <v>712</v>
      </c>
      <c r="L448" s="33" t="s">
        <v>713</v>
      </c>
      <c r="M448" s="34" t="s">
        <v>731</v>
      </c>
      <c r="N448" s="34" t="s">
        <v>1749</v>
      </c>
      <c r="O448" s="35">
        <v>1</v>
      </c>
      <c r="P448" s="35"/>
      <c r="Q448" s="32"/>
      <c r="S448" s="1">
        <f t="shared" si="303"/>
        <v>0</v>
      </c>
      <c r="T448" s="1">
        <f t="shared" si="304"/>
        <v>0</v>
      </c>
      <c r="U448" s="1">
        <f t="shared" si="305"/>
        <v>0</v>
      </c>
      <c r="V448" s="1">
        <f t="shared" si="306"/>
        <v>0</v>
      </c>
      <c r="W448" s="1">
        <f t="shared" si="307"/>
        <v>0</v>
      </c>
      <c r="X448" s="1">
        <f t="shared" si="308"/>
        <v>0</v>
      </c>
      <c r="Y448" s="1">
        <f t="shared" si="309"/>
        <v>0</v>
      </c>
      <c r="Z448" s="1">
        <f t="shared" si="310"/>
        <v>0</v>
      </c>
      <c r="AA448" s="1">
        <f t="shared" si="311"/>
        <v>0</v>
      </c>
      <c r="AB448" s="1">
        <f t="shared" si="312"/>
        <v>0</v>
      </c>
      <c r="AD448" s="1">
        <f t="shared" si="313"/>
        <v>0</v>
      </c>
      <c r="AE448" s="1">
        <f t="shared" si="314"/>
        <v>1</v>
      </c>
      <c r="AF448" s="1">
        <f t="shared" si="283"/>
        <v>0</v>
      </c>
      <c r="AG448" s="1">
        <f t="shared" si="284"/>
        <v>1</v>
      </c>
      <c r="AH448" s="1">
        <f t="shared" si="285"/>
        <v>0</v>
      </c>
      <c r="AI448" s="1">
        <f t="shared" si="286"/>
        <v>1</v>
      </c>
    </row>
    <row r="449" spans="1:35" s="1" customFormat="1" ht="14.25" customHeight="1" x14ac:dyDescent="0.25">
      <c r="A449" s="44">
        <v>0</v>
      </c>
      <c r="B449" s="44">
        <v>2</v>
      </c>
      <c r="C449" s="44">
        <v>7</v>
      </c>
      <c r="D449" s="45" t="s">
        <v>1081</v>
      </c>
      <c r="E449" s="45" t="s">
        <v>28</v>
      </c>
      <c r="F449" s="45" t="s">
        <v>998</v>
      </c>
      <c r="G449" s="45" t="s">
        <v>240</v>
      </c>
      <c r="H449" s="45" t="s">
        <v>354</v>
      </c>
      <c r="I449" s="44" t="s">
        <v>1106</v>
      </c>
      <c r="J449" s="44">
        <v>1</v>
      </c>
      <c r="K449" s="46" t="s">
        <v>712</v>
      </c>
      <c r="L449" s="46" t="s">
        <v>713</v>
      </c>
      <c r="M449" s="47" t="s">
        <v>731</v>
      </c>
      <c r="N449" s="47" t="s">
        <v>1735</v>
      </c>
      <c r="O449" s="48"/>
      <c r="P449" s="48"/>
      <c r="Q449" s="45"/>
      <c r="S449" s="1">
        <f t="shared" si="303"/>
        <v>1</v>
      </c>
      <c r="T449" s="1">
        <f t="shared" si="304"/>
        <v>0</v>
      </c>
      <c r="U449" s="1">
        <f t="shared" si="305"/>
        <v>0</v>
      </c>
      <c r="V449" s="1">
        <f t="shared" si="306"/>
        <v>0</v>
      </c>
      <c r="W449" s="1">
        <f t="shared" si="307"/>
        <v>0</v>
      </c>
      <c r="X449" s="1">
        <f t="shared" si="308"/>
        <v>0</v>
      </c>
      <c r="Y449" s="1">
        <f t="shared" si="309"/>
        <v>0</v>
      </c>
      <c r="Z449" s="1">
        <f t="shared" si="310"/>
        <v>0</v>
      </c>
      <c r="AA449" s="1">
        <f t="shared" si="311"/>
        <v>0</v>
      </c>
      <c r="AB449" s="1">
        <f t="shared" si="312"/>
        <v>0</v>
      </c>
      <c r="AD449" s="1">
        <f t="shared" si="313"/>
        <v>0</v>
      </c>
      <c r="AE449" s="1">
        <f t="shared" si="314"/>
        <v>0</v>
      </c>
      <c r="AF449" s="1">
        <f t="shared" si="283"/>
        <v>0</v>
      </c>
      <c r="AG449" s="1">
        <f t="shared" si="284"/>
        <v>0</v>
      </c>
      <c r="AH449" s="1">
        <f t="shared" si="285"/>
        <v>0</v>
      </c>
      <c r="AI449" s="1">
        <f t="shared" si="286"/>
        <v>1</v>
      </c>
    </row>
    <row r="450" spans="1:35" s="1" customFormat="1" ht="14.25" customHeight="1" x14ac:dyDescent="0.25">
      <c r="A450" s="44">
        <v>1</v>
      </c>
      <c r="B450" s="44">
        <v>2</v>
      </c>
      <c r="C450" s="44">
        <v>7</v>
      </c>
      <c r="D450" s="45" t="s">
        <v>1081</v>
      </c>
      <c r="E450" s="45" t="s">
        <v>28</v>
      </c>
      <c r="F450" s="45" t="s">
        <v>999</v>
      </c>
      <c r="G450" s="45" t="s">
        <v>1099</v>
      </c>
      <c r="H450" s="45" t="s">
        <v>354</v>
      </c>
      <c r="I450" s="44" t="s">
        <v>1107</v>
      </c>
      <c r="J450" s="44">
        <v>1</v>
      </c>
      <c r="K450" s="46" t="s">
        <v>712</v>
      </c>
      <c r="L450" s="46" t="s">
        <v>713</v>
      </c>
      <c r="M450" s="47" t="s">
        <v>731</v>
      </c>
      <c r="N450" s="47" t="s">
        <v>1735</v>
      </c>
      <c r="O450" s="48"/>
      <c r="P450" s="48"/>
      <c r="Q450" s="45"/>
      <c r="S450" s="1">
        <f t="shared" si="303"/>
        <v>1</v>
      </c>
      <c r="T450" s="1">
        <f t="shared" si="304"/>
        <v>0</v>
      </c>
      <c r="U450" s="1">
        <f t="shared" si="305"/>
        <v>0</v>
      </c>
      <c r="V450" s="1">
        <f t="shared" si="306"/>
        <v>0</v>
      </c>
      <c r="W450" s="1">
        <f t="shared" si="307"/>
        <v>0</v>
      </c>
      <c r="X450" s="1">
        <f t="shared" si="308"/>
        <v>0</v>
      </c>
      <c r="Y450" s="1">
        <f t="shared" si="309"/>
        <v>0</v>
      </c>
      <c r="Z450" s="1">
        <f t="shared" si="310"/>
        <v>0</v>
      </c>
      <c r="AA450" s="1">
        <f t="shared" si="311"/>
        <v>0</v>
      </c>
      <c r="AB450" s="1">
        <f t="shared" si="312"/>
        <v>0</v>
      </c>
      <c r="AD450" s="1">
        <f t="shared" si="313"/>
        <v>0</v>
      </c>
      <c r="AE450" s="1">
        <f t="shared" si="314"/>
        <v>0</v>
      </c>
      <c r="AF450" s="1">
        <f t="shared" si="283"/>
        <v>0</v>
      </c>
      <c r="AG450" s="1">
        <f t="shared" si="284"/>
        <v>0</v>
      </c>
      <c r="AH450" s="1">
        <f t="shared" si="285"/>
        <v>0</v>
      </c>
      <c r="AI450" s="1">
        <f t="shared" si="286"/>
        <v>0</v>
      </c>
    </row>
    <row r="451" spans="1:35" s="1" customFormat="1" ht="14.25" customHeight="1" x14ac:dyDescent="0.25">
      <c r="A451" s="31">
        <v>0</v>
      </c>
      <c r="B451" s="31">
        <v>2</v>
      </c>
      <c r="C451" s="31">
        <v>7</v>
      </c>
      <c r="D451" s="32" t="s">
        <v>1638</v>
      </c>
      <c r="E451" s="32" t="s">
        <v>156</v>
      </c>
      <c r="F451" s="32" t="s">
        <v>1491</v>
      </c>
      <c r="G451" s="32" t="s">
        <v>1492</v>
      </c>
      <c r="H451" s="32" t="s">
        <v>354</v>
      </c>
      <c r="I451" s="31" t="s">
        <v>1493</v>
      </c>
      <c r="J451" s="31">
        <v>99</v>
      </c>
      <c r="K451" s="33" t="s">
        <v>955</v>
      </c>
      <c r="L451" s="33" t="s">
        <v>722</v>
      </c>
      <c r="M451" s="34" t="s">
        <v>732</v>
      </c>
      <c r="N451" s="34" t="s">
        <v>1748</v>
      </c>
      <c r="O451" s="35">
        <v>1</v>
      </c>
      <c r="P451" s="35"/>
      <c r="Q451" s="32"/>
      <c r="S451" s="1">
        <f t="shared" si="303"/>
        <v>0</v>
      </c>
      <c r="T451" s="1">
        <f t="shared" si="304"/>
        <v>0</v>
      </c>
      <c r="U451" s="1">
        <f t="shared" si="305"/>
        <v>0</v>
      </c>
      <c r="V451" s="1">
        <f t="shared" si="306"/>
        <v>0</v>
      </c>
      <c r="W451" s="1">
        <f t="shared" si="307"/>
        <v>0</v>
      </c>
      <c r="X451" s="1">
        <f t="shared" si="308"/>
        <v>0</v>
      </c>
      <c r="Y451" s="1">
        <f t="shared" si="309"/>
        <v>0</v>
      </c>
      <c r="Z451" s="1">
        <f t="shared" si="310"/>
        <v>0</v>
      </c>
      <c r="AA451" s="1">
        <f t="shared" si="311"/>
        <v>0</v>
      </c>
      <c r="AB451" s="1">
        <f t="shared" si="312"/>
        <v>0</v>
      </c>
      <c r="AD451" s="1">
        <f t="shared" si="313"/>
        <v>0</v>
      </c>
      <c r="AE451" s="1">
        <f t="shared" si="314"/>
        <v>1</v>
      </c>
      <c r="AF451" s="1">
        <f t="shared" si="283"/>
        <v>0</v>
      </c>
      <c r="AG451" s="1">
        <f t="shared" si="284"/>
        <v>1</v>
      </c>
      <c r="AH451" s="1">
        <f t="shared" si="285"/>
        <v>0</v>
      </c>
      <c r="AI451" s="1">
        <f t="shared" si="286"/>
        <v>1</v>
      </c>
    </row>
    <row r="452" spans="1:35" s="1" customFormat="1" ht="14.25" customHeight="1" x14ac:dyDescent="0.25">
      <c r="A452" s="44">
        <v>0</v>
      </c>
      <c r="B452" s="44">
        <v>2</v>
      </c>
      <c r="C452" s="44">
        <v>7</v>
      </c>
      <c r="D452" s="45" t="s">
        <v>82</v>
      </c>
      <c r="E452" s="45" t="s">
        <v>28</v>
      </c>
      <c r="F452" s="45" t="s">
        <v>274</v>
      </c>
      <c r="G452" s="45" t="s">
        <v>275</v>
      </c>
      <c r="H452" s="45" t="s">
        <v>354</v>
      </c>
      <c r="I452" s="44" t="s">
        <v>429</v>
      </c>
      <c r="J452" s="44">
        <v>7</v>
      </c>
      <c r="K452" s="46" t="s">
        <v>955</v>
      </c>
      <c r="L452" s="46" t="s">
        <v>954</v>
      </c>
      <c r="M452" s="47" t="s">
        <v>968</v>
      </c>
      <c r="N452" s="47" t="s">
        <v>1809</v>
      </c>
      <c r="O452" s="48"/>
      <c r="P452" s="48"/>
      <c r="Q452" s="45"/>
      <c r="S452" s="1">
        <f t="shared" si="303"/>
        <v>0</v>
      </c>
      <c r="T452" s="1">
        <f t="shared" si="304"/>
        <v>0</v>
      </c>
      <c r="U452" s="1">
        <f t="shared" si="305"/>
        <v>0</v>
      </c>
      <c r="V452" s="1">
        <f t="shared" si="306"/>
        <v>0</v>
      </c>
      <c r="W452" s="1">
        <f t="shared" si="307"/>
        <v>0</v>
      </c>
      <c r="X452" s="1">
        <f t="shared" si="308"/>
        <v>0</v>
      </c>
      <c r="Y452" s="1">
        <f t="shared" si="309"/>
        <v>1</v>
      </c>
      <c r="Z452" s="1">
        <f t="shared" si="310"/>
        <v>0</v>
      </c>
      <c r="AA452" s="1">
        <f t="shared" si="311"/>
        <v>0</v>
      </c>
      <c r="AB452" s="1">
        <f t="shared" si="312"/>
        <v>0</v>
      </c>
      <c r="AD452" s="1">
        <f t="shared" si="313"/>
        <v>0</v>
      </c>
      <c r="AE452" s="1">
        <f t="shared" si="314"/>
        <v>0</v>
      </c>
      <c r="AF452" s="1">
        <f t="shared" si="283"/>
        <v>0</v>
      </c>
      <c r="AG452" s="1">
        <f t="shared" si="284"/>
        <v>0</v>
      </c>
      <c r="AH452" s="1">
        <f t="shared" si="285"/>
        <v>0</v>
      </c>
      <c r="AI452" s="1">
        <f t="shared" si="286"/>
        <v>1</v>
      </c>
    </row>
    <row r="453" spans="1:35" s="1" customFormat="1" ht="14.25" customHeight="1" x14ac:dyDescent="0.25">
      <c r="A453" s="44">
        <v>0</v>
      </c>
      <c r="B453" s="44">
        <v>2</v>
      </c>
      <c r="C453" s="44">
        <v>7</v>
      </c>
      <c r="D453" s="45" t="s">
        <v>76</v>
      </c>
      <c r="E453" s="45" t="s">
        <v>28</v>
      </c>
      <c r="F453" s="45" t="s">
        <v>1681</v>
      </c>
      <c r="G453" s="45" t="s">
        <v>190</v>
      </c>
      <c r="H453" s="45" t="s">
        <v>354</v>
      </c>
      <c r="I453" s="44" t="s">
        <v>423</v>
      </c>
      <c r="J453" s="44">
        <v>99</v>
      </c>
      <c r="K453" s="46" t="s">
        <v>954</v>
      </c>
      <c r="L453" s="46" t="s">
        <v>713</v>
      </c>
      <c r="M453" s="47" t="s">
        <v>731</v>
      </c>
      <c r="N453" s="47" t="s">
        <v>1735</v>
      </c>
      <c r="O453" s="48"/>
      <c r="P453" s="48"/>
      <c r="Q453" s="45"/>
      <c r="S453" s="1">
        <f t="shared" si="303"/>
        <v>0</v>
      </c>
      <c r="T453" s="1">
        <f t="shared" si="304"/>
        <v>0</v>
      </c>
      <c r="U453" s="1">
        <f t="shared" si="305"/>
        <v>0</v>
      </c>
      <c r="V453" s="1">
        <f t="shared" si="306"/>
        <v>0</v>
      </c>
      <c r="W453" s="1">
        <f t="shared" si="307"/>
        <v>0</v>
      </c>
      <c r="X453" s="1">
        <f t="shared" si="308"/>
        <v>0</v>
      </c>
      <c r="Y453" s="1">
        <f t="shared" si="309"/>
        <v>0</v>
      </c>
      <c r="Z453" s="1">
        <f t="shared" si="310"/>
        <v>0</v>
      </c>
      <c r="AA453" s="1">
        <f t="shared" si="311"/>
        <v>0</v>
      </c>
      <c r="AB453" s="1">
        <f t="shared" si="312"/>
        <v>0</v>
      </c>
      <c r="AD453" s="1">
        <f t="shared" si="313"/>
        <v>0</v>
      </c>
      <c r="AE453" s="1">
        <f t="shared" si="314"/>
        <v>0</v>
      </c>
      <c r="AF453" s="1">
        <f t="shared" si="283"/>
        <v>0</v>
      </c>
      <c r="AG453" s="1">
        <f t="shared" si="284"/>
        <v>0</v>
      </c>
      <c r="AH453" s="1">
        <f t="shared" si="285"/>
        <v>0</v>
      </c>
      <c r="AI453" s="1">
        <f t="shared" si="286"/>
        <v>1</v>
      </c>
    </row>
    <row r="454" spans="1:35" s="1" customFormat="1" ht="14.25" customHeight="1" x14ac:dyDescent="0.25">
      <c r="A454" s="15">
        <v>0</v>
      </c>
      <c r="B454" s="15">
        <v>2</v>
      </c>
      <c r="C454" s="15">
        <v>7</v>
      </c>
      <c r="D454" s="20" t="s">
        <v>2034</v>
      </c>
      <c r="E454" s="16" t="s">
        <v>2038</v>
      </c>
      <c r="F454" s="20" t="s">
        <v>2035</v>
      </c>
      <c r="G454" s="20" t="s">
        <v>2036</v>
      </c>
      <c r="H454" s="20" t="s">
        <v>354</v>
      </c>
      <c r="I454" s="21" t="s">
        <v>2037</v>
      </c>
      <c r="J454" s="15">
        <v>99</v>
      </c>
      <c r="K454" s="10" t="s">
        <v>703</v>
      </c>
      <c r="L454" s="10">
        <v>20</v>
      </c>
      <c r="M454" s="19" t="s">
        <v>2040</v>
      </c>
      <c r="N454" s="19"/>
      <c r="Q454" s="20" t="s">
        <v>2039</v>
      </c>
      <c r="S454" s="1">
        <f t="shared" si="303"/>
        <v>0</v>
      </c>
      <c r="T454" s="1">
        <f t="shared" si="304"/>
        <v>0</v>
      </c>
      <c r="U454" s="1">
        <f t="shared" si="305"/>
        <v>0</v>
      </c>
      <c r="V454" s="1">
        <f t="shared" si="306"/>
        <v>0</v>
      </c>
      <c r="W454" s="1">
        <f t="shared" si="307"/>
        <v>0</v>
      </c>
      <c r="X454" s="1">
        <f t="shared" si="308"/>
        <v>0</v>
      </c>
      <c r="Y454" s="1">
        <f t="shared" si="309"/>
        <v>0</v>
      </c>
      <c r="Z454" s="1">
        <f t="shared" si="310"/>
        <v>0</v>
      </c>
      <c r="AA454" s="1">
        <f t="shared" si="311"/>
        <v>0</v>
      </c>
      <c r="AB454" s="1">
        <f t="shared" si="312"/>
        <v>0</v>
      </c>
      <c r="AD454" s="1">
        <f t="shared" ref="AD454:AD457" si="331">+O454*P454</f>
        <v>0</v>
      </c>
      <c r="AE454" s="1">
        <f t="shared" ref="AE454:AE457" si="332">O454*(1-P454)</f>
        <v>0</v>
      </c>
      <c r="AF454" s="1">
        <f t="shared" ref="AF454:AF457" si="333">+O454*P454*(1-A454)</f>
        <v>0</v>
      </c>
      <c r="AG454" s="1">
        <f t="shared" ref="AG454:AG457" si="334">O454*(1-P454)*(1-A454)</f>
        <v>0</v>
      </c>
      <c r="AH454" s="1">
        <f t="shared" ref="AH454:AH457" si="335">+P454*(1-A454)</f>
        <v>0</v>
      </c>
      <c r="AI454" s="1">
        <f t="shared" ref="AI454:AI457" si="336">+(1-A454)*(1-P454)</f>
        <v>1</v>
      </c>
    </row>
    <row r="455" spans="1:35" s="1" customFormat="1" ht="14.25" customHeight="1" x14ac:dyDescent="0.25">
      <c r="A455" s="31">
        <v>0</v>
      </c>
      <c r="B455" s="31">
        <v>2</v>
      </c>
      <c r="C455" s="31">
        <v>7</v>
      </c>
      <c r="D455" s="32" t="s">
        <v>1640</v>
      </c>
      <c r="E455" s="32" t="s">
        <v>163</v>
      </c>
      <c r="F455" s="32" t="s">
        <v>244</v>
      </c>
      <c r="G455" s="32" t="s">
        <v>218</v>
      </c>
      <c r="H455" s="32" t="s">
        <v>354</v>
      </c>
      <c r="I455" s="31" t="s">
        <v>408</v>
      </c>
      <c r="J455" s="31">
        <v>99</v>
      </c>
      <c r="K455" s="33" t="s">
        <v>713</v>
      </c>
      <c r="L455" s="33" t="s">
        <v>722</v>
      </c>
      <c r="M455" s="34" t="s">
        <v>732</v>
      </c>
      <c r="N455" s="34" t="s">
        <v>1727</v>
      </c>
      <c r="O455" s="35">
        <v>1</v>
      </c>
      <c r="P455" s="35">
        <v>1</v>
      </c>
      <c r="Q455" s="32"/>
      <c r="S455" s="1">
        <f t="shared" si="303"/>
        <v>0</v>
      </c>
      <c r="T455" s="1">
        <f t="shared" si="304"/>
        <v>0</v>
      </c>
      <c r="U455" s="1">
        <f t="shared" si="305"/>
        <v>0</v>
      </c>
      <c r="V455" s="1">
        <f t="shared" si="306"/>
        <v>0</v>
      </c>
      <c r="W455" s="1">
        <f t="shared" si="307"/>
        <v>0</v>
      </c>
      <c r="X455" s="1">
        <f t="shared" si="308"/>
        <v>0</v>
      </c>
      <c r="Y455" s="1">
        <f t="shared" si="309"/>
        <v>0</v>
      </c>
      <c r="Z455" s="1">
        <f t="shared" si="310"/>
        <v>0</v>
      </c>
      <c r="AA455" s="1">
        <f t="shared" si="311"/>
        <v>0</v>
      </c>
      <c r="AB455" s="1">
        <f t="shared" si="312"/>
        <v>0</v>
      </c>
      <c r="AD455" s="1">
        <f t="shared" si="331"/>
        <v>1</v>
      </c>
      <c r="AE455" s="1">
        <f t="shared" si="332"/>
        <v>0</v>
      </c>
      <c r="AF455" s="1">
        <f t="shared" si="333"/>
        <v>1</v>
      </c>
      <c r="AG455" s="1">
        <f t="shared" si="334"/>
        <v>0</v>
      </c>
      <c r="AH455" s="1">
        <f t="shared" si="335"/>
        <v>1</v>
      </c>
      <c r="AI455" s="1">
        <f t="shared" si="336"/>
        <v>0</v>
      </c>
    </row>
    <row r="456" spans="1:35" s="1" customFormat="1" ht="14.25" customHeight="1" x14ac:dyDescent="0.25">
      <c r="A456" s="31">
        <v>0</v>
      </c>
      <c r="B456" s="31">
        <v>2</v>
      </c>
      <c r="C456" s="31">
        <v>7</v>
      </c>
      <c r="D456" s="32" t="s">
        <v>1538</v>
      </c>
      <c r="E456" s="32" t="s">
        <v>156</v>
      </c>
      <c r="F456" s="32" t="s">
        <v>1539</v>
      </c>
      <c r="G456" s="32" t="s">
        <v>39</v>
      </c>
      <c r="H456" s="32" t="s">
        <v>354</v>
      </c>
      <c r="I456" s="31" t="s">
        <v>1540</v>
      </c>
      <c r="J456" s="31">
        <v>99</v>
      </c>
      <c r="K456" s="33" t="s">
        <v>713</v>
      </c>
      <c r="L456" s="33" t="s">
        <v>722</v>
      </c>
      <c r="M456" s="34" t="s">
        <v>732</v>
      </c>
      <c r="N456" s="34" t="s">
        <v>1748</v>
      </c>
      <c r="O456" s="35">
        <v>1</v>
      </c>
      <c r="P456" s="35"/>
      <c r="Q456" s="32"/>
      <c r="S456" s="1">
        <f t="shared" si="303"/>
        <v>0</v>
      </c>
      <c r="T456" s="1">
        <f t="shared" si="304"/>
        <v>0</v>
      </c>
      <c r="U456" s="1">
        <f t="shared" si="305"/>
        <v>0</v>
      </c>
      <c r="V456" s="1">
        <f t="shared" si="306"/>
        <v>0</v>
      </c>
      <c r="W456" s="1">
        <f t="shared" si="307"/>
        <v>0</v>
      </c>
      <c r="X456" s="1">
        <f t="shared" si="308"/>
        <v>0</v>
      </c>
      <c r="Y456" s="1">
        <f t="shared" si="309"/>
        <v>0</v>
      </c>
      <c r="Z456" s="1">
        <f t="shared" si="310"/>
        <v>0</v>
      </c>
      <c r="AA456" s="1">
        <f t="shared" si="311"/>
        <v>0</v>
      </c>
      <c r="AB456" s="1">
        <f t="shared" si="312"/>
        <v>0</v>
      </c>
      <c r="AD456" s="1">
        <f t="shared" si="331"/>
        <v>0</v>
      </c>
      <c r="AE456" s="1">
        <f t="shared" si="332"/>
        <v>1</v>
      </c>
      <c r="AF456" s="1">
        <f t="shared" si="333"/>
        <v>0</v>
      </c>
      <c r="AG456" s="1">
        <f t="shared" si="334"/>
        <v>1</v>
      </c>
      <c r="AH456" s="1">
        <f t="shared" si="335"/>
        <v>0</v>
      </c>
      <c r="AI456" s="1">
        <f t="shared" si="336"/>
        <v>1</v>
      </c>
    </row>
    <row r="457" spans="1:35" s="1" customFormat="1" ht="14.25" customHeight="1" x14ac:dyDescent="0.25">
      <c r="A457" s="44">
        <v>0</v>
      </c>
      <c r="B457" s="44">
        <v>2</v>
      </c>
      <c r="C457" s="44">
        <v>7</v>
      </c>
      <c r="D457" s="45" t="s">
        <v>1262</v>
      </c>
      <c r="E457" s="45" t="s">
        <v>1524</v>
      </c>
      <c r="F457" s="45" t="s">
        <v>1355</v>
      </c>
      <c r="G457" s="45" t="s">
        <v>186</v>
      </c>
      <c r="H457" s="45" t="s">
        <v>354</v>
      </c>
      <c r="I457" s="44" t="s">
        <v>1368</v>
      </c>
      <c r="J457" s="44">
        <v>1</v>
      </c>
      <c r="K457" s="46" t="s">
        <v>713</v>
      </c>
      <c r="L457" s="46" t="s">
        <v>716</v>
      </c>
      <c r="M457" s="47" t="s">
        <v>1438</v>
      </c>
      <c r="N457" s="47" t="s">
        <v>1735</v>
      </c>
      <c r="O457" s="48"/>
      <c r="P457" s="48"/>
      <c r="Q457" s="45"/>
      <c r="S457" s="1">
        <f t="shared" si="303"/>
        <v>1</v>
      </c>
      <c r="T457" s="1">
        <f t="shared" si="304"/>
        <v>0</v>
      </c>
      <c r="U457" s="1">
        <f t="shared" si="305"/>
        <v>0</v>
      </c>
      <c r="V457" s="1">
        <f t="shared" si="306"/>
        <v>0</v>
      </c>
      <c r="W457" s="1">
        <f t="shared" si="307"/>
        <v>0</v>
      </c>
      <c r="X457" s="1">
        <f t="shared" si="308"/>
        <v>0</v>
      </c>
      <c r="Y457" s="1">
        <f t="shared" si="309"/>
        <v>0</v>
      </c>
      <c r="Z457" s="1">
        <f t="shared" si="310"/>
        <v>0</v>
      </c>
      <c r="AA457" s="1">
        <f t="shared" si="311"/>
        <v>0</v>
      </c>
      <c r="AB457" s="1">
        <f t="shared" si="312"/>
        <v>0</v>
      </c>
      <c r="AD457" s="1">
        <f t="shared" si="331"/>
        <v>0</v>
      </c>
      <c r="AE457" s="1">
        <f t="shared" si="332"/>
        <v>0</v>
      </c>
      <c r="AF457" s="1">
        <f t="shared" si="333"/>
        <v>0</v>
      </c>
      <c r="AG457" s="1">
        <f t="shared" si="334"/>
        <v>0</v>
      </c>
      <c r="AH457" s="1">
        <f t="shared" si="335"/>
        <v>0</v>
      </c>
      <c r="AI457" s="1">
        <f t="shared" si="336"/>
        <v>1</v>
      </c>
    </row>
    <row r="458" spans="1:35" s="1" customFormat="1" ht="14.25" customHeight="1" x14ac:dyDescent="0.25">
      <c r="A458" s="31">
        <v>0</v>
      </c>
      <c r="B458" s="31">
        <v>2</v>
      </c>
      <c r="C458" s="31">
        <v>7</v>
      </c>
      <c r="D458" s="32" t="s">
        <v>66</v>
      </c>
      <c r="E458" s="32" t="s">
        <v>28</v>
      </c>
      <c r="F458" s="32" t="s">
        <v>974</v>
      </c>
      <c r="G458" s="32" t="s">
        <v>1101</v>
      </c>
      <c r="H458" s="32" t="s">
        <v>354</v>
      </c>
      <c r="I458" s="31" t="s">
        <v>1108</v>
      </c>
      <c r="J458" s="31">
        <v>99</v>
      </c>
      <c r="K458" s="33" t="s">
        <v>713</v>
      </c>
      <c r="L458" s="33" t="s">
        <v>713</v>
      </c>
      <c r="M458" s="34" t="s">
        <v>731</v>
      </c>
      <c r="N458" s="34" t="s">
        <v>1743</v>
      </c>
      <c r="O458" s="35">
        <v>1</v>
      </c>
      <c r="P458" s="35"/>
      <c r="Q458" s="32"/>
      <c r="S458" s="1">
        <f t="shared" si="303"/>
        <v>0</v>
      </c>
      <c r="T458" s="1">
        <f t="shared" si="304"/>
        <v>0</v>
      </c>
      <c r="U458" s="1">
        <f t="shared" si="305"/>
        <v>0</v>
      </c>
      <c r="V458" s="1">
        <f t="shared" si="306"/>
        <v>0</v>
      </c>
      <c r="W458" s="1">
        <f t="shared" si="307"/>
        <v>0</v>
      </c>
      <c r="X458" s="1">
        <f t="shared" si="308"/>
        <v>0</v>
      </c>
      <c r="Y458" s="1">
        <f t="shared" si="309"/>
        <v>0</v>
      </c>
      <c r="Z458" s="1">
        <f t="shared" si="310"/>
        <v>0</v>
      </c>
      <c r="AA458" s="1">
        <f t="shared" si="311"/>
        <v>0</v>
      </c>
      <c r="AB458" s="1">
        <f t="shared" si="312"/>
        <v>0</v>
      </c>
      <c r="AD458" s="1">
        <f t="shared" si="313"/>
        <v>0</v>
      </c>
      <c r="AE458" s="1">
        <f t="shared" si="314"/>
        <v>1</v>
      </c>
      <c r="AF458" s="1">
        <f t="shared" si="283"/>
        <v>0</v>
      </c>
      <c r="AG458" s="1">
        <f t="shared" si="284"/>
        <v>1</v>
      </c>
      <c r="AH458" s="1">
        <f t="shared" si="285"/>
        <v>0</v>
      </c>
      <c r="AI458" s="1">
        <f t="shared" si="286"/>
        <v>1</v>
      </c>
    </row>
    <row r="459" spans="1:35" s="1" customFormat="1" ht="14.25" customHeight="1" x14ac:dyDescent="0.25">
      <c r="A459" s="31">
        <v>1</v>
      </c>
      <c r="B459" s="31">
        <v>2</v>
      </c>
      <c r="C459" s="31">
        <v>7</v>
      </c>
      <c r="D459" s="32" t="s">
        <v>66</v>
      </c>
      <c r="E459" s="32" t="s">
        <v>28</v>
      </c>
      <c r="F459" s="32" t="s">
        <v>245</v>
      </c>
      <c r="G459" s="32" t="s">
        <v>224</v>
      </c>
      <c r="H459" s="32" t="s">
        <v>354</v>
      </c>
      <c r="I459" s="31" t="s">
        <v>409</v>
      </c>
      <c r="J459" s="31">
        <v>99</v>
      </c>
      <c r="K459" s="33" t="s">
        <v>713</v>
      </c>
      <c r="L459" s="33" t="s">
        <v>713</v>
      </c>
      <c r="M459" s="34" t="s">
        <v>731</v>
      </c>
      <c r="N459" s="34" t="s">
        <v>1743</v>
      </c>
      <c r="O459" s="35">
        <v>1</v>
      </c>
      <c r="P459" s="35"/>
      <c r="Q459" s="32"/>
      <c r="S459" s="1">
        <f t="shared" si="303"/>
        <v>0</v>
      </c>
      <c r="T459" s="1">
        <f t="shared" si="304"/>
        <v>0</v>
      </c>
      <c r="U459" s="1">
        <f t="shared" si="305"/>
        <v>0</v>
      </c>
      <c r="V459" s="1">
        <f t="shared" si="306"/>
        <v>0</v>
      </c>
      <c r="W459" s="1">
        <f t="shared" si="307"/>
        <v>0</v>
      </c>
      <c r="X459" s="1">
        <f t="shared" si="308"/>
        <v>0</v>
      </c>
      <c r="Y459" s="1">
        <f t="shared" si="309"/>
        <v>0</v>
      </c>
      <c r="Z459" s="1">
        <f t="shared" si="310"/>
        <v>0</v>
      </c>
      <c r="AA459" s="1">
        <f t="shared" si="311"/>
        <v>0</v>
      </c>
      <c r="AB459" s="1">
        <f t="shared" si="312"/>
        <v>0</v>
      </c>
      <c r="AD459" s="1">
        <f t="shared" si="313"/>
        <v>0</v>
      </c>
      <c r="AE459" s="1">
        <f t="shared" si="314"/>
        <v>1</v>
      </c>
      <c r="AF459" s="1">
        <f t="shared" si="283"/>
        <v>0</v>
      </c>
      <c r="AG459" s="1">
        <f t="shared" si="284"/>
        <v>0</v>
      </c>
      <c r="AH459" s="1">
        <f t="shared" si="285"/>
        <v>0</v>
      </c>
      <c r="AI459" s="1">
        <f t="shared" si="286"/>
        <v>0</v>
      </c>
    </row>
    <row r="460" spans="1:35" s="1" customFormat="1" ht="14.25" customHeight="1" x14ac:dyDescent="0.25">
      <c r="A460" s="31">
        <v>1</v>
      </c>
      <c r="B460" s="31">
        <v>2</v>
      </c>
      <c r="C460" s="31">
        <v>7</v>
      </c>
      <c r="D460" s="32" t="s">
        <v>66</v>
      </c>
      <c r="E460" s="32" t="s">
        <v>28</v>
      </c>
      <c r="F460" s="32" t="s">
        <v>246</v>
      </c>
      <c r="G460" s="32" t="s">
        <v>220</v>
      </c>
      <c r="H460" s="32" t="s">
        <v>354</v>
      </c>
      <c r="I460" s="31" t="s">
        <v>410</v>
      </c>
      <c r="J460" s="31">
        <v>8</v>
      </c>
      <c r="K460" s="33" t="s">
        <v>713</v>
      </c>
      <c r="L460" s="33" t="s">
        <v>713</v>
      </c>
      <c r="M460" s="34" t="s">
        <v>731</v>
      </c>
      <c r="N460" s="34" t="s">
        <v>1743</v>
      </c>
      <c r="O460" s="35">
        <v>1</v>
      </c>
      <c r="P460" s="35"/>
      <c r="Q460" s="32" t="s">
        <v>2017</v>
      </c>
      <c r="S460" s="1">
        <f t="shared" si="303"/>
        <v>0</v>
      </c>
      <c r="T460" s="1">
        <f t="shared" si="304"/>
        <v>0</v>
      </c>
      <c r="U460" s="1">
        <f t="shared" si="305"/>
        <v>0</v>
      </c>
      <c r="V460" s="1">
        <f t="shared" si="306"/>
        <v>0</v>
      </c>
      <c r="W460" s="1">
        <f t="shared" si="307"/>
        <v>0</v>
      </c>
      <c r="X460" s="1">
        <f t="shared" si="308"/>
        <v>0</v>
      </c>
      <c r="Y460" s="1">
        <f t="shared" si="309"/>
        <v>0</v>
      </c>
      <c r="Z460" s="1">
        <f t="shared" si="310"/>
        <v>1</v>
      </c>
      <c r="AA460" s="1">
        <f t="shared" si="311"/>
        <v>0</v>
      </c>
      <c r="AB460" s="1">
        <f t="shared" si="312"/>
        <v>0</v>
      </c>
      <c r="AD460" s="1">
        <f t="shared" si="313"/>
        <v>0</v>
      </c>
      <c r="AE460" s="1">
        <f t="shared" si="314"/>
        <v>1</v>
      </c>
      <c r="AF460" s="1">
        <f t="shared" si="283"/>
        <v>0</v>
      </c>
      <c r="AG460" s="1">
        <f t="shared" si="284"/>
        <v>0</v>
      </c>
      <c r="AH460" s="1">
        <f t="shared" si="285"/>
        <v>0</v>
      </c>
      <c r="AI460" s="1">
        <f t="shared" si="286"/>
        <v>0</v>
      </c>
    </row>
    <row r="461" spans="1:35" s="1" customFormat="1" ht="14.25" customHeight="1" x14ac:dyDescent="0.25">
      <c r="A461" s="31">
        <v>1</v>
      </c>
      <c r="B461" s="31">
        <v>2</v>
      </c>
      <c r="C461" s="31">
        <v>7</v>
      </c>
      <c r="D461" s="32" t="s">
        <v>66</v>
      </c>
      <c r="E461" s="32" t="s">
        <v>28</v>
      </c>
      <c r="F461" s="32" t="s">
        <v>1034</v>
      </c>
      <c r="G461" s="32" t="s">
        <v>39</v>
      </c>
      <c r="H461" s="32" t="s">
        <v>354</v>
      </c>
      <c r="I461" s="31" t="s">
        <v>1035</v>
      </c>
      <c r="J461" s="31">
        <v>1</v>
      </c>
      <c r="K461" s="33" t="s">
        <v>713</v>
      </c>
      <c r="L461" s="33" t="s">
        <v>713</v>
      </c>
      <c r="M461" s="34" t="s">
        <v>731</v>
      </c>
      <c r="N461" s="34" t="s">
        <v>1743</v>
      </c>
      <c r="O461" s="35">
        <v>1</v>
      </c>
      <c r="P461" s="35"/>
      <c r="Q461" s="32"/>
      <c r="S461" s="1">
        <f t="shared" si="303"/>
        <v>1</v>
      </c>
      <c r="T461" s="1">
        <f t="shared" si="304"/>
        <v>0</v>
      </c>
      <c r="U461" s="1">
        <f t="shared" si="305"/>
        <v>0</v>
      </c>
      <c r="V461" s="1">
        <f t="shared" si="306"/>
        <v>0</v>
      </c>
      <c r="W461" s="1">
        <f t="shared" si="307"/>
        <v>0</v>
      </c>
      <c r="X461" s="1">
        <f t="shared" si="308"/>
        <v>0</v>
      </c>
      <c r="Y461" s="1">
        <f t="shared" si="309"/>
        <v>0</v>
      </c>
      <c r="Z461" s="1">
        <f t="shared" si="310"/>
        <v>0</v>
      </c>
      <c r="AA461" s="1">
        <f t="shared" si="311"/>
        <v>0</v>
      </c>
      <c r="AB461" s="1">
        <f t="shared" si="312"/>
        <v>0</v>
      </c>
      <c r="AD461" s="1">
        <f t="shared" si="313"/>
        <v>0</v>
      </c>
      <c r="AE461" s="1">
        <f t="shared" si="314"/>
        <v>1</v>
      </c>
      <c r="AF461" s="1">
        <f t="shared" si="283"/>
        <v>0</v>
      </c>
      <c r="AG461" s="1">
        <f t="shared" si="284"/>
        <v>0</v>
      </c>
      <c r="AH461" s="1">
        <f t="shared" si="285"/>
        <v>0</v>
      </c>
      <c r="AI461" s="1">
        <f t="shared" si="286"/>
        <v>0</v>
      </c>
    </row>
    <row r="462" spans="1:35" s="1" customFormat="1" ht="14.25" customHeight="1" x14ac:dyDescent="0.25">
      <c r="A462" s="31">
        <v>1</v>
      </c>
      <c r="B462" s="31">
        <v>2</v>
      </c>
      <c r="C462" s="31">
        <v>7</v>
      </c>
      <c r="D462" s="32" t="s">
        <v>66</v>
      </c>
      <c r="E462" s="32" t="s">
        <v>28</v>
      </c>
      <c r="F462" s="32" t="s">
        <v>1036</v>
      </c>
      <c r="G462" s="32" t="s">
        <v>302</v>
      </c>
      <c r="H462" s="32" t="s">
        <v>354</v>
      </c>
      <c r="I462" s="31" t="s">
        <v>1037</v>
      </c>
      <c r="J462" s="31">
        <v>1</v>
      </c>
      <c r="K462" s="33" t="s">
        <v>713</v>
      </c>
      <c r="L462" s="33" t="s">
        <v>713</v>
      </c>
      <c r="M462" s="34" t="s">
        <v>731</v>
      </c>
      <c r="N462" s="34" t="s">
        <v>1743</v>
      </c>
      <c r="O462" s="35">
        <v>1</v>
      </c>
      <c r="P462" s="35"/>
      <c r="Q462" s="32"/>
      <c r="S462" s="1">
        <f t="shared" si="303"/>
        <v>1</v>
      </c>
      <c r="T462" s="1">
        <f t="shared" si="304"/>
        <v>0</v>
      </c>
      <c r="U462" s="1">
        <f t="shared" si="305"/>
        <v>0</v>
      </c>
      <c r="V462" s="1">
        <f t="shared" si="306"/>
        <v>0</v>
      </c>
      <c r="W462" s="1">
        <f t="shared" si="307"/>
        <v>0</v>
      </c>
      <c r="X462" s="1">
        <f t="shared" si="308"/>
        <v>0</v>
      </c>
      <c r="Y462" s="1">
        <f t="shared" si="309"/>
        <v>0</v>
      </c>
      <c r="Z462" s="1">
        <f t="shared" si="310"/>
        <v>0</v>
      </c>
      <c r="AA462" s="1">
        <f t="shared" si="311"/>
        <v>0</v>
      </c>
      <c r="AB462" s="1">
        <f t="shared" si="312"/>
        <v>0</v>
      </c>
      <c r="AD462" s="1">
        <f t="shared" ref="AD462:AD463" si="337">+O462*P462</f>
        <v>0</v>
      </c>
      <c r="AE462" s="1">
        <f t="shared" ref="AE462:AE463" si="338">O462*(1-P462)</f>
        <v>1</v>
      </c>
      <c r="AF462" s="1">
        <f t="shared" si="283"/>
        <v>0</v>
      </c>
      <c r="AG462" s="1">
        <f t="shared" si="284"/>
        <v>0</v>
      </c>
      <c r="AH462" s="1">
        <f t="shared" si="285"/>
        <v>0</v>
      </c>
      <c r="AI462" s="1">
        <f t="shared" si="286"/>
        <v>0</v>
      </c>
    </row>
    <row r="463" spans="1:35" s="1" customFormat="1" ht="14.25" customHeight="1" x14ac:dyDescent="0.25">
      <c r="A463" s="31">
        <v>0</v>
      </c>
      <c r="B463" s="31">
        <v>2</v>
      </c>
      <c r="C463" s="31">
        <v>7</v>
      </c>
      <c r="D463" s="32" t="s">
        <v>1573</v>
      </c>
      <c r="E463" s="32" t="s">
        <v>156</v>
      </c>
      <c r="F463" s="32" t="s">
        <v>1574</v>
      </c>
      <c r="G463" s="32" t="s">
        <v>207</v>
      </c>
      <c r="H463" s="32" t="s">
        <v>354</v>
      </c>
      <c r="I463" s="31" t="s">
        <v>1575</v>
      </c>
      <c r="J463" s="31">
        <v>99</v>
      </c>
      <c r="K463" s="33" t="s">
        <v>712</v>
      </c>
      <c r="L463" s="33" t="s">
        <v>722</v>
      </c>
      <c r="M463" s="34" t="s">
        <v>732</v>
      </c>
      <c r="N463" s="34" t="s">
        <v>1946</v>
      </c>
      <c r="O463" s="35">
        <v>1</v>
      </c>
      <c r="P463" s="35"/>
      <c r="Q463" s="32"/>
      <c r="S463" s="1">
        <f t="shared" si="303"/>
        <v>0</v>
      </c>
      <c r="T463" s="1">
        <f t="shared" si="304"/>
        <v>0</v>
      </c>
      <c r="U463" s="1">
        <f t="shared" si="305"/>
        <v>0</v>
      </c>
      <c r="V463" s="1">
        <f t="shared" si="306"/>
        <v>0</v>
      </c>
      <c r="W463" s="1">
        <f t="shared" si="307"/>
        <v>0</v>
      </c>
      <c r="X463" s="1">
        <f t="shared" si="308"/>
        <v>0</v>
      </c>
      <c r="Y463" s="1">
        <f t="shared" si="309"/>
        <v>0</v>
      </c>
      <c r="Z463" s="1">
        <f t="shared" si="310"/>
        <v>0</v>
      </c>
      <c r="AA463" s="1">
        <f t="shared" si="311"/>
        <v>0</v>
      </c>
      <c r="AB463" s="1">
        <f t="shared" si="312"/>
        <v>0</v>
      </c>
      <c r="AD463" s="1">
        <f t="shared" si="337"/>
        <v>0</v>
      </c>
      <c r="AE463" s="1">
        <f t="shared" si="338"/>
        <v>1</v>
      </c>
      <c r="AF463" s="1">
        <f t="shared" si="283"/>
        <v>0</v>
      </c>
      <c r="AG463" s="1">
        <f t="shared" si="284"/>
        <v>1</v>
      </c>
      <c r="AH463" s="1">
        <f t="shared" si="285"/>
        <v>0</v>
      </c>
      <c r="AI463" s="1">
        <f t="shared" si="286"/>
        <v>1</v>
      </c>
    </row>
    <row r="464" spans="1:35" s="1" customFormat="1" ht="14.25" customHeight="1" x14ac:dyDescent="0.25">
      <c r="A464" s="44">
        <v>0</v>
      </c>
      <c r="B464" s="44">
        <v>2</v>
      </c>
      <c r="C464" s="44">
        <v>7</v>
      </c>
      <c r="D464" s="45" t="s">
        <v>1132</v>
      </c>
      <c r="E464" s="45" t="s">
        <v>28</v>
      </c>
      <c r="F464" s="45" t="s">
        <v>1133</v>
      </c>
      <c r="G464" s="45" t="s">
        <v>220</v>
      </c>
      <c r="H464" s="45" t="s">
        <v>354</v>
      </c>
      <c r="I464" s="44" t="s">
        <v>1134</v>
      </c>
      <c r="J464" s="44">
        <v>8</v>
      </c>
      <c r="K464" s="46" t="s">
        <v>955</v>
      </c>
      <c r="L464" s="46" t="s">
        <v>713</v>
      </c>
      <c r="M464" s="47" t="s">
        <v>731</v>
      </c>
      <c r="N464" s="47" t="s">
        <v>1802</v>
      </c>
      <c r="O464" s="48"/>
      <c r="P464" s="48"/>
      <c r="Q464" s="45"/>
      <c r="S464" s="1">
        <f t="shared" si="303"/>
        <v>0</v>
      </c>
      <c r="T464" s="1">
        <f t="shared" si="304"/>
        <v>0</v>
      </c>
      <c r="U464" s="1">
        <f t="shared" si="305"/>
        <v>0</v>
      </c>
      <c r="V464" s="1">
        <f t="shared" si="306"/>
        <v>0</v>
      </c>
      <c r="W464" s="1">
        <f t="shared" si="307"/>
        <v>0</v>
      </c>
      <c r="X464" s="1">
        <f t="shared" si="308"/>
        <v>0</v>
      </c>
      <c r="Y464" s="1">
        <f t="shared" si="309"/>
        <v>0</v>
      </c>
      <c r="Z464" s="1">
        <f t="shared" si="310"/>
        <v>1</v>
      </c>
      <c r="AA464" s="1">
        <f t="shared" si="311"/>
        <v>0</v>
      </c>
      <c r="AB464" s="1">
        <f t="shared" si="312"/>
        <v>0</v>
      </c>
      <c r="AD464" s="1">
        <f t="shared" si="313"/>
        <v>0</v>
      </c>
      <c r="AE464" s="1">
        <f t="shared" si="314"/>
        <v>0</v>
      </c>
      <c r="AF464" s="1">
        <f t="shared" si="283"/>
        <v>0</v>
      </c>
      <c r="AG464" s="1">
        <f t="shared" si="284"/>
        <v>0</v>
      </c>
      <c r="AH464" s="1">
        <f t="shared" si="285"/>
        <v>0</v>
      </c>
      <c r="AI464" s="1">
        <f t="shared" si="286"/>
        <v>1</v>
      </c>
    </row>
    <row r="465" spans="1:35" s="1" customFormat="1" ht="14.25" customHeight="1" x14ac:dyDescent="0.25">
      <c r="A465" s="44">
        <v>0</v>
      </c>
      <c r="B465" s="44">
        <v>2</v>
      </c>
      <c r="C465" s="44">
        <v>7</v>
      </c>
      <c r="D465" s="45" t="s">
        <v>73</v>
      </c>
      <c r="E465" s="45" t="s">
        <v>28</v>
      </c>
      <c r="F465" s="45" t="s">
        <v>264</v>
      </c>
      <c r="G465" s="45" t="s">
        <v>194</v>
      </c>
      <c r="H465" s="45" t="s">
        <v>354</v>
      </c>
      <c r="I465" s="44" t="s">
        <v>421</v>
      </c>
      <c r="J465" s="44">
        <v>9</v>
      </c>
      <c r="K465" s="46" t="s">
        <v>712</v>
      </c>
      <c r="L465" s="46" t="s">
        <v>713</v>
      </c>
      <c r="M465" s="47" t="s">
        <v>731</v>
      </c>
      <c r="N465" s="47" t="s">
        <v>1735</v>
      </c>
      <c r="O465" s="48"/>
      <c r="P465" s="48"/>
      <c r="Q465" s="45"/>
      <c r="S465" s="1">
        <f t="shared" si="303"/>
        <v>0</v>
      </c>
      <c r="T465" s="1">
        <f t="shared" si="304"/>
        <v>0</v>
      </c>
      <c r="U465" s="1">
        <f t="shared" si="305"/>
        <v>0</v>
      </c>
      <c r="V465" s="1">
        <f t="shared" si="306"/>
        <v>0</v>
      </c>
      <c r="W465" s="1">
        <f t="shared" si="307"/>
        <v>0</v>
      </c>
      <c r="X465" s="1">
        <f t="shared" si="308"/>
        <v>0</v>
      </c>
      <c r="Y465" s="1">
        <f t="shared" si="309"/>
        <v>0</v>
      </c>
      <c r="Z465" s="1">
        <f t="shared" si="310"/>
        <v>0</v>
      </c>
      <c r="AA465" s="1">
        <f t="shared" si="311"/>
        <v>1</v>
      </c>
      <c r="AB465" s="1">
        <f t="shared" si="312"/>
        <v>0</v>
      </c>
      <c r="AD465" s="1">
        <f t="shared" si="313"/>
        <v>0</v>
      </c>
      <c r="AE465" s="1">
        <f t="shared" si="314"/>
        <v>0</v>
      </c>
      <c r="AF465" s="1">
        <f t="shared" si="283"/>
        <v>0</v>
      </c>
      <c r="AG465" s="1">
        <f t="shared" si="284"/>
        <v>0</v>
      </c>
      <c r="AH465" s="1">
        <f t="shared" si="285"/>
        <v>0</v>
      </c>
      <c r="AI465" s="1">
        <f t="shared" si="286"/>
        <v>1</v>
      </c>
    </row>
    <row r="466" spans="1:35" s="1" customFormat="1" ht="14.25" customHeight="1" x14ac:dyDescent="0.25">
      <c r="A466" s="31">
        <v>0</v>
      </c>
      <c r="B466" s="31">
        <v>2</v>
      </c>
      <c r="C466" s="31">
        <v>7</v>
      </c>
      <c r="D466" s="32" t="s">
        <v>59</v>
      </c>
      <c r="E466" s="32" t="s">
        <v>163</v>
      </c>
      <c r="F466" s="32" t="s">
        <v>225</v>
      </c>
      <c r="G466" s="32" t="s">
        <v>226</v>
      </c>
      <c r="H466" s="32" t="s">
        <v>354</v>
      </c>
      <c r="I466" s="31" t="s">
        <v>398</v>
      </c>
      <c r="J466" s="31">
        <v>99</v>
      </c>
      <c r="K466" s="33" t="s">
        <v>713</v>
      </c>
      <c r="L466" s="33" t="s">
        <v>722</v>
      </c>
      <c r="M466" s="34" t="s">
        <v>732</v>
      </c>
      <c r="N466" s="34" t="s">
        <v>1750</v>
      </c>
      <c r="O466" s="35">
        <v>1</v>
      </c>
      <c r="P466" s="35"/>
      <c r="Q466" s="32"/>
      <c r="S466" s="1">
        <f t="shared" si="303"/>
        <v>0</v>
      </c>
      <c r="T466" s="1">
        <f t="shared" si="304"/>
        <v>0</v>
      </c>
      <c r="U466" s="1">
        <f t="shared" si="305"/>
        <v>0</v>
      </c>
      <c r="V466" s="1">
        <f t="shared" si="306"/>
        <v>0</v>
      </c>
      <c r="W466" s="1">
        <f t="shared" si="307"/>
        <v>0</v>
      </c>
      <c r="X466" s="1">
        <f t="shared" si="308"/>
        <v>0</v>
      </c>
      <c r="Y466" s="1">
        <f t="shared" si="309"/>
        <v>0</v>
      </c>
      <c r="Z466" s="1">
        <f t="shared" si="310"/>
        <v>0</v>
      </c>
      <c r="AA466" s="1">
        <f t="shared" si="311"/>
        <v>0</v>
      </c>
      <c r="AB466" s="1">
        <f t="shared" si="312"/>
        <v>0</v>
      </c>
      <c r="AD466" s="1">
        <f t="shared" si="313"/>
        <v>0</v>
      </c>
      <c r="AE466" s="1">
        <f t="shared" si="314"/>
        <v>1</v>
      </c>
      <c r="AF466" s="1">
        <f t="shared" si="283"/>
        <v>0</v>
      </c>
      <c r="AG466" s="1">
        <f t="shared" si="284"/>
        <v>1</v>
      </c>
      <c r="AH466" s="1">
        <f t="shared" si="285"/>
        <v>0</v>
      </c>
      <c r="AI466" s="1">
        <f t="shared" si="286"/>
        <v>1</v>
      </c>
    </row>
    <row r="467" spans="1:35" s="1" customFormat="1" ht="14.25" customHeight="1" x14ac:dyDescent="0.25">
      <c r="A467" s="31">
        <v>0</v>
      </c>
      <c r="B467" s="31">
        <v>2</v>
      </c>
      <c r="C467" s="31">
        <v>7</v>
      </c>
      <c r="D467" s="32" t="s">
        <v>1075</v>
      </c>
      <c r="E467" s="32" t="s">
        <v>156</v>
      </c>
      <c r="F467" s="32" t="s">
        <v>1076</v>
      </c>
      <c r="G467" s="32" t="s">
        <v>220</v>
      </c>
      <c r="H467" s="32" t="s">
        <v>354</v>
      </c>
      <c r="I467" s="31" t="s">
        <v>1077</v>
      </c>
      <c r="J467" s="31">
        <v>8</v>
      </c>
      <c r="K467" s="33" t="s">
        <v>712</v>
      </c>
      <c r="L467" s="33" t="s">
        <v>722</v>
      </c>
      <c r="M467" s="34" t="s">
        <v>732</v>
      </c>
      <c r="N467" s="34" t="s">
        <v>1748</v>
      </c>
      <c r="O467" s="35">
        <v>1</v>
      </c>
      <c r="P467" s="35"/>
      <c r="Q467" s="32"/>
      <c r="S467" s="1">
        <f t="shared" si="303"/>
        <v>0</v>
      </c>
      <c r="T467" s="1">
        <f t="shared" si="304"/>
        <v>0</v>
      </c>
      <c r="U467" s="1">
        <f t="shared" si="305"/>
        <v>0</v>
      </c>
      <c r="V467" s="1">
        <f t="shared" si="306"/>
        <v>0</v>
      </c>
      <c r="W467" s="1">
        <f t="shared" si="307"/>
        <v>0</v>
      </c>
      <c r="X467" s="1">
        <f t="shared" si="308"/>
        <v>0</v>
      </c>
      <c r="Y467" s="1">
        <f t="shared" si="309"/>
        <v>0</v>
      </c>
      <c r="Z467" s="1">
        <f t="shared" si="310"/>
        <v>1</v>
      </c>
      <c r="AA467" s="1">
        <f t="shared" si="311"/>
        <v>0</v>
      </c>
      <c r="AB467" s="1">
        <f t="shared" si="312"/>
        <v>0</v>
      </c>
      <c r="AD467" s="1">
        <f t="shared" si="313"/>
        <v>0</v>
      </c>
      <c r="AE467" s="1">
        <f t="shared" si="314"/>
        <v>1</v>
      </c>
      <c r="AF467" s="1">
        <f t="shared" si="283"/>
        <v>0</v>
      </c>
      <c r="AG467" s="1">
        <f t="shared" si="284"/>
        <v>1</v>
      </c>
      <c r="AH467" s="1">
        <f t="shared" si="285"/>
        <v>0</v>
      </c>
      <c r="AI467" s="1">
        <f t="shared" si="286"/>
        <v>1</v>
      </c>
    </row>
    <row r="468" spans="1:35" s="1" customFormat="1" ht="14.25" customHeight="1" x14ac:dyDescent="0.25">
      <c r="A468" s="31">
        <v>0</v>
      </c>
      <c r="B468" s="31">
        <v>2</v>
      </c>
      <c r="C468" s="31">
        <v>7</v>
      </c>
      <c r="D468" s="32" t="s">
        <v>81</v>
      </c>
      <c r="E468" s="32" t="s">
        <v>156</v>
      </c>
      <c r="F468" s="32" t="s">
        <v>273</v>
      </c>
      <c r="G468" s="32" t="s">
        <v>254</v>
      </c>
      <c r="H468" s="32" t="s">
        <v>354</v>
      </c>
      <c r="I468" s="31" t="s">
        <v>428</v>
      </c>
      <c r="J468" s="31">
        <v>99</v>
      </c>
      <c r="K468" s="33" t="s">
        <v>713</v>
      </c>
      <c r="L468" s="33" t="s">
        <v>733</v>
      </c>
      <c r="M468" s="34" t="s">
        <v>734</v>
      </c>
      <c r="N468" s="34" t="s">
        <v>1756</v>
      </c>
      <c r="O468" s="35">
        <v>1</v>
      </c>
      <c r="P468" s="35"/>
      <c r="Q468" s="32"/>
      <c r="S468" s="1">
        <f t="shared" si="303"/>
        <v>0</v>
      </c>
      <c r="T468" s="1">
        <f t="shared" si="304"/>
        <v>0</v>
      </c>
      <c r="U468" s="1">
        <f t="shared" si="305"/>
        <v>0</v>
      </c>
      <c r="V468" s="1">
        <f t="shared" si="306"/>
        <v>0</v>
      </c>
      <c r="W468" s="1">
        <f t="shared" si="307"/>
        <v>0</v>
      </c>
      <c r="X468" s="1">
        <f t="shared" si="308"/>
        <v>0</v>
      </c>
      <c r="Y468" s="1">
        <f t="shared" si="309"/>
        <v>0</v>
      </c>
      <c r="Z468" s="1">
        <f t="shared" si="310"/>
        <v>0</v>
      </c>
      <c r="AA468" s="1">
        <f t="shared" si="311"/>
        <v>0</v>
      </c>
      <c r="AB468" s="1">
        <f t="shared" si="312"/>
        <v>0</v>
      </c>
      <c r="AD468" s="1">
        <f t="shared" si="313"/>
        <v>0</v>
      </c>
      <c r="AE468" s="1">
        <f t="shared" si="314"/>
        <v>1</v>
      </c>
      <c r="AF468" s="1">
        <f t="shared" si="283"/>
        <v>0</v>
      </c>
      <c r="AG468" s="1">
        <f t="shared" si="284"/>
        <v>1</v>
      </c>
      <c r="AH468" s="1">
        <f t="shared" si="285"/>
        <v>0</v>
      </c>
      <c r="AI468" s="1">
        <f t="shared" si="286"/>
        <v>1</v>
      </c>
    </row>
    <row r="469" spans="1:35" s="1" customFormat="1" ht="14.25" customHeight="1" x14ac:dyDescent="0.25">
      <c r="A469" s="37">
        <v>0</v>
      </c>
      <c r="B469" s="37">
        <v>2</v>
      </c>
      <c r="C469" s="37">
        <v>7</v>
      </c>
      <c r="D469" s="36" t="s">
        <v>1775</v>
      </c>
      <c r="E469" s="36" t="s">
        <v>1776</v>
      </c>
      <c r="F469" s="36" t="s">
        <v>1777</v>
      </c>
      <c r="G469" s="36" t="s">
        <v>190</v>
      </c>
      <c r="H469" s="36" t="s">
        <v>354</v>
      </c>
      <c r="I469" s="37"/>
      <c r="J469" s="37"/>
      <c r="K469" s="33" t="s">
        <v>703</v>
      </c>
      <c r="L469" s="33"/>
      <c r="M469" s="34"/>
      <c r="N469" s="34" t="s">
        <v>1727</v>
      </c>
      <c r="O469" s="35">
        <v>1</v>
      </c>
      <c r="P469" s="35">
        <v>1</v>
      </c>
      <c r="Q469" s="36"/>
      <c r="S469" s="1">
        <f t="shared" si="303"/>
        <v>0</v>
      </c>
      <c r="T469" s="1">
        <f t="shared" si="304"/>
        <v>0</v>
      </c>
      <c r="U469" s="1">
        <f t="shared" si="305"/>
        <v>0</v>
      </c>
      <c r="V469" s="1">
        <f t="shared" si="306"/>
        <v>0</v>
      </c>
      <c r="W469" s="1">
        <f t="shared" si="307"/>
        <v>0</v>
      </c>
      <c r="X469" s="1">
        <f t="shared" si="308"/>
        <v>0</v>
      </c>
      <c r="Y469" s="1">
        <f t="shared" si="309"/>
        <v>0</v>
      </c>
      <c r="Z469" s="1">
        <f t="shared" si="310"/>
        <v>0</v>
      </c>
      <c r="AA469" s="1">
        <f t="shared" si="311"/>
        <v>0</v>
      </c>
      <c r="AB469" s="1">
        <f t="shared" si="312"/>
        <v>0</v>
      </c>
      <c r="AD469" s="1">
        <f t="shared" si="313"/>
        <v>1</v>
      </c>
      <c r="AE469" s="1">
        <f t="shared" si="314"/>
        <v>0</v>
      </c>
      <c r="AF469" s="1">
        <f t="shared" si="283"/>
        <v>1</v>
      </c>
      <c r="AG469" s="1">
        <f t="shared" si="284"/>
        <v>0</v>
      </c>
      <c r="AH469" s="1">
        <f t="shared" si="285"/>
        <v>1</v>
      </c>
      <c r="AI469" s="1">
        <f t="shared" si="286"/>
        <v>0</v>
      </c>
    </row>
    <row r="470" spans="1:35" s="1" customFormat="1" ht="14.25" customHeight="1" x14ac:dyDescent="0.25">
      <c r="A470" s="44">
        <v>0</v>
      </c>
      <c r="B470" s="44">
        <v>2</v>
      </c>
      <c r="C470" s="44">
        <v>7</v>
      </c>
      <c r="D470" s="45" t="s">
        <v>514</v>
      </c>
      <c r="E470" s="45" t="s">
        <v>156</v>
      </c>
      <c r="F470" s="45" t="s">
        <v>574</v>
      </c>
      <c r="G470" s="45" t="s">
        <v>321</v>
      </c>
      <c r="H470" s="45" t="s">
        <v>354</v>
      </c>
      <c r="I470" s="44" t="s">
        <v>581</v>
      </c>
      <c r="J470" s="44">
        <v>99</v>
      </c>
      <c r="K470" s="46" t="s">
        <v>954</v>
      </c>
      <c r="L470" s="46" t="s">
        <v>722</v>
      </c>
      <c r="M470" s="47" t="s">
        <v>732</v>
      </c>
      <c r="N470" s="47" t="s">
        <v>1738</v>
      </c>
      <c r="O470" s="48"/>
      <c r="P470" s="48"/>
      <c r="Q470" s="45"/>
      <c r="S470" s="1">
        <f t="shared" si="303"/>
        <v>0</v>
      </c>
      <c r="T470" s="1">
        <f t="shared" si="304"/>
        <v>0</v>
      </c>
      <c r="U470" s="1">
        <f t="shared" si="305"/>
        <v>0</v>
      </c>
      <c r="V470" s="1">
        <f t="shared" si="306"/>
        <v>0</v>
      </c>
      <c r="W470" s="1">
        <f t="shared" si="307"/>
        <v>0</v>
      </c>
      <c r="X470" s="1">
        <f t="shared" si="308"/>
        <v>0</v>
      </c>
      <c r="Y470" s="1">
        <f t="shared" si="309"/>
        <v>0</v>
      </c>
      <c r="Z470" s="1">
        <f t="shared" si="310"/>
        <v>0</v>
      </c>
      <c r="AA470" s="1">
        <f t="shared" si="311"/>
        <v>0</v>
      </c>
      <c r="AB470" s="1">
        <f t="shared" si="312"/>
        <v>0</v>
      </c>
      <c r="AD470" s="1">
        <f t="shared" si="313"/>
        <v>0</v>
      </c>
      <c r="AE470" s="1">
        <f t="shared" si="314"/>
        <v>0</v>
      </c>
      <c r="AF470" s="1">
        <f t="shared" si="283"/>
        <v>0</v>
      </c>
      <c r="AG470" s="1">
        <f t="shared" si="284"/>
        <v>0</v>
      </c>
      <c r="AH470" s="1">
        <f t="shared" si="285"/>
        <v>0</v>
      </c>
      <c r="AI470" s="1">
        <f t="shared" si="286"/>
        <v>1</v>
      </c>
    </row>
    <row r="471" spans="1:35" s="1" customFormat="1" ht="14.25" customHeight="1" x14ac:dyDescent="0.25">
      <c r="A471" s="44">
        <v>0</v>
      </c>
      <c r="B471" s="44">
        <v>2</v>
      </c>
      <c r="C471" s="44">
        <v>7</v>
      </c>
      <c r="D471" s="45" t="s">
        <v>74</v>
      </c>
      <c r="E471" s="45" t="s">
        <v>156</v>
      </c>
      <c r="F471" s="45" t="s">
        <v>675</v>
      </c>
      <c r="G471" s="45" t="s">
        <v>265</v>
      </c>
      <c r="H471" s="45" t="s">
        <v>354</v>
      </c>
      <c r="I471" s="44" t="s">
        <v>422</v>
      </c>
      <c r="J471" s="44">
        <v>99</v>
      </c>
      <c r="K471" s="46" t="s">
        <v>712</v>
      </c>
      <c r="L471" s="46" t="s">
        <v>729</v>
      </c>
      <c r="M471" s="47" t="s">
        <v>732</v>
      </c>
      <c r="N471" s="47" t="s">
        <v>1735</v>
      </c>
      <c r="O471" s="48"/>
      <c r="P471" s="48"/>
      <c r="Q471" s="45"/>
      <c r="S471" s="1">
        <f t="shared" ref="S471:S476" si="339">IF(J471=$S$7,1,0)</f>
        <v>0</v>
      </c>
      <c r="T471" s="1">
        <f t="shared" ref="T471:T476" si="340">IF(J471=$T$7,1,0)</f>
        <v>0</v>
      </c>
      <c r="U471" s="1">
        <f t="shared" ref="U471:U476" si="341">IF(J471=$U$7,1,0)</f>
        <v>0</v>
      </c>
      <c r="V471" s="1">
        <f t="shared" ref="V471:V476" si="342">IF(J471=$V$7,1,0)</f>
        <v>0</v>
      </c>
      <c r="W471" s="1">
        <f t="shared" ref="W471:W476" si="343">IF(J471=$W$7,1,0)</f>
        <v>0</v>
      </c>
      <c r="X471" s="1">
        <f t="shared" ref="X471:X476" si="344">IF(J471=$X$7,1,0)</f>
        <v>0</v>
      </c>
      <c r="Y471" s="1">
        <f t="shared" ref="Y471:Y476" si="345">IF(J471=$Y$7,1,0)</f>
        <v>0</v>
      </c>
      <c r="Z471" s="1">
        <f t="shared" ref="Z471:Z476" si="346">IF(J471=$Z$7,1,0)</f>
        <v>0</v>
      </c>
      <c r="AA471" s="1">
        <f t="shared" ref="AA471:AA476" si="347">IF(J471=$AA$7,1,0)</f>
        <v>0</v>
      </c>
      <c r="AB471" s="1">
        <f t="shared" ref="AB471:AB476" si="348">IF(J471=$AB$7,1,0)</f>
        <v>0</v>
      </c>
      <c r="AD471" s="1">
        <f t="shared" ref="AD471:AD476" si="349">+O471*P471</f>
        <v>0</v>
      </c>
      <c r="AE471" s="1">
        <f t="shared" ref="AE471:AE476" si="350">O471*(1-P471)</f>
        <v>0</v>
      </c>
      <c r="AF471" s="1">
        <f t="shared" ref="AF471:AF476" si="351">+O471*P471*(1-A471)</f>
        <v>0</v>
      </c>
      <c r="AG471" s="1">
        <f t="shared" ref="AG471:AG476" si="352">O471*(1-P471)*(1-A471)</f>
        <v>0</v>
      </c>
      <c r="AH471" s="1">
        <f t="shared" ref="AH471:AH476" si="353">+P471*(1-A471)</f>
        <v>0</v>
      </c>
      <c r="AI471" s="1">
        <f t="shared" ref="AI471:AI476" si="354">+(1-A471)*(1-P471)</f>
        <v>1</v>
      </c>
    </row>
    <row r="472" spans="1:35" s="1" customFormat="1" ht="14.25" customHeight="1" x14ac:dyDescent="0.25">
      <c r="A472" s="31">
        <v>0</v>
      </c>
      <c r="B472" s="31">
        <v>2</v>
      </c>
      <c r="C472" s="31">
        <v>7</v>
      </c>
      <c r="D472" s="32" t="s">
        <v>2007</v>
      </c>
      <c r="E472" s="32" t="s">
        <v>156</v>
      </c>
      <c r="F472" s="32" t="s">
        <v>2008</v>
      </c>
      <c r="G472" s="32" t="s">
        <v>283</v>
      </c>
      <c r="H472" s="32" t="s">
        <v>354</v>
      </c>
      <c r="I472" s="31" t="s">
        <v>2009</v>
      </c>
      <c r="J472" s="31">
        <v>99</v>
      </c>
      <c r="K472" s="33" t="s">
        <v>703</v>
      </c>
      <c r="L472" s="33" t="s">
        <v>722</v>
      </c>
      <c r="M472" s="34" t="s">
        <v>732</v>
      </c>
      <c r="N472" s="34" t="s">
        <v>1727</v>
      </c>
      <c r="O472" s="35">
        <v>1</v>
      </c>
      <c r="P472" s="35">
        <v>1</v>
      </c>
      <c r="Q472" s="32"/>
      <c r="S472" s="1">
        <f t="shared" si="339"/>
        <v>0</v>
      </c>
      <c r="T472" s="1">
        <f t="shared" si="340"/>
        <v>0</v>
      </c>
      <c r="U472" s="1">
        <f t="shared" si="341"/>
        <v>0</v>
      </c>
      <c r="V472" s="1">
        <f t="shared" si="342"/>
        <v>0</v>
      </c>
      <c r="W472" s="1">
        <f t="shared" si="343"/>
        <v>0</v>
      </c>
      <c r="X472" s="1">
        <f t="shared" si="344"/>
        <v>0</v>
      </c>
      <c r="Y472" s="1">
        <f t="shared" si="345"/>
        <v>0</v>
      </c>
      <c r="Z472" s="1">
        <f t="shared" si="346"/>
        <v>0</v>
      </c>
      <c r="AA472" s="1">
        <f t="shared" si="347"/>
        <v>0</v>
      </c>
      <c r="AB472" s="1">
        <f t="shared" si="348"/>
        <v>0</v>
      </c>
      <c r="AD472" s="1">
        <f t="shared" si="349"/>
        <v>1</v>
      </c>
      <c r="AE472" s="1">
        <f t="shared" si="350"/>
        <v>0</v>
      </c>
      <c r="AF472" s="1">
        <f t="shared" si="351"/>
        <v>1</v>
      </c>
      <c r="AG472" s="1">
        <f t="shared" si="352"/>
        <v>0</v>
      </c>
      <c r="AH472" s="1">
        <f t="shared" si="353"/>
        <v>1</v>
      </c>
      <c r="AI472" s="1">
        <f t="shared" si="354"/>
        <v>0</v>
      </c>
    </row>
    <row r="473" spans="1:35" s="1" customFormat="1" ht="14.25" customHeight="1" x14ac:dyDescent="0.25">
      <c r="A473" s="31">
        <v>1</v>
      </c>
      <c r="B473" s="31">
        <v>2</v>
      </c>
      <c r="C473" s="31">
        <v>7</v>
      </c>
      <c r="D473" s="32" t="s">
        <v>2007</v>
      </c>
      <c r="E473" s="32" t="s">
        <v>156</v>
      </c>
      <c r="F473" s="32" t="s">
        <v>2010</v>
      </c>
      <c r="G473" s="32" t="s">
        <v>2011</v>
      </c>
      <c r="H473" s="32" t="s">
        <v>354</v>
      </c>
      <c r="I473" s="31" t="s">
        <v>2012</v>
      </c>
      <c r="J473" s="31">
        <v>99</v>
      </c>
      <c r="K473" s="33" t="s">
        <v>703</v>
      </c>
      <c r="L473" s="33" t="s">
        <v>722</v>
      </c>
      <c r="M473" s="34" t="s">
        <v>732</v>
      </c>
      <c r="N473" s="34" t="s">
        <v>1727</v>
      </c>
      <c r="O473" s="35">
        <v>1</v>
      </c>
      <c r="P473" s="35">
        <v>1</v>
      </c>
      <c r="Q473" s="32"/>
      <c r="S473" s="1">
        <f t="shared" si="339"/>
        <v>0</v>
      </c>
      <c r="T473" s="1">
        <f t="shared" si="340"/>
        <v>0</v>
      </c>
      <c r="U473" s="1">
        <f t="shared" si="341"/>
        <v>0</v>
      </c>
      <c r="V473" s="1">
        <f t="shared" si="342"/>
        <v>0</v>
      </c>
      <c r="W473" s="1">
        <f t="shared" si="343"/>
        <v>0</v>
      </c>
      <c r="X473" s="1">
        <f t="shared" si="344"/>
        <v>0</v>
      </c>
      <c r="Y473" s="1">
        <f t="shared" si="345"/>
        <v>0</v>
      </c>
      <c r="Z473" s="1">
        <f t="shared" si="346"/>
        <v>0</v>
      </c>
      <c r="AA473" s="1">
        <f t="shared" si="347"/>
        <v>0</v>
      </c>
      <c r="AB473" s="1">
        <f t="shared" si="348"/>
        <v>0</v>
      </c>
      <c r="AD473" s="1">
        <f t="shared" si="349"/>
        <v>1</v>
      </c>
      <c r="AE473" s="1">
        <f t="shared" si="350"/>
        <v>0</v>
      </c>
      <c r="AF473" s="1">
        <f t="shared" si="351"/>
        <v>0</v>
      </c>
      <c r="AG473" s="1">
        <f t="shared" si="352"/>
        <v>0</v>
      </c>
      <c r="AH473" s="1">
        <f t="shared" si="353"/>
        <v>0</v>
      </c>
      <c r="AI473" s="1">
        <f t="shared" si="354"/>
        <v>0</v>
      </c>
    </row>
    <row r="474" spans="1:35" s="1" customFormat="1" ht="14.25" customHeight="1" x14ac:dyDescent="0.25">
      <c r="A474" s="15">
        <v>0</v>
      </c>
      <c r="B474" s="15">
        <v>2</v>
      </c>
      <c r="C474" s="15">
        <v>7</v>
      </c>
      <c r="D474" s="20" t="s">
        <v>1858</v>
      </c>
      <c r="E474" s="16" t="s">
        <v>156</v>
      </c>
      <c r="F474" s="20" t="s">
        <v>1859</v>
      </c>
      <c r="G474" s="20" t="s">
        <v>283</v>
      </c>
      <c r="H474" s="20" t="s">
        <v>354</v>
      </c>
      <c r="I474" s="21" t="s">
        <v>1860</v>
      </c>
      <c r="J474" s="15">
        <v>99</v>
      </c>
      <c r="K474" s="10" t="s">
        <v>703</v>
      </c>
      <c r="L474" s="10" t="s">
        <v>722</v>
      </c>
      <c r="M474" s="19" t="s">
        <v>732</v>
      </c>
      <c r="N474" s="19"/>
      <c r="Q474" s="20"/>
      <c r="S474" s="1">
        <f t="shared" si="339"/>
        <v>0</v>
      </c>
      <c r="T474" s="1">
        <f t="shared" si="340"/>
        <v>0</v>
      </c>
      <c r="U474" s="1">
        <f t="shared" si="341"/>
        <v>0</v>
      </c>
      <c r="V474" s="1">
        <f t="shared" si="342"/>
        <v>0</v>
      </c>
      <c r="W474" s="1">
        <f t="shared" si="343"/>
        <v>0</v>
      </c>
      <c r="X474" s="1">
        <f t="shared" si="344"/>
        <v>0</v>
      </c>
      <c r="Y474" s="1">
        <f t="shared" si="345"/>
        <v>0</v>
      </c>
      <c r="Z474" s="1">
        <f t="shared" si="346"/>
        <v>0</v>
      </c>
      <c r="AA474" s="1">
        <f t="shared" si="347"/>
        <v>0</v>
      </c>
      <c r="AB474" s="1">
        <f t="shared" si="348"/>
        <v>0</v>
      </c>
      <c r="AD474" s="1">
        <f t="shared" si="349"/>
        <v>0</v>
      </c>
      <c r="AE474" s="1">
        <f t="shared" si="350"/>
        <v>0</v>
      </c>
      <c r="AF474" s="1">
        <f t="shared" si="351"/>
        <v>0</v>
      </c>
      <c r="AG474" s="1">
        <f t="shared" si="352"/>
        <v>0</v>
      </c>
      <c r="AH474" s="1">
        <f t="shared" si="353"/>
        <v>0</v>
      </c>
      <c r="AI474" s="1">
        <f t="shared" si="354"/>
        <v>1</v>
      </c>
    </row>
    <row r="475" spans="1:35" s="1" customFormat="1" ht="14.25" customHeight="1" x14ac:dyDescent="0.25">
      <c r="A475" s="31">
        <v>0</v>
      </c>
      <c r="B475" s="31">
        <v>2</v>
      </c>
      <c r="C475" s="31">
        <v>7</v>
      </c>
      <c r="D475" s="32" t="s">
        <v>60</v>
      </c>
      <c r="E475" s="32" t="s">
        <v>163</v>
      </c>
      <c r="F475" s="32" t="s">
        <v>227</v>
      </c>
      <c r="G475" s="32" t="s">
        <v>190</v>
      </c>
      <c r="H475" s="32" t="s">
        <v>354</v>
      </c>
      <c r="I475" s="31" t="s">
        <v>399</v>
      </c>
      <c r="J475" s="31">
        <v>99</v>
      </c>
      <c r="K475" s="33" t="s">
        <v>713</v>
      </c>
      <c r="L475" s="33" t="s">
        <v>722</v>
      </c>
      <c r="M475" s="34" t="s">
        <v>732</v>
      </c>
      <c r="N475" s="34" t="s">
        <v>1748</v>
      </c>
      <c r="O475" s="35">
        <v>1</v>
      </c>
      <c r="P475" s="35"/>
      <c r="Q475" s="32"/>
      <c r="S475" s="1">
        <f t="shared" si="339"/>
        <v>0</v>
      </c>
      <c r="T475" s="1">
        <f t="shared" si="340"/>
        <v>0</v>
      </c>
      <c r="U475" s="1">
        <f t="shared" si="341"/>
        <v>0</v>
      </c>
      <c r="V475" s="1">
        <f t="shared" si="342"/>
        <v>0</v>
      </c>
      <c r="W475" s="1">
        <f t="shared" si="343"/>
        <v>0</v>
      </c>
      <c r="X475" s="1">
        <f t="shared" si="344"/>
        <v>0</v>
      </c>
      <c r="Y475" s="1">
        <f t="shared" si="345"/>
        <v>0</v>
      </c>
      <c r="Z475" s="1">
        <f t="shared" si="346"/>
        <v>0</v>
      </c>
      <c r="AA475" s="1">
        <f t="shared" si="347"/>
        <v>0</v>
      </c>
      <c r="AB475" s="1">
        <f t="shared" si="348"/>
        <v>0</v>
      </c>
      <c r="AD475" s="1">
        <f t="shared" si="349"/>
        <v>0</v>
      </c>
      <c r="AE475" s="1">
        <f t="shared" si="350"/>
        <v>1</v>
      </c>
      <c r="AF475" s="1">
        <f t="shared" si="351"/>
        <v>0</v>
      </c>
      <c r="AG475" s="1">
        <f t="shared" si="352"/>
        <v>1</v>
      </c>
      <c r="AH475" s="1">
        <f t="shared" si="353"/>
        <v>0</v>
      </c>
      <c r="AI475" s="1">
        <f t="shared" si="354"/>
        <v>1</v>
      </c>
    </row>
    <row r="476" spans="1:35" s="1" customFormat="1" ht="14.25" customHeight="1" x14ac:dyDescent="0.25">
      <c r="A476" s="31">
        <v>0</v>
      </c>
      <c r="B476" s="31">
        <v>2</v>
      </c>
      <c r="C476" s="31">
        <v>7</v>
      </c>
      <c r="D476" s="32" t="s">
        <v>1329</v>
      </c>
      <c r="E476" s="32" t="s">
        <v>156</v>
      </c>
      <c r="F476" s="32" t="s">
        <v>1143</v>
      </c>
      <c r="G476" s="32" t="s">
        <v>192</v>
      </c>
      <c r="H476" s="32" t="s">
        <v>354</v>
      </c>
      <c r="I476" s="31" t="s">
        <v>1369</v>
      </c>
      <c r="J476" s="31">
        <v>99</v>
      </c>
      <c r="K476" s="33" t="s">
        <v>712</v>
      </c>
      <c r="L476" s="33" t="s">
        <v>39</v>
      </c>
      <c r="M476" s="34" t="s">
        <v>39</v>
      </c>
      <c r="N476" s="34" t="s">
        <v>1727</v>
      </c>
      <c r="O476" s="35">
        <v>1</v>
      </c>
      <c r="P476" s="35">
        <v>1</v>
      </c>
      <c r="Q476" s="32"/>
      <c r="S476" s="1">
        <f t="shared" si="339"/>
        <v>0</v>
      </c>
      <c r="T476" s="1">
        <f t="shared" si="340"/>
        <v>0</v>
      </c>
      <c r="U476" s="1">
        <f t="shared" si="341"/>
        <v>0</v>
      </c>
      <c r="V476" s="1">
        <f t="shared" si="342"/>
        <v>0</v>
      </c>
      <c r="W476" s="1">
        <f t="shared" si="343"/>
        <v>0</v>
      </c>
      <c r="X476" s="1">
        <f t="shared" si="344"/>
        <v>0</v>
      </c>
      <c r="Y476" s="1">
        <f t="shared" si="345"/>
        <v>0</v>
      </c>
      <c r="Z476" s="1">
        <f t="shared" si="346"/>
        <v>0</v>
      </c>
      <c r="AA476" s="1">
        <f t="shared" si="347"/>
        <v>0</v>
      </c>
      <c r="AB476" s="1">
        <f t="shared" si="348"/>
        <v>0</v>
      </c>
      <c r="AD476" s="1">
        <f t="shared" si="349"/>
        <v>1</v>
      </c>
      <c r="AE476" s="1">
        <f t="shared" si="350"/>
        <v>0</v>
      </c>
      <c r="AF476" s="1">
        <f t="shared" si="351"/>
        <v>1</v>
      </c>
      <c r="AG476" s="1">
        <f t="shared" si="352"/>
        <v>0</v>
      </c>
      <c r="AH476" s="1">
        <f t="shared" si="353"/>
        <v>1</v>
      </c>
      <c r="AI476" s="1">
        <f t="shared" si="354"/>
        <v>0</v>
      </c>
    </row>
    <row r="477" spans="1:35" s="1" customFormat="1" ht="14.25" customHeight="1" x14ac:dyDescent="0.25">
      <c r="A477" s="31">
        <v>0</v>
      </c>
      <c r="B477" s="31">
        <v>2</v>
      </c>
      <c r="C477" s="31">
        <v>7</v>
      </c>
      <c r="D477" s="32" t="s">
        <v>589</v>
      </c>
      <c r="E477" s="32" t="s">
        <v>1337</v>
      </c>
      <c r="F477" s="32" t="s">
        <v>676</v>
      </c>
      <c r="G477" s="32" t="s">
        <v>240</v>
      </c>
      <c r="H477" s="32" t="s">
        <v>354</v>
      </c>
      <c r="I477" s="31" t="s">
        <v>405</v>
      </c>
      <c r="J477" s="31">
        <v>1</v>
      </c>
      <c r="K477" s="33" t="s">
        <v>713</v>
      </c>
      <c r="L477" s="33" t="s">
        <v>1711</v>
      </c>
      <c r="M477" s="34" t="s">
        <v>1439</v>
      </c>
      <c r="N477" s="34" t="s">
        <v>1748</v>
      </c>
      <c r="O477" s="35">
        <v>1</v>
      </c>
      <c r="P477" s="35"/>
      <c r="Q477" s="32"/>
      <c r="S477" s="1">
        <f t="shared" si="303"/>
        <v>1</v>
      </c>
      <c r="T477" s="1">
        <f t="shared" si="304"/>
        <v>0</v>
      </c>
      <c r="U477" s="1">
        <f t="shared" si="305"/>
        <v>0</v>
      </c>
      <c r="V477" s="1">
        <f t="shared" si="306"/>
        <v>0</v>
      </c>
      <c r="W477" s="1">
        <f t="shared" si="307"/>
        <v>0</v>
      </c>
      <c r="X477" s="1">
        <f t="shared" si="308"/>
        <v>0</v>
      </c>
      <c r="Y477" s="1">
        <f t="shared" si="309"/>
        <v>0</v>
      </c>
      <c r="Z477" s="1">
        <f t="shared" si="310"/>
        <v>0</v>
      </c>
      <c r="AA477" s="1">
        <f t="shared" si="311"/>
        <v>0</v>
      </c>
      <c r="AB477" s="1">
        <f t="shared" si="312"/>
        <v>0</v>
      </c>
      <c r="AD477" s="1">
        <f t="shared" ref="AD477" si="355">+O477*P477</f>
        <v>0</v>
      </c>
      <c r="AE477" s="1">
        <f t="shared" ref="AE477" si="356">O477*(1-P477)</f>
        <v>1</v>
      </c>
      <c r="AF477" s="1">
        <f t="shared" ref="AF477:AF492" si="357">+O477*P477*(1-A477)</f>
        <v>0</v>
      </c>
      <c r="AG477" s="1">
        <f t="shared" ref="AG477:AG492" si="358">O477*(1-P477)*(1-A477)</f>
        <v>1</v>
      </c>
      <c r="AH477" s="1">
        <f t="shared" ref="AH477:AH492" si="359">+P477*(1-A477)</f>
        <v>0</v>
      </c>
      <c r="AI477" s="1">
        <f t="shared" ref="AI477:AI492" si="360">+(1-A477)*(1-P477)</f>
        <v>1</v>
      </c>
    </row>
    <row r="478" spans="1:35" s="1" customFormat="1" ht="14.25" customHeight="1" x14ac:dyDescent="0.25">
      <c r="A478" s="31">
        <v>1</v>
      </c>
      <c r="B478" s="31">
        <v>2</v>
      </c>
      <c r="C478" s="31">
        <v>7</v>
      </c>
      <c r="D478" s="32" t="s">
        <v>589</v>
      </c>
      <c r="E478" s="32" t="s">
        <v>1337</v>
      </c>
      <c r="F478" s="32" t="s">
        <v>239</v>
      </c>
      <c r="G478" s="32" t="s">
        <v>178</v>
      </c>
      <c r="H478" s="32" t="s">
        <v>354</v>
      </c>
      <c r="I478" s="31" t="s">
        <v>404</v>
      </c>
      <c r="J478" s="31">
        <v>1</v>
      </c>
      <c r="K478" s="33" t="s">
        <v>713</v>
      </c>
      <c r="L478" s="33" t="s">
        <v>1711</v>
      </c>
      <c r="M478" s="34" t="s">
        <v>1439</v>
      </c>
      <c r="N478" s="34" t="s">
        <v>1748</v>
      </c>
      <c r="O478" s="35">
        <v>1</v>
      </c>
      <c r="P478" s="35"/>
      <c r="Q478" s="36" t="s">
        <v>1911</v>
      </c>
      <c r="S478" s="1">
        <f t="shared" si="303"/>
        <v>1</v>
      </c>
      <c r="T478" s="1">
        <f t="shared" si="304"/>
        <v>0</v>
      </c>
      <c r="U478" s="1">
        <f t="shared" si="305"/>
        <v>0</v>
      </c>
      <c r="V478" s="1">
        <f t="shared" si="306"/>
        <v>0</v>
      </c>
      <c r="W478" s="1">
        <f t="shared" si="307"/>
        <v>0</v>
      </c>
      <c r="X478" s="1">
        <f t="shared" si="308"/>
        <v>0</v>
      </c>
      <c r="Y478" s="1">
        <f t="shared" si="309"/>
        <v>0</v>
      </c>
      <c r="Z478" s="1">
        <f t="shared" si="310"/>
        <v>0</v>
      </c>
      <c r="AA478" s="1">
        <f t="shared" si="311"/>
        <v>0</v>
      </c>
      <c r="AB478" s="1">
        <f t="shared" si="312"/>
        <v>0</v>
      </c>
      <c r="AD478" s="1">
        <f t="shared" si="313"/>
        <v>0</v>
      </c>
      <c r="AE478" s="1">
        <f t="shared" si="314"/>
        <v>1</v>
      </c>
      <c r="AF478" s="1">
        <f t="shared" si="357"/>
        <v>0</v>
      </c>
      <c r="AG478" s="1">
        <f t="shared" si="358"/>
        <v>0</v>
      </c>
      <c r="AH478" s="1">
        <f t="shared" si="359"/>
        <v>0</v>
      </c>
      <c r="AI478" s="1">
        <f t="shared" si="360"/>
        <v>0</v>
      </c>
    </row>
    <row r="479" spans="1:35" s="1" customFormat="1" ht="14.25" customHeight="1" x14ac:dyDescent="0.25">
      <c r="A479" s="31">
        <v>0</v>
      </c>
      <c r="B479" s="31">
        <v>2</v>
      </c>
      <c r="C479" s="31">
        <v>7</v>
      </c>
      <c r="D479" s="32" t="s">
        <v>1330</v>
      </c>
      <c r="E479" s="32" t="s">
        <v>156</v>
      </c>
      <c r="F479" s="32" t="s">
        <v>1356</v>
      </c>
      <c r="G479" s="32" t="s">
        <v>258</v>
      </c>
      <c r="H479" s="32" t="s">
        <v>354</v>
      </c>
      <c r="I479" s="31" t="s">
        <v>1239</v>
      </c>
      <c r="J479" s="31">
        <v>8</v>
      </c>
      <c r="K479" s="33" t="s">
        <v>955</v>
      </c>
      <c r="L479" s="33" t="s">
        <v>722</v>
      </c>
      <c r="M479" s="34" t="s">
        <v>732</v>
      </c>
      <c r="N479" s="34" t="s">
        <v>1748</v>
      </c>
      <c r="O479" s="35">
        <v>1</v>
      </c>
      <c r="P479" s="35"/>
      <c r="Q479" s="32"/>
      <c r="S479" s="1">
        <f t="shared" si="303"/>
        <v>0</v>
      </c>
      <c r="T479" s="1">
        <f t="shared" si="304"/>
        <v>0</v>
      </c>
      <c r="U479" s="1">
        <f t="shared" si="305"/>
        <v>0</v>
      </c>
      <c r="V479" s="1">
        <f t="shared" si="306"/>
        <v>0</v>
      </c>
      <c r="W479" s="1">
        <f t="shared" si="307"/>
        <v>0</v>
      </c>
      <c r="X479" s="1">
        <f t="shared" si="308"/>
        <v>0</v>
      </c>
      <c r="Y479" s="1">
        <f t="shared" si="309"/>
        <v>0</v>
      </c>
      <c r="Z479" s="1">
        <f t="shared" si="310"/>
        <v>1</v>
      </c>
      <c r="AA479" s="1">
        <f t="shared" si="311"/>
        <v>0</v>
      </c>
      <c r="AB479" s="1">
        <f t="shared" si="312"/>
        <v>0</v>
      </c>
      <c r="AD479" s="1">
        <f t="shared" si="313"/>
        <v>0</v>
      </c>
      <c r="AE479" s="1">
        <f t="shared" si="314"/>
        <v>1</v>
      </c>
      <c r="AF479" s="1">
        <f t="shared" si="357"/>
        <v>0</v>
      </c>
      <c r="AG479" s="1">
        <f t="shared" si="358"/>
        <v>1</v>
      </c>
      <c r="AH479" s="1">
        <f t="shared" si="359"/>
        <v>0</v>
      </c>
      <c r="AI479" s="1">
        <f t="shared" si="360"/>
        <v>1</v>
      </c>
    </row>
    <row r="480" spans="1:35" s="1" customFormat="1" ht="14.25" customHeight="1" x14ac:dyDescent="0.25">
      <c r="A480" s="31">
        <v>1</v>
      </c>
      <c r="B480" s="31">
        <v>2</v>
      </c>
      <c r="C480" s="31">
        <v>7</v>
      </c>
      <c r="D480" s="32" t="s">
        <v>1330</v>
      </c>
      <c r="E480" s="32" t="s">
        <v>156</v>
      </c>
      <c r="F480" s="32" t="s">
        <v>1218</v>
      </c>
      <c r="G480" s="32" t="s">
        <v>218</v>
      </c>
      <c r="H480" s="32" t="s">
        <v>354</v>
      </c>
      <c r="I480" s="31" t="s">
        <v>1239</v>
      </c>
      <c r="J480" s="31">
        <v>99</v>
      </c>
      <c r="K480" s="33" t="s">
        <v>955</v>
      </c>
      <c r="L480" s="33" t="s">
        <v>722</v>
      </c>
      <c r="M480" s="34" t="s">
        <v>732</v>
      </c>
      <c r="N480" s="34" t="s">
        <v>1748</v>
      </c>
      <c r="O480" s="35">
        <v>1</v>
      </c>
      <c r="P480" s="35"/>
      <c r="Q480" s="32"/>
      <c r="S480" s="1">
        <f t="shared" si="303"/>
        <v>0</v>
      </c>
      <c r="T480" s="1">
        <f t="shared" si="304"/>
        <v>0</v>
      </c>
      <c r="U480" s="1">
        <f t="shared" si="305"/>
        <v>0</v>
      </c>
      <c r="V480" s="1">
        <f t="shared" si="306"/>
        <v>0</v>
      </c>
      <c r="W480" s="1">
        <f t="shared" si="307"/>
        <v>0</v>
      </c>
      <c r="X480" s="1">
        <f t="shared" si="308"/>
        <v>0</v>
      </c>
      <c r="Y480" s="1">
        <f t="shared" si="309"/>
        <v>0</v>
      </c>
      <c r="Z480" s="1">
        <f t="shared" si="310"/>
        <v>0</v>
      </c>
      <c r="AA480" s="1">
        <f t="shared" si="311"/>
        <v>0</v>
      </c>
      <c r="AB480" s="1">
        <f t="shared" si="312"/>
        <v>0</v>
      </c>
      <c r="AD480" s="1">
        <f t="shared" si="313"/>
        <v>0</v>
      </c>
      <c r="AE480" s="1">
        <f t="shared" si="314"/>
        <v>1</v>
      </c>
      <c r="AF480" s="1">
        <f t="shared" si="357"/>
        <v>0</v>
      </c>
      <c r="AG480" s="1">
        <f t="shared" si="358"/>
        <v>0</v>
      </c>
      <c r="AH480" s="1">
        <f t="shared" si="359"/>
        <v>0</v>
      </c>
      <c r="AI480" s="1">
        <f t="shared" si="360"/>
        <v>0</v>
      </c>
    </row>
    <row r="481" spans="1:35" s="1" customFormat="1" ht="14.25" customHeight="1" x14ac:dyDescent="0.25">
      <c r="A481" s="44">
        <v>0</v>
      </c>
      <c r="B481" s="44">
        <v>2</v>
      </c>
      <c r="C481" s="44">
        <v>7</v>
      </c>
      <c r="D481" s="45" t="s">
        <v>1248</v>
      </c>
      <c r="E481" s="45" t="s">
        <v>156</v>
      </c>
      <c r="F481" s="45" t="s">
        <v>1250</v>
      </c>
      <c r="G481" s="45" t="s">
        <v>220</v>
      </c>
      <c r="H481" s="45" t="s">
        <v>354</v>
      </c>
      <c r="I481" s="44" t="s">
        <v>1370</v>
      </c>
      <c r="J481" s="44">
        <v>8</v>
      </c>
      <c r="K481" s="46" t="s">
        <v>954</v>
      </c>
      <c r="L481" s="46" t="s">
        <v>722</v>
      </c>
      <c r="M481" s="47" t="s">
        <v>732</v>
      </c>
      <c r="N481" s="47" t="s">
        <v>1735</v>
      </c>
      <c r="O481" s="48"/>
      <c r="P481" s="48"/>
      <c r="Q481" s="45"/>
      <c r="S481" s="1">
        <f t="shared" si="303"/>
        <v>0</v>
      </c>
      <c r="T481" s="1">
        <f t="shared" si="304"/>
        <v>0</v>
      </c>
      <c r="U481" s="1">
        <f t="shared" si="305"/>
        <v>0</v>
      </c>
      <c r="V481" s="1">
        <f t="shared" si="306"/>
        <v>0</v>
      </c>
      <c r="W481" s="1">
        <f t="shared" si="307"/>
        <v>0</v>
      </c>
      <c r="X481" s="1">
        <f t="shared" si="308"/>
        <v>0</v>
      </c>
      <c r="Y481" s="1">
        <f t="shared" si="309"/>
        <v>0</v>
      </c>
      <c r="Z481" s="1">
        <f t="shared" si="310"/>
        <v>1</v>
      </c>
      <c r="AA481" s="1">
        <f t="shared" si="311"/>
        <v>0</v>
      </c>
      <c r="AB481" s="1">
        <f t="shared" si="312"/>
        <v>0</v>
      </c>
      <c r="AD481" s="1">
        <f t="shared" si="313"/>
        <v>0</v>
      </c>
      <c r="AE481" s="1">
        <f t="shared" si="314"/>
        <v>0</v>
      </c>
      <c r="AF481" s="1">
        <f t="shared" si="357"/>
        <v>0</v>
      </c>
      <c r="AG481" s="1">
        <f t="shared" si="358"/>
        <v>0</v>
      </c>
      <c r="AH481" s="1">
        <f t="shared" si="359"/>
        <v>0</v>
      </c>
      <c r="AI481" s="1">
        <f t="shared" si="360"/>
        <v>1</v>
      </c>
    </row>
    <row r="482" spans="1:35" s="1" customFormat="1" ht="14.25" customHeight="1" x14ac:dyDescent="0.25">
      <c r="A482" s="44">
        <v>1</v>
      </c>
      <c r="B482" s="44">
        <v>2</v>
      </c>
      <c r="C482" s="44">
        <v>7</v>
      </c>
      <c r="D482" s="45" t="s">
        <v>1248</v>
      </c>
      <c r="E482" s="45" t="s">
        <v>156</v>
      </c>
      <c r="F482" s="45" t="s">
        <v>1357</v>
      </c>
      <c r="G482" s="45" t="s">
        <v>39</v>
      </c>
      <c r="H482" s="45" t="s">
        <v>355</v>
      </c>
      <c r="I482" s="44" t="s">
        <v>1249</v>
      </c>
      <c r="J482" s="44">
        <v>99</v>
      </c>
      <c r="K482" s="46" t="s">
        <v>954</v>
      </c>
      <c r="L482" s="46" t="s">
        <v>722</v>
      </c>
      <c r="M482" s="47" t="s">
        <v>732</v>
      </c>
      <c r="N482" s="47" t="s">
        <v>1735</v>
      </c>
      <c r="O482" s="48"/>
      <c r="P482" s="48"/>
      <c r="Q482" s="65" t="s">
        <v>1904</v>
      </c>
      <c r="S482" s="1">
        <f t="shared" ref="S482:S492" si="361">IF(J482=$S$7,1,0)</f>
        <v>0</v>
      </c>
      <c r="T482" s="1">
        <f t="shared" ref="T482:T492" si="362">IF(J482=$T$7,1,0)</f>
        <v>0</v>
      </c>
      <c r="U482" s="1">
        <f t="shared" ref="U482:U492" si="363">IF(J482=$U$7,1,0)</f>
        <v>0</v>
      </c>
      <c r="V482" s="1">
        <f t="shared" ref="V482:V492" si="364">IF(J482=$V$7,1,0)</f>
        <v>0</v>
      </c>
      <c r="W482" s="1">
        <f t="shared" ref="W482:W492" si="365">IF(J482=$W$7,1,0)</f>
        <v>0</v>
      </c>
      <c r="X482" s="1">
        <f t="shared" ref="X482:X492" si="366">IF(J482=$X$7,1,0)</f>
        <v>0</v>
      </c>
      <c r="Y482" s="1">
        <f t="shared" ref="Y482:Y492" si="367">IF(J482=$Y$7,1,0)</f>
        <v>0</v>
      </c>
      <c r="Z482" s="1">
        <f t="shared" ref="Z482:Z492" si="368">IF(J482=$Z$7,1,0)</f>
        <v>0</v>
      </c>
      <c r="AA482" s="1">
        <f t="shared" ref="AA482:AA492" si="369">IF(J482=$AA$7,1,0)</f>
        <v>0</v>
      </c>
      <c r="AB482" s="1">
        <f t="shared" ref="AB482:AB492" si="370">IF(J482=$AB$7,1,0)</f>
        <v>0</v>
      </c>
      <c r="AD482" s="1">
        <f>+O482*P482</f>
        <v>0</v>
      </c>
      <c r="AE482" s="1">
        <f>O482*(1-P482)</f>
        <v>0</v>
      </c>
      <c r="AF482" s="1">
        <f t="shared" si="357"/>
        <v>0</v>
      </c>
      <c r="AG482" s="1">
        <f t="shared" si="358"/>
        <v>0</v>
      </c>
      <c r="AH482" s="1">
        <f t="shared" si="359"/>
        <v>0</v>
      </c>
      <c r="AI482" s="1">
        <f t="shared" si="360"/>
        <v>0</v>
      </c>
    </row>
    <row r="483" spans="1:35" s="1" customFormat="1" ht="14.25" customHeight="1" x14ac:dyDescent="0.25">
      <c r="A483" s="44">
        <v>1</v>
      </c>
      <c r="B483" s="44">
        <v>2</v>
      </c>
      <c r="C483" s="44">
        <v>7</v>
      </c>
      <c r="D483" s="45" t="s">
        <v>1248</v>
      </c>
      <c r="E483" s="45" t="s">
        <v>156</v>
      </c>
      <c r="F483" s="45" t="s">
        <v>1523</v>
      </c>
      <c r="G483" s="45" t="s">
        <v>235</v>
      </c>
      <c r="H483" s="45" t="s">
        <v>354</v>
      </c>
      <c r="I483" s="44" t="s">
        <v>1691</v>
      </c>
      <c r="J483" s="44">
        <v>99</v>
      </c>
      <c r="K483" s="46" t="s">
        <v>954</v>
      </c>
      <c r="L483" s="46" t="s">
        <v>722</v>
      </c>
      <c r="M483" s="47" t="s">
        <v>732</v>
      </c>
      <c r="N483" s="47" t="s">
        <v>1735</v>
      </c>
      <c r="O483" s="48"/>
      <c r="P483" s="48"/>
      <c r="Q483" s="45"/>
      <c r="S483" s="1">
        <f t="shared" si="361"/>
        <v>0</v>
      </c>
      <c r="T483" s="1">
        <f t="shared" si="362"/>
        <v>0</v>
      </c>
      <c r="U483" s="1">
        <f t="shared" si="363"/>
        <v>0</v>
      </c>
      <c r="V483" s="1">
        <f t="shared" si="364"/>
        <v>0</v>
      </c>
      <c r="W483" s="1">
        <f t="shared" si="365"/>
        <v>0</v>
      </c>
      <c r="X483" s="1">
        <f t="shared" si="366"/>
        <v>0</v>
      </c>
      <c r="Y483" s="1">
        <f t="shared" si="367"/>
        <v>0</v>
      </c>
      <c r="Z483" s="1">
        <f t="shared" si="368"/>
        <v>0</v>
      </c>
      <c r="AA483" s="1">
        <f t="shared" si="369"/>
        <v>0</v>
      </c>
      <c r="AB483" s="1">
        <f t="shared" si="370"/>
        <v>0</v>
      </c>
      <c r="AD483" s="1">
        <f>+O483*P483</f>
        <v>0</v>
      </c>
      <c r="AE483" s="1">
        <f>O483*(1-P483)</f>
        <v>0</v>
      </c>
      <c r="AF483" s="1">
        <f t="shared" si="357"/>
        <v>0</v>
      </c>
      <c r="AG483" s="1">
        <f t="shared" si="358"/>
        <v>0</v>
      </c>
      <c r="AH483" s="1">
        <f t="shared" si="359"/>
        <v>0</v>
      </c>
      <c r="AI483" s="1">
        <f t="shared" si="360"/>
        <v>0</v>
      </c>
    </row>
    <row r="484" spans="1:35" s="1" customFormat="1" ht="14.25" customHeight="1" x14ac:dyDescent="0.25">
      <c r="A484" s="31">
        <v>0</v>
      </c>
      <c r="B484" s="31">
        <v>2</v>
      </c>
      <c r="C484" s="31">
        <v>7</v>
      </c>
      <c r="D484" s="32" t="s">
        <v>1850</v>
      </c>
      <c r="E484" s="32" t="s">
        <v>1851</v>
      </c>
      <c r="F484" s="32" t="s">
        <v>1852</v>
      </c>
      <c r="G484" s="32" t="s">
        <v>265</v>
      </c>
      <c r="H484" s="32" t="s">
        <v>354</v>
      </c>
      <c r="I484" s="31" t="s">
        <v>1853</v>
      </c>
      <c r="J484" s="31">
        <v>99</v>
      </c>
      <c r="K484" s="33" t="s">
        <v>703</v>
      </c>
      <c r="L484" s="33"/>
      <c r="M484" s="34"/>
      <c r="N484" s="34" t="s">
        <v>1727</v>
      </c>
      <c r="O484" s="35">
        <v>1</v>
      </c>
      <c r="P484" s="35">
        <v>1</v>
      </c>
      <c r="Q484" s="32"/>
      <c r="S484" s="1">
        <f t="shared" si="361"/>
        <v>0</v>
      </c>
      <c r="T484" s="1">
        <f t="shared" si="362"/>
        <v>0</v>
      </c>
      <c r="U484" s="1">
        <f t="shared" si="363"/>
        <v>0</v>
      </c>
      <c r="V484" s="1">
        <f t="shared" si="364"/>
        <v>0</v>
      </c>
      <c r="W484" s="1">
        <f t="shared" si="365"/>
        <v>0</v>
      </c>
      <c r="X484" s="1">
        <f t="shared" si="366"/>
        <v>0</v>
      </c>
      <c r="Y484" s="1">
        <f t="shared" si="367"/>
        <v>0</v>
      </c>
      <c r="Z484" s="1">
        <f t="shared" si="368"/>
        <v>0</v>
      </c>
      <c r="AA484" s="1">
        <f t="shared" si="369"/>
        <v>0</v>
      </c>
      <c r="AB484" s="1">
        <f t="shared" si="370"/>
        <v>0</v>
      </c>
      <c r="AD484" s="1">
        <f>+O484*P484</f>
        <v>1</v>
      </c>
      <c r="AE484" s="1">
        <f>O484*(1-P484)</f>
        <v>0</v>
      </c>
      <c r="AF484" s="1">
        <f t="shared" si="357"/>
        <v>1</v>
      </c>
      <c r="AG484" s="1">
        <f t="shared" si="358"/>
        <v>0</v>
      </c>
      <c r="AH484" s="1">
        <f t="shared" si="359"/>
        <v>1</v>
      </c>
      <c r="AI484" s="1">
        <f t="shared" si="360"/>
        <v>0</v>
      </c>
    </row>
    <row r="485" spans="1:35" s="1" customFormat="1" ht="14.25" customHeight="1" x14ac:dyDescent="0.25">
      <c r="A485" s="44">
        <v>0</v>
      </c>
      <c r="B485" s="44">
        <v>2</v>
      </c>
      <c r="C485" s="44">
        <v>7</v>
      </c>
      <c r="D485" s="45" t="s">
        <v>1243</v>
      </c>
      <c r="E485" s="45" t="s">
        <v>28</v>
      </c>
      <c r="F485" s="45" t="s">
        <v>1236</v>
      </c>
      <c r="G485" s="45" t="s">
        <v>1237</v>
      </c>
      <c r="H485" s="45" t="s">
        <v>354</v>
      </c>
      <c r="I485" s="44" t="s">
        <v>1238</v>
      </c>
      <c r="J485" s="44">
        <v>99</v>
      </c>
      <c r="K485" s="46" t="s">
        <v>712</v>
      </c>
      <c r="L485" s="46" t="s">
        <v>713</v>
      </c>
      <c r="M485" s="47" t="s">
        <v>731</v>
      </c>
      <c r="N485" s="47" t="s">
        <v>1735</v>
      </c>
      <c r="O485" s="48"/>
      <c r="P485" s="48"/>
      <c r="Q485" s="45"/>
      <c r="S485" s="1">
        <f t="shared" si="361"/>
        <v>0</v>
      </c>
      <c r="T485" s="1">
        <f t="shared" si="362"/>
        <v>0</v>
      </c>
      <c r="U485" s="1">
        <f t="shared" si="363"/>
        <v>0</v>
      </c>
      <c r="V485" s="1">
        <f t="shared" si="364"/>
        <v>0</v>
      </c>
      <c r="W485" s="1">
        <f t="shared" si="365"/>
        <v>0</v>
      </c>
      <c r="X485" s="1">
        <f t="shared" si="366"/>
        <v>0</v>
      </c>
      <c r="Y485" s="1">
        <f t="shared" si="367"/>
        <v>0</v>
      </c>
      <c r="Z485" s="1">
        <f t="shared" si="368"/>
        <v>0</v>
      </c>
      <c r="AA485" s="1">
        <f t="shared" si="369"/>
        <v>0</v>
      </c>
      <c r="AB485" s="1">
        <f t="shared" si="370"/>
        <v>0</v>
      </c>
      <c r="AD485" s="1">
        <f t="shared" ref="AD485:AD492" si="371">+O485*P485</f>
        <v>0</v>
      </c>
      <c r="AE485" s="1">
        <f t="shared" ref="AE485:AE492" si="372">O485*(1-P485)</f>
        <v>0</v>
      </c>
      <c r="AF485" s="1">
        <f t="shared" si="357"/>
        <v>0</v>
      </c>
      <c r="AG485" s="1">
        <f t="shared" si="358"/>
        <v>0</v>
      </c>
      <c r="AH485" s="1">
        <f t="shared" si="359"/>
        <v>0</v>
      </c>
      <c r="AI485" s="1">
        <f t="shared" si="360"/>
        <v>1</v>
      </c>
    </row>
    <row r="486" spans="1:35" s="1" customFormat="1" ht="14.25" customHeight="1" x14ac:dyDescent="0.25">
      <c r="A486" s="44">
        <v>1</v>
      </c>
      <c r="B486" s="44">
        <v>2</v>
      </c>
      <c r="C486" s="44">
        <v>7</v>
      </c>
      <c r="D486" s="45" t="s">
        <v>1240</v>
      </c>
      <c r="E486" s="45" t="s">
        <v>28</v>
      </c>
      <c r="F486" s="45" t="s">
        <v>1241</v>
      </c>
      <c r="G486" s="45" t="s">
        <v>523</v>
      </c>
      <c r="H486" s="45" t="s">
        <v>354</v>
      </c>
      <c r="I486" s="44" t="s">
        <v>1242</v>
      </c>
      <c r="J486" s="44">
        <v>99</v>
      </c>
      <c r="K486" s="46" t="s">
        <v>712</v>
      </c>
      <c r="L486" s="46" t="s">
        <v>713</v>
      </c>
      <c r="M486" s="47" t="s">
        <v>731</v>
      </c>
      <c r="N486" s="47" t="s">
        <v>1735</v>
      </c>
      <c r="O486" s="48"/>
      <c r="P486" s="48"/>
      <c r="Q486" s="45"/>
      <c r="S486" s="1">
        <f t="shared" si="361"/>
        <v>0</v>
      </c>
      <c r="T486" s="1">
        <f t="shared" si="362"/>
        <v>0</v>
      </c>
      <c r="U486" s="1">
        <f t="shared" si="363"/>
        <v>0</v>
      </c>
      <c r="V486" s="1">
        <f t="shared" si="364"/>
        <v>0</v>
      </c>
      <c r="W486" s="1">
        <f t="shared" si="365"/>
        <v>0</v>
      </c>
      <c r="X486" s="1">
        <f t="shared" si="366"/>
        <v>0</v>
      </c>
      <c r="Y486" s="1">
        <f t="shared" si="367"/>
        <v>0</v>
      </c>
      <c r="Z486" s="1">
        <f t="shared" si="368"/>
        <v>0</v>
      </c>
      <c r="AA486" s="1">
        <f t="shared" si="369"/>
        <v>0</v>
      </c>
      <c r="AB486" s="1">
        <f t="shared" si="370"/>
        <v>0</v>
      </c>
      <c r="AD486" s="1">
        <f t="shared" si="371"/>
        <v>0</v>
      </c>
      <c r="AE486" s="1">
        <f t="shared" si="372"/>
        <v>0</v>
      </c>
      <c r="AF486" s="1">
        <f t="shared" si="357"/>
        <v>0</v>
      </c>
      <c r="AG486" s="1">
        <f t="shared" si="358"/>
        <v>0</v>
      </c>
      <c r="AH486" s="1">
        <f t="shared" si="359"/>
        <v>0</v>
      </c>
      <c r="AI486" s="1">
        <f t="shared" si="360"/>
        <v>0</v>
      </c>
    </row>
    <row r="487" spans="1:35" s="1" customFormat="1" ht="14.25" customHeight="1" x14ac:dyDescent="0.25">
      <c r="A487" s="31">
        <v>0</v>
      </c>
      <c r="B487" s="31">
        <v>2</v>
      </c>
      <c r="C487" s="31">
        <v>7</v>
      </c>
      <c r="D487" s="32" t="s">
        <v>1846</v>
      </c>
      <c r="E487" s="32" t="s">
        <v>1168</v>
      </c>
      <c r="F487" s="32" t="s">
        <v>1847</v>
      </c>
      <c r="G487" s="32"/>
      <c r="H487" s="32" t="s">
        <v>354</v>
      </c>
      <c r="I487" s="31" t="s">
        <v>1848</v>
      </c>
      <c r="J487" s="31">
        <v>6</v>
      </c>
      <c r="K487" s="33" t="s">
        <v>703</v>
      </c>
      <c r="L487" s="33"/>
      <c r="M487" s="34"/>
      <c r="N487" s="34" t="s">
        <v>1748</v>
      </c>
      <c r="O487" s="35">
        <v>1</v>
      </c>
      <c r="P487" s="35"/>
      <c r="Q487" s="32"/>
      <c r="S487" s="1">
        <f t="shared" si="361"/>
        <v>0</v>
      </c>
      <c r="T487" s="1">
        <f t="shared" si="362"/>
        <v>0</v>
      </c>
      <c r="U487" s="1">
        <f t="shared" si="363"/>
        <v>0</v>
      </c>
      <c r="V487" s="1">
        <f t="shared" si="364"/>
        <v>0</v>
      </c>
      <c r="W487" s="1">
        <f t="shared" si="365"/>
        <v>0</v>
      </c>
      <c r="X487" s="1">
        <f t="shared" si="366"/>
        <v>1</v>
      </c>
      <c r="Y487" s="1">
        <f t="shared" si="367"/>
        <v>0</v>
      </c>
      <c r="Z487" s="1">
        <f t="shared" si="368"/>
        <v>0</v>
      </c>
      <c r="AA487" s="1">
        <f t="shared" si="369"/>
        <v>0</v>
      </c>
      <c r="AB487" s="1">
        <f t="shared" si="370"/>
        <v>0</v>
      </c>
      <c r="AD487" s="1">
        <f t="shared" si="371"/>
        <v>0</v>
      </c>
      <c r="AE487" s="1">
        <f t="shared" si="372"/>
        <v>1</v>
      </c>
      <c r="AF487" s="1">
        <f t="shared" si="357"/>
        <v>0</v>
      </c>
      <c r="AG487" s="1">
        <f t="shared" si="358"/>
        <v>1</v>
      </c>
      <c r="AH487" s="1">
        <f t="shared" si="359"/>
        <v>0</v>
      </c>
      <c r="AI487" s="1">
        <f t="shared" si="360"/>
        <v>1</v>
      </c>
    </row>
    <row r="488" spans="1:35" s="1" customFormat="1" ht="14.25" customHeight="1" x14ac:dyDescent="0.25">
      <c r="A488" s="44">
        <v>0</v>
      </c>
      <c r="B488" s="44">
        <v>2</v>
      </c>
      <c r="C488" s="44">
        <v>7</v>
      </c>
      <c r="D488" s="45" t="s">
        <v>1458</v>
      </c>
      <c r="E488" s="45" t="s">
        <v>28</v>
      </c>
      <c r="F488" s="45" t="s">
        <v>1459</v>
      </c>
      <c r="G488" s="45" t="s">
        <v>1460</v>
      </c>
      <c r="H488" s="45" t="s">
        <v>354</v>
      </c>
      <c r="I488" s="44" t="s">
        <v>1461</v>
      </c>
      <c r="J488" s="44">
        <v>99</v>
      </c>
      <c r="K488" s="46" t="s">
        <v>712</v>
      </c>
      <c r="L488" s="46" t="s">
        <v>713</v>
      </c>
      <c r="M488" s="47" t="s">
        <v>731</v>
      </c>
      <c r="N488" s="47" t="s">
        <v>1735</v>
      </c>
      <c r="O488" s="48"/>
      <c r="P488" s="48"/>
      <c r="Q488" s="45" t="s">
        <v>1931</v>
      </c>
      <c r="S488" s="1">
        <f t="shared" si="361"/>
        <v>0</v>
      </c>
      <c r="T488" s="1">
        <f t="shared" si="362"/>
        <v>0</v>
      </c>
      <c r="U488" s="1">
        <f t="shared" si="363"/>
        <v>0</v>
      </c>
      <c r="V488" s="1">
        <f t="shared" si="364"/>
        <v>0</v>
      </c>
      <c r="W488" s="1">
        <f t="shared" si="365"/>
        <v>0</v>
      </c>
      <c r="X488" s="1">
        <f t="shared" si="366"/>
        <v>0</v>
      </c>
      <c r="Y488" s="1">
        <f t="shared" si="367"/>
        <v>0</v>
      </c>
      <c r="Z488" s="1">
        <f t="shared" si="368"/>
        <v>0</v>
      </c>
      <c r="AA488" s="1">
        <f t="shared" si="369"/>
        <v>0</v>
      </c>
      <c r="AB488" s="1">
        <f t="shared" si="370"/>
        <v>0</v>
      </c>
      <c r="AD488" s="1">
        <f t="shared" si="371"/>
        <v>0</v>
      </c>
      <c r="AE488" s="1">
        <f t="shared" si="372"/>
        <v>0</v>
      </c>
      <c r="AF488" s="1">
        <f t="shared" si="357"/>
        <v>0</v>
      </c>
      <c r="AG488" s="1">
        <f t="shared" si="358"/>
        <v>0</v>
      </c>
      <c r="AH488" s="1">
        <f t="shared" si="359"/>
        <v>0</v>
      </c>
      <c r="AI488" s="1">
        <f t="shared" si="360"/>
        <v>1</v>
      </c>
    </row>
    <row r="489" spans="1:35" s="1" customFormat="1" ht="14.25" customHeight="1" x14ac:dyDescent="0.25">
      <c r="A489" s="31">
        <v>0</v>
      </c>
      <c r="B489" s="31">
        <v>2</v>
      </c>
      <c r="C489" s="31">
        <v>7</v>
      </c>
      <c r="D489" s="32" t="s">
        <v>43</v>
      </c>
      <c r="E489" s="32" t="s">
        <v>541</v>
      </c>
      <c r="F489" s="32" t="s">
        <v>575</v>
      </c>
      <c r="G489" s="32" t="s">
        <v>235</v>
      </c>
      <c r="H489" s="32" t="s">
        <v>354</v>
      </c>
      <c r="I489" s="31" t="s">
        <v>582</v>
      </c>
      <c r="J489" s="31">
        <v>99</v>
      </c>
      <c r="K489" s="33" t="s">
        <v>712</v>
      </c>
      <c r="L489" s="33" t="s">
        <v>729</v>
      </c>
      <c r="M489" s="34" t="s">
        <v>1440</v>
      </c>
      <c r="N489" s="34" t="s">
        <v>1748</v>
      </c>
      <c r="O489" s="35">
        <v>1</v>
      </c>
      <c r="P489" s="35"/>
      <c r="Q489" s="32"/>
      <c r="S489" s="1">
        <f t="shared" si="361"/>
        <v>0</v>
      </c>
      <c r="T489" s="1">
        <f t="shared" si="362"/>
        <v>0</v>
      </c>
      <c r="U489" s="1">
        <f t="shared" si="363"/>
        <v>0</v>
      </c>
      <c r="V489" s="1">
        <f t="shared" si="364"/>
        <v>0</v>
      </c>
      <c r="W489" s="1">
        <f t="shared" si="365"/>
        <v>0</v>
      </c>
      <c r="X489" s="1">
        <f t="shared" si="366"/>
        <v>0</v>
      </c>
      <c r="Y489" s="1">
        <f t="shared" si="367"/>
        <v>0</v>
      </c>
      <c r="Z489" s="1">
        <f t="shared" si="368"/>
        <v>0</v>
      </c>
      <c r="AA489" s="1">
        <f t="shared" si="369"/>
        <v>0</v>
      </c>
      <c r="AB489" s="1">
        <f t="shared" si="370"/>
        <v>0</v>
      </c>
      <c r="AD489" s="1">
        <f t="shared" si="371"/>
        <v>0</v>
      </c>
      <c r="AE489" s="1">
        <f t="shared" si="372"/>
        <v>1</v>
      </c>
      <c r="AF489" s="1">
        <f t="shared" si="357"/>
        <v>0</v>
      </c>
      <c r="AG489" s="1">
        <f t="shared" si="358"/>
        <v>1</v>
      </c>
      <c r="AH489" s="1">
        <f t="shared" si="359"/>
        <v>0</v>
      </c>
      <c r="AI489" s="1">
        <f t="shared" si="360"/>
        <v>1</v>
      </c>
    </row>
    <row r="490" spans="1:35" s="1" customFormat="1" ht="14.25" customHeight="1" x14ac:dyDescent="0.25">
      <c r="A490" s="31">
        <v>1</v>
      </c>
      <c r="B490" s="31">
        <v>2</v>
      </c>
      <c r="C490" s="31">
        <v>7</v>
      </c>
      <c r="D490" s="32" t="s">
        <v>43</v>
      </c>
      <c r="E490" s="32" t="s">
        <v>541</v>
      </c>
      <c r="F490" s="32" t="s">
        <v>271</v>
      </c>
      <c r="G490" s="32" t="s">
        <v>180</v>
      </c>
      <c r="H490" s="32" t="s">
        <v>354</v>
      </c>
      <c r="I490" s="31" t="s">
        <v>426</v>
      </c>
      <c r="J490" s="31">
        <v>10</v>
      </c>
      <c r="K490" s="33" t="s">
        <v>712</v>
      </c>
      <c r="L490" s="33" t="s">
        <v>729</v>
      </c>
      <c r="M490" s="34" t="s">
        <v>1440</v>
      </c>
      <c r="N490" s="34" t="s">
        <v>1748</v>
      </c>
      <c r="O490" s="35">
        <v>1</v>
      </c>
      <c r="P490" s="35"/>
      <c r="Q490" s="32"/>
      <c r="S490" s="1">
        <f t="shared" si="361"/>
        <v>0</v>
      </c>
      <c r="T490" s="1">
        <f t="shared" si="362"/>
        <v>0</v>
      </c>
      <c r="U490" s="1">
        <f t="shared" si="363"/>
        <v>0</v>
      </c>
      <c r="V490" s="1">
        <f t="shared" si="364"/>
        <v>0</v>
      </c>
      <c r="W490" s="1">
        <f t="shared" si="365"/>
        <v>0</v>
      </c>
      <c r="X490" s="1">
        <f t="shared" si="366"/>
        <v>0</v>
      </c>
      <c r="Y490" s="1">
        <f t="shared" si="367"/>
        <v>0</v>
      </c>
      <c r="Z490" s="1">
        <f t="shared" si="368"/>
        <v>0</v>
      </c>
      <c r="AA490" s="1">
        <f t="shared" si="369"/>
        <v>0</v>
      </c>
      <c r="AB490" s="1">
        <f t="shared" si="370"/>
        <v>1</v>
      </c>
      <c r="AD490" s="1">
        <f t="shared" si="371"/>
        <v>0</v>
      </c>
      <c r="AE490" s="1">
        <f t="shared" si="372"/>
        <v>1</v>
      </c>
      <c r="AF490" s="1">
        <f t="shared" si="357"/>
        <v>0</v>
      </c>
      <c r="AG490" s="1">
        <f t="shared" si="358"/>
        <v>0</v>
      </c>
      <c r="AH490" s="1">
        <f t="shared" si="359"/>
        <v>0</v>
      </c>
      <c r="AI490" s="1">
        <f t="shared" si="360"/>
        <v>0</v>
      </c>
    </row>
    <row r="491" spans="1:35" s="1" customFormat="1" ht="14.25" customHeight="1" x14ac:dyDescent="0.25">
      <c r="A491" s="31">
        <v>1</v>
      </c>
      <c r="B491" s="31">
        <v>2</v>
      </c>
      <c r="C491" s="31">
        <v>7</v>
      </c>
      <c r="D491" s="32" t="s">
        <v>43</v>
      </c>
      <c r="E491" s="32" t="s">
        <v>541</v>
      </c>
      <c r="F491" s="32" t="s">
        <v>272</v>
      </c>
      <c r="G491" s="32" t="s">
        <v>39</v>
      </c>
      <c r="H491" s="32" t="s">
        <v>354</v>
      </c>
      <c r="I491" s="31" t="s">
        <v>427</v>
      </c>
      <c r="J491" s="31">
        <v>5</v>
      </c>
      <c r="K491" s="33" t="s">
        <v>712</v>
      </c>
      <c r="L491" s="33" t="s">
        <v>729</v>
      </c>
      <c r="M491" s="34" t="s">
        <v>1440</v>
      </c>
      <c r="N491" s="34" t="s">
        <v>1748</v>
      </c>
      <c r="O491" s="35">
        <v>1</v>
      </c>
      <c r="P491" s="35"/>
      <c r="Q491" s="32"/>
      <c r="S491" s="1">
        <f t="shared" si="361"/>
        <v>0</v>
      </c>
      <c r="T491" s="1">
        <f t="shared" si="362"/>
        <v>0</v>
      </c>
      <c r="U491" s="1">
        <f t="shared" si="363"/>
        <v>0</v>
      </c>
      <c r="V491" s="1">
        <f t="shared" si="364"/>
        <v>0</v>
      </c>
      <c r="W491" s="1">
        <f t="shared" si="365"/>
        <v>1</v>
      </c>
      <c r="X491" s="1">
        <f t="shared" si="366"/>
        <v>0</v>
      </c>
      <c r="Y491" s="1">
        <f t="shared" si="367"/>
        <v>0</v>
      </c>
      <c r="Z491" s="1">
        <f t="shared" si="368"/>
        <v>0</v>
      </c>
      <c r="AA491" s="1">
        <f t="shared" si="369"/>
        <v>0</v>
      </c>
      <c r="AB491" s="1">
        <f t="shared" si="370"/>
        <v>0</v>
      </c>
      <c r="AD491" s="1">
        <f t="shared" si="371"/>
        <v>0</v>
      </c>
      <c r="AE491" s="1">
        <f t="shared" si="372"/>
        <v>1</v>
      </c>
      <c r="AF491" s="1">
        <f t="shared" si="357"/>
        <v>0</v>
      </c>
      <c r="AG491" s="1">
        <f t="shared" si="358"/>
        <v>0</v>
      </c>
      <c r="AH491" s="1">
        <f t="shared" si="359"/>
        <v>0</v>
      </c>
      <c r="AI491" s="1">
        <f t="shared" si="360"/>
        <v>0</v>
      </c>
    </row>
    <row r="492" spans="1:35" s="1" customFormat="1" ht="14.25" customHeight="1" x14ac:dyDescent="0.25">
      <c r="A492" s="31">
        <v>1</v>
      </c>
      <c r="B492" s="31">
        <v>2</v>
      </c>
      <c r="C492" s="31">
        <v>7</v>
      </c>
      <c r="D492" s="32" t="s">
        <v>43</v>
      </c>
      <c r="E492" s="32" t="s">
        <v>541</v>
      </c>
      <c r="F492" s="32" t="s">
        <v>276</v>
      </c>
      <c r="G492" s="32" t="s">
        <v>194</v>
      </c>
      <c r="H492" s="32" t="s">
        <v>354</v>
      </c>
      <c r="I492" s="31" t="s">
        <v>431</v>
      </c>
      <c r="J492" s="31">
        <v>9</v>
      </c>
      <c r="K492" s="33" t="s">
        <v>712</v>
      </c>
      <c r="L492" s="33" t="s">
        <v>729</v>
      </c>
      <c r="M492" s="34" t="s">
        <v>1440</v>
      </c>
      <c r="N492" s="34" t="s">
        <v>1748</v>
      </c>
      <c r="O492" s="35">
        <v>1</v>
      </c>
      <c r="P492" s="35"/>
      <c r="Q492" s="32"/>
      <c r="S492" s="1">
        <f t="shared" si="361"/>
        <v>0</v>
      </c>
      <c r="T492" s="1">
        <f t="shared" si="362"/>
        <v>0</v>
      </c>
      <c r="U492" s="1">
        <f t="shared" si="363"/>
        <v>0</v>
      </c>
      <c r="V492" s="1">
        <f t="shared" si="364"/>
        <v>0</v>
      </c>
      <c r="W492" s="1">
        <f t="shared" si="365"/>
        <v>0</v>
      </c>
      <c r="X492" s="1">
        <f t="shared" si="366"/>
        <v>0</v>
      </c>
      <c r="Y492" s="1">
        <f t="shared" si="367"/>
        <v>0</v>
      </c>
      <c r="Z492" s="1">
        <f t="shared" si="368"/>
        <v>0</v>
      </c>
      <c r="AA492" s="1">
        <f t="shared" si="369"/>
        <v>1</v>
      </c>
      <c r="AB492" s="1">
        <f t="shared" si="370"/>
        <v>0</v>
      </c>
      <c r="AD492" s="1">
        <f t="shared" si="371"/>
        <v>0</v>
      </c>
      <c r="AE492" s="1">
        <f t="shared" si="372"/>
        <v>1</v>
      </c>
      <c r="AF492" s="1">
        <f t="shared" si="357"/>
        <v>0</v>
      </c>
      <c r="AG492" s="1">
        <f t="shared" si="358"/>
        <v>0</v>
      </c>
      <c r="AH492" s="1">
        <f t="shared" si="359"/>
        <v>0</v>
      </c>
      <c r="AI492" s="1">
        <f t="shared" si="360"/>
        <v>0</v>
      </c>
    </row>
    <row r="493" spans="1:35" s="1" customFormat="1" ht="14.25" customHeight="1" x14ac:dyDescent="0.25">
      <c r="A493" s="44">
        <v>0</v>
      </c>
      <c r="B493" s="44">
        <v>2</v>
      </c>
      <c r="C493" s="44">
        <v>7</v>
      </c>
      <c r="D493" s="45" t="s">
        <v>1561</v>
      </c>
      <c r="E493" s="45" t="s">
        <v>28</v>
      </c>
      <c r="F493" s="45" t="s">
        <v>1562</v>
      </c>
      <c r="G493" s="45" t="s">
        <v>238</v>
      </c>
      <c r="H493" s="45" t="s">
        <v>354</v>
      </c>
      <c r="I493" s="44" t="s">
        <v>1695</v>
      </c>
      <c r="J493" s="44">
        <v>4</v>
      </c>
      <c r="K493" s="46" t="s">
        <v>713</v>
      </c>
      <c r="L493" s="46" t="s">
        <v>713</v>
      </c>
      <c r="M493" s="47" t="s">
        <v>731</v>
      </c>
      <c r="N493" s="47" t="s">
        <v>1735</v>
      </c>
      <c r="O493" s="48"/>
      <c r="P493" s="48"/>
      <c r="Q493" s="45"/>
      <c r="S493" s="1">
        <f t="shared" ref="S493:S494" si="373">IF(J493=$S$7,1,0)</f>
        <v>0</v>
      </c>
      <c r="T493" s="1">
        <f t="shared" ref="T493:T494" si="374">IF(J493=$T$7,1,0)</f>
        <v>0</v>
      </c>
      <c r="U493" s="1">
        <f t="shared" ref="U493:U494" si="375">IF(J493=$U$7,1,0)</f>
        <v>0</v>
      </c>
      <c r="V493" s="1">
        <f t="shared" ref="V493:V494" si="376">IF(J493=$V$7,1,0)</f>
        <v>1</v>
      </c>
      <c r="W493" s="1">
        <f t="shared" ref="W493:W494" si="377">IF(J493=$W$7,1,0)</f>
        <v>0</v>
      </c>
      <c r="X493" s="1">
        <f t="shared" ref="X493:X494" si="378">IF(J493=$X$7,1,0)</f>
        <v>0</v>
      </c>
      <c r="Y493" s="1">
        <f t="shared" ref="Y493:Y494" si="379">IF(J493=$Y$7,1,0)</f>
        <v>0</v>
      </c>
      <c r="Z493" s="1">
        <f t="shared" ref="Z493:Z494" si="380">IF(J493=$Z$7,1,0)</f>
        <v>0</v>
      </c>
      <c r="AA493" s="1">
        <f t="shared" ref="AA493:AA494" si="381">IF(J493=$AA$7,1,0)</f>
        <v>0</v>
      </c>
      <c r="AB493" s="1">
        <f t="shared" ref="AB493:AB494" si="382">IF(J493=$AB$7,1,0)</f>
        <v>0</v>
      </c>
      <c r="AD493" s="1">
        <f t="shared" ref="AD493:AD494" si="383">+O493*P493</f>
        <v>0</v>
      </c>
      <c r="AE493" s="1">
        <f t="shared" ref="AE493:AE494" si="384">O493*(1-P493)</f>
        <v>0</v>
      </c>
      <c r="AF493" s="1">
        <f t="shared" ref="AF493:AF494" si="385">+O493*P493*(1-A493)</f>
        <v>0</v>
      </c>
      <c r="AG493" s="1">
        <f t="shared" ref="AG493:AG494" si="386">O493*(1-P493)*(1-A493)</f>
        <v>0</v>
      </c>
      <c r="AH493" s="1">
        <f t="shared" ref="AH493:AH494" si="387">+P493*(1-A493)</f>
        <v>0</v>
      </c>
      <c r="AI493" s="1">
        <f t="shared" ref="AI493:AI494" si="388">+(1-A493)*(1-P493)</f>
        <v>1</v>
      </c>
    </row>
    <row r="494" spans="1:35" s="1" customFormat="1" ht="14.25" customHeight="1" x14ac:dyDescent="0.25">
      <c r="A494" s="44">
        <v>0</v>
      </c>
      <c r="B494" s="44">
        <v>2</v>
      </c>
      <c r="C494" s="44">
        <v>7</v>
      </c>
      <c r="D494" s="45" t="s">
        <v>63</v>
      </c>
      <c r="E494" s="45" t="s">
        <v>44</v>
      </c>
      <c r="F494" s="45" t="s">
        <v>236</v>
      </c>
      <c r="G494" s="45" t="s">
        <v>200</v>
      </c>
      <c r="H494" s="45" t="s">
        <v>354</v>
      </c>
      <c r="I494" s="44" t="s">
        <v>402</v>
      </c>
      <c r="J494" s="44">
        <v>2</v>
      </c>
      <c r="K494" s="46" t="s">
        <v>713</v>
      </c>
      <c r="L494" s="46" t="s">
        <v>722</v>
      </c>
      <c r="M494" s="47" t="s">
        <v>735</v>
      </c>
      <c r="N494" s="47" t="s">
        <v>1735</v>
      </c>
      <c r="O494" s="48"/>
      <c r="P494" s="48"/>
      <c r="Q494" s="45"/>
      <c r="S494" s="1">
        <f t="shared" si="373"/>
        <v>0</v>
      </c>
      <c r="T494" s="1">
        <f t="shared" si="374"/>
        <v>1</v>
      </c>
      <c r="U494" s="1">
        <f t="shared" si="375"/>
        <v>0</v>
      </c>
      <c r="V494" s="1">
        <f t="shared" si="376"/>
        <v>0</v>
      </c>
      <c r="W494" s="1">
        <f t="shared" si="377"/>
        <v>0</v>
      </c>
      <c r="X494" s="1">
        <f t="shared" si="378"/>
        <v>0</v>
      </c>
      <c r="Y494" s="1">
        <f t="shared" si="379"/>
        <v>0</v>
      </c>
      <c r="Z494" s="1">
        <f t="shared" si="380"/>
        <v>0</v>
      </c>
      <c r="AA494" s="1">
        <f t="shared" si="381"/>
        <v>0</v>
      </c>
      <c r="AB494" s="1">
        <f t="shared" si="382"/>
        <v>0</v>
      </c>
      <c r="AD494" s="1">
        <f t="shared" si="383"/>
        <v>0</v>
      </c>
      <c r="AE494" s="1">
        <f t="shared" si="384"/>
        <v>0</v>
      </c>
      <c r="AF494" s="1">
        <f t="shared" si="385"/>
        <v>0</v>
      </c>
      <c r="AG494" s="1">
        <f t="shared" si="386"/>
        <v>0</v>
      </c>
      <c r="AH494" s="1">
        <f t="shared" si="387"/>
        <v>0</v>
      </c>
      <c r="AI494" s="1">
        <f t="shared" si="388"/>
        <v>1</v>
      </c>
    </row>
    <row r="495" spans="1:35" s="1" customFormat="1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L495" s="10"/>
      <c r="M495" s="19"/>
      <c r="N495" s="17"/>
      <c r="Q495" s="20"/>
    </row>
    <row r="496" spans="1:35" s="1" customFormat="1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L496" s="10"/>
      <c r="M496" s="19"/>
      <c r="N496" s="17"/>
      <c r="Q496" s="20"/>
    </row>
    <row r="497" spans="1:17" s="1" customFormat="1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L497" s="10"/>
      <c r="M497" s="19"/>
      <c r="N497" s="17"/>
      <c r="Q497" s="20"/>
    </row>
    <row r="498" spans="1:17" s="1" customFormat="1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L498" s="10"/>
      <c r="M498" s="19"/>
      <c r="N498" s="17"/>
      <c r="Q498" s="20"/>
    </row>
    <row r="499" spans="1:17" s="1" customFormat="1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L499" s="10"/>
      <c r="M499" s="19"/>
      <c r="N499" s="17"/>
      <c r="Q499" s="20"/>
    </row>
    <row r="500" spans="1:17" s="1" customFormat="1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L500" s="10"/>
      <c r="M500" s="19"/>
      <c r="N500" s="17"/>
      <c r="Q500" s="20"/>
    </row>
    <row r="501" spans="1:17" s="1" customFormat="1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L501" s="10"/>
      <c r="M501" s="19"/>
      <c r="N501" s="17"/>
      <c r="Q501" s="20"/>
    </row>
    <row r="502" spans="1:17" s="1" customFormat="1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L502" s="10"/>
      <c r="M502" s="19"/>
      <c r="N502" s="17"/>
      <c r="Q502" s="20"/>
    </row>
    <row r="503" spans="1:17" s="1" customFormat="1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L503" s="10"/>
      <c r="M503" s="19"/>
      <c r="N503" s="17"/>
      <c r="Q503" s="20"/>
    </row>
    <row r="504" spans="1:17" s="1" customFormat="1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L504" s="10"/>
      <c r="M504" s="19"/>
      <c r="N504" s="17"/>
      <c r="Q504" s="20"/>
    </row>
    <row r="505" spans="1:17" s="1" customFormat="1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L505" s="10"/>
      <c r="M505" s="19"/>
      <c r="N505" s="17"/>
      <c r="Q505" s="20"/>
    </row>
    <row r="506" spans="1:17" s="1" customFormat="1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L506" s="10"/>
      <c r="M506" s="19"/>
      <c r="N506" s="17"/>
      <c r="Q506" s="20"/>
    </row>
    <row r="507" spans="1:17" s="1" customFormat="1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L507" s="10"/>
      <c r="M507" s="19"/>
      <c r="N507" s="17"/>
      <c r="Q507" s="20"/>
    </row>
    <row r="508" spans="1:17" s="1" customFormat="1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L508" s="10"/>
      <c r="M508" s="19"/>
      <c r="N508" s="17"/>
      <c r="Q508" s="20"/>
    </row>
    <row r="509" spans="1:17" s="1" customFormat="1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L509" s="10"/>
      <c r="M509" s="19"/>
      <c r="N509" s="17"/>
      <c r="Q509" s="20"/>
    </row>
    <row r="510" spans="1:17" s="1" customFormat="1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L510" s="10"/>
      <c r="M510" s="19"/>
      <c r="N510" s="17"/>
      <c r="Q510" s="20"/>
    </row>
    <row r="511" spans="1:17" s="1" customFormat="1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L511" s="10"/>
      <c r="M511" s="19"/>
      <c r="N511" s="17"/>
      <c r="Q511" s="20"/>
    </row>
    <row r="512" spans="1:17" s="1" customFormat="1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L512" s="10"/>
      <c r="M512" s="19"/>
      <c r="N512" s="17"/>
      <c r="Q512" s="20"/>
    </row>
    <row r="513" spans="1:17" s="1" customFormat="1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L513" s="10"/>
      <c r="M513" s="19"/>
      <c r="N513" s="17"/>
      <c r="Q513" s="20"/>
    </row>
    <row r="514" spans="1:17" s="1" customFormat="1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L514" s="10"/>
      <c r="M514" s="19"/>
      <c r="N514" s="17"/>
      <c r="Q514" s="20"/>
    </row>
    <row r="515" spans="1:17" s="1" customFormat="1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L515" s="10"/>
      <c r="M515" s="19"/>
      <c r="N515" s="17"/>
      <c r="Q515" s="20"/>
    </row>
    <row r="516" spans="1:17" s="1" customFormat="1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L516" s="10"/>
      <c r="M516" s="19"/>
      <c r="N516" s="17"/>
      <c r="Q516" s="20"/>
    </row>
    <row r="517" spans="1:17" s="1" customFormat="1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L517" s="10"/>
      <c r="M517" s="19"/>
      <c r="N517" s="17"/>
      <c r="Q517" s="20"/>
    </row>
    <row r="518" spans="1:17" s="1" customFormat="1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L518" s="10"/>
      <c r="M518" s="19"/>
      <c r="N518" s="17"/>
      <c r="Q518" s="20"/>
    </row>
    <row r="519" spans="1:17" s="1" customFormat="1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L519" s="10"/>
      <c r="M519" s="19"/>
      <c r="N519" s="17"/>
      <c r="Q519" s="20"/>
    </row>
    <row r="520" spans="1:17" s="1" customFormat="1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L520" s="10"/>
      <c r="M520" s="19"/>
      <c r="N520" s="17"/>
      <c r="Q520" s="20"/>
    </row>
    <row r="521" spans="1:17" s="1" customFormat="1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L521" s="10"/>
      <c r="M521" s="19"/>
      <c r="N521" s="17"/>
      <c r="Q521" s="20"/>
    </row>
    <row r="522" spans="1:17" s="1" customFormat="1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L522" s="10"/>
      <c r="M522" s="19"/>
      <c r="N522" s="17"/>
      <c r="Q522" s="20"/>
    </row>
    <row r="523" spans="1:17" s="1" customFormat="1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L523" s="10"/>
      <c r="M523" s="19"/>
      <c r="N523" s="17"/>
      <c r="Q523" s="20"/>
    </row>
    <row r="524" spans="1:17" s="1" customFormat="1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L524" s="10"/>
      <c r="M524" s="19"/>
      <c r="N524" s="17"/>
      <c r="Q524" s="20"/>
    </row>
    <row r="525" spans="1:17" s="1" customFormat="1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L525" s="10"/>
      <c r="M525" s="19"/>
      <c r="N525" s="17"/>
      <c r="Q525" s="20"/>
    </row>
    <row r="526" spans="1:17" s="1" customFormat="1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L526" s="10"/>
      <c r="M526" s="19"/>
      <c r="N526" s="17"/>
      <c r="Q526" s="20"/>
    </row>
    <row r="527" spans="1:17" s="1" customFormat="1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L527" s="10"/>
      <c r="M527" s="19"/>
      <c r="N527" s="17"/>
      <c r="Q527" s="20"/>
    </row>
    <row r="528" spans="1:17" s="1" customFormat="1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L528" s="10"/>
      <c r="M528" s="19"/>
      <c r="N528" s="17"/>
      <c r="Q528" s="20"/>
    </row>
    <row r="529" spans="1:17" s="1" customFormat="1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L529" s="10"/>
      <c r="M529" s="19"/>
      <c r="N529" s="17"/>
      <c r="Q529" s="20"/>
    </row>
    <row r="530" spans="1:17" s="1" customFormat="1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L530" s="10"/>
      <c r="M530" s="19"/>
      <c r="N530" s="17"/>
      <c r="Q530" s="20"/>
    </row>
    <row r="531" spans="1:17" s="1" customFormat="1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L531" s="10"/>
      <c r="M531" s="19"/>
      <c r="N531" s="17"/>
      <c r="Q531" s="20"/>
    </row>
    <row r="532" spans="1:17" s="1" customFormat="1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L532" s="10"/>
      <c r="M532" s="19"/>
      <c r="N532" s="17"/>
      <c r="Q532" s="20"/>
    </row>
    <row r="533" spans="1:17" s="1" customFormat="1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L533" s="10"/>
      <c r="M533" s="19"/>
      <c r="N533" s="17"/>
      <c r="Q533" s="20"/>
    </row>
    <row r="534" spans="1:17" s="1" customFormat="1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L534" s="10"/>
      <c r="M534" s="19"/>
      <c r="N534" s="17"/>
      <c r="Q534" s="20"/>
    </row>
    <row r="535" spans="1:17" s="1" customFormat="1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L535" s="10"/>
      <c r="M535" s="19"/>
      <c r="N535" s="17"/>
      <c r="Q535" s="20"/>
    </row>
    <row r="536" spans="1:17" s="1" customFormat="1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L536" s="10"/>
      <c r="M536" s="19"/>
      <c r="N536" s="17"/>
      <c r="Q536" s="20"/>
    </row>
    <row r="537" spans="1:17" s="1" customFormat="1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L537" s="10"/>
      <c r="M537" s="19"/>
      <c r="N537" s="17"/>
      <c r="Q537" s="20"/>
    </row>
    <row r="538" spans="1:17" s="1" customFormat="1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L538" s="10"/>
      <c r="M538" s="19"/>
      <c r="N538" s="17"/>
      <c r="Q538" s="20"/>
    </row>
    <row r="539" spans="1:17" s="1" customFormat="1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L539" s="10"/>
      <c r="M539" s="19"/>
      <c r="N539" s="17"/>
      <c r="Q539" s="20"/>
    </row>
    <row r="540" spans="1:17" s="1" customFormat="1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L540" s="10"/>
      <c r="M540" s="19"/>
      <c r="N540" s="17"/>
      <c r="Q540" s="20"/>
    </row>
    <row r="541" spans="1:17" s="1" customFormat="1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L541" s="10"/>
      <c r="M541" s="19"/>
      <c r="N541" s="17"/>
      <c r="Q541" s="20"/>
    </row>
    <row r="542" spans="1:17" s="1" customFormat="1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L542" s="10"/>
      <c r="M542" s="19"/>
      <c r="N542" s="17"/>
      <c r="Q542" s="20"/>
    </row>
    <row r="543" spans="1:17" s="1" customFormat="1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L543" s="10"/>
      <c r="M543" s="19"/>
      <c r="N543" s="17"/>
      <c r="Q543" s="20"/>
    </row>
    <row r="544" spans="1:17" s="1" customFormat="1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L544" s="10"/>
      <c r="M544" s="19"/>
      <c r="N544" s="17"/>
      <c r="Q544" s="20"/>
    </row>
    <row r="545" spans="1:17" s="1" customFormat="1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L545" s="10"/>
      <c r="M545" s="19"/>
      <c r="N545" s="17"/>
      <c r="Q545" s="20"/>
    </row>
    <row r="546" spans="1:17" s="1" customFormat="1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L546" s="10"/>
      <c r="M546" s="19"/>
      <c r="N546" s="17"/>
      <c r="Q546" s="20"/>
    </row>
    <row r="547" spans="1:17" s="1" customFormat="1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L547" s="10"/>
      <c r="M547" s="19"/>
      <c r="N547" s="17"/>
      <c r="Q547" s="20"/>
    </row>
    <row r="548" spans="1:17" s="1" customFormat="1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L548" s="10"/>
      <c r="M548" s="19"/>
      <c r="N548" s="17"/>
      <c r="Q548" s="20"/>
    </row>
    <row r="549" spans="1:17" s="1" customFormat="1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L549" s="10"/>
      <c r="M549" s="19"/>
      <c r="N549" s="17"/>
      <c r="Q549" s="20"/>
    </row>
    <row r="550" spans="1:17" s="1" customFormat="1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L550" s="10"/>
      <c r="M550" s="19"/>
      <c r="N550" s="17"/>
      <c r="Q550" s="20"/>
    </row>
    <row r="551" spans="1:17" s="1" customFormat="1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L551" s="10"/>
      <c r="M551" s="19"/>
      <c r="N551" s="17"/>
      <c r="Q551" s="20"/>
    </row>
    <row r="552" spans="1:17" s="1" customFormat="1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L552" s="10"/>
      <c r="M552" s="19"/>
      <c r="N552" s="17"/>
      <c r="Q552" s="20"/>
    </row>
    <row r="553" spans="1:17" s="1" customFormat="1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L553" s="10"/>
      <c r="M553" s="19"/>
      <c r="N553" s="17"/>
      <c r="Q553" s="20"/>
    </row>
    <row r="554" spans="1:17" s="1" customFormat="1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L554" s="10"/>
      <c r="M554" s="19"/>
      <c r="N554" s="17"/>
      <c r="Q554" s="20"/>
    </row>
    <row r="555" spans="1:17" s="1" customFormat="1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L555" s="10"/>
      <c r="M555" s="19"/>
      <c r="N555" s="17"/>
      <c r="Q555" s="20"/>
    </row>
    <row r="556" spans="1:17" s="1" customFormat="1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L556" s="10"/>
      <c r="M556" s="19"/>
      <c r="N556" s="17"/>
      <c r="Q556" s="20"/>
    </row>
    <row r="557" spans="1:17" s="1" customFormat="1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L557" s="10"/>
      <c r="M557" s="19"/>
      <c r="N557" s="17"/>
      <c r="Q557" s="20"/>
    </row>
    <row r="558" spans="1:17" s="1" customFormat="1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L558" s="10"/>
      <c r="M558" s="19"/>
      <c r="N558" s="17"/>
      <c r="Q558" s="20"/>
    </row>
    <row r="559" spans="1:17" s="1" customFormat="1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L559" s="10"/>
      <c r="M559" s="19"/>
      <c r="N559" s="17"/>
      <c r="Q559" s="20"/>
    </row>
    <row r="560" spans="1:17" s="1" customFormat="1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L560" s="10"/>
      <c r="M560" s="19"/>
      <c r="N560" s="17"/>
      <c r="Q560" s="20"/>
    </row>
    <row r="561" spans="1:17" s="1" customFormat="1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L561" s="10"/>
      <c r="M561" s="19"/>
      <c r="N561" s="17"/>
      <c r="Q561" s="20"/>
    </row>
    <row r="562" spans="1:17" s="1" customFormat="1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L562" s="10"/>
      <c r="M562" s="19"/>
      <c r="N562" s="17"/>
      <c r="Q562" s="20"/>
    </row>
    <row r="563" spans="1:17" s="1" customFormat="1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L563" s="10"/>
      <c r="M563" s="19"/>
      <c r="N563" s="17"/>
      <c r="Q563" s="20"/>
    </row>
    <row r="564" spans="1:17" s="1" customFormat="1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L564" s="10"/>
      <c r="M564" s="19"/>
      <c r="N564" s="17"/>
      <c r="Q564" s="20"/>
    </row>
    <row r="565" spans="1:17" s="1" customFormat="1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L565" s="10"/>
      <c r="M565" s="19"/>
      <c r="N565" s="17"/>
      <c r="Q565" s="20"/>
    </row>
    <row r="566" spans="1:17" s="1" customFormat="1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L566" s="10"/>
      <c r="M566" s="19"/>
      <c r="N566" s="17"/>
      <c r="Q566" s="20"/>
    </row>
    <row r="567" spans="1:17" s="1" customFormat="1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L567" s="10"/>
      <c r="M567" s="19"/>
      <c r="N567" s="17"/>
      <c r="Q567" s="20"/>
    </row>
    <row r="568" spans="1:17" s="1" customFormat="1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L568" s="10"/>
      <c r="M568" s="19"/>
      <c r="N568" s="17"/>
      <c r="Q568" s="20"/>
    </row>
    <row r="569" spans="1:17" s="1" customFormat="1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L569" s="10"/>
      <c r="M569" s="19"/>
      <c r="N569" s="17"/>
      <c r="Q569" s="20"/>
    </row>
    <row r="570" spans="1:17" s="1" customFormat="1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L570" s="10"/>
      <c r="M570" s="19"/>
      <c r="N570" s="17"/>
      <c r="Q570" s="20"/>
    </row>
    <row r="571" spans="1:17" s="1" customFormat="1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L571" s="10"/>
      <c r="M571" s="19"/>
      <c r="N571" s="17"/>
      <c r="Q571" s="20"/>
    </row>
    <row r="572" spans="1:17" s="1" customFormat="1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L572" s="10"/>
      <c r="M572" s="19"/>
      <c r="N572" s="17"/>
      <c r="Q572" s="20"/>
    </row>
    <row r="573" spans="1:17" s="1" customFormat="1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L573" s="10"/>
      <c r="M573" s="19"/>
      <c r="N573" s="17"/>
      <c r="Q573" s="20"/>
    </row>
    <row r="574" spans="1:17" s="1" customFormat="1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L574" s="10"/>
      <c r="M574" s="19"/>
      <c r="N574" s="17"/>
      <c r="Q574" s="20"/>
    </row>
    <row r="575" spans="1:17" s="1" customFormat="1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L575" s="10"/>
      <c r="M575" s="19"/>
      <c r="N575" s="17"/>
      <c r="Q575" s="20"/>
    </row>
    <row r="576" spans="1:17" s="1" customFormat="1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L576" s="10"/>
      <c r="M576" s="19"/>
      <c r="N576" s="17"/>
      <c r="Q576" s="20"/>
    </row>
    <row r="577" spans="1:17" s="1" customFormat="1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L577" s="10"/>
      <c r="M577" s="19"/>
      <c r="N577" s="17"/>
      <c r="Q577" s="20"/>
    </row>
    <row r="578" spans="1:17" s="1" customFormat="1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L578" s="10"/>
      <c r="M578" s="19"/>
      <c r="N578" s="17"/>
      <c r="Q578" s="20"/>
    </row>
    <row r="579" spans="1:17" s="1" customFormat="1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L579" s="10"/>
      <c r="M579" s="19"/>
      <c r="N579" s="17"/>
      <c r="Q579" s="20"/>
    </row>
    <row r="580" spans="1:17" s="1" customFormat="1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L580" s="10"/>
      <c r="M580" s="19"/>
      <c r="N580" s="17"/>
      <c r="Q580" s="20"/>
    </row>
    <row r="581" spans="1:17" s="1" customFormat="1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L581" s="10"/>
      <c r="M581" s="19"/>
      <c r="N581" s="17"/>
      <c r="Q581" s="20"/>
    </row>
    <row r="582" spans="1:17" s="1" customFormat="1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L582" s="10"/>
      <c r="M582" s="19"/>
      <c r="N582" s="17"/>
      <c r="Q582" s="20"/>
    </row>
    <row r="583" spans="1:17" s="1" customFormat="1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L583" s="10"/>
      <c r="M583" s="19"/>
      <c r="N583" s="17"/>
      <c r="Q583" s="20"/>
    </row>
    <row r="584" spans="1:17" s="1" customFormat="1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L584" s="10"/>
      <c r="M584" s="19"/>
      <c r="N584" s="17"/>
      <c r="Q584" s="20"/>
    </row>
    <row r="585" spans="1:17" s="1" customFormat="1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L585" s="10"/>
      <c r="M585" s="19"/>
      <c r="N585" s="17"/>
      <c r="Q585" s="20"/>
    </row>
    <row r="586" spans="1:17" s="1" customFormat="1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L586" s="10"/>
      <c r="M586" s="19"/>
      <c r="N586" s="17"/>
      <c r="Q586" s="20"/>
    </row>
    <row r="587" spans="1:17" s="1" customFormat="1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L587" s="10"/>
      <c r="M587" s="19"/>
      <c r="N587" s="17"/>
      <c r="Q587" s="20"/>
    </row>
    <row r="588" spans="1:17" s="1" customFormat="1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L588" s="10"/>
      <c r="M588" s="19"/>
      <c r="N588" s="17"/>
      <c r="Q588" s="20"/>
    </row>
    <row r="589" spans="1:17" s="1" customFormat="1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L589" s="10"/>
      <c r="M589" s="19"/>
      <c r="N589" s="17"/>
      <c r="Q589" s="20"/>
    </row>
    <row r="590" spans="1:17" s="1" customFormat="1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L590" s="10"/>
      <c r="M590" s="19"/>
      <c r="N590" s="17"/>
      <c r="Q590" s="20"/>
    </row>
    <row r="591" spans="1:17" s="1" customFormat="1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L591" s="10"/>
      <c r="M591" s="19"/>
      <c r="N591" s="17"/>
      <c r="Q591" s="20"/>
    </row>
    <row r="592" spans="1:17" s="1" customFormat="1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L592" s="10"/>
      <c r="M592" s="19"/>
      <c r="N592" s="17"/>
      <c r="Q592" s="20"/>
    </row>
    <row r="593" spans="1:17" s="1" customFormat="1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L593" s="10"/>
      <c r="M593" s="19"/>
      <c r="N593" s="17"/>
      <c r="Q593" s="20"/>
    </row>
    <row r="594" spans="1:17" s="1" customFormat="1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L594" s="10"/>
      <c r="M594" s="19"/>
      <c r="N594" s="17"/>
      <c r="Q594" s="20"/>
    </row>
    <row r="595" spans="1:17" s="1" customFormat="1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L595" s="10"/>
      <c r="M595" s="19"/>
      <c r="N595" s="17"/>
      <c r="Q595" s="20"/>
    </row>
    <row r="596" spans="1:17" s="1" customFormat="1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L596" s="10"/>
      <c r="M596" s="19"/>
      <c r="N596" s="17"/>
      <c r="Q596" s="20"/>
    </row>
    <row r="597" spans="1:17" s="1" customFormat="1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L597" s="10"/>
      <c r="M597" s="19"/>
      <c r="N597" s="17"/>
      <c r="Q597" s="20"/>
    </row>
    <row r="598" spans="1:17" s="1" customFormat="1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L598" s="10"/>
      <c r="M598" s="19"/>
      <c r="N598" s="17"/>
      <c r="Q598" s="20"/>
    </row>
    <row r="599" spans="1:17" s="1" customFormat="1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L599" s="10"/>
      <c r="M599" s="19"/>
      <c r="N599" s="17"/>
      <c r="Q599" s="20"/>
    </row>
    <row r="600" spans="1:17" s="1" customFormat="1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L600" s="10"/>
      <c r="M600" s="19"/>
      <c r="N600" s="17"/>
      <c r="Q600" s="20"/>
    </row>
    <row r="601" spans="1:17" s="1" customFormat="1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L601" s="10"/>
      <c r="M601" s="19"/>
      <c r="N601" s="17"/>
      <c r="Q601" s="20"/>
    </row>
    <row r="602" spans="1:17" s="1" customFormat="1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L602" s="10"/>
      <c r="M602" s="19"/>
      <c r="N602" s="17"/>
      <c r="Q602" s="20"/>
    </row>
    <row r="603" spans="1:17" s="1" customFormat="1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L603" s="10"/>
      <c r="M603" s="19"/>
      <c r="N603" s="17"/>
      <c r="Q603" s="20"/>
    </row>
    <row r="604" spans="1:17" s="1" customFormat="1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L604" s="10"/>
      <c r="M604" s="19"/>
      <c r="N604" s="17"/>
      <c r="Q604" s="20"/>
    </row>
    <row r="605" spans="1:17" s="1" customFormat="1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L605" s="10"/>
      <c r="M605" s="19"/>
      <c r="N605" s="17"/>
      <c r="Q605" s="20"/>
    </row>
    <row r="606" spans="1:17" s="1" customFormat="1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L606" s="10"/>
      <c r="M606" s="19"/>
      <c r="N606" s="17"/>
      <c r="Q606" s="20"/>
    </row>
    <row r="607" spans="1:17" s="1" customFormat="1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L607" s="10"/>
      <c r="M607" s="19"/>
      <c r="N607" s="17"/>
      <c r="Q607" s="20"/>
    </row>
    <row r="608" spans="1:17" s="1" customFormat="1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L608" s="10"/>
      <c r="M608" s="19"/>
      <c r="N608" s="17"/>
      <c r="Q608" s="20"/>
    </row>
    <row r="609" spans="1:17" s="1" customFormat="1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L609" s="10"/>
      <c r="M609" s="19"/>
      <c r="N609" s="17"/>
      <c r="Q609" s="20"/>
    </row>
    <row r="610" spans="1:17" s="1" customFormat="1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L610" s="10"/>
      <c r="M610" s="19"/>
      <c r="N610" s="17"/>
      <c r="Q610" s="20"/>
    </row>
    <row r="611" spans="1:17" s="1" customFormat="1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L611" s="10"/>
      <c r="M611" s="19"/>
      <c r="N611" s="17"/>
      <c r="Q611" s="20"/>
    </row>
    <row r="612" spans="1:17" s="1" customFormat="1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L612" s="10"/>
      <c r="M612" s="19"/>
      <c r="N612" s="17"/>
      <c r="Q612" s="20"/>
    </row>
    <row r="613" spans="1:17" s="1" customFormat="1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L613" s="10"/>
      <c r="M613" s="19"/>
      <c r="N613" s="17"/>
      <c r="Q613" s="20"/>
    </row>
    <row r="614" spans="1:17" s="1" customFormat="1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L614" s="10"/>
      <c r="M614" s="19"/>
      <c r="N614" s="17"/>
      <c r="Q614" s="20"/>
    </row>
    <row r="615" spans="1:17" s="1" customFormat="1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L615" s="10"/>
      <c r="M615" s="19"/>
      <c r="N615" s="17"/>
      <c r="Q615" s="20"/>
    </row>
    <row r="616" spans="1:17" s="1" customFormat="1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L616" s="10"/>
      <c r="M616" s="19"/>
      <c r="N616" s="17"/>
      <c r="Q616" s="20"/>
    </row>
    <row r="617" spans="1:17" s="1" customFormat="1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L617" s="10"/>
      <c r="M617" s="19"/>
      <c r="N617" s="17"/>
      <c r="Q617" s="20"/>
    </row>
    <row r="618" spans="1:17" s="1" customFormat="1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L618" s="10"/>
      <c r="M618" s="19"/>
      <c r="N618" s="17"/>
      <c r="Q618" s="20"/>
    </row>
    <row r="619" spans="1:17" s="1" customFormat="1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L619" s="10"/>
      <c r="M619" s="19"/>
      <c r="N619" s="17"/>
      <c r="Q619" s="20"/>
    </row>
    <row r="620" spans="1:17" s="1" customFormat="1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L620" s="10"/>
      <c r="M620" s="19"/>
      <c r="N620" s="17"/>
      <c r="Q620" s="20"/>
    </row>
    <row r="621" spans="1:17" s="1" customFormat="1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L621" s="10"/>
      <c r="M621" s="19"/>
      <c r="N621" s="17"/>
      <c r="Q621" s="20"/>
    </row>
    <row r="622" spans="1:17" s="1" customFormat="1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L622" s="10"/>
      <c r="M622" s="19"/>
      <c r="N622" s="17"/>
      <c r="Q622" s="20"/>
    </row>
    <row r="623" spans="1:17" s="1" customFormat="1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L623" s="10"/>
      <c r="M623" s="19"/>
      <c r="N623" s="17"/>
      <c r="Q623" s="20"/>
    </row>
    <row r="624" spans="1:17" s="1" customFormat="1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L624" s="10"/>
      <c r="M624" s="19"/>
      <c r="N624" s="17"/>
      <c r="Q624" s="20"/>
    </row>
    <row r="625" spans="1:17" s="1" customFormat="1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L625" s="10"/>
      <c r="M625" s="19"/>
      <c r="N625" s="17"/>
      <c r="Q625" s="20"/>
    </row>
    <row r="626" spans="1:17" s="1" customFormat="1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L626" s="10"/>
      <c r="M626" s="19"/>
      <c r="N626" s="17"/>
      <c r="Q626" s="20"/>
    </row>
    <row r="627" spans="1:17" s="1" customFormat="1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L627" s="10"/>
      <c r="M627" s="19"/>
      <c r="N627" s="17"/>
      <c r="Q627" s="20"/>
    </row>
    <row r="628" spans="1:17" s="1" customFormat="1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L628" s="10"/>
      <c r="M628" s="19"/>
      <c r="N628" s="17"/>
      <c r="Q628" s="20"/>
    </row>
    <row r="629" spans="1:17" s="1" customFormat="1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L629" s="10"/>
      <c r="M629" s="19"/>
      <c r="N629" s="17"/>
      <c r="Q629" s="20"/>
    </row>
    <row r="630" spans="1:17" s="1" customFormat="1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L630" s="10"/>
      <c r="M630" s="19"/>
      <c r="N630" s="17"/>
      <c r="Q630" s="20"/>
    </row>
    <row r="631" spans="1:17" s="1" customFormat="1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L631" s="10"/>
      <c r="M631" s="19"/>
      <c r="N631" s="17"/>
      <c r="Q631" s="20"/>
    </row>
    <row r="632" spans="1:17" s="1" customFormat="1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L632" s="10"/>
      <c r="M632" s="19"/>
      <c r="N632" s="17"/>
      <c r="Q632" s="20"/>
    </row>
    <row r="633" spans="1:17" s="1" customFormat="1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L633" s="10"/>
      <c r="M633" s="19"/>
      <c r="N633" s="17"/>
      <c r="Q633" s="20"/>
    </row>
    <row r="634" spans="1:17" s="1" customFormat="1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L634" s="10"/>
      <c r="M634" s="19"/>
      <c r="N634" s="17"/>
      <c r="Q634" s="20"/>
    </row>
    <row r="635" spans="1:17" s="1" customFormat="1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L635" s="10"/>
      <c r="M635" s="19"/>
      <c r="N635" s="17"/>
      <c r="Q635" s="20"/>
    </row>
    <row r="636" spans="1:17" s="1" customFormat="1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L636" s="10"/>
      <c r="M636" s="19"/>
      <c r="N636" s="17"/>
      <c r="Q636" s="20"/>
    </row>
    <row r="637" spans="1:17" s="1" customFormat="1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L637" s="10"/>
      <c r="M637" s="19"/>
      <c r="N637" s="17"/>
      <c r="Q637" s="20"/>
    </row>
    <row r="638" spans="1:17" s="1" customFormat="1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L638" s="10"/>
      <c r="M638" s="19"/>
      <c r="N638" s="17"/>
      <c r="Q638" s="20"/>
    </row>
    <row r="639" spans="1:17" s="1" customFormat="1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L639" s="10"/>
      <c r="M639" s="19"/>
      <c r="N639" s="17"/>
      <c r="Q639" s="20"/>
    </row>
    <row r="640" spans="1:17" s="1" customFormat="1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L640" s="10"/>
      <c r="M640" s="19"/>
      <c r="N640" s="17"/>
      <c r="Q640" s="20"/>
    </row>
    <row r="641" spans="1:17" s="1" customFormat="1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L641" s="10"/>
      <c r="M641" s="19"/>
      <c r="N641" s="17"/>
      <c r="Q641" s="20"/>
    </row>
    <row r="642" spans="1:17" s="1" customFormat="1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L642" s="10"/>
      <c r="M642" s="19"/>
      <c r="N642" s="17"/>
      <c r="Q642" s="20"/>
    </row>
    <row r="643" spans="1:17" s="1" customFormat="1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L643" s="10"/>
      <c r="M643" s="19"/>
      <c r="N643" s="17"/>
      <c r="Q643" s="20"/>
    </row>
    <row r="644" spans="1:17" s="1" customFormat="1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L644" s="10"/>
      <c r="M644" s="19"/>
      <c r="N644" s="17"/>
      <c r="Q644" s="20"/>
    </row>
    <row r="645" spans="1:17" s="1" customFormat="1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L645" s="10"/>
      <c r="M645" s="19"/>
      <c r="N645" s="17"/>
      <c r="Q645" s="20"/>
    </row>
    <row r="646" spans="1:17" s="1" customFormat="1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L646" s="10"/>
      <c r="M646" s="19"/>
      <c r="N646" s="17"/>
      <c r="Q646" s="20"/>
    </row>
    <row r="647" spans="1:17" s="1" customFormat="1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L647" s="10"/>
      <c r="M647" s="19"/>
      <c r="N647" s="17"/>
      <c r="Q647" s="20"/>
    </row>
    <row r="648" spans="1:17" s="1" customFormat="1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L648" s="10"/>
      <c r="M648" s="19"/>
      <c r="N648" s="17"/>
      <c r="Q648" s="20"/>
    </row>
    <row r="649" spans="1:17" s="1" customFormat="1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L649" s="10"/>
      <c r="M649" s="19"/>
      <c r="N649" s="17"/>
      <c r="Q649" s="20"/>
    </row>
    <row r="650" spans="1:17" s="1" customFormat="1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L650" s="10"/>
      <c r="M650" s="19"/>
      <c r="N650" s="17"/>
      <c r="Q650" s="20"/>
    </row>
    <row r="651" spans="1:17" s="1" customFormat="1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L651" s="10"/>
      <c r="M651" s="19"/>
      <c r="N651" s="17"/>
      <c r="Q651" s="20"/>
    </row>
    <row r="652" spans="1:17" s="1" customFormat="1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L652" s="10"/>
      <c r="M652" s="19"/>
      <c r="N652" s="17"/>
      <c r="Q652" s="20"/>
    </row>
    <row r="653" spans="1:17" s="1" customFormat="1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L653" s="10"/>
      <c r="M653" s="19"/>
      <c r="N653" s="17"/>
      <c r="Q653" s="20"/>
    </row>
    <row r="654" spans="1:17" s="1" customFormat="1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L654" s="10"/>
      <c r="M654" s="19"/>
      <c r="N654" s="17"/>
      <c r="Q654" s="20"/>
    </row>
    <row r="655" spans="1:17" s="1" customFormat="1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L655" s="10"/>
      <c r="M655" s="19"/>
      <c r="N655" s="17"/>
      <c r="Q655" s="20"/>
    </row>
    <row r="656" spans="1:17" s="1" customFormat="1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L656" s="10"/>
      <c r="M656" s="19"/>
      <c r="N656" s="17"/>
      <c r="Q656" s="20"/>
    </row>
    <row r="657" spans="1:17" s="1" customFormat="1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L657" s="10"/>
      <c r="M657" s="19"/>
      <c r="N657" s="17"/>
      <c r="Q657" s="20"/>
    </row>
    <row r="658" spans="1:17" s="1" customFormat="1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L658" s="10"/>
      <c r="M658" s="19"/>
      <c r="N658" s="17"/>
      <c r="Q658" s="20"/>
    </row>
    <row r="659" spans="1:17" s="1" customFormat="1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L659" s="10"/>
      <c r="M659" s="19"/>
      <c r="N659" s="17"/>
      <c r="Q659" s="20"/>
    </row>
    <row r="660" spans="1:17" s="1" customFormat="1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L660" s="10"/>
      <c r="M660" s="19"/>
      <c r="N660" s="17"/>
      <c r="Q660" s="20"/>
    </row>
    <row r="661" spans="1:17" s="1" customFormat="1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L661" s="10"/>
      <c r="M661" s="19"/>
      <c r="N661" s="17"/>
      <c r="Q661" s="20"/>
    </row>
    <row r="662" spans="1:17" s="1" customFormat="1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L662" s="10"/>
      <c r="M662" s="19"/>
      <c r="N662" s="17"/>
      <c r="Q662" s="20"/>
    </row>
    <row r="663" spans="1:17" s="1" customFormat="1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L663" s="10"/>
      <c r="M663" s="19"/>
      <c r="N663" s="17"/>
      <c r="Q663" s="20"/>
    </row>
    <row r="664" spans="1:17" s="1" customFormat="1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L664" s="10"/>
      <c r="M664" s="19"/>
      <c r="N664" s="17"/>
      <c r="Q664" s="20"/>
    </row>
    <row r="665" spans="1:17" s="1" customFormat="1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L665" s="10"/>
      <c r="M665" s="19"/>
      <c r="N665" s="17"/>
      <c r="Q665" s="20"/>
    </row>
    <row r="666" spans="1:17" s="1" customFormat="1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L666" s="10"/>
      <c r="M666" s="19"/>
      <c r="N666" s="17"/>
      <c r="Q666" s="20"/>
    </row>
    <row r="667" spans="1:17" s="1" customFormat="1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L667" s="10"/>
      <c r="M667" s="19"/>
      <c r="N667" s="17"/>
      <c r="Q667" s="20"/>
    </row>
    <row r="668" spans="1:17" s="1" customFormat="1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L668" s="10"/>
      <c r="M668" s="19"/>
      <c r="N668" s="17"/>
      <c r="Q668" s="20"/>
    </row>
    <row r="669" spans="1:17" s="1" customFormat="1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L669" s="10"/>
      <c r="M669" s="19"/>
      <c r="N669" s="17"/>
      <c r="Q669" s="20"/>
    </row>
    <row r="670" spans="1:17" s="1" customFormat="1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L670" s="10"/>
      <c r="M670" s="19"/>
      <c r="N670" s="17"/>
      <c r="Q670" s="20"/>
    </row>
    <row r="671" spans="1:17" s="1" customFormat="1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L671" s="10"/>
      <c r="M671" s="19"/>
      <c r="N671" s="17"/>
      <c r="Q671" s="20"/>
    </row>
    <row r="672" spans="1:17" s="1" customFormat="1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L672" s="10"/>
      <c r="M672" s="19"/>
      <c r="N672" s="17"/>
      <c r="Q672" s="20"/>
    </row>
    <row r="673" spans="1:17" s="1" customFormat="1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L673" s="10"/>
      <c r="M673" s="19"/>
      <c r="N673" s="17"/>
      <c r="Q673" s="20"/>
    </row>
    <row r="674" spans="1:17" s="1" customFormat="1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L674" s="10"/>
      <c r="M674" s="19"/>
      <c r="N674" s="17"/>
      <c r="Q674" s="20"/>
    </row>
    <row r="675" spans="1:17" s="1" customFormat="1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L675" s="10"/>
      <c r="M675" s="19"/>
      <c r="N675" s="17"/>
      <c r="Q675" s="20"/>
    </row>
    <row r="676" spans="1:17" s="1" customFormat="1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L676" s="10"/>
      <c r="M676" s="19"/>
      <c r="N676" s="17"/>
      <c r="Q676" s="20"/>
    </row>
    <row r="677" spans="1:17" s="1" customFormat="1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L677" s="10"/>
      <c r="M677" s="19"/>
      <c r="N677" s="17"/>
      <c r="Q677" s="20"/>
    </row>
    <row r="678" spans="1:17" s="1" customFormat="1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L678" s="10"/>
      <c r="M678" s="19"/>
      <c r="N678" s="17"/>
      <c r="Q678" s="20"/>
    </row>
    <row r="679" spans="1:17" s="1" customFormat="1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L679" s="10"/>
      <c r="M679" s="19"/>
      <c r="N679" s="17"/>
      <c r="Q679" s="20"/>
    </row>
    <row r="680" spans="1:17" s="1" customFormat="1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L680" s="10"/>
      <c r="M680" s="19"/>
      <c r="N680" s="17"/>
      <c r="Q680" s="20"/>
    </row>
    <row r="681" spans="1:17" s="1" customFormat="1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L681" s="10"/>
      <c r="M681" s="19"/>
      <c r="N681" s="17"/>
      <c r="Q681" s="20"/>
    </row>
    <row r="682" spans="1:17" s="1" customFormat="1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L682" s="10"/>
      <c r="M682" s="19"/>
      <c r="N682" s="17"/>
      <c r="Q682" s="20"/>
    </row>
    <row r="683" spans="1:17" s="1" customFormat="1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L683" s="10"/>
      <c r="M683" s="19"/>
      <c r="N683" s="17"/>
      <c r="Q683" s="20"/>
    </row>
    <row r="684" spans="1:17" s="1" customFormat="1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L684" s="10"/>
      <c r="M684" s="19"/>
      <c r="N684" s="17"/>
      <c r="Q684" s="20"/>
    </row>
    <row r="685" spans="1:17" s="1" customFormat="1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L685" s="10"/>
      <c r="M685" s="19"/>
      <c r="N685" s="17"/>
      <c r="Q685" s="20"/>
    </row>
    <row r="686" spans="1:17" s="1" customFormat="1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L686" s="10"/>
      <c r="M686" s="19"/>
      <c r="N686" s="17"/>
      <c r="Q686" s="20"/>
    </row>
    <row r="687" spans="1:17" s="1" customFormat="1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L687" s="10"/>
      <c r="M687" s="19"/>
      <c r="N687" s="17"/>
      <c r="Q687" s="20"/>
    </row>
    <row r="688" spans="1:17" s="1" customFormat="1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L688" s="10"/>
      <c r="M688" s="19"/>
      <c r="N688" s="17"/>
      <c r="Q688" s="20"/>
    </row>
    <row r="689" spans="1:17" s="1" customFormat="1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L689" s="10"/>
      <c r="M689" s="19"/>
      <c r="N689" s="17"/>
      <c r="Q689" s="20"/>
    </row>
    <row r="690" spans="1:17" s="1" customFormat="1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L690" s="10"/>
      <c r="M690" s="19"/>
      <c r="N690" s="17"/>
      <c r="Q690" s="20"/>
    </row>
    <row r="691" spans="1:17" s="1" customFormat="1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L691" s="10"/>
      <c r="M691" s="19"/>
      <c r="N691" s="17"/>
      <c r="Q691" s="20"/>
    </row>
    <row r="692" spans="1:17" s="1" customFormat="1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L692" s="10"/>
      <c r="M692" s="19"/>
      <c r="N692" s="17"/>
      <c r="Q692" s="20"/>
    </row>
    <row r="693" spans="1:17" s="1" customFormat="1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L693" s="10"/>
      <c r="M693" s="19"/>
      <c r="N693" s="17"/>
      <c r="Q693" s="20"/>
    </row>
    <row r="694" spans="1:17" s="1" customFormat="1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L694" s="10"/>
      <c r="M694" s="19"/>
      <c r="N694" s="17"/>
      <c r="Q694" s="20"/>
    </row>
    <row r="695" spans="1:17" s="1" customFormat="1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L695" s="10"/>
      <c r="M695" s="19"/>
      <c r="N695" s="17"/>
      <c r="Q695" s="20"/>
    </row>
    <row r="696" spans="1:17" s="1" customFormat="1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L696" s="10"/>
      <c r="M696" s="19"/>
      <c r="N696" s="17"/>
      <c r="Q696" s="20"/>
    </row>
    <row r="697" spans="1:17" s="1" customFormat="1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L697" s="10"/>
      <c r="M697" s="19"/>
      <c r="N697" s="17"/>
      <c r="Q697" s="20"/>
    </row>
    <row r="698" spans="1:17" s="1" customFormat="1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L698" s="10"/>
      <c r="M698" s="19"/>
      <c r="N698" s="17"/>
      <c r="Q698" s="20"/>
    </row>
    <row r="699" spans="1:17" s="1" customFormat="1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L699" s="10"/>
      <c r="M699" s="19"/>
      <c r="N699" s="17"/>
      <c r="Q699" s="20"/>
    </row>
    <row r="700" spans="1:17" s="1" customFormat="1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L700" s="10"/>
      <c r="M700" s="19"/>
      <c r="N700" s="17"/>
      <c r="Q700" s="20"/>
    </row>
    <row r="701" spans="1:17" s="1" customFormat="1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L701" s="10"/>
      <c r="M701" s="19"/>
      <c r="N701" s="17"/>
      <c r="Q701" s="20"/>
    </row>
    <row r="702" spans="1:17" s="1" customFormat="1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L702" s="10"/>
      <c r="M702" s="19"/>
      <c r="N702" s="17"/>
      <c r="Q702" s="20"/>
    </row>
    <row r="703" spans="1:17" s="1" customFormat="1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L703" s="10"/>
      <c r="M703" s="19"/>
      <c r="N703" s="17"/>
      <c r="Q703" s="20"/>
    </row>
    <row r="704" spans="1:17" s="1" customFormat="1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L704" s="10"/>
      <c r="M704" s="19"/>
      <c r="N704" s="17"/>
      <c r="Q704" s="20"/>
    </row>
    <row r="705" spans="1:17" s="1" customFormat="1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L705" s="10"/>
      <c r="M705" s="19"/>
      <c r="N705" s="17"/>
      <c r="Q705" s="20"/>
    </row>
    <row r="706" spans="1:17" s="1" customFormat="1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L706" s="10"/>
      <c r="M706" s="19"/>
      <c r="N706" s="17"/>
      <c r="Q706" s="20"/>
    </row>
    <row r="707" spans="1:17" s="1" customFormat="1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L707" s="10"/>
      <c r="M707" s="19"/>
      <c r="N707" s="17"/>
      <c r="Q707" s="20"/>
    </row>
    <row r="708" spans="1:17" s="1" customFormat="1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L708" s="10"/>
      <c r="M708" s="19"/>
      <c r="N708" s="17"/>
      <c r="Q708" s="20"/>
    </row>
    <row r="709" spans="1:17" s="1" customFormat="1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L709" s="10"/>
      <c r="M709" s="19"/>
      <c r="N709" s="17"/>
      <c r="Q709" s="20"/>
    </row>
    <row r="710" spans="1:17" s="1" customFormat="1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L710" s="10"/>
      <c r="M710" s="19"/>
      <c r="N710" s="17"/>
      <c r="Q710" s="20"/>
    </row>
    <row r="711" spans="1:17" s="1" customFormat="1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L711" s="10"/>
      <c r="M711" s="19"/>
      <c r="N711" s="17"/>
      <c r="Q711" s="20"/>
    </row>
    <row r="712" spans="1:17" s="1" customFormat="1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L712" s="10"/>
      <c r="M712" s="19"/>
      <c r="N712" s="17"/>
      <c r="Q712" s="20"/>
    </row>
    <row r="713" spans="1:17" s="1" customFormat="1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L713" s="10"/>
      <c r="M713" s="19"/>
      <c r="N713" s="17"/>
      <c r="Q713" s="20"/>
    </row>
    <row r="714" spans="1:17" s="1" customFormat="1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L714" s="10"/>
      <c r="M714" s="19"/>
      <c r="N714" s="17"/>
      <c r="Q714" s="20"/>
    </row>
    <row r="715" spans="1:17" s="1" customFormat="1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L715" s="10"/>
      <c r="M715" s="19"/>
      <c r="N715" s="17"/>
      <c r="Q715" s="20"/>
    </row>
    <row r="716" spans="1:17" s="1" customFormat="1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L716" s="10"/>
      <c r="M716" s="19"/>
      <c r="N716" s="17"/>
      <c r="Q716" s="20"/>
    </row>
    <row r="717" spans="1:17" s="1" customFormat="1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L717" s="10"/>
      <c r="M717" s="19"/>
      <c r="N717" s="17"/>
      <c r="Q717" s="20"/>
    </row>
    <row r="718" spans="1:17" s="1" customFormat="1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L718" s="10"/>
      <c r="M718" s="19"/>
      <c r="N718" s="17"/>
      <c r="Q718" s="20"/>
    </row>
    <row r="719" spans="1:17" s="1" customFormat="1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L719" s="10"/>
      <c r="M719" s="19"/>
      <c r="N719" s="17"/>
      <c r="Q719" s="20"/>
    </row>
    <row r="720" spans="1:17" s="1" customFormat="1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L720" s="10"/>
      <c r="M720" s="19"/>
      <c r="N720" s="17"/>
      <c r="Q720" s="20"/>
    </row>
    <row r="721" spans="1:17" s="1" customFormat="1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L721" s="10"/>
      <c r="M721" s="19"/>
      <c r="N721" s="17"/>
      <c r="Q721" s="20"/>
    </row>
    <row r="722" spans="1:17" s="1" customFormat="1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L722" s="10"/>
      <c r="M722" s="19"/>
      <c r="N722" s="17"/>
      <c r="Q722" s="20"/>
    </row>
    <row r="723" spans="1:17" s="1" customFormat="1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L723" s="10"/>
      <c r="M723" s="19"/>
      <c r="N723" s="17"/>
      <c r="Q723" s="20"/>
    </row>
    <row r="724" spans="1:17" s="1" customFormat="1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L724" s="10"/>
      <c r="M724" s="19"/>
      <c r="N724" s="17"/>
      <c r="Q724" s="20"/>
    </row>
    <row r="725" spans="1:17" s="1" customFormat="1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L725" s="10"/>
      <c r="M725" s="19"/>
      <c r="N725" s="17"/>
      <c r="Q725" s="20"/>
    </row>
    <row r="726" spans="1:17" s="1" customFormat="1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L726" s="10"/>
      <c r="M726" s="19"/>
      <c r="N726" s="17"/>
      <c r="Q726" s="20"/>
    </row>
    <row r="727" spans="1:17" s="1" customFormat="1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L727" s="10"/>
      <c r="M727" s="19"/>
      <c r="N727" s="17"/>
      <c r="Q727" s="20"/>
    </row>
    <row r="728" spans="1:17" s="1" customFormat="1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L728" s="10"/>
      <c r="M728" s="19"/>
      <c r="N728" s="17"/>
      <c r="Q728" s="20"/>
    </row>
    <row r="729" spans="1:17" s="1" customFormat="1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L729" s="10"/>
      <c r="M729" s="19"/>
      <c r="N729" s="17"/>
      <c r="Q729" s="20"/>
    </row>
    <row r="730" spans="1:17" s="1" customFormat="1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L730" s="10"/>
      <c r="M730" s="19"/>
      <c r="N730" s="17"/>
      <c r="Q730" s="20"/>
    </row>
    <row r="731" spans="1:17" s="1" customFormat="1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L731" s="10"/>
      <c r="M731" s="19"/>
      <c r="N731" s="17"/>
      <c r="Q731" s="20"/>
    </row>
    <row r="732" spans="1:17" s="1" customFormat="1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L732" s="10"/>
      <c r="M732" s="19"/>
      <c r="N732" s="17"/>
      <c r="Q732" s="20"/>
    </row>
    <row r="733" spans="1:17" s="1" customFormat="1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L733" s="10"/>
      <c r="M733" s="19"/>
      <c r="N733" s="17"/>
      <c r="Q733" s="20"/>
    </row>
    <row r="734" spans="1:17" s="1" customFormat="1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L734" s="10"/>
      <c r="M734" s="19"/>
      <c r="N734" s="17"/>
      <c r="Q734" s="20"/>
    </row>
    <row r="735" spans="1:17" s="1" customFormat="1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L735" s="10"/>
      <c r="M735" s="19"/>
      <c r="N735" s="17"/>
      <c r="Q735" s="20"/>
    </row>
    <row r="736" spans="1:17" s="1" customFormat="1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L736" s="10"/>
      <c r="M736" s="19"/>
      <c r="N736" s="17"/>
      <c r="Q736" s="20"/>
    </row>
    <row r="737" spans="1:17" s="1" customFormat="1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L737" s="10"/>
      <c r="M737" s="19"/>
      <c r="N737" s="17"/>
      <c r="Q737" s="20"/>
    </row>
    <row r="738" spans="1:17" s="1" customFormat="1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L738" s="10"/>
      <c r="M738" s="19"/>
      <c r="N738" s="17"/>
      <c r="Q738" s="20"/>
    </row>
    <row r="739" spans="1:17" s="1" customFormat="1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L739" s="10"/>
      <c r="M739" s="19"/>
      <c r="N739" s="17"/>
      <c r="Q739" s="20"/>
    </row>
    <row r="740" spans="1:17" s="1" customFormat="1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L740" s="10"/>
      <c r="M740" s="19"/>
      <c r="N740" s="17"/>
      <c r="Q740" s="20"/>
    </row>
    <row r="741" spans="1:17" s="1" customFormat="1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L741" s="10"/>
      <c r="M741" s="19"/>
      <c r="N741" s="17"/>
      <c r="Q741" s="20"/>
    </row>
    <row r="742" spans="1:17" s="1" customFormat="1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L742" s="10"/>
      <c r="M742" s="19"/>
      <c r="N742" s="17"/>
      <c r="Q742" s="20"/>
    </row>
    <row r="743" spans="1:17" s="1" customFormat="1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L743" s="10"/>
      <c r="M743" s="19"/>
      <c r="N743" s="17"/>
      <c r="Q743" s="20"/>
    </row>
    <row r="744" spans="1:17" s="1" customFormat="1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L744" s="10"/>
      <c r="M744" s="19"/>
      <c r="N744" s="17"/>
      <c r="Q744" s="20"/>
    </row>
    <row r="745" spans="1:17" s="1" customFormat="1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L745" s="10"/>
      <c r="M745" s="19"/>
      <c r="N745" s="17"/>
      <c r="Q745" s="20"/>
    </row>
    <row r="746" spans="1:17" s="1" customFormat="1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L746" s="10"/>
      <c r="M746" s="19"/>
      <c r="N746" s="17"/>
      <c r="Q746" s="20"/>
    </row>
    <row r="747" spans="1:17" s="1" customFormat="1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L747" s="10"/>
      <c r="M747" s="19"/>
      <c r="N747" s="17"/>
      <c r="Q747" s="20"/>
    </row>
    <row r="748" spans="1:17" s="1" customFormat="1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L748" s="10"/>
      <c r="M748" s="19"/>
      <c r="N748" s="17"/>
      <c r="Q748" s="20"/>
    </row>
    <row r="749" spans="1:17" s="1" customFormat="1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L749" s="10"/>
      <c r="M749" s="19"/>
      <c r="N749" s="17"/>
      <c r="Q749" s="20"/>
    </row>
    <row r="750" spans="1:17" s="1" customFormat="1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L750" s="10"/>
      <c r="M750" s="19"/>
      <c r="N750" s="17"/>
      <c r="Q750" s="20"/>
    </row>
    <row r="751" spans="1:17" s="1" customFormat="1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L751" s="10"/>
      <c r="M751" s="19"/>
      <c r="N751" s="17"/>
      <c r="Q751" s="20"/>
    </row>
    <row r="752" spans="1:17" s="1" customFormat="1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L752" s="10"/>
      <c r="M752" s="19"/>
      <c r="N752" s="17"/>
      <c r="Q752" s="20"/>
    </row>
    <row r="753" spans="1:17" s="1" customFormat="1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L753" s="10"/>
      <c r="M753" s="19"/>
      <c r="N753" s="17"/>
      <c r="Q753" s="20"/>
    </row>
    <row r="754" spans="1:17" s="1" customFormat="1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L754" s="10"/>
      <c r="M754" s="19"/>
      <c r="N754" s="17"/>
      <c r="Q754" s="20"/>
    </row>
    <row r="755" spans="1:17" s="1" customFormat="1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L755" s="10"/>
      <c r="M755" s="19"/>
      <c r="N755" s="17"/>
      <c r="Q755" s="20"/>
    </row>
    <row r="756" spans="1:17" s="1" customFormat="1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L756" s="10"/>
      <c r="M756" s="19"/>
      <c r="N756" s="17"/>
      <c r="Q756" s="20"/>
    </row>
    <row r="757" spans="1:17" s="1" customFormat="1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L757" s="10"/>
      <c r="M757" s="19"/>
      <c r="N757" s="17"/>
      <c r="Q757" s="20"/>
    </row>
    <row r="758" spans="1:17" s="1" customFormat="1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L758" s="10"/>
      <c r="M758" s="19"/>
      <c r="N758" s="17"/>
      <c r="Q758" s="20"/>
    </row>
    <row r="759" spans="1:17" s="1" customFormat="1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L759" s="10"/>
      <c r="M759" s="19"/>
      <c r="N759" s="17"/>
      <c r="Q759" s="20"/>
    </row>
    <row r="760" spans="1:17" s="1" customFormat="1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L760" s="10"/>
      <c r="M760" s="19"/>
      <c r="N760" s="17"/>
      <c r="Q760" s="20"/>
    </row>
    <row r="761" spans="1:17" s="1" customFormat="1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L761" s="10"/>
      <c r="M761" s="19"/>
      <c r="N761" s="17"/>
      <c r="Q761" s="20"/>
    </row>
    <row r="762" spans="1:17" s="1" customFormat="1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L762" s="10"/>
      <c r="M762" s="19"/>
      <c r="N762" s="17"/>
      <c r="Q762" s="20"/>
    </row>
    <row r="763" spans="1:17" s="1" customFormat="1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L763" s="10"/>
      <c r="M763" s="19"/>
      <c r="N763" s="17"/>
      <c r="Q763" s="20"/>
    </row>
    <row r="764" spans="1:17" s="1" customFormat="1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L764" s="10"/>
      <c r="M764" s="19"/>
      <c r="N764" s="17"/>
      <c r="Q764" s="20"/>
    </row>
    <row r="765" spans="1:17" s="1" customFormat="1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L765" s="10"/>
      <c r="M765" s="19"/>
      <c r="N765" s="17"/>
      <c r="Q765" s="20"/>
    </row>
    <row r="766" spans="1:17" s="1" customFormat="1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L766" s="10"/>
      <c r="M766" s="19"/>
      <c r="N766" s="17"/>
      <c r="Q766" s="20"/>
    </row>
    <row r="767" spans="1:17" s="1" customFormat="1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L767" s="10"/>
      <c r="M767" s="19"/>
      <c r="N767" s="17"/>
      <c r="Q767" s="20"/>
    </row>
    <row r="768" spans="1:17" s="1" customFormat="1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L768" s="10"/>
      <c r="M768" s="19"/>
      <c r="N768" s="17"/>
      <c r="Q768" s="20"/>
    </row>
    <row r="769" spans="1:17" s="1" customFormat="1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L769" s="10"/>
      <c r="M769" s="19"/>
      <c r="N769" s="17"/>
      <c r="Q769" s="20"/>
    </row>
    <row r="770" spans="1:17" s="1" customFormat="1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L770" s="10"/>
      <c r="M770" s="19"/>
      <c r="N770" s="17"/>
      <c r="Q770" s="20"/>
    </row>
    <row r="771" spans="1:17" s="1" customFormat="1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L771" s="10"/>
      <c r="M771" s="19"/>
      <c r="N771" s="17"/>
      <c r="Q771" s="20"/>
    </row>
    <row r="772" spans="1:17" s="1" customFormat="1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L772" s="10"/>
      <c r="M772" s="19"/>
      <c r="N772" s="17"/>
      <c r="Q772" s="20"/>
    </row>
    <row r="773" spans="1:17" s="1" customFormat="1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L773" s="10"/>
      <c r="M773" s="19"/>
      <c r="N773" s="17"/>
      <c r="Q773" s="20"/>
    </row>
    <row r="774" spans="1:17" s="1" customFormat="1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L774" s="10"/>
      <c r="M774" s="19"/>
      <c r="N774" s="17"/>
      <c r="Q774" s="20"/>
    </row>
    <row r="775" spans="1:17" s="1" customFormat="1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L775" s="10"/>
      <c r="M775" s="19"/>
      <c r="N775" s="17"/>
      <c r="Q775" s="20"/>
    </row>
    <row r="776" spans="1:17" s="1" customFormat="1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L776" s="10"/>
      <c r="M776" s="19"/>
      <c r="N776" s="17"/>
      <c r="Q776" s="20"/>
    </row>
    <row r="777" spans="1:17" s="1" customFormat="1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L777" s="10"/>
      <c r="M777" s="19"/>
      <c r="N777" s="17"/>
      <c r="Q777" s="20"/>
    </row>
    <row r="778" spans="1:17" s="1" customFormat="1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L778" s="10"/>
      <c r="M778" s="19"/>
      <c r="N778" s="17"/>
      <c r="Q778" s="20"/>
    </row>
    <row r="779" spans="1:17" s="1" customFormat="1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L779" s="10"/>
      <c r="M779" s="19"/>
      <c r="N779" s="17"/>
      <c r="Q779" s="20"/>
    </row>
    <row r="780" spans="1:17" s="1" customFormat="1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L780" s="10"/>
      <c r="M780" s="19"/>
      <c r="N780" s="17"/>
      <c r="Q780" s="20"/>
    </row>
    <row r="781" spans="1:17" s="1" customFormat="1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L781" s="10"/>
      <c r="M781" s="19"/>
      <c r="N781" s="17"/>
      <c r="Q781" s="20"/>
    </row>
    <row r="782" spans="1:17" s="1" customFormat="1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L782" s="10"/>
      <c r="M782" s="19"/>
      <c r="N782" s="17"/>
      <c r="Q782" s="20"/>
    </row>
    <row r="783" spans="1:17" s="1" customFormat="1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L783" s="10"/>
      <c r="M783" s="19"/>
      <c r="N783" s="17"/>
      <c r="Q783" s="20"/>
    </row>
    <row r="784" spans="1:17" s="1" customFormat="1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L784" s="10"/>
      <c r="M784" s="19"/>
      <c r="N784" s="17"/>
      <c r="Q784" s="20"/>
    </row>
    <row r="785" spans="1:17" s="1" customFormat="1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L785" s="10"/>
      <c r="M785" s="19"/>
      <c r="N785" s="17"/>
      <c r="Q785" s="20"/>
    </row>
    <row r="786" spans="1:17" s="1" customFormat="1" ht="14.25" customHeight="1" x14ac:dyDescent="0.25">
      <c r="A786" s="15"/>
      <c r="B786" s="15"/>
      <c r="C786" s="15"/>
      <c r="D786" s="16"/>
      <c r="E786" s="16"/>
      <c r="F786" s="16"/>
      <c r="G786" s="16"/>
      <c r="H786" s="16"/>
      <c r="I786" s="15"/>
      <c r="J786" s="15"/>
      <c r="K786" s="10"/>
      <c r="L786" s="10"/>
      <c r="M786" s="19"/>
      <c r="N786" s="17"/>
      <c r="Q786" s="16"/>
    </row>
    <row r="787" spans="1:17" s="1" customFormat="1" ht="14.25" customHeight="1" x14ac:dyDescent="0.25">
      <c r="A787" s="15"/>
      <c r="B787" s="15"/>
      <c r="C787" s="15"/>
      <c r="D787" s="16"/>
      <c r="E787" s="16"/>
      <c r="F787" s="16"/>
      <c r="G787" s="16"/>
      <c r="H787" s="16"/>
      <c r="I787" s="15"/>
      <c r="J787" s="15"/>
      <c r="K787" s="10"/>
      <c r="L787" s="10"/>
      <c r="M787" s="19"/>
      <c r="N787" s="17"/>
      <c r="Q787" s="16"/>
    </row>
    <row r="788" spans="1:17" s="1" customFormat="1" ht="14.25" customHeight="1" x14ac:dyDescent="0.25">
      <c r="A788" s="15"/>
      <c r="B788" s="15"/>
      <c r="C788" s="15"/>
      <c r="D788" s="16"/>
      <c r="E788" s="16"/>
      <c r="F788" s="16"/>
      <c r="G788" s="16"/>
      <c r="H788" s="16"/>
      <c r="I788" s="15"/>
      <c r="J788" s="15"/>
      <c r="K788" s="10"/>
      <c r="L788" s="10"/>
      <c r="M788" s="19"/>
      <c r="N788" s="17"/>
      <c r="Q788" s="16"/>
    </row>
    <row r="789" spans="1:17" s="1" customFormat="1" ht="14.25" customHeight="1" x14ac:dyDescent="0.25">
      <c r="A789" s="15"/>
      <c r="B789" s="15"/>
      <c r="C789" s="15"/>
      <c r="D789" s="16"/>
      <c r="E789" s="16"/>
      <c r="F789" s="16"/>
      <c r="G789" s="16"/>
      <c r="H789" s="16"/>
      <c r="I789" s="15"/>
      <c r="J789" s="15"/>
      <c r="K789" s="10"/>
      <c r="L789" s="10"/>
      <c r="M789" s="19"/>
      <c r="N789" s="17"/>
      <c r="Q789" s="16"/>
    </row>
    <row r="790" spans="1:17" s="1" customFormat="1" ht="14.25" customHeight="1" x14ac:dyDescent="0.25">
      <c r="A790" s="15"/>
      <c r="B790" s="15"/>
      <c r="C790" s="15"/>
      <c r="D790" s="16"/>
      <c r="E790" s="16"/>
      <c r="F790" s="16"/>
      <c r="G790" s="16"/>
      <c r="H790" s="16"/>
      <c r="I790" s="15"/>
      <c r="J790" s="15"/>
      <c r="K790" s="10"/>
      <c r="L790" s="10"/>
      <c r="M790" s="17"/>
      <c r="N790" s="17"/>
      <c r="Q790" s="16"/>
    </row>
    <row r="791" spans="1:17" s="1" customFormat="1" ht="14.25" customHeight="1" x14ac:dyDescent="0.25">
      <c r="A791" s="15"/>
      <c r="B791" s="15"/>
      <c r="C791" s="15"/>
      <c r="D791" s="16"/>
      <c r="E791" s="16"/>
      <c r="F791" s="16"/>
      <c r="G791" s="16"/>
      <c r="H791" s="16"/>
      <c r="I791" s="15"/>
      <c r="J791" s="15"/>
      <c r="K791" s="10"/>
      <c r="L791" s="10"/>
      <c r="M791" s="17"/>
      <c r="N791" s="17"/>
      <c r="Q791" s="16"/>
    </row>
    <row r="792" spans="1:17" s="1" customFormat="1" ht="14.25" customHeight="1" x14ac:dyDescent="0.25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L792" s="10"/>
      <c r="M792" s="17"/>
      <c r="N792" s="17"/>
      <c r="Q792" s="16"/>
    </row>
    <row r="793" spans="1:17" s="1" customFormat="1" ht="14.25" customHeight="1" x14ac:dyDescent="0.25">
      <c r="A793" s="15"/>
      <c r="B793" s="15"/>
      <c r="C793" s="15"/>
      <c r="D793" s="16"/>
      <c r="E793" s="16"/>
      <c r="F793" s="16"/>
      <c r="G793" s="16"/>
      <c r="H793" s="16"/>
      <c r="I793" s="15"/>
      <c r="J793" s="15"/>
      <c r="K793" s="10"/>
      <c r="L793" s="10"/>
      <c r="M793" s="17"/>
      <c r="N793" s="17"/>
      <c r="Q793" s="16"/>
    </row>
  </sheetData>
  <autoFilter ref="A7:Q494" xr:uid="{AEE30112-88BB-441D-AEFC-A7A733AB1798}">
    <sortState xmlns:xlrd2="http://schemas.microsoft.com/office/spreadsheetml/2017/richdata2" ref="A8:Q494">
      <sortCondition ref="B8:B494"/>
      <sortCondition ref="C8:C494"/>
      <sortCondition ref="D8:D494"/>
      <sortCondition ref="A8:A494"/>
    </sortState>
  </autoFilter>
  <sortState xmlns:xlrd2="http://schemas.microsoft.com/office/spreadsheetml/2017/richdata2" ref="A8:Q494">
    <sortCondition ref="B8:B494"/>
    <sortCondition ref="C8:C494"/>
    <sortCondition ref="D8:D494"/>
    <sortCondition ref="A8:A494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2026-07-13T07:45:20Z</dcterms:modified>
</cp:coreProperties>
</file>