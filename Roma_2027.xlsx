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102F18D-7090-4937-AF35-4DDC9458282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<sst xmlns="http://schemas.openxmlformats.org/spreadsheetml/2006/main" count="4586" uniqueCount="2014">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</sst>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159" activePane="bottomLeft" state="frozen"/>
      <selection pane="bottomLeft" activeCell="P168" sqref="P16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112</v>
      </c>
      <c r="F3" s="5">
        <f>+AD6</f>
        <v>87</v>
      </c>
      <c r="G3" s="5">
        <f>+AF6</f>
        <v>85</v>
      </c>
      <c r="H3" s="5">
        <f>+E3-G3</f>
        <v>27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145</v>
      </c>
      <c r="G4" s="7">
        <f>+AG6</f>
        <v>128</v>
      </c>
      <c r="H4" s="5">
        <f>+E4-G4</f>
        <v>196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232</v>
      </c>
      <c r="G5" s="8">
        <f>+G3+G4</f>
        <v>213</v>
      </c>
      <c r="H5" s="8">
        <f>+H3+H4</f>
        <v>223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87</v>
      </c>
      <c r="AE6" s="1">
        <f t="shared" si="1"/>
        <v>145</v>
      </c>
      <c r="AF6" s="1">
        <f t="shared" si="1"/>
        <v>85</v>
      </c>
      <c r="AG6" s="1">
        <f t="shared" si="1"/>
        <v>128</v>
      </c>
      <c r="AH6" s="1">
        <f t="shared" si="1"/>
        <v>112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4">
        <v>0</v>
      </c>
      <c r="B132" s="34">
        <v>1</v>
      </c>
      <c r="C132" s="34">
        <v>3</v>
      </c>
      <c r="D132" s="35" t="s">
        <v>1244</v>
      </c>
      <c r="E132" s="35" t="s">
        <v>1246</v>
      </c>
      <c r="F132" s="35" t="s">
        <v>1247</v>
      </c>
      <c r="G132" s="35" t="s">
        <v>39</v>
      </c>
      <c r="H132" s="35" t="s">
        <v>369</v>
      </c>
      <c r="I132" s="34" t="s">
        <v>1245</v>
      </c>
      <c r="J132" s="34">
        <v>14</v>
      </c>
      <c r="K132" s="36" t="s">
        <v>958</v>
      </c>
      <c r="L132" s="36" t="s">
        <v>687</v>
      </c>
      <c r="M132" s="37" t="s">
        <v>1396</v>
      </c>
      <c r="N132" s="37" t="s">
        <v>1733</v>
      </c>
      <c r="O132" s="38">
        <v>1</v>
      </c>
      <c r="P132" s="38">
        <v>1</v>
      </c>
      <c r="Q132" s="35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1</v>
      </c>
      <c r="AE132" s="1">
        <f t="shared" si="62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34">
        <v>0</v>
      </c>
      <c r="B151" s="34">
        <v>1</v>
      </c>
      <c r="C151" s="34">
        <v>3</v>
      </c>
      <c r="D151" s="35" t="s">
        <v>153</v>
      </c>
      <c r="E151" s="35" t="s">
        <v>172</v>
      </c>
      <c r="F151" s="35" t="s">
        <v>353</v>
      </c>
      <c r="G151" s="35" t="s">
        <v>39</v>
      </c>
      <c r="H151" s="35" t="s">
        <v>1869</v>
      </c>
      <c r="I151" s="34" t="s">
        <v>500</v>
      </c>
      <c r="J151" s="34">
        <v>14</v>
      </c>
      <c r="K151" s="36" t="s">
        <v>702</v>
      </c>
      <c r="L151" s="36" t="s">
        <v>689</v>
      </c>
      <c r="M151" s="37" t="s">
        <v>970</v>
      </c>
      <c r="N151" s="37" t="s">
        <v>1748</v>
      </c>
      <c r="O151" s="38">
        <v>1</v>
      </c>
      <c r="P151" s="38"/>
      <c r="Q151" s="35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1</v>
      </c>
      <c r="AF151" s="1">
        <f t="shared" si="91"/>
        <v>0</v>
      </c>
      <c r="AG151" s="1">
        <f t="shared" si="92"/>
        <v>1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6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6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6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6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6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6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6" s="2" customFormat="1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R167" s="1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C167" s="1"/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  <c r="AJ167" s="1"/>
    </row>
    <row r="168" spans="1:36" s="2" customFormat="1" ht="14.25" customHeight="1" x14ac:dyDescent="0.25">
      <c r="A168" s="34">
        <v>0</v>
      </c>
      <c r="B168" s="34">
        <v>1</v>
      </c>
      <c r="C168" s="34">
        <v>3</v>
      </c>
      <c r="D168" s="35" t="s">
        <v>149</v>
      </c>
      <c r="E168" s="35" t="s">
        <v>172</v>
      </c>
      <c r="F168" s="35" t="s">
        <v>350</v>
      </c>
      <c r="G168" s="35" t="s">
        <v>39</v>
      </c>
      <c r="H168" s="35" t="s">
        <v>380</v>
      </c>
      <c r="I168" s="34" t="s">
        <v>496</v>
      </c>
      <c r="J168" s="34">
        <v>14</v>
      </c>
      <c r="K168" s="36" t="s">
        <v>964</v>
      </c>
      <c r="L168" s="36" t="s">
        <v>39</v>
      </c>
      <c r="M168" s="37" t="s">
        <v>39</v>
      </c>
      <c r="N168" s="37" t="s">
        <v>1733</v>
      </c>
      <c r="O168" s="38">
        <v>1</v>
      </c>
      <c r="P168" s="38">
        <v>1</v>
      </c>
      <c r="Q168" s="35"/>
      <c r="R168" s="1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C168" s="1"/>
      <c r="AD168" s="1">
        <f t="shared" si="105"/>
        <v>1</v>
      </c>
      <c r="AE168" s="1">
        <f t="shared" si="106"/>
        <v>0</v>
      </c>
      <c r="AF168" s="1">
        <f t="shared" si="91"/>
        <v>1</v>
      </c>
      <c r="AG168" s="1">
        <f t="shared" si="92"/>
        <v>0</v>
      </c>
      <c r="AH168" s="1">
        <f t="shared" si="93"/>
        <v>1</v>
      </c>
      <c r="AI168" s="1">
        <f t="shared" si="94"/>
        <v>0</v>
      </c>
      <c r="AJ168" s="1"/>
    </row>
    <row r="169" spans="1:36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6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6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6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6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6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6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6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521</v>
      </c>
      <c r="E227" s="35" t="s">
        <v>167</v>
      </c>
      <c r="F227" s="35" t="s">
        <v>522</v>
      </c>
      <c r="G227" s="35" t="s">
        <v>523</v>
      </c>
      <c r="H227" s="35" t="s">
        <v>354</v>
      </c>
      <c r="I227" s="34" t="s">
        <v>524</v>
      </c>
      <c r="J227" s="34">
        <v>99</v>
      </c>
      <c r="K227" s="36" t="s">
        <v>702</v>
      </c>
      <c r="L227" s="36">
        <v>40</v>
      </c>
      <c r="M227" s="37" t="s">
        <v>972</v>
      </c>
      <c r="N227" s="37" t="s">
        <v>1849</v>
      </c>
      <c r="O227" s="38">
        <v>1</v>
      </c>
      <c r="P227" s="38"/>
      <c r="Q227" s="35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1</v>
      </c>
      <c r="AF227" s="1">
        <f t="shared" si="113"/>
        <v>0</v>
      </c>
      <c r="AG227" s="1">
        <f t="shared" si="114"/>
        <v>1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1627</v>
      </c>
      <c r="E241" s="35" t="s">
        <v>29</v>
      </c>
      <c r="F241" s="35" t="s">
        <v>1682</v>
      </c>
      <c r="G241" s="35" t="s">
        <v>312</v>
      </c>
      <c r="H241" s="35" t="s">
        <v>354</v>
      </c>
      <c r="I241" s="34" t="s">
        <v>1628</v>
      </c>
      <c r="J241" s="34"/>
      <c r="K241" s="36" t="s">
        <v>713</v>
      </c>
      <c r="L241" s="36">
        <v>45</v>
      </c>
      <c r="M241" s="37" t="s">
        <v>1800</v>
      </c>
      <c r="N241" s="37" t="s">
        <v>1733</v>
      </c>
      <c r="O241" s="38">
        <v>1</v>
      </c>
      <c r="P241" s="38">
        <v>1</v>
      </c>
      <c r="Q241" s="35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1</v>
      </c>
      <c r="AE241" s="1">
        <f t="shared" si="128"/>
        <v>0</v>
      </c>
      <c r="AF241" s="1">
        <f t="shared" si="113"/>
        <v>1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9" t="s">
        <v>96</v>
      </c>
      <c r="E264" s="35" t="s">
        <v>29</v>
      </c>
      <c r="F264" s="39" t="s">
        <v>292</v>
      </c>
      <c r="G264" s="39" t="s">
        <v>293</v>
      </c>
      <c r="H264" s="39" t="s">
        <v>354</v>
      </c>
      <c r="I264" s="40" t="s">
        <v>1117</v>
      </c>
      <c r="J264" s="34">
        <v>99</v>
      </c>
      <c r="K264" s="36" t="s">
        <v>713</v>
      </c>
      <c r="L264" s="36" t="s">
        <v>696</v>
      </c>
      <c r="M264" s="37" t="s">
        <v>708</v>
      </c>
      <c r="N264" s="37" t="s">
        <v>1748</v>
      </c>
      <c r="O264" s="38">
        <v>1</v>
      </c>
      <c r="P264" s="38"/>
      <c r="Q264" s="39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1</v>
      </c>
      <c r="AF264" s="1">
        <f t="shared" si="113"/>
        <v>0</v>
      </c>
      <c r="AG264" s="1">
        <f t="shared" si="114"/>
        <v>1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20" t="s">
        <v>2013</v>
      </c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6" si="185">+O395*P395*(1-A395)</f>
        <v>0</v>
      </c>
      <c r="AG395" s="1">
        <f t="shared" ref="AG395:AG456" si="186">O395*(1-P395)*(1-A395)</f>
        <v>0</v>
      </c>
      <c r="AH395" s="1">
        <f t="shared" ref="AH395:AH456" si="187">+P395*(1-A395)</f>
        <v>0</v>
      </c>
      <c r="AI395" s="1">
        <f t="shared" ref="AI395:AI456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2007</v>
      </c>
      <c r="E458" s="35" t="s">
        <v>156</v>
      </c>
      <c r="F458" s="35" t="s">
        <v>2008</v>
      </c>
      <c r="G458" s="35" t="s">
        <v>283</v>
      </c>
      <c r="H458" s="35" t="s">
        <v>354</v>
      </c>
      <c r="I458" s="34" t="s">
        <v>2009</v>
      </c>
      <c r="J458" s="34">
        <v>99</v>
      </c>
      <c r="K458" s="36" t="s">
        <v>703</v>
      </c>
      <c r="L458" s="36" t="s">
        <v>722</v>
      </c>
      <c r="M458" s="37" t="s">
        <v>732</v>
      </c>
      <c r="N458" s="37" t="s">
        <v>1727</v>
      </c>
      <c r="O458" s="38">
        <v>1</v>
      </c>
      <c r="P458" s="38">
        <v>1</v>
      </c>
      <c r="Q458" s="35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D458" s="1">
        <f t="shared" si="229"/>
        <v>1</v>
      </c>
      <c r="AE458" s="1">
        <f t="shared" si="230"/>
        <v>0</v>
      </c>
      <c r="AF458" s="1">
        <f t="shared" si="231"/>
        <v>1</v>
      </c>
      <c r="AG458" s="1">
        <f t="shared" si="232"/>
        <v>0</v>
      </c>
      <c r="AH458" s="1">
        <f t="shared" si="233"/>
        <v>1</v>
      </c>
      <c r="AI458" s="1">
        <f t="shared" si="234"/>
        <v>0</v>
      </c>
    </row>
    <row r="459" spans="1:35" ht="14.25" customHeight="1" x14ac:dyDescent="0.25">
      <c r="A459" s="34">
        <v>1</v>
      </c>
      <c r="B459" s="34">
        <v>2</v>
      </c>
      <c r="C459" s="34">
        <v>7</v>
      </c>
      <c r="D459" s="35" t="s">
        <v>2007</v>
      </c>
      <c r="E459" s="35" t="s">
        <v>156</v>
      </c>
      <c r="F459" s="35" t="s">
        <v>2010</v>
      </c>
      <c r="G459" s="35" t="s">
        <v>2011</v>
      </c>
      <c r="H459" s="35" t="s">
        <v>354</v>
      </c>
      <c r="I459" s="34" t="s">
        <v>2012</v>
      </c>
      <c r="J459" s="34">
        <v>99</v>
      </c>
      <c r="K459" s="36" t="s">
        <v>703</v>
      </c>
      <c r="L459" s="36" t="s">
        <v>722</v>
      </c>
      <c r="M459" s="37" t="s">
        <v>732</v>
      </c>
      <c r="N459" s="37" t="s">
        <v>1727</v>
      </c>
      <c r="O459" s="38">
        <v>1</v>
      </c>
      <c r="P459" s="38">
        <v>1</v>
      </c>
      <c r="Q459" s="35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D459" s="1">
        <f t="shared" si="229"/>
        <v>1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</row>
    <row r="460" spans="1:35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Q460" s="20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3:AF478" si="237">+O463*P463*(1-A463)</f>
        <v>0</v>
      </c>
      <c r="AG463" s="1">
        <f t="shared" ref="AG463:AG478" si="238">O463*(1-P463)*(1-A463)</f>
        <v>1</v>
      </c>
      <c r="AH463" s="1">
        <f t="shared" ref="AH463:AH478" si="239">+P463*(1-A463)</f>
        <v>0</v>
      </c>
      <c r="AI463" s="1">
        <f t="shared" ref="AI463:AI478" si="240">+(1-A463)*(1-P463)</f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</row>
    <row r="465" spans="1:35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</row>
    <row r="471" spans="1:35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</row>
    <row r="472" spans="1:35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</row>
    <row r="474" spans="1:35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2026-06-18T19:44:42Z</dcterms:modified>
</cp:coreProperties>
</file>